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gfi1.sharepoint.com/sites/CloudASCO/Documents partages/General/Activités/Infrastructures &amp; services/Microsoft Azure/Remonté coûts projets/"/>
    </mc:Choice>
  </mc:AlternateContent>
  <xr:revisionPtr revIDLastSave="2493" documentId="11_7D90C42956F515C7442D6A5B37BEE5E6001B7606" xr6:coauthVersionLast="46" xr6:coauthVersionMax="46" xr10:uidLastSave="{FD66C1CB-72E0-4B47-BBE9-464031C69933}"/>
  <bookViews>
    <workbookView xWindow="-120" yWindow="-120" windowWidth="29040" windowHeight="17640" tabRatio="773" activeTab="1" xr2:uid="{00000000-000D-0000-FFFF-FFFF00000000}"/>
  </bookViews>
  <sheets>
    <sheet name="Synthèse globale" sheetId="26" r:id="rId1"/>
    <sheet name="VMAzure-Env-Projet" sheetId="4" r:id="rId2"/>
    <sheet name="split cout vm infra" sheetId="29" r:id="rId3"/>
    <sheet name="AzureDevOps" sheetId="7" r:id="rId4"/>
    <sheet name="VMAZURE" sheetId="9" r:id="rId5"/>
    <sheet name="Devis OT vers Azure" sheetId="27" r:id="rId6"/>
    <sheet name="CONTRATS DI" sheetId="1" r:id="rId7"/>
    <sheet name="Projets" sheetId="2" r:id="rId8"/>
    <sheet name="Env" sheetId="5" r:id="rId9"/>
    <sheet name="VMAzureSize" sheetId="11" r:id="rId10"/>
    <sheet name="VMAzureDisk" sheetId="14" r:id="rId11"/>
    <sheet name="Date" sheetId="20" r:id="rId12"/>
    <sheet name="CostCenter" sheetId="22" r:id="rId13"/>
    <sheet name="Devis" sheetId="15" r:id="rId14"/>
  </sheets>
  <definedNames>
    <definedName name="_xlnm._FilterDatabase" localSheetId="3" hidden="1">AzureDevOps!$A$1:$A$1</definedName>
    <definedName name="_xlnm._FilterDatabase" localSheetId="6" hidden="1">'CONTRATS DI'!$A$1:$F$26</definedName>
    <definedName name="_xlnm._FilterDatabase" localSheetId="13" hidden="1">Devis!$A$1:$I$1</definedName>
    <definedName name="_xlnm._FilterDatabase" localSheetId="8" hidden="1">Env!$A$1:$C$1</definedName>
    <definedName name="_xlnm._FilterDatabase" localSheetId="7" hidden="1">Projets!$A$1:$I$1</definedName>
    <definedName name="_xlnm._FilterDatabase" localSheetId="4" hidden="1">VMAZURE!$A$1:$AB$1</definedName>
    <definedName name="_xlnm._FilterDatabase" localSheetId="10" hidden="1">VMAzureDisk!$A$1:$D$1</definedName>
    <definedName name="_xlnm._FilterDatabase" localSheetId="9" hidden="1">VMAzureSize!$A$1:$G$1</definedName>
    <definedName name="_xlcn.WorksheetConnection_InventaireAzurev1.0.xlsxTablAzureDevOpsProjet1" hidden="1">TablAzureDevOpsProjet</definedName>
    <definedName name="_xlcn.WorksheetConnection_InventaireAzurev1.0.xlsxTabVMAzureEnvProjet1" hidden="1">TabVMAzureEnvProjet[]</definedName>
    <definedName name="_xlnm.Print_Titles" localSheetId="0">'Synthèse globale'!$6:$6</definedName>
    <definedName name="ListeAzureDevOps">TabAzureDevOps[ProjetAzureDevOps]</definedName>
    <definedName name="ListeCostCenters">TabCostCenters[CostCenter]</definedName>
    <definedName name="ListeDates">TabDates[Date]</definedName>
    <definedName name="ListeProjets">TabProjets[NomProj]</definedName>
    <definedName name="ListeRefEnv">TabEnv[RefEnv]</definedName>
    <definedName name="ListeSystèmes">TabVMAzureSize[[#Headers],[Linux]:[Windows + SQL STD]]</definedName>
    <definedName name="ListeVMAZURE">TabVMAZURE[VM]</definedName>
    <definedName name="ListeVMAzureCoûts">TabVMAzureSize[[Linux]:[Windows + SQL STD]]</definedName>
    <definedName name="ListeVMAzureDisk">TabVMAzureDisk[VMAzureDisk]</definedName>
    <definedName name="ListeVMAzureDiskCout">TabVMAzureDisk[Coût / mois]</definedName>
    <definedName name="ListeVMAzureSize">TabVMAzureSize[VMAzureSize]</definedName>
    <definedName name="ListeVMAzureSizeCoûtLinux">TabVMAzureSize[Linux]</definedName>
    <definedName name="ListeVMAzureSizeCoûtWindows">TabVMAzureSize[Windows]</definedName>
    <definedName name="ListeVMAzureSizeCoûtWindowsSQLSTD">TabVMAzureSize[Windows + SQL STD]</definedName>
    <definedName name="Segment_Client">#N/A</definedName>
    <definedName name="Segment_Code_SYGES">#N/A</definedName>
    <definedName name="Segment_Cost_Center">#N/A</definedName>
    <definedName name="Segment_Env">#N/A</definedName>
    <definedName name="Segment_Mois">#N/A</definedName>
    <definedName name="Segment_Projet">#N/A</definedName>
    <definedName name="_xlnm.Print_Area" localSheetId="0">'Synthèse globale'!$A$4:$B$210</definedName>
  </definedNames>
  <calcPr calcId="191029"/>
  <pivotCaches>
    <pivotCache cacheId="9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  <x14:slicerCache r:id="rId19"/>
        <x14:slicerCache r:id="rId20"/>
        <x14:slicerCache r:id="rId2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VMAzureEnvProjet" name="TabVMAzureEnvProjet" connection="WorksheetConnection_Inventaire Azure v1.0.xlsx!TabVMAzureEnvProjet"/>
          <x15:modelTable id="TablAzureDevOpsProjet" name="TablAzureDevOpsProjet" connection="WorksheetConnection_Inventaire Azure v1.0.xlsx!TablAzureDevOpsProje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K27" i="9"/>
  <c r="M27" i="9" s="1"/>
  <c r="N27" i="9"/>
  <c r="K26" i="9"/>
  <c r="M26" i="9" s="1"/>
  <c r="N26" i="9"/>
  <c r="A17" i="29"/>
  <c r="A8" i="29"/>
  <c r="A23" i="29" s="1"/>
  <c r="B21" i="29" s="1"/>
  <c r="F959" i="4"/>
  <c r="F958" i="4"/>
  <c r="F957" i="4"/>
  <c r="F956" i="4"/>
  <c r="F955" i="4"/>
  <c r="F954" i="4"/>
  <c r="F953" i="4"/>
  <c r="F952" i="4"/>
  <c r="F951" i="4"/>
  <c r="F950" i="4"/>
  <c r="F949" i="4"/>
  <c r="F948" i="4"/>
  <c r="F947" i="4"/>
  <c r="F946" i="4"/>
  <c r="F945" i="4"/>
  <c r="F944" i="4"/>
  <c r="F943" i="4"/>
  <c r="F942" i="4"/>
  <c r="F941" i="4"/>
  <c r="F940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A47" i="2"/>
  <c r="A36" i="2"/>
  <c r="F939" i="4"/>
  <c r="F938" i="4"/>
  <c r="F937" i="4"/>
  <c r="F936" i="4"/>
  <c r="F935" i="4"/>
  <c r="F934" i="4"/>
  <c r="F933" i="4"/>
  <c r="F932" i="4"/>
  <c r="F931" i="4"/>
  <c r="F930" i="4"/>
  <c r="F929" i="4"/>
  <c r="F928" i="4"/>
  <c r="F927" i="4"/>
  <c r="F926" i="4"/>
  <c r="F925" i="4"/>
  <c r="F924" i="4"/>
  <c r="F923" i="4"/>
  <c r="F922" i="4"/>
  <c r="F921" i="4"/>
  <c r="F920" i="4"/>
  <c r="F919" i="4"/>
  <c r="F918" i="4"/>
  <c r="F917" i="4"/>
  <c r="F916" i="4"/>
  <c r="F915" i="4"/>
  <c r="F914" i="4"/>
  <c r="F913" i="4"/>
  <c r="F912" i="4"/>
  <c r="F911" i="4"/>
  <c r="F910" i="4"/>
  <c r="F909" i="4"/>
  <c r="F908" i="4"/>
  <c r="F907" i="4"/>
  <c r="F906" i="4"/>
  <c r="F905" i="4"/>
  <c r="F904" i="4"/>
  <c r="F903" i="4"/>
  <c r="F902" i="4"/>
  <c r="F901" i="4"/>
  <c r="F900" i="4"/>
  <c r="F899" i="4"/>
  <c r="F898" i="4"/>
  <c r="F897" i="4"/>
  <c r="F896" i="4"/>
  <c r="F895" i="4"/>
  <c r="F894" i="4"/>
  <c r="F893" i="4"/>
  <c r="F892" i="4"/>
  <c r="F891" i="4"/>
  <c r="F890" i="4"/>
  <c r="F889" i="4"/>
  <c r="F888" i="4"/>
  <c r="F887" i="4"/>
  <c r="F886" i="4"/>
  <c r="F885" i="4"/>
  <c r="F884" i="4"/>
  <c r="F883" i="4"/>
  <c r="F882" i="4"/>
  <c r="F881" i="4"/>
  <c r="F880" i="4"/>
  <c r="F879" i="4"/>
  <c r="F878" i="4"/>
  <c r="F877" i="4"/>
  <c r="F876" i="4"/>
  <c r="F875" i="4"/>
  <c r="F874" i="4"/>
  <c r="F873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F869" i="4"/>
  <c r="K20" i="9"/>
  <c r="M20" i="9" s="1"/>
  <c r="N20" i="9"/>
  <c r="B869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70" i="4"/>
  <c r="F871" i="4"/>
  <c r="F872" i="4"/>
  <c r="F853" i="4"/>
  <c r="B866" i="4"/>
  <c r="B867" i="4"/>
  <c r="B868" i="4"/>
  <c r="B870" i="4"/>
  <c r="B871" i="4"/>
  <c r="B87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F852" i="4"/>
  <c r="B852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789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K19" i="9"/>
  <c r="M19" i="9" s="1"/>
  <c r="N19" i="9"/>
  <c r="K11" i="9"/>
  <c r="M11" i="9" s="1"/>
  <c r="N11" i="9"/>
  <c r="A6" i="2"/>
  <c r="A27" i="2"/>
  <c r="B788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K7" i="9"/>
  <c r="M7" i="9" s="1"/>
  <c r="N7" i="9"/>
  <c r="K16" i="9"/>
  <c r="M16" i="9" s="1"/>
  <c r="N16" i="9"/>
  <c r="A28" i="2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07" i="4"/>
  <c r="A4" i="14"/>
  <c r="F4" i="14"/>
  <c r="O27" i="9" l="1"/>
  <c r="O26" i="9"/>
  <c r="O20" i="9"/>
  <c r="C21" i="29"/>
  <c r="D21" i="29" s="1"/>
  <c r="O19" i="9"/>
  <c r="O11" i="9"/>
  <c r="O7" i="9"/>
  <c r="O16" i="9"/>
  <c r="K17" i="9"/>
  <c r="M17" i="9" s="1"/>
  <c r="N17" i="9"/>
  <c r="B706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A34" i="2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2" i="29" l="1"/>
  <c r="B8" i="29"/>
  <c r="C8" i="29" s="1"/>
  <c r="D8" i="29" s="1"/>
  <c r="B13" i="29"/>
  <c r="C13" i="29" s="1"/>
  <c r="D13" i="29" s="1"/>
  <c r="B19" i="29"/>
  <c r="C19" i="29" s="1"/>
  <c r="D19" i="29" s="1"/>
  <c r="B3" i="29"/>
  <c r="C3" i="29" s="1"/>
  <c r="D3" i="29" s="1"/>
  <c r="B15" i="29"/>
  <c r="C15" i="29" s="1"/>
  <c r="D15" i="29" s="1"/>
  <c r="B7" i="29"/>
  <c r="C7" i="29" s="1"/>
  <c r="D7" i="29" s="1"/>
  <c r="B20" i="29"/>
  <c r="C20" i="29" s="1"/>
  <c r="D20" i="29" s="1"/>
  <c r="B4" i="29"/>
  <c r="C4" i="29" s="1"/>
  <c r="D4" i="29" s="1"/>
  <c r="B14" i="29"/>
  <c r="C14" i="29" s="1"/>
  <c r="D14" i="29" s="1"/>
  <c r="B6" i="29"/>
  <c r="C6" i="29" s="1"/>
  <c r="D6" i="29" s="1"/>
  <c r="B5" i="29"/>
  <c r="B12" i="29"/>
  <c r="C12" i="29" s="1"/>
  <c r="D12" i="29" s="1"/>
  <c r="B9" i="29"/>
  <c r="C9" i="29" s="1"/>
  <c r="D9" i="29" s="1"/>
  <c r="B18" i="29"/>
  <c r="C18" i="29" s="1"/>
  <c r="D18" i="29" s="1"/>
  <c r="B11" i="29"/>
  <c r="C11" i="29" s="1"/>
  <c r="D11" i="29" s="1"/>
  <c r="B17" i="29"/>
  <c r="C17" i="29" s="1"/>
  <c r="D17" i="29" s="1"/>
  <c r="B10" i="29"/>
  <c r="C10" i="29" s="1"/>
  <c r="D10" i="29" s="1"/>
  <c r="B16" i="29"/>
  <c r="C16" i="29" s="1"/>
  <c r="D16" i="29" s="1"/>
  <c r="O17" i="9"/>
  <c r="K10" i="9"/>
  <c r="M10" i="9" s="1"/>
  <c r="N10" i="9"/>
  <c r="K12" i="9"/>
  <c r="M12" i="9" s="1"/>
  <c r="N12" i="9"/>
  <c r="A37" i="2"/>
  <c r="B628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556" i="4"/>
  <c r="B23" i="29" l="1"/>
  <c r="C2" i="29"/>
  <c r="D2" i="29" s="1"/>
  <c r="C5" i="29"/>
  <c r="D5" i="29" s="1"/>
  <c r="O12" i="9"/>
  <c r="O10" i="9"/>
  <c r="D23" i="29" l="1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470" i="4" l="1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A16" i="2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13" i="4" l="1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A32" i="2"/>
  <c r="A46" i="2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K15" i="9" l="1"/>
  <c r="M15" i="9" s="1"/>
  <c r="N15" i="9" l="1"/>
  <c r="O15" i="9" s="1"/>
  <c r="N13" i="9" l="1"/>
  <c r="K13" i="9"/>
  <c r="M13" i="9" s="1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O13" i="9" l="1"/>
  <c r="B276" i="4"/>
  <c r="B277" i="4"/>
  <c r="B278" i="4"/>
  <c r="B279" i="4"/>
  <c r="B280" i="4"/>
  <c r="B281" i="4"/>
  <c r="B282" i="4"/>
  <c r="B283" i="4"/>
  <c r="B284" i="4"/>
  <c r="B285" i="4"/>
  <c r="B286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K9" i="9" l="1"/>
  <c r="M9" i="9" s="1"/>
  <c r="N9" i="9"/>
  <c r="O9" i="9" l="1"/>
  <c r="B228" i="4"/>
  <c r="A45" i="2" l="1"/>
  <c r="B227" i="4"/>
  <c r="B224" i="4"/>
  <c r="B223" i="4"/>
  <c r="B222" i="4"/>
  <c r="B221" i="4"/>
  <c r="B220" i="4"/>
  <c r="B219" i="4"/>
  <c r="B218" i="4"/>
  <c r="B226" i="4"/>
  <c r="B225" i="4"/>
  <c r="A42" i="2"/>
  <c r="A35" i="2"/>
  <c r="A24" i="2"/>
  <c r="A23" i="2"/>
  <c r="A22" i="2"/>
  <c r="A20" i="2"/>
  <c r="A19" i="2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G959" i="4" l="1"/>
  <c r="K24" i="9"/>
  <c r="M24" i="9" s="1"/>
  <c r="N24" i="9"/>
  <c r="I959" i="4" l="1"/>
  <c r="J959" i="4"/>
  <c r="A959" i="4" s="1"/>
  <c r="O24" i="9"/>
  <c r="K25" i="9"/>
  <c r="M25" i="9" s="1"/>
  <c r="N25" i="9"/>
  <c r="O25" i="9" l="1"/>
  <c r="K8" i="9"/>
  <c r="M8" i="9" s="1"/>
  <c r="N8" i="9"/>
  <c r="F2" i="14"/>
  <c r="F3" i="14"/>
  <c r="F5" i="14"/>
  <c r="F6" i="14"/>
  <c r="F7" i="14"/>
  <c r="F8" i="14"/>
  <c r="F9" i="14"/>
  <c r="F10" i="14"/>
  <c r="F11" i="14"/>
  <c r="F12" i="14"/>
  <c r="O8" i="9" l="1"/>
  <c r="A11" i="14"/>
  <c r="A9" i="14"/>
  <c r="J29" i="27" l="1"/>
  <c r="L29" i="27" s="1"/>
  <c r="J30" i="27"/>
  <c r="L30" i="27" s="1"/>
  <c r="J31" i="27"/>
  <c r="L31" i="27" s="1"/>
  <c r="M29" i="27"/>
  <c r="M30" i="27"/>
  <c r="M31" i="27"/>
  <c r="J7" i="27"/>
  <c r="L7" i="27" s="1"/>
  <c r="J8" i="27"/>
  <c r="L8" i="27" s="1"/>
  <c r="J9" i="27"/>
  <c r="L9" i="27" s="1"/>
  <c r="J10" i="27"/>
  <c r="L10" i="27" s="1"/>
  <c r="J11" i="27"/>
  <c r="L11" i="27" s="1"/>
  <c r="J12" i="27"/>
  <c r="L12" i="27" s="1"/>
  <c r="J13" i="27"/>
  <c r="L13" i="27" s="1"/>
  <c r="J14" i="27"/>
  <c r="L14" i="27" s="1"/>
  <c r="J15" i="27"/>
  <c r="L15" i="27" s="1"/>
  <c r="J16" i="27"/>
  <c r="L16" i="27" s="1"/>
  <c r="J17" i="27"/>
  <c r="L17" i="27" s="1"/>
  <c r="J18" i="27"/>
  <c r="L18" i="27" s="1"/>
  <c r="J19" i="27"/>
  <c r="L19" i="27" s="1"/>
  <c r="J20" i="27"/>
  <c r="L20" i="27" s="1"/>
  <c r="J21" i="27"/>
  <c r="L21" i="27" s="1"/>
  <c r="J22" i="27"/>
  <c r="L22" i="27" s="1"/>
  <c r="J23" i="27"/>
  <c r="L23" i="27" s="1"/>
  <c r="J24" i="27"/>
  <c r="L24" i="27" s="1"/>
  <c r="J25" i="27"/>
  <c r="L25" i="27" s="1"/>
  <c r="J26" i="27"/>
  <c r="L26" i="27" s="1"/>
  <c r="J27" i="27"/>
  <c r="L27" i="27" s="1"/>
  <c r="J28" i="27"/>
  <c r="L28" i="27" s="1"/>
  <c r="M7" i="27"/>
  <c r="M8" i="27"/>
  <c r="M9" i="27"/>
  <c r="M10" i="27"/>
  <c r="M11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M24" i="27"/>
  <c r="M25" i="27"/>
  <c r="M26" i="27"/>
  <c r="M27" i="27"/>
  <c r="M28" i="27"/>
  <c r="J2" i="27"/>
  <c r="L2" i="27" s="1"/>
  <c r="J3" i="27"/>
  <c r="L3" i="27" s="1"/>
  <c r="J4" i="27"/>
  <c r="L4" i="27" s="1"/>
  <c r="J5" i="27"/>
  <c r="L5" i="27" s="1"/>
  <c r="J6" i="27"/>
  <c r="L6" i="27" s="1"/>
  <c r="M2" i="27"/>
  <c r="M3" i="27"/>
  <c r="M4" i="27"/>
  <c r="M5" i="27"/>
  <c r="M6" i="27"/>
  <c r="K6" i="9"/>
  <c r="K5" i="9"/>
  <c r="N17" i="27" l="1"/>
  <c r="N16" i="27"/>
  <c r="N26" i="27"/>
  <c r="N25" i="27"/>
  <c r="N28" i="27"/>
  <c r="N20" i="27"/>
  <c r="N12" i="27"/>
  <c r="N14" i="27"/>
  <c r="N19" i="27"/>
  <c r="N11" i="27"/>
  <c r="N22" i="27"/>
  <c r="N10" i="27"/>
  <c r="N8" i="27"/>
  <c r="N31" i="27"/>
  <c r="N30" i="27"/>
  <c r="N29" i="27"/>
  <c r="N27" i="27"/>
  <c r="N23" i="27"/>
  <c r="N18" i="27"/>
  <c r="N15" i="27"/>
  <c r="N7" i="27"/>
  <c r="N21" i="27"/>
  <c r="N13" i="27"/>
  <c r="N9" i="27"/>
  <c r="N24" i="27"/>
  <c r="N6" i="27"/>
  <c r="N5" i="27"/>
  <c r="N4" i="27"/>
  <c r="N3" i="27"/>
  <c r="N2" i="27"/>
  <c r="A12" i="2"/>
  <c r="A12" i="14"/>
  <c r="K21" i="9"/>
  <c r="M21" i="9" s="1"/>
  <c r="N21" i="9"/>
  <c r="O21" i="9" l="1"/>
  <c r="K2" i="9"/>
  <c r="B170" i="4" l="1"/>
  <c r="B169" i="4"/>
  <c r="B168" i="4"/>
  <c r="B167" i="4"/>
  <c r="B166" i="4"/>
  <c r="B165" i="4"/>
  <c r="B164" i="4"/>
  <c r="B163" i="4"/>
  <c r="A39" i="2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5" i="4" l="1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4" i="4"/>
  <c r="B3" i="4"/>
  <c r="B2" i="4"/>
  <c r="B128" i="4" l="1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9" i="4"/>
  <c r="B130" i="4"/>
  <c r="B102" i="4" l="1"/>
  <c r="B101" i="4"/>
  <c r="B100" i="4"/>
  <c r="B99" i="4"/>
  <c r="B98" i="4"/>
  <c r="B97" i="4"/>
  <c r="B96" i="4"/>
  <c r="A30" i="2"/>
  <c r="B95" i="4"/>
  <c r="G949" i="4" l="1"/>
  <c r="K14" i="9"/>
  <c r="M14" i="9" s="1"/>
  <c r="N14" i="9"/>
  <c r="J949" i="4" l="1"/>
  <c r="A949" i="4" s="1"/>
  <c r="I949" i="4"/>
  <c r="O14" i="9"/>
  <c r="A38" i="2"/>
  <c r="B94" i="4"/>
  <c r="K18" i="9"/>
  <c r="M18" i="9" s="1"/>
  <c r="N18" i="9"/>
  <c r="G955" i="4" l="1"/>
  <c r="G954" i="4"/>
  <c r="O18" i="9"/>
  <c r="B91" i="4"/>
  <c r="B92" i="4"/>
  <c r="B93" i="4"/>
  <c r="B87" i="4"/>
  <c r="B88" i="4"/>
  <c r="B89" i="4"/>
  <c r="B90" i="4"/>
  <c r="A7" i="2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60" i="4"/>
  <c r="B61" i="4"/>
  <c r="B62" i="4"/>
  <c r="B63" i="4"/>
  <c r="B64" i="4"/>
  <c r="A5" i="14"/>
  <c r="J954" i="4" l="1"/>
  <c r="A954" i="4" s="1"/>
  <c r="I954" i="4"/>
  <c r="I955" i="4"/>
  <c r="J955" i="4"/>
  <c r="A955" i="4" s="1"/>
  <c r="A18" i="2"/>
  <c r="B59" i="4"/>
  <c r="M5" i="9"/>
  <c r="N5" i="9"/>
  <c r="G943" i="4" l="1"/>
  <c r="G856" i="4"/>
  <c r="O5" i="9"/>
  <c r="B58" i="4"/>
  <c r="K3" i="9"/>
  <c r="M3" i="9" s="1"/>
  <c r="N3" i="9"/>
  <c r="I943" i="4" l="1"/>
  <c r="J943" i="4"/>
  <c r="A943" i="4" s="1"/>
  <c r="I856" i="4"/>
  <c r="J856" i="4"/>
  <c r="A856" i="4" s="1"/>
  <c r="O3" i="9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28" i="4"/>
  <c r="B57" i="4"/>
  <c r="B29" i="4"/>
  <c r="B30" i="4"/>
  <c r="B31" i="4"/>
  <c r="B32" i="4"/>
  <c r="B33" i="4"/>
  <c r="B34" i="4"/>
  <c r="B35" i="4"/>
  <c r="A2" i="14" l="1"/>
  <c r="T26" i="9" l="1"/>
  <c r="U26" i="9"/>
  <c r="V26" i="9"/>
  <c r="W26" i="9"/>
  <c r="S26" i="9"/>
  <c r="R26" i="9"/>
  <c r="U19" i="9"/>
  <c r="V19" i="9"/>
  <c r="W19" i="9"/>
  <c r="R19" i="9"/>
  <c r="S19" i="9"/>
  <c r="T19" i="9"/>
  <c r="R17" i="9"/>
  <c r="S17" i="9"/>
  <c r="T17" i="9"/>
  <c r="U17" i="9"/>
  <c r="V17" i="9"/>
  <c r="W17" i="9"/>
  <c r="U10" i="9"/>
  <c r="V12" i="9"/>
  <c r="W12" i="9"/>
  <c r="R10" i="9"/>
  <c r="S10" i="9"/>
  <c r="W10" i="9"/>
  <c r="T10" i="9"/>
  <c r="V10" i="9"/>
  <c r="R15" i="9"/>
  <c r="S15" i="9"/>
  <c r="T15" i="9"/>
  <c r="U15" i="9"/>
  <c r="V15" i="9"/>
  <c r="W15" i="9"/>
  <c r="W13" i="9"/>
  <c r="V13" i="9"/>
  <c r="U13" i="9"/>
  <c r="T13" i="9"/>
  <c r="S13" i="9"/>
  <c r="R13" i="9"/>
  <c r="U9" i="9"/>
  <c r="W9" i="9"/>
  <c r="R9" i="9"/>
  <c r="V9" i="9"/>
  <c r="T9" i="9"/>
  <c r="S9" i="9"/>
  <c r="U24" i="9"/>
  <c r="V24" i="9"/>
  <c r="R24" i="9"/>
  <c r="W24" i="9"/>
  <c r="S24" i="9"/>
  <c r="T24" i="9"/>
  <c r="S25" i="9"/>
  <c r="U25" i="9"/>
  <c r="T25" i="9"/>
  <c r="V25" i="9"/>
  <c r="R25" i="9"/>
  <c r="W25" i="9"/>
  <c r="W6" i="9"/>
  <c r="U3" i="9"/>
  <c r="U21" i="9"/>
  <c r="S18" i="9"/>
  <c r="V5" i="27"/>
  <c r="V13" i="27"/>
  <c r="V21" i="27"/>
  <c r="V29" i="27"/>
  <c r="T7" i="27"/>
  <c r="T15" i="27"/>
  <c r="T23" i="27"/>
  <c r="T31" i="27"/>
  <c r="R9" i="27"/>
  <c r="R17" i="27"/>
  <c r="R25" i="27"/>
  <c r="V12" i="27"/>
  <c r="T30" i="27"/>
  <c r="W14" i="9"/>
  <c r="U4" i="9"/>
  <c r="U8" i="9"/>
  <c r="V6" i="27"/>
  <c r="V14" i="27"/>
  <c r="V22" i="27"/>
  <c r="V30" i="27"/>
  <c r="T8" i="27"/>
  <c r="T16" i="27"/>
  <c r="T24" i="27"/>
  <c r="R2" i="27"/>
  <c r="R10" i="27"/>
  <c r="R18" i="27"/>
  <c r="R26" i="27"/>
  <c r="T22" i="27"/>
  <c r="W18" i="9"/>
  <c r="S2" i="9"/>
  <c r="S23" i="9"/>
  <c r="V7" i="27"/>
  <c r="V15" i="27"/>
  <c r="V23" i="27"/>
  <c r="V31" i="27"/>
  <c r="T9" i="27"/>
  <c r="T17" i="27"/>
  <c r="T25" i="27"/>
  <c r="R3" i="27"/>
  <c r="R11" i="27"/>
  <c r="R19" i="27"/>
  <c r="R27" i="27"/>
  <c r="T6" i="27"/>
  <c r="W22" i="9"/>
  <c r="U6" i="9"/>
  <c r="S3" i="9"/>
  <c r="R8" i="9"/>
  <c r="V8" i="27"/>
  <c r="V16" i="27"/>
  <c r="V24" i="27"/>
  <c r="T2" i="27"/>
  <c r="T10" i="27"/>
  <c r="T18" i="27"/>
  <c r="T26" i="27"/>
  <c r="R4" i="27"/>
  <c r="R12" i="27"/>
  <c r="R20" i="27"/>
  <c r="R28" i="27"/>
  <c r="S14" i="9"/>
  <c r="V28" i="27"/>
  <c r="R24" i="27"/>
  <c r="W2" i="9"/>
  <c r="W23" i="9"/>
  <c r="U14" i="9"/>
  <c r="S8" i="9"/>
  <c r="T8" i="9"/>
  <c r="V9" i="27"/>
  <c r="V17" i="27"/>
  <c r="V25" i="27"/>
  <c r="T3" i="27"/>
  <c r="T11" i="27"/>
  <c r="T19" i="27"/>
  <c r="T27" i="27"/>
  <c r="R5" i="27"/>
  <c r="R13" i="27"/>
  <c r="R21" i="27"/>
  <c r="R29" i="27"/>
  <c r="U23" i="9"/>
  <c r="T14" i="27"/>
  <c r="W3" i="9"/>
  <c r="W21" i="9"/>
  <c r="U18" i="9"/>
  <c r="V8" i="9"/>
  <c r="V2" i="27"/>
  <c r="V10" i="27"/>
  <c r="V18" i="27"/>
  <c r="V26" i="27"/>
  <c r="T4" i="27"/>
  <c r="T12" i="27"/>
  <c r="T20" i="27"/>
  <c r="T28" i="27"/>
  <c r="R6" i="27"/>
  <c r="R14" i="27"/>
  <c r="R22" i="27"/>
  <c r="R30" i="27"/>
  <c r="U2" i="9"/>
  <c r="V20" i="27"/>
  <c r="R16" i="27"/>
  <c r="W4" i="9"/>
  <c r="W8" i="9"/>
  <c r="U22" i="9"/>
  <c r="S6" i="9"/>
  <c r="V3" i="27"/>
  <c r="V11" i="27"/>
  <c r="V19" i="27"/>
  <c r="V27" i="27"/>
  <c r="T5" i="27"/>
  <c r="T13" i="27"/>
  <c r="T21" i="27"/>
  <c r="T29" i="27"/>
  <c r="R7" i="27"/>
  <c r="R15" i="27"/>
  <c r="R23" i="27"/>
  <c r="R31" i="27"/>
  <c r="W5" i="9"/>
  <c r="V4" i="27"/>
  <c r="R8" i="27"/>
  <c r="T21" i="9"/>
  <c r="R14" i="9"/>
  <c r="T14" i="9"/>
  <c r="V14" i="9"/>
  <c r="R18" i="9"/>
  <c r="T18" i="9"/>
  <c r="V18" i="9"/>
  <c r="V3" i="9"/>
  <c r="R3" i="9"/>
  <c r="T3" i="9"/>
  <c r="R23" i="9"/>
  <c r="T2" i="9"/>
  <c r="R2" i="9"/>
  <c r="R6" i="9"/>
  <c r="A3" i="14"/>
  <c r="W20" i="9" s="1"/>
  <c r="A6" i="14"/>
  <c r="A7" i="14"/>
  <c r="Q7" i="9" s="1"/>
  <c r="A8" i="14"/>
  <c r="A10" i="14"/>
  <c r="T11" i="9" s="1"/>
  <c r="N2" i="9"/>
  <c r="N4" i="9"/>
  <c r="N6" i="9"/>
  <c r="N22" i="9"/>
  <c r="N23" i="9"/>
  <c r="K4" i="9"/>
  <c r="M4" i="9" s="1"/>
  <c r="M6" i="9"/>
  <c r="K22" i="9"/>
  <c r="M22" i="9" s="1"/>
  <c r="K23" i="9"/>
  <c r="M23" i="9" s="1"/>
  <c r="M2" i="9"/>
  <c r="U27" i="9" l="1"/>
  <c r="S20" i="9"/>
  <c r="P27" i="9"/>
  <c r="T27" i="9"/>
  <c r="P26" i="9"/>
  <c r="X26" i="9" s="1"/>
  <c r="Q20" i="9"/>
  <c r="Y20" i="9" s="1"/>
  <c r="R27" i="9"/>
  <c r="X27" i="9" s="1"/>
  <c r="P20" i="9"/>
  <c r="T20" i="9"/>
  <c r="R20" i="9"/>
  <c r="Q26" i="9"/>
  <c r="Y26" i="9" s="1"/>
  <c r="W27" i="9"/>
  <c r="S27" i="9"/>
  <c r="Y27" i="9" s="1"/>
  <c r="Q27" i="9"/>
  <c r="W16" i="9"/>
  <c r="V20" i="9"/>
  <c r="U20" i="9"/>
  <c r="V27" i="9"/>
  <c r="R11" i="9"/>
  <c r="U16" i="9"/>
  <c r="P19" i="9"/>
  <c r="X19" i="9" s="1"/>
  <c r="P11" i="9"/>
  <c r="W7" i="9"/>
  <c r="R16" i="9"/>
  <c r="U7" i="9"/>
  <c r="V11" i="9"/>
  <c r="T7" i="9"/>
  <c r="P16" i="9"/>
  <c r="S16" i="9"/>
  <c r="S11" i="9"/>
  <c r="R7" i="9"/>
  <c r="V16" i="9"/>
  <c r="T16" i="9"/>
  <c r="Q19" i="9"/>
  <c r="Y19" i="9" s="1"/>
  <c r="Q11" i="9"/>
  <c r="P7" i="9"/>
  <c r="V7" i="9"/>
  <c r="Q16" i="9"/>
  <c r="W11" i="9"/>
  <c r="U11" i="9"/>
  <c r="S7" i="9"/>
  <c r="U12" i="9"/>
  <c r="Q12" i="9"/>
  <c r="P17" i="9"/>
  <c r="X17" i="9" s="1"/>
  <c r="Q17" i="9"/>
  <c r="Y17" i="9" s="1"/>
  <c r="O4" i="9"/>
  <c r="O2" i="9"/>
  <c r="P10" i="9"/>
  <c r="X10" i="9" s="1"/>
  <c r="R12" i="9"/>
  <c r="P12" i="9"/>
  <c r="Q10" i="9"/>
  <c r="Y10" i="9" s="1"/>
  <c r="T12" i="9"/>
  <c r="S12" i="9"/>
  <c r="O6" i="9"/>
  <c r="O23" i="9"/>
  <c r="O22" i="9"/>
  <c r="P15" i="9"/>
  <c r="X15" i="9" s="1"/>
  <c r="AB15" i="9" s="1"/>
  <c r="Q15" i="9"/>
  <c r="Y15" i="9" s="1"/>
  <c r="Q13" i="9"/>
  <c r="Y13" i="9" s="1"/>
  <c r="P9" i="9"/>
  <c r="X9" i="9" s="1"/>
  <c r="AB9" i="9" s="1"/>
  <c r="Q9" i="9"/>
  <c r="Y9" i="9" s="1"/>
  <c r="P3" i="27"/>
  <c r="P13" i="9"/>
  <c r="X13" i="9" s="1"/>
  <c r="AB13" i="9" s="1"/>
  <c r="P7" i="27"/>
  <c r="X7" i="27" s="1"/>
  <c r="P14" i="27"/>
  <c r="X14" i="27" s="1"/>
  <c r="P5" i="27"/>
  <c r="X5" i="27" s="1"/>
  <c r="P10" i="27"/>
  <c r="X10" i="27" s="1"/>
  <c r="P18" i="27"/>
  <c r="X18" i="27" s="1"/>
  <c r="P4" i="27"/>
  <c r="X4" i="27" s="1"/>
  <c r="Q21" i="9"/>
  <c r="P2" i="27"/>
  <c r="X2" i="27" s="1"/>
  <c r="P26" i="27"/>
  <c r="X26" i="27" s="1"/>
  <c r="P20" i="27"/>
  <c r="X20" i="27" s="1"/>
  <c r="Q5" i="9"/>
  <c r="P25" i="9"/>
  <c r="X25" i="9" s="1"/>
  <c r="AB25" i="9" s="1"/>
  <c r="P25" i="27"/>
  <c r="X25" i="27" s="1"/>
  <c r="Q3" i="9"/>
  <c r="Y3" i="9" s="1"/>
  <c r="P24" i="27"/>
  <c r="X24" i="27" s="1"/>
  <c r="Q23" i="9"/>
  <c r="Y23" i="9" s="1"/>
  <c r="Q6" i="9"/>
  <c r="Y6" i="9" s="1"/>
  <c r="P27" i="27"/>
  <c r="X27" i="27" s="1"/>
  <c r="Q24" i="9"/>
  <c r="Y24" i="9" s="1"/>
  <c r="P17" i="27"/>
  <c r="X17" i="27" s="1"/>
  <c r="P16" i="27"/>
  <c r="X16" i="27" s="1"/>
  <c r="Q2" i="9"/>
  <c r="Y2" i="9" s="1"/>
  <c r="P31" i="27"/>
  <c r="X31" i="27" s="1"/>
  <c r="Q22" i="9"/>
  <c r="Q4" i="9"/>
  <c r="X3" i="27"/>
  <c r="P8" i="9"/>
  <c r="X8" i="9" s="1"/>
  <c r="AB8" i="9" s="1"/>
  <c r="Q8" i="9"/>
  <c r="Y8" i="9" s="1"/>
  <c r="S22" i="9"/>
  <c r="P19" i="27"/>
  <c r="X19" i="27" s="1"/>
  <c r="P24" i="9"/>
  <c r="X24" i="9" s="1"/>
  <c r="AB24" i="9" s="1"/>
  <c r="P13" i="27"/>
  <c r="X13" i="27" s="1"/>
  <c r="P6" i="27"/>
  <c r="X6" i="27" s="1"/>
  <c r="U5" i="9"/>
  <c r="Q25" i="9"/>
  <c r="Y25" i="9" s="1"/>
  <c r="P9" i="27"/>
  <c r="X9" i="27" s="1"/>
  <c r="P8" i="27"/>
  <c r="X8" i="27" s="1"/>
  <c r="S5" i="9"/>
  <c r="P23" i="27"/>
  <c r="X23" i="27" s="1"/>
  <c r="P30" i="27"/>
  <c r="X30" i="27" s="1"/>
  <c r="Q18" i="9"/>
  <c r="Y18" i="9" s="1"/>
  <c r="P29" i="27"/>
  <c r="X29" i="27" s="1"/>
  <c r="Q14" i="9"/>
  <c r="Y14" i="9" s="1"/>
  <c r="P28" i="27"/>
  <c r="X28" i="27" s="1"/>
  <c r="P11" i="27"/>
  <c r="X11" i="27" s="1"/>
  <c r="R21" i="9"/>
  <c r="P15" i="27"/>
  <c r="X15" i="27" s="1"/>
  <c r="S4" i="9"/>
  <c r="P22" i="27"/>
  <c r="X22" i="27" s="1"/>
  <c r="S21" i="9"/>
  <c r="P21" i="27"/>
  <c r="X21" i="27" s="1"/>
  <c r="P12" i="27"/>
  <c r="X12" i="27" s="1"/>
  <c r="Q30" i="27"/>
  <c r="O7" i="27"/>
  <c r="O15" i="27"/>
  <c r="O23" i="27"/>
  <c r="Q9" i="27"/>
  <c r="Q17" i="27"/>
  <c r="Q25" i="27"/>
  <c r="S11" i="27"/>
  <c r="S19" i="27"/>
  <c r="S27" i="27"/>
  <c r="U13" i="27"/>
  <c r="U21" i="27"/>
  <c r="O2" i="27"/>
  <c r="U4" i="27"/>
  <c r="U5" i="27"/>
  <c r="Q31" i="27"/>
  <c r="O8" i="27"/>
  <c r="O16" i="27"/>
  <c r="O24" i="27"/>
  <c r="Q10" i="27"/>
  <c r="Q18" i="27"/>
  <c r="Q26" i="27"/>
  <c r="S12" i="27"/>
  <c r="S20" i="27"/>
  <c r="S28" i="27"/>
  <c r="U14" i="27"/>
  <c r="U22" i="27"/>
  <c r="O3" i="27"/>
  <c r="S29" i="27"/>
  <c r="O9" i="27"/>
  <c r="O17" i="27"/>
  <c r="O25" i="27"/>
  <c r="Q11" i="27"/>
  <c r="Q19" i="27"/>
  <c r="Q27" i="27"/>
  <c r="S13" i="27"/>
  <c r="S21" i="27"/>
  <c r="U7" i="27"/>
  <c r="U15" i="27"/>
  <c r="U23" i="27"/>
  <c r="O4" i="27"/>
  <c r="S30" i="27"/>
  <c r="O10" i="27"/>
  <c r="O18" i="27"/>
  <c r="O26" i="27"/>
  <c r="Q12" i="27"/>
  <c r="Q20" i="27"/>
  <c r="Q28" i="27"/>
  <c r="S14" i="27"/>
  <c r="S22" i="27"/>
  <c r="U8" i="27"/>
  <c r="U16" i="27"/>
  <c r="U24" i="27"/>
  <c r="O5" i="27"/>
  <c r="S3" i="27"/>
  <c r="U6" i="27"/>
  <c r="S4" i="27"/>
  <c r="O29" i="27"/>
  <c r="S31" i="27"/>
  <c r="O11" i="27"/>
  <c r="O19" i="27"/>
  <c r="O27" i="27"/>
  <c r="Q13" i="27"/>
  <c r="Q21" i="27"/>
  <c r="S7" i="27"/>
  <c r="S15" i="27"/>
  <c r="S23" i="27"/>
  <c r="U9" i="27"/>
  <c r="U17" i="27"/>
  <c r="U25" i="27"/>
  <c r="O6" i="27"/>
  <c r="S5" i="27"/>
  <c r="O30" i="27"/>
  <c r="U29" i="27"/>
  <c r="O12" i="27"/>
  <c r="O20" i="27"/>
  <c r="O28" i="27"/>
  <c r="Q14" i="27"/>
  <c r="Q22" i="27"/>
  <c r="S8" i="27"/>
  <c r="S16" i="27"/>
  <c r="S24" i="27"/>
  <c r="U10" i="27"/>
  <c r="U18" i="27"/>
  <c r="U26" i="27"/>
  <c r="Q2" i="27"/>
  <c r="O31" i="27"/>
  <c r="U30" i="27"/>
  <c r="O13" i="27"/>
  <c r="O21" i="27"/>
  <c r="Q7" i="27"/>
  <c r="Q15" i="27"/>
  <c r="Q23" i="27"/>
  <c r="S9" i="27"/>
  <c r="S17" i="27"/>
  <c r="S25" i="27"/>
  <c r="U11" i="27"/>
  <c r="U19" i="27"/>
  <c r="U27" i="27"/>
  <c r="Q3" i="27"/>
  <c r="S6" i="27"/>
  <c r="Q29" i="27"/>
  <c r="U31" i="27"/>
  <c r="O14" i="27"/>
  <c r="O22" i="27"/>
  <c r="Q8" i="27"/>
  <c r="Q16" i="27"/>
  <c r="Q24" i="27"/>
  <c r="S10" i="27"/>
  <c r="S18" i="27"/>
  <c r="S26" i="27"/>
  <c r="U12" i="27"/>
  <c r="U20" i="27"/>
  <c r="U28" i="27"/>
  <c r="Q4" i="27"/>
  <c r="U2" i="27"/>
  <c r="Q5" i="27"/>
  <c r="U3" i="27"/>
  <c r="Q6" i="27"/>
  <c r="S2" i="27"/>
  <c r="P21" i="9"/>
  <c r="V21" i="9"/>
  <c r="P14" i="9"/>
  <c r="P18" i="9"/>
  <c r="R5" i="9"/>
  <c r="T5" i="9"/>
  <c r="V5" i="9"/>
  <c r="P3" i="9"/>
  <c r="P5" i="9"/>
  <c r="P2" i="9"/>
  <c r="V2" i="9"/>
  <c r="R4" i="9"/>
  <c r="P22" i="9"/>
  <c r="P6" i="9"/>
  <c r="P4" i="9"/>
  <c r="R22" i="9"/>
  <c r="P23" i="9"/>
  <c r="T22" i="9"/>
  <c r="V4" i="9"/>
  <c r="T23" i="9"/>
  <c r="V6" i="9"/>
  <c r="T6" i="9"/>
  <c r="V22" i="9"/>
  <c r="V23" i="9"/>
  <c r="T4" i="9"/>
  <c r="X20" i="9" l="1"/>
  <c r="Z27" i="9"/>
  <c r="AC27" i="9" s="1"/>
  <c r="AB27" i="9"/>
  <c r="Z26" i="9"/>
  <c r="AC26" i="9" s="1"/>
  <c r="AB26" i="9"/>
  <c r="Y7" i="9"/>
  <c r="Y16" i="9"/>
  <c r="X11" i="9"/>
  <c r="AB11" i="9" s="1"/>
  <c r="Z19" i="9"/>
  <c r="AC19" i="9" s="1"/>
  <c r="AB19" i="9"/>
  <c r="X7" i="9"/>
  <c r="X16" i="9"/>
  <c r="Y11" i="9"/>
  <c r="Y12" i="9"/>
  <c r="AB17" i="9"/>
  <c r="Z17" i="9"/>
  <c r="AC17" i="9" s="1"/>
  <c r="X12" i="9"/>
  <c r="W22" i="27"/>
  <c r="Y22" i="27" s="1"/>
  <c r="Z22" i="27" s="1"/>
  <c r="AB22" i="27" s="1"/>
  <c r="W13" i="27"/>
  <c r="Y13" i="27" s="1"/>
  <c r="Z13" i="27" s="1"/>
  <c r="AB13" i="27" s="1"/>
  <c r="Z10" i="9"/>
  <c r="AC10" i="9" s="1"/>
  <c r="AB10" i="9"/>
  <c r="Z9" i="9"/>
  <c r="AC9" i="9" s="1"/>
  <c r="Z15" i="9"/>
  <c r="AC15" i="9" s="1"/>
  <c r="W30" i="27"/>
  <c r="Y30" i="27" s="1"/>
  <c r="Z30" i="27" s="1"/>
  <c r="AB30" i="27" s="1"/>
  <c r="Z13" i="9"/>
  <c r="AC13" i="9" s="1"/>
  <c r="Y21" i="9"/>
  <c r="Z8" i="9"/>
  <c r="AC8" i="9" s="1"/>
  <c r="Z25" i="9"/>
  <c r="AC25" i="9" s="1"/>
  <c r="Y5" i="9"/>
  <c r="Y4" i="9"/>
  <c r="W14" i="27"/>
  <c r="Y22" i="9"/>
  <c r="Z24" i="9"/>
  <c r="AC24" i="9" s="1"/>
  <c r="W21" i="27"/>
  <c r="X4" i="9"/>
  <c r="AB4" i="9" s="1"/>
  <c r="X21" i="9"/>
  <c r="AB21" i="9" s="1"/>
  <c r="X3" i="9"/>
  <c r="AB3" i="9" s="1"/>
  <c r="X6" i="9"/>
  <c r="AB6" i="9" s="1"/>
  <c r="X18" i="9"/>
  <c r="AB18" i="9" s="1"/>
  <c r="X22" i="9"/>
  <c r="AB22" i="9" s="1"/>
  <c r="X14" i="9"/>
  <c r="AB14" i="9" s="1"/>
  <c r="X2" i="9"/>
  <c r="AB2" i="9" s="1"/>
  <c r="X23" i="9"/>
  <c r="AB23" i="9" s="1"/>
  <c r="X5" i="9"/>
  <c r="AB5" i="9" s="1"/>
  <c r="W25" i="27"/>
  <c r="Y25" i="27" s="1"/>
  <c r="Z25" i="27" s="1"/>
  <c r="AB25" i="27" s="1"/>
  <c r="W31" i="27"/>
  <c r="Y31" i="27" s="1"/>
  <c r="Z31" i="27" s="1"/>
  <c r="AB31" i="27" s="1"/>
  <c r="W6" i="27"/>
  <c r="Y6" i="27" s="1"/>
  <c r="Z6" i="27" s="1"/>
  <c r="AB6" i="27" s="1"/>
  <c r="W17" i="27"/>
  <c r="W27" i="27"/>
  <c r="Y27" i="27" s="1"/>
  <c r="Z27" i="27" s="1"/>
  <c r="AB27" i="27" s="1"/>
  <c r="W5" i="27"/>
  <c r="W9" i="27"/>
  <c r="Y9" i="27" s="1"/>
  <c r="Z9" i="27" s="1"/>
  <c r="AB9" i="27" s="1"/>
  <c r="W28" i="27"/>
  <c r="Y28" i="27" s="1"/>
  <c r="Z28" i="27" s="1"/>
  <c r="AB28" i="27" s="1"/>
  <c r="W19" i="27"/>
  <c r="Y19" i="27" s="1"/>
  <c r="Z19" i="27" s="1"/>
  <c r="AB19" i="27" s="1"/>
  <c r="W26" i="27"/>
  <c r="Y26" i="27" s="1"/>
  <c r="Z26" i="27" s="1"/>
  <c r="AB26" i="27" s="1"/>
  <c r="W2" i="27"/>
  <c r="Y2" i="27" s="1"/>
  <c r="Z2" i="27" s="1"/>
  <c r="AB2" i="27" s="1"/>
  <c r="W20" i="27"/>
  <c r="Y20" i="27" s="1"/>
  <c r="Z20" i="27" s="1"/>
  <c r="AB20" i="27" s="1"/>
  <c r="W11" i="27"/>
  <c r="Y11" i="27" s="1"/>
  <c r="Z11" i="27" s="1"/>
  <c r="AB11" i="27" s="1"/>
  <c r="W18" i="27"/>
  <c r="Y18" i="27" s="1"/>
  <c r="Z18" i="27" s="1"/>
  <c r="AB18" i="27" s="1"/>
  <c r="W3" i="27"/>
  <c r="W23" i="27"/>
  <c r="Y23" i="27" s="1"/>
  <c r="Z23" i="27" s="1"/>
  <c r="AB23" i="27" s="1"/>
  <c r="W12" i="27"/>
  <c r="Y12" i="27" s="1"/>
  <c r="Z12" i="27" s="1"/>
  <c r="AB12" i="27" s="1"/>
  <c r="W10" i="27"/>
  <c r="Y10" i="27" s="1"/>
  <c r="Z10" i="27" s="1"/>
  <c r="AB10" i="27" s="1"/>
  <c r="W24" i="27"/>
  <c r="Y24" i="27" s="1"/>
  <c r="Z24" i="27" s="1"/>
  <c r="AB24" i="27" s="1"/>
  <c r="W15" i="27"/>
  <c r="Y15" i="27" s="1"/>
  <c r="Z15" i="27" s="1"/>
  <c r="AB15" i="27" s="1"/>
  <c r="W29" i="27"/>
  <c r="Y29" i="27" s="1"/>
  <c r="Z29" i="27" s="1"/>
  <c r="AB29" i="27" s="1"/>
  <c r="W16" i="27"/>
  <c r="Y16" i="27" s="1"/>
  <c r="Z16" i="27" s="1"/>
  <c r="AB16" i="27" s="1"/>
  <c r="W7" i="27"/>
  <c r="Y7" i="27" s="1"/>
  <c r="Z7" i="27" s="1"/>
  <c r="AB7" i="27" s="1"/>
  <c r="W4" i="27"/>
  <c r="W8" i="27"/>
  <c r="Y8" i="27" s="1"/>
  <c r="Z8" i="27" s="1"/>
  <c r="AB8" i="27" s="1"/>
  <c r="Y21" i="27"/>
  <c r="Z21" i="27" s="1"/>
  <c r="AB21" i="27" s="1"/>
  <c r="Y14" i="27"/>
  <c r="Z14" i="27" s="1"/>
  <c r="AB14" i="27" s="1"/>
  <c r="Y17" i="27"/>
  <c r="Z17" i="27" s="1"/>
  <c r="AB17" i="27" s="1"/>
  <c r="Y5" i="27"/>
  <c r="Z5" i="27" s="1"/>
  <c r="AB5" i="27" s="1"/>
  <c r="Y3" i="27"/>
  <c r="Z3" i="27" s="1"/>
  <c r="AB3" i="27" s="1"/>
  <c r="Y4" i="27"/>
  <c r="Z4" i="27" s="1"/>
  <c r="AB4" i="27" s="1"/>
  <c r="I2" i="15"/>
  <c r="Z11" i="9" l="1"/>
  <c r="AC11" i="9" s="1"/>
  <c r="Z20" i="9"/>
  <c r="AC20" i="9" s="1"/>
  <c r="AB20" i="9"/>
  <c r="AB16" i="9"/>
  <c r="Z16" i="9"/>
  <c r="AC16" i="9" s="1"/>
  <c r="AB7" i="9"/>
  <c r="Z7" i="9"/>
  <c r="AC7" i="9" s="1"/>
  <c r="Z12" i="9"/>
  <c r="AC12" i="9" s="1"/>
  <c r="AB12" i="9"/>
  <c r="Z5" i="9"/>
  <c r="AC5" i="9" s="1"/>
  <c r="Z23" i="9"/>
  <c r="AC23" i="9" s="1"/>
  <c r="Z2" i="9"/>
  <c r="AC2" i="9" s="1"/>
  <c r="Z6" i="9"/>
  <c r="AC6" i="9" s="1"/>
  <c r="Z3" i="9"/>
  <c r="AC3" i="9" s="1"/>
  <c r="Z21" i="9"/>
  <c r="AC21" i="9" s="1"/>
  <c r="Z4" i="9"/>
  <c r="AC4" i="9" s="1"/>
  <c r="Z22" i="9"/>
  <c r="AC22" i="9" s="1"/>
  <c r="Z14" i="9"/>
  <c r="AC14" i="9" s="1"/>
  <c r="Z18" i="9"/>
  <c r="AC18" i="9" s="1"/>
  <c r="A5" i="2"/>
  <c r="A40" i="2"/>
  <c r="G957" i="4" s="1"/>
  <c r="A29" i="2"/>
  <c r="G950" i="4" s="1"/>
  <c r="A2" i="2"/>
  <c r="A25" i="2"/>
  <c r="A41" i="2"/>
  <c r="A33" i="2"/>
  <c r="A26" i="2"/>
  <c r="A10" i="2"/>
  <c r="A31" i="2"/>
  <c r="G951" i="4" s="1"/>
  <c r="A4" i="2"/>
  <c r="A14" i="2"/>
  <c r="A11" i="2"/>
  <c r="A8" i="2"/>
  <c r="A17" i="2"/>
  <c r="A3" i="2"/>
  <c r="A9" i="2"/>
  <c r="G956" i="4" s="1"/>
  <c r="G946" i="4" l="1"/>
  <c r="G945" i="4"/>
  <c r="G948" i="4"/>
  <c r="G947" i="4"/>
  <c r="I951" i="4"/>
  <c r="J951" i="4"/>
  <c r="A951" i="4" s="1"/>
  <c r="J957" i="4"/>
  <c r="A957" i="4" s="1"/>
  <c r="I957" i="4"/>
  <c r="I950" i="4"/>
  <c r="J950" i="4"/>
  <c r="A950" i="4" s="1"/>
  <c r="G704" i="4"/>
  <c r="G927" i="4"/>
  <c r="G866" i="4"/>
  <c r="G953" i="4"/>
  <c r="G842" i="4"/>
  <c r="G952" i="4"/>
  <c r="I956" i="4"/>
  <c r="J956" i="4"/>
  <c r="A956" i="4" s="1"/>
  <c r="G873" i="4"/>
  <c r="G875" i="4"/>
  <c r="G874" i="4"/>
  <c r="G876" i="4"/>
  <c r="G789" i="4"/>
  <c r="G791" i="4"/>
  <c r="G792" i="4"/>
  <c r="G790" i="4"/>
  <c r="G905" i="4"/>
  <c r="G860" i="4"/>
  <c r="G923" i="4"/>
  <c r="G865" i="4"/>
  <c r="G907" i="4"/>
  <c r="G812" i="4"/>
  <c r="G825" i="4"/>
  <c r="G838" i="4"/>
  <c r="G862" i="4"/>
  <c r="G835" i="4"/>
  <c r="G919" i="4"/>
  <c r="G828" i="4"/>
  <c r="G811" i="4"/>
  <c r="G895" i="4"/>
  <c r="G824" i="4"/>
  <c r="G897" i="4"/>
  <c r="G909" i="4"/>
  <c r="G813" i="4"/>
  <c r="G921" i="4"/>
  <c r="G819" i="4"/>
  <c r="G841" i="4"/>
  <c r="G924" i="4"/>
  <c r="G831" i="4"/>
  <c r="G832" i="4"/>
  <c r="G915" i="4"/>
  <c r="G827" i="4"/>
  <c r="G840" i="4"/>
  <c r="G904" i="4"/>
  <c r="G916" i="4"/>
  <c r="G814" i="4"/>
  <c r="G839" i="4"/>
  <c r="G902" i="4"/>
  <c r="G913" i="4"/>
  <c r="G818" i="4"/>
  <c r="G834" i="4"/>
  <c r="G912" i="4"/>
  <c r="G807" i="4"/>
  <c r="G898" i="4"/>
  <c r="G918" i="4"/>
  <c r="G893" i="4"/>
  <c r="G899" i="4"/>
  <c r="G861" i="4"/>
  <c r="G830" i="4"/>
  <c r="G863" i="4"/>
  <c r="G823" i="4"/>
  <c r="G903" i="4"/>
  <c r="G816" i="4"/>
  <c r="G826" i="4"/>
  <c r="G822" i="4"/>
  <c r="G809" i="4"/>
  <c r="G910" i="4"/>
  <c r="G858" i="4"/>
  <c r="G837" i="4"/>
  <c r="G917" i="4"/>
  <c r="G906" i="4"/>
  <c r="G836" i="4"/>
  <c r="G911" i="4"/>
  <c r="G815" i="4"/>
  <c r="G920" i="4"/>
  <c r="G926" i="4"/>
  <c r="G896" i="4"/>
  <c r="G908" i="4"/>
  <c r="G894" i="4"/>
  <c r="G808" i="4"/>
  <c r="G891" i="4"/>
  <c r="G914" i="4"/>
  <c r="G925" i="4"/>
  <c r="G864" i="4"/>
  <c r="G922" i="4"/>
  <c r="G901" i="4"/>
  <c r="G821" i="4"/>
  <c r="G820" i="4"/>
  <c r="G810" i="4"/>
  <c r="G833" i="4"/>
  <c r="G829" i="4"/>
  <c r="G892" i="4"/>
  <c r="G859" i="4"/>
  <c r="G900" i="4"/>
  <c r="G817" i="4"/>
  <c r="G847" i="4"/>
  <c r="G867" i="4"/>
  <c r="G846" i="4"/>
  <c r="G872" i="4"/>
  <c r="G868" i="4"/>
  <c r="G845" i="4"/>
  <c r="G843" i="4"/>
  <c r="G930" i="4"/>
  <c r="G929" i="4"/>
  <c r="G933" i="4"/>
  <c r="G844" i="4"/>
  <c r="G931" i="4"/>
  <c r="G870" i="4"/>
  <c r="G932" i="4"/>
  <c r="G879" i="4"/>
  <c r="G869" i="4"/>
  <c r="G795" i="4"/>
  <c r="G794" i="4"/>
  <c r="G796" i="4"/>
  <c r="G878" i="4"/>
  <c r="G877" i="4"/>
  <c r="G880" i="4"/>
  <c r="G793" i="4"/>
  <c r="G786" i="4"/>
  <c r="G784" i="4"/>
  <c r="G778" i="4"/>
  <c r="G775" i="4"/>
  <c r="G780" i="4"/>
  <c r="G777" i="4"/>
  <c r="G782" i="4"/>
  <c r="G781" i="4"/>
  <c r="G776" i="4"/>
  <c r="G696" i="4"/>
  <c r="J696" i="4" s="1"/>
  <c r="A696" i="4" s="1"/>
  <c r="G666" i="4"/>
  <c r="G591" i="4"/>
  <c r="G521" i="4"/>
  <c r="G594" i="4"/>
  <c r="G668" i="4"/>
  <c r="G592" i="4"/>
  <c r="G523" i="4"/>
  <c r="G593" i="4"/>
  <c r="G669" i="4"/>
  <c r="G670" i="4"/>
  <c r="G680" i="4"/>
  <c r="G595" i="4"/>
  <c r="G590" i="4"/>
  <c r="G665" i="4"/>
  <c r="G518" i="4"/>
  <c r="G522" i="4"/>
  <c r="G667" i="4"/>
  <c r="G519" i="4"/>
  <c r="G520" i="4"/>
  <c r="G705" i="4"/>
  <c r="G682" i="4"/>
  <c r="G517" i="4"/>
  <c r="G703" i="4"/>
  <c r="G626" i="4"/>
  <c r="G554" i="4"/>
  <c r="G589" i="4"/>
  <c r="G664" i="4"/>
  <c r="I704" i="4"/>
  <c r="J704" i="4"/>
  <c r="A704" i="4" s="1"/>
  <c r="G683" i="4"/>
  <c r="I683" i="4" s="1"/>
  <c r="G698" i="4"/>
  <c r="G671" i="4"/>
  <c r="G672" i="4"/>
  <c r="G674" i="4"/>
  <c r="G673" i="4"/>
  <c r="G675" i="4"/>
  <c r="G678" i="4"/>
  <c r="G676" i="4"/>
  <c r="G677" i="4"/>
  <c r="G619" i="4"/>
  <c r="G598" i="4"/>
  <c r="G547" i="4"/>
  <c r="G526" i="4"/>
  <c r="G627" i="4"/>
  <c r="G599" i="4"/>
  <c r="G600" i="4"/>
  <c r="G601" i="4"/>
  <c r="G602" i="4"/>
  <c r="G603" i="4"/>
  <c r="G604" i="4"/>
  <c r="G605" i="4"/>
  <c r="G555" i="4"/>
  <c r="G530" i="4"/>
  <c r="G529" i="4"/>
  <c r="G528" i="4"/>
  <c r="G527" i="4"/>
  <c r="G533" i="4"/>
  <c r="G532" i="4"/>
  <c r="G531" i="4"/>
  <c r="G596" i="4"/>
  <c r="G597" i="4"/>
  <c r="G525" i="4"/>
  <c r="G524" i="4"/>
  <c r="G621" i="4"/>
  <c r="G606" i="4"/>
  <c r="G549" i="4"/>
  <c r="G534" i="4"/>
  <c r="G628" i="4"/>
  <c r="G475" i="4"/>
  <c r="G477" i="4"/>
  <c r="G482" i="4"/>
  <c r="G483" i="4"/>
  <c r="G446" i="4"/>
  <c r="G448" i="4"/>
  <c r="G405" i="4"/>
  <c r="G455" i="4"/>
  <c r="G457" i="4"/>
  <c r="G450" i="4"/>
  <c r="G453" i="4"/>
  <c r="G413" i="4"/>
  <c r="G407" i="4"/>
  <c r="G454" i="4"/>
  <c r="G447" i="4"/>
  <c r="G452" i="4"/>
  <c r="G462" i="4"/>
  <c r="G460" i="4"/>
  <c r="G456" i="4"/>
  <c r="G459" i="4"/>
  <c r="G449" i="4"/>
  <c r="G461" i="4"/>
  <c r="G458" i="4"/>
  <c r="G412" i="4"/>
  <c r="G380" i="4"/>
  <c r="G388" i="4"/>
  <c r="G384" i="4"/>
  <c r="G385" i="4"/>
  <c r="G381" i="4"/>
  <c r="G389" i="4"/>
  <c r="G390" i="4"/>
  <c r="G377" i="4"/>
  <c r="G383" i="4"/>
  <c r="G391" i="4"/>
  <c r="G386" i="4"/>
  <c r="G392" i="4"/>
  <c r="G324" i="4"/>
  <c r="G322" i="4"/>
  <c r="G320" i="4"/>
  <c r="G339" i="4"/>
  <c r="G259" i="4"/>
  <c r="G264" i="4"/>
  <c r="G346" i="4"/>
  <c r="G263" i="4"/>
  <c r="G326" i="4"/>
  <c r="G341" i="4"/>
  <c r="G266" i="4"/>
  <c r="G267" i="4"/>
  <c r="G270" i="4"/>
  <c r="G265" i="4"/>
  <c r="G260" i="4"/>
  <c r="G318" i="4"/>
  <c r="G325" i="4"/>
  <c r="G261" i="4"/>
  <c r="G317" i="4"/>
  <c r="G321" i="4"/>
  <c r="G327" i="4"/>
  <c r="G319" i="4"/>
  <c r="G283" i="4"/>
  <c r="G269" i="4"/>
  <c r="G323" i="4"/>
  <c r="G262" i="4"/>
  <c r="G281" i="4"/>
  <c r="G328" i="4"/>
  <c r="G268" i="4"/>
  <c r="G223" i="4"/>
  <c r="G225" i="4"/>
  <c r="G168" i="4"/>
  <c r="G167" i="4"/>
  <c r="G153" i="4"/>
  <c r="G22" i="4"/>
  <c r="G128" i="4"/>
  <c r="G158" i="4"/>
  <c r="G154" i="4"/>
  <c r="G157" i="4"/>
  <c r="G23" i="4"/>
  <c r="G129" i="4"/>
  <c r="G156" i="4"/>
  <c r="G20" i="4"/>
  <c r="G115" i="4"/>
  <c r="G121" i="4"/>
  <c r="G125" i="4"/>
  <c r="G152" i="4"/>
  <c r="G155" i="4"/>
  <c r="G151" i="4"/>
  <c r="G102" i="4"/>
  <c r="G21" i="4"/>
  <c r="G118" i="4"/>
  <c r="G127" i="4"/>
  <c r="G103" i="4"/>
  <c r="G94" i="4"/>
  <c r="A44" i="2"/>
  <c r="G788" i="4" s="1"/>
  <c r="A43" i="2"/>
  <c r="G850" i="4" s="1"/>
  <c r="A13" i="2"/>
  <c r="A15" i="2"/>
  <c r="A21" i="2"/>
  <c r="G944" i="4" s="1"/>
  <c r="I952" i="4" l="1"/>
  <c r="J952" i="4"/>
  <c r="A952" i="4" s="1"/>
  <c r="J842" i="4"/>
  <c r="A842" i="4" s="1"/>
  <c r="I842" i="4"/>
  <c r="G941" i="4"/>
  <c r="G940" i="4"/>
  <c r="G942" i="4"/>
  <c r="I953" i="4"/>
  <c r="J953" i="4"/>
  <c r="A953" i="4" s="1"/>
  <c r="I866" i="4"/>
  <c r="J866" i="4"/>
  <c r="A866" i="4" s="1"/>
  <c r="G732" i="4"/>
  <c r="G958" i="4"/>
  <c r="I927" i="4"/>
  <c r="J927" i="4"/>
  <c r="A927" i="4" s="1"/>
  <c r="I947" i="4"/>
  <c r="J947" i="4"/>
  <c r="A947" i="4" s="1"/>
  <c r="J948" i="4"/>
  <c r="A948" i="4" s="1"/>
  <c r="I948" i="4"/>
  <c r="I945" i="4"/>
  <c r="J945" i="4"/>
  <c r="A945" i="4" s="1"/>
  <c r="I944" i="4"/>
  <c r="J944" i="4"/>
  <c r="A944" i="4" s="1"/>
  <c r="I946" i="4"/>
  <c r="J946" i="4"/>
  <c r="A946" i="4" s="1"/>
  <c r="J877" i="4"/>
  <c r="A877" i="4" s="1"/>
  <c r="I877" i="4"/>
  <c r="G658" i="4"/>
  <c r="G854" i="4"/>
  <c r="G799" i="4"/>
  <c r="G884" i="4"/>
  <c r="G800" i="4"/>
  <c r="G882" i="4"/>
  <c r="G853" i="4"/>
  <c r="G798" i="4"/>
  <c r="G883" i="4"/>
  <c r="G885" i="4"/>
  <c r="G855" i="4"/>
  <c r="G801" i="4"/>
  <c r="J878" i="4"/>
  <c r="A878" i="4" s="1"/>
  <c r="I878" i="4"/>
  <c r="G871" i="4"/>
  <c r="G851" i="4"/>
  <c r="G935" i="4"/>
  <c r="G928" i="4"/>
  <c r="I820" i="4"/>
  <c r="J820" i="4"/>
  <c r="A820" i="4" s="1"/>
  <c r="I808" i="4"/>
  <c r="J808" i="4"/>
  <c r="A808" i="4" s="1"/>
  <c r="I836" i="4"/>
  <c r="J836" i="4"/>
  <c r="A836" i="4" s="1"/>
  <c r="J826" i="4"/>
  <c r="A826" i="4" s="1"/>
  <c r="I826" i="4"/>
  <c r="J893" i="4"/>
  <c r="A893" i="4" s="1"/>
  <c r="I893" i="4"/>
  <c r="J902" i="4"/>
  <c r="A902" i="4" s="1"/>
  <c r="I902" i="4"/>
  <c r="J832" i="4"/>
  <c r="A832" i="4" s="1"/>
  <c r="I832" i="4"/>
  <c r="I897" i="4"/>
  <c r="J897" i="4"/>
  <c r="A897" i="4" s="1"/>
  <c r="I838" i="4"/>
  <c r="J838" i="4"/>
  <c r="A838" i="4" s="1"/>
  <c r="J790" i="4"/>
  <c r="A790" i="4" s="1"/>
  <c r="I790" i="4"/>
  <c r="G803" i="4"/>
  <c r="G889" i="4"/>
  <c r="G805" i="4"/>
  <c r="G890" i="4"/>
  <c r="G888" i="4"/>
  <c r="G886" i="4"/>
  <c r="G802" i="4"/>
  <c r="G804" i="4"/>
  <c r="G857" i="4"/>
  <c r="G887" i="4"/>
  <c r="G806" i="4"/>
  <c r="G797" i="4"/>
  <c r="G881" i="4"/>
  <c r="J796" i="4"/>
  <c r="A796" i="4" s="1"/>
  <c r="I796" i="4"/>
  <c r="I931" i="4"/>
  <c r="J931" i="4"/>
  <c r="A931" i="4" s="1"/>
  <c r="J845" i="4"/>
  <c r="A845" i="4" s="1"/>
  <c r="I845" i="4"/>
  <c r="G937" i="4"/>
  <c r="J900" i="4"/>
  <c r="A900" i="4" s="1"/>
  <c r="I900" i="4"/>
  <c r="I821" i="4"/>
  <c r="J821" i="4"/>
  <c r="A821" i="4" s="1"/>
  <c r="I894" i="4"/>
  <c r="J894" i="4"/>
  <c r="A894" i="4" s="1"/>
  <c r="I906" i="4"/>
  <c r="J906" i="4"/>
  <c r="A906" i="4" s="1"/>
  <c r="I816" i="4"/>
  <c r="J816" i="4"/>
  <c r="A816" i="4" s="1"/>
  <c r="J918" i="4"/>
  <c r="A918" i="4" s="1"/>
  <c r="I918" i="4"/>
  <c r="J839" i="4"/>
  <c r="A839" i="4" s="1"/>
  <c r="I839" i="4"/>
  <c r="J831" i="4"/>
  <c r="A831" i="4" s="1"/>
  <c r="I831" i="4"/>
  <c r="J824" i="4"/>
  <c r="A824" i="4" s="1"/>
  <c r="I824" i="4"/>
  <c r="I825" i="4"/>
  <c r="J825" i="4"/>
  <c r="A825" i="4" s="1"/>
  <c r="I792" i="4"/>
  <c r="J792" i="4"/>
  <c r="A792" i="4" s="1"/>
  <c r="I794" i="4"/>
  <c r="J794" i="4"/>
  <c r="A794" i="4" s="1"/>
  <c r="J844" i="4"/>
  <c r="A844" i="4" s="1"/>
  <c r="I844" i="4"/>
  <c r="I850" i="4"/>
  <c r="J850" i="4"/>
  <c r="A850" i="4" s="1"/>
  <c r="G934" i="4"/>
  <c r="G939" i="4"/>
  <c r="I901" i="4"/>
  <c r="J901" i="4"/>
  <c r="A901" i="4" s="1"/>
  <c r="I908" i="4"/>
  <c r="J908" i="4"/>
  <c r="A908" i="4" s="1"/>
  <c r="I917" i="4"/>
  <c r="J917" i="4"/>
  <c r="A917" i="4" s="1"/>
  <c r="J903" i="4"/>
  <c r="A903" i="4" s="1"/>
  <c r="I903" i="4"/>
  <c r="I898" i="4"/>
  <c r="J898" i="4"/>
  <c r="A898" i="4" s="1"/>
  <c r="I814" i="4"/>
  <c r="J814" i="4"/>
  <c r="A814" i="4" s="1"/>
  <c r="I924" i="4"/>
  <c r="J924" i="4"/>
  <c r="A924" i="4" s="1"/>
  <c r="J895" i="4"/>
  <c r="A895" i="4" s="1"/>
  <c r="I895" i="4"/>
  <c r="I812" i="4"/>
  <c r="J812" i="4"/>
  <c r="A812" i="4" s="1"/>
  <c r="J791" i="4"/>
  <c r="A791" i="4" s="1"/>
  <c r="I791" i="4"/>
  <c r="J795" i="4"/>
  <c r="A795" i="4" s="1"/>
  <c r="I795" i="4"/>
  <c r="G852" i="4"/>
  <c r="G849" i="4"/>
  <c r="G848" i="4"/>
  <c r="J859" i="4"/>
  <c r="A859" i="4" s="1"/>
  <c r="I859" i="4"/>
  <c r="I922" i="4"/>
  <c r="J922" i="4"/>
  <c r="A922" i="4" s="1"/>
  <c r="J896" i="4"/>
  <c r="A896" i="4" s="1"/>
  <c r="I896" i="4"/>
  <c r="I837" i="4"/>
  <c r="J837" i="4"/>
  <c r="A837" i="4" s="1"/>
  <c r="J823" i="4"/>
  <c r="A823" i="4" s="1"/>
  <c r="I823" i="4"/>
  <c r="J807" i="4"/>
  <c r="A807" i="4" s="1"/>
  <c r="I807" i="4"/>
  <c r="I916" i="4"/>
  <c r="J916" i="4"/>
  <c r="A916" i="4" s="1"/>
  <c r="I841" i="4"/>
  <c r="J841" i="4"/>
  <c r="A841" i="4" s="1"/>
  <c r="J811" i="4"/>
  <c r="A811" i="4" s="1"/>
  <c r="I811" i="4"/>
  <c r="I907" i="4"/>
  <c r="J907" i="4"/>
  <c r="A907" i="4" s="1"/>
  <c r="J789" i="4"/>
  <c r="A789" i="4" s="1"/>
  <c r="I789" i="4"/>
  <c r="I869" i="4"/>
  <c r="J869" i="4"/>
  <c r="A869" i="4" s="1"/>
  <c r="I933" i="4"/>
  <c r="J933" i="4"/>
  <c r="A933" i="4" s="1"/>
  <c r="J868" i="4"/>
  <c r="A868" i="4" s="1"/>
  <c r="I868" i="4"/>
  <c r="I867" i="4"/>
  <c r="J867" i="4"/>
  <c r="A867" i="4" s="1"/>
  <c r="I892" i="4"/>
  <c r="J892" i="4"/>
  <c r="A892" i="4" s="1"/>
  <c r="I864" i="4"/>
  <c r="J864" i="4"/>
  <c r="A864" i="4" s="1"/>
  <c r="I926" i="4"/>
  <c r="J926" i="4"/>
  <c r="A926" i="4" s="1"/>
  <c r="J858" i="4"/>
  <c r="A858" i="4" s="1"/>
  <c r="I858" i="4"/>
  <c r="J863" i="4"/>
  <c r="A863" i="4" s="1"/>
  <c r="I863" i="4"/>
  <c r="J912" i="4"/>
  <c r="A912" i="4" s="1"/>
  <c r="I912" i="4"/>
  <c r="I904" i="4"/>
  <c r="J904" i="4"/>
  <c r="A904" i="4" s="1"/>
  <c r="I819" i="4"/>
  <c r="J819" i="4"/>
  <c r="A819" i="4" s="1"/>
  <c r="J828" i="4"/>
  <c r="A828" i="4" s="1"/>
  <c r="I828" i="4"/>
  <c r="I865" i="4"/>
  <c r="J865" i="4"/>
  <c r="A865" i="4" s="1"/>
  <c r="I876" i="4"/>
  <c r="J876" i="4"/>
  <c r="A876" i="4" s="1"/>
  <c r="J925" i="4"/>
  <c r="A925" i="4" s="1"/>
  <c r="I925" i="4"/>
  <c r="I920" i="4"/>
  <c r="J920" i="4"/>
  <c r="A920" i="4" s="1"/>
  <c r="I910" i="4"/>
  <c r="J910" i="4"/>
  <c r="A910" i="4" s="1"/>
  <c r="I830" i="4"/>
  <c r="J830" i="4"/>
  <c r="A830" i="4" s="1"/>
  <c r="I834" i="4"/>
  <c r="J834" i="4"/>
  <c r="A834" i="4" s="1"/>
  <c r="I840" i="4"/>
  <c r="J840" i="4"/>
  <c r="A840" i="4" s="1"/>
  <c r="I921" i="4"/>
  <c r="J921" i="4"/>
  <c r="A921" i="4" s="1"/>
  <c r="J919" i="4"/>
  <c r="A919" i="4" s="1"/>
  <c r="I919" i="4"/>
  <c r="I923" i="4"/>
  <c r="J923" i="4"/>
  <c r="A923" i="4" s="1"/>
  <c r="I874" i="4"/>
  <c r="J874" i="4"/>
  <c r="A874" i="4" s="1"/>
  <c r="I793" i="4"/>
  <c r="J793" i="4"/>
  <c r="A793" i="4" s="1"/>
  <c r="J879" i="4"/>
  <c r="A879" i="4" s="1"/>
  <c r="I879" i="4"/>
  <c r="J929" i="4"/>
  <c r="A929" i="4" s="1"/>
  <c r="I929" i="4"/>
  <c r="I872" i="4"/>
  <c r="J872" i="4"/>
  <c r="A872" i="4" s="1"/>
  <c r="J847" i="4"/>
  <c r="A847" i="4" s="1"/>
  <c r="I847" i="4"/>
  <c r="J829" i="4"/>
  <c r="A829" i="4" s="1"/>
  <c r="I829" i="4"/>
  <c r="J880" i="4"/>
  <c r="A880" i="4" s="1"/>
  <c r="I880" i="4"/>
  <c r="J932" i="4"/>
  <c r="A932" i="4" s="1"/>
  <c r="I932" i="4"/>
  <c r="I930" i="4"/>
  <c r="J930" i="4"/>
  <c r="A930" i="4" s="1"/>
  <c r="J846" i="4"/>
  <c r="A846" i="4" s="1"/>
  <c r="I846" i="4"/>
  <c r="G936" i="4"/>
  <c r="I833" i="4"/>
  <c r="J833" i="4"/>
  <c r="A833" i="4" s="1"/>
  <c r="I914" i="4"/>
  <c r="J914" i="4"/>
  <c r="A914" i="4" s="1"/>
  <c r="J815" i="4"/>
  <c r="A815" i="4" s="1"/>
  <c r="I815" i="4"/>
  <c r="I809" i="4"/>
  <c r="J809" i="4"/>
  <c r="A809" i="4" s="1"/>
  <c r="J861" i="4"/>
  <c r="A861" i="4" s="1"/>
  <c r="I861" i="4"/>
  <c r="I818" i="4"/>
  <c r="J818" i="4"/>
  <c r="A818" i="4" s="1"/>
  <c r="J827" i="4"/>
  <c r="A827" i="4" s="1"/>
  <c r="I827" i="4"/>
  <c r="J813" i="4"/>
  <c r="A813" i="4" s="1"/>
  <c r="I813" i="4"/>
  <c r="I835" i="4"/>
  <c r="J835" i="4"/>
  <c r="A835" i="4" s="1"/>
  <c r="J860" i="4"/>
  <c r="A860" i="4" s="1"/>
  <c r="I860" i="4"/>
  <c r="I875" i="4"/>
  <c r="J875" i="4"/>
  <c r="A875" i="4" s="1"/>
  <c r="J870" i="4"/>
  <c r="A870" i="4" s="1"/>
  <c r="I870" i="4"/>
  <c r="I843" i="4"/>
  <c r="J843" i="4"/>
  <c r="A843" i="4" s="1"/>
  <c r="G938" i="4"/>
  <c r="I817" i="4"/>
  <c r="J817" i="4"/>
  <c r="A817" i="4" s="1"/>
  <c r="J810" i="4"/>
  <c r="A810" i="4" s="1"/>
  <c r="I810" i="4"/>
  <c r="I891" i="4"/>
  <c r="J891" i="4"/>
  <c r="A891" i="4" s="1"/>
  <c r="J911" i="4"/>
  <c r="A911" i="4" s="1"/>
  <c r="I911" i="4"/>
  <c r="J822" i="4"/>
  <c r="A822" i="4" s="1"/>
  <c r="I822" i="4"/>
  <c r="I899" i="4"/>
  <c r="J899" i="4"/>
  <c r="A899" i="4" s="1"/>
  <c r="I913" i="4"/>
  <c r="J913" i="4"/>
  <c r="A913" i="4" s="1"/>
  <c r="I915" i="4"/>
  <c r="J915" i="4"/>
  <c r="A915" i="4" s="1"/>
  <c r="I909" i="4"/>
  <c r="J909" i="4"/>
  <c r="A909" i="4" s="1"/>
  <c r="I862" i="4"/>
  <c r="J862" i="4"/>
  <c r="A862" i="4" s="1"/>
  <c r="I905" i="4"/>
  <c r="J905" i="4"/>
  <c r="A905" i="4" s="1"/>
  <c r="J873" i="4"/>
  <c r="A873" i="4" s="1"/>
  <c r="I873" i="4"/>
  <c r="I696" i="4"/>
  <c r="I788" i="4"/>
  <c r="J788" i="4"/>
  <c r="A788" i="4" s="1"/>
  <c r="I777" i="4"/>
  <c r="J777" i="4"/>
  <c r="A777" i="4" s="1"/>
  <c r="J780" i="4"/>
  <c r="A780" i="4" s="1"/>
  <c r="I780" i="4"/>
  <c r="I775" i="4"/>
  <c r="J775" i="4"/>
  <c r="A775" i="4" s="1"/>
  <c r="G783" i="4"/>
  <c r="J778" i="4"/>
  <c r="A778" i="4" s="1"/>
  <c r="I778" i="4"/>
  <c r="G779" i="4"/>
  <c r="J784" i="4"/>
  <c r="A784" i="4" s="1"/>
  <c r="I784" i="4"/>
  <c r="J776" i="4"/>
  <c r="A776" i="4" s="1"/>
  <c r="I776" i="4"/>
  <c r="I786" i="4"/>
  <c r="J786" i="4"/>
  <c r="A786" i="4" s="1"/>
  <c r="I781" i="4"/>
  <c r="J781" i="4"/>
  <c r="A781" i="4" s="1"/>
  <c r="G787" i="4"/>
  <c r="G715" i="4"/>
  <c r="G785" i="4"/>
  <c r="G772" i="4"/>
  <c r="G770" i="4"/>
  <c r="G771" i="4"/>
  <c r="G774" i="4"/>
  <c r="G773" i="4"/>
  <c r="I782" i="4"/>
  <c r="J782" i="4"/>
  <c r="A782" i="4" s="1"/>
  <c r="G184" i="4"/>
  <c r="I184" i="4" s="1"/>
  <c r="G257" i="4"/>
  <c r="I257" i="4" s="1"/>
  <c r="G373" i="4"/>
  <c r="I373" i="4" s="1"/>
  <c r="G427" i="4"/>
  <c r="I427" i="4" s="1"/>
  <c r="G418" i="4"/>
  <c r="I418" i="4" s="1"/>
  <c r="G411" i="4"/>
  <c r="J411" i="4" s="1"/>
  <c r="A411" i="4" s="1"/>
  <c r="G486" i="4"/>
  <c r="I486" i="4" s="1"/>
  <c r="G558" i="4"/>
  <c r="I558" i="4" s="1"/>
  <c r="G625" i="4"/>
  <c r="J625" i="4" s="1"/>
  <c r="A625" i="4" s="1"/>
  <c r="G497" i="4"/>
  <c r="I497" i="4" s="1"/>
  <c r="G649" i="4"/>
  <c r="J649" i="4" s="1"/>
  <c r="A649" i="4" s="1"/>
  <c r="G578" i="4"/>
  <c r="I578" i="4" s="1"/>
  <c r="G506" i="4"/>
  <c r="J506" i="4" s="1"/>
  <c r="A506" i="4" s="1"/>
  <c r="G706" i="4"/>
  <c r="I706" i="4" s="1"/>
  <c r="G514" i="4"/>
  <c r="J514" i="4" s="1"/>
  <c r="A514" i="4" s="1"/>
  <c r="G766" i="4"/>
  <c r="I766" i="4" s="1"/>
  <c r="G123" i="4"/>
  <c r="I123" i="4" s="1"/>
  <c r="G19" i="4"/>
  <c r="I19" i="4" s="1"/>
  <c r="G222" i="4"/>
  <c r="I222" i="4" s="1"/>
  <c r="G253" i="4"/>
  <c r="I253" i="4" s="1"/>
  <c r="G256" i="4"/>
  <c r="J256" i="4" s="1"/>
  <c r="A256" i="4" s="1"/>
  <c r="G299" i="4"/>
  <c r="J299" i="4" s="1"/>
  <c r="A299" i="4" s="1"/>
  <c r="G375" i="4"/>
  <c r="I375" i="4" s="1"/>
  <c r="G428" i="4"/>
  <c r="J428" i="4" s="1"/>
  <c r="A428" i="4" s="1"/>
  <c r="G485" i="4"/>
  <c r="I485" i="4" s="1"/>
  <c r="G620" i="4"/>
  <c r="J620" i="4" s="1"/>
  <c r="A620" i="4" s="1"/>
  <c r="G440" i="4"/>
  <c r="I440" i="4" s="1"/>
  <c r="G584" i="4"/>
  <c r="J584" i="4" s="1"/>
  <c r="A584" i="4" s="1"/>
  <c r="G513" i="4"/>
  <c r="I513" i="4" s="1"/>
  <c r="G654" i="4"/>
  <c r="J654" i="4" s="1"/>
  <c r="A654" i="4" s="1"/>
  <c r="G633" i="4"/>
  <c r="J633" i="4" s="1"/>
  <c r="A633" i="4" s="1"/>
  <c r="G634" i="4"/>
  <c r="I634" i="4" s="1"/>
  <c r="G708" i="4"/>
  <c r="I708" i="4" s="1"/>
  <c r="G702" i="4"/>
  <c r="G314" i="4"/>
  <c r="J314" i="4" s="1"/>
  <c r="A314" i="4" s="1"/>
  <c r="G254" i="4"/>
  <c r="J254" i="4" s="1"/>
  <c r="A254" i="4" s="1"/>
  <c r="G338" i="4"/>
  <c r="I338" i="4" s="1"/>
  <c r="G359" i="4"/>
  <c r="J359" i="4" s="1"/>
  <c r="A359" i="4" s="1"/>
  <c r="G419" i="4"/>
  <c r="I419" i="4" s="1"/>
  <c r="G441" i="4"/>
  <c r="I441" i="4" s="1"/>
  <c r="G474" i="4"/>
  <c r="I474" i="4" s="1"/>
  <c r="G484" i="4"/>
  <c r="I484" i="4" s="1"/>
  <c r="G557" i="4"/>
  <c r="G512" i="4"/>
  <c r="G582" i="4"/>
  <c r="I582" i="4" s="1"/>
  <c r="G585" i="4"/>
  <c r="J585" i="4" s="1"/>
  <c r="A585" i="4" s="1"/>
  <c r="G579" i="4"/>
  <c r="J579" i="4" s="1"/>
  <c r="A579" i="4" s="1"/>
  <c r="G632" i="4"/>
  <c r="J632" i="4" s="1"/>
  <c r="A632" i="4" s="1"/>
  <c r="G642" i="4"/>
  <c r="J642" i="4" s="1"/>
  <c r="A642" i="4" s="1"/>
  <c r="G707" i="4"/>
  <c r="J707" i="4" s="1"/>
  <c r="A707" i="4" s="1"/>
  <c r="G130" i="4"/>
  <c r="J130" i="4" s="1"/>
  <c r="A130" i="4" s="1"/>
  <c r="G280" i="4"/>
  <c r="I280" i="4" s="1"/>
  <c r="G415" i="4"/>
  <c r="I415" i="4" s="1"/>
  <c r="G442" i="4"/>
  <c r="J442" i="4" s="1"/>
  <c r="A442" i="4" s="1"/>
  <c r="G443" i="4"/>
  <c r="J443" i="4" s="1"/>
  <c r="A443" i="4" s="1"/>
  <c r="G476" i="4"/>
  <c r="I476" i="4" s="1"/>
  <c r="G516" i="4"/>
  <c r="J516" i="4" s="1"/>
  <c r="A516" i="4" s="1"/>
  <c r="G510" i="4"/>
  <c r="I510" i="4" s="1"/>
  <c r="G581" i="4"/>
  <c r="I581" i="4" s="1"/>
  <c r="G438" i="4"/>
  <c r="I438" i="4" s="1"/>
  <c r="G641" i="4"/>
  <c r="I641" i="4" s="1"/>
  <c r="G631" i="4"/>
  <c r="I631" i="4" s="1"/>
  <c r="G630" i="4"/>
  <c r="J630" i="4" s="1"/>
  <c r="A630" i="4" s="1"/>
  <c r="G712" i="4"/>
  <c r="I712" i="4" s="1"/>
  <c r="G586" i="4"/>
  <c r="I586" i="4" s="1"/>
  <c r="G7" i="4"/>
  <c r="I7" i="4" s="1"/>
  <c r="G108" i="4"/>
  <c r="G122" i="4"/>
  <c r="G230" i="4"/>
  <c r="J230" i="4" s="1"/>
  <c r="A230" i="4" s="1"/>
  <c r="G313" i="4"/>
  <c r="J313" i="4" s="1"/>
  <c r="A313" i="4" s="1"/>
  <c r="G258" i="4"/>
  <c r="I258" i="4" s="1"/>
  <c r="G255" i="4"/>
  <c r="J255" i="4" s="1"/>
  <c r="A255" i="4" s="1"/>
  <c r="G371" i="4"/>
  <c r="J371" i="4" s="1"/>
  <c r="A371" i="4" s="1"/>
  <c r="G406" i="4"/>
  <c r="J406" i="4" s="1"/>
  <c r="A406" i="4" s="1"/>
  <c r="G404" i="4"/>
  <c r="I404" i="4" s="1"/>
  <c r="G426" i="4"/>
  <c r="G489" i="4"/>
  <c r="I489" i="4" s="1"/>
  <c r="G561" i="4"/>
  <c r="J561" i="4" s="1"/>
  <c r="A561" i="4" s="1"/>
  <c r="G515" i="4"/>
  <c r="J515" i="4" s="1"/>
  <c r="A515" i="4" s="1"/>
  <c r="G509" i="4"/>
  <c r="J509" i="4" s="1"/>
  <c r="A509" i="4" s="1"/>
  <c r="G580" i="4"/>
  <c r="J580" i="4" s="1"/>
  <c r="A580" i="4" s="1"/>
  <c r="G496" i="4"/>
  <c r="I496" i="4" s="1"/>
  <c r="G657" i="4"/>
  <c r="J657" i="4" s="1"/>
  <c r="A657" i="4" s="1"/>
  <c r="G653" i="4"/>
  <c r="J653" i="4" s="1"/>
  <c r="A653" i="4" s="1"/>
  <c r="G652" i="4"/>
  <c r="I652" i="4" s="1"/>
  <c r="G643" i="4"/>
  <c r="I643" i="4" s="1"/>
  <c r="G659" i="4"/>
  <c r="I659" i="4" s="1"/>
  <c r="G710" i="4"/>
  <c r="J710" i="4" s="1"/>
  <c r="A710" i="4" s="1"/>
  <c r="G149" i="4"/>
  <c r="I149" i="4" s="1"/>
  <c r="G143" i="4"/>
  <c r="I143" i="4" s="1"/>
  <c r="G241" i="4"/>
  <c r="G374" i="4"/>
  <c r="J374" i="4" s="1"/>
  <c r="A374" i="4" s="1"/>
  <c r="G372" i="4"/>
  <c r="I372" i="4" s="1"/>
  <c r="G417" i="4"/>
  <c r="I417" i="4" s="1"/>
  <c r="G445" i="4"/>
  <c r="I445" i="4" s="1"/>
  <c r="G548" i="4"/>
  <c r="I548" i="4" s="1"/>
  <c r="G556" i="4"/>
  <c r="I556" i="4" s="1"/>
  <c r="G553" i="4"/>
  <c r="I553" i="4" s="1"/>
  <c r="G508" i="4"/>
  <c r="G576" i="4"/>
  <c r="I576" i="4" s="1"/>
  <c r="G568" i="4"/>
  <c r="I568" i="4" s="1"/>
  <c r="G656" i="4"/>
  <c r="J656" i="4" s="1"/>
  <c r="A656" i="4" s="1"/>
  <c r="G618" i="4"/>
  <c r="J618" i="4" s="1"/>
  <c r="A618" i="4" s="1"/>
  <c r="G651" i="4"/>
  <c r="J651" i="4" s="1"/>
  <c r="A651" i="4" s="1"/>
  <c r="G511" i="4"/>
  <c r="I511" i="4" s="1"/>
  <c r="G660" i="4"/>
  <c r="I660" i="4" s="1"/>
  <c r="G709" i="4"/>
  <c r="J709" i="4" s="1"/>
  <c r="A709" i="4" s="1"/>
  <c r="G9" i="4"/>
  <c r="G110" i="4"/>
  <c r="J110" i="4" s="1"/>
  <c r="A110" i="4" s="1"/>
  <c r="G315" i="4"/>
  <c r="J315" i="4" s="1"/>
  <c r="A315" i="4" s="1"/>
  <c r="G312" i="4"/>
  <c r="J312" i="4" s="1"/>
  <c r="A312" i="4" s="1"/>
  <c r="G345" i="4"/>
  <c r="I345" i="4" s="1"/>
  <c r="G376" i="4"/>
  <c r="I376" i="4" s="1"/>
  <c r="G439" i="4"/>
  <c r="I439" i="4" s="1"/>
  <c r="G414" i="4"/>
  <c r="G444" i="4"/>
  <c r="G487" i="4"/>
  <c r="I487" i="4" s="1"/>
  <c r="G560" i="4"/>
  <c r="I560" i="4" s="1"/>
  <c r="G588" i="4"/>
  <c r="I588" i="4" s="1"/>
  <c r="G504" i="4"/>
  <c r="I504" i="4" s="1"/>
  <c r="G570" i="4"/>
  <c r="J570" i="4" s="1"/>
  <c r="A570" i="4" s="1"/>
  <c r="G655" i="4"/>
  <c r="J655" i="4" s="1"/>
  <c r="A655" i="4" s="1"/>
  <c r="G437" i="4"/>
  <c r="I437" i="4" s="1"/>
  <c r="G583" i="4"/>
  <c r="J583" i="4" s="1"/>
  <c r="A583" i="4" s="1"/>
  <c r="G629" i="4"/>
  <c r="J629" i="4" s="1"/>
  <c r="A629" i="4" s="1"/>
  <c r="G697" i="4"/>
  <c r="I697" i="4" s="1"/>
  <c r="G711" i="4"/>
  <c r="J711" i="4" s="1"/>
  <c r="A711" i="4" s="1"/>
  <c r="G8" i="4"/>
  <c r="J8" i="4" s="1"/>
  <c r="A8" i="4" s="1"/>
  <c r="G142" i="4"/>
  <c r="I142" i="4" s="1"/>
  <c r="G147" i="4"/>
  <c r="I147" i="4" s="1"/>
  <c r="G316" i="4"/>
  <c r="G311" i="4"/>
  <c r="G434" i="4"/>
  <c r="J434" i="4" s="1"/>
  <c r="A434" i="4" s="1"/>
  <c r="G416" i="4"/>
  <c r="I416" i="4" s="1"/>
  <c r="G481" i="4"/>
  <c r="I481" i="4" s="1"/>
  <c r="G488" i="4"/>
  <c r="I488" i="4" s="1"/>
  <c r="G559" i="4"/>
  <c r="J559" i="4" s="1"/>
  <c r="A559" i="4" s="1"/>
  <c r="G587" i="4"/>
  <c r="I587" i="4" s="1"/>
  <c r="G498" i="4"/>
  <c r="J498" i="4" s="1"/>
  <c r="A498" i="4" s="1"/>
  <c r="G569" i="4"/>
  <c r="J569" i="4" s="1"/>
  <c r="A569" i="4" s="1"/>
  <c r="G546" i="4"/>
  <c r="I546" i="4" s="1"/>
  <c r="G507" i="4"/>
  <c r="I507" i="4" s="1"/>
  <c r="G436" i="4"/>
  <c r="J436" i="4" s="1"/>
  <c r="A436" i="4" s="1"/>
  <c r="G695" i="4"/>
  <c r="I695" i="4" s="1"/>
  <c r="I523" i="4"/>
  <c r="J523" i="4"/>
  <c r="A523" i="4" s="1"/>
  <c r="J665" i="4"/>
  <c r="A665" i="4" s="1"/>
  <c r="I665" i="4"/>
  <c r="J592" i="4"/>
  <c r="A592" i="4" s="1"/>
  <c r="I592" i="4"/>
  <c r="I682" i="4"/>
  <c r="J682" i="4"/>
  <c r="A682" i="4" s="1"/>
  <c r="J590" i="4"/>
  <c r="A590" i="4" s="1"/>
  <c r="I590" i="4"/>
  <c r="I668" i="4"/>
  <c r="J668" i="4"/>
  <c r="A668" i="4" s="1"/>
  <c r="I705" i="4"/>
  <c r="J705" i="4"/>
  <c r="A705" i="4" s="1"/>
  <c r="I595" i="4"/>
  <c r="J595" i="4"/>
  <c r="A595" i="4" s="1"/>
  <c r="J594" i="4"/>
  <c r="A594" i="4" s="1"/>
  <c r="I594" i="4"/>
  <c r="G748" i="4"/>
  <c r="J748" i="4" s="1"/>
  <c r="A748" i="4" s="1"/>
  <c r="G737" i="4"/>
  <c r="J737" i="4" s="1"/>
  <c r="A737" i="4" s="1"/>
  <c r="I520" i="4"/>
  <c r="J520" i="4"/>
  <c r="A520" i="4" s="1"/>
  <c r="J680" i="4"/>
  <c r="A680" i="4" s="1"/>
  <c r="I680" i="4"/>
  <c r="I521" i="4"/>
  <c r="J521" i="4"/>
  <c r="A521" i="4" s="1"/>
  <c r="I518" i="4"/>
  <c r="J518" i="4"/>
  <c r="A518" i="4" s="1"/>
  <c r="G742" i="4"/>
  <c r="J742" i="4" s="1"/>
  <c r="A742" i="4" s="1"/>
  <c r="I519" i="4"/>
  <c r="J519" i="4"/>
  <c r="A519" i="4" s="1"/>
  <c r="J670" i="4"/>
  <c r="A670" i="4" s="1"/>
  <c r="I670" i="4"/>
  <c r="J591" i="4"/>
  <c r="A591" i="4" s="1"/>
  <c r="I591" i="4"/>
  <c r="G727" i="4"/>
  <c r="J727" i="4" s="1"/>
  <c r="A727" i="4" s="1"/>
  <c r="I667" i="4"/>
  <c r="J667" i="4"/>
  <c r="A667" i="4" s="1"/>
  <c r="I669" i="4"/>
  <c r="J669" i="4"/>
  <c r="A669" i="4" s="1"/>
  <c r="I666" i="4"/>
  <c r="J666" i="4"/>
  <c r="A666" i="4" s="1"/>
  <c r="G763" i="4"/>
  <c r="J763" i="4" s="1"/>
  <c r="A763" i="4" s="1"/>
  <c r="I522" i="4"/>
  <c r="J522" i="4"/>
  <c r="A522" i="4" s="1"/>
  <c r="I593" i="4"/>
  <c r="J593" i="4"/>
  <c r="A593" i="4" s="1"/>
  <c r="I715" i="4"/>
  <c r="J715" i="4"/>
  <c r="A715" i="4" s="1"/>
  <c r="I707" i="4"/>
  <c r="J664" i="4"/>
  <c r="A664" i="4" s="1"/>
  <c r="I664" i="4"/>
  <c r="I658" i="4"/>
  <c r="J658" i="4"/>
  <c r="A658" i="4" s="1"/>
  <c r="G746" i="4"/>
  <c r="G749" i="4"/>
  <c r="G730" i="4"/>
  <c r="G758" i="4"/>
  <c r="G756" i="4"/>
  <c r="G728" i="4"/>
  <c r="G713" i="4"/>
  <c r="G769" i="4"/>
  <c r="G751" i="4"/>
  <c r="G731" i="4"/>
  <c r="G752" i="4"/>
  <c r="G724" i="4"/>
  <c r="G723" i="4"/>
  <c r="G750" i="4"/>
  <c r="I517" i="4"/>
  <c r="J517" i="4"/>
  <c r="A517" i="4" s="1"/>
  <c r="G716" i="4"/>
  <c r="I589" i="4"/>
  <c r="J589" i="4"/>
  <c r="A589" i="4" s="1"/>
  <c r="G721" i="4"/>
  <c r="G745" i="4"/>
  <c r="G734" i="4"/>
  <c r="G720" i="4"/>
  <c r="G743" i="4"/>
  <c r="G719" i="4"/>
  <c r="G722" i="4"/>
  <c r="J683" i="4"/>
  <c r="A683" i="4" s="1"/>
  <c r="J554" i="4"/>
  <c r="A554" i="4" s="1"/>
  <c r="I554" i="4"/>
  <c r="G760" i="4"/>
  <c r="G736" i="4"/>
  <c r="G735" i="4"/>
  <c r="G764" i="4"/>
  <c r="G759" i="4"/>
  <c r="G718" i="4"/>
  <c r="G741" i="4"/>
  <c r="G717" i="4"/>
  <c r="G762" i="4"/>
  <c r="G729" i="4"/>
  <c r="G744" i="4"/>
  <c r="G725" i="4"/>
  <c r="G767" i="4"/>
  <c r="G747" i="4"/>
  <c r="J732" i="4"/>
  <c r="A732" i="4" s="1"/>
  <c r="I732" i="4"/>
  <c r="I626" i="4"/>
  <c r="J626" i="4"/>
  <c r="A626" i="4" s="1"/>
  <c r="G739" i="4"/>
  <c r="G753" i="4"/>
  <c r="G765" i="4"/>
  <c r="G757" i="4"/>
  <c r="G738" i="4"/>
  <c r="G755" i="4"/>
  <c r="G740" i="4"/>
  <c r="G714" i="4"/>
  <c r="I703" i="4"/>
  <c r="J703" i="4"/>
  <c r="A703" i="4" s="1"/>
  <c r="G754" i="4"/>
  <c r="G768" i="4"/>
  <c r="G733" i="4"/>
  <c r="G726" i="4"/>
  <c r="G761" i="4"/>
  <c r="G500" i="4"/>
  <c r="I500" i="4" s="1"/>
  <c r="G694" i="4"/>
  <c r="G701" i="4"/>
  <c r="G640" i="4"/>
  <c r="I640" i="4" s="1"/>
  <c r="G691" i="4"/>
  <c r="G692" i="4"/>
  <c r="G693" i="4"/>
  <c r="G699" i="4"/>
  <c r="G700" i="4"/>
  <c r="I698" i="4"/>
  <c r="J698" i="4"/>
  <c r="A698" i="4" s="1"/>
  <c r="G491" i="4"/>
  <c r="I491" i="4" s="1"/>
  <c r="G648" i="4"/>
  <c r="G639" i="4"/>
  <c r="G637" i="4"/>
  <c r="G636" i="4"/>
  <c r="I671" i="4"/>
  <c r="J671" i="4"/>
  <c r="A671" i="4" s="1"/>
  <c r="G686" i="4"/>
  <c r="G690" i="4"/>
  <c r="G689" i="4"/>
  <c r="G684" i="4"/>
  <c r="G685" i="4"/>
  <c r="G687" i="4"/>
  <c r="G688" i="4"/>
  <c r="G490" i="4"/>
  <c r="I490" i="4" s="1"/>
  <c r="G567" i="4"/>
  <c r="I567" i="4" s="1"/>
  <c r="G433" i="4"/>
  <c r="G647" i="4"/>
  <c r="G646" i="4"/>
  <c r="G644" i="4"/>
  <c r="G635" i="4"/>
  <c r="G563" i="4"/>
  <c r="J563" i="4" s="1"/>
  <c r="A563" i="4" s="1"/>
  <c r="G617" i="4"/>
  <c r="J617" i="4" s="1"/>
  <c r="A617" i="4" s="1"/>
  <c r="J438" i="4"/>
  <c r="A438" i="4" s="1"/>
  <c r="I653" i="4"/>
  <c r="G420" i="4"/>
  <c r="I420" i="4" s="1"/>
  <c r="G562" i="4"/>
  <c r="J562" i="4" s="1"/>
  <c r="A562" i="4" s="1"/>
  <c r="G473" i="4"/>
  <c r="I657" i="4"/>
  <c r="G572" i="4"/>
  <c r="G503" i="4"/>
  <c r="G638" i="4"/>
  <c r="G577" i="4"/>
  <c r="G679" i="4"/>
  <c r="G421" i="4"/>
  <c r="J421" i="4" s="1"/>
  <c r="A421" i="4" s="1"/>
  <c r="J677" i="4"/>
  <c r="A677" i="4" s="1"/>
  <c r="I677" i="4"/>
  <c r="G430" i="4"/>
  <c r="G645" i="4"/>
  <c r="G650" i="4"/>
  <c r="G435" i="4"/>
  <c r="I675" i="4"/>
  <c r="J675" i="4"/>
  <c r="A675" i="4" s="1"/>
  <c r="G681" i="4"/>
  <c r="I676" i="4"/>
  <c r="J676" i="4"/>
  <c r="A676" i="4" s="1"/>
  <c r="G505" i="4"/>
  <c r="J673" i="4"/>
  <c r="A673" i="4" s="1"/>
  <c r="I673" i="4"/>
  <c r="G662" i="4"/>
  <c r="G362" i="4"/>
  <c r="J362" i="4" s="1"/>
  <c r="A362" i="4" s="1"/>
  <c r="G495" i="4"/>
  <c r="J495" i="4" s="1"/>
  <c r="A495" i="4" s="1"/>
  <c r="J678" i="4"/>
  <c r="A678" i="4" s="1"/>
  <c r="I678" i="4"/>
  <c r="G575" i="4"/>
  <c r="I674" i="4"/>
  <c r="J674" i="4"/>
  <c r="A674" i="4" s="1"/>
  <c r="G661" i="4"/>
  <c r="G403" i="4"/>
  <c r="J403" i="4" s="1"/>
  <c r="A403" i="4" s="1"/>
  <c r="G545" i="4"/>
  <c r="J545" i="4" s="1"/>
  <c r="A545" i="4" s="1"/>
  <c r="I672" i="4"/>
  <c r="J672" i="4"/>
  <c r="A672" i="4" s="1"/>
  <c r="G663" i="4"/>
  <c r="G480" i="4"/>
  <c r="J480" i="4" s="1"/>
  <c r="A480" i="4" s="1"/>
  <c r="G624" i="4"/>
  <c r="G571" i="4"/>
  <c r="G573" i="4"/>
  <c r="G574" i="4"/>
  <c r="G552" i="4"/>
  <c r="G499" i="4"/>
  <c r="G501" i="4"/>
  <c r="G502" i="4"/>
  <c r="G615" i="4"/>
  <c r="I615" i="4" s="1"/>
  <c r="G616" i="4"/>
  <c r="J616" i="4" s="1"/>
  <c r="A616" i="4" s="1"/>
  <c r="G494" i="4"/>
  <c r="I494" i="4" s="1"/>
  <c r="G543" i="4"/>
  <c r="I543" i="4" s="1"/>
  <c r="G544" i="4"/>
  <c r="I544" i="4" s="1"/>
  <c r="G614" i="4"/>
  <c r="I614" i="4" s="1"/>
  <c r="G564" i="4"/>
  <c r="I564" i="4" s="1"/>
  <c r="G565" i="4"/>
  <c r="J565" i="4" s="1"/>
  <c r="A565" i="4" s="1"/>
  <c r="G566" i="4"/>
  <c r="J566" i="4" s="1"/>
  <c r="A566" i="4" s="1"/>
  <c r="G542" i="4"/>
  <c r="J542" i="4" s="1"/>
  <c r="A542" i="4" s="1"/>
  <c r="G492" i="4"/>
  <c r="J492" i="4" s="1"/>
  <c r="A492" i="4" s="1"/>
  <c r="G493" i="4"/>
  <c r="J493" i="4" s="1"/>
  <c r="A493" i="4" s="1"/>
  <c r="G622" i="4"/>
  <c r="G623" i="4"/>
  <c r="G607" i="4"/>
  <c r="G608" i="4"/>
  <c r="G609" i="4"/>
  <c r="G610" i="4"/>
  <c r="G611" i="4"/>
  <c r="G612" i="4"/>
  <c r="G613" i="4"/>
  <c r="G550" i="4"/>
  <c r="G551" i="4"/>
  <c r="G538" i="4"/>
  <c r="G537" i="4"/>
  <c r="G536" i="4"/>
  <c r="G535" i="4"/>
  <c r="G541" i="4"/>
  <c r="G540" i="4"/>
  <c r="G539" i="4"/>
  <c r="I534" i="4"/>
  <c r="J534" i="4"/>
  <c r="A534" i="4" s="1"/>
  <c r="I549" i="4"/>
  <c r="J549" i="4"/>
  <c r="A549" i="4" s="1"/>
  <c r="I606" i="4"/>
  <c r="J606" i="4"/>
  <c r="A606" i="4" s="1"/>
  <c r="J621" i="4"/>
  <c r="A621" i="4" s="1"/>
  <c r="I621" i="4"/>
  <c r="I524" i="4"/>
  <c r="J524" i="4"/>
  <c r="A524" i="4" s="1"/>
  <c r="J525" i="4"/>
  <c r="A525" i="4" s="1"/>
  <c r="I525" i="4"/>
  <c r="J597" i="4"/>
  <c r="A597" i="4" s="1"/>
  <c r="I597" i="4"/>
  <c r="I596" i="4"/>
  <c r="J596" i="4"/>
  <c r="A596" i="4" s="1"/>
  <c r="J531" i="4"/>
  <c r="A531" i="4" s="1"/>
  <c r="I531" i="4"/>
  <c r="I532" i="4"/>
  <c r="J532" i="4"/>
  <c r="A532" i="4" s="1"/>
  <c r="I533" i="4"/>
  <c r="J533" i="4"/>
  <c r="A533" i="4" s="1"/>
  <c r="I527" i="4"/>
  <c r="J527" i="4"/>
  <c r="A527" i="4" s="1"/>
  <c r="J528" i="4"/>
  <c r="A528" i="4" s="1"/>
  <c r="I528" i="4"/>
  <c r="J529" i="4"/>
  <c r="A529" i="4" s="1"/>
  <c r="I529" i="4"/>
  <c r="J530" i="4"/>
  <c r="A530" i="4" s="1"/>
  <c r="I530" i="4"/>
  <c r="J555" i="4"/>
  <c r="A555" i="4" s="1"/>
  <c r="I555" i="4"/>
  <c r="J605" i="4"/>
  <c r="A605" i="4" s="1"/>
  <c r="I605" i="4"/>
  <c r="I604" i="4"/>
  <c r="J604" i="4"/>
  <c r="A604" i="4" s="1"/>
  <c r="I603" i="4"/>
  <c r="J603" i="4"/>
  <c r="A603" i="4" s="1"/>
  <c r="I602" i="4"/>
  <c r="J602" i="4"/>
  <c r="A602" i="4" s="1"/>
  <c r="I601" i="4"/>
  <c r="J601" i="4"/>
  <c r="A601" i="4" s="1"/>
  <c r="I600" i="4"/>
  <c r="J600" i="4"/>
  <c r="A600" i="4" s="1"/>
  <c r="I599" i="4"/>
  <c r="J599" i="4"/>
  <c r="A599" i="4" s="1"/>
  <c r="I627" i="4"/>
  <c r="J627" i="4"/>
  <c r="A627" i="4" s="1"/>
  <c r="J440" i="4"/>
  <c r="A440" i="4" s="1"/>
  <c r="I512" i="4"/>
  <c r="J512" i="4"/>
  <c r="A512" i="4" s="1"/>
  <c r="I508" i="4"/>
  <c r="J508" i="4"/>
  <c r="A508" i="4" s="1"/>
  <c r="J581" i="4"/>
  <c r="A581" i="4" s="1"/>
  <c r="J576" i="4"/>
  <c r="A576" i="4" s="1"/>
  <c r="I569" i="4"/>
  <c r="I526" i="4"/>
  <c r="J526" i="4"/>
  <c r="A526" i="4" s="1"/>
  <c r="I547" i="4"/>
  <c r="J547" i="4"/>
  <c r="A547" i="4" s="1"/>
  <c r="I598" i="4"/>
  <c r="J598" i="4"/>
  <c r="A598" i="4" s="1"/>
  <c r="I619" i="4"/>
  <c r="J619" i="4"/>
  <c r="A619" i="4" s="1"/>
  <c r="J567" i="4"/>
  <c r="A567" i="4" s="1"/>
  <c r="I628" i="4"/>
  <c r="J628" i="4"/>
  <c r="A628" i="4" s="1"/>
  <c r="J557" i="4"/>
  <c r="A557" i="4" s="1"/>
  <c r="I557" i="4"/>
  <c r="G348" i="4"/>
  <c r="J348" i="4" s="1"/>
  <c r="A348" i="4" s="1"/>
  <c r="G471" i="4"/>
  <c r="G472" i="4"/>
  <c r="G87" i="4"/>
  <c r="I87" i="4" s="1"/>
  <c r="G470" i="4"/>
  <c r="G227" i="4"/>
  <c r="J227" i="4" s="1"/>
  <c r="A227" i="4" s="1"/>
  <c r="G478" i="4"/>
  <c r="G479" i="4"/>
  <c r="I483" i="4"/>
  <c r="J483" i="4"/>
  <c r="A483" i="4" s="1"/>
  <c r="I482" i="4"/>
  <c r="J482" i="4"/>
  <c r="A482" i="4" s="1"/>
  <c r="I477" i="4"/>
  <c r="J477" i="4"/>
  <c r="A477" i="4" s="1"/>
  <c r="I475" i="4"/>
  <c r="J475" i="4"/>
  <c r="A475" i="4" s="1"/>
  <c r="G451" i="4"/>
  <c r="J459" i="4"/>
  <c r="A459" i="4" s="1"/>
  <c r="I459" i="4"/>
  <c r="I453" i="4"/>
  <c r="J453" i="4"/>
  <c r="A453" i="4" s="1"/>
  <c r="J455" i="4"/>
  <c r="A455" i="4" s="1"/>
  <c r="I455" i="4"/>
  <c r="G424" i="4"/>
  <c r="G425" i="4"/>
  <c r="J456" i="4"/>
  <c r="A456" i="4" s="1"/>
  <c r="I456" i="4"/>
  <c r="J462" i="4"/>
  <c r="A462" i="4" s="1"/>
  <c r="I462" i="4"/>
  <c r="I405" i="4"/>
  <c r="J405" i="4"/>
  <c r="A405" i="4" s="1"/>
  <c r="G329" i="4"/>
  <c r="J329" i="4" s="1"/>
  <c r="A329" i="4" s="1"/>
  <c r="G355" i="4"/>
  <c r="I355" i="4" s="1"/>
  <c r="G422" i="4"/>
  <c r="J414" i="4"/>
  <c r="A414" i="4" s="1"/>
  <c r="I414" i="4"/>
  <c r="J412" i="4"/>
  <c r="A412" i="4" s="1"/>
  <c r="I412" i="4"/>
  <c r="I452" i="4"/>
  <c r="J452" i="4"/>
  <c r="A452" i="4" s="1"/>
  <c r="J450" i="4"/>
  <c r="A450" i="4" s="1"/>
  <c r="I450" i="4"/>
  <c r="I448" i="4"/>
  <c r="J448" i="4"/>
  <c r="A448" i="4" s="1"/>
  <c r="G423" i="4"/>
  <c r="G401" i="4"/>
  <c r="J458" i="4"/>
  <c r="A458" i="4" s="1"/>
  <c r="I458" i="4"/>
  <c r="G408" i="4"/>
  <c r="J447" i="4"/>
  <c r="A447" i="4" s="1"/>
  <c r="I447" i="4"/>
  <c r="G465" i="4"/>
  <c r="J446" i="4"/>
  <c r="A446" i="4" s="1"/>
  <c r="I446" i="4"/>
  <c r="G271" i="4"/>
  <c r="J271" i="4" s="1"/>
  <c r="A271" i="4" s="1"/>
  <c r="I461" i="4"/>
  <c r="J461" i="4"/>
  <c r="A461" i="4" s="1"/>
  <c r="G464" i="4"/>
  <c r="J454" i="4"/>
  <c r="A454" i="4" s="1"/>
  <c r="I454" i="4"/>
  <c r="G466" i="4"/>
  <c r="G144" i="4"/>
  <c r="I144" i="4" s="1"/>
  <c r="G410" i="4"/>
  <c r="G429" i="4"/>
  <c r="G431" i="4"/>
  <c r="G432" i="4"/>
  <c r="G24" i="4"/>
  <c r="I24" i="4" s="1"/>
  <c r="G400" i="4"/>
  <c r="J404" i="4"/>
  <c r="A404" i="4" s="1"/>
  <c r="I460" i="4"/>
  <c r="J460" i="4"/>
  <c r="A460" i="4" s="1"/>
  <c r="I407" i="4"/>
  <c r="J407" i="4"/>
  <c r="A407" i="4" s="1"/>
  <c r="G409" i="4"/>
  <c r="G463" i="4"/>
  <c r="G159" i="4"/>
  <c r="I159" i="4" s="1"/>
  <c r="G402" i="4"/>
  <c r="G468" i="4"/>
  <c r="G469" i="4"/>
  <c r="G467" i="4"/>
  <c r="I444" i="4"/>
  <c r="J444" i="4"/>
  <c r="A444" i="4" s="1"/>
  <c r="G126" i="4"/>
  <c r="I126" i="4" s="1"/>
  <c r="G393" i="4"/>
  <c r="I393" i="4" s="1"/>
  <c r="J427" i="4"/>
  <c r="A427" i="4" s="1"/>
  <c r="J449" i="4"/>
  <c r="A449" i="4" s="1"/>
  <c r="I449" i="4"/>
  <c r="I413" i="4"/>
  <c r="J413" i="4"/>
  <c r="A413" i="4" s="1"/>
  <c r="I457" i="4"/>
  <c r="J457" i="4"/>
  <c r="A457" i="4" s="1"/>
  <c r="I426" i="4"/>
  <c r="J426" i="4"/>
  <c r="A426" i="4" s="1"/>
  <c r="G135" i="4"/>
  <c r="J135" i="4" s="1"/>
  <c r="A135" i="4" s="1"/>
  <c r="G120" i="4"/>
  <c r="J120" i="4" s="1"/>
  <c r="A120" i="4" s="1"/>
  <c r="G174" i="4"/>
  <c r="I174" i="4" s="1"/>
  <c r="G289" i="4"/>
  <c r="I289" i="4" s="1"/>
  <c r="G347" i="4"/>
  <c r="J347" i="4" s="1"/>
  <c r="A347" i="4" s="1"/>
  <c r="G367" i="4"/>
  <c r="I367" i="4" s="1"/>
  <c r="G15" i="4"/>
  <c r="I15" i="4" s="1"/>
  <c r="G330" i="4"/>
  <c r="I330" i="4" s="1"/>
  <c r="G354" i="4"/>
  <c r="I354" i="4" s="1"/>
  <c r="G360" i="4"/>
  <c r="J360" i="4" s="1"/>
  <c r="A360" i="4" s="1"/>
  <c r="G5" i="4"/>
  <c r="I5" i="4" s="1"/>
  <c r="G233" i="4"/>
  <c r="J233" i="4" s="1"/>
  <c r="A233" i="4" s="1"/>
  <c r="G300" i="4"/>
  <c r="J300" i="4" s="1"/>
  <c r="A300" i="4" s="1"/>
  <c r="G293" i="4"/>
  <c r="I293" i="4" s="1"/>
  <c r="G114" i="4"/>
  <c r="J114" i="4" s="1"/>
  <c r="A114" i="4" s="1"/>
  <c r="G124" i="4"/>
  <c r="J124" i="4" s="1"/>
  <c r="A124" i="4" s="1"/>
  <c r="G183" i="4"/>
  <c r="J183" i="4" s="1"/>
  <c r="A183" i="4" s="1"/>
  <c r="G231" i="4"/>
  <c r="J231" i="4" s="1"/>
  <c r="A231" i="4" s="1"/>
  <c r="G242" i="4"/>
  <c r="I242" i="4" s="1"/>
  <c r="G366" i="4"/>
  <c r="I366" i="4" s="1"/>
  <c r="G136" i="4"/>
  <c r="I136" i="4" s="1"/>
  <c r="G175" i="4"/>
  <c r="I175" i="4" s="1"/>
  <c r="G234" i="4"/>
  <c r="I234" i="4" s="1"/>
  <c r="G291" i="4"/>
  <c r="J291" i="4" s="1"/>
  <c r="A291" i="4" s="1"/>
  <c r="G378" i="4"/>
  <c r="I383" i="4"/>
  <c r="J383" i="4"/>
  <c r="A383" i="4" s="1"/>
  <c r="I390" i="4"/>
  <c r="J390" i="4"/>
  <c r="A390" i="4" s="1"/>
  <c r="G397" i="4"/>
  <c r="J384" i="4"/>
  <c r="A384" i="4" s="1"/>
  <c r="I384" i="4"/>
  <c r="G177" i="4"/>
  <c r="J177" i="4" s="1"/>
  <c r="A177" i="4" s="1"/>
  <c r="G340" i="4"/>
  <c r="J340" i="4" s="1"/>
  <c r="A340" i="4" s="1"/>
  <c r="G287" i="4"/>
  <c r="I287" i="4" s="1"/>
  <c r="G363" i="4"/>
  <c r="G370" i="4"/>
  <c r="G382" i="4"/>
  <c r="I389" i="4"/>
  <c r="J389" i="4"/>
  <c r="A389" i="4" s="1"/>
  <c r="G396" i="4"/>
  <c r="J388" i="4"/>
  <c r="A388" i="4" s="1"/>
  <c r="I388" i="4"/>
  <c r="I380" i="4"/>
  <c r="J380" i="4"/>
  <c r="A380" i="4" s="1"/>
  <c r="G133" i="4"/>
  <c r="J133" i="4" s="1"/>
  <c r="A133" i="4" s="1"/>
  <c r="G131" i="4"/>
  <c r="J131" i="4" s="1"/>
  <c r="A131" i="4" s="1"/>
  <c r="G173" i="4"/>
  <c r="J173" i="4" s="1"/>
  <c r="A173" i="4" s="1"/>
  <c r="G292" i="4"/>
  <c r="J292" i="4" s="1"/>
  <c r="A292" i="4" s="1"/>
  <c r="G229" i="4"/>
  <c r="J229" i="4" s="1"/>
  <c r="A229" i="4" s="1"/>
  <c r="G288" i="4"/>
  <c r="I288" i="4" s="1"/>
  <c r="J392" i="4"/>
  <c r="A392" i="4" s="1"/>
  <c r="I392" i="4"/>
  <c r="G353" i="4"/>
  <c r="G361" i="4"/>
  <c r="G351" i="4"/>
  <c r="G358" i="4"/>
  <c r="G365" i="4"/>
  <c r="J373" i="4"/>
  <c r="A373" i="4" s="1"/>
  <c r="G6" i="4"/>
  <c r="I6" i="4" s="1"/>
  <c r="G104" i="4"/>
  <c r="I104" i="4" s="1"/>
  <c r="G171" i="4"/>
  <c r="J171" i="4" s="1"/>
  <c r="A171" i="4" s="1"/>
  <c r="G176" i="4"/>
  <c r="I176" i="4" s="1"/>
  <c r="G294" i="4"/>
  <c r="J294" i="4" s="1"/>
  <c r="A294" i="4" s="1"/>
  <c r="G232" i="4"/>
  <c r="J232" i="4" s="1"/>
  <c r="A232" i="4" s="1"/>
  <c r="G252" i="4"/>
  <c r="J252" i="4" s="1"/>
  <c r="A252" i="4" s="1"/>
  <c r="G395" i="4"/>
  <c r="G368" i="4"/>
  <c r="J377" i="4"/>
  <c r="A377" i="4" s="1"/>
  <c r="I377" i="4"/>
  <c r="G350" i="4"/>
  <c r="G357" i="4"/>
  <c r="G364" i="4"/>
  <c r="I381" i="4"/>
  <c r="J381" i="4"/>
  <c r="A381" i="4" s="1"/>
  <c r="G178" i="4"/>
  <c r="J178" i="4" s="1"/>
  <c r="A178" i="4" s="1"/>
  <c r="G172" i="4"/>
  <c r="I172" i="4" s="1"/>
  <c r="G282" i="4"/>
  <c r="J282" i="4" s="1"/>
  <c r="A282" i="4" s="1"/>
  <c r="G235" i="4"/>
  <c r="I235" i="4" s="1"/>
  <c r="G310" i="4"/>
  <c r="J310" i="4" s="1"/>
  <c r="A310" i="4" s="1"/>
  <c r="G272" i="4"/>
  <c r="I272" i="4" s="1"/>
  <c r="G387" i="4"/>
  <c r="G394" i="4"/>
  <c r="G399" i="4"/>
  <c r="G369" i="4"/>
  <c r="G349" i="4"/>
  <c r="G356" i="4"/>
  <c r="I374" i="4"/>
  <c r="G217" i="4"/>
  <c r="I217" i="4" s="1"/>
  <c r="G134" i="4"/>
  <c r="I134" i="4" s="1"/>
  <c r="G132" i="4"/>
  <c r="J132" i="4" s="1"/>
  <c r="A132" i="4" s="1"/>
  <c r="G224" i="4"/>
  <c r="J224" i="4" s="1"/>
  <c r="A224" i="4" s="1"/>
  <c r="G290" i="4"/>
  <c r="I290" i="4" s="1"/>
  <c r="G236" i="4"/>
  <c r="I236" i="4" s="1"/>
  <c r="G379" i="4"/>
  <c r="I386" i="4"/>
  <c r="J386" i="4"/>
  <c r="A386" i="4" s="1"/>
  <c r="J391" i="4"/>
  <c r="A391" i="4" s="1"/>
  <c r="I391" i="4"/>
  <c r="G398" i="4"/>
  <c r="G352" i="4"/>
  <c r="J385" i="4"/>
  <c r="A385" i="4" s="1"/>
  <c r="I385" i="4"/>
  <c r="G166" i="4"/>
  <c r="J166" i="4" s="1"/>
  <c r="A166" i="4" s="1"/>
  <c r="G298" i="4"/>
  <c r="I298" i="4" s="1"/>
  <c r="G248" i="4"/>
  <c r="I248" i="4" s="1"/>
  <c r="G273" i="4"/>
  <c r="J273" i="4" s="1"/>
  <c r="A273" i="4" s="1"/>
  <c r="G331" i="4"/>
  <c r="J331" i="4" s="1"/>
  <c r="A331" i="4" s="1"/>
  <c r="G304" i="4"/>
  <c r="J304" i="4" s="1"/>
  <c r="A304" i="4" s="1"/>
  <c r="G275" i="4"/>
  <c r="J275" i="4" s="1"/>
  <c r="A275" i="4" s="1"/>
  <c r="G286" i="4"/>
  <c r="J286" i="4" s="1"/>
  <c r="A286" i="4" s="1"/>
  <c r="G250" i="4"/>
  <c r="I250" i="4" s="1"/>
  <c r="I264" i="4"/>
  <c r="J264" i="4"/>
  <c r="A264" i="4" s="1"/>
  <c r="I322" i="4"/>
  <c r="J322" i="4"/>
  <c r="A322" i="4" s="1"/>
  <c r="G336" i="4"/>
  <c r="G245" i="4"/>
  <c r="G295" i="4"/>
  <c r="G335" i="4"/>
  <c r="G246" i="4"/>
  <c r="G278" i="4"/>
  <c r="J241" i="4"/>
  <c r="A241" i="4" s="1"/>
  <c r="I241" i="4"/>
  <c r="J262" i="4"/>
  <c r="A262" i="4" s="1"/>
  <c r="I262" i="4"/>
  <c r="G343" i="4"/>
  <c r="J265" i="4"/>
  <c r="A265" i="4" s="1"/>
  <c r="I265" i="4"/>
  <c r="G333" i="4"/>
  <c r="G239" i="4"/>
  <c r="G309" i="4"/>
  <c r="G247" i="4"/>
  <c r="G303" i="4"/>
  <c r="G277" i="4"/>
  <c r="G279" i="4"/>
  <c r="J268" i="4"/>
  <c r="A268" i="4" s="1"/>
  <c r="I268" i="4"/>
  <c r="G284" i="4"/>
  <c r="J327" i="4"/>
  <c r="A327" i="4" s="1"/>
  <c r="I327" i="4"/>
  <c r="J280" i="4"/>
  <c r="A280" i="4" s="1"/>
  <c r="J326" i="4"/>
  <c r="A326" i="4" s="1"/>
  <c r="I326" i="4"/>
  <c r="J311" i="4"/>
  <c r="A311" i="4" s="1"/>
  <c r="I311" i="4"/>
  <c r="J316" i="4"/>
  <c r="A316" i="4" s="1"/>
  <c r="I316" i="4"/>
  <c r="I319" i="4"/>
  <c r="J319" i="4"/>
  <c r="A319" i="4" s="1"/>
  <c r="G302" i="4"/>
  <c r="G244" i="4"/>
  <c r="G237" i="4"/>
  <c r="G240" i="4"/>
  <c r="G251" i="4"/>
  <c r="J328" i="4"/>
  <c r="A328" i="4" s="1"/>
  <c r="I328" i="4"/>
  <c r="J323" i="4"/>
  <c r="A323" i="4" s="1"/>
  <c r="I323" i="4"/>
  <c r="I321" i="4"/>
  <c r="J321" i="4"/>
  <c r="A321" i="4" s="1"/>
  <c r="J325" i="4"/>
  <c r="A325" i="4" s="1"/>
  <c r="I325" i="4"/>
  <c r="I270" i="4"/>
  <c r="J270" i="4"/>
  <c r="A270" i="4" s="1"/>
  <c r="I254" i="4"/>
  <c r="J324" i="4"/>
  <c r="A324" i="4" s="1"/>
  <c r="I324" i="4"/>
  <c r="G301" i="4"/>
  <c r="G238" i="4"/>
  <c r="G306" i="4"/>
  <c r="G297" i="4"/>
  <c r="G344" i="4"/>
  <c r="G332" i="4"/>
  <c r="J317" i="4"/>
  <c r="A317" i="4" s="1"/>
  <c r="I317" i="4"/>
  <c r="J318" i="4"/>
  <c r="A318" i="4" s="1"/>
  <c r="I318" i="4"/>
  <c r="G285" i="4"/>
  <c r="J263" i="4"/>
  <c r="A263" i="4" s="1"/>
  <c r="I263" i="4"/>
  <c r="J259" i="4"/>
  <c r="A259" i="4" s="1"/>
  <c r="I259" i="4"/>
  <c r="J283" i="4"/>
  <c r="A283" i="4" s="1"/>
  <c r="I283" i="4"/>
  <c r="G296" i="4"/>
  <c r="G276" i="4"/>
  <c r="G249" i="4"/>
  <c r="G337" i="4"/>
  <c r="G274" i="4"/>
  <c r="J269" i="4"/>
  <c r="A269" i="4" s="1"/>
  <c r="I269" i="4"/>
  <c r="G342" i="4"/>
  <c r="I267" i="4"/>
  <c r="J267" i="4"/>
  <c r="A267" i="4" s="1"/>
  <c r="J339" i="4"/>
  <c r="A339" i="4" s="1"/>
  <c r="I339" i="4"/>
  <c r="J253" i="4"/>
  <c r="A253" i="4" s="1"/>
  <c r="I341" i="4"/>
  <c r="J341" i="4"/>
  <c r="A341" i="4" s="1"/>
  <c r="G307" i="4"/>
  <c r="G305" i="4"/>
  <c r="G308" i="4"/>
  <c r="G243" i="4"/>
  <c r="G334" i="4"/>
  <c r="I281" i="4"/>
  <c r="J281" i="4"/>
  <c r="A281" i="4" s="1"/>
  <c r="J261" i="4"/>
  <c r="A261" i="4" s="1"/>
  <c r="I261" i="4"/>
  <c r="J260" i="4"/>
  <c r="A260" i="4" s="1"/>
  <c r="I260" i="4"/>
  <c r="I266" i="4"/>
  <c r="J266" i="4"/>
  <c r="A266" i="4" s="1"/>
  <c r="I346" i="4"/>
  <c r="J346" i="4"/>
  <c r="A346" i="4" s="1"/>
  <c r="J320" i="4"/>
  <c r="A320" i="4" s="1"/>
  <c r="I320" i="4"/>
  <c r="G228" i="4"/>
  <c r="G219" i="4"/>
  <c r="G221" i="4"/>
  <c r="I225" i="4"/>
  <c r="J225" i="4"/>
  <c r="A225" i="4" s="1"/>
  <c r="I223" i="4"/>
  <c r="J223" i="4"/>
  <c r="A223" i="4" s="1"/>
  <c r="G220" i="4"/>
  <c r="G226" i="4"/>
  <c r="G218" i="4"/>
  <c r="G182" i="4"/>
  <c r="I182" i="4" s="1"/>
  <c r="G194" i="4"/>
  <c r="G199" i="4"/>
  <c r="G214" i="4"/>
  <c r="G200" i="4"/>
  <c r="G185" i="4"/>
  <c r="G91" i="4"/>
  <c r="I91" i="4" s="1"/>
  <c r="G17" i="4"/>
  <c r="I17" i="4" s="1"/>
  <c r="G203" i="4"/>
  <c r="G186" i="4"/>
  <c r="G191" i="4"/>
  <c r="G206" i="4"/>
  <c r="G213" i="4"/>
  <c r="G205" i="4"/>
  <c r="G190" i="4"/>
  <c r="G204" i="4"/>
  <c r="G179" i="4"/>
  <c r="G193" i="4"/>
  <c r="G209" i="4"/>
  <c r="G189" i="4"/>
  <c r="G196" i="4"/>
  <c r="G195" i="4"/>
  <c r="G187" i="4"/>
  <c r="G197" i="4"/>
  <c r="G192" i="4"/>
  <c r="G181" i="4"/>
  <c r="G188" i="4"/>
  <c r="G212" i="4"/>
  <c r="G210" i="4"/>
  <c r="G215" i="4"/>
  <c r="G208" i="4"/>
  <c r="G201" i="4"/>
  <c r="G180" i="4"/>
  <c r="G198" i="4"/>
  <c r="G202" i="4"/>
  <c r="G207" i="4"/>
  <c r="G216" i="4"/>
  <c r="G211" i="4"/>
  <c r="J167" i="4"/>
  <c r="A167" i="4" s="1"/>
  <c r="I167" i="4"/>
  <c r="G164" i="4"/>
  <c r="G169" i="4"/>
  <c r="G163" i="4"/>
  <c r="G165" i="4"/>
  <c r="G170" i="4"/>
  <c r="J168" i="4"/>
  <c r="A168" i="4" s="1"/>
  <c r="I168" i="4"/>
  <c r="G162" i="4"/>
  <c r="G113" i="4"/>
  <c r="G90" i="4"/>
  <c r="J90" i="4" s="1"/>
  <c r="A90" i="4" s="1"/>
  <c r="G14" i="4"/>
  <c r="J21" i="4"/>
  <c r="A21" i="4" s="1"/>
  <c r="I21" i="4"/>
  <c r="I152" i="4"/>
  <c r="J152" i="4"/>
  <c r="A152" i="4" s="1"/>
  <c r="I115" i="4"/>
  <c r="J115" i="4"/>
  <c r="A115" i="4" s="1"/>
  <c r="J129" i="4"/>
  <c r="A129" i="4" s="1"/>
  <c r="I129" i="4"/>
  <c r="G18" i="4"/>
  <c r="G3" i="4"/>
  <c r="I103" i="4"/>
  <c r="J103" i="4"/>
  <c r="A103" i="4" s="1"/>
  <c r="I121" i="4"/>
  <c r="J121" i="4"/>
  <c r="A121" i="4" s="1"/>
  <c r="G11" i="4"/>
  <c r="J122" i="4"/>
  <c r="A122" i="4" s="1"/>
  <c r="I122" i="4"/>
  <c r="G109" i="4"/>
  <c r="G112" i="4"/>
  <c r="J102" i="4"/>
  <c r="A102" i="4" s="1"/>
  <c r="I102" i="4"/>
  <c r="G119" i="4"/>
  <c r="I125" i="4"/>
  <c r="J125" i="4"/>
  <c r="A125" i="4" s="1"/>
  <c r="I23" i="4"/>
  <c r="J23" i="4"/>
  <c r="A23" i="4" s="1"/>
  <c r="J154" i="4"/>
  <c r="A154" i="4" s="1"/>
  <c r="I154" i="4"/>
  <c r="J155" i="4"/>
  <c r="A155" i="4" s="1"/>
  <c r="I155" i="4"/>
  <c r="G140" i="4"/>
  <c r="G12" i="4"/>
  <c r="G107" i="4"/>
  <c r="G141" i="4"/>
  <c r="G92" i="4"/>
  <c r="I92" i="4" s="1"/>
  <c r="G96" i="4"/>
  <c r="J127" i="4"/>
  <c r="A127" i="4" s="1"/>
  <c r="I127" i="4"/>
  <c r="G25" i="4"/>
  <c r="G4" i="4"/>
  <c r="G117" i="4"/>
  <c r="G27" i="4"/>
  <c r="G2" i="4"/>
  <c r="J158" i="4"/>
  <c r="A158" i="4" s="1"/>
  <c r="I158" i="4"/>
  <c r="G160" i="4"/>
  <c r="G10" i="4"/>
  <c r="G139" i="4"/>
  <c r="I9" i="4"/>
  <c r="J9" i="4"/>
  <c r="A9" i="4" s="1"/>
  <c r="G99" i="4"/>
  <c r="I22" i="4"/>
  <c r="J22" i="4"/>
  <c r="A22" i="4" s="1"/>
  <c r="G137" i="4"/>
  <c r="J108" i="4"/>
  <c r="A108" i="4" s="1"/>
  <c r="I108" i="4"/>
  <c r="G116" i="4"/>
  <c r="G97" i="4"/>
  <c r="G145" i="4"/>
  <c r="I151" i="4"/>
  <c r="J151" i="4"/>
  <c r="A151" i="4" s="1"/>
  <c r="G111" i="4"/>
  <c r="I20" i="4"/>
  <c r="J20" i="4"/>
  <c r="A20" i="4" s="1"/>
  <c r="G16" i="4"/>
  <c r="G98" i="4"/>
  <c r="I157" i="4"/>
  <c r="J157" i="4"/>
  <c r="A157" i="4" s="1"/>
  <c r="I118" i="4"/>
  <c r="J118" i="4"/>
  <c r="A118" i="4" s="1"/>
  <c r="G26" i="4"/>
  <c r="G93" i="4"/>
  <c r="I93" i="4" s="1"/>
  <c r="G101" i="4"/>
  <c r="G148" i="4"/>
  <c r="G150" i="4"/>
  <c r="G88" i="4"/>
  <c r="J88" i="4" s="1"/>
  <c r="A88" i="4" s="1"/>
  <c r="G106" i="4"/>
  <c r="G138" i="4"/>
  <c r="G13" i="4"/>
  <c r="G100" i="4"/>
  <c r="G105" i="4"/>
  <c r="G146" i="4"/>
  <c r="J156" i="4"/>
  <c r="A156" i="4" s="1"/>
  <c r="I156" i="4"/>
  <c r="G161" i="4"/>
  <c r="I128" i="4"/>
  <c r="J128" i="4"/>
  <c r="A128" i="4" s="1"/>
  <c r="I153" i="4"/>
  <c r="J153" i="4"/>
  <c r="A153" i="4" s="1"/>
  <c r="G89" i="4"/>
  <c r="J89" i="4" s="1"/>
  <c r="A89" i="4" s="1"/>
  <c r="G95" i="4"/>
  <c r="I94" i="4"/>
  <c r="J94" i="4"/>
  <c r="A94" i="4" s="1"/>
  <c r="G66" i="4"/>
  <c r="G74" i="4"/>
  <c r="G82" i="4"/>
  <c r="G64" i="4"/>
  <c r="G67" i="4"/>
  <c r="G75" i="4"/>
  <c r="G83" i="4"/>
  <c r="G68" i="4"/>
  <c r="G76" i="4"/>
  <c r="G84" i="4"/>
  <c r="G69" i="4"/>
  <c r="G77" i="4"/>
  <c r="G85" i="4"/>
  <c r="G70" i="4"/>
  <c r="G78" i="4"/>
  <c r="G86" i="4"/>
  <c r="G60" i="4"/>
  <c r="G71" i="4"/>
  <c r="G79" i="4"/>
  <c r="G61" i="4"/>
  <c r="G72" i="4"/>
  <c r="G80" i="4"/>
  <c r="G62" i="4"/>
  <c r="G65" i="4"/>
  <c r="G73" i="4"/>
  <c r="G81" i="4"/>
  <c r="G63" i="4"/>
  <c r="G59" i="4"/>
  <c r="G58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31" i="4"/>
  <c r="G32" i="4"/>
  <c r="G33" i="4"/>
  <c r="G34" i="4"/>
  <c r="G35" i="4"/>
  <c r="G28" i="4"/>
  <c r="G57" i="4"/>
  <c r="G56" i="4"/>
  <c r="G30" i="4"/>
  <c r="G29" i="4"/>
  <c r="J418" i="4" l="1"/>
  <c r="A418" i="4" s="1"/>
  <c r="I110" i="4"/>
  <c r="J487" i="4"/>
  <c r="A487" i="4" s="1"/>
  <c r="J568" i="4"/>
  <c r="A568" i="4" s="1"/>
  <c r="I230" i="4"/>
  <c r="I434" i="4"/>
  <c r="I506" i="4"/>
  <c r="J372" i="4"/>
  <c r="A372" i="4" s="1"/>
  <c r="J641" i="4"/>
  <c r="A641" i="4" s="1"/>
  <c r="I256" i="4"/>
  <c r="J415" i="4"/>
  <c r="A415" i="4" s="1"/>
  <c r="J513" i="4"/>
  <c r="A513" i="4" s="1"/>
  <c r="J489" i="4"/>
  <c r="A489" i="4" s="1"/>
  <c r="J942" i="4"/>
  <c r="A942" i="4" s="1"/>
  <c r="I942" i="4"/>
  <c r="I583" i="4"/>
  <c r="I940" i="4"/>
  <c r="J940" i="4"/>
  <c r="A940" i="4" s="1"/>
  <c r="I958" i="4"/>
  <c r="J958" i="4"/>
  <c r="A958" i="4" s="1"/>
  <c r="J941" i="4"/>
  <c r="A941" i="4" s="1"/>
  <c r="I941" i="4"/>
  <c r="I315" i="4"/>
  <c r="J804" i="4"/>
  <c r="A804" i="4" s="1"/>
  <c r="I804" i="4"/>
  <c r="I882" i="4"/>
  <c r="J882" i="4"/>
  <c r="A882" i="4" s="1"/>
  <c r="I515" i="4"/>
  <c r="I802" i="4"/>
  <c r="J802" i="4"/>
  <c r="A802" i="4" s="1"/>
  <c r="I800" i="4"/>
  <c r="J800" i="4"/>
  <c r="A800" i="4" s="1"/>
  <c r="J481" i="4"/>
  <c r="A481" i="4" s="1"/>
  <c r="I495" i="4"/>
  <c r="J659" i="4"/>
  <c r="A659" i="4" s="1"/>
  <c r="I561" i="4"/>
  <c r="I886" i="4"/>
  <c r="J886" i="4"/>
  <c r="A886" i="4" s="1"/>
  <c r="J801" i="4"/>
  <c r="A801" i="4" s="1"/>
  <c r="I801" i="4"/>
  <c r="I884" i="4"/>
  <c r="J884" i="4"/>
  <c r="A884" i="4" s="1"/>
  <c r="J936" i="4"/>
  <c r="A936" i="4" s="1"/>
  <c r="I936" i="4"/>
  <c r="I313" i="4"/>
  <c r="J375" i="4"/>
  <c r="A375" i="4" s="1"/>
  <c r="J417" i="4"/>
  <c r="A417" i="4" s="1"/>
  <c r="J631" i="4"/>
  <c r="A631" i="4" s="1"/>
  <c r="I881" i="4"/>
  <c r="J881" i="4"/>
  <c r="A881" i="4" s="1"/>
  <c r="J888" i="4"/>
  <c r="A888" i="4" s="1"/>
  <c r="I888" i="4"/>
  <c r="I855" i="4"/>
  <c r="J855" i="4"/>
  <c r="A855" i="4" s="1"/>
  <c r="J799" i="4"/>
  <c r="A799" i="4" s="1"/>
  <c r="I799" i="4"/>
  <c r="I937" i="4"/>
  <c r="J937" i="4"/>
  <c r="A937" i="4" s="1"/>
  <c r="I797" i="4"/>
  <c r="J797" i="4"/>
  <c r="A797" i="4" s="1"/>
  <c r="J890" i="4"/>
  <c r="A890" i="4" s="1"/>
  <c r="I890" i="4"/>
  <c r="I928" i="4"/>
  <c r="J928" i="4"/>
  <c r="A928" i="4" s="1"/>
  <c r="I885" i="4"/>
  <c r="J885" i="4"/>
  <c r="A885" i="4" s="1"/>
  <c r="I854" i="4"/>
  <c r="J854" i="4"/>
  <c r="A854" i="4" s="1"/>
  <c r="J486" i="4"/>
  <c r="A486" i="4" s="1"/>
  <c r="I938" i="4"/>
  <c r="J938" i="4"/>
  <c r="A938" i="4" s="1"/>
  <c r="J848" i="4"/>
  <c r="A848" i="4" s="1"/>
  <c r="I848" i="4"/>
  <c r="J806" i="4"/>
  <c r="A806" i="4" s="1"/>
  <c r="I806" i="4"/>
  <c r="I805" i="4"/>
  <c r="J805" i="4"/>
  <c r="A805" i="4" s="1"/>
  <c r="J935" i="4"/>
  <c r="A935" i="4" s="1"/>
  <c r="I935" i="4"/>
  <c r="I883" i="4"/>
  <c r="J883" i="4"/>
  <c r="A883" i="4" s="1"/>
  <c r="I312" i="4"/>
  <c r="I849" i="4"/>
  <c r="J849" i="4"/>
  <c r="A849" i="4" s="1"/>
  <c r="I939" i="4"/>
  <c r="J939" i="4"/>
  <c r="A939" i="4" s="1"/>
  <c r="J887" i="4"/>
  <c r="A887" i="4" s="1"/>
  <c r="I887" i="4"/>
  <c r="J889" i="4"/>
  <c r="A889" i="4" s="1"/>
  <c r="I889" i="4"/>
  <c r="J851" i="4"/>
  <c r="A851" i="4" s="1"/>
  <c r="I851" i="4"/>
  <c r="J798" i="4"/>
  <c r="A798" i="4" s="1"/>
  <c r="I798" i="4"/>
  <c r="I852" i="4"/>
  <c r="J852" i="4"/>
  <c r="A852" i="4" s="1"/>
  <c r="J934" i="4"/>
  <c r="A934" i="4" s="1"/>
  <c r="I934" i="4"/>
  <c r="I857" i="4"/>
  <c r="J857" i="4"/>
  <c r="A857" i="4" s="1"/>
  <c r="I803" i="4"/>
  <c r="J803" i="4"/>
  <c r="A803" i="4" s="1"/>
  <c r="I871" i="4"/>
  <c r="J871" i="4"/>
  <c r="A871" i="4" s="1"/>
  <c r="J853" i="4"/>
  <c r="A853" i="4" s="1"/>
  <c r="I853" i="4"/>
  <c r="I565" i="4"/>
  <c r="J258" i="4"/>
  <c r="A258" i="4" s="1"/>
  <c r="I630" i="4"/>
  <c r="J445" i="4"/>
  <c r="A445" i="4" s="1"/>
  <c r="J419" i="4"/>
  <c r="A419" i="4" s="1"/>
  <c r="I633" i="4"/>
  <c r="I443" i="4"/>
  <c r="J588" i="4"/>
  <c r="A588" i="4" s="1"/>
  <c r="I629" i="4"/>
  <c r="J485" i="4"/>
  <c r="A485" i="4" s="1"/>
  <c r="I516" i="4"/>
  <c r="J556" i="4"/>
  <c r="A556" i="4" s="1"/>
  <c r="J376" i="4"/>
  <c r="A376" i="4" s="1"/>
  <c r="J149" i="4"/>
  <c r="A149" i="4" s="1"/>
  <c r="I559" i="4"/>
  <c r="I625" i="4"/>
  <c r="J123" i="4"/>
  <c r="A123" i="4" s="1"/>
  <c r="I371" i="4"/>
  <c r="J708" i="4"/>
  <c r="A708" i="4" s="1"/>
  <c r="I642" i="4"/>
  <c r="J511" i="4"/>
  <c r="A511" i="4" s="1"/>
  <c r="J416" i="4"/>
  <c r="A416" i="4" s="1"/>
  <c r="J507" i="4"/>
  <c r="A507" i="4" s="1"/>
  <c r="J484" i="4"/>
  <c r="A484" i="4" s="1"/>
  <c r="J257" i="4"/>
  <c r="A257" i="4" s="1"/>
  <c r="J7" i="4"/>
  <c r="A7" i="4" s="1"/>
  <c r="J19" i="4"/>
  <c r="A19" i="4" s="1"/>
  <c r="J553" i="4"/>
  <c r="A553" i="4" s="1"/>
  <c r="J497" i="4"/>
  <c r="A497" i="4" s="1"/>
  <c r="I655" i="4"/>
  <c r="J660" i="4"/>
  <c r="A660" i="4" s="1"/>
  <c r="I709" i="4"/>
  <c r="J143" i="4"/>
  <c r="A143" i="4" s="1"/>
  <c r="J147" i="4"/>
  <c r="A147" i="4" s="1"/>
  <c r="I406" i="4"/>
  <c r="I620" i="4"/>
  <c r="J496" i="4"/>
  <c r="A496" i="4" s="1"/>
  <c r="J439" i="4"/>
  <c r="A439" i="4" s="1"/>
  <c r="J510" i="4"/>
  <c r="A510" i="4" s="1"/>
  <c r="J772" i="4"/>
  <c r="A772" i="4" s="1"/>
  <c r="I772" i="4"/>
  <c r="I785" i="4"/>
  <c r="J785" i="4"/>
  <c r="A785" i="4" s="1"/>
  <c r="I787" i="4"/>
  <c r="J787" i="4"/>
  <c r="A787" i="4" s="1"/>
  <c r="I773" i="4"/>
  <c r="J773" i="4"/>
  <c r="A773" i="4" s="1"/>
  <c r="I779" i="4"/>
  <c r="J779" i="4"/>
  <c r="A779" i="4" s="1"/>
  <c r="I774" i="4"/>
  <c r="J774" i="4"/>
  <c r="A774" i="4" s="1"/>
  <c r="I771" i="4"/>
  <c r="J771" i="4"/>
  <c r="A771" i="4" s="1"/>
  <c r="I770" i="4"/>
  <c r="J770" i="4"/>
  <c r="A770" i="4" s="1"/>
  <c r="I783" i="4"/>
  <c r="J783" i="4"/>
  <c r="A783" i="4" s="1"/>
  <c r="J420" i="4"/>
  <c r="A420" i="4" s="1"/>
  <c r="I480" i="4"/>
  <c r="I763" i="4"/>
  <c r="J544" i="4"/>
  <c r="A544" i="4" s="1"/>
  <c r="I299" i="4"/>
  <c r="I411" i="4"/>
  <c r="I654" i="4"/>
  <c r="I442" i="4"/>
  <c r="I545" i="4"/>
  <c r="I436" i="4"/>
  <c r="J697" i="4"/>
  <c r="A697" i="4" s="1"/>
  <c r="I711" i="4"/>
  <c r="J560" i="4"/>
  <c r="A560" i="4" s="1"/>
  <c r="I656" i="4"/>
  <c r="I514" i="4"/>
  <c r="I563" i="4"/>
  <c r="I748" i="4"/>
  <c r="I742" i="4"/>
  <c r="I542" i="4"/>
  <c r="I616" i="4"/>
  <c r="J706" i="4"/>
  <c r="A706" i="4" s="1"/>
  <c r="I737" i="4"/>
  <c r="I727" i="4"/>
  <c r="I130" i="4"/>
  <c r="J142" i="4"/>
  <c r="A142" i="4" s="1"/>
  <c r="J184" i="4"/>
  <c r="A184" i="4" s="1"/>
  <c r="J222" i="4"/>
  <c r="A222" i="4" s="1"/>
  <c r="I314" i="4"/>
  <c r="J338" i="4"/>
  <c r="A338" i="4" s="1"/>
  <c r="I359" i="4"/>
  <c r="J437" i="4"/>
  <c r="A437" i="4" s="1"/>
  <c r="J474" i="4"/>
  <c r="A474" i="4" s="1"/>
  <c r="I498" i="4"/>
  <c r="J546" i="4"/>
  <c r="A546" i="4" s="1"/>
  <c r="I570" i="4"/>
  <c r="J578" i="4"/>
  <c r="A578" i="4" s="1"/>
  <c r="I579" i="4"/>
  <c r="I580" i="4"/>
  <c r="J582" i="4"/>
  <c r="A582" i="4" s="1"/>
  <c r="I584" i="4"/>
  <c r="I585" i="4"/>
  <c r="J586" i="4"/>
  <c r="A586" i="4" s="1"/>
  <c r="I618" i="4"/>
  <c r="J643" i="4"/>
  <c r="A643" i="4" s="1"/>
  <c r="I649" i="4"/>
  <c r="J652" i="4"/>
  <c r="A652" i="4" s="1"/>
  <c r="J587" i="4"/>
  <c r="A587" i="4" s="1"/>
  <c r="I492" i="4"/>
  <c r="J494" i="4"/>
  <c r="A494" i="4" s="1"/>
  <c r="J640" i="4"/>
  <c r="A640" i="4" s="1"/>
  <c r="J490" i="4"/>
  <c r="A490" i="4" s="1"/>
  <c r="J634" i="4"/>
  <c r="A634" i="4" s="1"/>
  <c r="I651" i="4"/>
  <c r="I509" i="4"/>
  <c r="J712" i="4"/>
  <c r="A712" i="4" s="1"/>
  <c r="I8" i="4"/>
  <c r="I428" i="4"/>
  <c r="J558" i="4"/>
  <c r="A558" i="4" s="1"/>
  <c r="J548" i="4"/>
  <c r="A548" i="4" s="1"/>
  <c r="I710" i="4"/>
  <c r="J766" i="4"/>
  <c r="A766" i="4" s="1"/>
  <c r="J695" i="4"/>
  <c r="A695" i="4" s="1"/>
  <c r="J345" i="4"/>
  <c r="A345" i="4" s="1"/>
  <c r="I255" i="4"/>
  <c r="J476" i="4"/>
  <c r="A476" i="4" s="1"/>
  <c r="J504" i="4"/>
  <c r="A504" i="4" s="1"/>
  <c r="I632" i="4"/>
  <c r="J441" i="4"/>
  <c r="A441" i="4" s="1"/>
  <c r="J488" i="4"/>
  <c r="A488" i="4" s="1"/>
  <c r="I702" i="4"/>
  <c r="J702" i="4"/>
  <c r="A702" i="4" s="1"/>
  <c r="I403" i="4"/>
  <c r="I566" i="4"/>
  <c r="I421" i="4"/>
  <c r="J615" i="4"/>
  <c r="A615" i="4" s="1"/>
  <c r="J500" i="4"/>
  <c r="A500" i="4" s="1"/>
  <c r="J767" i="4"/>
  <c r="A767" i="4" s="1"/>
  <c r="I767" i="4"/>
  <c r="I759" i="4"/>
  <c r="J759" i="4"/>
  <c r="A759" i="4" s="1"/>
  <c r="J726" i="4"/>
  <c r="A726" i="4" s="1"/>
  <c r="I726" i="4"/>
  <c r="I725" i="4"/>
  <c r="J725" i="4"/>
  <c r="A725" i="4" s="1"/>
  <c r="J764" i="4"/>
  <c r="A764" i="4" s="1"/>
  <c r="I764" i="4"/>
  <c r="I745" i="4"/>
  <c r="J745" i="4"/>
  <c r="A745" i="4" s="1"/>
  <c r="I723" i="4"/>
  <c r="J723" i="4"/>
  <c r="A723" i="4" s="1"/>
  <c r="J713" i="4"/>
  <c r="A713" i="4" s="1"/>
  <c r="I713" i="4"/>
  <c r="J746" i="4"/>
  <c r="A746" i="4" s="1"/>
  <c r="I746" i="4"/>
  <c r="J739" i="4"/>
  <c r="A739" i="4" s="1"/>
  <c r="I739" i="4"/>
  <c r="I733" i="4"/>
  <c r="J733" i="4"/>
  <c r="A733" i="4" s="1"/>
  <c r="J740" i="4"/>
  <c r="A740" i="4" s="1"/>
  <c r="I740" i="4"/>
  <c r="I744" i="4"/>
  <c r="J744" i="4"/>
  <c r="A744" i="4" s="1"/>
  <c r="J735" i="4"/>
  <c r="A735" i="4" s="1"/>
  <c r="I735" i="4"/>
  <c r="I721" i="4"/>
  <c r="J721" i="4"/>
  <c r="A721" i="4" s="1"/>
  <c r="I724" i="4"/>
  <c r="J724" i="4"/>
  <c r="A724" i="4" s="1"/>
  <c r="J761" i="4"/>
  <c r="A761" i="4" s="1"/>
  <c r="I761" i="4"/>
  <c r="J750" i="4"/>
  <c r="A750" i="4" s="1"/>
  <c r="I750" i="4"/>
  <c r="J768" i="4"/>
  <c r="A768" i="4" s="1"/>
  <c r="I768" i="4"/>
  <c r="J755" i="4"/>
  <c r="A755" i="4" s="1"/>
  <c r="I755" i="4"/>
  <c r="I729" i="4"/>
  <c r="J729" i="4"/>
  <c r="A729" i="4" s="1"/>
  <c r="J736" i="4"/>
  <c r="A736" i="4" s="1"/>
  <c r="I736" i="4"/>
  <c r="I752" i="4"/>
  <c r="J752" i="4"/>
  <c r="A752" i="4" s="1"/>
  <c r="I749" i="4"/>
  <c r="J749" i="4"/>
  <c r="A749" i="4" s="1"/>
  <c r="J754" i="4"/>
  <c r="A754" i="4" s="1"/>
  <c r="I754" i="4"/>
  <c r="J738" i="4"/>
  <c r="A738" i="4" s="1"/>
  <c r="I738" i="4"/>
  <c r="J762" i="4"/>
  <c r="A762" i="4" s="1"/>
  <c r="I762" i="4"/>
  <c r="J760" i="4"/>
  <c r="A760" i="4" s="1"/>
  <c r="I760" i="4"/>
  <c r="I722" i="4"/>
  <c r="J722" i="4"/>
  <c r="A722" i="4" s="1"/>
  <c r="I731" i="4"/>
  <c r="J731" i="4"/>
  <c r="A731" i="4" s="1"/>
  <c r="J728" i="4"/>
  <c r="A728" i="4" s="1"/>
  <c r="I728" i="4"/>
  <c r="J757" i="4"/>
  <c r="A757" i="4" s="1"/>
  <c r="I757" i="4"/>
  <c r="J717" i="4"/>
  <c r="A717" i="4" s="1"/>
  <c r="I717" i="4"/>
  <c r="I719" i="4"/>
  <c r="J719" i="4"/>
  <c r="A719" i="4" s="1"/>
  <c r="I716" i="4"/>
  <c r="J716" i="4"/>
  <c r="A716" i="4" s="1"/>
  <c r="I751" i="4"/>
  <c r="J751" i="4"/>
  <c r="A751" i="4" s="1"/>
  <c r="I756" i="4"/>
  <c r="J756" i="4"/>
  <c r="A756" i="4" s="1"/>
  <c r="I734" i="4"/>
  <c r="J734" i="4"/>
  <c r="A734" i="4" s="1"/>
  <c r="J765" i="4"/>
  <c r="A765" i="4" s="1"/>
  <c r="I765" i="4"/>
  <c r="J741" i="4"/>
  <c r="A741" i="4" s="1"/>
  <c r="I741" i="4"/>
  <c r="I743" i="4"/>
  <c r="J743" i="4"/>
  <c r="A743" i="4" s="1"/>
  <c r="I769" i="4"/>
  <c r="J769" i="4"/>
  <c r="A769" i="4" s="1"/>
  <c r="J758" i="4"/>
  <c r="A758" i="4" s="1"/>
  <c r="I758" i="4"/>
  <c r="I714" i="4"/>
  <c r="J714" i="4"/>
  <c r="A714" i="4" s="1"/>
  <c r="I753" i="4"/>
  <c r="J753" i="4"/>
  <c r="A753" i="4" s="1"/>
  <c r="I747" i="4"/>
  <c r="J747" i="4"/>
  <c r="A747" i="4" s="1"/>
  <c r="J718" i="4"/>
  <c r="A718" i="4" s="1"/>
  <c r="I718" i="4"/>
  <c r="I720" i="4"/>
  <c r="J720" i="4"/>
  <c r="A720" i="4" s="1"/>
  <c r="J730" i="4"/>
  <c r="A730" i="4" s="1"/>
  <c r="I730" i="4"/>
  <c r="J491" i="4"/>
  <c r="A491" i="4" s="1"/>
  <c r="J543" i="4"/>
  <c r="A543" i="4" s="1"/>
  <c r="I562" i="4"/>
  <c r="I700" i="4"/>
  <c r="J700" i="4"/>
  <c r="A700" i="4" s="1"/>
  <c r="J699" i="4"/>
  <c r="A699" i="4" s="1"/>
  <c r="I699" i="4"/>
  <c r="I693" i="4"/>
  <c r="J693" i="4"/>
  <c r="A693" i="4" s="1"/>
  <c r="I692" i="4"/>
  <c r="J692" i="4"/>
  <c r="A692" i="4" s="1"/>
  <c r="J691" i="4"/>
  <c r="A691" i="4" s="1"/>
  <c r="I691" i="4"/>
  <c r="I701" i="4"/>
  <c r="J701" i="4"/>
  <c r="A701" i="4" s="1"/>
  <c r="I694" i="4"/>
  <c r="J694" i="4"/>
  <c r="A694" i="4" s="1"/>
  <c r="I617" i="4"/>
  <c r="I362" i="4"/>
  <c r="I663" i="4"/>
  <c r="J663" i="4"/>
  <c r="A663" i="4" s="1"/>
  <c r="J473" i="4"/>
  <c r="A473" i="4" s="1"/>
  <c r="I473" i="4"/>
  <c r="I688" i="4"/>
  <c r="J688" i="4"/>
  <c r="A688" i="4" s="1"/>
  <c r="I648" i="4"/>
  <c r="J648" i="4"/>
  <c r="A648" i="4" s="1"/>
  <c r="I662" i="4"/>
  <c r="J662" i="4"/>
  <c r="A662" i="4" s="1"/>
  <c r="I681" i="4"/>
  <c r="J681" i="4"/>
  <c r="A681" i="4" s="1"/>
  <c r="I430" i="4"/>
  <c r="J430" i="4"/>
  <c r="A430" i="4" s="1"/>
  <c r="I687" i="4"/>
  <c r="J687" i="4"/>
  <c r="A687" i="4" s="1"/>
  <c r="I636" i="4"/>
  <c r="J636" i="4"/>
  <c r="A636" i="4" s="1"/>
  <c r="I575" i="4"/>
  <c r="J575" i="4"/>
  <c r="A575" i="4" s="1"/>
  <c r="J577" i="4"/>
  <c r="A577" i="4" s="1"/>
  <c r="I577" i="4"/>
  <c r="J685" i="4"/>
  <c r="A685" i="4" s="1"/>
  <c r="I685" i="4"/>
  <c r="J637" i="4"/>
  <c r="A637" i="4" s="1"/>
  <c r="I637" i="4"/>
  <c r="J638" i="4"/>
  <c r="A638" i="4" s="1"/>
  <c r="I638" i="4"/>
  <c r="J646" i="4"/>
  <c r="A646" i="4" s="1"/>
  <c r="I646" i="4"/>
  <c r="I684" i="4"/>
  <c r="J684" i="4"/>
  <c r="A684" i="4" s="1"/>
  <c r="J505" i="4"/>
  <c r="A505" i="4" s="1"/>
  <c r="I505" i="4"/>
  <c r="J435" i="4"/>
  <c r="A435" i="4" s="1"/>
  <c r="I435" i="4"/>
  <c r="I503" i="4"/>
  <c r="J503" i="4"/>
  <c r="A503" i="4" s="1"/>
  <c r="J647" i="4"/>
  <c r="A647" i="4" s="1"/>
  <c r="I647" i="4"/>
  <c r="I689" i="4"/>
  <c r="J689" i="4"/>
  <c r="A689" i="4" s="1"/>
  <c r="I650" i="4"/>
  <c r="J650" i="4"/>
  <c r="A650" i="4" s="1"/>
  <c r="I572" i="4"/>
  <c r="J572" i="4"/>
  <c r="A572" i="4" s="1"/>
  <c r="I635" i="4"/>
  <c r="J635" i="4"/>
  <c r="A635" i="4" s="1"/>
  <c r="I433" i="4"/>
  <c r="J433" i="4"/>
  <c r="A433" i="4" s="1"/>
  <c r="I690" i="4"/>
  <c r="J690" i="4"/>
  <c r="A690" i="4" s="1"/>
  <c r="J645" i="4"/>
  <c r="A645" i="4" s="1"/>
  <c r="I645" i="4"/>
  <c r="I644" i="4"/>
  <c r="J644" i="4"/>
  <c r="A644" i="4" s="1"/>
  <c r="J686" i="4"/>
  <c r="A686" i="4" s="1"/>
  <c r="I686" i="4"/>
  <c r="J661" i="4"/>
  <c r="A661" i="4" s="1"/>
  <c r="I661" i="4"/>
  <c r="I679" i="4"/>
  <c r="J679" i="4"/>
  <c r="A679" i="4" s="1"/>
  <c r="I639" i="4"/>
  <c r="J639" i="4"/>
  <c r="A639" i="4" s="1"/>
  <c r="J393" i="4"/>
  <c r="A393" i="4" s="1"/>
  <c r="I493" i="4"/>
  <c r="I329" i="4"/>
  <c r="J354" i="4"/>
  <c r="A354" i="4" s="1"/>
  <c r="J287" i="4"/>
  <c r="A287" i="4" s="1"/>
  <c r="J355" i="4"/>
  <c r="A355" i="4" s="1"/>
  <c r="J174" i="4"/>
  <c r="A174" i="4" s="1"/>
  <c r="J614" i="4"/>
  <c r="A614" i="4" s="1"/>
  <c r="J564" i="4"/>
  <c r="A564" i="4" s="1"/>
  <c r="J5" i="4"/>
  <c r="A5" i="4" s="1"/>
  <c r="I348" i="4"/>
  <c r="J24" i="4"/>
  <c r="A24" i="4" s="1"/>
  <c r="J539" i="4"/>
  <c r="A539" i="4" s="1"/>
  <c r="I539" i="4"/>
  <c r="J540" i="4"/>
  <c r="A540" i="4" s="1"/>
  <c r="I540" i="4"/>
  <c r="J541" i="4"/>
  <c r="A541" i="4" s="1"/>
  <c r="I541" i="4"/>
  <c r="I535" i="4"/>
  <c r="J535" i="4"/>
  <c r="A535" i="4" s="1"/>
  <c r="I536" i="4"/>
  <c r="J536" i="4"/>
  <c r="A536" i="4" s="1"/>
  <c r="J537" i="4"/>
  <c r="A537" i="4" s="1"/>
  <c r="I537" i="4"/>
  <c r="J538" i="4"/>
  <c r="A538" i="4" s="1"/>
  <c r="I538" i="4"/>
  <c r="I551" i="4"/>
  <c r="J551" i="4"/>
  <c r="A551" i="4" s="1"/>
  <c r="I550" i="4"/>
  <c r="J550" i="4"/>
  <c r="A550" i="4" s="1"/>
  <c r="I613" i="4"/>
  <c r="J613" i="4"/>
  <c r="A613" i="4" s="1"/>
  <c r="I612" i="4"/>
  <c r="J612" i="4"/>
  <c r="A612" i="4" s="1"/>
  <c r="I611" i="4"/>
  <c r="J611" i="4"/>
  <c r="A611" i="4" s="1"/>
  <c r="I610" i="4"/>
  <c r="J610" i="4"/>
  <c r="A610" i="4" s="1"/>
  <c r="I609" i="4"/>
  <c r="J609" i="4"/>
  <c r="A609" i="4" s="1"/>
  <c r="J608" i="4"/>
  <c r="A608" i="4" s="1"/>
  <c r="I608" i="4"/>
  <c r="J607" i="4"/>
  <c r="A607" i="4" s="1"/>
  <c r="I607" i="4"/>
  <c r="I623" i="4"/>
  <c r="J623" i="4"/>
  <c r="A623" i="4" s="1"/>
  <c r="I622" i="4"/>
  <c r="J622" i="4"/>
  <c r="A622" i="4" s="1"/>
  <c r="I502" i="4"/>
  <c r="J502" i="4"/>
  <c r="A502" i="4" s="1"/>
  <c r="J501" i="4"/>
  <c r="A501" i="4" s="1"/>
  <c r="I501" i="4"/>
  <c r="I499" i="4"/>
  <c r="J499" i="4"/>
  <c r="A499" i="4" s="1"/>
  <c r="J552" i="4"/>
  <c r="A552" i="4" s="1"/>
  <c r="I552" i="4"/>
  <c r="I574" i="4"/>
  <c r="J574" i="4"/>
  <c r="A574" i="4" s="1"/>
  <c r="J573" i="4"/>
  <c r="A573" i="4" s="1"/>
  <c r="I573" i="4"/>
  <c r="I571" i="4"/>
  <c r="J571" i="4"/>
  <c r="A571" i="4" s="1"/>
  <c r="J624" i="4"/>
  <c r="A624" i="4" s="1"/>
  <c r="I624" i="4"/>
  <c r="I131" i="4"/>
  <c r="I183" i="4"/>
  <c r="I135" i="4"/>
  <c r="I178" i="4"/>
  <c r="I132" i="4"/>
  <c r="I294" i="4"/>
  <c r="I120" i="4"/>
  <c r="J159" i="4"/>
  <c r="A159" i="4" s="1"/>
  <c r="I271" i="4"/>
  <c r="I231" i="4"/>
  <c r="J242" i="4"/>
  <c r="A242" i="4" s="1"/>
  <c r="I360" i="4"/>
  <c r="I227" i="4"/>
  <c r="J288" i="4"/>
  <c r="A288" i="4" s="1"/>
  <c r="I171" i="4"/>
  <c r="J289" i="4"/>
  <c r="A289" i="4" s="1"/>
  <c r="I310" i="4"/>
  <c r="J144" i="4"/>
  <c r="A144" i="4" s="1"/>
  <c r="I300" i="4"/>
  <c r="I347" i="4"/>
  <c r="J126" i="4"/>
  <c r="A126" i="4" s="1"/>
  <c r="J298" i="4"/>
  <c r="A298" i="4" s="1"/>
  <c r="J366" i="4"/>
  <c r="A366" i="4" s="1"/>
  <c r="J87" i="4"/>
  <c r="A87" i="4" s="1"/>
  <c r="J136" i="4"/>
  <c r="A136" i="4" s="1"/>
  <c r="I233" i="4"/>
  <c r="J6" i="4"/>
  <c r="A6" i="4" s="1"/>
  <c r="J479" i="4"/>
  <c r="A479" i="4" s="1"/>
  <c r="I479" i="4"/>
  <c r="J478" i="4"/>
  <c r="A478" i="4" s="1"/>
  <c r="I478" i="4"/>
  <c r="J470" i="4"/>
  <c r="A470" i="4" s="1"/>
  <c r="I470" i="4"/>
  <c r="J472" i="4"/>
  <c r="A472" i="4" s="1"/>
  <c r="I472" i="4"/>
  <c r="J471" i="4"/>
  <c r="A471" i="4" s="1"/>
  <c r="I471" i="4"/>
  <c r="I177" i="4"/>
  <c r="J465" i="4"/>
  <c r="A465" i="4" s="1"/>
  <c r="I465" i="4"/>
  <c r="J424" i="4"/>
  <c r="A424" i="4" s="1"/>
  <c r="I424" i="4"/>
  <c r="J466" i="4"/>
  <c r="A466" i="4" s="1"/>
  <c r="I466" i="4"/>
  <c r="I402" i="4"/>
  <c r="J402" i="4"/>
  <c r="A402" i="4" s="1"/>
  <c r="J408" i="4"/>
  <c r="A408" i="4" s="1"/>
  <c r="I408" i="4"/>
  <c r="J451" i="4"/>
  <c r="A451" i="4" s="1"/>
  <c r="I451" i="4"/>
  <c r="I432" i="4"/>
  <c r="J432" i="4"/>
  <c r="A432" i="4" s="1"/>
  <c r="J422" i="4"/>
  <c r="A422" i="4" s="1"/>
  <c r="I422" i="4"/>
  <c r="I467" i="4"/>
  <c r="J467" i="4"/>
  <c r="A467" i="4" s="1"/>
  <c r="I431" i="4"/>
  <c r="J431" i="4"/>
  <c r="A431" i="4" s="1"/>
  <c r="I469" i="4"/>
  <c r="J469" i="4"/>
  <c r="A469" i="4" s="1"/>
  <c r="J463" i="4"/>
  <c r="A463" i="4" s="1"/>
  <c r="I463" i="4"/>
  <c r="J400" i="4"/>
  <c r="A400" i="4" s="1"/>
  <c r="I400" i="4"/>
  <c r="I429" i="4"/>
  <c r="J429" i="4"/>
  <c r="A429" i="4" s="1"/>
  <c r="I464" i="4"/>
  <c r="J464" i="4"/>
  <c r="A464" i="4" s="1"/>
  <c r="I401" i="4"/>
  <c r="J401" i="4"/>
  <c r="A401" i="4" s="1"/>
  <c r="I468" i="4"/>
  <c r="J468" i="4"/>
  <c r="A468" i="4" s="1"/>
  <c r="I409" i="4"/>
  <c r="J409" i="4"/>
  <c r="A409" i="4" s="1"/>
  <c r="I410" i="4"/>
  <c r="J410" i="4"/>
  <c r="A410" i="4" s="1"/>
  <c r="I423" i="4"/>
  <c r="J423" i="4"/>
  <c r="A423" i="4" s="1"/>
  <c r="I425" i="4"/>
  <c r="J425" i="4"/>
  <c r="A425" i="4" s="1"/>
  <c r="J293" i="4"/>
  <c r="A293" i="4" s="1"/>
  <c r="J367" i="4"/>
  <c r="A367" i="4" s="1"/>
  <c r="I232" i="4"/>
  <c r="I173" i="4"/>
  <c r="J15" i="4"/>
  <c r="A15" i="4" s="1"/>
  <c r="I229" i="4"/>
  <c r="I114" i="4"/>
  <c r="J134" i="4"/>
  <c r="A134" i="4" s="1"/>
  <c r="J217" i="4"/>
  <c r="A217" i="4" s="1"/>
  <c r="J330" i="4"/>
  <c r="A330" i="4" s="1"/>
  <c r="I252" i="4"/>
  <c r="I166" i="4"/>
  <c r="I282" i="4"/>
  <c r="I124" i="4"/>
  <c r="I292" i="4"/>
  <c r="J172" i="4"/>
  <c r="A172" i="4" s="1"/>
  <c r="J235" i="4"/>
  <c r="A235" i="4" s="1"/>
  <c r="J250" i="4"/>
  <c r="A250" i="4" s="1"/>
  <c r="J248" i="4"/>
  <c r="A248" i="4" s="1"/>
  <c r="I224" i="4"/>
  <c r="I331" i="4"/>
  <c r="I273" i="4"/>
  <c r="I133" i="4"/>
  <c r="I291" i="4"/>
  <c r="J176" i="4"/>
  <c r="A176" i="4" s="1"/>
  <c r="J290" i="4"/>
  <c r="A290" i="4" s="1"/>
  <c r="J234" i="4"/>
  <c r="A234" i="4" s="1"/>
  <c r="J398" i="4"/>
  <c r="A398" i="4" s="1"/>
  <c r="I398" i="4"/>
  <c r="J104" i="4"/>
  <c r="A104" i="4" s="1"/>
  <c r="J394" i="4"/>
  <c r="A394" i="4" s="1"/>
  <c r="I394" i="4"/>
  <c r="J353" i="4"/>
  <c r="A353" i="4" s="1"/>
  <c r="I353" i="4"/>
  <c r="I363" i="4"/>
  <c r="J363" i="4"/>
  <c r="A363" i="4" s="1"/>
  <c r="I397" i="4"/>
  <c r="J397" i="4"/>
  <c r="A397" i="4" s="1"/>
  <c r="I356" i="4"/>
  <c r="J356" i="4"/>
  <c r="A356" i="4" s="1"/>
  <c r="I352" i="4"/>
  <c r="J352" i="4"/>
  <c r="A352" i="4" s="1"/>
  <c r="J387" i="4"/>
  <c r="A387" i="4" s="1"/>
  <c r="I387" i="4"/>
  <c r="J396" i="4"/>
  <c r="A396" i="4" s="1"/>
  <c r="I396" i="4"/>
  <c r="J175" i="4"/>
  <c r="A175" i="4" s="1"/>
  <c r="J272" i="4"/>
  <c r="A272" i="4" s="1"/>
  <c r="I349" i="4"/>
  <c r="J349" i="4"/>
  <c r="A349" i="4" s="1"/>
  <c r="J368" i="4"/>
  <c r="A368" i="4" s="1"/>
  <c r="I368" i="4"/>
  <c r="I340" i="4"/>
  <c r="J369" i="4"/>
  <c r="A369" i="4" s="1"/>
  <c r="I369" i="4"/>
  <c r="I364" i="4"/>
  <c r="J364" i="4"/>
  <c r="A364" i="4" s="1"/>
  <c r="J395" i="4"/>
  <c r="A395" i="4" s="1"/>
  <c r="I395" i="4"/>
  <c r="I365" i="4"/>
  <c r="J365" i="4"/>
  <c r="A365" i="4" s="1"/>
  <c r="J382" i="4"/>
  <c r="A382" i="4" s="1"/>
  <c r="I382" i="4"/>
  <c r="J236" i="4"/>
  <c r="A236" i="4" s="1"/>
  <c r="I357" i="4"/>
  <c r="J357" i="4"/>
  <c r="A357" i="4" s="1"/>
  <c r="J358" i="4"/>
  <c r="A358" i="4" s="1"/>
  <c r="I358" i="4"/>
  <c r="I378" i="4"/>
  <c r="J378" i="4"/>
  <c r="A378" i="4" s="1"/>
  <c r="I350" i="4"/>
  <c r="J350" i="4"/>
  <c r="A350" i="4" s="1"/>
  <c r="I351" i="4"/>
  <c r="J351" i="4"/>
  <c r="A351" i="4" s="1"/>
  <c r="J379" i="4"/>
  <c r="A379" i="4" s="1"/>
  <c r="I379" i="4"/>
  <c r="I399" i="4"/>
  <c r="J399" i="4"/>
  <c r="A399" i="4" s="1"/>
  <c r="J361" i="4"/>
  <c r="A361" i="4" s="1"/>
  <c r="I361" i="4"/>
  <c r="J370" i="4"/>
  <c r="A370" i="4" s="1"/>
  <c r="I370" i="4"/>
  <c r="I304" i="4"/>
  <c r="I286" i="4"/>
  <c r="I275" i="4"/>
  <c r="I305" i="4"/>
  <c r="J305" i="4"/>
  <c r="A305" i="4" s="1"/>
  <c r="J307" i="4"/>
  <c r="A307" i="4" s="1"/>
  <c r="I307" i="4"/>
  <c r="J249" i="4"/>
  <c r="A249" i="4" s="1"/>
  <c r="I249" i="4"/>
  <c r="I297" i="4"/>
  <c r="J297" i="4"/>
  <c r="A297" i="4" s="1"/>
  <c r="J237" i="4"/>
  <c r="A237" i="4" s="1"/>
  <c r="I237" i="4"/>
  <c r="J303" i="4"/>
  <c r="A303" i="4" s="1"/>
  <c r="I303" i="4"/>
  <c r="J333" i="4"/>
  <c r="A333" i="4" s="1"/>
  <c r="I333" i="4"/>
  <c r="I276" i="4"/>
  <c r="J276" i="4"/>
  <c r="A276" i="4" s="1"/>
  <c r="I306" i="4"/>
  <c r="J306" i="4"/>
  <c r="A306" i="4" s="1"/>
  <c r="J244" i="4"/>
  <c r="A244" i="4" s="1"/>
  <c r="I244" i="4"/>
  <c r="J336" i="4"/>
  <c r="A336" i="4" s="1"/>
  <c r="I336" i="4"/>
  <c r="J334" i="4"/>
  <c r="A334" i="4" s="1"/>
  <c r="I334" i="4"/>
  <c r="I274" i="4"/>
  <c r="J274" i="4"/>
  <c r="A274" i="4" s="1"/>
  <c r="J296" i="4"/>
  <c r="A296" i="4" s="1"/>
  <c r="I296" i="4"/>
  <c r="J238" i="4"/>
  <c r="A238" i="4" s="1"/>
  <c r="I238" i="4"/>
  <c r="I302" i="4"/>
  <c r="J302" i="4"/>
  <c r="A302" i="4" s="1"/>
  <c r="I278" i="4"/>
  <c r="J278" i="4"/>
  <c r="A278" i="4" s="1"/>
  <c r="I279" i="4"/>
  <c r="J279" i="4"/>
  <c r="A279" i="4" s="1"/>
  <c r="I284" i="4"/>
  <c r="J284" i="4"/>
  <c r="A284" i="4" s="1"/>
  <c r="J247" i="4"/>
  <c r="A247" i="4" s="1"/>
  <c r="I247" i="4"/>
  <c r="I246" i="4"/>
  <c r="J246" i="4"/>
  <c r="A246" i="4" s="1"/>
  <c r="J240" i="4"/>
  <c r="A240" i="4" s="1"/>
  <c r="I240" i="4"/>
  <c r="I277" i="4"/>
  <c r="J277" i="4"/>
  <c r="A277" i="4" s="1"/>
  <c r="J332" i="4"/>
  <c r="A332" i="4" s="1"/>
  <c r="I332" i="4"/>
  <c r="I251" i="4"/>
  <c r="J251" i="4"/>
  <c r="A251" i="4" s="1"/>
  <c r="J309" i="4"/>
  <c r="A309" i="4" s="1"/>
  <c r="I309" i="4"/>
  <c r="I335" i="4"/>
  <c r="J335" i="4"/>
  <c r="A335" i="4" s="1"/>
  <c r="J308" i="4"/>
  <c r="A308" i="4" s="1"/>
  <c r="I308" i="4"/>
  <c r="J245" i="4"/>
  <c r="A245" i="4" s="1"/>
  <c r="I245" i="4"/>
  <c r="I243" i="4"/>
  <c r="J243" i="4"/>
  <c r="A243" i="4" s="1"/>
  <c r="J342" i="4"/>
  <c r="A342" i="4" s="1"/>
  <c r="I342" i="4"/>
  <c r="J337" i="4"/>
  <c r="A337" i="4" s="1"/>
  <c r="I337" i="4"/>
  <c r="J285" i="4"/>
  <c r="A285" i="4" s="1"/>
  <c r="I285" i="4"/>
  <c r="J344" i="4"/>
  <c r="A344" i="4" s="1"/>
  <c r="I344" i="4"/>
  <c r="J301" i="4"/>
  <c r="A301" i="4" s="1"/>
  <c r="I301" i="4"/>
  <c r="I239" i="4"/>
  <c r="J239" i="4"/>
  <c r="A239" i="4" s="1"/>
  <c r="J343" i="4"/>
  <c r="A343" i="4" s="1"/>
  <c r="I343" i="4"/>
  <c r="I295" i="4"/>
  <c r="J295" i="4"/>
  <c r="A295" i="4" s="1"/>
  <c r="I228" i="4"/>
  <c r="J228" i="4"/>
  <c r="A228" i="4" s="1"/>
  <c r="I218" i="4"/>
  <c r="J218" i="4"/>
  <c r="A218" i="4" s="1"/>
  <c r="I226" i="4"/>
  <c r="J226" i="4"/>
  <c r="A226" i="4" s="1"/>
  <c r="I221" i="4"/>
  <c r="J221" i="4"/>
  <c r="A221" i="4" s="1"/>
  <c r="I220" i="4"/>
  <c r="J220" i="4"/>
  <c r="A220" i="4" s="1"/>
  <c r="I219" i="4"/>
  <c r="J219" i="4"/>
  <c r="A219" i="4" s="1"/>
  <c r="I90" i="4"/>
  <c r="J182" i="4"/>
  <c r="A182" i="4" s="1"/>
  <c r="J91" i="4"/>
  <c r="A91" i="4" s="1"/>
  <c r="J17" i="4"/>
  <c r="A17" i="4" s="1"/>
  <c r="I208" i="4"/>
  <c r="J208" i="4"/>
  <c r="A208" i="4" s="1"/>
  <c r="I188" i="4"/>
  <c r="J188" i="4"/>
  <c r="A188" i="4" s="1"/>
  <c r="J209" i="4"/>
  <c r="A209" i="4" s="1"/>
  <c r="I209" i="4"/>
  <c r="J207" i="4"/>
  <c r="A207" i="4" s="1"/>
  <c r="I207" i="4"/>
  <c r="J215" i="4"/>
  <c r="A215" i="4" s="1"/>
  <c r="I215" i="4"/>
  <c r="I181" i="4"/>
  <c r="J181" i="4"/>
  <c r="A181" i="4" s="1"/>
  <c r="I197" i="4"/>
  <c r="J197" i="4"/>
  <c r="A197" i="4" s="1"/>
  <c r="J193" i="4"/>
  <c r="A193" i="4" s="1"/>
  <c r="I193" i="4"/>
  <c r="J185" i="4"/>
  <c r="A185" i="4" s="1"/>
  <c r="I185" i="4"/>
  <c r="I187" i="4"/>
  <c r="J187" i="4"/>
  <c r="A187" i="4" s="1"/>
  <c r="I195" i="4"/>
  <c r="J195" i="4"/>
  <c r="A195" i="4" s="1"/>
  <c r="I180" i="4"/>
  <c r="J180" i="4"/>
  <c r="A180" i="4" s="1"/>
  <c r="I196" i="4"/>
  <c r="J196" i="4"/>
  <c r="A196" i="4" s="1"/>
  <c r="I190" i="4"/>
  <c r="J190" i="4"/>
  <c r="A190" i="4" s="1"/>
  <c r="I191" i="4"/>
  <c r="J191" i="4"/>
  <c r="A191" i="4" s="1"/>
  <c r="J199" i="4"/>
  <c r="A199" i="4" s="1"/>
  <c r="I199" i="4"/>
  <c r="I202" i="4"/>
  <c r="J202" i="4"/>
  <c r="A202" i="4" s="1"/>
  <c r="J210" i="4"/>
  <c r="A210" i="4" s="1"/>
  <c r="I210" i="4"/>
  <c r="I213" i="4"/>
  <c r="J213" i="4"/>
  <c r="A213" i="4" s="1"/>
  <c r="I198" i="4"/>
  <c r="J198" i="4"/>
  <c r="A198" i="4" s="1"/>
  <c r="I204" i="4"/>
  <c r="J204" i="4"/>
  <c r="A204" i="4" s="1"/>
  <c r="I211" i="4"/>
  <c r="J211" i="4"/>
  <c r="A211" i="4" s="1"/>
  <c r="I212" i="4"/>
  <c r="J212" i="4"/>
  <c r="A212" i="4" s="1"/>
  <c r="J189" i="4"/>
  <c r="A189" i="4" s="1"/>
  <c r="I189" i="4"/>
  <c r="I205" i="4"/>
  <c r="J205" i="4"/>
  <c r="A205" i="4" s="1"/>
  <c r="I186" i="4"/>
  <c r="J186" i="4"/>
  <c r="A186" i="4" s="1"/>
  <c r="J194" i="4"/>
  <c r="A194" i="4" s="1"/>
  <c r="I194" i="4"/>
  <c r="I179" i="4"/>
  <c r="J179" i="4"/>
  <c r="A179" i="4" s="1"/>
  <c r="I206" i="4"/>
  <c r="J206" i="4"/>
  <c r="A206" i="4" s="1"/>
  <c r="I216" i="4"/>
  <c r="J216" i="4"/>
  <c r="A216" i="4" s="1"/>
  <c r="I192" i="4"/>
  <c r="J192" i="4"/>
  <c r="A192" i="4" s="1"/>
  <c r="J203" i="4"/>
  <c r="A203" i="4" s="1"/>
  <c r="I203" i="4"/>
  <c r="J200" i="4"/>
  <c r="A200" i="4" s="1"/>
  <c r="I200" i="4"/>
  <c r="I214" i="4"/>
  <c r="J214" i="4"/>
  <c r="A214" i="4" s="1"/>
  <c r="J201" i="4"/>
  <c r="A201" i="4" s="1"/>
  <c r="I201" i="4"/>
  <c r="I165" i="4"/>
  <c r="J165" i="4"/>
  <c r="A165" i="4" s="1"/>
  <c r="I164" i="4"/>
  <c r="J164" i="4"/>
  <c r="A164" i="4" s="1"/>
  <c r="I163" i="4"/>
  <c r="J163" i="4"/>
  <c r="A163" i="4" s="1"/>
  <c r="I169" i="4"/>
  <c r="J169" i="4"/>
  <c r="A169" i="4" s="1"/>
  <c r="I88" i="4"/>
  <c r="I170" i="4"/>
  <c r="J170" i="4"/>
  <c r="A170" i="4" s="1"/>
  <c r="I89" i="4"/>
  <c r="I4" i="4"/>
  <c r="J4" i="4"/>
  <c r="A4" i="4" s="1"/>
  <c r="I119" i="4"/>
  <c r="J119" i="4"/>
  <c r="A119" i="4" s="1"/>
  <c r="J113" i="4"/>
  <c r="A113" i="4" s="1"/>
  <c r="I113" i="4"/>
  <c r="J93" i="4"/>
  <c r="A93" i="4" s="1"/>
  <c r="J106" i="4"/>
  <c r="A106" i="4" s="1"/>
  <c r="I106" i="4"/>
  <c r="I145" i="4"/>
  <c r="J145" i="4"/>
  <c r="A145" i="4" s="1"/>
  <c r="I18" i="4"/>
  <c r="J18" i="4"/>
  <c r="A18" i="4" s="1"/>
  <c r="I139" i="4"/>
  <c r="J139" i="4"/>
  <c r="A139" i="4" s="1"/>
  <c r="I25" i="4"/>
  <c r="J25" i="4"/>
  <c r="A25" i="4" s="1"/>
  <c r="I11" i="4"/>
  <c r="J11" i="4"/>
  <c r="A11" i="4" s="1"/>
  <c r="I138" i="4"/>
  <c r="J138" i="4"/>
  <c r="A138" i="4" s="1"/>
  <c r="I14" i="4"/>
  <c r="J14" i="4"/>
  <c r="A14" i="4" s="1"/>
  <c r="J92" i="4"/>
  <c r="A92" i="4" s="1"/>
  <c r="I146" i="4"/>
  <c r="J146" i="4"/>
  <c r="A146" i="4" s="1"/>
  <c r="J98" i="4"/>
  <c r="A98" i="4" s="1"/>
  <c r="I98" i="4"/>
  <c r="J97" i="4"/>
  <c r="A97" i="4" s="1"/>
  <c r="I97" i="4"/>
  <c r="I137" i="4"/>
  <c r="J137" i="4"/>
  <c r="A137" i="4" s="1"/>
  <c r="I141" i="4"/>
  <c r="J141" i="4"/>
  <c r="A141" i="4" s="1"/>
  <c r="I160" i="4"/>
  <c r="J160" i="4"/>
  <c r="A160" i="4" s="1"/>
  <c r="I105" i="4"/>
  <c r="J105" i="4"/>
  <c r="A105" i="4" s="1"/>
  <c r="I150" i="4"/>
  <c r="J150" i="4"/>
  <c r="A150" i="4" s="1"/>
  <c r="I16" i="4"/>
  <c r="J16" i="4"/>
  <c r="A16" i="4" s="1"/>
  <c r="I2" i="4"/>
  <c r="J2" i="4"/>
  <c r="A2" i="4" s="1"/>
  <c r="I107" i="4"/>
  <c r="J107" i="4"/>
  <c r="A107" i="4" s="1"/>
  <c r="J112" i="4"/>
  <c r="A112" i="4" s="1"/>
  <c r="I112" i="4"/>
  <c r="I26" i="4"/>
  <c r="J26" i="4"/>
  <c r="A26" i="4" s="1"/>
  <c r="I10" i="4"/>
  <c r="J10" i="4"/>
  <c r="A10" i="4" s="1"/>
  <c r="I162" i="4"/>
  <c r="J162" i="4"/>
  <c r="A162" i="4" s="1"/>
  <c r="I3" i="4"/>
  <c r="J3" i="4"/>
  <c r="A3" i="4" s="1"/>
  <c r="J100" i="4"/>
  <c r="A100" i="4" s="1"/>
  <c r="I100" i="4"/>
  <c r="J148" i="4"/>
  <c r="A148" i="4" s="1"/>
  <c r="I148" i="4"/>
  <c r="I27" i="4"/>
  <c r="J27" i="4"/>
  <c r="A27" i="4" s="1"/>
  <c r="I96" i="4"/>
  <c r="J96" i="4"/>
  <c r="A96" i="4" s="1"/>
  <c r="I12" i="4"/>
  <c r="J12" i="4"/>
  <c r="A12" i="4" s="1"/>
  <c r="I109" i="4"/>
  <c r="J109" i="4"/>
  <c r="A109" i="4" s="1"/>
  <c r="J111" i="4"/>
  <c r="A111" i="4" s="1"/>
  <c r="I111" i="4"/>
  <c r="I161" i="4"/>
  <c r="J161" i="4"/>
  <c r="A161" i="4" s="1"/>
  <c r="I13" i="4"/>
  <c r="J13" i="4"/>
  <c r="A13" i="4" s="1"/>
  <c r="J101" i="4"/>
  <c r="A101" i="4" s="1"/>
  <c r="I101" i="4"/>
  <c r="I116" i="4"/>
  <c r="J116" i="4"/>
  <c r="A116" i="4" s="1"/>
  <c r="J99" i="4"/>
  <c r="A99" i="4" s="1"/>
  <c r="I99" i="4"/>
  <c r="J117" i="4"/>
  <c r="A117" i="4" s="1"/>
  <c r="I117" i="4"/>
  <c r="J140" i="4"/>
  <c r="A140" i="4" s="1"/>
  <c r="I140" i="4"/>
  <c r="I95" i="4"/>
  <c r="J95" i="4"/>
  <c r="A95" i="4" s="1"/>
  <c r="J65" i="4"/>
  <c r="A65" i="4" s="1"/>
  <c r="I65" i="4"/>
  <c r="J86" i="4"/>
  <c r="A86" i="4" s="1"/>
  <c r="I86" i="4"/>
  <c r="I68" i="4"/>
  <c r="J68" i="4"/>
  <c r="A68" i="4" s="1"/>
  <c r="I62" i="4"/>
  <c r="J62" i="4"/>
  <c r="A62" i="4" s="1"/>
  <c r="J78" i="4"/>
  <c r="A78" i="4" s="1"/>
  <c r="I78" i="4"/>
  <c r="J83" i="4"/>
  <c r="A83" i="4" s="1"/>
  <c r="I83" i="4"/>
  <c r="J80" i="4"/>
  <c r="A80" i="4" s="1"/>
  <c r="I80" i="4"/>
  <c r="J70" i="4"/>
  <c r="A70" i="4" s="1"/>
  <c r="I70" i="4"/>
  <c r="J75" i="4"/>
  <c r="A75" i="4" s="1"/>
  <c r="I75" i="4"/>
  <c r="I58" i="4"/>
  <c r="J58" i="4"/>
  <c r="A58" i="4" s="1"/>
  <c r="J72" i="4"/>
  <c r="A72" i="4" s="1"/>
  <c r="I72" i="4"/>
  <c r="I85" i="4"/>
  <c r="J85" i="4"/>
  <c r="A85" i="4" s="1"/>
  <c r="J67" i="4"/>
  <c r="A67" i="4" s="1"/>
  <c r="I67" i="4"/>
  <c r="I59" i="4"/>
  <c r="J59" i="4"/>
  <c r="A59" i="4" s="1"/>
  <c r="I61" i="4"/>
  <c r="J61" i="4"/>
  <c r="A61" i="4" s="1"/>
  <c r="J77" i="4"/>
  <c r="A77" i="4" s="1"/>
  <c r="I77" i="4"/>
  <c r="J64" i="4"/>
  <c r="A64" i="4" s="1"/>
  <c r="I64" i="4"/>
  <c r="I63" i="4"/>
  <c r="J63" i="4"/>
  <c r="A63" i="4" s="1"/>
  <c r="I79" i="4"/>
  <c r="J79" i="4"/>
  <c r="A79" i="4" s="1"/>
  <c r="I69" i="4"/>
  <c r="J69" i="4"/>
  <c r="A69" i="4" s="1"/>
  <c r="J82" i="4"/>
  <c r="A82" i="4" s="1"/>
  <c r="I82" i="4"/>
  <c r="I81" i="4"/>
  <c r="J81" i="4"/>
  <c r="A81" i="4" s="1"/>
  <c r="J71" i="4"/>
  <c r="A71" i="4" s="1"/>
  <c r="I71" i="4"/>
  <c r="J84" i="4"/>
  <c r="A84" i="4" s="1"/>
  <c r="I84" i="4"/>
  <c r="I74" i="4"/>
  <c r="J74" i="4"/>
  <c r="A74" i="4" s="1"/>
  <c r="J73" i="4"/>
  <c r="A73" i="4" s="1"/>
  <c r="I73" i="4"/>
  <c r="I60" i="4"/>
  <c r="J60" i="4"/>
  <c r="A60" i="4" s="1"/>
  <c r="I76" i="4"/>
  <c r="J76" i="4"/>
  <c r="A76" i="4" s="1"/>
  <c r="J66" i="4"/>
  <c r="A66" i="4" s="1"/>
  <c r="I66" i="4"/>
  <c r="I29" i="4"/>
  <c r="J29" i="4"/>
  <c r="A29" i="4" s="1"/>
  <c r="I30" i="4"/>
  <c r="J30" i="4"/>
  <c r="A30" i="4" s="1"/>
  <c r="I56" i="4"/>
  <c r="J56" i="4"/>
  <c r="A56" i="4" s="1"/>
  <c r="I57" i="4"/>
  <c r="J57" i="4"/>
  <c r="A57" i="4" s="1"/>
  <c r="I28" i="4"/>
  <c r="J28" i="4"/>
  <c r="A28" i="4" s="1"/>
  <c r="J35" i="4"/>
  <c r="A35" i="4" s="1"/>
  <c r="I35" i="4"/>
  <c r="J34" i="4"/>
  <c r="A34" i="4" s="1"/>
  <c r="I34" i="4"/>
  <c r="I33" i="4"/>
  <c r="J33" i="4"/>
  <c r="A33" i="4" s="1"/>
  <c r="J32" i="4"/>
  <c r="A32" i="4" s="1"/>
  <c r="I32" i="4"/>
  <c r="I31" i="4"/>
  <c r="J31" i="4"/>
  <c r="A31" i="4" s="1"/>
  <c r="I55" i="4"/>
  <c r="J55" i="4"/>
  <c r="A55" i="4" s="1"/>
  <c r="I54" i="4"/>
  <c r="J54" i="4"/>
  <c r="A54" i="4" s="1"/>
  <c r="I53" i="4"/>
  <c r="J53" i="4"/>
  <c r="A53" i="4" s="1"/>
  <c r="I52" i="4"/>
  <c r="J52" i="4"/>
  <c r="A52" i="4" s="1"/>
  <c r="I51" i="4"/>
  <c r="J51" i="4"/>
  <c r="A51" i="4" s="1"/>
  <c r="I50" i="4"/>
  <c r="J50" i="4"/>
  <c r="A50" i="4" s="1"/>
  <c r="I49" i="4"/>
  <c r="J49" i="4"/>
  <c r="A49" i="4" s="1"/>
  <c r="I48" i="4"/>
  <c r="J48" i="4"/>
  <c r="A48" i="4" s="1"/>
  <c r="I47" i="4"/>
  <c r="J47" i="4"/>
  <c r="A47" i="4" s="1"/>
  <c r="I46" i="4"/>
  <c r="J46" i="4"/>
  <c r="A46" i="4" s="1"/>
  <c r="I45" i="4"/>
  <c r="J45" i="4"/>
  <c r="A45" i="4" s="1"/>
  <c r="I44" i="4"/>
  <c r="J44" i="4"/>
  <c r="A44" i="4" s="1"/>
  <c r="I43" i="4"/>
  <c r="J43" i="4"/>
  <c r="A43" i="4" s="1"/>
  <c r="I42" i="4"/>
  <c r="J42" i="4"/>
  <c r="A42" i="4" s="1"/>
  <c r="I41" i="4"/>
  <c r="J41" i="4"/>
  <c r="A41" i="4" s="1"/>
  <c r="I40" i="4"/>
  <c r="J40" i="4"/>
  <c r="A40" i="4" s="1"/>
  <c r="I39" i="4"/>
  <c r="J39" i="4"/>
  <c r="A39" i="4" s="1"/>
  <c r="I38" i="4"/>
  <c r="J38" i="4"/>
  <c r="A38" i="4" s="1"/>
  <c r="J37" i="4"/>
  <c r="A37" i="4" s="1"/>
  <c r="I37" i="4"/>
  <c r="I36" i="4"/>
  <c r="J36" i="4"/>
  <c r="A36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Inventaire Azure v1.0.xlsx!TablAzureDevOpsProjet" type="102" refreshedVersion="6" minRefreshableVersion="5">
    <extLst>
      <ext xmlns:x15="http://schemas.microsoft.com/office/spreadsheetml/2010/11/main" uri="{DE250136-89BD-433C-8126-D09CA5730AF9}">
        <x15:connection id="TablAzureDevOpsProjet">
          <x15:rangePr sourceName="_xlcn.WorksheetConnection_InventaireAzurev1.0.xlsxTablAzureDevOpsProjet1"/>
        </x15:connection>
      </ext>
    </extLst>
  </connection>
  <connection id="3" xr16:uid="{00000000-0015-0000-FFFF-FFFF02000000}" name="WorksheetConnection_Inventaire Azure v1.0.xlsx!TabVMAzureEnvProjet" type="102" refreshedVersion="6" minRefreshableVersion="5">
    <extLst>
      <ext xmlns:x15="http://schemas.microsoft.com/office/spreadsheetml/2010/11/main" uri="{DE250136-89BD-433C-8126-D09CA5730AF9}">
        <x15:connection id="TabVMAzureEnvProjet">
          <x15:rangePr sourceName="_xlcn.WorksheetConnection_InventaireAzurev1.0.xlsxTabVMAzureEnvProjet1"/>
        </x15:connection>
      </ext>
    </extLst>
  </connection>
</connections>
</file>

<file path=xl/sharedStrings.xml><?xml version="1.0" encoding="utf-8"?>
<sst xmlns="http://schemas.openxmlformats.org/spreadsheetml/2006/main" count="5592" uniqueCount="431">
  <si>
    <t>Client/Projet/Environnement</t>
  </si>
  <si>
    <t>Somme de Coût</t>
  </si>
  <si>
    <t>AFB</t>
  </si>
  <si>
    <t>AFB-CESMIA</t>
  </si>
  <si>
    <t>AzureDevOps</t>
  </si>
  <si>
    <t>AFB-PNM</t>
  </si>
  <si>
    <t>QUAL_INT</t>
  </si>
  <si>
    <t>OFB-PNM</t>
  </si>
  <si>
    <t>AFB-PNX</t>
  </si>
  <si>
    <t>OFB-SISPEA</t>
  </si>
  <si>
    <t>DEV</t>
  </si>
  <si>
    <t>OFB-SISPEA-VM</t>
  </si>
  <si>
    <t>OFB-CMONSPOT</t>
  </si>
  <si>
    <t>OFB-ESTAMP</t>
  </si>
  <si>
    <t>OFB-ESTAMP-2</t>
  </si>
  <si>
    <t>OFB-CARTOTHEQUE</t>
  </si>
  <si>
    <t>ALM</t>
  </si>
  <si>
    <t>ALM-ATOUT</t>
  </si>
  <si>
    <t>ALM-ATOUT-VM</t>
  </si>
  <si>
    <t>BRGM</t>
  </si>
  <si>
    <t>BRGM-ORRM</t>
  </si>
  <si>
    <t>QUAL_PUB</t>
  </si>
  <si>
    <t>BRGM-ORRM-VM</t>
  </si>
  <si>
    <t>CA-TITRES</t>
  </si>
  <si>
    <t>CATITRES-COMX</t>
  </si>
  <si>
    <t>CATITRES-COMX-VM</t>
  </si>
  <si>
    <t>CNAV</t>
  </si>
  <si>
    <t>CNAV-BI-RGCU</t>
  </si>
  <si>
    <t>FRR</t>
  </si>
  <si>
    <t>FRR-DIGIPAT</t>
  </si>
  <si>
    <t>FRR DIGIPAT</t>
  </si>
  <si>
    <t>FRR-DIGIPAT-VM</t>
  </si>
  <si>
    <t>FRR-APPLIFRR</t>
  </si>
  <si>
    <t>FRR-CADENCIER</t>
  </si>
  <si>
    <t>FRR-PATAPAIN</t>
  </si>
  <si>
    <t>FRR-Patapain</t>
  </si>
  <si>
    <t>FRR-PATAPAINANDROID</t>
  </si>
  <si>
    <t>GFI</t>
  </si>
  <si>
    <t>GFI-WAAC</t>
  </si>
  <si>
    <t>GFI-WAAC-VM</t>
  </si>
  <si>
    <t>GLI</t>
  </si>
  <si>
    <t>GLI-APIBIOMETRIE</t>
  </si>
  <si>
    <t>GLI-APIBiometrie</t>
  </si>
  <si>
    <t>MENESR</t>
  </si>
  <si>
    <t>MENJ-APAE</t>
  </si>
  <si>
    <t>MENJ-BNIE</t>
  </si>
  <si>
    <t>MENJ-BNIE-BDD</t>
  </si>
  <si>
    <t>MENJ-BNIE-Webservices</t>
  </si>
  <si>
    <t>MENJ-RNIE</t>
  </si>
  <si>
    <t>MENJ-RNIE-BDD</t>
  </si>
  <si>
    <t>MENJ-RNIE-Webservices</t>
  </si>
  <si>
    <t>MENJ-BI</t>
  </si>
  <si>
    <t>MENJ-BI-VM</t>
  </si>
  <si>
    <t>MENJ-INSERJEUNES</t>
  </si>
  <si>
    <t>MENJ-InserJeunes</t>
  </si>
  <si>
    <t>MENJ-INERJEUNES</t>
  </si>
  <si>
    <t>ONEMA</t>
  </si>
  <si>
    <t>AFB-BASEINDICATEURS</t>
  </si>
  <si>
    <t>AFB-BaseIndicateurs</t>
  </si>
  <si>
    <t>AFB-CATALOGUE</t>
  </si>
  <si>
    <t>AFB-Catalogue</t>
  </si>
  <si>
    <t>AFB-CDR</t>
  </si>
  <si>
    <t>AFB-OISON</t>
  </si>
  <si>
    <t>AFB-PATBIODIV</t>
  </si>
  <si>
    <t>AFB-PATBiodiv</t>
  </si>
  <si>
    <t>AFB-RAA</t>
  </si>
  <si>
    <t>SPC</t>
  </si>
  <si>
    <t>SPC-BUILD</t>
  </si>
  <si>
    <t>SPC-BUILDAS-VM</t>
  </si>
  <si>
    <t>SPC-WEB</t>
  </si>
  <si>
    <t>PCM</t>
  </si>
  <si>
    <t>PCM-ALS</t>
  </si>
  <si>
    <t>PCM-WEB</t>
  </si>
  <si>
    <t>PCM-Web</t>
  </si>
  <si>
    <t>EBR</t>
  </si>
  <si>
    <t>EBR-LAPOSTE</t>
  </si>
  <si>
    <t>EBR-LAPOSTE-VM</t>
  </si>
  <si>
    <t>OFB</t>
  </si>
  <si>
    <t>OFB-NATUREFRANCE</t>
  </si>
  <si>
    <t>OFB-NatureFrance</t>
  </si>
  <si>
    <t>OFB-FRANCENATURE-VM</t>
  </si>
  <si>
    <t>LAPOSTE</t>
  </si>
  <si>
    <t>LAPOSTE-CDC</t>
  </si>
  <si>
    <t>LAPOSTE-F4N-Musee</t>
  </si>
  <si>
    <t>LAPOSTE-LPK-PortailVoyage</t>
  </si>
  <si>
    <t>LAPOSTE-LPM-IntranetDHA</t>
  </si>
  <si>
    <t>LAPOSTE-L71-PDP</t>
  </si>
  <si>
    <t>LAPOSTE-LCA-PariteUn-e</t>
  </si>
  <si>
    <t>LAPOSTE-VWA-Fondation</t>
  </si>
  <si>
    <t>LAPOSTE-V7_-Galaxy</t>
  </si>
  <si>
    <t>LAPOSTE-VW2-MEDIACOM</t>
  </si>
  <si>
    <t>LAPOSTE-VW7-EvtExpres</t>
  </si>
  <si>
    <t>LAPOSTE-CDC-VM</t>
  </si>
  <si>
    <t>SAFT</t>
  </si>
  <si>
    <t>SAFT-PDM</t>
  </si>
  <si>
    <t>STMICRO</t>
  </si>
  <si>
    <t>STMICRO-DATAPACK</t>
  </si>
  <si>
    <t>STMICRO-DATAPACK-VM</t>
  </si>
  <si>
    <t>STMICRO-ROCKET</t>
  </si>
  <si>
    <t>CGOS</t>
  </si>
  <si>
    <t>CGOS-BI</t>
  </si>
  <si>
    <t>INETUM</t>
  </si>
  <si>
    <t>INETUM-INTERNE</t>
  </si>
  <si>
    <t>GFI-D8-BS4-THEME</t>
  </si>
  <si>
    <t>GFI-MineReport</t>
  </si>
  <si>
    <t>GFI-RedmineDocker</t>
  </si>
  <si>
    <t>GFI-CMIS</t>
  </si>
  <si>
    <t>GFI-COFFEE</t>
  </si>
  <si>
    <t>GFI-CRALENIUM</t>
  </si>
  <si>
    <t>GFI-Docker Devbox Install</t>
  </si>
  <si>
    <t>GFI-PMT</t>
  </si>
  <si>
    <t>GFI-TENDER</t>
  </si>
  <si>
    <t>GFI-BaseDocumentaire</t>
  </si>
  <si>
    <t>INETUM-communaute-technique</t>
  </si>
  <si>
    <t>INETUM-documentation</t>
  </si>
  <si>
    <t>INETUM-starterkit-symfony</t>
  </si>
  <si>
    <t>INETUM-Azure-Pipelines</t>
  </si>
  <si>
    <t>INETUM-starterkit-drupal</t>
  </si>
  <si>
    <t>INETUM-Docker-Base-Image</t>
  </si>
  <si>
    <t>GFI-ORLEANS</t>
  </si>
  <si>
    <t>PROD</t>
  </si>
  <si>
    <t>GFI-PMT-VM</t>
  </si>
  <si>
    <t>INETUM-SONAR</t>
  </si>
  <si>
    <t>ITCE</t>
  </si>
  <si>
    <t>ITCE-SIF</t>
  </si>
  <si>
    <t>ITCE-SIF2</t>
  </si>
  <si>
    <t>Total général</t>
  </si>
  <si>
    <t>ID</t>
  </si>
  <si>
    <t>Nature</t>
  </si>
  <si>
    <t>Projet AzureDevOps</t>
  </si>
  <si>
    <t>VM</t>
  </si>
  <si>
    <t>Env</t>
  </si>
  <si>
    <t>Projet</t>
  </si>
  <si>
    <t>Code SYGES</t>
  </si>
  <si>
    <t>Cost Center</t>
  </si>
  <si>
    <t>Client</t>
  </si>
  <si>
    <t>Mois</t>
  </si>
  <si>
    <t>Coût</t>
  </si>
  <si>
    <t>Commentaire</t>
  </si>
  <si>
    <t>2020-01</t>
  </si>
  <si>
    <t>SPC-WEB-VM</t>
  </si>
  <si>
    <t>d8-qa</t>
  </si>
  <si>
    <t>drupal-qa</t>
  </si>
  <si>
    <t>2020-02</t>
  </si>
  <si>
    <t>INSTALLATION</t>
  </si>
  <si>
    <t>2020-03</t>
  </si>
  <si>
    <t>0.5 J</t>
  </si>
  <si>
    <t>AFB-NatureFrance</t>
  </si>
  <si>
    <t>2020-04</t>
  </si>
  <si>
    <t>2020-05</t>
  </si>
  <si>
    <t>LAPOSTE-Musee</t>
  </si>
  <si>
    <t>2020-06</t>
  </si>
  <si>
    <t>2020-07</t>
  </si>
  <si>
    <t>23/07 (29/06 - 22/07)</t>
  </si>
  <si>
    <t>(29/06 - 22/07)</t>
  </si>
  <si>
    <t>2020-08</t>
  </si>
  <si>
    <t>24/08 (23/07 - 23/08)</t>
  </si>
  <si>
    <t>(23/07 - 23/08)</t>
  </si>
  <si>
    <t>2020-09</t>
  </si>
  <si>
    <t>25/09 (24/08 - 24/08)</t>
  </si>
  <si>
    <t>(24/08 - 24/09)</t>
  </si>
  <si>
    <t>2020-10</t>
  </si>
  <si>
    <t>26/10 (25/09 - 25/10)</t>
  </si>
  <si>
    <t>(25/09 - 25/10)</t>
  </si>
  <si>
    <t>2020-11</t>
  </si>
  <si>
    <t>30/11 (26/10 - 29/11)</t>
  </si>
  <si>
    <t>GFI-POC</t>
  </si>
  <si>
    <t>(26/10 - 29/11)</t>
  </si>
  <si>
    <t>2020-12</t>
  </si>
  <si>
    <t>16/12 (30/11 - 15/12)</t>
  </si>
  <si>
    <t>(30/11 - 15/12)</t>
  </si>
  <si>
    <t>2021-01</t>
  </si>
  <si>
    <t>26/01 (16/12 - 25/01)</t>
  </si>
  <si>
    <t>(16/12 - 25/01)</t>
  </si>
  <si>
    <t>INFRA</t>
  </si>
  <si>
    <t>2021-02</t>
  </si>
  <si>
    <t>26/02 (26/01 - 25/02)</t>
  </si>
  <si>
    <t>(26/01 - 25/02)</t>
  </si>
  <si>
    <t>AFB-CMONSPOT</t>
  </si>
  <si>
    <t>2021-03</t>
  </si>
  <si>
    <t>25/03 (26/02 - 24/03)</t>
  </si>
  <si>
    <t>(26/02 - 24/03)</t>
  </si>
  <si>
    <t>cout</t>
  </si>
  <si>
    <t>%</t>
  </si>
  <si>
    <t>infra</t>
  </si>
  <si>
    <t>projet + infra</t>
  </si>
  <si>
    <t>ProjetAzureDevOps</t>
  </si>
  <si>
    <t>PROJET</t>
  </si>
  <si>
    <t>Système</t>
  </si>
  <si>
    <t>VMAzureSize</t>
  </si>
  <si>
    <t>VMAzureDisk</t>
  </si>
  <si>
    <t>VMAzureDisk2</t>
  </si>
  <si>
    <t>VMAzureDisk3</t>
  </si>
  <si>
    <t>VMAzureDisk4</t>
  </si>
  <si>
    <t>Auto Start</t>
  </si>
  <si>
    <t>Auto Stop</t>
  </si>
  <si>
    <t>Activité 
par jours</t>
  </si>
  <si>
    <t>Jours / Mois</t>
  </si>
  <si>
    <t>Activité 
par mois</t>
  </si>
  <si>
    <t>Coût horaire VM</t>
  </si>
  <si>
    <t>Coût estimé 
VM / mois</t>
  </si>
  <si>
    <t>Coût estimé 
Disk1 / mois</t>
  </si>
  <si>
    <t>Coût estimé 
sauvegarde
Disk1 / mois</t>
  </si>
  <si>
    <t>Coût estimé 
Disk2 / mois</t>
  </si>
  <si>
    <t>Coût estimé 
sauvegarde
Disk2 / mois</t>
  </si>
  <si>
    <t>Coût estimé 
Disk3 / mois</t>
  </si>
  <si>
    <t>Coût estimé 
sauvegarde
Disk3 / mois</t>
  </si>
  <si>
    <t>Coût estimé 
Disk4 / mois</t>
  </si>
  <si>
    <t>Coût estimé 
sauvegarde
Disk4 / mois</t>
  </si>
  <si>
    <t>Coût estimé 
Disk Total / mois</t>
  </si>
  <si>
    <t>Coût estimé 
sauvegarde total / mois</t>
  </si>
  <si>
    <t>Coût estimé 
Disk + sauvegarde Total / mois</t>
  </si>
  <si>
    <t>ip/dns/CS …</t>
  </si>
  <si>
    <t>Coût estimé 
total / mois
sans
sauvegarde</t>
  </si>
  <si>
    <t>Coût estimé 
total / mois
avec 1 
sauvegarde</t>
  </si>
  <si>
    <t>Linux</t>
  </si>
  <si>
    <t>Standard_E4_v3</t>
  </si>
  <si>
    <t>SSD Standard \ 256 Go</t>
  </si>
  <si>
    <t>NA \ NA Go</t>
  </si>
  <si>
    <t>Standard_B1ms</t>
  </si>
  <si>
    <t>Standard HDD \ 32 Go</t>
  </si>
  <si>
    <t>Windows + SQL STD</t>
  </si>
  <si>
    <t>Standard_F2s</t>
  </si>
  <si>
    <t>Standard HDD \ 128 Go</t>
  </si>
  <si>
    <t>Premium SSD \ 32 Go</t>
  </si>
  <si>
    <t>Windows</t>
  </si>
  <si>
    <t>Standard_B16ms</t>
  </si>
  <si>
    <t>Premium SSD \ 512 Go</t>
  </si>
  <si>
    <t>Standard_B2s</t>
  </si>
  <si>
    <t>Standard_B4ms</t>
  </si>
  <si>
    <t>Premium SSD \ 128 Go</t>
  </si>
  <si>
    <t>Standard_B2ms</t>
  </si>
  <si>
    <t>Standard HDD \ 64 Go</t>
  </si>
  <si>
    <t>OFB-NATURA</t>
  </si>
  <si>
    <t>Standard_B8ms</t>
  </si>
  <si>
    <t>Standard HDD \ 1024 Go</t>
  </si>
  <si>
    <t>Coût estimé 
sauvegarde
Disk Total / mois</t>
  </si>
  <si>
    <t>Coût OT</t>
  </si>
  <si>
    <t>Migration OT vers Azure rentable ?</t>
  </si>
  <si>
    <t>FRORDVAD002</t>
  </si>
  <si>
    <t>FRORDVAP001</t>
  </si>
  <si>
    <t>FRORDVAP003</t>
  </si>
  <si>
    <t>FRORDVAP006</t>
  </si>
  <si>
    <t>FRORDVAP007</t>
  </si>
  <si>
    <t>FRORDVAP014</t>
  </si>
  <si>
    <t>Standard_E2_v3</t>
  </si>
  <si>
    <t>Standard HDD \ 512 Go</t>
  </si>
  <si>
    <t>FRORDVAP020</t>
  </si>
  <si>
    <t>Standard HDD \ 256 Go</t>
  </si>
  <si>
    <t>FRORDVAP024</t>
  </si>
  <si>
    <t>FRORDVAP032</t>
  </si>
  <si>
    <t>FRORDVAP039</t>
  </si>
  <si>
    <t>Standard_F4</t>
  </si>
  <si>
    <t>FRORDVAP040</t>
  </si>
  <si>
    <t>FRORDVAP043</t>
  </si>
  <si>
    <t>FRORDVAP045</t>
  </si>
  <si>
    <t>FRORDVAP047</t>
  </si>
  <si>
    <t>FRORDVAP048</t>
  </si>
  <si>
    <t>FRORDVAP049</t>
  </si>
  <si>
    <t>FRORDVDB013</t>
  </si>
  <si>
    <t>FRORDVDB014</t>
  </si>
  <si>
    <t>FRORDVDB016</t>
  </si>
  <si>
    <t>FRORDVDB018</t>
  </si>
  <si>
    <t>FRORDVIM001</t>
  </si>
  <si>
    <t>FRORDVSV001</t>
  </si>
  <si>
    <t>FRORDVUS001</t>
  </si>
  <si>
    <t>FRORLVAP005</t>
  </si>
  <si>
    <t>FRORLVAP006</t>
  </si>
  <si>
    <t>FRORLVAP009</t>
  </si>
  <si>
    <t>FRORLVDB006</t>
  </si>
  <si>
    <t>W3XXD4504</t>
  </si>
  <si>
    <t>W3XXV45103</t>
  </si>
  <si>
    <t>W3XXV4598</t>
  </si>
  <si>
    <t>Contrat SYGES</t>
  </si>
  <si>
    <t>Status du contrat</t>
  </si>
  <si>
    <t>Type du contrat SYGES</t>
  </si>
  <si>
    <t>Type contrat REFPROJ</t>
  </si>
  <si>
    <t>383928 - WAAC 1.0</t>
  </si>
  <si>
    <t>AFB OFB_LOT2 -9-1 NATURE FRANCE</t>
  </si>
  <si>
    <t>AFB/OFB_LOT1</t>
  </si>
  <si>
    <t>AFB/OFB_LOT2</t>
  </si>
  <si>
    <t>ALM/TMA_ATOUT</t>
  </si>
  <si>
    <t>BRGM/BDLISA-18</t>
  </si>
  <si>
    <t>BRGM/DEGAT-16</t>
  </si>
  <si>
    <t>BRGM/TMA-5-1-ORRM-LOT1</t>
  </si>
  <si>
    <t>CA-TITRES/TMA</t>
  </si>
  <si>
    <t>CGOS-BUILDBI-18</t>
  </si>
  <si>
    <t>CNAV/BI-SIRRGCU</t>
  </si>
  <si>
    <t>EBR/TMA</t>
  </si>
  <si>
    <t>FRR/TMASI</t>
  </si>
  <si>
    <t>Gest'ea / OUGC</t>
  </si>
  <si>
    <t>GFI Oceanet Infra Réseau Orléans</t>
  </si>
  <si>
    <t>GFI Oceanet Orléans PIC</t>
  </si>
  <si>
    <t>GFI Redmine Orléans</t>
  </si>
  <si>
    <t>GIP RECIA-Plateformes CLOUD / Edition</t>
  </si>
  <si>
    <t>GIP RECIA</t>
  </si>
  <si>
    <t>GitLab Orléans</t>
  </si>
  <si>
    <t>GLI/BIOMETRIE</t>
  </si>
  <si>
    <t>INETUM/PROJET_INTERNE</t>
  </si>
  <si>
    <t>IT-CE/DFA</t>
  </si>
  <si>
    <t>IT-CE</t>
  </si>
  <si>
    <t>ITCE/TMA</t>
  </si>
  <si>
    <t>LA-POSTE/CDC_DRUPAL</t>
  </si>
  <si>
    <t>MENESR - TMA - 23 - 1 - INSERJEUNES</t>
  </si>
  <si>
    <t>MENESR/TMA</t>
  </si>
  <si>
    <t>ONEMA/TMADCIE-15</t>
  </si>
  <si>
    <t>ONEMA/TMADCUA-15</t>
  </si>
  <si>
    <t>ONEMA/TMAWEB-16</t>
  </si>
  <si>
    <t>PCM/WEB</t>
  </si>
  <si>
    <t>PCM-SWEB/S262752A</t>
  </si>
  <si>
    <t>PRIZER-TMA</t>
  </si>
  <si>
    <t>PRIZER</t>
  </si>
  <si>
    <t>projet interne Orléans</t>
  </si>
  <si>
    <t>RECIA/AC-18</t>
  </si>
  <si>
    <t>RECIA</t>
  </si>
  <si>
    <t>SAFT/TMA</t>
  </si>
  <si>
    <t>SPC/BUILD</t>
  </si>
  <si>
    <t>SPC/BUILD-0-1-SITE-WEB</t>
  </si>
  <si>
    <t>STMICRO/TMA-R2R-17</t>
  </si>
  <si>
    <t>STMICRO/TMASI</t>
  </si>
  <si>
    <t>NomProj</t>
  </si>
  <si>
    <t>DateDeb</t>
  </si>
  <si>
    <t>DateFin</t>
  </si>
  <si>
    <t>CP</t>
  </si>
  <si>
    <t>Référent technique</t>
  </si>
  <si>
    <t>SYGES</t>
  </si>
  <si>
    <t>BASEINDICATEURS</t>
  </si>
  <si>
    <t>Pierre BOURLIEUX</t>
  </si>
  <si>
    <t>CATALOGUE</t>
  </si>
  <si>
    <t>CDR</t>
  </si>
  <si>
    <t>CESMIA</t>
  </si>
  <si>
    <t>Jean-Philippe STROIAZZO</t>
  </si>
  <si>
    <t>CMONSPOT</t>
  </si>
  <si>
    <t>NatureFrance</t>
  </si>
  <si>
    <t>Rodolphe HABEGGER</t>
  </si>
  <si>
    <t>OISON</t>
  </si>
  <si>
    <t>PATBIODIV</t>
  </si>
  <si>
    <t>PNM</t>
  </si>
  <si>
    <t>Eric RAUCOURT</t>
  </si>
  <si>
    <t>PNX</t>
  </si>
  <si>
    <t>RAA</t>
  </si>
  <si>
    <t>Laurent LE-LARDEUX</t>
  </si>
  <si>
    <t>ATOUT</t>
  </si>
  <si>
    <t>Alice MARCHAL</t>
  </si>
  <si>
    <t>ORRM</t>
  </si>
  <si>
    <t>CATITRES</t>
  </si>
  <si>
    <t>COMX</t>
  </si>
  <si>
    <t>BI</t>
  </si>
  <si>
    <t>Valerie ASSELIN LOZACHMEUR</t>
  </si>
  <si>
    <t>Arthur LETORT</t>
  </si>
  <si>
    <t>BI-RGCU</t>
  </si>
  <si>
    <t>Frédéric FONDRAS</t>
  </si>
  <si>
    <t>APPLIFRR</t>
  </si>
  <si>
    <t>CADENCIER</t>
  </si>
  <si>
    <t>DIGIPAT</t>
  </si>
  <si>
    <t>PATAPAIN</t>
  </si>
  <si>
    <t>Christophe ORLANDO</t>
  </si>
  <si>
    <t>PATAPAINANDROID</t>
  </si>
  <si>
    <t>WAAC</t>
  </si>
  <si>
    <t>Laurent MARCIANIAK</t>
  </si>
  <si>
    <t>APIBIOMETRIE</t>
  </si>
  <si>
    <t>INTERNE</t>
  </si>
  <si>
    <t>SIF</t>
  </si>
  <si>
    <t>Frederic DELAIRE</t>
  </si>
  <si>
    <t>CDC</t>
  </si>
  <si>
    <t>Pierre LEJEUNE</t>
  </si>
  <si>
    <t>MENJ</t>
  </si>
  <si>
    <t>APAE</t>
  </si>
  <si>
    <t>Eric PERROUD</t>
  </si>
  <si>
    <t>Sébatien LOUCHART</t>
  </si>
  <si>
    <t>BNIE</t>
  </si>
  <si>
    <t>INSERJEUNES</t>
  </si>
  <si>
    <t>Rémi ALVERGNAT</t>
  </si>
  <si>
    <t>RNIE</t>
  </si>
  <si>
    <t>CARTOTHEQUE</t>
  </si>
  <si>
    <t>Benjamin FRANCOIS</t>
  </si>
  <si>
    <t>ESTAMP</t>
  </si>
  <si>
    <t>Nicolas FAUVET</t>
  </si>
  <si>
    <t>NATUREFRANCE</t>
  </si>
  <si>
    <t>SISPEA</t>
  </si>
  <si>
    <t>Séverine MOINET</t>
  </si>
  <si>
    <t>ALS</t>
  </si>
  <si>
    <t>WEB</t>
  </si>
  <si>
    <t>PDM</t>
  </si>
  <si>
    <t>Adrien RYSSEN</t>
  </si>
  <si>
    <t>BUILD</t>
  </si>
  <si>
    <t>Nicolas DURFORT</t>
  </si>
  <si>
    <t>DATAPACK</t>
  </si>
  <si>
    <t>ROCKET</t>
  </si>
  <si>
    <t>RefEnv</t>
  </si>
  <si>
    <t>Nom</t>
  </si>
  <si>
    <t>Installation de l'environnement</t>
  </si>
  <si>
    <t>CPU</t>
  </si>
  <si>
    <t>RAM</t>
  </si>
  <si>
    <t>Stockage temporaire</t>
  </si>
  <si>
    <t>Type</t>
  </si>
  <si>
    <t>Size</t>
  </si>
  <si>
    <t>Coût / mois</t>
  </si>
  <si>
    <t>Coût / mois Sauvegarde</t>
  </si>
  <si>
    <t>Coût / mois avec sauvegarde</t>
  </si>
  <si>
    <t>NA</t>
  </si>
  <si>
    <t>Premium SSD</t>
  </si>
  <si>
    <t>SSD Standard</t>
  </si>
  <si>
    <t>Standard HDD</t>
  </si>
  <si>
    <t>Date</t>
  </si>
  <si>
    <t>2021-04</t>
  </si>
  <si>
    <t>2021-05</t>
  </si>
  <si>
    <t>2021-06</t>
  </si>
  <si>
    <t>2021-07</t>
  </si>
  <si>
    <t>2021-08</t>
  </si>
  <si>
    <t>2021-09</t>
  </si>
  <si>
    <t>2021-10</t>
  </si>
  <si>
    <t>2021-11</t>
  </si>
  <si>
    <t>2021-12</t>
  </si>
  <si>
    <t>CostCenter</t>
  </si>
  <si>
    <t>VMAzureDisk5</t>
  </si>
  <si>
    <t>Nombre d'heure 
d'activité par mois</t>
  </si>
  <si>
    <t>Tarif 
Linux</t>
  </si>
  <si>
    <t>-</t>
  </si>
  <si>
    <t>INETUM-Docker-Devbox-Install</t>
  </si>
  <si>
    <t>LAPOSTE-VYN-SARDA</t>
  </si>
  <si>
    <t>OFB-EAUFRANCE</t>
  </si>
  <si>
    <t>STMICRO-STARK</t>
  </si>
  <si>
    <t>EAUFRANCE</t>
  </si>
  <si>
    <t>Guillaume GALLIER</t>
  </si>
  <si>
    <t>STARK</t>
  </si>
  <si>
    <t>Estelle GUIGUE</t>
  </si>
  <si>
    <t>26/04 (25/03 - 25/04)</t>
  </si>
  <si>
    <t>(25/03 - 25/04)</t>
  </si>
  <si>
    <t>INETUM-KALILINUX</t>
  </si>
  <si>
    <t>INETUM-OWASP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</si>
</sst>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_-* #,##0.0000\ &quot;€&quot;_-;\-* #,##0.0000\ &quot;€&quot;_-;_-* &quot;-&quot;??\ &quot;€&quot;_-;_-@_-"/>
    <numFmt numFmtId="165" formatCode="[$-F400]h:mm:ss\ AM/PM"/>
    <numFmt numFmtId="166" formatCode="#,##0.00\ &quot;€&quot;"/>
  </numFmts>
  <fonts count="6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8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6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4" fillId="0" borderId="1" xfId="0" applyFont="1" applyFill="1" applyBorder="1" applyAlignment="1">
      <alignment horizontal="left"/>
    </xf>
    <xf numFmtId="0" fontId="4" fillId="0" borderId="1" xfId="0" applyFont="1" applyFill="1" applyBorder="1" applyAlignment="1"/>
    <xf numFmtId="0" fontId="4" fillId="0" borderId="1" xfId="0" applyFont="1" applyFill="1" applyBorder="1"/>
    <xf numFmtId="164" fontId="0" fillId="0" borderId="0" xfId="1" applyNumberFormat="1" applyFont="1"/>
    <xf numFmtId="0" fontId="3" fillId="0" borderId="0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0" fillId="0" borderId="1" xfId="0" applyNumberFormat="1" applyFont="1" applyFill="1" applyBorder="1" applyProtection="1"/>
    <xf numFmtId="0" fontId="0" fillId="0" borderId="1" xfId="0" applyBorder="1"/>
    <xf numFmtId="0" fontId="3" fillId="0" borderId="1" xfId="0" applyNumberFormat="1" applyFont="1" applyFill="1" applyBorder="1" applyProtection="1"/>
    <xf numFmtId="49" fontId="3" fillId="0" borderId="0" xfId="0" applyNumberFormat="1" applyFont="1" applyFill="1" applyBorder="1" applyProtection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 wrapText="1"/>
    </xf>
    <xf numFmtId="0" fontId="0" fillId="2" borderId="0" xfId="0" applyFill="1" applyAlignment="1">
      <alignment horizontal="center" wrapText="1"/>
    </xf>
    <xf numFmtId="165" fontId="0" fillId="0" borderId="0" xfId="0" applyNumberFormat="1"/>
    <xf numFmtId="0" fontId="0" fillId="5" borderId="0" xfId="0" applyFill="1"/>
    <xf numFmtId="0" fontId="0" fillId="0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0" borderId="2" xfId="0" applyFont="1" applyFill="1" applyBorder="1" applyAlignment="1">
      <alignment horizontal="left"/>
    </xf>
    <xf numFmtId="0" fontId="4" fillId="0" borderId="2" xfId="0" applyFont="1" applyFill="1" applyBorder="1" applyAlignment="1"/>
    <xf numFmtId="0" fontId="4" fillId="0" borderId="2" xfId="0" applyFont="1" applyFill="1" applyBorder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14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NumberFormat="1" applyFill="1"/>
    <xf numFmtId="0" fontId="0" fillId="0" borderId="0" xfId="0" applyNumberFormat="1" applyFont="1" applyFill="1" applyProtection="1"/>
    <xf numFmtId="0" fontId="0" fillId="0" borderId="2" xfId="0" applyNumberFormat="1" applyFont="1" applyFill="1" applyBorder="1" applyProtection="1"/>
    <xf numFmtId="0" fontId="0" fillId="0" borderId="2" xfId="0" applyBorder="1"/>
    <xf numFmtId="166" fontId="0" fillId="0" borderId="0" xfId="1" applyNumberFormat="1" applyFont="1" applyFill="1"/>
    <xf numFmtId="0" fontId="0" fillId="0" borderId="0" xfId="1" applyNumberFormat="1" applyFont="1" applyAlignment="1">
      <alignment horizontal="left" indent="1"/>
    </xf>
    <xf numFmtId="0" fontId="0" fillId="0" borderId="0" xfId="1" applyNumberFormat="1" applyFont="1" applyAlignment="1">
      <alignment horizontal="left" indent="2"/>
    </xf>
    <xf numFmtId="0" fontId="0" fillId="0" borderId="0" xfId="1" applyNumberFormat="1" applyFont="1" applyAlignment="1">
      <alignment horizontal="left" indent="3"/>
    </xf>
    <xf numFmtId="0" fontId="0" fillId="2" borderId="0" xfId="0" applyNumberFormat="1" applyFill="1" applyAlignment="1">
      <alignment wrapText="1"/>
    </xf>
    <xf numFmtId="0" fontId="0" fillId="2" borderId="0" xfId="0" applyFont="1" applyFill="1" applyAlignment="1">
      <alignment wrapText="1"/>
    </xf>
    <xf numFmtId="0" fontId="0" fillId="6" borderId="0" xfId="0" applyFill="1"/>
    <xf numFmtId="0" fontId="3" fillId="0" borderId="2" xfId="0" applyNumberFormat="1" applyFont="1" applyFill="1" applyBorder="1" applyProtection="1"/>
    <xf numFmtId="44" fontId="0" fillId="0" borderId="0" xfId="1" applyFont="1"/>
    <xf numFmtId="0" fontId="0" fillId="0" borderId="0" xfId="1" applyNumberFormat="1" applyFont="1" applyAlignment="1">
      <alignment horizontal="right"/>
    </xf>
    <xf numFmtId="9" fontId="0" fillId="0" borderId="0" xfId="2" applyFont="1"/>
    <xf numFmtId="9" fontId="0" fillId="0" borderId="0" xfId="0" applyNumberFormat="1"/>
    <xf numFmtId="0" fontId="0" fillId="0" borderId="0" xfId="0" applyAlignment="1">
      <alignment horizontal="right"/>
    </xf>
    <xf numFmtId="0" fontId="0" fillId="0" borderId="0" xfId="2" applyNumberFormat="1" applyFont="1"/>
    <xf numFmtId="49" fontId="2" fillId="0" borderId="0" xfId="0" applyNumberFormat="1" applyFont="1" applyFill="1" applyProtection="1"/>
    <xf numFmtId="0" fontId="0" fillId="8" borderId="0" xfId="0" applyFill="1"/>
    <xf numFmtId="166" fontId="0" fillId="0" borderId="3" xfId="1" applyNumberFormat="1" applyFont="1" applyBorder="1"/>
    <xf numFmtId="166" fontId="0" fillId="7" borderId="3" xfId="1" applyNumberFormat="1" applyFont="1" applyFill="1" applyBorder="1"/>
    <xf numFmtId="166" fontId="0" fillId="7" borderId="0" xfId="1" applyNumberFormat="1" applyFont="1" applyFill="1" applyBorder="1"/>
    <xf numFmtId="49" fontId="2" fillId="0" borderId="0" xfId="0" applyNumberFormat="1" applyFont="1"/>
    <xf numFmtId="49" fontId="1" fillId="0" borderId="0" xfId="0" applyNumberFormat="1" applyFont="1"/>
    <xf numFmtId="49" fontId="1" fillId="0" borderId="4" xfId="0" applyNumberFormat="1" applyFont="1" applyBorder="1"/>
    <xf numFmtId="49" fontId="1" fillId="0" borderId="0" xfId="0" applyNumberFormat="1" applyFont="1" applyFill="1" applyProtection="1"/>
    <xf numFmtId="49" fontId="1" fillId="0" borderId="5" xfId="0" applyNumberFormat="1" applyFont="1" applyFill="1" applyBorder="1" applyProtection="1"/>
    <xf numFmtId="49" fontId="1" fillId="0" borderId="0" xfId="0" applyNumberFormat="1" applyFont="1" applyFill="1" applyBorder="1" applyProtection="1"/>
  </cellXfs>
  <cellStyles count="3">
    <cellStyle name="Monétaire" xfId="1" builtinId="4"/>
    <cellStyle name="Normal" xfId="0" builtinId="0"/>
    <cellStyle name="Pourcentage" xfId="2" builtinId="5"/>
  </cellStyles>
  <dxfs count="75">
    <dxf>
      <numFmt numFmtId="0" formatCode="General"/>
    </dxf>
    <dxf>
      <numFmt numFmtId="19" formatCode="dd/mm/yyyy"/>
    </dxf>
    <dxf>
      <numFmt numFmtId="166" formatCode="#,##0.00\ &quot;€&quot;"/>
    </dxf>
    <dxf>
      <numFmt numFmtId="166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#,##0.00\ &quot;€&quot;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_-* #,##0.0000\ &quot;€&quot;_-;\-* #,##0.00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_-* #,##0.0000\ &quot;€&quot;_-;\-* #,##0.00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_-* #,##0.0000\ &quot;€&quot;_-;\-* #,##0.00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solid">
          <fgColor indexed="64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5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$-F400]h:mm:ss\ AM/PM"/>
    </dxf>
    <dxf>
      <numFmt numFmtId="165" formatCode="[$-F400]h:mm:ss\ AM/PM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ill>
        <patternFill patternType="solid">
          <fgColor indexed="64"/>
          <bgColor theme="5"/>
        </patternFill>
      </fill>
    </dxf>
    <dxf>
      <numFmt numFmtId="0" formatCode="General"/>
      <alignment horizontal="left" vertical="bottom" textRotation="0" wrapText="0" relativeIndent="1" justifyLastLine="0" shrinkToFit="0" readingOrder="0"/>
    </dxf>
    <dxf>
      <numFmt numFmtId="166" formatCode="#,##0.00\ &quot;€&quot;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381000</xdr:colOff>
      <xdr:row>3</xdr:row>
      <xdr:rowOff>85725</xdr:rowOff>
    </xdr:from>
    <xdr:to>
      <xdr:col>11</xdr:col>
      <xdr:colOff>685800</xdr:colOff>
      <xdr:row>16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nv">
              <a:extLst>
                <a:ext uri="{FF2B5EF4-FFF2-40B4-BE49-F238E27FC236}">
                  <a16:creationId xmlns:a16="http://schemas.microsoft.com/office/drawing/2014/main" id="{9E03819F-6C7F-4476-A22D-5BDAA8D76B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53475" y="6572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200025</xdr:colOff>
      <xdr:row>3</xdr:row>
      <xdr:rowOff>9525</xdr:rowOff>
    </xdr:from>
    <xdr:to>
      <xdr:col>4</xdr:col>
      <xdr:colOff>504825</xdr:colOff>
      <xdr:row>16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jet">
              <a:extLst>
                <a:ext uri="{FF2B5EF4-FFF2-40B4-BE49-F238E27FC236}">
                  <a16:creationId xmlns:a16="http://schemas.microsoft.com/office/drawing/2014/main" id="{F2BA7742-E22C-451D-AA61-7E1FCFA3490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3850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571500</xdr:colOff>
      <xdr:row>2</xdr:row>
      <xdr:rowOff>171450</xdr:rowOff>
    </xdr:from>
    <xdr:to>
      <xdr:col>7</xdr:col>
      <xdr:colOff>114300</xdr:colOff>
      <xdr:row>16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de SYGES">
              <a:extLst>
                <a:ext uri="{FF2B5EF4-FFF2-40B4-BE49-F238E27FC236}">
                  <a16:creationId xmlns:a16="http://schemas.microsoft.com/office/drawing/2014/main" id="{486081EA-B5D7-4EDD-98A9-E4837CB9EED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e SYG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33975" y="5524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752475</xdr:colOff>
      <xdr:row>3</xdr:row>
      <xdr:rowOff>9525</xdr:rowOff>
    </xdr:from>
    <xdr:to>
      <xdr:col>14</xdr:col>
      <xdr:colOff>295275</xdr:colOff>
      <xdr:row>16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st Center">
              <a:extLst>
                <a:ext uri="{FF2B5EF4-FFF2-40B4-BE49-F238E27FC236}">
                  <a16:creationId xmlns:a16="http://schemas.microsoft.com/office/drawing/2014/main" id="{47511D48-CDFD-4637-AEC3-CF25FF43CE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 Cent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4895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9525</xdr:colOff>
      <xdr:row>3</xdr:row>
      <xdr:rowOff>0</xdr:rowOff>
    </xdr:from>
    <xdr:to>
      <xdr:col>9</xdr:col>
      <xdr:colOff>314325</xdr:colOff>
      <xdr:row>16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lient">
              <a:extLst>
                <a:ext uri="{FF2B5EF4-FFF2-40B4-BE49-F238E27FC236}">
                  <a16:creationId xmlns:a16="http://schemas.microsoft.com/office/drawing/2014/main" id="{57F27C83-9CC0-48D6-B0E4-15EEDC81E0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58000" y="571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352425</xdr:colOff>
      <xdr:row>3</xdr:row>
      <xdr:rowOff>19050</xdr:rowOff>
    </xdr:from>
    <xdr:to>
      <xdr:col>16</xdr:col>
      <xdr:colOff>657225</xdr:colOff>
      <xdr:row>16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ois">
              <a:extLst>
                <a:ext uri="{FF2B5EF4-FFF2-40B4-BE49-F238E27FC236}">
                  <a16:creationId xmlns:a16="http://schemas.microsoft.com/office/drawing/2014/main" id="{B118376C-7592-4DC2-8733-4A489EE53E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34900" y="5905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104775</xdr:colOff>
      <xdr:row>0</xdr:row>
      <xdr:rowOff>114300</xdr:rowOff>
    </xdr:from>
    <xdr:to>
      <xdr:col>1</xdr:col>
      <xdr:colOff>209550</xdr:colOff>
      <xdr:row>2</xdr:row>
      <xdr:rowOff>133350</xdr:rowOff>
    </xdr:to>
    <xdr:sp macro="[0]!ExportAllContratsBySyge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A844DF25-1AD5-4240-A0FE-816405584E7B}"/>
            </a:ext>
          </a:extLst>
        </xdr:cNvPr>
        <xdr:cNvSpPr/>
      </xdr:nvSpPr>
      <xdr:spPr>
        <a:xfrm>
          <a:off x="104775" y="114300"/>
          <a:ext cx="2143125" cy="400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 code SYGES</a:t>
          </a:r>
        </a:p>
      </xdr:txBody>
    </xdr:sp>
    <xdr:clientData/>
  </xdr:twoCellAnchor>
  <xdr:twoCellAnchor>
    <xdr:from>
      <xdr:col>1</xdr:col>
      <xdr:colOff>276225</xdr:colOff>
      <xdr:row>0</xdr:row>
      <xdr:rowOff>114300</xdr:rowOff>
    </xdr:from>
    <xdr:to>
      <xdr:col>3</xdr:col>
      <xdr:colOff>276225</xdr:colOff>
      <xdr:row>2</xdr:row>
      <xdr:rowOff>133350</xdr:rowOff>
    </xdr:to>
    <xdr:sp macro="[0]!ExportAllContratsByCostCenter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DDBE0509-8533-4011-A565-2440D7FAD78B}"/>
            </a:ext>
          </a:extLst>
        </xdr:cNvPr>
        <xdr:cNvSpPr/>
      </xdr:nvSpPr>
      <xdr:spPr>
        <a:xfrm>
          <a:off x="2314575" y="114300"/>
          <a:ext cx="1762125" cy="400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 </a:t>
          </a:r>
          <a:r>
            <a:rPr lang="fr-FR" sz="1100" baseline="0"/>
            <a:t> Cost Center</a:t>
          </a:r>
          <a:endParaRPr lang="fr-F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avarina Ugo" refreshedDate="44316.512102546294" createdVersion="6" refreshedVersion="6" minRefreshableVersion="3" recordCount="958" xr:uid="{00000000-000A-0000-FFFF-FFFF05000000}">
  <cacheSource type="worksheet">
    <worksheetSource name="TabVMAzureEnvProjet"/>
  </cacheSource>
  <cacheFields count="13">
    <cacheField name="ID" numFmtId="0">
      <sharedItems/>
    </cacheField>
    <cacheField name="Nature" numFmtId="0">
      <sharedItems count="94">
        <s v="FRR-DIGIPAT-VM"/>
        <s v="SPC-BUILDAS-VM"/>
        <s v="SPC-WEB-VM"/>
        <s v="AFB-BaseIndicateurs"/>
        <s v="AFB-CDR"/>
        <s v="AFB-CESMIA"/>
        <s v="AFB-OISON"/>
        <s v="AFB-PATBiodiv"/>
        <s v="AFB-PNM"/>
        <s v="AFB-PNX"/>
        <s v="ALM-ATOUT"/>
        <s v="BRGM-ORRM"/>
        <s v="CNAV-BI-RGCU"/>
        <s v="d8-qa"/>
        <s v="drupal-qa"/>
        <s v="FRR DIGIPAT"/>
        <s v="GFI-D8-BS4-THEME"/>
        <s v="GLI-APIBiometrie"/>
        <s v="MENJ-APAE"/>
        <s v="MENJ-BNIE-BDD"/>
        <s v="MENJ-RNIE-BDD"/>
        <s v="MENJ-RNIE-Webservices"/>
        <s v="PCM-ALS"/>
        <s v="PCM-Web"/>
        <s v="SPC-BUILD"/>
        <s v="SPC-WEB"/>
        <s v="AFB-Catalogue"/>
        <s v="GFI-MineReport"/>
        <s v="CATITRES-COMX-VM"/>
        <s v="ALM-ATOUT-VM"/>
        <s v="BRGM-ORRM-VM"/>
        <s v="EBR-LAPOSTE-VM"/>
        <s v="OFB-NatureFrance"/>
        <s v="MENJ-BNIE-Webservices"/>
        <s v="OFB-FRANCENATURE-VM"/>
        <s v="MENJ-BI-VM"/>
        <s v="MENJ-BI"/>
        <s v="GFI-RedmineDocker"/>
        <s v="GFI-WAAC"/>
        <s v="LAPOSTE-Musee"/>
        <s v="OFB-SISPEA"/>
        <s v="AFB-RAA"/>
        <s v="FRR-APPLIFRR"/>
        <s v="FRR-CADENCIER"/>
        <s v="FRR-Patapain"/>
        <s v="FRR-PATAPAINANDROID"/>
        <s v="GFI-CMIS"/>
        <s v="GFI-COFFEE"/>
        <s v="GFI-CRALENIUM"/>
        <s v="GFI-Docker Devbox Install"/>
        <s v="GFI-PMT"/>
        <s v="GFI-TENDER"/>
        <s v="LAPOSTE-F4N-Musee"/>
        <s v="LAPOSTE-LPK-PortailVoyage"/>
        <s v="LAPOSTE-LPM-IntranetDHA"/>
        <s v="OFB-CMONSPOT"/>
        <s v="SAFT-PDM"/>
        <s v="GFI-PMT-VM"/>
        <s v="OFB-SISPEA-VM"/>
        <s v="STMICRO-DATAPACK-VM"/>
        <s v="GFI-WAAC-VM"/>
        <s v="LAPOSTE-CDC-VM"/>
        <s v="LAPOSTE-L71-PDP"/>
        <s v="LAPOSTE-LCA-PariteUn-e"/>
        <s v="LAPOSTE-VWA-Fondation"/>
        <s v="MENJ-InserJeunes"/>
        <s v="STMICRO-DATAPACK"/>
        <s v="STMICRO-ROCKET"/>
        <s v="MENJ-INERJEUNES"/>
        <s v="CGOS-BI"/>
        <s v="GFI-BaseDocumentaire"/>
        <s v="LAPOSTE-V7_-Galaxy"/>
        <s v="GFI-POC"/>
        <s v="LAPOSTE-VW2-MEDIACOM"/>
        <s v="OFB-ESTAMP"/>
        <s v="INETUM-communaute-technique"/>
        <s v="INETUM-documentation"/>
        <s v="INETUM-starterkit-symfony"/>
        <s v="OFB-CARTOTHEQUE"/>
        <s v="INFRA"/>
        <s v="INETUM-Azure-Pipelines"/>
        <s v="INETUM-starterkit-drupal"/>
        <s v="LAPOSTE-VW7-EvtExpres"/>
        <s v="INETUM-SONAR"/>
        <s v="GFI-ORLEANS"/>
        <s v="ITCE-SIF2"/>
        <s v="OFB-ESTAMP-2"/>
        <s v="INETUM-Docker-Base-Image"/>
        <s v="OFB-PNM"/>
        <s v="INETUM-Docker-Devbox-Install"/>
        <s v="LAPOSTE-VYN-SARDA"/>
        <s v="OFB-EAUFRANCE"/>
        <s v="STMICRO-STARK"/>
        <s v="LAPOSTE-CDC" u="1"/>
      </sharedItems>
    </cacheField>
    <cacheField name="Projet AzureDevOps" numFmtId="0">
      <sharedItems containsBlank="1"/>
    </cacheField>
    <cacheField name="VM" numFmtId="0">
      <sharedItems containsBlank="1"/>
    </cacheField>
    <cacheField name="Env" numFmtId="0">
      <sharedItems containsBlank="1" count="8">
        <s v="QUAL_PUB"/>
        <s v="DEV"/>
        <s v="QUAL_INT"/>
        <s v="AzureDevOps"/>
        <s v="INSTALLATION"/>
        <s v="PROD"/>
        <m u="1"/>
        <s v="Repo_Devops" u="1"/>
      </sharedItems>
    </cacheField>
    <cacheField name="Projet" numFmtId="0">
      <sharedItems containsBlank="1" count="68">
        <s v="FRR-DIGIPAT"/>
        <s v="SPC-BUILD"/>
        <s v="SPC-WEB"/>
        <s v="AFB-BASEINDICATEURS"/>
        <s v="AFB-CDR"/>
        <s v="AFB-CESMIA"/>
        <s v="AFB-OISON"/>
        <s v="AFB-PATBIODIV"/>
        <s v="AFB-PNM"/>
        <s v="AFB-PNX"/>
        <s v="ALM-ATOUT"/>
        <s v="BRGM-ORRM"/>
        <s v="CNAV-BI-RGCU"/>
        <s v="INETUM-INTERNE"/>
        <s v="GLI-APIBIOMETRIE"/>
        <s v="MENJ-APAE"/>
        <s v="MENJ-BNIE"/>
        <s v="MENJ-RNIE"/>
        <s v="PCM-ALS"/>
        <s v="PCM-WEB"/>
        <s v="AFB-CATALOGUE"/>
        <s v="CATITRES-COMX"/>
        <s v="EBR-LAPOSTE"/>
        <s v="AFB-NatureFrance"/>
        <s v="OFB-NATUREFRANCE"/>
        <s v="MENJ-BI"/>
        <s v="OFB-SISPEA"/>
        <s v="AFB-RAA"/>
        <s v="FRR-APPLIFRR"/>
        <s v="FRR-CADENCIER"/>
        <s v="FRR-PATAPAIN"/>
        <s v="FRR-PATAPAINANDROID"/>
        <s v="GFI-WAAC"/>
        <s v="LAPOSTE-CDC"/>
        <s v="OFB-CMONSPOT"/>
        <s v="SAFT-PDM"/>
        <s v="STMICRO-DATAPACK"/>
        <s v="MENJ-INSERJEUNES"/>
        <s v="STMICRO-ROCKET"/>
        <s v="CGOS-BI"/>
        <s v="OFB-ESTAMP"/>
        <s v="OFB-CARTOTHEQUE"/>
        <s v="ITCE-SIF"/>
        <s v="AFB-CMONSPOT"/>
        <s v="OFB-EAUFRANCE"/>
        <s v="STMICRO-STARK"/>
        <m u="1"/>
        <s v="LAPOSTE-F4N-MUSEE" u="1"/>
        <s v="GFI-Docker Devbox Install" u="1"/>
        <s v="LAPOSTE-V7_-Galaxy" u="1"/>
        <s v="LAPOSTE-LPM-IntranetDHA" u="1"/>
        <s v="GFI-CRALENIUM" u="1"/>
        <s v="GFI-D8-BS4-THEME" u="1"/>
        <s v="LAPOSTE-LCA-PariteUn-e" u="1"/>
        <s v="GFI-CMIS" u="1"/>
        <s v="GFI-PMT" u="1"/>
        <s v="GFI-INTERNE" u="1"/>
        <s v="LAPOSTE-VW2-MEDIACOM" u="1"/>
        <s v="GFI-TENDER" u="1"/>
        <s v="INETUM-starterkit-symfony" u="1"/>
        <s v="INETUM-documentation" u="1"/>
        <s v="GFI-COFFEE" u="1"/>
        <s v="LAPOSTE-LPK-PortailVoyage" u="1"/>
        <s v="LAPOSTE-L71-PDP" u="1"/>
        <s v="GFI-REDMINEDOCKER" u="1"/>
        <s v="LAPOSTE-VWA-Fondation" u="1"/>
        <s v="GFI-MINEREPORT" u="1"/>
        <s v="INETUM-communaute-technique" u="1"/>
      </sharedItems>
    </cacheField>
    <cacheField name="Code SYGES" numFmtId="0">
      <sharedItems count="27">
        <s v="FRR/TMASI"/>
        <s v="SPC/BUILD"/>
        <s v="SPC/BUILD-0-1-SITE-WEB"/>
        <s v="ONEMA/TMADCUA-15"/>
        <s v="ONEMA/TMAWEB-16"/>
        <s v="AFB/OFB_LOT1"/>
        <s v="AFB/OFB_LOT2"/>
        <s v="ALM/TMA_ATOUT"/>
        <s v="BRGM/TMA-5-1-ORRM-LOT1"/>
        <s v="CNAV/BI-SIRRGCU"/>
        <s v="INETUM/PROJET_INTERNE"/>
        <s v="GLI/BIOMETRIE"/>
        <s v="MENESR/TMA"/>
        <s v="PCM/WEB"/>
        <s v="CA-TITRES/TMA"/>
        <s v="EBR/TMA"/>
        <s v="AFB OFB_LOT2 -9-1 NATURE FRANCE"/>
        <s v="383928 - WAAC 1.0"/>
        <s v="LA-POSTE/CDC_DRUPAL"/>
        <s v="SAFT/TMA"/>
        <s v="STMICRO/TMASI"/>
        <s v="MENESR - TMA - 23 - 1 - INSERJEUNES"/>
        <s v="CGOS-BUILDBI-18"/>
        <s v="ITCE/TMA"/>
        <s v="GFI/PROJET_INTERNE" u="1"/>
        <e v="#N/A" u="1"/>
        <s v="BRGM/TMA" u="1"/>
      </sharedItems>
    </cacheField>
    <cacheField name="CP" numFmtId="0">
      <sharedItems/>
    </cacheField>
    <cacheField name="Cost Center" numFmtId="0">
      <sharedItems containsSemiMixedTypes="0" containsString="0" containsNumber="1" containsInteger="1" minValue="100973" maxValue="305704" count="3">
        <n v="305704"/>
        <n v="100973"/>
        <n v="305703" u="1"/>
      </sharedItems>
    </cacheField>
    <cacheField name="Client" numFmtId="0">
      <sharedItems count="21">
        <s v="FRR"/>
        <s v="SPC"/>
        <s v="ONEMA"/>
        <s v="AFB"/>
        <s v="ALM"/>
        <s v="BRGM"/>
        <s v="CNAV"/>
        <s v="INETUM"/>
        <s v="GLI"/>
        <s v="MENESR"/>
        <s v="PCM"/>
        <s v="CA-TITRES"/>
        <s v="EBR"/>
        <s v="OFB"/>
        <s v="GFI"/>
        <s v="LAPOSTE"/>
        <s v="SAFT"/>
        <s v="STMICRO"/>
        <s v="CGOS"/>
        <s v="ITCE"/>
        <e v="#N/A" u="1"/>
      </sharedItems>
    </cacheField>
    <cacheField name="Mois" numFmtId="0">
      <sharedItems containsBlank="1" count="17">
        <s v="2020-01"/>
        <s v="2020-02"/>
        <s v="2020-03"/>
        <s v="2020-04"/>
        <s v="2020-05"/>
        <s v="2020-06"/>
        <s v="2020-07"/>
        <s v="2020-08"/>
        <s v="2020-09"/>
        <s v="2020-10"/>
        <s v="2020-11"/>
        <s v="2020-12"/>
        <s v="2021-01"/>
        <s v="2021-02"/>
        <s v="2021-03"/>
        <s v="2021-04"/>
        <m u="1"/>
      </sharedItems>
    </cacheField>
    <cacheField name="Coût" numFmtId="0">
      <sharedItems containsSemiMixedTypes="0" containsString="0" containsNumber="1" minValue="0" maxValue="269.59129032927143"/>
    </cacheField>
    <cacheField name="Commentaire" numFmtId="0">
      <sharedItems containsBlank="1"/>
    </cacheField>
  </cacheFields>
  <extLst>
    <ext xmlns:x14="http://schemas.microsoft.com/office/spreadsheetml/2009/9/main" uri="{725AE2AE-9491-48be-B2B4-4EB974FC3084}">
      <x14:pivotCacheDefinition pivotCacheId="10863483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8">
  <r>
    <s v="FRR .:. FRR-DIGIPAT"/>
    <x v="0"/>
    <m/>
    <s v="FRR-DIGIPAT-VM"/>
    <x v="0"/>
    <x v="0"/>
    <x v="0"/>
    <s v="Alice MARCHAL"/>
    <x v="0"/>
    <x v="0"/>
    <x v="0"/>
    <n v="21.41"/>
    <m/>
  </r>
  <r>
    <s v="SPC .:. SPC-BUILD"/>
    <x v="1"/>
    <m/>
    <s v="SPC-BUILDAS-VM"/>
    <x v="1"/>
    <x v="1"/>
    <x v="1"/>
    <s v="Nicolas DURFORT"/>
    <x v="0"/>
    <x v="1"/>
    <x v="0"/>
    <n v="44.93"/>
    <m/>
  </r>
  <r>
    <s v="SPC .:. SPC-WEB"/>
    <x v="2"/>
    <m/>
    <s v="SPC-WEB-VM"/>
    <x v="2"/>
    <x v="2"/>
    <x v="2"/>
    <s v="Nicolas DURFORT"/>
    <x v="0"/>
    <x v="1"/>
    <x v="0"/>
    <n v="7.6"/>
    <m/>
  </r>
  <r>
    <s v="ONEMA .:. AFB-BASEINDICATEURS"/>
    <x v="3"/>
    <s v="AFB-BaseIndicateurs"/>
    <m/>
    <x v="3"/>
    <x v="3"/>
    <x v="3"/>
    <s v="Pierre BOURLIEUX"/>
    <x v="0"/>
    <x v="2"/>
    <x v="0"/>
    <n v="1.43"/>
    <m/>
  </r>
  <r>
    <s v="ONEMA .:. AFB-CDR"/>
    <x v="4"/>
    <s v="AFB-CDR"/>
    <m/>
    <x v="3"/>
    <x v="4"/>
    <x v="4"/>
    <s v="Pierre BOURLIEUX"/>
    <x v="0"/>
    <x v="2"/>
    <x v="0"/>
    <n v="3.3"/>
    <m/>
  </r>
  <r>
    <s v="AFB .:. AFB-CESMIA"/>
    <x v="5"/>
    <s v="AFB-CESMIA"/>
    <m/>
    <x v="3"/>
    <x v="5"/>
    <x v="5"/>
    <s v="Jean-Philippe STROIAZZO"/>
    <x v="0"/>
    <x v="3"/>
    <x v="0"/>
    <n v="12.31"/>
    <m/>
  </r>
  <r>
    <s v="ONEMA .:. AFB-OISON"/>
    <x v="6"/>
    <s v="AFB-OISON"/>
    <m/>
    <x v="3"/>
    <x v="6"/>
    <x v="3"/>
    <s v="Jean-Philippe STROIAZZO"/>
    <x v="0"/>
    <x v="2"/>
    <x v="0"/>
    <n v="14.79"/>
    <m/>
  </r>
  <r>
    <s v="ONEMA .:. AFB-PATBIODIV"/>
    <x v="7"/>
    <s v="AFB-PATBiodiv"/>
    <m/>
    <x v="3"/>
    <x v="7"/>
    <x v="3"/>
    <s v="Rodolphe HABEGGER"/>
    <x v="0"/>
    <x v="2"/>
    <x v="0"/>
    <n v="8.19"/>
    <m/>
  </r>
  <r>
    <s v="AFB .:. AFB-PNM"/>
    <x v="8"/>
    <s v="AFB-PNM"/>
    <m/>
    <x v="3"/>
    <x v="8"/>
    <x v="6"/>
    <s v="Eric RAUCOURT"/>
    <x v="0"/>
    <x v="3"/>
    <x v="0"/>
    <n v="20.71"/>
    <m/>
  </r>
  <r>
    <s v="AFB .:. AFB-PNX"/>
    <x v="9"/>
    <s v="AFB-PNX"/>
    <m/>
    <x v="3"/>
    <x v="9"/>
    <x v="6"/>
    <s v="Pierre BOURLIEUX"/>
    <x v="0"/>
    <x v="3"/>
    <x v="0"/>
    <n v="2.89"/>
    <m/>
  </r>
  <r>
    <s v="ALM .:. ALM-ATOUT"/>
    <x v="10"/>
    <s v="ALM-ATOUT"/>
    <m/>
    <x v="3"/>
    <x v="10"/>
    <x v="7"/>
    <s v="Alice MARCHAL"/>
    <x v="0"/>
    <x v="4"/>
    <x v="0"/>
    <n v="4.25"/>
    <m/>
  </r>
  <r>
    <s v="BRGM .:. BRGM-ORRM"/>
    <x v="11"/>
    <s v="BRGM-ORRM"/>
    <m/>
    <x v="3"/>
    <x v="11"/>
    <x v="8"/>
    <s v="Alice MARCHAL"/>
    <x v="0"/>
    <x v="5"/>
    <x v="0"/>
    <n v="7.53"/>
    <m/>
  </r>
  <r>
    <s v="CNAV .:. CNAV-BI-RGCU"/>
    <x v="12"/>
    <s v="CNAV-BI-RGCU"/>
    <m/>
    <x v="3"/>
    <x v="12"/>
    <x v="9"/>
    <s v="Valerie ASSELIN LOZACHMEUR"/>
    <x v="0"/>
    <x v="6"/>
    <x v="0"/>
    <n v="27.15"/>
    <m/>
  </r>
  <r>
    <s v="INETUM .:. INETUM-INTERNE"/>
    <x v="13"/>
    <s v="d8-qa"/>
    <m/>
    <x v="3"/>
    <x v="13"/>
    <x v="10"/>
    <s v="Christophe ORLANDO"/>
    <x v="0"/>
    <x v="7"/>
    <x v="0"/>
    <n v="0.96"/>
    <m/>
  </r>
  <r>
    <s v="INETUM .:. INETUM-INTERNE"/>
    <x v="14"/>
    <s v="drupal-qa"/>
    <m/>
    <x v="3"/>
    <x v="13"/>
    <x v="10"/>
    <s v="Christophe ORLANDO"/>
    <x v="0"/>
    <x v="7"/>
    <x v="0"/>
    <n v="0.96"/>
    <m/>
  </r>
  <r>
    <s v="FRR .:. FRR-DIGIPAT"/>
    <x v="15"/>
    <s v="FRR DIGIPAT"/>
    <m/>
    <x v="3"/>
    <x v="0"/>
    <x v="0"/>
    <s v="Alice MARCHAL"/>
    <x v="0"/>
    <x v="0"/>
    <x v="0"/>
    <n v="22.6"/>
    <m/>
  </r>
  <r>
    <s v="INETUM .:. INETUM-INTERNE"/>
    <x v="16"/>
    <s v="GFI-D8-BS4-THEME"/>
    <m/>
    <x v="3"/>
    <x v="13"/>
    <x v="10"/>
    <s v="Christophe ORLANDO"/>
    <x v="0"/>
    <x v="7"/>
    <x v="0"/>
    <n v="0.96"/>
    <m/>
  </r>
  <r>
    <s v="GLI .:. GLI-APIBIOMETRIE"/>
    <x v="17"/>
    <s v="GLI-APIBiometrie"/>
    <m/>
    <x v="3"/>
    <x v="14"/>
    <x v="11"/>
    <s v="Rodolphe HABEGGER"/>
    <x v="0"/>
    <x v="8"/>
    <x v="0"/>
    <n v="5.52"/>
    <m/>
  </r>
  <r>
    <s v="MENESR .:. MENJ-APAE"/>
    <x v="18"/>
    <s v="MENJ-APAE"/>
    <m/>
    <x v="3"/>
    <x v="15"/>
    <x v="12"/>
    <s v="Pierre BOURLIEUX"/>
    <x v="0"/>
    <x v="9"/>
    <x v="0"/>
    <n v="1.61"/>
    <m/>
  </r>
  <r>
    <s v="MENESR .:. MENJ-BNIE"/>
    <x v="19"/>
    <s v="MENJ-BNIE-BDD"/>
    <m/>
    <x v="3"/>
    <x v="16"/>
    <x v="12"/>
    <s v="Pierre BOURLIEUX"/>
    <x v="0"/>
    <x v="9"/>
    <x v="0"/>
    <n v="1.61"/>
    <m/>
  </r>
  <r>
    <s v="MENESR .:. MENJ-RNIE"/>
    <x v="20"/>
    <s v="MENJ-RNIE-BDD"/>
    <m/>
    <x v="3"/>
    <x v="17"/>
    <x v="12"/>
    <s v="Pierre BOURLIEUX"/>
    <x v="0"/>
    <x v="9"/>
    <x v="0"/>
    <n v="1.61"/>
    <m/>
  </r>
  <r>
    <s v="MENESR .:. MENJ-RNIE"/>
    <x v="21"/>
    <s v="MENJ-RNIE-Webservices"/>
    <m/>
    <x v="3"/>
    <x v="17"/>
    <x v="12"/>
    <s v="Pierre BOURLIEUX"/>
    <x v="0"/>
    <x v="9"/>
    <x v="0"/>
    <n v="1.61"/>
    <m/>
  </r>
  <r>
    <s v="PCM .:. PCM-ALS"/>
    <x v="22"/>
    <s v="PCM-ALS"/>
    <m/>
    <x v="3"/>
    <x v="18"/>
    <x v="13"/>
    <s v="Alice MARCHAL"/>
    <x v="0"/>
    <x v="10"/>
    <x v="0"/>
    <n v="11.41"/>
    <m/>
  </r>
  <r>
    <s v="PCM .:. PCM-WEB"/>
    <x v="23"/>
    <s v="PCM-Web"/>
    <m/>
    <x v="3"/>
    <x v="19"/>
    <x v="13"/>
    <s v="Rodolphe HABEGGER"/>
    <x v="0"/>
    <x v="10"/>
    <x v="0"/>
    <n v="2.6"/>
    <m/>
  </r>
  <r>
    <s v="SPC .:. SPC-BUILD"/>
    <x v="24"/>
    <s v="SPC-BUILD"/>
    <m/>
    <x v="3"/>
    <x v="1"/>
    <x v="1"/>
    <s v="Nicolas DURFORT"/>
    <x v="0"/>
    <x v="1"/>
    <x v="0"/>
    <n v="15.11"/>
    <m/>
  </r>
  <r>
    <s v="SPC .:. SPC-WEB"/>
    <x v="25"/>
    <s v="SPC-WEB"/>
    <m/>
    <x v="3"/>
    <x v="2"/>
    <x v="2"/>
    <s v="Nicolas DURFORT"/>
    <x v="0"/>
    <x v="1"/>
    <x v="0"/>
    <n v="5.45"/>
    <m/>
  </r>
  <r>
    <s v="SPC .:. SPC-BUILD"/>
    <x v="1"/>
    <m/>
    <s v="SPC-BUILDAS-VM"/>
    <x v="1"/>
    <x v="1"/>
    <x v="1"/>
    <s v="Nicolas DURFORT"/>
    <x v="0"/>
    <x v="1"/>
    <x v="1"/>
    <n v="119.93"/>
    <m/>
  </r>
  <r>
    <s v="SPC .:. SPC-WEB"/>
    <x v="2"/>
    <m/>
    <s v="SPC-WEB-VM"/>
    <x v="2"/>
    <x v="2"/>
    <x v="2"/>
    <s v="Nicolas DURFORT"/>
    <x v="0"/>
    <x v="1"/>
    <x v="1"/>
    <n v="6.45"/>
    <m/>
  </r>
  <r>
    <s v="FRR .:. FRR-DIGIPAT"/>
    <x v="0"/>
    <m/>
    <s v="FRR-DIGIPAT-VM"/>
    <x v="0"/>
    <x v="0"/>
    <x v="0"/>
    <s v="Alice MARCHAL"/>
    <x v="0"/>
    <x v="0"/>
    <x v="1"/>
    <n v="18.5"/>
    <m/>
  </r>
  <r>
    <s v="ONEMA .:. AFB-BASEINDICATEURS"/>
    <x v="3"/>
    <s v="AFB-BaseIndicateurs"/>
    <m/>
    <x v="3"/>
    <x v="3"/>
    <x v="3"/>
    <s v="Pierre BOURLIEUX"/>
    <x v="0"/>
    <x v="2"/>
    <x v="1"/>
    <n v="1.06"/>
    <m/>
  </r>
  <r>
    <s v="ONEMA .:. AFB-CATALOGUE"/>
    <x v="26"/>
    <s v="AFB-Catalogue"/>
    <m/>
    <x v="3"/>
    <x v="20"/>
    <x v="3"/>
    <s v="Pierre BOURLIEUX"/>
    <x v="0"/>
    <x v="2"/>
    <x v="1"/>
    <n v="1.61"/>
    <m/>
  </r>
  <r>
    <s v="ONEMA .:. AFB-CDR"/>
    <x v="4"/>
    <s v="AFB-CDR"/>
    <m/>
    <x v="3"/>
    <x v="4"/>
    <x v="4"/>
    <s v="Pierre BOURLIEUX"/>
    <x v="0"/>
    <x v="2"/>
    <x v="1"/>
    <n v="12.6"/>
    <m/>
  </r>
  <r>
    <s v="AFB .:. AFB-CESMIA"/>
    <x v="5"/>
    <s v="AFB-CESMIA"/>
    <m/>
    <x v="3"/>
    <x v="5"/>
    <x v="5"/>
    <s v="Jean-Philippe STROIAZZO"/>
    <x v="0"/>
    <x v="3"/>
    <x v="1"/>
    <n v="6.21"/>
    <m/>
  </r>
  <r>
    <s v="ONEMA .:. AFB-OISON"/>
    <x v="6"/>
    <s v="AFB-OISON"/>
    <m/>
    <x v="3"/>
    <x v="6"/>
    <x v="3"/>
    <s v="Jean-Philippe STROIAZZO"/>
    <x v="0"/>
    <x v="2"/>
    <x v="1"/>
    <n v="2.93"/>
    <m/>
  </r>
  <r>
    <s v="ONEMA .:. AFB-PATBIODIV"/>
    <x v="7"/>
    <s v="AFB-PATBiodiv"/>
    <m/>
    <x v="3"/>
    <x v="7"/>
    <x v="3"/>
    <s v="Rodolphe HABEGGER"/>
    <x v="0"/>
    <x v="2"/>
    <x v="1"/>
    <n v="7.73"/>
    <m/>
  </r>
  <r>
    <s v="AFB .:. AFB-PNM"/>
    <x v="8"/>
    <s v="AFB-PNM"/>
    <m/>
    <x v="3"/>
    <x v="8"/>
    <x v="6"/>
    <s v="Eric RAUCOURT"/>
    <x v="0"/>
    <x v="3"/>
    <x v="1"/>
    <n v="24.98"/>
    <m/>
  </r>
  <r>
    <s v="AFB .:. AFB-PNX"/>
    <x v="9"/>
    <s v="AFB-PNX"/>
    <m/>
    <x v="3"/>
    <x v="9"/>
    <x v="6"/>
    <s v="Pierre BOURLIEUX"/>
    <x v="0"/>
    <x v="3"/>
    <x v="1"/>
    <n v="4.0999999999999996"/>
    <m/>
  </r>
  <r>
    <s v="ALM .:. ALM-ATOUT"/>
    <x v="10"/>
    <s v="ALM-ATOUT"/>
    <m/>
    <x v="3"/>
    <x v="10"/>
    <x v="7"/>
    <s v="Alice MARCHAL"/>
    <x v="0"/>
    <x v="4"/>
    <x v="1"/>
    <n v="4.43"/>
    <m/>
  </r>
  <r>
    <s v="BRGM .:. BRGM-ORRM"/>
    <x v="11"/>
    <s v="BRGM-ORRM"/>
    <m/>
    <x v="3"/>
    <x v="11"/>
    <x v="8"/>
    <s v="Alice MARCHAL"/>
    <x v="0"/>
    <x v="5"/>
    <x v="1"/>
    <n v="5.37"/>
    <m/>
  </r>
  <r>
    <s v="CNAV .:. CNAV-BI-RGCU"/>
    <x v="12"/>
    <s v="CNAV-BI-RGCU"/>
    <m/>
    <x v="3"/>
    <x v="12"/>
    <x v="9"/>
    <s v="Valerie ASSELIN LOZACHMEUR"/>
    <x v="0"/>
    <x v="6"/>
    <x v="1"/>
    <n v="27.55"/>
    <m/>
  </r>
  <r>
    <s v="INETUM .:. INETUM-INTERNE"/>
    <x v="13"/>
    <s v="d8-qa"/>
    <m/>
    <x v="3"/>
    <x v="13"/>
    <x v="10"/>
    <s v="Christophe ORLANDO"/>
    <x v="0"/>
    <x v="7"/>
    <x v="1"/>
    <n v="0.87"/>
    <m/>
  </r>
  <r>
    <s v="INETUM .:. INETUM-INTERNE"/>
    <x v="14"/>
    <s v="drupal-qa"/>
    <m/>
    <x v="3"/>
    <x v="13"/>
    <x v="10"/>
    <s v="Christophe ORLANDO"/>
    <x v="0"/>
    <x v="7"/>
    <x v="1"/>
    <n v="0.87"/>
    <m/>
  </r>
  <r>
    <s v="FRR .:. FRR-DIGIPAT"/>
    <x v="15"/>
    <s v="FRR DIGIPAT"/>
    <m/>
    <x v="3"/>
    <x v="0"/>
    <x v="0"/>
    <s v="Alice MARCHAL"/>
    <x v="0"/>
    <x v="0"/>
    <x v="1"/>
    <n v="9.19"/>
    <m/>
  </r>
  <r>
    <s v="INETUM .:. INETUM-INTERNE"/>
    <x v="16"/>
    <s v="GFI-D8-BS4-THEME"/>
    <m/>
    <x v="3"/>
    <x v="13"/>
    <x v="10"/>
    <s v="Christophe ORLANDO"/>
    <x v="0"/>
    <x v="7"/>
    <x v="1"/>
    <n v="0.87"/>
    <m/>
  </r>
  <r>
    <s v="INETUM .:. INETUM-INTERNE"/>
    <x v="27"/>
    <s v="GFI-MineReport"/>
    <m/>
    <x v="3"/>
    <x v="13"/>
    <x v="10"/>
    <s v="Christophe ORLANDO"/>
    <x v="0"/>
    <x v="7"/>
    <x v="1"/>
    <n v="1.44"/>
    <m/>
  </r>
  <r>
    <s v="GLI .:. GLI-APIBIOMETRIE"/>
    <x v="17"/>
    <s v="GLI-APIBiometrie"/>
    <m/>
    <x v="3"/>
    <x v="14"/>
    <x v="11"/>
    <s v="Rodolphe HABEGGER"/>
    <x v="0"/>
    <x v="8"/>
    <x v="1"/>
    <n v="19.850000000000001"/>
    <m/>
  </r>
  <r>
    <s v="MENESR .:. MENJ-APAE"/>
    <x v="18"/>
    <s v="MENJ-APAE"/>
    <m/>
    <x v="3"/>
    <x v="15"/>
    <x v="12"/>
    <s v="Pierre BOURLIEUX"/>
    <x v="0"/>
    <x v="9"/>
    <x v="1"/>
    <n v="1.52"/>
    <m/>
  </r>
  <r>
    <s v="MENESR .:. MENJ-BNIE"/>
    <x v="19"/>
    <s v="MENJ-BNIE-BDD"/>
    <m/>
    <x v="3"/>
    <x v="16"/>
    <x v="12"/>
    <s v="Pierre BOURLIEUX"/>
    <x v="0"/>
    <x v="9"/>
    <x v="1"/>
    <n v="1.52"/>
    <m/>
  </r>
  <r>
    <s v="MENESR .:. MENJ-RNIE"/>
    <x v="20"/>
    <s v="MENJ-RNIE-BDD"/>
    <m/>
    <x v="3"/>
    <x v="17"/>
    <x v="12"/>
    <s v="Pierre BOURLIEUX"/>
    <x v="0"/>
    <x v="9"/>
    <x v="1"/>
    <n v="1.52"/>
    <m/>
  </r>
  <r>
    <s v="MENESR .:. MENJ-RNIE"/>
    <x v="21"/>
    <s v="MENJ-RNIE-Webservices"/>
    <m/>
    <x v="3"/>
    <x v="17"/>
    <x v="12"/>
    <s v="Pierre BOURLIEUX"/>
    <x v="0"/>
    <x v="9"/>
    <x v="1"/>
    <n v="1.52"/>
    <m/>
  </r>
  <r>
    <s v="PCM .:. PCM-ALS"/>
    <x v="22"/>
    <s v="PCM-ALS"/>
    <m/>
    <x v="3"/>
    <x v="18"/>
    <x v="13"/>
    <s v="Alice MARCHAL"/>
    <x v="0"/>
    <x v="10"/>
    <x v="1"/>
    <n v="10.31"/>
    <m/>
  </r>
  <r>
    <s v="PCM .:. PCM-WEB"/>
    <x v="23"/>
    <s v="PCM-Web"/>
    <m/>
    <x v="3"/>
    <x v="19"/>
    <x v="13"/>
    <s v="Rodolphe HABEGGER"/>
    <x v="0"/>
    <x v="10"/>
    <x v="1"/>
    <n v="3.81"/>
    <m/>
  </r>
  <r>
    <s v="SPC .:. SPC-BUILD"/>
    <x v="24"/>
    <s v="SPC-BUILD"/>
    <m/>
    <x v="3"/>
    <x v="1"/>
    <x v="1"/>
    <s v="Nicolas DURFORT"/>
    <x v="0"/>
    <x v="1"/>
    <x v="1"/>
    <n v="24.22"/>
    <m/>
  </r>
  <r>
    <s v="SPC .:. SPC-WEB"/>
    <x v="25"/>
    <s v="SPC-WEB"/>
    <m/>
    <x v="3"/>
    <x v="2"/>
    <x v="2"/>
    <s v="Nicolas DURFORT"/>
    <x v="0"/>
    <x v="1"/>
    <x v="1"/>
    <n v="3.46"/>
    <m/>
  </r>
  <r>
    <s v="CA-TITRES .:. CATITRES-COMX"/>
    <x v="28"/>
    <m/>
    <s v="CATITRES-COMX-VM"/>
    <x v="4"/>
    <x v="21"/>
    <x v="14"/>
    <s v="Jean-Philippe STROIAZZO"/>
    <x v="0"/>
    <x v="11"/>
    <x v="2"/>
    <n v="0"/>
    <s v="0.5 J"/>
  </r>
  <r>
    <s v="ALM .:. ALM-ATOUT"/>
    <x v="29"/>
    <m/>
    <s v="ALM-ATOUT-VM"/>
    <x v="4"/>
    <x v="10"/>
    <x v="7"/>
    <s v="Alice MARCHAL"/>
    <x v="0"/>
    <x v="4"/>
    <x v="2"/>
    <n v="0"/>
    <s v="0.5 J"/>
  </r>
  <r>
    <s v="BRGM .:. BRGM-ORRM"/>
    <x v="30"/>
    <m/>
    <s v="BRGM-ORRM-VM"/>
    <x v="4"/>
    <x v="11"/>
    <x v="8"/>
    <s v="Alice MARCHAL"/>
    <x v="0"/>
    <x v="5"/>
    <x v="2"/>
    <n v="0"/>
    <s v="0.5 J"/>
  </r>
  <r>
    <s v="EBR .:. EBR-LAPOSTE"/>
    <x v="31"/>
    <m/>
    <s v="EBR-LAPOSTE-VM"/>
    <x v="4"/>
    <x v="22"/>
    <x v="15"/>
    <s v="Valerie ASSELIN LOZACHMEUR"/>
    <x v="0"/>
    <x v="12"/>
    <x v="2"/>
    <n v="0"/>
    <s v="0.5 J"/>
  </r>
  <r>
    <s v="ONEMA .:. AFB-PATBIODIV"/>
    <x v="7"/>
    <s v="AFB-PATBiodiv"/>
    <m/>
    <x v="3"/>
    <x v="7"/>
    <x v="3"/>
    <s v="Rodolphe HABEGGER"/>
    <x v="0"/>
    <x v="2"/>
    <x v="2"/>
    <n v="7.1631351389652504"/>
    <m/>
  </r>
  <r>
    <s v="ONEMA .:. AFB-CATALOGUE"/>
    <x v="26"/>
    <s v="AFB-Catalogue"/>
    <m/>
    <x v="3"/>
    <x v="20"/>
    <x v="3"/>
    <s v="Pierre BOURLIEUX"/>
    <x v="0"/>
    <x v="2"/>
    <x v="2"/>
    <n v="1.6207390336679537"/>
    <m/>
  </r>
  <r>
    <s v="SPC .:. SPC-WEB"/>
    <x v="25"/>
    <s v="SPC-WEB"/>
    <m/>
    <x v="3"/>
    <x v="2"/>
    <x v="2"/>
    <s v="Nicolas DURFORT"/>
    <x v="0"/>
    <x v="1"/>
    <x v="2"/>
    <n v="4.4105357309652504"/>
    <m/>
  </r>
  <r>
    <s v="CNAV .:. CNAV-BI-RGCU"/>
    <x v="12"/>
    <s v="CNAV-BI-RGCU"/>
    <m/>
    <x v="3"/>
    <x v="12"/>
    <x v="9"/>
    <s v="Valerie ASSELIN LOZACHMEUR"/>
    <x v="0"/>
    <x v="6"/>
    <x v="2"/>
    <n v="27.52599408"/>
    <m/>
  </r>
  <r>
    <s v="SPC .:. SPC-BUILD"/>
    <x v="24"/>
    <s v="SPC-BUILD"/>
    <m/>
    <x v="3"/>
    <x v="1"/>
    <x v="1"/>
    <s v="Nicolas DURFORT"/>
    <x v="0"/>
    <x v="1"/>
    <x v="2"/>
    <n v="28.567518180324324"/>
    <m/>
  </r>
  <r>
    <s v="ONEMA .:. AFB-OISON"/>
    <x v="6"/>
    <s v="AFB-OISON"/>
    <m/>
    <x v="3"/>
    <x v="6"/>
    <x v="3"/>
    <s v="Jean-Philippe STROIAZZO"/>
    <x v="0"/>
    <x v="2"/>
    <x v="2"/>
    <n v="11.991218699223328"/>
    <m/>
  </r>
  <r>
    <s v="AFB .:. AFB-PNX"/>
    <x v="9"/>
    <s v="AFB-PNX"/>
    <m/>
    <x v="3"/>
    <x v="9"/>
    <x v="6"/>
    <s v="Pierre BOURLIEUX"/>
    <x v="0"/>
    <x v="3"/>
    <x v="2"/>
    <n v="3.0735213731523059"/>
    <m/>
  </r>
  <r>
    <s v="AFB .:. AFB-NatureFrance"/>
    <x v="32"/>
    <s v="OFB-NatureFrance"/>
    <m/>
    <x v="3"/>
    <x v="23"/>
    <x v="6"/>
    <s v="Rodolphe HABEGGER"/>
    <x v="0"/>
    <x v="3"/>
    <x v="2"/>
    <n v="7.5138524380540543"/>
    <m/>
  </r>
  <r>
    <s v="FRR .:. FRR-DIGIPAT"/>
    <x v="15"/>
    <s v="FRR DIGIPAT"/>
    <m/>
    <x v="3"/>
    <x v="0"/>
    <x v="0"/>
    <s v="Alice MARCHAL"/>
    <x v="0"/>
    <x v="0"/>
    <x v="2"/>
    <n v="9.5225060601081069"/>
    <m/>
  </r>
  <r>
    <s v="ALM .:. ALM-ATOUT"/>
    <x v="10"/>
    <s v="ALM-ATOUT"/>
    <m/>
    <x v="3"/>
    <x v="10"/>
    <x v="7"/>
    <s v="Alice MARCHAL"/>
    <x v="0"/>
    <x v="4"/>
    <x v="2"/>
    <n v="12.90834132157727"/>
    <m/>
  </r>
  <r>
    <s v="BRGM .:. BRGM-ORRM"/>
    <x v="11"/>
    <s v="BRGM-ORRM"/>
    <m/>
    <x v="3"/>
    <x v="11"/>
    <x v="8"/>
    <s v="Alice MARCHAL"/>
    <x v="0"/>
    <x v="5"/>
    <x v="2"/>
    <n v="7.6759326962867291"/>
    <m/>
  </r>
  <r>
    <s v="ONEMA .:. AFB-CDR"/>
    <x v="4"/>
    <s v="AFB-CDR"/>
    <m/>
    <x v="3"/>
    <x v="4"/>
    <x v="4"/>
    <s v="Pierre BOURLIEUX"/>
    <x v="0"/>
    <x v="2"/>
    <x v="2"/>
    <n v="7.5398061599401789"/>
    <m/>
  </r>
  <r>
    <s v="MENESR .:. MENJ-BNIE"/>
    <x v="19"/>
    <s v="MENJ-BNIE-BDD"/>
    <m/>
    <x v="3"/>
    <x v="16"/>
    <x v="12"/>
    <s v="Pierre BOURLIEUX"/>
    <x v="0"/>
    <x v="9"/>
    <x v="2"/>
    <n v="1.4506942825945943"/>
    <m/>
  </r>
  <r>
    <s v="AFB .:. AFB-PNM"/>
    <x v="8"/>
    <s v="AFB-PNM"/>
    <m/>
    <x v="3"/>
    <x v="8"/>
    <x v="6"/>
    <s v="Eric RAUCOURT"/>
    <x v="0"/>
    <x v="3"/>
    <x v="2"/>
    <n v="14.10427755982745"/>
    <m/>
  </r>
  <r>
    <s v="INETUM .:. INETUM-INTERNE"/>
    <x v="27"/>
    <s v="GFI-MineReport"/>
    <m/>
    <x v="3"/>
    <x v="13"/>
    <x v="10"/>
    <s v="Christophe ORLANDO"/>
    <x v="0"/>
    <x v="7"/>
    <x v="2"/>
    <n v="1.4506942825945943"/>
    <m/>
  </r>
  <r>
    <s v="MENESR .:. MENJ-RNIE"/>
    <x v="21"/>
    <s v="MENJ-RNIE-Webservices"/>
    <m/>
    <x v="3"/>
    <x v="17"/>
    <x v="12"/>
    <s v="Pierre BOURLIEUX"/>
    <x v="0"/>
    <x v="9"/>
    <x v="2"/>
    <n v="2.1673610494695943"/>
    <m/>
  </r>
  <r>
    <s v="PCM .:. PCM-WEB"/>
    <x v="23"/>
    <s v="PCM-Web"/>
    <m/>
    <x v="3"/>
    <x v="19"/>
    <x v="13"/>
    <s v="Rodolphe HABEGGER"/>
    <x v="0"/>
    <x v="10"/>
    <x v="2"/>
    <n v="3.682531640432432"/>
    <m/>
  </r>
  <r>
    <s v="INETUM .:. INETUM-INTERNE"/>
    <x v="14"/>
    <s v="drupal-qa"/>
    <m/>
    <x v="3"/>
    <x v="13"/>
    <x v="10"/>
    <s v="Christophe ORLANDO"/>
    <x v="0"/>
    <x v="7"/>
    <x v="2"/>
    <n v="0.87679324772200773"/>
    <m/>
  </r>
  <r>
    <s v="MENESR .:. MENJ-RNIE"/>
    <x v="20"/>
    <s v="MENJ-RNIE-BDD"/>
    <m/>
    <x v="3"/>
    <x v="17"/>
    <x v="12"/>
    <s v="Pierre BOURLIEUX"/>
    <x v="0"/>
    <x v="9"/>
    <x v="2"/>
    <n v="1.4506942825945943"/>
    <m/>
  </r>
  <r>
    <s v="GLI .:. GLI-APIBIOMETRIE"/>
    <x v="17"/>
    <s v="GLI-APIBiometrie"/>
    <m/>
    <x v="3"/>
    <x v="14"/>
    <x v="11"/>
    <s v="Rodolphe HABEGGER"/>
    <x v="0"/>
    <x v="8"/>
    <x v="2"/>
    <n v="9.3871549931982567"/>
    <m/>
  </r>
  <r>
    <s v="ONEMA .:. AFB-BASEINDICATEURS"/>
    <x v="3"/>
    <s v="AFB-BaseIndicateurs"/>
    <m/>
    <x v="3"/>
    <x v="3"/>
    <x v="3"/>
    <s v="Pierre BOURLIEUX"/>
    <x v="0"/>
    <x v="2"/>
    <x v="2"/>
    <n v="1.0627796942084942"/>
    <m/>
  </r>
  <r>
    <s v="INETUM .:. INETUM-INTERNE"/>
    <x v="16"/>
    <s v="GFI-D8-BS4-THEME"/>
    <m/>
    <x v="3"/>
    <x v="13"/>
    <x v="10"/>
    <s v="Christophe ORLANDO"/>
    <x v="0"/>
    <x v="7"/>
    <x v="2"/>
    <n v="0.87679324772200773"/>
    <m/>
  </r>
  <r>
    <s v="MENESR .:. MENJ-APAE"/>
    <x v="18"/>
    <s v="MENJ-APAE"/>
    <m/>
    <x v="3"/>
    <x v="15"/>
    <x v="12"/>
    <s v="Pierre BOURLIEUX"/>
    <x v="0"/>
    <x v="9"/>
    <x v="2"/>
    <n v="1.4506942825945943"/>
    <m/>
  </r>
  <r>
    <s v="PCM .:. PCM-ALS"/>
    <x v="22"/>
    <s v="PCM-ALS"/>
    <m/>
    <x v="3"/>
    <x v="18"/>
    <x v="13"/>
    <s v="Alice MARCHAL"/>
    <x v="0"/>
    <x v="10"/>
    <x v="2"/>
    <n v="11.107613847146084"/>
    <m/>
  </r>
  <r>
    <s v="AFB .:. AFB-CESMIA"/>
    <x v="5"/>
    <s v="AFB-CESMIA"/>
    <m/>
    <x v="3"/>
    <x v="5"/>
    <x v="5"/>
    <s v="Jean-Philippe STROIAZZO"/>
    <x v="0"/>
    <x v="3"/>
    <x v="2"/>
    <n v="14.208814683819448"/>
    <m/>
  </r>
  <r>
    <s v="MENESR .:. MENJ-BNIE"/>
    <x v="33"/>
    <s v="MENJ-BNIE-Webservices"/>
    <m/>
    <x v="3"/>
    <x v="16"/>
    <x v="12"/>
    <s v="Pierre BOURLIEUX"/>
    <x v="0"/>
    <x v="9"/>
    <x v="2"/>
    <n v="5.8891780360890813"/>
    <m/>
  </r>
  <r>
    <s v="INETUM .:. INETUM-INTERNE"/>
    <x v="13"/>
    <s v="d8-qa"/>
    <m/>
    <x v="3"/>
    <x v="13"/>
    <x v="10"/>
    <s v="Christophe ORLANDO"/>
    <x v="0"/>
    <x v="7"/>
    <x v="2"/>
    <n v="0.87679324772200773"/>
    <m/>
  </r>
  <r>
    <s v="ALM .:. ALM-ATOUT"/>
    <x v="29"/>
    <m/>
    <s v="ALM-ATOUT-VM"/>
    <x v="2"/>
    <x v="10"/>
    <x v="7"/>
    <s v="Alice MARCHAL"/>
    <x v="0"/>
    <x v="4"/>
    <x v="2"/>
    <n v="86.412000000000006"/>
    <m/>
  </r>
  <r>
    <s v="CA-TITRES .:. CATITRES-COMX"/>
    <x v="28"/>
    <m/>
    <s v="CATITRES-COMX-VM"/>
    <x v="1"/>
    <x v="21"/>
    <x v="14"/>
    <s v="Jean-Philippe STROIAZZO"/>
    <x v="0"/>
    <x v="11"/>
    <x v="2"/>
    <n v="120.91"/>
    <m/>
  </r>
  <r>
    <s v="FRR .:. FRR-DIGIPAT"/>
    <x v="0"/>
    <m/>
    <s v="FRR-DIGIPAT-VM"/>
    <x v="0"/>
    <x v="0"/>
    <x v="0"/>
    <s v="Alice MARCHAL"/>
    <x v="0"/>
    <x v="0"/>
    <x v="2"/>
    <n v="20.94"/>
    <m/>
  </r>
  <r>
    <s v="SPC .:. SPC-BUILD"/>
    <x v="1"/>
    <m/>
    <s v="SPC-BUILDAS-VM"/>
    <x v="1"/>
    <x v="1"/>
    <x v="1"/>
    <s v="Nicolas DURFORT"/>
    <x v="0"/>
    <x v="1"/>
    <x v="2"/>
    <n v="126.65299999999999"/>
    <m/>
  </r>
  <r>
    <s v="SPC .:. SPC-WEB"/>
    <x v="2"/>
    <m/>
    <s v="SPC-WEB-VM"/>
    <x v="2"/>
    <x v="2"/>
    <x v="2"/>
    <s v="Nicolas DURFORT"/>
    <x v="0"/>
    <x v="1"/>
    <x v="2"/>
    <n v="6.7960000000000003"/>
    <m/>
  </r>
  <r>
    <s v="BRGM .:. BRGM-ORRM"/>
    <x v="30"/>
    <m/>
    <s v="BRGM-ORRM-VM"/>
    <x v="0"/>
    <x v="11"/>
    <x v="8"/>
    <s v="Alice MARCHAL"/>
    <x v="0"/>
    <x v="5"/>
    <x v="2"/>
    <n v="6.7960000000000003"/>
    <m/>
  </r>
  <r>
    <s v="EBR .:. EBR-LAPOSTE"/>
    <x v="31"/>
    <m/>
    <s v="EBR-LAPOSTE-VM"/>
    <x v="1"/>
    <x v="22"/>
    <x v="15"/>
    <s v="Valerie ASSELIN LOZACHMEUR"/>
    <x v="0"/>
    <x v="12"/>
    <x v="2"/>
    <n v="161.68900000000002"/>
    <m/>
  </r>
  <r>
    <s v="OFB .:. OFB-NATUREFRANCE"/>
    <x v="34"/>
    <m/>
    <s v="OFB-FRANCENATURE-VM"/>
    <x v="4"/>
    <x v="24"/>
    <x v="16"/>
    <s v="Rodolphe HABEGGER"/>
    <x v="0"/>
    <x v="13"/>
    <x v="3"/>
    <n v="0"/>
    <s v="0.5 J"/>
  </r>
  <r>
    <s v="MENESR .:. MENJ-BI"/>
    <x v="35"/>
    <m/>
    <s v="MENJ-BI-VM"/>
    <x v="4"/>
    <x v="25"/>
    <x v="12"/>
    <s v="Eric PERROUD"/>
    <x v="0"/>
    <x v="9"/>
    <x v="3"/>
    <n v="0"/>
    <s v="0.5 J"/>
  </r>
  <r>
    <s v="ALM .:. ALM-ATOUT"/>
    <x v="29"/>
    <m/>
    <s v="ALM-ATOUT-VM"/>
    <x v="2"/>
    <x v="10"/>
    <x v="7"/>
    <s v="Alice MARCHAL"/>
    <x v="0"/>
    <x v="4"/>
    <x v="3"/>
    <n v="86.412000000000006"/>
    <m/>
  </r>
  <r>
    <s v="CA-TITRES .:. CATITRES-COMX"/>
    <x v="28"/>
    <m/>
    <s v="CATITRES-COMX-VM"/>
    <x v="1"/>
    <x v="21"/>
    <x v="14"/>
    <s v="Jean-Philippe STROIAZZO"/>
    <x v="0"/>
    <x v="11"/>
    <x v="3"/>
    <n v="120.91"/>
    <m/>
  </r>
  <r>
    <s v="FRR .:. FRR-DIGIPAT"/>
    <x v="0"/>
    <m/>
    <s v="FRR-DIGIPAT-VM"/>
    <x v="0"/>
    <x v="0"/>
    <x v="0"/>
    <s v="Alice MARCHAL"/>
    <x v="0"/>
    <x v="0"/>
    <x v="3"/>
    <n v="20.94"/>
    <m/>
  </r>
  <r>
    <s v="SPC .:. SPC-BUILD"/>
    <x v="1"/>
    <m/>
    <s v="SPC-BUILDAS-VM"/>
    <x v="1"/>
    <x v="1"/>
    <x v="1"/>
    <s v="Nicolas DURFORT"/>
    <x v="0"/>
    <x v="1"/>
    <x v="3"/>
    <n v="126.65299999999999"/>
    <m/>
  </r>
  <r>
    <s v="BRGM .:. BRGM-ORRM"/>
    <x v="30"/>
    <m/>
    <s v="BRGM-ORRM-VM"/>
    <x v="0"/>
    <x v="11"/>
    <x v="8"/>
    <s v="Alice MARCHAL"/>
    <x v="0"/>
    <x v="5"/>
    <x v="3"/>
    <n v="6.7960000000000003"/>
    <m/>
  </r>
  <r>
    <s v="EBR .:. EBR-LAPOSTE"/>
    <x v="31"/>
    <m/>
    <s v="EBR-LAPOSTE-VM"/>
    <x v="1"/>
    <x v="22"/>
    <x v="15"/>
    <s v="Valerie ASSELIN LOZACHMEUR"/>
    <x v="0"/>
    <x v="12"/>
    <x v="3"/>
    <n v="161.68900000000002"/>
    <m/>
  </r>
  <r>
    <s v="OFB .:. OFB-NATUREFRANCE"/>
    <x v="34"/>
    <m/>
    <s v="OFB-FRANCENATURE-VM"/>
    <x v="2"/>
    <x v="24"/>
    <x v="16"/>
    <s v="Rodolphe HABEGGER"/>
    <x v="0"/>
    <x v="13"/>
    <x v="3"/>
    <n v="7.1959999999999997"/>
    <m/>
  </r>
  <r>
    <s v="ONEMA .:. AFB-PATBIODIV"/>
    <x v="7"/>
    <s v="AFB-PATBiodiv"/>
    <m/>
    <x v="3"/>
    <x v="7"/>
    <x v="3"/>
    <s v="Rodolphe HABEGGER"/>
    <x v="0"/>
    <x v="2"/>
    <x v="3"/>
    <n v="7.085873851984962"/>
    <m/>
  </r>
  <r>
    <s v="ONEMA .:. AFB-CATALOGUE"/>
    <x v="26"/>
    <s v="AFB-Catalogue"/>
    <m/>
    <x v="3"/>
    <x v="20"/>
    <x v="3"/>
    <s v="Pierre BOURLIEUX"/>
    <x v="0"/>
    <x v="2"/>
    <x v="3"/>
    <n v="1.627403256668233"/>
    <m/>
  </r>
  <r>
    <s v="SPC .:. SPC-WEB"/>
    <x v="25"/>
    <s v="SPC-WEB"/>
    <m/>
    <x v="3"/>
    <x v="2"/>
    <x v="2"/>
    <s v="Nicolas DURFORT"/>
    <x v="0"/>
    <x v="1"/>
    <x v="3"/>
    <n v="2.710560178319549"/>
    <m/>
  </r>
  <r>
    <s v="CNAV .:. CNAV-BI-RGCU"/>
    <x v="12"/>
    <s v="CNAV-BI-RGCU"/>
    <m/>
    <x v="3"/>
    <x v="12"/>
    <x v="9"/>
    <s v="Valerie ASSELIN LOZACHMEUR"/>
    <x v="0"/>
    <x v="6"/>
    <x v="3"/>
    <n v="25.398162300789473"/>
    <m/>
  </r>
  <r>
    <s v="SPC .:. SPC-BUILD"/>
    <x v="24"/>
    <s v="SPC-BUILD"/>
    <m/>
    <x v="3"/>
    <x v="1"/>
    <x v="1"/>
    <s v="Nicolas DURFORT"/>
    <x v="0"/>
    <x v="1"/>
    <x v="3"/>
    <n v="26.443968983763156"/>
    <m/>
  </r>
  <r>
    <s v="ONEMA .:. AFB-OISON"/>
    <x v="6"/>
    <s v="AFB-OISON"/>
    <m/>
    <x v="3"/>
    <x v="6"/>
    <x v="3"/>
    <s v="Jean-Philippe STROIAZZO"/>
    <x v="0"/>
    <x v="2"/>
    <x v="3"/>
    <n v="5.0095102969466616"/>
    <m/>
  </r>
  <r>
    <s v="AFB .:. AFB-PNX"/>
    <x v="9"/>
    <s v="AFB-PNX"/>
    <m/>
    <x v="3"/>
    <x v="9"/>
    <x v="6"/>
    <s v="Pierre BOURLIEUX"/>
    <x v="0"/>
    <x v="3"/>
    <x v="3"/>
    <n v="3.0393269394218496"/>
    <m/>
  </r>
  <r>
    <s v="AFB .:. AFB-NatureFrance"/>
    <x v="32"/>
    <s v="OFB-NatureFrance"/>
    <m/>
    <x v="3"/>
    <x v="23"/>
    <x v="6"/>
    <s v="Rodolphe HABEGGER"/>
    <x v="0"/>
    <x v="3"/>
    <x v="3"/>
    <n v="8.4994573095890811"/>
    <m/>
  </r>
  <r>
    <s v="FRR .:. FRR-DIGIPAT"/>
    <x v="15"/>
    <s v="FRR DIGIPAT"/>
    <m/>
    <x v="3"/>
    <x v="0"/>
    <x v="0"/>
    <s v="Alice MARCHAL"/>
    <x v="0"/>
    <x v="0"/>
    <x v="3"/>
    <n v="8.409139450849624"/>
    <m/>
  </r>
  <r>
    <s v="ALM .:. ALM-ATOUT"/>
    <x v="10"/>
    <s v="ALM-ATOUT"/>
    <m/>
    <x v="3"/>
    <x v="10"/>
    <x v="7"/>
    <s v="Alice MARCHAL"/>
    <x v="0"/>
    <x v="4"/>
    <x v="3"/>
    <n v="18.157908438323219"/>
    <m/>
  </r>
  <r>
    <s v="BRGM .:. BRGM-ORRM"/>
    <x v="11"/>
    <s v="BRGM-ORRM"/>
    <m/>
    <x v="3"/>
    <x v="11"/>
    <x v="8"/>
    <s v="Alice MARCHAL"/>
    <x v="0"/>
    <x v="5"/>
    <x v="3"/>
    <n v="5.978522277374748"/>
    <m/>
  </r>
  <r>
    <s v="ONEMA .:. AFB-CDR"/>
    <x v="4"/>
    <s v="AFB-CDR"/>
    <m/>
    <x v="3"/>
    <x v="4"/>
    <x v="4"/>
    <s v="Pierre BOURLIEUX"/>
    <x v="0"/>
    <x v="2"/>
    <x v="3"/>
    <n v="7.1232240906625943"/>
    <m/>
  </r>
  <r>
    <s v="MENESR .:. MENJ-BNIE"/>
    <x v="19"/>
    <s v="MENJ-BNIE-BDD"/>
    <m/>
    <x v="3"/>
    <x v="16"/>
    <x v="12"/>
    <s v="Pierre BOURLIEUX"/>
    <x v="0"/>
    <x v="9"/>
    <x v="3"/>
    <n v="5.2265716192029599"/>
    <m/>
  </r>
  <r>
    <s v="AFB .:. AFB-PNM"/>
    <x v="8"/>
    <s v="AFB-PNM"/>
    <m/>
    <x v="3"/>
    <x v="8"/>
    <x v="6"/>
    <s v="Eric RAUCOURT"/>
    <x v="0"/>
    <x v="3"/>
    <x v="3"/>
    <n v="10.844747095520127"/>
    <m/>
  </r>
  <r>
    <s v="INETUM .:. INETUM-INTERNE"/>
    <x v="27"/>
    <s v="GFI-MineReport"/>
    <m/>
    <x v="3"/>
    <x v="13"/>
    <x v="10"/>
    <s v="Christophe ORLANDO"/>
    <x v="0"/>
    <x v="7"/>
    <x v="3"/>
    <n v="3.5482726743750002"/>
    <m/>
  </r>
  <r>
    <s v="MENESR .:. MENJ-RNIE"/>
    <x v="21"/>
    <s v="MENJ-RNIE-Webservices"/>
    <m/>
    <x v="3"/>
    <x v="17"/>
    <x v="12"/>
    <s v="Pierre BOURLIEUX"/>
    <x v="0"/>
    <x v="9"/>
    <x v="3"/>
    <n v="3.2359699020483212"/>
    <m/>
  </r>
  <r>
    <s v="PCM .:. PCM-WEB"/>
    <x v="23"/>
    <s v="PCM-Web"/>
    <m/>
    <x v="3"/>
    <x v="19"/>
    <x v="13"/>
    <s v="Rodolphe HABEGGER"/>
    <x v="0"/>
    <x v="10"/>
    <x v="3"/>
    <n v="3.6976736290855268"/>
    <m/>
  </r>
  <r>
    <s v="INETUM .:. INETUM-INTERNE"/>
    <x v="14"/>
    <s v="drupal-qa"/>
    <m/>
    <x v="3"/>
    <x v="13"/>
    <x v="10"/>
    <s v="Christophe ORLANDO"/>
    <x v="0"/>
    <x v="7"/>
    <x v="3"/>
    <n v="0.88039848311560154"/>
    <m/>
  </r>
  <r>
    <s v="MENESR .:. MENJ-RNIE"/>
    <x v="20"/>
    <s v="MENJ-RNIE-BDD"/>
    <m/>
    <x v="3"/>
    <x v="17"/>
    <x v="12"/>
    <s v="Pierre BOURLIEUX"/>
    <x v="0"/>
    <x v="9"/>
    <x v="3"/>
    <n v="1.4915477514398019"/>
    <m/>
  </r>
  <r>
    <s v="GLI .:. GLI-APIBIOMETRIE"/>
    <x v="17"/>
    <s v="GLI-APIBiometrie"/>
    <m/>
    <x v="3"/>
    <x v="14"/>
    <x v="11"/>
    <s v="Rodolphe HABEGGER"/>
    <x v="0"/>
    <x v="8"/>
    <x v="3"/>
    <n v="7.8805550837933698"/>
    <m/>
  </r>
  <r>
    <s v="ONEMA .:. AFB-BASEINDICATEURS"/>
    <x v="3"/>
    <s v="AFB-BaseIndicateurs"/>
    <m/>
    <x v="3"/>
    <x v="3"/>
    <x v="3"/>
    <s v="Pierre BOURLIEUX"/>
    <x v="0"/>
    <x v="2"/>
    <x v="3"/>
    <n v="1.0671496765037594"/>
    <m/>
  </r>
  <r>
    <s v="INETUM .:. INETUM-INTERNE"/>
    <x v="16"/>
    <s v="GFI-D8-BS4-THEME"/>
    <m/>
    <x v="3"/>
    <x v="13"/>
    <x v="10"/>
    <s v="Christophe ORLANDO"/>
    <x v="0"/>
    <x v="7"/>
    <x v="3"/>
    <n v="1.7768042113787594"/>
    <m/>
  </r>
  <r>
    <s v="MENESR .:. MENJ-APAE"/>
    <x v="18"/>
    <s v="MENJ-APAE"/>
    <m/>
    <x v="3"/>
    <x v="15"/>
    <x v="12"/>
    <s v="Pierre BOURLIEUX"/>
    <x v="0"/>
    <x v="9"/>
    <x v="3"/>
    <n v="1.4566593084276316"/>
    <m/>
  </r>
  <r>
    <s v="PCM .:. PCM-ALS"/>
    <x v="22"/>
    <s v="PCM-ALS"/>
    <m/>
    <x v="3"/>
    <x v="18"/>
    <x v="13"/>
    <s v="Alice MARCHAL"/>
    <x v="0"/>
    <x v="10"/>
    <x v="3"/>
    <n v="8.4579855003954858"/>
    <m/>
  </r>
  <r>
    <s v="AFB .:. AFB-CESMIA"/>
    <x v="5"/>
    <s v="AFB-CESMIA"/>
    <m/>
    <x v="3"/>
    <x v="5"/>
    <x v="5"/>
    <s v="Jean-Philippe STROIAZZO"/>
    <x v="0"/>
    <x v="3"/>
    <x v="3"/>
    <n v="12.986532155321083"/>
    <m/>
  </r>
  <r>
    <s v="MENESR .:. MENJ-BI"/>
    <x v="36"/>
    <s v="MENJ-BI"/>
    <m/>
    <x v="3"/>
    <x v="25"/>
    <x v="12"/>
    <s v="Eric PERROUD"/>
    <x v="0"/>
    <x v="9"/>
    <x v="3"/>
    <n v="6.7230429619736842"/>
    <m/>
  </r>
  <r>
    <s v="MENESR .:. MENJ-BNIE"/>
    <x v="33"/>
    <s v="MENJ-BNIE-Webservices"/>
    <m/>
    <x v="3"/>
    <x v="16"/>
    <x v="12"/>
    <s v="Pierre BOURLIEUX"/>
    <x v="0"/>
    <x v="9"/>
    <x v="3"/>
    <n v="6.1156699869785545"/>
    <m/>
  </r>
  <r>
    <s v="INETUM .:. INETUM-INTERNE"/>
    <x v="13"/>
    <s v="d8-qa"/>
    <m/>
    <x v="3"/>
    <x v="13"/>
    <x v="10"/>
    <s v="Christophe ORLANDO"/>
    <x v="0"/>
    <x v="7"/>
    <x v="3"/>
    <n v="0.88039848311560154"/>
    <m/>
  </r>
  <r>
    <s v="ONEMA .:. AFB-BASEINDICATEURS"/>
    <x v="3"/>
    <s v="AFB-BaseIndicateurs"/>
    <m/>
    <x v="3"/>
    <x v="3"/>
    <x v="3"/>
    <s v="Pierre BOURLIEUX"/>
    <x v="0"/>
    <x v="2"/>
    <x v="4"/>
    <n v="0.85182438277083339"/>
    <m/>
  </r>
  <r>
    <s v="ONEMA .:. AFB-CATALOGUE"/>
    <x v="26"/>
    <s v="AFB-Catalogue"/>
    <m/>
    <x v="3"/>
    <x v="20"/>
    <x v="3"/>
    <s v="Pierre BOURLIEUX"/>
    <x v="0"/>
    <x v="2"/>
    <x v="4"/>
    <n v="1.3456356191597223"/>
    <m/>
  </r>
  <r>
    <s v="ONEMA .:. AFB-CDR"/>
    <x v="4"/>
    <s v="AFB-CDR"/>
    <m/>
    <x v="3"/>
    <x v="4"/>
    <x v="4"/>
    <s v="Pierre BOURLIEUX"/>
    <x v="0"/>
    <x v="2"/>
    <x v="4"/>
    <n v="6.9803745486686513"/>
    <m/>
  </r>
  <r>
    <s v="AFB .:. AFB-CESMIA"/>
    <x v="5"/>
    <s v="AFB-CESMIA"/>
    <m/>
    <x v="3"/>
    <x v="5"/>
    <x v="5"/>
    <s v="Jean-Philippe STROIAZZO"/>
    <x v="0"/>
    <x v="3"/>
    <x v="4"/>
    <n v="12.380881407715851"/>
    <m/>
  </r>
  <r>
    <s v="ONEMA .:. AFB-OISON"/>
    <x v="6"/>
    <s v="AFB-OISON"/>
    <m/>
    <x v="3"/>
    <x v="6"/>
    <x v="3"/>
    <s v="Jean-Philippe STROIAZZO"/>
    <x v="0"/>
    <x v="2"/>
    <x v="4"/>
    <n v="2.9369542479850628"/>
    <m/>
  </r>
  <r>
    <s v="ONEMA .:. AFB-PATBIODIV"/>
    <x v="7"/>
    <s v="AFB-PATBiodiv"/>
    <m/>
    <x v="3"/>
    <x v="7"/>
    <x v="3"/>
    <s v="Rodolphe HABEGGER"/>
    <x v="0"/>
    <x v="2"/>
    <x v="4"/>
    <n v="6.3560560569484128"/>
    <m/>
  </r>
  <r>
    <s v="AFB .:. AFB-PNM"/>
    <x v="8"/>
    <s v="AFB-PNM"/>
    <m/>
    <x v="3"/>
    <x v="8"/>
    <x v="6"/>
    <s v="Eric RAUCOURT"/>
    <x v="0"/>
    <x v="3"/>
    <x v="4"/>
    <n v="9.7601690001668295"/>
    <m/>
  </r>
  <r>
    <s v="AFB .:. AFB-PNX"/>
    <x v="9"/>
    <s v="AFB-PNX"/>
    <m/>
    <x v="3"/>
    <x v="9"/>
    <x v="6"/>
    <s v="Pierre BOURLIEUX"/>
    <x v="0"/>
    <x v="3"/>
    <x v="4"/>
    <n v="2.703616519229167"/>
    <m/>
  </r>
  <r>
    <s v="ALM .:. ALM-ATOUT"/>
    <x v="10"/>
    <s v="ALM-ATOUT"/>
    <m/>
    <x v="3"/>
    <x v="10"/>
    <x v="7"/>
    <s v="Alice MARCHAL"/>
    <x v="0"/>
    <x v="4"/>
    <x v="4"/>
    <n v="23.390253757797531"/>
    <m/>
  </r>
  <r>
    <s v="BRGM .:. BRGM-ORRM"/>
    <x v="11"/>
    <s v="BRGM-ORRM"/>
    <m/>
    <x v="3"/>
    <x v="11"/>
    <x v="8"/>
    <s v="Alice MARCHAL"/>
    <x v="0"/>
    <x v="5"/>
    <x v="4"/>
    <n v="7.4485250827897964"/>
    <m/>
  </r>
  <r>
    <s v="CNAV .:. CNAV-BI-RGCU"/>
    <x v="12"/>
    <s v="CNAV-BI-RGCU"/>
    <m/>
    <x v="3"/>
    <x v="12"/>
    <x v="9"/>
    <s v="Valerie ASSELIN LOZACHMEUR"/>
    <x v="0"/>
    <x v="6"/>
    <x v="4"/>
    <n v="11.110752818750001"/>
    <m/>
  </r>
  <r>
    <s v="INETUM .:. INETUM-INTERNE"/>
    <x v="13"/>
    <s v="d8-qa"/>
    <m/>
    <x v="3"/>
    <x v="13"/>
    <x v="10"/>
    <s v="Christophe ORLANDO"/>
    <x v="0"/>
    <x v="7"/>
    <x v="4"/>
    <n v="0.85182438277083339"/>
    <m/>
  </r>
  <r>
    <s v="INETUM .:. INETUM-INTERNE"/>
    <x v="14"/>
    <s v="drupal-qa"/>
    <m/>
    <x v="3"/>
    <x v="13"/>
    <x v="10"/>
    <s v="Christophe ORLANDO"/>
    <x v="0"/>
    <x v="7"/>
    <x v="4"/>
    <n v="0.85182438277083339"/>
    <m/>
  </r>
  <r>
    <s v="FRR .:. FRR-DIGIPAT"/>
    <x v="15"/>
    <s v="FRR DIGIPAT"/>
    <m/>
    <x v="3"/>
    <x v="0"/>
    <x v="0"/>
    <s v="Alice MARCHAL"/>
    <x v="0"/>
    <x v="0"/>
    <x v="4"/>
    <n v="7.6893463951984131"/>
    <m/>
  </r>
  <r>
    <s v="INETUM .:. INETUM-INTERNE"/>
    <x v="16"/>
    <s v="GFI-D8-BS4-THEME"/>
    <m/>
    <x v="3"/>
    <x v="13"/>
    <x v="10"/>
    <s v="Christophe ORLANDO"/>
    <x v="0"/>
    <x v="7"/>
    <x v="4"/>
    <n v="1.6789582037222224"/>
    <m/>
  </r>
  <r>
    <s v="INETUM .:. INETUM-INTERNE"/>
    <x v="27"/>
    <s v="GFI-MineReport"/>
    <m/>
    <x v="3"/>
    <x v="13"/>
    <x v="10"/>
    <s v="Christophe ORLANDO"/>
    <x v="0"/>
    <x v="7"/>
    <x v="4"/>
    <n v="3.5184050592708336"/>
    <m/>
  </r>
  <r>
    <s v="INETUM .:. INETUM-INTERNE"/>
    <x v="37"/>
    <s v="GFI-RedmineDocker"/>
    <m/>
    <x v="3"/>
    <x v="13"/>
    <x v="10"/>
    <s v="Christophe ORLANDO"/>
    <x v="0"/>
    <x v="7"/>
    <x v="4"/>
    <n v="1.1287113974603176"/>
    <m/>
  </r>
  <r>
    <s v="INETUM .:. INETUM-INTERNE"/>
    <x v="38"/>
    <s v="GFI-WAAC"/>
    <m/>
    <x v="3"/>
    <x v="13"/>
    <x v="10"/>
    <s v="Christophe ORLANDO"/>
    <x v="0"/>
    <x v="7"/>
    <x v="4"/>
    <n v="0.29628674183333337"/>
    <m/>
  </r>
  <r>
    <s v="GLI .:. GLI-APIBIOMETRIE"/>
    <x v="17"/>
    <s v="GLI-APIBiometrie"/>
    <m/>
    <x v="3"/>
    <x v="14"/>
    <x v="11"/>
    <s v="Rodolphe HABEGGER"/>
    <x v="0"/>
    <x v="8"/>
    <x v="4"/>
    <n v="4.2523199357005685"/>
    <m/>
  </r>
  <r>
    <s v="INETUM .:. INETUM-INTERNE"/>
    <x v="39"/>
    <s v="LAPOSTE-Musee"/>
    <m/>
    <x v="3"/>
    <x v="13"/>
    <x v="10"/>
    <s v="Christophe ORLANDO"/>
    <x v="0"/>
    <x v="7"/>
    <x v="4"/>
    <n v="2.7459431966339287"/>
    <m/>
  </r>
  <r>
    <s v="MENESR .:. MENJ-APAE"/>
    <x v="18"/>
    <s v="MENJ-APAE"/>
    <m/>
    <x v="3"/>
    <x v="15"/>
    <x v="12"/>
    <s v="Pierre BOURLIEUX"/>
    <x v="0"/>
    <x v="9"/>
    <x v="4"/>
    <n v="1.3332903382499999"/>
    <m/>
  </r>
  <r>
    <s v="MENESR .:. MENJ-BI"/>
    <x v="36"/>
    <s v="MENJ-BI"/>
    <m/>
    <x v="3"/>
    <x v="25"/>
    <x v="12"/>
    <s v="Eric PERROUD"/>
    <x v="0"/>
    <x v="9"/>
    <x v="4"/>
    <n v="5.9257348366666669"/>
    <m/>
  </r>
  <r>
    <s v="MENESR .:. MENJ-BNIE"/>
    <x v="19"/>
    <s v="MENJ-BNIE-BDD"/>
    <m/>
    <x v="3"/>
    <x v="16"/>
    <x v="12"/>
    <s v="Pierre BOURLIEUX"/>
    <x v="0"/>
    <x v="9"/>
    <x v="4"/>
    <n v="5.0368746111666667"/>
    <m/>
  </r>
  <r>
    <s v="MENESR .:. MENJ-BNIE"/>
    <x v="33"/>
    <s v="MENJ-BNIE-Webservices"/>
    <m/>
    <x v="3"/>
    <x v="16"/>
    <x v="12"/>
    <s v="Pierre BOURLIEUX"/>
    <x v="0"/>
    <x v="9"/>
    <x v="4"/>
    <n v="1.9258638219166668"/>
    <m/>
  </r>
  <r>
    <s v="MENESR .:. MENJ-RNIE"/>
    <x v="20"/>
    <s v="MENJ-RNIE-BDD"/>
    <m/>
    <x v="3"/>
    <x v="17"/>
    <x v="12"/>
    <s v="Pierre BOURLIEUX"/>
    <x v="0"/>
    <x v="9"/>
    <x v="4"/>
    <n v="1.3332903382499999"/>
    <m/>
  </r>
  <r>
    <s v="MENESR .:. MENJ-RNIE"/>
    <x v="21"/>
    <s v="MENJ-RNIE-Webservices"/>
    <m/>
    <x v="3"/>
    <x v="17"/>
    <x v="12"/>
    <s v="Pierre BOURLIEUX"/>
    <x v="0"/>
    <x v="9"/>
    <x v="4"/>
    <n v="1.9895702392356913"/>
    <m/>
  </r>
  <r>
    <s v="OFB .:. OFB-NATUREFRANCE"/>
    <x v="32"/>
    <s v="OFB-NatureFrance"/>
    <m/>
    <x v="3"/>
    <x v="24"/>
    <x v="16"/>
    <s v="Rodolphe HABEGGER"/>
    <x v="0"/>
    <x v="13"/>
    <x v="4"/>
    <n v="8.5752564674797007"/>
    <m/>
  </r>
  <r>
    <s v="AFB .:. OFB-SISPEA"/>
    <x v="40"/>
    <s v="OFB-SISPEA"/>
    <m/>
    <x v="3"/>
    <x v="26"/>
    <x v="6"/>
    <s v="Pierre BOURLIEUX"/>
    <x v="0"/>
    <x v="3"/>
    <x v="4"/>
    <n v="6.4812724776041666"/>
    <m/>
  </r>
  <r>
    <s v="PCM .:. PCM-ALS"/>
    <x v="22"/>
    <s v="PCM-ALS"/>
    <m/>
    <x v="3"/>
    <x v="18"/>
    <x v="13"/>
    <s v="Alice MARCHAL"/>
    <x v="0"/>
    <x v="10"/>
    <x v="4"/>
    <n v="7.9803423023561511"/>
    <m/>
  </r>
  <r>
    <s v="PCM .:. PCM-WEB"/>
    <x v="23"/>
    <s v="PCM-Web"/>
    <m/>
    <x v="3"/>
    <x v="19"/>
    <x v="13"/>
    <s v="Rodolphe HABEGGER"/>
    <x v="0"/>
    <x v="10"/>
    <x v="4"/>
    <n v="3.3138261184811508"/>
    <m/>
  </r>
  <r>
    <s v="PCM .:. PCM-WEB"/>
    <x v="24"/>
    <s v="SPC-BUILD"/>
    <m/>
    <x v="3"/>
    <x v="19"/>
    <x v="13"/>
    <s v="Rodolphe HABEGGER"/>
    <x v="0"/>
    <x v="10"/>
    <x v="4"/>
    <n v="26.221376652250004"/>
    <m/>
  </r>
  <r>
    <s v="SPC .:. SPC-WEB"/>
    <x v="25"/>
    <s v="SPC-WEB"/>
    <m/>
    <x v="3"/>
    <x v="2"/>
    <x v="2"/>
    <s v="Nicolas DURFORT"/>
    <x v="0"/>
    <x v="1"/>
    <x v="4"/>
    <n v="2.6665806765000002"/>
    <m/>
  </r>
  <r>
    <s v="EBR .:. EBR-LAPOSTE"/>
    <x v="31"/>
    <m/>
    <s v="EBR-LAPOSTE-VM"/>
    <x v="1"/>
    <x v="22"/>
    <x v="15"/>
    <s v="Valerie ASSELIN LOZACHMEUR"/>
    <x v="0"/>
    <x v="12"/>
    <x v="4"/>
    <n v="59.65"/>
    <m/>
  </r>
  <r>
    <s v="ALM .:. ALM-ATOUT"/>
    <x v="29"/>
    <m/>
    <s v="ALM-ATOUT-VM"/>
    <x v="2"/>
    <x v="10"/>
    <x v="7"/>
    <s v="Alice MARCHAL"/>
    <x v="0"/>
    <x v="4"/>
    <x v="4"/>
    <n v="71.290000000000006"/>
    <m/>
  </r>
  <r>
    <s v="BRGM .:. BRGM-ORRM"/>
    <x v="30"/>
    <m/>
    <s v="BRGM-ORRM-VM"/>
    <x v="0"/>
    <x v="11"/>
    <x v="8"/>
    <s v="Alice MARCHAL"/>
    <x v="0"/>
    <x v="5"/>
    <x v="4"/>
    <n v="5.79"/>
    <m/>
  </r>
  <r>
    <s v="CA-TITRES .:. CATITRES-COMX"/>
    <x v="28"/>
    <m/>
    <s v="CATITRES-COMX-VM"/>
    <x v="1"/>
    <x v="21"/>
    <x v="14"/>
    <s v="Jean-Philippe STROIAZZO"/>
    <x v="0"/>
    <x v="11"/>
    <x v="4"/>
    <n v="99.45"/>
    <m/>
  </r>
  <r>
    <s v="MENESR .:. MENJ-BI"/>
    <x v="35"/>
    <m/>
    <s v="MENJ-BI-VM"/>
    <x v="4"/>
    <x v="25"/>
    <x v="12"/>
    <s v="Eric PERROUD"/>
    <x v="0"/>
    <x v="9"/>
    <x v="4"/>
    <n v="2.64"/>
    <m/>
  </r>
  <r>
    <s v="OFB .:. OFB-NATUREFRANCE"/>
    <x v="34"/>
    <m/>
    <s v="OFB-FRANCENATURE-VM"/>
    <x v="2"/>
    <x v="24"/>
    <x v="16"/>
    <s v="Rodolphe HABEGGER"/>
    <x v="0"/>
    <x v="13"/>
    <x v="4"/>
    <n v="7.86"/>
    <m/>
  </r>
  <r>
    <s v="SPC .:. SPC-BUILD"/>
    <x v="1"/>
    <m/>
    <s v="SPC-BUILDAS-VM"/>
    <x v="1"/>
    <x v="1"/>
    <x v="1"/>
    <s v="Nicolas DURFORT"/>
    <x v="0"/>
    <x v="1"/>
    <x v="4"/>
    <n v="85.76"/>
    <m/>
  </r>
  <r>
    <s v="FRR .:. FRR-DIGIPAT"/>
    <x v="0"/>
    <m/>
    <s v="FRR-DIGIPAT-VM"/>
    <x v="0"/>
    <x v="0"/>
    <x v="0"/>
    <s v="Alice MARCHAL"/>
    <x v="0"/>
    <x v="0"/>
    <x v="4"/>
    <n v="21.22"/>
    <m/>
  </r>
  <r>
    <s v="ONEMA .:. AFB-BASEINDICATEURS"/>
    <x v="3"/>
    <s v="AFB-BaseIndicateurs"/>
    <m/>
    <x v="3"/>
    <x v="3"/>
    <x v="3"/>
    <s v="Pierre BOURLIEUX"/>
    <x v="0"/>
    <x v="2"/>
    <x v="5"/>
    <n v="0.68675683610526317"/>
    <m/>
  </r>
  <r>
    <s v="ONEMA .:. AFB-CATALOGUE"/>
    <x v="26"/>
    <s v="AFB-Catalogue"/>
    <m/>
    <x v="3"/>
    <x v="20"/>
    <x v="3"/>
    <s v="Pierre BOURLIEUX"/>
    <x v="0"/>
    <x v="2"/>
    <x v="5"/>
    <n v="1.7151045220511962"/>
    <m/>
  </r>
  <r>
    <s v="ONEMA .:. AFB-CDR"/>
    <x v="4"/>
    <s v="AFB-CDR"/>
    <m/>
    <x v="3"/>
    <x v="4"/>
    <x v="4"/>
    <s v="Pierre BOURLIEUX"/>
    <x v="0"/>
    <x v="2"/>
    <x v="5"/>
    <n v="7.2108507301940534"/>
    <m/>
  </r>
  <r>
    <s v="AFB .:. AFB-CESMIA"/>
    <x v="5"/>
    <s v="AFB-CESMIA"/>
    <m/>
    <x v="3"/>
    <x v="5"/>
    <x v="5"/>
    <s v="Jean-Philippe STROIAZZO"/>
    <x v="0"/>
    <x v="3"/>
    <x v="5"/>
    <n v="12.255714358527801"/>
    <m/>
  </r>
  <r>
    <s v="ONEMA .:. AFB-OISON"/>
    <x v="6"/>
    <s v="AFB-OISON"/>
    <m/>
    <x v="3"/>
    <x v="6"/>
    <x v="3"/>
    <s v="Jean-Philippe STROIAZZO"/>
    <x v="0"/>
    <x v="2"/>
    <x v="5"/>
    <n v="5.7252775179069904"/>
    <m/>
  </r>
  <r>
    <s v="ONEMA .:. AFB-PATBIODIV"/>
    <x v="7"/>
    <s v="AFB-PATBiodiv"/>
    <m/>
    <x v="3"/>
    <x v="7"/>
    <x v="3"/>
    <s v="Rodolphe HABEGGER"/>
    <x v="0"/>
    <x v="2"/>
    <x v="5"/>
    <n v="5.6861361027719299"/>
    <m/>
  </r>
  <r>
    <s v="AFB .:. AFB-PNM"/>
    <x v="8"/>
    <s v="AFB-PNM"/>
    <m/>
    <x v="3"/>
    <x v="8"/>
    <x v="6"/>
    <s v="Eric RAUCOURT"/>
    <x v="0"/>
    <x v="3"/>
    <x v="5"/>
    <n v="14.352832561463577"/>
    <m/>
  </r>
  <r>
    <s v="AFB .:. AFB-PNX"/>
    <x v="9"/>
    <s v="AFB-PNX"/>
    <m/>
    <x v="3"/>
    <x v="9"/>
    <x v="6"/>
    <s v="Pierre BOURLIEUX"/>
    <x v="0"/>
    <x v="3"/>
    <x v="5"/>
    <n v="2.4543945053909773"/>
    <m/>
  </r>
  <r>
    <s v="ONEMA .:. AFB-RAA"/>
    <x v="41"/>
    <s v="AFB-RAA"/>
    <m/>
    <x v="3"/>
    <x v="27"/>
    <x v="4"/>
    <s v="Pierre BOURLIEUX"/>
    <x v="0"/>
    <x v="2"/>
    <x v="5"/>
    <n v="0.23681270210526315"/>
    <m/>
  </r>
  <r>
    <s v="ALM .:. ALM-ATOUT"/>
    <x v="10"/>
    <s v="ALM-ATOUT"/>
    <m/>
    <x v="3"/>
    <x v="10"/>
    <x v="7"/>
    <s v="Alice MARCHAL"/>
    <x v="0"/>
    <x v="4"/>
    <x v="5"/>
    <n v="11.506087884854869"/>
    <m/>
  </r>
  <r>
    <s v="BRGM .:. BRGM-ORRM"/>
    <x v="11"/>
    <s v="BRGM-ORRM"/>
    <m/>
    <x v="3"/>
    <x v="11"/>
    <x v="8"/>
    <s v="Alice MARCHAL"/>
    <x v="0"/>
    <x v="5"/>
    <x v="5"/>
    <n v="6.2898275603641114"/>
    <m/>
  </r>
  <r>
    <s v="CNAV .:. CNAV-BI-RGCU"/>
    <x v="12"/>
    <s v="CNAV-BI-RGCU"/>
    <m/>
    <x v="3"/>
    <x v="12"/>
    <x v="9"/>
    <s v="Valerie ASSELIN LOZACHMEUR"/>
    <x v="0"/>
    <x v="6"/>
    <x v="5"/>
    <n v="11.24860335"/>
    <m/>
  </r>
  <r>
    <s v="INETUM .:. INETUM-INTERNE"/>
    <x v="13"/>
    <s v="d8-qa"/>
    <m/>
    <x v="3"/>
    <x v="13"/>
    <x v="10"/>
    <s v="Christophe ORLANDO"/>
    <x v="0"/>
    <x v="7"/>
    <x v="5"/>
    <n v="0.79924286960526314"/>
    <m/>
  </r>
  <r>
    <s v="INETUM .:. INETUM-INTERNE"/>
    <x v="14"/>
    <s v="drupal-qa"/>
    <m/>
    <x v="3"/>
    <x v="13"/>
    <x v="10"/>
    <s v="Christophe ORLANDO"/>
    <x v="0"/>
    <x v="7"/>
    <x v="5"/>
    <n v="0.79924286960526314"/>
    <m/>
  </r>
  <r>
    <s v="FRR .:. FRR-DIGIPAT"/>
    <x v="15"/>
    <s v="FRR DIGIPAT"/>
    <m/>
    <x v="3"/>
    <x v="0"/>
    <x v="0"/>
    <s v="Alice MARCHAL"/>
    <x v="0"/>
    <x v="0"/>
    <x v="5"/>
    <n v="7.5952108089743593"/>
    <m/>
  </r>
  <r>
    <s v="FRR .:. FRR-APPLIFRR"/>
    <x v="42"/>
    <s v="FRR-APPLIFRR"/>
    <m/>
    <x v="3"/>
    <x v="28"/>
    <x v="0"/>
    <s v="Jean-Philippe STROIAZZO"/>
    <x v="0"/>
    <x v="0"/>
    <x v="5"/>
    <n v="3.0048716641258739"/>
    <m/>
  </r>
  <r>
    <s v="FRR .:. FRR-CADENCIER"/>
    <x v="43"/>
    <s v="FRR-CADENCIER"/>
    <m/>
    <x v="3"/>
    <x v="29"/>
    <x v="0"/>
    <s v="Jean-Philippe STROIAZZO"/>
    <x v="0"/>
    <x v="0"/>
    <x v="5"/>
    <n v="3.0048716641258739"/>
    <m/>
  </r>
  <r>
    <s v="FRR .:. FRR-PATAPAIN"/>
    <x v="44"/>
    <s v="FRR-Patapain"/>
    <m/>
    <x v="3"/>
    <x v="30"/>
    <x v="0"/>
    <s v="Christophe ORLANDO"/>
    <x v="0"/>
    <x v="0"/>
    <x v="5"/>
    <n v="2.5944830583896099"/>
    <m/>
  </r>
  <r>
    <s v="FRR .:. FRR-PATAPAINANDROID"/>
    <x v="45"/>
    <s v="FRR-PATAPAINANDROID"/>
    <m/>
    <x v="3"/>
    <x v="31"/>
    <x v="0"/>
    <s v="Jean-Philippe STROIAZZO"/>
    <x v="0"/>
    <x v="0"/>
    <x v="5"/>
    <n v="3.0048716641258739"/>
    <m/>
  </r>
  <r>
    <s v="INETUM .:. INETUM-INTERNE"/>
    <x v="46"/>
    <s v="GFI-CMIS"/>
    <m/>
    <x v="3"/>
    <x v="13"/>
    <x v="10"/>
    <s v="Christophe ORLANDO"/>
    <x v="0"/>
    <x v="7"/>
    <x v="5"/>
    <n v="0.23681270210526315"/>
    <m/>
  </r>
  <r>
    <s v="INETUM .:. INETUM-INTERNE"/>
    <x v="47"/>
    <s v="GFI-COFFEE"/>
    <m/>
    <x v="3"/>
    <x v="13"/>
    <x v="10"/>
    <s v="Christophe ORLANDO"/>
    <x v="0"/>
    <x v="7"/>
    <x v="5"/>
    <n v="1.3979283284115882"/>
    <m/>
  </r>
  <r>
    <s v="INETUM .:. INETUM-INTERNE"/>
    <x v="48"/>
    <s v="GFI-CRALENIUM"/>
    <m/>
    <x v="3"/>
    <x v="13"/>
    <x v="10"/>
    <s v="Christophe ORLANDO"/>
    <x v="0"/>
    <x v="7"/>
    <x v="5"/>
    <n v="3.0048716641258739"/>
    <m/>
  </r>
  <r>
    <s v="INETUM .:. INETUM-INTERNE"/>
    <x v="16"/>
    <s v="GFI-D8-BS4-THEME"/>
    <m/>
    <x v="3"/>
    <x v="13"/>
    <x v="10"/>
    <s v="Christophe ORLANDO"/>
    <x v="0"/>
    <x v="7"/>
    <x v="5"/>
    <n v="1.6366388967719296"/>
    <m/>
  </r>
  <r>
    <s v="INETUM .:. INETUM-INTERNE"/>
    <x v="49"/>
    <s v="GFI-Docker Devbox Install"/>
    <m/>
    <x v="3"/>
    <x v="13"/>
    <x v="10"/>
    <s v="Christophe ORLANDO"/>
    <x v="0"/>
    <x v="7"/>
    <x v="5"/>
    <n v="0.23681270210526315"/>
    <m/>
  </r>
  <r>
    <s v="INETUM .:. INETUM-INTERNE"/>
    <x v="27"/>
    <s v="GFI-MineReport"/>
    <m/>
    <x v="3"/>
    <x v="13"/>
    <x v="10"/>
    <s v="Christophe ORLANDO"/>
    <x v="0"/>
    <x v="7"/>
    <x v="5"/>
    <n v="7.657703049807691"/>
    <m/>
  </r>
  <r>
    <s v="INETUM .:. INETUM-INTERNE"/>
    <x v="50"/>
    <s v="GFI-PMT"/>
    <m/>
    <x v="3"/>
    <x v="13"/>
    <x v="10"/>
    <s v="Christophe ORLANDO"/>
    <x v="0"/>
    <x v="7"/>
    <x v="5"/>
    <n v="1.4600046738931081"/>
    <m/>
  </r>
  <r>
    <s v="INETUM .:. INETUM-INTERNE"/>
    <x v="37"/>
    <s v="GFI-RedmineDocker"/>
    <m/>
    <x v="3"/>
    <x v="13"/>
    <x v="10"/>
    <s v="Christophe ORLANDO"/>
    <x v="0"/>
    <x v="7"/>
    <x v="5"/>
    <n v="1.3589221824848483"/>
    <m/>
  </r>
  <r>
    <s v="INETUM .:. INETUM-INTERNE"/>
    <x v="51"/>
    <s v="GFI-TENDER"/>
    <m/>
    <x v="3"/>
    <x v="13"/>
    <x v="10"/>
    <s v="Christophe ORLANDO"/>
    <x v="0"/>
    <x v="7"/>
    <x v="5"/>
    <n v="3.0048716641258739"/>
    <m/>
  </r>
  <r>
    <s v="GFI .:. GFI-WAAC"/>
    <x v="38"/>
    <s v="GFI-WAAC"/>
    <m/>
    <x v="3"/>
    <x v="32"/>
    <x v="17"/>
    <s v="Laurent MARCIANIAK"/>
    <x v="1"/>
    <x v="14"/>
    <x v="5"/>
    <n v="0.23681270210526315"/>
    <m/>
  </r>
  <r>
    <s v="GLI .:. GLI-APIBIOMETRIE"/>
    <x v="17"/>
    <s v="GLI-APIBiometrie"/>
    <m/>
    <x v="3"/>
    <x v="14"/>
    <x v="11"/>
    <s v="Rodolphe HABEGGER"/>
    <x v="0"/>
    <x v="8"/>
    <x v="5"/>
    <n v="4.4816507566476407"/>
    <m/>
  </r>
  <r>
    <s v="LAPOSTE .:. LAPOSTE-CDC"/>
    <x v="52"/>
    <s v="LAPOSTE-F4N-Musee"/>
    <m/>
    <x v="3"/>
    <x v="33"/>
    <x v="18"/>
    <s v="Rodolphe HABEGGER"/>
    <x v="0"/>
    <x v="15"/>
    <x v="5"/>
    <n v="2.9889146044285715"/>
    <m/>
  </r>
  <r>
    <s v="LAPOSTE .:. LAPOSTE-CDC"/>
    <x v="53"/>
    <s v="LAPOSTE-LPK-PortailVoyage"/>
    <m/>
    <x v="3"/>
    <x v="33"/>
    <x v="18"/>
    <s v="Rodolphe HABEGGER"/>
    <x v="0"/>
    <x v="15"/>
    <x v="5"/>
    <n v="1.1803729229610389"/>
    <m/>
  </r>
  <r>
    <s v="LAPOSTE .:. LAPOSTE-CDC"/>
    <x v="54"/>
    <s v="LAPOSTE-LPM-IntranetDHA"/>
    <m/>
    <x v="3"/>
    <x v="33"/>
    <x v="18"/>
    <s v="Rodolphe HABEGGER"/>
    <x v="0"/>
    <x v="15"/>
    <x v="5"/>
    <n v="1.1803729229610389"/>
    <m/>
  </r>
  <r>
    <s v="MENESR .:. MENJ-APAE"/>
    <x v="18"/>
    <s v="MENJ-APAE"/>
    <m/>
    <x v="3"/>
    <x v="15"/>
    <x v="12"/>
    <s v="Pierre BOURLIEUX"/>
    <x v="0"/>
    <x v="9"/>
    <x v="5"/>
    <n v="1.2212769351428572"/>
    <m/>
  </r>
  <r>
    <s v="MENESR .:. MENJ-BI"/>
    <x v="36"/>
    <s v="MENJ-BI"/>
    <m/>
    <x v="3"/>
    <x v="25"/>
    <x v="12"/>
    <s v="Eric PERROUD"/>
    <x v="0"/>
    <x v="9"/>
    <x v="5"/>
    <n v="4.4994413399999997"/>
    <m/>
  </r>
  <r>
    <s v="MENESR .:. MENJ-BNIE"/>
    <x v="19"/>
    <s v="MENJ-BNIE-BDD"/>
    <m/>
    <x v="3"/>
    <x v="16"/>
    <x v="12"/>
    <s v="Pierre BOURLIEUX"/>
    <x v="0"/>
    <x v="9"/>
    <x v="5"/>
    <n v="4.9708113851428575"/>
    <m/>
  </r>
  <r>
    <s v="MENESR .:. MENJ-BNIE"/>
    <x v="33"/>
    <s v="MENJ-BNIE-Webservices"/>
    <m/>
    <x v="3"/>
    <x v="16"/>
    <x v="12"/>
    <s v="Pierre BOURLIEUX"/>
    <x v="0"/>
    <x v="9"/>
    <x v="5"/>
    <n v="0.32138866714285713"/>
    <m/>
  </r>
  <r>
    <s v="MENESR .:. MENJ-RNIE"/>
    <x v="20"/>
    <s v="MENJ-RNIE-BDD"/>
    <m/>
    <x v="3"/>
    <x v="17"/>
    <x v="12"/>
    <s v="Pierre BOURLIEUX"/>
    <x v="0"/>
    <x v="9"/>
    <x v="5"/>
    <n v="1.2557804504989254"/>
    <m/>
  </r>
  <r>
    <s v="MENESR .:. MENJ-RNIE"/>
    <x v="21"/>
    <s v="MENJ-RNIE-Webservices"/>
    <m/>
    <x v="3"/>
    <x v="17"/>
    <x v="12"/>
    <s v="Pierre BOURLIEUX"/>
    <x v="0"/>
    <x v="9"/>
    <x v="5"/>
    <n v="3.8435441022040404"/>
    <m/>
  </r>
  <r>
    <s v="AFB .:. OFB-CMONSPOT"/>
    <x v="55"/>
    <s v="OFB-CMONSPOT"/>
    <m/>
    <x v="3"/>
    <x v="34"/>
    <x v="6"/>
    <s v="Pierre BOURLIEUX"/>
    <x v="0"/>
    <x v="3"/>
    <x v="5"/>
    <n v="0.449944134"/>
    <m/>
  </r>
  <r>
    <s v="OFB .:. OFB-NATUREFRANCE"/>
    <x v="32"/>
    <s v="OFB-NatureFrance"/>
    <m/>
    <x v="3"/>
    <x v="24"/>
    <x v="16"/>
    <s v="Rodolphe HABEGGER"/>
    <x v="0"/>
    <x v="13"/>
    <x v="5"/>
    <n v="14.177147375861301"/>
    <m/>
  </r>
  <r>
    <s v="AFB .:. OFB-SISPEA"/>
    <x v="40"/>
    <s v="OFB-SISPEA"/>
    <m/>
    <x v="3"/>
    <x v="26"/>
    <x v="6"/>
    <s v="Pierre BOURLIEUX"/>
    <x v="0"/>
    <x v="3"/>
    <x v="5"/>
    <n v="4.9493854739999996"/>
    <m/>
  </r>
  <r>
    <s v="PCM .:. PCM-ALS"/>
    <x v="22"/>
    <s v="PCM-ALS"/>
    <m/>
    <x v="3"/>
    <x v="18"/>
    <x v="13"/>
    <s v="Alice MARCHAL"/>
    <x v="0"/>
    <x v="10"/>
    <x v="5"/>
    <n v="8.4393656846290721"/>
    <m/>
  </r>
  <r>
    <s v="PCM .:. PCM-WEB"/>
    <x v="23"/>
    <s v="PCM-Web"/>
    <m/>
    <x v="3"/>
    <x v="19"/>
    <x v="13"/>
    <s v="Rodolphe HABEGGER"/>
    <x v="0"/>
    <x v="10"/>
    <x v="5"/>
    <n v="3.5852691312380949"/>
    <m/>
  </r>
  <r>
    <s v="SAFT .:. SAFT-PDM"/>
    <x v="56"/>
    <s v="SAFT-PDM"/>
    <m/>
    <x v="3"/>
    <x v="35"/>
    <x v="19"/>
    <s v="Pierre BOURLIEUX"/>
    <x v="0"/>
    <x v="16"/>
    <x v="5"/>
    <n v="3.0048716641258739"/>
    <m/>
  </r>
  <r>
    <s v="SPC .:. SPC-BUILD"/>
    <x v="24"/>
    <s v="SPC-BUILD"/>
    <m/>
    <x v="3"/>
    <x v="1"/>
    <x v="1"/>
    <s v="Nicolas DURFORT"/>
    <x v="0"/>
    <x v="1"/>
    <x v="5"/>
    <n v="26.289592972285714"/>
    <m/>
  </r>
  <r>
    <s v="SPC .:. SPC-WEB"/>
    <x v="25"/>
    <s v="SPC-WEB"/>
    <m/>
    <x v="3"/>
    <x v="2"/>
    <x v="2"/>
    <s v="Nicolas DURFORT"/>
    <x v="0"/>
    <x v="1"/>
    <x v="5"/>
    <n v="2.6365147501052633"/>
    <m/>
  </r>
  <r>
    <s v="ALM .:. ALM-ATOUT"/>
    <x v="29"/>
    <m/>
    <s v="ALM-ATOUT-VM"/>
    <x v="2"/>
    <x v="10"/>
    <x v="7"/>
    <s v="Alice MARCHAL"/>
    <x v="0"/>
    <x v="4"/>
    <x v="5"/>
    <n v="109.36"/>
    <m/>
  </r>
  <r>
    <s v="BRGM .:. BRGM-ORRM"/>
    <x v="30"/>
    <m/>
    <s v="BRGM-ORRM-VM"/>
    <x v="0"/>
    <x v="11"/>
    <x v="8"/>
    <s v="Alice MARCHAL"/>
    <x v="0"/>
    <x v="5"/>
    <x v="5"/>
    <n v="10.199999999999999"/>
    <m/>
  </r>
  <r>
    <s v="CA-TITRES .:. CATITRES-COMX"/>
    <x v="28"/>
    <m/>
    <s v="CATITRES-COMX-VM"/>
    <x v="1"/>
    <x v="21"/>
    <x v="14"/>
    <s v="Jean-Philippe STROIAZZO"/>
    <x v="0"/>
    <x v="11"/>
    <x v="5"/>
    <n v="168.71"/>
    <m/>
  </r>
  <r>
    <s v="EBR .:. EBR-LAPOSTE"/>
    <x v="31"/>
    <m/>
    <s v="EBR-LAPOSTE-VM"/>
    <x v="1"/>
    <x v="22"/>
    <x v="15"/>
    <s v="Valerie ASSELIN LOZACHMEUR"/>
    <x v="0"/>
    <x v="12"/>
    <x v="5"/>
    <n v="118.1"/>
    <m/>
  </r>
  <r>
    <s v="INETUM .:. INETUM-INTERNE"/>
    <x v="57"/>
    <m/>
    <s v="GFI-PMT-VM"/>
    <x v="1"/>
    <x v="13"/>
    <x v="10"/>
    <s v="Christophe ORLANDO"/>
    <x v="0"/>
    <x v="7"/>
    <x v="5"/>
    <n v="2.4700000000000002"/>
    <m/>
  </r>
  <r>
    <s v="MENESR .:. MENJ-BI"/>
    <x v="35"/>
    <m/>
    <s v="MENJ-BI-VM"/>
    <x v="2"/>
    <x v="25"/>
    <x v="12"/>
    <s v="Eric PERROUD"/>
    <x v="0"/>
    <x v="9"/>
    <x v="5"/>
    <n v="4.54"/>
    <m/>
  </r>
  <r>
    <s v="AFB .:. AFB-NatureFrance"/>
    <x v="34"/>
    <m/>
    <s v="OFB-FRANCENATURE-VM"/>
    <x v="2"/>
    <x v="23"/>
    <x v="6"/>
    <s v="Rodolphe HABEGGER"/>
    <x v="0"/>
    <x v="3"/>
    <x v="5"/>
    <n v="13.59"/>
    <m/>
  </r>
  <r>
    <s v="AFB .:. OFB-SISPEA"/>
    <x v="58"/>
    <m/>
    <s v="OFB-SISPEA-VM"/>
    <x v="1"/>
    <x v="26"/>
    <x v="6"/>
    <s v="Pierre BOURLIEUX"/>
    <x v="0"/>
    <x v="3"/>
    <x v="5"/>
    <n v="7.45"/>
    <m/>
  </r>
  <r>
    <s v="SPC .:. SPC-BUILD"/>
    <x v="1"/>
    <m/>
    <s v="SPC-BUILDAS-VM"/>
    <x v="1"/>
    <x v="1"/>
    <x v="1"/>
    <s v="Nicolas DURFORT"/>
    <x v="0"/>
    <x v="1"/>
    <x v="5"/>
    <n v="144.77000000000001"/>
    <m/>
  </r>
  <r>
    <s v="STMICRO .:. STMICRO-DATAPACK"/>
    <x v="59"/>
    <m/>
    <s v="STMICRO-DATAPACK-VM"/>
    <x v="1"/>
    <x v="36"/>
    <x v="20"/>
    <s v="Jean-Philippe STROIAZZO"/>
    <x v="0"/>
    <x v="17"/>
    <x v="5"/>
    <n v="1.27"/>
    <m/>
  </r>
  <r>
    <s v="FRR .:. FRR-DIGIPAT"/>
    <x v="0"/>
    <m/>
    <s v="FRR-DIGIPAT-VM"/>
    <x v="0"/>
    <x v="0"/>
    <x v="0"/>
    <s v="Alice MARCHAL"/>
    <x v="0"/>
    <x v="0"/>
    <x v="5"/>
    <n v="24.59"/>
    <m/>
  </r>
  <r>
    <s v="ONEMA .:. AFB-BASEINDICATEURS"/>
    <x v="3"/>
    <s v="AFB-BaseIndicateurs"/>
    <m/>
    <x v="3"/>
    <x v="3"/>
    <x v="3"/>
    <s v="Pierre BOURLIEUX"/>
    <x v="0"/>
    <x v="2"/>
    <x v="6"/>
    <n v="0.70212543537871841"/>
    <s v="23/07 (29/06 - 22/07)"/>
  </r>
  <r>
    <s v="ONEMA .:. AFB-CATALOGUE"/>
    <x v="26"/>
    <s v="AFB-Catalogue"/>
    <m/>
    <x v="3"/>
    <x v="20"/>
    <x v="3"/>
    <s v="Pierre BOURLIEUX"/>
    <x v="0"/>
    <x v="2"/>
    <x v="6"/>
    <n v="2.3697134644167948"/>
    <s v="23/07 (29/06 - 22/07)"/>
  </r>
  <r>
    <s v="ONEMA .:. AFB-CDR"/>
    <x v="4"/>
    <s v="AFB-CDR"/>
    <m/>
    <x v="3"/>
    <x v="4"/>
    <x v="4"/>
    <s v="Pierre BOURLIEUX"/>
    <x v="0"/>
    <x v="2"/>
    <x v="6"/>
    <n v="8.2477403569440337"/>
    <s v="23/07 (29/06 - 22/07)"/>
  </r>
  <r>
    <s v="AFB .:. AFB-CESMIA"/>
    <x v="5"/>
    <s v="AFB-CESMIA"/>
    <m/>
    <x v="3"/>
    <x v="5"/>
    <x v="5"/>
    <s v="Jean-Philippe STROIAZZO"/>
    <x v="0"/>
    <x v="3"/>
    <x v="6"/>
    <n v="13.169821098442615"/>
    <s v="23/07 (29/06 - 22/07)"/>
  </r>
  <r>
    <s v="ONEMA .:. AFB-OISON"/>
    <x v="6"/>
    <s v="AFB-OISON"/>
    <m/>
    <x v="3"/>
    <x v="6"/>
    <x v="3"/>
    <s v="Jean-Philippe STROIAZZO"/>
    <x v="0"/>
    <x v="2"/>
    <x v="6"/>
    <n v="2.0536304298330741"/>
    <s v="23/07 (29/06 - 22/07)"/>
  </r>
  <r>
    <s v="ONEMA .:. AFB-PATBIODIV"/>
    <x v="7"/>
    <s v="AFB-PATBiodiv"/>
    <m/>
    <x v="3"/>
    <x v="7"/>
    <x v="3"/>
    <s v="Rodolphe HABEGGER"/>
    <x v="0"/>
    <x v="2"/>
    <x v="6"/>
    <n v="5.731238176881047"/>
    <s v="23/07 (29/06 - 22/07)"/>
  </r>
  <r>
    <s v="AFB .:. AFB-PNM"/>
    <x v="8"/>
    <s v="AFB-PNM"/>
    <m/>
    <x v="3"/>
    <x v="8"/>
    <x v="6"/>
    <s v="Eric RAUCOURT"/>
    <x v="0"/>
    <x v="3"/>
    <x v="6"/>
    <n v="12.742523040070225"/>
    <s v="23/07 (29/06 - 22/07)"/>
  </r>
  <r>
    <s v="AFB .:. AFB-PNX"/>
    <x v="9"/>
    <s v="AFB-PNX"/>
    <m/>
    <x v="3"/>
    <x v="9"/>
    <x v="6"/>
    <s v="Pierre BOURLIEUX"/>
    <x v="0"/>
    <x v="3"/>
    <x v="6"/>
    <n v="2.509320213631824"/>
    <s v="23/07 (29/06 - 22/07)"/>
  </r>
  <r>
    <s v="ONEMA .:. AFB-RAA"/>
    <x v="41"/>
    <s v="AFB-RAA"/>
    <m/>
    <x v="3"/>
    <x v="27"/>
    <x v="4"/>
    <s v="Pierre BOURLIEUX"/>
    <x v="0"/>
    <x v="2"/>
    <x v="6"/>
    <n v="0.2421122190961098"/>
    <s v="23/07 (29/06 - 22/07)"/>
  </r>
  <r>
    <s v="ALM .:. ALM-ATOUT"/>
    <x v="10"/>
    <s v="ALM-ATOUT"/>
    <m/>
    <x v="3"/>
    <x v="10"/>
    <x v="7"/>
    <s v="Alice MARCHAL"/>
    <x v="0"/>
    <x v="4"/>
    <x v="6"/>
    <n v="6.4039036999823331"/>
    <s v="23/07 (29/06 - 22/07)"/>
  </r>
  <r>
    <s v="BRGM .:. BRGM-ORRM"/>
    <x v="11"/>
    <s v="BRGM-ORRM"/>
    <m/>
    <x v="3"/>
    <x v="11"/>
    <x v="8"/>
    <s v="Alice MARCHAL"/>
    <x v="0"/>
    <x v="5"/>
    <x v="6"/>
    <n v="5.5596459454105496"/>
    <s v="23/07 (29/06 - 22/07)"/>
  </r>
  <r>
    <s v="CNAV .:. CNAV-BI-RGCU"/>
    <x v="12"/>
    <s v="CNAV-BI-RGCU"/>
    <m/>
    <x v="3"/>
    <x v="12"/>
    <x v="9"/>
    <s v="Valerie ASSELIN LOZACHMEUR"/>
    <x v="0"/>
    <x v="6"/>
    <x v="6"/>
    <n v="11.500330407065217"/>
    <s v="23/07 (29/06 - 22/07)"/>
  </r>
  <r>
    <s v="INETUM .:. INETUM-INTERNE"/>
    <x v="13"/>
    <s v="d8-qa"/>
    <m/>
    <x v="3"/>
    <x v="13"/>
    <x v="10"/>
    <s v="Christophe ORLANDO"/>
    <x v="0"/>
    <x v="7"/>
    <x v="6"/>
    <n v="0.81712873944937059"/>
    <s v="23/07 (29/06 - 22/07)"/>
  </r>
  <r>
    <s v="INETUM .:. INETUM-INTERNE"/>
    <x v="14"/>
    <s v="drupal-qa"/>
    <m/>
    <x v="3"/>
    <x v="13"/>
    <x v="10"/>
    <s v="Christophe ORLANDO"/>
    <x v="0"/>
    <x v="7"/>
    <x v="6"/>
    <n v="0.81712873944937059"/>
    <s v="23/07 (29/06 - 22/07)"/>
  </r>
  <r>
    <s v="FRR .:. FRR-DIGIPAT"/>
    <x v="15"/>
    <s v="FRR DIGIPAT"/>
    <m/>
    <x v="3"/>
    <x v="0"/>
    <x v="0"/>
    <s v="Alice MARCHAL"/>
    <x v="0"/>
    <x v="0"/>
    <x v="6"/>
    <n v="7.4222767357344717"/>
    <s v="23/07 (29/06 - 22/07)"/>
  </r>
  <r>
    <s v="FRR .:. FRR-APPLIFRR"/>
    <x v="42"/>
    <s v="FRR-APPLIFRR"/>
    <m/>
    <x v="3"/>
    <x v="28"/>
    <x v="0"/>
    <s v="Jean-Philippe STROIAZZO"/>
    <x v="0"/>
    <x v="0"/>
    <x v="6"/>
    <n v="3.0468407831705249"/>
    <s v="23/07 (29/06 - 22/07)"/>
  </r>
  <r>
    <s v="FRR .:. FRR-CADENCIER"/>
    <x v="43"/>
    <s v="FRR-CADENCIER"/>
    <m/>
    <x v="3"/>
    <x v="29"/>
    <x v="0"/>
    <s v="Jean-Philippe STROIAZZO"/>
    <x v="0"/>
    <x v="0"/>
    <x v="6"/>
    <n v="3.0468407831705249"/>
    <s v="23/07 (29/06 - 22/07)"/>
  </r>
  <r>
    <s v="FRR .:. FRR-PATAPAIN"/>
    <x v="44"/>
    <s v="FRR-Patapain"/>
    <m/>
    <x v="3"/>
    <x v="30"/>
    <x v="0"/>
    <s v="Christophe ORLANDO"/>
    <x v="0"/>
    <x v="0"/>
    <x v="6"/>
    <n v="2.6525437406425745"/>
    <s v="23/07 (29/06 - 22/07)"/>
  </r>
  <r>
    <s v="FRR .:. FRR-PATAPAINANDROID"/>
    <x v="45"/>
    <s v="FRR-PATAPAINANDROID"/>
    <m/>
    <x v="3"/>
    <x v="31"/>
    <x v="0"/>
    <s v="Jean-Philippe STROIAZZO"/>
    <x v="0"/>
    <x v="0"/>
    <x v="6"/>
    <n v="3.0468407831705249"/>
    <s v="23/07 (29/06 - 22/07)"/>
  </r>
  <r>
    <s v="INETUM .:. INETUM-INTERNE"/>
    <x v="46"/>
    <s v="GFI-CMIS"/>
    <m/>
    <x v="3"/>
    <x v="13"/>
    <x v="10"/>
    <s v="Christophe ORLANDO"/>
    <x v="0"/>
    <x v="7"/>
    <x v="6"/>
    <n v="0.2421122190961098"/>
    <s v="23/07 (29/06 - 22/07)"/>
  </r>
  <r>
    <s v="INETUM .:. INETUM-INTERNE"/>
    <x v="47"/>
    <s v="GFI-COFFEE"/>
    <m/>
    <x v="3"/>
    <x v="13"/>
    <x v="10"/>
    <s v="Christophe ORLANDO"/>
    <x v="0"/>
    <x v="7"/>
    <x v="6"/>
    <n v="1.4039364393040652"/>
    <s v="23/07 (29/06 - 22/07)"/>
  </r>
  <r>
    <s v="INETUM .:. INETUM-INTERNE"/>
    <x v="48"/>
    <s v="GFI-CRALENIUM"/>
    <m/>
    <x v="3"/>
    <x v="13"/>
    <x v="10"/>
    <s v="Christophe ORLANDO"/>
    <x v="0"/>
    <x v="7"/>
    <x v="6"/>
    <n v="3.0468407831705249"/>
    <s v="23/07 (29/06 - 22/07)"/>
  </r>
  <r>
    <s v="INETUM .:. INETUM-INTERNE"/>
    <x v="16"/>
    <s v="GFI-D8-BS4-THEME"/>
    <m/>
    <x v="3"/>
    <x v="13"/>
    <x v="10"/>
    <s v="Christophe ORLANDO"/>
    <x v="0"/>
    <x v="7"/>
    <x v="6"/>
    <n v="1.6732644475308922"/>
    <s v="23/07 (29/06 - 22/07)"/>
  </r>
  <r>
    <s v="INETUM .:. INETUM-INTERNE"/>
    <x v="49"/>
    <s v="GFI-Docker Devbox Install"/>
    <m/>
    <x v="3"/>
    <x v="13"/>
    <x v="10"/>
    <s v="Christophe ORLANDO"/>
    <x v="0"/>
    <x v="7"/>
    <x v="6"/>
    <n v="0.2421122190961098"/>
    <s v="23/07 (29/06 - 22/07)"/>
  </r>
  <r>
    <s v="INETUM .:. INETUM-INTERNE"/>
    <x v="27"/>
    <s v="GFI-MineReport"/>
    <m/>
    <x v="3"/>
    <x v="13"/>
    <x v="10"/>
    <s v="Christophe ORLANDO"/>
    <x v="0"/>
    <x v="7"/>
    <x v="6"/>
    <n v="5.503729551952639"/>
    <s v="23/07 (29/06 - 22/07)"/>
  </r>
  <r>
    <s v="INETUM .:. INETUM-INTERNE"/>
    <x v="50"/>
    <s v="GFI-PMT"/>
    <m/>
    <x v="3"/>
    <x v="13"/>
    <x v="10"/>
    <s v="Christophe ORLANDO"/>
    <x v="0"/>
    <x v="7"/>
    <x v="6"/>
    <n v="5.957679673734722"/>
    <s v="23/07 (29/06 - 22/07)"/>
  </r>
  <r>
    <s v="INETUM .:. INETUM-INTERNE"/>
    <x v="37"/>
    <s v="GFI-RedmineDocker"/>
    <m/>
    <x v="3"/>
    <x v="13"/>
    <x v="10"/>
    <s v="Christophe ORLANDO"/>
    <x v="0"/>
    <x v="7"/>
    <x v="6"/>
    <n v="1.3893328451363636"/>
    <s v="23/07 (29/06 - 22/07)"/>
  </r>
  <r>
    <s v="INETUM .:. INETUM-INTERNE"/>
    <x v="51"/>
    <s v="GFI-TENDER"/>
    <m/>
    <x v="3"/>
    <x v="13"/>
    <x v="10"/>
    <s v="Christophe ORLANDO"/>
    <x v="0"/>
    <x v="7"/>
    <x v="6"/>
    <n v="3.0468407831705249"/>
    <s v="23/07 (29/06 - 22/07)"/>
  </r>
  <r>
    <s v="GFI .:. GFI-WAAC"/>
    <x v="38"/>
    <s v="GFI-WAAC"/>
    <m/>
    <x v="3"/>
    <x v="32"/>
    <x v="17"/>
    <s v="Laurent MARCIANIAK"/>
    <x v="1"/>
    <x v="14"/>
    <x v="6"/>
    <n v="29.930346557412129"/>
    <s v="23/07 (29/06 - 22/07)"/>
  </r>
  <r>
    <s v="GLI .:. GLI-APIBIOMETRIE"/>
    <x v="17"/>
    <s v="GLI-APIBiometrie"/>
    <m/>
    <x v="3"/>
    <x v="14"/>
    <x v="11"/>
    <s v="Rodolphe HABEGGER"/>
    <x v="0"/>
    <x v="8"/>
    <x v="6"/>
    <n v="8.5590075737964888"/>
    <s v="23/07 (29/06 - 22/07)"/>
  </r>
  <r>
    <s v="LAPOSTE .:. LAPOSTE-CDC"/>
    <x v="52"/>
    <s v="LAPOSTE-F4N-Musee"/>
    <m/>
    <x v="3"/>
    <x v="33"/>
    <x v="18"/>
    <s v="Rodolphe HABEGGER"/>
    <x v="0"/>
    <x v="15"/>
    <x v="6"/>
    <n v="2.9736568623982915"/>
    <s v="23/07 (29/06 - 22/07)"/>
  </r>
  <r>
    <s v="LAPOSTE .:. LAPOSTE-CDC"/>
    <x v="53"/>
    <s v="LAPOSTE-LPK-PortailVoyage"/>
    <m/>
    <x v="3"/>
    <x v="33"/>
    <x v="18"/>
    <s v="Rodolphe HABEGGER"/>
    <x v="0"/>
    <x v="15"/>
    <x v="6"/>
    <n v="1.20678791804009"/>
    <s v="23/07 (29/06 - 22/07)"/>
  </r>
  <r>
    <s v="LAPOSTE .:. LAPOSTE-CDC"/>
    <x v="54"/>
    <s v="LAPOSTE-LPM-IntranetDHA"/>
    <m/>
    <x v="3"/>
    <x v="33"/>
    <x v="18"/>
    <s v="Rodolphe HABEGGER"/>
    <x v="0"/>
    <x v="15"/>
    <x v="6"/>
    <n v="1.20678791804009"/>
    <s v="23/07 (29/06 - 22/07)"/>
  </r>
  <r>
    <s v="MENESR .:. MENJ-APAE"/>
    <x v="18"/>
    <s v="MENJ-APAE"/>
    <m/>
    <x v="3"/>
    <x v="15"/>
    <x v="12"/>
    <s v="Pierre BOURLIEUX"/>
    <x v="0"/>
    <x v="9"/>
    <x v="6"/>
    <n v="1.2486073013385091"/>
    <s v="23/07 (29/06 - 22/07)"/>
  </r>
  <r>
    <s v="MENESR .:. MENJ-BI"/>
    <x v="36"/>
    <s v="MENJ-BI"/>
    <m/>
    <x v="3"/>
    <x v="25"/>
    <x v="12"/>
    <s v="Eric PERROUD"/>
    <x v="0"/>
    <x v="9"/>
    <x v="6"/>
    <n v="4.6001321628260863"/>
    <s v="23/07 (29/06 - 22/07)"/>
  </r>
  <r>
    <s v="MENESR .:. MENJ-BNIE"/>
    <x v="19"/>
    <s v="MENJ-BNIE-BDD"/>
    <m/>
    <x v="3"/>
    <x v="16"/>
    <x v="12"/>
    <s v="Pierre BOURLIEUX"/>
    <x v="0"/>
    <x v="9"/>
    <x v="6"/>
    <n v="4.2058351202981363"/>
    <s v="23/07 (29/06 - 22/07)"/>
  </r>
  <r>
    <s v="MENESR .:. MENJ-BNIE"/>
    <x v="33"/>
    <s v="MENJ-BNIE-Webservices"/>
    <m/>
    <x v="3"/>
    <x v="16"/>
    <x v="12"/>
    <s v="Pierre BOURLIEUX"/>
    <x v="0"/>
    <x v="9"/>
    <x v="6"/>
    <n v="0.3285808687732919"/>
    <s v="23/07 (29/06 - 22/07)"/>
  </r>
  <r>
    <s v="MENESR .:. MENJ-RNIE"/>
    <x v="20"/>
    <s v="MENJ-RNIE-BDD"/>
    <m/>
    <x v="3"/>
    <x v="17"/>
    <x v="12"/>
    <s v="Pierre BOURLIEUX"/>
    <x v="0"/>
    <x v="9"/>
    <x v="6"/>
    <n v="1.2486073013385091"/>
    <s v="23/07 (29/06 - 22/07)"/>
  </r>
  <r>
    <s v="MENESR .:. MENJ-RNIE"/>
    <x v="21"/>
    <s v="MENJ-RNIE-Webservices"/>
    <m/>
    <x v="3"/>
    <x v="17"/>
    <x v="12"/>
    <s v="Pierre BOURLIEUX"/>
    <x v="0"/>
    <x v="9"/>
    <x v="6"/>
    <n v="2.0595255288695267"/>
    <s v="23/07 (29/06 - 22/07)"/>
  </r>
  <r>
    <s v="AFB .:. OFB-CMONSPOT"/>
    <x v="55"/>
    <s v="OFB-CMONSPOT"/>
    <m/>
    <x v="3"/>
    <x v="34"/>
    <x v="6"/>
    <s v="Pierre BOURLIEUX"/>
    <x v="0"/>
    <x v="3"/>
    <x v="6"/>
    <n v="1.1171749538291924"/>
    <s v="23/07 (29/06 - 22/07)"/>
  </r>
  <r>
    <s v="OFB .:. OFB-NATUREFRANCE"/>
    <x v="32"/>
    <s v="OFB-NatureFrance"/>
    <m/>
    <x v="3"/>
    <x v="24"/>
    <x v="16"/>
    <s v="Rodolphe HABEGGER"/>
    <x v="0"/>
    <x v="13"/>
    <x v="6"/>
    <n v="8.8536741727016874"/>
    <s v="23/07 (29/06 - 22/07)"/>
  </r>
  <r>
    <s v="AFB .:. OFB-SISPEA"/>
    <x v="40"/>
    <s v="OFB-SISPEA"/>
    <m/>
    <x v="3"/>
    <x v="26"/>
    <x v="6"/>
    <s v="Pierre BOURLIEUX"/>
    <x v="0"/>
    <x v="3"/>
    <x v="6"/>
    <n v="5.7173071166552791"/>
    <s v="23/07 (29/06 - 22/07)"/>
  </r>
  <r>
    <s v="PCM .:. PCM-ALS"/>
    <x v="22"/>
    <s v="PCM-ALS"/>
    <m/>
    <x v="3"/>
    <x v="18"/>
    <x v="13"/>
    <s v="Alice MARCHAL"/>
    <x v="0"/>
    <x v="10"/>
    <x v="6"/>
    <n v="8.3532779034635478"/>
    <s v="23/07 (29/06 - 22/07)"/>
  </r>
  <r>
    <s v="PCM .:. PCM-WEB"/>
    <x v="23"/>
    <s v="PCM-Web"/>
    <m/>
    <x v="3"/>
    <x v="19"/>
    <x v="13"/>
    <s v="Rodolphe HABEGGER"/>
    <x v="0"/>
    <x v="10"/>
    <x v="6"/>
    <n v="3.5833569188998444"/>
    <s v="23/07 (29/06 - 22/07)"/>
  </r>
  <r>
    <s v="SAFT .:. SAFT-PDM"/>
    <x v="56"/>
    <s v="SAFT-PDM"/>
    <m/>
    <x v="3"/>
    <x v="35"/>
    <x v="19"/>
    <s v="Pierre BOURLIEUX"/>
    <x v="0"/>
    <x v="16"/>
    <x v="6"/>
    <n v="3.0468407831705249"/>
    <s v="23/07 (29/06 - 22/07)"/>
  </r>
  <r>
    <s v="SPC .:. SPC-BUILD"/>
    <x v="24"/>
    <s v="SPC-BUILD"/>
    <m/>
    <x v="3"/>
    <x v="1"/>
    <x v="1"/>
    <s v="Nicolas DURFORT"/>
    <x v="0"/>
    <x v="1"/>
    <x v="6"/>
    <n v="40.483507544746864"/>
    <s v="23/07 (29/06 - 22/07)"/>
  </r>
  <r>
    <s v="SPC .:. SPC-WEB"/>
    <x v="25"/>
    <s v="SPC-WEB"/>
    <m/>
    <x v="3"/>
    <x v="2"/>
    <x v="2"/>
    <s v="Nicolas DURFORT"/>
    <x v="0"/>
    <x v="1"/>
    <x v="6"/>
    <n v="2.6955160392700224"/>
    <s v="23/07 (29/06 - 22/07)"/>
  </r>
  <r>
    <s v="ALM .:. ALM-ATOUT"/>
    <x v="29"/>
    <m/>
    <s v="ALM-ATOUT-VM"/>
    <x v="2"/>
    <x v="10"/>
    <x v="7"/>
    <s v="Alice MARCHAL"/>
    <x v="0"/>
    <x v="4"/>
    <x v="6"/>
    <n v="69.62"/>
    <s v="(29/06 - 22/07)"/>
  </r>
  <r>
    <s v="BRGM .:. BRGM-ORRM"/>
    <x v="30"/>
    <m/>
    <s v="BRGM-ORRM-VM"/>
    <x v="0"/>
    <x v="11"/>
    <x v="8"/>
    <s v="Alice MARCHAL"/>
    <x v="0"/>
    <x v="5"/>
    <x v="6"/>
    <n v="6.69"/>
    <s v="(29/06 - 22/07)"/>
  </r>
  <r>
    <s v="CA-TITRES .:. CATITRES-COMX"/>
    <x v="28"/>
    <m/>
    <s v="CATITRES-COMX-VM"/>
    <x v="1"/>
    <x v="21"/>
    <x v="14"/>
    <s v="Jean-Philippe STROIAZZO"/>
    <x v="0"/>
    <x v="11"/>
    <x v="6"/>
    <n v="118.25"/>
    <s v="(29/06 - 22/07)"/>
  </r>
  <r>
    <s v="EBR .:. EBR-LAPOSTE"/>
    <x v="31"/>
    <m/>
    <s v="EBR-LAPOSTE-VM"/>
    <x v="1"/>
    <x v="22"/>
    <x v="15"/>
    <s v="Valerie ASSELIN LOZACHMEUR"/>
    <x v="0"/>
    <x v="12"/>
    <x v="6"/>
    <n v="79.11"/>
    <s v="(29/06 - 22/07)"/>
  </r>
  <r>
    <s v="INETUM .:. INETUM-INTERNE"/>
    <x v="57"/>
    <m/>
    <s v="GFI-PMT-VM"/>
    <x v="1"/>
    <x v="13"/>
    <x v="10"/>
    <s v="Christophe ORLANDO"/>
    <x v="0"/>
    <x v="7"/>
    <x v="6"/>
    <n v="15.69"/>
    <s v="(29/06 - 22/07)"/>
  </r>
  <r>
    <s v="MENESR .:. MENJ-BI"/>
    <x v="35"/>
    <m/>
    <s v="MENJ-BI-VM"/>
    <x v="2"/>
    <x v="25"/>
    <x v="12"/>
    <s v="Eric PERROUD"/>
    <x v="0"/>
    <x v="9"/>
    <x v="6"/>
    <n v="3.03"/>
    <s v="(29/06 - 22/07)"/>
  </r>
  <r>
    <s v="AFB .:. AFB-NatureFrance"/>
    <x v="34"/>
    <m/>
    <s v="OFB-FRANCENATURE-VM"/>
    <x v="2"/>
    <x v="23"/>
    <x v="6"/>
    <s v="Rodolphe HABEGGER"/>
    <x v="0"/>
    <x v="3"/>
    <x v="6"/>
    <n v="8.9"/>
    <s v="(29/06 - 22/07)"/>
  </r>
  <r>
    <s v="AFB .:. OFB-SISPEA"/>
    <x v="58"/>
    <m/>
    <s v="OFB-SISPEA-VM"/>
    <x v="1"/>
    <x v="26"/>
    <x v="6"/>
    <s v="Pierre BOURLIEUX"/>
    <x v="0"/>
    <x v="3"/>
    <x v="6"/>
    <n v="21.82"/>
    <s v="(29/06 - 22/07)"/>
  </r>
  <r>
    <s v="SPC .:. SPC-BUILD"/>
    <x v="1"/>
    <m/>
    <s v="SPC-BUILDAS-VM"/>
    <x v="1"/>
    <x v="1"/>
    <x v="1"/>
    <s v="Nicolas DURFORT"/>
    <x v="0"/>
    <x v="1"/>
    <x v="6"/>
    <n v="102.45"/>
    <s v="(29/06 - 22/07)"/>
  </r>
  <r>
    <s v="STMICRO .:. STMICRO-DATAPACK"/>
    <x v="59"/>
    <m/>
    <s v="STMICRO-DATAPACK-VM"/>
    <x v="1"/>
    <x v="36"/>
    <x v="20"/>
    <s v="Jean-Philippe STROIAZZO"/>
    <x v="0"/>
    <x v="17"/>
    <x v="6"/>
    <n v="28.32"/>
    <s v="(29/06 - 22/07)"/>
  </r>
  <r>
    <s v="FRR .:. FRR-DIGIPAT"/>
    <x v="0"/>
    <m/>
    <s v="FRR-DIGIPAT-VM"/>
    <x v="0"/>
    <x v="0"/>
    <x v="0"/>
    <s v="Alice MARCHAL"/>
    <x v="0"/>
    <x v="0"/>
    <x v="6"/>
    <n v="20.8"/>
    <s v="(29/06 - 22/07)"/>
  </r>
  <r>
    <s v="ONEMA .:. AFB-BASEINDICATEURS"/>
    <x v="3"/>
    <s v="AFB-BaseIndicateurs"/>
    <m/>
    <x v="3"/>
    <x v="3"/>
    <x v="3"/>
    <s v="Pierre BOURLIEUX"/>
    <x v="0"/>
    <x v="2"/>
    <x v="7"/>
    <n v="0.66523616197636937"/>
    <s v="24/08 (23/07 - 23/08)"/>
  </r>
  <r>
    <s v="ONEMA .:. AFB-CATALOGUE"/>
    <x v="26"/>
    <s v="AFB-Catalogue"/>
    <m/>
    <x v="3"/>
    <x v="20"/>
    <x v="3"/>
    <s v="Pierre BOURLIEUX"/>
    <x v="0"/>
    <x v="2"/>
    <x v="7"/>
    <n v="2.1512118385011503"/>
    <s v="24/08 (23/07 - 23/08)"/>
  </r>
  <r>
    <s v="ONEMA .:. AFB-CDR"/>
    <x v="4"/>
    <s v="AFB-CDR"/>
    <m/>
    <x v="3"/>
    <x v="4"/>
    <x v="4"/>
    <s v="Pierre BOURLIEUX"/>
    <x v="0"/>
    <x v="2"/>
    <x v="7"/>
    <n v="7.6914142209152647"/>
    <s v="24/08 (23/07 - 23/08)"/>
  </r>
  <r>
    <s v="AFB .:. AFB-CESMIA"/>
    <x v="5"/>
    <s v="AFB-CESMIA"/>
    <m/>
    <x v="3"/>
    <x v="5"/>
    <x v="5"/>
    <s v="Jean-Philippe STROIAZZO"/>
    <x v="0"/>
    <x v="3"/>
    <x v="7"/>
    <n v="12.024478946515805"/>
    <s v="24/08 (23/07 - 23/08)"/>
  </r>
  <r>
    <s v="ONEMA .:. AFB-OISON"/>
    <x v="6"/>
    <s v="AFB-OISON"/>
    <m/>
    <x v="3"/>
    <x v="6"/>
    <x v="3"/>
    <s v="Jean-Philippe STROIAZZO"/>
    <x v="0"/>
    <x v="2"/>
    <x v="7"/>
    <n v="5.6574630958543519"/>
    <s v="24/08 (23/07 - 23/08)"/>
  </r>
  <r>
    <s v="ONEMA .:. AFB-PATBIODIV"/>
    <x v="7"/>
    <s v="AFB-PATBiodiv"/>
    <m/>
    <x v="3"/>
    <x v="7"/>
    <x v="3"/>
    <s v="Rodolphe HABEGGER"/>
    <x v="0"/>
    <x v="2"/>
    <x v="7"/>
    <n v="5.6344271000580015"/>
    <s v="24/08 (23/07 - 23/08)"/>
  </r>
  <r>
    <s v="AFB .:. AFB-PNM"/>
    <x v="8"/>
    <s v="AFB-PNM"/>
    <m/>
    <x v="3"/>
    <x v="8"/>
    <x v="6"/>
    <s v="Eric RAUCOURT"/>
    <x v="0"/>
    <x v="3"/>
    <x v="7"/>
    <n v="8.5358770953017196"/>
    <s v="24/08 (23/07 - 23/08)"/>
  </r>
  <r>
    <s v="AFB .:. AFB-PNX"/>
    <x v="9"/>
    <s v="AFB-PNX"/>
    <m/>
    <x v="3"/>
    <x v="9"/>
    <x v="6"/>
    <s v="Pierre BOURLIEUX"/>
    <x v="0"/>
    <x v="3"/>
    <x v="7"/>
    <n v="2.6348895648947366"/>
    <s v="24/08 (23/07 - 23/08)"/>
  </r>
  <r>
    <s v="ONEMA .:. AFB-RAA"/>
    <x v="41"/>
    <s v="AFB-RAA"/>
    <m/>
    <x v="3"/>
    <x v="27"/>
    <x v="4"/>
    <s v="Pierre BOURLIEUX"/>
    <x v="0"/>
    <x v="2"/>
    <x v="7"/>
    <n v="0.24391992605800211"/>
    <s v="24/08 (23/07 - 23/08)"/>
  </r>
  <r>
    <s v="ALM .:. ALM-ATOUT"/>
    <x v="10"/>
    <s v="ALM-ATOUT"/>
    <m/>
    <x v="3"/>
    <x v="10"/>
    <x v="7"/>
    <s v="Alice MARCHAL"/>
    <x v="0"/>
    <x v="4"/>
    <x v="7"/>
    <n v="11.810314365685436"/>
    <s v="24/08 (23/07 - 23/08)"/>
  </r>
  <r>
    <s v="BRGM .:. BRGM-ORRM"/>
    <x v="11"/>
    <s v="BRGM-ORRM"/>
    <m/>
    <x v="3"/>
    <x v="11"/>
    <x v="8"/>
    <s v="Alice MARCHAL"/>
    <x v="0"/>
    <x v="5"/>
    <x v="7"/>
    <n v="4.7836859625696624"/>
    <s v="24/08 (23/07 - 23/08)"/>
  </r>
  <r>
    <s v="CNAV .:. CNAV-BI-RGCU"/>
    <x v="12"/>
    <s v="CNAV-BI-RGCU"/>
    <m/>
    <x v="3"/>
    <x v="12"/>
    <x v="9"/>
    <s v="Valerie ASSELIN LOZACHMEUR"/>
    <x v="0"/>
    <x v="6"/>
    <x v="7"/>
    <n v="11.5861964877551"/>
    <s v="24/08 (23/07 - 23/08)"/>
  </r>
  <r>
    <s v="INETUM .:. INETUM-INTERNE"/>
    <x v="13"/>
    <s v="d8-qa"/>
    <m/>
    <x v="3"/>
    <x v="13"/>
    <x v="10"/>
    <s v="Christophe ORLANDO"/>
    <x v="0"/>
    <x v="7"/>
    <x v="7"/>
    <n v="0.57495411142243358"/>
    <s v="24/08 (23/07 - 23/08)"/>
  </r>
  <r>
    <s v="INETUM .:. INETUM-INTERNE"/>
    <x v="14"/>
    <s v="drupal-qa"/>
    <m/>
    <x v="3"/>
    <x v="13"/>
    <x v="10"/>
    <s v="Christophe ORLANDO"/>
    <x v="0"/>
    <x v="7"/>
    <x v="7"/>
    <n v="0.57495411142243358"/>
    <s v="24/08 (23/07 - 23/08)"/>
  </r>
  <r>
    <s v="FRR .:. FRR-DIGIPAT"/>
    <x v="15"/>
    <s v="FRR DIGIPAT"/>
    <m/>
    <x v="3"/>
    <x v="0"/>
    <x v="0"/>
    <s v="Alice MARCHAL"/>
    <x v="0"/>
    <x v="0"/>
    <x v="7"/>
    <n v="6.3808511118819231"/>
    <s v="24/08 (23/07 - 23/08)"/>
  </r>
  <r>
    <s v="FRR .:. FRR-APPLIFRR"/>
    <x v="42"/>
    <s v="FRR-APPLIFRR"/>
    <m/>
    <x v="3"/>
    <x v="28"/>
    <x v="0"/>
    <s v="Jean-Philippe STROIAZZO"/>
    <x v="0"/>
    <x v="0"/>
    <x v="7"/>
    <n v="3.028210445663265"/>
    <s v="24/08 (23/07 - 23/08)"/>
  </r>
  <r>
    <s v="FRR .:. FRR-CADENCIER"/>
    <x v="43"/>
    <s v="FRR-CADENCIER"/>
    <m/>
    <x v="3"/>
    <x v="29"/>
    <x v="0"/>
    <s v="Jean-Philippe STROIAZZO"/>
    <x v="0"/>
    <x v="0"/>
    <x v="7"/>
    <n v="3.028210445663265"/>
    <s v="24/08 (23/07 - 23/08)"/>
  </r>
  <r>
    <s v="FRR .:. FRR-PATAPAIN"/>
    <x v="44"/>
    <s v="FRR-Patapain"/>
    <m/>
    <x v="3"/>
    <x v="30"/>
    <x v="0"/>
    <s v="Christophe ORLANDO"/>
    <x v="0"/>
    <x v="0"/>
    <x v="7"/>
    <n v="2.4225683565306122"/>
    <s v="24/08 (23/07 - 23/08)"/>
  </r>
  <r>
    <s v="FRR .:. FRR-PATAPAINANDROID"/>
    <x v="45"/>
    <s v="FRR-PATAPAINANDROID"/>
    <m/>
    <x v="3"/>
    <x v="31"/>
    <x v="0"/>
    <s v="Jean-Philippe STROIAZZO"/>
    <x v="0"/>
    <x v="0"/>
    <x v="7"/>
    <n v="3.028210445663265"/>
    <s v="24/08 (23/07 - 23/08)"/>
  </r>
  <r>
    <s v="INETUM .:. INETUM-INTERNE"/>
    <x v="46"/>
    <s v="GFI-CMIS"/>
    <m/>
    <x v="3"/>
    <x v="13"/>
    <x v="10"/>
    <s v="Christophe ORLANDO"/>
    <x v="0"/>
    <x v="7"/>
    <x v="7"/>
    <n v="0.24391992605800211"/>
    <s v="24/08 (23/07 - 23/08)"/>
  </r>
  <r>
    <s v="INETUM .:. INETUM-INTERNE"/>
    <x v="47"/>
    <s v="GFI-COFFEE"/>
    <m/>
    <x v="3"/>
    <x v="13"/>
    <x v="10"/>
    <s v="Christophe ORLANDO"/>
    <x v="0"/>
    <x v="7"/>
    <x v="7"/>
    <n v="1.2902809724999997"/>
    <s v="24/08 (23/07 - 23/08)"/>
  </r>
  <r>
    <s v="INETUM .:. INETUM-INTERNE"/>
    <x v="48"/>
    <s v="GFI-CRALENIUM"/>
    <m/>
    <x v="3"/>
    <x v="13"/>
    <x v="10"/>
    <s v="Christophe ORLANDO"/>
    <x v="0"/>
    <x v="7"/>
    <x v="7"/>
    <n v="3.028210445663265"/>
    <s v="24/08 (23/07 - 23/08)"/>
  </r>
  <r>
    <s v="INETUM .:. INETUM-INTERNE"/>
    <x v="16"/>
    <s v="GFI-D8-BS4-THEME"/>
    <m/>
    <x v="3"/>
    <x v="13"/>
    <x v="10"/>
    <s v="Christophe ORLANDO"/>
    <x v="0"/>
    <x v="7"/>
    <x v="7"/>
    <n v="1.5312750913641244"/>
    <s v="24/08 (23/07 - 23/08)"/>
  </r>
  <r>
    <s v="INETUM .:. INETUM-INTERNE"/>
    <x v="49"/>
    <s v="GFI-Docker Devbox Install"/>
    <m/>
    <x v="3"/>
    <x v="13"/>
    <x v="10"/>
    <s v="Christophe ORLANDO"/>
    <x v="0"/>
    <x v="7"/>
    <x v="7"/>
    <n v="10.685624234059457"/>
    <s v="24/08 (23/07 - 23/08)"/>
  </r>
  <r>
    <s v="INETUM .:. INETUM-INTERNE"/>
    <x v="27"/>
    <s v="GFI-MineReport"/>
    <m/>
    <x v="3"/>
    <x v="13"/>
    <x v="10"/>
    <s v="Christophe ORLANDO"/>
    <x v="0"/>
    <x v="7"/>
    <x v="7"/>
    <n v="5.2551676926603488"/>
    <s v="24/08 (23/07 - 23/08)"/>
  </r>
  <r>
    <s v="INETUM .:. INETUM-INTERNE"/>
    <x v="50"/>
    <s v="GFI-PMT"/>
    <m/>
    <x v="3"/>
    <x v="13"/>
    <x v="10"/>
    <s v="Christophe ORLANDO"/>
    <x v="0"/>
    <x v="7"/>
    <x v="7"/>
    <n v="5.7312878769536439"/>
    <s v="24/08 (23/07 - 23/08)"/>
  </r>
  <r>
    <s v="INETUM .:. INETUM-INTERNE"/>
    <x v="37"/>
    <s v="GFI-RedmineDocker"/>
    <m/>
    <x v="3"/>
    <x v="13"/>
    <x v="10"/>
    <s v="Christophe ORLANDO"/>
    <x v="0"/>
    <x v="7"/>
    <x v="7"/>
    <n v="1.3575745379591835"/>
    <s v="24/08 (23/07 - 23/08)"/>
  </r>
  <r>
    <s v="INETUM .:. INETUM-INTERNE"/>
    <x v="51"/>
    <s v="GFI-TENDER"/>
    <m/>
    <x v="3"/>
    <x v="13"/>
    <x v="10"/>
    <s v="Christophe ORLANDO"/>
    <x v="0"/>
    <x v="7"/>
    <x v="7"/>
    <n v="3.028210445663265"/>
    <s v="24/08 (23/07 - 23/08)"/>
  </r>
  <r>
    <s v="GFI .:. GFI-WAAC"/>
    <x v="38"/>
    <s v="GFI-WAAC"/>
    <m/>
    <x v="3"/>
    <x v="32"/>
    <x v="17"/>
    <s v="Laurent MARCIANIAK"/>
    <x v="1"/>
    <x v="14"/>
    <x v="7"/>
    <n v="41.698142482602471"/>
    <s v="24/08 (23/07 - 23/08)"/>
  </r>
  <r>
    <s v="GLI .:. GLI-APIBIOMETRIE"/>
    <x v="17"/>
    <s v="GLI-APIBiometrie"/>
    <m/>
    <x v="3"/>
    <x v="14"/>
    <x v="11"/>
    <s v="Rodolphe HABEGGER"/>
    <x v="0"/>
    <x v="8"/>
    <x v="7"/>
    <n v="7.3543251483909149"/>
    <s v="24/08 (23/07 - 23/08)"/>
  </r>
  <r>
    <s v="LAPOSTE .:. LAPOSTE-CDC"/>
    <x v="52"/>
    <s v="LAPOSTE-F4N-Musee"/>
    <m/>
    <x v="3"/>
    <x v="33"/>
    <x v="18"/>
    <s v="Rodolphe HABEGGER"/>
    <x v="0"/>
    <x v="15"/>
    <x v="7"/>
    <n v="2.3874586702040812"/>
    <s v="24/08 (23/07 - 23/08)"/>
  </r>
  <r>
    <s v="LAPOSTE .:. LAPOSTE-CDC"/>
    <x v="53"/>
    <s v="LAPOSTE-LPK-PortailVoyage"/>
    <m/>
    <x v="3"/>
    <x v="33"/>
    <x v="18"/>
    <s v="Rodolphe HABEGGER"/>
    <x v="0"/>
    <x v="15"/>
    <x v="7"/>
    <n v="1.1515977115102038"/>
    <s v="24/08 (23/07 - 23/08)"/>
  </r>
  <r>
    <s v="LAPOSTE .:. LAPOSTE-CDC"/>
    <x v="54"/>
    <s v="LAPOSTE-LPM-IntranetDHA"/>
    <m/>
    <x v="3"/>
    <x v="33"/>
    <x v="18"/>
    <s v="Rodolphe HABEGGER"/>
    <x v="0"/>
    <x v="15"/>
    <x v="7"/>
    <n v="1.9240108106938774"/>
    <s v="24/08 (23/07 - 23/08)"/>
  </r>
  <r>
    <s v="MENESR .:. MENJ-APAE"/>
    <x v="18"/>
    <s v="MENJ-APAE"/>
    <m/>
    <x v="3"/>
    <x v="15"/>
    <x v="12"/>
    <s v="Pierre BOURLIEUX"/>
    <x v="0"/>
    <x v="9"/>
    <x v="7"/>
    <n v="1.5668951440583088"/>
    <s v="24/08 (23/07 - 23/08)"/>
  </r>
  <r>
    <s v="MENESR .:. MENJ-BI"/>
    <x v="36"/>
    <s v="MENJ-BI"/>
    <m/>
    <x v="3"/>
    <x v="25"/>
    <x v="12"/>
    <s v="Eric PERROUD"/>
    <x v="0"/>
    <x v="9"/>
    <x v="7"/>
    <n v="4.6344785951020402"/>
    <s v="24/08 (23/07 - 23/08)"/>
  </r>
  <r>
    <s v="MENESR .:. MENJ-BNIE"/>
    <x v="19"/>
    <s v="MENJ-BNIE-BDD"/>
    <m/>
    <x v="3"/>
    <x v="16"/>
    <x v="12"/>
    <s v="Pierre BOURLIEUX"/>
    <x v="0"/>
    <x v="9"/>
    <x v="7"/>
    <n v="4.5462028123381923"/>
    <s v="24/08 (23/07 - 23/08)"/>
  </r>
  <r>
    <s v="MENESR .:. MENJ-BNIE"/>
    <x v="33"/>
    <s v="MENJ-BNIE-Webservices"/>
    <m/>
    <x v="3"/>
    <x v="16"/>
    <x v="12"/>
    <s v="Pierre BOURLIEUX"/>
    <x v="0"/>
    <x v="9"/>
    <x v="7"/>
    <n v="0.63999942503790086"/>
    <s v="24/08 (23/07 - 23/08)"/>
  </r>
  <r>
    <s v="MENESR .:. MENJ-RNIE"/>
    <x v="20"/>
    <s v="MENJ-RNIE-BDD"/>
    <m/>
    <x v="3"/>
    <x v="17"/>
    <x v="12"/>
    <s v="Pierre BOURLIEUX"/>
    <x v="0"/>
    <x v="9"/>
    <x v="7"/>
    <n v="1.5668951440583088"/>
    <s v="24/08 (23/07 - 23/08)"/>
  </r>
  <r>
    <s v="MENESR .:. MENJ-RNIE"/>
    <x v="21"/>
    <s v="MENJ-RNIE-Webservices"/>
    <m/>
    <x v="3"/>
    <x v="17"/>
    <x v="12"/>
    <s v="Pierre BOURLIEUX"/>
    <x v="0"/>
    <x v="9"/>
    <x v="7"/>
    <n v="2.5700937791570855"/>
    <s v="24/08 (23/07 - 23/08)"/>
  </r>
  <r>
    <s v="AFB .:. OFB-CMONSPOT"/>
    <x v="55"/>
    <s v="OFB-CMONSPOT"/>
    <m/>
    <x v="3"/>
    <x v="34"/>
    <x v="6"/>
    <s v="Pierre BOURLIEUX"/>
    <x v="0"/>
    <x v="3"/>
    <x v="7"/>
    <n v="1.0833846066472304"/>
    <s v="24/08 (23/07 - 23/08)"/>
  </r>
  <r>
    <s v="OFB .:. OFB-NATUREFRANCE"/>
    <x v="32"/>
    <s v="OFB-NatureFrance"/>
    <m/>
    <x v="3"/>
    <x v="24"/>
    <x v="16"/>
    <s v="Rodolphe HABEGGER"/>
    <x v="0"/>
    <x v="13"/>
    <x v="7"/>
    <n v="6.4849029377652991"/>
    <s v="24/08 (23/07 - 23/08)"/>
  </r>
  <r>
    <s v="AFB .:. OFB-SISPEA"/>
    <x v="40"/>
    <s v="OFB-SISPEA"/>
    <m/>
    <x v="3"/>
    <x v="26"/>
    <x v="6"/>
    <s v="Pierre BOURLIEUX"/>
    <x v="0"/>
    <x v="3"/>
    <x v="7"/>
    <n v="5.717863201749271"/>
    <s v="24/08 (23/07 - 23/08)"/>
  </r>
  <r>
    <s v="PCM .:. PCM-ALS"/>
    <x v="22"/>
    <s v="PCM-ALS"/>
    <m/>
    <x v="3"/>
    <x v="18"/>
    <x v="13"/>
    <s v="Alice MARCHAL"/>
    <x v="0"/>
    <x v="10"/>
    <x v="7"/>
    <n v="7.5709770844399253"/>
    <s v="24/08 (23/07 - 23/08)"/>
  </r>
  <r>
    <s v="PCM .:. PCM-WEB"/>
    <x v="23"/>
    <s v="PCM-Web"/>
    <m/>
    <x v="3"/>
    <x v="19"/>
    <x v="13"/>
    <s v="Rodolphe HABEGGER"/>
    <x v="0"/>
    <x v="10"/>
    <x v="7"/>
    <n v="3.3272279408775507"/>
    <s v="24/08 (23/07 - 23/08)"/>
  </r>
  <r>
    <s v="SAFT .:. SAFT-PDM"/>
    <x v="56"/>
    <s v="SAFT-PDM"/>
    <m/>
    <x v="3"/>
    <x v="35"/>
    <x v="19"/>
    <s v="Pierre BOURLIEUX"/>
    <x v="0"/>
    <x v="16"/>
    <x v="7"/>
    <n v="3.028210445663265"/>
    <s v="24/08 (23/07 - 23/08)"/>
  </r>
  <r>
    <s v="SPC .:. SPC-BUILD"/>
    <x v="24"/>
    <s v="SPC-BUILD"/>
    <m/>
    <x v="3"/>
    <x v="1"/>
    <x v="1"/>
    <s v="Nicolas DURFORT"/>
    <x v="0"/>
    <x v="1"/>
    <x v="7"/>
    <n v="37.06700578888092"/>
    <s v="24/08 (23/07 - 23/08)"/>
  </r>
  <r>
    <s v="SPC .:. SPC-WEB"/>
    <x v="25"/>
    <s v="SPC-WEB"/>
    <m/>
    <x v="3"/>
    <x v="2"/>
    <x v="2"/>
    <s v="Nicolas DURFORT"/>
    <x v="0"/>
    <x v="1"/>
    <x v="7"/>
    <n v="2.5611592236090224"/>
    <s v="24/08 (23/07 - 23/08)"/>
  </r>
  <r>
    <s v="ALM .:. ALM-ATOUT"/>
    <x v="29"/>
    <m/>
    <s v="ALM-ATOUT-VM"/>
    <x v="2"/>
    <x v="10"/>
    <x v="7"/>
    <s v="Alice MARCHAL"/>
    <x v="0"/>
    <x v="4"/>
    <x v="7"/>
    <n v="83.47"/>
    <s v="(23/07 - 23/08)"/>
  </r>
  <r>
    <s v="BRGM .:. BRGM-ORRM"/>
    <x v="30"/>
    <m/>
    <s v="BRGM-ORRM-VM"/>
    <x v="0"/>
    <x v="11"/>
    <x v="8"/>
    <s v="Alice MARCHAL"/>
    <x v="0"/>
    <x v="5"/>
    <x v="7"/>
    <n v="8.31"/>
    <s v="(23/07 - 23/08)"/>
  </r>
  <r>
    <s v="CA-TITRES .:. CATITRES-COMX"/>
    <x v="28"/>
    <m/>
    <s v="CATITRES-COMX-VM"/>
    <x v="1"/>
    <x v="21"/>
    <x v="14"/>
    <s v="Jean-Philippe STROIAZZO"/>
    <x v="0"/>
    <x v="11"/>
    <x v="7"/>
    <n v="139.36000000000001"/>
    <s v="(23/07 - 23/08)"/>
  </r>
  <r>
    <s v="EBR .:. EBR-LAPOSTE"/>
    <x v="31"/>
    <m/>
    <s v="EBR-LAPOSTE-VM"/>
    <x v="1"/>
    <x v="22"/>
    <x v="15"/>
    <s v="Valerie ASSELIN LOZACHMEUR"/>
    <x v="0"/>
    <x v="12"/>
    <x v="7"/>
    <n v="112.1"/>
    <s v="(23/07 - 23/08)"/>
  </r>
  <r>
    <s v="INETUM .:. INETUM-INTERNE"/>
    <x v="57"/>
    <m/>
    <s v="GFI-PMT-VM"/>
    <x v="1"/>
    <x v="13"/>
    <x v="10"/>
    <s v="Christophe ORLANDO"/>
    <x v="0"/>
    <x v="7"/>
    <x v="7"/>
    <n v="19.84"/>
    <s v="(23/07 - 23/08)"/>
  </r>
  <r>
    <s v="MENESR .:. MENJ-BI"/>
    <x v="35"/>
    <m/>
    <s v="MENJ-BI-VM"/>
    <x v="2"/>
    <x v="25"/>
    <x v="12"/>
    <s v="Eric PERROUD"/>
    <x v="0"/>
    <x v="9"/>
    <x v="7"/>
    <n v="3.92"/>
    <s v="(23/07 - 23/08)"/>
  </r>
  <r>
    <s v="AFB .:. AFB-NatureFrance"/>
    <x v="34"/>
    <m/>
    <s v="OFB-FRANCENATURE-VM"/>
    <x v="2"/>
    <x v="23"/>
    <x v="6"/>
    <s v="Rodolphe HABEGGER"/>
    <x v="0"/>
    <x v="3"/>
    <x v="7"/>
    <n v="11.46"/>
    <s v="(23/07 - 23/08)"/>
  </r>
  <r>
    <s v="AFB .:. OFB-SISPEA"/>
    <x v="58"/>
    <m/>
    <s v="OFB-SISPEA-VM"/>
    <x v="1"/>
    <x v="26"/>
    <x v="6"/>
    <s v="Pierre BOURLIEUX"/>
    <x v="0"/>
    <x v="3"/>
    <x v="7"/>
    <n v="27.06"/>
    <s v="(23/07 - 23/08)"/>
  </r>
  <r>
    <s v="SPC .:. SPC-BUILD"/>
    <x v="1"/>
    <m/>
    <s v="SPC-BUILDAS-VM"/>
    <x v="1"/>
    <x v="1"/>
    <x v="1"/>
    <s v="Nicolas DURFORT"/>
    <x v="0"/>
    <x v="1"/>
    <x v="7"/>
    <n v="69.48"/>
    <s v="(23/07 - 23/08)"/>
  </r>
  <r>
    <s v="STMICRO .:. STMICRO-DATAPACK"/>
    <x v="59"/>
    <m/>
    <s v="STMICRO-DATAPACK-VM"/>
    <x v="1"/>
    <x v="36"/>
    <x v="20"/>
    <s v="Jean-Philippe STROIAZZO"/>
    <x v="0"/>
    <x v="17"/>
    <x v="7"/>
    <n v="37.06"/>
    <s v="(23/07 - 23/08)"/>
  </r>
  <r>
    <s v="FRR .:. FRR-DIGIPAT"/>
    <x v="0"/>
    <m/>
    <s v="FRR-DIGIPAT-VM"/>
    <x v="0"/>
    <x v="0"/>
    <x v="0"/>
    <s v="Alice MARCHAL"/>
    <x v="0"/>
    <x v="0"/>
    <x v="7"/>
    <n v="21.64"/>
    <s v="(23/07 - 23/08)"/>
  </r>
  <r>
    <s v="GFI .:. GFI-WAAC"/>
    <x v="60"/>
    <m/>
    <s v="GFI-WAAC-VM"/>
    <x v="2"/>
    <x v="32"/>
    <x v="17"/>
    <s v="Laurent MARCIANIAK"/>
    <x v="1"/>
    <x v="14"/>
    <x v="7"/>
    <n v="3.84"/>
    <s v="(23/07 - 23/08)"/>
  </r>
  <r>
    <s v="LAPOSTE .:. LAPOSTE-CDC"/>
    <x v="61"/>
    <m/>
    <s v="LAPOSTE-CDC-VM"/>
    <x v="1"/>
    <x v="33"/>
    <x v="18"/>
    <s v="Rodolphe HABEGGER"/>
    <x v="0"/>
    <x v="15"/>
    <x v="7"/>
    <n v="4.03"/>
    <s v="(23/07 - 23/08)"/>
  </r>
  <r>
    <s v="ONEMA .:. AFB-BASEINDICATEURS"/>
    <x v="3"/>
    <s v="AFB-BaseIndicateurs"/>
    <m/>
    <x v="3"/>
    <x v="3"/>
    <x v="3"/>
    <s v="Pierre BOURLIEUX"/>
    <x v="0"/>
    <x v="2"/>
    <x v="8"/>
    <n v="0.54191800844999993"/>
    <s v="25/09 (24/08 - 24/08)"/>
  </r>
  <r>
    <s v="ONEMA .:. AFB-CATALOGUE"/>
    <x v="26"/>
    <s v="AFB-Catalogue"/>
    <m/>
    <x v="3"/>
    <x v="20"/>
    <x v="3"/>
    <s v="Pierre BOURLIEUX"/>
    <x v="0"/>
    <x v="2"/>
    <x v="8"/>
    <n v="1.9538540440714285"/>
    <s v="25/09 (24/08 - 24/08)"/>
  </r>
  <r>
    <s v="ONEMA .:. AFB-CDR"/>
    <x v="4"/>
    <s v="AFB-CDR"/>
    <m/>
    <x v="3"/>
    <x v="4"/>
    <x v="4"/>
    <s v="Pierre BOURLIEUX"/>
    <x v="0"/>
    <x v="2"/>
    <x v="8"/>
    <n v="8.353320436652405"/>
    <s v="25/09 (24/08 - 24/08)"/>
  </r>
  <r>
    <s v="AFB .:. AFB-CESMIA"/>
    <x v="5"/>
    <s v="AFB-CESMIA"/>
    <m/>
    <x v="3"/>
    <x v="5"/>
    <x v="5"/>
    <s v="Jean-Philippe STROIAZZO"/>
    <x v="0"/>
    <x v="3"/>
    <x v="8"/>
    <n v="10.506672025636158"/>
    <s v="25/09 (24/08 - 24/08)"/>
  </r>
  <r>
    <s v="ONEMA .:. AFB-OISON"/>
    <x v="6"/>
    <s v="AFB-OISON"/>
    <m/>
    <x v="3"/>
    <x v="6"/>
    <x v="3"/>
    <s v="Jean-Philippe STROIAZZO"/>
    <x v="0"/>
    <x v="2"/>
    <x v="8"/>
    <n v="1.4467125603733746"/>
    <s v="25/09 (24/08 - 24/08)"/>
  </r>
  <r>
    <s v="ONEMA .:. AFB-PATBIODIV"/>
    <x v="7"/>
    <s v="AFB-PATBiodiv"/>
    <m/>
    <x v="3"/>
    <x v="7"/>
    <x v="3"/>
    <s v="Rodolphe HABEGGER"/>
    <x v="0"/>
    <x v="2"/>
    <x v="8"/>
    <n v="5.129788494953571"/>
    <s v="25/09 (24/08 - 24/08)"/>
  </r>
  <r>
    <s v="AFB .:. AFB-PNM"/>
    <x v="8"/>
    <s v="AFB-PNM"/>
    <m/>
    <x v="3"/>
    <x v="8"/>
    <x v="6"/>
    <s v="Eric RAUCOURT"/>
    <x v="0"/>
    <x v="3"/>
    <x v="8"/>
    <n v="7.2929497215806531"/>
    <s v="25/09 (24/08 - 24/08)"/>
  </r>
  <r>
    <s v="AFB .:. AFB-PNX"/>
    <x v="9"/>
    <s v="AFB-PNX"/>
    <m/>
    <x v="3"/>
    <x v="9"/>
    <x v="6"/>
    <s v="Pierre BOURLIEUX"/>
    <x v="0"/>
    <x v="3"/>
    <x v="8"/>
    <n v="2.5428600591263639"/>
    <s v="25/09 (24/08 - 24/08)"/>
  </r>
  <r>
    <s v="ONEMA .:. AFB-RAA"/>
    <x v="41"/>
    <s v="AFB-RAA"/>
    <m/>
    <x v="3"/>
    <x v="27"/>
    <x v="4"/>
    <s v="Pierre BOURLIEUX"/>
    <x v="0"/>
    <x v="2"/>
    <x v="8"/>
    <n v="0.23225057504999999"/>
    <s v="25/09 (24/08 - 24/08)"/>
  </r>
  <r>
    <s v="ALM .:. ALM-ATOUT"/>
    <x v="10"/>
    <s v="ALM-ATOUT"/>
    <m/>
    <x v="3"/>
    <x v="10"/>
    <x v="7"/>
    <s v="Alice MARCHAL"/>
    <x v="0"/>
    <x v="4"/>
    <x v="8"/>
    <n v="8.3333622967462198"/>
    <s v="25/09 (24/08 - 24/08)"/>
  </r>
  <r>
    <s v="BRGM .:. BRGM-ORRM"/>
    <x v="11"/>
    <s v="BRGM-ORRM"/>
    <m/>
    <x v="3"/>
    <x v="11"/>
    <x v="8"/>
    <s v="Alice MARCHAL"/>
    <x v="0"/>
    <x v="5"/>
    <x v="8"/>
    <n v="4.7102867055675963"/>
    <s v="25/09 (24/08 - 24/08)"/>
  </r>
  <r>
    <s v="CNAV .:. CNAV-BI-RGCU"/>
    <x v="12"/>
    <s v="CNAV-BI-RGCU"/>
    <m/>
    <x v="3"/>
    <x v="12"/>
    <x v="9"/>
    <s v="Valerie ASSELIN LOZACHMEUR"/>
    <x v="0"/>
    <x v="6"/>
    <x v="8"/>
    <n v="11.612528752500001"/>
    <s v="25/09 (24/08 - 24/08)"/>
  </r>
  <r>
    <s v="INETUM .:. INETUM-INTERNE"/>
    <x v="13"/>
    <s v="d8-qa"/>
    <m/>
    <x v="3"/>
    <x v="13"/>
    <x v="10"/>
    <s v="Christophe ORLANDO"/>
    <x v="0"/>
    <x v="7"/>
    <x v="8"/>
    <n v="0.50548654569705886"/>
    <s v="25/09 (24/08 - 24/08)"/>
  </r>
  <r>
    <s v="INETUM .:. INETUM-INTERNE"/>
    <x v="14"/>
    <s v="drupal-qa"/>
    <m/>
    <x v="3"/>
    <x v="13"/>
    <x v="10"/>
    <s v="Christophe ORLANDO"/>
    <x v="0"/>
    <x v="7"/>
    <x v="8"/>
    <n v="0.50548654569705886"/>
    <s v="25/09 (24/08 - 24/08)"/>
  </r>
  <r>
    <s v="FRR .:. FRR-DIGIPAT"/>
    <x v="15"/>
    <s v="FRR DIGIPAT"/>
    <m/>
    <x v="3"/>
    <x v="0"/>
    <x v="0"/>
    <s v="Alice MARCHAL"/>
    <x v="0"/>
    <x v="0"/>
    <x v="8"/>
    <n v="6.0710145096298875"/>
    <s v="25/09 (24/08 - 24/08)"/>
  </r>
  <r>
    <s v="FRR .:. FRR-APPLIFRR"/>
    <x v="42"/>
    <s v="FRR-APPLIFRR"/>
    <m/>
    <x v="3"/>
    <x v="28"/>
    <x v="0"/>
    <s v="Jean-Philippe STROIAZZO"/>
    <x v="0"/>
    <x v="0"/>
    <x v="8"/>
    <n v="2.8572932588388156"/>
    <s v="25/09 (24/08 - 24/08)"/>
  </r>
  <r>
    <s v="FRR .:. FRR-CADENCIER"/>
    <x v="43"/>
    <s v="FRR-CADENCIER"/>
    <m/>
    <x v="3"/>
    <x v="29"/>
    <x v="0"/>
    <s v="Jean-Philippe STROIAZZO"/>
    <x v="0"/>
    <x v="0"/>
    <x v="8"/>
    <n v="2.8572932588388156"/>
    <s v="25/09 (24/08 - 24/08)"/>
  </r>
  <r>
    <s v="FRR .:. FRR-PATAPAIN"/>
    <x v="44"/>
    <s v="FRR-Patapain"/>
    <m/>
    <x v="3"/>
    <x v="30"/>
    <x v="0"/>
    <s v="Christophe ORLANDO"/>
    <x v="0"/>
    <x v="0"/>
    <x v="8"/>
    <n v="1.9768947757232143"/>
    <s v="25/09 (24/08 - 24/08)"/>
  </r>
  <r>
    <s v="FRR .:. FRR-PATAPAINANDROID"/>
    <x v="45"/>
    <s v="FRR-PATAPAINANDROID"/>
    <m/>
    <x v="3"/>
    <x v="31"/>
    <x v="0"/>
    <s v="Jean-Philippe STROIAZZO"/>
    <x v="0"/>
    <x v="0"/>
    <x v="8"/>
    <n v="2.8572932588388156"/>
    <s v="25/09 (24/08 - 24/08)"/>
  </r>
  <r>
    <s v="INETUM .:. INETUM-INTERNE"/>
    <x v="46"/>
    <s v="GFI-CMIS"/>
    <m/>
    <x v="3"/>
    <x v="13"/>
    <x v="10"/>
    <s v="Christophe ORLANDO"/>
    <x v="0"/>
    <x v="7"/>
    <x v="8"/>
    <n v="0.23225057504999999"/>
    <s v="25/09 (24/08 - 24/08)"/>
  </r>
  <r>
    <s v="INETUM .:. INETUM-INTERNE"/>
    <x v="47"/>
    <s v="GFI-COFFEE"/>
    <m/>
    <x v="3"/>
    <x v="13"/>
    <x v="10"/>
    <s v="Christophe ORLANDO"/>
    <x v="0"/>
    <x v="7"/>
    <x v="8"/>
    <n v="0.99928865843881576"/>
    <s v="25/09 (24/08 - 24/08)"/>
  </r>
  <r>
    <s v="INETUM .:. INETUM-INTERNE"/>
    <x v="48"/>
    <s v="GFI-CRALENIUM"/>
    <m/>
    <x v="3"/>
    <x v="13"/>
    <x v="10"/>
    <s v="Christophe ORLANDO"/>
    <x v="0"/>
    <x v="7"/>
    <x v="8"/>
    <n v="2.8572932588388156"/>
    <s v="25/09 (24/08 - 24/08)"/>
  </r>
  <r>
    <s v="INETUM .:. INETUM-INTERNE"/>
    <x v="16"/>
    <s v="GFI-D8-BS4-THEME"/>
    <m/>
    <x v="3"/>
    <x v="13"/>
    <x v="10"/>
    <s v="Christophe ORLANDO"/>
    <x v="0"/>
    <x v="7"/>
    <x v="8"/>
    <n v="1.4119360356214286"/>
    <s v="25/09 (24/08 - 24/08)"/>
  </r>
  <r>
    <s v="INETUM .:. INETUM-INTERNE"/>
    <x v="49"/>
    <s v="GFI-Docker Devbox Install"/>
    <m/>
    <x v="3"/>
    <x v="13"/>
    <x v="10"/>
    <s v="Christophe ORLANDO"/>
    <x v="0"/>
    <x v="7"/>
    <x v="8"/>
    <n v="11.247318175776945"/>
    <s v="25/09 (24/08 - 24/08)"/>
  </r>
  <r>
    <s v="INETUM .:. INETUM-INTERNE"/>
    <x v="27"/>
    <s v="GFI-MineReport"/>
    <m/>
    <x v="3"/>
    <x v="13"/>
    <x v="10"/>
    <s v="Christophe ORLANDO"/>
    <x v="0"/>
    <x v="7"/>
    <x v="8"/>
    <n v="4.0014688859233747"/>
    <s v="25/09 (24/08 - 24/08)"/>
  </r>
  <r>
    <s v="INETUM .:. INETUM-INTERNE"/>
    <x v="50"/>
    <s v="GFI-PMT"/>
    <m/>
    <x v="3"/>
    <x v="13"/>
    <x v="10"/>
    <s v="Christophe ORLANDO"/>
    <x v="0"/>
    <x v="7"/>
    <x v="8"/>
    <n v="8.5189156644436572"/>
    <s v="25/09 (24/08 - 24/08)"/>
  </r>
  <r>
    <s v="INETUM .:. INETUM-INTERNE"/>
    <x v="37"/>
    <s v="GFI-RedmineDocker"/>
    <m/>
    <x v="3"/>
    <x v="13"/>
    <x v="10"/>
    <s v="Christophe ORLANDO"/>
    <x v="0"/>
    <x v="7"/>
    <x v="8"/>
    <n v="1.1382121435982144"/>
    <s v="25/09 (24/08 - 24/08)"/>
  </r>
  <r>
    <s v="INETUM .:. INETUM-INTERNE"/>
    <x v="51"/>
    <s v="GFI-TENDER"/>
    <m/>
    <x v="3"/>
    <x v="13"/>
    <x v="10"/>
    <s v="Christophe ORLANDO"/>
    <x v="0"/>
    <x v="7"/>
    <x v="8"/>
    <n v="2.8572932588388156"/>
    <s v="25/09 (24/08 - 24/08)"/>
  </r>
  <r>
    <s v="GFI .:. GFI-WAAC"/>
    <x v="38"/>
    <s v="GFI-WAAC"/>
    <m/>
    <x v="3"/>
    <x v="32"/>
    <x v="17"/>
    <s v="Laurent MARCIANIAK"/>
    <x v="1"/>
    <x v="14"/>
    <x v="8"/>
    <n v="269.59129032927143"/>
    <s v="25/09 (24/08 - 24/08)"/>
  </r>
  <r>
    <s v="GLI .:. GLI-APIBIOMETRIE"/>
    <x v="17"/>
    <s v="GLI-APIBiometrie"/>
    <m/>
    <x v="3"/>
    <x v="14"/>
    <x v="11"/>
    <s v="Rodolphe HABEGGER"/>
    <x v="0"/>
    <x v="8"/>
    <x v="8"/>
    <n v="9.4846120816269703"/>
    <s v="25/09 (24/08 - 24/08)"/>
  </r>
  <r>
    <s v="LAPOSTE .:. LAPOSTE-CDC"/>
    <x v="52"/>
    <s v="LAPOSTE-F4N-Musee"/>
    <m/>
    <x v="3"/>
    <x v="33"/>
    <x v="18"/>
    <s v="Rodolphe HABEGGER"/>
    <x v="0"/>
    <x v="15"/>
    <x v="8"/>
    <n v="2.0017787659071429"/>
    <s v="25/09 (24/08 - 24/08)"/>
  </r>
  <r>
    <s v="LAPOSTE .:. LAPOSTE-CDC"/>
    <x v="62"/>
    <s v="LAPOSTE-L71-PDP"/>
    <m/>
    <x v="3"/>
    <x v="33"/>
    <x v="18"/>
    <s v="Rodolphe HABEGGER"/>
    <x v="0"/>
    <x v="15"/>
    <x v="8"/>
    <n v="1.1640177630482142"/>
    <s v="25/09 (24/08 - 24/08)"/>
  </r>
  <r>
    <s v="LAPOSTE .:. LAPOSTE-CDC"/>
    <x v="63"/>
    <s v="LAPOSTE-LCA-PariteUn-e"/>
    <m/>
    <x v="3"/>
    <x v="33"/>
    <x v="18"/>
    <s v="Rodolphe HABEGGER"/>
    <x v="0"/>
    <x v="15"/>
    <x v="8"/>
    <n v="1.1640177630482142"/>
    <s v="25/09 (24/08 - 24/08)"/>
  </r>
  <r>
    <s v="LAPOSTE .:. LAPOSTE-CDC"/>
    <x v="53"/>
    <s v="LAPOSTE-LPK-PortailVoyage"/>
    <m/>
    <x v="3"/>
    <x v="33"/>
    <x v="18"/>
    <s v="Rodolphe HABEGGER"/>
    <x v="0"/>
    <x v="15"/>
    <x v="8"/>
    <n v="1.1640177630482142"/>
    <s v="25/09 (24/08 - 24/08)"/>
  </r>
  <r>
    <s v="LAPOSTE .:. LAPOSTE-CDC"/>
    <x v="54"/>
    <s v="LAPOSTE-LPM-IntranetDHA"/>
    <m/>
    <x v="3"/>
    <x v="33"/>
    <x v="18"/>
    <s v="Rodolphe HABEGGER"/>
    <x v="0"/>
    <x v="15"/>
    <x v="8"/>
    <n v="1.5179234012196425"/>
    <s v="25/09 (24/08 - 24/08)"/>
  </r>
  <r>
    <s v="LAPOSTE .:. LAPOSTE-CDC"/>
    <x v="64"/>
    <s v="LAPOSTE-VWA-Fondation"/>
    <m/>
    <x v="3"/>
    <x v="33"/>
    <x v="18"/>
    <s v="Rodolphe HABEGGER"/>
    <x v="0"/>
    <x v="15"/>
    <x v="8"/>
    <n v="1.1640177630482142"/>
    <s v="25/09 (24/08 - 24/08)"/>
  </r>
  <r>
    <s v="MENESR .:. MENJ-APAE"/>
    <x v="18"/>
    <s v="MENJ-APAE"/>
    <m/>
    <x v="3"/>
    <x v="15"/>
    <x v="12"/>
    <s v="Pierre BOURLIEUX"/>
    <x v="0"/>
    <x v="9"/>
    <x v="8"/>
    <n v="1.4344888458970588"/>
    <s v="25/09 (24/08 - 24/08)"/>
  </r>
  <r>
    <s v="MENESR .:. MENJ-BI"/>
    <x v="36"/>
    <s v="MENJ-BI"/>
    <m/>
    <x v="3"/>
    <x v="25"/>
    <x v="12"/>
    <s v="Eric PERROUD"/>
    <x v="0"/>
    <x v="9"/>
    <x v="8"/>
    <n v="3.4837586257500002"/>
    <s v="25/09 (24/08 - 24/08)"/>
  </r>
  <r>
    <s v="MENESR .:. MENJ-BNIE"/>
    <x v="19"/>
    <s v="MENJ-BNIE-BDD"/>
    <m/>
    <x v="3"/>
    <x v="16"/>
    <x v="12"/>
    <s v="Pierre BOURLIEUX"/>
    <x v="0"/>
    <x v="9"/>
    <x v="8"/>
    <n v="3.2861269554698511"/>
    <s v="25/09 (24/08 - 24/08)"/>
  </r>
  <r>
    <s v="MENESR .:. MENJ-BNIE"/>
    <x v="33"/>
    <s v="MENJ-BNIE-Webservices"/>
    <m/>
    <x v="3"/>
    <x v="16"/>
    <x v="12"/>
    <s v="Pierre BOURLIEUX"/>
    <x v="0"/>
    <x v="9"/>
    <x v="8"/>
    <n v="0.50548654569705886"/>
    <s v="25/09 (24/08 - 24/08)"/>
  </r>
  <r>
    <s v="MENESR .:. MENJ-INSERJEUNES"/>
    <x v="65"/>
    <s v="MENJ-InserJeunes"/>
    <m/>
    <x v="3"/>
    <x v="37"/>
    <x v="21"/>
    <s v="Christophe ORLANDO"/>
    <x v="0"/>
    <x v="9"/>
    <x v="8"/>
    <n v="5.291509603259378"/>
    <s v="25/09 (24/08 - 24/08)"/>
  </r>
  <r>
    <s v="MENESR .:. MENJ-RNIE"/>
    <x v="20"/>
    <s v="MENJ-RNIE-BDD"/>
    <m/>
    <x v="3"/>
    <x v="17"/>
    <x v="12"/>
    <s v="Pierre BOURLIEUX"/>
    <x v="0"/>
    <x v="9"/>
    <x v="8"/>
    <n v="1.4344888458970588"/>
    <s v="25/09 (24/08 - 24/08)"/>
  </r>
  <r>
    <s v="MENESR .:. MENJ-RNIE"/>
    <x v="21"/>
    <s v="MENJ-RNIE-Webservices"/>
    <m/>
    <x v="3"/>
    <x v="17"/>
    <x v="12"/>
    <s v="Pierre BOURLIEUX"/>
    <x v="0"/>
    <x v="9"/>
    <x v="8"/>
    <n v="1.4344888458970588"/>
    <s v="25/09 (24/08 - 24/08)"/>
  </r>
  <r>
    <s v="AFB .:. OFB-CMONSPOT"/>
    <x v="55"/>
    <s v="OFB-CMONSPOT"/>
    <m/>
    <x v="3"/>
    <x v="34"/>
    <x v="6"/>
    <s v="Pierre BOURLIEUX"/>
    <x v="0"/>
    <x v="3"/>
    <x v="8"/>
    <n v="0.97324050497142855"/>
    <s v="25/09 (24/08 - 24/08)"/>
  </r>
  <r>
    <s v="OFB .:. OFB-NATUREFRANCE"/>
    <x v="32"/>
    <s v="OFB-NatureFrance"/>
    <m/>
    <x v="3"/>
    <x v="24"/>
    <x v="16"/>
    <s v="Rodolphe HABEGGER"/>
    <x v="0"/>
    <x v="13"/>
    <x v="8"/>
    <n v="7.2261328477339992"/>
    <s v="25/09 (24/08 - 24/08)"/>
  </r>
  <r>
    <s v="AFB .:. OFB-SISPEA"/>
    <x v="40"/>
    <s v="OFB-SISPEA"/>
    <m/>
    <x v="3"/>
    <x v="26"/>
    <x v="6"/>
    <s v="Pierre BOURLIEUX"/>
    <x v="0"/>
    <x v="3"/>
    <x v="8"/>
    <n v="3.2957462554714287"/>
    <s v="25/09 (24/08 - 24/08)"/>
  </r>
  <r>
    <s v="PCM .:. PCM-ALS"/>
    <x v="22"/>
    <s v="PCM-ALS"/>
    <m/>
    <x v="3"/>
    <x v="18"/>
    <x v="13"/>
    <s v="Alice MARCHAL"/>
    <x v="0"/>
    <x v="10"/>
    <x v="8"/>
    <n v="7.3527582847178561"/>
    <s v="25/09 (24/08 - 24/08)"/>
  </r>
  <r>
    <s v="PCM .:. PCM-WEB"/>
    <x v="23"/>
    <s v="PCM-Web"/>
    <m/>
    <x v="3"/>
    <x v="19"/>
    <x v="13"/>
    <s v="Rodolphe HABEGGER"/>
    <x v="0"/>
    <x v="10"/>
    <x v="8"/>
    <n v="3.1316962461107138"/>
    <s v="25/09 (24/08 - 24/08)"/>
  </r>
  <r>
    <s v="SAFT .:. SAFT-PDM"/>
    <x v="56"/>
    <s v="SAFT-PDM"/>
    <m/>
    <x v="3"/>
    <x v="35"/>
    <x v="19"/>
    <s v="Pierre BOURLIEUX"/>
    <x v="0"/>
    <x v="16"/>
    <x v="8"/>
    <n v="2.8572932588388156"/>
    <s v="25/09 (24/08 - 24/08)"/>
  </r>
  <r>
    <s v="SPC .:. SPC-BUILD"/>
    <x v="24"/>
    <s v="SPC-BUILD"/>
    <m/>
    <x v="3"/>
    <x v="1"/>
    <x v="1"/>
    <s v="Nicolas DURFORT"/>
    <x v="0"/>
    <x v="1"/>
    <x v="8"/>
    <n v="43.435231610975563"/>
    <s v="25/09 (24/08 - 24/08)"/>
  </r>
  <r>
    <s v="SPC .:. SPC-WEB"/>
    <x v="25"/>
    <s v="SPC-WEB"/>
    <m/>
    <x v="3"/>
    <x v="2"/>
    <x v="2"/>
    <s v="Nicolas DURFORT"/>
    <x v="0"/>
    <x v="1"/>
    <x v="8"/>
    <n v="2.4441608136214286"/>
    <s v="25/09 (24/08 - 24/08)"/>
  </r>
  <r>
    <s v="STMICRO .:. STMICRO-DATAPACK"/>
    <x v="66"/>
    <s v="STMICRO-DATAPACK"/>
    <m/>
    <x v="3"/>
    <x v="36"/>
    <x v="20"/>
    <s v="Jean-Philippe STROIAZZO"/>
    <x v="0"/>
    <x v="17"/>
    <x v="8"/>
    <n v="1.9692763542358747"/>
    <s v="25/09 (24/08 - 24/08)"/>
  </r>
  <r>
    <s v="STMICRO .:. STMICRO-ROCKET"/>
    <x v="67"/>
    <s v="STMICRO-ROCKET"/>
    <m/>
    <x v="3"/>
    <x v="38"/>
    <x v="20"/>
    <s v="Jean-Philippe STROIAZZO"/>
    <x v="0"/>
    <x v="17"/>
    <x v="8"/>
    <n v="4.2917821047358746"/>
    <s v="25/09 (24/08 - 24/08)"/>
  </r>
  <r>
    <s v="ALM .:. ALM-ATOUT"/>
    <x v="29"/>
    <m/>
    <s v="ALM-ATOUT-VM"/>
    <x v="2"/>
    <x v="10"/>
    <x v="7"/>
    <s v="Alice MARCHAL"/>
    <x v="0"/>
    <x v="4"/>
    <x v="8"/>
    <n v="80.239999999999995"/>
    <s v="(24/08 - 24/09)"/>
  </r>
  <r>
    <s v="BRGM .:. BRGM-ORRM"/>
    <x v="30"/>
    <m/>
    <s v="BRGM-ORRM-VM"/>
    <x v="0"/>
    <x v="11"/>
    <x v="8"/>
    <s v="Alice MARCHAL"/>
    <x v="0"/>
    <x v="5"/>
    <x v="8"/>
    <n v="9.19"/>
    <s v="(24/08 - 24/09)"/>
  </r>
  <r>
    <s v="CA-TITRES .:. CATITRES-COMX"/>
    <x v="28"/>
    <m/>
    <s v="CATITRES-COMX-VM"/>
    <x v="1"/>
    <x v="21"/>
    <x v="14"/>
    <s v="Jean-Philippe STROIAZZO"/>
    <x v="0"/>
    <x v="11"/>
    <x v="8"/>
    <n v="144.04"/>
    <s v="(24/08 - 24/09)"/>
  </r>
  <r>
    <s v="EBR .:. EBR-LAPOSTE"/>
    <x v="31"/>
    <m/>
    <s v="EBR-LAPOSTE-VM"/>
    <x v="1"/>
    <x v="22"/>
    <x v="15"/>
    <s v="Valerie ASSELIN LOZACHMEUR"/>
    <x v="0"/>
    <x v="12"/>
    <x v="8"/>
    <n v="100.47"/>
    <s v="(24/08 - 24/09)"/>
  </r>
  <r>
    <s v="INETUM .:. INETUM-INTERNE"/>
    <x v="57"/>
    <m/>
    <s v="GFI-PMT-VM"/>
    <x v="1"/>
    <x v="13"/>
    <x v="10"/>
    <s v="Christophe ORLANDO"/>
    <x v="0"/>
    <x v="7"/>
    <x v="8"/>
    <n v="22.43"/>
    <s v="(24/08 - 24/09)"/>
  </r>
  <r>
    <s v="MENESR .:. MENJ-BI"/>
    <x v="35"/>
    <m/>
    <s v="MENJ-BI-VM"/>
    <x v="2"/>
    <x v="25"/>
    <x v="12"/>
    <s v="Eric PERROUD"/>
    <x v="0"/>
    <x v="9"/>
    <x v="8"/>
    <n v="3.78"/>
    <s v="(24/08 - 24/09)"/>
  </r>
  <r>
    <s v="AFB .:. AFB-NatureFrance"/>
    <x v="34"/>
    <m/>
    <s v="OFB-FRANCENATURE-VM"/>
    <x v="2"/>
    <x v="23"/>
    <x v="6"/>
    <s v="Rodolphe HABEGGER"/>
    <x v="0"/>
    <x v="3"/>
    <x v="8"/>
    <n v="10.59"/>
    <s v="(24/08 - 24/09)"/>
  </r>
  <r>
    <s v="AFB .:. OFB-SISPEA"/>
    <x v="58"/>
    <m/>
    <s v="OFB-SISPEA-VM"/>
    <x v="1"/>
    <x v="26"/>
    <x v="6"/>
    <s v="Pierre BOURLIEUX"/>
    <x v="0"/>
    <x v="3"/>
    <x v="8"/>
    <n v="27.32"/>
    <s v="(24/08 - 24/09)"/>
  </r>
  <r>
    <s v="SPC .:. SPC-BUILD"/>
    <x v="1"/>
    <m/>
    <s v="SPC-BUILDAS-VM"/>
    <x v="1"/>
    <x v="1"/>
    <x v="1"/>
    <s v="Nicolas DURFORT"/>
    <x v="0"/>
    <x v="1"/>
    <x v="8"/>
    <n v="141.30000000000001"/>
    <s v="(24/08 - 24/09)"/>
  </r>
  <r>
    <s v="STMICRO .:. STMICRO-DATAPACK"/>
    <x v="59"/>
    <m/>
    <s v="STMICRO-DATAPACK-VM"/>
    <x v="1"/>
    <x v="36"/>
    <x v="20"/>
    <s v="Jean-Philippe STROIAZZO"/>
    <x v="0"/>
    <x v="17"/>
    <x v="8"/>
    <n v="38.4"/>
    <s v="(24/08 - 24/09)"/>
  </r>
  <r>
    <s v="FRR .:. FRR-DIGIPAT"/>
    <x v="0"/>
    <m/>
    <s v="FRR-DIGIPAT-VM"/>
    <x v="0"/>
    <x v="0"/>
    <x v="0"/>
    <s v="Alice MARCHAL"/>
    <x v="0"/>
    <x v="0"/>
    <x v="8"/>
    <n v="21.65"/>
    <s v="(24/08 - 24/09)"/>
  </r>
  <r>
    <s v="GFI .:. GFI-WAAC"/>
    <x v="60"/>
    <m/>
    <s v="GFI-WAAC-VM"/>
    <x v="2"/>
    <x v="32"/>
    <x v="17"/>
    <s v="Laurent MARCIANIAK"/>
    <x v="1"/>
    <x v="14"/>
    <x v="8"/>
    <n v="15.03"/>
    <s v="(24/08 - 24/09)"/>
  </r>
  <r>
    <s v="LAPOSTE .:. LAPOSTE-CDC"/>
    <x v="61"/>
    <m/>
    <s v="LAPOSTE-CDC-VM"/>
    <x v="1"/>
    <x v="33"/>
    <x v="18"/>
    <s v="Rodolphe HABEGGER"/>
    <x v="0"/>
    <x v="15"/>
    <x v="8"/>
    <n v="9.43"/>
    <s v="(24/08 - 24/09)"/>
  </r>
  <r>
    <s v="MENESR .:. MENJ-INSERJEUNES"/>
    <x v="68"/>
    <m/>
    <s v="MENJ-INERJEUNES"/>
    <x v="0"/>
    <x v="37"/>
    <x v="21"/>
    <s v="Christophe ORLANDO"/>
    <x v="0"/>
    <x v="9"/>
    <x v="8"/>
    <n v="0.87"/>
    <s v="(24/08 - 24/09)"/>
  </r>
  <r>
    <s v="ONEMA .:. AFB-BASEINDICATEURS"/>
    <x v="3"/>
    <s v="AFB-BaseIndicateurs"/>
    <m/>
    <x v="3"/>
    <x v="3"/>
    <x v="3"/>
    <s v="Pierre BOURLIEUX"/>
    <x v="0"/>
    <x v="2"/>
    <x v="9"/>
    <n v="0.48803683080208327"/>
    <s v="26/10 (25/09 - 25/10)"/>
  </r>
  <r>
    <s v="ONEMA .:. AFB-CATALOGUE"/>
    <x v="26"/>
    <s v="AFB-Catalogue"/>
    <m/>
    <x v="3"/>
    <x v="20"/>
    <x v="3"/>
    <s v="Pierre BOURLIEUX"/>
    <x v="0"/>
    <x v="2"/>
    <x v="9"/>
    <n v="1.8724201854354703"/>
    <s v="26/10 (25/09 - 25/10)"/>
  </r>
  <r>
    <s v="ONEMA .:. AFB-CDR"/>
    <x v="4"/>
    <s v="AFB-CDR"/>
    <m/>
    <x v="3"/>
    <x v="4"/>
    <x v="4"/>
    <s v="Pierre BOURLIEUX"/>
    <x v="0"/>
    <x v="2"/>
    <x v="9"/>
    <n v="8.5200006208381094"/>
    <s v="26/10 (25/09 - 25/10)"/>
  </r>
  <r>
    <s v="AFB .:. AFB-CESMIA"/>
    <x v="5"/>
    <s v="AFB-CESMIA"/>
    <m/>
    <x v="3"/>
    <x v="5"/>
    <x v="5"/>
    <s v="Jean-Philippe STROIAZZO"/>
    <x v="0"/>
    <x v="3"/>
    <x v="9"/>
    <n v="8.3242972598595628"/>
    <s v="26/10 (25/09 - 25/10)"/>
  </r>
  <r>
    <s v="ONEMA .:. AFB-OISON"/>
    <x v="6"/>
    <s v="AFB-OISON"/>
    <m/>
    <x v="3"/>
    <x v="6"/>
    <x v="3"/>
    <s v="Jean-Philippe STROIAZZO"/>
    <x v="0"/>
    <x v="2"/>
    <x v="9"/>
    <n v="5.3654356422009251"/>
    <s v="26/10 (25/09 - 25/10)"/>
  </r>
  <r>
    <s v="ONEMA .:. AFB-PATBIODIV"/>
    <x v="7"/>
    <s v="AFB-PATBiodiv"/>
    <m/>
    <x v="3"/>
    <x v="7"/>
    <x v="3"/>
    <s v="Rodolphe HABEGGER"/>
    <x v="0"/>
    <x v="2"/>
    <x v="9"/>
    <n v="5.8899122897217104"/>
    <s v="26/10 (25/09 - 25/10)"/>
  </r>
  <r>
    <s v="AFB .:. AFB-PNM"/>
    <x v="8"/>
    <s v="AFB-PNM"/>
    <m/>
    <x v="3"/>
    <x v="8"/>
    <x v="6"/>
    <s v="Eric RAUCOURT"/>
    <x v="0"/>
    <x v="3"/>
    <x v="9"/>
    <n v="8.1899604416767993"/>
    <s v="26/10 (25/09 - 25/10)"/>
  </r>
  <r>
    <s v="AFB .:. AFB-PNX"/>
    <x v="9"/>
    <s v="AFB-PNX"/>
    <m/>
    <x v="3"/>
    <x v="9"/>
    <x v="6"/>
    <s v="Pierre BOURLIEUX"/>
    <x v="0"/>
    <x v="3"/>
    <x v="9"/>
    <n v="2.0319578575688242"/>
    <s v="26/10 (25/09 - 25/10)"/>
  </r>
  <r>
    <s v="ONEMA .:. AFB-RAA"/>
    <x v="41"/>
    <s v="AFB-RAA"/>
    <m/>
    <x v="3"/>
    <x v="27"/>
    <x v="4"/>
    <s v="Pierre BOURLIEUX"/>
    <x v="0"/>
    <x v="2"/>
    <x v="9"/>
    <n v="0.23117534090624997"/>
    <s v="26/10 (25/09 - 25/10)"/>
  </r>
  <r>
    <s v="ALM .:. ALM-ATOUT"/>
    <x v="10"/>
    <s v="ALM-ATOUT"/>
    <m/>
    <x v="3"/>
    <x v="10"/>
    <x v="7"/>
    <s v="Alice MARCHAL"/>
    <x v="0"/>
    <x v="4"/>
    <x v="9"/>
    <n v="6.750258549395399"/>
    <s v="26/10 (25/09 - 25/10)"/>
  </r>
  <r>
    <s v="BRGM .:. BRGM-ORRM"/>
    <x v="11"/>
    <s v="BRGM-ORRM"/>
    <m/>
    <x v="3"/>
    <x v="11"/>
    <x v="8"/>
    <s v="Alice MARCHAL"/>
    <x v="0"/>
    <x v="5"/>
    <x v="9"/>
    <n v="8.9045395465594517"/>
    <s v="26/10 (25/09 - 25/10)"/>
  </r>
  <r>
    <s v="CGOS .:. CGOS-BI"/>
    <x v="69"/>
    <s v="CGOS-BI"/>
    <m/>
    <x v="3"/>
    <x v="39"/>
    <x v="22"/>
    <s v="Valerie ASSELIN LOZACHMEUR"/>
    <x v="0"/>
    <x v="18"/>
    <x v="9"/>
    <n v="4.6235068181249996"/>
    <s v="26/10 (25/09 - 25/10)"/>
  </r>
  <r>
    <s v="CNAV .:. CNAV-BI-RGCU"/>
    <x v="12"/>
    <s v="CNAV-BI-RGCU"/>
    <m/>
    <x v="3"/>
    <x v="12"/>
    <x v="9"/>
    <s v="Valerie ASSELIN LOZACHMEUR"/>
    <x v="0"/>
    <x v="6"/>
    <x v="9"/>
    <n v="11.5587670453125"/>
    <s v="26/10 (25/09 - 25/10)"/>
  </r>
  <r>
    <s v="INETUM .:. INETUM-INTERNE"/>
    <x v="13"/>
    <s v="d8-qa"/>
    <m/>
    <x v="3"/>
    <x v="13"/>
    <x v="10"/>
    <s v="Christophe ORLANDO"/>
    <x v="0"/>
    <x v="7"/>
    <x v="9"/>
    <n v="0.50314633020772059"/>
    <s v="26/10 (25/09 - 25/10)"/>
  </r>
  <r>
    <s v="INETUM .:. INETUM-INTERNE"/>
    <x v="14"/>
    <s v="drupal-qa"/>
    <m/>
    <x v="3"/>
    <x v="13"/>
    <x v="10"/>
    <s v="Christophe ORLANDO"/>
    <x v="0"/>
    <x v="7"/>
    <x v="9"/>
    <n v="0.50314633020772059"/>
    <s v="26/10 (25/09 - 25/10)"/>
  </r>
  <r>
    <s v="FRR .:. FRR-DIGIPAT"/>
    <x v="15"/>
    <s v="FRR DIGIPAT"/>
    <m/>
    <x v="3"/>
    <x v="0"/>
    <x v="0"/>
    <s v="Alice MARCHAL"/>
    <x v="0"/>
    <x v="0"/>
    <x v="9"/>
    <n v="5.415682225420114"/>
    <s v="26/10 (25/09 - 25/10)"/>
  </r>
  <r>
    <s v="FRR .:. FRR-APPLIFRR"/>
    <x v="42"/>
    <s v="FRR-APPLIFRR"/>
    <m/>
    <x v="3"/>
    <x v="28"/>
    <x v="0"/>
    <s v="Jean-Philippe STROIAZZO"/>
    <x v="0"/>
    <x v="0"/>
    <x v="9"/>
    <n v="2.8486518616267227"/>
    <s v="26/10 (25/09 - 25/10)"/>
  </r>
  <r>
    <s v="FRR .:. FRR-CADENCIER"/>
    <x v="43"/>
    <s v="FRR-CADENCIER"/>
    <m/>
    <x v="3"/>
    <x v="29"/>
    <x v="0"/>
    <s v="Jean-Philippe STROIAZZO"/>
    <x v="0"/>
    <x v="0"/>
    <x v="9"/>
    <n v="2.8486518616267227"/>
    <s v="26/10 (25/09 - 25/10)"/>
  </r>
  <r>
    <s v="FRR .:. FRR-PATAPAIN"/>
    <x v="44"/>
    <s v="FRR-Patapain"/>
    <m/>
    <x v="3"/>
    <x v="30"/>
    <x v="0"/>
    <s v="Christophe ORLANDO"/>
    <x v="0"/>
    <x v="0"/>
    <x v="9"/>
    <n v="1.3576964465922619"/>
    <s v="26/10 (25/09 - 25/10)"/>
  </r>
  <r>
    <s v="FRR .:. FRR-PATAPAINANDROID"/>
    <x v="45"/>
    <s v="FRR-PATAPAINANDROID"/>
    <m/>
    <x v="3"/>
    <x v="31"/>
    <x v="0"/>
    <s v="Jean-Philippe STROIAZZO"/>
    <x v="0"/>
    <x v="0"/>
    <x v="9"/>
    <n v="2.8486518616267227"/>
    <s v="26/10 (25/09 - 25/10)"/>
  </r>
  <r>
    <s v="INETUM .:. INETUM-INTERNE"/>
    <x v="70"/>
    <s v="GFI-BaseDocumentaire"/>
    <m/>
    <x v="3"/>
    <x v="13"/>
    <x v="10"/>
    <s v="Christophe ORLANDO"/>
    <x v="0"/>
    <x v="7"/>
    <x v="9"/>
    <n v="1.8347249278273807"/>
    <s v="26/10 (25/09 - 25/10)"/>
  </r>
  <r>
    <s v="INETUM .:. INETUM-INTERNE"/>
    <x v="46"/>
    <s v="GFI-CMIS"/>
    <m/>
    <x v="3"/>
    <x v="13"/>
    <x v="10"/>
    <s v="Christophe ORLANDO"/>
    <x v="0"/>
    <x v="7"/>
    <x v="9"/>
    <n v="0.23117534090624997"/>
    <s v="26/10 (25/09 - 25/10)"/>
  </r>
  <r>
    <s v="INETUM .:. INETUM-INTERNE"/>
    <x v="47"/>
    <s v="GFI-COFFEE"/>
    <m/>
    <x v="3"/>
    <x v="13"/>
    <x v="10"/>
    <s v="Christophe ORLANDO"/>
    <x v="0"/>
    <x v="7"/>
    <x v="9"/>
    <n v="0.70569314592434207"/>
    <s v="26/10 (25/09 - 25/10)"/>
  </r>
  <r>
    <s v="INETUM .:. INETUM-INTERNE"/>
    <x v="48"/>
    <s v="GFI-CRALENIUM"/>
    <m/>
    <x v="3"/>
    <x v="13"/>
    <x v="10"/>
    <s v="Christophe ORLANDO"/>
    <x v="0"/>
    <x v="7"/>
    <x v="9"/>
    <n v="2.8486518616267227"/>
    <s v="26/10 (25/09 - 25/10)"/>
  </r>
  <r>
    <s v="INETUM .:. INETUM-INTERNE"/>
    <x v="16"/>
    <s v="GFI-D8-BS4-THEME"/>
    <m/>
    <x v="3"/>
    <x v="13"/>
    <x v="10"/>
    <s v="Christophe ORLANDO"/>
    <x v="0"/>
    <x v="7"/>
    <x v="9"/>
    <n v="1.4053992947157736"/>
    <s v="26/10 (25/09 - 25/10)"/>
  </r>
  <r>
    <s v="INETUM .:. INETUM-INTERNE"/>
    <x v="49"/>
    <s v="GFI-Docker Devbox Install"/>
    <m/>
    <x v="3"/>
    <x v="13"/>
    <x v="10"/>
    <s v="Christophe ORLANDO"/>
    <x v="0"/>
    <x v="7"/>
    <x v="9"/>
    <n v="12.340365803023669"/>
    <s v="26/10 (25/09 - 25/10)"/>
  </r>
  <r>
    <s v="INETUM .:. INETUM-INTERNE"/>
    <x v="27"/>
    <s v="GFI-MineReport"/>
    <m/>
    <x v="3"/>
    <x v="13"/>
    <x v="10"/>
    <s v="Christophe ORLANDO"/>
    <x v="0"/>
    <x v="7"/>
    <x v="9"/>
    <n v="3.9829435670070623"/>
    <s v="26/10 (25/09 - 25/10)"/>
  </r>
  <r>
    <s v="INETUM .:. INETUM-INTERNE"/>
    <x v="50"/>
    <s v="GFI-PMT"/>
    <m/>
    <x v="3"/>
    <x v="13"/>
    <x v="10"/>
    <s v="Christophe ORLANDO"/>
    <x v="0"/>
    <x v="7"/>
    <x v="9"/>
    <n v="4.8960061890957052"/>
    <s v="26/10 (25/09 - 25/10)"/>
  </r>
  <r>
    <s v="INETUM .:. INETUM-INTERNE"/>
    <x v="37"/>
    <s v="GFI-RedmineDocker"/>
    <m/>
    <x v="3"/>
    <x v="13"/>
    <x v="10"/>
    <s v="Christophe ORLANDO"/>
    <x v="0"/>
    <x v="7"/>
    <x v="9"/>
    <n v="0.82195676766666659"/>
    <s v="26/10 (25/09 - 25/10)"/>
  </r>
  <r>
    <s v="INETUM .:. INETUM-INTERNE"/>
    <x v="51"/>
    <s v="GFI-TENDER"/>
    <m/>
    <x v="3"/>
    <x v="13"/>
    <x v="10"/>
    <s v="Christophe ORLANDO"/>
    <x v="0"/>
    <x v="7"/>
    <x v="9"/>
    <n v="2.8486518616267227"/>
    <s v="26/10 (25/09 - 25/10)"/>
  </r>
  <r>
    <s v="GFI .:. GFI-WAAC"/>
    <x v="38"/>
    <s v="GFI-WAAC"/>
    <m/>
    <x v="3"/>
    <x v="32"/>
    <x v="17"/>
    <s v="Laurent MARCIANIAK"/>
    <x v="1"/>
    <x v="14"/>
    <x v="9"/>
    <n v="208.64268324964121"/>
    <s v="26/10 (25/09 - 25/10)"/>
  </r>
  <r>
    <s v="GLI .:. GLI-APIBIOMETRIE"/>
    <x v="17"/>
    <s v="GLI-APIBiometrie"/>
    <m/>
    <x v="3"/>
    <x v="14"/>
    <x v="11"/>
    <s v="Rodolphe HABEGGER"/>
    <x v="0"/>
    <x v="8"/>
    <x v="9"/>
    <n v="4.4771271007949025"/>
    <s v="26/10 (25/09 - 25/10)"/>
  </r>
  <r>
    <s v="LAPOSTE .:. LAPOSTE-CDC"/>
    <x v="52"/>
    <s v="LAPOSTE-F4N-Musee"/>
    <m/>
    <x v="3"/>
    <x v="33"/>
    <x v="18"/>
    <s v="Rodolphe HABEGGER"/>
    <x v="0"/>
    <x v="15"/>
    <x v="9"/>
    <n v="1.8147931433841649"/>
    <s v="26/10 (25/09 - 25/10)"/>
  </r>
  <r>
    <s v="LAPOSTE .:. LAPOSTE-CDC"/>
    <x v="62"/>
    <s v="LAPOSTE-L71-PDP"/>
    <m/>
    <x v="3"/>
    <x v="33"/>
    <x v="18"/>
    <s v="Rodolphe HABEGGER"/>
    <x v="0"/>
    <x v="15"/>
    <x v="9"/>
    <n v="1.8147931433841649"/>
    <s v="26/10 (25/09 - 25/10)"/>
  </r>
  <r>
    <s v="LAPOSTE .:. LAPOSTE-CDC"/>
    <x v="63"/>
    <s v="LAPOSTE-LCA-PariteUn-e"/>
    <m/>
    <x v="3"/>
    <x v="33"/>
    <x v="18"/>
    <s v="Rodolphe HABEGGER"/>
    <x v="0"/>
    <x v="15"/>
    <x v="9"/>
    <n v="1.8147931433841649"/>
    <s v="26/10 (25/09 - 25/10)"/>
  </r>
  <r>
    <s v="LAPOSTE .:. LAPOSTE-CDC"/>
    <x v="53"/>
    <s v="LAPOSTE-LPK-PortailVoyage"/>
    <m/>
    <x v="3"/>
    <x v="33"/>
    <x v="18"/>
    <s v="Rodolphe HABEGGER"/>
    <x v="0"/>
    <x v="15"/>
    <x v="9"/>
    <n v="1.8147931433841649"/>
    <s v="26/10 (25/09 - 25/10)"/>
  </r>
  <r>
    <s v="LAPOSTE .:. LAPOSTE-CDC"/>
    <x v="54"/>
    <s v="LAPOSTE-LPM-IntranetDHA"/>
    <m/>
    <x v="3"/>
    <x v="33"/>
    <x v="18"/>
    <s v="Rodolphe HABEGGER"/>
    <x v="0"/>
    <x v="15"/>
    <x v="9"/>
    <n v="1.8147931433841649"/>
    <s v="26/10 (25/09 - 25/10)"/>
  </r>
  <r>
    <s v="LAPOSTE .:. LAPOSTE-CDC"/>
    <x v="71"/>
    <s v="LAPOSTE-V7_-Galaxy"/>
    <m/>
    <x v="3"/>
    <x v="33"/>
    <x v="18"/>
    <s v="Rodolphe HABEGGER"/>
    <x v="0"/>
    <x v="15"/>
    <x v="9"/>
    <n v="0.77525467859469699"/>
    <s v="26/10 (25/09 - 25/10)"/>
  </r>
  <r>
    <s v="LAPOSTE .:. LAPOSTE-CDC"/>
    <x v="64"/>
    <s v="LAPOSTE-VWA-Fondation"/>
    <m/>
    <x v="3"/>
    <x v="33"/>
    <x v="18"/>
    <s v="Rodolphe HABEGGER"/>
    <x v="0"/>
    <x v="15"/>
    <x v="9"/>
    <n v="1.8147931433841649"/>
    <s v="26/10 (25/09 - 25/10)"/>
  </r>
  <r>
    <s v="MENESR .:. MENJ-APAE"/>
    <x v="18"/>
    <s v="MENJ-APAE"/>
    <m/>
    <x v="3"/>
    <x v="15"/>
    <x v="12"/>
    <s v="Pierre BOURLIEUX"/>
    <x v="0"/>
    <x v="9"/>
    <x v="9"/>
    <n v="1.4068317537503341"/>
    <s v="26/10 (25/09 - 25/10)"/>
  </r>
  <r>
    <s v="MENESR .:. MENJ-BI"/>
    <x v="36"/>
    <s v="MENJ-BI"/>
    <m/>
    <x v="3"/>
    <x v="25"/>
    <x v="12"/>
    <s v="Eric PERROUD"/>
    <x v="0"/>
    <x v="9"/>
    <x v="9"/>
    <n v="3.4676301135937497"/>
    <s v="26/10 (25/09 - 25/10)"/>
  </r>
  <r>
    <s v="MENESR .:. MENJ-BNIE"/>
    <x v="19"/>
    <s v="MENJ-BNIE-BDD"/>
    <m/>
    <x v="3"/>
    <x v="16"/>
    <x v="12"/>
    <s v="Pierre BOURLIEUX"/>
    <x v="0"/>
    <x v="9"/>
    <x v="9"/>
    <n v="3.2232094322994409"/>
    <s v="26/10 (25/09 - 25/10)"/>
  </r>
  <r>
    <s v="MENESR .:. MENJ-BNIE"/>
    <x v="33"/>
    <s v="MENJ-BNIE-Webservices"/>
    <m/>
    <x v="3"/>
    <x v="16"/>
    <x v="12"/>
    <s v="Pierre BOURLIEUX"/>
    <x v="0"/>
    <x v="9"/>
    <x v="9"/>
    <n v="0.48213039012533421"/>
    <s v="26/10 (25/09 - 25/10)"/>
  </r>
  <r>
    <s v="MENESR .:. MENJ-INSERJEUNES"/>
    <x v="65"/>
    <s v="MENJ-InserJeunes"/>
    <m/>
    <x v="3"/>
    <x v="37"/>
    <x v="21"/>
    <s v="Christophe ORLANDO"/>
    <x v="0"/>
    <x v="9"/>
    <x v="9"/>
    <n v="12.055836278606039"/>
    <s v="26/10 (25/09 - 25/10)"/>
  </r>
  <r>
    <s v="MENESR .:. MENJ-RNIE"/>
    <x v="20"/>
    <s v="MENJ-RNIE-BDD"/>
    <m/>
    <x v="3"/>
    <x v="17"/>
    <x v="12"/>
    <s v="Pierre BOURLIEUX"/>
    <x v="0"/>
    <x v="9"/>
    <x v="9"/>
    <n v="1.4068317537503341"/>
    <s v="26/10 (25/09 - 25/10)"/>
  </r>
  <r>
    <s v="MENESR .:. MENJ-RNIE"/>
    <x v="21"/>
    <s v="MENJ-RNIE-Webservices"/>
    <m/>
    <x v="3"/>
    <x v="17"/>
    <x v="12"/>
    <s v="Pierre BOURLIEUX"/>
    <x v="0"/>
    <x v="9"/>
    <x v="9"/>
    <n v="1.630431785015334"/>
    <s v="26/10 (25/09 - 25/10)"/>
  </r>
  <r>
    <s v="AFB .:. OFB-CMONSPOT"/>
    <x v="55"/>
    <s v="OFB-CMONSPOT"/>
    <m/>
    <x v="3"/>
    <x v="34"/>
    <x v="6"/>
    <s v="Pierre BOURLIEUX"/>
    <x v="0"/>
    <x v="3"/>
    <x v="9"/>
    <n v="0.91736246391369036"/>
    <s v="26/10 (25/09 - 25/10)"/>
  </r>
  <r>
    <s v="OFB .:. OFB-NATUREFRANCE"/>
    <x v="32"/>
    <s v="OFB-NatureFrance"/>
    <m/>
    <x v="3"/>
    <x v="24"/>
    <x v="16"/>
    <s v="Rodolphe HABEGGER"/>
    <x v="0"/>
    <x v="13"/>
    <x v="9"/>
    <n v="5.9959585861046474"/>
    <s v="26/10 (25/09 - 25/10)"/>
  </r>
  <r>
    <s v="AFB .:. OFB-SISPEA"/>
    <x v="40"/>
    <s v="OFB-SISPEA"/>
    <m/>
    <x v="3"/>
    <x v="26"/>
    <x v="6"/>
    <s v="Pierre BOURLIEUX"/>
    <x v="0"/>
    <x v="3"/>
    <x v="9"/>
    <n v="3.2291158729761906"/>
    <s v="26/10 (25/09 - 25/10)"/>
  </r>
  <r>
    <s v="PCM .:. PCM-ALS"/>
    <x v="22"/>
    <s v="PCM-ALS"/>
    <m/>
    <x v="3"/>
    <x v="18"/>
    <x v="13"/>
    <s v="Alice MARCHAL"/>
    <x v="0"/>
    <x v="10"/>
    <x v="9"/>
    <n v="4.2606888760603718"/>
    <s v="26/10 (25/09 - 25/10)"/>
  </r>
  <r>
    <s v="PCM .:. PCM-WEB"/>
    <x v="23"/>
    <s v="PCM-Web"/>
    <m/>
    <x v="3"/>
    <x v="19"/>
    <x v="13"/>
    <s v="Rodolphe HABEGGER"/>
    <x v="0"/>
    <x v="10"/>
    <x v="9"/>
    <n v="2.468622390391741"/>
    <s v="26/10 (25/09 - 25/10)"/>
  </r>
  <r>
    <s v="SAFT .:. SAFT-PDM"/>
    <x v="56"/>
    <s v="SAFT-PDM"/>
    <m/>
    <x v="3"/>
    <x v="35"/>
    <x v="19"/>
    <s v="Pierre BOURLIEUX"/>
    <x v="0"/>
    <x v="16"/>
    <x v="9"/>
    <n v="2.8486518616267227"/>
    <s v="26/10 (25/09 - 25/10)"/>
  </r>
  <r>
    <s v="SPC .:. SPC-BUILD"/>
    <x v="24"/>
    <s v="SPC-BUILD"/>
    <m/>
    <x v="3"/>
    <x v="1"/>
    <x v="1"/>
    <s v="Nicolas DURFORT"/>
    <x v="0"/>
    <x v="1"/>
    <x v="9"/>
    <n v="41.409077385933756"/>
    <s v="26/10 (25/09 - 25/10)"/>
  </r>
  <r>
    <s v="SPC .:. SPC-WEB"/>
    <x v="25"/>
    <s v="SPC-WEB"/>
    <m/>
    <x v="3"/>
    <x v="2"/>
    <x v="2"/>
    <s v="Nicolas DURFORT"/>
    <x v="0"/>
    <x v="1"/>
    <x v="9"/>
    <n v="3.203429723986607"/>
    <s v="26/10 (25/09 - 25/10)"/>
  </r>
  <r>
    <s v="STMICRO .:. STMICRO-DATAPACK"/>
    <x v="66"/>
    <s v="STMICRO-DATAPACK"/>
    <m/>
    <x v="3"/>
    <x v="36"/>
    <x v="20"/>
    <s v="Jean-Philippe STROIAZZO"/>
    <x v="0"/>
    <x v="17"/>
    <x v="9"/>
    <n v="3.3407898422674789"/>
    <s v="26/10 (25/09 - 25/10)"/>
  </r>
  <r>
    <s v="STMICRO .:. STMICRO-ROCKET"/>
    <x v="67"/>
    <s v="STMICRO-ROCKET"/>
    <m/>
    <x v="3"/>
    <x v="38"/>
    <x v="20"/>
    <s v="Jean-Philippe STROIAZZO"/>
    <x v="0"/>
    <x v="17"/>
    <x v="9"/>
    <n v="3.9829435670070623"/>
    <s v="26/10 (25/09 - 25/10)"/>
  </r>
  <r>
    <s v="ALM .:. ALM-ATOUT"/>
    <x v="29"/>
    <m/>
    <s v="ALM-ATOUT-VM"/>
    <x v="2"/>
    <x v="10"/>
    <x v="7"/>
    <s v="Alice MARCHAL"/>
    <x v="0"/>
    <x v="4"/>
    <x v="9"/>
    <n v="18.8"/>
    <s v="(25/09 - 25/10)"/>
  </r>
  <r>
    <s v="BRGM .:. BRGM-ORRM"/>
    <x v="30"/>
    <m/>
    <s v="BRGM-ORRM-VM"/>
    <x v="0"/>
    <x v="11"/>
    <x v="8"/>
    <s v="Alice MARCHAL"/>
    <x v="0"/>
    <x v="5"/>
    <x v="9"/>
    <n v="4.5199999999999996"/>
    <s v="(25/09 - 25/10)"/>
  </r>
  <r>
    <s v="CA-TITRES .:. CATITRES-COMX"/>
    <x v="28"/>
    <m/>
    <s v="CATITRES-COMX-VM"/>
    <x v="1"/>
    <x v="21"/>
    <x v="14"/>
    <s v="Jean-Philippe STROIAZZO"/>
    <x v="0"/>
    <x v="11"/>
    <x v="9"/>
    <n v="30.56"/>
    <s v="(25/09 - 25/10)"/>
  </r>
  <r>
    <s v="EBR .:. EBR-LAPOSTE"/>
    <x v="31"/>
    <m/>
    <s v="EBR-LAPOSTE-VM"/>
    <x v="1"/>
    <x v="22"/>
    <x v="15"/>
    <s v="Valerie ASSELIN LOZACHMEUR"/>
    <x v="0"/>
    <x v="12"/>
    <x v="9"/>
    <n v="107.89"/>
    <s v="(25/09 - 25/10)"/>
  </r>
  <r>
    <s v="INETUM .:. INETUM-INTERNE"/>
    <x v="57"/>
    <m/>
    <s v="GFI-PMT-VM"/>
    <x v="1"/>
    <x v="13"/>
    <x v="10"/>
    <s v="Christophe ORLANDO"/>
    <x v="0"/>
    <x v="7"/>
    <x v="9"/>
    <n v="25.79"/>
    <s v="(25/09 - 25/10)"/>
  </r>
  <r>
    <s v="MENESR .:. MENJ-BI"/>
    <x v="35"/>
    <m/>
    <s v="MENJ-BI-VM"/>
    <x v="2"/>
    <x v="25"/>
    <x v="12"/>
    <s v="Eric PERROUD"/>
    <x v="0"/>
    <x v="9"/>
    <x v="9"/>
    <n v="3.75"/>
    <s v="(25/09 - 25/10)"/>
  </r>
  <r>
    <s v="AFB .:. AFB-NatureFrance"/>
    <x v="34"/>
    <m/>
    <s v="OFB-FRANCENATURE-VM"/>
    <x v="2"/>
    <x v="23"/>
    <x v="6"/>
    <s v="Rodolphe HABEGGER"/>
    <x v="0"/>
    <x v="3"/>
    <x v="9"/>
    <n v="3.71"/>
    <s v="(25/09 - 25/10)"/>
  </r>
  <r>
    <s v="AFB .:. OFB-SISPEA"/>
    <x v="58"/>
    <m/>
    <s v="OFB-SISPEA-VM"/>
    <x v="1"/>
    <x v="26"/>
    <x v="6"/>
    <s v="Pierre BOURLIEUX"/>
    <x v="0"/>
    <x v="3"/>
    <x v="9"/>
    <n v="8.0399999999999991"/>
    <s v="(25/09 - 25/10)"/>
  </r>
  <r>
    <s v="SPC .:. SPC-BUILD"/>
    <x v="1"/>
    <m/>
    <s v="SPC-BUILDAS-VM"/>
    <x v="1"/>
    <x v="1"/>
    <x v="1"/>
    <s v="Nicolas DURFORT"/>
    <x v="0"/>
    <x v="1"/>
    <x v="9"/>
    <n v="108.01"/>
    <s v="(25/09 - 25/10)"/>
  </r>
  <r>
    <s v="STMICRO .:. STMICRO-DATAPACK"/>
    <x v="59"/>
    <m/>
    <s v="STMICRO-DATAPACK-VM"/>
    <x v="1"/>
    <x v="36"/>
    <x v="20"/>
    <s v="Jean-Philippe STROIAZZO"/>
    <x v="0"/>
    <x v="17"/>
    <x v="9"/>
    <n v="13.91"/>
    <s v="(25/09 - 25/10)"/>
  </r>
  <r>
    <s v="FRR .:. FRR-DIGIPAT"/>
    <x v="0"/>
    <m/>
    <s v="FRR-DIGIPAT-VM"/>
    <x v="0"/>
    <x v="0"/>
    <x v="0"/>
    <s v="Alice MARCHAL"/>
    <x v="0"/>
    <x v="0"/>
    <x v="9"/>
    <n v="11.56"/>
    <s v="(25/09 - 25/10)"/>
  </r>
  <r>
    <s v="GFI .:. GFI-WAAC"/>
    <x v="60"/>
    <m/>
    <s v="GFI-WAAC-VM"/>
    <x v="2"/>
    <x v="32"/>
    <x v="17"/>
    <s v="Laurent MARCIANIAK"/>
    <x v="1"/>
    <x v="14"/>
    <x v="9"/>
    <n v="16.37"/>
    <s v="(25/09 - 25/10)"/>
  </r>
  <r>
    <s v="LAPOSTE .:. LAPOSTE-CDC"/>
    <x v="61"/>
    <m/>
    <s v="LAPOSTE-CDC-VM"/>
    <x v="1"/>
    <x v="33"/>
    <x v="18"/>
    <s v="Rodolphe HABEGGER"/>
    <x v="0"/>
    <x v="15"/>
    <x v="9"/>
    <n v="3.75"/>
    <s v="(25/09 - 25/10)"/>
  </r>
  <r>
    <s v="MENESR .:. MENJ-INSERJEUNES"/>
    <x v="68"/>
    <m/>
    <s v="MENJ-INERJEUNES"/>
    <x v="0"/>
    <x v="37"/>
    <x v="21"/>
    <s v="Christophe ORLANDO"/>
    <x v="0"/>
    <x v="9"/>
    <x v="9"/>
    <n v="29.07"/>
    <s v="(25/09 - 25/10)"/>
  </r>
  <r>
    <s v="ONEMA .:. AFB-BASEINDICATEURS"/>
    <x v="3"/>
    <s v="AFB-BaseIndicateurs"/>
    <m/>
    <x v="3"/>
    <x v="3"/>
    <x v="3"/>
    <s v="Pierre BOURLIEUX"/>
    <x v="0"/>
    <x v="2"/>
    <x v="10"/>
    <n v="0.47776348083900921"/>
    <s v="30/11 (26/10 - 29/11)"/>
  </r>
  <r>
    <s v="ONEMA .:. AFB-CATALOGUE"/>
    <x v="26"/>
    <s v="AFB-Catalogue"/>
    <m/>
    <x v="3"/>
    <x v="20"/>
    <x v="3"/>
    <s v="Pierre BOURLIEUX"/>
    <x v="0"/>
    <x v="2"/>
    <x v="10"/>
    <n v="1.8022591868768243"/>
    <s v="30/11 (26/10 - 29/11)"/>
  </r>
  <r>
    <s v="ONEMA .:. AFB-CDR"/>
    <x v="4"/>
    <s v="AFB-CDR"/>
    <m/>
    <x v="3"/>
    <x v="4"/>
    <x v="4"/>
    <s v="Pierre BOURLIEUX"/>
    <x v="0"/>
    <x v="2"/>
    <x v="10"/>
    <n v="8.4695767636990968"/>
    <s v="30/11 (26/10 - 29/11)"/>
  </r>
  <r>
    <s v="AFB .:. AFB-CESMIA"/>
    <x v="5"/>
    <s v="AFB-CESMIA"/>
    <m/>
    <x v="3"/>
    <x v="5"/>
    <x v="5"/>
    <s v="Jean-Philippe STROIAZZO"/>
    <x v="0"/>
    <x v="3"/>
    <x v="10"/>
    <n v="7.5841293448123794"/>
    <s v="30/11 (26/10 - 29/11)"/>
  </r>
  <r>
    <s v="ONEMA .:. AFB-OISON"/>
    <x v="6"/>
    <s v="AFB-OISON"/>
    <m/>
    <x v="3"/>
    <x v="6"/>
    <x v="3"/>
    <s v="Jean-Philippe STROIAZZO"/>
    <x v="0"/>
    <x v="2"/>
    <x v="10"/>
    <n v="4.5914059585910412"/>
    <s v="30/11 (26/10 - 29/11)"/>
  </r>
  <r>
    <s v="ONEMA .:. AFB-PATBIODIV"/>
    <x v="7"/>
    <s v="AFB-PATBiodiv"/>
    <m/>
    <x v="3"/>
    <x v="7"/>
    <x v="3"/>
    <s v="Rodolphe HABEGGER"/>
    <x v="0"/>
    <x v="2"/>
    <x v="10"/>
    <n v="4.4345500014565182"/>
    <s v="30/11 (26/10 - 29/11)"/>
  </r>
  <r>
    <s v="AFB .:. AFB-PNM"/>
    <x v="8"/>
    <s v="AFB-PNM"/>
    <m/>
    <x v="3"/>
    <x v="8"/>
    <x v="6"/>
    <s v="Eric RAUCOURT"/>
    <x v="0"/>
    <x v="3"/>
    <x v="10"/>
    <n v="8.0052626343829392"/>
    <s v="30/11 (26/10 - 29/11)"/>
  </r>
  <r>
    <s v="AFB .:. AFB-PNX"/>
    <x v="9"/>
    <s v="AFB-PNX"/>
    <m/>
    <x v="3"/>
    <x v="9"/>
    <x v="6"/>
    <s v="Pierre BOURLIEUX"/>
    <x v="0"/>
    <x v="3"/>
    <x v="10"/>
    <n v="2.0322448429461519"/>
    <s v="30/11 (26/10 - 29/11)"/>
  </r>
  <r>
    <s v="ONEMA .:. AFB-RAA"/>
    <x v="41"/>
    <s v="AFB-RAA"/>
    <m/>
    <x v="3"/>
    <x v="27"/>
    <x v="4"/>
    <s v="Pierre BOURLIEUX"/>
    <x v="0"/>
    <x v="2"/>
    <x v="10"/>
    <n v="0.23275656758823526"/>
    <s v="30/11 (26/10 - 29/11)"/>
  </r>
  <r>
    <s v="ALM .:. ALM-ATOUT"/>
    <x v="10"/>
    <s v="ALM-ATOUT"/>
    <m/>
    <x v="3"/>
    <x v="10"/>
    <x v="7"/>
    <s v="Alice MARCHAL"/>
    <x v="0"/>
    <x v="4"/>
    <x v="10"/>
    <n v="5.2988461311500963"/>
    <s v="30/11 (26/10 - 29/11)"/>
  </r>
  <r>
    <s v="BRGM .:. BRGM-ORRM"/>
    <x v="11"/>
    <s v="BRGM-ORRM"/>
    <m/>
    <x v="3"/>
    <x v="11"/>
    <x v="8"/>
    <s v="Alice MARCHAL"/>
    <x v="0"/>
    <x v="5"/>
    <x v="10"/>
    <n v="9.1257165263106224"/>
    <s v="30/11 (26/10 - 29/11)"/>
  </r>
  <r>
    <s v="CGOS .:. CGOS-BI"/>
    <x v="69"/>
    <s v="CGOS-BI"/>
    <m/>
    <x v="3"/>
    <x v="39"/>
    <x v="22"/>
    <s v="Valerie ASSELIN LOZACHMEUR"/>
    <x v="0"/>
    <x v="18"/>
    <x v="10"/>
    <n v="6.9826970276470579"/>
    <s v="30/11 (26/10 - 29/11)"/>
  </r>
  <r>
    <s v="CNAV .:. CNAV-BI-RGCU"/>
    <x v="12"/>
    <s v="CNAV-BI-RGCU"/>
    <m/>
    <x v="3"/>
    <x v="12"/>
    <x v="9"/>
    <s v="Valerie ASSELIN LOZACHMEUR"/>
    <x v="0"/>
    <x v="6"/>
    <x v="10"/>
    <n v="9.3102627035294105"/>
    <s v="30/11 (26/10 - 29/11)"/>
  </r>
  <r>
    <s v="INETUM .:. INETUM-INTERNE"/>
    <x v="13"/>
    <s v="d8-qa"/>
    <m/>
    <x v="3"/>
    <x v="13"/>
    <x v="10"/>
    <s v="Christophe ORLANDO"/>
    <x v="0"/>
    <x v="7"/>
    <x v="10"/>
    <n v="0.50658782357439436"/>
    <s v="30/11 (26/10 - 29/11)"/>
  </r>
  <r>
    <s v="INETUM .:. INETUM-INTERNE"/>
    <x v="14"/>
    <s v="drupal-qa"/>
    <m/>
    <x v="3"/>
    <x v="13"/>
    <x v="10"/>
    <s v="Christophe ORLANDO"/>
    <x v="0"/>
    <x v="7"/>
    <x v="10"/>
    <n v="0.50658782357439436"/>
    <s v="30/11 (26/10 - 29/11)"/>
  </r>
  <r>
    <s v="FRR .:. FRR-DIGIPAT"/>
    <x v="15"/>
    <s v="FRR DIGIPAT"/>
    <m/>
    <x v="3"/>
    <x v="0"/>
    <x v="0"/>
    <s v="Alice MARCHAL"/>
    <x v="0"/>
    <x v="0"/>
    <x v="10"/>
    <n v="5.1312154922892255"/>
    <s v="30/11 (26/10 - 29/11)"/>
  </r>
  <r>
    <s v="FRR .:. FRR-APPLIFRR"/>
    <x v="42"/>
    <s v="FRR-APPLIFRR"/>
    <m/>
    <x v="3"/>
    <x v="28"/>
    <x v="0"/>
    <s v="Jean-Philippe STROIAZZO"/>
    <x v="0"/>
    <x v="0"/>
    <x v="10"/>
    <n v="2.7332854572297656"/>
    <s v="30/11 (26/10 - 29/11)"/>
  </r>
  <r>
    <s v="FRR .:. FRR-CADENCIER"/>
    <x v="43"/>
    <s v="FRR-CADENCIER"/>
    <m/>
    <x v="3"/>
    <x v="29"/>
    <x v="0"/>
    <s v="Jean-Philippe STROIAZZO"/>
    <x v="0"/>
    <x v="0"/>
    <x v="10"/>
    <n v="2.7332854572297656"/>
    <s v="30/11 (26/10 - 29/11)"/>
  </r>
  <r>
    <s v="FRR .:. FRR-PATAPAIN"/>
    <x v="44"/>
    <s v="FRR-Patapain"/>
    <m/>
    <x v="3"/>
    <x v="30"/>
    <x v="0"/>
    <s v="Christophe ORLANDO"/>
    <x v="0"/>
    <x v="0"/>
    <x v="10"/>
    <n v="1.3339751401814461"/>
    <s v="30/11 (26/10 - 29/11)"/>
  </r>
  <r>
    <s v="FRR .:. FRR-PATAPAINANDROID"/>
    <x v="45"/>
    <s v="FRR-PATAPAINANDROID"/>
    <m/>
    <x v="3"/>
    <x v="31"/>
    <x v="0"/>
    <s v="Jean-Philippe STROIAZZO"/>
    <x v="0"/>
    <x v="0"/>
    <x v="10"/>
    <n v="7.38841680899447"/>
    <s v="30/11 (26/10 - 29/11)"/>
  </r>
  <r>
    <s v="INETUM .:. INETUM-INTERNE"/>
    <x v="70"/>
    <s v="GFI-BaseDocumentaire"/>
    <m/>
    <x v="3"/>
    <x v="13"/>
    <x v="10"/>
    <s v="Christophe ORLANDO"/>
    <x v="0"/>
    <x v="7"/>
    <x v="10"/>
    <n v="1.7124233186848739"/>
    <s v="30/11 (26/10 - 29/11)"/>
  </r>
  <r>
    <s v="INETUM .:. INETUM-INTERNE"/>
    <x v="46"/>
    <s v="GFI-CMIS"/>
    <m/>
    <x v="3"/>
    <x v="13"/>
    <x v="10"/>
    <s v="Christophe ORLANDO"/>
    <x v="0"/>
    <x v="7"/>
    <x v="10"/>
    <n v="0.23275656758823526"/>
    <s v="30/11 (26/10 - 29/11)"/>
  </r>
  <r>
    <s v="INETUM .:. INETUM-INTERNE"/>
    <x v="47"/>
    <s v="GFI-COFFEE"/>
    <m/>
    <x v="3"/>
    <x v="13"/>
    <x v="10"/>
    <s v="Christophe ORLANDO"/>
    <x v="0"/>
    <x v="7"/>
    <x v="10"/>
    <n v="0.71052004842724448"/>
    <s v="30/11 (26/10 - 29/11)"/>
  </r>
  <r>
    <s v="INETUM .:. INETUM-INTERNE"/>
    <x v="48"/>
    <s v="GFI-CRALENIUM"/>
    <m/>
    <x v="3"/>
    <x v="13"/>
    <x v="10"/>
    <s v="Christophe ORLANDO"/>
    <x v="0"/>
    <x v="7"/>
    <x v="10"/>
    <n v="2.7332854572297656"/>
    <s v="30/11 (26/10 - 29/11)"/>
  </r>
  <r>
    <s v="INETUM .:. INETUM-INTERNE"/>
    <x v="16"/>
    <s v="GFI-D8-BS4-THEME"/>
    <m/>
    <x v="3"/>
    <x v="13"/>
    <x v="10"/>
    <s v="Christophe ORLANDO"/>
    <x v="0"/>
    <x v="7"/>
    <x v="10"/>
    <n v="1.2801611217352939"/>
    <s v="30/11 (26/10 - 29/11)"/>
  </r>
  <r>
    <s v="INETUM .:. INETUM-INTERNE"/>
    <x v="49"/>
    <s v="GFI-Docker Devbox Install"/>
    <m/>
    <x v="3"/>
    <x v="13"/>
    <x v="10"/>
    <s v="Christophe ORLANDO"/>
    <x v="0"/>
    <x v="7"/>
    <x v="10"/>
    <n v="12.438786882849689"/>
    <s v="30/11 (26/10 - 29/11)"/>
  </r>
  <r>
    <s v="INETUM .:. INETUM-INTERNE"/>
    <x v="27"/>
    <s v="GFI-MineReport"/>
    <m/>
    <x v="3"/>
    <x v="13"/>
    <x v="10"/>
    <s v="Christophe ORLANDO"/>
    <x v="0"/>
    <x v="7"/>
    <x v="10"/>
    <n v="1.6826210071781094"/>
    <s v="30/11 (26/10 - 29/11)"/>
  </r>
  <r>
    <s v="INETUM .:. INETUM-INTERNE"/>
    <x v="50"/>
    <s v="GFI-PMT"/>
    <m/>
    <x v="3"/>
    <x v="13"/>
    <x v="10"/>
    <s v="Christophe ORLANDO"/>
    <x v="0"/>
    <x v="7"/>
    <x v="10"/>
    <n v="4.7623100036418"/>
    <s v="30/11 (26/10 - 29/11)"/>
  </r>
  <r>
    <s v="INETUM .:. INETUM-INTERNE"/>
    <x v="72"/>
    <s v="GFI-POC"/>
    <m/>
    <x v="3"/>
    <x v="13"/>
    <x v="10"/>
    <s v="Christophe ORLANDO"/>
    <x v="0"/>
    <x v="7"/>
    <x v="10"/>
    <n v="4.8490951580882342"/>
    <s v="30/11 (26/10 - 29/11)"/>
  </r>
  <r>
    <s v="INETUM .:. INETUM-INTERNE"/>
    <x v="37"/>
    <s v="GFI-RedmineDocker"/>
    <m/>
    <x v="3"/>
    <x v="13"/>
    <x v="10"/>
    <s v="Christophe ORLANDO"/>
    <x v="0"/>
    <x v="7"/>
    <x v="10"/>
    <n v="0.75645884466176461"/>
    <s v="30/11 (26/10 - 29/11)"/>
  </r>
  <r>
    <s v="INETUM .:. INETUM-INTERNE"/>
    <x v="51"/>
    <s v="GFI-TENDER"/>
    <m/>
    <x v="3"/>
    <x v="13"/>
    <x v="10"/>
    <s v="Christophe ORLANDO"/>
    <x v="0"/>
    <x v="7"/>
    <x v="10"/>
    <n v="2.7332854572297656"/>
    <s v="30/11 (26/10 - 29/11)"/>
  </r>
  <r>
    <s v="GFI .:. GFI-WAAC"/>
    <x v="38"/>
    <s v="GFI-WAAC"/>
    <m/>
    <x v="3"/>
    <x v="32"/>
    <x v="17"/>
    <s v="Laurent MARCIANIAK"/>
    <x v="1"/>
    <x v="14"/>
    <x v="10"/>
    <n v="217.86693174744465"/>
    <s v="30/11 (26/10 - 29/11)"/>
  </r>
  <r>
    <s v="GLI .:. GLI-APIBIOMETRIE"/>
    <x v="17"/>
    <s v="GLI-APIBiometrie"/>
    <m/>
    <x v="3"/>
    <x v="14"/>
    <x v="11"/>
    <s v="Rodolphe HABEGGER"/>
    <x v="0"/>
    <x v="8"/>
    <x v="10"/>
    <n v="3.701887247239827"/>
    <s v="30/11 (26/10 - 29/11)"/>
  </r>
  <r>
    <s v="LAPOSTE .:. LAPOSTE-CDC"/>
    <x v="52"/>
    <s v="LAPOSTE-F4N-Musee"/>
    <m/>
    <x v="3"/>
    <x v="33"/>
    <x v="18"/>
    <s v="Rodolphe HABEGGER"/>
    <x v="0"/>
    <x v="15"/>
    <x v="10"/>
    <n v="1.9824884342522815"/>
    <s v="30/11 (26/10 - 29/11)"/>
  </r>
  <r>
    <s v="LAPOSTE .:. LAPOSTE-CDC"/>
    <x v="62"/>
    <s v="LAPOSTE-L71-PDP"/>
    <m/>
    <x v="3"/>
    <x v="33"/>
    <x v="18"/>
    <s v="Rodolphe HABEGGER"/>
    <x v="0"/>
    <x v="15"/>
    <x v="10"/>
    <n v="1.9391361912655141"/>
    <s v="30/11 (26/10 - 29/11)"/>
  </r>
  <r>
    <s v="LAPOSTE .:. LAPOSTE-CDC"/>
    <x v="63"/>
    <s v="LAPOSTE-LCA-PariteUn-e"/>
    <m/>
    <x v="3"/>
    <x v="33"/>
    <x v="18"/>
    <s v="Rodolphe HABEGGER"/>
    <x v="0"/>
    <x v="15"/>
    <x v="10"/>
    <n v="1.9499742520122059"/>
    <s v="30/11 (26/10 - 29/11)"/>
  </r>
  <r>
    <s v="LAPOSTE .:. LAPOSTE-CDC"/>
    <x v="53"/>
    <s v="LAPOSTE-LPK-PortailVoyage"/>
    <m/>
    <x v="3"/>
    <x v="33"/>
    <x v="18"/>
    <s v="Rodolphe HABEGGER"/>
    <x v="0"/>
    <x v="15"/>
    <x v="10"/>
    <n v="2.4268489248666483"/>
    <s v="30/11 (26/10 - 29/11)"/>
  </r>
  <r>
    <s v="LAPOSTE .:. LAPOSTE-CDC"/>
    <x v="54"/>
    <s v="LAPOSTE-LPM-IntranetDHA"/>
    <m/>
    <x v="3"/>
    <x v="33"/>
    <x v="18"/>
    <s v="Rodolphe HABEGGER"/>
    <x v="0"/>
    <x v="15"/>
    <x v="10"/>
    <n v="1.9391361912655141"/>
    <s v="30/11 (26/10 - 29/11)"/>
  </r>
  <r>
    <s v="LAPOSTE .:. LAPOSTE-CDC"/>
    <x v="71"/>
    <s v="LAPOSTE-V7_-Galaxy"/>
    <m/>
    <x v="3"/>
    <x v="33"/>
    <x v="18"/>
    <s v="Rodolphe HABEGGER"/>
    <x v="0"/>
    <x v="15"/>
    <x v="10"/>
    <n v="1.0225440692202779"/>
    <s v="30/11 (26/10 - 29/11)"/>
  </r>
  <r>
    <s v="LAPOSTE .:. LAPOSTE-CDC"/>
    <x v="73"/>
    <s v="LAPOSTE-VW2-MEDIACOM"/>
    <m/>
    <x v="3"/>
    <x v="33"/>
    <x v="18"/>
    <s v="Rodolphe HABEGGER"/>
    <x v="0"/>
    <x v="15"/>
    <x v="10"/>
    <n v="1.3043336486342665"/>
    <s v="30/11 (26/10 - 29/11)"/>
  </r>
  <r>
    <s v="LAPOSTE .:. LAPOSTE-CDC"/>
    <x v="64"/>
    <s v="LAPOSTE-VWA-Fondation"/>
    <m/>
    <x v="3"/>
    <x v="33"/>
    <x v="18"/>
    <s v="Rodolphe HABEGGER"/>
    <x v="0"/>
    <x v="15"/>
    <x v="10"/>
    <n v="1.8957839482787464"/>
    <s v="30/11 (26/10 - 29/11)"/>
  </r>
  <r>
    <s v="MENESR .:. MENJ-APAE"/>
    <x v="18"/>
    <s v="MENJ-APAE"/>
    <m/>
    <x v="3"/>
    <x v="15"/>
    <x v="12"/>
    <s v="Pierre BOURLIEUX"/>
    <x v="0"/>
    <x v="9"/>
    <x v="10"/>
    <n v="2.7953607381920413"/>
    <s v="30/11 (26/10 - 29/11)"/>
  </r>
  <r>
    <s v="MENESR .:. MENJ-BI"/>
    <x v="36"/>
    <s v="MENJ-BI"/>
    <m/>
    <x v="3"/>
    <x v="25"/>
    <x v="12"/>
    <s v="Eric PERROUD"/>
    <x v="0"/>
    <x v="9"/>
    <x v="10"/>
    <n v="3.2585919462352937"/>
    <s v="30/11 (26/10 - 29/11)"/>
  </r>
  <r>
    <s v="MENESR .:. MENJ-BNIE"/>
    <x v="19"/>
    <s v="MENJ-BNIE-BDD"/>
    <m/>
    <x v="3"/>
    <x v="16"/>
    <x v="12"/>
    <s v="Pierre BOURLIEUX"/>
    <x v="0"/>
    <x v="9"/>
    <x v="10"/>
    <n v="2.0638400972004449"/>
    <s v="30/11 (26/10 - 29/11)"/>
  </r>
  <r>
    <s v="MENESR .:. MENJ-BNIE"/>
    <x v="33"/>
    <s v="MENJ-BNIE-Webservices"/>
    <m/>
    <x v="3"/>
    <x v="16"/>
    <x v="12"/>
    <s v="Pierre BOURLIEUX"/>
    <x v="0"/>
    <x v="9"/>
    <x v="10"/>
    <n v="0.46779506230968854"/>
    <s v="30/11 (26/10 - 29/11)"/>
  </r>
  <r>
    <s v="MENESR .:. MENJ-INSERJEUNES"/>
    <x v="65"/>
    <s v="MENJ-InserJeunes"/>
    <m/>
    <x v="3"/>
    <x v="37"/>
    <x v="21"/>
    <s v="Christophe ORLANDO"/>
    <x v="0"/>
    <x v="9"/>
    <x v="10"/>
    <n v="14.276433508033136"/>
    <s v="30/11 (26/10 - 29/11)"/>
  </r>
  <r>
    <s v="MENESR .:. MENJ-RNIE"/>
    <x v="20"/>
    <s v="MENJ-RNIE-BDD"/>
    <m/>
    <x v="3"/>
    <x v="17"/>
    <x v="12"/>
    <s v="Pierre BOURLIEUX"/>
    <x v="0"/>
    <x v="9"/>
    <x v="10"/>
    <n v="1.3988213326626295"/>
    <s v="30/11 (26/10 - 29/11)"/>
  </r>
  <r>
    <s v="MENESR .:. MENJ-RNIE"/>
    <x v="21"/>
    <s v="MENJ-RNIE-Webservices"/>
    <m/>
    <x v="3"/>
    <x v="17"/>
    <x v="12"/>
    <s v="Pierre BOURLIEUX"/>
    <x v="0"/>
    <x v="9"/>
    <x v="10"/>
    <n v="0.58701373052329908"/>
    <s v="30/11 (26/10 - 29/11)"/>
  </r>
  <r>
    <s v="AFB .:. OFB-CMONSPOT"/>
    <x v="55"/>
    <s v="OFB-CMONSPOT"/>
    <m/>
    <x v="3"/>
    <x v="34"/>
    <x v="6"/>
    <s v="Pierre BOURLIEUX"/>
    <x v="0"/>
    <x v="3"/>
    <x v="10"/>
    <n v="0.910025677788589"/>
    <s v="30/11 (26/10 - 29/11)"/>
  </r>
  <r>
    <s v="OFB .:. OFB-NATUREFRANCE"/>
    <x v="32"/>
    <s v="OFB-NatureFrance"/>
    <m/>
    <x v="3"/>
    <x v="24"/>
    <x v="16"/>
    <s v="Rodolphe HABEGGER"/>
    <x v="0"/>
    <x v="13"/>
    <x v="10"/>
    <n v="6.2196371624623614"/>
    <s v="30/11 (26/10 - 29/11)"/>
  </r>
  <r>
    <s v="AFB .:. OFB-SISPEA"/>
    <x v="40"/>
    <s v="OFB-SISPEA"/>
    <m/>
    <x v="3"/>
    <x v="26"/>
    <x v="6"/>
    <s v="Pierre BOURLIEUX"/>
    <x v="0"/>
    <x v="3"/>
    <x v="10"/>
    <n v="3.2375913536709415"/>
    <s v="30/11 (26/10 - 29/11)"/>
  </r>
  <r>
    <s v="PCM .:. PCM-ALS"/>
    <x v="22"/>
    <s v="PCM-ALS"/>
    <m/>
    <x v="3"/>
    <x v="18"/>
    <x v="13"/>
    <s v="Alice MARCHAL"/>
    <x v="0"/>
    <x v="10"/>
    <x v="10"/>
    <n v="4.1067339334349473"/>
    <s v="30/11 (26/10 - 29/11)"/>
  </r>
  <r>
    <s v="PCM .:. PCM-WEB"/>
    <x v="23"/>
    <s v="PCM-Web"/>
    <m/>
    <x v="3"/>
    <x v="19"/>
    <x v="13"/>
    <s v="Rodolphe HABEGGER"/>
    <x v="0"/>
    <x v="10"/>
    <x v="10"/>
    <n v="2.4007760749608575"/>
    <s v="30/11 (26/10 - 29/11)"/>
  </r>
  <r>
    <s v="SAFT .:. SAFT-PDM"/>
    <x v="56"/>
    <s v="SAFT-PDM"/>
    <m/>
    <x v="3"/>
    <x v="35"/>
    <x v="19"/>
    <s v="Pierre BOURLIEUX"/>
    <x v="0"/>
    <x v="16"/>
    <x v="10"/>
    <n v="2.7332854572297656"/>
    <s v="30/11 (26/10 - 29/11)"/>
  </r>
  <r>
    <s v="SPC .:. SPC-BUILD"/>
    <x v="24"/>
    <s v="SPC-BUILD"/>
    <m/>
    <x v="3"/>
    <x v="1"/>
    <x v="1"/>
    <s v="Nicolas DURFORT"/>
    <x v="0"/>
    <x v="1"/>
    <x v="10"/>
    <n v="40.856329288536301"/>
    <s v="30/11 (26/10 - 29/11)"/>
  </r>
  <r>
    <s v="SPC .:. SPC-WEB"/>
    <x v="25"/>
    <s v="SPC-WEB"/>
    <m/>
    <x v="3"/>
    <x v="2"/>
    <x v="2"/>
    <s v="Nicolas DURFORT"/>
    <x v="0"/>
    <x v="1"/>
    <x v="10"/>
    <n v="3.1422136624411761"/>
    <s v="30/11 (26/10 - 29/11)"/>
  </r>
  <r>
    <s v="STMICRO .:. STMICRO-DATAPACK"/>
    <x v="66"/>
    <s v="STMICRO-DATAPACK"/>
    <m/>
    <x v="3"/>
    <x v="36"/>
    <x v="20"/>
    <s v="Jean-Philippe STROIAZZO"/>
    <x v="0"/>
    <x v="17"/>
    <x v="10"/>
    <n v="3.8938083992663444"/>
    <s v="30/11 (26/10 - 29/11)"/>
  </r>
  <r>
    <s v="STMICRO .:. STMICRO-ROCKET"/>
    <x v="67"/>
    <s v="STMICRO-ROCKET"/>
    <m/>
    <x v="3"/>
    <x v="38"/>
    <x v="20"/>
    <s v="Jean-Philippe STROIAZZO"/>
    <x v="0"/>
    <x v="17"/>
    <x v="10"/>
    <n v="5.4067260885898731"/>
    <s v="30/11 (26/10 - 29/11)"/>
  </r>
  <r>
    <s v="ALM .:. ALM-ATOUT"/>
    <x v="29"/>
    <m/>
    <s v="ALM-ATOUT-VM"/>
    <x v="2"/>
    <x v="10"/>
    <x v="7"/>
    <s v="Alice MARCHAL"/>
    <x v="0"/>
    <x v="4"/>
    <x v="10"/>
    <n v="26.15"/>
    <s v="(26/10 - 29/11)"/>
  </r>
  <r>
    <s v="BRGM .:. BRGM-ORRM"/>
    <x v="30"/>
    <m/>
    <s v="BRGM-ORRM-VM"/>
    <x v="0"/>
    <x v="11"/>
    <x v="8"/>
    <s v="Alice MARCHAL"/>
    <x v="0"/>
    <x v="5"/>
    <x v="10"/>
    <n v="4.83"/>
    <s v="(26/10 - 29/11)"/>
  </r>
  <r>
    <s v="CA-TITRES .:. CATITRES-COMX"/>
    <x v="28"/>
    <m/>
    <s v="CATITRES-COMX-VM"/>
    <x v="1"/>
    <x v="21"/>
    <x v="14"/>
    <s v="Jean-Philippe STROIAZZO"/>
    <x v="0"/>
    <x v="11"/>
    <x v="10"/>
    <n v="14.32"/>
    <s v="(26/10 - 29/11)"/>
  </r>
  <r>
    <s v="EBR .:. EBR-LAPOSTE"/>
    <x v="31"/>
    <m/>
    <s v="EBR-LAPOSTE-VM"/>
    <x v="1"/>
    <x v="22"/>
    <x v="15"/>
    <s v="Valerie ASSELIN LOZACHMEUR"/>
    <x v="0"/>
    <x v="12"/>
    <x v="10"/>
    <n v="113.25"/>
    <s v="(26/10 - 29/11)"/>
  </r>
  <r>
    <s v="INETUM .:. INETUM-INTERNE"/>
    <x v="57"/>
    <m/>
    <s v="GFI-PMT-VM"/>
    <x v="1"/>
    <x v="13"/>
    <x v="10"/>
    <s v="Christophe ORLANDO"/>
    <x v="0"/>
    <x v="7"/>
    <x v="10"/>
    <n v="30.24"/>
    <s v="(26/10 - 29/11)"/>
  </r>
  <r>
    <s v="MENESR .:. MENJ-BI"/>
    <x v="35"/>
    <m/>
    <s v="MENJ-BI-VM"/>
    <x v="2"/>
    <x v="25"/>
    <x v="12"/>
    <s v="Eric PERROUD"/>
    <x v="0"/>
    <x v="9"/>
    <x v="10"/>
    <n v="4.2300000000000004"/>
    <s v="(26/10 - 29/11)"/>
  </r>
  <r>
    <s v="AFB .:. AFB-NatureFrance"/>
    <x v="34"/>
    <m/>
    <s v="OFB-FRANCENATURE-VM"/>
    <x v="2"/>
    <x v="23"/>
    <x v="6"/>
    <s v="Rodolphe HABEGGER"/>
    <x v="0"/>
    <x v="3"/>
    <x v="10"/>
    <n v="4.09"/>
    <s v="(26/10 - 29/11)"/>
  </r>
  <r>
    <s v="AFB .:. OFB-SISPEA"/>
    <x v="58"/>
    <m/>
    <s v="OFB-SISPEA-VM"/>
    <x v="1"/>
    <x v="26"/>
    <x v="6"/>
    <s v="Pierre BOURLIEUX"/>
    <x v="0"/>
    <x v="3"/>
    <x v="10"/>
    <n v="8.58"/>
    <s v="(26/10 - 29/11)"/>
  </r>
  <r>
    <s v="SPC .:. SPC-BUILD"/>
    <x v="1"/>
    <m/>
    <s v="SPC-BUILDAS-VM"/>
    <x v="1"/>
    <x v="1"/>
    <x v="1"/>
    <s v="Nicolas DURFORT"/>
    <x v="0"/>
    <x v="1"/>
    <x v="10"/>
    <n v="176.82"/>
    <s v="(26/10 - 29/11)"/>
  </r>
  <r>
    <s v="STMICRO .:. STMICRO-DATAPACK"/>
    <x v="59"/>
    <m/>
    <s v="STMICRO-DATAPACK-VM"/>
    <x v="1"/>
    <x v="36"/>
    <x v="20"/>
    <s v="Jean-Philippe STROIAZZO"/>
    <x v="0"/>
    <x v="17"/>
    <x v="10"/>
    <n v="14.78"/>
    <s v="(26/10 - 29/11)"/>
  </r>
  <r>
    <s v="FRR .:. FRR-DIGIPAT"/>
    <x v="0"/>
    <m/>
    <s v="FRR-DIGIPAT-VM"/>
    <x v="0"/>
    <x v="0"/>
    <x v="0"/>
    <s v="Alice MARCHAL"/>
    <x v="0"/>
    <x v="0"/>
    <x v="10"/>
    <n v="13.04"/>
    <s v="(26/10 - 29/11)"/>
  </r>
  <r>
    <s v="GFI .:. GFI-WAAC"/>
    <x v="60"/>
    <m/>
    <s v="GFI-WAAC-VM"/>
    <x v="2"/>
    <x v="32"/>
    <x v="17"/>
    <s v="Laurent MARCIANIAK"/>
    <x v="1"/>
    <x v="14"/>
    <x v="10"/>
    <n v="27.19"/>
    <s v="(26/10 - 29/11)"/>
  </r>
  <r>
    <s v="LAPOSTE .:. LAPOSTE-CDC"/>
    <x v="61"/>
    <m/>
    <s v="LAPOSTE-CDC-VM"/>
    <x v="1"/>
    <x v="33"/>
    <x v="18"/>
    <s v="Rodolphe HABEGGER"/>
    <x v="0"/>
    <x v="15"/>
    <x v="10"/>
    <n v="4.29"/>
    <s v="(26/10 - 29/11)"/>
  </r>
  <r>
    <s v="MENESR .:. MENJ-INSERJEUNES"/>
    <x v="68"/>
    <m/>
    <s v="MENJ-INERJEUNES"/>
    <x v="0"/>
    <x v="37"/>
    <x v="21"/>
    <s v="Christophe ORLANDO"/>
    <x v="0"/>
    <x v="9"/>
    <x v="10"/>
    <n v="37.67"/>
    <s v="(26/10 - 29/11)"/>
  </r>
  <r>
    <s v="ONEMA .:. AFB-BASEINDICATEURS"/>
    <x v="3"/>
    <s v="AFB-BaseIndicateurs"/>
    <m/>
    <x v="3"/>
    <x v="3"/>
    <x v="3"/>
    <s v="Pierre BOURLIEUX"/>
    <x v="0"/>
    <x v="2"/>
    <x v="11"/>
    <n v="0.47451780501809204"/>
    <s v="16/12 (30/11 - 15/12)"/>
  </r>
  <r>
    <s v="ONEMA .:. AFB-CATALOGUE"/>
    <x v="26"/>
    <s v="AFB-Catalogue"/>
    <m/>
    <x v="3"/>
    <x v="20"/>
    <x v="3"/>
    <s v="Pierre BOURLIEUX"/>
    <x v="0"/>
    <x v="2"/>
    <x v="11"/>
    <n v="1.7823097335734492"/>
    <s v="16/12 (30/11 - 15/12)"/>
  </r>
  <r>
    <s v="ONEMA .:. AFB-CDR"/>
    <x v="4"/>
    <s v="AFB-CDR"/>
    <m/>
    <x v="3"/>
    <x v="4"/>
    <x v="4"/>
    <s v="Pierre BOURLIEUX"/>
    <x v="0"/>
    <x v="2"/>
    <x v="11"/>
    <n v="8.5834899484370109"/>
    <s v="16/12 (30/11 - 15/12)"/>
  </r>
  <r>
    <s v="AFB .:. AFB-CESMIA"/>
    <x v="5"/>
    <s v="AFB-CESMIA"/>
    <m/>
    <x v="3"/>
    <x v="5"/>
    <x v="5"/>
    <s v="Jean-Philippe STROIAZZO"/>
    <x v="0"/>
    <x v="3"/>
    <x v="11"/>
    <n v="7.7033115450041949"/>
    <s v="16/12 (30/11 - 15/12)"/>
  </r>
  <r>
    <s v="ONEMA .:. AFB-OISON"/>
    <x v="6"/>
    <s v="AFB-OISON"/>
    <m/>
    <x v="3"/>
    <x v="6"/>
    <x v="3"/>
    <s v="Jean-Philippe STROIAZZO"/>
    <x v="0"/>
    <x v="2"/>
    <x v="11"/>
    <n v="5.4631399788822836"/>
    <s v="16/12 (30/11 - 15/12)"/>
  </r>
  <r>
    <s v="ONEMA .:. AFB-PATBIODIV"/>
    <x v="7"/>
    <s v="AFB-PATBiodiv"/>
    <m/>
    <x v="3"/>
    <x v="7"/>
    <x v="3"/>
    <s v="Rodolphe HABEGGER"/>
    <x v="0"/>
    <x v="2"/>
    <x v="11"/>
    <n v="4.9550203381399944"/>
    <s v="16/12 (30/11 - 15/12)"/>
  </r>
  <r>
    <s v="AFB .:. AFB-PNM"/>
    <x v="8"/>
    <s v="AFB-PNM"/>
    <m/>
    <x v="3"/>
    <x v="8"/>
    <x v="6"/>
    <s v="Eric RAUCOURT"/>
    <x v="0"/>
    <x v="3"/>
    <x v="11"/>
    <n v="4.3650520144760527"/>
    <s v="16/12 (30/11 - 15/12)"/>
  </r>
  <r>
    <s v="AFB .:. AFB-PNX"/>
    <x v="9"/>
    <s v="AFB-PNX"/>
    <m/>
    <x v="3"/>
    <x v="9"/>
    <x v="6"/>
    <s v="Pierre BOURLIEUX"/>
    <x v="0"/>
    <x v="3"/>
    <x v="11"/>
    <n v="2.0184388317848332"/>
    <s v="16/12 (30/11 - 15/12)"/>
  </r>
  <r>
    <s v="ONEMA .:. AFB-RAA"/>
    <x v="41"/>
    <s v="AFB-RAA"/>
    <m/>
    <x v="3"/>
    <x v="27"/>
    <x v="4"/>
    <s v="Pierre BOURLIEUX"/>
    <x v="0"/>
    <x v="2"/>
    <x v="11"/>
    <n v="0.23117534090624997"/>
    <s v="16/12 (30/11 - 15/12)"/>
  </r>
  <r>
    <s v="ALM .:. ALM-ATOUT"/>
    <x v="10"/>
    <s v="ALM-ATOUT"/>
    <m/>
    <x v="3"/>
    <x v="10"/>
    <x v="7"/>
    <s v="Alice MARCHAL"/>
    <x v="0"/>
    <x v="4"/>
    <x v="11"/>
    <n v="7.2021260246712249"/>
    <s v="16/12 (30/11 - 15/12)"/>
  </r>
  <r>
    <s v="ALM .:. ALM-ATOUT"/>
    <x v="11"/>
    <s v="BRGM-ORRM"/>
    <m/>
    <x v="3"/>
    <x v="10"/>
    <x v="7"/>
    <s v="Alice MARCHAL"/>
    <x v="0"/>
    <x v="4"/>
    <x v="11"/>
    <n v="6.30130942926733"/>
    <s v="16/12 (30/11 - 15/12)"/>
  </r>
  <r>
    <s v="CGOS .:. CGOS-BI"/>
    <x v="69"/>
    <s v="CGOS-BI"/>
    <m/>
    <x v="3"/>
    <x v="39"/>
    <x v="22"/>
    <s v="Valerie ASSELIN LOZACHMEUR"/>
    <x v="0"/>
    <x v="18"/>
    <x v="11"/>
    <n v="4.6235068181249996"/>
    <s v="16/12 (30/11 - 15/12)"/>
  </r>
  <r>
    <s v="CNAV .:. CNAV-BI-RGCU"/>
    <x v="12"/>
    <s v="CNAV-BI-RGCU"/>
    <m/>
    <x v="3"/>
    <x v="12"/>
    <x v="9"/>
    <s v="Valerie ASSELIN LOZACHMEUR"/>
    <x v="0"/>
    <x v="6"/>
    <x v="11"/>
    <n v="0"/>
    <s v="16/12 (30/11 - 15/12)"/>
  </r>
  <r>
    <s v="INETUM .:. INETUM-INTERNE"/>
    <x v="13"/>
    <s v="d8-qa"/>
    <m/>
    <x v="3"/>
    <x v="13"/>
    <x v="10"/>
    <s v="Christophe ORLANDO"/>
    <x v="0"/>
    <x v="7"/>
    <x v="11"/>
    <n v="0.50314633020772059"/>
    <s v="16/12 (30/11 - 15/12)"/>
  </r>
  <r>
    <s v="INETUM .:. INETUM-INTERNE"/>
    <x v="14"/>
    <s v="drupal-qa"/>
    <m/>
    <x v="3"/>
    <x v="13"/>
    <x v="10"/>
    <s v="Christophe ORLANDO"/>
    <x v="0"/>
    <x v="7"/>
    <x v="11"/>
    <n v="0.50314633020772059"/>
    <s v="16/12 (30/11 - 15/12)"/>
  </r>
  <r>
    <s v="FRR .:. FRR-DIGIPAT"/>
    <x v="15"/>
    <s v="FRR DIGIPAT"/>
    <m/>
    <x v="3"/>
    <x v="0"/>
    <x v="0"/>
    <s v="Alice MARCHAL"/>
    <x v="0"/>
    <x v="0"/>
    <x v="11"/>
    <n v="4.2355037552539141"/>
    <s v="16/12 (30/11 - 15/12)"/>
  </r>
  <r>
    <s v="FRR .:. FRR-APPLIFRR"/>
    <x v="42"/>
    <s v="FRR-APPLIFRR"/>
    <m/>
    <x v="3"/>
    <x v="28"/>
    <x v="0"/>
    <s v="Jean-Philippe STROIAZZO"/>
    <x v="0"/>
    <x v="0"/>
    <x v="11"/>
    <n v="1.9441324722078241"/>
    <s v="16/12 (30/11 - 15/12)"/>
  </r>
  <r>
    <s v="FRR .:. FRR-CADENCIER"/>
    <x v="43"/>
    <s v="FRR-CADENCIER"/>
    <m/>
    <x v="3"/>
    <x v="29"/>
    <x v="0"/>
    <s v="Jean-Philippe STROIAZZO"/>
    <x v="0"/>
    <x v="0"/>
    <x v="11"/>
    <n v="2.5220708244734489"/>
    <s v="16/12 (30/11 - 15/12)"/>
  </r>
  <r>
    <s v="FRR .:. FRR-PATAPAIN"/>
    <x v="44"/>
    <s v="FRR-Patapain"/>
    <m/>
    <x v="3"/>
    <x v="30"/>
    <x v="0"/>
    <s v="Christophe ORLANDO"/>
    <x v="0"/>
    <x v="0"/>
    <x v="11"/>
    <n v="1.3249128090660829"/>
    <s v="16/12 (30/11 - 15/12)"/>
  </r>
  <r>
    <s v="FRR .:. FRR-PATAPAINANDROID"/>
    <x v="45"/>
    <s v="FRR-PATAPAINANDROID"/>
    <m/>
    <x v="3"/>
    <x v="31"/>
    <x v="0"/>
    <s v="Jean-Philippe STROIAZZO"/>
    <x v="0"/>
    <x v="0"/>
    <x v="11"/>
    <n v="6.5676392903328233"/>
    <s v="16/12 (30/11 - 15/12)"/>
  </r>
  <r>
    <s v="INETUM .:. INETUM-INTERNE"/>
    <x v="70"/>
    <s v="GFI-BaseDocumentaire"/>
    <m/>
    <x v="3"/>
    <x v="13"/>
    <x v="10"/>
    <s v="Christophe ORLANDO"/>
    <x v="0"/>
    <x v="7"/>
    <x v="11"/>
    <n v="1.7007900080959821"/>
    <s v="16/12 (30/11 - 15/12)"/>
  </r>
  <r>
    <s v="INETUM .:. INETUM-INTERNE"/>
    <x v="46"/>
    <s v="GFI-CMIS"/>
    <m/>
    <x v="3"/>
    <x v="13"/>
    <x v="10"/>
    <s v="Christophe ORLANDO"/>
    <x v="0"/>
    <x v="7"/>
    <x v="11"/>
    <n v="0.23117534090624997"/>
    <s v="16/12 (30/11 - 15/12)"/>
  </r>
  <r>
    <s v="INETUM .:. INETUM-INTERNE"/>
    <x v="47"/>
    <s v="GFI-COFFEE"/>
    <m/>
    <x v="3"/>
    <x v="13"/>
    <x v="10"/>
    <s v="Christophe ORLANDO"/>
    <x v="0"/>
    <x v="7"/>
    <x v="11"/>
    <n v="0.70569314592434207"/>
    <s v="16/12 (30/11 - 15/12)"/>
  </r>
  <r>
    <s v="INETUM .:. INETUM-INTERNE"/>
    <x v="48"/>
    <s v="GFI-CRALENIUM"/>
    <m/>
    <x v="3"/>
    <x v="13"/>
    <x v="10"/>
    <s v="Christophe ORLANDO"/>
    <x v="0"/>
    <x v="7"/>
    <x v="11"/>
    <n v="1.9441324722078241"/>
    <s v="16/12 (30/11 - 15/12)"/>
  </r>
  <r>
    <s v="INETUM .:. INETUM-INTERNE"/>
    <x v="16"/>
    <s v="GFI-D8-BS4-THEME"/>
    <m/>
    <x v="3"/>
    <x v="13"/>
    <x v="10"/>
    <s v="Christophe ORLANDO"/>
    <x v="0"/>
    <x v="7"/>
    <x v="11"/>
    <n v="1.271464374984375"/>
    <s v="16/12 (30/11 - 15/12)"/>
  </r>
  <r>
    <s v="INETUM .:. INETUM-INTERNE"/>
    <x v="49"/>
    <s v="GFI-Docker Devbox Install"/>
    <m/>
    <x v="3"/>
    <x v="13"/>
    <x v="10"/>
    <s v="Christophe ORLANDO"/>
    <x v="0"/>
    <x v="7"/>
    <x v="11"/>
    <n v="13.997830844917225"/>
    <s v="16/12 (30/11 - 15/12)"/>
  </r>
  <r>
    <s v="INETUM .:. INETUM-INTERNE"/>
    <x v="27"/>
    <s v="GFI-MineReport"/>
    <m/>
    <x v="3"/>
    <x v="13"/>
    <x v="10"/>
    <s v="Christophe ORLANDO"/>
    <x v="0"/>
    <x v="7"/>
    <x v="11"/>
    <n v="1.6711901579445625"/>
    <s v="16/12 (30/11 - 15/12)"/>
  </r>
  <r>
    <s v="INETUM .:. INETUM-INTERNE"/>
    <x v="50"/>
    <s v="GFI-PMT"/>
    <m/>
    <x v="3"/>
    <x v="13"/>
    <x v="10"/>
    <s v="Christophe ORLANDO"/>
    <x v="0"/>
    <x v="7"/>
    <x v="11"/>
    <n v="8.267342120948733"/>
    <s v="16/12 (30/11 - 15/12)"/>
  </r>
  <r>
    <s v="INETUM .:. INETUM-INTERNE"/>
    <x v="72"/>
    <s v="GFI-POC"/>
    <m/>
    <x v="3"/>
    <x v="13"/>
    <x v="10"/>
    <s v="Christophe ORLANDO"/>
    <x v="0"/>
    <x v="7"/>
    <x v="11"/>
    <n v="4.8084470908499997"/>
    <s v="16/12 (30/11 - 15/12)"/>
  </r>
  <r>
    <s v="INETUM .:. INETUM-INTERNE"/>
    <x v="37"/>
    <s v="GFI-RedmineDocker"/>
    <m/>
    <x v="3"/>
    <x v="13"/>
    <x v="10"/>
    <s v="Christophe ORLANDO"/>
    <x v="0"/>
    <x v="7"/>
    <x v="11"/>
    <n v="0.75131985794531242"/>
    <s v="16/12 (30/11 - 15/12)"/>
  </r>
  <r>
    <s v="INETUM .:. INETUM-INTERNE"/>
    <x v="51"/>
    <s v="GFI-TENDER"/>
    <m/>
    <x v="3"/>
    <x v="13"/>
    <x v="10"/>
    <s v="Christophe ORLANDO"/>
    <x v="0"/>
    <x v="7"/>
    <x v="11"/>
    <n v="1.9441324722078241"/>
    <s v="16/12 (30/11 - 15/12)"/>
  </r>
  <r>
    <s v="GFI .:. GFI-WAAC"/>
    <x v="38"/>
    <s v="GFI-WAAC"/>
    <m/>
    <x v="3"/>
    <x v="32"/>
    <x v="17"/>
    <s v="Laurent MARCIANIAK"/>
    <x v="1"/>
    <x v="14"/>
    <x v="11"/>
    <n v="228.56274382908697"/>
    <s v="16/12 (30/11 - 15/12)"/>
  </r>
  <r>
    <s v="GLI .:. GLI-APIBIOMETRIE"/>
    <x v="17"/>
    <s v="GLI-APIBiometrie"/>
    <m/>
    <x v="3"/>
    <x v="14"/>
    <x v="11"/>
    <s v="Rodolphe HABEGGER"/>
    <x v="0"/>
    <x v="8"/>
    <x v="11"/>
    <n v="2.3342430675438521"/>
    <s v="16/12 (30/11 - 15/12)"/>
  </r>
  <r>
    <s v="LAPOSTE .:. LAPOSTE-CDC"/>
    <x v="52"/>
    <s v="LAPOSTE-F4N-Musee"/>
    <m/>
    <x v="3"/>
    <x v="33"/>
    <x v="18"/>
    <s v="Rodolphe HABEGGER"/>
    <x v="0"/>
    <x v="15"/>
    <x v="11"/>
    <n v="2.9592874248003209"/>
    <s v="16/12 (30/11 - 15/12)"/>
  </r>
  <r>
    <s v="LAPOSTE .:. LAPOSTE-CDC"/>
    <x v="62"/>
    <s v="LAPOSTE-L71-PDP"/>
    <m/>
    <x v="3"/>
    <x v="33"/>
    <x v="18"/>
    <s v="Rodolphe HABEGGER"/>
    <x v="0"/>
    <x v="15"/>
    <x v="11"/>
    <n v="1.8856293470849654"/>
    <s v="16/12 (30/11 - 15/12)"/>
  </r>
  <r>
    <s v="LAPOSTE .:. LAPOSTE-CDC"/>
    <x v="63"/>
    <s v="LAPOSTE-LCA-PariteUn-e"/>
    <m/>
    <x v="3"/>
    <x v="33"/>
    <x v="18"/>
    <s v="Rodolphe HABEGGER"/>
    <x v="0"/>
    <x v="15"/>
    <x v="11"/>
    <n v="2.6586631630400217"/>
    <s v="16/12 (30/11 - 15/12)"/>
  </r>
  <r>
    <s v="LAPOSTE .:. LAPOSTE-CDC"/>
    <x v="53"/>
    <s v="LAPOSTE-LPK-PortailVoyage"/>
    <m/>
    <x v="3"/>
    <x v="33"/>
    <x v="18"/>
    <s v="Rodolphe HABEGGER"/>
    <x v="0"/>
    <x v="15"/>
    <x v="11"/>
    <n v="3.4746433021036918"/>
    <s v="16/12 (30/11 - 15/12)"/>
  </r>
  <r>
    <s v="LAPOSTE .:. LAPOSTE-CDC"/>
    <x v="54"/>
    <s v="LAPOSTE-LPM-IntranetDHA"/>
    <m/>
    <x v="3"/>
    <x v="33"/>
    <x v="18"/>
    <s v="Rodolphe HABEGGER"/>
    <x v="0"/>
    <x v="15"/>
    <x v="11"/>
    <n v="1.9285756701935797"/>
    <s v="16/12 (30/11 - 15/12)"/>
  </r>
  <r>
    <s v="LAPOSTE .:. LAPOSTE-CDC"/>
    <x v="71"/>
    <s v="LAPOSTE-V7_-Galaxy"/>
    <m/>
    <x v="3"/>
    <x v="33"/>
    <x v="18"/>
    <s v="Rodolphe HABEGGER"/>
    <x v="0"/>
    <x v="15"/>
    <x v="11"/>
    <n v="2.0915342524453102"/>
    <s v="16/12 (30/11 - 15/12)"/>
  </r>
  <r>
    <s v="LAPOSTE .:. LAPOSTE-CDC"/>
    <x v="73"/>
    <s v="LAPOSTE-VW2-MEDIACOM"/>
    <m/>
    <x v="3"/>
    <x v="33"/>
    <x v="18"/>
    <s v="Rodolphe HABEGGER"/>
    <x v="0"/>
    <x v="15"/>
    <x v="11"/>
    <n v="1.1896614671644112"/>
    <s v="16/12 (30/11 - 15/12)"/>
  </r>
  <r>
    <s v="LAPOSTE .:. LAPOSTE-CDC"/>
    <x v="64"/>
    <s v="LAPOSTE-VWA-Fondation"/>
    <m/>
    <x v="3"/>
    <x v="33"/>
    <x v="18"/>
    <s v="Rodolphe HABEGGER"/>
    <x v="0"/>
    <x v="15"/>
    <x v="11"/>
    <n v="2.0144683164108081"/>
    <s v="16/12 (30/11 - 15/12)"/>
  </r>
  <r>
    <s v="MENESR .:. MENJ-APAE"/>
    <x v="18"/>
    <s v="MENJ-APAE"/>
    <m/>
    <x v="3"/>
    <x v="15"/>
    <x v="12"/>
    <s v="Pierre BOURLIEUX"/>
    <x v="0"/>
    <x v="9"/>
    <x v="11"/>
    <n v="2.7686646710889704"/>
    <s v="16/12 (30/11 - 15/12)"/>
  </r>
  <r>
    <s v="MENESR .:. MENJ-BI"/>
    <x v="36"/>
    <s v="MENJ-BI"/>
    <m/>
    <x v="3"/>
    <x v="25"/>
    <x v="12"/>
    <s v="Eric PERROUD"/>
    <x v="0"/>
    <x v="9"/>
    <x v="11"/>
    <n v="0.92470136362499988"/>
    <s v="16/12 (30/11 - 15/12)"/>
  </r>
  <r>
    <s v="MENESR .:. MENJ-BNIE"/>
    <x v="19"/>
    <s v="MENJ-BNIE-BDD"/>
    <m/>
    <x v="3"/>
    <x v="16"/>
    <x v="12"/>
    <s v="Pierre BOURLIEUX"/>
    <x v="0"/>
    <x v="9"/>
    <x v="11"/>
    <n v="2.0421135996693276"/>
    <s v="16/12 (30/11 - 15/12)"/>
  </r>
  <r>
    <s v="MENESR .:. MENJ-BNIE"/>
    <x v="33"/>
    <s v="MENJ-BNIE-Webservices"/>
    <m/>
    <x v="3"/>
    <x v="16"/>
    <x v="12"/>
    <s v="Pierre BOURLIEUX"/>
    <x v="0"/>
    <x v="9"/>
    <x v="11"/>
    <n v="0.45691126202647059"/>
    <s v="16/12 (30/11 - 15/12)"/>
  </r>
  <r>
    <s v="MENESR .:. MENJ-INSERJEUNES"/>
    <x v="65"/>
    <s v="MENJ-InserJeunes"/>
    <m/>
    <x v="3"/>
    <x v="37"/>
    <x v="21"/>
    <s v="Christophe ORLANDO"/>
    <x v="0"/>
    <x v="9"/>
    <x v="11"/>
    <n v="3.3698397804684599"/>
    <s v="16/12 (30/11 - 15/12)"/>
  </r>
  <r>
    <s v="MENESR .:. MENJ-RNIE"/>
    <x v="20"/>
    <s v="MENJ-RNIE-BDD"/>
    <m/>
    <x v="3"/>
    <x v="17"/>
    <x v="12"/>
    <s v="Pierre BOURLIEUX"/>
    <x v="0"/>
    <x v="9"/>
    <x v="11"/>
    <n v="1.3816126256514705"/>
    <s v="16/12 (30/11 - 15/12)"/>
  </r>
  <r>
    <s v="MENESR .:. MENJ-RNIE"/>
    <x v="21"/>
    <s v="MENJ-RNIE-Webservices"/>
    <m/>
    <x v="3"/>
    <x v="17"/>
    <x v="12"/>
    <s v="Pierre BOURLIEUX"/>
    <x v="0"/>
    <x v="9"/>
    <x v="11"/>
    <n v="0.45691126202647059"/>
    <s v="16/12 (30/11 - 15/12)"/>
  </r>
  <r>
    <s v="AFB .:. OFB-CMONSPOT"/>
    <x v="55"/>
    <s v="OFB-CMONSPOT"/>
    <m/>
    <x v="3"/>
    <x v="34"/>
    <x v="6"/>
    <s v="Pierre BOURLIEUX"/>
    <x v="0"/>
    <x v="3"/>
    <x v="11"/>
    <n v="0.90384343812969925"/>
    <s v="16/12 (30/11 - 15/12)"/>
  </r>
  <r>
    <s v="OFB .:. OFB-NATUREFRANCE"/>
    <x v="32"/>
    <s v="OFB-NatureFrance"/>
    <m/>
    <x v="3"/>
    <x v="24"/>
    <x v="16"/>
    <s v="Rodolphe HABEGGER"/>
    <x v="0"/>
    <x v="13"/>
    <x v="11"/>
    <n v="4.7233737928807402"/>
    <s v="16/12 (30/11 - 15/12)"/>
  </r>
  <r>
    <s v="AFB .:. OFB-SISPEA"/>
    <x v="40"/>
    <s v="OFB-SISPEA"/>
    <m/>
    <x v="3"/>
    <x v="26"/>
    <x v="6"/>
    <s v="Pierre BOURLIEUX"/>
    <x v="0"/>
    <x v="3"/>
    <x v="11"/>
    <n v="3.2155968471921992"/>
    <s v="16/12 (30/11 - 15/12)"/>
  </r>
  <r>
    <s v="PCM .:. PCM-ALS"/>
    <x v="22"/>
    <s v="PCM-ALS"/>
    <m/>
    <x v="3"/>
    <x v="18"/>
    <x v="13"/>
    <s v="Alice MARCHAL"/>
    <x v="0"/>
    <x v="10"/>
    <x v="11"/>
    <n v="3.3545268036210922"/>
    <s v="16/12 (30/11 - 15/12)"/>
  </r>
  <r>
    <s v="PCM .:. PCM-WEB"/>
    <x v="23"/>
    <s v="PCM-Web"/>
    <m/>
    <x v="3"/>
    <x v="19"/>
    <x v="13"/>
    <s v="Rodolphe HABEGGER"/>
    <x v="0"/>
    <x v="10"/>
    <x v="11"/>
    <n v="2.1918203374645207"/>
    <s v="16/12 (30/11 - 15/12)"/>
  </r>
  <r>
    <s v="SAFT .:. SAFT-PDM"/>
    <x v="56"/>
    <s v="SAFT-PDM"/>
    <m/>
    <x v="3"/>
    <x v="35"/>
    <x v="19"/>
    <s v="Pierre BOURLIEUX"/>
    <x v="0"/>
    <x v="16"/>
    <x v="11"/>
    <n v="1.9441324722078241"/>
    <s v="16/12 (30/11 - 15/12)"/>
  </r>
  <r>
    <s v="SPC .:. SPC-BUILD"/>
    <x v="24"/>
    <s v="SPC-BUILD"/>
    <m/>
    <x v="3"/>
    <x v="1"/>
    <x v="1"/>
    <s v="Nicolas DURFORT"/>
    <x v="0"/>
    <x v="1"/>
    <x v="11"/>
    <n v="44.568472804638468"/>
    <s v="16/12 (30/11 - 15/12)"/>
  </r>
  <r>
    <s v="SPC .:. SPC-WEB"/>
    <x v="25"/>
    <s v="SPC-WEB"/>
    <m/>
    <x v="3"/>
    <x v="2"/>
    <x v="2"/>
    <s v="Nicolas DURFORT"/>
    <x v="0"/>
    <x v="1"/>
    <x v="11"/>
    <n v="5.4326205112968751"/>
    <s v="16/12 (30/11 - 15/12)"/>
  </r>
  <r>
    <s v="STMICRO .:. STMICRO-DATAPACK"/>
    <x v="66"/>
    <s v="STMICRO-DATAPACK"/>
    <m/>
    <x v="3"/>
    <x v="36"/>
    <x v="20"/>
    <s v="Jean-Philippe STROIAZZO"/>
    <x v="0"/>
    <x v="17"/>
    <x v="11"/>
    <n v="3.8673558965539376"/>
    <s v="16/12 (30/11 - 15/12)"/>
  </r>
  <r>
    <s v="STMICRO .:. STMICRO-ROCKET"/>
    <x v="67"/>
    <s v="STMICRO-ROCKET"/>
    <m/>
    <x v="3"/>
    <x v="38"/>
    <x v="20"/>
    <s v="Jean-Philippe STROIAZZO"/>
    <x v="0"/>
    <x v="17"/>
    <x v="11"/>
    <n v="5.3699956124445629"/>
    <s v="16/12 (30/11 - 15/12)"/>
  </r>
  <r>
    <s v="ALM .:. ALM-ATOUT"/>
    <x v="29"/>
    <m/>
    <s v="ALM-ATOUT-VM"/>
    <x v="2"/>
    <x v="10"/>
    <x v="7"/>
    <s v="Alice MARCHAL"/>
    <x v="0"/>
    <x v="4"/>
    <x v="11"/>
    <n v="11.029620224204988"/>
    <s v="(30/11 - 15/12)"/>
  </r>
  <r>
    <s v="BRGM .:. BRGM-ORRM"/>
    <x v="30"/>
    <m/>
    <s v="BRGM-ORRM-VM"/>
    <x v="0"/>
    <x v="11"/>
    <x v="8"/>
    <s v="Alice MARCHAL"/>
    <x v="0"/>
    <x v="5"/>
    <x v="11"/>
    <n v="2.0860619232822391"/>
    <s v="(30/11 - 15/12)"/>
  </r>
  <r>
    <s v="CA-TITRES .:. CATITRES-COMX"/>
    <x v="28"/>
    <m/>
    <s v="CATITRES-COMX-VM"/>
    <x v="1"/>
    <x v="21"/>
    <x v="14"/>
    <s v="Jean-Philippe STROIAZZO"/>
    <x v="0"/>
    <x v="11"/>
    <x v="11"/>
    <n v="7.1341012735453369"/>
    <s v="(30/11 - 15/12)"/>
  </r>
  <r>
    <s v="EBR .:. EBR-LAPOSTE"/>
    <x v="31"/>
    <m/>
    <s v="EBR-LAPOSTE-VM"/>
    <x v="1"/>
    <x v="22"/>
    <x v="15"/>
    <s v="Valerie ASSELIN LOZACHMEUR"/>
    <x v="0"/>
    <x v="12"/>
    <x v="11"/>
    <n v="85.309559978647144"/>
    <s v="(30/11 - 15/12)"/>
  </r>
  <r>
    <s v="INETUM .:. INETUM-INTERNE"/>
    <x v="57"/>
    <m/>
    <s v="GFI-PMT-VM"/>
    <x v="1"/>
    <x v="13"/>
    <x v="10"/>
    <s v="Christophe ORLANDO"/>
    <x v="0"/>
    <x v="7"/>
    <x v="11"/>
    <n v="16.746121406238082"/>
    <s v="(30/11 - 15/12)"/>
  </r>
  <r>
    <s v="MENESR .:. MENJ-BI"/>
    <x v="35"/>
    <m/>
    <s v="MENJ-BI-VM"/>
    <x v="2"/>
    <x v="25"/>
    <x v="12"/>
    <s v="Eric PERROUD"/>
    <x v="0"/>
    <x v="9"/>
    <x v="11"/>
    <n v="2.1782635552505147"/>
    <s v="(30/11 - 15/12)"/>
  </r>
  <r>
    <s v="AFB .:. AFB-NatureFrance"/>
    <x v="34"/>
    <m/>
    <s v="OFB-FRANCENATURE-VM"/>
    <x v="2"/>
    <x v="23"/>
    <x v="6"/>
    <s v="Rodolphe HABEGGER"/>
    <x v="0"/>
    <x v="3"/>
    <x v="11"/>
    <n v="2.1321627392663771"/>
    <s v="(30/11 - 15/12)"/>
  </r>
  <r>
    <s v="AFB .:. OFB-SISPEA"/>
    <x v="58"/>
    <m/>
    <s v="OFB-SISPEA-VM"/>
    <x v="1"/>
    <x v="26"/>
    <x v="6"/>
    <s v="Pierre BOURLIEUX"/>
    <x v="0"/>
    <x v="3"/>
    <x v="11"/>
    <n v="6.7422443376801642"/>
    <s v="(30/11 - 15/12)"/>
  </r>
  <r>
    <s v="SPC .:. SPC-BUILD"/>
    <x v="1"/>
    <m/>
    <s v="SPC-BUILDAS-VM"/>
    <x v="1"/>
    <x v="1"/>
    <x v="1"/>
    <s v="Nicolas DURFORT"/>
    <x v="0"/>
    <x v="1"/>
    <x v="11"/>
    <n v="87.441722717913521"/>
    <s v="(30/11 - 15/12)"/>
  </r>
  <r>
    <s v="STMICRO .:. STMICRO-DATAPACK"/>
    <x v="59"/>
    <m/>
    <s v="STMICRO-DATAPACK-VM"/>
    <x v="1"/>
    <x v="36"/>
    <x v="20"/>
    <s v="Jean-Philippe STROIAZZO"/>
    <x v="0"/>
    <x v="17"/>
    <x v="11"/>
    <n v="7.5720590253946467"/>
    <s v="(30/11 - 15/12)"/>
  </r>
  <r>
    <s v="FRR .:. FRR-DIGIPAT"/>
    <x v="0"/>
    <m/>
    <s v="FRR-DIGIPAT-VM"/>
    <x v="0"/>
    <x v="0"/>
    <x v="0"/>
    <s v="Alice MARCHAL"/>
    <x v="0"/>
    <x v="0"/>
    <x v="11"/>
    <n v="6.650042705711888"/>
    <s v="(30/11 - 15/12)"/>
  </r>
  <r>
    <s v="GFI .:. GFI-WAAC"/>
    <x v="60"/>
    <m/>
    <s v="GFI-WAAC-VM"/>
    <x v="2"/>
    <x v="32"/>
    <x v="17"/>
    <s v="Laurent MARCIANIAK"/>
    <x v="1"/>
    <x v="14"/>
    <x v="11"/>
    <n v="39.934831846259435"/>
    <s v="(30/11 - 15/12)"/>
  </r>
  <r>
    <s v="LAPOSTE .:. LAPOSTE-CDC"/>
    <x v="61"/>
    <m/>
    <s v="LAPOSTE-CDC-VM"/>
    <x v="1"/>
    <x v="33"/>
    <x v="18"/>
    <s v="Rodolphe HABEGGER"/>
    <x v="0"/>
    <x v="15"/>
    <x v="11"/>
    <n v="2.1782635552505147"/>
    <s v="(30/11 - 15/12)"/>
  </r>
  <r>
    <s v="MENESR .:. MENJ-INSERJEUNES"/>
    <x v="68"/>
    <m/>
    <s v="MENJ-INERJEUNES"/>
    <x v="0"/>
    <x v="37"/>
    <x v="21"/>
    <s v="Christophe ORLANDO"/>
    <x v="0"/>
    <x v="9"/>
    <x v="11"/>
    <n v="20.457237092961183"/>
    <s v="(30/11 - 15/12)"/>
  </r>
  <r>
    <s v="AFB .:. OFB-ESTAMP"/>
    <x v="74"/>
    <m/>
    <s v="OFB-ESTAMP"/>
    <x v="2"/>
    <x v="40"/>
    <x v="5"/>
    <s v="Pierre BOURLIEUX"/>
    <x v="0"/>
    <x v="3"/>
    <x v="11"/>
    <n v="4.6677076183939601"/>
    <s v="(30/11 - 15/12)"/>
  </r>
  <r>
    <s v="ONEMA .:. AFB-BASEINDICATEURS"/>
    <x v="3"/>
    <s v="AFB-BaseIndicateurs"/>
    <m/>
    <x v="3"/>
    <x v="3"/>
    <x v="3"/>
    <s v="Pierre BOURLIEUX"/>
    <x v="0"/>
    <x v="2"/>
    <x v="12"/>
    <n v="0.45660379287644237"/>
    <s v="26/01 (16/12 - 25/01)"/>
  </r>
  <r>
    <s v="ONEMA .:. AFB-CATALOGUE"/>
    <x v="26"/>
    <s v="AFB-Catalogue"/>
    <m/>
    <x v="3"/>
    <x v="20"/>
    <x v="3"/>
    <s v="Pierre BOURLIEUX"/>
    <x v="0"/>
    <x v="2"/>
    <x v="12"/>
    <n v="1.6702630381579548"/>
    <s v="26/01 (16/12 - 25/01)"/>
  </r>
  <r>
    <s v="ONEMA .:. AFB-CDR"/>
    <x v="4"/>
    <s v="AFB-CDR"/>
    <m/>
    <x v="3"/>
    <x v="4"/>
    <x v="4"/>
    <s v="Pierre BOURLIEUX"/>
    <x v="0"/>
    <x v="2"/>
    <x v="12"/>
    <n v="8.2352330012090018"/>
    <s v="26/01 (16/12 - 25/01)"/>
  </r>
  <r>
    <s v="AFB .:. AFB-CESMIA"/>
    <x v="5"/>
    <s v="AFB-CESMIA"/>
    <m/>
    <x v="3"/>
    <x v="5"/>
    <x v="5"/>
    <s v="Jean-Philippe STROIAZZO"/>
    <x v="0"/>
    <x v="3"/>
    <x v="12"/>
    <n v="3.2283725863875663"/>
    <s v="26/01 (16/12 - 25/01)"/>
  </r>
  <r>
    <s v="ONEMA .:. AFB-OISON"/>
    <x v="6"/>
    <s v="AFB-OISON"/>
    <m/>
    <x v="3"/>
    <x v="6"/>
    <x v="3"/>
    <s v="Jean-Philippe STROIAZZO"/>
    <x v="0"/>
    <x v="2"/>
    <x v="12"/>
    <n v="2.7018817933488126"/>
    <s v="26/01 (16/12 - 25/01)"/>
  </r>
  <r>
    <s v="ONEMA .:. AFB-PATBIODIV"/>
    <x v="7"/>
    <s v="AFB-PATBiodiv"/>
    <m/>
    <x v="3"/>
    <x v="7"/>
    <x v="3"/>
    <s v="Rodolphe HABEGGER"/>
    <x v="0"/>
    <x v="2"/>
    <x v="12"/>
    <n v="4.2728295291711857"/>
    <s v="26/01 (16/12 - 25/01)"/>
  </r>
  <r>
    <s v="AFB .:. AFB-PNM"/>
    <x v="8"/>
    <s v="AFB-PNM"/>
    <m/>
    <x v="3"/>
    <x v="8"/>
    <x v="6"/>
    <s v="Eric RAUCOURT"/>
    <x v="0"/>
    <x v="3"/>
    <x v="12"/>
    <n v="5.3897499337048727"/>
    <s v="26/01 (16/12 - 25/01)"/>
  </r>
  <r>
    <s v="AFB .:. AFB-PNX"/>
    <x v="9"/>
    <s v="AFB-PNX"/>
    <m/>
    <x v="3"/>
    <x v="9"/>
    <x v="6"/>
    <s v="Pierre BOURLIEUX"/>
    <x v="0"/>
    <x v="3"/>
    <x v="12"/>
    <n v="2.0110851549835851"/>
    <s v="26/01 (16/12 - 25/01)"/>
  </r>
  <r>
    <s v="ONEMA .:. AFB-RAA"/>
    <x v="41"/>
    <s v="AFB-RAA"/>
    <m/>
    <x v="3"/>
    <x v="27"/>
    <x v="4"/>
    <s v="Pierre BOURLIEUX"/>
    <x v="0"/>
    <x v="2"/>
    <x v="12"/>
    <n v="0.21159687962566842"/>
    <s v="26/01 (16/12 - 25/01)"/>
  </r>
  <r>
    <s v="ALM .:. ALM-ATOUT"/>
    <x v="10"/>
    <s v="ALM-ATOUT"/>
    <m/>
    <x v="3"/>
    <x v="10"/>
    <x v="7"/>
    <s v="Alice MARCHAL"/>
    <x v="0"/>
    <x v="4"/>
    <x v="12"/>
    <n v="6.7798103662031188"/>
    <s v="26/01 (16/12 - 25/01)"/>
  </r>
  <r>
    <s v="ALM .:. ALM-ATOUT"/>
    <x v="11"/>
    <s v="BRGM-ORRM"/>
    <m/>
    <x v="3"/>
    <x v="10"/>
    <x v="7"/>
    <s v="Alice MARCHAL"/>
    <x v="0"/>
    <x v="4"/>
    <x v="12"/>
    <n v="15.818189507952889"/>
    <s v="26/01 (16/12 - 25/01)"/>
  </r>
  <r>
    <s v="CGOS .:. CGOS-BI"/>
    <x v="69"/>
    <s v="CGOS-BI"/>
    <m/>
    <x v="3"/>
    <x v="39"/>
    <x v="22"/>
    <s v="Valerie ASSELIN LOZACHMEUR"/>
    <x v="0"/>
    <x v="18"/>
    <x v="12"/>
    <n v="4.6551313517647053"/>
    <s v="26/01 (16/12 - 25/01)"/>
  </r>
  <r>
    <s v="CNAV .:. CNAV-BI-RGCU"/>
    <x v="12"/>
    <s v="CNAV-BI-RGCU"/>
    <m/>
    <x v="3"/>
    <x v="12"/>
    <x v="9"/>
    <s v="Valerie ASSELIN LOZACHMEUR"/>
    <x v="0"/>
    <x v="6"/>
    <x v="12"/>
    <n v="2.3275656758823526"/>
    <s v="26/01 (16/12 - 25/01)"/>
  </r>
  <r>
    <s v="INETUM .:. INETUM-INTERNE"/>
    <x v="13"/>
    <s v="d8-qa"/>
    <m/>
    <x v="3"/>
    <x v="13"/>
    <x v="10"/>
    <s v="Christophe ORLANDO"/>
    <x v="0"/>
    <x v="7"/>
    <x v="12"/>
    <n v="0.4332698011382734"/>
    <s v="26/01 (16/12 - 25/01)"/>
  </r>
  <r>
    <s v="INETUM .:. INETUM-INTERNE"/>
    <x v="14"/>
    <s v="drupal-qa"/>
    <m/>
    <x v="3"/>
    <x v="13"/>
    <x v="10"/>
    <s v="Christophe ORLANDO"/>
    <x v="0"/>
    <x v="7"/>
    <x v="12"/>
    <n v="0.4332698011382734"/>
    <s v="26/01 (16/12 - 25/01)"/>
  </r>
  <r>
    <s v="FRR .:. FRR-DIGIPAT"/>
    <x v="15"/>
    <s v="FRR DIGIPAT"/>
    <m/>
    <x v="3"/>
    <x v="0"/>
    <x v="0"/>
    <s v="Alice MARCHAL"/>
    <x v="0"/>
    <x v="0"/>
    <x v="12"/>
    <n v="4.6489089539678599"/>
    <s v="26/01 (16/12 - 25/01)"/>
  </r>
  <r>
    <s v="FRR .:. FRR-APPLIFRR"/>
    <x v="42"/>
    <s v="FRR-APPLIFRR"/>
    <m/>
    <x v="3"/>
    <x v="28"/>
    <x v="0"/>
    <s v="Jean-Philippe STROIAZZO"/>
    <x v="0"/>
    <x v="0"/>
    <x v="12"/>
    <n v="1.9574302319356478"/>
    <s v="26/01 (16/12 - 25/01)"/>
  </r>
  <r>
    <s v="FRR .:. FRR-CADENCIER"/>
    <x v="43"/>
    <s v="FRR-CADENCIER"/>
    <m/>
    <x v="3"/>
    <x v="29"/>
    <x v="0"/>
    <s v="Jean-Philippe STROIAZZO"/>
    <x v="0"/>
    <x v="0"/>
    <x v="12"/>
    <n v="2.4746670487983931"/>
    <s v="26/01 (16/12 - 25/01)"/>
  </r>
  <r>
    <s v="FRR .:. FRR-PATAPAIN"/>
    <x v="44"/>
    <s v="FRR-Patapain"/>
    <m/>
    <x v="3"/>
    <x v="30"/>
    <x v="0"/>
    <s v="Christophe ORLANDO"/>
    <x v="0"/>
    <x v="0"/>
    <x v="12"/>
    <n v="1.3339751401814461"/>
    <s v="26/01 (16/12 - 25/01)"/>
  </r>
  <r>
    <s v="FRR .:. FRR-PATAPAINANDROID"/>
    <x v="45"/>
    <s v="FRR-PATAPAINANDROID"/>
    <m/>
    <x v="3"/>
    <x v="31"/>
    <x v="0"/>
    <s v="Jean-Philippe STROIAZZO"/>
    <x v="0"/>
    <x v="0"/>
    <x v="12"/>
    <n v="6.6125615837003524"/>
    <s v="26/01 (16/12 - 25/01)"/>
  </r>
  <r>
    <s v="INETUM .:. INETUM-INTERNE"/>
    <x v="70"/>
    <s v="GFI-BaseDocumentaire"/>
    <m/>
    <x v="3"/>
    <x v="13"/>
    <x v="10"/>
    <s v="Christophe ORLANDO"/>
    <x v="0"/>
    <x v="7"/>
    <x v="12"/>
    <n v="1.7124233186848739"/>
    <s v="26/01 (16/12 - 25/01)"/>
  </r>
  <r>
    <s v="INETUM .:. INETUM-INTERNE"/>
    <x v="46"/>
    <s v="GFI-CMIS"/>
    <m/>
    <x v="3"/>
    <x v="13"/>
    <x v="10"/>
    <s v="Christophe ORLANDO"/>
    <x v="0"/>
    <x v="7"/>
    <x v="12"/>
    <n v="0.21159687962566842"/>
    <s v="26/01 (16/12 - 25/01)"/>
  </r>
  <r>
    <s v="INETUM .:. INETUM-INTERNE"/>
    <x v="47"/>
    <s v="GFI-COFFEE"/>
    <m/>
    <x v="3"/>
    <x v="13"/>
    <x v="10"/>
    <s v="Christophe ORLANDO"/>
    <x v="0"/>
    <x v="7"/>
    <x v="12"/>
    <n v="0.93219296993984946"/>
    <s v="26/01 (16/12 - 25/01)"/>
  </r>
  <r>
    <s v="INETUM .:. INETUM-INTERNE"/>
    <x v="48"/>
    <s v="GFI-CRALENIUM"/>
    <m/>
    <x v="3"/>
    <x v="13"/>
    <x v="10"/>
    <s v="Christophe ORLANDO"/>
    <x v="0"/>
    <x v="7"/>
    <x v="12"/>
    <n v="1.9574302319356478"/>
    <s v="26/01 (16/12 - 25/01)"/>
  </r>
  <r>
    <s v="INETUM .:. INETUM-INTERNE"/>
    <x v="16"/>
    <s v="GFI-D8-BS4-THEME"/>
    <m/>
    <x v="3"/>
    <x v="13"/>
    <x v="10"/>
    <s v="Christophe ORLANDO"/>
    <x v="0"/>
    <x v="7"/>
    <x v="12"/>
    <n v="1.2590014337727271"/>
    <s v="26/01 (16/12 - 25/01)"/>
  </r>
  <r>
    <s v="INETUM .:. INETUM-INTERNE"/>
    <x v="49"/>
    <s v="GFI-Docker Devbox Install"/>
    <m/>
    <x v="3"/>
    <x v="13"/>
    <x v="10"/>
    <s v="Christophe ORLANDO"/>
    <x v="0"/>
    <x v="7"/>
    <x v="12"/>
    <n v="18.426208055405922"/>
    <s v="26/01 (16/12 - 25/01)"/>
  </r>
  <r>
    <s v="INETUM .:. INETUM-INTERNE"/>
    <x v="27"/>
    <s v="GFI-MineReport"/>
    <m/>
    <x v="3"/>
    <x v="13"/>
    <x v="10"/>
    <s v="Christophe ORLANDO"/>
    <x v="0"/>
    <x v="7"/>
    <x v="12"/>
    <n v="1.6304626727045552"/>
    <s v="26/01 (16/12 - 25/01)"/>
  </r>
  <r>
    <s v="INETUM .:. INETUM-INTERNE"/>
    <x v="50"/>
    <s v="GFI-PMT"/>
    <m/>
    <x v="3"/>
    <x v="13"/>
    <x v="10"/>
    <s v="Christophe ORLANDO"/>
    <x v="0"/>
    <x v="7"/>
    <x v="12"/>
    <n v="4.296949738424491"/>
    <s v="26/01 (16/12 - 25/01)"/>
  </r>
  <r>
    <s v="INETUM .:. INETUM-INTERNE"/>
    <x v="37"/>
    <s v="GFI-RedmineDocker"/>
    <m/>
    <x v="3"/>
    <x v="13"/>
    <x v="10"/>
    <s v="Christophe ORLANDO"/>
    <x v="0"/>
    <x v="7"/>
    <x v="12"/>
    <n v="0.9227135357962184"/>
    <s v="26/01 (16/12 - 25/01)"/>
  </r>
  <r>
    <s v="INETUM .:. INETUM-INTERNE"/>
    <x v="51"/>
    <s v="GFI-TENDER"/>
    <m/>
    <x v="3"/>
    <x v="13"/>
    <x v="10"/>
    <s v="Christophe ORLANDO"/>
    <x v="0"/>
    <x v="7"/>
    <x v="12"/>
    <n v="1.9574302319356478"/>
    <s v="26/01 (16/12 - 25/01)"/>
  </r>
  <r>
    <s v="GFI .:. GFI-WAAC"/>
    <x v="38"/>
    <s v="GFI-WAAC"/>
    <m/>
    <x v="3"/>
    <x v="32"/>
    <x v="17"/>
    <s v="Laurent MARCIANIAK"/>
    <x v="1"/>
    <x v="14"/>
    <x v="12"/>
    <n v="228.98483636549054"/>
    <s v="26/01 (16/12 - 25/01)"/>
  </r>
  <r>
    <s v="GLI .:. GLI-APIBIOMETRIE"/>
    <x v="17"/>
    <s v="GLI-APIBiometrie"/>
    <m/>
    <x v="3"/>
    <x v="14"/>
    <x v="11"/>
    <s v="Rodolphe HABEGGER"/>
    <x v="0"/>
    <x v="8"/>
    <x v="12"/>
    <n v="2.0100775507948914"/>
    <s v="26/01 (16/12 - 25/01)"/>
  </r>
  <r>
    <s v="INETUM .:. INETUM-INTERNE"/>
    <x v="75"/>
    <s v="INETUM-communaute-technique"/>
    <m/>
    <x v="3"/>
    <x v="13"/>
    <x v="10"/>
    <s v="Christophe ORLANDO"/>
    <x v="0"/>
    <x v="7"/>
    <x v="12"/>
    <n v="1.3753797175668447"/>
    <s v="26/01 (16/12 - 25/01)"/>
  </r>
  <r>
    <s v="INETUM .:. INETUM-INTERNE"/>
    <x v="76"/>
    <s v="INETUM-documentation"/>
    <m/>
    <x v="3"/>
    <x v="13"/>
    <x v="10"/>
    <s v="Christophe ORLANDO"/>
    <x v="0"/>
    <x v="7"/>
    <x v="12"/>
    <n v="1.3753797175668447"/>
    <s v="26/01 (16/12 - 25/01)"/>
  </r>
  <r>
    <s v="INETUM .:. INETUM-INTERNE"/>
    <x v="77"/>
    <s v="INETUM-starterkit-symfony"/>
    <m/>
    <x v="3"/>
    <x v="13"/>
    <x v="10"/>
    <s v="Christophe ORLANDO"/>
    <x v="0"/>
    <x v="7"/>
    <x v="12"/>
    <n v="0.37785157076012221"/>
    <s v="26/01 (16/12 - 25/01)"/>
  </r>
  <r>
    <s v="LAPOSTE .:. LAPOSTE-CDC"/>
    <x v="52"/>
    <s v="LAPOSTE-F4N-Musee"/>
    <m/>
    <x v="3"/>
    <x v="33"/>
    <x v="18"/>
    <s v="Rodolphe HABEGGER"/>
    <x v="0"/>
    <x v="15"/>
    <x v="12"/>
    <n v="2.6835076872770842"/>
    <s v="26/01 (16/12 - 25/01)"/>
  </r>
  <r>
    <s v="LAPOSTE .:. LAPOSTE-CDC"/>
    <x v="62"/>
    <s v="LAPOSTE-L71-PDP"/>
    <m/>
    <x v="3"/>
    <x v="33"/>
    <x v="18"/>
    <s v="Rodolphe HABEGGER"/>
    <x v="0"/>
    <x v="15"/>
    <x v="12"/>
    <n v="1.6360044957423705"/>
    <s v="26/01 (16/12 - 25/01)"/>
  </r>
  <r>
    <s v="LAPOSTE .:. LAPOSTE-CDC"/>
    <x v="63"/>
    <s v="LAPOSTE-LCA-PariteUn-e"/>
    <m/>
    <x v="3"/>
    <x v="33"/>
    <x v="18"/>
    <s v="Rodolphe HABEGGER"/>
    <x v="0"/>
    <x v="15"/>
    <x v="12"/>
    <n v="1.6360044957423705"/>
    <s v="26/01 (16/12 - 25/01)"/>
  </r>
  <r>
    <s v="LAPOSTE .:. LAPOSTE-CDC"/>
    <x v="53"/>
    <s v="LAPOSTE-LPK-PortailVoyage"/>
    <m/>
    <x v="3"/>
    <x v="33"/>
    <x v="18"/>
    <s v="Rodolphe HABEGGER"/>
    <x v="0"/>
    <x v="15"/>
    <x v="12"/>
    <n v="2.0969059000176444"/>
    <s v="26/01 (16/12 - 25/01)"/>
  </r>
  <r>
    <s v="LAPOSTE .:. LAPOSTE-CDC"/>
    <x v="54"/>
    <s v="LAPOSTE-LPM-IntranetDHA"/>
    <m/>
    <x v="3"/>
    <x v="33"/>
    <x v="18"/>
    <s v="Rodolphe HABEGGER"/>
    <x v="0"/>
    <x v="15"/>
    <x v="12"/>
    <n v="1.6360044957423705"/>
    <s v="26/01 (16/12 - 25/01)"/>
  </r>
  <r>
    <s v="LAPOSTE .:. LAPOSTE-CDC"/>
    <x v="71"/>
    <s v="LAPOSTE-V7_-Galaxy"/>
    <m/>
    <x v="3"/>
    <x v="33"/>
    <x v="18"/>
    <s v="Rodolphe HABEGGER"/>
    <x v="0"/>
    <x v="15"/>
    <x v="12"/>
    <n v="0.86980782451607597"/>
    <s v="26/01 (16/12 - 25/01)"/>
  </r>
  <r>
    <s v="LAPOSTE .:. LAPOSTE-CDC"/>
    <x v="73"/>
    <s v="LAPOSTE-VW2-MEDIACOM"/>
    <m/>
    <x v="3"/>
    <x v="33"/>
    <x v="18"/>
    <s v="Rodolphe HABEGGER"/>
    <x v="0"/>
    <x v="15"/>
    <x v="12"/>
    <n v="0.70220731387052182"/>
    <s v="26/01 (16/12 - 25/01)"/>
  </r>
  <r>
    <s v="LAPOSTE .:. LAPOSTE-CDC"/>
    <x v="64"/>
    <s v="LAPOSTE-VWA-Fondation"/>
    <m/>
    <x v="3"/>
    <x v="33"/>
    <x v="18"/>
    <s v="Rodolphe HABEGGER"/>
    <x v="0"/>
    <x v="15"/>
    <x v="12"/>
    <n v="1.6360044957423705"/>
    <s v="26/01 (16/12 - 25/01)"/>
  </r>
  <r>
    <s v="MENESR .:. MENJ-APAE"/>
    <x v="18"/>
    <s v="MENJ-APAE"/>
    <m/>
    <x v="3"/>
    <x v="15"/>
    <x v="12"/>
    <s v="Pierre BOURLIEUX"/>
    <x v="0"/>
    <x v="9"/>
    <x v="12"/>
    <n v="2.7154932885294114"/>
    <s v="26/01 (16/12 - 25/01)"/>
  </r>
  <r>
    <s v="MENESR .:. MENJ-BI"/>
    <x v="36"/>
    <s v="MENJ-BI"/>
    <m/>
    <x v="3"/>
    <x v="25"/>
    <x v="12"/>
    <s v="Eric PERROUD"/>
    <x v="0"/>
    <x v="9"/>
    <x v="12"/>
    <n v="3.1034209011764702"/>
    <s v="26/01 (16/12 - 25/01)"/>
  </r>
  <r>
    <s v="MENESR .:. MENJ-BNIE"/>
    <x v="19"/>
    <s v="MENJ-BNIE-BDD"/>
    <m/>
    <x v="3"/>
    <x v="16"/>
    <x v="12"/>
    <s v="Pierre BOURLIEUX"/>
    <x v="0"/>
    <x v="9"/>
    <x v="12"/>
    <n v="2.0560163470294115"/>
    <s v="26/01 (16/12 - 25/01)"/>
  </r>
  <r>
    <s v="MENESR .:. MENJ-BNIE"/>
    <x v="33"/>
    <s v="MENJ-BNIE-Webservices"/>
    <m/>
    <x v="3"/>
    <x v="16"/>
    <x v="12"/>
    <s v="Pierre BOURLIEUX"/>
    <x v="0"/>
    <x v="9"/>
    <x v="12"/>
    <n v="0.69826970276470579"/>
    <s v="26/01 (16/12 - 25/01)"/>
  </r>
  <r>
    <s v="MENESR .:. MENJ-INSERJEUNES"/>
    <x v="65"/>
    <s v="MENJ-InserJeunes"/>
    <m/>
    <x v="3"/>
    <x v="37"/>
    <x v="21"/>
    <s v="Christophe ORLANDO"/>
    <x v="0"/>
    <x v="9"/>
    <x v="12"/>
    <n v="5.3305966119200345"/>
    <s v="26/01 (16/12 - 25/01)"/>
  </r>
  <r>
    <s v="MENESR .:. MENJ-RNIE"/>
    <x v="20"/>
    <s v="MENJ-RNIE-BDD"/>
    <m/>
    <x v="3"/>
    <x v="17"/>
    <x v="12"/>
    <s v="Pierre BOURLIEUX"/>
    <x v="0"/>
    <x v="9"/>
    <x v="12"/>
    <n v="1.4741249280588233"/>
    <s v="26/01 (16/12 - 25/01)"/>
  </r>
  <r>
    <s v="MENESR .:. MENJ-RNIE"/>
    <x v="21"/>
    <s v="MENJ-RNIE-Webservices"/>
    <m/>
    <x v="3"/>
    <x v="17"/>
    <x v="12"/>
    <s v="Pierre BOURLIEUX"/>
    <x v="0"/>
    <x v="9"/>
    <x v="12"/>
    <n v="0.69826970276470579"/>
    <s v="26/01 (16/12 - 25/01)"/>
  </r>
  <r>
    <s v="AFB .:. OFB-CARTOTHEQUE"/>
    <x v="78"/>
    <s v="OFB-CARTOTHEQUE"/>
    <m/>
    <x v="3"/>
    <x v="41"/>
    <x v="6"/>
    <s v="Pierre BOURLIEUX"/>
    <x v="0"/>
    <x v="3"/>
    <x v="12"/>
    <n v="1.7456742569117645"/>
    <s v="26/01 (16/12 - 25/01)"/>
  </r>
  <r>
    <s v="AFB .:. OFB-CMONSPOT"/>
    <x v="55"/>
    <s v="OFB-CMONSPOT"/>
    <m/>
    <x v="3"/>
    <x v="34"/>
    <x v="6"/>
    <s v="Pierre BOURLIEUX"/>
    <x v="0"/>
    <x v="3"/>
    <x v="12"/>
    <n v="0.82689833222136211"/>
    <s v="26/01 (16/12 - 25/01)"/>
  </r>
  <r>
    <s v="AFB .:. OFB-ESTAMP"/>
    <x v="74"/>
    <s v="OFB-ESTAMP"/>
    <m/>
    <x v="3"/>
    <x v="40"/>
    <x v="5"/>
    <s v="Pierre BOURLIEUX"/>
    <x v="0"/>
    <x v="3"/>
    <x v="12"/>
    <n v="2.7789864359741649"/>
    <s v="26/01 (16/12 - 25/01)"/>
  </r>
  <r>
    <s v="OFB .:. OFB-NATUREFRANCE"/>
    <x v="32"/>
    <s v="OFB-NatureFrance"/>
    <m/>
    <x v="3"/>
    <x v="24"/>
    <x v="16"/>
    <s v="Rodolphe HABEGGER"/>
    <x v="0"/>
    <x v="13"/>
    <x v="12"/>
    <n v="5.0581641886089344"/>
    <s v="26/01 (16/12 - 25/01)"/>
  </r>
  <r>
    <s v="AFB .:. OFB-SISPEA"/>
    <x v="40"/>
    <s v="OFB-SISPEA"/>
    <m/>
    <x v="3"/>
    <x v="26"/>
    <x v="6"/>
    <s v="Pierre BOURLIEUX"/>
    <x v="0"/>
    <x v="3"/>
    <x v="12"/>
    <n v="2.3786087828095974"/>
    <s v="26/01 (16/12 - 25/01)"/>
  </r>
  <r>
    <s v="PCM .:. PCM-ALS"/>
    <x v="22"/>
    <s v="PCM-ALS"/>
    <m/>
    <x v="3"/>
    <x v="18"/>
    <x v="13"/>
    <s v="Alice MARCHAL"/>
    <x v="0"/>
    <x v="10"/>
    <x v="12"/>
    <n v="3.7438284914737814"/>
    <s v="26/01 (16/12 - 25/01)"/>
  </r>
  <r>
    <s v="PCM .:. PCM-WEB"/>
    <x v="23"/>
    <s v="PCM-Web"/>
    <m/>
    <x v="3"/>
    <x v="19"/>
    <x v="13"/>
    <s v="Rodolphe HABEGGER"/>
    <x v="0"/>
    <x v="10"/>
    <x v="12"/>
    <n v="2.142157666529485"/>
    <s v="26/01 (16/12 - 25/01)"/>
  </r>
  <r>
    <s v="SAFT .:. SAFT-PDM"/>
    <x v="56"/>
    <s v="SAFT-PDM"/>
    <m/>
    <x v="3"/>
    <x v="35"/>
    <x v="19"/>
    <s v="Pierre BOURLIEUX"/>
    <x v="0"/>
    <x v="16"/>
    <x v="12"/>
    <n v="1.9574302319356478"/>
    <s v="26/01 (16/12 - 25/01)"/>
  </r>
  <r>
    <s v="SPC .:. SPC-BUILD"/>
    <x v="24"/>
    <s v="SPC-BUILD"/>
    <m/>
    <x v="3"/>
    <x v="1"/>
    <x v="1"/>
    <s v="Nicolas DURFORT"/>
    <x v="0"/>
    <x v="1"/>
    <x v="12"/>
    <n v="55.637426487375002"/>
    <s v="26/01 (16/12 - 25/01)"/>
  </r>
  <r>
    <s v="SPC .:. SPC-WEB"/>
    <x v="25"/>
    <s v="SPC-WEB"/>
    <m/>
    <x v="3"/>
    <x v="2"/>
    <x v="2"/>
    <s v="Nicolas DURFORT"/>
    <x v="0"/>
    <x v="1"/>
    <x v="12"/>
    <n v="4.6551313517647053"/>
    <s v="26/01 (16/12 - 25/01)"/>
  </r>
  <r>
    <s v="STMICRO .:. STMICRO-DATAPACK"/>
    <x v="66"/>
    <s v="STMICRO-DATAPACK"/>
    <m/>
    <x v="3"/>
    <x v="36"/>
    <x v="20"/>
    <s v="Jean-Philippe STROIAZZO"/>
    <x v="0"/>
    <x v="17"/>
    <x v="12"/>
    <n v="3.4537224521457315"/>
    <s v="26/01 (16/12 - 25/01)"/>
  </r>
  <r>
    <s v="STMICRO .:. STMICRO-ROCKET"/>
    <x v="67"/>
    <s v="STMICRO-ROCKET"/>
    <m/>
    <x v="3"/>
    <x v="38"/>
    <x v="20"/>
    <s v="Jean-Philippe STROIAZZO"/>
    <x v="0"/>
    <x v="17"/>
    <x v="12"/>
    <n v="4.5787125288222015"/>
    <s v="26/01 (16/12 - 25/01)"/>
  </r>
  <r>
    <s v="ALM .:. ALM-ATOUT"/>
    <x v="29"/>
    <m/>
    <s v="ALM-ATOUT-VM"/>
    <x v="2"/>
    <x v="10"/>
    <x v="7"/>
    <s v="Alice MARCHAL"/>
    <x v="0"/>
    <x v="4"/>
    <x v="12"/>
    <n v="23.81"/>
    <s v="(16/12 - 25/01)"/>
  </r>
  <r>
    <s v="BRGM .:. BRGM-ORRM"/>
    <x v="30"/>
    <m/>
    <s v="BRGM-ORRM-VM"/>
    <x v="0"/>
    <x v="11"/>
    <x v="8"/>
    <s v="Alice MARCHAL"/>
    <x v="0"/>
    <x v="5"/>
    <x v="12"/>
    <n v="4.57"/>
    <s v="(16/12 - 25/01)"/>
  </r>
  <r>
    <s v="CA-TITRES .:. CATITRES-COMX"/>
    <x v="28"/>
    <m/>
    <s v="CATITRES-COMX-VM"/>
    <x v="1"/>
    <x v="21"/>
    <x v="14"/>
    <s v="Jean-Philippe STROIAZZO"/>
    <x v="0"/>
    <x v="11"/>
    <x v="12"/>
    <n v="15.77"/>
    <s v="(16/12 - 25/01)"/>
  </r>
  <r>
    <s v="EBR .:. EBR-LAPOSTE"/>
    <x v="31"/>
    <m/>
    <s v="EBR-LAPOSTE-VM"/>
    <x v="1"/>
    <x v="22"/>
    <x v="15"/>
    <s v="Valerie ASSELIN LOZACHMEUR"/>
    <x v="0"/>
    <x v="12"/>
    <x v="12"/>
    <n v="134.32"/>
    <s v="(16/12 - 25/01)"/>
  </r>
  <r>
    <s v="INETUM .:. INETUM-INTERNE"/>
    <x v="57"/>
    <m/>
    <s v="GFI-PMT-VM"/>
    <x v="1"/>
    <x v="13"/>
    <x v="10"/>
    <s v="Christophe ORLANDO"/>
    <x v="0"/>
    <x v="7"/>
    <x v="12"/>
    <n v="33.6"/>
    <s v="(16/12 - 25/01)"/>
  </r>
  <r>
    <s v="MENESR .:. MENJ-BI"/>
    <x v="35"/>
    <m/>
    <s v="MENJ-BI-VM"/>
    <x v="2"/>
    <x v="25"/>
    <x v="12"/>
    <s v="Eric PERROUD"/>
    <x v="0"/>
    <x v="9"/>
    <x v="12"/>
    <n v="4.75"/>
    <s v="(16/12 - 25/01)"/>
  </r>
  <r>
    <s v="AFB .:. AFB-NatureFrance"/>
    <x v="34"/>
    <m/>
    <s v="OFB-FRANCENATURE-VM"/>
    <x v="2"/>
    <x v="23"/>
    <x v="6"/>
    <s v="Rodolphe HABEGGER"/>
    <x v="0"/>
    <x v="3"/>
    <x v="12"/>
    <n v="4.6399999999999997"/>
    <s v="(16/12 - 25/01)"/>
  </r>
  <r>
    <s v="AFB .:. OFB-SISPEA"/>
    <x v="58"/>
    <m/>
    <s v="OFB-SISPEA-VM"/>
    <x v="1"/>
    <x v="26"/>
    <x v="6"/>
    <s v="Pierre BOURLIEUX"/>
    <x v="0"/>
    <x v="3"/>
    <x v="12"/>
    <n v="9.49"/>
    <s v="(16/12 - 25/01)"/>
  </r>
  <r>
    <s v="SPC .:. SPC-BUILD"/>
    <x v="1"/>
    <m/>
    <s v="SPC-BUILDAS-VM"/>
    <x v="1"/>
    <x v="1"/>
    <x v="1"/>
    <s v="Nicolas DURFORT"/>
    <x v="0"/>
    <x v="1"/>
    <x v="12"/>
    <n v="177.89"/>
    <s v="(16/12 - 25/01)"/>
  </r>
  <r>
    <s v="STMICRO .:. STMICRO-DATAPACK"/>
    <x v="59"/>
    <m/>
    <s v="STMICRO-DATAPACK-VM"/>
    <x v="1"/>
    <x v="36"/>
    <x v="20"/>
    <s v="Jean-Philippe STROIAZZO"/>
    <x v="0"/>
    <x v="17"/>
    <x v="12"/>
    <n v="17.079999999999998"/>
    <s v="(16/12 - 25/01)"/>
  </r>
  <r>
    <s v="FRR .:. FRR-DIGIPAT"/>
    <x v="0"/>
    <m/>
    <s v="FRR-DIGIPAT-VM"/>
    <x v="0"/>
    <x v="0"/>
    <x v="0"/>
    <s v="Alice MARCHAL"/>
    <x v="0"/>
    <x v="0"/>
    <x v="12"/>
    <n v="39.06"/>
    <s v="(16/12 - 25/01)"/>
  </r>
  <r>
    <s v="GFI .:. GFI-WAAC"/>
    <x v="60"/>
    <m/>
    <s v="GFI-WAAC-VM"/>
    <x v="2"/>
    <x v="32"/>
    <x v="17"/>
    <s v="Laurent MARCIANIAK"/>
    <x v="1"/>
    <x v="14"/>
    <x v="12"/>
    <n v="70.819999999999993"/>
    <s v="(16/12 - 25/01)"/>
  </r>
  <r>
    <s v="LAPOSTE .:. LAPOSTE-CDC"/>
    <x v="61"/>
    <m/>
    <s v="LAPOSTE-CDC-VM"/>
    <x v="1"/>
    <x v="33"/>
    <x v="18"/>
    <s v="Rodolphe HABEGGER"/>
    <x v="0"/>
    <x v="15"/>
    <x v="12"/>
    <n v="4.75"/>
    <s v="(16/12 - 25/01)"/>
  </r>
  <r>
    <s v="MENESR .:. MENJ-INSERJEUNES"/>
    <x v="68"/>
    <m/>
    <s v="MENJ-INERJEUNES"/>
    <x v="0"/>
    <x v="37"/>
    <x v="21"/>
    <s v="Christophe ORLANDO"/>
    <x v="0"/>
    <x v="9"/>
    <x v="12"/>
    <n v="42.92"/>
    <s v="(16/12 - 25/01)"/>
  </r>
  <r>
    <s v="AFB .:. OFB-ESTAMP"/>
    <x v="74"/>
    <m/>
    <s v="OFB-ESTAMP"/>
    <x v="2"/>
    <x v="40"/>
    <x v="5"/>
    <s v="Pierre BOURLIEUX"/>
    <x v="0"/>
    <x v="3"/>
    <x v="12"/>
    <n v="15.06"/>
    <s v="(16/12 - 25/01)"/>
  </r>
  <r>
    <s v="INETUM .:. INETUM-INTERNE"/>
    <x v="79"/>
    <m/>
    <s v="INFRA"/>
    <x v="1"/>
    <x v="13"/>
    <x v="10"/>
    <s v="Christophe ORLANDO"/>
    <x v="0"/>
    <x v="7"/>
    <x v="12"/>
    <n v="29.17"/>
    <s v="(16/12 - 25/01)"/>
  </r>
  <r>
    <s v="ONEMA .:. AFB-BASEINDICATEURS"/>
    <x v="3"/>
    <s v="AFB-BaseIndicateurs"/>
    <m/>
    <x v="3"/>
    <x v="3"/>
    <x v="3"/>
    <s v="Pierre BOURLIEUX"/>
    <x v="0"/>
    <x v="2"/>
    <x v="13"/>
    <n v="0.44864925342977735"/>
    <s v="26/02 (26/01 - 25/02)"/>
  </r>
  <r>
    <s v="ONEMA .:. AFB-CATALOGUE"/>
    <x v="26"/>
    <s v="AFB-Catalogue"/>
    <m/>
    <x v="3"/>
    <x v="20"/>
    <x v="3"/>
    <s v="Pierre BOURLIEUX"/>
    <x v="0"/>
    <x v="2"/>
    <x v="13"/>
    <n v="1.7417278785223154"/>
    <s v="26/02 (26/01 - 25/02)"/>
  </r>
  <r>
    <s v="ONEMA .:. AFB-CDR"/>
    <x v="4"/>
    <s v="AFB-CDR"/>
    <m/>
    <x v="3"/>
    <x v="4"/>
    <x v="4"/>
    <s v="Pierre BOURLIEUX"/>
    <x v="0"/>
    <x v="2"/>
    <x v="13"/>
    <n v="7.8412150366623088"/>
    <s v="26/02 (26/01 - 25/02)"/>
  </r>
  <r>
    <s v="AFB .:. AFB-CESMIA"/>
    <x v="5"/>
    <s v="AFB-CESMIA"/>
    <m/>
    <x v="3"/>
    <x v="5"/>
    <x v="5"/>
    <s v="Jean-Philippe STROIAZZO"/>
    <x v="0"/>
    <x v="3"/>
    <x v="13"/>
    <n v="9.6801045599041888"/>
    <s v="26/02 (26/01 - 25/02)"/>
  </r>
  <r>
    <s v="ONEMA .:. AFB-OISON"/>
    <x v="6"/>
    <s v="AFB-OISON"/>
    <m/>
    <x v="3"/>
    <x v="6"/>
    <x v="3"/>
    <s v="Jean-Philippe STROIAZZO"/>
    <x v="0"/>
    <x v="2"/>
    <x v="13"/>
    <n v="6.6606784484679249"/>
    <s v="26/02 (26/01 - 25/02)"/>
  </r>
  <r>
    <s v="ONEMA .:. AFB-PATBIODIV"/>
    <x v="7"/>
    <s v="AFB-PATBiodiv"/>
    <m/>
    <x v="3"/>
    <x v="7"/>
    <x v="3"/>
    <s v="Rodolphe HABEGGER"/>
    <x v="0"/>
    <x v="2"/>
    <x v="13"/>
    <n v="5.4387758702842586"/>
    <s v="26/02 (26/01 - 25/02)"/>
  </r>
  <r>
    <s v="AFB .:. AFB-PNM"/>
    <x v="8"/>
    <s v="AFB-PNM"/>
    <m/>
    <x v="3"/>
    <x v="8"/>
    <x v="6"/>
    <s v="Eric RAUCOURT"/>
    <x v="0"/>
    <x v="3"/>
    <x v="13"/>
    <n v="4.1980053392819254"/>
    <s v="26/02 (26/01 - 25/02)"/>
  </r>
  <r>
    <s v="AFB .:. AFB-PNX"/>
    <x v="9"/>
    <s v="AFB-PNX"/>
    <m/>
    <x v="3"/>
    <x v="9"/>
    <x v="6"/>
    <s v="Pierre BOURLIEUX"/>
    <x v="0"/>
    <x v="3"/>
    <x v="13"/>
    <n v="1.3322285604295512"/>
    <s v="26/02 (26/01 - 25/02)"/>
  </r>
  <r>
    <s v="ONEMA .:. AFB-RAA"/>
    <x v="41"/>
    <s v="AFB-RAA"/>
    <m/>
    <x v="3"/>
    <x v="27"/>
    <x v="4"/>
    <s v="Pierre BOURLIEUX"/>
    <x v="0"/>
    <x v="2"/>
    <x v="13"/>
    <n v="0.21364250163322732"/>
    <s v="26/02 (26/01 - 25/02)"/>
  </r>
  <r>
    <s v="ALM .:. ALM-ATOUT"/>
    <x v="10"/>
    <s v="ALM-ATOUT"/>
    <m/>
    <x v="3"/>
    <x v="10"/>
    <x v="7"/>
    <s v="Alice MARCHAL"/>
    <x v="0"/>
    <x v="4"/>
    <x v="13"/>
    <n v="9.1584470264590365"/>
    <s v="26/02 (26/01 - 25/02)"/>
  </r>
  <r>
    <s v="BRGM .:. BRGM-ORRM"/>
    <x v="11"/>
    <s v="BRGM-ORRM"/>
    <m/>
    <x v="3"/>
    <x v="11"/>
    <x v="8"/>
    <s v="Alice MARCHAL"/>
    <x v="0"/>
    <x v="5"/>
    <x v="13"/>
    <n v="10.64094973710662"/>
    <s v="26/02 (26/01 - 25/02)"/>
  </r>
  <r>
    <s v="CGOS .:. CGOS-BI"/>
    <x v="69"/>
    <s v="CGOS-BI"/>
    <m/>
    <x v="3"/>
    <x v="39"/>
    <x v="22"/>
    <s v="Valerie ASSELIN LOZACHMEUR"/>
    <x v="0"/>
    <x v="18"/>
    <x v="13"/>
    <n v="7.0502025538965007"/>
    <s v="26/02 (26/01 - 25/02)"/>
  </r>
  <r>
    <s v="CNAV .:. CNAV-BI-RGCU"/>
    <x v="12"/>
    <s v="CNAV-BI-RGCU"/>
    <m/>
    <x v="3"/>
    <x v="12"/>
    <x v="9"/>
    <s v="Valerie ASSELIN LOZACHMEUR"/>
    <x v="0"/>
    <x v="6"/>
    <x v="13"/>
    <n v="2.3500675179655004"/>
    <s v="26/02 (26/01 - 25/02)"/>
  </r>
  <r>
    <s v="FRR .:. FRR-DIGIPAT"/>
    <x v="15"/>
    <s v="FRR DIGIPAT"/>
    <m/>
    <x v="3"/>
    <x v="0"/>
    <x v="0"/>
    <s v="Alice MARCHAL"/>
    <x v="0"/>
    <x v="0"/>
    <x v="13"/>
    <n v="4.7026563597827646"/>
    <s v="26/02 (26/01 - 25/02)"/>
  </r>
  <r>
    <s v="FRR .:. FRR-APPLIFRR"/>
    <x v="42"/>
    <s v="FRR-APPLIFRR"/>
    <m/>
    <x v="3"/>
    <x v="28"/>
    <x v="0"/>
    <s v="Jean-Philippe STROIAZZO"/>
    <x v="0"/>
    <x v="0"/>
    <x v="13"/>
    <n v="1.9639849971568824"/>
    <s v="26/02 (26/01 - 25/02)"/>
  </r>
  <r>
    <s v="FRR .:. FRR-CADENCIER"/>
    <x v="43"/>
    <s v="FRR-CADENCIER"/>
    <m/>
    <x v="3"/>
    <x v="29"/>
    <x v="0"/>
    <s v="Jean-Philippe STROIAZZO"/>
    <x v="0"/>
    <x v="0"/>
    <x v="13"/>
    <n v="2.4862222233714379"/>
    <s v="26/02 (26/01 - 25/02)"/>
  </r>
  <r>
    <s v="FRR .:. FRR-PATAPAIN"/>
    <x v="44"/>
    <s v="FRR-Patapain"/>
    <m/>
    <x v="3"/>
    <x v="30"/>
    <x v="0"/>
    <s v="Christophe ORLANDO"/>
    <x v="0"/>
    <x v="0"/>
    <x v="13"/>
    <n v="1.2752572266606905"/>
    <s v="26/02 (26/01 - 25/02)"/>
  </r>
  <r>
    <s v="FRR .:. FRR-PATAPAINANDROID"/>
    <x v="45"/>
    <s v="FRR-PATAPAINANDROID"/>
    <m/>
    <x v="3"/>
    <x v="31"/>
    <x v="0"/>
    <s v="Jean-Philippe STROIAZZO"/>
    <x v="0"/>
    <x v="0"/>
    <x v="13"/>
    <n v="6.6641200330878831"/>
    <s v="26/02 (26/01 - 25/02)"/>
  </r>
  <r>
    <s v="INETUM .:. INETUM-INTERNE"/>
    <x v="70"/>
    <s v="GFI-BaseDocumentaire"/>
    <m/>
    <x v="3"/>
    <x v="13"/>
    <x v="10"/>
    <s v="Christophe ORLANDO"/>
    <x v="0"/>
    <x v="7"/>
    <x v="13"/>
    <n v="1.7289782453603324"/>
    <s v="26/02 (26/01 - 25/02)"/>
  </r>
  <r>
    <s v="INETUM .:. INETUM-INTERNE"/>
    <x v="46"/>
    <s v="GFI-CMIS"/>
    <m/>
    <x v="3"/>
    <x v="13"/>
    <x v="10"/>
    <s v="Christophe ORLANDO"/>
    <x v="0"/>
    <x v="7"/>
    <x v="13"/>
    <n v="0.21364250163322732"/>
    <s v="26/02 (26/01 - 25/02)"/>
  </r>
  <r>
    <s v="INETUM .:. INETUM-INTERNE"/>
    <x v="47"/>
    <s v="GFI-COFFEE"/>
    <m/>
    <x v="3"/>
    <x v="13"/>
    <x v="10"/>
    <s v="Christophe ORLANDO"/>
    <x v="0"/>
    <x v="7"/>
    <x v="13"/>
    <n v="0.92883620948160261"/>
    <s v="26/02 (26/01 - 25/02)"/>
  </r>
  <r>
    <s v="INETUM .:. INETUM-INTERNE"/>
    <x v="48"/>
    <s v="GFI-CRALENIUM"/>
    <m/>
    <x v="3"/>
    <x v="13"/>
    <x v="10"/>
    <s v="Christophe ORLANDO"/>
    <x v="0"/>
    <x v="7"/>
    <x v="13"/>
    <n v="1.9639849971568824"/>
    <s v="26/02 (26/01 - 25/02)"/>
  </r>
  <r>
    <s v="INETUM .:. INETUM-INTERNE"/>
    <x v="16"/>
    <s v="GFI-D8-BS4-THEME"/>
    <m/>
    <x v="3"/>
    <x v="13"/>
    <x v="10"/>
    <s v="Christophe ORLANDO"/>
    <x v="0"/>
    <x v="7"/>
    <x v="13"/>
    <n v="1.2711728847177024"/>
    <s v="26/02 (26/01 - 25/02)"/>
  </r>
  <r>
    <s v="INETUM .:. INETUM-INTERNE"/>
    <x v="49"/>
    <s v="GFI-Docker Devbox Install"/>
    <m/>
    <x v="3"/>
    <x v="13"/>
    <x v="10"/>
    <s v="Christophe ORLANDO"/>
    <x v="0"/>
    <x v="7"/>
    <x v="13"/>
    <n v="8.4619166008226703"/>
    <s v="26/02 (26/01 - 25/02)"/>
  </r>
  <r>
    <s v="INETUM .:. INETUM-INTERNE"/>
    <x v="27"/>
    <s v="GFI-MineReport"/>
    <m/>
    <x v="3"/>
    <x v="13"/>
    <x v="10"/>
    <s v="Christophe ORLANDO"/>
    <x v="0"/>
    <x v="7"/>
    <x v="13"/>
    <n v="2.0625634532189294"/>
    <s v="26/02 (26/01 - 25/02)"/>
  </r>
  <r>
    <s v="INETUM .:. INETUM-INTERNE"/>
    <x v="50"/>
    <s v="GFI-PMT"/>
    <m/>
    <x v="3"/>
    <x v="13"/>
    <x v="10"/>
    <s v="Christophe ORLANDO"/>
    <x v="0"/>
    <x v="7"/>
    <x v="13"/>
    <n v="2.8999603228457103"/>
    <s v="26/02 (26/01 - 25/02)"/>
  </r>
  <r>
    <s v="INETUM .:. INETUM-INTERNE"/>
    <x v="37"/>
    <s v="GFI-RedmineDocker"/>
    <m/>
    <x v="3"/>
    <x v="13"/>
    <x v="10"/>
    <s v="Christophe ORLANDO"/>
    <x v="0"/>
    <x v="7"/>
    <x v="13"/>
    <n v="0.89810929434203368"/>
    <s v="26/02 (26/01 - 25/02)"/>
  </r>
  <r>
    <s v="INETUM .:. INETUM-INTERNE"/>
    <x v="51"/>
    <s v="GFI-TENDER"/>
    <m/>
    <x v="3"/>
    <x v="13"/>
    <x v="10"/>
    <s v="Christophe ORLANDO"/>
    <x v="0"/>
    <x v="7"/>
    <x v="13"/>
    <n v="1.9639849971568824"/>
    <s v="26/02 (26/01 - 25/02)"/>
  </r>
  <r>
    <s v="GFI .:. GFI-WAAC"/>
    <x v="38"/>
    <s v="GFI-WAAC"/>
    <m/>
    <x v="3"/>
    <x v="32"/>
    <x v="17"/>
    <s v="Laurent MARCIANIAK"/>
    <x v="1"/>
    <x v="14"/>
    <x v="13"/>
    <n v="178.65328266019145"/>
    <s v="26/02 (26/01 - 25/02)"/>
  </r>
  <r>
    <s v="GLI .:. GLI-APIBIOMETRIE"/>
    <x v="17"/>
    <s v="GLI-APIBiometrie"/>
    <m/>
    <x v="3"/>
    <x v="14"/>
    <x v="11"/>
    <s v="Rodolphe HABEGGER"/>
    <x v="0"/>
    <x v="8"/>
    <x v="13"/>
    <n v="2.0975593392257244"/>
    <s v="26/02 (26/01 - 25/02)"/>
  </r>
  <r>
    <s v="INETUM .:. INETUM-INTERNE"/>
    <x v="80"/>
    <s v="INETUM-Azure-Pipelines"/>
    <m/>
    <x v="3"/>
    <x v="13"/>
    <x v="10"/>
    <s v="Christophe ORLANDO"/>
    <x v="0"/>
    <x v="7"/>
    <x v="13"/>
    <n v="3.6105910951901183"/>
    <s v="26/02 (26/01 - 25/02)"/>
  </r>
  <r>
    <s v="INETUM .:. INETUM-INTERNE"/>
    <x v="75"/>
    <s v="INETUM-communaute-technique"/>
    <m/>
    <x v="3"/>
    <x v="13"/>
    <x v="10"/>
    <s v="Christophe ORLANDO"/>
    <x v="0"/>
    <x v="7"/>
    <x v="13"/>
    <n v="1.2605235772246177"/>
    <s v="26/02 (26/01 - 25/02)"/>
  </r>
  <r>
    <s v="INETUM .:. INETUM-INTERNE"/>
    <x v="76"/>
    <s v="INETUM-documentation"/>
    <m/>
    <x v="3"/>
    <x v="13"/>
    <x v="10"/>
    <s v="Christophe ORLANDO"/>
    <x v="0"/>
    <x v="7"/>
    <x v="13"/>
    <n v="1.2605235772246177"/>
    <s v="26/02 (26/01 - 25/02)"/>
  </r>
  <r>
    <s v="INETUM .:. INETUM-INTERNE"/>
    <x v="81"/>
    <s v="INETUM-starterkit-drupal"/>
    <m/>
    <x v="3"/>
    <x v="13"/>
    <x v="10"/>
    <s v="Christophe ORLANDO"/>
    <x v="0"/>
    <x v="7"/>
    <x v="13"/>
    <n v="5.8375598384050447"/>
    <s v="26/02 (26/01 - 25/02)"/>
  </r>
  <r>
    <s v="INETUM .:. INETUM-INTERNE"/>
    <x v="77"/>
    <s v="INETUM-starterkit-symfony"/>
    <m/>
    <x v="3"/>
    <x v="13"/>
    <x v="10"/>
    <s v="Christophe ORLANDO"/>
    <x v="0"/>
    <x v="7"/>
    <x v="13"/>
    <n v="0.365259760856808"/>
    <s v="26/02 (26/01 - 25/02)"/>
  </r>
  <r>
    <s v="LAPOSTE .:. LAPOSTE-CDC"/>
    <x v="52"/>
    <s v="LAPOSTE-F4N-Musee"/>
    <m/>
    <x v="3"/>
    <x v="33"/>
    <x v="18"/>
    <s v="Rodolphe HABEGGER"/>
    <x v="0"/>
    <x v="15"/>
    <x v="13"/>
    <n v="2.1837982420366853"/>
    <s v="26/02 (26/01 - 25/02)"/>
  </r>
  <r>
    <s v="LAPOSTE .:. LAPOSTE-CDC"/>
    <x v="62"/>
    <s v="LAPOSTE-L71-PDP"/>
    <m/>
    <x v="3"/>
    <x v="33"/>
    <x v="18"/>
    <s v="Rodolphe HABEGGER"/>
    <x v="0"/>
    <x v="15"/>
    <x v="13"/>
    <n v="2.0727110359764054"/>
    <s v="26/02 (26/01 - 25/02)"/>
  </r>
  <r>
    <s v="LAPOSTE .:. LAPOSTE-CDC"/>
    <x v="63"/>
    <s v="LAPOSTE-LCA-PariteUn-e"/>
    <m/>
    <x v="3"/>
    <x v="33"/>
    <x v="18"/>
    <s v="Rodolphe HABEGGER"/>
    <x v="0"/>
    <x v="15"/>
    <x v="13"/>
    <n v="2.0973970817675789"/>
    <s v="26/02 (26/01 - 25/02)"/>
  </r>
  <r>
    <s v="LAPOSTE .:. LAPOSTE-CDC"/>
    <x v="53"/>
    <s v="LAPOSTE-LPK-PortailVoyage"/>
    <m/>
    <x v="3"/>
    <x v="33"/>
    <x v="18"/>
    <s v="Rodolphe HABEGGER"/>
    <x v="0"/>
    <x v="15"/>
    <x v="13"/>
    <n v="2.4183156770528318"/>
    <s v="26/02 (26/01 - 25/02)"/>
  </r>
  <r>
    <s v="LAPOSTE .:. LAPOSTE-CDC"/>
    <x v="54"/>
    <s v="LAPOSTE-LPM-IntranetDHA"/>
    <m/>
    <x v="3"/>
    <x v="33"/>
    <x v="18"/>
    <s v="Rodolphe HABEGGER"/>
    <x v="0"/>
    <x v="15"/>
    <x v="13"/>
    <n v="2.0973970817675789"/>
    <s v="26/02 (26/01 - 25/02)"/>
  </r>
  <r>
    <s v="LAPOSTE .:. LAPOSTE-CDC"/>
    <x v="71"/>
    <s v="LAPOSTE-V7_-Galaxy"/>
    <m/>
    <x v="3"/>
    <x v="33"/>
    <x v="18"/>
    <s v="Rodolphe HABEGGER"/>
    <x v="0"/>
    <x v="15"/>
    <x v="13"/>
    <n v="2.2699881725624236"/>
    <s v="26/02 (26/01 - 25/02)"/>
  </r>
  <r>
    <s v="LAPOSTE .:. LAPOSTE-CDC"/>
    <x v="73"/>
    <s v="LAPOSTE-VW2-MEDIACOM"/>
    <m/>
    <x v="3"/>
    <x v="33"/>
    <x v="18"/>
    <s v="Rodolphe HABEGGER"/>
    <x v="0"/>
    <x v="15"/>
    <x v="13"/>
    <n v="1.6553111375314828"/>
    <s v="26/02 (26/01 - 25/02)"/>
  </r>
  <r>
    <s v="LAPOSTE .:. LAPOSTE-CDC"/>
    <x v="82"/>
    <s v="LAPOSTE-VW7-EvtExpres"/>
    <m/>
    <x v="3"/>
    <x v="33"/>
    <x v="18"/>
    <s v="Rodolphe HABEGGER"/>
    <x v="0"/>
    <x v="15"/>
    <x v="13"/>
    <n v="1.5466818495452577"/>
    <s v="26/02 (26/01 - 25/02)"/>
  </r>
  <r>
    <s v="LAPOSTE .:. LAPOSTE-CDC"/>
    <x v="64"/>
    <s v="LAPOSTE-VWA-Fondation"/>
    <m/>
    <x v="3"/>
    <x v="33"/>
    <x v="18"/>
    <s v="Rodolphe HABEGGER"/>
    <x v="0"/>
    <x v="15"/>
    <x v="13"/>
    <n v="2.3072284709925519"/>
    <s v="26/02 (26/01 - 25/02)"/>
  </r>
  <r>
    <s v="MENESR .:. MENJ-APAE"/>
    <x v="18"/>
    <s v="MENJ-APAE"/>
    <m/>
    <x v="3"/>
    <x v="15"/>
    <x v="12"/>
    <s v="Pierre BOURLIEUX"/>
    <x v="0"/>
    <x v="9"/>
    <x v="13"/>
    <n v="2.7255007312810333"/>
    <s v="26/02 (26/01 - 25/02)"/>
  </r>
  <r>
    <s v="MENESR .:. MENJ-BI"/>
    <x v="36"/>
    <s v="MENJ-BI"/>
    <m/>
    <x v="3"/>
    <x v="25"/>
    <x v="12"/>
    <s v="Eric PERROUD"/>
    <x v="0"/>
    <x v="9"/>
    <x v="13"/>
    <n v="0.7833558393218335"/>
    <s v="26/02 (26/01 - 25/02)"/>
  </r>
  <r>
    <s v="MENESR .:. MENJ-BNIE"/>
    <x v="19"/>
    <s v="MENJ-BNIE-BDD"/>
    <m/>
    <x v="3"/>
    <x v="16"/>
    <x v="12"/>
    <s v="Pierre BOURLIEUX"/>
    <x v="0"/>
    <x v="9"/>
    <x v="13"/>
    <n v="1.830236914913224"/>
    <s v="26/02 (26/01 - 25/02)"/>
  </r>
  <r>
    <s v="MENESR .:. MENJ-BNIE"/>
    <x v="33"/>
    <s v="MENJ-BNIE-Webservices"/>
    <m/>
    <x v="3"/>
    <x v="16"/>
    <x v="12"/>
    <s v="Pierre BOURLIEUX"/>
    <x v="0"/>
    <x v="9"/>
    <x v="13"/>
    <n v="0.37543321331553309"/>
    <s v="26/02 (26/01 - 25/02)"/>
  </r>
  <r>
    <s v="MENESR .:. MENJ-INSERJEUNES"/>
    <x v="65"/>
    <s v="MENJ-InserJeunes"/>
    <m/>
    <x v="3"/>
    <x v="37"/>
    <x v="21"/>
    <s v="Christophe ORLANDO"/>
    <x v="0"/>
    <x v="9"/>
    <x v="13"/>
    <n v="2.353119553703118"/>
    <s v="26/02 (26/01 - 25/02)"/>
  </r>
  <r>
    <s v="MENESR .:. MENJ-RNIE"/>
    <x v="20"/>
    <s v="MENJ-RNIE-BDD"/>
    <m/>
    <x v="3"/>
    <x v="17"/>
    <x v="12"/>
    <s v="Pierre BOURLIEUX"/>
    <x v="0"/>
    <x v="9"/>
    <x v="13"/>
    <n v="1.1587890526373665"/>
    <s v="26/02 (26/01 - 25/02)"/>
  </r>
  <r>
    <s v="MENESR .:. MENJ-RNIE"/>
    <x v="21"/>
    <s v="MENJ-RNIE-Webservices"/>
    <m/>
    <x v="3"/>
    <x v="17"/>
    <x v="12"/>
    <s v="Pierre BOURLIEUX"/>
    <x v="0"/>
    <x v="9"/>
    <x v="13"/>
    <n v="0.56057855674933288"/>
    <s v="26/02 (26/01 - 25/02)"/>
  </r>
  <r>
    <s v="AFB .:. OFB-CARTOTHEQUE"/>
    <x v="78"/>
    <s v="OFB-CARTOTHEQUE"/>
    <m/>
    <x v="3"/>
    <x v="41"/>
    <x v="6"/>
    <s v="Pierre BOURLIEUX"/>
    <x v="0"/>
    <x v="3"/>
    <x v="13"/>
    <n v="1.8464816212586075"/>
    <s v="26/02 (26/01 - 25/02)"/>
  </r>
  <r>
    <s v="AFB .:. OFB-CMONSPOT"/>
    <x v="55"/>
    <s v="OFB-CMONSPOT"/>
    <m/>
    <x v="3"/>
    <x v="34"/>
    <x v="6"/>
    <s v="Pierre BOURLIEUX"/>
    <x v="0"/>
    <x v="3"/>
    <x v="13"/>
    <n v="0.90645461407240735"/>
    <s v="26/02 (26/01 - 25/02)"/>
  </r>
  <r>
    <s v="AFB .:. OFB-ESTAMP"/>
    <x v="74"/>
    <s v="OFB-ESTAMP"/>
    <m/>
    <x v="3"/>
    <x v="40"/>
    <x v="5"/>
    <s v="Pierre BOURLIEUX"/>
    <x v="0"/>
    <x v="3"/>
    <x v="13"/>
    <n v="1.9386439074826591"/>
    <s v="26/02 (26/01 - 25/02)"/>
  </r>
  <r>
    <s v="OFB .:. OFB-NATUREFRANCE"/>
    <x v="32"/>
    <s v="OFB-NatureFrance"/>
    <m/>
    <x v="3"/>
    <x v="24"/>
    <x v="16"/>
    <s v="Rodolphe HABEGGER"/>
    <x v="0"/>
    <x v="13"/>
    <x v="13"/>
    <n v="4.5011372223295192"/>
    <s v="26/02 (26/01 - 25/02)"/>
  </r>
  <r>
    <s v="AFB .:. OFB-SISPEA"/>
    <x v="40"/>
    <s v="OFB-SISPEA"/>
    <m/>
    <x v="3"/>
    <x v="26"/>
    <x v="6"/>
    <s v="Pierre BOURLIEUX"/>
    <x v="0"/>
    <x v="3"/>
    <x v="13"/>
    <n v="2.4731662927160745"/>
    <s v="26/02 (26/01 - 25/02)"/>
  </r>
  <r>
    <s v="PCM .:. PCM-ALS"/>
    <x v="22"/>
    <s v="PCM-ALS"/>
    <m/>
    <x v="3"/>
    <x v="18"/>
    <x v="13"/>
    <s v="Alice MARCHAL"/>
    <x v="0"/>
    <x v="10"/>
    <x v="13"/>
    <n v="3.7084079397057796"/>
    <s v="26/02 (26/01 - 25/02)"/>
  </r>
  <r>
    <s v="PCM .:. PCM-WEB"/>
    <x v="23"/>
    <s v="PCM-Web"/>
    <m/>
    <x v="3"/>
    <x v="19"/>
    <x v="13"/>
    <s v="Rodolphe HABEGGER"/>
    <x v="0"/>
    <x v="10"/>
    <x v="13"/>
    <n v="2.0739729844005992"/>
    <s v="26/02 (26/01 - 25/02)"/>
  </r>
  <r>
    <s v="SAFT .:. SAFT-PDM"/>
    <x v="56"/>
    <s v="SAFT-PDM"/>
    <m/>
    <x v="3"/>
    <x v="35"/>
    <x v="19"/>
    <s v="Pierre BOURLIEUX"/>
    <x v="0"/>
    <x v="16"/>
    <x v="13"/>
    <n v="1.9639849971568824"/>
    <s v="26/02 (26/01 - 25/02)"/>
  </r>
  <r>
    <s v="SPC .:. SPC-BUILD"/>
    <x v="24"/>
    <s v="SPC-BUILD"/>
    <m/>
    <x v="3"/>
    <x v="1"/>
    <x v="1"/>
    <s v="Nicolas DURFORT"/>
    <x v="0"/>
    <x v="1"/>
    <x v="13"/>
    <n v="45.055540291751477"/>
    <s v="26/02 (26/01 - 25/02)"/>
  </r>
  <r>
    <s v="SPC .:. SPC-WEB"/>
    <x v="25"/>
    <s v="SPC-WEB"/>
    <m/>
    <x v="3"/>
    <x v="2"/>
    <x v="2"/>
    <s v="Nicolas DURFORT"/>
    <x v="0"/>
    <x v="1"/>
    <x v="13"/>
    <n v="0"/>
    <s v="26/02 (26/01 - 25/02)"/>
  </r>
  <r>
    <s v="STMICRO .:. STMICRO-DATAPACK"/>
    <x v="66"/>
    <s v="STMICRO-DATAPACK"/>
    <m/>
    <x v="3"/>
    <x v="36"/>
    <x v="20"/>
    <s v="Jean-Philippe STROIAZZO"/>
    <x v="0"/>
    <x v="17"/>
    <x v="13"/>
    <n v="3.7545126298925022"/>
    <s v="26/02 (26/01 - 25/02)"/>
  </r>
  <r>
    <s v="STMICRO .:. STMICRO-ROCKET"/>
    <x v="67"/>
    <s v="STMICRO-ROCKET"/>
    <m/>
    <x v="3"/>
    <x v="38"/>
    <x v="20"/>
    <s v="Jean-Philippe STROIAZZO"/>
    <x v="0"/>
    <x v="17"/>
    <x v="13"/>
    <n v="5.0022865739551357"/>
    <s v="26/02 (26/01 - 25/02)"/>
  </r>
  <r>
    <s v="ALM .:. ALM-ATOUT"/>
    <x v="29"/>
    <m/>
    <s v="ALM-ATOUT-VM"/>
    <x v="2"/>
    <x v="10"/>
    <x v="7"/>
    <s v="Alice MARCHAL"/>
    <x v="0"/>
    <x v="4"/>
    <x v="13"/>
    <n v="29.500102606197416"/>
    <s v="(26/01 - 25/02)"/>
  </r>
  <r>
    <s v="BRGM .:. BRGM-ORRM"/>
    <x v="30"/>
    <m/>
    <s v="BRGM-ORRM-VM"/>
    <x v="0"/>
    <x v="11"/>
    <x v="8"/>
    <s v="Alice MARCHAL"/>
    <x v="0"/>
    <x v="5"/>
    <x v="13"/>
    <n v="6.1587933511184074"/>
    <s v="(26/01 - 25/02)"/>
  </r>
  <r>
    <s v="CA-TITRES .:. CATITRES-COMX"/>
    <x v="28"/>
    <m/>
    <s v="CATITRES-COMX-VM"/>
    <x v="1"/>
    <x v="21"/>
    <x v="14"/>
    <s v="Jean-Philippe STROIAZZO"/>
    <x v="0"/>
    <x v="11"/>
    <x v="13"/>
    <n v="13.166361584239688"/>
    <s v="(26/01 - 25/02)"/>
  </r>
  <r>
    <s v="EBR .:. EBR-LAPOSTE"/>
    <x v="31"/>
    <m/>
    <s v="EBR-LAPOSTE-VM"/>
    <x v="1"/>
    <x v="22"/>
    <x v="15"/>
    <s v="Valerie ASSELIN LOZACHMEUR"/>
    <x v="0"/>
    <x v="12"/>
    <x v="13"/>
    <n v="99.751750461727895"/>
    <s v="(26/01 - 25/02)"/>
  </r>
  <r>
    <s v="FRR .:. FRR-DIGIPAT"/>
    <x v="0"/>
    <m/>
    <s v="FRR-DIGIPAT-VM"/>
    <x v="0"/>
    <x v="0"/>
    <x v="0"/>
    <s v="Alice MARCHAL"/>
    <x v="0"/>
    <x v="0"/>
    <x v="13"/>
    <n v="43.566993638415767"/>
    <s v="(26/01 - 25/02)"/>
  </r>
  <r>
    <s v="INETUM .:. INETUM-INTERNE"/>
    <x v="57"/>
    <m/>
    <s v="GFI-PMT-VM"/>
    <x v="5"/>
    <x v="13"/>
    <x v="10"/>
    <s v="Christophe ORLANDO"/>
    <x v="0"/>
    <x v="7"/>
    <x v="13"/>
    <n v="27.233252616458032"/>
    <s v="(26/01 - 25/02)"/>
  </r>
  <r>
    <s v="GFI .:. GFI-WAAC"/>
    <x v="60"/>
    <m/>
    <s v="GFI-WAAC-VM"/>
    <x v="2"/>
    <x v="32"/>
    <x v="17"/>
    <s v="Laurent MARCIANIAK"/>
    <x v="1"/>
    <x v="14"/>
    <x v="13"/>
    <n v="61.391266160476093"/>
    <s v="(26/01 - 25/02)"/>
  </r>
  <r>
    <s v="INETUM .:. INETUM-INTERNE"/>
    <x v="83"/>
    <m/>
    <s v="INETUM-SONAR"/>
    <x v="5"/>
    <x v="13"/>
    <x v="10"/>
    <s v="Christophe ORLANDO"/>
    <x v="0"/>
    <x v="7"/>
    <x v="13"/>
    <n v="64.186012723168474"/>
    <s v="(26/01 - 25/02)"/>
  </r>
  <r>
    <s v="INETUM .:. INETUM-INTERNE"/>
    <x v="84"/>
    <m/>
    <s v="GFI-ORLEANS"/>
    <x v="1"/>
    <x v="13"/>
    <x v="10"/>
    <s v="Christophe ORLANDO"/>
    <x v="0"/>
    <x v="7"/>
    <x v="13"/>
    <n v="6.0863369587523088"/>
    <s v="(26/01 - 25/02)"/>
  </r>
  <r>
    <s v="ITCE .:. ITCE-SIF"/>
    <x v="85"/>
    <m/>
    <s v="ITCE-SIF2"/>
    <x v="1"/>
    <x v="42"/>
    <x v="23"/>
    <s v="Frederic DELAIRE"/>
    <x v="0"/>
    <x v="19"/>
    <x v="13"/>
    <n v="40.84470346808947"/>
    <s v="(26/01 - 25/02)"/>
  </r>
  <r>
    <s v="LAPOSTE .:. LAPOSTE-CDC"/>
    <x v="61"/>
    <m/>
    <s v="LAPOSTE-CDC-VM"/>
    <x v="1"/>
    <x v="33"/>
    <x v="18"/>
    <s v="Rodolphe HABEGGER"/>
    <x v="0"/>
    <x v="15"/>
    <x v="13"/>
    <n v="3.7987851426226142"/>
    <s v="(26/01 - 25/02)"/>
  </r>
  <r>
    <s v="MENESR .:. MENJ-BI"/>
    <x v="35"/>
    <m/>
    <s v="MENJ-BI-VM"/>
    <x v="2"/>
    <x v="25"/>
    <x v="12"/>
    <s v="Eric PERROUD"/>
    <x v="0"/>
    <x v="9"/>
    <x v="13"/>
    <n v="3.7987851426226142"/>
    <s v="(26/01 - 25/02)"/>
  </r>
  <r>
    <s v="MENESR .:. MENJ-INSERJEUNES"/>
    <x v="68"/>
    <m/>
    <s v="MENJ-INERJEUNES"/>
    <x v="0"/>
    <x v="37"/>
    <x v="21"/>
    <s v="Christophe ORLANDO"/>
    <x v="0"/>
    <x v="9"/>
    <x v="13"/>
    <n v="34.716962856556535"/>
    <s v="(26/01 - 25/02)"/>
  </r>
  <r>
    <s v="AFB .:. AFB-CMONSPOT"/>
    <x v="55"/>
    <m/>
    <s v="OFB-CMONSPOT"/>
    <x v="1"/>
    <x v="43"/>
    <x v="6"/>
    <s v="Jean-Philippe STROIAZZO"/>
    <x v="0"/>
    <x v="3"/>
    <x v="13"/>
    <n v="5.082298378822081"/>
    <s v="(26/01 - 25/02)"/>
  </r>
  <r>
    <s v="AFB .:. OFB-ESTAMP"/>
    <x v="86"/>
    <m/>
    <s v="OFB-ESTAMP-2"/>
    <x v="2"/>
    <x v="40"/>
    <x v="5"/>
    <s v="Pierre BOURLIEUX"/>
    <x v="0"/>
    <x v="3"/>
    <x v="13"/>
    <n v="18.352169095013338"/>
    <s v="(26/01 - 25/02)"/>
  </r>
  <r>
    <s v="AFB .:. AFB-NatureFrance"/>
    <x v="34"/>
    <m/>
    <s v="OFB-FRANCENATURE-VM"/>
    <x v="2"/>
    <x v="23"/>
    <x v="6"/>
    <s v="Rodolphe HABEGGER"/>
    <x v="0"/>
    <x v="3"/>
    <x v="13"/>
    <n v="3.7159778370613585"/>
    <s v="(26/01 - 25/02)"/>
  </r>
  <r>
    <s v="AFB .:. OFB-SISPEA"/>
    <x v="58"/>
    <m/>
    <s v="OFB-SISPEA-VM"/>
    <x v="1"/>
    <x v="26"/>
    <x v="6"/>
    <s v="Pierre BOURLIEUX"/>
    <x v="0"/>
    <x v="3"/>
    <x v="13"/>
    <n v="10.268105889595731"/>
    <s v="(26/01 - 25/02)"/>
  </r>
  <r>
    <s v="SPC .:. SPC-BUILD"/>
    <x v="1"/>
    <m/>
    <s v="SPC-BUILDAS-VM"/>
    <x v="1"/>
    <x v="1"/>
    <x v="1"/>
    <s v="Nicolas DURFORT"/>
    <x v="0"/>
    <x v="1"/>
    <x v="13"/>
    <n v="119.12865996306178"/>
    <s v="(26/01 - 25/02)"/>
  </r>
  <r>
    <s v="STMICRO .:. STMICRO-DATAPACK"/>
    <x v="59"/>
    <m/>
    <s v="STMICRO-DATAPACK-VM"/>
    <x v="1"/>
    <x v="36"/>
    <x v="20"/>
    <s v="Jean-Philippe STROIAZZO"/>
    <x v="0"/>
    <x v="17"/>
    <x v="13"/>
    <n v="14.53268212600041"/>
    <s v="(26/01 - 25/02)"/>
  </r>
  <r>
    <s v="ONEMA .:. AFB-BASEINDICATEURS"/>
    <x v="3"/>
    <s v="AFB-BaseIndicateurs"/>
    <m/>
    <x v="3"/>
    <x v="3"/>
    <x v="3"/>
    <s v="Pierre BOURLIEUX"/>
    <x v="0"/>
    <x v="2"/>
    <x v="14"/>
    <n v="0.4393604490109414"/>
    <s v="25/03 (26/02 - 24/03)"/>
  </r>
  <r>
    <s v="ONEMA .:. AFB-CATALOGUE"/>
    <x v="26"/>
    <s v="AFB-Catalogue"/>
    <m/>
    <x v="3"/>
    <x v="20"/>
    <x v="3"/>
    <s v="Pierre BOURLIEUX"/>
    <x v="0"/>
    <x v="2"/>
    <x v="14"/>
    <n v="1.7232501493020502"/>
    <s v="25/03 (26/02 - 24/03)"/>
  </r>
  <r>
    <s v="ONEMA .:. AFB-CDR"/>
    <x v="4"/>
    <s v="AFB-CDR"/>
    <m/>
    <x v="3"/>
    <x v="4"/>
    <x v="4"/>
    <s v="Pierre BOURLIEUX"/>
    <x v="0"/>
    <x v="2"/>
    <x v="14"/>
    <n v="8.1793530258096769"/>
    <s v="25/03 (26/02 - 24/03)"/>
  </r>
  <r>
    <s v="AFB .:. AFB-CESMIA"/>
    <x v="5"/>
    <s v="AFB-CESMIA"/>
    <m/>
    <x v="3"/>
    <x v="5"/>
    <x v="5"/>
    <s v="Jean-Philippe STROIAZZO"/>
    <x v="0"/>
    <x v="3"/>
    <x v="14"/>
    <n v="10.839309424103405"/>
    <s v="25/03 (26/02 - 24/03)"/>
  </r>
  <r>
    <s v="ONEMA .:. AFB-OISON"/>
    <x v="6"/>
    <s v="AFB-OISON"/>
    <m/>
    <x v="3"/>
    <x v="6"/>
    <x v="3"/>
    <s v="Jean-Philippe STROIAZZO"/>
    <x v="0"/>
    <x v="2"/>
    <x v="14"/>
    <n v="9.4509540856467549"/>
    <s v="25/03 (26/02 - 24/03)"/>
  </r>
  <r>
    <s v="ONEMA .:. AFB-PATBIODIV"/>
    <x v="7"/>
    <s v="AFB-PATBiodiv"/>
    <m/>
    <x v="3"/>
    <x v="7"/>
    <x v="3"/>
    <s v="Rodolphe HABEGGER"/>
    <x v="0"/>
    <x v="2"/>
    <x v="14"/>
    <n v="5.5079995307479175"/>
    <s v="25/03 (26/02 - 24/03)"/>
  </r>
  <r>
    <s v="AFB .:. AFB-PNM"/>
    <x v="8"/>
    <s v="AFB-PNM"/>
    <m/>
    <x v="3"/>
    <x v="8"/>
    <x v="6"/>
    <s v="Eric RAUCOURT"/>
    <x v="0"/>
    <x v="3"/>
    <x v="14"/>
    <n v="4.6373763661101659"/>
    <s v="25/03 (26/02 - 24/03)"/>
  </r>
  <r>
    <s v="AFB .:. AFB-PNX"/>
    <x v="9"/>
    <s v="AFB-PNX"/>
    <m/>
    <x v="3"/>
    <x v="9"/>
    <x v="6"/>
    <s v="Pierre BOURLIEUX"/>
    <x v="0"/>
    <x v="3"/>
    <x v="14"/>
    <n v="1.4250169216190238"/>
    <s v="25/03 (26/02 - 24/03)"/>
  </r>
  <r>
    <s v="ONEMA .:. AFB-RAA"/>
    <x v="41"/>
    <s v="AFB-RAA"/>
    <m/>
    <x v="3"/>
    <x v="27"/>
    <x v="4"/>
    <s v="Pierre BOURLIEUX"/>
    <x v="0"/>
    <x v="2"/>
    <x v="14"/>
    <n v="0.20435369721439134"/>
    <s v="25/03 (26/02 - 24/03)"/>
  </r>
  <r>
    <s v="ALM .:. ALM-ATOUT"/>
    <x v="10"/>
    <s v="ALM-ATOUT"/>
    <m/>
    <x v="3"/>
    <x v="10"/>
    <x v="7"/>
    <s v="Alice MARCHAL"/>
    <x v="0"/>
    <x v="4"/>
    <x v="14"/>
    <n v="2.3164472064162136"/>
    <s v="25/03 (26/02 - 24/03)"/>
  </r>
  <r>
    <s v="BRGM .:. BRGM-ORRM"/>
    <x v="11"/>
    <s v="BRGM-ORRM"/>
    <m/>
    <x v="3"/>
    <x v="11"/>
    <x v="8"/>
    <s v="Alice MARCHAL"/>
    <x v="0"/>
    <x v="5"/>
    <x v="14"/>
    <n v="6.1145394697655888"/>
    <s v="25/03 (26/02 - 24/03)"/>
  </r>
  <r>
    <s v="CGOS .:. CGOS-BI"/>
    <x v="69"/>
    <s v="CGOS-BI"/>
    <m/>
    <x v="3"/>
    <x v="39"/>
    <x v="22"/>
    <s v="Valerie ASSELIN LOZACHMEUR"/>
    <x v="0"/>
    <x v="18"/>
    <x v="14"/>
    <n v="7.0502025538965007"/>
    <s v="25/03 (26/02 - 24/03)"/>
  </r>
  <r>
    <s v="CNAV .:. CNAV-BI-RGCU"/>
    <x v="12"/>
    <s v="CNAV-BI-RGCU"/>
    <m/>
    <x v="3"/>
    <x v="12"/>
    <x v="9"/>
    <s v="Valerie ASSELIN LOZACHMEUR"/>
    <x v="0"/>
    <x v="6"/>
    <x v="14"/>
    <n v="2.3500675179655004"/>
    <s v="25/03 (26/02 - 24/03)"/>
  </r>
  <r>
    <s v="FRR .:. FRR-DIGIPAT"/>
    <x v="15"/>
    <s v="FRR DIGIPAT"/>
    <m/>
    <x v="3"/>
    <x v="0"/>
    <x v="0"/>
    <s v="Alice MARCHAL"/>
    <x v="0"/>
    <x v="0"/>
    <x v="14"/>
    <n v="4.6934674349813355"/>
    <s v="25/03 (26/02 - 24/03)"/>
  </r>
  <r>
    <s v="FRR .:. FRR-APPLIFRR"/>
    <x v="42"/>
    <s v="FRR-APPLIFRR"/>
    <m/>
    <x v="3"/>
    <x v="28"/>
    <x v="0"/>
    <s v="Jean-Philippe STROIAZZO"/>
    <x v="0"/>
    <x v="0"/>
    <x v="14"/>
    <n v="1.9639849971568824"/>
    <s v="25/03 (26/02 - 24/03)"/>
  </r>
  <r>
    <s v="FRR .:. FRR-CADENCIER"/>
    <x v="43"/>
    <s v="FRR-CADENCIER"/>
    <m/>
    <x v="3"/>
    <x v="29"/>
    <x v="0"/>
    <s v="Jean-Philippe STROIAZZO"/>
    <x v="0"/>
    <x v="0"/>
    <x v="14"/>
    <n v="2.4862222233714379"/>
    <s v="25/03 (26/02 - 24/03)"/>
  </r>
  <r>
    <s v="FRR .:. FRR-PATAPAIN"/>
    <x v="44"/>
    <s v="FRR-Patapain"/>
    <m/>
    <x v="3"/>
    <x v="30"/>
    <x v="0"/>
    <s v="Christophe ORLANDO"/>
    <x v="0"/>
    <x v="0"/>
    <x v="14"/>
    <n v="1.2752572266606905"/>
    <s v="25/03 (26/02 - 24/03)"/>
  </r>
  <r>
    <s v="FRR .:. FRR-PATAPAINANDROID"/>
    <x v="45"/>
    <s v="FRR-PATAPAINANDROID"/>
    <m/>
    <x v="3"/>
    <x v="31"/>
    <x v="0"/>
    <s v="Jean-Philippe STROIAZZO"/>
    <x v="0"/>
    <x v="0"/>
    <x v="14"/>
    <n v="6.6641200330878831"/>
    <s v="25/03 (26/02 - 24/03)"/>
  </r>
  <r>
    <s v="INETUM .:. INETUM-INTERNE"/>
    <x v="70"/>
    <s v="GFI-BaseDocumentaire"/>
    <m/>
    <x v="3"/>
    <x v="13"/>
    <x v="10"/>
    <s v="Christophe ORLANDO"/>
    <x v="0"/>
    <x v="7"/>
    <x v="14"/>
    <n v="1.7289782453603324"/>
    <s v="25/03 (26/02 - 24/03)"/>
  </r>
  <r>
    <s v="INETUM .:. INETUM-INTERNE"/>
    <x v="46"/>
    <s v="GFI-CMIS"/>
    <m/>
    <x v="3"/>
    <x v="13"/>
    <x v="10"/>
    <s v="Christophe ORLANDO"/>
    <x v="0"/>
    <x v="7"/>
    <x v="14"/>
    <n v="0.20435369721439134"/>
    <s v="25/03 (26/02 - 24/03)"/>
  </r>
  <r>
    <s v="INETUM .:. INETUM-INTERNE"/>
    <x v="47"/>
    <s v="GFI-COFFEE"/>
    <m/>
    <x v="3"/>
    <x v="13"/>
    <x v="10"/>
    <s v="Christophe ORLANDO"/>
    <x v="0"/>
    <x v="7"/>
    <x v="14"/>
    <n v="0.91866275702287747"/>
    <s v="25/03 (26/02 - 24/03)"/>
  </r>
  <r>
    <s v="INETUM .:. INETUM-INTERNE"/>
    <x v="48"/>
    <s v="GFI-CRALENIUM"/>
    <m/>
    <x v="3"/>
    <x v="13"/>
    <x v="10"/>
    <s v="Christophe ORLANDO"/>
    <x v="0"/>
    <x v="7"/>
    <x v="14"/>
    <n v="1.9639849971568824"/>
    <s v="25/03 (26/02 - 24/03)"/>
  </r>
  <r>
    <s v="INETUM .:. INETUM-INTERNE"/>
    <x v="16"/>
    <s v="GFI-D8-BS4-THEME"/>
    <m/>
    <x v="3"/>
    <x v="13"/>
    <x v="10"/>
    <s v="Christophe ORLANDO"/>
    <x v="0"/>
    <x v="7"/>
    <x v="14"/>
    <n v="1.2618840802988665"/>
    <s v="25/03 (26/02 - 24/03)"/>
  </r>
  <r>
    <s v="INETUM .:. INETUM-INTERNE"/>
    <x v="49"/>
    <s v="GFI-Docker Devbox Install"/>
    <m/>
    <x v="3"/>
    <x v="13"/>
    <x v="10"/>
    <s v="Christophe ORLANDO"/>
    <x v="0"/>
    <x v="7"/>
    <x v="14"/>
    <n v="8.3493344363591984"/>
    <s v="25/03 (26/02 - 24/03)"/>
  </r>
  <r>
    <s v="INETUM .:. INETUM-INTERNE"/>
    <x v="27"/>
    <s v="GFI-MineReport"/>
    <m/>
    <x v="3"/>
    <x v="13"/>
    <x v="10"/>
    <s v="Christophe ORLANDO"/>
    <x v="0"/>
    <x v="7"/>
    <x v="14"/>
    <n v="2.0153609320734445"/>
    <s v="25/03 (26/02 - 24/03)"/>
  </r>
  <r>
    <s v="INETUM .:. INETUM-INTERNE"/>
    <x v="50"/>
    <s v="GFI-PMT"/>
    <m/>
    <x v="3"/>
    <x v="13"/>
    <x v="10"/>
    <s v="Christophe ORLANDO"/>
    <x v="0"/>
    <x v="7"/>
    <x v="14"/>
    <n v="2.8919159661911267"/>
    <s v="25/03 (26/02 - 24/03)"/>
  </r>
  <r>
    <s v="INETUM .:. INETUM-INTERNE"/>
    <x v="37"/>
    <s v="GFI-RedmineDocker"/>
    <m/>
    <x v="3"/>
    <x v="13"/>
    <x v="10"/>
    <s v="Christophe ORLANDO"/>
    <x v="0"/>
    <x v="7"/>
    <x v="14"/>
    <n v="0.88892036954060472"/>
    <s v="25/03 (26/02 - 24/03)"/>
  </r>
  <r>
    <s v="INETUM .:. INETUM-INTERNE"/>
    <x v="51"/>
    <s v="GFI-TENDER"/>
    <m/>
    <x v="3"/>
    <x v="13"/>
    <x v="10"/>
    <s v="Christophe ORLANDO"/>
    <x v="0"/>
    <x v="7"/>
    <x v="14"/>
    <n v="1.9639849971568824"/>
    <s v="25/03 (26/02 - 24/03)"/>
  </r>
  <r>
    <s v="GFI .:. GFI-WAAC"/>
    <x v="38"/>
    <s v="GFI-WAAC"/>
    <m/>
    <x v="3"/>
    <x v="32"/>
    <x v="17"/>
    <s v="Laurent MARCIANIAK"/>
    <x v="1"/>
    <x v="14"/>
    <x v="14"/>
    <n v="178.55087394818673"/>
    <s v="25/03 (26/02 - 24/03)"/>
  </r>
  <r>
    <s v="GLI .:. GLI-APIBIOMETRIE"/>
    <x v="17"/>
    <s v="GLI-APIBiometrie"/>
    <m/>
    <x v="3"/>
    <x v="14"/>
    <x v="11"/>
    <s v="Rodolphe HABEGGER"/>
    <x v="0"/>
    <x v="8"/>
    <x v="14"/>
    <n v="2.07819696196557"/>
    <s v="25/03 (26/02 - 24/03)"/>
  </r>
  <r>
    <s v="INETUM .:. INETUM-INTERNE"/>
    <x v="80"/>
    <s v="INETUM-Azure-Pipelines"/>
    <m/>
    <x v="3"/>
    <x v="13"/>
    <x v="10"/>
    <s v="Christophe ORLANDO"/>
    <x v="0"/>
    <x v="7"/>
    <x v="14"/>
    <n v="3.498008930726646"/>
    <s v="25/03 (26/02 - 24/03)"/>
  </r>
  <r>
    <s v="INETUM .:. INETUM-INTERNE"/>
    <x v="75"/>
    <s v="INETUM-communaute-technique"/>
    <m/>
    <x v="3"/>
    <x v="13"/>
    <x v="10"/>
    <s v="Christophe ORLANDO"/>
    <x v="0"/>
    <x v="7"/>
    <x v="14"/>
    <n v="1.1479414127611454"/>
    <s v="25/03 (26/02 - 24/03)"/>
  </r>
  <r>
    <s v="INETUM .:. INETUM-INTERNE"/>
    <x v="87"/>
    <s v="INETUM-Docker-Base-Image"/>
    <m/>
    <x v="3"/>
    <x v="13"/>
    <x v="10"/>
    <s v="Christophe ORLANDO"/>
    <x v="0"/>
    <x v="7"/>
    <x v="14"/>
    <n v="2.9853303937106999"/>
    <s v="25/03 (26/02 - 24/03)"/>
  </r>
  <r>
    <s v="INETUM .:. INETUM-INTERNE"/>
    <x v="76"/>
    <s v="INETUM-documentation"/>
    <m/>
    <x v="3"/>
    <x v="13"/>
    <x v="10"/>
    <s v="Christophe ORLANDO"/>
    <x v="0"/>
    <x v="7"/>
    <x v="14"/>
    <n v="1.1479414127611454"/>
    <s v="25/03 (26/02 - 24/03)"/>
  </r>
  <r>
    <s v="INETUM .:. INETUM-INTERNE"/>
    <x v="81"/>
    <s v="INETUM-starterkit-drupal"/>
    <m/>
    <x v="3"/>
    <x v="13"/>
    <x v="10"/>
    <s v="Christophe ORLANDO"/>
    <x v="0"/>
    <x v="7"/>
    <x v="14"/>
    <n v="5.8089086567260537"/>
    <s v="25/03 (26/02 - 24/03)"/>
  </r>
  <r>
    <s v="INETUM .:. INETUM-INTERNE"/>
    <x v="77"/>
    <s v="INETUM-starterkit-symfony"/>
    <m/>
    <x v="3"/>
    <x v="13"/>
    <x v="10"/>
    <s v="Christophe ORLANDO"/>
    <x v="0"/>
    <x v="7"/>
    <x v="14"/>
    <n v="0.34678203163654286"/>
    <s v="25/03 (26/02 - 24/03)"/>
  </r>
  <r>
    <s v="LAPOSTE .:. LAPOSTE-CDC"/>
    <x v="52"/>
    <s v="LAPOSTE-F4N-Musee"/>
    <m/>
    <x v="3"/>
    <x v="33"/>
    <x v="18"/>
    <s v="Rodolphe HABEGGER"/>
    <x v="0"/>
    <x v="15"/>
    <x v="14"/>
    <n v="2.628279504464289"/>
    <s v="25/03 (26/02 - 24/03)"/>
  </r>
  <r>
    <s v="LAPOSTE .:. LAPOSTE-CDC"/>
    <x v="62"/>
    <s v="LAPOSTE-L71-PDP"/>
    <m/>
    <x v="3"/>
    <x v="33"/>
    <x v="18"/>
    <s v="Rodolphe HABEGGER"/>
    <x v="0"/>
    <x v="15"/>
    <x v="14"/>
    <n v="1.9647779280102831"/>
    <s v="25/03 (26/02 - 24/03)"/>
  </r>
  <r>
    <s v="LAPOSTE .:. LAPOSTE-CDC"/>
    <x v="63"/>
    <s v="LAPOSTE-LCA-PariteUn-e"/>
    <m/>
    <x v="3"/>
    <x v="33"/>
    <x v="18"/>
    <s v="Rodolphe HABEGGER"/>
    <x v="0"/>
    <x v="15"/>
    <x v="14"/>
    <n v="1.9647779280102831"/>
    <s v="25/03 (26/02 - 24/03)"/>
  </r>
  <r>
    <s v="LAPOSTE .:. LAPOSTE-CDC"/>
    <x v="53"/>
    <s v="LAPOSTE-LPK-PortailVoyage"/>
    <m/>
    <x v="3"/>
    <x v="33"/>
    <x v="18"/>
    <s v="Rodolphe HABEGGER"/>
    <x v="0"/>
    <x v="15"/>
    <x v="14"/>
    <n v="1.9647779280102831"/>
    <s v="25/03 (26/02 - 24/03)"/>
  </r>
  <r>
    <s v="LAPOSTE .:. LAPOSTE-CDC"/>
    <x v="54"/>
    <s v="LAPOSTE-LPM-IntranetDHA"/>
    <m/>
    <x v="3"/>
    <x v="33"/>
    <x v="18"/>
    <s v="Rodolphe HABEGGER"/>
    <x v="0"/>
    <x v="15"/>
    <x v="14"/>
    <n v="1.9647779280102831"/>
    <s v="25/03 (26/02 - 24/03)"/>
  </r>
  <r>
    <s v="LAPOSTE .:. LAPOSTE-CDC"/>
    <x v="71"/>
    <s v="LAPOSTE-V7_-Galaxy"/>
    <m/>
    <x v="3"/>
    <x v="33"/>
    <x v="18"/>
    <s v="Rodolphe HABEGGER"/>
    <x v="0"/>
    <x v="15"/>
    <x v="14"/>
    <n v="1.2610143932184754"/>
    <s v="25/03 (26/02 - 24/03)"/>
  </r>
  <r>
    <s v="LAPOSTE .:. LAPOSTE-CDC"/>
    <x v="73"/>
    <s v="LAPOSTE-VW2-MEDIACOM"/>
    <m/>
    <x v="3"/>
    <x v="33"/>
    <x v="18"/>
    <s v="Rodolphe HABEGGER"/>
    <x v="0"/>
    <x v="15"/>
    <x v="14"/>
    <n v="0.96725595347278792"/>
    <s v="25/03 (26/02 - 24/03)"/>
  </r>
  <r>
    <s v="LAPOSTE .:. LAPOSTE-CDC"/>
    <x v="82"/>
    <s v="LAPOSTE-VW7-EvtExpres"/>
    <m/>
    <x v="3"/>
    <x v="33"/>
    <x v="18"/>
    <s v="Rodolphe HABEGGER"/>
    <x v="0"/>
    <x v="15"/>
    <x v="14"/>
    <n v="1.5374929247438285"/>
    <s v="25/03 (26/02 - 24/03)"/>
  </r>
  <r>
    <s v="LAPOSTE .:. LAPOSTE-CDC"/>
    <x v="64"/>
    <s v="LAPOSTE-VWA-Fondation"/>
    <m/>
    <x v="3"/>
    <x v="33"/>
    <x v="18"/>
    <s v="Rodolphe HABEGGER"/>
    <x v="0"/>
    <x v="15"/>
    <x v="14"/>
    <n v="2.9345110012892146"/>
    <s v="25/03 (26/02 - 24/03)"/>
  </r>
  <r>
    <s v="MENESR .:. MENJ-APAE"/>
    <x v="18"/>
    <s v="MENJ-APAE"/>
    <m/>
    <x v="3"/>
    <x v="15"/>
    <x v="12"/>
    <s v="Pierre BOURLIEUX"/>
    <x v="0"/>
    <x v="9"/>
    <x v="14"/>
    <n v="2.7061383540208794"/>
    <s v="25/03 (26/02 - 24/03)"/>
  </r>
  <r>
    <s v="MENESR .:. MENJ-BI"/>
    <x v="36"/>
    <s v="MENJ-BI"/>
    <m/>
    <x v="3"/>
    <x v="25"/>
    <x v="12"/>
    <s v="Eric PERROUD"/>
    <x v="0"/>
    <x v="9"/>
    <x v="14"/>
    <n v="0.7833558393218335"/>
    <s v="25/03 (26/02 - 24/03)"/>
  </r>
  <r>
    <s v="MENESR .:. MENJ-BNIE"/>
    <x v="19"/>
    <s v="MENJ-BNIE-BDD"/>
    <m/>
    <x v="3"/>
    <x v="16"/>
    <x v="12"/>
    <s v="Pierre BOURLIEUX"/>
    <x v="0"/>
    <x v="9"/>
    <x v="14"/>
    <n v="1.8108745376530697"/>
    <s v="25/03 (26/02 - 24/03)"/>
  </r>
  <r>
    <s v="MENESR .:. MENJ-BNIE"/>
    <x v="33"/>
    <s v="MENJ-BNIE-Webservices"/>
    <m/>
    <x v="3"/>
    <x v="16"/>
    <x v="12"/>
    <s v="Pierre BOURLIEUX"/>
    <x v="0"/>
    <x v="9"/>
    <x v="14"/>
    <n v="0.38159012745745596"/>
    <s v="25/03 (26/02 - 24/03)"/>
  </r>
  <r>
    <s v="MENESR .:. MENJ-INSERJEUNES"/>
    <x v="65"/>
    <s v="MENJ-InserJeunes"/>
    <m/>
    <x v="3"/>
    <x v="37"/>
    <x v="21"/>
    <s v="Christophe ORLANDO"/>
    <x v="0"/>
    <x v="9"/>
    <x v="14"/>
    <n v="2.3336572968255571"/>
    <s v="25/03 (26/02 - 24/03)"/>
  </r>
  <r>
    <s v="MENESR .:. MENJ-RNIE"/>
    <x v="20"/>
    <s v="MENJ-RNIE-BDD"/>
    <m/>
    <x v="3"/>
    <x v="17"/>
    <x v="12"/>
    <s v="Pierre BOURLIEUX"/>
    <x v="0"/>
    <x v="9"/>
    <x v="14"/>
    <n v="1.1394266753772122"/>
    <s v="25/03 (26/02 - 24/03)"/>
  </r>
  <r>
    <s v="MENESR .:. MENJ-RNIE"/>
    <x v="21"/>
    <s v="MENJ-RNIE-Webservices"/>
    <m/>
    <x v="3"/>
    <x v="17"/>
    <x v="12"/>
    <s v="Pierre BOURLIEUX"/>
    <x v="0"/>
    <x v="9"/>
    <x v="14"/>
    <n v="0.35607083605537881"/>
    <s v="25/03 (26/02 - 24/03)"/>
  </r>
  <r>
    <s v="AFB .:. OFB-CARTOTHEQUE"/>
    <x v="78"/>
    <s v="OFB-CARTOTHEQUE"/>
    <m/>
    <x v="3"/>
    <x v="41"/>
    <x v="6"/>
    <s v="Pierre BOURLIEUX"/>
    <x v="0"/>
    <x v="3"/>
    <x v="14"/>
    <n v="1.8464816212586075"/>
    <s v="25/03 (26/02 - 24/03)"/>
  </r>
  <r>
    <s v="AFB .:. OFB-CMONSPOT"/>
    <x v="55"/>
    <s v="OFB-CMONSPOT"/>
    <m/>
    <x v="3"/>
    <x v="34"/>
    <x v="6"/>
    <s v="Pierre BOURLIEUX"/>
    <x v="0"/>
    <x v="3"/>
    <x v="14"/>
    <n v="0.90645461407240735"/>
    <s v="25/03 (26/02 - 24/03)"/>
  </r>
  <r>
    <s v="AFB .:. OFB-ESTAMP"/>
    <x v="74"/>
    <s v="OFB-ESTAMP"/>
    <m/>
    <x v="3"/>
    <x v="40"/>
    <x v="5"/>
    <s v="Pierre BOURLIEUX"/>
    <x v="0"/>
    <x v="3"/>
    <x v="14"/>
    <n v="1.7803541802768943"/>
    <s v="25/03 (26/02 - 24/03)"/>
  </r>
  <r>
    <s v="OFB .:. OFB-NATUREFRANCE"/>
    <x v="32"/>
    <s v="OFB-NatureFrance"/>
    <m/>
    <x v="3"/>
    <x v="24"/>
    <x v="16"/>
    <s v="Rodolphe HABEGGER"/>
    <x v="0"/>
    <x v="13"/>
    <x v="14"/>
    <n v="4.4826594931092538"/>
    <s v="25/03 (26/02 - 24/03)"/>
  </r>
  <r>
    <s v="AFB .:. OFB-SISPEA"/>
    <x v="40"/>
    <s v="OFB-SISPEA"/>
    <m/>
    <x v="3"/>
    <x v="26"/>
    <x v="6"/>
    <s v="Pierre BOURLIEUX"/>
    <x v="0"/>
    <x v="3"/>
    <x v="14"/>
    <n v="2.4731662927160745"/>
    <s v="25/03 (26/02 - 24/03)"/>
  </r>
  <r>
    <s v="PCM .:. PCM-ALS"/>
    <x v="22"/>
    <s v="PCM-ALS"/>
    <m/>
    <x v="3"/>
    <x v="18"/>
    <x v="13"/>
    <s v="Alice MARCHAL"/>
    <x v="0"/>
    <x v="10"/>
    <x v="14"/>
    <n v="3.6991191352869435"/>
    <s v="25/03 (26/02 - 24/03)"/>
  </r>
  <r>
    <s v="PCM .:. PCM-WEB"/>
    <x v="23"/>
    <s v="PCM-Web"/>
    <m/>
    <x v="3"/>
    <x v="19"/>
    <x v="13"/>
    <s v="Rodolphe HABEGGER"/>
    <x v="0"/>
    <x v="10"/>
    <x v="14"/>
    <n v="2.0739729844005992"/>
    <s v="25/03 (26/02 - 24/03)"/>
  </r>
  <r>
    <s v="SAFT .:. SAFT-PDM"/>
    <x v="56"/>
    <s v="SAFT-PDM"/>
    <m/>
    <x v="3"/>
    <x v="35"/>
    <x v="19"/>
    <s v="Pierre BOURLIEUX"/>
    <x v="0"/>
    <x v="16"/>
    <x v="14"/>
    <n v="1.9639849971568824"/>
    <s v="25/03 (26/02 - 24/03)"/>
  </r>
  <r>
    <s v="SPC .:. SPC-BUILD"/>
    <x v="24"/>
    <s v="SPC-BUILD"/>
    <m/>
    <x v="3"/>
    <x v="1"/>
    <x v="1"/>
    <s v="Nicolas DURFORT"/>
    <x v="0"/>
    <x v="1"/>
    <x v="14"/>
    <n v="51.335675834953072"/>
    <s v="25/03 (26/02 - 24/03)"/>
  </r>
  <r>
    <s v="SPC .:. SPC-WEB"/>
    <x v="25"/>
    <s v="SPC-WEB"/>
    <m/>
    <x v="3"/>
    <x v="2"/>
    <x v="2"/>
    <s v="Nicolas DURFORT"/>
    <x v="0"/>
    <x v="1"/>
    <x v="14"/>
    <n v="0"/>
    <s v="25/03 (26/02 - 24/03)"/>
  </r>
  <r>
    <s v="STMICRO .:. STMICRO-DATAPACK"/>
    <x v="66"/>
    <s v="STMICRO-DATAPACK"/>
    <m/>
    <x v="3"/>
    <x v="36"/>
    <x v="20"/>
    <s v="Jean-Philippe STROIAZZO"/>
    <x v="0"/>
    <x v="17"/>
    <x v="14"/>
    <n v="3.6604081946492948"/>
    <s v="25/03 (26/02 - 24/03)"/>
  </r>
  <r>
    <s v="STMICRO .:. STMICRO-ROCKET"/>
    <x v="67"/>
    <s v="STMICRO-ROCKET"/>
    <m/>
    <x v="3"/>
    <x v="38"/>
    <x v="20"/>
    <s v="Jean-Philippe STROIAZZO"/>
    <x v="0"/>
    <x v="17"/>
    <x v="14"/>
    <n v="4.992113121496411"/>
    <s v="25/03 (26/02 - 24/03)"/>
  </r>
  <r>
    <s v="ALM .:. ALM-ATOUT"/>
    <x v="29"/>
    <m/>
    <s v="ALM-ATOUT-VM"/>
    <x v="2"/>
    <x v="10"/>
    <x v="7"/>
    <s v="Alice MARCHAL"/>
    <x v="0"/>
    <x v="4"/>
    <x v="14"/>
    <n v="18.214040473528058"/>
    <s v="(26/02 - 24/03)"/>
  </r>
  <r>
    <s v="BRGM .:. BRGM-ORRM"/>
    <x v="30"/>
    <m/>
    <s v="BRGM-ORRM-VM"/>
    <x v="0"/>
    <x v="11"/>
    <x v="8"/>
    <s v="Alice MARCHAL"/>
    <x v="0"/>
    <x v="5"/>
    <x v="14"/>
    <n v="3.5156217778285388"/>
    <s v="(26/02 - 24/03)"/>
  </r>
  <r>
    <s v="CA-TITRES .:. CATITRES-COMX"/>
    <x v="28"/>
    <m/>
    <s v="CATITRES-COMX-VM"/>
    <x v="1"/>
    <x v="21"/>
    <x v="14"/>
    <s v="Jean-Philippe STROIAZZO"/>
    <x v="0"/>
    <x v="11"/>
    <x v="14"/>
    <n v="27.932994876398766"/>
    <s v="(26/02 - 24/03)"/>
  </r>
  <r>
    <s v="EBR .:. EBR-LAPOSTE"/>
    <x v="31"/>
    <m/>
    <s v="EBR-LAPOSTE-VM"/>
    <x v="1"/>
    <x v="22"/>
    <x v="15"/>
    <s v="Valerie ASSELIN LOZACHMEUR"/>
    <x v="0"/>
    <x v="12"/>
    <x v="14"/>
    <n v="87.710563808623263"/>
    <s v="(26/02 - 24/03)"/>
  </r>
  <r>
    <s v="FRR .:. FRR-DIGIPAT"/>
    <x v="0"/>
    <m/>
    <s v="FRR-DIGIPAT-VM"/>
    <x v="0"/>
    <x v="0"/>
    <x v="0"/>
    <s v="Alice MARCHAL"/>
    <x v="0"/>
    <x v="0"/>
    <x v="14"/>
    <n v="13.678528418855066"/>
    <s v="(26/02 - 24/03)"/>
  </r>
  <r>
    <s v="INETUM .:. INETUM-INTERNE"/>
    <x v="57"/>
    <m/>
    <s v="GFI-PMT-VM"/>
    <x v="5"/>
    <x v="13"/>
    <x v="10"/>
    <s v="Christophe ORLANDO"/>
    <x v="0"/>
    <x v="7"/>
    <x v="14"/>
    <n v="20.865755193323647"/>
    <s v="(26/02 - 24/03)"/>
  </r>
  <r>
    <s v="GFI .:. GFI-WAAC"/>
    <x v="60"/>
    <m/>
    <s v="GFI-WAAC-VM"/>
    <x v="2"/>
    <x v="32"/>
    <x v="17"/>
    <s v="Laurent MARCIANIAK"/>
    <x v="1"/>
    <x v="14"/>
    <x v="14"/>
    <n v="53.598233725461036"/>
    <s v="(26/02 - 24/03)"/>
  </r>
  <r>
    <s v="INETUM .:. INETUM-INTERNE"/>
    <x v="83"/>
    <m/>
    <s v="INETUM-SONAR"/>
    <x v="5"/>
    <x v="13"/>
    <x v="10"/>
    <s v="Christophe ORLANDO"/>
    <x v="0"/>
    <x v="7"/>
    <x v="14"/>
    <n v="53.886202744805345"/>
    <s v="(26/02 - 24/03)"/>
  </r>
  <r>
    <s v="INETUM .:. INETUM-INTERNE"/>
    <x v="84"/>
    <m/>
    <s v="GFI-ORLEANS"/>
    <x v="1"/>
    <x v="13"/>
    <x v="10"/>
    <s v="Christophe ORLANDO"/>
    <x v="0"/>
    <x v="7"/>
    <x v="14"/>
    <n v="5.3994191127059468"/>
    <s v="(26/02 - 24/03)"/>
  </r>
  <r>
    <s v="ITCE .:. ITCE-SIF"/>
    <x v="85"/>
    <m/>
    <s v="ITCE-SIF2"/>
    <x v="1"/>
    <x v="42"/>
    <x v="23"/>
    <s v="Frederic DELAIRE"/>
    <x v="0"/>
    <x v="19"/>
    <x v="14"/>
    <n v="34.916243595498457"/>
    <s v="(26/02 - 24/03)"/>
  </r>
  <r>
    <s v="LAPOSTE .:. LAPOSTE-CDC"/>
    <x v="61"/>
    <m/>
    <s v="LAPOSTE-CDC-VM"/>
    <x v="1"/>
    <x v="33"/>
    <x v="18"/>
    <s v="Rodolphe HABEGGER"/>
    <x v="0"/>
    <x v="15"/>
    <x v="14"/>
    <n v="3.155660503648142"/>
    <s v="(26/02 - 24/03)"/>
  </r>
  <r>
    <s v="MENESR .:. MENJ-BI"/>
    <x v="35"/>
    <m/>
    <s v="MENJ-BI-VM"/>
    <x v="2"/>
    <x v="25"/>
    <x v="12"/>
    <s v="Eric PERROUD"/>
    <x v="0"/>
    <x v="9"/>
    <x v="14"/>
    <n v="3.6236101600826576"/>
    <s v="(26/02 - 24/03)"/>
  </r>
  <r>
    <s v="MENESR .:. MENJ-INSERJEUNES"/>
    <x v="68"/>
    <m/>
    <s v="MENJ-INERJEUNES"/>
    <x v="0"/>
    <x v="37"/>
    <x v="21"/>
    <s v="Christophe ORLANDO"/>
    <x v="0"/>
    <x v="9"/>
    <x v="14"/>
    <n v="23.277495730332301"/>
    <s v="(26/02 - 24/03)"/>
  </r>
  <r>
    <s v="AFB .:. OFB-CMONSPOT"/>
    <x v="55"/>
    <m/>
    <s v="OFB-CMONSPOT"/>
    <x v="1"/>
    <x v="34"/>
    <x v="6"/>
    <s v="Pierre BOURLIEUX"/>
    <x v="0"/>
    <x v="3"/>
    <x v="14"/>
    <n v="4.5355120546729957"/>
    <s v="(26/02 - 24/03)"/>
  </r>
  <r>
    <s v="AFB .:. OFB-ESTAMP"/>
    <x v="86"/>
    <m/>
    <s v="OFB-ESTAMP-2"/>
    <x v="2"/>
    <x v="40"/>
    <x v="5"/>
    <s v="Pierre BOURLIEUX"/>
    <x v="0"/>
    <x v="3"/>
    <x v="14"/>
    <n v="7.082838004956268"/>
    <s v="(26/02 - 24/03)"/>
  </r>
  <r>
    <s v="OFB .:. OFB-NATUREFRANCE"/>
    <x v="34"/>
    <m/>
    <s v="OFB-FRANCENATURE-VM"/>
    <x v="2"/>
    <x v="24"/>
    <x v="16"/>
    <s v="Rodolphe HABEGGER"/>
    <x v="0"/>
    <x v="13"/>
    <x v="14"/>
    <n v="6.5152990626651759"/>
    <s v="(26/02 - 24/03)"/>
  </r>
  <r>
    <s v="AFB .:. AFB-PNM"/>
    <x v="88"/>
    <m/>
    <s v="OFB-PNM"/>
    <x v="2"/>
    <x v="8"/>
    <x v="6"/>
    <s v="Eric RAUCOURT"/>
    <x v="0"/>
    <x v="3"/>
    <x v="14"/>
    <n v="1.0078915677051101"/>
    <s v="(26/02 - 24/03)"/>
  </r>
  <r>
    <s v="AFB .:. OFB-SISPEA"/>
    <x v="58"/>
    <m/>
    <s v="OFB-SISPEA-VM"/>
    <x v="1"/>
    <x v="26"/>
    <x v="6"/>
    <s v="Pierre BOURLIEUX"/>
    <x v="0"/>
    <x v="3"/>
    <x v="14"/>
    <n v="8.7830550900016746"/>
    <s v="(26/02 - 24/03)"/>
  </r>
  <r>
    <s v="SPC .:. SPC-BUILD"/>
    <x v="1"/>
    <m/>
    <s v="SPC-BUILDAS-VM"/>
    <x v="1"/>
    <x v="1"/>
    <x v="1"/>
    <s v="Nicolas DURFORT"/>
    <x v="0"/>
    <x v="1"/>
    <x v="14"/>
    <n v="62.141314632675773"/>
    <s v="(26/02 - 24/03)"/>
  </r>
  <r>
    <s v="STMICRO .:. STMICRO-DATAPACK"/>
    <x v="59"/>
    <m/>
    <s v="STMICRO-DATAPACK-VM"/>
    <x v="1"/>
    <x v="36"/>
    <x v="20"/>
    <s v="Jean-Philippe STROIAZZO"/>
    <x v="0"/>
    <x v="17"/>
    <x v="14"/>
    <n v="11.902719466231776"/>
    <s v="(26/02 - 24/03)"/>
  </r>
  <r>
    <s v="AFB .:. AFB-CESMIA"/>
    <x v="5"/>
    <s v="AFB-CESMIA"/>
    <m/>
    <x v="3"/>
    <x v="5"/>
    <x v="5"/>
    <s v="Jean-Philippe STROIAZZO"/>
    <x v="0"/>
    <x v="3"/>
    <x v="15"/>
    <n v="13.647956735348576"/>
    <s v="26/04 (25/03 - 25/04)"/>
  </r>
  <r>
    <s v="ONEMA .:. AFB-BASEINDICATEURS"/>
    <x v="3"/>
    <s v="AFB-BaseIndicateurs"/>
    <m/>
    <x v="3"/>
    <x v="3"/>
    <x v="3"/>
    <s v="Pierre BOURLIEUX"/>
    <x v="0"/>
    <x v="2"/>
    <x v="15"/>
    <n v="0.42996379830389486"/>
    <s v="26/04 (25/03 - 25/04)"/>
  </r>
  <r>
    <s v="ONEMA .:. AFB-CATALOGUE"/>
    <x v="26"/>
    <s v="AFB-Catalogue"/>
    <m/>
    <x v="3"/>
    <x v="20"/>
    <x v="3"/>
    <s v="Pierre BOURLIEUX"/>
    <x v="0"/>
    <x v="2"/>
    <x v="15"/>
    <n v="1.7150267227533433"/>
    <s v="26/04 (25/03 - 25/04)"/>
  </r>
  <r>
    <s v="ONEMA .:. AFB-CDR"/>
    <x v="4"/>
    <s v="AFB-CDR"/>
    <m/>
    <x v="3"/>
    <x v="4"/>
    <x v="4"/>
    <s v="Pierre BOURLIEUX"/>
    <x v="0"/>
    <x v="2"/>
    <x v="15"/>
    <n v="7.9267403916639037"/>
    <s v="26/04 (25/03 - 25/04)"/>
  </r>
  <r>
    <s v="ONEMA .:. AFB-OISON"/>
    <x v="6"/>
    <s v="AFB-OISON"/>
    <m/>
    <x v="3"/>
    <x v="6"/>
    <x v="3"/>
    <s v="Jean-Philippe STROIAZZO"/>
    <x v="0"/>
    <x v="2"/>
    <x v="15"/>
    <n v="9.0745735376587238"/>
    <s v="26/04 (25/03 - 25/04)"/>
  </r>
  <r>
    <s v="ONEMA .:. AFB-PATBIODIV"/>
    <x v="7"/>
    <s v="AFB-PATBiodiv"/>
    <m/>
    <x v="3"/>
    <x v="7"/>
    <x v="3"/>
    <s v="Rodolphe HABEGGER"/>
    <x v="0"/>
    <x v="2"/>
    <x v="15"/>
    <n v="4.1543867222507247"/>
    <s v="26/04 (25/03 - 25/04)"/>
  </r>
  <r>
    <s v="AFB .:. AFB-PNM"/>
    <x v="8"/>
    <s v="AFB-PNM"/>
    <m/>
    <x v="3"/>
    <x v="8"/>
    <x v="6"/>
    <s v="Eric RAUCOURT"/>
    <x v="0"/>
    <x v="3"/>
    <x v="15"/>
    <n v="4.1692992373948234"/>
    <s v="26/04 (25/03 - 25/04)"/>
  </r>
  <r>
    <s v="AFB .:. AFB-PNX"/>
    <x v="9"/>
    <s v="AFB-PNX"/>
    <m/>
    <x v="3"/>
    <x v="9"/>
    <x v="6"/>
    <s v="Pierre BOURLIEUX"/>
    <x v="0"/>
    <x v="3"/>
    <x v="15"/>
    <n v="1.2665088468063661"/>
    <s v="26/04 (25/03 - 25/04)"/>
  </r>
  <r>
    <s v="ONEMA .:. AFB-RAA"/>
    <x v="41"/>
    <s v="AFB-RAA"/>
    <m/>
    <x v="3"/>
    <x v="27"/>
    <x v="4"/>
    <s v="Pierre BOURLIEUX"/>
    <x v="0"/>
    <x v="2"/>
    <x v="15"/>
    <n v="0.20520999464504075"/>
    <s v="26/04 (25/03 - 25/04)"/>
  </r>
  <r>
    <s v="ALM .:. ALM-ATOUT"/>
    <x v="10"/>
    <s v="ALM-ATOUT"/>
    <m/>
    <x v="3"/>
    <x v="10"/>
    <x v="7"/>
    <s v="Alice MARCHAL"/>
    <x v="0"/>
    <x v="4"/>
    <x v="15"/>
    <n v="2.4477324791755843"/>
    <s v="26/04 (25/03 - 25/04)"/>
  </r>
  <r>
    <s v="BRGM .:. BRGM-ORRM"/>
    <x v="11"/>
    <s v="BRGM-ORRM"/>
    <m/>
    <x v="3"/>
    <x v="11"/>
    <x v="8"/>
    <s v="Alice MARCHAL"/>
    <x v="0"/>
    <x v="5"/>
    <x v="15"/>
    <n v="6.9180090764420807"/>
    <s v="26/04 (25/03 - 25/04)"/>
  </r>
  <r>
    <s v="CGOS .:. CGOS-BI"/>
    <x v="69"/>
    <s v="CGOS-BI"/>
    <m/>
    <x v="3"/>
    <x v="39"/>
    <x v="22"/>
    <s v="Valerie ASSELIN LOZACHMEUR"/>
    <x v="0"/>
    <x v="18"/>
    <x v="15"/>
    <n v="7.0797448152539051"/>
    <s v="26/04 (25/03 - 25/04)"/>
  </r>
  <r>
    <s v="CNAV .:. CNAV-BI-RGCU"/>
    <x v="12"/>
    <s v="CNAV-BI-RGCU"/>
    <m/>
    <x v="3"/>
    <x v="12"/>
    <x v="9"/>
    <s v="Valerie ASSELIN LOZACHMEUR"/>
    <x v="0"/>
    <x v="6"/>
    <x v="15"/>
    <n v="2.3599149384179685"/>
    <s v="26/04 (25/03 - 25/04)"/>
  </r>
  <r>
    <s v="FRR .:. FRR-DIGIPAT"/>
    <x v="15"/>
    <s v="FRR DIGIPAT"/>
    <m/>
    <x v="3"/>
    <x v="0"/>
    <x v="0"/>
    <s v="Alice MARCHAL"/>
    <x v="0"/>
    <x v="0"/>
    <x v="15"/>
    <n v="4.9176612997356548"/>
    <s v="26/04 (25/03 - 25/04)"/>
  </r>
  <r>
    <s v="FRR .:. FRR-APPLIFRR"/>
    <x v="42"/>
    <s v="FRR-APPLIFRR"/>
    <m/>
    <x v="3"/>
    <x v="28"/>
    <x v="0"/>
    <s v="Jean-Philippe STROIAZZO"/>
    <x v="0"/>
    <x v="0"/>
    <x v="15"/>
    <n v="1.2438079816120677"/>
    <s v="26/04 (25/03 - 25/04)"/>
  </r>
  <r>
    <s v="FRR .:. FRR-CADENCIER"/>
    <x v="43"/>
    <s v="FRR-CADENCIER"/>
    <m/>
    <x v="3"/>
    <x v="29"/>
    <x v="0"/>
    <s v="Jean-Philippe STROIAZZO"/>
    <x v="0"/>
    <x v="0"/>
    <x v="15"/>
    <n v="1.7682335234827276"/>
    <s v="26/04 (25/03 - 25/04)"/>
  </r>
  <r>
    <s v="FRR .:. FRR-PATAPAIN"/>
    <x v="44"/>
    <s v="FRR-Patapain"/>
    <m/>
    <x v="3"/>
    <x v="30"/>
    <x v="0"/>
    <s v="Christophe ORLANDO"/>
    <x v="0"/>
    <x v="0"/>
    <x v="15"/>
    <n v="1.2365866138563621"/>
    <s v="26/04 (25/03 - 25/04)"/>
  </r>
  <r>
    <s v="FRR .:. FRR-PATAPAINANDROID"/>
    <x v="45"/>
    <s v="FRR-PATAPAINANDROID"/>
    <m/>
    <x v="3"/>
    <x v="31"/>
    <x v="0"/>
    <s v="Jean-Philippe STROIAZZO"/>
    <x v="0"/>
    <x v="0"/>
    <x v="15"/>
    <n v="5.9636378584480045"/>
    <s v="26/04 (25/03 - 25/04)"/>
  </r>
  <r>
    <s v="INETUM .:. INETUM-INTERNE"/>
    <x v="70"/>
    <s v="GFI-BaseDocumentaire"/>
    <m/>
    <x v="3"/>
    <x v="13"/>
    <x v="10"/>
    <s v="Christophe ORLANDO"/>
    <x v="0"/>
    <x v="7"/>
    <x v="15"/>
    <n v="1.0190541779532136"/>
    <s v="26/04 (25/03 - 25/04)"/>
  </r>
  <r>
    <s v="INETUM .:. INETUM-INTERNE"/>
    <x v="46"/>
    <s v="GFI-CMIS"/>
    <m/>
    <x v="3"/>
    <x v="13"/>
    <x v="10"/>
    <s v="Christophe ORLANDO"/>
    <x v="0"/>
    <x v="7"/>
    <x v="15"/>
    <n v="0.20520999464504075"/>
    <s v="26/04 (25/03 - 25/04)"/>
  </r>
  <r>
    <s v="INETUM .:. INETUM-INTERNE"/>
    <x v="47"/>
    <s v="GFI-COFFEE"/>
    <m/>
    <x v="3"/>
    <x v="13"/>
    <x v="10"/>
    <s v="Christophe ORLANDO"/>
    <x v="0"/>
    <x v="7"/>
    <x v="15"/>
    <n v="0.90194678598748856"/>
    <s v="26/04 (25/03 - 25/04)"/>
  </r>
  <r>
    <s v="INETUM .:. INETUM-INTERNE"/>
    <x v="48"/>
    <s v="GFI-CRALENIUM"/>
    <m/>
    <x v="3"/>
    <x v="13"/>
    <x v="10"/>
    <s v="Christophe ORLANDO"/>
    <x v="0"/>
    <x v="7"/>
    <x v="15"/>
    <n v="1.2438079816120677"/>
    <s v="26/04 (25/03 - 25/04)"/>
  </r>
  <r>
    <s v="INETUM .:. INETUM-INTERNE"/>
    <x v="16"/>
    <s v="GFI-D8-BS4-THEME"/>
    <m/>
    <x v="3"/>
    <x v="13"/>
    <x v="10"/>
    <s v="Christophe ORLANDO"/>
    <x v="0"/>
    <x v="7"/>
    <x v="15"/>
    <n v="1.201618524199294"/>
    <s v="26/04 (25/03 - 25/04)"/>
  </r>
  <r>
    <s v="INETUM .:. INETUM-INTERNE"/>
    <x v="27"/>
    <s v="GFI-MineReport"/>
    <m/>
    <x v="3"/>
    <x v="13"/>
    <x v="10"/>
    <s v="Christophe ORLANDO"/>
    <x v="0"/>
    <x v="7"/>
    <x v="15"/>
    <n v="1.6099212675128791"/>
    <s v="26/04 (25/03 - 25/04)"/>
  </r>
  <r>
    <s v="INETUM .:. INETUM-INTERNE"/>
    <x v="50"/>
    <s v="GFI-PMT"/>
    <m/>
    <x v="3"/>
    <x v="13"/>
    <x v="10"/>
    <s v="Christophe ORLANDO"/>
    <x v="0"/>
    <x v="7"/>
    <x v="15"/>
    <n v="2.3419328849509631"/>
    <s v="26/04 (25/03 - 25/04)"/>
  </r>
  <r>
    <s v="INETUM .:. INETUM-INTERNE"/>
    <x v="37"/>
    <s v="GFI-RedmineDocker"/>
    <m/>
    <x v="3"/>
    <x v="13"/>
    <x v="10"/>
    <s v="Christophe ORLANDO"/>
    <x v="0"/>
    <x v="7"/>
    <x v="15"/>
    <n v="0.87301428440821582"/>
    <s v="26/04 (25/03 - 25/04)"/>
  </r>
  <r>
    <s v="INETUM .:. INETUM-INTERNE"/>
    <x v="51"/>
    <s v="GFI-TENDER"/>
    <m/>
    <x v="3"/>
    <x v="13"/>
    <x v="10"/>
    <s v="Christophe ORLANDO"/>
    <x v="0"/>
    <x v="7"/>
    <x v="15"/>
    <n v="1.2438079816120677"/>
    <s v="26/04 (25/03 - 25/04)"/>
  </r>
  <r>
    <s v="GFI .:. GFI-WAAC"/>
    <x v="38"/>
    <s v="GFI-WAAC"/>
    <m/>
    <x v="3"/>
    <x v="32"/>
    <x v="17"/>
    <s v="Laurent MARCIANIAK"/>
    <x v="1"/>
    <x v="14"/>
    <x v="15"/>
    <n v="192.42788685253538"/>
    <s v="26/04 (25/03 - 25/04)"/>
  </r>
  <r>
    <s v="GLI .:. GLI-APIBIOMETRIE"/>
    <x v="17"/>
    <s v="GLI-APIBiometrie"/>
    <m/>
    <x v="3"/>
    <x v="14"/>
    <x v="11"/>
    <s v="Rodolphe HABEGGER"/>
    <x v="0"/>
    <x v="8"/>
    <x v="15"/>
    <n v="2.0467088511832281"/>
    <s v="26/04 (25/03 - 25/04)"/>
  </r>
  <r>
    <s v="INETUM .:. INETUM-INTERNE"/>
    <x v="80"/>
    <s v="INETUM-Azure-Pipelines"/>
    <m/>
    <x v="3"/>
    <x v="13"/>
    <x v="10"/>
    <s v="Christophe ORLANDO"/>
    <x v="0"/>
    <x v="7"/>
    <x v="15"/>
    <n v="3.3382288968460632"/>
    <s v="26/04 (25/03 - 25/04)"/>
  </r>
  <r>
    <s v="INETUM .:. INETUM-INTERNE"/>
    <x v="75"/>
    <s v="INETUM-communaute-technique"/>
    <m/>
    <x v="3"/>
    <x v="13"/>
    <x v="10"/>
    <s v="Christophe ORLANDO"/>
    <x v="0"/>
    <x v="7"/>
    <x v="15"/>
    <n v="0.97831395842809532"/>
    <s v="26/04 (25/03 - 25/04)"/>
  </r>
  <r>
    <s v="INETUM .:. INETUM-INTERNE"/>
    <x v="87"/>
    <s v="INETUM-Docker-Base-Image"/>
    <m/>
    <x v="3"/>
    <x v="13"/>
    <x v="10"/>
    <s v="Christophe ORLANDO"/>
    <x v="0"/>
    <x v="7"/>
    <x v="15"/>
    <n v="3.3605857596746329"/>
    <s v="26/04 (25/03 - 25/04)"/>
  </r>
  <r>
    <s v="INETUM .:. INETUM-INTERNE"/>
    <x v="89"/>
    <s v="INETUM-Docker-Devbox-Install"/>
    <m/>
    <x v="3"/>
    <x v="13"/>
    <x v="10"/>
    <s v="Christophe ORLANDO"/>
    <x v="0"/>
    <x v="7"/>
    <x v="15"/>
    <n v="7.8328242132238746"/>
    <s v="26/04 (25/03 - 25/04)"/>
  </r>
  <r>
    <s v="INETUM .:. INETUM-INTERNE"/>
    <x v="76"/>
    <s v="INETUM-documentation"/>
    <m/>
    <x v="3"/>
    <x v="13"/>
    <x v="10"/>
    <s v="Christophe ORLANDO"/>
    <x v="0"/>
    <x v="7"/>
    <x v="15"/>
    <n v="0.97831395842809532"/>
    <s v="26/04 (25/03 - 25/04)"/>
  </r>
  <r>
    <s v="INETUM .:. INETUM-INTERNE"/>
    <x v="81"/>
    <s v="INETUM-starterkit-drupal"/>
    <m/>
    <x v="3"/>
    <x v="13"/>
    <x v="10"/>
    <s v="Christophe ORLANDO"/>
    <x v="0"/>
    <x v="7"/>
    <x v="15"/>
    <n v="5.7714592471527491"/>
    <s v="26/04 (25/03 - 25/04)"/>
  </r>
  <r>
    <s v="INETUM .:. INETUM-INTERNE"/>
    <x v="77"/>
    <s v="INETUM-starterkit-symfony"/>
    <m/>
    <x v="3"/>
    <x v="13"/>
    <x v="10"/>
    <s v="Christophe ORLANDO"/>
    <x v="0"/>
    <x v="7"/>
    <x v="15"/>
    <n v="0.34402852043433302"/>
    <s v="26/04 (25/03 - 25/04)"/>
  </r>
  <r>
    <s v="LAPOSTE .:. LAPOSTE-CDC"/>
    <x v="52"/>
    <s v="LAPOSTE-F4N-Musee"/>
    <m/>
    <x v="3"/>
    <x v="33"/>
    <x v="18"/>
    <s v="Rodolphe HABEGGER"/>
    <x v="0"/>
    <x v="15"/>
    <x v="15"/>
    <n v="3.3017104985726191"/>
    <s v="26/04 (25/03 - 25/04)"/>
  </r>
  <r>
    <s v="LAPOSTE .:. LAPOSTE-CDC"/>
    <x v="62"/>
    <s v="LAPOSTE-L71-PDP"/>
    <m/>
    <x v="3"/>
    <x v="33"/>
    <x v="18"/>
    <s v="Rodolphe HABEGGER"/>
    <x v="0"/>
    <x v="15"/>
    <x v="15"/>
    <n v="2.0629291619244197"/>
    <s v="26/04 (25/03 - 25/04)"/>
  </r>
  <r>
    <s v="LAPOSTE .:. LAPOSTE-CDC"/>
    <x v="63"/>
    <s v="LAPOSTE-LCA-PariteUn-e"/>
    <m/>
    <x v="3"/>
    <x v="33"/>
    <x v="18"/>
    <s v="Rodolphe HABEGGER"/>
    <x v="0"/>
    <x v="15"/>
    <x v="15"/>
    <n v="2.3014228611734184"/>
    <s v="26/04 (25/03 - 25/04)"/>
  </r>
  <r>
    <s v="LAPOSTE .:. LAPOSTE-CDC"/>
    <x v="53"/>
    <s v="LAPOSTE-LPK-PortailVoyage"/>
    <m/>
    <x v="3"/>
    <x v="33"/>
    <x v="18"/>
    <s v="Rodolphe HABEGGER"/>
    <x v="0"/>
    <x v="15"/>
    <x v="15"/>
    <n v="1.8723474178246968"/>
    <s v="26/04 (25/03 - 25/04)"/>
  </r>
  <r>
    <s v="LAPOSTE .:. LAPOSTE-CDC"/>
    <x v="54"/>
    <s v="LAPOSTE-LPM-IntranetDHA"/>
    <m/>
    <x v="3"/>
    <x v="33"/>
    <x v="18"/>
    <s v="Rodolphe HABEGGER"/>
    <x v="0"/>
    <x v="15"/>
    <x v="15"/>
    <n v="1.8723474178246968"/>
    <s v="26/04 (25/03 - 25/04)"/>
  </r>
  <r>
    <s v="LAPOSTE .:. LAPOSTE-CDC"/>
    <x v="71"/>
    <s v="LAPOSTE-V7_-Galaxy"/>
    <m/>
    <x v="3"/>
    <x v="33"/>
    <x v="18"/>
    <s v="Rodolphe HABEGGER"/>
    <x v="0"/>
    <x v="15"/>
    <x v="15"/>
    <n v="1.1810592035406453"/>
    <s v="26/04 (25/03 - 25/04)"/>
  </r>
  <r>
    <s v="LAPOSTE .:. LAPOSTE-CDC"/>
    <x v="73"/>
    <s v="LAPOSTE-VW2-MEDIACOM"/>
    <m/>
    <x v="3"/>
    <x v="33"/>
    <x v="18"/>
    <s v="Rodolphe HABEGGER"/>
    <x v="0"/>
    <x v="15"/>
    <x v="15"/>
    <n v="0.90342215196206077"/>
    <s v="26/04 (25/03 - 25/04)"/>
  </r>
  <r>
    <s v="LAPOSTE .:. LAPOSTE-CDC"/>
    <x v="82"/>
    <s v="LAPOSTE-VW7-EvtExpres"/>
    <m/>
    <x v="3"/>
    <x v="33"/>
    <x v="18"/>
    <s v="Rodolphe HABEGGER"/>
    <x v="0"/>
    <x v="15"/>
    <x v="15"/>
    <n v="1.4432719744759752"/>
    <s v="26/04 (25/03 - 25/04)"/>
  </r>
  <r>
    <s v="LAPOSTE .:. LAPOSTE-CDC"/>
    <x v="64"/>
    <s v="LAPOSTE-VWA-Fondation"/>
    <m/>
    <x v="3"/>
    <x v="33"/>
    <x v="18"/>
    <s v="Rodolphe HABEGGER"/>
    <x v="0"/>
    <x v="15"/>
    <x v="15"/>
    <n v="2.1582200339742812"/>
    <s v="26/04 (25/03 - 25/04)"/>
  </r>
  <r>
    <s v="LAPOSTE .:. LAPOSTE-CDC"/>
    <x v="90"/>
    <s v="LAPOSTE-VYN-SARDA"/>
    <m/>
    <x v="3"/>
    <x v="33"/>
    <x v="18"/>
    <s v="Rodolphe HABEGGER"/>
    <x v="0"/>
    <x v="15"/>
    <x v="15"/>
    <n v="2.4440926501238658"/>
    <s v="26/04 (25/03 - 25/04)"/>
  </r>
  <r>
    <s v="MENESR .:. MENJ-APAE"/>
    <x v="18"/>
    <s v="MENJ-APAE"/>
    <m/>
    <x v="3"/>
    <x v="15"/>
    <x v="12"/>
    <s v="Pierre BOURLIEUX"/>
    <x v="0"/>
    <x v="9"/>
    <x v="15"/>
    <n v="2.7039434588523017"/>
    <s v="26/04 (25/03 - 25/04)"/>
  </r>
  <r>
    <s v="MENESR .:. MENJ-BI"/>
    <x v="36"/>
    <s v="MENJ-BI"/>
    <m/>
    <x v="3"/>
    <x v="25"/>
    <x v="12"/>
    <s v="Eric PERROUD"/>
    <x v="0"/>
    <x v="9"/>
    <x v="15"/>
    <n v="0.7866383128059895"/>
    <s v="26/04 (25/03 - 25/04)"/>
  </r>
  <r>
    <s v="MENESR .:. MENJ-BNIE"/>
    <x v="19"/>
    <s v="MENJ-BNIE-BDD"/>
    <m/>
    <x v="3"/>
    <x v="16"/>
    <x v="12"/>
    <s v="Pierre BOURLIEUX"/>
    <x v="0"/>
    <x v="9"/>
    <x v="15"/>
    <n v="1.804928244216885"/>
    <s v="26/04 (25/03 - 25/04)"/>
  </r>
  <r>
    <s v="MENESR .:. MENJ-BNIE"/>
    <x v="33"/>
    <s v="MENJ-BNIE-Webservices"/>
    <m/>
    <x v="3"/>
    <x v="16"/>
    <x v="12"/>
    <s v="Pierre BOURLIEUX"/>
    <x v="0"/>
    <x v="9"/>
    <x v="15"/>
    <n v="0.34402852043433302"/>
    <s v="26/04 (25/03 - 25/04)"/>
  </r>
  <r>
    <s v="MENESR .:. MENJ-INSERJEUNES"/>
    <x v="65"/>
    <s v="MENJ-InserJeunes"/>
    <m/>
    <x v="3"/>
    <x v="37"/>
    <x v="21"/>
    <s v="Christophe ORLANDO"/>
    <x v="0"/>
    <x v="9"/>
    <x v="15"/>
    <n v="2.4562777576570469"/>
    <s v="26/04 (25/03 - 25/04)"/>
  </r>
  <r>
    <s v="MENESR .:. MENJ-RNIE"/>
    <x v="20"/>
    <s v="MENJ-RNIE-BDD"/>
    <m/>
    <x v="3"/>
    <x v="17"/>
    <x v="12"/>
    <s v="Pierre BOURLIEUX"/>
    <x v="0"/>
    <x v="9"/>
    <x v="15"/>
    <n v="1.1306668332403225"/>
    <s v="26/04 (25/03 - 25/04)"/>
  </r>
  <r>
    <s v="MENESR .:. MENJ-RNIE"/>
    <x v="21"/>
    <s v="MENJ-RNIE-Webservices"/>
    <m/>
    <x v="3"/>
    <x v="17"/>
    <x v="12"/>
    <s v="Pierre BOURLIEUX"/>
    <x v="0"/>
    <x v="9"/>
    <x v="15"/>
    <n v="0.34402852043433302"/>
    <s v="26/04 (25/03 - 25/04)"/>
  </r>
  <r>
    <s v="AFB .:. OFB-CARTOTHEQUE"/>
    <x v="78"/>
    <s v="OFB-CARTOTHEQUE"/>
    <m/>
    <x v="3"/>
    <x v="41"/>
    <x v="6"/>
    <s v="Pierre BOURLIEUX"/>
    <x v="0"/>
    <x v="3"/>
    <x v="15"/>
    <n v="1.7231124947178817"/>
    <s v="26/04 (25/03 - 25/04)"/>
  </r>
  <r>
    <s v="AFB .:. OFB-CMONSPOT"/>
    <x v="55"/>
    <s v="OFB-CMONSPOT"/>
    <m/>
    <x v="3"/>
    <x v="34"/>
    <x v="6"/>
    <s v="Pierre BOURLIEUX"/>
    <x v="0"/>
    <x v="3"/>
    <x v="15"/>
    <n v="1.3280906579841381"/>
    <s v="26/04 (25/03 - 25/04)"/>
  </r>
  <r>
    <s v="AFB .:. OFB-EAUFRANCE"/>
    <x v="91"/>
    <s v="OFB-EAUFRANCE"/>
    <m/>
    <x v="3"/>
    <x v="44"/>
    <x v="5"/>
    <s v="Jean-Philippe STROIAZZO"/>
    <x v="0"/>
    <x v="3"/>
    <x v="15"/>
    <n v="0.9535009852193812"/>
    <s v="26/04 (25/03 - 25/04)"/>
  </r>
  <r>
    <s v="AFB .:. OFB-ESTAMP"/>
    <x v="74"/>
    <s v="OFB-ESTAMP"/>
    <m/>
    <x v="3"/>
    <x v="40"/>
    <x v="5"/>
    <s v="Pierre BOURLIEUX"/>
    <x v="0"/>
    <x v="3"/>
    <x v="15"/>
    <n v="1.6099212675128791"/>
    <s v="26/04 (25/03 - 25/04)"/>
  </r>
  <r>
    <s v="OFB .:. OFB-NATUREFRANCE"/>
    <x v="32"/>
    <s v="OFB-NatureFrance"/>
    <m/>
    <x v="3"/>
    <x v="24"/>
    <x v="16"/>
    <s v="Rodolphe HABEGGER"/>
    <x v="0"/>
    <x v="13"/>
    <x v="15"/>
    <n v="4.2762867886379308"/>
    <s v="26/04 (25/03 - 25/04)"/>
  </r>
  <r>
    <s v="AFB .:. OFB-SISPEA"/>
    <x v="40"/>
    <s v="OFB-SISPEA"/>
    <m/>
    <x v="3"/>
    <x v="26"/>
    <x v="6"/>
    <s v="Pierre BOURLIEUX"/>
    <x v="0"/>
    <x v="3"/>
    <x v="15"/>
    <n v="2.3566097354229858"/>
    <s v="26/04 (25/03 - 25/04)"/>
  </r>
  <r>
    <s v="PCM .:. PCM-ALS"/>
    <x v="22"/>
    <s v="PCM-ALS"/>
    <m/>
    <x v="3"/>
    <x v="18"/>
    <x v="13"/>
    <s v="Alice MARCHAL"/>
    <x v="0"/>
    <x v="10"/>
    <x v="15"/>
    <n v="3.4441486774621035"/>
    <s v="26/04 (25/03 - 25/04)"/>
  </r>
  <r>
    <s v="PCM .:. PCM-WEB"/>
    <x v="23"/>
    <s v="PCM-Web"/>
    <m/>
    <x v="3"/>
    <x v="19"/>
    <x v="13"/>
    <s v="Rodolphe HABEGGER"/>
    <x v="0"/>
    <x v="10"/>
    <x v="15"/>
    <n v="2.0232249266623517"/>
    <s v="26/04 (25/03 - 25/04)"/>
  </r>
  <r>
    <s v="SAFT .:. SAFT-PDM"/>
    <x v="56"/>
    <s v="SAFT-PDM"/>
    <m/>
    <x v="3"/>
    <x v="35"/>
    <x v="19"/>
    <s v="Pierre BOURLIEUX"/>
    <x v="0"/>
    <x v="16"/>
    <x v="15"/>
    <n v="1.2438079816120677"/>
    <s v="26/04 (25/03 - 25/04)"/>
  </r>
  <r>
    <s v="SPC .:. SPC-BUILD"/>
    <x v="24"/>
    <s v="SPC-BUILD"/>
    <m/>
    <x v="3"/>
    <x v="1"/>
    <x v="1"/>
    <s v="Nicolas DURFORT"/>
    <x v="0"/>
    <x v="1"/>
    <x v="15"/>
    <n v="47.742605506525805"/>
    <s v="26/04 (25/03 - 25/04)"/>
  </r>
  <r>
    <s v="SPC .:. SPC-WEB"/>
    <x v="25"/>
    <s v="SPC-WEB"/>
    <m/>
    <x v="3"/>
    <x v="2"/>
    <x v="2"/>
    <s v="Nicolas DURFORT"/>
    <x v="0"/>
    <x v="1"/>
    <x v="15"/>
    <n v="0.52442554187065971"/>
    <s v="26/04 (25/03 - 25/04)"/>
  </r>
  <r>
    <s v="STMICRO .:. STMICRO-DATAPACK"/>
    <x v="66"/>
    <s v="STMICRO-DATAPACK"/>
    <m/>
    <x v="3"/>
    <x v="36"/>
    <x v="20"/>
    <s v="Jean-Philippe STROIAZZO"/>
    <x v="0"/>
    <x v="17"/>
    <x v="15"/>
    <n v="3.0580508888148139"/>
    <s v="26/04 (25/03 - 25/04)"/>
  </r>
  <r>
    <s v="STMICRO .:. STMICRO-ROCKET"/>
    <x v="67"/>
    <s v="STMICRO-ROCKET"/>
    <m/>
    <x v="3"/>
    <x v="38"/>
    <x v="20"/>
    <s v="Jean-Philippe STROIAZZO"/>
    <x v="0"/>
    <x v="17"/>
    <x v="15"/>
    <n v="4.1629201554377726"/>
    <s v="26/04 (25/03 - 25/04)"/>
  </r>
  <r>
    <s v="STMICRO .:. STMICRO-STARK"/>
    <x v="92"/>
    <s v="STMICRO-STARK"/>
    <m/>
    <x v="3"/>
    <x v="45"/>
    <x v="20"/>
    <s v="Estelle GUIGUE"/>
    <x v="0"/>
    <x v="17"/>
    <x v="15"/>
    <n v="3.4706547366610385"/>
    <s v="26/04 (25/03 - 25/04)"/>
  </r>
  <r>
    <s v="ALM .:. ALM-ATOUT"/>
    <x v="29"/>
    <m/>
    <s v="ALM-ATOUT-VM"/>
    <x v="2"/>
    <x v="10"/>
    <x v="7"/>
    <s v="Alice MARCHAL"/>
    <x v="0"/>
    <x v="4"/>
    <x v="15"/>
    <n v="23.781098630136984"/>
    <s v="(25/03 - 25/04)"/>
  </r>
  <r>
    <s v="BRGM .:. BRGM-ORRM"/>
    <x v="30"/>
    <m/>
    <s v="BRGM-ORRM-VM"/>
    <x v="0"/>
    <x v="11"/>
    <x v="8"/>
    <s v="Alice MARCHAL"/>
    <x v="0"/>
    <x v="5"/>
    <x v="15"/>
    <n v="3.8791863013698631"/>
    <s v="(25/03 - 25/04)"/>
  </r>
  <r>
    <s v="CA-TITRES .:. CATITRES-COMX"/>
    <x v="28"/>
    <m/>
    <s v="CATITRES-COMX-VM"/>
    <x v="1"/>
    <x v="21"/>
    <x v="14"/>
    <s v="Jean-Philippe STROIAZZO"/>
    <x v="0"/>
    <x v="11"/>
    <x v="15"/>
    <n v="23.180246404109589"/>
    <s v="(25/03 - 25/04)"/>
  </r>
  <r>
    <s v="EBR .:. EBR-LAPOSTE"/>
    <x v="31"/>
    <m/>
    <s v="EBR-LAPOSTE-VM"/>
    <x v="1"/>
    <x v="22"/>
    <x v="15"/>
    <s v="Valerie ASSELIN LOZACHMEUR"/>
    <x v="0"/>
    <x v="12"/>
    <x v="15"/>
    <n v="138.11168184931509"/>
    <s v="(25/03 - 25/04)"/>
  </r>
  <r>
    <s v="FRR .:. FRR-DIGIPAT"/>
    <x v="0"/>
    <m/>
    <s v="FRR-DIGIPAT-VM"/>
    <x v="0"/>
    <x v="0"/>
    <x v="0"/>
    <s v="Alice MARCHAL"/>
    <x v="0"/>
    <x v="0"/>
    <x v="15"/>
    <n v="22.38965136986301"/>
    <s v="(25/03 - 25/04)"/>
  </r>
  <r>
    <s v="INETUM .:. INETUM-INTERNE"/>
    <x v="57"/>
    <m/>
    <s v="GFI-PMT-VM"/>
    <x v="5"/>
    <x v="13"/>
    <x v="10"/>
    <s v="Christophe ORLANDO"/>
    <x v="0"/>
    <x v="7"/>
    <x v="15"/>
    <n v="33.763678595890411"/>
    <s v="(25/03 - 25/04)"/>
  </r>
  <r>
    <s v="GFI .:. GFI-WAAC"/>
    <x v="60"/>
    <m/>
    <s v="GFI-WAAC-VM"/>
    <x v="2"/>
    <x v="32"/>
    <x v="17"/>
    <s v="Laurent MARCIANIAK"/>
    <x v="1"/>
    <x v="14"/>
    <x v="15"/>
    <n v="75.939288356164383"/>
    <s v="(25/03 - 25/04)"/>
  </r>
  <r>
    <s v="INETUM .:. INETUM-INTERNE"/>
    <x v="83"/>
    <m/>
    <s v="INETUM-SONAR"/>
    <x v="5"/>
    <x v="13"/>
    <x v="10"/>
    <s v="Christophe ORLANDO"/>
    <x v="0"/>
    <x v="7"/>
    <x v="15"/>
    <n v="68.686896575342459"/>
    <s v="(25/03 - 25/04)"/>
  </r>
  <r>
    <s v="INETUM .:. INETUM-INTERNE"/>
    <x v="84"/>
    <m/>
    <s v="GFI-ORLEANS"/>
    <x v="1"/>
    <x v="13"/>
    <x v="10"/>
    <s v="Christophe ORLANDO"/>
    <x v="0"/>
    <x v="7"/>
    <x v="15"/>
    <n v="6.6831633561643837"/>
    <s v="(25/03 - 25/04)"/>
  </r>
  <r>
    <s v="ITCE .:. ITCE-SIF"/>
    <x v="85"/>
    <m/>
    <s v="ITCE-SIF2"/>
    <x v="1"/>
    <x v="42"/>
    <x v="23"/>
    <s v="Frederic DELAIRE"/>
    <x v="0"/>
    <x v="19"/>
    <x v="15"/>
    <n v="44.621183732876709"/>
    <s v="(25/03 - 25/04)"/>
  </r>
  <r>
    <s v="LAPOSTE .:. LAPOSTE-CDC"/>
    <x v="61"/>
    <m/>
    <s v="LAPOSTE-CDC-VM"/>
    <x v="1"/>
    <x v="33"/>
    <x v="18"/>
    <s v="Rodolphe HABEGGER"/>
    <x v="0"/>
    <x v="15"/>
    <x v="15"/>
    <n v="4.0583878424657538"/>
    <s v="(25/03 - 25/04)"/>
  </r>
  <r>
    <s v="MENESR .:. MENJ-BI"/>
    <x v="35"/>
    <m/>
    <s v="MENJ-BI-VM"/>
    <x v="2"/>
    <x v="25"/>
    <x v="12"/>
    <s v="Eric PERROUD"/>
    <x v="0"/>
    <x v="9"/>
    <x v="15"/>
    <n v="4.848982876712328"/>
    <s v="(25/03 - 25/04)"/>
  </r>
  <r>
    <s v="MENESR .:. MENJ-INSERJEUNES"/>
    <x v="68"/>
    <m/>
    <s v="MENJ-INERJEUNES"/>
    <x v="0"/>
    <x v="37"/>
    <x v="21"/>
    <s v="Christophe ORLANDO"/>
    <x v="0"/>
    <x v="9"/>
    <x v="15"/>
    <n v="6.1244761986301368"/>
    <s v="(25/03 - 25/04)"/>
  </r>
  <r>
    <s v="AFB .:. OFB-CMONSPOT"/>
    <x v="55"/>
    <m/>
    <s v="OFB-CMONSPOT"/>
    <x v="1"/>
    <x v="34"/>
    <x v="6"/>
    <s v="Pierre BOURLIEUX"/>
    <x v="0"/>
    <x v="3"/>
    <x v="15"/>
    <n v="6.0401460616438358"/>
    <s v="(25/03 - 25/04)"/>
  </r>
  <r>
    <s v="AFB .:. OFB-ESTAMP"/>
    <x v="86"/>
    <m/>
    <s v="OFB-ESTAMP-2"/>
    <x v="2"/>
    <x v="40"/>
    <x v="5"/>
    <s v="Pierre BOURLIEUX"/>
    <x v="0"/>
    <x v="3"/>
    <x v="15"/>
    <n v="13.840683732876712"/>
    <s v="(25/03 - 25/04)"/>
  </r>
  <r>
    <s v="OFB .:. OFB-NATUREFRANCE"/>
    <x v="34"/>
    <m/>
    <s v="OFB-FRANCENATURE-VM"/>
    <x v="2"/>
    <x v="24"/>
    <x v="16"/>
    <s v="Rodolphe HABEGGER"/>
    <x v="0"/>
    <x v="13"/>
    <x v="15"/>
    <n v="9.0654897260273994"/>
    <s v="(25/03 - 25/04)"/>
  </r>
  <r>
    <s v="AFB .:. AFB-PNM"/>
    <x v="88"/>
    <m/>
    <s v="OFB-PNM"/>
    <x v="2"/>
    <x v="8"/>
    <x v="6"/>
    <s v="Eric RAUCOURT"/>
    <x v="0"/>
    <x v="3"/>
    <x v="15"/>
    <n v="4.3430020547945203"/>
    <s v="(25/03 - 25/04)"/>
  </r>
  <r>
    <s v="AFB .:. OFB-SISPEA"/>
    <x v="58"/>
    <m/>
    <s v="OFB-SISPEA-VM"/>
    <x v="1"/>
    <x v="26"/>
    <x v="6"/>
    <s v="Pierre BOURLIEUX"/>
    <x v="0"/>
    <x v="3"/>
    <x v="15"/>
    <n v="8.7281691780821902"/>
    <s v="(25/03 - 25/04)"/>
  </r>
  <r>
    <s v="SPC .:. SPC-BUILD"/>
    <x v="1"/>
    <m/>
    <s v="SPC-BUILDAS-VM"/>
    <x v="1"/>
    <x v="1"/>
    <x v="1"/>
    <s v="Nicolas DURFORT"/>
    <x v="0"/>
    <x v="1"/>
    <x v="15"/>
    <n v="102.16596095890411"/>
    <s v="(25/03 - 25/04)"/>
  </r>
  <r>
    <s v="STMICRO .:. STMICRO-DATAPACK"/>
    <x v="59"/>
    <m/>
    <s v="STMICRO-DATAPACK-VM"/>
    <x v="1"/>
    <x v="36"/>
    <x v="20"/>
    <s v="Jean-Philippe STROIAZZO"/>
    <x v="0"/>
    <x v="17"/>
    <x v="15"/>
    <n v="15.358626198630137"/>
    <s v="(25/03 - 25/04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au croisé dynamique1" cacheId="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Client/Projet/Environnement">
  <location ref="A4:B216" firstHeaderRow="1" firstDataRow="1" firstDataCol="1"/>
  <pivotFields count="13">
    <pivotField showAll="0"/>
    <pivotField axis="axisRow" showAll="0">
      <items count="95">
        <item x="3"/>
        <item x="26"/>
        <item x="4"/>
        <item x="5"/>
        <item x="6"/>
        <item x="7"/>
        <item x="8"/>
        <item x="9"/>
        <item x="10"/>
        <item x="29"/>
        <item x="11"/>
        <item x="30"/>
        <item x="28"/>
        <item x="12"/>
        <item x="13"/>
        <item x="14"/>
        <item x="15"/>
        <item x="0"/>
        <item x="16"/>
        <item x="27"/>
        <item x="17"/>
        <item x="18"/>
        <item x="19"/>
        <item x="20"/>
        <item x="21"/>
        <item x="22"/>
        <item x="23"/>
        <item x="24"/>
        <item x="1"/>
        <item x="25"/>
        <item x="2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m="1" x="93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84"/>
        <item x="80"/>
        <item x="81"/>
        <item x="82"/>
        <item x="79"/>
        <item x="83"/>
        <item x="85"/>
        <item x="86"/>
        <item x="87"/>
        <item x="88"/>
        <item x="89"/>
        <item x="90"/>
        <item x="91"/>
        <item x="92"/>
        <item t="default"/>
      </items>
    </pivotField>
    <pivotField showAll="0"/>
    <pivotField showAll="0"/>
    <pivotField axis="axisRow" showAll="0">
      <items count="9">
        <item x="3"/>
        <item x="1"/>
        <item x="4"/>
        <item x="2"/>
        <item x="0"/>
        <item m="1" x="7"/>
        <item m="1" x="6"/>
        <item x="5"/>
        <item t="default"/>
      </items>
    </pivotField>
    <pivotField axis="axisRow" showAll="0">
      <items count="69">
        <item x="3"/>
        <item x="20"/>
        <item x="4"/>
        <item x="5"/>
        <item x="6"/>
        <item x="7"/>
        <item x="8"/>
        <item x="9"/>
        <item x="10"/>
        <item x="11"/>
        <item x="21"/>
        <item x="12"/>
        <item x="0"/>
        <item m="1" x="56"/>
        <item x="14"/>
        <item x="15"/>
        <item x="16"/>
        <item x="17"/>
        <item x="18"/>
        <item x="19"/>
        <item x="1"/>
        <item x="2"/>
        <item x="22"/>
        <item x="24"/>
        <item x="23"/>
        <item x="25"/>
        <item x="26"/>
        <item x="27"/>
        <item x="28"/>
        <item x="29"/>
        <item x="30"/>
        <item x="31"/>
        <item m="1" x="54"/>
        <item m="1" x="61"/>
        <item m="1" x="51"/>
        <item m="1" x="52"/>
        <item m="1" x="48"/>
        <item m="1" x="66"/>
        <item m="1" x="55"/>
        <item m="1" x="64"/>
        <item m="1" x="58"/>
        <item x="32"/>
        <item m="1" x="47"/>
        <item m="1" x="62"/>
        <item m="1" x="50"/>
        <item x="34"/>
        <item x="35"/>
        <item x="36"/>
        <item x="33"/>
        <item m="1" x="63"/>
        <item m="1" x="53"/>
        <item m="1" x="65"/>
        <item x="37"/>
        <item x="38"/>
        <item x="39"/>
        <item m="1" x="49"/>
        <item m="1" x="57"/>
        <item x="40"/>
        <item m="1" x="46"/>
        <item m="1" x="67"/>
        <item m="1" x="60"/>
        <item m="1" x="59"/>
        <item x="41"/>
        <item x="13"/>
        <item x="42"/>
        <item x="43"/>
        <item x="44"/>
        <item x="45"/>
        <item t="default"/>
      </items>
    </pivotField>
    <pivotField showAll="0">
      <items count="28">
        <item x="17"/>
        <item x="16"/>
        <item x="5"/>
        <item x="6"/>
        <item x="7"/>
        <item m="1" x="26"/>
        <item x="8"/>
        <item x="14"/>
        <item x="22"/>
        <item x="9"/>
        <item x="15"/>
        <item x="0"/>
        <item m="1" x="24"/>
        <item x="11"/>
        <item x="10"/>
        <item x="23"/>
        <item x="18"/>
        <item x="21"/>
        <item x="12"/>
        <item x="3"/>
        <item x="4"/>
        <item x="13"/>
        <item x="19"/>
        <item x="1"/>
        <item x="2"/>
        <item x="20"/>
        <item m="1" x="25"/>
        <item t="default"/>
      </items>
    </pivotField>
    <pivotField showAll="0"/>
    <pivotField showAll="0">
      <items count="4">
        <item x="1"/>
        <item m="1" x="2"/>
        <item x="0"/>
        <item t="default"/>
      </items>
    </pivotField>
    <pivotField axis="axisRow" showAll="0">
      <items count="22">
        <item x="3"/>
        <item x="4"/>
        <item x="5"/>
        <item x="11"/>
        <item x="6"/>
        <item x="0"/>
        <item x="14"/>
        <item x="8"/>
        <item x="9"/>
        <item x="2"/>
        <item x="1"/>
        <item x="10"/>
        <item x="12"/>
        <item x="13"/>
        <item x="15"/>
        <item x="16"/>
        <item x="17"/>
        <item x="18"/>
        <item m="1" x="20"/>
        <item x="7"/>
        <item x="19"/>
        <item t="default"/>
      </items>
    </pivotField>
    <pivotField showAll="0">
      <items count="1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x="15"/>
        <item h="1" m="1" x="16"/>
        <item t="default"/>
      </items>
    </pivotField>
    <pivotField dataField="1" numFmtId="166" showAll="0"/>
    <pivotField showAll="0"/>
  </pivotFields>
  <rowFields count="4">
    <field x="9"/>
    <field x="5"/>
    <field x="4"/>
    <field x="1"/>
  </rowFields>
  <rowItems count="212">
    <i>
      <x/>
    </i>
    <i r="1">
      <x v="3"/>
    </i>
    <i r="2">
      <x/>
    </i>
    <i r="3">
      <x v="3"/>
    </i>
    <i r="1">
      <x v="6"/>
    </i>
    <i r="2">
      <x/>
    </i>
    <i r="3">
      <x v="6"/>
    </i>
    <i r="2">
      <x v="3"/>
    </i>
    <i r="3">
      <x v="89"/>
    </i>
    <i r="1">
      <x v="7"/>
    </i>
    <i r="2">
      <x/>
    </i>
    <i r="3">
      <x v="7"/>
    </i>
    <i r="1">
      <x v="26"/>
    </i>
    <i r="2">
      <x/>
    </i>
    <i r="3">
      <x v="40"/>
    </i>
    <i r="2">
      <x v="1"/>
    </i>
    <i r="3">
      <x v="58"/>
    </i>
    <i r="1">
      <x v="45"/>
    </i>
    <i r="2">
      <x/>
    </i>
    <i r="3">
      <x v="55"/>
    </i>
    <i r="2">
      <x v="1"/>
    </i>
    <i r="3">
      <x v="55"/>
    </i>
    <i r="1">
      <x v="57"/>
    </i>
    <i r="2">
      <x/>
    </i>
    <i r="3">
      <x v="75"/>
    </i>
    <i r="2">
      <x v="3"/>
    </i>
    <i r="3">
      <x v="87"/>
    </i>
    <i r="1">
      <x v="62"/>
    </i>
    <i r="2">
      <x/>
    </i>
    <i r="3">
      <x v="79"/>
    </i>
    <i r="1">
      <x v="66"/>
    </i>
    <i r="2">
      <x/>
    </i>
    <i r="3">
      <x v="92"/>
    </i>
    <i>
      <x v="1"/>
    </i>
    <i r="1">
      <x v="8"/>
    </i>
    <i r="2">
      <x/>
    </i>
    <i r="3">
      <x v="8"/>
    </i>
    <i r="2">
      <x v="3"/>
    </i>
    <i r="3">
      <x v="9"/>
    </i>
    <i>
      <x v="2"/>
    </i>
    <i r="1">
      <x v="9"/>
    </i>
    <i r="2">
      <x/>
    </i>
    <i r="3">
      <x v="10"/>
    </i>
    <i r="2">
      <x v="4"/>
    </i>
    <i r="3">
      <x v="11"/>
    </i>
    <i>
      <x v="3"/>
    </i>
    <i r="1">
      <x v="10"/>
    </i>
    <i r="2">
      <x v="1"/>
    </i>
    <i r="3">
      <x v="12"/>
    </i>
    <i>
      <x v="4"/>
    </i>
    <i r="1">
      <x v="11"/>
    </i>
    <i r="2">
      <x/>
    </i>
    <i r="3">
      <x v="13"/>
    </i>
    <i>
      <x v="5"/>
    </i>
    <i r="1">
      <x v="12"/>
    </i>
    <i r="2">
      <x/>
    </i>
    <i r="3">
      <x v="16"/>
    </i>
    <i r="2">
      <x v="4"/>
    </i>
    <i r="3">
      <x v="17"/>
    </i>
    <i r="1">
      <x v="28"/>
    </i>
    <i r="2">
      <x/>
    </i>
    <i r="3">
      <x v="42"/>
    </i>
    <i r="1">
      <x v="29"/>
    </i>
    <i r="2">
      <x/>
    </i>
    <i r="3">
      <x v="43"/>
    </i>
    <i r="1">
      <x v="30"/>
    </i>
    <i r="2">
      <x/>
    </i>
    <i r="3">
      <x v="44"/>
    </i>
    <i r="1">
      <x v="31"/>
    </i>
    <i r="2">
      <x/>
    </i>
    <i r="3">
      <x v="45"/>
    </i>
    <i>
      <x v="6"/>
    </i>
    <i r="1">
      <x v="41"/>
    </i>
    <i r="2">
      <x/>
    </i>
    <i r="3">
      <x v="38"/>
    </i>
    <i r="2">
      <x v="3"/>
    </i>
    <i r="3">
      <x v="61"/>
    </i>
    <i>
      <x v="7"/>
    </i>
    <i r="1">
      <x v="14"/>
    </i>
    <i r="2">
      <x/>
    </i>
    <i r="3">
      <x v="20"/>
    </i>
    <i>
      <x v="8"/>
    </i>
    <i r="1">
      <x v="15"/>
    </i>
    <i r="2">
      <x/>
    </i>
    <i r="3">
      <x v="21"/>
    </i>
    <i r="1">
      <x v="16"/>
    </i>
    <i r="2">
      <x/>
    </i>
    <i r="3">
      <x v="22"/>
    </i>
    <i r="3">
      <x v="33"/>
    </i>
    <i r="1">
      <x v="17"/>
    </i>
    <i r="2">
      <x/>
    </i>
    <i r="3">
      <x v="23"/>
    </i>
    <i r="3">
      <x v="24"/>
    </i>
    <i r="1">
      <x v="25"/>
    </i>
    <i r="2">
      <x/>
    </i>
    <i r="3">
      <x v="36"/>
    </i>
    <i r="2">
      <x v="3"/>
    </i>
    <i r="3">
      <x v="35"/>
    </i>
    <i r="1">
      <x v="52"/>
    </i>
    <i r="2">
      <x/>
    </i>
    <i r="3">
      <x v="66"/>
    </i>
    <i r="2">
      <x v="4"/>
    </i>
    <i r="3">
      <x v="69"/>
    </i>
    <i>
      <x v="9"/>
    </i>
    <i r="1">
      <x/>
    </i>
    <i r="2">
      <x/>
    </i>
    <i r="3">
      <x/>
    </i>
    <i r="1">
      <x v="1"/>
    </i>
    <i r="2">
      <x/>
    </i>
    <i r="3">
      <x v="1"/>
    </i>
    <i r="1">
      <x v="2"/>
    </i>
    <i r="2">
      <x/>
    </i>
    <i r="3">
      <x v="2"/>
    </i>
    <i r="1">
      <x v="4"/>
    </i>
    <i r="2">
      <x/>
    </i>
    <i r="3">
      <x v="4"/>
    </i>
    <i r="1">
      <x v="5"/>
    </i>
    <i r="2">
      <x/>
    </i>
    <i r="3">
      <x v="5"/>
    </i>
    <i r="1">
      <x v="27"/>
    </i>
    <i r="2">
      <x/>
    </i>
    <i r="3">
      <x v="41"/>
    </i>
    <i>
      <x v="10"/>
    </i>
    <i r="1">
      <x v="20"/>
    </i>
    <i r="2">
      <x/>
    </i>
    <i r="3">
      <x v="27"/>
    </i>
    <i r="2">
      <x v="1"/>
    </i>
    <i r="3">
      <x v="28"/>
    </i>
    <i r="1">
      <x v="21"/>
    </i>
    <i r="2">
      <x/>
    </i>
    <i r="3">
      <x v="29"/>
    </i>
    <i>
      <x v="11"/>
    </i>
    <i r="1">
      <x v="18"/>
    </i>
    <i r="2">
      <x/>
    </i>
    <i r="3">
      <x v="25"/>
    </i>
    <i r="1">
      <x v="19"/>
    </i>
    <i r="2">
      <x/>
    </i>
    <i r="3">
      <x v="26"/>
    </i>
    <i>
      <x v="12"/>
    </i>
    <i r="1">
      <x v="22"/>
    </i>
    <i r="2">
      <x v="1"/>
    </i>
    <i r="3">
      <x v="31"/>
    </i>
    <i>
      <x v="13"/>
    </i>
    <i r="1">
      <x v="23"/>
    </i>
    <i r="2">
      <x/>
    </i>
    <i r="3">
      <x v="32"/>
    </i>
    <i r="2">
      <x v="3"/>
    </i>
    <i r="3">
      <x v="34"/>
    </i>
    <i>
      <x v="14"/>
    </i>
    <i r="1">
      <x v="48"/>
    </i>
    <i r="2">
      <x/>
    </i>
    <i r="3">
      <x v="52"/>
    </i>
    <i r="3">
      <x v="53"/>
    </i>
    <i r="3">
      <x v="54"/>
    </i>
    <i r="3">
      <x v="63"/>
    </i>
    <i r="3">
      <x v="64"/>
    </i>
    <i r="3">
      <x v="65"/>
    </i>
    <i r="3">
      <x v="72"/>
    </i>
    <i r="3">
      <x v="74"/>
    </i>
    <i r="3">
      <x v="83"/>
    </i>
    <i r="3">
      <x v="91"/>
    </i>
    <i r="2">
      <x v="1"/>
    </i>
    <i r="3">
      <x v="62"/>
    </i>
    <i>
      <x v="15"/>
    </i>
    <i r="1">
      <x v="46"/>
    </i>
    <i r="2">
      <x/>
    </i>
    <i r="3">
      <x v="56"/>
    </i>
    <i>
      <x v="16"/>
    </i>
    <i r="1">
      <x v="47"/>
    </i>
    <i r="2">
      <x/>
    </i>
    <i r="3">
      <x v="67"/>
    </i>
    <i r="2">
      <x v="1"/>
    </i>
    <i r="3">
      <x v="59"/>
    </i>
    <i r="1">
      <x v="53"/>
    </i>
    <i r="2">
      <x/>
    </i>
    <i r="3">
      <x v="68"/>
    </i>
    <i r="1">
      <x v="67"/>
    </i>
    <i r="2">
      <x/>
    </i>
    <i r="3">
      <x v="93"/>
    </i>
    <i>
      <x v="17"/>
    </i>
    <i r="1">
      <x v="54"/>
    </i>
    <i r="2">
      <x/>
    </i>
    <i r="3">
      <x v="70"/>
    </i>
    <i>
      <x v="19"/>
    </i>
    <i r="1">
      <x v="63"/>
    </i>
    <i r="2">
      <x/>
    </i>
    <i r="3">
      <x v="18"/>
    </i>
    <i r="3">
      <x v="19"/>
    </i>
    <i r="3">
      <x v="37"/>
    </i>
    <i r="3">
      <x v="46"/>
    </i>
    <i r="3">
      <x v="47"/>
    </i>
    <i r="3">
      <x v="48"/>
    </i>
    <i r="3">
      <x v="50"/>
    </i>
    <i r="3">
      <x v="51"/>
    </i>
    <i r="3">
      <x v="71"/>
    </i>
    <i r="3">
      <x v="76"/>
    </i>
    <i r="3">
      <x v="77"/>
    </i>
    <i r="3">
      <x v="78"/>
    </i>
    <i r="3">
      <x v="81"/>
    </i>
    <i r="3">
      <x v="82"/>
    </i>
    <i r="3">
      <x v="88"/>
    </i>
    <i r="3">
      <x v="90"/>
    </i>
    <i r="2">
      <x v="1"/>
    </i>
    <i r="3">
      <x v="80"/>
    </i>
    <i r="2">
      <x v="7"/>
    </i>
    <i r="3">
      <x v="57"/>
    </i>
    <i r="3">
      <x v="85"/>
    </i>
    <i>
      <x v="20"/>
    </i>
    <i r="1">
      <x v="64"/>
    </i>
    <i r="2">
      <x v="1"/>
    </i>
    <i r="3">
      <x v="86"/>
    </i>
    <i t="grand">
      <x/>
    </i>
  </rowItems>
  <colItems count="1">
    <i/>
  </colItems>
  <dataFields count="1">
    <dataField name="Somme de Coût" fld="11" baseField="8" baseItem="0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" xr10:uid="{00000000-0013-0000-FFFF-FFFF01000000}" sourceName="Env">
  <pivotTables>
    <pivotTable tabId="26" name="Tableau croisé dynamique1"/>
  </pivotTables>
  <data>
    <tabular pivotCacheId="1086348310">
      <items count="8">
        <i x="3" s="1"/>
        <i x="1" s="1"/>
        <i x="5" s="1"/>
        <i x="2" s="1"/>
        <i x="0" s="1"/>
        <i x="4" s="1" nd="1"/>
        <i x="7" s="1" nd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" xr10:uid="{00000000-0013-0000-FFFF-FFFF02000000}" sourceName="Projet">
  <pivotTables>
    <pivotTable tabId="26" name="Tableau croisé dynamique1"/>
  </pivotTables>
  <data>
    <tabular pivotCacheId="1086348310">
      <items count="68">
        <i x="3" s="1"/>
        <i x="20" s="1"/>
        <i x="4" s="1"/>
        <i x="5" s="1"/>
        <i x="6" s="1"/>
        <i x="7" s="1"/>
        <i x="8" s="1"/>
        <i x="9" s="1"/>
        <i x="27" s="1"/>
        <i x="10" s="1"/>
        <i x="11" s="1"/>
        <i x="21" s="1"/>
        <i x="39" s="1"/>
        <i x="12" s="1"/>
        <i x="22" s="1"/>
        <i x="28" s="1"/>
        <i x="29" s="1"/>
        <i x="0" s="1"/>
        <i x="30" s="1"/>
        <i x="31" s="1"/>
        <i x="32" s="1"/>
        <i x="14" s="1"/>
        <i x="13" s="1"/>
        <i x="42" s="1"/>
        <i x="33" s="1"/>
        <i x="15" s="1"/>
        <i x="25" s="1"/>
        <i x="16" s="1"/>
        <i x="37" s="1"/>
        <i x="17" s="1"/>
        <i x="41" s="1"/>
        <i x="34" s="1"/>
        <i x="44" s="1"/>
        <i x="40" s="1"/>
        <i x="24" s="1"/>
        <i x="26" s="1"/>
        <i x="18" s="1"/>
        <i x="19" s="1"/>
        <i x="35" s="1"/>
        <i x="1" s="1"/>
        <i x="2" s="1"/>
        <i x="36" s="1"/>
        <i x="38" s="1"/>
        <i x="45" s="1"/>
        <i x="43" s="1" nd="1"/>
        <i x="23" s="1" nd="1"/>
        <i x="54" s="1" nd="1"/>
        <i x="61" s="1" nd="1"/>
        <i x="51" s="1" nd="1"/>
        <i x="52" s="1" nd="1"/>
        <i x="48" s="1" nd="1"/>
        <i x="56" s="1" nd="1"/>
        <i x="66" s="1" nd="1"/>
        <i x="55" s="1" nd="1"/>
        <i x="64" s="1" nd="1"/>
        <i x="58" s="1" nd="1"/>
        <i x="67" s="1" nd="1"/>
        <i x="60" s="1" nd="1"/>
        <i x="59" s="1" nd="1"/>
        <i x="47" s="1" nd="1"/>
        <i x="63" s="1" nd="1"/>
        <i x="53" s="1" nd="1"/>
        <i x="62" s="1" nd="1"/>
        <i x="50" s="1" nd="1"/>
        <i x="49" s="1" nd="1"/>
        <i x="57" s="1" nd="1"/>
        <i x="65" s="1" nd="1"/>
        <i x="46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de_SYGES" xr10:uid="{00000000-0013-0000-FFFF-FFFF03000000}" sourceName="Code SYGES">
  <pivotTables>
    <pivotTable tabId="26" name="Tableau croisé dynamique1"/>
  </pivotTables>
  <data>
    <tabular pivotCacheId="1086348310">
      <items count="27">
        <i x="17" s="1"/>
        <i x="16" s="1"/>
        <i x="5" s="1"/>
        <i x="6" s="1"/>
        <i x="7" s="1"/>
        <i x="8" s="1"/>
        <i x="14" s="1"/>
        <i x="22" s="1"/>
        <i x="9" s="1"/>
        <i x="15" s="1"/>
        <i x="0" s="1"/>
        <i x="11" s="1"/>
        <i x="10" s="1"/>
        <i x="23" s="1"/>
        <i x="18" s="1"/>
        <i x="21" s="1"/>
        <i x="12" s="1"/>
        <i x="3" s="1"/>
        <i x="4" s="1"/>
        <i x="13" s="1"/>
        <i x="19" s="1"/>
        <i x="1" s="1"/>
        <i x="2" s="1"/>
        <i x="20" s="1"/>
        <i x="26" s="1" nd="1"/>
        <i x="24" s="1" nd="1"/>
        <i x="25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_Center" xr10:uid="{00000000-0013-0000-FFFF-FFFF04000000}" sourceName="Cost Center">
  <pivotTables>
    <pivotTable tabId="26" name="Tableau croisé dynamique1"/>
  </pivotTables>
  <data>
    <tabular pivotCacheId="1086348310">
      <items count="3">
        <i x="1" s="1"/>
        <i x="0" s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" xr10:uid="{00000000-0013-0000-FFFF-FFFF05000000}" sourceName="Client">
  <pivotTables>
    <pivotTable tabId="26" name="Tableau croisé dynamique1"/>
  </pivotTables>
  <data>
    <tabular pivotCacheId="1086348310">
      <items count="21">
        <i x="3" s="1"/>
        <i x="4" s="1"/>
        <i x="5" s="1"/>
        <i x="11" s="1"/>
        <i x="18" s="1"/>
        <i x="6" s="1"/>
        <i x="12" s="1"/>
        <i x="0" s="1"/>
        <i x="14" s="1"/>
        <i x="8" s="1"/>
        <i x="7" s="1"/>
        <i x="19" s="1"/>
        <i x="15" s="1"/>
        <i x="9" s="1"/>
        <i x="13" s="1"/>
        <i x="2" s="1"/>
        <i x="10" s="1"/>
        <i x="16" s="1"/>
        <i x="1" s="1"/>
        <i x="17" s="1"/>
        <i x="2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00000000-0013-0000-FFFF-FFFF06000000}" sourceName="Mois">
  <pivotTables>
    <pivotTable tabId="26" name="Tableau croisé dynamique1"/>
  </pivotTables>
  <data>
    <tabular pivotCacheId="1086348310">
      <items count="17">
        <i x="0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 s="1"/>
        <i x="1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nv" xr10:uid="{00000000-0014-0000-FFFF-FFFF01000000}" cache="Segment_Env" caption="Env" rowHeight="241300"/>
  <slicer name="Projet" xr10:uid="{00000000-0014-0000-FFFF-FFFF02000000}" cache="Segment_Projet" caption="Projet" startItem="43" rowHeight="241300"/>
  <slicer name="Code SYGES" xr10:uid="{00000000-0014-0000-FFFF-FFFF03000000}" cache="Segment_Code_SYGES" caption="Code SYGES" rowHeight="241300"/>
  <slicer name="Cost Center" xr10:uid="{00000000-0014-0000-FFFF-FFFF04000000}" cache="Segment_Cost_Center" caption="Cost Center" rowHeight="241300"/>
  <slicer name="Client" xr10:uid="{00000000-0014-0000-FFFF-FFFF05000000}" cache="Segment_Client" caption="Client" rowHeight="241300"/>
  <slicer name="Mois" xr10:uid="{00000000-0014-0000-FFFF-FFFF06000000}" cache="Segment_Mois" caption="Mois" startItem="8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VMAzureEnvProjet" displayName="TabVMAzureEnvProjet" ref="A1:M959" totalsRowShown="0">
  <autoFilter ref="A1:M959" xr:uid="{00000000-0009-0000-0100-000002000000}"/>
  <tableColumns count="13">
    <tableColumn id="9" xr3:uid="{00000000-0010-0000-0000-000009000000}" name="ID" dataDxfId="74">
      <calculatedColumnFormula>TabVMAzureEnvProjet[[#This Row],[Client]] &amp; " .:. "  &amp; TabVMAzureEnvProjet[[#This Row],[Projet]]</calculatedColumnFormula>
    </tableColumn>
    <tableColumn id="11" xr3:uid="{00000000-0010-0000-0000-00000B000000}" name="Nature" dataDxfId="73">
      <calculatedColumnFormula>IF(TabVMAzureEnvProjet[[#This Row],[Projet AzureDevOps]]&lt;&gt;"",TabVMAzureEnvProjet[[#This Row],[Projet AzureDevOps]],TabVMAzureEnvProjet[[#This Row],[VM]])</calculatedColumnFormula>
    </tableColumn>
    <tableColumn id="10" xr3:uid="{00000000-0010-0000-0000-00000A000000}" name="Projet AzureDevOps"/>
    <tableColumn id="1" xr3:uid="{00000000-0010-0000-0000-000001000000}" name="VM"/>
    <tableColumn id="2" xr3:uid="{00000000-0010-0000-0000-000002000000}" name="Env"/>
    <tableColumn id="3" xr3:uid="{00000000-0010-0000-0000-000003000000}" name="Projet"/>
    <tableColumn id="4" xr3:uid="{00000000-0010-0000-0000-000004000000}" name="Code SYGES">
      <calculatedColumnFormula>LOOKUP(TabVMAzureEnvProjet[[#This Row],[Projet]],TabProjets[NomProj],TabProjets[SYGES])</calculatedColumnFormula>
    </tableColumn>
    <tableColumn id="14" xr3:uid="{A0936D4B-9BD1-44B5-9530-86F603FD4F0C}" name="CP" dataDxfId="0">
      <calculatedColumnFormula>LOOKUP(TabVMAzureEnvProjet[[#This Row],[Projet]],TabProjets[NomProj],TabProjets[CP])</calculatedColumnFormula>
    </tableColumn>
    <tableColumn id="7" xr3:uid="{00000000-0010-0000-0000-000007000000}" name="Cost Center">
      <calculatedColumnFormula>LOOKUP(TabVMAzureEnvProjet[[#This Row],[Code SYGES]],TabCONTRATSDI[Contrat SYGES],TabCONTRATSDI[Cost Center])</calculatedColumnFormula>
    </tableColumn>
    <tableColumn id="8" xr3:uid="{00000000-0010-0000-0000-000008000000}" name="Client" dataDxfId="72">
      <calculatedColumnFormula>LOOKUP(TabVMAzureEnvProjet[[#This Row],[Code SYGES]],TabCONTRATSDI[Contrat SYGES],TabCONTRATSDI[Client])</calculatedColumnFormula>
    </tableColumn>
    <tableColumn id="5" xr3:uid="{00000000-0010-0000-0000-000005000000}" name="Mois"/>
    <tableColumn id="6" xr3:uid="{00000000-0010-0000-0000-000006000000}" name="Coût" dataDxfId="71" dataCellStyle="Monétaire"/>
    <tableColumn id="12" xr3:uid="{00000000-0010-0000-0000-00000C000000}" name="Commentaire" dataDxfId="70" dataCellStyle="Monétaire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AzureDevOps" displayName="TabAzureDevOps" ref="A1:B68" totalsRowShown="0" headerRowDxfId="69" dataDxfId="68">
  <autoFilter ref="A1:B68" xr:uid="{00000000-0009-0000-0100-000008000000}"/>
  <sortState xmlns:xlrd2="http://schemas.microsoft.com/office/spreadsheetml/2017/richdata2" ref="A2:B67">
    <sortCondition ref="A1:A67"/>
  </sortState>
  <tableColumns count="2">
    <tableColumn id="1" xr3:uid="{00000000-0010-0000-0100-000001000000}" name="ProjetAzureDevOps" dataDxfId="67"/>
    <tableColumn id="2" xr3:uid="{88029A89-98F8-4F50-B0A5-5DEF753B59DC}" name="PROJET" dataDxfId="66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VMAZURE" displayName="TabVMAZURE" ref="A1:AC27" totalsRowShown="0">
  <autoFilter ref="A1:AC27" xr:uid="{00000000-0009-0000-0100-000001000000}"/>
  <sortState xmlns:xlrd2="http://schemas.microsoft.com/office/spreadsheetml/2017/richdata2" ref="A2:AC25">
    <sortCondition ref="A1:A25"/>
  </sortState>
  <tableColumns count="29">
    <tableColumn id="1" xr3:uid="{00000000-0010-0000-0200-000001000000}" name="VM"/>
    <tableColumn id="28" xr3:uid="{C6EFE3CB-646C-4778-8844-99571B2F6D35}" name="PROJET" dataDxfId="65"/>
    <tableColumn id="2" xr3:uid="{00000000-0010-0000-0200-000002000000}" name="Système"/>
    <tableColumn id="3" xr3:uid="{00000000-0010-0000-0200-000003000000}" name="VMAzureSize"/>
    <tableColumn id="4" xr3:uid="{00000000-0010-0000-0200-000004000000}" name="VMAzureDisk"/>
    <tableColumn id="5" xr3:uid="{00000000-0010-0000-0200-000005000000}" name="VMAzureDisk2"/>
    <tableColumn id="6" xr3:uid="{00000000-0010-0000-0200-000006000000}" name="VMAzureDisk3"/>
    <tableColumn id="7" xr3:uid="{00000000-0010-0000-0200-000007000000}" name="VMAzureDisk4"/>
    <tableColumn id="8" xr3:uid="{00000000-0010-0000-0200-000008000000}" name="Auto Start" dataDxfId="64"/>
    <tableColumn id="9" xr3:uid="{00000000-0010-0000-0200-000009000000}" name="Auto Stop" dataDxfId="63"/>
    <tableColumn id="12" xr3:uid="{00000000-0010-0000-0200-00000C000000}" name="Activité _x000a_par jours" dataDxfId="62">
      <calculatedColumnFormula>(((TabVMAZURE[[#This Row],[Auto Stop]]-INT(TabVMAZURE[[#This Row],[Auto Stop]]))*24)-((TabVMAZURE[[#This Row],[Auto Start]]-INT(TabVMAZURE[[#This Row],[Auto Start]]))*24))</calculatedColumnFormula>
    </tableColumn>
    <tableColumn id="14" xr3:uid="{00000000-0010-0000-0200-00000E000000}" name="Jours / Mois" dataDxfId="61"/>
    <tableColumn id="13" xr3:uid="{00000000-0010-0000-0200-00000D000000}" name="Activité _x000a_par mois" dataDxfId="60">
      <calculatedColumnFormula>TabVMAZURE[[#This Row],[Activité 
par jours]]*TabVMAZURE[[#This Row],[Jours / Mois]]</calculatedColumnFormula>
    </tableColumn>
    <tableColumn id="20" xr3:uid="{00000000-0010-0000-0200-000014000000}" name="Coût horaire VM" dataDxfId="59">
      <calculatedColumnFormula>INDEX(ListeVMAzureCoûts,MATCH(TabVMAZURE[[#This Row],[VMAzureSize]],ListeVMAzureSize,0),MATCH(TabVMAZURE[[#This Row],[Système]],ListeSystèmes,0))</calculatedColumnFormula>
    </tableColumn>
    <tableColumn id="19" xr3:uid="{00000000-0010-0000-0200-000013000000}" name="Coût estimé _x000a_VM / mois" dataDxfId="58">
      <calculatedColumnFormula>SUM((TabVMAZURE[[#This Row],[Activité 
par mois]]*TabVMAZURE[[#This Row],[Coût horaire VM]])+(TabVMAZURE[[#This Row],[Activité 
par mois]]*0.01717))</calculatedColumnFormula>
    </tableColumn>
    <tableColumn id="18" xr3:uid="{00000000-0010-0000-0200-000012000000}" name="Coût estimé _x000a_Disk1 / mois" dataDxfId="57">
      <calculatedColumnFormula>INDEX(TabVMAzureDisk[Coût / mois],MATCH(TabVMAZURE[[#This Row],[VMAzureDisk]],TabVMAzureDisk[VMAzureDisk],0))</calculatedColumnFormula>
    </tableColumn>
    <tableColumn id="23" xr3:uid="{00000000-0010-0000-0200-000017000000}" name="Coût estimé _x000a_sauvegarde_x000a_Disk1 / mois" dataDxfId="56">
      <calculatedColumnFormula>INDEX(TabVMAzureDisk[Coût / mois Sauvegarde],MATCH(TabVMAZURE[[#This Row],[VMAzureDisk]],TabVMAzureDisk[VMAzureDisk],0))</calculatedColumnFormula>
    </tableColumn>
    <tableColumn id="17" xr3:uid="{00000000-0010-0000-0200-000011000000}" name="Coût estimé _x000a_Disk2 / mois" dataDxfId="55">
      <calculatedColumnFormula>INDEX(TabVMAzureDisk[Coût / mois],MATCH(TabVMAZURE[[#This Row],[VMAzureDisk2]],TabVMAzureDisk[VMAzureDisk],0))</calculatedColumnFormula>
    </tableColumn>
    <tableColumn id="24" xr3:uid="{00000000-0010-0000-0200-000018000000}" name="Coût estimé _x000a_sauvegarde_x000a_Disk2 / mois" dataDxfId="54">
      <calculatedColumnFormula>INDEX(TabVMAzureDisk[Coût / mois Sauvegarde],MATCH(TabVMAZURE[[#This Row],[VMAzureDisk2]],TabVMAzureDisk[VMAzureDisk],0))</calculatedColumnFormula>
    </tableColumn>
    <tableColumn id="16" xr3:uid="{00000000-0010-0000-0200-000010000000}" name="Coût estimé _x000a_Disk3 / mois" dataDxfId="53">
      <calculatedColumnFormula>INDEX(TabVMAzureDisk[Coût / mois],MATCH(TabVMAZURE[[#This Row],[VMAzureDisk3]],TabVMAzureDisk[VMAzureDisk],0))</calculatedColumnFormula>
    </tableColumn>
    <tableColumn id="25" xr3:uid="{00000000-0010-0000-0200-000019000000}" name="Coût estimé _x000a_sauvegarde_x000a_Disk3 / mois" dataDxfId="52">
      <calculatedColumnFormula>INDEX(TabVMAzureDisk[Coût / mois Sauvegarde],MATCH(TabVMAZURE[[#This Row],[VMAzureDisk3]],TabVMAzureDisk[VMAzureDisk],0))</calculatedColumnFormula>
    </tableColumn>
    <tableColumn id="15" xr3:uid="{00000000-0010-0000-0200-00000F000000}" name="Coût estimé _x000a_Disk4 / mois" dataDxfId="51">
      <calculatedColumnFormula>INDEX(TabVMAzureDisk[Coût / mois],MATCH(TabVMAZURE[[#This Row],[VMAzureDisk4]],TabVMAzureDisk[VMAzureDisk],0))</calculatedColumnFormula>
    </tableColumn>
    <tableColumn id="26" xr3:uid="{00000000-0010-0000-0200-00001A000000}" name="Coût estimé _x000a_sauvegarde_x000a_Disk4 / mois" dataDxfId="50">
      <calculatedColumnFormula>INDEX(TabVMAzureDisk[Coût / mois Sauvegarde],MATCH(TabVMAZURE[[#This Row],[VMAzureDisk4]],TabVMAzureDisk[VMAzureDisk],0))</calculatedColumnFormula>
    </tableColumn>
    <tableColumn id="21" xr3:uid="{00000000-0010-0000-0200-000015000000}" name="Coût estimé _x000a_Disk Total / mois" dataDxfId="49">
      <calculatedColumnFormula>SUM(TabVMAZURE[[#This Row],[Coût estimé 
Disk1 / mois]]+TabVMAZURE[[#This Row],[Coût estimé 
Disk2 / mois]]+TabVMAZURE[[#This Row],[Coût estimé 
Disk3 / mois]]+TabVMAZURE[[#This Row],[Coût estimé 
Disk4 / mois]])</calculatedColumnFormula>
    </tableColumn>
    <tableColumn id="11" xr3:uid="{00000000-0010-0000-0200-00000B000000}" name="Coût estimé _x000a_sauvegarde total / mois" dataDxfId="48">
      <calculatedColumnFormula>SUM(TabVMAZURE[[#This Row],[Coût estimé 
sauvegarde
Disk1 / mois]]+TabVMAZURE[[#This Row],[Coût estimé 
sauvegarde
Disk2 / mois]]+TabVMAZURE[[#This Row],[Coût estimé 
sauvegarde
Disk3 / mois]]+TabVMAZURE[[#This Row],[Coût estimé 
sauvegarde
Disk4 / mois]])</calculatedColumnFormula>
    </tableColumn>
    <tableColumn id="27" xr3:uid="{00000000-0010-0000-0200-00001B000000}" name="Coût estimé _x000a_Disk + sauvegarde Total / mois" dataDxfId="47">
      <calculatedColumnFormula>SUM(TabVMAZURE[[#This Row],[Coût estimé 
Disk Total / mois]]+TabVMAZURE[[#This Row],[Coût estimé 
sauvegarde total / mois]])</calculatedColumnFormula>
    </tableColumn>
    <tableColumn id="30" xr3:uid="{4B8FB289-5025-4252-BE92-2A765B46C532}" name="ip/dns/CS …" dataDxfId="46"/>
    <tableColumn id="10" xr3:uid="{00000000-0010-0000-0200-00000A000000}" name="Coût estimé _x000a_total / mois_x000a_sans_x000a_sauvegarde" dataDxfId="45">
      <calculatedColumnFormula>SUM(TabVMAZURE[[#This Row],[Coût estimé 
VM / mois]]+TabVMAZURE[[#This Row],[Coût estimé 
Disk Total / mois]]+TabVMAZURE[[#This Row],[ip/dns/CS …]])</calculatedColumnFormula>
    </tableColumn>
    <tableColumn id="22" xr3:uid="{00000000-0010-0000-0200-000016000000}" name="Coût estimé _x000a_total / mois_x000a_avec 1 _x000a_sauvegarde" dataDxfId="44">
      <calculatedColumnFormula>SUM(TabVMAZURE[[#This Row],[Coût estimé 
VM / mois]]+TabVMAZURE[[#This Row],[Coût estimé 
Disk + sauvegarde Total / mois]]+TabVMAZURE[[#This Row],[ip/dns/CS …]])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TabVMAZURE11" displayName="TabVMAZURE11" ref="A1:AB31" totalsRowShown="0">
  <autoFilter ref="A1:AB31" xr:uid="{00000000-0009-0000-0100-00000A000000}"/>
  <tableColumns count="28">
    <tableColumn id="1" xr3:uid="{00000000-0010-0000-0300-000001000000}" name="VM"/>
    <tableColumn id="2" xr3:uid="{00000000-0010-0000-0300-000002000000}" name="Système"/>
    <tableColumn id="3" xr3:uid="{00000000-0010-0000-0300-000003000000}" name="VMAzureSize"/>
    <tableColumn id="4" xr3:uid="{00000000-0010-0000-0300-000004000000}" name="VMAzureDisk"/>
    <tableColumn id="5" xr3:uid="{00000000-0010-0000-0300-000005000000}" name="VMAzureDisk2"/>
    <tableColumn id="6" xr3:uid="{00000000-0010-0000-0300-000006000000}" name="VMAzureDisk3"/>
    <tableColumn id="7" xr3:uid="{00000000-0010-0000-0300-000007000000}" name="VMAzureDisk4"/>
    <tableColumn id="8" xr3:uid="{00000000-0010-0000-0300-000008000000}" name="Auto Start" dataDxfId="43"/>
    <tableColumn id="9" xr3:uid="{00000000-0010-0000-0300-000009000000}" name="Auto Stop" dataDxfId="42"/>
    <tableColumn id="12" xr3:uid="{00000000-0010-0000-0300-00000C000000}" name="Activité _x000a_par jours" dataDxfId="41">
      <calculatedColumnFormula>(((TabVMAZURE11[[#This Row],[Auto Stop]]-INT(TabVMAZURE11[[#This Row],[Auto Stop]]))*24)-((TabVMAZURE11[[#This Row],[Auto Start]]-INT(TabVMAZURE11[[#This Row],[Auto Start]]))*24))</calculatedColumnFormula>
    </tableColumn>
    <tableColumn id="14" xr3:uid="{00000000-0010-0000-0300-00000E000000}" name="Jours / Mois" dataDxfId="40"/>
    <tableColumn id="13" xr3:uid="{00000000-0010-0000-0300-00000D000000}" name="Activité _x000a_par mois" dataDxfId="39">
      <calculatedColumnFormula>TabVMAZURE11[[#This Row],[Activité 
par jours]]*TabVMAZURE11[[#This Row],[Jours / Mois]]</calculatedColumnFormula>
    </tableColumn>
    <tableColumn id="20" xr3:uid="{00000000-0010-0000-0300-000014000000}" name="Coût horaire VM" dataDxfId="38">
      <calculatedColumnFormula>INDEX(ListeVMAzureCoûts,MATCH(TabVMAZURE11[[#This Row],[VMAzureSize]],ListeVMAzureSize,0),MATCH(TabVMAZURE11[[#This Row],[Système]],ListeSystèmes,0))</calculatedColumnFormula>
    </tableColumn>
    <tableColumn id="19" xr3:uid="{00000000-0010-0000-0300-000013000000}" name="Coût estimé _x000a_VM / mois" dataDxfId="37">
      <calculatedColumnFormula>TabVMAZURE11[[#This Row],[Activité 
par mois]]*TabVMAZURE11[[#This Row],[Coût horaire VM]]</calculatedColumnFormula>
    </tableColumn>
    <tableColumn id="18" xr3:uid="{00000000-0010-0000-0300-000012000000}" name="Coût estimé _x000a_Disk1 / mois" dataDxfId="36">
      <calculatedColumnFormula>INDEX(TabVMAzureDisk[Coût / mois],MATCH(TabVMAZURE11[[#This Row],[VMAzureDisk]],TabVMAzureDisk[VMAzureDisk],0))</calculatedColumnFormula>
    </tableColumn>
    <tableColumn id="23" xr3:uid="{00000000-0010-0000-0300-000017000000}" name="Coût estimé _x000a_sauvegarde_x000a_Disk1 / mois" dataDxfId="35">
      <calculatedColumnFormula>INDEX(TabVMAzureDisk[Coût / mois Sauvegarde],MATCH(TabVMAZURE11[[#This Row],[VMAzureDisk]],TabVMAzureDisk[VMAzureDisk],0))</calculatedColumnFormula>
    </tableColumn>
    <tableColumn id="17" xr3:uid="{00000000-0010-0000-0300-000011000000}" name="Coût estimé _x000a_Disk2 / mois" dataDxfId="34">
      <calculatedColumnFormula>INDEX(TabVMAzureDisk[Coût / mois],MATCH(TabVMAZURE11[[#This Row],[VMAzureDisk2]],TabVMAzureDisk[VMAzureDisk],0))</calculatedColumnFormula>
    </tableColumn>
    <tableColumn id="24" xr3:uid="{00000000-0010-0000-0300-000018000000}" name="Coût estimé _x000a_sauvegarde_x000a_Disk2 / mois" dataDxfId="33">
      <calculatedColumnFormula>INDEX(TabVMAzureDisk[Coût / mois Sauvegarde],MATCH(TabVMAZURE11[[#This Row],[VMAzureDisk2]],TabVMAzureDisk[VMAzureDisk],0))</calculatedColumnFormula>
    </tableColumn>
    <tableColumn id="16" xr3:uid="{00000000-0010-0000-0300-000010000000}" name="Coût estimé _x000a_Disk3 / mois" dataDxfId="32">
      <calculatedColumnFormula>INDEX(TabVMAzureDisk[Coût / mois],MATCH(TabVMAZURE11[[#This Row],[VMAzureDisk3]],TabVMAzureDisk[VMAzureDisk],0))</calculatedColumnFormula>
    </tableColumn>
    <tableColumn id="25" xr3:uid="{00000000-0010-0000-0300-000019000000}" name="Coût estimé _x000a_sauvegarde_x000a_Disk3 / mois" dataDxfId="31">
      <calculatedColumnFormula>INDEX(TabVMAzureDisk[Coût / mois Sauvegarde],MATCH(TabVMAZURE11[[#This Row],[VMAzureDisk3]],TabVMAzureDisk[VMAzureDisk],0))</calculatedColumnFormula>
    </tableColumn>
    <tableColumn id="15" xr3:uid="{00000000-0010-0000-0300-00000F000000}" name="Coût estimé _x000a_Disk4 / mois" dataDxfId="30">
      <calculatedColumnFormula>INDEX(TabVMAzureDisk[Coût / mois],MATCH(TabVMAZURE11[[#This Row],[VMAzureDisk4]],TabVMAzureDisk[VMAzureDisk],0))</calculatedColumnFormula>
    </tableColumn>
    <tableColumn id="26" xr3:uid="{00000000-0010-0000-0300-00001A000000}" name="Coût estimé _x000a_sauvegarde_x000a_Disk4 / mois" dataDxfId="29">
      <calculatedColumnFormula>INDEX(TabVMAzureDisk[Coût / mois Sauvegarde],MATCH(TabVMAZURE11[[#This Row],[VMAzureDisk4]],TabVMAzureDisk[VMAzureDisk],0))</calculatedColumnFormula>
    </tableColumn>
    <tableColumn id="21" xr3:uid="{00000000-0010-0000-0300-000015000000}" name="Coût estimé _x000a_Disk Total / mois" dataDxfId="28">
      <calculatedColumnFormula>SUM(TabVMAZURE11[[#This Row],[Coût estimé 
Disk1 / mois]]+TabVMAZURE11[[#This Row],[Coût estimé 
Disk2 / mois]]+TabVMAZURE11[[#This Row],[Coût estimé 
Disk3 / mois]]+TabVMAZURE11[[#This Row],[Coût estimé 
Disk4 / mois]])</calculatedColumnFormula>
    </tableColumn>
    <tableColumn id="27" xr3:uid="{00000000-0010-0000-0300-00001B000000}" name="Coût estimé _x000a_sauvegarde_x000a_Disk Total / mois" dataDxfId="27">
      <calculatedColumnFormula>SUM(TabVMAZURE11[[#This Row],[Coût estimé 
sauvegarde
Disk1 / mois]]+TabVMAZURE11[[#This Row],[Coût estimé 
sauvegarde
Disk2 / mois]]+TabVMAZURE11[[#This Row],[Coût estimé 
sauvegarde
Disk3 / mois]]+TabVMAZURE11[[#This Row],[Coût estimé 
sauvegarde
Disk4 / mois]])</calculatedColumnFormula>
    </tableColumn>
    <tableColumn id="10" xr3:uid="{00000000-0010-0000-0300-00000A000000}" name="Coût estimé _x000a_total / mois_x000a_sans_x000a_sauvegarde" dataDxfId="26">
      <calculatedColumnFormula>SUM(TabVMAZURE11[[#This Row],[Coût estimé 
VM / mois]],TabVMAZURE11[[#This Row],[Coût estimé 
Disk Total / mois]])</calculatedColumnFormula>
    </tableColumn>
    <tableColumn id="22" xr3:uid="{00000000-0010-0000-0300-000016000000}" name="Coût estimé _x000a_total / mois_x000a_avec 1 _x000a_sauvegarde" dataDxfId="25">
      <calculatedColumnFormula>TabVMAZURE11[[#This Row],[Coût estimé 
total / mois
sans
sauvegarde]]+TabVMAZURE11[[#This Row],[Coût estimé 
sauvegarde
Disk Total / mois]]</calculatedColumnFormula>
    </tableColumn>
    <tableColumn id="11" xr3:uid="{00000000-0010-0000-0300-00000B000000}" name="Coût OT" dataDxfId="24"/>
    <tableColumn id="28" xr3:uid="{00000000-0010-0000-0300-00001C000000}" name="Migration OT vers Azure rentable ?" dataDxfId="23">
      <calculatedColumnFormula>IF(TabVMAZURE11[[#This Row],[Coût estimé 
total / mois
avec 1 
sauvegarde]]&lt;TabVMAZURE11[[#This Row],[Coût OT]],"OUI","NON")</calculatedColumnFormula>
    </tableColumn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abCONTRATSDI" displayName="TabCONTRATSDI" ref="A1:F42" totalsRowShown="0" headerRowDxfId="22" dataDxfId="21" tableBorderDxfId="20">
  <autoFilter ref="A1:F42" xr:uid="{00000000-0009-0000-0100-000007000000}"/>
  <sortState xmlns:xlrd2="http://schemas.microsoft.com/office/spreadsheetml/2017/richdata2" ref="A2:F42">
    <sortCondition ref="A1:A42"/>
  </sortState>
  <tableColumns count="6">
    <tableColumn id="1" xr3:uid="{00000000-0010-0000-0400-000001000000}" name="Contrat SYGES" dataDxfId="19"/>
    <tableColumn id="2" xr3:uid="{00000000-0010-0000-0400-000002000000}" name="Client" dataDxfId="18"/>
    <tableColumn id="3" xr3:uid="{00000000-0010-0000-0400-000003000000}" name="Cost Center" dataDxfId="17"/>
    <tableColumn id="4" xr3:uid="{00000000-0010-0000-0400-000004000000}" name="Status du contrat" dataDxfId="16"/>
    <tableColumn id="5" xr3:uid="{00000000-0010-0000-0400-000005000000}" name="Type du contrat SYGES" dataDxfId="15"/>
    <tableColumn id="6" xr3:uid="{00000000-0010-0000-0400-000006000000}" name="Type contrat REFPROJ" dataDxfId="14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Projets" displayName="TabProjets" ref="A1:I47" totalsRowShown="0" headerRowDxfId="13">
  <autoFilter ref="A1:I47" xr:uid="{00000000-0009-0000-0100-000006000000}"/>
  <sortState xmlns:xlrd2="http://schemas.microsoft.com/office/spreadsheetml/2017/richdata2" ref="A2:I46">
    <sortCondition ref="A1:A46"/>
  </sortState>
  <tableColumns count="9">
    <tableColumn id="1" xr3:uid="{00000000-0010-0000-0500-000001000000}" name="NomProj">
      <calculatedColumnFormula>B2 &amp; "-" &amp; C2</calculatedColumnFormula>
    </tableColumn>
    <tableColumn id="2" xr3:uid="{00000000-0010-0000-0500-000002000000}" name="Client"/>
    <tableColumn id="3" xr3:uid="{00000000-0010-0000-0500-000003000000}" name="Projet"/>
    <tableColumn id="4" xr3:uid="{00000000-0010-0000-0500-000004000000}" name="DateDeb"/>
    <tableColumn id="5" xr3:uid="{00000000-0010-0000-0500-000005000000}" name="DateFin"/>
    <tableColumn id="6" xr3:uid="{00000000-0010-0000-0500-000006000000}" name="CP" dataDxfId="12"/>
    <tableColumn id="7" xr3:uid="{00000000-0010-0000-0500-000007000000}" name="Référent technique"/>
    <tableColumn id="8" xr3:uid="{00000000-0010-0000-0500-000008000000}" name="SYGES"/>
    <tableColumn id="9" xr3:uid="{00000000-0010-0000-0500-000009000000}" name="Commentaire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Env" displayName="TabEnv" ref="A1:C7" totalsRowShown="0" headerRowDxfId="11">
  <autoFilter ref="A1:C7" xr:uid="{00000000-0009-0000-0100-000005000000}"/>
  <sortState xmlns:xlrd2="http://schemas.microsoft.com/office/spreadsheetml/2017/richdata2" ref="A2:C7">
    <sortCondition ref="A1:A7"/>
  </sortState>
  <tableColumns count="3">
    <tableColumn id="1" xr3:uid="{00000000-0010-0000-0600-000001000000}" name="RefEnv"/>
    <tableColumn id="2" xr3:uid="{00000000-0010-0000-0600-000002000000}" name="Nom"/>
    <tableColumn id="3" xr3:uid="{00000000-0010-0000-0600-000003000000}" name="Commentaire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7000000}" name="TabVMAzureSize" displayName="TabVMAzureSize" ref="A1:G11" totalsRowShown="0" headerRowDxfId="10" dataDxfId="9" dataCellStyle="Monétaire">
  <autoFilter ref="A1:G11" xr:uid="{00000000-0009-0000-0100-000004000000}"/>
  <sortState xmlns:xlrd2="http://schemas.microsoft.com/office/spreadsheetml/2017/richdata2" ref="A2:G11">
    <sortCondition ref="E1:E11"/>
  </sortState>
  <tableColumns count="7">
    <tableColumn id="1" xr3:uid="{00000000-0010-0000-0700-000001000000}" name="VMAzureSize"/>
    <tableColumn id="2" xr3:uid="{00000000-0010-0000-0700-000002000000}" name="CPU"/>
    <tableColumn id="3" xr3:uid="{00000000-0010-0000-0700-000003000000}" name="RAM"/>
    <tableColumn id="4" xr3:uid="{00000000-0010-0000-0700-000004000000}" name="Stockage temporaire"/>
    <tableColumn id="5" xr3:uid="{00000000-0010-0000-0700-000005000000}" name="Linux" dataDxfId="8" dataCellStyle="Monétaire"/>
    <tableColumn id="6" xr3:uid="{00000000-0010-0000-0700-000006000000}" name="Windows" dataDxfId="7" dataCellStyle="Monétaire"/>
    <tableColumn id="7" xr3:uid="{00000000-0010-0000-0700-000007000000}" name="Windows + SQL STD" dataDxfId="6" dataCellStyle="Monétaire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TabVMAzureDisk" displayName="TabVMAzureDisk" ref="A1:F12" totalsRowShown="0">
  <autoFilter ref="A1:F12" xr:uid="{00000000-0009-0000-0100-000003000000}"/>
  <sortState xmlns:xlrd2="http://schemas.microsoft.com/office/spreadsheetml/2017/richdata2" ref="A2:D12">
    <sortCondition ref="A1:A12"/>
  </sortState>
  <tableColumns count="6">
    <tableColumn id="1" xr3:uid="{00000000-0010-0000-0800-000001000000}" name="VMAzureDisk" dataDxfId="5">
      <calculatedColumnFormula>TabVMAzureDisk[[#This Row],[Type]] &amp; " \ " &amp; TabVMAzureDisk[[#This Row],[Size]] &amp; " Go"</calculatedColumnFormula>
    </tableColumn>
    <tableColumn id="2" xr3:uid="{00000000-0010-0000-0800-000002000000}" name="Type"/>
    <tableColumn id="3" xr3:uid="{00000000-0010-0000-0800-000003000000}" name="Size"/>
    <tableColumn id="4" xr3:uid="{00000000-0010-0000-0800-000004000000}" name="Coût / mois" dataDxfId="4" dataCellStyle="Monétaire"/>
    <tableColumn id="5" xr3:uid="{00000000-0010-0000-0800-000005000000}" name="Coût / mois Sauvegarde" dataDxfId="3"/>
    <tableColumn id="6" xr3:uid="{00000000-0010-0000-0800-000006000000}" name="Coût / mois avec sauvegarde" dataDxfId="2">
      <calculatedColumnFormula>TabVMAzureDisk[[#This Row],[Coût / mois]]+TabVMAzureDisk[[#This Row],[Coût / mois Sauvegarde]]</calculatedColumnFormula>
    </tableColumn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Dates" displayName="TabDates" ref="A1:A25" totalsRowShown="0">
  <autoFilter ref="A1:A25" xr:uid="{00000000-0009-0000-0100-000009000000}"/>
  <tableColumns count="1">
    <tableColumn id="1" xr3:uid="{00000000-0010-0000-0900-000001000000}" name="Date" dataDxfId="1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CostCenters" displayName="TabCostCenters" ref="A1:A3" totalsRowShown="0">
  <autoFilter ref="A1:A3" xr:uid="{00000000-0009-0000-0100-00000B000000}"/>
  <tableColumns count="1">
    <tableColumn id="1" xr3:uid="{00000000-0010-0000-0A00-000001000000}" name="CostCenter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pageSetUpPr fitToPage="1"/>
  </sheetPr>
  <dimension ref="A4:B216"/>
  <sheetViews>
    <sheetView zoomScaleNormal="100" workbookViewId="0">
      <selection activeCell="F21" sqref="F21"/>
    </sheetView>
  </sheetViews>
  <sheetFormatPr baseColWidth="10" defaultColWidth="11.42578125" defaultRowHeight="15" x14ac:dyDescent="0.25"/>
  <cols>
    <col min="1" max="1" width="38.140625" bestFit="1" customWidth="1"/>
    <col min="2" max="2" width="15" bestFit="1" customWidth="1"/>
  </cols>
  <sheetData>
    <row r="4" spans="1:2" x14ac:dyDescent="0.25">
      <c r="A4" s="20" t="s">
        <v>0</v>
      </c>
      <c r="B4" t="s">
        <v>1</v>
      </c>
    </row>
    <row r="5" spans="1:2" x14ac:dyDescent="0.25">
      <c r="A5" s="21" t="s">
        <v>2</v>
      </c>
      <c r="B5" s="32">
        <v>60.007000987804297</v>
      </c>
    </row>
    <row r="6" spans="1:2" x14ac:dyDescent="0.25">
      <c r="A6" s="26" t="s">
        <v>3</v>
      </c>
      <c r="B6" s="32">
        <v>13.647956735348576</v>
      </c>
    </row>
    <row r="7" spans="1:2" x14ac:dyDescent="0.25">
      <c r="A7" s="27" t="s">
        <v>4</v>
      </c>
      <c r="B7" s="32">
        <v>13.647956735348576</v>
      </c>
    </row>
    <row r="8" spans="1:2" x14ac:dyDescent="0.25">
      <c r="A8" s="33" t="s">
        <v>3</v>
      </c>
      <c r="B8" s="32">
        <v>13.647956735348576</v>
      </c>
    </row>
    <row r="9" spans="1:2" x14ac:dyDescent="0.25">
      <c r="A9" s="26" t="s">
        <v>5</v>
      </c>
      <c r="B9" s="32">
        <v>8.5123012921893437</v>
      </c>
    </row>
    <row r="10" spans="1:2" x14ac:dyDescent="0.25">
      <c r="A10" s="27" t="s">
        <v>4</v>
      </c>
      <c r="B10" s="32">
        <v>4.1692992373948234</v>
      </c>
    </row>
    <row r="11" spans="1:2" x14ac:dyDescent="0.25">
      <c r="A11" s="33" t="s">
        <v>5</v>
      </c>
      <c r="B11" s="32">
        <v>4.1692992373948234</v>
      </c>
    </row>
    <row r="12" spans="1:2" x14ac:dyDescent="0.25">
      <c r="A12" s="27" t="s">
        <v>6</v>
      </c>
      <c r="B12" s="32">
        <v>4.3430020547945203</v>
      </c>
    </row>
    <row r="13" spans="1:2" x14ac:dyDescent="0.25">
      <c r="A13" s="33" t="s">
        <v>7</v>
      </c>
      <c r="B13" s="32">
        <v>4.3430020547945203</v>
      </c>
    </row>
    <row r="14" spans="1:2" x14ac:dyDescent="0.25">
      <c r="A14" s="26" t="s">
        <v>8</v>
      </c>
      <c r="B14" s="32">
        <v>1.2665088468063661</v>
      </c>
    </row>
    <row r="15" spans="1:2" x14ac:dyDescent="0.25">
      <c r="A15" s="27" t="s">
        <v>4</v>
      </c>
      <c r="B15" s="32">
        <v>1.2665088468063661</v>
      </c>
    </row>
    <row r="16" spans="1:2" x14ac:dyDescent="0.25">
      <c r="A16" s="33" t="s">
        <v>8</v>
      </c>
      <c r="B16" s="32">
        <v>1.2665088468063661</v>
      </c>
    </row>
    <row r="17" spans="1:2" x14ac:dyDescent="0.25">
      <c r="A17" s="26" t="s">
        <v>9</v>
      </c>
      <c r="B17" s="32">
        <v>11.084778913505176</v>
      </c>
    </row>
    <row r="18" spans="1:2" x14ac:dyDescent="0.25">
      <c r="A18" s="27" t="s">
        <v>4</v>
      </c>
      <c r="B18" s="32">
        <v>2.3566097354229858</v>
      </c>
    </row>
    <row r="19" spans="1:2" x14ac:dyDescent="0.25">
      <c r="A19" s="33" t="s">
        <v>9</v>
      </c>
      <c r="B19" s="32">
        <v>2.3566097354229858</v>
      </c>
    </row>
    <row r="20" spans="1:2" x14ac:dyDescent="0.25">
      <c r="A20" s="27" t="s">
        <v>10</v>
      </c>
      <c r="B20" s="32">
        <v>8.7281691780821902</v>
      </c>
    </row>
    <row r="21" spans="1:2" x14ac:dyDescent="0.25">
      <c r="A21" s="33" t="s">
        <v>11</v>
      </c>
      <c r="B21" s="32">
        <v>8.7281691780821902</v>
      </c>
    </row>
    <row r="22" spans="1:2" x14ac:dyDescent="0.25">
      <c r="A22" s="26" t="s">
        <v>12</v>
      </c>
      <c r="B22" s="32">
        <v>7.3682367196279737</v>
      </c>
    </row>
    <row r="23" spans="1:2" x14ac:dyDescent="0.25">
      <c r="A23" s="27" t="s">
        <v>4</v>
      </c>
      <c r="B23" s="32">
        <v>1.3280906579841381</v>
      </c>
    </row>
    <row r="24" spans="1:2" x14ac:dyDescent="0.25">
      <c r="A24" s="33" t="s">
        <v>12</v>
      </c>
      <c r="B24" s="32">
        <v>1.3280906579841381</v>
      </c>
    </row>
    <row r="25" spans="1:2" x14ac:dyDescent="0.25">
      <c r="A25" s="27" t="s">
        <v>10</v>
      </c>
      <c r="B25" s="32">
        <v>6.0401460616438358</v>
      </c>
    </row>
    <row r="26" spans="1:2" x14ac:dyDescent="0.25">
      <c r="A26" s="33" t="s">
        <v>12</v>
      </c>
      <c r="B26" s="32">
        <v>6.0401460616438358</v>
      </c>
    </row>
    <row r="27" spans="1:2" x14ac:dyDescent="0.25">
      <c r="A27" s="26" t="s">
        <v>13</v>
      </c>
      <c r="B27" s="32">
        <v>15.450605000389592</v>
      </c>
    </row>
    <row r="28" spans="1:2" x14ac:dyDescent="0.25">
      <c r="A28" s="27" t="s">
        <v>4</v>
      </c>
      <c r="B28" s="32">
        <v>1.6099212675128791</v>
      </c>
    </row>
    <row r="29" spans="1:2" x14ac:dyDescent="0.25">
      <c r="A29" s="33" t="s">
        <v>13</v>
      </c>
      <c r="B29" s="32">
        <v>1.6099212675128791</v>
      </c>
    </row>
    <row r="30" spans="1:2" x14ac:dyDescent="0.25">
      <c r="A30" s="27" t="s">
        <v>6</v>
      </c>
      <c r="B30" s="32">
        <v>13.840683732876712</v>
      </c>
    </row>
    <row r="31" spans="1:2" x14ac:dyDescent="0.25">
      <c r="A31" s="33" t="s">
        <v>14</v>
      </c>
      <c r="B31" s="32">
        <v>13.840683732876712</v>
      </c>
    </row>
    <row r="32" spans="1:2" x14ac:dyDescent="0.25">
      <c r="A32" s="26" t="s">
        <v>15</v>
      </c>
      <c r="B32" s="32">
        <v>1.7231124947178817</v>
      </c>
    </row>
    <row r="33" spans="1:2" x14ac:dyDescent="0.25">
      <c r="A33" s="27" t="s">
        <v>4</v>
      </c>
      <c r="B33" s="32">
        <v>1.7231124947178817</v>
      </c>
    </row>
    <row r="34" spans="1:2" x14ac:dyDescent="0.25">
      <c r="A34" s="33" t="s">
        <v>15</v>
      </c>
      <c r="B34" s="32">
        <v>1.7231124947178817</v>
      </c>
    </row>
    <row r="35" spans="1:2" x14ac:dyDescent="0.25">
      <c r="A35" s="26" t="s">
        <v>421</v>
      </c>
      <c r="B35" s="32">
        <v>0.9535009852193812</v>
      </c>
    </row>
    <row r="36" spans="1:2" x14ac:dyDescent="0.25">
      <c r="A36" s="27" t="s">
        <v>4</v>
      </c>
      <c r="B36" s="32">
        <v>0.9535009852193812</v>
      </c>
    </row>
    <row r="37" spans="1:2" x14ac:dyDescent="0.25">
      <c r="A37" s="33" t="s">
        <v>421</v>
      </c>
      <c r="B37" s="32">
        <v>0.9535009852193812</v>
      </c>
    </row>
    <row r="38" spans="1:2" x14ac:dyDescent="0.25">
      <c r="A38" s="21" t="s">
        <v>16</v>
      </c>
      <c r="B38" s="32">
        <v>26.228831109312569</v>
      </c>
    </row>
    <row r="39" spans="1:2" x14ac:dyDescent="0.25">
      <c r="A39" s="26" t="s">
        <v>17</v>
      </c>
      <c r="B39" s="32">
        <v>26.228831109312569</v>
      </c>
    </row>
    <row r="40" spans="1:2" x14ac:dyDescent="0.25">
      <c r="A40" s="27" t="s">
        <v>4</v>
      </c>
      <c r="B40" s="32">
        <v>2.4477324791755843</v>
      </c>
    </row>
    <row r="41" spans="1:2" x14ac:dyDescent="0.25">
      <c r="A41" s="33" t="s">
        <v>17</v>
      </c>
      <c r="B41" s="32">
        <v>2.4477324791755843</v>
      </c>
    </row>
    <row r="42" spans="1:2" x14ac:dyDescent="0.25">
      <c r="A42" s="27" t="s">
        <v>6</v>
      </c>
      <c r="B42" s="32">
        <v>23.781098630136984</v>
      </c>
    </row>
    <row r="43" spans="1:2" x14ac:dyDescent="0.25">
      <c r="A43" s="33" t="s">
        <v>18</v>
      </c>
      <c r="B43" s="32">
        <v>23.781098630136984</v>
      </c>
    </row>
    <row r="44" spans="1:2" x14ac:dyDescent="0.25">
      <c r="A44" s="21" t="s">
        <v>19</v>
      </c>
      <c r="B44" s="32">
        <v>10.797195377811944</v>
      </c>
    </row>
    <row r="45" spans="1:2" x14ac:dyDescent="0.25">
      <c r="A45" s="26" t="s">
        <v>20</v>
      </c>
      <c r="B45" s="32">
        <v>10.797195377811944</v>
      </c>
    </row>
    <row r="46" spans="1:2" x14ac:dyDescent="0.25">
      <c r="A46" s="27" t="s">
        <v>4</v>
      </c>
      <c r="B46" s="32">
        <v>6.9180090764420807</v>
      </c>
    </row>
    <row r="47" spans="1:2" x14ac:dyDescent="0.25">
      <c r="A47" s="33" t="s">
        <v>20</v>
      </c>
      <c r="B47" s="32">
        <v>6.9180090764420807</v>
      </c>
    </row>
    <row r="48" spans="1:2" x14ac:dyDescent="0.25">
      <c r="A48" s="27" t="s">
        <v>21</v>
      </c>
      <c r="B48" s="32">
        <v>3.8791863013698631</v>
      </c>
    </row>
    <row r="49" spans="1:2" x14ac:dyDescent="0.25">
      <c r="A49" s="33" t="s">
        <v>22</v>
      </c>
      <c r="B49" s="32">
        <v>3.8791863013698631</v>
      </c>
    </row>
    <row r="50" spans="1:2" x14ac:dyDescent="0.25">
      <c r="A50" s="21" t="s">
        <v>23</v>
      </c>
      <c r="B50" s="32">
        <v>23.180246404109589</v>
      </c>
    </row>
    <row r="51" spans="1:2" x14ac:dyDescent="0.25">
      <c r="A51" s="26" t="s">
        <v>24</v>
      </c>
      <c r="B51" s="32">
        <v>23.180246404109589</v>
      </c>
    </row>
    <row r="52" spans="1:2" x14ac:dyDescent="0.25">
      <c r="A52" s="27" t="s">
        <v>10</v>
      </c>
      <c r="B52" s="32">
        <v>23.180246404109589</v>
      </c>
    </row>
    <row r="53" spans="1:2" x14ac:dyDescent="0.25">
      <c r="A53" s="33" t="s">
        <v>25</v>
      </c>
      <c r="B53" s="32">
        <v>23.180246404109589</v>
      </c>
    </row>
    <row r="54" spans="1:2" x14ac:dyDescent="0.25">
      <c r="A54" s="21" t="s">
        <v>26</v>
      </c>
      <c r="B54" s="32">
        <v>2.3599149384179685</v>
      </c>
    </row>
    <row r="55" spans="1:2" x14ac:dyDescent="0.25">
      <c r="A55" s="26" t="s">
        <v>27</v>
      </c>
      <c r="B55" s="32">
        <v>2.3599149384179685</v>
      </c>
    </row>
    <row r="56" spans="1:2" x14ac:dyDescent="0.25">
      <c r="A56" s="27" t="s">
        <v>4</v>
      </c>
      <c r="B56" s="32">
        <v>2.3599149384179685</v>
      </c>
    </row>
    <row r="57" spans="1:2" x14ac:dyDescent="0.25">
      <c r="A57" s="33" t="s">
        <v>27</v>
      </c>
      <c r="B57" s="32">
        <v>2.3599149384179685</v>
      </c>
    </row>
    <row r="58" spans="1:2" x14ac:dyDescent="0.25">
      <c r="A58" s="21" t="s">
        <v>28</v>
      </c>
      <c r="B58" s="32">
        <v>37.519578646997829</v>
      </c>
    </row>
    <row r="59" spans="1:2" x14ac:dyDescent="0.25">
      <c r="A59" s="26" t="s">
        <v>29</v>
      </c>
      <c r="B59" s="32">
        <v>27.307312669598666</v>
      </c>
    </row>
    <row r="60" spans="1:2" x14ac:dyDescent="0.25">
      <c r="A60" s="27" t="s">
        <v>4</v>
      </c>
      <c r="B60" s="32">
        <v>4.9176612997356548</v>
      </c>
    </row>
    <row r="61" spans="1:2" x14ac:dyDescent="0.25">
      <c r="A61" s="33" t="s">
        <v>30</v>
      </c>
      <c r="B61" s="32">
        <v>4.9176612997356548</v>
      </c>
    </row>
    <row r="62" spans="1:2" x14ac:dyDescent="0.25">
      <c r="A62" s="27" t="s">
        <v>21</v>
      </c>
      <c r="B62" s="32">
        <v>22.38965136986301</v>
      </c>
    </row>
    <row r="63" spans="1:2" x14ac:dyDescent="0.25">
      <c r="A63" s="33" t="s">
        <v>31</v>
      </c>
      <c r="B63" s="32">
        <v>22.38965136986301</v>
      </c>
    </row>
    <row r="64" spans="1:2" x14ac:dyDescent="0.25">
      <c r="A64" s="26" t="s">
        <v>32</v>
      </c>
      <c r="B64" s="32">
        <v>1.2438079816120677</v>
      </c>
    </row>
    <row r="65" spans="1:2" x14ac:dyDescent="0.25">
      <c r="A65" s="27" t="s">
        <v>4</v>
      </c>
      <c r="B65" s="32">
        <v>1.2438079816120677</v>
      </c>
    </row>
    <row r="66" spans="1:2" x14ac:dyDescent="0.25">
      <c r="A66" s="33" t="s">
        <v>32</v>
      </c>
      <c r="B66" s="32">
        <v>1.2438079816120677</v>
      </c>
    </row>
    <row r="67" spans="1:2" x14ac:dyDescent="0.25">
      <c r="A67" s="26" t="s">
        <v>33</v>
      </c>
      <c r="B67" s="32">
        <v>1.7682335234827276</v>
      </c>
    </row>
    <row r="68" spans="1:2" x14ac:dyDescent="0.25">
      <c r="A68" s="27" t="s">
        <v>4</v>
      </c>
      <c r="B68" s="32">
        <v>1.7682335234827276</v>
      </c>
    </row>
    <row r="69" spans="1:2" x14ac:dyDescent="0.25">
      <c r="A69" s="33" t="s">
        <v>33</v>
      </c>
      <c r="B69" s="32">
        <v>1.7682335234827276</v>
      </c>
    </row>
    <row r="70" spans="1:2" x14ac:dyDescent="0.25">
      <c r="A70" s="26" t="s">
        <v>34</v>
      </c>
      <c r="B70" s="32">
        <v>1.2365866138563621</v>
      </c>
    </row>
    <row r="71" spans="1:2" x14ac:dyDescent="0.25">
      <c r="A71" s="27" t="s">
        <v>4</v>
      </c>
      <c r="B71" s="32">
        <v>1.2365866138563621</v>
      </c>
    </row>
    <row r="72" spans="1:2" x14ac:dyDescent="0.25">
      <c r="A72" s="33" t="s">
        <v>35</v>
      </c>
      <c r="B72" s="32">
        <v>1.2365866138563621</v>
      </c>
    </row>
    <row r="73" spans="1:2" x14ac:dyDescent="0.25">
      <c r="A73" s="26" t="s">
        <v>36</v>
      </c>
      <c r="B73" s="32">
        <v>5.9636378584480045</v>
      </c>
    </row>
    <row r="74" spans="1:2" x14ac:dyDescent="0.25">
      <c r="A74" s="27" t="s">
        <v>4</v>
      </c>
      <c r="B74" s="32">
        <v>5.9636378584480045</v>
      </c>
    </row>
    <row r="75" spans="1:2" x14ac:dyDescent="0.25">
      <c r="A75" s="33" t="s">
        <v>36</v>
      </c>
      <c r="B75" s="32">
        <v>5.9636378584480045</v>
      </c>
    </row>
    <row r="76" spans="1:2" x14ac:dyDescent="0.25">
      <c r="A76" s="21" t="s">
        <v>37</v>
      </c>
      <c r="B76" s="32">
        <v>268.36717520869979</v>
      </c>
    </row>
    <row r="77" spans="1:2" x14ac:dyDescent="0.25">
      <c r="A77" s="26" t="s">
        <v>38</v>
      </c>
      <c r="B77" s="32">
        <v>268.36717520869979</v>
      </c>
    </row>
    <row r="78" spans="1:2" x14ac:dyDescent="0.25">
      <c r="A78" s="27" t="s">
        <v>4</v>
      </c>
      <c r="B78" s="32">
        <v>192.42788685253538</v>
      </c>
    </row>
    <row r="79" spans="1:2" x14ac:dyDescent="0.25">
      <c r="A79" s="33" t="s">
        <v>38</v>
      </c>
      <c r="B79" s="32">
        <v>192.42788685253538</v>
      </c>
    </row>
    <row r="80" spans="1:2" x14ac:dyDescent="0.25">
      <c r="A80" s="27" t="s">
        <v>6</v>
      </c>
      <c r="B80" s="32">
        <v>75.939288356164383</v>
      </c>
    </row>
    <row r="81" spans="1:2" x14ac:dyDescent="0.25">
      <c r="A81" s="33" t="s">
        <v>39</v>
      </c>
      <c r="B81" s="32">
        <v>75.939288356164383</v>
      </c>
    </row>
    <row r="82" spans="1:2" x14ac:dyDescent="0.25">
      <c r="A82" s="21" t="s">
        <v>40</v>
      </c>
      <c r="B82" s="32">
        <v>2.0467088511832281</v>
      </c>
    </row>
    <row r="83" spans="1:2" x14ac:dyDescent="0.25">
      <c r="A83" s="26" t="s">
        <v>41</v>
      </c>
      <c r="B83" s="32">
        <v>2.0467088511832281</v>
      </c>
    </row>
    <row r="84" spans="1:2" x14ac:dyDescent="0.25">
      <c r="A84" s="27" t="s">
        <v>4</v>
      </c>
      <c r="B84" s="32">
        <v>2.0467088511832281</v>
      </c>
    </row>
    <row r="85" spans="1:2" x14ac:dyDescent="0.25">
      <c r="A85" s="33" t="s">
        <v>42</v>
      </c>
      <c r="B85" s="32">
        <v>2.0467088511832281</v>
      </c>
    </row>
    <row r="86" spans="1:2" x14ac:dyDescent="0.25">
      <c r="A86" s="21" t="s">
        <v>43</v>
      </c>
      <c r="B86" s="32">
        <v>20.543970722983676</v>
      </c>
    </row>
    <row r="87" spans="1:2" x14ac:dyDescent="0.25">
      <c r="A87" s="26" t="s">
        <v>44</v>
      </c>
      <c r="B87" s="32">
        <v>2.7039434588523017</v>
      </c>
    </row>
    <row r="88" spans="1:2" x14ac:dyDescent="0.25">
      <c r="A88" s="27" t="s">
        <v>4</v>
      </c>
      <c r="B88" s="32">
        <v>2.7039434588523017</v>
      </c>
    </row>
    <row r="89" spans="1:2" x14ac:dyDescent="0.25">
      <c r="A89" s="33" t="s">
        <v>44</v>
      </c>
      <c r="B89" s="32">
        <v>2.7039434588523017</v>
      </c>
    </row>
    <row r="90" spans="1:2" x14ac:dyDescent="0.25">
      <c r="A90" s="26" t="s">
        <v>45</v>
      </c>
      <c r="B90" s="32">
        <v>2.148956764651218</v>
      </c>
    </row>
    <row r="91" spans="1:2" x14ac:dyDescent="0.25">
      <c r="A91" s="27" t="s">
        <v>4</v>
      </c>
      <c r="B91" s="32">
        <v>2.148956764651218</v>
      </c>
    </row>
    <row r="92" spans="1:2" x14ac:dyDescent="0.25">
      <c r="A92" s="33" t="s">
        <v>46</v>
      </c>
      <c r="B92" s="32">
        <v>1.804928244216885</v>
      </c>
    </row>
    <row r="93" spans="1:2" x14ac:dyDescent="0.25">
      <c r="A93" s="33" t="s">
        <v>47</v>
      </c>
      <c r="B93" s="32">
        <v>0.34402852043433302</v>
      </c>
    </row>
    <row r="94" spans="1:2" x14ac:dyDescent="0.25">
      <c r="A94" s="26" t="s">
        <v>48</v>
      </c>
      <c r="B94" s="32">
        <v>1.4746953536746554</v>
      </c>
    </row>
    <row r="95" spans="1:2" x14ac:dyDescent="0.25">
      <c r="A95" s="27" t="s">
        <v>4</v>
      </c>
      <c r="B95" s="32">
        <v>1.4746953536746554</v>
      </c>
    </row>
    <row r="96" spans="1:2" x14ac:dyDescent="0.25">
      <c r="A96" s="33" t="s">
        <v>49</v>
      </c>
      <c r="B96" s="32">
        <v>1.1306668332403225</v>
      </c>
    </row>
    <row r="97" spans="1:2" x14ac:dyDescent="0.25">
      <c r="A97" s="33" t="s">
        <v>50</v>
      </c>
      <c r="B97" s="32">
        <v>0.34402852043433302</v>
      </c>
    </row>
    <row r="98" spans="1:2" x14ac:dyDescent="0.25">
      <c r="A98" s="26" t="s">
        <v>51</v>
      </c>
      <c r="B98" s="32">
        <v>5.6356211895183179</v>
      </c>
    </row>
    <row r="99" spans="1:2" x14ac:dyDescent="0.25">
      <c r="A99" s="27" t="s">
        <v>4</v>
      </c>
      <c r="B99" s="32">
        <v>0.7866383128059895</v>
      </c>
    </row>
    <row r="100" spans="1:2" x14ac:dyDescent="0.25">
      <c r="A100" s="33" t="s">
        <v>51</v>
      </c>
      <c r="B100" s="32">
        <v>0.7866383128059895</v>
      </c>
    </row>
    <row r="101" spans="1:2" x14ac:dyDescent="0.25">
      <c r="A101" s="27" t="s">
        <v>6</v>
      </c>
      <c r="B101" s="32">
        <v>4.848982876712328</v>
      </c>
    </row>
    <row r="102" spans="1:2" x14ac:dyDescent="0.25">
      <c r="A102" s="33" t="s">
        <v>52</v>
      </c>
      <c r="B102" s="32">
        <v>4.848982876712328</v>
      </c>
    </row>
    <row r="103" spans="1:2" x14ac:dyDescent="0.25">
      <c r="A103" s="26" t="s">
        <v>53</v>
      </c>
      <c r="B103" s="32">
        <v>8.5807539562871842</v>
      </c>
    </row>
    <row r="104" spans="1:2" x14ac:dyDescent="0.25">
      <c r="A104" s="27" t="s">
        <v>4</v>
      </c>
      <c r="B104" s="32">
        <v>2.4562777576570469</v>
      </c>
    </row>
    <row r="105" spans="1:2" x14ac:dyDescent="0.25">
      <c r="A105" s="33" t="s">
        <v>54</v>
      </c>
      <c r="B105" s="32">
        <v>2.4562777576570469</v>
      </c>
    </row>
    <row r="106" spans="1:2" x14ac:dyDescent="0.25">
      <c r="A106" s="27" t="s">
        <v>21</v>
      </c>
      <c r="B106" s="32">
        <v>6.1244761986301368</v>
      </c>
    </row>
    <row r="107" spans="1:2" x14ac:dyDescent="0.25">
      <c r="A107" s="33" t="s">
        <v>55</v>
      </c>
      <c r="B107" s="32">
        <v>6.1244761986301368</v>
      </c>
    </row>
    <row r="108" spans="1:2" x14ac:dyDescent="0.25">
      <c r="A108" s="21" t="s">
        <v>56</v>
      </c>
      <c r="B108" s="32">
        <v>23.505901167275631</v>
      </c>
    </row>
    <row r="109" spans="1:2" x14ac:dyDescent="0.25">
      <c r="A109" s="26" t="s">
        <v>57</v>
      </c>
      <c r="B109" s="32">
        <v>0.42996379830389486</v>
      </c>
    </row>
    <row r="110" spans="1:2" x14ac:dyDescent="0.25">
      <c r="A110" s="27" t="s">
        <v>4</v>
      </c>
      <c r="B110" s="32">
        <v>0.42996379830389486</v>
      </c>
    </row>
    <row r="111" spans="1:2" x14ac:dyDescent="0.25">
      <c r="A111" s="33" t="s">
        <v>58</v>
      </c>
      <c r="B111" s="32">
        <v>0.42996379830389486</v>
      </c>
    </row>
    <row r="112" spans="1:2" x14ac:dyDescent="0.25">
      <c r="A112" s="26" t="s">
        <v>59</v>
      </c>
      <c r="B112" s="32">
        <v>1.7150267227533433</v>
      </c>
    </row>
    <row r="113" spans="1:2" x14ac:dyDescent="0.25">
      <c r="A113" s="27" t="s">
        <v>4</v>
      </c>
      <c r="B113" s="32">
        <v>1.7150267227533433</v>
      </c>
    </row>
    <row r="114" spans="1:2" x14ac:dyDescent="0.25">
      <c r="A114" s="33" t="s">
        <v>60</v>
      </c>
      <c r="B114" s="32">
        <v>1.7150267227533433</v>
      </c>
    </row>
    <row r="115" spans="1:2" x14ac:dyDescent="0.25">
      <c r="A115" s="26" t="s">
        <v>61</v>
      </c>
      <c r="B115" s="32">
        <v>7.9267403916639037</v>
      </c>
    </row>
    <row r="116" spans="1:2" x14ac:dyDescent="0.25">
      <c r="A116" s="27" t="s">
        <v>4</v>
      </c>
      <c r="B116" s="32">
        <v>7.9267403916639037</v>
      </c>
    </row>
    <row r="117" spans="1:2" x14ac:dyDescent="0.25">
      <c r="A117" s="33" t="s">
        <v>61</v>
      </c>
      <c r="B117" s="32">
        <v>7.9267403916639037</v>
      </c>
    </row>
    <row r="118" spans="1:2" x14ac:dyDescent="0.25">
      <c r="A118" s="26" t="s">
        <v>62</v>
      </c>
      <c r="B118" s="32">
        <v>9.0745735376587238</v>
      </c>
    </row>
    <row r="119" spans="1:2" x14ac:dyDescent="0.25">
      <c r="A119" s="27" t="s">
        <v>4</v>
      </c>
      <c r="B119" s="32">
        <v>9.0745735376587238</v>
      </c>
    </row>
    <row r="120" spans="1:2" x14ac:dyDescent="0.25">
      <c r="A120" s="33" t="s">
        <v>62</v>
      </c>
      <c r="B120" s="32">
        <v>9.0745735376587238</v>
      </c>
    </row>
    <row r="121" spans="1:2" x14ac:dyDescent="0.25">
      <c r="A121" s="26" t="s">
        <v>63</v>
      </c>
      <c r="B121" s="32">
        <v>4.1543867222507247</v>
      </c>
    </row>
    <row r="122" spans="1:2" x14ac:dyDescent="0.25">
      <c r="A122" s="27" t="s">
        <v>4</v>
      </c>
      <c r="B122" s="32">
        <v>4.1543867222507247</v>
      </c>
    </row>
    <row r="123" spans="1:2" x14ac:dyDescent="0.25">
      <c r="A123" s="33" t="s">
        <v>64</v>
      </c>
      <c r="B123" s="32">
        <v>4.1543867222507247</v>
      </c>
    </row>
    <row r="124" spans="1:2" x14ac:dyDescent="0.25">
      <c r="A124" s="26" t="s">
        <v>65</v>
      </c>
      <c r="B124" s="32">
        <v>0.20520999464504075</v>
      </c>
    </row>
    <row r="125" spans="1:2" x14ac:dyDescent="0.25">
      <c r="A125" s="27" t="s">
        <v>4</v>
      </c>
      <c r="B125" s="32">
        <v>0.20520999464504075</v>
      </c>
    </row>
    <row r="126" spans="1:2" x14ac:dyDescent="0.25">
      <c r="A126" s="33" t="s">
        <v>65</v>
      </c>
      <c r="B126" s="32">
        <v>0.20520999464504075</v>
      </c>
    </row>
    <row r="127" spans="1:2" x14ac:dyDescent="0.25">
      <c r="A127" s="21" t="s">
        <v>66</v>
      </c>
      <c r="B127" s="32">
        <v>150.43299200730058</v>
      </c>
    </row>
    <row r="128" spans="1:2" x14ac:dyDescent="0.25">
      <c r="A128" s="26" t="s">
        <v>67</v>
      </c>
      <c r="B128" s="32">
        <v>149.90856646542991</v>
      </c>
    </row>
    <row r="129" spans="1:2" x14ac:dyDescent="0.25">
      <c r="A129" s="27" t="s">
        <v>4</v>
      </c>
      <c r="B129" s="32">
        <v>47.742605506525805</v>
      </c>
    </row>
    <row r="130" spans="1:2" x14ac:dyDescent="0.25">
      <c r="A130" s="33" t="s">
        <v>67</v>
      </c>
      <c r="B130" s="32">
        <v>47.742605506525805</v>
      </c>
    </row>
    <row r="131" spans="1:2" x14ac:dyDescent="0.25">
      <c r="A131" s="27" t="s">
        <v>10</v>
      </c>
      <c r="B131" s="32">
        <v>102.16596095890411</v>
      </c>
    </row>
    <row r="132" spans="1:2" x14ac:dyDescent="0.25">
      <c r="A132" s="33" t="s">
        <v>68</v>
      </c>
      <c r="B132" s="32">
        <v>102.16596095890411</v>
      </c>
    </row>
    <row r="133" spans="1:2" x14ac:dyDescent="0.25">
      <c r="A133" s="26" t="s">
        <v>69</v>
      </c>
      <c r="B133" s="32">
        <v>0.52442554187065971</v>
      </c>
    </row>
    <row r="134" spans="1:2" x14ac:dyDescent="0.25">
      <c r="A134" s="27" t="s">
        <v>4</v>
      </c>
      <c r="B134" s="32">
        <v>0.52442554187065971</v>
      </c>
    </row>
    <row r="135" spans="1:2" x14ac:dyDescent="0.25">
      <c r="A135" s="33" t="s">
        <v>69</v>
      </c>
      <c r="B135" s="32">
        <v>0.52442554187065971</v>
      </c>
    </row>
    <row r="136" spans="1:2" x14ac:dyDescent="0.25">
      <c r="A136" s="21" t="s">
        <v>70</v>
      </c>
      <c r="B136" s="32">
        <v>5.4673736041244556</v>
      </c>
    </row>
    <row r="137" spans="1:2" x14ac:dyDescent="0.25">
      <c r="A137" s="26" t="s">
        <v>71</v>
      </c>
      <c r="B137" s="32">
        <v>3.4441486774621035</v>
      </c>
    </row>
    <row r="138" spans="1:2" x14ac:dyDescent="0.25">
      <c r="A138" s="27" t="s">
        <v>4</v>
      </c>
      <c r="B138" s="32">
        <v>3.4441486774621035</v>
      </c>
    </row>
    <row r="139" spans="1:2" x14ac:dyDescent="0.25">
      <c r="A139" s="33" t="s">
        <v>71</v>
      </c>
      <c r="B139" s="32">
        <v>3.4441486774621035</v>
      </c>
    </row>
    <row r="140" spans="1:2" x14ac:dyDescent="0.25">
      <c r="A140" s="26" t="s">
        <v>72</v>
      </c>
      <c r="B140" s="32">
        <v>2.0232249266623517</v>
      </c>
    </row>
    <row r="141" spans="1:2" x14ac:dyDescent="0.25">
      <c r="A141" s="27" t="s">
        <v>4</v>
      </c>
      <c r="B141" s="32">
        <v>2.0232249266623517</v>
      </c>
    </row>
    <row r="142" spans="1:2" x14ac:dyDescent="0.25">
      <c r="A142" s="33" t="s">
        <v>73</v>
      </c>
      <c r="B142" s="32">
        <v>2.0232249266623517</v>
      </c>
    </row>
    <row r="143" spans="1:2" x14ac:dyDescent="0.25">
      <c r="A143" s="21" t="s">
        <v>74</v>
      </c>
      <c r="B143" s="32">
        <v>138.11168184931509</v>
      </c>
    </row>
    <row r="144" spans="1:2" x14ac:dyDescent="0.25">
      <c r="A144" s="26" t="s">
        <v>75</v>
      </c>
      <c r="B144" s="32">
        <v>138.11168184931509</v>
      </c>
    </row>
    <row r="145" spans="1:2" x14ac:dyDescent="0.25">
      <c r="A145" s="27" t="s">
        <v>10</v>
      </c>
      <c r="B145" s="32">
        <v>138.11168184931509</v>
      </c>
    </row>
    <row r="146" spans="1:2" x14ac:dyDescent="0.25">
      <c r="A146" s="33" t="s">
        <v>76</v>
      </c>
      <c r="B146" s="32">
        <v>138.11168184931509</v>
      </c>
    </row>
    <row r="147" spans="1:2" x14ac:dyDescent="0.25">
      <c r="A147" s="21" t="s">
        <v>77</v>
      </c>
      <c r="B147" s="32">
        <v>13.34177651466533</v>
      </c>
    </row>
    <row r="148" spans="1:2" x14ac:dyDescent="0.25">
      <c r="A148" s="26" t="s">
        <v>78</v>
      </c>
      <c r="B148" s="32">
        <v>13.34177651466533</v>
      </c>
    </row>
    <row r="149" spans="1:2" x14ac:dyDescent="0.25">
      <c r="A149" s="27" t="s">
        <v>4</v>
      </c>
      <c r="B149" s="32">
        <v>4.2762867886379308</v>
      </c>
    </row>
    <row r="150" spans="1:2" x14ac:dyDescent="0.25">
      <c r="A150" s="33" t="s">
        <v>79</v>
      </c>
      <c r="B150" s="32">
        <v>4.2762867886379308</v>
      </c>
    </row>
    <row r="151" spans="1:2" x14ac:dyDescent="0.25">
      <c r="A151" s="27" t="s">
        <v>6</v>
      </c>
      <c r="B151" s="32">
        <v>9.0654897260273994</v>
      </c>
    </row>
    <row r="152" spans="1:2" x14ac:dyDescent="0.25">
      <c r="A152" s="33" t="s">
        <v>80</v>
      </c>
      <c r="B152" s="32">
        <v>9.0654897260273994</v>
      </c>
    </row>
    <row r="153" spans="1:2" x14ac:dyDescent="0.25">
      <c r="A153" s="21" t="s">
        <v>81</v>
      </c>
      <c r="B153" s="32">
        <v>23.599211213862439</v>
      </c>
    </row>
    <row r="154" spans="1:2" x14ac:dyDescent="0.25">
      <c r="A154" s="26" t="s">
        <v>82</v>
      </c>
      <c r="B154" s="32">
        <v>23.599211213862439</v>
      </c>
    </row>
    <row r="155" spans="1:2" x14ac:dyDescent="0.25">
      <c r="A155" s="27" t="s">
        <v>4</v>
      </c>
      <c r="B155" s="32">
        <v>19.540823371396684</v>
      </c>
    </row>
    <row r="156" spans="1:2" x14ac:dyDescent="0.25">
      <c r="A156" s="33" t="s">
        <v>83</v>
      </c>
      <c r="B156" s="32">
        <v>3.3017104985726191</v>
      </c>
    </row>
    <row r="157" spans="1:2" x14ac:dyDescent="0.25">
      <c r="A157" s="33" t="s">
        <v>84</v>
      </c>
      <c r="B157" s="32">
        <v>1.8723474178246968</v>
      </c>
    </row>
    <row r="158" spans="1:2" x14ac:dyDescent="0.25">
      <c r="A158" s="33" t="s">
        <v>85</v>
      </c>
      <c r="B158" s="32">
        <v>1.8723474178246968</v>
      </c>
    </row>
    <row r="159" spans="1:2" x14ac:dyDescent="0.25">
      <c r="A159" s="33" t="s">
        <v>86</v>
      </c>
      <c r="B159" s="32">
        <v>2.0629291619244197</v>
      </c>
    </row>
    <row r="160" spans="1:2" x14ac:dyDescent="0.25">
      <c r="A160" s="33" t="s">
        <v>87</v>
      </c>
      <c r="B160" s="32">
        <v>2.3014228611734184</v>
      </c>
    </row>
    <row r="161" spans="1:2" x14ac:dyDescent="0.25">
      <c r="A161" s="33" t="s">
        <v>88</v>
      </c>
      <c r="B161" s="32">
        <v>2.1582200339742812</v>
      </c>
    </row>
    <row r="162" spans="1:2" x14ac:dyDescent="0.25">
      <c r="A162" s="33" t="s">
        <v>89</v>
      </c>
      <c r="B162" s="32">
        <v>1.1810592035406453</v>
      </c>
    </row>
    <row r="163" spans="1:2" x14ac:dyDescent="0.25">
      <c r="A163" s="33" t="s">
        <v>90</v>
      </c>
      <c r="B163" s="32">
        <v>0.90342215196206077</v>
      </c>
    </row>
    <row r="164" spans="1:2" x14ac:dyDescent="0.25">
      <c r="A164" s="33" t="s">
        <v>91</v>
      </c>
      <c r="B164" s="32">
        <v>1.4432719744759752</v>
      </c>
    </row>
    <row r="165" spans="1:2" x14ac:dyDescent="0.25">
      <c r="A165" s="33" t="s">
        <v>420</v>
      </c>
      <c r="B165" s="32">
        <v>2.4440926501238658</v>
      </c>
    </row>
    <row r="166" spans="1:2" x14ac:dyDescent="0.25">
      <c r="A166" s="27" t="s">
        <v>10</v>
      </c>
      <c r="B166" s="32">
        <v>4.0583878424657538</v>
      </c>
    </row>
    <row r="167" spans="1:2" x14ac:dyDescent="0.25">
      <c r="A167" s="33" t="s">
        <v>92</v>
      </c>
      <c r="B167" s="32">
        <v>4.0583878424657538</v>
      </c>
    </row>
    <row r="168" spans="1:2" x14ac:dyDescent="0.25">
      <c r="A168" s="21" t="s">
        <v>93</v>
      </c>
      <c r="B168" s="32">
        <v>1.2438079816120677</v>
      </c>
    </row>
    <row r="169" spans="1:2" x14ac:dyDescent="0.25">
      <c r="A169" s="26" t="s">
        <v>94</v>
      </c>
      <c r="B169" s="32">
        <v>1.2438079816120677</v>
      </c>
    </row>
    <row r="170" spans="1:2" x14ac:dyDescent="0.25">
      <c r="A170" s="27" t="s">
        <v>4</v>
      </c>
      <c r="B170" s="32">
        <v>1.2438079816120677</v>
      </c>
    </row>
    <row r="171" spans="1:2" x14ac:dyDescent="0.25">
      <c r="A171" s="33" t="s">
        <v>94</v>
      </c>
      <c r="B171" s="32">
        <v>1.2438079816120677</v>
      </c>
    </row>
    <row r="172" spans="1:2" x14ac:dyDescent="0.25">
      <c r="A172" s="21" t="s">
        <v>95</v>
      </c>
      <c r="B172" s="32">
        <v>26.050251979543766</v>
      </c>
    </row>
    <row r="173" spans="1:2" x14ac:dyDescent="0.25">
      <c r="A173" s="26" t="s">
        <v>96</v>
      </c>
      <c r="B173" s="32">
        <v>18.416677087444953</v>
      </c>
    </row>
    <row r="174" spans="1:2" x14ac:dyDescent="0.25">
      <c r="A174" s="27" t="s">
        <v>4</v>
      </c>
      <c r="B174" s="32">
        <v>3.0580508888148139</v>
      </c>
    </row>
    <row r="175" spans="1:2" x14ac:dyDescent="0.25">
      <c r="A175" s="33" t="s">
        <v>96</v>
      </c>
      <c r="B175" s="32">
        <v>3.0580508888148139</v>
      </c>
    </row>
    <row r="176" spans="1:2" x14ac:dyDescent="0.25">
      <c r="A176" s="27" t="s">
        <v>10</v>
      </c>
      <c r="B176" s="32">
        <v>15.358626198630137</v>
      </c>
    </row>
    <row r="177" spans="1:2" x14ac:dyDescent="0.25">
      <c r="A177" s="33" t="s">
        <v>97</v>
      </c>
      <c r="B177" s="32">
        <v>15.358626198630137</v>
      </c>
    </row>
    <row r="178" spans="1:2" x14ac:dyDescent="0.25">
      <c r="A178" s="26" t="s">
        <v>98</v>
      </c>
      <c r="B178" s="32">
        <v>4.1629201554377726</v>
      </c>
    </row>
    <row r="179" spans="1:2" x14ac:dyDescent="0.25">
      <c r="A179" s="27" t="s">
        <v>4</v>
      </c>
      <c r="B179" s="32">
        <v>4.1629201554377726</v>
      </c>
    </row>
    <row r="180" spans="1:2" x14ac:dyDescent="0.25">
      <c r="A180" s="33" t="s">
        <v>98</v>
      </c>
      <c r="B180" s="32">
        <v>4.1629201554377726</v>
      </c>
    </row>
    <row r="181" spans="1:2" x14ac:dyDescent="0.25">
      <c r="A181" s="26" t="s">
        <v>422</v>
      </c>
      <c r="B181" s="32">
        <v>3.4706547366610385</v>
      </c>
    </row>
    <row r="182" spans="1:2" x14ac:dyDescent="0.25">
      <c r="A182" s="27" t="s">
        <v>4</v>
      </c>
      <c r="B182" s="32">
        <v>3.4706547366610385</v>
      </c>
    </row>
    <row r="183" spans="1:2" x14ac:dyDescent="0.25">
      <c r="A183" s="33" t="s">
        <v>422</v>
      </c>
      <c r="B183" s="32">
        <v>3.4706547366610385</v>
      </c>
    </row>
    <row r="184" spans="1:2" x14ac:dyDescent="0.25">
      <c r="A184" s="21" t="s">
        <v>99</v>
      </c>
      <c r="B184" s="32">
        <v>7.0797448152539051</v>
      </c>
    </row>
    <row r="185" spans="1:2" x14ac:dyDescent="0.25">
      <c r="A185" s="26" t="s">
        <v>100</v>
      </c>
      <c r="B185" s="32">
        <v>7.0797448152539051</v>
      </c>
    </row>
    <row r="186" spans="1:2" x14ac:dyDescent="0.25">
      <c r="A186" s="27" t="s">
        <v>4</v>
      </c>
      <c r="B186" s="32">
        <v>7.0797448152539051</v>
      </c>
    </row>
    <row r="187" spans="1:2" x14ac:dyDescent="0.25">
      <c r="A187" s="33" t="s">
        <v>100</v>
      </c>
      <c r="B187" s="32">
        <v>7.0797448152539051</v>
      </c>
    </row>
    <row r="188" spans="1:2" x14ac:dyDescent="0.25">
      <c r="A188" s="21" t="s">
        <v>101</v>
      </c>
      <c r="B188" s="32">
        <v>142.37780696446634</v>
      </c>
    </row>
    <row r="189" spans="1:2" x14ac:dyDescent="0.25">
      <c r="A189" s="26" t="s">
        <v>102</v>
      </c>
      <c r="B189" s="32">
        <v>142.37780696446634</v>
      </c>
    </row>
    <row r="190" spans="1:2" x14ac:dyDescent="0.25">
      <c r="A190" s="27" t="s">
        <v>4</v>
      </c>
      <c r="B190" s="32">
        <v>33.244068437069075</v>
      </c>
    </row>
    <row r="191" spans="1:2" x14ac:dyDescent="0.25">
      <c r="A191" s="33" t="s">
        <v>103</v>
      </c>
      <c r="B191" s="32">
        <v>1.201618524199294</v>
      </c>
    </row>
    <row r="192" spans="1:2" x14ac:dyDescent="0.25">
      <c r="A192" s="33" t="s">
        <v>104</v>
      </c>
      <c r="B192" s="32">
        <v>1.6099212675128791</v>
      </c>
    </row>
    <row r="193" spans="1:2" x14ac:dyDescent="0.25">
      <c r="A193" s="33" t="s">
        <v>105</v>
      </c>
      <c r="B193" s="32">
        <v>0.87301428440821582</v>
      </c>
    </row>
    <row r="194" spans="1:2" x14ac:dyDescent="0.25">
      <c r="A194" s="33" t="s">
        <v>106</v>
      </c>
      <c r="B194" s="32">
        <v>0.20520999464504075</v>
      </c>
    </row>
    <row r="195" spans="1:2" x14ac:dyDescent="0.25">
      <c r="A195" s="33" t="s">
        <v>107</v>
      </c>
      <c r="B195" s="32">
        <v>0.90194678598748856</v>
      </c>
    </row>
    <row r="196" spans="1:2" x14ac:dyDescent="0.25">
      <c r="A196" s="33" t="s">
        <v>108</v>
      </c>
      <c r="B196" s="32">
        <v>1.2438079816120677</v>
      </c>
    </row>
    <row r="197" spans="1:2" x14ac:dyDescent="0.25">
      <c r="A197" s="33" t="s">
        <v>110</v>
      </c>
      <c r="B197" s="32">
        <v>2.3419328849509631</v>
      </c>
    </row>
    <row r="198" spans="1:2" x14ac:dyDescent="0.25">
      <c r="A198" s="33" t="s">
        <v>111</v>
      </c>
      <c r="B198" s="32">
        <v>1.2438079816120677</v>
      </c>
    </row>
    <row r="199" spans="1:2" x14ac:dyDescent="0.25">
      <c r="A199" s="33" t="s">
        <v>112</v>
      </c>
      <c r="B199" s="32">
        <v>1.0190541779532136</v>
      </c>
    </row>
    <row r="200" spans="1:2" x14ac:dyDescent="0.25">
      <c r="A200" s="33" t="s">
        <v>113</v>
      </c>
      <c r="B200" s="32">
        <v>0.97831395842809532</v>
      </c>
    </row>
    <row r="201" spans="1:2" x14ac:dyDescent="0.25">
      <c r="A201" s="33" t="s">
        <v>114</v>
      </c>
      <c r="B201" s="32">
        <v>0.97831395842809532</v>
      </c>
    </row>
    <row r="202" spans="1:2" x14ac:dyDescent="0.25">
      <c r="A202" s="33" t="s">
        <v>115</v>
      </c>
      <c r="B202" s="32">
        <v>0.34402852043433302</v>
      </c>
    </row>
    <row r="203" spans="1:2" x14ac:dyDescent="0.25">
      <c r="A203" s="33" t="s">
        <v>116</v>
      </c>
      <c r="B203" s="32">
        <v>3.3382288968460632</v>
      </c>
    </row>
    <row r="204" spans="1:2" x14ac:dyDescent="0.25">
      <c r="A204" s="33" t="s">
        <v>117</v>
      </c>
      <c r="B204" s="32">
        <v>5.7714592471527491</v>
      </c>
    </row>
    <row r="205" spans="1:2" x14ac:dyDescent="0.25">
      <c r="A205" s="33" t="s">
        <v>118</v>
      </c>
      <c r="B205" s="32">
        <v>3.3605857596746329</v>
      </c>
    </row>
    <row r="206" spans="1:2" x14ac:dyDescent="0.25">
      <c r="A206" s="33" t="s">
        <v>419</v>
      </c>
      <c r="B206" s="32">
        <v>7.8328242132238746</v>
      </c>
    </row>
    <row r="207" spans="1:2" x14ac:dyDescent="0.25">
      <c r="A207" s="27" t="s">
        <v>10</v>
      </c>
      <c r="B207" s="32">
        <v>6.6831633561643837</v>
      </c>
    </row>
    <row r="208" spans="1:2" x14ac:dyDescent="0.25">
      <c r="A208" s="33" t="s">
        <v>119</v>
      </c>
      <c r="B208" s="32">
        <v>6.6831633561643837</v>
      </c>
    </row>
    <row r="209" spans="1:2" x14ac:dyDescent="0.25">
      <c r="A209" s="27" t="s">
        <v>120</v>
      </c>
      <c r="B209" s="32">
        <v>102.45057517123287</v>
      </c>
    </row>
    <row r="210" spans="1:2" x14ac:dyDescent="0.25">
      <c r="A210" s="33" t="s">
        <v>121</v>
      </c>
      <c r="B210" s="32">
        <v>33.763678595890411</v>
      </c>
    </row>
    <row r="211" spans="1:2" x14ac:dyDescent="0.25">
      <c r="A211" s="33" t="s">
        <v>122</v>
      </c>
      <c r="B211" s="32">
        <v>68.686896575342459</v>
      </c>
    </row>
    <row r="212" spans="1:2" x14ac:dyDescent="0.25">
      <c r="A212" s="21" t="s">
        <v>123</v>
      </c>
      <c r="B212" s="32">
        <v>44.621183732876709</v>
      </c>
    </row>
    <row r="213" spans="1:2" x14ac:dyDescent="0.25">
      <c r="A213" s="26" t="s">
        <v>124</v>
      </c>
      <c r="B213" s="32">
        <v>44.621183732876709</v>
      </c>
    </row>
    <row r="214" spans="1:2" x14ac:dyDescent="0.25">
      <c r="A214" s="27" t="s">
        <v>10</v>
      </c>
      <c r="B214" s="32">
        <v>44.621183732876709</v>
      </c>
    </row>
    <row r="215" spans="1:2" x14ac:dyDescent="0.25">
      <c r="A215" s="33" t="s">
        <v>125</v>
      </c>
      <c r="B215" s="32">
        <v>44.621183732876709</v>
      </c>
    </row>
    <row r="216" spans="1:2" x14ac:dyDescent="0.25">
      <c r="A216" s="21" t="s">
        <v>126</v>
      </c>
      <c r="B216" s="32">
        <v>1026.882354077617</v>
      </c>
    </row>
  </sheetData>
  <pageMargins left="0.7" right="0.7" top="0.75" bottom="0.75" header="0.3" footer="0.3"/>
  <pageSetup paperSize="9" fitToHeight="0" orientation="portrait" r:id="rId2"/>
  <headerFooter>
    <oddHeader>&amp;C2021-04 305704 - Azure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theme="7"/>
  </sheetPr>
  <dimension ref="A1:M959"/>
  <sheetViews>
    <sheetView tabSelected="1" topLeftCell="B1" workbookViewId="0">
      <pane ySplit="1" topLeftCell="A948" activePane="bottomLeft" state="frozen"/>
      <selection pane="bottomLeft" activeCell="G967" sqref="G967"/>
    </sheetView>
  </sheetViews>
  <sheetFormatPr baseColWidth="10" defaultColWidth="11.42578125" defaultRowHeight="15" x14ac:dyDescent="0.25"/>
  <cols>
    <col min="1" max="1" width="31.140625" bestFit="1" customWidth="1"/>
    <col min="2" max="3" width="30.5703125" bestFit="1" customWidth="1"/>
    <col min="4" max="4" width="23.42578125" bestFit="1" customWidth="1"/>
    <col min="5" max="5" width="13.7109375" bestFit="1" customWidth="1"/>
    <col min="6" max="6" width="22.85546875" bestFit="1" customWidth="1"/>
    <col min="7" max="7" width="33.7109375" bestFit="1" customWidth="1"/>
    <col min="8" max="8" width="28" bestFit="1" customWidth="1"/>
    <col min="9" max="9" width="13.5703125" bestFit="1" customWidth="1"/>
    <col min="10" max="10" width="9.85546875" bestFit="1" customWidth="1"/>
    <col min="11" max="11" width="7.7109375" bestFit="1" customWidth="1"/>
    <col min="12" max="12" width="9.42578125" bestFit="1" customWidth="1"/>
    <col min="13" max="13" width="23.140625" style="39" bestFit="1" customWidth="1"/>
    <col min="14" max="15" width="14.5703125" bestFit="1" customWidth="1"/>
    <col min="16" max="17" width="21" bestFit="1" customWidth="1"/>
    <col min="18" max="18" width="23.85546875" bestFit="1" customWidth="1"/>
    <col min="19" max="20" width="12.5703125" bestFit="1" customWidth="1"/>
    <col min="21" max="22" width="14.5703125" bestFit="1" customWidth="1"/>
  </cols>
  <sheetData>
    <row r="1" spans="1:13" x14ac:dyDescent="0.25">
      <c r="A1" s="1" t="s">
        <v>127</v>
      </c>
      <c r="B1" s="1" t="s">
        <v>128</v>
      </c>
      <c r="C1" s="3" t="s">
        <v>129</v>
      </c>
      <c r="D1" s="3" t="s">
        <v>130</v>
      </c>
      <c r="E1" s="3" t="s">
        <v>131</v>
      </c>
      <c r="F1" s="1" t="s">
        <v>132</v>
      </c>
      <c r="G1" s="1" t="s">
        <v>133</v>
      </c>
      <c r="H1" s="1" t="s">
        <v>323</v>
      </c>
      <c r="I1" s="1" t="s">
        <v>134</v>
      </c>
      <c r="J1" s="1" t="s">
        <v>135</v>
      </c>
      <c r="K1" s="3" t="s">
        <v>136</v>
      </c>
      <c r="L1" s="2" t="s">
        <v>137</v>
      </c>
      <c r="M1" s="39" t="s">
        <v>138</v>
      </c>
    </row>
    <row r="2" spans="1:13" x14ac:dyDescent="0.25">
      <c r="A2" s="34" t="str">
        <f>TabVMAzureEnvProjet[[#This Row],[Client]] &amp; " .:. "  &amp; TabVMAzureEnvProjet[[#This Row],[Projet]]</f>
        <v>FRR .:. FRR-DIGIPAT</v>
      </c>
      <c r="B2" s="34" t="str">
        <f>IF(TabVMAzureEnvProjet[[#This Row],[Projet AzureDevOps]]&lt;&gt;"",TabVMAzureEnvProjet[[#This Row],[Projet AzureDevOps]],TabVMAzureEnvProjet[[#This Row],[VM]])</f>
        <v>FRR-DIGIPAT-VM</v>
      </c>
      <c r="C2" s="19"/>
      <c r="D2" t="s">
        <v>31</v>
      </c>
      <c r="E2" t="s">
        <v>21</v>
      </c>
      <c r="F2" t="s">
        <v>29</v>
      </c>
      <c r="G2" s="19" t="str">
        <f>LOOKUP(TabVMAzureEnvProjet[[#This Row],[Projet]],TabProjets[NomProj],TabProjets[SYGES])</f>
        <v>FRR/TMASI</v>
      </c>
      <c r="H2" s="19" t="str">
        <f>LOOKUP(TabVMAzureEnvProjet[[#This Row],[Projet]],TabProjets[NomProj],TabProjets[CP])</f>
        <v>Alice MARCHAL</v>
      </c>
      <c r="I2" s="19">
        <f>LOOKUP(TabVMAzureEnvProjet[[#This Row],[Code SYGES]],TabCONTRATSDI[Contrat SYGES],TabCONTRATSDI[Cost Center])</f>
        <v>305704</v>
      </c>
      <c r="J2" s="34" t="str">
        <f>LOOKUP(TabVMAzureEnvProjet[[#This Row],[Code SYGES]],TabCONTRATSDI[Contrat SYGES],TabCONTRATSDI[Client])</f>
        <v>FRR</v>
      </c>
      <c r="K2" s="19" t="s">
        <v>139</v>
      </c>
      <c r="L2" s="38">
        <v>21.41</v>
      </c>
    </row>
    <row r="3" spans="1:13" x14ac:dyDescent="0.25">
      <c r="A3" s="34" t="str">
        <f>TabVMAzureEnvProjet[[#This Row],[Client]] &amp; " .:. "  &amp; TabVMAzureEnvProjet[[#This Row],[Projet]]</f>
        <v>SPC .:. SPC-BUILD</v>
      </c>
      <c r="B3" s="34" t="str">
        <f>IF(TabVMAzureEnvProjet[[#This Row],[Projet AzureDevOps]]&lt;&gt;"",TabVMAzureEnvProjet[[#This Row],[Projet AzureDevOps]],TabVMAzureEnvProjet[[#This Row],[VM]])</f>
        <v>SPC-BUILDAS-VM</v>
      </c>
      <c r="C3" s="19"/>
      <c r="D3" t="s">
        <v>68</v>
      </c>
      <c r="E3" t="s">
        <v>10</v>
      </c>
      <c r="F3" t="s">
        <v>67</v>
      </c>
      <c r="G3" s="19" t="str">
        <f>LOOKUP(TabVMAzureEnvProjet[[#This Row],[Projet]],TabProjets[NomProj],TabProjets[SYGES])</f>
        <v>SPC/BUILD</v>
      </c>
      <c r="H3" s="19" t="str">
        <f>LOOKUP(TabVMAzureEnvProjet[[#This Row],[Projet]],TabProjets[NomProj],TabProjets[CP])</f>
        <v>Nicolas DURFORT</v>
      </c>
      <c r="I3" s="19">
        <f>LOOKUP(TabVMAzureEnvProjet[[#This Row],[Code SYGES]],TabCONTRATSDI[Contrat SYGES],TabCONTRATSDI[Cost Center])</f>
        <v>305704</v>
      </c>
      <c r="J3" s="34" t="str">
        <f>LOOKUP(TabVMAzureEnvProjet[[#This Row],[Code SYGES]],TabCONTRATSDI[Contrat SYGES],TabCONTRATSDI[Client])</f>
        <v>SPC</v>
      </c>
      <c r="K3" s="19" t="s">
        <v>139</v>
      </c>
      <c r="L3" s="38">
        <v>44.93</v>
      </c>
    </row>
    <row r="4" spans="1:13" x14ac:dyDescent="0.25">
      <c r="A4" s="34" t="str">
        <f>TabVMAzureEnvProjet[[#This Row],[Client]] &amp; " .:. "  &amp; TabVMAzureEnvProjet[[#This Row],[Projet]]</f>
        <v>SPC .:. SPC-WEB</v>
      </c>
      <c r="B4" s="34" t="str">
        <f>IF(TabVMAzureEnvProjet[[#This Row],[Projet AzureDevOps]]&lt;&gt;"",TabVMAzureEnvProjet[[#This Row],[Projet AzureDevOps]],TabVMAzureEnvProjet[[#This Row],[VM]])</f>
        <v>SPC-WEB-VM</v>
      </c>
      <c r="C4" s="19"/>
      <c r="D4" t="s">
        <v>140</v>
      </c>
      <c r="E4" t="s">
        <v>6</v>
      </c>
      <c r="F4" t="s">
        <v>69</v>
      </c>
      <c r="G4" s="19" t="str">
        <f>LOOKUP(TabVMAzureEnvProjet[[#This Row],[Projet]],TabProjets[NomProj],TabProjets[SYGES])</f>
        <v>SPC/BUILD-0-1-SITE-WEB</v>
      </c>
      <c r="H4" s="19" t="str">
        <f>LOOKUP(TabVMAzureEnvProjet[[#This Row],[Projet]],TabProjets[NomProj],TabProjets[CP])</f>
        <v>Nicolas DURFORT</v>
      </c>
      <c r="I4" s="19">
        <f>LOOKUP(TabVMAzureEnvProjet[[#This Row],[Code SYGES]],TabCONTRATSDI[Contrat SYGES],TabCONTRATSDI[Cost Center])</f>
        <v>305704</v>
      </c>
      <c r="J4" s="34" t="str">
        <f>LOOKUP(TabVMAzureEnvProjet[[#This Row],[Code SYGES]],TabCONTRATSDI[Contrat SYGES],TabCONTRATSDI[Client])</f>
        <v>SPC</v>
      </c>
      <c r="K4" s="19" t="s">
        <v>139</v>
      </c>
      <c r="L4" s="38">
        <v>7.6</v>
      </c>
    </row>
    <row r="5" spans="1:13" x14ac:dyDescent="0.25">
      <c r="A5" s="34" t="str">
        <f>TabVMAzureEnvProjet[[#This Row],[Client]] &amp; " .:. "  &amp; TabVMAzureEnvProjet[[#This Row],[Projet]]</f>
        <v>ONEMA .:. AFB-BASEINDICATEURS</v>
      </c>
      <c r="B5" s="34" t="str">
        <f>IF(TabVMAzureEnvProjet[[#This Row],[Projet AzureDevOps]]&lt;&gt;"",TabVMAzureEnvProjet[[#This Row],[Projet AzureDevOps]],TabVMAzureEnvProjet[[#This Row],[VM]])</f>
        <v>AFB-BaseIndicateurs</v>
      </c>
      <c r="C5" t="s">
        <v>58</v>
      </c>
      <c r="E5" t="s">
        <v>4</v>
      </c>
      <c r="F5" t="s">
        <v>57</v>
      </c>
      <c r="G5" s="19" t="str">
        <f>LOOKUP(TabVMAzureEnvProjet[[#This Row],[Projet]],TabProjets[NomProj],TabProjets[SYGES])</f>
        <v>ONEMA/TMADCUA-15</v>
      </c>
      <c r="H5" s="19" t="str">
        <f>LOOKUP(TabVMAzureEnvProjet[[#This Row],[Projet]],TabProjets[NomProj],TabProjets[CP])</f>
        <v>Pierre BOURLIEUX</v>
      </c>
      <c r="I5" s="19">
        <f>LOOKUP(TabVMAzureEnvProjet[[#This Row],[Code SYGES]],TabCONTRATSDI[Contrat SYGES],TabCONTRATSDI[Cost Center])</f>
        <v>305704</v>
      </c>
      <c r="J5" s="34" t="str">
        <f>LOOKUP(TabVMAzureEnvProjet[[#This Row],[Code SYGES]],TabCONTRATSDI[Contrat SYGES],TabCONTRATSDI[Client])</f>
        <v>ONEMA</v>
      </c>
      <c r="K5" s="19" t="s">
        <v>139</v>
      </c>
      <c r="L5" s="38">
        <v>1.43</v>
      </c>
    </row>
    <row r="6" spans="1:13" x14ac:dyDescent="0.25">
      <c r="A6" s="34" t="str">
        <f>TabVMAzureEnvProjet[[#This Row],[Client]] &amp; " .:. "  &amp; TabVMAzureEnvProjet[[#This Row],[Projet]]</f>
        <v>ONEMA .:. AFB-CDR</v>
      </c>
      <c r="B6" s="34" t="str">
        <f>IF(TabVMAzureEnvProjet[[#This Row],[Projet AzureDevOps]]&lt;&gt;"",TabVMAzureEnvProjet[[#This Row],[Projet AzureDevOps]],TabVMAzureEnvProjet[[#This Row],[VM]])</f>
        <v>AFB-CDR</v>
      </c>
      <c r="C6" t="s">
        <v>61</v>
      </c>
      <c r="E6" t="s">
        <v>4</v>
      </c>
      <c r="F6" t="s">
        <v>61</v>
      </c>
      <c r="G6" s="19" t="str">
        <f>LOOKUP(TabVMAzureEnvProjet[[#This Row],[Projet]],TabProjets[NomProj],TabProjets[SYGES])</f>
        <v>ONEMA/TMAWEB-16</v>
      </c>
      <c r="H6" s="19" t="str">
        <f>LOOKUP(TabVMAzureEnvProjet[[#This Row],[Projet]],TabProjets[NomProj],TabProjets[CP])</f>
        <v>Pierre BOURLIEUX</v>
      </c>
      <c r="I6" s="19">
        <f>LOOKUP(TabVMAzureEnvProjet[[#This Row],[Code SYGES]],TabCONTRATSDI[Contrat SYGES],TabCONTRATSDI[Cost Center])</f>
        <v>305704</v>
      </c>
      <c r="J6" s="34" t="str">
        <f>LOOKUP(TabVMAzureEnvProjet[[#This Row],[Code SYGES]],TabCONTRATSDI[Contrat SYGES],TabCONTRATSDI[Client])</f>
        <v>ONEMA</v>
      </c>
      <c r="K6" s="19" t="s">
        <v>139</v>
      </c>
      <c r="L6" s="38">
        <v>3.3</v>
      </c>
    </row>
    <row r="7" spans="1:13" x14ac:dyDescent="0.25">
      <c r="A7" s="34" t="str">
        <f>TabVMAzureEnvProjet[[#This Row],[Client]] &amp; " .:. "  &amp; TabVMAzureEnvProjet[[#This Row],[Projet]]</f>
        <v>AFB .:. AFB-CESMIA</v>
      </c>
      <c r="B7" s="34" t="str">
        <f>IF(TabVMAzureEnvProjet[[#This Row],[Projet AzureDevOps]]&lt;&gt;"",TabVMAzureEnvProjet[[#This Row],[Projet AzureDevOps]],TabVMAzureEnvProjet[[#This Row],[VM]])</f>
        <v>AFB-CESMIA</v>
      </c>
      <c r="C7" t="s">
        <v>3</v>
      </c>
      <c r="E7" t="s">
        <v>4</v>
      </c>
      <c r="F7" t="s">
        <v>3</v>
      </c>
      <c r="G7" s="19" t="str">
        <f>LOOKUP(TabVMAzureEnvProjet[[#This Row],[Projet]],TabProjets[NomProj],TabProjets[SYGES])</f>
        <v>AFB/OFB_LOT1</v>
      </c>
      <c r="H7" s="19" t="str">
        <f>LOOKUP(TabVMAzureEnvProjet[[#This Row],[Projet]],TabProjets[NomProj],TabProjets[CP])</f>
        <v>Jean-Philippe STROIAZZO</v>
      </c>
      <c r="I7" s="19">
        <f>LOOKUP(TabVMAzureEnvProjet[[#This Row],[Code SYGES]],TabCONTRATSDI[Contrat SYGES],TabCONTRATSDI[Cost Center])</f>
        <v>305704</v>
      </c>
      <c r="J7" s="34" t="str">
        <f>LOOKUP(TabVMAzureEnvProjet[[#This Row],[Code SYGES]],TabCONTRATSDI[Contrat SYGES],TabCONTRATSDI[Client])</f>
        <v>AFB</v>
      </c>
      <c r="K7" s="19" t="s">
        <v>139</v>
      </c>
      <c r="L7" s="38">
        <v>12.31</v>
      </c>
    </row>
    <row r="8" spans="1:13" x14ac:dyDescent="0.25">
      <c r="A8" s="34" t="str">
        <f>TabVMAzureEnvProjet[[#This Row],[Client]] &amp; " .:. "  &amp; TabVMAzureEnvProjet[[#This Row],[Projet]]</f>
        <v>ONEMA .:. AFB-OISON</v>
      </c>
      <c r="B8" s="34" t="str">
        <f>IF(TabVMAzureEnvProjet[[#This Row],[Projet AzureDevOps]]&lt;&gt;"",TabVMAzureEnvProjet[[#This Row],[Projet AzureDevOps]],TabVMAzureEnvProjet[[#This Row],[VM]])</f>
        <v>AFB-OISON</v>
      </c>
      <c r="C8" t="s">
        <v>62</v>
      </c>
      <c r="E8" t="s">
        <v>4</v>
      </c>
      <c r="F8" t="s">
        <v>62</v>
      </c>
      <c r="G8" s="19" t="str">
        <f>LOOKUP(TabVMAzureEnvProjet[[#This Row],[Projet]],TabProjets[NomProj],TabProjets[SYGES])</f>
        <v>ONEMA/TMADCUA-15</v>
      </c>
      <c r="H8" s="19" t="str">
        <f>LOOKUP(TabVMAzureEnvProjet[[#This Row],[Projet]],TabProjets[NomProj],TabProjets[CP])</f>
        <v>Jean-Philippe STROIAZZO</v>
      </c>
      <c r="I8" s="19">
        <f>LOOKUP(TabVMAzureEnvProjet[[#This Row],[Code SYGES]],TabCONTRATSDI[Contrat SYGES],TabCONTRATSDI[Cost Center])</f>
        <v>305704</v>
      </c>
      <c r="J8" s="34" t="str">
        <f>LOOKUP(TabVMAzureEnvProjet[[#This Row],[Code SYGES]],TabCONTRATSDI[Contrat SYGES],TabCONTRATSDI[Client])</f>
        <v>ONEMA</v>
      </c>
      <c r="K8" s="19" t="s">
        <v>139</v>
      </c>
      <c r="L8" s="38">
        <v>14.79</v>
      </c>
    </row>
    <row r="9" spans="1:13" x14ac:dyDescent="0.25">
      <c r="A9" s="34" t="str">
        <f>TabVMAzureEnvProjet[[#This Row],[Client]] &amp; " .:. "  &amp; TabVMAzureEnvProjet[[#This Row],[Projet]]</f>
        <v>ONEMA .:. AFB-PATBIODIV</v>
      </c>
      <c r="B9" s="34" t="str">
        <f>IF(TabVMAzureEnvProjet[[#This Row],[Projet AzureDevOps]]&lt;&gt;"",TabVMAzureEnvProjet[[#This Row],[Projet AzureDevOps]],TabVMAzureEnvProjet[[#This Row],[VM]])</f>
        <v>AFB-PATBiodiv</v>
      </c>
      <c r="C9" t="s">
        <v>64</v>
      </c>
      <c r="E9" t="s">
        <v>4</v>
      </c>
      <c r="F9" t="s">
        <v>63</v>
      </c>
      <c r="G9" s="19" t="str">
        <f>LOOKUP(TabVMAzureEnvProjet[[#This Row],[Projet]],TabProjets[NomProj],TabProjets[SYGES])</f>
        <v>ONEMA/TMADCUA-15</v>
      </c>
      <c r="H9" s="19" t="str">
        <f>LOOKUP(TabVMAzureEnvProjet[[#This Row],[Projet]],TabProjets[NomProj],TabProjets[CP])</f>
        <v>Rodolphe HABEGGER</v>
      </c>
      <c r="I9" s="19">
        <f>LOOKUP(TabVMAzureEnvProjet[[#This Row],[Code SYGES]],TabCONTRATSDI[Contrat SYGES],TabCONTRATSDI[Cost Center])</f>
        <v>305704</v>
      </c>
      <c r="J9" s="34" t="str">
        <f>LOOKUP(TabVMAzureEnvProjet[[#This Row],[Code SYGES]],TabCONTRATSDI[Contrat SYGES],TabCONTRATSDI[Client])</f>
        <v>ONEMA</v>
      </c>
      <c r="K9" s="19" t="s">
        <v>139</v>
      </c>
      <c r="L9" s="38">
        <v>8.19</v>
      </c>
    </row>
    <row r="10" spans="1:13" x14ac:dyDescent="0.25">
      <c r="A10" s="34" t="str">
        <f>TabVMAzureEnvProjet[[#This Row],[Client]] &amp; " .:. "  &amp; TabVMAzureEnvProjet[[#This Row],[Projet]]</f>
        <v>AFB .:. AFB-PNM</v>
      </c>
      <c r="B10" s="34" t="str">
        <f>IF(TabVMAzureEnvProjet[[#This Row],[Projet AzureDevOps]]&lt;&gt;"",TabVMAzureEnvProjet[[#This Row],[Projet AzureDevOps]],TabVMAzureEnvProjet[[#This Row],[VM]])</f>
        <v>AFB-PNM</v>
      </c>
      <c r="C10" t="s">
        <v>5</v>
      </c>
      <c r="E10" t="s">
        <v>4</v>
      </c>
      <c r="F10" t="s">
        <v>5</v>
      </c>
      <c r="G10" s="19" t="str">
        <f>LOOKUP(TabVMAzureEnvProjet[[#This Row],[Projet]],TabProjets[NomProj],TabProjets[SYGES])</f>
        <v>AFB/OFB_LOT2</v>
      </c>
      <c r="H10" s="19" t="str">
        <f>LOOKUP(TabVMAzureEnvProjet[[#This Row],[Projet]],TabProjets[NomProj],TabProjets[CP])</f>
        <v>Eric RAUCOURT</v>
      </c>
      <c r="I10" s="19">
        <f>LOOKUP(TabVMAzureEnvProjet[[#This Row],[Code SYGES]],TabCONTRATSDI[Contrat SYGES],TabCONTRATSDI[Cost Center])</f>
        <v>305704</v>
      </c>
      <c r="J10" s="34" t="str">
        <f>LOOKUP(TabVMAzureEnvProjet[[#This Row],[Code SYGES]],TabCONTRATSDI[Contrat SYGES],TabCONTRATSDI[Client])</f>
        <v>AFB</v>
      </c>
      <c r="K10" s="19" t="s">
        <v>139</v>
      </c>
      <c r="L10" s="38">
        <v>20.71</v>
      </c>
    </row>
    <row r="11" spans="1:13" x14ac:dyDescent="0.25">
      <c r="A11" s="34" t="str">
        <f>TabVMAzureEnvProjet[[#This Row],[Client]] &amp; " .:. "  &amp; TabVMAzureEnvProjet[[#This Row],[Projet]]</f>
        <v>AFB .:. AFB-PNX</v>
      </c>
      <c r="B11" s="34" t="str">
        <f>IF(TabVMAzureEnvProjet[[#This Row],[Projet AzureDevOps]]&lt;&gt;"",TabVMAzureEnvProjet[[#This Row],[Projet AzureDevOps]],TabVMAzureEnvProjet[[#This Row],[VM]])</f>
        <v>AFB-PNX</v>
      </c>
      <c r="C11" t="s">
        <v>8</v>
      </c>
      <c r="E11" t="s">
        <v>4</v>
      </c>
      <c r="F11" t="s">
        <v>8</v>
      </c>
      <c r="G11" s="19" t="str">
        <f>LOOKUP(TabVMAzureEnvProjet[[#This Row],[Projet]],TabProjets[NomProj],TabProjets[SYGES])</f>
        <v>AFB/OFB_LOT2</v>
      </c>
      <c r="H11" s="19" t="str">
        <f>LOOKUP(TabVMAzureEnvProjet[[#This Row],[Projet]],TabProjets[NomProj],TabProjets[CP])</f>
        <v>Pierre BOURLIEUX</v>
      </c>
      <c r="I11" s="19">
        <f>LOOKUP(TabVMAzureEnvProjet[[#This Row],[Code SYGES]],TabCONTRATSDI[Contrat SYGES],TabCONTRATSDI[Cost Center])</f>
        <v>305704</v>
      </c>
      <c r="J11" s="34" t="str">
        <f>LOOKUP(TabVMAzureEnvProjet[[#This Row],[Code SYGES]],TabCONTRATSDI[Contrat SYGES],TabCONTRATSDI[Client])</f>
        <v>AFB</v>
      </c>
      <c r="K11" s="19" t="s">
        <v>139</v>
      </c>
      <c r="L11" s="38">
        <v>2.89</v>
      </c>
    </row>
    <row r="12" spans="1:13" x14ac:dyDescent="0.25">
      <c r="A12" s="34" t="str">
        <f>TabVMAzureEnvProjet[[#This Row],[Client]] &amp; " .:. "  &amp; TabVMAzureEnvProjet[[#This Row],[Projet]]</f>
        <v>ALM .:. ALM-ATOUT</v>
      </c>
      <c r="B12" s="34" t="str">
        <f>IF(TabVMAzureEnvProjet[[#This Row],[Projet AzureDevOps]]&lt;&gt;"",TabVMAzureEnvProjet[[#This Row],[Projet AzureDevOps]],TabVMAzureEnvProjet[[#This Row],[VM]])</f>
        <v>ALM-ATOUT</v>
      </c>
      <c r="C12" t="s">
        <v>17</v>
      </c>
      <c r="E12" t="s">
        <v>4</v>
      </c>
      <c r="F12" t="s">
        <v>17</v>
      </c>
      <c r="G12" s="19" t="str">
        <f>LOOKUP(TabVMAzureEnvProjet[[#This Row],[Projet]],TabProjets[NomProj],TabProjets[SYGES])</f>
        <v>ALM/TMA_ATOUT</v>
      </c>
      <c r="H12" s="19" t="str">
        <f>LOOKUP(TabVMAzureEnvProjet[[#This Row],[Projet]],TabProjets[NomProj],TabProjets[CP])</f>
        <v>Alice MARCHAL</v>
      </c>
      <c r="I12" s="19">
        <f>LOOKUP(TabVMAzureEnvProjet[[#This Row],[Code SYGES]],TabCONTRATSDI[Contrat SYGES],TabCONTRATSDI[Cost Center])</f>
        <v>305704</v>
      </c>
      <c r="J12" s="34" t="str">
        <f>LOOKUP(TabVMAzureEnvProjet[[#This Row],[Code SYGES]],TabCONTRATSDI[Contrat SYGES],TabCONTRATSDI[Client])</f>
        <v>ALM</v>
      </c>
      <c r="K12" s="19" t="s">
        <v>139</v>
      </c>
      <c r="L12" s="38">
        <v>4.25</v>
      </c>
    </row>
    <row r="13" spans="1:13" x14ac:dyDescent="0.25">
      <c r="A13" s="34" t="str">
        <f>TabVMAzureEnvProjet[[#This Row],[Client]] &amp; " .:. "  &amp; TabVMAzureEnvProjet[[#This Row],[Projet]]</f>
        <v>BRGM .:. BRGM-ORRM</v>
      </c>
      <c r="B13" s="34" t="str">
        <f>IF(TabVMAzureEnvProjet[[#This Row],[Projet AzureDevOps]]&lt;&gt;"",TabVMAzureEnvProjet[[#This Row],[Projet AzureDevOps]],TabVMAzureEnvProjet[[#This Row],[VM]])</f>
        <v>BRGM-ORRM</v>
      </c>
      <c r="C13" t="s">
        <v>20</v>
      </c>
      <c r="E13" t="s">
        <v>4</v>
      </c>
      <c r="F13" t="s">
        <v>20</v>
      </c>
      <c r="G13" s="19" t="str">
        <f>LOOKUP(TabVMAzureEnvProjet[[#This Row],[Projet]],TabProjets[NomProj],TabProjets[SYGES])</f>
        <v>BRGM/TMA-5-1-ORRM-LOT1</v>
      </c>
      <c r="H13" s="19" t="str">
        <f>LOOKUP(TabVMAzureEnvProjet[[#This Row],[Projet]],TabProjets[NomProj],TabProjets[CP])</f>
        <v>Alice MARCHAL</v>
      </c>
      <c r="I13" s="19">
        <f>LOOKUP(TabVMAzureEnvProjet[[#This Row],[Code SYGES]],TabCONTRATSDI[Contrat SYGES],TabCONTRATSDI[Cost Center])</f>
        <v>305704</v>
      </c>
      <c r="J13" s="34" t="str">
        <f>LOOKUP(TabVMAzureEnvProjet[[#This Row],[Code SYGES]],TabCONTRATSDI[Contrat SYGES],TabCONTRATSDI[Client])</f>
        <v>BRGM</v>
      </c>
      <c r="K13" s="19" t="s">
        <v>139</v>
      </c>
      <c r="L13" s="38">
        <v>7.53</v>
      </c>
    </row>
    <row r="14" spans="1:13" x14ac:dyDescent="0.25">
      <c r="A14" s="34" t="str">
        <f>TabVMAzureEnvProjet[[#This Row],[Client]] &amp; " .:. "  &amp; TabVMAzureEnvProjet[[#This Row],[Projet]]</f>
        <v>CNAV .:. CNAV-BI-RGCU</v>
      </c>
      <c r="B14" s="34" t="str">
        <f>IF(TabVMAzureEnvProjet[[#This Row],[Projet AzureDevOps]]&lt;&gt;"",TabVMAzureEnvProjet[[#This Row],[Projet AzureDevOps]],TabVMAzureEnvProjet[[#This Row],[VM]])</f>
        <v>CNAV-BI-RGCU</v>
      </c>
      <c r="C14" t="s">
        <v>27</v>
      </c>
      <c r="E14" t="s">
        <v>4</v>
      </c>
      <c r="F14" t="s">
        <v>27</v>
      </c>
      <c r="G14" s="19" t="str">
        <f>LOOKUP(TabVMAzureEnvProjet[[#This Row],[Projet]],TabProjets[NomProj],TabProjets[SYGES])</f>
        <v>CNAV/BI-SIRRGCU</v>
      </c>
      <c r="H14" s="19" t="str">
        <f>LOOKUP(TabVMAzureEnvProjet[[#This Row],[Projet]],TabProjets[NomProj],TabProjets[CP])</f>
        <v>Valerie ASSELIN LOZACHMEUR</v>
      </c>
      <c r="I14" s="19">
        <f>LOOKUP(TabVMAzureEnvProjet[[#This Row],[Code SYGES]],TabCONTRATSDI[Contrat SYGES],TabCONTRATSDI[Cost Center])</f>
        <v>305704</v>
      </c>
      <c r="J14" s="34" t="str">
        <f>LOOKUP(TabVMAzureEnvProjet[[#This Row],[Code SYGES]],TabCONTRATSDI[Contrat SYGES],TabCONTRATSDI[Client])</f>
        <v>CNAV</v>
      </c>
      <c r="K14" s="19" t="s">
        <v>139</v>
      </c>
      <c r="L14" s="38">
        <v>27.15</v>
      </c>
    </row>
    <row r="15" spans="1:13" x14ac:dyDescent="0.25">
      <c r="A15" s="34" t="str">
        <f>TabVMAzureEnvProjet[[#This Row],[Client]] &amp; " .:. "  &amp; TabVMAzureEnvProjet[[#This Row],[Projet]]</f>
        <v>INETUM .:. INETUM-INTERNE</v>
      </c>
      <c r="B15" s="34" t="str">
        <f>IF(TabVMAzureEnvProjet[[#This Row],[Projet AzureDevOps]]&lt;&gt;"",TabVMAzureEnvProjet[[#This Row],[Projet AzureDevOps]],TabVMAzureEnvProjet[[#This Row],[VM]])</f>
        <v>d8-qa</v>
      </c>
      <c r="C15" t="s">
        <v>141</v>
      </c>
      <c r="E15" t="s">
        <v>4</v>
      </c>
      <c r="F15" t="s">
        <v>102</v>
      </c>
      <c r="G15" s="19" t="str">
        <f>LOOKUP(TabVMAzureEnvProjet[[#This Row],[Projet]],TabProjets[NomProj],TabProjets[SYGES])</f>
        <v>INETUM/PROJET_INTERNE</v>
      </c>
      <c r="H15" s="19" t="str">
        <f>LOOKUP(TabVMAzureEnvProjet[[#This Row],[Projet]],TabProjets[NomProj],TabProjets[CP])</f>
        <v>Christophe ORLANDO</v>
      </c>
      <c r="I15" s="19">
        <f>LOOKUP(TabVMAzureEnvProjet[[#This Row],[Code SYGES]],TabCONTRATSDI[Contrat SYGES],TabCONTRATSDI[Cost Center])</f>
        <v>305704</v>
      </c>
      <c r="J15" s="34" t="str">
        <f>LOOKUP(TabVMAzureEnvProjet[[#This Row],[Code SYGES]],TabCONTRATSDI[Contrat SYGES],TabCONTRATSDI[Client])</f>
        <v>INETUM</v>
      </c>
      <c r="K15" s="19" t="s">
        <v>139</v>
      </c>
      <c r="L15" s="38">
        <v>0.96</v>
      </c>
    </row>
    <row r="16" spans="1:13" x14ac:dyDescent="0.25">
      <c r="A16" s="34" t="str">
        <f>TabVMAzureEnvProjet[[#This Row],[Client]] &amp; " .:. "  &amp; TabVMAzureEnvProjet[[#This Row],[Projet]]</f>
        <v>INETUM .:. INETUM-INTERNE</v>
      </c>
      <c r="B16" s="34" t="str">
        <f>IF(TabVMAzureEnvProjet[[#This Row],[Projet AzureDevOps]]&lt;&gt;"",TabVMAzureEnvProjet[[#This Row],[Projet AzureDevOps]],TabVMAzureEnvProjet[[#This Row],[VM]])</f>
        <v>drupal-qa</v>
      </c>
      <c r="C16" t="s">
        <v>142</v>
      </c>
      <c r="E16" t="s">
        <v>4</v>
      </c>
      <c r="F16" t="s">
        <v>102</v>
      </c>
      <c r="G16" s="19" t="str">
        <f>LOOKUP(TabVMAzureEnvProjet[[#This Row],[Projet]],TabProjets[NomProj],TabProjets[SYGES])</f>
        <v>INETUM/PROJET_INTERNE</v>
      </c>
      <c r="H16" s="19" t="str">
        <f>LOOKUP(TabVMAzureEnvProjet[[#This Row],[Projet]],TabProjets[NomProj],TabProjets[CP])</f>
        <v>Christophe ORLANDO</v>
      </c>
      <c r="I16" s="19">
        <f>LOOKUP(TabVMAzureEnvProjet[[#This Row],[Code SYGES]],TabCONTRATSDI[Contrat SYGES],TabCONTRATSDI[Cost Center])</f>
        <v>305704</v>
      </c>
      <c r="J16" s="34" t="str">
        <f>LOOKUP(TabVMAzureEnvProjet[[#This Row],[Code SYGES]],TabCONTRATSDI[Contrat SYGES],TabCONTRATSDI[Client])</f>
        <v>INETUM</v>
      </c>
      <c r="K16" s="19" t="s">
        <v>139</v>
      </c>
      <c r="L16" s="38">
        <v>0.96</v>
      </c>
    </row>
    <row r="17" spans="1:12" x14ac:dyDescent="0.25">
      <c r="A17" s="34" t="str">
        <f>TabVMAzureEnvProjet[[#This Row],[Client]] &amp; " .:. "  &amp; TabVMAzureEnvProjet[[#This Row],[Projet]]</f>
        <v>FRR .:. FRR-DIGIPAT</v>
      </c>
      <c r="B17" s="34" t="str">
        <f>IF(TabVMAzureEnvProjet[[#This Row],[Projet AzureDevOps]]&lt;&gt;"",TabVMAzureEnvProjet[[#This Row],[Projet AzureDevOps]],TabVMAzureEnvProjet[[#This Row],[VM]])</f>
        <v>FRR DIGIPAT</v>
      </c>
      <c r="C17" t="s">
        <v>30</v>
      </c>
      <c r="E17" t="s">
        <v>4</v>
      </c>
      <c r="F17" t="s">
        <v>29</v>
      </c>
      <c r="G17" s="19" t="str">
        <f>LOOKUP(TabVMAzureEnvProjet[[#This Row],[Projet]],TabProjets[NomProj],TabProjets[SYGES])</f>
        <v>FRR/TMASI</v>
      </c>
      <c r="H17" s="19" t="str">
        <f>LOOKUP(TabVMAzureEnvProjet[[#This Row],[Projet]],TabProjets[NomProj],TabProjets[CP])</f>
        <v>Alice MARCHAL</v>
      </c>
      <c r="I17" s="19">
        <f>LOOKUP(TabVMAzureEnvProjet[[#This Row],[Code SYGES]],TabCONTRATSDI[Contrat SYGES],TabCONTRATSDI[Cost Center])</f>
        <v>305704</v>
      </c>
      <c r="J17" s="34" t="str">
        <f>LOOKUP(TabVMAzureEnvProjet[[#This Row],[Code SYGES]],TabCONTRATSDI[Contrat SYGES],TabCONTRATSDI[Client])</f>
        <v>FRR</v>
      </c>
      <c r="K17" s="19" t="s">
        <v>139</v>
      </c>
      <c r="L17" s="38">
        <v>22.6</v>
      </c>
    </row>
    <row r="18" spans="1:12" x14ac:dyDescent="0.25">
      <c r="A18" s="34" t="str">
        <f>TabVMAzureEnvProjet[[#This Row],[Client]] &amp; " .:. "  &amp; TabVMAzureEnvProjet[[#This Row],[Projet]]</f>
        <v>INETUM .:. INETUM-INTERNE</v>
      </c>
      <c r="B18" s="34" t="str">
        <f>IF(TabVMAzureEnvProjet[[#This Row],[Projet AzureDevOps]]&lt;&gt;"",TabVMAzureEnvProjet[[#This Row],[Projet AzureDevOps]],TabVMAzureEnvProjet[[#This Row],[VM]])</f>
        <v>GFI-D8-BS4-THEME</v>
      </c>
      <c r="C18" t="s">
        <v>103</v>
      </c>
      <c r="E18" t="s">
        <v>4</v>
      </c>
      <c r="F18" t="s">
        <v>102</v>
      </c>
      <c r="G18" s="19" t="str">
        <f>LOOKUP(TabVMAzureEnvProjet[[#This Row],[Projet]],TabProjets[NomProj],TabProjets[SYGES])</f>
        <v>INETUM/PROJET_INTERNE</v>
      </c>
      <c r="H18" s="19" t="str">
        <f>LOOKUP(TabVMAzureEnvProjet[[#This Row],[Projet]],TabProjets[NomProj],TabProjets[CP])</f>
        <v>Christophe ORLANDO</v>
      </c>
      <c r="I18" s="19">
        <f>LOOKUP(TabVMAzureEnvProjet[[#This Row],[Code SYGES]],TabCONTRATSDI[Contrat SYGES],TabCONTRATSDI[Cost Center])</f>
        <v>305704</v>
      </c>
      <c r="J18" s="34" t="str">
        <f>LOOKUP(TabVMAzureEnvProjet[[#This Row],[Code SYGES]],TabCONTRATSDI[Contrat SYGES],TabCONTRATSDI[Client])</f>
        <v>INETUM</v>
      </c>
      <c r="K18" s="19" t="s">
        <v>139</v>
      </c>
      <c r="L18" s="38">
        <v>0.96</v>
      </c>
    </row>
    <row r="19" spans="1:12" x14ac:dyDescent="0.25">
      <c r="A19" s="34" t="str">
        <f>TabVMAzureEnvProjet[[#This Row],[Client]] &amp; " .:. "  &amp; TabVMAzureEnvProjet[[#This Row],[Projet]]</f>
        <v>GLI .:. GLI-APIBIOMETRIE</v>
      </c>
      <c r="B19" s="34" t="str">
        <f>IF(TabVMAzureEnvProjet[[#This Row],[Projet AzureDevOps]]&lt;&gt;"",TabVMAzureEnvProjet[[#This Row],[Projet AzureDevOps]],TabVMAzureEnvProjet[[#This Row],[VM]])</f>
        <v>GLI-APIBiometrie</v>
      </c>
      <c r="C19" t="s">
        <v>42</v>
      </c>
      <c r="E19" t="s">
        <v>4</v>
      </c>
      <c r="F19" t="s">
        <v>41</v>
      </c>
      <c r="G19" s="19" t="str">
        <f>LOOKUP(TabVMAzureEnvProjet[[#This Row],[Projet]],TabProjets[NomProj],TabProjets[SYGES])</f>
        <v>GLI/BIOMETRIE</v>
      </c>
      <c r="H19" s="19" t="str">
        <f>LOOKUP(TabVMAzureEnvProjet[[#This Row],[Projet]],TabProjets[NomProj],TabProjets[CP])</f>
        <v>Rodolphe HABEGGER</v>
      </c>
      <c r="I19" s="19">
        <f>LOOKUP(TabVMAzureEnvProjet[[#This Row],[Code SYGES]],TabCONTRATSDI[Contrat SYGES],TabCONTRATSDI[Cost Center])</f>
        <v>305704</v>
      </c>
      <c r="J19" s="34" t="str">
        <f>LOOKUP(TabVMAzureEnvProjet[[#This Row],[Code SYGES]],TabCONTRATSDI[Contrat SYGES],TabCONTRATSDI[Client])</f>
        <v>GLI</v>
      </c>
      <c r="K19" s="19" t="s">
        <v>139</v>
      </c>
      <c r="L19" s="38">
        <v>5.52</v>
      </c>
    </row>
    <row r="20" spans="1:12" x14ac:dyDescent="0.25">
      <c r="A20" s="34" t="str">
        <f>TabVMAzureEnvProjet[[#This Row],[Client]] &amp; " .:. "  &amp; TabVMAzureEnvProjet[[#This Row],[Projet]]</f>
        <v>MENESR .:. MENJ-APAE</v>
      </c>
      <c r="B20" s="34" t="str">
        <f>IF(TabVMAzureEnvProjet[[#This Row],[Projet AzureDevOps]]&lt;&gt;"",TabVMAzureEnvProjet[[#This Row],[Projet AzureDevOps]],TabVMAzureEnvProjet[[#This Row],[VM]])</f>
        <v>MENJ-APAE</v>
      </c>
      <c r="C20" t="s">
        <v>44</v>
      </c>
      <c r="E20" t="s">
        <v>4</v>
      </c>
      <c r="F20" t="s">
        <v>44</v>
      </c>
      <c r="G20" s="19" t="str">
        <f>LOOKUP(TabVMAzureEnvProjet[[#This Row],[Projet]],TabProjets[NomProj],TabProjets[SYGES])</f>
        <v>MENESR/TMA</v>
      </c>
      <c r="H20" s="19" t="str">
        <f>LOOKUP(TabVMAzureEnvProjet[[#This Row],[Projet]],TabProjets[NomProj],TabProjets[CP])</f>
        <v>Pierre BOURLIEUX</v>
      </c>
      <c r="I20" s="19">
        <f>LOOKUP(TabVMAzureEnvProjet[[#This Row],[Code SYGES]],TabCONTRATSDI[Contrat SYGES],TabCONTRATSDI[Cost Center])</f>
        <v>305704</v>
      </c>
      <c r="J20" s="34" t="str">
        <f>LOOKUP(TabVMAzureEnvProjet[[#This Row],[Code SYGES]],TabCONTRATSDI[Contrat SYGES],TabCONTRATSDI[Client])</f>
        <v>MENESR</v>
      </c>
      <c r="K20" s="19" t="s">
        <v>139</v>
      </c>
      <c r="L20" s="38">
        <v>1.61</v>
      </c>
    </row>
    <row r="21" spans="1:12" x14ac:dyDescent="0.25">
      <c r="A21" s="34" t="str">
        <f>TabVMAzureEnvProjet[[#This Row],[Client]] &amp; " .:. "  &amp; TabVMAzureEnvProjet[[#This Row],[Projet]]</f>
        <v>MENESR .:. MENJ-BNIE</v>
      </c>
      <c r="B21" s="34" t="str">
        <f>IF(TabVMAzureEnvProjet[[#This Row],[Projet AzureDevOps]]&lt;&gt;"",TabVMAzureEnvProjet[[#This Row],[Projet AzureDevOps]],TabVMAzureEnvProjet[[#This Row],[VM]])</f>
        <v>MENJ-BNIE-BDD</v>
      </c>
      <c r="C21" t="s">
        <v>46</v>
      </c>
      <c r="E21" t="s">
        <v>4</v>
      </c>
      <c r="F21" t="s">
        <v>45</v>
      </c>
      <c r="G21" s="19" t="str">
        <f>LOOKUP(TabVMAzureEnvProjet[[#This Row],[Projet]],TabProjets[NomProj],TabProjets[SYGES])</f>
        <v>MENESR/TMA</v>
      </c>
      <c r="H21" s="19" t="str">
        <f>LOOKUP(TabVMAzureEnvProjet[[#This Row],[Projet]],TabProjets[NomProj],TabProjets[CP])</f>
        <v>Pierre BOURLIEUX</v>
      </c>
      <c r="I21" s="19">
        <f>LOOKUP(TabVMAzureEnvProjet[[#This Row],[Code SYGES]],TabCONTRATSDI[Contrat SYGES],TabCONTRATSDI[Cost Center])</f>
        <v>305704</v>
      </c>
      <c r="J21" s="34" t="str">
        <f>LOOKUP(TabVMAzureEnvProjet[[#This Row],[Code SYGES]],TabCONTRATSDI[Contrat SYGES],TabCONTRATSDI[Client])</f>
        <v>MENESR</v>
      </c>
      <c r="K21" s="19" t="s">
        <v>139</v>
      </c>
      <c r="L21" s="38">
        <v>1.61</v>
      </c>
    </row>
    <row r="22" spans="1:12" x14ac:dyDescent="0.25">
      <c r="A22" s="34" t="str">
        <f>TabVMAzureEnvProjet[[#This Row],[Client]] &amp; " .:. "  &amp; TabVMAzureEnvProjet[[#This Row],[Projet]]</f>
        <v>MENESR .:. MENJ-RNIE</v>
      </c>
      <c r="B22" s="34" t="str">
        <f>IF(TabVMAzureEnvProjet[[#This Row],[Projet AzureDevOps]]&lt;&gt;"",TabVMAzureEnvProjet[[#This Row],[Projet AzureDevOps]],TabVMAzureEnvProjet[[#This Row],[VM]])</f>
        <v>MENJ-RNIE-BDD</v>
      </c>
      <c r="C22" t="s">
        <v>49</v>
      </c>
      <c r="E22" t="s">
        <v>4</v>
      </c>
      <c r="F22" t="s">
        <v>48</v>
      </c>
      <c r="G22" s="19" t="str">
        <f>LOOKUP(TabVMAzureEnvProjet[[#This Row],[Projet]],TabProjets[NomProj],TabProjets[SYGES])</f>
        <v>MENESR/TMA</v>
      </c>
      <c r="H22" s="19" t="str">
        <f>LOOKUP(TabVMAzureEnvProjet[[#This Row],[Projet]],TabProjets[NomProj],TabProjets[CP])</f>
        <v>Pierre BOURLIEUX</v>
      </c>
      <c r="I22" s="19">
        <f>LOOKUP(TabVMAzureEnvProjet[[#This Row],[Code SYGES]],TabCONTRATSDI[Contrat SYGES],TabCONTRATSDI[Cost Center])</f>
        <v>305704</v>
      </c>
      <c r="J22" s="34" t="str">
        <f>LOOKUP(TabVMAzureEnvProjet[[#This Row],[Code SYGES]],TabCONTRATSDI[Contrat SYGES],TabCONTRATSDI[Client])</f>
        <v>MENESR</v>
      </c>
      <c r="K22" s="19" t="s">
        <v>139</v>
      </c>
      <c r="L22" s="38">
        <v>1.61</v>
      </c>
    </row>
    <row r="23" spans="1:12" x14ac:dyDescent="0.25">
      <c r="A23" s="34" t="str">
        <f>TabVMAzureEnvProjet[[#This Row],[Client]] &amp; " .:. "  &amp; TabVMAzureEnvProjet[[#This Row],[Projet]]</f>
        <v>MENESR .:. MENJ-RNIE</v>
      </c>
      <c r="B23" s="34" t="str">
        <f>IF(TabVMAzureEnvProjet[[#This Row],[Projet AzureDevOps]]&lt;&gt;"",TabVMAzureEnvProjet[[#This Row],[Projet AzureDevOps]],TabVMAzureEnvProjet[[#This Row],[VM]])</f>
        <v>MENJ-RNIE-Webservices</v>
      </c>
      <c r="C23" t="s">
        <v>50</v>
      </c>
      <c r="E23" t="s">
        <v>4</v>
      </c>
      <c r="F23" t="s">
        <v>48</v>
      </c>
      <c r="G23" s="19" t="str">
        <f>LOOKUP(TabVMAzureEnvProjet[[#This Row],[Projet]],TabProjets[NomProj],TabProjets[SYGES])</f>
        <v>MENESR/TMA</v>
      </c>
      <c r="H23" s="19" t="str">
        <f>LOOKUP(TabVMAzureEnvProjet[[#This Row],[Projet]],TabProjets[NomProj],TabProjets[CP])</f>
        <v>Pierre BOURLIEUX</v>
      </c>
      <c r="I23" s="19">
        <f>LOOKUP(TabVMAzureEnvProjet[[#This Row],[Code SYGES]],TabCONTRATSDI[Contrat SYGES],TabCONTRATSDI[Cost Center])</f>
        <v>305704</v>
      </c>
      <c r="J23" s="34" t="str">
        <f>LOOKUP(TabVMAzureEnvProjet[[#This Row],[Code SYGES]],TabCONTRATSDI[Contrat SYGES],TabCONTRATSDI[Client])</f>
        <v>MENESR</v>
      </c>
      <c r="K23" s="19" t="s">
        <v>139</v>
      </c>
      <c r="L23" s="38">
        <v>1.61</v>
      </c>
    </row>
    <row r="24" spans="1:12" x14ac:dyDescent="0.25">
      <c r="A24" s="34" t="str">
        <f>TabVMAzureEnvProjet[[#This Row],[Client]] &amp; " .:. "  &amp; TabVMAzureEnvProjet[[#This Row],[Projet]]</f>
        <v>PCM .:. PCM-ALS</v>
      </c>
      <c r="B24" s="34" t="str">
        <f>IF(TabVMAzureEnvProjet[[#This Row],[Projet AzureDevOps]]&lt;&gt;"",TabVMAzureEnvProjet[[#This Row],[Projet AzureDevOps]],TabVMAzureEnvProjet[[#This Row],[VM]])</f>
        <v>PCM-ALS</v>
      </c>
      <c r="C24" t="s">
        <v>71</v>
      </c>
      <c r="E24" t="s">
        <v>4</v>
      </c>
      <c r="F24" t="s">
        <v>71</v>
      </c>
      <c r="G24" s="19" t="str">
        <f>LOOKUP(TabVMAzureEnvProjet[[#This Row],[Projet]],TabProjets[NomProj],TabProjets[SYGES])</f>
        <v>PCM/WEB</v>
      </c>
      <c r="H24" s="19" t="str">
        <f>LOOKUP(TabVMAzureEnvProjet[[#This Row],[Projet]],TabProjets[NomProj],TabProjets[CP])</f>
        <v>Alice MARCHAL</v>
      </c>
      <c r="I24" s="19">
        <f>LOOKUP(TabVMAzureEnvProjet[[#This Row],[Code SYGES]],TabCONTRATSDI[Contrat SYGES],TabCONTRATSDI[Cost Center])</f>
        <v>305704</v>
      </c>
      <c r="J24" s="34" t="str">
        <f>LOOKUP(TabVMAzureEnvProjet[[#This Row],[Code SYGES]],TabCONTRATSDI[Contrat SYGES],TabCONTRATSDI[Client])</f>
        <v>PCM</v>
      </c>
      <c r="K24" s="19" t="s">
        <v>139</v>
      </c>
      <c r="L24" s="38">
        <v>11.41</v>
      </c>
    </row>
    <row r="25" spans="1:12" x14ac:dyDescent="0.25">
      <c r="A25" s="34" t="str">
        <f>TabVMAzureEnvProjet[[#This Row],[Client]] &amp; " .:. "  &amp; TabVMAzureEnvProjet[[#This Row],[Projet]]</f>
        <v>PCM .:. PCM-WEB</v>
      </c>
      <c r="B25" s="34" t="str">
        <f>IF(TabVMAzureEnvProjet[[#This Row],[Projet AzureDevOps]]&lt;&gt;"",TabVMAzureEnvProjet[[#This Row],[Projet AzureDevOps]],TabVMAzureEnvProjet[[#This Row],[VM]])</f>
        <v>PCM-Web</v>
      </c>
      <c r="C25" t="s">
        <v>73</v>
      </c>
      <c r="E25" t="s">
        <v>4</v>
      </c>
      <c r="F25" t="s">
        <v>72</v>
      </c>
      <c r="G25" s="19" t="str">
        <f>LOOKUP(TabVMAzureEnvProjet[[#This Row],[Projet]],TabProjets[NomProj],TabProjets[SYGES])</f>
        <v>PCM/WEB</v>
      </c>
      <c r="H25" s="19" t="str">
        <f>LOOKUP(TabVMAzureEnvProjet[[#This Row],[Projet]],TabProjets[NomProj],TabProjets[CP])</f>
        <v>Rodolphe HABEGGER</v>
      </c>
      <c r="I25" s="19">
        <f>LOOKUP(TabVMAzureEnvProjet[[#This Row],[Code SYGES]],TabCONTRATSDI[Contrat SYGES],TabCONTRATSDI[Cost Center])</f>
        <v>305704</v>
      </c>
      <c r="J25" s="34" t="str">
        <f>LOOKUP(TabVMAzureEnvProjet[[#This Row],[Code SYGES]],TabCONTRATSDI[Contrat SYGES],TabCONTRATSDI[Client])</f>
        <v>PCM</v>
      </c>
      <c r="K25" s="19" t="s">
        <v>139</v>
      </c>
      <c r="L25" s="38">
        <v>2.6</v>
      </c>
    </row>
    <row r="26" spans="1:12" x14ac:dyDescent="0.25">
      <c r="A26" s="34" t="str">
        <f>TabVMAzureEnvProjet[[#This Row],[Client]] &amp; " .:. "  &amp; TabVMAzureEnvProjet[[#This Row],[Projet]]</f>
        <v>SPC .:. SPC-BUILD</v>
      </c>
      <c r="B26" s="34" t="str">
        <f>IF(TabVMAzureEnvProjet[[#This Row],[Projet AzureDevOps]]&lt;&gt;"",TabVMAzureEnvProjet[[#This Row],[Projet AzureDevOps]],TabVMAzureEnvProjet[[#This Row],[VM]])</f>
        <v>SPC-BUILD</v>
      </c>
      <c r="C26" t="s">
        <v>67</v>
      </c>
      <c r="E26" t="s">
        <v>4</v>
      </c>
      <c r="F26" t="s">
        <v>67</v>
      </c>
      <c r="G26" s="19" t="str">
        <f>LOOKUP(TabVMAzureEnvProjet[[#This Row],[Projet]],TabProjets[NomProj],TabProjets[SYGES])</f>
        <v>SPC/BUILD</v>
      </c>
      <c r="H26" s="19" t="str">
        <f>LOOKUP(TabVMAzureEnvProjet[[#This Row],[Projet]],TabProjets[NomProj],TabProjets[CP])</f>
        <v>Nicolas DURFORT</v>
      </c>
      <c r="I26" s="19">
        <f>LOOKUP(TabVMAzureEnvProjet[[#This Row],[Code SYGES]],TabCONTRATSDI[Contrat SYGES],TabCONTRATSDI[Cost Center])</f>
        <v>305704</v>
      </c>
      <c r="J26" s="34" t="str">
        <f>LOOKUP(TabVMAzureEnvProjet[[#This Row],[Code SYGES]],TabCONTRATSDI[Contrat SYGES],TabCONTRATSDI[Client])</f>
        <v>SPC</v>
      </c>
      <c r="K26" s="19" t="s">
        <v>139</v>
      </c>
      <c r="L26" s="38">
        <v>15.11</v>
      </c>
    </row>
    <row r="27" spans="1:12" x14ac:dyDescent="0.25">
      <c r="A27" s="34" t="str">
        <f>TabVMAzureEnvProjet[[#This Row],[Client]] &amp; " .:. "  &amp; TabVMAzureEnvProjet[[#This Row],[Projet]]</f>
        <v>SPC .:. SPC-WEB</v>
      </c>
      <c r="B27" s="34" t="str">
        <f>IF(TabVMAzureEnvProjet[[#This Row],[Projet AzureDevOps]]&lt;&gt;"",TabVMAzureEnvProjet[[#This Row],[Projet AzureDevOps]],TabVMAzureEnvProjet[[#This Row],[VM]])</f>
        <v>SPC-WEB</v>
      </c>
      <c r="C27" t="s">
        <v>69</v>
      </c>
      <c r="E27" t="s">
        <v>4</v>
      </c>
      <c r="F27" t="s">
        <v>69</v>
      </c>
      <c r="G27" s="19" t="str">
        <f>LOOKUP(TabVMAzureEnvProjet[[#This Row],[Projet]],TabProjets[NomProj],TabProjets[SYGES])</f>
        <v>SPC/BUILD-0-1-SITE-WEB</v>
      </c>
      <c r="H27" s="19" t="str">
        <f>LOOKUP(TabVMAzureEnvProjet[[#This Row],[Projet]],TabProjets[NomProj],TabProjets[CP])</f>
        <v>Nicolas DURFORT</v>
      </c>
      <c r="I27" s="19">
        <f>LOOKUP(TabVMAzureEnvProjet[[#This Row],[Code SYGES]],TabCONTRATSDI[Contrat SYGES],TabCONTRATSDI[Cost Center])</f>
        <v>305704</v>
      </c>
      <c r="J27" s="34" t="str">
        <f>LOOKUP(TabVMAzureEnvProjet[[#This Row],[Code SYGES]],TabCONTRATSDI[Contrat SYGES],TabCONTRATSDI[Client])</f>
        <v>SPC</v>
      </c>
      <c r="K27" s="19" t="s">
        <v>139</v>
      </c>
      <c r="L27" s="38">
        <v>5.45</v>
      </c>
    </row>
    <row r="28" spans="1:12" x14ac:dyDescent="0.25">
      <c r="A28" t="str">
        <f>TabVMAzureEnvProjet[[#This Row],[Client]] &amp; " .:. "  &amp; TabVMAzureEnvProjet[[#This Row],[Projet]]</f>
        <v>SPC .:. SPC-BUILD</v>
      </c>
      <c r="B28" t="str">
        <f>IF(TabVMAzureEnvProjet[[#This Row],[Projet AzureDevOps]]&lt;&gt;"",TabVMAzureEnvProjet[[#This Row],[Projet AzureDevOps]],TabVMAzureEnvProjet[[#This Row],[VM]])</f>
        <v>SPC-BUILDAS-VM</v>
      </c>
      <c r="D28" t="s">
        <v>68</v>
      </c>
      <c r="E28" t="s">
        <v>10</v>
      </c>
      <c r="F28" t="s">
        <v>67</v>
      </c>
      <c r="G28" t="str">
        <f>LOOKUP(TabVMAzureEnvProjet[[#This Row],[Projet]],TabProjets[NomProj],TabProjets[SYGES])</f>
        <v>SPC/BUILD</v>
      </c>
      <c r="H28" t="str">
        <f>LOOKUP(TabVMAzureEnvProjet[[#This Row],[Projet]],TabProjets[NomProj],TabProjets[CP])</f>
        <v>Nicolas DURFORT</v>
      </c>
      <c r="I28">
        <f>LOOKUP(TabVMAzureEnvProjet[[#This Row],[Code SYGES]],TabCONTRATSDI[Contrat SYGES],TabCONTRATSDI[Cost Center])</f>
        <v>305704</v>
      </c>
      <c r="J28" t="str">
        <f>LOOKUP(TabVMAzureEnvProjet[[#This Row],[Code SYGES]],TabCONTRATSDI[Contrat SYGES],TabCONTRATSDI[Client])</f>
        <v>SPC</v>
      </c>
      <c r="K28" t="s">
        <v>143</v>
      </c>
      <c r="L28" s="31">
        <v>119.93</v>
      </c>
    </row>
    <row r="29" spans="1:12" x14ac:dyDescent="0.25">
      <c r="A29" t="str">
        <f>TabVMAzureEnvProjet[[#This Row],[Client]] &amp; " .:. "  &amp; TabVMAzureEnvProjet[[#This Row],[Projet]]</f>
        <v>SPC .:. SPC-WEB</v>
      </c>
      <c r="B29" t="str">
        <f>IF(TabVMAzureEnvProjet[[#This Row],[Projet AzureDevOps]]&lt;&gt;"",TabVMAzureEnvProjet[[#This Row],[Projet AzureDevOps]],TabVMAzureEnvProjet[[#This Row],[VM]])</f>
        <v>SPC-WEB-VM</v>
      </c>
      <c r="D29" t="s">
        <v>140</v>
      </c>
      <c r="E29" t="s">
        <v>6</v>
      </c>
      <c r="F29" t="s">
        <v>69</v>
      </c>
      <c r="G29" t="str">
        <f>LOOKUP(TabVMAzureEnvProjet[[#This Row],[Projet]],TabProjets[NomProj],TabProjets[SYGES])</f>
        <v>SPC/BUILD-0-1-SITE-WEB</v>
      </c>
      <c r="H29" t="str">
        <f>LOOKUP(TabVMAzureEnvProjet[[#This Row],[Projet]],TabProjets[NomProj],TabProjets[CP])</f>
        <v>Nicolas DURFORT</v>
      </c>
      <c r="I29">
        <f>LOOKUP(TabVMAzureEnvProjet[[#This Row],[Code SYGES]],TabCONTRATSDI[Contrat SYGES],TabCONTRATSDI[Cost Center])</f>
        <v>305704</v>
      </c>
      <c r="J29" t="str">
        <f>LOOKUP(TabVMAzureEnvProjet[[#This Row],[Code SYGES]],TabCONTRATSDI[Contrat SYGES],TabCONTRATSDI[Client])</f>
        <v>SPC</v>
      </c>
      <c r="K29" t="s">
        <v>143</v>
      </c>
      <c r="L29" s="31">
        <v>6.45</v>
      </c>
    </row>
    <row r="30" spans="1:12" x14ac:dyDescent="0.25">
      <c r="A30" t="str">
        <f>TabVMAzureEnvProjet[[#This Row],[Client]] &amp; " .:. "  &amp; TabVMAzureEnvProjet[[#This Row],[Projet]]</f>
        <v>FRR .:. FRR-DIGIPAT</v>
      </c>
      <c r="B30" t="str">
        <f>IF(TabVMAzureEnvProjet[[#This Row],[Projet AzureDevOps]]&lt;&gt;"",TabVMAzureEnvProjet[[#This Row],[Projet AzureDevOps]],TabVMAzureEnvProjet[[#This Row],[VM]])</f>
        <v>FRR-DIGIPAT-VM</v>
      </c>
      <c r="D30" t="s">
        <v>31</v>
      </c>
      <c r="E30" t="s">
        <v>21</v>
      </c>
      <c r="F30" t="s">
        <v>29</v>
      </c>
      <c r="G30" t="str">
        <f>LOOKUP(TabVMAzureEnvProjet[[#This Row],[Projet]],TabProjets[NomProj],TabProjets[SYGES])</f>
        <v>FRR/TMASI</v>
      </c>
      <c r="H30" t="str">
        <f>LOOKUP(TabVMAzureEnvProjet[[#This Row],[Projet]],TabProjets[NomProj],TabProjets[CP])</f>
        <v>Alice MARCHAL</v>
      </c>
      <c r="I30">
        <f>LOOKUP(TabVMAzureEnvProjet[[#This Row],[Code SYGES]],TabCONTRATSDI[Contrat SYGES],TabCONTRATSDI[Cost Center])</f>
        <v>305704</v>
      </c>
      <c r="J30" t="str">
        <f>LOOKUP(TabVMAzureEnvProjet[[#This Row],[Code SYGES]],TabCONTRATSDI[Contrat SYGES],TabCONTRATSDI[Client])</f>
        <v>FRR</v>
      </c>
      <c r="K30" t="s">
        <v>143</v>
      </c>
      <c r="L30" s="31">
        <v>18.5</v>
      </c>
    </row>
    <row r="31" spans="1:12" x14ac:dyDescent="0.25">
      <c r="A31" t="str">
        <f>TabVMAzureEnvProjet[[#This Row],[Client]] &amp; " .:. "  &amp; TabVMAzureEnvProjet[[#This Row],[Projet]]</f>
        <v>ONEMA .:. AFB-BASEINDICATEURS</v>
      </c>
      <c r="B31" t="str">
        <f>IF(TabVMAzureEnvProjet[[#This Row],[Projet AzureDevOps]]&lt;&gt;"",TabVMAzureEnvProjet[[#This Row],[Projet AzureDevOps]],TabVMAzureEnvProjet[[#This Row],[VM]])</f>
        <v>AFB-BaseIndicateurs</v>
      </c>
      <c r="C31" t="s">
        <v>58</v>
      </c>
      <c r="E31" t="s">
        <v>4</v>
      </c>
      <c r="F31" t="s">
        <v>57</v>
      </c>
      <c r="G31" t="str">
        <f>LOOKUP(TabVMAzureEnvProjet[[#This Row],[Projet]],TabProjets[NomProj],TabProjets[SYGES])</f>
        <v>ONEMA/TMADCUA-15</v>
      </c>
      <c r="H31" t="str">
        <f>LOOKUP(TabVMAzureEnvProjet[[#This Row],[Projet]],TabProjets[NomProj],TabProjets[CP])</f>
        <v>Pierre BOURLIEUX</v>
      </c>
      <c r="I31">
        <f>LOOKUP(TabVMAzureEnvProjet[[#This Row],[Code SYGES]],TabCONTRATSDI[Contrat SYGES],TabCONTRATSDI[Cost Center])</f>
        <v>305704</v>
      </c>
      <c r="J31" s="22" t="str">
        <f>LOOKUP(TabVMAzureEnvProjet[[#This Row],[Code SYGES]],TabCONTRATSDI[Contrat SYGES],TabCONTRATSDI[Client])</f>
        <v>ONEMA</v>
      </c>
      <c r="K31" t="s">
        <v>143</v>
      </c>
      <c r="L31" s="32">
        <v>1.06</v>
      </c>
    </row>
    <row r="32" spans="1:12" x14ac:dyDescent="0.25">
      <c r="A32" t="str">
        <f>TabVMAzureEnvProjet[[#This Row],[Client]] &amp; " .:. "  &amp; TabVMAzureEnvProjet[[#This Row],[Projet]]</f>
        <v>ONEMA .:. AFB-CATALOGUE</v>
      </c>
      <c r="B32" t="str">
        <f>IF(TabVMAzureEnvProjet[[#This Row],[Projet AzureDevOps]]&lt;&gt;"",TabVMAzureEnvProjet[[#This Row],[Projet AzureDevOps]],TabVMAzureEnvProjet[[#This Row],[VM]])</f>
        <v>AFB-Catalogue</v>
      </c>
      <c r="C32" t="s">
        <v>60</v>
      </c>
      <c r="E32" t="s">
        <v>4</v>
      </c>
      <c r="F32" t="s">
        <v>59</v>
      </c>
      <c r="G32" t="str">
        <f>LOOKUP(TabVMAzureEnvProjet[[#This Row],[Projet]],TabProjets[NomProj],TabProjets[SYGES])</f>
        <v>ONEMA/TMADCUA-15</v>
      </c>
      <c r="H32" t="str">
        <f>LOOKUP(TabVMAzureEnvProjet[[#This Row],[Projet]],TabProjets[NomProj],TabProjets[CP])</f>
        <v>Pierre BOURLIEUX</v>
      </c>
      <c r="I32">
        <f>LOOKUP(TabVMAzureEnvProjet[[#This Row],[Code SYGES]],TabCONTRATSDI[Contrat SYGES],TabCONTRATSDI[Cost Center])</f>
        <v>305704</v>
      </c>
      <c r="J32" s="22" t="str">
        <f>LOOKUP(TabVMAzureEnvProjet[[#This Row],[Code SYGES]],TabCONTRATSDI[Contrat SYGES],TabCONTRATSDI[Client])</f>
        <v>ONEMA</v>
      </c>
      <c r="K32" t="s">
        <v>143</v>
      </c>
      <c r="L32" s="32">
        <v>1.61</v>
      </c>
    </row>
    <row r="33" spans="1:12" x14ac:dyDescent="0.25">
      <c r="A33" t="str">
        <f>TabVMAzureEnvProjet[[#This Row],[Client]] &amp; " .:. "  &amp; TabVMAzureEnvProjet[[#This Row],[Projet]]</f>
        <v>ONEMA .:. AFB-CDR</v>
      </c>
      <c r="B33" t="str">
        <f>IF(TabVMAzureEnvProjet[[#This Row],[Projet AzureDevOps]]&lt;&gt;"",TabVMAzureEnvProjet[[#This Row],[Projet AzureDevOps]],TabVMAzureEnvProjet[[#This Row],[VM]])</f>
        <v>AFB-CDR</v>
      </c>
      <c r="C33" t="s">
        <v>61</v>
      </c>
      <c r="E33" t="s">
        <v>4</v>
      </c>
      <c r="F33" t="s">
        <v>61</v>
      </c>
      <c r="G33" t="str">
        <f>LOOKUP(TabVMAzureEnvProjet[[#This Row],[Projet]],TabProjets[NomProj],TabProjets[SYGES])</f>
        <v>ONEMA/TMAWEB-16</v>
      </c>
      <c r="H33" t="str">
        <f>LOOKUP(TabVMAzureEnvProjet[[#This Row],[Projet]],TabProjets[NomProj],TabProjets[CP])</f>
        <v>Pierre BOURLIEUX</v>
      </c>
      <c r="I33">
        <f>LOOKUP(TabVMAzureEnvProjet[[#This Row],[Code SYGES]],TabCONTRATSDI[Contrat SYGES],TabCONTRATSDI[Cost Center])</f>
        <v>305704</v>
      </c>
      <c r="J33" s="22" t="str">
        <f>LOOKUP(TabVMAzureEnvProjet[[#This Row],[Code SYGES]],TabCONTRATSDI[Contrat SYGES],TabCONTRATSDI[Client])</f>
        <v>ONEMA</v>
      </c>
      <c r="K33" t="s">
        <v>143</v>
      </c>
      <c r="L33" s="32">
        <v>12.6</v>
      </c>
    </row>
    <row r="34" spans="1:12" x14ac:dyDescent="0.25">
      <c r="A34" t="str">
        <f>TabVMAzureEnvProjet[[#This Row],[Client]] &amp; " .:. "  &amp; TabVMAzureEnvProjet[[#This Row],[Projet]]</f>
        <v>AFB .:. AFB-CESMIA</v>
      </c>
      <c r="B34" t="str">
        <f>IF(TabVMAzureEnvProjet[[#This Row],[Projet AzureDevOps]]&lt;&gt;"",TabVMAzureEnvProjet[[#This Row],[Projet AzureDevOps]],TabVMAzureEnvProjet[[#This Row],[VM]])</f>
        <v>AFB-CESMIA</v>
      </c>
      <c r="C34" t="s">
        <v>3</v>
      </c>
      <c r="E34" t="s">
        <v>4</v>
      </c>
      <c r="F34" t="s">
        <v>3</v>
      </c>
      <c r="G34" t="str">
        <f>LOOKUP(TabVMAzureEnvProjet[[#This Row],[Projet]],TabProjets[NomProj],TabProjets[SYGES])</f>
        <v>AFB/OFB_LOT1</v>
      </c>
      <c r="H34" t="str">
        <f>LOOKUP(TabVMAzureEnvProjet[[#This Row],[Projet]],TabProjets[NomProj],TabProjets[CP])</f>
        <v>Jean-Philippe STROIAZZO</v>
      </c>
      <c r="I34">
        <f>LOOKUP(TabVMAzureEnvProjet[[#This Row],[Code SYGES]],TabCONTRATSDI[Contrat SYGES],TabCONTRATSDI[Cost Center])</f>
        <v>305704</v>
      </c>
      <c r="J34" s="22" t="str">
        <f>LOOKUP(TabVMAzureEnvProjet[[#This Row],[Code SYGES]],TabCONTRATSDI[Contrat SYGES],TabCONTRATSDI[Client])</f>
        <v>AFB</v>
      </c>
      <c r="K34" t="s">
        <v>143</v>
      </c>
      <c r="L34" s="32">
        <v>6.21</v>
      </c>
    </row>
    <row r="35" spans="1:12" x14ac:dyDescent="0.25">
      <c r="A35" t="str">
        <f>TabVMAzureEnvProjet[[#This Row],[Client]] &amp; " .:. "  &amp; TabVMAzureEnvProjet[[#This Row],[Projet]]</f>
        <v>ONEMA .:. AFB-OISON</v>
      </c>
      <c r="B35" t="str">
        <f>IF(TabVMAzureEnvProjet[[#This Row],[Projet AzureDevOps]]&lt;&gt;"",TabVMAzureEnvProjet[[#This Row],[Projet AzureDevOps]],TabVMAzureEnvProjet[[#This Row],[VM]])</f>
        <v>AFB-OISON</v>
      </c>
      <c r="C35" t="s">
        <v>62</v>
      </c>
      <c r="E35" t="s">
        <v>4</v>
      </c>
      <c r="F35" t="s">
        <v>62</v>
      </c>
      <c r="G35" t="str">
        <f>LOOKUP(TabVMAzureEnvProjet[[#This Row],[Projet]],TabProjets[NomProj],TabProjets[SYGES])</f>
        <v>ONEMA/TMADCUA-15</v>
      </c>
      <c r="H35" t="str">
        <f>LOOKUP(TabVMAzureEnvProjet[[#This Row],[Projet]],TabProjets[NomProj],TabProjets[CP])</f>
        <v>Jean-Philippe STROIAZZO</v>
      </c>
      <c r="I35">
        <f>LOOKUP(TabVMAzureEnvProjet[[#This Row],[Code SYGES]],TabCONTRATSDI[Contrat SYGES],TabCONTRATSDI[Cost Center])</f>
        <v>305704</v>
      </c>
      <c r="J35" s="22" t="str">
        <f>LOOKUP(TabVMAzureEnvProjet[[#This Row],[Code SYGES]],TabCONTRATSDI[Contrat SYGES],TabCONTRATSDI[Client])</f>
        <v>ONEMA</v>
      </c>
      <c r="K35" t="s">
        <v>143</v>
      </c>
      <c r="L35" s="32">
        <v>2.93</v>
      </c>
    </row>
    <row r="36" spans="1:12" x14ac:dyDescent="0.25">
      <c r="A36" s="22" t="str">
        <f>TabVMAzureEnvProjet[[#This Row],[Client]] &amp; " .:. "  &amp; TabVMAzureEnvProjet[[#This Row],[Projet]]</f>
        <v>ONEMA .:. AFB-PATBIODIV</v>
      </c>
      <c r="B36" t="str">
        <f>IF(TabVMAzureEnvProjet[[#This Row],[Projet AzureDevOps]]&lt;&gt;"",TabVMAzureEnvProjet[[#This Row],[Projet AzureDevOps]],TabVMAzureEnvProjet[[#This Row],[VM]])</f>
        <v>AFB-PATBiodiv</v>
      </c>
      <c r="C36" t="s">
        <v>64</v>
      </c>
      <c r="E36" t="s">
        <v>4</v>
      </c>
      <c r="F36" t="s">
        <v>63</v>
      </c>
      <c r="G36" t="str">
        <f>LOOKUP(TabVMAzureEnvProjet[[#This Row],[Projet]],TabProjets[NomProj],TabProjets[SYGES])</f>
        <v>ONEMA/TMADCUA-15</v>
      </c>
      <c r="H36" t="str">
        <f>LOOKUP(TabVMAzureEnvProjet[[#This Row],[Projet]],TabProjets[NomProj],TabProjets[CP])</f>
        <v>Rodolphe HABEGGER</v>
      </c>
      <c r="I36">
        <f>LOOKUP(TabVMAzureEnvProjet[[#This Row],[Code SYGES]],TabCONTRATSDI[Contrat SYGES],TabCONTRATSDI[Cost Center])</f>
        <v>305704</v>
      </c>
      <c r="J36" s="22" t="str">
        <f>LOOKUP(TabVMAzureEnvProjet[[#This Row],[Code SYGES]],TabCONTRATSDI[Contrat SYGES],TabCONTRATSDI[Client])</f>
        <v>ONEMA</v>
      </c>
      <c r="K36" t="s">
        <v>143</v>
      </c>
      <c r="L36" s="32">
        <v>7.73</v>
      </c>
    </row>
    <row r="37" spans="1:12" x14ac:dyDescent="0.25">
      <c r="A37" s="22" t="str">
        <f>TabVMAzureEnvProjet[[#This Row],[Client]] &amp; " .:. "  &amp; TabVMAzureEnvProjet[[#This Row],[Projet]]</f>
        <v>AFB .:. AFB-PNM</v>
      </c>
      <c r="B37" t="str">
        <f>IF(TabVMAzureEnvProjet[[#This Row],[Projet AzureDevOps]]&lt;&gt;"",TabVMAzureEnvProjet[[#This Row],[Projet AzureDevOps]],TabVMAzureEnvProjet[[#This Row],[VM]])</f>
        <v>AFB-PNM</v>
      </c>
      <c r="C37" t="s">
        <v>5</v>
      </c>
      <c r="E37" t="s">
        <v>4</v>
      </c>
      <c r="F37" t="s">
        <v>5</v>
      </c>
      <c r="G37" t="str">
        <f>LOOKUP(TabVMAzureEnvProjet[[#This Row],[Projet]],TabProjets[NomProj],TabProjets[SYGES])</f>
        <v>AFB/OFB_LOT2</v>
      </c>
      <c r="H37" t="str">
        <f>LOOKUP(TabVMAzureEnvProjet[[#This Row],[Projet]],TabProjets[NomProj],TabProjets[CP])</f>
        <v>Eric RAUCOURT</v>
      </c>
      <c r="I37">
        <f>LOOKUP(TabVMAzureEnvProjet[[#This Row],[Code SYGES]],TabCONTRATSDI[Contrat SYGES],TabCONTRATSDI[Cost Center])</f>
        <v>305704</v>
      </c>
      <c r="J37" s="22" t="str">
        <f>LOOKUP(TabVMAzureEnvProjet[[#This Row],[Code SYGES]],TabCONTRATSDI[Contrat SYGES],TabCONTRATSDI[Client])</f>
        <v>AFB</v>
      </c>
      <c r="K37" t="s">
        <v>143</v>
      </c>
      <c r="L37" s="32">
        <v>24.98</v>
      </c>
    </row>
    <row r="38" spans="1:12" x14ac:dyDescent="0.25">
      <c r="A38" s="22" t="str">
        <f>TabVMAzureEnvProjet[[#This Row],[Client]] &amp; " .:. "  &amp; TabVMAzureEnvProjet[[#This Row],[Projet]]</f>
        <v>AFB .:. AFB-PNX</v>
      </c>
      <c r="B38" t="str">
        <f>IF(TabVMAzureEnvProjet[[#This Row],[Projet AzureDevOps]]&lt;&gt;"",TabVMAzureEnvProjet[[#This Row],[Projet AzureDevOps]],TabVMAzureEnvProjet[[#This Row],[VM]])</f>
        <v>AFB-PNX</v>
      </c>
      <c r="C38" t="s">
        <v>8</v>
      </c>
      <c r="E38" t="s">
        <v>4</v>
      </c>
      <c r="F38" t="s">
        <v>8</v>
      </c>
      <c r="G38" t="str">
        <f>LOOKUP(TabVMAzureEnvProjet[[#This Row],[Projet]],TabProjets[NomProj],TabProjets[SYGES])</f>
        <v>AFB/OFB_LOT2</v>
      </c>
      <c r="H38" t="str">
        <f>LOOKUP(TabVMAzureEnvProjet[[#This Row],[Projet]],TabProjets[NomProj],TabProjets[CP])</f>
        <v>Pierre BOURLIEUX</v>
      </c>
      <c r="I38">
        <f>LOOKUP(TabVMAzureEnvProjet[[#This Row],[Code SYGES]],TabCONTRATSDI[Contrat SYGES],TabCONTRATSDI[Cost Center])</f>
        <v>305704</v>
      </c>
      <c r="J38" s="22" t="str">
        <f>LOOKUP(TabVMAzureEnvProjet[[#This Row],[Code SYGES]],TabCONTRATSDI[Contrat SYGES],TabCONTRATSDI[Client])</f>
        <v>AFB</v>
      </c>
      <c r="K38" t="s">
        <v>143</v>
      </c>
      <c r="L38" s="32">
        <v>4.0999999999999996</v>
      </c>
    </row>
    <row r="39" spans="1:12" x14ac:dyDescent="0.25">
      <c r="A39" s="22" t="str">
        <f>TabVMAzureEnvProjet[[#This Row],[Client]] &amp; " .:. "  &amp; TabVMAzureEnvProjet[[#This Row],[Projet]]</f>
        <v>ALM .:. ALM-ATOUT</v>
      </c>
      <c r="B39" t="str">
        <f>IF(TabVMAzureEnvProjet[[#This Row],[Projet AzureDevOps]]&lt;&gt;"",TabVMAzureEnvProjet[[#This Row],[Projet AzureDevOps]],TabVMAzureEnvProjet[[#This Row],[VM]])</f>
        <v>ALM-ATOUT</v>
      </c>
      <c r="C39" t="s">
        <v>17</v>
      </c>
      <c r="E39" t="s">
        <v>4</v>
      </c>
      <c r="F39" t="s">
        <v>17</v>
      </c>
      <c r="G39" t="str">
        <f>LOOKUP(TabVMAzureEnvProjet[[#This Row],[Projet]],TabProjets[NomProj],TabProjets[SYGES])</f>
        <v>ALM/TMA_ATOUT</v>
      </c>
      <c r="H39" t="str">
        <f>LOOKUP(TabVMAzureEnvProjet[[#This Row],[Projet]],TabProjets[NomProj],TabProjets[CP])</f>
        <v>Alice MARCHAL</v>
      </c>
      <c r="I39">
        <f>LOOKUP(TabVMAzureEnvProjet[[#This Row],[Code SYGES]],TabCONTRATSDI[Contrat SYGES],TabCONTRATSDI[Cost Center])</f>
        <v>305704</v>
      </c>
      <c r="J39" s="22" t="str">
        <f>LOOKUP(TabVMAzureEnvProjet[[#This Row],[Code SYGES]],TabCONTRATSDI[Contrat SYGES],TabCONTRATSDI[Client])</f>
        <v>ALM</v>
      </c>
      <c r="K39" t="s">
        <v>143</v>
      </c>
      <c r="L39" s="32">
        <v>4.43</v>
      </c>
    </row>
    <row r="40" spans="1:12" x14ac:dyDescent="0.25">
      <c r="A40" s="22" t="str">
        <f>TabVMAzureEnvProjet[[#This Row],[Client]] &amp; " .:. "  &amp; TabVMAzureEnvProjet[[#This Row],[Projet]]</f>
        <v>BRGM .:. BRGM-ORRM</v>
      </c>
      <c r="B40" t="str">
        <f>IF(TabVMAzureEnvProjet[[#This Row],[Projet AzureDevOps]]&lt;&gt;"",TabVMAzureEnvProjet[[#This Row],[Projet AzureDevOps]],TabVMAzureEnvProjet[[#This Row],[VM]])</f>
        <v>BRGM-ORRM</v>
      </c>
      <c r="C40" t="s">
        <v>20</v>
      </c>
      <c r="E40" t="s">
        <v>4</v>
      </c>
      <c r="F40" t="s">
        <v>20</v>
      </c>
      <c r="G40" t="str">
        <f>LOOKUP(TabVMAzureEnvProjet[[#This Row],[Projet]],TabProjets[NomProj],TabProjets[SYGES])</f>
        <v>BRGM/TMA-5-1-ORRM-LOT1</v>
      </c>
      <c r="H40" t="str">
        <f>LOOKUP(TabVMAzureEnvProjet[[#This Row],[Projet]],TabProjets[NomProj],TabProjets[CP])</f>
        <v>Alice MARCHAL</v>
      </c>
      <c r="I40">
        <f>LOOKUP(TabVMAzureEnvProjet[[#This Row],[Code SYGES]],TabCONTRATSDI[Contrat SYGES],TabCONTRATSDI[Cost Center])</f>
        <v>305704</v>
      </c>
      <c r="J40" s="22" t="str">
        <f>LOOKUP(TabVMAzureEnvProjet[[#This Row],[Code SYGES]],TabCONTRATSDI[Contrat SYGES],TabCONTRATSDI[Client])</f>
        <v>BRGM</v>
      </c>
      <c r="K40" t="s">
        <v>143</v>
      </c>
      <c r="L40" s="32">
        <v>5.37</v>
      </c>
    </row>
    <row r="41" spans="1:12" x14ac:dyDescent="0.25">
      <c r="A41" s="22" t="str">
        <f>TabVMAzureEnvProjet[[#This Row],[Client]] &amp; " .:. "  &amp; TabVMAzureEnvProjet[[#This Row],[Projet]]</f>
        <v>CNAV .:. CNAV-BI-RGCU</v>
      </c>
      <c r="B41" t="str">
        <f>IF(TabVMAzureEnvProjet[[#This Row],[Projet AzureDevOps]]&lt;&gt;"",TabVMAzureEnvProjet[[#This Row],[Projet AzureDevOps]],TabVMAzureEnvProjet[[#This Row],[VM]])</f>
        <v>CNAV-BI-RGCU</v>
      </c>
      <c r="C41" t="s">
        <v>27</v>
      </c>
      <c r="E41" t="s">
        <v>4</v>
      </c>
      <c r="F41" t="s">
        <v>27</v>
      </c>
      <c r="G41" t="str">
        <f>LOOKUP(TabVMAzureEnvProjet[[#This Row],[Projet]],TabProjets[NomProj],TabProjets[SYGES])</f>
        <v>CNAV/BI-SIRRGCU</v>
      </c>
      <c r="H41" t="str">
        <f>LOOKUP(TabVMAzureEnvProjet[[#This Row],[Projet]],TabProjets[NomProj],TabProjets[CP])</f>
        <v>Valerie ASSELIN LOZACHMEUR</v>
      </c>
      <c r="I41">
        <f>LOOKUP(TabVMAzureEnvProjet[[#This Row],[Code SYGES]],TabCONTRATSDI[Contrat SYGES],TabCONTRATSDI[Cost Center])</f>
        <v>305704</v>
      </c>
      <c r="J41" s="22" t="str">
        <f>LOOKUP(TabVMAzureEnvProjet[[#This Row],[Code SYGES]],TabCONTRATSDI[Contrat SYGES],TabCONTRATSDI[Client])</f>
        <v>CNAV</v>
      </c>
      <c r="K41" t="s">
        <v>143</v>
      </c>
      <c r="L41" s="32">
        <v>27.55</v>
      </c>
    </row>
    <row r="42" spans="1:12" x14ac:dyDescent="0.25">
      <c r="A42" s="22" t="str">
        <f>TabVMAzureEnvProjet[[#This Row],[Client]] &amp; " .:. "  &amp; TabVMAzureEnvProjet[[#This Row],[Projet]]</f>
        <v>INETUM .:. INETUM-INTERNE</v>
      </c>
      <c r="B42" t="str">
        <f>IF(TabVMAzureEnvProjet[[#This Row],[Projet AzureDevOps]]&lt;&gt;"",TabVMAzureEnvProjet[[#This Row],[Projet AzureDevOps]],TabVMAzureEnvProjet[[#This Row],[VM]])</f>
        <v>d8-qa</v>
      </c>
      <c r="C42" t="s">
        <v>141</v>
      </c>
      <c r="E42" t="s">
        <v>4</v>
      </c>
      <c r="F42" t="s">
        <v>102</v>
      </c>
      <c r="G42" t="str">
        <f>LOOKUP(TabVMAzureEnvProjet[[#This Row],[Projet]],TabProjets[NomProj],TabProjets[SYGES])</f>
        <v>INETUM/PROJET_INTERNE</v>
      </c>
      <c r="H42" t="str">
        <f>LOOKUP(TabVMAzureEnvProjet[[#This Row],[Projet]],TabProjets[NomProj],TabProjets[CP])</f>
        <v>Christophe ORLANDO</v>
      </c>
      <c r="I42">
        <f>LOOKUP(TabVMAzureEnvProjet[[#This Row],[Code SYGES]],TabCONTRATSDI[Contrat SYGES],TabCONTRATSDI[Cost Center])</f>
        <v>305704</v>
      </c>
      <c r="J42" s="22" t="str">
        <f>LOOKUP(TabVMAzureEnvProjet[[#This Row],[Code SYGES]],TabCONTRATSDI[Contrat SYGES],TabCONTRATSDI[Client])</f>
        <v>INETUM</v>
      </c>
      <c r="K42" t="s">
        <v>143</v>
      </c>
      <c r="L42" s="32">
        <v>0.87</v>
      </c>
    </row>
    <row r="43" spans="1:12" x14ac:dyDescent="0.25">
      <c r="A43" s="22" t="str">
        <f>TabVMAzureEnvProjet[[#This Row],[Client]] &amp; " .:. "  &amp; TabVMAzureEnvProjet[[#This Row],[Projet]]</f>
        <v>INETUM .:. INETUM-INTERNE</v>
      </c>
      <c r="B43" t="str">
        <f>IF(TabVMAzureEnvProjet[[#This Row],[Projet AzureDevOps]]&lt;&gt;"",TabVMAzureEnvProjet[[#This Row],[Projet AzureDevOps]],TabVMAzureEnvProjet[[#This Row],[VM]])</f>
        <v>drupal-qa</v>
      </c>
      <c r="C43" t="s">
        <v>142</v>
      </c>
      <c r="E43" t="s">
        <v>4</v>
      </c>
      <c r="F43" t="s">
        <v>102</v>
      </c>
      <c r="G43" t="str">
        <f>LOOKUP(TabVMAzureEnvProjet[[#This Row],[Projet]],TabProjets[NomProj],TabProjets[SYGES])</f>
        <v>INETUM/PROJET_INTERNE</v>
      </c>
      <c r="H43" t="str">
        <f>LOOKUP(TabVMAzureEnvProjet[[#This Row],[Projet]],TabProjets[NomProj],TabProjets[CP])</f>
        <v>Christophe ORLANDO</v>
      </c>
      <c r="I43">
        <f>LOOKUP(TabVMAzureEnvProjet[[#This Row],[Code SYGES]],TabCONTRATSDI[Contrat SYGES],TabCONTRATSDI[Cost Center])</f>
        <v>305704</v>
      </c>
      <c r="J43" s="22" t="str">
        <f>LOOKUP(TabVMAzureEnvProjet[[#This Row],[Code SYGES]],TabCONTRATSDI[Contrat SYGES],TabCONTRATSDI[Client])</f>
        <v>INETUM</v>
      </c>
      <c r="K43" t="s">
        <v>143</v>
      </c>
      <c r="L43" s="32">
        <v>0.87</v>
      </c>
    </row>
    <row r="44" spans="1:12" x14ac:dyDescent="0.25">
      <c r="A44" s="22" t="str">
        <f>TabVMAzureEnvProjet[[#This Row],[Client]] &amp; " .:. "  &amp; TabVMAzureEnvProjet[[#This Row],[Projet]]</f>
        <v>FRR .:. FRR-DIGIPAT</v>
      </c>
      <c r="B44" t="str">
        <f>IF(TabVMAzureEnvProjet[[#This Row],[Projet AzureDevOps]]&lt;&gt;"",TabVMAzureEnvProjet[[#This Row],[Projet AzureDevOps]],TabVMAzureEnvProjet[[#This Row],[VM]])</f>
        <v>FRR DIGIPAT</v>
      </c>
      <c r="C44" t="s">
        <v>30</v>
      </c>
      <c r="E44" t="s">
        <v>4</v>
      </c>
      <c r="F44" t="s">
        <v>29</v>
      </c>
      <c r="G44" t="str">
        <f>LOOKUP(TabVMAzureEnvProjet[[#This Row],[Projet]],TabProjets[NomProj],TabProjets[SYGES])</f>
        <v>FRR/TMASI</v>
      </c>
      <c r="H44" t="str">
        <f>LOOKUP(TabVMAzureEnvProjet[[#This Row],[Projet]],TabProjets[NomProj],TabProjets[CP])</f>
        <v>Alice MARCHAL</v>
      </c>
      <c r="I44">
        <f>LOOKUP(TabVMAzureEnvProjet[[#This Row],[Code SYGES]],TabCONTRATSDI[Contrat SYGES],TabCONTRATSDI[Cost Center])</f>
        <v>305704</v>
      </c>
      <c r="J44" s="22" t="str">
        <f>LOOKUP(TabVMAzureEnvProjet[[#This Row],[Code SYGES]],TabCONTRATSDI[Contrat SYGES],TabCONTRATSDI[Client])</f>
        <v>FRR</v>
      </c>
      <c r="K44" t="s">
        <v>143</v>
      </c>
      <c r="L44" s="32">
        <v>9.19</v>
      </c>
    </row>
    <row r="45" spans="1:12" x14ac:dyDescent="0.25">
      <c r="A45" s="22" t="str">
        <f>TabVMAzureEnvProjet[[#This Row],[Client]] &amp; " .:. "  &amp; TabVMAzureEnvProjet[[#This Row],[Projet]]</f>
        <v>INETUM .:. INETUM-INTERNE</v>
      </c>
      <c r="B45" t="str">
        <f>IF(TabVMAzureEnvProjet[[#This Row],[Projet AzureDevOps]]&lt;&gt;"",TabVMAzureEnvProjet[[#This Row],[Projet AzureDevOps]],TabVMAzureEnvProjet[[#This Row],[VM]])</f>
        <v>GFI-D8-BS4-THEME</v>
      </c>
      <c r="C45" t="s">
        <v>103</v>
      </c>
      <c r="E45" t="s">
        <v>4</v>
      </c>
      <c r="F45" t="s">
        <v>102</v>
      </c>
      <c r="G45" t="str">
        <f>LOOKUP(TabVMAzureEnvProjet[[#This Row],[Projet]],TabProjets[NomProj],TabProjets[SYGES])</f>
        <v>INETUM/PROJET_INTERNE</v>
      </c>
      <c r="H45" t="str">
        <f>LOOKUP(TabVMAzureEnvProjet[[#This Row],[Projet]],TabProjets[NomProj],TabProjets[CP])</f>
        <v>Christophe ORLANDO</v>
      </c>
      <c r="I45">
        <f>LOOKUP(TabVMAzureEnvProjet[[#This Row],[Code SYGES]],TabCONTRATSDI[Contrat SYGES],TabCONTRATSDI[Cost Center])</f>
        <v>305704</v>
      </c>
      <c r="J45" s="22" t="str">
        <f>LOOKUP(TabVMAzureEnvProjet[[#This Row],[Code SYGES]],TabCONTRATSDI[Contrat SYGES],TabCONTRATSDI[Client])</f>
        <v>INETUM</v>
      </c>
      <c r="K45" t="s">
        <v>143</v>
      </c>
      <c r="L45" s="32">
        <v>0.87</v>
      </c>
    </row>
    <row r="46" spans="1:12" x14ac:dyDescent="0.25">
      <c r="A46" s="22" t="str">
        <f>TabVMAzureEnvProjet[[#This Row],[Client]] &amp; " .:. "  &amp; TabVMAzureEnvProjet[[#This Row],[Projet]]</f>
        <v>INETUM .:. INETUM-INTERNE</v>
      </c>
      <c r="B46" t="str">
        <f>IF(TabVMAzureEnvProjet[[#This Row],[Projet AzureDevOps]]&lt;&gt;"",TabVMAzureEnvProjet[[#This Row],[Projet AzureDevOps]],TabVMAzureEnvProjet[[#This Row],[VM]])</f>
        <v>GFI-MineReport</v>
      </c>
      <c r="C46" t="s">
        <v>104</v>
      </c>
      <c r="E46" t="s">
        <v>4</v>
      </c>
      <c r="F46" t="s">
        <v>102</v>
      </c>
      <c r="G46" t="str">
        <f>LOOKUP(TabVMAzureEnvProjet[[#This Row],[Projet]],TabProjets[NomProj],TabProjets[SYGES])</f>
        <v>INETUM/PROJET_INTERNE</v>
      </c>
      <c r="H46" t="str">
        <f>LOOKUP(TabVMAzureEnvProjet[[#This Row],[Projet]],TabProjets[NomProj],TabProjets[CP])</f>
        <v>Christophe ORLANDO</v>
      </c>
      <c r="I46">
        <f>LOOKUP(TabVMAzureEnvProjet[[#This Row],[Code SYGES]],TabCONTRATSDI[Contrat SYGES],TabCONTRATSDI[Cost Center])</f>
        <v>305704</v>
      </c>
      <c r="J46" s="22" t="str">
        <f>LOOKUP(TabVMAzureEnvProjet[[#This Row],[Code SYGES]],TabCONTRATSDI[Contrat SYGES],TabCONTRATSDI[Client])</f>
        <v>INETUM</v>
      </c>
      <c r="K46" t="s">
        <v>143</v>
      </c>
      <c r="L46" s="32">
        <v>1.44</v>
      </c>
    </row>
    <row r="47" spans="1:12" x14ac:dyDescent="0.25">
      <c r="A47" s="22" t="str">
        <f>TabVMAzureEnvProjet[[#This Row],[Client]] &amp; " .:. "  &amp; TabVMAzureEnvProjet[[#This Row],[Projet]]</f>
        <v>GLI .:. GLI-APIBIOMETRIE</v>
      </c>
      <c r="B47" t="str">
        <f>IF(TabVMAzureEnvProjet[[#This Row],[Projet AzureDevOps]]&lt;&gt;"",TabVMAzureEnvProjet[[#This Row],[Projet AzureDevOps]],TabVMAzureEnvProjet[[#This Row],[VM]])</f>
        <v>GLI-APIBiometrie</v>
      </c>
      <c r="C47" t="s">
        <v>42</v>
      </c>
      <c r="E47" t="s">
        <v>4</v>
      </c>
      <c r="F47" t="s">
        <v>41</v>
      </c>
      <c r="G47" t="str">
        <f>LOOKUP(TabVMAzureEnvProjet[[#This Row],[Projet]],TabProjets[NomProj],TabProjets[SYGES])</f>
        <v>GLI/BIOMETRIE</v>
      </c>
      <c r="H47" t="str">
        <f>LOOKUP(TabVMAzureEnvProjet[[#This Row],[Projet]],TabProjets[NomProj],TabProjets[CP])</f>
        <v>Rodolphe HABEGGER</v>
      </c>
      <c r="I47">
        <f>LOOKUP(TabVMAzureEnvProjet[[#This Row],[Code SYGES]],TabCONTRATSDI[Contrat SYGES],TabCONTRATSDI[Cost Center])</f>
        <v>305704</v>
      </c>
      <c r="J47" s="22" t="str">
        <f>LOOKUP(TabVMAzureEnvProjet[[#This Row],[Code SYGES]],TabCONTRATSDI[Contrat SYGES],TabCONTRATSDI[Client])</f>
        <v>GLI</v>
      </c>
      <c r="K47" t="s">
        <v>143</v>
      </c>
      <c r="L47" s="32">
        <v>19.850000000000001</v>
      </c>
    </row>
    <row r="48" spans="1:12" x14ac:dyDescent="0.25">
      <c r="A48" s="22" t="str">
        <f>TabVMAzureEnvProjet[[#This Row],[Client]] &amp; " .:. "  &amp; TabVMAzureEnvProjet[[#This Row],[Projet]]</f>
        <v>MENESR .:. MENJ-APAE</v>
      </c>
      <c r="B48" t="str">
        <f>IF(TabVMAzureEnvProjet[[#This Row],[Projet AzureDevOps]]&lt;&gt;"",TabVMAzureEnvProjet[[#This Row],[Projet AzureDevOps]],TabVMAzureEnvProjet[[#This Row],[VM]])</f>
        <v>MENJ-APAE</v>
      </c>
      <c r="C48" t="s">
        <v>44</v>
      </c>
      <c r="E48" t="s">
        <v>4</v>
      </c>
      <c r="F48" t="s">
        <v>44</v>
      </c>
      <c r="G48" t="str">
        <f>LOOKUP(TabVMAzureEnvProjet[[#This Row],[Projet]],TabProjets[NomProj],TabProjets[SYGES])</f>
        <v>MENESR/TMA</v>
      </c>
      <c r="H48" t="str">
        <f>LOOKUP(TabVMAzureEnvProjet[[#This Row],[Projet]],TabProjets[NomProj],TabProjets[CP])</f>
        <v>Pierre BOURLIEUX</v>
      </c>
      <c r="I48">
        <f>LOOKUP(TabVMAzureEnvProjet[[#This Row],[Code SYGES]],TabCONTRATSDI[Contrat SYGES],TabCONTRATSDI[Cost Center])</f>
        <v>305704</v>
      </c>
      <c r="J48" s="22" t="str">
        <f>LOOKUP(TabVMAzureEnvProjet[[#This Row],[Code SYGES]],TabCONTRATSDI[Contrat SYGES],TabCONTRATSDI[Client])</f>
        <v>MENESR</v>
      </c>
      <c r="K48" t="s">
        <v>143</v>
      </c>
      <c r="L48" s="32">
        <v>1.52</v>
      </c>
    </row>
    <row r="49" spans="1:13" x14ac:dyDescent="0.25">
      <c r="A49" s="22" t="str">
        <f>TabVMAzureEnvProjet[[#This Row],[Client]] &amp; " .:. "  &amp; TabVMAzureEnvProjet[[#This Row],[Projet]]</f>
        <v>MENESR .:. MENJ-BNIE</v>
      </c>
      <c r="B49" t="str">
        <f>IF(TabVMAzureEnvProjet[[#This Row],[Projet AzureDevOps]]&lt;&gt;"",TabVMAzureEnvProjet[[#This Row],[Projet AzureDevOps]],TabVMAzureEnvProjet[[#This Row],[VM]])</f>
        <v>MENJ-BNIE-BDD</v>
      </c>
      <c r="C49" t="s">
        <v>46</v>
      </c>
      <c r="E49" t="s">
        <v>4</v>
      </c>
      <c r="F49" t="s">
        <v>45</v>
      </c>
      <c r="G49" t="str">
        <f>LOOKUP(TabVMAzureEnvProjet[[#This Row],[Projet]],TabProjets[NomProj],TabProjets[SYGES])</f>
        <v>MENESR/TMA</v>
      </c>
      <c r="H49" t="str">
        <f>LOOKUP(TabVMAzureEnvProjet[[#This Row],[Projet]],TabProjets[NomProj],TabProjets[CP])</f>
        <v>Pierre BOURLIEUX</v>
      </c>
      <c r="I49">
        <f>LOOKUP(TabVMAzureEnvProjet[[#This Row],[Code SYGES]],TabCONTRATSDI[Contrat SYGES],TabCONTRATSDI[Cost Center])</f>
        <v>305704</v>
      </c>
      <c r="J49" s="22" t="str">
        <f>LOOKUP(TabVMAzureEnvProjet[[#This Row],[Code SYGES]],TabCONTRATSDI[Contrat SYGES],TabCONTRATSDI[Client])</f>
        <v>MENESR</v>
      </c>
      <c r="K49" t="s">
        <v>143</v>
      </c>
      <c r="L49" s="32">
        <v>1.52</v>
      </c>
    </row>
    <row r="50" spans="1:13" x14ac:dyDescent="0.25">
      <c r="A50" s="22" t="str">
        <f>TabVMAzureEnvProjet[[#This Row],[Client]] &amp; " .:. "  &amp; TabVMAzureEnvProjet[[#This Row],[Projet]]</f>
        <v>MENESR .:. MENJ-RNIE</v>
      </c>
      <c r="B50" t="str">
        <f>IF(TabVMAzureEnvProjet[[#This Row],[Projet AzureDevOps]]&lt;&gt;"",TabVMAzureEnvProjet[[#This Row],[Projet AzureDevOps]],TabVMAzureEnvProjet[[#This Row],[VM]])</f>
        <v>MENJ-RNIE-BDD</v>
      </c>
      <c r="C50" t="s">
        <v>49</v>
      </c>
      <c r="E50" t="s">
        <v>4</v>
      </c>
      <c r="F50" t="s">
        <v>48</v>
      </c>
      <c r="G50" t="str">
        <f>LOOKUP(TabVMAzureEnvProjet[[#This Row],[Projet]],TabProjets[NomProj],TabProjets[SYGES])</f>
        <v>MENESR/TMA</v>
      </c>
      <c r="H50" t="str">
        <f>LOOKUP(TabVMAzureEnvProjet[[#This Row],[Projet]],TabProjets[NomProj],TabProjets[CP])</f>
        <v>Pierre BOURLIEUX</v>
      </c>
      <c r="I50">
        <f>LOOKUP(TabVMAzureEnvProjet[[#This Row],[Code SYGES]],TabCONTRATSDI[Contrat SYGES],TabCONTRATSDI[Cost Center])</f>
        <v>305704</v>
      </c>
      <c r="J50" s="22" t="str">
        <f>LOOKUP(TabVMAzureEnvProjet[[#This Row],[Code SYGES]],TabCONTRATSDI[Contrat SYGES],TabCONTRATSDI[Client])</f>
        <v>MENESR</v>
      </c>
      <c r="K50" t="s">
        <v>143</v>
      </c>
      <c r="L50" s="32">
        <v>1.52</v>
      </c>
    </row>
    <row r="51" spans="1:13" x14ac:dyDescent="0.25">
      <c r="A51" s="22" t="str">
        <f>TabVMAzureEnvProjet[[#This Row],[Client]] &amp; " .:. "  &amp; TabVMAzureEnvProjet[[#This Row],[Projet]]</f>
        <v>MENESR .:. MENJ-RNIE</v>
      </c>
      <c r="B51" t="str">
        <f>IF(TabVMAzureEnvProjet[[#This Row],[Projet AzureDevOps]]&lt;&gt;"",TabVMAzureEnvProjet[[#This Row],[Projet AzureDevOps]],TabVMAzureEnvProjet[[#This Row],[VM]])</f>
        <v>MENJ-RNIE-Webservices</v>
      </c>
      <c r="C51" t="s">
        <v>50</v>
      </c>
      <c r="E51" t="s">
        <v>4</v>
      </c>
      <c r="F51" t="s">
        <v>48</v>
      </c>
      <c r="G51" t="str">
        <f>LOOKUP(TabVMAzureEnvProjet[[#This Row],[Projet]],TabProjets[NomProj],TabProjets[SYGES])</f>
        <v>MENESR/TMA</v>
      </c>
      <c r="H51" t="str">
        <f>LOOKUP(TabVMAzureEnvProjet[[#This Row],[Projet]],TabProjets[NomProj],TabProjets[CP])</f>
        <v>Pierre BOURLIEUX</v>
      </c>
      <c r="I51">
        <f>LOOKUP(TabVMAzureEnvProjet[[#This Row],[Code SYGES]],TabCONTRATSDI[Contrat SYGES],TabCONTRATSDI[Cost Center])</f>
        <v>305704</v>
      </c>
      <c r="J51" s="22" t="str">
        <f>LOOKUP(TabVMAzureEnvProjet[[#This Row],[Code SYGES]],TabCONTRATSDI[Contrat SYGES],TabCONTRATSDI[Client])</f>
        <v>MENESR</v>
      </c>
      <c r="K51" t="s">
        <v>143</v>
      </c>
      <c r="L51" s="32">
        <v>1.52</v>
      </c>
    </row>
    <row r="52" spans="1:13" x14ac:dyDescent="0.25">
      <c r="A52" s="22" t="str">
        <f>TabVMAzureEnvProjet[[#This Row],[Client]] &amp; " .:. "  &amp; TabVMAzureEnvProjet[[#This Row],[Projet]]</f>
        <v>PCM .:. PCM-ALS</v>
      </c>
      <c r="B52" t="str">
        <f>IF(TabVMAzureEnvProjet[[#This Row],[Projet AzureDevOps]]&lt;&gt;"",TabVMAzureEnvProjet[[#This Row],[Projet AzureDevOps]],TabVMAzureEnvProjet[[#This Row],[VM]])</f>
        <v>PCM-ALS</v>
      </c>
      <c r="C52" t="s">
        <v>71</v>
      </c>
      <c r="E52" t="s">
        <v>4</v>
      </c>
      <c r="F52" t="s">
        <v>71</v>
      </c>
      <c r="G52" t="str">
        <f>LOOKUP(TabVMAzureEnvProjet[[#This Row],[Projet]],TabProjets[NomProj],TabProjets[SYGES])</f>
        <v>PCM/WEB</v>
      </c>
      <c r="H52" t="str">
        <f>LOOKUP(TabVMAzureEnvProjet[[#This Row],[Projet]],TabProjets[NomProj],TabProjets[CP])</f>
        <v>Alice MARCHAL</v>
      </c>
      <c r="I52">
        <f>LOOKUP(TabVMAzureEnvProjet[[#This Row],[Code SYGES]],TabCONTRATSDI[Contrat SYGES],TabCONTRATSDI[Cost Center])</f>
        <v>305704</v>
      </c>
      <c r="J52" s="22" t="str">
        <f>LOOKUP(TabVMAzureEnvProjet[[#This Row],[Code SYGES]],TabCONTRATSDI[Contrat SYGES],TabCONTRATSDI[Client])</f>
        <v>PCM</v>
      </c>
      <c r="K52" t="s">
        <v>143</v>
      </c>
      <c r="L52" s="32">
        <v>10.31</v>
      </c>
    </row>
    <row r="53" spans="1:13" x14ac:dyDescent="0.25">
      <c r="A53" s="22" t="str">
        <f>TabVMAzureEnvProjet[[#This Row],[Client]] &amp; " .:. "  &amp; TabVMAzureEnvProjet[[#This Row],[Projet]]</f>
        <v>PCM .:. PCM-WEB</v>
      </c>
      <c r="B53" t="str">
        <f>IF(TabVMAzureEnvProjet[[#This Row],[Projet AzureDevOps]]&lt;&gt;"",TabVMAzureEnvProjet[[#This Row],[Projet AzureDevOps]],TabVMAzureEnvProjet[[#This Row],[VM]])</f>
        <v>PCM-Web</v>
      </c>
      <c r="C53" t="s">
        <v>73</v>
      </c>
      <c r="E53" t="s">
        <v>4</v>
      </c>
      <c r="F53" t="s">
        <v>72</v>
      </c>
      <c r="G53" t="str">
        <f>LOOKUP(TabVMAzureEnvProjet[[#This Row],[Projet]],TabProjets[NomProj],TabProjets[SYGES])</f>
        <v>PCM/WEB</v>
      </c>
      <c r="H53" t="str">
        <f>LOOKUP(TabVMAzureEnvProjet[[#This Row],[Projet]],TabProjets[NomProj],TabProjets[CP])</f>
        <v>Rodolphe HABEGGER</v>
      </c>
      <c r="I53">
        <f>LOOKUP(TabVMAzureEnvProjet[[#This Row],[Code SYGES]],TabCONTRATSDI[Contrat SYGES],TabCONTRATSDI[Cost Center])</f>
        <v>305704</v>
      </c>
      <c r="J53" s="22" t="str">
        <f>LOOKUP(TabVMAzureEnvProjet[[#This Row],[Code SYGES]],TabCONTRATSDI[Contrat SYGES],TabCONTRATSDI[Client])</f>
        <v>PCM</v>
      </c>
      <c r="K53" t="s">
        <v>143</v>
      </c>
      <c r="L53" s="32">
        <v>3.81</v>
      </c>
    </row>
    <row r="54" spans="1:13" x14ac:dyDescent="0.25">
      <c r="A54" s="22" t="str">
        <f>TabVMAzureEnvProjet[[#This Row],[Client]] &amp; " .:. "  &amp; TabVMAzureEnvProjet[[#This Row],[Projet]]</f>
        <v>SPC .:. SPC-BUILD</v>
      </c>
      <c r="B54" t="str">
        <f>IF(TabVMAzureEnvProjet[[#This Row],[Projet AzureDevOps]]&lt;&gt;"",TabVMAzureEnvProjet[[#This Row],[Projet AzureDevOps]],TabVMAzureEnvProjet[[#This Row],[VM]])</f>
        <v>SPC-BUILD</v>
      </c>
      <c r="C54" t="s">
        <v>67</v>
      </c>
      <c r="E54" t="s">
        <v>4</v>
      </c>
      <c r="F54" t="s">
        <v>67</v>
      </c>
      <c r="G54" t="str">
        <f>LOOKUP(TabVMAzureEnvProjet[[#This Row],[Projet]],TabProjets[NomProj],TabProjets[SYGES])</f>
        <v>SPC/BUILD</v>
      </c>
      <c r="H54" t="str">
        <f>LOOKUP(TabVMAzureEnvProjet[[#This Row],[Projet]],TabProjets[NomProj],TabProjets[CP])</f>
        <v>Nicolas DURFORT</v>
      </c>
      <c r="I54">
        <f>LOOKUP(TabVMAzureEnvProjet[[#This Row],[Code SYGES]],TabCONTRATSDI[Contrat SYGES],TabCONTRATSDI[Cost Center])</f>
        <v>305704</v>
      </c>
      <c r="J54" s="22" t="str">
        <f>LOOKUP(TabVMAzureEnvProjet[[#This Row],[Code SYGES]],TabCONTRATSDI[Contrat SYGES],TabCONTRATSDI[Client])</f>
        <v>SPC</v>
      </c>
      <c r="K54" t="s">
        <v>143</v>
      </c>
      <c r="L54" s="32">
        <v>24.22</v>
      </c>
    </row>
    <row r="55" spans="1:13" x14ac:dyDescent="0.25">
      <c r="A55" s="22" t="str">
        <f>TabVMAzureEnvProjet[[#This Row],[Client]] &amp; " .:. "  &amp; TabVMAzureEnvProjet[[#This Row],[Projet]]</f>
        <v>SPC .:. SPC-WEB</v>
      </c>
      <c r="B55" t="str">
        <f>IF(TabVMAzureEnvProjet[[#This Row],[Projet AzureDevOps]]&lt;&gt;"",TabVMAzureEnvProjet[[#This Row],[Projet AzureDevOps]],TabVMAzureEnvProjet[[#This Row],[VM]])</f>
        <v>SPC-WEB</v>
      </c>
      <c r="C55" t="s">
        <v>69</v>
      </c>
      <c r="E55" t="s">
        <v>4</v>
      </c>
      <c r="F55" t="s">
        <v>69</v>
      </c>
      <c r="G55" t="str">
        <f>LOOKUP(TabVMAzureEnvProjet[[#This Row],[Projet]],TabProjets[NomProj],TabProjets[SYGES])</f>
        <v>SPC/BUILD-0-1-SITE-WEB</v>
      </c>
      <c r="H55" t="str">
        <f>LOOKUP(TabVMAzureEnvProjet[[#This Row],[Projet]],TabProjets[NomProj],TabProjets[CP])</f>
        <v>Nicolas DURFORT</v>
      </c>
      <c r="I55">
        <f>LOOKUP(TabVMAzureEnvProjet[[#This Row],[Code SYGES]],TabCONTRATSDI[Contrat SYGES],TabCONTRATSDI[Cost Center])</f>
        <v>305704</v>
      </c>
      <c r="J55" s="22" t="str">
        <f>LOOKUP(TabVMAzureEnvProjet[[#This Row],[Code SYGES]],TabCONTRATSDI[Contrat SYGES],TabCONTRATSDI[Client])</f>
        <v>SPC</v>
      </c>
      <c r="K55" t="s">
        <v>143</v>
      </c>
      <c r="L55" s="32">
        <v>3.46</v>
      </c>
    </row>
    <row r="56" spans="1:13" x14ac:dyDescent="0.25">
      <c r="A56" t="str">
        <f>TabVMAzureEnvProjet[[#This Row],[Client]] &amp; " .:. "  &amp; TabVMAzureEnvProjet[[#This Row],[Projet]]</f>
        <v>CA-TITRES .:. CATITRES-COMX</v>
      </c>
      <c r="B56" t="str">
        <f>IF(TabVMAzureEnvProjet[[#This Row],[Projet AzureDevOps]]&lt;&gt;"",TabVMAzureEnvProjet[[#This Row],[Projet AzureDevOps]],TabVMAzureEnvProjet[[#This Row],[VM]])</f>
        <v>CATITRES-COMX-VM</v>
      </c>
      <c r="D56" t="s">
        <v>25</v>
      </c>
      <c r="E56" t="s">
        <v>144</v>
      </c>
      <c r="F56" t="s">
        <v>24</v>
      </c>
      <c r="G56" t="str">
        <f>LOOKUP(TabVMAzureEnvProjet[[#This Row],[Projet]],TabProjets[NomProj],TabProjets[SYGES])</f>
        <v>CA-TITRES/TMA</v>
      </c>
      <c r="H56" t="str">
        <f>LOOKUP(TabVMAzureEnvProjet[[#This Row],[Projet]],TabProjets[NomProj],TabProjets[CP])</f>
        <v>Jean-Philippe STROIAZZO</v>
      </c>
      <c r="I56">
        <f>LOOKUP(TabVMAzureEnvProjet[[#This Row],[Code SYGES]],TabCONTRATSDI[Contrat SYGES],TabCONTRATSDI[Cost Center])</f>
        <v>305704</v>
      </c>
      <c r="J56" t="str">
        <f>LOOKUP(TabVMAzureEnvProjet[[#This Row],[Code SYGES]],TabCONTRATSDI[Contrat SYGES],TabCONTRATSDI[Client])</f>
        <v>CA-TITRES</v>
      </c>
      <c r="K56" t="s">
        <v>145</v>
      </c>
      <c r="L56" s="31">
        <v>0</v>
      </c>
      <c r="M56" s="39" t="s">
        <v>146</v>
      </c>
    </row>
    <row r="57" spans="1:13" x14ac:dyDescent="0.25">
      <c r="A57" t="str">
        <f>TabVMAzureEnvProjet[[#This Row],[Client]] &amp; " .:. "  &amp; TabVMAzureEnvProjet[[#This Row],[Projet]]</f>
        <v>ALM .:. ALM-ATOUT</v>
      </c>
      <c r="B57" t="str">
        <f>IF(TabVMAzureEnvProjet[[#This Row],[Projet AzureDevOps]]&lt;&gt;"",TabVMAzureEnvProjet[[#This Row],[Projet AzureDevOps]],TabVMAzureEnvProjet[[#This Row],[VM]])</f>
        <v>ALM-ATOUT-VM</v>
      </c>
      <c r="D57" t="s">
        <v>18</v>
      </c>
      <c r="E57" t="s">
        <v>144</v>
      </c>
      <c r="F57" t="s">
        <v>17</v>
      </c>
      <c r="G57" t="str">
        <f>LOOKUP(TabVMAzureEnvProjet[[#This Row],[Projet]],TabProjets[NomProj],TabProjets[SYGES])</f>
        <v>ALM/TMA_ATOUT</v>
      </c>
      <c r="H57" t="str">
        <f>LOOKUP(TabVMAzureEnvProjet[[#This Row],[Projet]],TabProjets[NomProj],TabProjets[CP])</f>
        <v>Alice MARCHAL</v>
      </c>
      <c r="I57">
        <f>LOOKUP(TabVMAzureEnvProjet[[#This Row],[Code SYGES]],TabCONTRATSDI[Contrat SYGES],TabCONTRATSDI[Cost Center])</f>
        <v>305704</v>
      </c>
      <c r="J57" t="str">
        <f>LOOKUP(TabVMAzureEnvProjet[[#This Row],[Code SYGES]],TabCONTRATSDI[Contrat SYGES],TabCONTRATSDI[Client])</f>
        <v>ALM</v>
      </c>
      <c r="K57" t="s">
        <v>145</v>
      </c>
      <c r="L57" s="31">
        <v>0</v>
      </c>
      <c r="M57" s="39" t="s">
        <v>146</v>
      </c>
    </row>
    <row r="58" spans="1:13" x14ac:dyDescent="0.25">
      <c r="A58" s="22" t="str">
        <f>TabVMAzureEnvProjet[[#This Row],[Client]] &amp; " .:. "  &amp; TabVMAzureEnvProjet[[#This Row],[Projet]]</f>
        <v>BRGM .:. BRGM-ORRM</v>
      </c>
      <c r="B58" s="22" t="str">
        <f>IF(TabVMAzureEnvProjet[[#This Row],[Projet AzureDevOps]]&lt;&gt;"",TabVMAzureEnvProjet[[#This Row],[Projet AzureDevOps]],TabVMAzureEnvProjet[[#This Row],[VM]])</f>
        <v>BRGM-ORRM-VM</v>
      </c>
      <c r="D58" t="s">
        <v>22</v>
      </c>
      <c r="E58" t="s">
        <v>144</v>
      </c>
      <c r="F58" t="s">
        <v>20</v>
      </c>
      <c r="G58" t="str">
        <f>LOOKUP(TabVMAzureEnvProjet[[#This Row],[Projet]],TabProjets[NomProj],TabProjets[SYGES])</f>
        <v>BRGM/TMA-5-1-ORRM-LOT1</v>
      </c>
      <c r="H58" t="str">
        <f>LOOKUP(TabVMAzureEnvProjet[[#This Row],[Projet]],TabProjets[NomProj],TabProjets[CP])</f>
        <v>Alice MARCHAL</v>
      </c>
      <c r="I58">
        <f>LOOKUP(TabVMAzureEnvProjet[[#This Row],[Code SYGES]],TabCONTRATSDI[Contrat SYGES],TabCONTRATSDI[Cost Center])</f>
        <v>305704</v>
      </c>
      <c r="J58" s="22" t="str">
        <f>LOOKUP(TabVMAzureEnvProjet[[#This Row],[Code SYGES]],TabCONTRATSDI[Contrat SYGES],TabCONTRATSDI[Client])</f>
        <v>BRGM</v>
      </c>
      <c r="K58" t="s">
        <v>145</v>
      </c>
      <c r="L58" s="31">
        <v>0</v>
      </c>
      <c r="M58" s="39" t="s">
        <v>146</v>
      </c>
    </row>
    <row r="59" spans="1:13" x14ac:dyDescent="0.25">
      <c r="A59" s="22" t="str">
        <f>TabVMAzureEnvProjet[[#This Row],[Client]] &amp; " .:. "  &amp; TabVMAzureEnvProjet[[#This Row],[Projet]]</f>
        <v>EBR .:. EBR-LAPOSTE</v>
      </c>
      <c r="B59" s="22" t="str">
        <f>IF(TabVMAzureEnvProjet[[#This Row],[Projet AzureDevOps]]&lt;&gt;"",TabVMAzureEnvProjet[[#This Row],[Projet AzureDevOps]],TabVMAzureEnvProjet[[#This Row],[VM]])</f>
        <v>EBR-LAPOSTE-VM</v>
      </c>
      <c r="D59" t="s">
        <v>76</v>
      </c>
      <c r="E59" t="s">
        <v>144</v>
      </c>
      <c r="F59" t="s">
        <v>75</v>
      </c>
      <c r="G59" t="str">
        <f>LOOKUP(TabVMAzureEnvProjet[[#This Row],[Projet]],TabProjets[NomProj],TabProjets[SYGES])</f>
        <v>EBR/TMA</v>
      </c>
      <c r="H59" t="str">
        <f>LOOKUP(TabVMAzureEnvProjet[[#This Row],[Projet]],TabProjets[NomProj],TabProjets[CP])</f>
        <v>Valerie ASSELIN LOZACHMEUR</v>
      </c>
      <c r="I59">
        <f>LOOKUP(TabVMAzureEnvProjet[[#This Row],[Code SYGES]],TabCONTRATSDI[Contrat SYGES],TabCONTRATSDI[Cost Center])</f>
        <v>305704</v>
      </c>
      <c r="J59" s="22" t="str">
        <f>LOOKUP(TabVMAzureEnvProjet[[#This Row],[Code SYGES]],TabCONTRATSDI[Contrat SYGES],TabCONTRATSDI[Client])</f>
        <v>EBR</v>
      </c>
      <c r="K59" t="s">
        <v>145</v>
      </c>
      <c r="L59" s="31">
        <v>0</v>
      </c>
      <c r="M59" s="39" t="s">
        <v>146</v>
      </c>
    </row>
    <row r="60" spans="1:13" x14ac:dyDescent="0.25">
      <c r="A60" s="22" t="str">
        <f>TabVMAzureEnvProjet[[#This Row],[Client]] &amp; " .:. "  &amp; TabVMAzureEnvProjet[[#This Row],[Projet]]</f>
        <v>ONEMA .:. AFB-PATBIODIV</v>
      </c>
      <c r="B60" s="22" t="str">
        <f>IF(TabVMAzureEnvProjet[[#This Row],[Projet AzureDevOps]]&lt;&gt;"",TabVMAzureEnvProjet[[#This Row],[Projet AzureDevOps]],TabVMAzureEnvProjet[[#This Row],[VM]])</f>
        <v>AFB-PATBiodiv</v>
      </c>
      <c r="C60" t="s">
        <v>64</v>
      </c>
      <c r="E60" t="s">
        <v>4</v>
      </c>
      <c r="F60" t="s">
        <v>63</v>
      </c>
      <c r="G60" t="str">
        <f>LOOKUP(TabVMAzureEnvProjet[[#This Row],[Projet]],TabProjets[NomProj],TabProjets[SYGES])</f>
        <v>ONEMA/TMADCUA-15</v>
      </c>
      <c r="H60" t="str">
        <f>LOOKUP(TabVMAzureEnvProjet[[#This Row],[Projet]],TabProjets[NomProj],TabProjets[CP])</f>
        <v>Rodolphe HABEGGER</v>
      </c>
      <c r="I60">
        <f>LOOKUP(TabVMAzureEnvProjet[[#This Row],[Code SYGES]],TabCONTRATSDI[Contrat SYGES],TabCONTRATSDI[Cost Center])</f>
        <v>305704</v>
      </c>
      <c r="J60" s="22" t="str">
        <f>LOOKUP(TabVMAzureEnvProjet[[#This Row],[Code SYGES]],TabCONTRATSDI[Contrat SYGES],TabCONTRATSDI[Client])</f>
        <v>ONEMA</v>
      </c>
      <c r="K60" t="s">
        <v>145</v>
      </c>
      <c r="L60" s="31">
        <v>7.1631351389652504</v>
      </c>
    </row>
    <row r="61" spans="1:13" x14ac:dyDescent="0.25">
      <c r="A61" s="22" t="str">
        <f>TabVMAzureEnvProjet[[#This Row],[Client]] &amp; " .:. "  &amp; TabVMAzureEnvProjet[[#This Row],[Projet]]</f>
        <v>ONEMA .:. AFB-CATALOGUE</v>
      </c>
      <c r="B61" s="22" t="str">
        <f>IF(TabVMAzureEnvProjet[[#This Row],[Projet AzureDevOps]]&lt;&gt;"",TabVMAzureEnvProjet[[#This Row],[Projet AzureDevOps]],TabVMAzureEnvProjet[[#This Row],[VM]])</f>
        <v>AFB-Catalogue</v>
      </c>
      <c r="C61" t="s">
        <v>60</v>
      </c>
      <c r="E61" t="s">
        <v>4</v>
      </c>
      <c r="F61" t="s">
        <v>59</v>
      </c>
      <c r="G61" t="str">
        <f>LOOKUP(TabVMAzureEnvProjet[[#This Row],[Projet]],TabProjets[NomProj],TabProjets[SYGES])</f>
        <v>ONEMA/TMADCUA-15</v>
      </c>
      <c r="H61" t="str">
        <f>LOOKUP(TabVMAzureEnvProjet[[#This Row],[Projet]],TabProjets[NomProj],TabProjets[CP])</f>
        <v>Pierre BOURLIEUX</v>
      </c>
      <c r="I61">
        <f>LOOKUP(TabVMAzureEnvProjet[[#This Row],[Code SYGES]],TabCONTRATSDI[Contrat SYGES],TabCONTRATSDI[Cost Center])</f>
        <v>305704</v>
      </c>
      <c r="J61" s="22" t="str">
        <f>LOOKUP(TabVMAzureEnvProjet[[#This Row],[Code SYGES]],TabCONTRATSDI[Contrat SYGES],TabCONTRATSDI[Client])</f>
        <v>ONEMA</v>
      </c>
      <c r="K61" t="s">
        <v>145</v>
      </c>
      <c r="L61" s="31">
        <v>1.6207390336679537</v>
      </c>
    </row>
    <row r="62" spans="1:13" x14ac:dyDescent="0.25">
      <c r="A62" s="22" t="str">
        <f>TabVMAzureEnvProjet[[#This Row],[Client]] &amp; " .:. "  &amp; TabVMAzureEnvProjet[[#This Row],[Projet]]</f>
        <v>SPC .:. SPC-WEB</v>
      </c>
      <c r="B62" s="22" t="str">
        <f>IF(TabVMAzureEnvProjet[[#This Row],[Projet AzureDevOps]]&lt;&gt;"",TabVMAzureEnvProjet[[#This Row],[Projet AzureDevOps]],TabVMAzureEnvProjet[[#This Row],[VM]])</f>
        <v>SPC-WEB</v>
      </c>
      <c r="C62" t="s">
        <v>69</v>
      </c>
      <c r="E62" t="s">
        <v>4</v>
      </c>
      <c r="F62" t="s">
        <v>69</v>
      </c>
      <c r="G62" t="str">
        <f>LOOKUP(TabVMAzureEnvProjet[[#This Row],[Projet]],TabProjets[NomProj],TabProjets[SYGES])</f>
        <v>SPC/BUILD-0-1-SITE-WEB</v>
      </c>
      <c r="H62" t="str">
        <f>LOOKUP(TabVMAzureEnvProjet[[#This Row],[Projet]],TabProjets[NomProj],TabProjets[CP])</f>
        <v>Nicolas DURFORT</v>
      </c>
      <c r="I62">
        <f>LOOKUP(TabVMAzureEnvProjet[[#This Row],[Code SYGES]],TabCONTRATSDI[Contrat SYGES],TabCONTRATSDI[Cost Center])</f>
        <v>305704</v>
      </c>
      <c r="J62" s="22" t="str">
        <f>LOOKUP(TabVMAzureEnvProjet[[#This Row],[Code SYGES]],TabCONTRATSDI[Contrat SYGES],TabCONTRATSDI[Client])</f>
        <v>SPC</v>
      </c>
      <c r="K62" t="s">
        <v>145</v>
      </c>
      <c r="L62" s="31">
        <v>4.4105357309652504</v>
      </c>
    </row>
    <row r="63" spans="1:13" x14ac:dyDescent="0.25">
      <c r="A63" s="22" t="str">
        <f>TabVMAzureEnvProjet[[#This Row],[Client]] &amp; " .:. "  &amp; TabVMAzureEnvProjet[[#This Row],[Projet]]</f>
        <v>CNAV .:. CNAV-BI-RGCU</v>
      </c>
      <c r="B63" s="22" t="str">
        <f>IF(TabVMAzureEnvProjet[[#This Row],[Projet AzureDevOps]]&lt;&gt;"",TabVMAzureEnvProjet[[#This Row],[Projet AzureDevOps]],TabVMAzureEnvProjet[[#This Row],[VM]])</f>
        <v>CNAV-BI-RGCU</v>
      </c>
      <c r="C63" t="s">
        <v>27</v>
      </c>
      <c r="E63" t="s">
        <v>4</v>
      </c>
      <c r="F63" t="s">
        <v>27</v>
      </c>
      <c r="G63" t="str">
        <f>LOOKUP(TabVMAzureEnvProjet[[#This Row],[Projet]],TabProjets[NomProj],TabProjets[SYGES])</f>
        <v>CNAV/BI-SIRRGCU</v>
      </c>
      <c r="H63" t="str">
        <f>LOOKUP(TabVMAzureEnvProjet[[#This Row],[Projet]],TabProjets[NomProj],TabProjets[CP])</f>
        <v>Valerie ASSELIN LOZACHMEUR</v>
      </c>
      <c r="I63">
        <f>LOOKUP(TabVMAzureEnvProjet[[#This Row],[Code SYGES]],TabCONTRATSDI[Contrat SYGES],TabCONTRATSDI[Cost Center])</f>
        <v>305704</v>
      </c>
      <c r="J63" s="22" t="str">
        <f>LOOKUP(TabVMAzureEnvProjet[[#This Row],[Code SYGES]],TabCONTRATSDI[Contrat SYGES],TabCONTRATSDI[Client])</f>
        <v>CNAV</v>
      </c>
      <c r="K63" t="s">
        <v>145</v>
      </c>
      <c r="L63" s="31">
        <v>27.52599408</v>
      </c>
    </row>
    <row r="64" spans="1:13" x14ac:dyDescent="0.25">
      <c r="A64" s="22" t="str">
        <f>TabVMAzureEnvProjet[[#This Row],[Client]] &amp; " .:. "  &amp; TabVMAzureEnvProjet[[#This Row],[Projet]]</f>
        <v>SPC .:. SPC-BUILD</v>
      </c>
      <c r="B64" s="22" t="str">
        <f>IF(TabVMAzureEnvProjet[[#This Row],[Projet AzureDevOps]]&lt;&gt;"",TabVMAzureEnvProjet[[#This Row],[Projet AzureDevOps]],TabVMAzureEnvProjet[[#This Row],[VM]])</f>
        <v>SPC-BUILD</v>
      </c>
      <c r="C64" t="s">
        <v>67</v>
      </c>
      <c r="E64" t="s">
        <v>4</v>
      </c>
      <c r="F64" t="s">
        <v>67</v>
      </c>
      <c r="G64" t="str">
        <f>LOOKUP(TabVMAzureEnvProjet[[#This Row],[Projet]],TabProjets[NomProj],TabProjets[SYGES])</f>
        <v>SPC/BUILD</v>
      </c>
      <c r="H64" t="str">
        <f>LOOKUP(TabVMAzureEnvProjet[[#This Row],[Projet]],TabProjets[NomProj],TabProjets[CP])</f>
        <v>Nicolas DURFORT</v>
      </c>
      <c r="I64">
        <f>LOOKUP(TabVMAzureEnvProjet[[#This Row],[Code SYGES]],TabCONTRATSDI[Contrat SYGES],TabCONTRATSDI[Cost Center])</f>
        <v>305704</v>
      </c>
      <c r="J64" s="22" t="str">
        <f>LOOKUP(TabVMAzureEnvProjet[[#This Row],[Code SYGES]],TabCONTRATSDI[Contrat SYGES],TabCONTRATSDI[Client])</f>
        <v>SPC</v>
      </c>
      <c r="K64" t="s">
        <v>145</v>
      </c>
      <c r="L64" s="31">
        <v>28.567518180324324</v>
      </c>
    </row>
    <row r="65" spans="1:12" x14ac:dyDescent="0.25">
      <c r="A65" s="22" t="str">
        <f>TabVMAzureEnvProjet[[#This Row],[Client]] &amp; " .:. "  &amp; TabVMAzureEnvProjet[[#This Row],[Projet]]</f>
        <v>ONEMA .:. AFB-OISON</v>
      </c>
      <c r="B65" s="22" t="str">
        <f>IF(TabVMAzureEnvProjet[[#This Row],[Projet AzureDevOps]]&lt;&gt;"",TabVMAzureEnvProjet[[#This Row],[Projet AzureDevOps]],TabVMAzureEnvProjet[[#This Row],[VM]])</f>
        <v>AFB-OISON</v>
      </c>
      <c r="C65" t="s">
        <v>62</v>
      </c>
      <c r="E65" t="s">
        <v>4</v>
      </c>
      <c r="F65" t="s">
        <v>62</v>
      </c>
      <c r="G65" t="str">
        <f>LOOKUP(TabVMAzureEnvProjet[[#This Row],[Projet]],TabProjets[NomProj],TabProjets[SYGES])</f>
        <v>ONEMA/TMADCUA-15</v>
      </c>
      <c r="H65" t="str">
        <f>LOOKUP(TabVMAzureEnvProjet[[#This Row],[Projet]],TabProjets[NomProj],TabProjets[CP])</f>
        <v>Jean-Philippe STROIAZZO</v>
      </c>
      <c r="I65">
        <f>LOOKUP(TabVMAzureEnvProjet[[#This Row],[Code SYGES]],TabCONTRATSDI[Contrat SYGES],TabCONTRATSDI[Cost Center])</f>
        <v>305704</v>
      </c>
      <c r="J65" s="22" t="str">
        <f>LOOKUP(TabVMAzureEnvProjet[[#This Row],[Code SYGES]],TabCONTRATSDI[Contrat SYGES],TabCONTRATSDI[Client])</f>
        <v>ONEMA</v>
      </c>
      <c r="K65" t="s">
        <v>145</v>
      </c>
      <c r="L65" s="31">
        <v>11.991218699223328</v>
      </c>
    </row>
    <row r="66" spans="1:12" x14ac:dyDescent="0.25">
      <c r="A66" s="22" t="str">
        <f>TabVMAzureEnvProjet[[#This Row],[Client]] &amp; " .:. "  &amp; TabVMAzureEnvProjet[[#This Row],[Projet]]</f>
        <v>AFB .:. AFB-PNX</v>
      </c>
      <c r="B66" s="22" t="str">
        <f>IF(TabVMAzureEnvProjet[[#This Row],[Projet AzureDevOps]]&lt;&gt;"",TabVMAzureEnvProjet[[#This Row],[Projet AzureDevOps]],TabVMAzureEnvProjet[[#This Row],[VM]])</f>
        <v>AFB-PNX</v>
      </c>
      <c r="C66" t="s">
        <v>8</v>
      </c>
      <c r="E66" t="s">
        <v>4</v>
      </c>
      <c r="F66" t="s">
        <v>8</v>
      </c>
      <c r="G66" t="str">
        <f>LOOKUP(TabVMAzureEnvProjet[[#This Row],[Projet]],TabProjets[NomProj],TabProjets[SYGES])</f>
        <v>AFB/OFB_LOT2</v>
      </c>
      <c r="H66" t="str">
        <f>LOOKUP(TabVMAzureEnvProjet[[#This Row],[Projet]],TabProjets[NomProj],TabProjets[CP])</f>
        <v>Pierre BOURLIEUX</v>
      </c>
      <c r="I66">
        <f>LOOKUP(TabVMAzureEnvProjet[[#This Row],[Code SYGES]],TabCONTRATSDI[Contrat SYGES],TabCONTRATSDI[Cost Center])</f>
        <v>305704</v>
      </c>
      <c r="J66" s="22" t="str">
        <f>LOOKUP(TabVMAzureEnvProjet[[#This Row],[Code SYGES]],TabCONTRATSDI[Contrat SYGES],TabCONTRATSDI[Client])</f>
        <v>AFB</v>
      </c>
      <c r="K66" t="s">
        <v>145</v>
      </c>
      <c r="L66" s="31">
        <v>3.0735213731523059</v>
      </c>
    </row>
    <row r="67" spans="1:12" x14ac:dyDescent="0.25">
      <c r="A67" s="22" t="str">
        <f>TabVMAzureEnvProjet[[#This Row],[Client]] &amp; " .:. "  &amp; TabVMAzureEnvProjet[[#This Row],[Projet]]</f>
        <v>AFB .:. AFB-NatureFrance</v>
      </c>
      <c r="B67" s="22" t="str">
        <f>IF(TabVMAzureEnvProjet[[#This Row],[Projet AzureDevOps]]&lt;&gt;"",TabVMAzureEnvProjet[[#This Row],[Projet AzureDevOps]],TabVMAzureEnvProjet[[#This Row],[VM]])</f>
        <v>OFB-NatureFrance</v>
      </c>
      <c r="C67" t="s">
        <v>79</v>
      </c>
      <c r="E67" t="s">
        <v>4</v>
      </c>
      <c r="F67" t="s">
        <v>147</v>
      </c>
      <c r="G67" t="str">
        <f>LOOKUP(TabVMAzureEnvProjet[[#This Row],[Projet]],TabProjets[NomProj],TabProjets[SYGES])</f>
        <v>AFB/OFB_LOT2</v>
      </c>
      <c r="H67" t="str">
        <f>LOOKUP(TabVMAzureEnvProjet[[#This Row],[Projet]],TabProjets[NomProj],TabProjets[CP])</f>
        <v>Rodolphe HABEGGER</v>
      </c>
      <c r="I67">
        <f>LOOKUP(TabVMAzureEnvProjet[[#This Row],[Code SYGES]],TabCONTRATSDI[Contrat SYGES],TabCONTRATSDI[Cost Center])</f>
        <v>305704</v>
      </c>
      <c r="J67" s="22" t="str">
        <f>LOOKUP(TabVMAzureEnvProjet[[#This Row],[Code SYGES]],TabCONTRATSDI[Contrat SYGES],TabCONTRATSDI[Client])</f>
        <v>AFB</v>
      </c>
      <c r="K67" t="s">
        <v>145</v>
      </c>
      <c r="L67" s="31">
        <v>7.5138524380540543</v>
      </c>
    </row>
    <row r="68" spans="1:12" x14ac:dyDescent="0.25">
      <c r="A68" s="22" t="str">
        <f>TabVMAzureEnvProjet[[#This Row],[Client]] &amp; " .:. "  &amp; TabVMAzureEnvProjet[[#This Row],[Projet]]</f>
        <v>FRR .:. FRR-DIGIPAT</v>
      </c>
      <c r="B68" s="22" t="str">
        <f>IF(TabVMAzureEnvProjet[[#This Row],[Projet AzureDevOps]]&lt;&gt;"",TabVMAzureEnvProjet[[#This Row],[Projet AzureDevOps]],TabVMAzureEnvProjet[[#This Row],[VM]])</f>
        <v>FRR DIGIPAT</v>
      </c>
      <c r="C68" t="s">
        <v>30</v>
      </c>
      <c r="E68" t="s">
        <v>4</v>
      </c>
      <c r="F68" t="s">
        <v>29</v>
      </c>
      <c r="G68" t="str">
        <f>LOOKUP(TabVMAzureEnvProjet[[#This Row],[Projet]],TabProjets[NomProj],TabProjets[SYGES])</f>
        <v>FRR/TMASI</v>
      </c>
      <c r="H68" t="str">
        <f>LOOKUP(TabVMAzureEnvProjet[[#This Row],[Projet]],TabProjets[NomProj],TabProjets[CP])</f>
        <v>Alice MARCHAL</v>
      </c>
      <c r="I68">
        <f>LOOKUP(TabVMAzureEnvProjet[[#This Row],[Code SYGES]],TabCONTRATSDI[Contrat SYGES],TabCONTRATSDI[Cost Center])</f>
        <v>305704</v>
      </c>
      <c r="J68" s="22" t="str">
        <f>LOOKUP(TabVMAzureEnvProjet[[#This Row],[Code SYGES]],TabCONTRATSDI[Contrat SYGES],TabCONTRATSDI[Client])</f>
        <v>FRR</v>
      </c>
      <c r="K68" t="s">
        <v>145</v>
      </c>
      <c r="L68" s="31">
        <v>9.5225060601081069</v>
      </c>
    </row>
    <row r="69" spans="1:12" x14ac:dyDescent="0.25">
      <c r="A69" s="22" t="str">
        <f>TabVMAzureEnvProjet[[#This Row],[Client]] &amp; " .:. "  &amp; TabVMAzureEnvProjet[[#This Row],[Projet]]</f>
        <v>ALM .:. ALM-ATOUT</v>
      </c>
      <c r="B69" s="22" t="str">
        <f>IF(TabVMAzureEnvProjet[[#This Row],[Projet AzureDevOps]]&lt;&gt;"",TabVMAzureEnvProjet[[#This Row],[Projet AzureDevOps]],TabVMAzureEnvProjet[[#This Row],[VM]])</f>
        <v>ALM-ATOUT</v>
      </c>
      <c r="C69" t="s">
        <v>17</v>
      </c>
      <c r="E69" t="s">
        <v>4</v>
      </c>
      <c r="F69" t="s">
        <v>17</v>
      </c>
      <c r="G69" t="str">
        <f>LOOKUP(TabVMAzureEnvProjet[[#This Row],[Projet]],TabProjets[NomProj],TabProjets[SYGES])</f>
        <v>ALM/TMA_ATOUT</v>
      </c>
      <c r="H69" t="str">
        <f>LOOKUP(TabVMAzureEnvProjet[[#This Row],[Projet]],TabProjets[NomProj],TabProjets[CP])</f>
        <v>Alice MARCHAL</v>
      </c>
      <c r="I69">
        <f>LOOKUP(TabVMAzureEnvProjet[[#This Row],[Code SYGES]],TabCONTRATSDI[Contrat SYGES],TabCONTRATSDI[Cost Center])</f>
        <v>305704</v>
      </c>
      <c r="J69" s="22" t="str">
        <f>LOOKUP(TabVMAzureEnvProjet[[#This Row],[Code SYGES]],TabCONTRATSDI[Contrat SYGES],TabCONTRATSDI[Client])</f>
        <v>ALM</v>
      </c>
      <c r="K69" t="s">
        <v>145</v>
      </c>
      <c r="L69" s="31">
        <v>12.90834132157727</v>
      </c>
    </row>
    <row r="70" spans="1:12" x14ac:dyDescent="0.25">
      <c r="A70" s="22" t="str">
        <f>TabVMAzureEnvProjet[[#This Row],[Client]] &amp; " .:. "  &amp; TabVMAzureEnvProjet[[#This Row],[Projet]]</f>
        <v>BRGM .:. BRGM-ORRM</v>
      </c>
      <c r="B70" s="22" t="str">
        <f>IF(TabVMAzureEnvProjet[[#This Row],[Projet AzureDevOps]]&lt;&gt;"",TabVMAzureEnvProjet[[#This Row],[Projet AzureDevOps]],TabVMAzureEnvProjet[[#This Row],[VM]])</f>
        <v>BRGM-ORRM</v>
      </c>
      <c r="C70" t="s">
        <v>20</v>
      </c>
      <c r="E70" t="s">
        <v>4</v>
      </c>
      <c r="F70" t="s">
        <v>20</v>
      </c>
      <c r="G70" t="str">
        <f>LOOKUP(TabVMAzureEnvProjet[[#This Row],[Projet]],TabProjets[NomProj],TabProjets[SYGES])</f>
        <v>BRGM/TMA-5-1-ORRM-LOT1</v>
      </c>
      <c r="H70" t="str">
        <f>LOOKUP(TabVMAzureEnvProjet[[#This Row],[Projet]],TabProjets[NomProj],TabProjets[CP])</f>
        <v>Alice MARCHAL</v>
      </c>
      <c r="I70">
        <f>LOOKUP(TabVMAzureEnvProjet[[#This Row],[Code SYGES]],TabCONTRATSDI[Contrat SYGES],TabCONTRATSDI[Cost Center])</f>
        <v>305704</v>
      </c>
      <c r="J70" s="22" t="str">
        <f>LOOKUP(TabVMAzureEnvProjet[[#This Row],[Code SYGES]],TabCONTRATSDI[Contrat SYGES],TabCONTRATSDI[Client])</f>
        <v>BRGM</v>
      </c>
      <c r="K70" t="s">
        <v>145</v>
      </c>
      <c r="L70" s="31">
        <v>7.6759326962867291</v>
      </c>
    </row>
    <row r="71" spans="1:12" x14ac:dyDescent="0.25">
      <c r="A71" s="22" t="str">
        <f>TabVMAzureEnvProjet[[#This Row],[Client]] &amp; " .:. "  &amp; TabVMAzureEnvProjet[[#This Row],[Projet]]</f>
        <v>ONEMA .:. AFB-CDR</v>
      </c>
      <c r="B71" s="22" t="str">
        <f>IF(TabVMAzureEnvProjet[[#This Row],[Projet AzureDevOps]]&lt;&gt;"",TabVMAzureEnvProjet[[#This Row],[Projet AzureDevOps]],TabVMAzureEnvProjet[[#This Row],[VM]])</f>
        <v>AFB-CDR</v>
      </c>
      <c r="C71" t="s">
        <v>61</v>
      </c>
      <c r="E71" t="s">
        <v>4</v>
      </c>
      <c r="F71" t="s">
        <v>61</v>
      </c>
      <c r="G71" t="str">
        <f>LOOKUP(TabVMAzureEnvProjet[[#This Row],[Projet]],TabProjets[NomProj],TabProjets[SYGES])</f>
        <v>ONEMA/TMAWEB-16</v>
      </c>
      <c r="H71" t="str">
        <f>LOOKUP(TabVMAzureEnvProjet[[#This Row],[Projet]],TabProjets[NomProj],TabProjets[CP])</f>
        <v>Pierre BOURLIEUX</v>
      </c>
      <c r="I71">
        <f>LOOKUP(TabVMAzureEnvProjet[[#This Row],[Code SYGES]],TabCONTRATSDI[Contrat SYGES],TabCONTRATSDI[Cost Center])</f>
        <v>305704</v>
      </c>
      <c r="J71" s="22" t="str">
        <f>LOOKUP(TabVMAzureEnvProjet[[#This Row],[Code SYGES]],TabCONTRATSDI[Contrat SYGES],TabCONTRATSDI[Client])</f>
        <v>ONEMA</v>
      </c>
      <c r="K71" t="s">
        <v>145</v>
      </c>
      <c r="L71" s="31">
        <v>7.5398061599401789</v>
      </c>
    </row>
    <row r="72" spans="1:12" x14ac:dyDescent="0.25">
      <c r="A72" s="22" t="str">
        <f>TabVMAzureEnvProjet[[#This Row],[Client]] &amp; " .:. "  &amp; TabVMAzureEnvProjet[[#This Row],[Projet]]</f>
        <v>MENESR .:. MENJ-BNIE</v>
      </c>
      <c r="B72" s="22" t="str">
        <f>IF(TabVMAzureEnvProjet[[#This Row],[Projet AzureDevOps]]&lt;&gt;"",TabVMAzureEnvProjet[[#This Row],[Projet AzureDevOps]],TabVMAzureEnvProjet[[#This Row],[VM]])</f>
        <v>MENJ-BNIE-BDD</v>
      </c>
      <c r="C72" t="s">
        <v>46</v>
      </c>
      <c r="E72" t="s">
        <v>4</v>
      </c>
      <c r="F72" t="s">
        <v>45</v>
      </c>
      <c r="G72" t="str">
        <f>LOOKUP(TabVMAzureEnvProjet[[#This Row],[Projet]],TabProjets[NomProj],TabProjets[SYGES])</f>
        <v>MENESR/TMA</v>
      </c>
      <c r="H72" t="str">
        <f>LOOKUP(TabVMAzureEnvProjet[[#This Row],[Projet]],TabProjets[NomProj],TabProjets[CP])</f>
        <v>Pierre BOURLIEUX</v>
      </c>
      <c r="I72">
        <f>LOOKUP(TabVMAzureEnvProjet[[#This Row],[Code SYGES]],TabCONTRATSDI[Contrat SYGES],TabCONTRATSDI[Cost Center])</f>
        <v>305704</v>
      </c>
      <c r="J72" s="22" t="str">
        <f>LOOKUP(TabVMAzureEnvProjet[[#This Row],[Code SYGES]],TabCONTRATSDI[Contrat SYGES],TabCONTRATSDI[Client])</f>
        <v>MENESR</v>
      </c>
      <c r="K72" t="s">
        <v>145</v>
      </c>
      <c r="L72" s="31">
        <v>1.4506942825945943</v>
      </c>
    </row>
    <row r="73" spans="1:12" x14ac:dyDescent="0.25">
      <c r="A73" s="22" t="str">
        <f>TabVMAzureEnvProjet[[#This Row],[Client]] &amp; " .:. "  &amp; TabVMAzureEnvProjet[[#This Row],[Projet]]</f>
        <v>AFB .:. AFB-PNM</v>
      </c>
      <c r="B73" s="22" t="str">
        <f>IF(TabVMAzureEnvProjet[[#This Row],[Projet AzureDevOps]]&lt;&gt;"",TabVMAzureEnvProjet[[#This Row],[Projet AzureDevOps]],TabVMAzureEnvProjet[[#This Row],[VM]])</f>
        <v>AFB-PNM</v>
      </c>
      <c r="C73" t="s">
        <v>5</v>
      </c>
      <c r="E73" t="s">
        <v>4</v>
      </c>
      <c r="F73" t="s">
        <v>5</v>
      </c>
      <c r="G73" t="str">
        <f>LOOKUP(TabVMAzureEnvProjet[[#This Row],[Projet]],TabProjets[NomProj],TabProjets[SYGES])</f>
        <v>AFB/OFB_LOT2</v>
      </c>
      <c r="H73" t="str">
        <f>LOOKUP(TabVMAzureEnvProjet[[#This Row],[Projet]],TabProjets[NomProj],TabProjets[CP])</f>
        <v>Eric RAUCOURT</v>
      </c>
      <c r="I73">
        <f>LOOKUP(TabVMAzureEnvProjet[[#This Row],[Code SYGES]],TabCONTRATSDI[Contrat SYGES],TabCONTRATSDI[Cost Center])</f>
        <v>305704</v>
      </c>
      <c r="J73" s="22" t="str">
        <f>LOOKUP(TabVMAzureEnvProjet[[#This Row],[Code SYGES]],TabCONTRATSDI[Contrat SYGES],TabCONTRATSDI[Client])</f>
        <v>AFB</v>
      </c>
      <c r="K73" t="s">
        <v>145</v>
      </c>
      <c r="L73" s="31">
        <v>14.10427755982745</v>
      </c>
    </row>
    <row r="74" spans="1:12" x14ac:dyDescent="0.25">
      <c r="A74" s="22" t="str">
        <f>TabVMAzureEnvProjet[[#This Row],[Client]] &amp; " .:. "  &amp; TabVMAzureEnvProjet[[#This Row],[Projet]]</f>
        <v>INETUM .:. INETUM-INTERNE</v>
      </c>
      <c r="B74" s="22" t="str">
        <f>IF(TabVMAzureEnvProjet[[#This Row],[Projet AzureDevOps]]&lt;&gt;"",TabVMAzureEnvProjet[[#This Row],[Projet AzureDevOps]],TabVMAzureEnvProjet[[#This Row],[VM]])</f>
        <v>GFI-MineReport</v>
      </c>
      <c r="C74" t="s">
        <v>104</v>
      </c>
      <c r="E74" t="s">
        <v>4</v>
      </c>
      <c r="F74" t="s">
        <v>102</v>
      </c>
      <c r="G74" t="str">
        <f>LOOKUP(TabVMAzureEnvProjet[[#This Row],[Projet]],TabProjets[NomProj],TabProjets[SYGES])</f>
        <v>INETUM/PROJET_INTERNE</v>
      </c>
      <c r="H74" t="str">
        <f>LOOKUP(TabVMAzureEnvProjet[[#This Row],[Projet]],TabProjets[NomProj],TabProjets[CP])</f>
        <v>Christophe ORLANDO</v>
      </c>
      <c r="I74">
        <f>LOOKUP(TabVMAzureEnvProjet[[#This Row],[Code SYGES]],TabCONTRATSDI[Contrat SYGES],TabCONTRATSDI[Cost Center])</f>
        <v>305704</v>
      </c>
      <c r="J74" s="22" t="str">
        <f>LOOKUP(TabVMAzureEnvProjet[[#This Row],[Code SYGES]],TabCONTRATSDI[Contrat SYGES],TabCONTRATSDI[Client])</f>
        <v>INETUM</v>
      </c>
      <c r="K74" t="s">
        <v>145</v>
      </c>
      <c r="L74" s="31">
        <v>1.4506942825945943</v>
      </c>
    </row>
    <row r="75" spans="1:12" x14ac:dyDescent="0.25">
      <c r="A75" s="22" t="str">
        <f>TabVMAzureEnvProjet[[#This Row],[Client]] &amp; " .:. "  &amp; TabVMAzureEnvProjet[[#This Row],[Projet]]</f>
        <v>MENESR .:. MENJ-RNIE</v>
      </c>
      <c r="B75" s="22" t="str">
        <f>IF(TabVMAzureEnvProjet[[#This Row],[Projet AzureDevOps]]&lt;&gt;"",TabVMAzureEnvProjet[[#This Row],[Projet AzureDevOps]],TabVMAzureEnvProjet[[#This Row],[VM]])</f>
        <v>MENJ-RNIE-Webservices</v>
      </c>
      <c r="C75" t="s">
        <v>50</v>
      </c>
      <c r="E75" t="s">
        <v>4</v>
      </c>
      <c r="F75" t="s">
        <v>48</v>
      </c>
      <c r="G75" t="str">
        <f>LOOKUP(TabVMAzureEnvProjet[[#This Row],[Projet]],TabProjets[NomProj],TabProjets[SYGES])</f>
        <v>MENESR/TMA</v>
      </c>
      <c r="H75" t="str">
        <f>LOOKUP(TabVMAzureEnvProjet[[#This Row],[Projet]],TabProjets[NomProj],TabProjets[CP])</f>
        <v>Pierre BOURLIEUX</v>
      </c>
      <c r="I75">
        <f>LOOKUP(TabVMAzureEnvProjet[[#This Row],[Code SYGES]],TabCONTRATSDI[Contrat SYGES],TabCONTRATSDI[Cost Center])</f>
        <v>305704</v>
      </c>
      <c r="J75" s="22" t="str">
        <f>LOOKUP(TabVMAzureEnvProjet[[#This Row],[Code SYGES]],TabCONTRATSDI[Contrat SYGES],TabCONTRATSDI[Client])</f>
        <v>MENESR</v>
      </c>
      <c r="K75" t="s">
        <v>145</v>
      </c>
      <c r="L75" s="31">
        <v>2.1673610494695943</v>
      </c>
    </row>
    <row r="76" spans="1:12" x14ac:dyDescent="0.25">
      <c r="A76" s="22" t="str">
        <f>TabVMAzureEnvProjet[[#This Row],[Client]] &amp; " .:. "  &amp; TabVMAzureEnvProjet[[#This Row],[Projet]]</f>
        <v>PCM .:. PCM-WEB</v>
      </c>
      <c r="B76" s="22" t="str">
        <f>IF(TabVMAzureEnvProjet[[#This Row],[Projet AzureDevOps]]&lt;&gt;"",TabVMAzureEnvProjet[[#This Row],[Projet AzureDevOps]],TabVMAzureEnvProjet[[#This Row],[VM]])</f>
        <v>PCM-Web</v>
      </c>
      <c r="C76" t="s">
        <v>73</v>
      </c>
      <c r="E76" t="s">
        <v>4</v>
      </c>
      <c r="F76" t="s">
        <v>72</v>
      </c>
      <c r="G76" t="str">
        <f>LOOKUP(TabVMAzureEnvProjet[[#This Row],[Projet]],TabProjets[NomProj],TabProjets[SYGES])</f>
        <v>PCM/WEB</v>
      </c>
      <c r="H76" t="str">
        <f>LOOKUP(TabVMAzureEnvProjet[[#This Row],[Projet]],TabProjets[NomProj],TabProjets[CP])</f>
        <v>Rodolphe HABEGGER</v>
      </c>
      <c r="I76">
        <f>LOOKUP(TabVMAzureEnvProjet[[#This Row],[Code SYGES]],TabCONTRATSDI[Contrat SYGES],TabCONTRATSDI[Cost Center])</f>
        <v>305704</v>
      </c>
      <c r="J76" s="22" t="str">
        <f>LOOKUP(TabVMAzureEnvProjet[[#This Row],[Code SYGES]],TabCONTRATSDI[Contrat SYGES],TabCONTRATSDI[Client])</f>
        <v>PCM</v>
      </c>
      <c r="K76" t="s">
        <v>145</v>
      </c>
      <c r="L76" s="31">
        <v>3.682531640432432</v>
      </c>
    </row>
    <row r="77" spans="1:12" x14ac:dyDescent="0.25">
      <c r="A77" s="22" t="str">
        <f>TabVMAzureEnvProjet[[#This Row],[Client]] &amp; " .:. "  &amp; TabVMAzureEnvProjet[[#This Row],[Projet]]</f>
        <v>INETUM .:. INETUM-INTERNE</v>
      </c>
      <c r="B77" s="22" t="str">
        <f>IF(TabVMAzureEnvProjet[[#This Row],[Projet AzureDevOps]]&lt;&gt;"",TabVMAzureEnvProjet[[#This Row],[Projet AzureDevOps]],TabVMAzureEnvProjet[[#This Row],[VM]])</f>
        <v>drupal-qa</v>
      </c>
      <c r="C77" t="s">
        <v>142</v>
      </c>
      <c r="E77" t="s">
        <v>4</v>
      </c>
      <c r="F77" t="s">
        <v>102</v>
      </c>
      <c r="G77" t="str">
        <f>LOOKUP(TabVMAzureEnvProjet[[#This Row],[Projet]],TabProjets[NomProj],TabProjets[SYGES])</f>
        <v>INETUM/PROJET_INTERNE</v>
      </c>
      <c r="H77" t="str">
        <f>LOOKUP(TabVMAzureEnvProjet[[#This Row],[Projet]],TabProjets[NomProj],TabProjets[CP])</f>
        <v>Christophe ORLANDO</v>
      </c>
      <c r="I77">
        <f>LOOKUP(TabVMAzureEnvProjet[[#This Row],[Code SYGES]],TabCONTRATSDI[Contrat SYGES],TabCONTRATSDI[Cost Center])</f>
        <v>305704</v>
      </c>
      <c r="J77" s="22" t="str">
        <f>LOOKUP(TabVMAzureEnvProjet[[#This Row],[Code SYGES]],TabCONTRATSDI[Contrat SYGES],TabCONTRATSDI[Client])</f>
        <v>INETUM</v>
      </c>
      <c r="K77" t="s">
        <v>145</v>
      </c>
      <c r="L77" s="31">
        <v>0.87679324772200773</v>
      </c>
    </row>
    <row r="78" spans="1:12" x14ac:dyDescent="0.25">
      <c r="A78" s="22" t="str">
        <f>TabVMAzureEnvProjet[[#This Row],[Client]] &amp; " .:. "  &amp; TabVMAzureEnvProjet[[#This Row],[Projet]]</f>
        <v>MENESR .:. MENJ-RNIE</v>
      </c>
      <c r="B78" s="22" t="str">
        <f>IF(TabVMAzureEnvProjet[[#This Row],[Projet AzureDevOps]]&lt;&gt;"",TabVMAzureEnvProjet[[#This Row],[Projet AzureDevOps]],TabVMAzureEnvProjet[[#This Row],[VM]])</f>
        <v>MENJ-RNIE-BDD</v>
      </c>
      <c r="C78" t="s">
        <v>49</v>
      </c>
      <c r="E78" t="s">
        <v>4</v>
      </c>
      <c r="F78" t="s">
        <v>48</v>
      </c>
      <c r="G78" t="str">
        <f>LOOKUP(TabVMAzureEnvProjet[[#This Row],[Projet]],TabProjets[NomProj],TabProjets[SYGES])</f>
        <v>MENESR/TMA</v>
      </c>
      <c r="H78" t="str">
        <f>LOOKUP(TabVMAzureEnvProjet[[#This Row],[Projet]],TabProjets[NomProj],TabProjets[CP])</f>
        <v>Pierre BOURLIEUX</v>
      </c>
      <c r="I78">
        <f>LOOKUP(TabVMAzureEnvProjet[[#This Row],[Code SYGES]],TabCONTRATSDI[Contrat SYGES],TabCONTRATSDI[Cost Center])</f>
        <v>305704</v>
      </c>
      <c r="J78" s="22" t="str">
        <f>LOOKUP(TabVMAzureEnvProjet[[#This Row],[Code SYGES]],TabCONTRATSDI[Contrat SYGES],TabCONTRATSDI[Client])</f>
        <v>MENESR</v>
      </c>
      <c r="K78" t="s">
        <v>145</v>
      </c>
      <c r="L78" s="31">
        <v>1.4506942825945943</v>
      </c>
    </row>
    <row r="79" spans="1:12" x14ac:dyDescent="0.25">
      <c r="A79" s="22" t="str">
        <f>TabVMAzureEnvProjet[[#This Row],[Client]] &amp; " .:. "  &amp; TabVMAzureEnvProjet[[#This Row],[Projet]]</f>
        <v>GLI .:. GLI-APIBIOMETRIE</v>
      </c>
      <c r="B79" s="22" t="str">
        <f>IF(TabVMAzureEnvProjet[[#This Row],[Projet AzureDevOps]]&lt;&gt;"",TabVMAzureEnvProjet[[#This Row],[Projet AzureDevOps]],TabVMAzureEnvProjet[[#This Row],[VM]])</f>
        <v>GLI-APIBiometrie</v>
      </c>
      <c r="C79" t="s">
        <v>42</v>
      </c>
      <c r="E79" t="s">
        <v>4</v>
      </c>
      <c r="F79" t="s">
        <v>41</v>
      </c>
      <c r="G79" t="str">
        <f>LOOKUP(TabVMAzureEnvProjet[[#This Row],[Projet]],TabProjets[NomProj],TabProjets[SYGES])</f>
        <v>GLI/BIOMETRIE</v>
      </c>
      <c r="H79" t="str">
        <f>LOOKUP(TabVMAzureEnvProjet[[#This Row],[Projet]],TabProjets[NomProj],TabProjets[CP])</f>
        <v>Rodolphe HABEGGER</v>
      </c>
      <c r="I79">
        <f>LOOKUP(TabVMAzureEnvProjet[[#This Row],[Code SYGES]],TabCONTRATSDI[Contrat SYGES],TabCONTRATSDI[Cost Center])</f>
        <v>305704</v>
      </c>
      <c r="J79" s="22" t="str">
        <f>LOOKUP(TabVMAzureEnvProjet[[#This Row],[Code SYGES]],TabCONTRATSDI[Contrat SYGES],TabCONTRATSDI[Client])</f>
        <v>GLI</v>
      </c>
      <c r="K79" t="s">
        <v>145</v>
      </c>
      <c r="L79" s="31">
        <v>9.3871549931982567</v>
      </c>
    </row>
    <row r="80" spans="1:12" x14ac:dyDescent="0.25">
      <c r="A80" s="22" t="str">
        <f>TabVMAzureEnvProjet[[#This Row],[Client]] &amp; " .:. "  &amp; TabVMAzureEnvProjet[[#This Row],[Projet]]</f>
        <v>ONEMA .:. AFB-BASEINDICATEURS</v>
      </c>
      <c r="B80" s="22" t="str">
        <f>IF(TabVMAzureEnvProjet[[#This Row],[Projet AzureDevOps]]&lt;&gt;"",TabVMAzureEnvProjet[[#This Row],[Projet AzureDevOps]],TabVMAzureEnvProjet[[#This Row],[VM]])</f>
        <v>AFB-BaseIndicateurs</v>
      </c>
      <c r="C80" t="s">
        <v>58</v>
      </c>
      <c r="E80" t="s">
        <v>4</v>
      </c>
      <c r="F80" t="s">
        <v>57</v>
      </c>
      <c r="G80" t="str">
        <f>LOOKUP(TabVMAzureEnvProjet[[#This Row],[Projet]],TabProjets[NomProj],TabProjets[SYGES])</f>
        <v>ONEMA/TMADCUA-15</v>
      </c>
      <c r="H80" t="str">
        <f>LOOKUP(TabVMAzureEnvProjet[[#This Row],[Projet]],TabProjets[NomProj],TabProjets[CP])</f>
        <v>Pierre BOURLIEUX</v>
      </c>
      <c r="I80">
        <f>LOOKUP(TabVMAzureEnvProjet[[#This Row],[Code SYGES]],TabCONTRATSDI[Contrat SYGES],TabCONTRATSDI[Cost Center])</f>
        <v>305704</v>
      </c>
      <c r="J80" s="22" t="str">
        <f>LOOKUP(TabVMAzureEnvProjet[[#This Row],[Code SYGES]],TabCONTRATSDI[Contrat SYGES],TabCONTRATSDI[Client])</f>
        <v>ONEMA</v>
      </c>
      <c r="K80" t="s">
        <v>145</v>
      </c>
      <c r="L80" s="31">
        <v>1.0627796942084942</v>
      </c>
    </row>
    <row r="81" spans="1:13" x14ac:dyDescent="0.25">
      <c r="A81" s="22" t="str">
        <f>TabVMAzureEnvProjet[[#This Row],[Client]] &amp; " .:. "  &amp; TabVMAzureEnvProjet[[#This Row],[Projet]]</f>
        <v>INETUM .:. INETUM-INTERNE</v>
      </c>
      <c r="B81" s="22" t="str">
        <f>IF(TabVMAzureEnvProjet[[#This Row],[Projet AzureDevOps]]&lt;&gt;"",TabVMAzureEnvProjet[[#This Row],[Projet AzureDevOps]],TabVMAzureEnvProjet[[#This Row],[VM]])</f>
        <v>GFI-D8-BS4-THEME</v>
      </c>
      <c r="C81" t="s">
        <v>103</v>
      </c>
      <c r="E81" t="s">
        <v>4</v>
      </c>
      <c r="F81" t="s">
        <v>102</v>
      </c>
      <c r="G81" t="str">
        <f>LOOKUP(TabVMAzureEnvProjet[[#This Row],[Projet]],TabProjets[NomProj],TabProjets[SYGES])</f>
        <v>INETUM/PROJET_INTERNE</v>
      </c>
      <c r="H81" t="str">
        <f>LOOKUP(TabVMAzureEnvProjet[[#This Row],[Projet]],TabProjets[NomProj],TabProjets[CP])</f>
        <v>Christophe ORLANDO</v>
      </c>
      <c r="I81">
        <f>LOOKUP(TabVMAzureEnvProjet[[#This Row],[Code SYGES]],TabCONTRATSDI[Contrat SYGES],TabCONTRATSDI[Cost Center])</f>
        <v>305704</v>
      </c>
      <c r="J81" s="22" t="str">
        <f>LOOKUP(TabVMAzureEnvProjet[[#This Row],[Code SYGES]],TabCONTRATSDI[Contrat SYGES],TabCONTRATSDI[Client])</f>
        <v>INETUM</v>
      </c>
      <c r="K81" t="s">
        <v>145</v>
      </c>
      <c r="L81" s="31">
        <v>0.87679324772200773</v>
      </c>
    </row>
    <row r="82" spans="1:13" x14ac:dyDescent="0.25">
      <c r="A82" s="22" t="str">
        <f>TabVMAzureEnvProjet[[#This Row],[Client]] &amp; " .:. "  &amp; TabVMAzureEnvProjet[[#This Row],[Projet]]</f>
        <v>MENESR .:. MENJ-APAE</v>
      </c>
      <c r="B82" s="22" t="str">
        <f>IF(TabVMAzureEnvProjet[[#This Row],[Projet AzureDevOps]]&lt;&gt;"",TabVMAzureEnvProjet[[#This Row],[Projet AzureDevOps]],TabVMAzureEnvProjet[[#This Row],[VM]])</f>
        <v>MENJ-APAE</v>
      </c>
      <c r="C82" t="s">
        <v>44</v>
      </c>
      <c r="E82" t="s">
        <v>4</v>
      </c>
      <c r="F82" t="s">
        <v>44</v>
      </c>
      <c r="G82" t="str">
        <f>LOOKUP(TabVMAzureEnvProjet[[#This Row],[Projet]],TabProjets[NomProj],TabProjets[SYGES])</f>
        <v>MENESR/TMA</v>
      </c>
      <c r="H82" t="str">
        <f>LOOKUP(TabVMAzureEnvProjet[[#This Row],[Projet]],TabProjets[NomProj],TabProjets[CP])</f>
        <v>Pierre BOURLIEUX</v>
      </c>
      <c r="I82">
        <f>LOOKUP(TabVMAzureEnvProjet[[#This Row],[Code SYGES]],TabCONTRATSDI[Contrat SYGES],TabCONTRATSDI[Cost Center])</f>
        <v>305704</v>
      </c>
      <c r="J82" s="22" t="str">
        <f>LOOKUP(TabVMAzureEnvProjet[[#This Row],[Code SYGES]],TabCONTRATSDI[Contrat SYGES],TabCONTRATSDI[Client])</f>
        <v>MENESR</v>
      </c>
      <c r="K82" t="s">
        <v>145</v>
      </c>
      <c r="L82" s="31">
        <v>1.4506942825945943</v>
      </c>
    </row>
    <row r="83" spans="1:13" x14ac:dyDescent="0.25">
      <c r="A83" s="22" t="str">
        <f>TabVMAzureEnvProjet[[#This Row],[Client]] &amp; " .:. "  &amp; TabVMAzureEnvProjet[[#This Row],[Projet]]</f>
        <v>PCM .:. PCM-ALS</v>
      </c>
      <c r="B83" s="22" t="str">
        <f>IF(TabVMAzureEnvProjet[[#This Row],[Projet AzureDevOps]]&lt;&gt;"",TabVMAzureEnvProjet[[#This Row],[Projet AzureDevOps]],TabVMAzureEnvProjet[[#This Row],[VM]])</f>
        <v>PCM-ALS</v>
      </c>
      <c r="C83" t="s">
        <v>71</v>
      </c>
      <c r="E83" t="s">
        <v>4</v>
      </c>
      <c r="F83" t="s">
        <v>71</v>
      </c>
      <c r="G83" t="str">
        <f>LOOKUP(TabVMAzureEnvProjet[[#This Row],[Projet]],TabProjets[NomProj],TabProjets[SYGES])</f>
        <v>PCM/WEB</v>
      </c>
      <c r="H83" t="str">
        <f>LOOKUP(TabVMAzureEnvProjet[[#This Row],[Projet]],TabProjets[NomProj],TabProjets[CP])</f>
        <v>Alice MARCHAL</v>
      </c>
      <c r="I83">
        <f>LOOKUP(TabVMAzureEnvProjet[[#This Row],[Code SYGES]],TabCONTRATSDI[Contrat SYGES],TabCONTRATSDI[Cost Center])</f>
        <v>305704</v>
      </c>
      <c r="J83" s="22" t="str">
        <f>LOOKUP(TabVMAzureEnvProjet[[#This Row],[Code SYGES]],TabCONTRATSDI[Contrat SYGES],TabCONTRATSDI[Client])</f>
        <v>PCM</v>
      </c>
      <c r="K83" t="s">
        <v>145</v>
      </c>
      <c r="L83" s="31">
        <v>11.107613847146084</v>
      </c>
    </row>
    <row r="84" spans="1:13" x14ac:dyDescent="0.25">
      <c r="A84" s="22" t="str">
        <f>TabVMAzureEnvProjet[[#This Row],[Client]] &amp; " .:. "  &amp; TabVMAzureEnvProjet[[#This Row],[Projet]]</f>
        <v>AFB .:. AFB-CESMIA</v>
      </c>
      <c r="B84" s="22" t="str">
        <f>IF(TabVMAzureEnvProjet[[#This Row],[Projet AzureDevOps]]&lt;&gt;"",TabVMAzureEnvProjet[[#This Row],[Projet AzureDevOps]],TabVMAzureEnvProjet[[#This Row],[VM]])</f>
        <v>AFB-CESMIA</v>
      </c>
      <c r="C84" t="s">
        <v>3</v>
      </c>
      <c r="E84" t="s">
        <v>4</v>
      </c>
      <c r="F84" t="s">
        <v>3</v>
      </c>
      <c r="G84" t="str">
        <f>LOOKUP(TabVMAzureEnvProjet[[#This Row],[Projet]],TabProjets[NomProj],TabProjets[SYGES])</f>
        <v>AFB/OFB_LOT1</v>
      </c>
      <c r="H84" t="str">
        <f>LOOKUP(TabVMAzureEnvProjet[[#This Row],[Projet]],TabProjets[NomProj],TabProjets[CP])</f>
        <v>Jean-Philippe STROIAZZO</v>
      </c>
      <c r="I84">
        <f>LOOKUP(TabVMAzureEnvProjet[[#This Row],[Code SYGES]],TabCONTRATSDI[Contrat SYGES],TabCONTRATSDI[Cost Center])</f>
        <v>305704</v>
      </c>
      <c r="J84" s="22" t="str">
        <f>LOOKUP(TabVMAzureEnvProjet[[#This Row],[Code SYGES]],TabCONTRATSDI[Contrat SYGES],TabCONTRATSDI[Client])</f>
        <v>AFB</v>
      </c>
      <c r="K84" t="s">
        <v>145</v>
      </c>
      <c r="L84" s="31">
        <v>14.208814683819448</v>
      </c>
    </row>
    <row r="85" spans="1:13" x14ac:dyDescent="0.25">
      <c r="A85" s="22" t="str">
        <f>TabVMAzureEnvProjet[[#This Row],[Client]] &amp; " .:. "  &amp; TabVMAzureEnvProjet[[#This Row],[Projet]]</f>
        <v>MENESR .:. MENJ-BNIE</v>
      </c>
      <c r="B85" s="22" t="str">
        <f>IF(TabVMAzureEnvProjet[[#This Row],[Projet AzureDevOps]]&lt;&gt;"",TabVMAzureEnvProjet[[#This Row],[Projet AzureDevOps]],TabVMAzureEnvProjet[[#This Row],[VM]])</f>
        <v>MENJ-BNIE-Webservices</v>
      </c>
      <c r="C85" t="s">
        <v>47</v>
      </c>
      <c r="E85" t="s">
        <v>4</v>
      </c>
      <c r="F85" t="s">
        <v>45</v>
      </c>
      <c r="G85" t="str">
        <f>LOOKUP(TabVMAzureEnvProjet[[#This Row],[Projet]],TabProjets[NomProj],TabProjets[SYGES])</f>
        <v>MENESR/TMA</v>
      </c>
      <c r="H85" t="str">
        <f>LOOKUP(TabVMAzureEnvProjet[[#This Row],[Projet]],TabProjets[NomProj],TabProjets[CP])</f>
        <v>Pierre BOURLIEUX</v>
      </c>
      <c r="I85">
        <f>LOOKUP(TabVMAzureEnvProjet[[#This Row],[Code SYGES]],TabCONTRATSDI[Contrat SYGES],TabCONTRATSDI[Cost Center])</f>
        <v>305704</v>
      </c>
      <c r="J85" s="22" t="str">
        <f>LOOKUP(TabVMAzureEnvProjet[[#This Row],[Code SYGES]],TabCONTRATSDI[Contrat SYGES],TabCONTRATSDI[Client])</f>
        <v>MENESR</v>
      </c>
      <c r="K85" t="s">
        <v>145</v>
      </c>
      <c r="L85" s="31">
        <v>5.8891780360890813</v>
      </c>
    </row>
    <row r="86" spans="1:13" x14ac:dyDescent="0.25">
      <c r="A86" s="22" t="str">
        <f>TabVMAzureEnvProjet[[#This Row],[Client]] &amp; " .:. "  &amp; TabVMAzureEnvProjet[[#This Row],[Projet]]</f>
        <v>INETUM .:. INETUM-INTERNE</v>
      </c>
      <c r="B86" s="22" t="str">
        <f>IF(TabVMAzureEnvProjet[[#This Row],[Projet AzureDevOps]]&lt;&gt;"",TabVMAzureEnvProjet[[#This Row],[Projet AzureDevOps]],TabVMAzureEnvProjet[[#This Row],[VM]])</f>
        <v>d8-qa</v>
      </c>
      <c r="C86" t="s">
        <v>141</v>
      </c>
      <c r="E86" t="s">
        <v>4</v>
      </c>
      <c r="F86" t="s">
        <v>102</v>
      </c>
      <c r="G86" t="str">
        <f>LOOKUP(TabVMAzureEnvProjet[[#This Row],[Projet]],TabProjets[NomProj],TabProjets[SYGES])</f>
        <v>INETUM/PROJET_INTERNE</v>
      </c>
      <c r="H86" t="str">
        <f>LOOKUP(TabVMAzureEnvProjet[[#This Row],[Projet]],TabProjets[NomProj],TabProjets[CP])</f>
        <v>Christophe ORLANDO</v>
      </c>
      <c r="I86">
        <f>LOOKUP(TabVMAzureEnvProjet[[#This Row],[Code SYGES]],TabCONTRATSDI[Contrat SYGES],TabCONTRATSDI[Cost Center])</f>
        <v>305704</v>
      </c>
      <c r="J86" s="22" t="str">
        <f>LOOKUP(TabVMAzureEnvProjet[[#This Row],[Code SYGES]],TabCONTRATSDI[Contrat SYGES],TabCONTRATSDI[Client])</f>
        <v>INETUM</v>
      </c>
      <c r="K86" t="s">
        <v>145</v>
      </c>
      <c r="L86" s="31">
        <v>0.87679324772200773</v>
      </c>
    </row>
    <row r="87" spans="1:13" x14ac:dyDescent="0.25">
      <c r="A87" s="22" t="str">
        <f>TabVMAzureEnvProjet[[#This Row],[Client]] &amp; " .:. "  &amp; TabVMAzureEnvProjet[[#This Row],[Projet]]</f>
        <v>ALM .:. ALM-ATOUT</v>
      </c>
      <c r="B87" s="22" t="str">
        <f>IF(TabVMAzureEnvProjet[[#This Row],[Projet AzureDevOps]]&lt;&gt;"",TabVMAzureEnvProjet[[#This Row],[Projet AzureDevOps]],TabVMAzureEnvProjet[[#This Row],[VM]])</f>
        <v>ALM-ATOUT-VM</v>
      </c>
      <c r="D87" t="s">
        <v>18</v>
      </c>
      <c r="E87" t="s">
        <v>6</v>
      </c>
      <c r="F87" t="s">
        <v>17</v>
      </c>
      <c r="G87" t="str">
        <f>LOOKUP(TabVMAzureEnvProjet[[#This Row],[Projet]],TabProjets[NomProj],TabProjets[SYGES])</f>
        <v>ALM/TMA_ATOUT</v>
      </c>
      <c r="H87" t="str">
        <f>LOOKUP(TabVMAzureEnvProjet[[#This Row],[Projet]],TabProjets[NomProj],TabProjets[CP])</f>
        <v>Alice MARCHAL</v>
      </c>
      <c r="I87">
        <f>LOOKUP(TabVMAzureEnvProjet[[#This Row],[Code SYGES]],TabCONTRATSDI[Contrat SYGES],TabCONTRATSDI[Cost Center])</f>
        <v>305704</v>
      </c>
      <c r="J87" s="22" t="str">
        <f>LOOKUP(TabVMAzureEnvProjet[[#This Row],[Code SYGES]],TabCONTRATSDI[Contrat SYGES],TabCONTRATSDI[Client])</f>
        <v>ALM</v>
      </c>
      <c r="K87" t="s">
        <v>145</v>
      </c>
      <c r="L87" s="31">
        <v>86.412000000000006</v>
      </c>
    </row>
    <row r="88" spans="1:13" x14ac:dyDescent="0.25">
      <c r="A88" s="22" t="str">
        <f>TabVMAzureEnvProjet[[#This Row],[Client]] &amp; " .:. "  &amp; TabVMAzureEnvProjet[[#This Row],[Projet]]</f>
        <v>CA-TITRES .:. CATITRES-COMX</v>
      </c>
      <c r="B88" s="22" t="str">
        <f>IF(TabVMAzureEnvProjet[[#This Row],[Projet AzureDevOps]]&lt;&gt;"",TabVMAzureEnvProjet[[#This Row],[Projet AzureDevOps]],TabVMAzureEnvProjet[[#This Row],[VM]])</f>
        <v>CATITRES-COMX-VM</v>
      </c>
      <c r="D88" t="s">
        <v>25</v>
      </c>
      <c r="E88" t="s">
        <v>10</v>
      </c>
      <c r="F88" t="s">
        <v>24</v>
      </c>
      <c r="G88" t="str">
        <f>LOOKUP(TabVMAzureEnvProjet[[#This Row],[Projet]],TabProjets[NomProj],TabProjets[SYGES])</f>
        <v>CA-TITRES/TMA</v>
      </c>
      <c r="H88" t="str">
        <f>LOOKUP(TabVMAzureEnvProjet[[#This Row],[Projet]],TabProjets[NomProj],TabProjets[CP])</f>
        <v>Jean-Philippe STROIAZZO</v>
      </c>
      <c r="I88">
        <f>LOOKUP(TabVMAzureEnvProjet[[#This Row],[Code SYGES]],TabCONTRATSDI[Contrat SYGES],TabCONTRATSDI[Cost Center])</f>
        <v>305704</v>
      </c>
      <c r="J88" s="22" t="str">
        <f>LOOKUP(TabVMAzureEnvProjet[[#This Row],[Code SYGES]],TabCONTRATSDI[Contrat SYGES],TabCONTRATSDI[Client])</f>
        <v>CA-TITRES</v>
      </c>
      <c r="K88" t="s">
        <v>145</v>
      </c>
      <c r="L88" s="31">
        <v>120.91</v>
      </c>
    </row>
    <row r="89" spans="1:13" x14ac:dyDescent="0.25">
      <c r="A89" s="22" t="str">
        <f>TabVMAzureEnvProjet[[#This Row],[Client]] &amp; " .:. "  &amp; TabVMAzureEnvProjet[[#This Row],[Projet]]</f>
        <v>FRR .:. FRR-DIGIPAT</v>
      </c>
      <c r="B89" s="22" t="str">
        <f>IF(TabVMAzureEnvProjet[[#This Row],[Projet AzureDevOps]]&lt;&gt;"",TabVMAzureEnvProjet[[#This Row],[Projet AzureDevOps]],TabVMAzureEnvProjet[[#This Row],[VM]])</f>
        <v>FRR-DIGIPAT-VM</v>
      </c>
      <c r="D89" t="s">
        <v>31</v>
      </c>
      <c r="E89" t="s">
        <v>21</v>
      </c>
      <c r="F89" t="s">
        <v>29</v>
      </c>
      <c r="G89" t="str">
        <f>LOOKUP(TabVMAzureEnvProjet[[#This Row],[Projet]],TabProjets[NomProj],TabProjets[SYGES])</f>
        <v>FRR/TMASI</v>
      </c>
      <c r="H89" t="str">
        <f>LOOKUP(TabVMAzureEnvProjet[[#This Row],[Projet]],TabProjets[NomProj],TabProjets[CP])</f>
        <v>Alice MARCHAL</v>
      </c>
      <c r="I89">
        <f>LOOKUP(TabVMAzureEnvProjet[[#This Row],[Code SYGES]],TabCONTRATSDI[Contrat SYGES],TabCONTRATSDI[Cost Center])</f>
        <v>305704</v>
      </c>
      <c r="J89" s="22" t="str">
        <f>LOOKUP(TabVMAzureEnvProjet[[#This Row],[Code SYGES]],TabCONTRATSDI[Contrat SYGES],TabCONTRATSDI[Client])</f>
        <v>FRR</v>
      </c>
      <c r="K89" t="s">
        <v>145</v>
      </c>
      <c r="L89" s="31">
        <v>20.94</v>
      </c>
    </row>
    <row r="90" spans="1:13" x14ac:dyDescent="0.25">
      <c r="A90" s="22" t="str">
        <f>TabVMAzureEnvProjet[[#This Row],[Client]] &amp; " .:. "  &amp; TabVMAzureEnvProjet[[#This Row],[Projet]]</f>
        <v>SPC .:. SPC-BUILD</v>
      </c>
      <c r="B90" s="22" t="str">
        <f>IF(TabVMAzureEnvProjet[[#This Row],[Projet AzureDevOps]]&lt;&gt;"",TabVMAzureEnvProjet[[#This Row],[Projet AzureDevOps]],TabVMAzureEnvProjet[[#This Row],[VM]])</f>
        <v>SPC-BUILDAS-VM</v>
      </c>
      <c r="D90" t="s">
        <v>68</v>
      </c>
      <c r="E90" t="s">
        <v>10</v>
      </c>
      <c r="F90" t="s">
        <v>67</v>
      </c>
      <c r="G90" t="str">
        <f>LOOKUP(TabVMAzureEnvProjet[[#This Row],[Projet]],TabProjets[NomProj],TabProjets[SYGES])</f>
        <v>SPC/BUILD</v>
      </c>
      <c r="H90" t="str">
        <f>LOOKUP(TabVMAzureEnvProjet[[#This Row],[Projet]],TabProjets[NomProj],TabProjets[CP])</f>
        <v>Nicolas DURFORT</v>
      </c>
      <c r="I90">
        <f>LOOKUP(TabVMAzureEnvProjet[[#This Row],[Code SYGES]],TabCONTRATSDI[Contrat SYGES],TabCONTRATSDI[Cost Center])</f>
        <v>305704</v>
      </c>
      <c r="J90" s="22" t="str">
        <f>LOOKUP(TabVMAzureEnvProjet[[#This Row],[Code SYGES]],TabCONTRATSDI[Contrat SYGES],TabCONTRATSDI[Client])</f>
        <v>SPC</v>
      </c>
      <c r="K90" t="s">
        <v>145</v>
      </c>
      <c r="L90" s="31">
        <v>126.65299999999999</v>
      </c>
    </row>
    <row r="91" spans="1:13" x14ac:dyDescent="0.25">
      <c r="A91" s="22" t="str">
        <f>TabVMAzureEnvProjet[[#This Row],[Client]] &amp; " .:. "  &amp; TabVMAzureEnvProjet[[#This Row],[Projet]]</f>
        <v>SPC .:. SPC-WEB</v>
      </c>
      <c r="B91" s="22" t="str">
        <f>IF(TabVMAzureEnvProjet[[#This Row],[Projet AzureDevOps]]&lt;&gt;"",TabVMAzureEnvProjet[[#This Row],[Projet AzureDevOps]],TabVMAzureEnvProjet[[#This Row],[VM]])</f>
        <v>SPC-WEB-VM</v>
      </c>
      <c r="D91" t="s">
        <v>140</v>
      </c>
      <c r="E91" t="s">
        <v>6</v>
      </c>
      <c r="F91" t="s">
        <v>69</v>
      </c>
      <c r="G91" t="str">
        <f>LOOKUP(TabVMAzureEnvProjet[[#This Row],[Projet]],TabProjets[NomProj],TabProjets[SYGES])</f>
        <v>SPC/BUILD-0-1-SITE-WEB</v>
      </c>
      <c r="H91" t="str">
        <f>LOOKUP(TabVMAzureEnvProjet[[#This Row],[Projet]],TabProjets[NomProj],TabProjets[CP])</f>
        <v>Nicolas DURFORT</v>
      </c>
      <c r="I91">
        <f>LOOKUP(TabVMAzureEnvProjet[[#This Row],[Code SYGES]],TabCONTRATSDI[Contrat SYGES],TabCONTRATSDI[Cost Center])</f>
        <v>305704</v>
      </c>
      <c r="J91" s="22" t="str">
        <f>LOOKUP(TabVMAzureEnvProjet[[#This Row],[Code SYGES]],TabCONTRATSDI[Contrat SYGES],TabCONTRATSDI[Client])</f>
        <v>SPC</v>
      </c>
      <c r="K91" t="s">
        <v>145</v>
      </c>
      <c r="L91" s="31">
        <v>6.7960000000000003</v>
      </c>
    </row>
    <row r="92" spans="1:13" x14ac:dyDescent="0.25">
      <c r="A92" s="22" t="str">
        <f>TabVMAzureEnvProjet[[#This Row],[Client]] &amp; " .:. "  &amp; TabVMAzureEnvProjet[[#This Row],[Projet]]</f>
        <v>BRGM .:. BRGM-ORRM</v>
      </c>
      <c r="B92" s="22" t="str">
        <f>IF(TabVMAzureEnvProjet[[#This Row],[Projet AzureDevOps]]&lt;&gt;"",TabVMAzureEnvProjet[[#This Row],[Projet AzureDevOps]],TabVMAzureEnvProjet[[#This Row],[VM]])</f>
        <v>BRGM-ORRM-VM</v>
      </c>
      <c r="D92" t="s">
        <v>22</v>
      </c>
      <c r="E92" t="s">
        <v>21</v>
      </c>
      <c r="F92" t="s">
        <v>20</v>
      </c>
      <c r="G92" t="str">
        <f>LOOKUP(TabVMAzureEnvProjet[[#This Row],[Projet]],TabProjets[NomProj],TabProjets[SYGES])</f>
        <v>BRGM/TMA-5-1-ORRM-LOT1</v>
      </c>
      <c r="H92" t="str">
        <f>LOOKUP(TabVMAzureEnvProjet[[#This Row],[Projet]],TabProjets[NomProj],TabProjets[CP])</f>
        <v>Alice MARCHAL</v>
      </c>
      <c r="I92">
        <f>LOOKUP(TabVMAzureEnvProjet[[#This Row],[Code SYGES]],TabCONTRATSDI[Contrat SYGES],TabCONTRATSDI[Cost Center])</f>
        <v>305704</v>
      </c>
      <c r="J92" s="22" t="str">
        <f>LOOKUP(TabVMAzureEnvProjet[[#This Row],[Code SYGES]],TabCONTRATSDI[Contrat SYGES],TabCONTRATSDI[Client])</f>
        <v>BRGM</v>
      </c>
      <c r="K92" t="s">
        <v>145</v>
      </c>
      <c r="L92" s="31">
        <v>6.7960000000000003</v>
      </c>
    </row>
    <row r="93" spans="1:13" x14ac:dyDescent="0.25">
      <c r="A93" s="22" t="str">
        <f>TabVMAzureEnvProjet[[#This Row],[Client]] &amp; " .:. "  &amp; TabVMAzureEnvProjet[[#This Row],[Projet]]</f>
        <v>EBR .:. EBR-LAPOSTE</v>
      </c>
      <c r="B93" s="22" t="str">
        <f>IF(TabVMAzureEnvProjet[[#This Row],[Projet AzureDevOps]]&lt;&gt;"",TabVMAzureEnvProjet[[#This Row],[Projet AzureDevOps]],TabVMAzureEnvProjet[[#This Row],[VM]])</f>
        <v>EBR-LAPOSTE-VM</v>
      </c>
      <c r="D93" t="s">
        <v>76</v>
      </c>
      <c r="E93" t="s">
        <v>10</v>
      </c>
      <c r="F93" t="s">
        <v>75</v>
      </c>
      <c r="G93" t="str">
        <f>LOOKUP(TabVMAzureEnvProjet[[#This Row],[Projet]],TabProjets[NomProj],TabProjets[SYGES])</f>
        <v>EBR/TMA</v>
      </c>
      <c r="H93" t="str">
        <f>LOOKUP(TabVMAzureEnvProjet[[#This Row],[Projet]],TabProjets[NomProj],TabProjets[CP])</f>
        <v>Valerie ASSELIN LOZACHMEUR</v>
      </c>
      <c r="I93">
        <f>LOOKUP(TabVMAzureEnvProjet[[#This Row],[Code SYGES]],TabCONTRATSDI[Contrat SYGES],TabCONTRATSDI[Cost Center])</f>
        <v>305704</v>
      </c>
      <c r="J93" s="34" t="str">
        <f>LOOKUP(TabVMAzureEnvProjet[[#This Row],[Code SYGES]],TabCONTRATSDI[Contrat SYGES],TabCONTRATSDI[Client])</f>
        <v>EBR</v>
      </c>
      <c r="K93" t="s">
        <v>145</v>
      </c>
      <c r="L93" s="31">
        <v>161.68900000000002</v>
      </c>
    </row>
    <row r="94" spans="1:13" x14ac:dyDescent="0.25">
      <c r="A94" s="22" t="str">
        <f>TabVMAzureEnvProjet[[#This Row],[Client]] &amp; " .:. "  &amp; TabVMAzureEnvProjet[[#This Row],[Projet]]</f>
        <v>OFB .:. OFB-NATUREFRANCE</v>
      </c>
      <c r="B94" s="22" t="str">
        <f>IF(TabVMAzureEnvProjet[[#This Row],[Projet AzureDevOps]]&lt;&gt;"",TabVMAzureEnvProjet[[#This Row],[Projet AzureDevOps]],TabVMAzureEnvProjet[[#This Row],[VM]])</f>
        <v>OFB-FRANCENATURE-VM</v>
      </c>
      <c r="D94" t="s">
        <v>80</v>
      </c>
      <c r="E94" t="s">
        <v>144</v>
      </c>
      <c r="F94" t="s">
        <v>78</v>
      </c>
      <c r="G94" t="str">
        <f>LOOKUP(TabVMAzureEnvProjet[[#This Row],[Projet]],TabProjets[NomProj],TabProjets[SYGES])</f>
        <v>AFB OFB_LOT2 -9-1 NATURE FRANCE</v>
      </c>
      <c r="H94" t="str">
        <f>LOOKUP(TabVMAzureEnvProjet[[#This Row],[Projet]],TabProjets[NomProj],TabProjets[CP])</f>
        <v>Rodolphe HABEGGER</v>
      </c>
      <c r="I94">
        <f>LOOKUP(TabVMAzureEnvProjet[[#This Row],[Code SYGES]],TabCONTRATSDI[Contrat SYGES],TabCONTRATSDI[Cost Center])</f>
        <v>305704</v>
      </c>
      <c r="J94" s="22" t="str">
        <f>LOOKUP(TabVMAzureEnvProjet[[#This Row],[Code SYGES]],TabCONTRATSDI[Contrat SYGES],TabCONTRATSDI[Client])</f>
        <v>OFB</v>
      </c>
      <c r="K94" t="s">
        <v>148</v>
      </c>
      <c r="L94" s="31">
        <v>0</v>
      </c>
      <c r="M94" s="39" t="s">
        <v>146</v>
      </c>
    </row>
    <row r="95" spans="1:13" x14ac:dyDescent="0.25">
      <c r="A95" s="22" t="str">
        <f>TabVMAzureEnvProjet[[#This Row],[Client]] &amp; " .:. "  &amp; TabVMAzureEnvProjet[[#This Row],[Projet]]</f>
        <v>MENESR .:. MENJ-BI</v>
      </c>
      <c r="B95" s="22" t="str">
        <f>IF(TabVMAzureEnvProjet[[#This Row],[Projet AzureDevOps]]&lt;&gt;"",TabVMAzureEnvProjet[[#This Row],[Projet AzureDevOps]],TabVMAzureEnvProjet[[#This Row],[VM]])</f>
        <v>MENJ-BI-VM</v>
      </c>
      <c r="D95" t="s">
        <v>52</v>
      </c>
      <c r="E95" t="s">
        <v>144</v>
      </c>
      <c r="F95" t="s">
        <v>51</v>
      </c>
      <c r="G95" t="str">
        <f>LOOKUP(TabVMAzureEnvProjet[[#This Row],[Projet]],TabProjets[NomProj],TabProjets[SYGES])</f>
        <v>MENESR/TMA</v>
      </c>
      <c r="H95" t="str">
        <f>LOOKUP(TabVMAzureEnvProjet[[#This Row],[Projet]],TabProjets[NomProj],TabProjets[CP])</f>
        <v>Eric PERROUD</v>
      </c>
      <c r="I95">
        <f>LOOKUP(TabVMAzureEnvProjet[[#This Row],[Code SYGES]],TabCONTRATSDI[Contrat SYGES],TabCONTRATSDI[Cost Center])</f>
        <v>305704</v>
      </c>
      <c r="J95" s="22" t="str">
        <f>LOOKUP(TabVMAzureEnvProjet[[#This Row],[Code SYGES]],TabCONTRATSDI[Contrat SYGES],TabCONTRATSDI[Client])</f>
        <v>MENESR</v>
      </c>
      <c r="K95" t="s">
        <v>148</v>
      </c>
      <c r="L95" s="31">
        <v>0</v>
      </c>
      <c r="M95" s="39" t="s">
        <v>146</v>
      </c>
    </row>
    <row r="96" spans="1:13" x14ac:dyDescent="0.25">
      <c r="A96" s="22" t="str">
        <f>TabVMAzureEnvProjet[[#This Row],[Client]] &amp; " .:. "  &amp; TabVMAzureEnvProjet[[#This Row],[Projet]]</f>
        <v>ALM .:. ALM-ATOUT</v>
      </c>
      <c r="B96" s="22" t="str">
        <f>IF(TabVMAzureEnvProjet[[#This Row],[Projet AzureDevOps]]&lt;&gt;"",TabVMAzureEnvProjet[[#This Row],[Projet AzureDevOps]],TabVMAzureEnvProjet[[#This Row],[VM]])</f>
        <v>ALM-ATOUT-VM</v>
      </c>
      <c r="D96" t="s">
        <v>18</v>
      </c>
      <c r="E96" t="s">
        <v>6</v>
      </c>
      <c r="F96" t="s">
        <v>17</v>
      </c>
      <c r="G96" t="str">
        <f>LOOKUP(TabVMAzureEnvProjet[[#This Row],[Projet]],TabProjets[NomProj],TabProjets[SYGES])</f>
        <v>ALM/TMA_ATOUT</v>
      </c>
      <c r="H96" t="str">
        <f>LOOKUP(TabVMAzureEnvProjet[[#This Row],[Projet]],TabProjets[NomProj],TabProjets[CP])</f>
        <v>Alice MARCHAL</v>
      </c>
      <c r="I96">
        <f>LOOKUP(TabVMAzureEnvProjet[[#This Row],[Code SYGES]],TabCONTRATSDI[Contrat SYGES],TabCONTRATSDI[Cost Center])</f>
        <v>305704</v>
      </c>
      <c r="J96" s="22" t="str">
        <f>LOOKUP(TabVMAzureEnvProjet[[#This Row],[Code SYGES]],TabCONTRATSDI[Contrat SYGES],TabCONTRATSDI[Client])</f>
        <v>ALM</v>
      </c>
      <c r="K96" t="s">
        <v>148</v>
      </c>
      <c r="L96" s="31">
        <v>86.412000000000006</v>
      </c>
    </row>
    <row r="97" spans="1:12" x14ac:dyDescent="0.25">
      <c r="A97" s="22" t="str">
        <f>TabVMAzureEnvProjet[[#This Row],[Client]] &amp; " .:. "  &amp; TabVMAzureEnvProjet[[#This Row],[Projet]]</f>
        <v>CA-TITRES .:. CATITRES-COMX</v>
      </c>
      <c r="B97" s="22" t="str">
        <f>IF(TabVMAzureEnvProjet[[#This Row],[Projet AzureDevOps]]&lt;&gt;"",TabVMAzureEnvProjet[[#This Row],[Projet AzureDevOps]],TabVMAzureEnvProjet[[#This Row],[VM]])</f>
        <v>CATITRES-COMX-VM</v>
      </c>
      <c r="D97" t="s">
        <v>25</v>
      </c>
      <c r="E97" t="s">
        <v>10</v>
      </c>
      <c r="F97" t="s">
        <v>24</v>
      </c>
      <c r="G97" t="str">
        <f>LOOKUP(TabVMAzureEnvProjet[[#This Row],[Projet]],TabProjets[NomProj],TabProjets[SYGES])</f>
        <v>CA-TITRES/TMA</v>
      </c>
      <c r="H97" t="str">
        <f>LOOKUP(TabVMAzureEnvProjet[[#This Row],[Projet]],TabProjets[NomProj],TabProjets[CP])</f>
        <v>Jean-Philippe STROIAZZO</v>
      </c>
      <c r="I97">
        <f>LOOKUP(TabVMAzureEnvProjet[[#This Row],[Code SYGES]],TabCONTRATSDI[Contrat SYGES],TabCONTRATSDI[Cost Center])</f>
        <v>305704</v>
      </c>
      <c r="J97" s="22" t="str">
        <f>LOOKUP(TabVMAzureEnvProjet[[#This Row],[Code SYGES]],TabCONTRATSDI[Contrat SYGES],TabCONTRATSDI[Client])</f>
        <v>CA-TITRES</v>
      </c>
      <c r="K97" t="s">
        <v>148</v>
      </c>
      <c r="L97" s="31">
        <v>120.91</v>
      </c>
    </row>
    <row r="98" spans="1:12" x14ac:dyDescent="0.25">
      <c r="A98" s="22" t="str">
        <f>TabVMAzureEnvProjet[[#This Row],[Client]] &amp; " .:. "  &amp; TabVMAzureEnvProjet[[#This Row],[Projet]]</f>
        <v>FRR .:. FRR-DIGIPAT</v>
      </c>
      <c r="B98" s="22" t="str">
        <f>IF(TabVMAzureEnvProjet[[#This Row],[Projet AzureDevOps]]&lt;&gt;"",TabVMAzureEnvProjet[[#This Row],[Projet AzureDevOps]],TabVMAzureEnvProjet[[#This Row],[VM]])</f>
        <v>FRR-DIGIPAT-VM</v>
      </c>
      <c r="D98" t="s">
        <v>31</v>
      </c>
      <c r="E98" t="s">
        <v>21</v>
      </c>
      <c r="F98" t="s">
        <v>29</v>
      </c>
      <c r="G98" t="str">
        <f>LOOKUP(TabVMAzureEnvProjet[[#This Row],[Projet]],TabProjets[NomProj],TabProjets[SYGES])</f>
        <v>FRR/TMASI</v>
      </c>
      <c r="H98" t="str">
        <f>LOOKUP(TabVMAzureEnvProjet[[#This Row],[Projet]],TabProjets[NomProj],TabProjets[CP])</f>
        <v>Alice MARCHAL</v>
      </c>
      <c r="I98">
        <f>LOOKUP(TabVMAzureEnvProjet[[#This Row],[Code SYGES]],TabCONTRATSDI[Contrat SYGES],TabCONTRATSDI[Cost Center])</f>
        <v>305704</v>
      </c>
      <c r="J98" s="22" t="str">
        <f>LOOKUP(TabVMAzureEnvProjet[[#This Row],[Code SYGES]],TabCONTRATSDI[Contrat SYGES],TabCONTRATSDI[Client])</f>
        <v>FRR</v>
      </c>
      <c r="K98" t="s">
        <v>148</v>
      </c>
      <c r="L98" s="31">
        <v>20.94</v>
      </c>
    </row>
    <row r="99" spans="1:12" x14ac:dyDescent="0.25">
      <c r="A99" s="22" t="str">
        <f>TabVMAzureEnvProjet[[#This Row],[Client]] &amp; " .:. "  &amp; TabVMAzureEnvProjet[[#This Row],[Projet]]</f>
        <v>SPC .:. SPC-BUILD</v>
      </c>
      <c r="B99" s="22" t="str">
        <f>IF(TabVMAzureEnvProjet[[#This Row],[Projet AzureDevOps]]&lt;&gt;"",TabVMAzureEnvProjet[[#This Row],[Projet AzureDevOps]],TabVMAzureEnvProjet[[#This Row],[VM]])</f>
        <v>SPC-BUILDAS-VM</v>
      </c>
      <c r="D99" t="s">
        <v>68</v>
      </c>
      <c r="E99" t="s">
        <v>10</v>
      </c>
      <c r="F99" t="s">
        <v>67</v>
      </c>
      <c r="G99" t="str">
        <f>LOOKUP(TabVMAzureEnvProjet[[#This Row],[Projet]],TabProjets[NomProj],TabProjets[SYGES])</f>
        <v>SPC/BUILD</v>
      </c>
      <c r="H99" t="str">
        <f>LOOKUP(TabVMAzureEnvProjet[[#This Row],[Projet]],TabProjets[NomProj],TabProjets[CP])</f>
        <v>Nicolas DURFORT</v>
      </c>
      <c r="I99">
        <f>LOOKUP(TabVMAzureEnvProjet[[#This Row],[Code SYGES]],TabCONTRATSDI[Contrat SYGES],TabCONTRATSDI[Cost Center])</f>
        <v>305704</v>
      </c>
      <c r="J99" s="22" t="str">
        <f>LOOKUP(TabVMAzureEnvProjet[[#This Row],[Code SYGES]],TabCONTRATSDI[Contrat SYGES],TabCONTRATSDI[Client])</f>
        <v>SPC</v>
      </c>
      <c r="K99" t="s">
        <v>148</v>
      </c>
      <c r="L99" s="31">
        <v>126.65299999999999</v>
      </c>
    </row>
    <row r="100" spans="1:12" x14ac:dyDescent="0.25">
      <c r="A100" s="22" t="str">
        <f>TabVMAzureEnvProjet[[#This Row],[Client]] &amp; " .:. "  &amp; TabVMAzureEnvProjet[[#This Row],[Projet]]</f>
        <v>BRGM .:. BRGM-ORRM</v>
      </c>
      <c r="B100" s="22" t="str">
        <f>IF(TabVMAzureEnvProjet[[#This Row],[Projet AzureDevOps]]&lt;&gt;"",TabVMAzureEnvProjet[[#This Row],[Projet AzureDevOps]],TabVMAzureEnvProjet[[#This Row],[VM]])</f>
        <v>BRGM-ORRM-VM</v>
      </c>
      <c r="D100" t="s">
        <v>22</v>
      </c>
      <c r="E100" t="s">
        <v>21</v>
      </c>
      <c r="F100" t="s">
        <v>20</v>
      </c>
      <c r="G100" t="str">
        <f>LOOKUP(TabVMAzureEnvProjet[[#This Row],[Projet]],TabProjets[NomProj],TabProjets[SYGES])</f>
        <v>BRGM/TMA-5-1-ORRM-LOT1</v>
      </c>
      <c r="H100" t="str">
        <f>LOOKUP(TabVMAzureEnvProjet[[#This Row],[Projet]],TabProjets[NomProj],TabProjets[CP])</f>
        <v>Alice MARCHAL</v>
      </c>
      <c r="I100">
        <f>LOOKUP(TabVMAzureEnvProjet[[#This Row],[Code SYGES]],TabCONTRATSDI[Contrat SYGES],TabCONTRATSDI[Cost Center])</f>
        <v>305704</v>
      </c>
      <c r="J100" s="22" t="str">
        <f>LOOKUP(TabVMAzureEnvProjet[[#This Row],[Code SYGES]],TabCONTRATSDI[Contrat SYGES],TabCONTRATSDI[Client])</f>
        <v>BRGM</v>
      </c>
      <c r="K100" t="s">
        <v>148</v>
      </c>
      <c r="L100" s="31">
        <v>6.7960000000000003</v>
      </c>
    </row>
    <row r="101" spans="1:12" x14ac:dyDescent="0.25">
      <c r="A101" s="22" t="str">
        <f>TabVMAzureEnvProjet[[#This Row],[Client]] &amp; " .:. "  &amp; TabVMAzureEnvProjet[[#This Row],[Projet]]</f>
        <v>EBR .:. EBR-LAPOSTE</v>
      </c>
      <c r="B101" s="22" t="str">
        <f>IF(TabVMAzureEnvProjet[[#This Row],[Projet AzureDevOps]]&lt;&gt;"",TabVMAzureEnvProjet[[#This Row],[Projet AzureDevOps]],TabVMAzureEnvProjet[[#This Row],[VM]])</f>
        <v>EBR-LAPOSTE-VM</v>
      </c>
      <c r="D101" t="s">
        <v>76</v>
      </c>
      <c r="E101" t="s">
        <v>10</v>
      </c>
      <c r="F101" t="s">
        <v>75</v>
      </c>
      <c r="G101" t="str">
        <f>LOOKUP(TabVMAzureEnvProjet[[#This Row],[Projet]],TabProjets[NomProj],TabProjets[SYGES])</f>
        <v>EBR/TMA</v>
      </c>
      <c r="H101" t="str">
        <f>LOOKUP(TabVMAzureEnvProjet[[#This Row],[Projet]],TabProjets[NomProj],TabProjets[CP])</f>
        <v>Valerie ASSELIN LOZACHMEUR</v>
      </c>
      <c r="I101">
        <f>LOOKUP(TabVMAzureEnvProjet[[#This Row],[Code SYGES]],TabCONTRATSDI[Contrat SYGES],TabCONTRATSDI[Cost Center])</f>
        <v>305704</v>
      </c>
      <c r="J101" s="34" t="str">
        <f>LOOKUP(TabVMAzureEnvProjet[[#This Row],[Code SYGES]],TabCONTRATSDI[Contrat SYGES],TabCONTRATSDI[Client])</f>
        <v>EBR</v>
      </c>
      <c r="K101" t="s">
        <v>148</v>
      </c>
      <c r="L101" s="31">
        <v>161.68900000000002</v>
      </c>
    </row>
    <row r="102" spans="1:12" x14ac:dyDescent="0.25">
      <c r="A102" s="22" t="str">
        <f>TabVMAzureEnvProjet[[#This Row],[Client]] &amp; " .:. "  &amp; TabVMAzureEnvProjet[[#This Row],[Projet]]</f>
        <v>OFB .:. OFB-NATUREFRANCE</v>
      </c>
      <c r="B102" s="22" t="str">
        <f>IF(TabVMAzureEnvProjet[[#This Row],[Projet AzureDevOps]]&lt;&gt;"",TabVMAzureEnvProjet[[#This Row],[Projet AzureDevOps]],TabVMAzureEnvProjet[[#This Row],[VM]])</f>
        <v>OFB-FRANCENATURE-VM</v>
      </c>
      <c r="D102" t="s">
        <v>80</v>
      </c>
      <c r="E102" t="s">
        <v>6</v>
      </c>
      <c r="F102" t="s">
        <v>78</v>
      </c>
      <c r="G102" t="str">
        <f>LOOKUP(TabVMAzureEnvProjet[[#This Row],[Projet]],TabProjets[NomProj],TabProjets[SYGES])</f>
        <v>AFB OFB_LOT2 -9-1 NATURE FRANCE</v>
      </c>
      <c r="H102" t="str">
        <f>LOOKUP(TabVMAzureEnvProjet[[#This Row],[Projet]],TabProjets[NomProj],TabProjets[CP])</f>
        <v>Rodolphe HABEGGER</v>
      </c>
      <c r="I102">
        <f>LOOKUP(TabVMAzureEnvProjet[[#This Row],[Code SYGES]],TabCONTRATSDI[Contrat SYGES],TabCONTRATSDI[Cost Center])</f>
        <v>305704</v>
      </c>
      <c r="J102" s="22" t="str">
        <f>LOOKUP(TabVMAzureEnvProjet[[#This Row],[Code SYGES]],TabCONTRATSDI[Contrat SYGES],TabCONTRATSDI[Client])</f>
        <v>OFB</v>
      </c>
      <c r="K102" t="s">
        <v>148</v>
      </c>
      <c r="L102" s="31">
        <v>7.1959999999999997</v>
      </c>
    </row>
    <row r="103" spans="1:12" x14ac:dyDescent="0.25">
      <c r="A103" s="22" t="str">
        <f>TabVMAzureEnvProjet[[#This Row],[Client]] &amp; " .:. "  &amp; TabVMAzureEnvProjet[[#This Row],[Projet]]</f>
        <v>ONEMA .:. AFB-PATBIODIV</v>
      </c>
      <c r="B103" s="22" t="str">
        <f>IF(TabVMAzureEnvProjet[[#This Row],[Projet AzureDevOps]]&lt;&gt;"",TabVMAzureEnvProjet[[#This Row],[Projet AzureDevOps]],TabVMAzureEnvProjet[[#This Row],[VM]])</f>
        <v>AFB-PATBiodiv</v>
      </c>
      <c r="C103" t="s">
        <v>64</v>
      </c>
      <c r="E103" t="s">
        <v>4</v>
      </c>
      <c r="F103" t="s">
        <v>63</v>
      </c>
      <c r="G103" t="str">
        <f>LOOKUP(TabVMAzureEnvProjet[[#This Row],[Projet]],TabProjets[NomProj],TabProjets[SYGES])</f>
        <v>ONEMA/TMADCUA-15</v>
      </c>
      <c r="H103" t="str">
        <f>LOOKUP(TabVMAzureEnvProjet[[#This Row],[Projet]],TabProjets[NomProj],TabProjets[CP])</f>
        <v>Rodolphe HABEGGER</v>
      </c>
      <c r="I103">
        <f>LOOKUP(TabVMAzureEnvProjet[[#This Row],[Code SYGES]],TabCONTRATSDI[Contrat SYGES],TabCONTRATSDI[Cost Center])</f>
        <v>305704</v>
      </c>
      <c r="J103" s="22" t="str">
        <f>LOOKUP(TabVMAzureEnvProjet[[#This Row],[Code SYGES]],TabCONTRATSDI[Contrat SYGES],TabCONTRATSDI[Client])</f>
        <v>ONEMA</v>
      </c>
      <c r="K103" t="s">
        <v>148</v>
      </c>
      <c r="L103" s="31">
        <v>7.085873851984962</v>
      </c>
    </row>
    <row r="104" spans="1:12" x14ac:dyDescent="0.25">
      <c r="A104" s="22" t="str">
        <f>TabVMAzureEnvProjet[[#This Row],[Client]] &amp; " .:. "  &amp; TabVMAzureEnvProjet[[#This Row],[Projet]]</f>
        <v>ONEMA .:. AFB-CATALOGUE</v>
      </c>
      <c r="B104" s="22" t="str">
        <f>IF(TabVMAzureEnvProjet[[#This Row],[Projet AzureDevOps]]&lt;&gt;"",TabVMAzureEnvProjet[[#This Row],[Projet AzureDevOps]],TabVMAzureEnvProjet[[#This Row],[VM]])</f>
        <v>AFB-Catalogue</v>
      </c>
      <c r="C104" t="s">
        <v>60</v>
      </c>
      <c r="E104" t="s">
        <v>4</v>
      </c>
      <c r="F104" t="s">
        <v>59</v>
      </c>
      <c r="G104" t="str">
        <f>LOOKUP(TabVMAzureEnvProjet[[#This Row],[Projet]],TabProjets[NomProj],TabProjets[SYGES])</f>
        <v>ONEMA/TMADCUA-15</v>
      </c>
      <c r="H104" t="str">
        <f>LOOKUP(TabVMAzureEnvProjet[[#This Row],[Projet]],TabProjets[NomProj],TabProjets[CP])</f>
        <v>Pierre BOURLIEUX</v>
      </c>
      <c r="I104">
        <f>LOOKUP(TabVMAzureEnvProjet[[#This Row],[Code SYGES]],TabCONTRATSDI[Contrat SYGES],TabCONTRATSDI[Cost Center])</f>
        <v>305704</v>
      </c>
      <c r="J104" s="22" t="str">
        <f>LOOKUP(TabVMAzureEnvProjet[[#This Row],[Code SYGES]],TabCONTRATSDI[Contrat SYGES],TabCONTRATSDI[Client])</f>
        <v>ONEMA</v>
      </c>
      <c r="K104" t="s">
        <v>148</v>
      </c>
      <c r="L104" s="31">
        <v>1.627403256668233</v>
      </c>
    </row>
    <row r="105" spans="1:12" x14ac:dyDescent="0.25">
      <c r="A105" s="22" t="str">
        <f>TabVMAzureEnvProjet[[#This Row],[Client]] &amp; " .:. "  &amp; TabVMAzureEnvProjet[[#This Row],[Projet]]</f>
        <v>SPC .:. SPC-WEB</v>
      </c>
      <c r="B105" s="22" t="str">
        <f>IF(TabVMAzureEnvProjet[[#This Row],[Projet AzureDevOps]]&lt;&gt;"",TabVMAzureEnvProjet[[#This Row],[Projet AzureDevOps]],TabVMAzureEnvProjet[[#This Row],[VM]])</f>
        <v>SPC-WEB</v>
      </c>
      <c r="C105" t="s">
        <v>69</v>
      </c>
      <c r="E105" t="s">
        <v>4</v>
      </c>
      <c r="F105" t="s">
        <v>69</v>
      </c>
      <c r="G105" t="str">
        <f>LOOKUP(TabVMAzureEnvProjet[[#This Row],[Projet]],TabProjets[NomProj],TabProjets[SYGES])</f>
        <v>SPC/BUILD-0-1-SITE-WEB</v>
      </c>
      <c r="H105" t="str">
        <f>LOOKUP(TabVMAzureEnvProjet[[#This Row],[Projet]],TabProjets[NomProj],TabProjets[CP])</f>
        <v>Nicolas DURFORT</v>
      </c>
      <c r="I105">
        <f>LOOKUP(TabVMAzureEnvProjet[[#This Row],[Code SYGES]],TabCONTRATSDI[Contrat SYGES],TabCONTRATSDI[Cost Center])</f>
        <v>305704</v>
      </c>
      <c r="J105" s="22" t="str">
        <f>LOOKUP(TabVMAzureEnvProjet[[#This Row],[Code SYGES]],TabCONTRATSDI[Contrat SYGES],TabCONTRATSDI[Client])</f>
        <v>SPC</v>
      </c>
      <c r="K105" t="s">
        <v>148</v>
      </c>
      <c r="L105" s="31">
        <v>2.710560178319549</v>
      </c>
    </row>
    <row r="106" spans="1:12" x14ac:dyDescent="0.25">
      <c r="A106" s="22" t="str">
        <f>TabVMAzureEnvProjet[[#This Row],[Client]] &amp; " .:. "  &amp; TabVMAzureEnvProjet[[#This Row],[Projet]]</f>
        <v>CNAV .:. CNAV-BI-RGCU</v>
      </c>
      <c r="B106" s="22" t="str">
        <f>IF(TabVMAzureEnvProjet[[#This Row],[Projet AzureDevOps]]&lt;&gt;"",TabVMAzureEnvProjet[[#This Row],[Projet AzureDevOps]],TabVMAzureEnvProjet[[#This Row],[VM]])</f>
        <v>CNAV-BI-RGCU</v>
      </c>
      <c r="C106" t="s">
        <v>27</v>
      </c>
      <c r="E106" t="s">
        <v>4</v>
      </c>
      <c r="F106" t="s">
        <v>27</v>
      </c>
      <c r="G106" t="str">
        <f>LOOKUP(TabVMAzureEnvProjet[[#This Row],[Projet]],TabProjets[NomProj],TabProjets[SYGES])</f>
        <v>CNAV/BI-SIRRGCU</v>
      </c>
      <c r="H106" t="str">
        <f>LOOKUP(TabVMAzureEnvProjet[[#This Row],[Projet]],TabProjets[NomProj],TabProjets[CP])</f>
        <v>Valerie ASSELIN LOZACHMEUR</v>
      </c>
      <c r="I106">
        <f>LOOKUP(TabVMAzureEnvProjet[[#This Row],[Code SYGES]],TabCONTRATSDI[Contrat SYGES],TabCONTRATSDI[Cost Center])</f>
        <v>305704</v>
      </c>
      <c r="J106" s="22" t="str">
        <f>LOOKUP(TabVMAzureEnvProjet[[#This Row],[Code SYGES]],TabCONTRATSDI[Contrat SYGES],TabCONTRATSDI[Client])</f>
        <v>CNAV</v>
      </c>
      <c r="K106" t="s">
        <v>148</v>
      </c>
      <c r="L106" s="31">
        <v>25.398162300789473</v>
      </c>
    </row>
    <row r="107" spans="1:12" x14ac:dyDescent="0.25">
      <c r="A107" s="22" t="str">
        <f>TabVMAzureEnvProjet[[#This Row],[Client]] &amp; " .:. "  &amp; TabVMAzureEnvProjet[[#This Row],[Projet]]</f>
        <v>SPC .:. SPC-BUILD</v>
      </c>
      <c r="B107" s="22" t="str">
        <f>IF(TabVMAzureEnvProjet[[#This Row],[Projet AzureDevOps]]&lt;&gt;"",TabVMAzureEnvProjet[[#This Row],[Projet AzureDevOps]],TabVMAzureEnvProjet[[#This Row],[VM]])</f>
        <v>SPC-BUILD</v>
      </c>
      <c r="C107" t="s">
        <v>67</v>
      </c>
      <c r="E107" t="s">
        <v>4</v>
      </c>
      <c r="F107" t="s">
        <v>67</v>
      </c>
      <c r="G107" t="str">
        <f>LOOKUP(TabVMAzureEnvProjet[[#This Row],[Projet]],TabProjets[NomProj],TabProjets[SYGES])</f>
        <v>SPC/BUILD</v>
      </c>
      <c r="H107" t="str">
        <f>LOOKUP(TabVMAzureEnvProjet[[#This Row],[Projet]],TabProjets[NomProj],TabProjets[CP])</f>
        <v>Nicolas DURFORT</v>
      </c>
      <c r="I107">
        <f>LOOKUP(TabVMAzureEnvProjet[[#This Row],[Code SYGES]],TabCONTRATSDI[Contrat SYGES],TabCONTRATSDI[Cost Center])</f>
        <v>305704</v>
      </c>
      <c r="J107" s="22" t="str">
        <f>LOOKUP(TabVMAzureEnvProjet[[#This Row],[Code SYGES]],TabCONTRATSDI[Contrat SYGES],TabCONTRATSDI[Client])</f>
        <v>SPC</v>
      </c>
      <c r="K107" t="s">
        <v>148</v>
      </c>
      <c r="L107" s="31">
        <v>26.443968983763156</v>
      </c>
    </row>
    <row r="108" spans="1:12" x14ac:dyDescent="0.25">
      <c r="A108" s="22" t="str">
        <f>TabVMAzureEnvProjet[[#This Row],[Client]] &amp; " .:. "  &amp; TabVMAzureEnvProjet[[#This Row],[Projet]]</f>
        <v>ONEMA .:. AFB-OISON</v>
      </c>
      <c r="B108" s="22" t="str">
        <f>IF(TabVMAzureEnvProjet[[#This Row],[Projet AzureDevOps]]&lt;&gt;"",TabVMAzureEnvProjet[[#This Row],[Projet AzureDevOps]],TabVMAzureEnvProjet[[#This Row],[VM]])</f>
        <v>AFB-OISON</v>
      </c>
      <c r="C108" t="s">
        <v>62</v>
      </c>
      <c r="E108" t="s">
        <v>4</v>
      </c>
      <c r="F108" t="s">
        <v>62</v>
      </c>
      <c r="G108" t="str">
        <f>LOOKUP(TabVMAzureEnvProjet[[#This Row],[Projet]],TabProjets[NomProj],TabProjets[SYGES])</f>
        <v>ONEMA/TMADCUA-15</v>
      </c>
      <c r="H108" t="str">
        <f>LOOKUP(TabVMAzureEnvProjet[[#This Row],[Projet]],TabProjets[NomProj],TabProjets[CP])</f>
        <v>Jean-Philippe STROIAZZO</v>
      </c>
      <c r="I108">
        <f>LOOKUP(TabVMAzureEnvProjet[[#This Row],[Code SYGES]],TabCONTRATSDI[Contrat SYGES],TabCONTRATSDI[Cost Center])</f>
        <v>305704</v>
      </c>
      <c r="J108" s="22" t="str">
        <f>LOOKUP(TabVMAzureEnvProjet[[#This Row],[Code SYGES]],TabCONTRATSDI[Contrat SYGES],TabCONTRATSDI[Client])</f>
        <v>ONEMA</v>
      </c>
      <c r="K108" t="s">
        <v>148</v>
      </c>
      <c r="L108" s="31">
        <v>5.0095102969466616</v>
      </c>
    </row>
    <row r="109" spans="1:12" x14ac:dyDescent="0.25">
      <c r="A109" s="22" t="str">
        <f>TabVMAzureEnvProjet[[#This Row],[Client]] &amp; " .:. "  &amp; TabVMAzureEnvProjet[[#This Row],[Projet]]</f>
        <v>AFB .:. AFB-PNX</v>
      </c>
      <c r="B109" s="22" t="str">
        <f>IF(TabVMAzureEnvProjet[[#This Row],[Projet AzureDevOps]]&lt;&gt;"",TabVMAzureEnvProjet[[#This Row],[Projet AzureDevOps]],TabVMAzureEnvProjet[[#This Row],[VM]])</f>
        <v>AFB-PNX</v>
      </c>
      <c r="C109" t="s">
        <v>8</v>
      </c>
      <c r="E109" t="s">
        <v>4</v>
      </c>
      <c r="F109" t="s">
        <v>8</v>
      </c>
      <c r="G109" t="str">
        <f>LOOKUP(TabVMAzureEnvProjet[[#This Row],[Projet]],TabProjets[NomProj],TabProjets[SYGES])</f>
        <v>AFB/OFB_LOT2</v>
      </c>
      <c r="H109" t="str">
        <f>LOOKUP(TabVMAzureEnvProjet[[#This Row],[Projet]],TabProjets[NomProj],TabProjets[CP])</f>
        <v>Pierre BOURLIEUX</v>
      </c>
      <c r="I109">
        <f>LOOKUP(TabVMAzureEnvProjet[[#This Row],[Code SYGES]],TabCONTRATSDI[Contrat SYGES],TabCONTRATSDI[Cost Center])</f>
        <v>305704</v>
      </c>
      <c r="J109" s="22" t="str">
        <f>LOOKUP(TabVMAzureEnvProjet[[#This Row],[Code SYGES]],TabCONTRATSDI[Contrat SYGES],TabCONTRATSDI[Client])</f>
        <v>AFB</v>
      </c>
      <c r="K109" t="s">
        <v>148</v>
      </c>
      <c r="L109" s="31">
        <v>3.0393269394218496</v>
      </c>
    </row>
    <row r="110" spans="1:12" x14ac:dyDescent="0.25">
      <c r="A110" s="22" t="str">
        <f>TabVMAzureEnvProjet[[#This Row],[Client]] &amp; " .:. "  &amp; TabVMAzureEnvProjet[[#This Row],[Projet]]</f>
        <v>AFB .:. AFB-NatureFrance</v>
      </c>
      <c r="B110" s="22" t="str">
        <f>IF(TabVMAzureEnvProjet[[#This Row],[Projet AzureDevOps]]&lt;&gt;"",TabVMAzureEnvProjet[[#This Row],[Projet AzureDevOps]],TabVMAzureEnvProjet[[#This Row],[VM]])</f>
        <v>OFB-NatureFrance</v>
      </c>
      <c r="C110" t="s">
        <v>79</v>
      </c>
      <c r="E110" t="s">
        <v>4</v>
      </c>
      <c r="F110" t="s">
        <v>147</v>
      </c>
      <c r="G110" t="str">
        <f>LOOKUP(TabVMAzureEnvProjet[[#This Row],[Projet]],TabProjets[NomProj],TabProjets[SYGES])</f>
        <v>AFB/OFB_LOT2</v>
      </c>
      <c r="H110" t="str">
        <f>LOOKUP(TabVMAzureEnvProjet[[#This Row],[Projet]],TabProjets[NomProj],TabProjets[CP])</f>
        <v>Rodolphe HABEGGER</v>
      </c>
      <c r="I110">
        <f>LOOKUP(TabVMAzureEnvProjet[[#This Row],[Code SYGES]],TabCONTRATSDI[Contrat SYGES],TabCONTRATSDI[Cost Center])</f>
        <v>305704</v>
      </c>
      <c r="J110" s="22" t="str">
        <f>LOOKUP(TabVMAzureEnvProjet[[#This Row],[Code SYGES]],TabCONTRATSDI[Contrat SYGES],TabCONTRATSDI[Client])</f>
        <v>AFB</v>
      </c>
      <c r="K110" t="s">
        <v>148</v>
      </c>
      <c r="L110" s="31">
        <v>8.4994573095890811</v>
      </c>
    </row>
    <row r="111" spans="1:12" x14ac:dyDescent="0.25">
      <c r="A111" s="22" t="str">
        <f>TabVMAzureEnvProjet[[#This Row],[Client]] &amp; " .:. "  &amp; TabVMAzureEnvProjet[[#This Row],[Projet]]</f>
        <v>FRR .:. FRR-DIGIPAT</v>
      </c>
      <c r="B111" s="22" t="str">
        <f>IF(TabVMAzureEnvProjet[[#This Row],[Projet AzureDevOps]]&lt;&gt;"",TabVMAzureEnvProjet[[#This Row],[Projet AzureDevOps]],TabVMAzureEnvProjet[[#This Row],[VM]])</f>
        <v>FRR DIGIPAT</v>
      </c>
      <c r="C111" t="s">
        <v>30</v>
      </c>
      <c r="E111" t="s">
        <v>4</v>
      </c>
      <c r="F111" t="s">
        <v>29</v>
      </c>
      <c r="G111" t="str">
        <f>LOOKUP(TabVMAzureEnvProjet[[#This Row],[Projet]],TabProjets[NomProj],TabProjets[SYGES])</f>
        <v>FRR/TMASI</v>
      </c>
      <c r="H111" t="str">
        <f>LOOKUP(TabVMAzureEnvProjet[[#This Row],[Projet]],TabProjets[NomProj],TabProjets[CP])</f>
        <v>Alice MARCHAL</v>
      </c>
      <c r="I111">
        <f>LOOKUP(TabVMAzureEnvProjet[[#This Row],[Code SYGES]],TabCONTRATSDI[Contrat SYGES],TabCONTRATSDI[Cost Center])</f>
        <v>305704</v>
      </c>
      <c r="J111" s="22" t="str">
        <f>LOOKUP(TabVMAzureEnvProjet[[#This Row],[Code SYGES]],TabCONTRATSDI[Contrat SYGES],TabCONTRATSDI[Client])</f>
        <v>FRR</v>
      </c>
      <c r="K111" t="s">
        <v>148</v>
      </c>
      <c r="L111" s="31">
        <v>8.409139450849624</v>
      </c>
    </row>
    <row r="112" spans="1:12" x14ac:dyDescent="0.25">
      <c r="A112" s="22" t="str">
        <f>TabVMAzureEnvProjet[[#This Row],[Client]] &amp; " .:. "  &amp; TabVMAzureEnvProjet[[#This Row],[Projet]]</f>
        <v>ALM .:. ALM-ATOUT</v>
      </c>
      <c r="B112" s="22" t="str">
        <f>IF(TabVMAzureEnvProjet[[#This Row],[Projet AzureDevOps]]&lt;&gt;"",TabVMAzureEnvProjet[[#This Row],[Projet AzureDevOps]],TabVMAzureEnvProjet[[#This Row],[VM]])</f>
        <v>ALM-ATOUT</v>
      </c>
      <c r="C112" t="s">
        <v>17</v>
      </c>
      <c r="E112" t="s">
        <v>4</v>
      </c>
      <c r="F112" t="s">
        <v>17</v>
      </c>
      <c r="G112" t="str">
        <f>LOOKUP(TabVMAzureEnvProjet[[#This Row],[Projet]],TabProjets[NomProj],TabProjets[SYGES])</f>
        <v>ALM/TMA_ATOUT</v>
      </c>
      <c r="H112" t="str">
        <f>LOOKUP(TabVMAzureEnvProjet[[#This Row],[Projet]],TabProjets[NomProj],TabProjets[CP])</f>
        <v>Alice MARCHAL</v>
      </c>
      <c r="I112">
        <f>LOOKUP(TabVMAzureEnvProjet[[#This Row],[Code SYGES]],TabCONTRATSDI[Contrat SYGES],TabCONTRATSDI[Cost Center])</f>
        <v>305704</v>
      </c>
      <c r="J112" s="22" t="str">
        <f>LOOKUP(TabVMAzureEnvProjet[[#This Row],[Code SYGES]],TabCONTRATSDI[Contrat SYGES],TabCONTRATSDI[Client])</f>
        <v>ALM</v>
      </c>
      <c r="K112" t="s">
        <v>148</v>
      </c>
      <c r="L112" s="31">
        <v>18.157908438323219</v>
      </c>
    </row>
    <row r="113" spans="1:12" x14ac:dyDescent="0.25">
      <c r="A113" s="22" t="str">
        <f>TabVMAzureEnvProjet[[#This Row],[Client]] &amp; " .:. "  &amp; TabVMAzureEnvProjet[[#This Row],[Projet]]</f>
        <v>BRGM .:. BRGM-ORRM</v>
      </c>
      <c r="B113" s="22" t="str">
        <f>IF(TabVMAzureEnvProjet[[#This Row],[Projet AzureDevOps]]&lt;&gt;"",TabVMAzureEnvProjet[[#This Row],[Projet AzureDevOps]],TabVMAzureEnvProjet[[#This Row],[VM]])</f>
        <v>BRGM-ORRM</v>
      </c>
      <c r="C113" t="s">
        <v>20</v>
      </c>
      <c r="E113" t="s">
        <v>4</v>
      </c>
      <c r="F113" t="s">
        <v>20</v>
      </c>
      <c r="G113" t="str">
        <f>LOOKUP(TabVMAzureEnvProjet[[#This Row],[Projet]],TabProjets[NomProj],TabProjets[SYGES])</f>
        <v>BRGM/TMA-5-1-ORRM-LOT1</v>
      </c>
      <c r="H113" t="str">
        <f>LOOKUP(TabVMAzureEnvProjet[[#This Row],[Projet]],TabProjets[NomProj],TabProjets[CP])</f>
        <v>Alice MARCHAL</v>
      </c>
      <c r="I113">
        <f>LOOKUP(TabVMAzureEnvProjet[[#This Row],[Code SYGES]],TabCONTRATSDI[Contrat SYGES],TabCONTRATSDI[Cost Center])</f>
        <v>305704</v>
      </c>
      <c r="J113" s="22" t="str">
        <f>LOOKUP(TabVMAzureEnvProjet[[#This Row],[Code SYGES]],TabCONTRATSDI[Contrat SYGES],TabCONTRATSDI[Client])</f>
        <v>BRGM</v>
      </c>
      <c r="K113" t="s">
        <v>148</v>
      </c>
      <c r="L113" s="31">
        <v>5.978522277374748</v>
      </c>
    </row>
    <row r="114" spans="1:12" x14ac:dyDescent="0.25">
      <c r="A114" s="22" t="str">
        <f>TabVMAzureEnvProjet[[#This Row],[Client]] &amp; " .:. "  &amp; TabVMAzureEnvProjet[[#This Row],[Projet]]</f>
        <v>ONEMA .:. AFB-CDR</v>
      </c>
      <c r="B114" s="22" t="str">
        <f>IF(TabVMAzureEnvProjet[[#This Row],[Projet AzureDevOps]]&lt;&gt;"",TabVMAzureEnvProjet[[#This Row],[Projet AzureDevOps]],TabVMAzureEnvProjet[[#This Row],[VM]])</f>
        <v>AFB-CDR</v>
      </c>
      <c r="C114" t="s">
        <v>61</v>
      </c>
      <c r="E114" t="s">
        <v>4</v>
      </c>
      <c r="F114" t="s">
        <v>61</v>
      </c>
      <c r="G114" t="str">
        <f>LOOKUP(TabVMAzureEnvProjet[[#This Row],[Projet]],TabProjets[NomProj],TabProjets[SYGES])</f>
        <v>ONEMA/TMAWEB-16</v>
      </c>
      <c r="H114" t="str">
        <f>LOOKUP(TabVMAzureEnvProjet[[#This Row],[Projet]],TabProjets[NomProj],TabProjets[CP])</f>
        <v>Pierre BOURLIEUX</v>
      </c>
      <c r="I114">
        <f>LOOKUP(TabVMAzureEnvProjet[[#This Row],[Code SYGES]],TabCONTRATSDI[Contrat SYGES],TabCONTRATSDI[Cost Center])</f>
        <v>305704</v>
      </c>
      <c r="J114" s="22" t="str">
        <f>LOOKUP(TabVMAzureEnvProjet[[#This Row],[Code SYGES]],TabCONTRATSDI[Contrat SYGES],TabCONTRATSDI[Client])</f>
        <v>ONEMA</v>
      </c>
      <c r="K114" t="s">
        <v>148</v>
      </c>
      <c r="L114" s="31">
        <v>7.1232240906625943</v>
      </c>
    </row>
    <row r="115" spans="1:12" x14ac:dyDescent="0.25">
      <c r="A115" s="22" t="str">
        <f>TabVMAzureEnvProjet[[#This Row],[Client]] &amp; " .:. "  &amp; TabVMAzureEnvProjet[[#This Row],[Projet]]</f>
        <v>MENESR .:. MENJ-BNIE</v>
      </c>
      <c r="B115" s="22" t="str">
        <f>IF(TabVMAzureEnvProjet[[#This Row],[Projet AzureDevOps]]&lt;&gt;"",TabVMAzureEnvProjet[[#This Row],[Projet AzureDevOps]],TabVMAzureEnvProjet[[#This Row],[VM]])</f>
        <v>MENJ-BNIE-BDD</v>
      </c>
      <c r="C115" t="s">
        <v>46</v>
      </c>
      <c r="E115" t="s">
        <v>4</v>
      </c>
      <c r="F115" t="s">
        <v>45</v>
      </c>
      <c r="G115" t="str">
        <f>LOOKUP(TabVMAzureEnvProjet[[#This Row],[Projet]],TabProjets[NomProj],TabProjets[SYGES])</f>
        <v>MENESR/TMA</v>
      </c>
      <c r="H115" t="str">
        <f>LOOKUP(TabVMAzureEnvProjet[[#This Row],[Projet]],TabProjets[NomProj],TabProjets[CP])</f>
        <v>Pierre BOURLIEUX</v>
      </c>
      <c r="I115">
        <f>LOOKUP(TabVMAzureEnvProjet[[#This Row],[Code SYGES]],TabCONTRATSDI[Contrat SYGES],TabCONTRATSDI[Cost Center])</f>
        <v>305704</v>
      </c>
      <c r="J115" s="22" t="str">
        <f>LOOKUP(TabVMAzureEnvProjet[[#This Row],[Code SYGES]],TabCONTRATSDI[Contrat SYGES],TabCONTRATSDI[Client])</f>
        <v>MENESR</v>
      </c>
      <c r="K115" t="s">
        <v>148</v>
      </c>
      <c r="L115" s="31">
        <v>5.2265716192029599</v>
      </c>
    </row>
    <row r="116" spans="1:12" x14ac:dyDescent="0.25">
      <c r="A116" s="22" t="str">
        <f>TabVMAzureEnvProjet[[#This Row],[Client]] &amp; " .:. "  &amp; TabVMAzureEnvProjet[[#This Row],[Projet]]</f>
        <v>AFB .:. AFB-PNM</v>
      </c>
      <c r="B116" s="22" t="str">
        <f>IF(TabVMAzureEnvProjet[[#This Row],[Projet AzureDevOps]]&lt;&gt;"",TabVMAzureEnvProjet[[#This Row],[Projet AzureDevOps]],TabVMAzureEnvProjet[[#This Row],[VM]])</f>
        <v>AFB-PNM</v>
      </c>
      <c r="C116" t="s">
        <v>5</v>
      </c>
      <c r="E116" t="s">
        <v>4</v>
      </c>
      <c r="F116" t="s">
        <v>5</v>
      </c>
      <c r="G116" t="str">
        <f>LOOKUP(TabVMAzureEnvProjet[[#This Row],[Projet]],TabProjets[NomProj],TabProjets[SYGES])</f>
        <v>AFB/OFB_LOT2</v>
      </c>
      <c r="H116" t="str">
        <f>LOOKUP(TabVMAzureEnvProjet[[#This Row],[Projet]],TabProjets[NomProj],TabProjets[CP])</f>
        <v>Eric RAUCOURT</v>
      </c>
      <c r="I116">
        <f>LOOKUP(TabVMAzureEnvProjet[[#This Row],[Code SYGES]],TabCONTRATSDI[Contrat SYGES],TabCONTRATSDI[Cost Center])</f>
        <v>305704</v>
      </c>
      <c r="J116" s="22" t="str">
        <f>LOOKUP(TabVMAzureEnvProjet[[#This Row],[Code SYGES]],TabCONTRATSDI[Contrat SYGES],TabCONTRATSDI[Client])</f>
        <v>AFB</v>
      </c>
      <c r="K116" t="s">
        <v>148</v>
      </c>
      <c r="L116" s="31">
        <v>10.844747095520127</v>
      </c>
    </row>
    <row r="117" spans="1:12" x14ac:dyDescent="0.25">
      <c r="A117" s="22" t="str">
        <f>TabVMAzureEnvProjet[[#This Row],[Client]] &amp; " .:. "  &amp; TabVMAzureEnvProjet[[#This Row],[Projet]]</f>
        <v>INETUM .:. INETUM-INTERNE</v>
      </c>
      <c r="B117" s="22" t="str">
        <f>IF(TabVMAzureEnvProjet[[#This Row],[Projet AzureDevOps]]&lt;&gt;"",TabVMAzureEnvProjet[[#This Row],[Projet AzureDevOps]],TabVMAzureEnvProjet[[#This Row],[VM]])</f>
        <v>GFI-MineReport</v>
      </c>
      <c r="C117" t="s">
        <v>104</v>
      </c>
      <c r="E117" t="s">
        <v>4</v>
      </c>
      <c r="F117" t="s">
        <v>102</v>
      </c>
      <c r="G117" t="str">
        <f>LOOKUP(TabVMAzureEnvProjet[[#This Row],[Projet]],TabProjets[NomProj],TabProjets[SYGES])</f>
        <v>INETUM/PROJET_INTERNE</v>
      </c>
      <c r="H117" t="str">
        <f>LOOKUP(TabVMAzureEnvProjet[[#This Row],[Projet]],TabProjets[NomProj],TabProjets[CP])</f>
        <v>Christophe ORLANDO</v>
      </c>
      <c r="I117">
        <f>LOOKUP(TabVMAzureEnvProjet[[#This Row],[Code SYGES]],TabCONTRATSDI[Contrat SYGES],TabCONTRATSDI[Cost Center])</f>
        <v>305704</v>
      </c>
      <c r="J117" s="22" t="str">
        <f>LOOKUP(TabVMAzureEnvProjet[[#This Row],[Code SYGES]],TabCONTRATSDI[Contrat SYGES],TabCONTRATSDI[Client])</f>
        <v>INETUM</v>
      </c>
      <c r="K117" t="s">
        <v>148</v>
      </c>
      <c r="L117" s="31">
        <v>3.5482726743750002</v>
      </c>
    </row>
    <row r="118" spans="1:12" x14ac:dyDescent="0.25">
      <c r="A118" s="22" t="str">
        <f>TabVMAzureEnvProjet[[#This Row],[Client]] &amp; " .:. "  &amp; TabVMAzureEnvProjet[[#This Row],[Projet]]</f>
        <v>MENESR .:. MENJ-RNIE</v>
      </c>
      <c r="B118" s="22" t="str">
        <f>IF(TabVMAzureEnvProjet[[#This Row],[Projet AzureDevOps]]&lt;&gt;"",TabVMAzureEnvProjet[[#This Row],[Projet AzureDevOps]],TabVMAzureEnvProjet[[#This Row],[VM]])</f>
        <v>MENJ-RNIE-Webservices</v>
      </c>
      <c r="C118" t="s">
        <v>50</v>
      </c>
      <c r="E118" t="s">
        <v>4</v>
      </c>
      <c r="F118" t="s">
        <v>48</v>
      </c>
      <c r="G118" t="str">
        <f>LOOKUP(TabVMAzureEnvProjet[[#This Row],[Projet]],TabProjets[NomProj],TabProjets[SYGES])</f>
        <v>MENESR/TMA</v>
      </c>
      <c r="H118" t="str">
        <f>LOOKUP(TabVMAzureEnvProjet[[#This Row],[Projet]],TabProjets[NomProj],TabProjets[CP])</f>
        <v>Pierre BOURLIEUX</v>
      </c>
      <c r="I118">
        <f>LOOKUP(TabVMAzureEnvProjet[[#This Row],[Code SYGES]],TabCONTRATSDI[Contrat SYGES],TabCONTRATSDI[Cost Center])</f>
        <v>305704</v>
      </c>
      <c r="J118" s="22" t="str">
        <f>LOOKUP(TabVMAzureEnvProjet[[#This Row],[Code SYGES]],TabCONTRATSDI[Contrat SYGES],TabCONTRATSDI[Client])</f>
        <v>MENESR</v>
      </c>
      <c r="K118" t="s">
        <v>148</v>
      </c>
      <c r="L118" s="31">
        <v>3.2359699020483212</v>
      </c>
    </row>
    <row r="119" spans="1:12" x14ac:dyDescent="0.25">
      <c r="A119" s="22" t="str">
        <f>TabVMAzureEnvProjet[[#This Row],[Client]] &amp; " .:. "  &amp; TabVMAzureEnvProjet[[#This Row],[Projet]]</f>
        <v>PCM .:. PCM-WEB</v>
      </c>
      <c r="B119" s="22" t="str">
        <f>IF(TabVMAzureEnvProjet[[#This Row],[Projet AzureDevOps]]&lt;&gt;"",TabVMAzureEnvProjet[[#This Row],[Projet AzureDevOps]],TabVMAzureEnvProjet[[#This Row],[VM]])</f>
        <v>PCM-Web</v>
      </c>
      <c r="C119" t="s">
        <v>73</v>
      </c>
      <c r="E119" t="s">
        <v>4</v>
      </c>
      <c r="F119" t="s">
        <v>72</v>
      </c>
      <c r="G119" t="str">
        <f>LOOKUP(TabVMAzureEnvProjet[[#This Row],[Projet]],TabProjets[NomProj],TabProjets[SYGES])</f>
        <v>PCM/WEB</v>
      </c>
      <c r="H119" t="str">
        <f>LOOKUP(TabVMAzureEnvProjet[[#This Row],[Projet]],TabProjets[NomProj],TabProjets[CP])</f>
        <v>Rodolphe HABEGGER</v>
      </c>
      <c r="I119">
        <f>LOOKUP(TabVMAzureEnvProjet[[#This Row],[Code SYGES]],TabCONTRATSDI[Contrat SYGES],TabCONTRATSDI[Cost Center])</f>
        <v>305704</v>
      </c>
      <c r="J119" s="22" t="str">
        <f>LOOKUP(TabVMAzureEnvProjet[[#This Row],[Code SYGES]],TabCONTRATSDI[Contrat SYGES],TabCONTRATSDI[Client])</f>
        <v>PCM</v>
      </c>
      <c r="K119" t="s">
        <v>148</v>
      </c>
      <c r="L119" s="31">
        <v>3.6976736290855268</v>
      </c>
    </row>
    <row r="120" spans="1:12" x14ac:dyDescent="0.25">
      <c r="A120" s="22" t="str">
        <f>TabVMAzureEnvProjet[[#This Row],[Client]] &amp; " .:. "  &amp; TabVMAzureEnvProjet[[#This Row],[Projet]]</f>
        <v>INETUM .:. INETUM-INTERNE</v>
      </c>
      <c r="B120" s="22" t="str">
        <f>IF(TabVMAzureEnvProjet[[#This Row],[Projet AzureDevOps]]&lt;&gt;"",TabVMAzureEnvProjet[[#This Row],[Projet AzureDevOps]],TabVMAzureEnvProjet[[#This Row],[VM]])</f>
        <v>drupal-qa</v>
      </c>
      <c r="C120" t="s">
        <v>142</v>
      </c>
      <c r="E120" t="s">
        <v>4</v>
      </c>
      <c r="F120" t="s">
        <v>102</v>
      </c>
      <c r="G120" t="str">
        <f>LOOKUP(TabVMAzureEnvProjet[[#This Row],[Projet]],TabProjets[NomProj],TabProjets[SYGES])</f>
        <v>INETUM/PROJET_INTERNE</v>
      </c>
      <c r="H120" t="str">
        <f>LOOKUP(TabVMAzureEnvProjet[[#This Row],[Projet]],TabProjets[NomProj],TabProjets[CP])</f>
        <v>Christophe ORLANDO</v>
      </c>
      <c r="I120">
        <f>LOOKUP(TabVMAzureEnvProjet[[#This Row],[Code SYGES]],TabCONTRATSDI[Contrat SYGES],TabCONTRATSDI[Cost Center])</f>
        <v>305704</v>
      </c>
      <c r="J120" s="22" t="str">
        <f>LOOKUP(TabVMAzureEnvProjet[[#This Row],[Code SYGES]],TabCONTRATSDI[Contrat SYGES],TabCONTRATSDI[Client])</f>
        <v>INETUM</v>
      </c>
      <c r="K120" t="s">
        <v>148</v>
      </c>
      <c r="L120" s="31">
        <v>0.88039848311560154</v>
      </c>
    </row>
    <row r="121" spans="1:12" x14ac:dyDescent="0.25">
      <c r="A121" s="22" t="str">
        <f>TabVMAzureEnvProjet[[#This Row],[Client]] &amp; " .:. "  &amp; TabVMAzureEnvProjet[[#This Row],[Projet]]</f>
        <v>MENESR .:. MENJ-RNIE</v>
      </c>
      <c r="B121" s="22" t="str">
        <f>IF(TabVMAzureEnvProjet[[#This Row],[Projet AzureDevOps]]&lt;&gt;"",TabVMAzureEnvProjet[[#This Row],[Projet AzureDevOps]],TabVMAzureEnvProjet[[#This Row],[VM]])</f>
        <v>MENJ-RNIE-BDD</v>
      </c>
      <c r="C121" t="s">
        <v>49</v>
      </c>
      <c r="E121" t="s">
        <v>4</v>
      </c>
      <c r="F121" t="s">
        <v>48</v>
      </c>
      <c r="G121" t="str">
        <f>LOOKUP(TabVMAzureEnvProjet[[#This Row],[Projet]],TabProjets[NomProj],TabProjets[SYGES])</f>
        <v>MENESR/TMA</v>
      </c>
      <c r="H121" t="str">
        <f>LOOKUP(TabVMAzureEnvProjet[[#This Row],[Projet]],TabProjets[NomProj],TabProjets[CP])</f>
        <v>Pierre BOURLIEUX</v>
      </c>
      <c r="I121">
        <f>LOOKUP(TabVMAzureEnvProjet[[#This Row],[Code SYGES]],TabCONTRATSDI[Contrat SYGES],TabCONTRATSDI[Cost Center])</f>
        <v>305704</v>
      </c>
      <c r="J121" s="22" t="str">
        <f>LOOKUP(TabVMAzureEnvProjet[[#This Row],[Code SYGES]],TabCONTRATSDI[Contrat SYGES],TabCONTRATSDI[Client])</f>
        <v>MENESR</v>
      </c>
      <c r="K121" t="s">
        <v>148</v>
      </c>
      <c r="L121" s="31">
        <v>1.4915477514398019</v>
      </c>
    </row>
    <row r="122" spans="1:12" x14ac:dyDescent="0.25">
      <c r="A122" s="22" t="str">
        <f>TabVMAzureEnvProjet[[#This Row],[Client]] &amp; " .:. "  &amp; TabVMAzureEnvProjet[[#This Row],[Projet]]</f>
        <v>GLI .:. GLI-APIBIOMETRIE</v>
      </c>
      <c r="B122" s="22" t="str">
        <f>IF(TabVMAzureEnvProjet[[#This Row],[Projet AzureDevOps]]&lt;&gt;"",TabVMAzureEnvProjet[[#This Row],[Projet AzureDevOps]],TabVMAzureEnvProjet[[#This Row],[VM]])</f>
        <v>GLI-APIBiometrie</v>
      </c>
      <c r="C122" t="s">
        <v>42</v>
      </c>
      <c r="E122" t="s">
        <v>4</v>
      </c>
      <c r="F122" t="s">
        <v>41</v>
      </c>
      <c r="G122" t="str">
        <f>LOOKUP(TabVMAzureEnvProjet[[#This Row],[Projet]],TabProjets[NomProj],TabProjets[SYGES])</f>
        <v>GLI/BIOMETRIE</v>
      </c>
      <c r="H122" t="str">
        <f>LOOKUP(TabVMAzureEnvProjet[[#This Row],[Projet]],TabProjets[NomProj],TabProjets[CP])</f>
        <v>Rodolphe HABEGGER</v>
      </c>
      <c r="I122">
        <f>LOOKUP(TabVMAzureEnvProjet[[#This Row],[Code SYGES]],TabCONTRATSDI[Contrat SYGES],TabCONTRATSDI[Cost Center])</f>
        <v>305704</v>
      </c>
      <c r="J122" s="22" t="str">
        <f>LOOKUP(TabVMAzureEnvProjet[[#This Row],[Code SYGES]],TabCONTRATSDI[Contrat SYGES],TabCONTRATSDI[Client])</f>
        <v>GLI</v>
      </c>
      <c r="K122" t="s">
        <v>148</v>
      </c>
      <c r="L122" s="31">
        <v>7.8805550837933698</v>
      </c>
    </row>
    <row r="123" spans="1:12" x14ac:dyDescent="0.25">
      <c r="A123" s="22" t="str">
        <f>TabVMAzureEnvProjet[[#This Row],[Client]] &amp; " .:. "  &amp; TabVMAzureEnvProjet[[#This Row],[Projet]]</f>
        <v>ONEMA .:. AFB-BASEINDICATEURS</v>
      </c>
      <c r="B123" s="22" t="str">
        <f>IF(TabVMAzureEnvProjet[[#This Row],[Projet AzureDevOps]]&lt;&gt;"",TabVMAzureEnvProjet[[#This Row],[Projet AzureDevOps]],TabVMAzureEnvProjet[[#This Row],[VM]])</f>
        <v>AFB-BaseIndicateurs</v>
      </c>
      <c r="C123" t="s">
        <v>58</v>
      </c>
      <c r="E123" t="s">
        <v>4</v>
      </c>
      <c r="F123" t="s">
        <v>57</v>
      </c>
      <c r="G123" t="str">
        <f>LOOKUP(TabVMAzureEnvProjet[[#This Row],[Projet]],TabProjets[NomProj],TabProjets[SYGES])</f>
        <v>ONEMA/TMADCUA-15</v>
      </c>
      <c r="H123" t="str">
        <f>LOOKUP(TabVMAzureEnvProjet[[#This Row],[Projet]],TabProjets[NomProj],TabProjets[CP])</f>
        <v>Pierre BOURLIEUX</v>
      </c>
      <c r="I123">
        <f>LOOKUP(TabVMAzureEnvProjet[[#This Row],[Code SYGES]],TabCONTRATSDI[Contrat SYGES],TabCONTRATSDI[Cost Center])</f>
        <v>305704</v>
      </c>
      <c r="J123" s="22" t="str">
        <f>LOOKUP(TabVMAzureEnvProjet[[#This Row],[Code SYGES]],TabCONTRATSDI[Contrat SYGES],TabCONTRATSDI[Client])</f>
        <v>ONEMA</v>
      </c>
      <c r="K123" t="s">
        <v>148</v>
      </c>
      <c r="L123" s="31">
        <v>1.0671496765037594</v>
      </c>
    </row>
    <row r="124" spans="1:12" x14ac:dyDescent="0.25">
      <c r="A124" s="22" t="str">
        <f>TabVMAzureEnvProjet[[#This Row],[Client]] &amp; " .:. "  &amp; TabVMAzureEnvProjet[[#This Row],[Projet]]</f>
        <v>INETUM .:. INETUM-INTERNE</v>
      </c>
      <c r="B124" s="22" t="str">
        <f>IF(TabVMAzureEnvProjet[[#This Row],[Projet AzureDevOps]]&lt;&gt;"",TabVMAzureEnvProjet[[#This Row],[Projet AzureDevOps]],TabVMAzureEnvProjet[[#This Row],[VM]])</f>
        <v>GFI-D8-BS4-THEME</v>
      </c>
      <c r="C124" t="s">
        <v>103</v>
      </c>
      <c r="E124" t="s">
        <v>4</v>
      </c>
      <c r="F124" t="s">
        <v>102</v>
      </c>
      <c r="G124" t="str">
        <f>LOOKUP(TabVMAzureEnvProjet[[#This Row],[Projet]],TabProjets[NomProj],TabProjets[SYGES])</f>
        <v>INETUM/PROJET_INTERNE</v>
      </c>
      <c r="H124" t="str">
        <f>LOOKUP(TabVMAzureEnvProjet[[#This Row],[Projet]],TabProjets[NomProj],TabProjets[CP])</f>
        <v>Christophe ORLANDO</v>
      </c>
      <c r="I124">
        <f>LOOKUP(TabVMAzureEnvProjet[[#This Row],[Code SYGES]],TabCONTRATSDI[Contrat SYGES],TabCONTRATSDI[Cost Center])</f>
        <v>305704</v>
      </c>
      <c r="J124" s="22" t="str">
        <f>LOOKUP(TabVMAzureEnvProjet[[#This Row],[Code SYGES]],TabCONTRATSDI[Contrat SYGES],TabCONTRATSDI[Client])</f>
        <v>INETUM</v>
      </c>
      <c r="K124" t="s">
        <v>148</v>
      </c>
      <c r="L124" s="31">
        <v>1.7768042113787594</v>
      </c>
    </row>
    <row r="125" spans="1:12" x14ac:dyDescent="0.25">
      <c r="A125" s="22" t="str">
        <f>TabVMAzureEnvProjet[[#This Row],[Client]] &amp; " .:. "  &amp; TabVMAzureEnvProjet[[#This Row],[Projet]]</f>
        <v>MENESR .:. MENJ-APAE</v>
      </c>
      <c r="B125" s="22" t="str">
        <f>IF(TabVMAzureEnvProjet[[#This Row],[Projet AzureDevOps]]&lt;&gt;"",TabVMAzureEnvProjet[[#This Row],[Projet AzureDevOps]],TabVMAzureEnvProjet[[#This Row],[VM]])</f>
        <v>MENJ-APAE</v>
      </c>
      <c r="C125" t="s">
        <v>44</v>
      </c>
      <c r="E125" t="s">
        <v>4</v>
      </c>
      <c r="F125" t="s">
        <v>44</v>
      </c>
      <c r="G125" t="str">
        <f>LOOKUP(TabVMAzureEnvProjet[[#This Row],[Projet]],TabProjets[NomProj],TabProjets[SYGES])</f>
        <v>MENESR/TMA</v>
      </c>
      <c r="H125" t="str">
        <f>LOOKUP(TabVMAzureEnvProjet[[#This Row],[Projet]],TabProjets[NomProj],TabProjets[CP])</f>
        <v>Pierre BOURLIEUX</v>
      </c>
      <c r="I125">
        <f>LOOKUP(TabVMAzureEnvProjet[[#This Row],[Code SYGES]],TabCONTRATSDI[Contrat SYGES],TabCONTRATSDI[Cost Center])</f>
        <v>305704</v>
      </c>
      <c r="J125" s="22" t="str">
        <f>LOOKUP(TabVMAzureEnvProjet[[#This Row],[Code SYGES]],TabCONTRATSDI[Contrat SYGES],TabCONTRATSDI[Client])</f>
        <v>MENESR</v>
      </c>
      <c r="K125" t="s">
        <v>148</v>
      </c>
      <c r="L125" s="31">
        <v>1.4566593084276316</v>
      </c>
    </row>
    <row r="126" spans="1:12" x14ac:dyDescent="0.25">
      <c r="A126" s="22" t="str">
        <f>TabVMAzureEnvProjet[[#This Row],[Client]] &amp; " .:. "  &amp; TabVMAzureEnvProjet[[#This Row],[Projet]]</f>
        <v>PCM .:. PCM-ALS</v>
      </c>
      <c r="B126" s="22" t="str">
        <f>IF(TabVMAzureEnvProjet[[#This Row],[Projet AzureDevOps]]&lt;&gt;"",TabVMAzureEnvProjet[[#This Row],[Projet AzureDevOps]],TabVMAzureEnvProjet[[#This Row],[VM]])</f>
        <v>PCM-ALS</v>
      </c>
      <c r="C126" t="s">
        <v>71</v>
      </c>
      <c r="E126" t="s">
        <v>4</v>
      </c>
      <c r="F126" t="s">
        <v>71</v>
      </c>
      <c r="G126" t="str">
        <f>LOOKUP(TabVMAzureEnvProjet[[#This Row],[Projet]],TabProjets[NomProj],TabProjets[SYGES])</f>
        <v>PCM/WEB</v>
      </c>
      <c r="H126" t="str">
        <f>LOOKUP(TabVMAzureEnvProjet[[#This Row],[Projet]],TabProjets[NomProj],TabProjets[CP])</f>
        <v>Alice MARCHAL</v>
      </c>
      <c r="I126">
        <f>LOOKUP(TabVMAzureEnvProjet[[#This Row],[Code SYGES]],TabCONTRATSDI[Contrat SYGES],TabCONTRATSDI[Cost Center])</f>
        <v>305704</v>
      </c>
      <c r="J126" s="22" t="str">
        <f>LOOKUP(TabVMAzureEnvProjet[[#This Row],[Code SYGES]],TabCONTRATSDI[Contrat SYGES],TabCONTRATSDI[Client])</f>
        <v>PCM</v>
      </c>
      <c r="K126" t="s">
        <v>148</v>
      </c>
      <c r="L126" s="31">
        <v>8.4579855003954858</v>
      </c>
    </row>
    <row r="127" spans="1:12" x14ac:dyDescent="0.25">
      <c r="A127" s="22" t="str">
        <f>TabVMAzureEnvProjet[[#This Row],[Client]] &amp; " .:. "  &amp; TabVMAzureEnvProjet[[#This Row],[Projet]]</f>
        <v>AFB .:. AFB-CESMIA</v>
      </c>
      <c r="B127" s="22" t="str">
        <f>IF(TabVMAzureEnvProjet[[#This Row],[Projet AzureDevOps]]&lt;&gt;"",TabVMAzureEnvProjet[[#This Row],[Projet AzureDevOps]],TabVMAzureEnvProjet[[#This Row],[VM]])</f>
        <v>AFB-CESMIA</v>
      </c>
      <c r="C127" t="s">
        <v>3</v>
      </c>
      <c r="E127" t="s">
        <v>4</v>
      </c>
      <c r="F127" t="s">
        <v>3</v>
      </c>
      <c r="G127" t="str">
        <f>LOOKUP(TabVMAzureEnvProjet[[#This Row],[Projet]],TabProjets[NomProj],TabProjets[SYGES])</f>
        <v>AFB/OFB_LOT1</v>
      </c>
      <c r="H127" t="str">
        <f>LOOKUP(TabVMAzureEnvProjet[[#This Row],[Projet]],TabProjets[NomProj],TabProjets[CP])</f>
        <v>Jean-Philippe STROIAZZO</v>
      </c>
      <c r="I127">
        <f>LOOKUP(TabVMAzureEnvProjet[[#This Row],[Code SYGES]],TabCONTRATSDI[Contrat SYGES],TabCONTRATSDI[Cost Center])</f>
        <v>305704</v>
      </c>
      <c r="J127" s="22" t="str">
        <f>LOOKUP(TabVMAzureEnvProjet[[#This Row],[Code SYGES]],TabCONTRATSDI[Contrat SYGES],TabCONTRATSDI[Client])</f>
        <v>AFB</v>
      </c>
      <c r="K127" t="s">
        <v>148</v>
      </c>
      <c r="L127" s="31">
        <v>12.986532155321083</v>
      </c>
    </row>
    <row r="128" spans="1:12" x14ac:dyDescent="0.25">
      <c r="A128" s="22" t="str">
        <f>TabVMAzureEnvProjet[[#This Row],[Client]] &amp; " .:. "  &amp; TabVMAzureEnvProjet[[#This Row],[Projet]]</f>
        <v>MENESR .:. MENJ-BI</v>
      </c>
      <c r="B128" s="22" t="str">
        <f>IF(TabVMAzureEnvProjet[[#This Row],[Projet AzureDevOps]]&lt;&gt;"",TabVMAzureEnvProjet[[#This Row],[Projet AzureDevOps]],TabVMAzureEnvProjet[[#This Row],[VM]])</f>
        <v>MENJ-BI</v>
      </c>
      <c r="C128" t="s">
        <v>51</v>
      </c>
      <c r="E128" t="s">
        <v>4</v>
      </c>
      <c r="F128" t="s">
        <v>51</v>
      </c>
      <c r="G128" t="str">
        <f>LOOKUP(TabVMAzureEnvProjet[[#This Row],[Projet]],TabProjets[NomProj],TabProjets[SYGES])</f>
        <v>MENESR/TMA</v>
      </c>
      <c r="H128" t="str">
        <f>LOOKUP(TabVMAzureEnvProjet[[#This Row],[Projet]],TabProjets[NomProj],TabProjets[CP])</f>
        <v>Eric PERROUD</v>
      </c>
      <c r="I128">
        <f>LOOKUP(TabVMAzureEnvProjet[[#This Row],[Code SYGES]],TabCONTRATSDI[Contrat SYGES],TabCONTRATSDI[Cost Center])</f>
        <v>305704</v>
      </c>
      <c r="J128" s="22" t="str">
        <f>LOOKUP(TabVMAzureEnvProjet[[#This Row],[Code SYGES]],TabCONTRATSDI[Contrat SYGES],TabCONTRATSDI[Client])</f>
        <v>MENESR</v>
      </c>
      <c r="K128" t="s">
        <v>148</v>
      </c>
      <c r="L128" s="31">
        <v>6.7230429619736842</v>
      </c>
    </row>
    <row r="129" spans="1:13" x14ac:dyDescent="0.25">
      <c r="A129" s="22" t="str">
        <f>TabVMAzureEnvProjet[[#This Row],[Client]] &amp; " .:. "  &amp; TabVMAzureEnvProjet[[#This Row],[Projet]]</f>
        <v>MENESR .:. MENJ-BNIE</v>
      </c>
      <c r="B129" s="22" t="str">
        <f>IF(TabVMAzureEnvProjet[[#This Row],[Projet AzureDevOps]]&lt;&gt;"",TabVMAzureEnvProjet[[#This Row],[Projet AzureDevOps]],TabVMAzureEnvProjet[[#This Row],[VM]])</f>
        <v>MENJ-BNIE-Webservices</v>
      </c>
      <c r="C129" t="s">
        <v>47</v>
      </c>
      <c r="E129" t="s">
        <v>4</v>
      </c>
      <c r="F129" t="s">
        <v>45</v>
      </c>
      <c r="G129" t="str">
        <f>LOOKUP(TabVMAzureEnvProjet[[#This Row],[Projet]],TabProjets[NomProj],TabProjets[SYGES])</f>
        <v>MENESR/TMA</v>
      </c>
      <c r="H129" t="str">
        <f>LOOKUP(TabVMAzureEnvProjet[[#This Row],[Projet]],TabProjets[NomProj],TabProjets[CP])</f>
        <v>Pierre BOURLIEUX</v>
      </c>
      <c r="I129">
        <f>LOOKUP(TabVMAzureEnvProjet[[#This Row],[Code SYGES]],TabCONTRATSDI[Contrat SYGES],TabCONTRATSDI[Cost Center])</f>
        <v>305704</v>
      </c>
      <c r="J129" s="22" t="str">
        <f>LOOKUP(TabVMAzureEnvProjet[[#This Row],[Code SYGES]],TabCONTRATSDI[Contrat SYGES],TabCONTRATSDI[Client])</f>
        <v>MENESR</v>
      </c>
      <c r="K129" t="s">
        <v>148</v>
      </c>
      <c r="L129" s="31">
        <v>6.1156699869785545</v>
      </c>
    </row>
    <row r="130" spans="1:13" x14ac:dyDescent="0.25">
      <c r="A130" s="22" t="str">
        <f>TabVMAzureEnvProjet[[#This Row],[Client]] &amp; " .:. "  &amp; TabVMAzureEnvProjet[[#This Row],[Projet]]</f>
        <v>INETUM .:. INETUM-INTERNE</v>
      </c>
      <c r="B130" s="22" t="str">
        <f>IF(TabVMAzureEnvProjet[[#This Row],[Projet AzureDevOps]]&lt;&gt;"",TabVMAzureEnvProjet[[#This Row],[Projet AzureDevOps]],TabVMAzureEnvProjet[[#This Row],[VM]])</f>
        <v>d8-qa</v>
      </c>
      <c r="C130" t="s">
        <v>141</v>
      </c>
      <c r="E130" t="s">
        <v>4</v>
      </c>
      <c r="F130" t="s">
        <v>102</v>
      </c>
      <c r="G130" t="str">
        <f>LOOKUP(TabVMAzureEnvProjet[[#This Row],[Projet]],TabProjets[NomProj],TabProjets[SYGES])</f>
        <v>INETUM/PROJET_INTERNE</v>
      </c>
      <c r="H130" t="str">
        <f>LOOKUP(TabVMAzureEnvProjet[[#This Row],[Projet]],TabProjets[NomProj],TabProjets[CP])</f>
        <v>Christophe ORLANDO</v>
      </c>
      <c r="I130">
        <f>LOOKUP(TabVMAzureEnvProjet[[#This Row],[Code SYGES]],TabCONTRATSDI[Contrat SYGES],TabCONTRATSDI[Cost Center])</f>
        <v>305704</v>
      </c>
      <c r="J130" s="22" t="str">
        <f>LOOKUP(TabVMAzureEnvProjet[[#This Row],[Code SYGES]],TabCONTRATSDI[Contrat SYGES],TabCONTRATSDI[Client])</f>
        <v>INETUM</v>
      </c>
      <c r="K130" t="s">
        <v>148</v>
      </c>
      <c r="L130" s="31">
        <v>0.88039848311560154</v>
      </c>
    </row>
    <row r="131" spans="1:13" x14ac:dyDescent="0.25">
      <c r="A131" s="22" t="str">
        <f>TabVMAzureEnvProjet[[#This Row],[Client]] &amp; " .:. "  &amp; TabVMAzureEnvProjet[[#This Row],[Projet]]</f>
        <v>ONEMA .:. AFB-BASEINDICATEURS</v>
      </c>
      <c r="B131" s="22" t="str">
        <f>IF(TabVMAzureEnvProjet[[#This Row],[Projet AzureDevOps]]&lt;&gt;"",TabVMAzureEnvProjet[[#This Row],[Projet AzureDevOps]],TabVMAzureEnvProjet[[#This Row],[VM]])</f>
        <v>AFB-BaseIndicateurs</v>
      </c>
      <c r="C131" s="13" t="s">
        <v>58</v>
      </c>
      <c r="E131" t="s">
        <v>4</v>
      </c>
      <c r="F131" t="s">
        <v>57</v>
      </c>
      <c r="G131" t="str">
        <f>LOOKUP(TabVMAzureEnvProjet[[#This Row],[Projet]],TabProjets[NomProj],TabProjets[SYGES])</f>
        <v>ONEMA/TMADCUA-15</v>
      </c>
      <c r="H131" t="str">
        <f>LOOKUP(TabVMAzureEnvProjet[[#This Row],[Projet]],TabProjets[NomProj],TabProjets[CP])</f>
        <v>Pierre BOURLIEUX</v>
      </c>
      <c r="I131">
        <f>LOOKUP(TabVMAzureEnvProjet[[#This Row],[Code SYGES]],TabCONTRATSDI[Contrat SYGES],TabCONTRATSDI[Cost Center])</f>
        <v>305704</v>
      </c>
      <c r="J131" s="22" t="str">
        <f>LOOKUP(TabVMAzureEnvProjet[[#This Row],[Code SYGES]],TabCONTRATSDI[Contrat SYGES],TabCONTRATSDI[Client])</f>
        <v>ONEMA</v>
      </c>
      <c r="K131" t="s">
        <v>149</v>
      </c>
      <c r="L131" s="31">
        <v>0.85182438277083339</v>
      </c>
      <c r="M131" s="40"/>
    </row>
    <row r="132" spans="1:13" x14ac:dyDescent="0.25">
      <c r="A132" s="22" t="str">
        <f>TabVMAzureEnvProjet[[#This Row],[Client]] &amp; " .:. "  &amp; TabVMAzureEnvProjet[[#This Row],[Projet]]</f>
        <v>ONEMA .:. AFB-CATALOGUE</v>
      </c>
      <c r="B132" s="22" t="str">
        <f>IF(TabVMAzureEnvProjet[[#This Row],[Projet AzureDevOps]]&lt;&gt;"",TabVMAzureEnvProjet[[#This Row],[Projet AzureDevOps]],TabVMAzureEnvProjet[[#This Row],[VM]])</f>
        <v>AFB-Catalogue</v>
      </c>
      <c r="C132" s="13" t="s">
        <v>60</v>
      </c>
      <c r="E132" t="s">
        <v>4</v>
      </c>
      <c r="F132" t="s">
        <v>59</v>
      </c>
      <c r="G132" t="str">
        <f>LOOKUP(TabVMAzureEnvProjet[[#This Row],[Projet]],TabProjets[NomProj],TabProjets[SYGES])</f>
        <v>ONEMA/TMADCUA-15</v>
      </c>
      <c r="H132" t="str">
        <f>LOOKUP(TabVMAzureEnvProjet[[#This Row],[Projet]],TabProjets[NomProj],TabProjets[CP])</f>
        <v>Pierre BOURLIEUX</v>
      </c>
      <c r="I132">
        <f>LOOKUP(TabVMAzureEnvProjet[[#This Row],[Code SYGES]],TabCONTRATSDI[Contrat SYGES],TabCONTRATSDI[Cost Center])</f>
        <v>305704</v>
      </c>
      <c r="J132" s="22" t="str">
        <f>LOOKUP(TabVMAzureEnvProjet[[#This Row],[Code SYGES]],TabCONTRATSDI[Contrat SYGES],TabCONTRATSDI[Client])</f>
        <v>ONEMA</v>
      </c>
      <c r="K132" t="s">
        <v>149</v>
      </c>
      <c r="L132" s="31">
        <v>1.3456356191597223</v>
      </c>
      <c r="M132" s="40"/>
    </row>
    <row r="133" spans="1:13" x14ac:dyDescent="0.25">
      <c r="A133" s="22" t="str">
        <f>TabVMAzureEnvProjet[[#This Row],[Client]] &amp; " .:. "  &amp; TabVMAzureEnvProjet[[#This Row],[Projet]]</f>
        <v>ONEMA .:. AFB-CDR</v>
      </c>
      <c r="B133" s="22" t="str">
        <f>IF(TabVMAzureEnvProjet[[#This Row],[Projet AzureDevOps]]&lt;&gt;"",TabVMAzureEnvProjet[[#This Row],[Projet AzureDevOps]],TabVMAzureEnvProjet[[#This Row],[VM]])</f>
        <v>AFB-CDR</v>
      </c>
      <c r="C133" s="13" t="s">
        <v>61</v>
      </c>
      <c r="E133" t="s">
        <v>4</v>
      </c>
      <c r="F133" t="s">
        <v>61</v>
      </c>
      <c r="G133" t="str">
        <f>LOOKUP(TabVMAzureEnvProjet[[#This Row],[Projet]],TabProjets[NomProj],TabProjets[SYGES])</f>
        <v>ONEMA/TMAWEB-16</v>
      </c>
      <c r="H133" t="str">
        <f>LOOKUP(TabVMAzureEnvProjet[[#This Row],[Projet]],TabProjets[NomProj],TabProjets[CP])</f>
        <v>Pierre BOURLIEUX</v>
      </c>
      <c r="I133">
        <f>LOOKUP(TabVMAzureEnvProjet[[#This Row],[Code SYGES]],TabCONTRATSDI[Contrat SYGES],TabCONTRATSDI[Cost Center])</f>
        <v>305704</v>
      </c>
      <c r="J133" s="22" t="str">
        <f>LOOKUP(TabVMAzureEnvProjet[[#This Row],[Code SYGES]],TabCONTRATSDI[Contrat SYGES],TabCONTRATSDI[Client])</f>
        <v>ONEMA</v>
      </c>
      <c r="K133" t="s">
        <v>149</v>
      </c>
      <c r="L133" s="31">
        <v>6.9803745486686513</v>
      </c>
      <c r="M133" s="40"/>
    </row>
    <row r="134" spans="1:13" x14ac:dyDescent="0.25">
      <c r="A134" s="22" t="str">
        <f>TabVMAzureEnvProjet[[#This Row],[Client]] &amp; " .:. "  &amp; TabVMAzureEnvProjet[[#This Row],[Projet]]</f>
        <v>AFB .:. AFB-CESMIA</v>
      </c>
      <c r="B134" s="22" t="str">
        <f>IF(TabVMAzureEnvProjet[[#This Row],[Projet AzureDevOps]]&lt;&gt;"",TabVMAzureEnvProjet[[#This Row],[Projet AzureDevOps]],TabVMAzureEnvProjet[[#This Row],[VM]])</f>
        <v>AFB-CESMIA</v>
      </c>
      <c r="C134" s="13" t="s">
        <v>3</v>
      </c>
      <c r="E134" t="s">
        <v>4</v>
      </c>
      <c r="F134" t="s">
        <v>3</v>
      </c>
      <c r="G134" t="str">
        <f>LOOKUP(TabVMAzureEnvProjet[[#This Row],[Projet]],TabProjets[NomProj],TabProjets[SYGES])</f>
        <v>AFB/OFB_LOT1</v>
      </c>
      <c r="H134" t="str">
        <f>LOOKUP(TabVMAzureEnvProjet[[#This Row],[Projet]],TabProjets[NomProj],TabProjets[CP])</f>
        <v>Jean-Philippe STROIAZZO</v>
      </c>
      <c r="I134">
        <f>LOOKUP(TabVMAzureEnvProjet[[#This Row],[Code SYGES]],TabCONTRATSDI[Contrat SYGES],TabCONTRATSDI[Cost Center])</f>
        <v>305704</v>
      </c>
      <c r="J134" s="22" t="str">
        <f>LOOKUP(TabVMAzureEnvProjet[[#This Row],[Code SYGES]],TabCONTRATSDI[Contrat SYGES],TabCONTRATSDI[Client])</f>
        <v>AFB</v>
      </c>
      <c r="K134" t="s">
        <v>149</v>
      </c>
      <c r="L134" s="31">
        <v>12.380881407715851</v>
      </c>
      <c r="M134" s="40"/>
    </row>
    <row r="135" spans="1:13" x14ac:dyDescent="0.25">
      <c r="A135" s="22" t="str">
        <f>TabVMAzureEnvProjet[[#This Row],[Client]] &amp; " .:. "  &amp; TabVMAzureEnvProjet[[#This Row],[Projet]]</f>
        <v>ONEMA .:. AFB-OISON</v>
      </c>
      <c r="B135" s="22" t="str">
        <f>IF(TabVMAzureEnvProjet[[#This Row],[Projet AzureDevOps]]&lt;&gt;"",TabVMAzureEnvProjet[[#This Row],[Projet AzureDevOps]],TabVMAzureEnvProjet[[#This Row],[VM]])</f>
        <v>AFB-OISON</v>
      </c>
      <c r="C135" s="13" t="s">
        <v>62</v>
      </c>
      <c r="E135" t="s">
        <v>4</v>
      </c>
      <c r="F135" t="s">
        <v>62</v>
      </c>
      <c r="G135" t="str">
        <f>LOOKUP(TabVMAzureEnvProjet[[#This Row],[Projet]],TabProjets[NomProj],TabProjets[SYGES])</f>
        <v>ONEMA/TMADCUA-15</v>
      </c>
      <c r="H135" t="str">
        <f>LOOKUP(TabVMAzureEnvProjet[[#This Row],[Projet]],TabProjets[NomProj],TabProjets[CP])</f>
        <v>Jean-Philippe STROIAZZO</v>
      </c>
      <c r="I135">
        <f>LOOKUP(TabVMAzureEnvProjet[[#This Row],[Code SYGES]],TabCONTRATSDI[Contrat SYGES],TabCONTRATSDI[Cost Center])</f>
        <v>305704</v>
      </c>
      <c r="J135" s="22" t="str">
        <f>LOOKUP(TabVMAzureEnvProjet[[#This Row],[Code SYGES]],TabCONTRATSDI[Contrat SYGES],TabCONTRATSDI[Client])</f>
        <v>ONEMA</v>
      </c>
      <c r="K135" t="s">
        <v>149</v>
      </c>
      <c r="L135" s="31">
        <v>2.9369542479850628</v>
      </c>
      <c r="M135" s="40"/>
    </row>
    <row r="136" spans="1:13" x14ac:dyDescent="0.25">
      <c r="A136" s="22" t="str">
        <f>TabVMAzureEnvProjet[[#This Row],[Client]] &amp; " .:. "  &amp; TabVMAzureEnvProjet[[#This Row],[Projet]]</f>
        <v>ONEMA .:. AFB-PATBIODIV</v>
      </c>
      <c r="B136" s="22" t="str">
        <f>IF(TabVMAzureEnvProjet[[#This Row],[Projet AzureDevOps]]&lt;&gt;"",TabVMAzureEnvProjet[[#This Row],[Projet AzureDevOps]],TabVMAzureEnvProjet[[#This Row],[VM]])</f>
        <v>AFB-PATBiodiv</v>
      </c>
      <c r="C136" s="13" t="s">
        <v>64</v>
      </c>
      <c r="E136" t="s">
        <v>4</v>
      </c>
      <c r="F136" t="s">
        <v>63</v>
      </c>
      <c r="G136" t="str">
        <f>LOOKUP(TabVMAzureEnvProjet[[#This Row],[Projet]],TabProjets[NomProj],TabProjets[SYGES])</f>
        <v>ONEMA/TMADCUA-15</v>
      </c>
      <c r="H136" t="str">
        <f>LOOKUP(TabVMAzureEnvProjet[[#This Row],[Projet]],TabProjets[NomProj],TabProjets[CP])</f>
        <v>Rodolphe HABEGGER</v>
      </c>
      <c r="I136">
        <f>LOOKUP(TabVMAzureEnvProjet[[#This Row],[Code SYGES]],TabCONTRATSDI[Contrat SYGES],TabCONTRATSDI[Cost Center])</f>
        <v>305704</v>
      </c>
      <c r="J136" s="22" t="str">
        <f>LOOKUP(TabVMAzureEnvProjet[[#This Row],[Code SYGES]],TabCONTRATSDI[Contrat SYGES],TabCONTRATSDI[Client])</f>
        <v>ONEMA</v>
      </c>
      <c r="K136" t="s">
        <v>149</v>
      </c>
      <c r="L136" s="31">
        <v>6.3560560569484128</v>
      </c>
      <c r="M136" s="40"/>
    </row>
    <row r="137" spans="1:13" x14ac:dyDescent="0.25">
      <c r="A137" s="22" t="str">
        <f>TabVMAzureEnvProjet[[#This Row],[Client]] &amp; " .:. "  &amp; TabVMAzureEnvProjet[[#This Row],[Projet]]</f>
        <v>AFB .:. AFB-PNM</v>
      </c>
      <c r="B137" s="22" t="str">
        <f>IF(TabVMAzureEnvProjet[[#This Row],[Projet AzureDevOps]]&lt;&gt;"",TabVMAzureEnvProjet[[#This Row],[Projet AzureDevOps]],TabVMAzureEnvProjet[[#This Row],[VM]])</f>
        <v>AFB-PNM</v>
      </c>
      <c r="C137" s="13" t="s">
        <v>5</v>
      </c>
      <c r="E137" t="s">
        <v>4</v>
      </c>
      <c r="F137" t="s">
        <v>5</v>
      </c>
      <c r="G137" t="str">
        <f>LOOKUP(TabVMAzureEnvProjet[[#This Row],[Projet]],TabProjets[NomProj],TabProjets[SYGES])</f>
        <v>AFB/OFB_LOT2</v>
      </c>
      <c r="H137" t="str">
        <f>LOOKUP(TabVMAzureEnvProjet[[#This Row],[Projet]],TabProjets[NomProj],TabProjets[CP])</f>
        <v>Eric RAUCOURT</v>
      </c>
      <c r="I137">
        <f>LOOKUP(TabVMAzureEnvProjet[[#This Row],[Code SYGES]],TabCONTRATSDI[Contrat SYGES],TabCONTRATSDI[Cost Center])</f>
        <v>305704</v>
      </c>
      <c r="J137" s="22" t="str">
        <f>LOOKUP(TabVMAzureEnvProjet[[#This Row],[Code SYGES]],TabCONTRATSDI[Contrat SYGES],TabCONTRATSDI[Client])</f>
        <v>AFB</v>
      </c>
      <c r="K137" t="s">
        <v>149</v>
      </c>
      <c r="L137" s="31">
        <v>9.7601690001668295</v>
      </c>
      <c r="M137" s="40"/>
    </row>
    <row r="138" spans="1:13" x14ac:dyDescent="0.25">
      <c r="A138" s="22" t="str">
        <f>TabVMAzureEnvProjet[[#This Row],[Client]] &amp; " .:. "  &amp; TabVMAzureEnvProjet[[#This Row],[Projet]]</f>
        <v>AFB .:. AFB-PNX</v>
      </c>
      <c r="B138" s="22" t="str">
        <f>IF(TabVMAzureEnvProjet[[#This Row],[Projet AzureDevOps]]&lt;&gt;"",TabVMAzureEnvProjet[[#This Row],[Projet AzureDevOps]],TabVMAzureEnvProjet[[#This Row],[VM]])</f>
        <v>AFB-PNX</v>
      </c>
      <c r="C138" s="13" t="s">
        <v>8</v>
      </c>
      <c r="E138" t="s">
        <v>4</v>
      </c>
      <c r="F138" t="s">
        <v>8</v>
      </c>
      <c r="G138" t="str">
        <f>LOOKUP(TabVMAzureEnvProjet[[#This Row],[Projet]],TabProjets[NomProj],TabProjets[SYGES])</f>
        <v>AFB/OFB_LOT2</v>
      </c>
      <c r="H138" t="str">
        <f>LOOKUP(TabVMAzureEnvProjet[[#This Row],[Projet]],TabProjets[NomProj],TabProjets[CP])</f>
        <v>Pierre BOURLIEUX</v>
      </c>
      <c r="I138">
        <f>LOOKUP(TabVMAzureEnvProjet[[#This Row],[Code SYGES]],TabCONTRATSDI[Contrat SYGES],TabCONTRATSDI[Cost Center])</f>
        <v>305704</v>
      </c>
      <c r="J138" s="22" t="str">
        <f>LOOKUP(TabVMAzureEnvProjet[[#This Row],[Code SYGES]],TabCONTRATSDI[Contrat SYGES],TabCONTRATSDI[Client])</f>
        <v>AFB</v>
      </c>
      <c r="K138" t="s">
        <v>149</v>
      </c>
      <c r="L138" s="31">
        <v>2.703616519229167</v>
      </c>
      <c r="M138" s="40"/>
    </row>
    <row r="139" spans="1:13" x14ac:dyDescent="0.25">
      <c r="A139" s="22" t="str">
        <f>TabVMAzureEnvProjet[[#This Row],[Client]] &amp; " .:. "  &amp; TabVMAzureEnvProjet[[#This Row],[Projet]]</f>
        <v>ALM .:. ALM-ATOUT</v>
      </c>
      <c r="B139" s="22" t="str">
        <f>IF(TabVMAzureEnvProjet[[#This Row],[Projet AzureDevOps]]&lt;&gt;"",TabVMAzureEnvProjet[[#This Row],[Projet AzureDevOps]],TabVMAzureEnvProjet[[#This Row],[VM]])</f>
        <v>ALM-ATOUT</v>
      </c>
      <c r="C139" s="13" t="s">
        <v>17</v>
      </c>
      <c r="E139" t="s">
        <v>4</v>
      </c>
      <c r="F139" t="s">
        <v>17</v>
      </c>
      <c r="G139" t="str">
        <f>LOOKUP(TabVMAzureEnvProjet[[#This Row],[Projet]],TabProjets[NomProj],TabProjets[SYGES])</f>
        <v>ALM/TMA_ATOUT</v>
      </c>
      <c r="H139" t="str">
        <f>LOOKUP(TabVMAzureEnvProjet[[#This Row],[Projet]],TabProjets[NomProj],TabProjets[CP])</f>
        <v>Alice MARCHAL</v>
      </c>
      <c r="I139">
        <f>LOOKUP(TabVMAzureEnvProjet[[#This Row],[Code SYGES]],TabCONTRATSDI[Contrat SYGES],TabCONTRATSDI[Cost Center])</f>
        <v>305704</v>
      </c>
      <c r="J139" s="22" t="str">
        <f>LOOKUP(TabVMAzureEnvProjet[[#This Row],[Code SYGES]],TabCONTRATSDI[Contrat SYGES],TabCONTRATSDI[Client])</f>
        <v>ALM</v>
      </c>
      <c r="K139" t="s">
        <v>149</v>
      </c>
      <c r="L139" s="31">
        <v>23.390253757797531</v>
      </c>
      <c r="M139" s="40"/>
    </row>
    <row r="140" spans="1:13" x14ac:dyDescent="0.25">
      <c r="A140" s="22" t="str">
        <f>TabVMAzureEnvProjet[[#This Row],[Client]] &amp; " .:. "  &amp; TabVMAzureEnvProjet[[#This Row],[Projet]]</f>
        <v>BRGM .:. BRGM-ORRM</v>
      </c>
      <c r="B140" s="22" t="str">
        <f>IF(TabVMAzureEnvProjet[[#This Row],[Projet AzureDevOps]]&lt;&gt;"",TabVMAzureEnvProjet[[#This Row],[Projet AzureDevOps]],TabVMAzureEnvProjet[[#This Row],[VM]])</f>
        <v>BRGM-ORRM</v>
      </c>
      <c r="C140" s="13" t="s">
        <v>20</v>
      </c>
      <c r="E140" t="s">
        <v>4</v>
      </c>
      <c r="F140" t="s">
        <v>20</v>
      </c>
      <c r="G140" t="str">
        <f>LOOKUP(TabVMAzureEnvProjet[[#This Row],[Projet]],TabProjets[NomProj],TabProjets[SYGES])</f>
        <v>BRGM/TMA-5-1-ORRM-LOT1</v>
      </c>
      <c r="H140" t="str">
        <f>LOOKUP(TabVMAzureEnvProjet[[#This Row],[Projet]],TabProjets[NomProj],TabProjets[CP])</f>
        <v>Alice MARCHAL</v>
      </c>
      <c r="I140">
        <f>LOOKUP(TabVMAzureEnvProjet[[#This Row],[Code SYGES]],TabCONTRATSDI[Contrat SYGES],TabCONTRATSDI[Cost Center])</f>
        <v>305704</v>
      </c>
      <c r="J140" s="22" t="str">
        <f>LOOKUP(TabVMAzureEnvProjet[[#This Row],[Code SYGES]],TabCONTRATSDI[Contrat SYGES],TabCONTRATSDI[Client])</f>
        <v>BRGM</v>
      </c>
      <c r="K140" t="s">
        <v>149</v>
      </c>
      <c r="L140" s="31">
        <v>7.4485250827897964</v>
      </c>
      <c r="M140" s="40"/>
    </row>
    <row r="141" spans="1:13" x14ac:dyDescent="0.25">
      <c r="A141" s="22" t="str">
        <f>TabVMAzureEnvProjet[[#This Row],[Client]] &amp; " .:. "  &amp; TabVMAzureEnvProjet[[#This Row],[Projet]]</f>
        <v>CNAV .:. CNAV-BI-RGCU</v>
      </c>
      <c r="B141" s="22" t="str">
        <f>IF(TabVMAzureEnvProjet[[#This Row],[Projet AzureDevOps]]&lt;&gt;"",TabVMAzureEnvProjet[[#This Row],[Projet AzureDevOps]],TabVMAzureEnvProjet[[#This Row],[VM]])</f>
        <v>CNAV-BI-RGCU</v>
      </c>
      <c r="C141" s="13" t="s">
        <v>27</v>
      </c>
      <c r="E141" t="s">
        <v>4</v>
      </c>
      <c r="F141" t="s">
        <v>27</v>
      </c>
      <c r="G141" t="str">
        <f>LOOKUP(TabVMAzureEnvProjet[[#This Row],[Projet]],TabProjets[NomProj],TabProjets[SYGES])</f>
        <v>CNAV/BI-SIRRGCU</v>
      </c>
      <c r="H141" t="str">
        <f>LOOKUP(TabVMAzureEnvProjet[[#This Row],[Projet]],TabProjets[NomProj],TabProjets[CP])</f>
        <v>Valerie ASSELIN LOZACHMEUR</v>
      </c>
      <c r="I141">
        <f>LOOKUP(TabVMAzureEnvProjet[[#This Row],[Code SYGES]],TabCONTRATSDI[Contrat SYGES],TabCONTRATSDI[Cost Center])</f>
        <v>305704</v>
      </c>
      <c r="J141" s="22" t="str">
        <f>LOOKUP(TabVMAzureEnvProjet[[#This Row],[Code SYGES]],TabCONTRATSDI[Contrat SYGES],TabCONTRATSDI[Client])</f>
        <v>CNAV</v>
      </c>
      <c r="K141" t="s">
        <v>149</v>
      </c>
      <c r="L141" s="31">
        <v>11.110752818750001</v>
      </c>
      <c r="M141" s="40"/>
    </row>
    <row r="142" spans="1:13" x14ac:dyDescent="0.25">
      <c r="A142" s="22" t="str">
        <f>TabVMAzureEnvProjet[[#This Row],[Client]] &amp; " .:. "  &amp; TabVMAzureEnvProjet[[#This Row],[Projet]]</f>
        <v>INETUM .:. INETUM-INTERNE</v>
      </c>
      <c r="B142" s="22" t="str">
        <f>IF(TabVMAzureEnvProjet[[#This Row],[Projet AzureDevOps]]&lt;&gt;"",TabVMAzureEnvProjet[[#This Row],[Projet AzureDevOps]],TabVMAzureEnvProjet[[#This Row],[VM]])</f>
        <v>d8-qa</v>
      </c>
      <c r="C142" s="13" t="s">
        <v>141</v>
      </c>
      <c r="E142" t="s">
        <v>4</v>
      </c>
      <c r="F142" t="s">
        <v>102</v>
      </c>
      <c r="G142" t="str">
        <f>LOOKUP(TabVMAzureEnvProjet[[#This Row],[Projet]],TabProjets[NomProj],TabProjets[SYGES])</f>
        <v>INETUM/PROJET_INTERNE</v>
      </c>
      <c r="H142" t="str">
        <f>LOOKUP(TabVMAzureEnvProjet[[#This Row],[Projet]],TabProjets[NomProj],TabProjets[CP])</f>
        <v>Christophe ORLANDO</v>
      </c>
      <c r="I142">
        <f>LOOKUP(TabVMAzureEnvProjet[[#This Row],[Code SYGES]],TabCONTRATSDI[Contrat SYGES],TabCONTRATSDI[Cost Center])</f>
        <v>305704</v>
      </c>
      <c r="J142" s="22" t="str">
        <f>LOOKUP(TabVMAzureEnvProjet[[#This Row],[Code SYGES]],TabCONTRATSDI[Contrat SYGES],TabCONTRATSDI[Client])</f>
        <v>INETUM</v>
      </c>
      <c r="K142" t="s">
        <v>149</v>
      </c>
      <c r="L142" s="31">
        <v>0.85182438277083339</v>
      </c>
      <c r="M142" s="40"/>
    </row>
    <row r="143" spans="1:13" x14ac:dyDescent="0.25">
      <c r="A143" s="22" t="str">
        <f>TabVMAzureEnvProjet[[#This Row],[Client]] &amp; " .:. "  &amp; TabVMAzureEnvProjet[[#This Row],[Projet]]</f>
        <v>INETUM .:. INETUM-INTERNE</v>
      </c>
      <c r="B143" s="22" t="str">
        <f>IF(TabVMAzureEnvProjet[[#This Row],[Projet AzureDevOps]]&lt;&gt;"",TabVMAzureEnvProjet[[#This Row],[Projet AzureDevOps]],TabVMAzureEnvProjet[[#This Row],[VM]])</f>
        <v>drupal-qa</v>
      </c>
      <c r="C143" s="13" t="s">
        <v>142</v>
      </c>
      <c r="E143" t="s">
        <v>4</v>
      </c>
      <c r="F143" t="s">
        <v>102</v>
      </c>
      <c r="G143" t="str">
        <f>LOOKUP(TabVMAzureEnvProjet[[#This Row],[Projet]],TabProjets[NomProj],TabProjets[SYGES])</f>
        <v>INETUM/PROJET_INTERNE</v>
      </c>
      <c r="H143" t="str">
        <f>LOOKUP(TabVMAzureEnvProjet[[#This Row],[Projet]],TabProjets[NomProj],TabProjets[CP])</f>
        <v>Christophe ORLANDO</v>
      </c>
      <c r="I143">
        <f>LOOKUP(TabVMAzureEnvProjet[[#This Row],[Code SYGES]],TabCONTRATSDI[Contrat SYGES],TabCONTRATSDI[Cost Center])</f>
        <v>305704</v>
      </c>
      <c r="J143" s="22" t="str">
        <f>LOOKUP(TabVMAzureEnvProjet[[#This Row],[Code SYGES]],TabCONTRATSDI[Contrat SYGES],TabCONTRATSDI[Client])</f>
        <v>INETUM</v>
      </c>
      <c r="K143" t="s">
        <v>149</v>
      </c>
      <c r="L143" s="31">
        <v>0.85182438277083339</v>
      </c>
      <c r="M143" s="40"/>
    </row>
    <row r="144" spans="1:13" x14ac:dyDescent="0.25">
      <c r="A144" s="22" t="str">
        <f>TabVMAzureEnvProjet[[#This Row],[Client]] &amp; " .:. "  &amp; TabVMAzureEnvProjet[[#This Row],[Projet]]</f>
        <v>FRR .:. FRR-DIGIPAT</v>
      </c>
      <c r="B144" s="22" t="str">
        <f>IF(TabVMAzureEnvProjet[[#This Row],[Projet AzureDevOps]]&lt;&gt;"",TabVMAzureEnvProjet[[#This Row],[Projet AzureDevOps]],TabVMAzureEnvProjet[[#This Row],[VM]])</f>
        <v>FRR DIGIPAT</v>
      </c>
      <c r="C144" s="13" t="s">
        <v>30</v>
      </c>
      <c r="E144" t="s">
        <v>4</v>
      </c>
      <c r="F144" t="s">
        <v>29</v>
      </c>
      <c r="G144" t="str">
        <f>LOOKUP(TabVMAzureEnvProjet[[#This Row],[Projet]],TabProjets[NomProj],TabProjets[SYGES])</f>
        <v>FRR/TMASI</v>
      </c>
      <c r="H144" t="str">
        <f>LOOKUP(TabVMAzureEnvProjet[[#This Row],[Projet]],TabProjets[NomProj],TabProjets[CP])</f>
        <v>Alice MARCHAL</v>
      </c>
      <c r="I144">
        <f>LOOKUP(TabVMAzureEnvProjet[[#This Row],[Code SYGES]],TabCONTRATSDI[Contrat SYGES],TabCONTRATSDI[Cost Center])</f>
        <v>305704</v>
      </c>
      <c r="J144" s="22" t="str">
        <f>LOOKUP(TabVMAzureEnvProjet[[#This Row],[Code SYGES]],TabCONTRATSDI[Contrat SYGES],TabCONTRATSDI[Client])</f>
        <v>FRR</v>
      </c>
      <c r="K144" t="s">
        <v>149</v>
      </c>
      <c r="L144" s="31">
        <v>7.6893463951984131</v>
      </c>
      <c r="M144" s="40"/>
    </row>
    <row r="145" spans="1:13" x14ac:dyDescent="0.25">
      <c r="A145" s="22" t="str">
        <f>TabVMAzureEnvProjet[[#This Row],[Client]] &amp; " .:. "  &amp; TabVMAzureEnvProjet[[#This Row],[Projet]]</f>
        <v>INETUM .:. INETUM-INTERNE</v>
      </c>
      <c r="B145" s="22" t="str">
        <f>IF(TabVMAzureEnvProjet[[#This Row],[Projet AzureDevOps]]&lt;&gt;"",TabVMAzureEnvProjet[[#This Row],[Projet AzureDevOps]],TabVMAzureEnvProjet[[#This Row],[VM]])</f>
        <v>GFI-D8-BS4-THEME</v>
      </c>
      <c r="C145" s="13" t="s">
        <v>103</v>
      </c>
      <c r="E145" t="s">
        <v>4</v>
      </c>
      <c r="F145" t="s">
        <v>102</v>
      </c>
      <c r="G145" t="str">
        <f>LOOKUP(TabVMAzureEnvProjet[[#This Row],[Projet]],TabProjets[NomProj],TabProjets[SYGES])</f>
        <v>INETUM/PROJET_INTERNE</v>
      </c>
      <c r="H145" t="str">
        <f>LOOKUP(TabVMAzureEnvProjet[[#This Row],[Projet]],TabProjets[NomProj],TabProjets[CP])</f>
        <v>Christophe ORLANDO</v>
      </c>
      <c r="I145">
        <f>LOOKUP(TabVMAzureEnvProjet[[#This Row],[Code SYGES]],TabCONTRATSDI[Contrat SYGES],TabCONTRATSDI[Cost Center])</f>
        <v>305704</v>
      </c>
      <c r="J145" s="22" t="str">
        <f>LOOKUP(TabVMAzureEnvProjet[[#This Row],[Code SYGES]],TabCONTRATSDI[Contrat SYGES],TabCONTRATSDI[Client])</f>
        <v>INETUM</v>
      </c>
      <c r="K145" t="s">
        <v>149</v>
      </c>
      <c r="L145" s="31">
        <v>1.6789582037222224</v>
      </c>
      <c r="M145" s="40"/>
    </row>
    <row r="146" spans="1:13" x14ac:dyDescent="0.25">
      <c r="A146" s="22" t="str">
        <f>TabVMAzureEnvProjet[[#This Row],[Client]] &amp; " .:. "  &amp; TabVMAzureEnvProjet[[#This Row],[Projet]]</f>
        <v>INETUM .:. INETUM-INTERNE</v>
      </c>
      <c r="B146" s="22" t="str">
        <f>IF(TabVMAzureEnvProjet[[#This Row],[Projet AzureDevOps]]&lt;&gt;"",TabVMAzureEnvProjet[[#This Row],[Projet AzureDevOps]],TabVMAzureEnvProjet[[#This Row],[VM]])</f>
        <v>GFI-MineReport</v>
      </c>
      <c r="C146" s="13" t="s">
        <v>104</v>
      </c>
      <c r="E146" t="s">
        <v>4</v>
      </c>
      <c r="F146" t="s">
        <v>102</v>
      </c>
      <c r="G146" t="str">
        <f>LOOKUP(TabVMAzureEnvProjet[[#This Row],[Projet]],TabProjets[NomProj],TabProjets[SYGES])</f>
        <v>INETUM/PROJET_INTERNE</v>
      </c>
      <c r="H146" t="str">
        <f>LOOKUP(TabVMAzureEnvProjet[[#This Row],[Projet]],TabProjets[NomProj],TabProjets[CP])</f>
        <v>Christophe ORLANDO</v>
      </c>
      <c r="I146">
        <f>LOOKUP(TabVMAzureEnvProjet[[#This Row],[Code SYGES]],TabCONTRATSDI[Contrat SYGES],TabCONTRATSDI[Cost Center])</f>
        <v>305704</v>
      </c>
      <c r="J146" s="22" t="str">
        <f>LOOKUP(TabVMAzureEnvProjet[[#This Row],[Code SYGES]],TabCONTRATSDI[Contrat SYGES],TabCONTRATSDI[Client])</f>
        <v>INETUM</v>
      </c>
      <c r="K146" t="s">
        <v>149</v>
      </c>
      <c r="L146" s="31">
        <v>3.5184050592708336</v>
      </c>
      <c r="M146" s="40"/>
    </row>
    <row r="147" spans="1:13" x14ac:dyDescent="0.25">
      <c r="A147" s="22" t="str">
        <f>TabVMAzureEnvProjet[[#This Row],[Client]] &amp; " .:. "  &amp; TabVMAzureEnvProjet[[#This Row],[Projet]]</f>
        <v>INETUM .:. INETUM-INTERNE</v>
      </c>
      <c r="B147" s="22" t="str">
        <f>IF(TabVMAzureEnvProjet[[#This Row],[Projet AzureDevOps]]&lt;&gt;"",TabVMAzureEnvProjet[[#This Row],[Projet AzureDevOps]],TabVMAzureEnvProjet[[#This Row],[VM]])</f>
        <v>GFI-RedmineDocker</v>
      </c>
      <c r="C147" s="13" t="s">
        <v>105</v>
      </c>
      <c r="E147" t="s">
        <v>4</v>
      </c>
      <c r="F147" t="s">
        <v>102</v>
      </c>
      <c r="G147" t="str">
        <f>LOOKUP(TabVMAzureEnvProjet[[#This Row],[Projet]],TabProjets[NomProj],TabProjets[SYGES])</f>
        <v>INETUM/PROJET_INTERNE</v>
      </c>
      <c r="H147" t="str">
        <f>LOOKUP(TabVMAzureEnvProjet[[#This Row],[Projet]],TabProjets[NomProj],TabProjets[CP])</f>
        <v>Christophe ORLANDO</v>
      </c>
      <c r="I147">
        <f>LOOKUP(TabVMAzureEnvProjet[[#This Row],[Code SYGES]],TabCONTRATSDI[Contrat SYGES],TabCONTRATSDI[Cost Center])</f>
        <v>305704</v>
      </c>
      <c r="J147" s="22" t="str">
        <f>LOOKUP(TabVMAzureEnvProjet[[#This Row],[Code SYGES]],TabCONTRATSDI[Contrat SYGES],TabCONTRATSDI[Client])</f>
        <v>INETUM</v>
      </c>
      <c r="K147" t="s">
        <v>149</v>
      </c>
      <c r="L147" s="31">
        <v>1.1287113974603176</v>
      </c>
      <c r="M147" s="40"/>
    </row>
    <row r="148" spans="1:13" x14ac:dyDescent="0.25">
      <c r="A148" s="22" t="str">
        <f>TabVMAzureEnvProjet[[#This Row],[Client]] &amp; " .:. "  &amp; TabVMAzureEnvProjet[[#This Row],[Projet]]</f>
        <v>INETUM .:. INETUM-INTERNE</v>
      </c>
      <c r="B148" s="22" t="str">
        <f>IF(TabVMAzureEnvProjet[[#This Row],[Projet AzureDevOps]]&lt;&gt;"",TabVMAzureEnvProjet[[#This Row],[Projet AzureDevOps]],TabVMAzureEnvProjet[[#This Row],[VM]])</f>
        <v>GFI-WAAC</v>
      </c>
      <c r="C148" s="13" t="s">
        <v>38</v>
      </c>
      <c r="E148" t="s">
        <v>4</v>
      </c>
      <c r="F148" t="s">
        <v>102</v>
      </c>
      <c r="G148" t="str">
        <f>LOOKUP(TabVMAzureEnvProjet[[#This Row],[Projet]],TabProjets[NomProj],TabProjets[SYGES])</f>
        <v>INETUM/PROJET_INTERNE</v>
      </c>
      <c r="H148" t="str">
        <f>LOOKUP(TabVMAzureEnvProjet[[#This Row],[Projet]],TabProjets[NomProj],TabProjets[CP])</f>
        <v>Christophe ORLANDO</v>
      </c>
      <c r="I148">
        <f>LOOKUP(TabVMAzureEnvProjet[[#This Row],[Code SYGES]],TabCONTRATSDI[Contrat SYGES],TabCONTRATSDI[Cost Center])</f>
        <v>305704</v>
      </c>
      <c r="J148" s="22" t="str">
        <f>LOOKUP(TabVMAzureEnvProjet[[#This Row],[Code SYGES]],TabCONTRATSDI[Contrat SYGES],TabCONTRATSDI[Client])</f>
        <v>INETUM</v>
      </c>
      <c r="K148" t="s">
        <v>149</v>
      </c>
      <c r="L148" s="31">
        <v>0.29628674183333337</v>
      </c>
      <c r="M148" s="40"/>
    </row>
    <row r="149" spans="1:13" x14ac:dyDescent="0.25">
      <c r="A149" s="22" t="str">
        <f>TabVMAzureEnvProjet[[#This Row],[Client]] &amp; " .:. "  &amp; TabVMAzureEnvProjet[[#This Row],[Projet]]</f>
        <v>GLI .:. GLI-APIBIOMETRIE</v>
      </c>
      <c r="B149" s="22" t="str">
        <f>IF(TabVMAzureEnvProjet[[#This Row],[Projet AzureDevOps]]&lt;&gt;"",TabVMAzureEnvProjet[[#This Row],[Projet AzureDevOps]],TabVMAzureEnvProjet[[#This Row],[VM]])</f>
        <v>GLI-APIBiometrie</v>
      </c>
      <c r="C149" s="13" t="s">
        <v>42</v>
      </c>
      <c r="E149" t="s">
        <v>4</v>
      </c>
      <c r="F149" t="s">
        <v>41</v>
      </c>
      <c r="G149" t="str">
        <f>LOOKUP(TabVMAzureEnvProjet[[#This Row],[Projet]],TabProjets[NomProj],TabProjets[SYGES])</f>
        <v>GLI/BIOMETRIE</v>
      </c>
      <c r="H149" t="str">
        <f>LOOKUP(TabVMAzureEnvProjet[[#This Row],[Projet]],TabProjets[NomProj],TabProjets[CP])</f>
        <v>Rodolphe HABEGGER</v>
      </c>
      <c r="I149">
        <f>LOOKUP(TabVMAzureEnvProjet[[#This Row],[Code SYGES]],TabCONTRATSDI[Contrat SYGES],TabCONTRATSDI[Cost Center])</f>
        <v>305704</v>
      </c>
      <c r="J149" s="22" t="str">
        <f>LOOKUP(TabVMAzureEnvProjet[[#This Row],[Code SYGES]],TabCONTRATSDI[Contrat SYGES],TabCONTRATSDI[Client])</f>
        <v>GLI</v>
      </c>
      <c r="K149" t="s">
        <v>149</v>
      </c>
      <c r="L149" s="31">
        <v>4.2523199357005685</v>
      </c>
      <c r="M149" s="40"/>
    </row>
    <row r="150" spans="1:13" x14ac:dyDescent="0.25">
      <c r="A150" s="22" t="str">
        <f>TabVMAzureEnvProjet[[#This Row],[Client]] &amp; " .:. "  &amp; TabVMAzureEnvProjet[[#This Row],[Projet]]</f>
        <v>INETUM .:. INETUM-INTERNE</v>
      </c>
      <c r="B150" s="22" t="str">
        <f>IF(TabVMAzureEnvProjet[[#This Row],[Projet AzureDevOps]]&lt;&gt;"",TabVMAzureEnvProjet[[#This Row],[Projet AzureDevOps]],TabVMAzureEnvProjet[[#This Row],[VM]])</f>
        <v>LAPOSTE-Musee</v>
      </c>
      <c r="C150" s="13" t="s">
        <v>150</v>
      </c>
      <c r="E150" t="s">
        <v>4</v>
      </c>
      <c r="F150" t="s">
        <v>102</v>
      </c>
      <c r="G150" t="str">
        <f>LOOKUP(TabVMAzureEnvProjet[[#This Row],[Projet]],TabProjets[NomProj],TabProjets[SYGES])</f>
        <v>INETUM/PROJET_INTERNE</v>
      </c>
      <c r="H150" t="str">
        <f>LOOKUP(TabVMAzureEnvProjet[[#This Row],[Projet]],TabProjets[NomProj],TabProjets[CP])</f>
        <v>Christophe ORLANDO</v>
      </c>
      <c r="I150">
        <f>LOOKUP(TabVMAzureEnvProjet[[#This Row],[Code SYGES]],TabCONTRATSDI[Contrat SYGES],TabCONTRATSDI[Cost Center])</f>
        <v>305704</v>
      </c>
      <c r="J150" s="22" t="str">
        <f>LOOKUP(TabVMAzureEnvProjet[[#This Row],[Code SYGES]],TabCONTRATSDI[Contrat SYGES],TabCONTRATSDI[Client])</f>
        <v>INETUM</v>
      </c>
      <c r="K150" t="s">
        <v>149</v>
      </c>
      <c r="L150" s="31">
        <v>2.7459431966339287</v>
      </c>
      <c r="M150" s="40"/>
    </row>
    <row r="151" spans="1:13" x14ac:dyDescent="0.25">
      <c r="A151" s="22" t="str">
        <f>TabVMAzureEnvProjet[[#This Row],[Client]] &amp; " .:. "  &amp; TabVMAzureEnvProjet[[#This Row],[Projet]]</f>
        <v>MENESR .:. MENJ-APAE</v>
      </c>
      <c r="B151" s="22" t="str">
        <f>IF(TabVMAzureEnvProjet[[#This Row],[Projet AzureDevOps]]&lt;&gt;"",TabVMAzureEnvProjet[[#This Row],[Projet AzureDevOps]],TabVMAzureEnvProjet[[#This Row],[VM]])</f>
        <v>MENJ-APAE</v>
      </c>
      <c r="C151" s="13" t="s">
        <v>44</v>
      </c>
      <c r="E151" t="s">
        <v>4</v>
      </c>
      <c r="F151" t="s">
        <v>44</v>
      </c>
      <c r="G151" t="str">
        <f>LOOKUP(TabVMAzureEnvProjet[[#This Row],[Projet]],TabProjets[NomProj],TabProjets[SYGES])</f>
        <v>MENESR/TMA</v>
      </c>
      <c r="H151" t="str">
        <f>LOOKUP(TabVMAzureEnvProjet[[#This Row],[Projet]],TabProjets[NomProj],TabProjets[CP])</f>
        <v>Pierre BOURLIEUX</v>
      </c>
      <c r="I151">
        <f>LOOKUP(TabVMAzureEnvProjet[[#This Row],[Code SYGES]],TabCONTRATSDI[Contrat SYGES],TabCONTRATSDI[Cost Center])</f>
        <v>305704</v>
      </c>
      <c r="J151" s="22" t="str">
        <f>LOOKUP(TabVMAzureEnvProjet[[#This Row],[Code SYGES]],TabCONTRATSDI[Contrat SYGES],TabCONTRATSDI[Client])</f>
        <v>MENESR</v>
      </c>
      <c r="K151" t="s">
        <v>149</v>
      </c>
      <c r="L151" s="31">
        <v>1.3332903382499999</v>
      </c>
      <c r="M151" s="40"/>
    </row>
    <row r="152" spans="1:13" x14ac:dyDescent="0.25">
      <c r="A152" s="22" t="str">
        <f>TabVMAzureEnvProjet[[#This Row],[Client]] &amp; " .:. "  &amp; TabVMAzureEnvProjet[[#This Row],[Projet]]</f>
        <v>MENESR .:. MENJ-BI</v>
      </c>
      <c r="B152" s="22" t="str">
        <f>IF(TabVMAzureEnvProjet[[#This Row],[Projet AzureDevOps]]&lt;&gt;"",TabVMAzureEnvProjet[[#This Row],[Projet AzureDevOps]],TabVMAzureEnvProjet[[#This Row],[VM]])</f>
        <v>MENJ-BI</v>
      </c>
      <c r="C152" s="13" t="s">
        <v>51</v>
      </c>
      <c r="E152" t="s">
        <v>4</v>
      </c>
      <c r="F152" t="s">
        <v>51</v>
      </c>
      <c r="G152" t="str">
        <f>LOOKUP(TabVMAzureEnvProjet[[#This Row],[Projet]],TabProjets[NomProj],TabProjets[SYGES])</f>
        <v>MENESR/TMA</v>
      </c>
      <c r="H152" t="str">
        <f>LOOKUP(TabVMAzureEnvProjet[[#This Row],[Projet]],TabProjets[NomProj],TabProjets[CP])</f>
        <v>Eric PERROUD</v>
      </c>
      <c r="I152">
        <f>LOOKUP(TabVMAzureEnvProjet[[#This Row],[Code SYGES]],TabCONTRATSDI[Contrat SYGES],TabCONTRATSDI[Cost Center])</f>
        <v>305704</v>
      </c>
      <c r="J152" s="22" t="str">
        <f>LOOKUP(TabVMAzureEnvProjet[[#This Row],[Code SYGES]],TabCONTRATSDI[Contrat SYGES],TabCONTRATSDI[Client])</f>
        <v>MENESR</v>
      </c>
      <c r="K152" t="s">
        <v>149</v>
      </c>
      <c r="L152" s="31">
        <v>5.9257348366666669</v>
      </c>
      <c r="M152" s="40"/>
    </row>
    <row r="153" spans="1:13" x14ac:dyDescent="0.25">
      <c r="A153" s="22" t="str">
        <f>TabVMAzureEnvProjet[[#This Row],[Client]] &amp; " .:. "  &amp; TabVMAzureEnvProjet[[#This Row],[Projet]]</f>
        <v>MENESR .:. MENJ-BNIE</v>
      </c>
      <c r="B153" s="22" t="str">
        <f>IF(TabVMAzureEnvProjet[[#This Row],[Projet AzureDevOps]]&lt;&gt;"",TabVMAzureEnvProjet[[#This Row],[Projet AzureDevOps]],TabVMAzureEnvProjet[[#This Row],[VM]])</f>
        <v>MENJ-BNIE-BDD</v>
      </c>
      <c r="C153" s="13" t="s">
        <v>46</v>
      </c>
      <c r="E153" t="s">
        <v>4</v>
      </c>
      <c r="F153" t="s">
        <v>45</v>
      </c>
      <c r="G153" t="str">
        <f>LOOKUP(TabVMAzureEnvProjet[[#This Row],[Projet]],TabProjets[NomProj],TabProjets[SYGES])</f>
        <v>MENESR/TMA</v>
      </c>
      <c r="H153" t="str">
        <f>LOOKUP(TabVMAzureEnvProjet[[#This Row],[Projet]],TabProjets[NomProj],TabProjets[CP])</f>
        <v>Pierre BOURLIEUX</v>
      </c>
      <c r="I153">
        <f>LOOKUP(TabVMAzureEnvProjet[[#This Row],[Code SYGES]],TabCONTRATSDI[Contrat SYGES],TabCONTRATSDI[Cost Center])</f>
        <v>305704</v>
      </c>
      <c r="J153" s="22" t="str">
        <f>LOOKUP(TabVMAzureEnvProjet[[#This Row],[Code SYGES]],TabCONTRATSDI[Contrat SYGES],TabCONTRATSDI[Client])</f>
        <v>MENESR</v>
      </c>
      <c r="K153" t="s">
        <v>149</v>
      </c>
      <c r="L153" s="31">
        <v>5.0368746111666667</v>
      </c>
      <c r="M153" s="40"/>
    </row>
    <row r="154" spans="1:13" x14ac:dyDescent="0.25">
      <c r="A154" s="22" t="str">
        <f>TabVMAzureEnvProjet[[#This Row],[Client]] &amp; " .:. "  &amp; TabVMAzureEnvProjet[[#This Row],[Projet]]</f>
        <v>MENESR .:. MENJ-BNIE</v>
      </c>
      <c r="B154" s="22" t="str">
        <f>IF(TabVMAzureEnvProjet[[#This Row],[Projet AzureDevOps]]&lt;&gt;"",TabVMAzureEnvProjet[[#This Row],[Projet AzureDevOps]],TabVMAzureEnvProjet[[#This Row],[VM]])</f>
        <v>MENJ-BNIE-Webservices</v>
      </c>
      <c r="C154" s="13" t="s">
        <v>47</v>
      </c>
      <c r="E154" t="s">
        <v>4</v>
      </c>
      <c r="F154" t="s">
        <v>45</v>
      </c>
      <c r="G154" t="str">
        <f>LOOKUP(TabVMAzureEnvProjet[[#This Row],[Projet]],TabProjets[NomProj],TabProjets[SYGES])</f>
        <v>MENESR/TMA</v>
      </c>
      <c r="H154" t="str">
        <f>LOOKUP(TabVMAzureEnvProjet[[#This Row],[Projet]],TabProjets[NomProj],TabProjets[CP])</f>
        <v>Pierre BOURLIEUX</v>
      </c>
      <c r="I154">
        <f>LOOKUP(TabVMAzureEnvProjet[[#This Row],[Code SYGES]],TabCONTRATSDI[Contrat SYGES],TabCONTRATSDI[Cost Center])</f>
        <v>305704</v>
      </c>
      <c r="J154" s="22" t="str">
        <f>LOOKUP(TabVMAzureEnvProjet[[#This Row],[Code SYGES]],TabCONTRATSDI[Contrat SYGES],TabCONTRATSDI[Client])</f>
        <v>MENESR</v>
      </c>
      <c r="K154" t="s">
        <v>149</v>
      </c>
      <c r="L154" s="31">
        <v>1.9258638219166668</v>
      </c>
      <c r="M154" s="40"/>
    </row>
    <row r="155" spans="1:13" x14ac:dyDescent="0.25">
      <c r="A155" s="22" t="str">
        <f>TabVMAzureEnvProjet[[#This Row],[Client]] &amp; " .:. "  &amp; TabVMAzureEnvProjet[[#This Row],[Projet]]</f>
        <v>MENESR .:. MENJ-RNIE</v>
      </c>
      <c r="B155" s="22" t="str">
        <f>IF(TabVMAzureEnvProjet[[#This Row],[Projet AzureDevOps]]&lt;&gt;"",TabVMAzureEnvProjet[[#This Row],[Projet AzureDevOps]],TabVMAzureEnvProjet[[#This Row],[VM]])</f>
        <v>MENJ-RNIE-BDD</v>
      </c>
      <c r="C155" s="13" t="s">
        <v>49</v>
      </c>
      <c r="E155" t="s">
        <v>4</v>
      </c>
      <c r="F155" t="s">
        <v>48</v>
      </c>
      <c r="G155" t="str">
        <f>LOOKUP(TabVMAzureEnvProjet[[#This Row],[Projet]],TabProjets[NomProj],TabProjets[SYGES])</f>
        <v>MENESR/TMA</v>
      </c>
      <c r="H155" t="str">
        <f>LOOKUP(TabVMAzureEnvProjet[[#This Row],[Projet]],TabProjets[NomProj],TabProjets[CP])</f>
        <v>Pierre BOURLIEUX</v>
      </c>
      <c r="I155">
        <f>LOOKUP(TabVMAzureEnvProjet[[#This Row],[Code SYGES]],TabCONTRATSDI[Contrat SYGES],TabCONTRATSDI[Cost Center])</f>
        <v>305704</v>
      </c>
      <c r="J155" s="22" t="str">
        <f>LOOKUP(TabVMAzureEnvProjet[[#This Row],[Code SYGES]],TabCONTRATSDI[Contrat SYGES],TabCONTRATSDI[Client])</f>
        <v>MENESR</v>
      </c>
      <c r="K155" t="s">
        <v>149</v>
      </c>
      <c r="L155" s="31">
        <v>1.3332903382499999</v>
      </c>
      <c r="M155" s="40"/>
    </row>
    <row r="156" spans="1:13" x14ac:dyDescent="0.25">
      <c r="A156" s="22" t="str">
        <f>TabVMAzureEnvProjet[[#This Row],[Client]] &amp; " .:. "  &amp; TabVMAzureEnvProjet[[#This Row],[Projet]]</f>
        <v>MENESR .:. MENJ-RNIE</v>
      </c>
      <c r="B156" s="22" t="str">
        <f>IF(TabVMAzureEnvProjet[[#This Row],[Projet AzureDevOps]]&lt;&gt;"",TabVMAzureEnvProjet[[#This Row],[Projet AzureDevOps]],TabVMAzureEnvProjet[[#This Row],[VM]])</f>
        <v>MENJ-RNIE-Webservices</v>
      </c>
      <c r="C156" s="13" t="s">
        <v>50</v>
      </c>
      <c r="E156" t="s">
        <v>4</v>
      </c>
      <c r="F156" t="s">
        <v>48</v>
      </c>
      <c r="G156" t="str">
        <f>LOOKUP(TabVMAzureEnvProjet[[#This Row],[Projet]],TabProjets[NomProj],TabProjets[SYGES])</f>
        <v>MENESR/TMA</v>
      </c>
      <c r="H156" t="str">
        <f>LOOKUP(TabVMAzureEnvProjet[[#This Row],[Projet]],TabProjets[NomProj],TabProjets[CP])</f>
        <v>Pierre BOURLIEUX</v>
      </c>
      <c r="I156">
        <f>LOOKUP(TabVMAzureEnvProjet[[#This Row],[Code SYGES]],TabCONTRATSDI[Contrat SYGES],TabCONTRATSDI[Cost Center])</f>
        <v>305704</v>
      </c>
      <c r="J156" s="22" t="str">
        <f>LOOKUP(TabVMAzureEnvProjet[[#This Row],[Code SYGES]],TabCONTRATSDI[Contrat SYGES],TabCONTRATSDI[Client])</f>
        <v>MENESR</v>
      </c>
      <c r="K156" t="s">
        <v>149</v>
      </c>
      <c r="L156" s="31">
        <v>1.9895702392356913</v>
      </c>
      <c r="M156" s="40"/>
    </row>
    <row r="157" spans="1:13" x14ac:dyDescent="0.25">
      <c r="A157" s="22" t="str">
        <f>TabVMAzureEnvProjet[[#This Row],[Client]] &amp; " .:. "  &amp; TabVMAzureEnvProjet[[#This Row],[Projet]]</f>
        <v>OFB .:. OFB-NATUREFRANCE</v>
      </c>
      <c r="B157" s="22" t="str">
        <f>IF(TabVMAzureEnvProjet[[#This Row],[Projet AzureDevOps]]&lt;&gt;"",TabVMAzureEnvProjet[[#This Row],[Projet AzureDevOps]],TabVMAzureEnvProjet[[#This Row],[VM]])</f>
        <v>OFB-NatureFrance</v>
      </c>
      <c r="C157" s="13" t="s">
        <v>79</v>
      </c>
      <c r="E157" t="s">
        <v>4</v>
      </c>
      <c r="F157" t="s">
        <v>78</v>
      </c>
      <c r="G157" t="str">
        <f>LOOKUP(TabVMAzureEnvProjet[[#This Row],[Projet]],TabProjets[NomProj],TabProjets[SYGES])</f>
        <v>AFB OFB_LOT2 -9-1 NATURE FRANCE</v>
      </c>
      <c r="H157" t="str">
        <f>LOOKUP(TabVMAzureEnvProjet[[#This Row],[Projet]],TabProjets[NomProj],TabProjets[CP])</f>
        <v>Rodolphe HABEGGER</v>
      </c>
      <c r="I157">
        <f>LOOKUP(TabVMAzureEnvProjet[[#This Row],[Code SYGES]],TabCONTRATSDI[Contrat SYGES],TabCONTRATSDI[Cost Center])</f>
        <v>305704</v>
      </c>
      <c r="J157" s="22" t="str">
        <f>LOOKUP(TabVMAzureEnvProjet[[#This Row],[Code SYGES]],TabCONTRATSDI[Contrat SYGES],TabCONTRATSDI[Client])</f>
        <v>OFB</v>
      </c>
      <c r="K157" t="s">
        <v>149</v>
      </c>
      <c r="L157" s="31">
        <v>8.5752564674797007</v>
      </c>
      <c r="M157" s="40"/>
    </row>
    <row r="158" spans="1:13" x14ac:dyDescent="0.25">
      <c r="A158" s="22" t="str">
        <f>TabVMAzureEnvProjet[[#This Row],[Client]] &amp; " .:. "  &amp; TabVMAzureEnvProjet[[#This Row],[Projet]]</f>
        <v>AFB .:. OFB-SISPEA</v>
      </c>
      <c r="B158" s="22" t="str">
        <f>IF(TabVMAzureEnvProjet[[#This Row],[Projet AzureDevOps]]&lt;&gt;"",TabVMAzureEnvProjet[[#This Row],[Projet AzureDevOps]],TabVMAzureEnvProjet[[#This Row],[VM]])</f>
        <v>OFB-SISPEA</v>
      </c>
      <c r="C158" s="13" t="s">
        <v>9</v>
      </c>
      <c r="E158" t="s">
        <v>4</v>
      </c>
      <c r="F158" t="s">
        <v>9</v>
      </c>
      <c r="G158" t="str">
        <f>LOOKUP(TabVMAzureEnvProjet[[#This Row],[Projet]],TabProjets[NomProj],TabProjets[SYGES])</f>
        <v>AFB/OFB_LOT2</v>
      </c>
      <c r="H158" t="str">
        <f>LOOKUP(TabVMAzureEnvProjet[[#This Row],[Projet]],TabProjets[NomProj],TabProjets[CP])</f>
        <v>Pierre BOURLIEUX</v>
      </c>
      <c r="I158">
        <f>LOOKUP(TabVMAzureEnvProjet[[#This Row],[Code SYGES]],TabCONTRATSDI[Contrat SYGES],TabCONTRATSDI[Cost Center])</f>
        <v>305704</v>
      </c>
      <c r="J158" s="22" t="str">
        <f>LOOKUP(TabVMAzureEnvProjet[[#This Row],[Code SYGES]],TabCONTRATSDI[Contrat SYGES],TabCONTRATSDI[Client])</f>
        <v>AFB</v>
      </c>
      <c r="K158" t="s">
        <v>149</v>
      </c>
      <c r="L158" s="31">
        <v>6.4812724776041666</v>
      </c>
      <c r="M158" s="40"/>
    </row>
    <row r="159" spans="1:13" x14ac:dyDescent="0.25">
      <c r="A159" s="22" t="str">
        <f>TabVMAzureEnvProjet[[#This Row],[Client]] &amp; " .:. "  &amp; TabVMAzureEnvProjet[[#This Row],[Projet]]</f>
        <v>PCM .:. PCM-ALS</v>
      </c>
      <c r="B159" s="22" t="str">
        <f>IF(TabVMAzureEnvProjet[[#This Row],[Projet AzureDevOps]]&lt;&gt;"",TabVMAzureEnvProjet[[#This Row],[Projet AzureDevOps]],TabVMAzureEnvProjet[[#This Row],[VM]])</f>
        <v>PCM-ALS</v>
      </c>
      <c r="C159" s="13" t="s">
        <v>71</v>
      </c>
      <c r="E159" t="s">
        <v>4</v>
      </c>
      <c r="F159" t="s">
        <v>71</v>
      </c>
      <c r="G159" t="str">
        <f>LOOKUP(TabVMAzureEnvProjet[[#This Row],[Projet]],TabProjets[NomProj],TabProjets[SYGES])</f>
        <v>PCM/WEB</v>
      </c>
      <c r="H159" t="str">
        <f>LOOKUP(TabVMAzureEnvProjet[[#This Row],[Projet]],TabProjets[NomProj],TabProjets[CP])</f>
        <v>Alice MARCHAL</v>
      </c>
      <c r="I159">
        <f>LOOKUP(TabVMAzureEnvProjet[[#This Row],[Code SYGES]],TabCONTRATSDI[Contrat SYGES],TabCONTRATSDI[Cost Center])</f>
        <v>305704</v>
      </c>
      <c r="J159" s="22" t="str">
        <f>LOOKUP(TabVMAzureEnvProjet[[#This Row],[Code SYGES]],TabCONTRATSDI[Contrat SYGES],TabCONTRATSDI[Client])</f>
        <v>PCM</v>
      </c>
      <c r="K159" t="s">
        <v>149</v>
      </c>
      <c r="L159" s="31">
        <v>7.9803423023561511</v>
      </c>
      <c r="M159" s="40"/>
    </row>
    <row r="160" spans="1:13" x14ac:dyDescent="0.25">
      <c r="A160" s="22" t="str">
        <f>TabVMAzureEnvProjet[[#This Row],[Client]] &amp; " .:. "  &amp; TabVMAzureEnvProjet[[#This Row],[Projet]]</f>
        <v>PCM .:. PCM-WEB</v>
      </c>
      <c r="B160" s="22" t="str">
        <f>IF(TabVMAzureEnvProjet[[#This Row],[Projet AzureDevOps]]&lt;&gt;"",TabVMAzureEnvProjet[[#This Row],[Projet AzureDevOps]],TabVMAzureEnvProjet[[#This Row],[VM]])</f>
        <v>PCM-Web</v>
      </c>
      <c r="C160" s="13" t="s">
        <v>73</v>
      </c>
      <c r="E160" t="s">
        <v>4</v>
      </c>
      <c r="F160" t="s">
        <v>72</v>
      </c>
      <c r="G160" t="str">
        <f>LOOKUP(TabVMAzureEnvProjet[[#This Row],[Projet]],TabProjets[NomProj],TabProjets[SYGES])</f>
        <v>PCM/WEB</v>
      </c>
      <c r="H160" t="str">
        <f>LOOKUP(TabVMAzureEnvProjet[[#This Row],[Projet]],TabProjets[NomProj],TabProjets[CP])</f>
        <v>Rodolphe HABEGGER</v>
      </c>
      <c r="I160">
        <f>LOOKUP(TabVMAzureEnvProjet[[#This Row],[Code SYGES]],TabCONTRATSDI[Contrat SYGES],TabCONTRATSDI[Cost Center])</f>
        <v>305704</v>
      </c>
      <c r="J160" s="22" t="str">
        <f>LOOKUP(TabVMAzureEnvProjet[[#This Row],[Code SYGES]],TabCONTRATSDI[Contrat SYGES],TabCONTRATSDI[Client])</f>
        <v>PCM</v>
      </c>
      <c r="K160" t="s">
        <v>149</v>
      </c>
      <c r="L160" s="31">
        <v>3.3138261184811508</v>
      </c>
      <c r="M160" s="40"/>
    </row>
    <row r="161" spans="1:13" x14ac:dyDescent="0.25">
      <c r="A161" s="22" t="str">
        <f>TabVMAzureEnvProjet[[#This Row],[Client]] &amp; " .:. "  &amp; TabVMAzureEnvProjet[[#This Row],[Projet]]</f>
        <v>PCM .:. PCM-WEB</v>
      </c>
      <c r="B161" s="22" t="str">
        <f>IF(TabVMAzureEnvProjet[[#This Row],[Projet AzureDevOps]]&lt;&gt;"",TabVMAzureEnvProjet[[#This Row],[Projet AzureDevOps]],TabVMAzureEnvProjet[[#This Row],[VM]])</f>
        <v>SPC-BUILD</v>
      </c>
      <c r="C161" s="13" t="s">
        <v>67</v>
      </c>
      <c r="E161" t="s">
        <v>4</v>
      </c>
      <c r="F161" t="s">
        <v>72</v>
      </c>
      <c r="G161" t="str">
        <f>LOOKUP(TabVMAzureEnvProjet[[#This Row],[Projet]],TabProjets[NomProj],TabProjets[SYGES])</f>
        <v>PCM/WEB</v>
      </c>
      <c r="H161" t="str">
        <f>LOOKUP(TabVMAzureEnvProjet[[#This Row],[Projet]],TabProjets[NomProj],TabProjets[CP])</f>
        <v>Rodolphe HABEGGER</v>
      </c>
      <c r="I161">
        <f>LOOKUP(TabVMAzureEnvProjet[[#This Row],[Code SYGES]],TabCONTRATSDI[Contrat SYGES],TabCONTRATSDI[Cost Center])</f>
        <v>305704</v>
      </c>
      <c r="J161" s="22" t="str">
        <f>LOOKUP(TabVMAzureEnvProjet[[#This Row],[Code SYGES]],TabCONTRATSDI[Contrat SYGES],TabCONTRATSDI[Client])</f>
        <v>PCM</v>
      </c>
      <c r="K161" t="s">
        <v>149</v>
      </c>
      <c r="L161" s="31">
        <v>26.221376652250004</v>
      </c>
      <c r="M161" s="40"/>
    </row>
    <row r="162" spans="1:13" x14ac:dyDescent="0.25">
      <c r="A162" s="22" t="str">
        <f>TabVMAzureEnvProjet[[#This Row],[Client]] &amp; " .:. "  &amp; TabVMAzureEnvProjet[[#This Row],[Projet]]</f>
        <v>SPC .:. SPC-WEB</v>
      </c>
      <c r="B162" s="22" t="str">
        <f>IF(TabVMAzureEnvProjet[[#This Row],[Projet AzureDevOps]]&lt;&gt;"",TabVMAzureEnvProjet[[#This Row],[Projet AzureDevOps]],TabVMAzureEnvProjet[[#This Row],[VM]])</f>
        <v>SPC-WEB</v>
      </c>
      <c r="C162" s="13" t="s">
        <v>69</v>
      </c>
      <c r="E162" t="s">
        <v>4</v>
      </c>
      <c r="F162" t="s">
        <v>69</v>
      </c>
      <c r="G162" t="str">
        <f>LOOKUP(TabVMAzureEnvProjet[[#This Row],[Projet]],TabProjets[NomProj],TabProjets[SYGES])</f>
        <v>SPC/BUILD-0-1-SITE-WEB</v>
      </c>
      <c r="H162" t="str">
        <f>LOOKUP(TabVMAzureEnvProjet[[#This Row],[Projet]],TabProjets[NomProj],TabProjets[CP])</f>
        <v>Nicolas DURFORT</v>
      </c>
      <c r="I162">
        <f>LOOKUP(TabVMAzureEnvProjet[[#This Row],[Code SYGES]],TabCONTRATSDI[Contrat SYGES],TabCONTRATSDI[Cost Center])</f>
        <v>305704</v>
      </c>
      <c r="J162" s="22" t="str">
        <f>LOOKUP(TabVMAzureEnvProjet[[#This Row],[Code SYGES]],TabCONTRATSDI[Contrat SYGES],TabCONTRATSDI[Client])</f>
        <v>SPC</v>
      </c>
      <c r="K162" t="s">
        <v>149</v>
      </c>
      <c r="L162" s="31">
        <v>2.6665806765000002</v>
      </c>
      <c r="M162" s="40"/>
    </row>
    <row r="163" spans="1:13" x14ac:dyDescent="0.25">
      <c r="A163" s="22" t="str">
        <f>TabVMAzureEnvProjet[[#This Row],[Client]] &amp; " .:. "  &amp; TabVMAzureEnvProjet[[#This Row],[Projet]]</f>
        <v>EBR .:. EBR-LAPOSTE</v>
      </c>
      <c r="B163" s="22" t="str">
        <f>IF(TabVMAzureEnvProjet[[#This Row],[Projet AzureDevOps]]&lt;&gt;"",TabVMAzureEnvProjet[[#This Row],[Projet AzureDevOps]],TabVMAzureEnvProjet[[#This Row],[VM]])</f>
        <v>EBR-LAPOSTE-VM</v>
      </c>
      <c r="D163" t="s">
        <v>76</v>
      </c>
      <c r="E163" t="s">
        <v>10</v>
      </c>
      <c r="F163" t="s">
        <v>75</v>
      </c>
      <c r="G163" t="str">
        <f>LOOKUP(TabVMAzureEnvProjet[[#This Row],[Projet]],TabProjets[NomProj],TabProjets[SYGES])</f>
        <v>EBR/TMA</v>
      </c>
      <c r="H163" t="str">
        <f>LOOKUP(TabVMAzureEnvProjet[[#This Row],[Projet]],TabProjets[NomProj],TabProjets[CP])</f>
        <v>Valerie ASSELIN LOZACHMEUR</v>
      </c>
      <c r="I163">
        <f>LOOKUP(TabVMAzureEnvProjet[[#This Row],[Code SYGES]],TabCONTRATSDI[Contrat SYGES],TabCONTRATSDI[Cost Center])</f>
        <v>305704</v>
      </c>
      <c r="J163" s="22" t="str">
        <f>LOOKUP(TabVMAzureEnvProjet[[#This Row],[Code SYGES]],TabCONTRATSDI[Contrat SYGES],TabCONTRATSDI[Client])</f>
        <v>EBR</v>
      </c>
      <c r="K163" t="s">
        <v>149</v>
      </c>
      <c r="L163" s="31">
        <v>59.65</v>
      </c>
      <c r="M163" s="41"/>
    </row>
    <row r="164" spans="1:13" x14ac:dyDescent="0.25">
      <c r="A164" s="22" t="str">
        <f>TabVMAzureEnvProjet[[#This Row],[Client]] &amp; " .:. "  &amp; TabVMAzureEnvProjet[[#This Row],[Projet]]</f>
        <v>ALM .:. ALM-ATOUT</v>
      </c>
      <c r="B164" s="22" t="str">
        <f>IF(TabVMAzureEnvProjet[[#This Row],[Projet AzureDevOps]]&lt;&gt;"",TabVMAzureEnvProjet[[#This Row],[Projet AzureDevOps]],TabVMAzureEnvProjet[[#This Row],[VM]])</f>
        <v>ALM-ATOUT-VM</v>
      </c>
      <c r="D164" t="s">
        <v>18</v>
      </c>
      <c r="E164" t="s">
        <v>6</v>
      </c>
      <c r="F164" t="s">
        <v>17</v>
      </c>
      <c r="G164" t="str">
        <f>LOOKUP(TabVMAzureEnvProjet[[#This Row],[Projet]],TabProjets[NomProj],TabProjets[SYGES])</f>
        <v>ALM/TMA_ATOUT</v>
      </c>
      <c r="H164" t="str">
        <f>LOOKUP(TabVMAzureEnvProjet[[#This Row],[Projet]],TabProjets[NomProj],TabProjets[CP])</f>
        <v>Alice MARCHAL</v>
      </c>
      <c r="I164">
        <f>LOOKUP(TabVMAzureEnvProjet[[#This Row],[Code SYGES]],TabCONTRATSDI[Contrat SYGES],TabCONTRATSDI[Cost Center])</f>
        <v>305704</v>
      </c>
      <c r="J164" s="22" t="str">
        <f>LOOKUP(TabVMAzureEnvProjet[[#This Row],[Code SYGES]],TabCONTRATSDI[Contrat SYGES],TabCONTRATSDI[Client])</f>
        <v>ALM</v>
      </c>
      <c r="K164" t="s">
        <v>149</v>
      </c>
      <c r="L164" s="31">
        <v>71.290000000000006</v>
      </c>
      <c r="M164" s="41"/>
    </row>
    <row r="165" spans="1:13" x14ac:dyDescent="0.25">
      <c r="A165" s="22" t="str">
        <f>TabVMAzureEnvProjet[[#This Row],[Client]] &amp; " .:. "  &amp; TabVMAzureEnvProjet[[#This Row],[Projet]]</f>
        <v>BRGM .:. BRGM-ORRM</v>
      </c>
      <c r="B165" s="22" t="str">
        <f>IF(TabVMAzureEnvProjet[[#This Row],[Projet AzureDevOps]]&lt;&gt;"",TabVMAzureEnvProjet[[#This Row],[Projet AzureDevOps]],TabVMAzureEnvProjet[[#This Row],[VM]])</f>
        <v>BRGM-ORRM-VM</v>
      </c>
      <c r="D165" t="s">
        <v>22</v>
      </c>
      <c r="E165" t="s">
        <v>21</v>
      </c>
      <c r="F165" t="s">
        <v>20</v>
      </c>
      <c r="G165" t="str">
        <f>LOOKUP(TabVMAzureEnvProjet[[#This Row],[Projet]],TabProjets[NomProj],TabProjets[SYGES])</f>
        <v>BRGM/TMA-5-1-ORRM-LOT1</v>
      </c>
      <c r="H165" t="str">
        <f>LOOKUP(TabVMAzureEnvProjet[[#This Row],[Projet]],TabProjets[NomProj],TabProjets[CP])</f>
        <v>Alice MARCHAL</v>
      </c>
      <c r="I165">
        <f>LOOKUP(TabVMAzureEnvProjet[[#This Row],[Code SYGES]],TabCONTRATSDI[Contrat SYGES],TabCONTRATSDI[Cost Center])</f>
        <v>305704</v>
      </c>
      <c r="J165" s="22" t="str">
        <f>LOOKUP(TabVMAzureEnvProjet[[#This Row],[Code SYGES]],TabCONTRATSDI[Contrat SYGES],TabCONTRATSDI[Client])</f>
        <v>BRGM</v>
      </c>
      <c r="K165" t="s">
        <v>149</v>
      </c>
      <c r="L165" s="31">
        <v>5.79</v>
      </c>
      <c r="M165" s="41"/>
    </row>
    <row r="166" spans="1:13" x14ac:dyDescent="0.25">
      <c r="A166" s="22" t="str">
        <f>TabVMAzureEnvProjet[[#This Row],[Client]] &amp; " .:. "  &amp; TabVMAzureEnvProjet[[#This Row],[Projet]]</f>
        <v>CA-TITRES .:. CATITRES-COMX</v>
      </c>
      <c r="B166" s="22" t="str">
        <f>IF(TabVMAzureEnvProjet[[#This Row],[Projet AzureDevOps]]&lt;&gt;"",TabVMAzureEnvProjet[[#This Row],[Projet AzureDevOps]],TabVMAzureEnvProjet[[#This Row],[VM]])</f>
        <v>CATITRES-COMX-VM</v>
      </c>
      <c r="D166" t="s">
        <v>25</v>
      </c>
      <c r="E166" t="s">
        <v>10</v>
      </c>
      <c r="F166" t="s">
        <v>24</v>
      </c>
      <c r="G166" t="str">
        <f>LOOKUP(TabVMAzureEnvProjet[[#This Row],[Projet]],TabProjets[NomProj],TabProjets[SYGES])</f>
        <v>CA-TITRES/TMA</v>
      </c>
      <c r="H166" t="str">
        <f>LOOKUP(TabVMAzureEnvProjet[[#This Row],[Projet]],TabProjets[NomProj],TabProjets[CP])</f>
        <v>Jean-Philippe STROIAZZO</v>
      </c>
      <c r="I166">
        <f>LOOKUP(TabVMAzureEnvProjet[[#This Row],[Code SYGES]],TabCONTRATSDI[Contrat SYGES],TabCONTRATSDI[Cost Center])</f>
        <v>305704</v>
      </c>
      <c r="J166" s="22" t="str">
        <f>LOOKUP(TabVMAzureEnvProjet[[#This Row],[Code SYGES]],TabCONTRATSDI[Contrat SYGES],TabCONTRATSDI[Client])</f>
        <v>CA-TITRES</v>
      </c>
      <c r="K166" t="s">
        <v>149</v>
      </c>
      <c r="L166" s="31">
        <v>99.45</v>
      </c>
      <c r="M166" s="41"/>
    </row>
    <row r="167" spans="1:13" x14ac:dyDescent="0.25">
      <c r="A167" s="22" t="str">
        <f>TabVMAzureEnvProjet[[#This Row],[Client]] &amp; " .:. "  &amp; TabVMAzureEnvProjet[[#This Row],[Projet]]</f>
        <v>MENESR .:. MENJ-BI</v>
      </c>
      <c r="B167" s="22" t="str">
        <f>IF(TabVMAzureEnvProjet[[#This Row],[Projet AzureDevOps]]&lt;&gt;"",TabVMAzureEnvProjet[[#This Row],[Projet AzureDevOps]],TabVMAzureEnvProjet[[#This Row],[VM]])</f>
        <v>MENJ-BI-VM</v>
      </c>
      <c r="D167" t="s">
        <v>52</v>
      </c>
      <c r="E167" t="s">
        <v>144</v>
      </c>
      <c r="F167" t="s">
        <v>51</v>
      </c>
      <c r="G167" t="str">
        <f>LOOKUP(TabVMAzureEnvProjet[[#This Row],[Projet]],TabProjets[NomProj],TabProjets[SYGES])</f>
        <v>MENESR/TMA</v>
      </c>
      <c r="H167" t="str">
        <f>LOOKUP(TabVMAzureEnvProjet[[#This Row],[Projet]],TabProjets[NomProj],TabProjets[CP])</f>
        <v>Eric PERROUD</v>
      </c>
      <c r="I167">
        <f>LOOKUP(TabVMAzureEnvProjet[[#This Row],[Code SYGES]],TabCONTRATSDI[Contrat SYGES],TabCONTRATSDI[Cost Center])</f>
        <v>305704</v>
      </c>
      <c r="J167" s="22" t="str">
        <f>LOOKUP(TabVMAzureEnvProjet[[#This Row],[Code SYGES]],TabCONTRATSDI[Contrat SYGES],TabCONTRATSDI[Client])</f>
        <v>MENESR</v>
      </c>
      <c r="K167" t="s">
        <v>149</v>
      </c>
      <c r="L167" s="31">
        <v>2.64</v>
      </c>
      <c r="M167" s="41"/>
    </row>
    <row r="168" spans="1:13" x14ac:dyDescent="0.25">
      <c r="A168" s="22" t="str">
        <f>TabVMAzureEnvProjet[[#This Row],[Client]] &amp; " .:. "  &amp; TabVMAzureEnvProjet[[#This Row],[Projet]]</f>
        <v>OFB .:. OFB-NATUREFRANCE</v>
      </c>
      <c r="B168" s="22" t="str">
        <f>IF(TabVMAzureEnvProjet[[#This Row],[Projet AzureDevOps]]&lt;&gt;"",TabVMAzureEnvProjet[[#This Row],[Projet AzureDevOps]],TabVMAzureEnvProjet[[#This Row],[VM]])</f>
        <v>OFB-FRANCENATURE-VM</v>
      </c>
      <c r="D168" t="s">
        <v>80</v>
      </c>
      <c r="E168" t="s">
        <v>6</v>
      </c>
      <c r="F168" t="s">
        <v>78</v>
      </c>
      <c r="G168" t="str">
        <f>LOOKUP(TabVMAzureEnvProjet[[#This Row],[Projet]],TabProjets[NomProj],TabProjets[SYGES])</f>
        <v>AFB OFB_LOT2 -9-1 NATURE FRANCE</v>
      </c>
      <c r="H168" t="str">
        <f>LOOKUP(TabVMAzureEnvProjet[[#This Row],[Projet]],TabProjets[NomProj],TabProjets[CP])</f>
        <v>Rodolphe HABEGGER</v>
      </c>
      <c r="I168">
        <f>LOOKUP(TabVMAzureEnvProjet[[#This Row],[Code SYGES]],TabCONTRATSDI[Contrat SYGES],TabCONTRATSDI[Cost Center])</f>
        <v>305704</v>
      </c>
      <c r="J168" s="22" t="str">
        <f>LOOKUP(TabVMAzureEnvProjet[[#This Row],[Code SYGES]],TabCONTRATSDI[Contrat SYGES],TabCONTRATSDI[Client])</f>
        <v>OFB</v>
      </c>
      <c r="K168" t="s">
        <v>149</v>
      </c>
      <c r="L168" s="31">
        <v>7.86</v>
      </c>
      <c r="M168" s="41"/>
    </row>
    <row r="169" spans="1:13" x14ac:dyDescent="0.25">
      <c r="A169" s="22" t="str">
        <f>TabVMAzureEnvProjet[[#This Row],[Client]] &amp; " .:. "  &amp; TabVMAzureEnvProjet[[#This Row],[Projet]]</f>
        <v>SPC .:. SPC-BUILD</v>
      </c>
      <c r="B169" s="22" t="str">
        <f>IF(TabVMAzureEnvProjet[[#This Row],[Projet AzureDevOps]]&lt;&gt;"",TabVMAzureEnvProjet[[#This Row],[Projet AzureDevOps]],TabVMAzureEnvProjet[[#This Row],[VM]])</f>
        <v>SPC-BUILDAS-VM</v>
      </c>
      <c r="D169" t="s">
        <v>68</v>
      </c>
      <c r="E169" t="s">
        <v>10</v>
      </c>
      <c r="F169" t="s">
        <v>67</v>
      </c>
      <c r="G169" t="str">
        <f>LOOKUP(TabVMAzureEnvProjet[[#This Row],[Projet]],TabProjets[NomProj],TabProjets[SYGES])</f>
        <v>SPC/BUILD</v>
      </c>
      <c r="H169" t="str">
        <f>LOOKUP(TabVMAzureEnvProjet[[#This Row],[Projet]],TabProjets[NomProj],TabProjets[CP])</f>
        <v>Nicolas DURFORT</v>
      </c>
      <c r="I169">
        <f>LOOKUP(TabVMAzureEnvProjet[[#This Row],[Code SYGES]],TabCONTRATSDI[Contrat SYGES],TabCONTRATSDI[Cost Center])</f>
        <v>305704</v>
      </c>
      <c r="J169" s="22" t="str">
        <f>LOOKUP(TabVMAzureEnvProjet[[#This Row],[Code SYGES]],TabCONTRATSDI[Contrat SYGES],TabCONTRATSDI[Client])</f>
        <v>SPC</v>
      </c>
      <c r="K169" t="s">
        <v>149</v>
      </c>
      <c r="L169" s="31">
        <v>85.76</v>
      </c>
      <c r="M169" s="41"/>
    </row>
    <row r="170" spans="1:13" x14ac:dyDescent="0.25">
      <c r="A170" s="22" t="str">
        <f>TabVMAzureEnvProjet[[#This Row],[Client]] &amp; " .:. "  &amp; TabVMAzureEnvProjet[[#This Row],[Projet]]</f>
        <v>FRR .:. FRR-DIGIPAT</v>
      </c>
      <c r="B170" s="22" t="str">
        <f>IF(TabVMAzureEnvProjet[[#This Row],[Projet AzureDevOps]]&lt;&gt;"",TabVMAzureEnvProjet[[#This Row],[Projet AzureDevOps]],TabVMAzureEnvProjet[[#This Row],[VM]])</f>
        <v>FRR-DIGIPAT-VM</v>
      </c>
      <c r="D170" t="s">
        <v>31</v>
      </c>
      <c r="E170" t="s">
        <v>21</v>
      </c>
      <c r="F170" t="s">
        <v>29</v>
      </c>
      <c r="G170" t="str">
        <f>LOOKUP(TabVMAzureEnvProjet[[#This Row],[Projet]],TabProjets[NomProj],TabProjets[SYGES])</f>
        <v>FRR/TMASI</v>
      </c>
      <c r="H170" t="str">
        <f>LOOKUP(TabVMAzureEnvProjet[[#This Row],[Projet]],TabProjets[NomProj],TabProjets[CP])</f>
        <v>Alice MARCHAL</v>
      </c>
      <c r="I170">
        <f>LOOKUP(TabVMAzureEnvProjet[[#This Row],[Code SYGES]],TabCONTRATSDI[Contrat SYGES],TabCONTRATSDI[Cost Center])</f>
        <v>305704</v>
      </c>
      <c r="J170" s="22" t="str">
        <f>LOOKUP(TabVMAzureEnvProjet[[#This Row],[Code SYGES]],TabCONTRATSDI[Contrat SYGES],TabCONTRATSDI[Client])</f>
        <v>FRR</v>
      </c>
      <c r="K170" t="s">
        <v>149</v>
      </c>
      <c r="L170" s="31">
        <v>21.22</v>
      </c>
      <c r="M170" s="40"/>
    </row>
    <row r="171" spans="1:13" x14ac:dyDescent="0.25">
      <c r="A171" s="22" t="str">
        <f>TabVMAzureEnvProjet[[#This Row],[Client]] &amp; " .:. "  &amp; TabVMAzureEnvProjet[[#This Row],[Projet]]</f>
        <v>ONEMA .:. AFB-BASEINDICATEURS</v>
      </c>
      <c r="B171" s="22" t="str">
        <f>IF(TabVMAzureEnvProjet[[#This Row],[Projet AzureDevOps]]&lt;&gt;"",TabVMAzureEnvProjet[[#This Row],[Projet AzureDevOps]],TabVMAzureEnvProjet[[#This Row],[VM]])</f>
        <v>AFB-BaseIndicateurs</v>
      </c>
      <c r="C171" s="13" t="s">
        <v>58</v>
      </c>
      <c r="E171" t="s">
        <v>4</v>
      </c>
      <c r="F171" t="s">
        <v>57</v>
      </c>
      <c r="G171" t="str">
        <f>LOOKUP(TabVMAzureEnvProjet[[#This Row],[Projet]],TabProjets[NomProj],TabProjets[SYGES])</f>
        <v>ONEMA/TMADCUA-15</v>
      </c>
      <c r="H171" t="str">
        <f>LOOKUP(TabVMAzureEnvProjet[[#This Row],[Projet]],TabProjets[NomProj],TabProjets[CP])</f>
        <v>Pierre BOURLIEUX</v>
      </c>
      <c r="I171">
        <f>LOOKUP(TabVMAzureEnvProjet[[#This Row],[Code SYGES]],TabCONTRATSDI[Contrat SYGES],TabCONTRATSDI[Cost Center])</f>
        <v>305704</v>
      </c>
      <c r="J171" s="22" t="str">
        <f>LOOKUP(TabVMAzureEnvProjet[[#This Row],[Code SYGES]],TabCONTRATSDI[Contrat SYGES],TabCONTRATSDI[Client])</f>
        <v>ONEMA</v>
      </c>
      <c r="K171" t="s">
        <v>151</v>
      </c>
      <c r="L171" s="31">
        <v>0.68675683610526317</v>
      </c>
      <c r="M171" s="40"/>
    </row>
    <row r="172" spans="1:13" x14ac:dyDescent="0.25">
      <c r="A172" s="22" t="str">
        <f>TabVMAzureEnvProjet[[#This Row],[Client]] &amp; " .:. "  &amp; TabVMAzureEnvProjet[[#This Row],[Projet]]</f>
        <v>ONEMA .:. AFB-CATALOGUE</v>
      </c>
      <c r="B172" s="22" t="str">
        <f>IF(TabVMAzureEnvProjet[[#This Row],[Projet AzureDevOps]]&lt;&gt;"",TabVMAzureEnvProjet[[#This Row],[Projet AzureDevOps]],TabVMAzureEnvProjet[[#This Row],[VM]])</f>
        <v>AFB-Catalogue</v>
      </c>
      <c r="C172" s="13" t="s">
        <v>60</v>
      </c>
      <c r="E172" t="s">
        <v>4</v>
      </c>
      <c r="F172" t="s">
        <v>59</v>
      </c>
      <c r="G172" t="str">
        <f>LOOKUP(TabVMAzureEnvProjet[[#This Row],[Projet]],TabProjets[NomProj],TabProjets[SYGES])</f>
        <v>ONEMA/TMADCUA-15</v>
      </c>
      <c r="H172" t="str">
        <f>LOOKUP(TabVMAzureEnvProjet[[#This Row],[Projet]],TabProjets[NomProj],TabProjets[CP])</f>
        <v>Pierre BOURLIEUX</v>
      </c>
      <c r="I172">
        <f>LOOKUP(TabVMAzureEnvProjet[[#This Row],[Code SYGES]],TabCONTRATSDI[Contrat SYGES],TabCONTRATSDI[Cost Center])</f>
        <v>305704</v>
      </c>
      <c r="J172" s="22" t="str">
        <f>LOOKUP(TabVMAzureEnvProjet[[#This Row],[Code SYGES]],TabCONTRATSDI[Contrat SYGES],TabCONTRATSDI[Client])</f>
        <v>ONEMA</v>
      </c>
      <c r="K172" t="s">
        <v>151</v>
      </c>
      <c r="L172" s="31">
        <v>1.7151045220511962</v>
      </c>
      <c r="M172" s="40"/>
    </row>
    <row r="173" spans="1:13" x14ac:dyDescent="0.25">
      <c r="A173" s="22" t="str">
        <f>TabVMAzureEnvProjet[[#This Row],[Client]] &amp; " .:. "  &amp; TabVMAzureEnvProjet[[#This Row],[Projet]]</f>
        <v>ONEMA .:. AFB-CDR</v>
      </c>
      <c r="B173" s="22" t="str">
        <f>IF(TabVMAzureEnvProjet[[#This Row],[Projet AzureDevOps]]&lt;&gt;"",TabVMAzureEnvProjet[[#This Row],[Projet AzureDevOps]],TabVMAzureEnvProjet[[#This Row],[VM]])</f>
        <v>AFB-CDR</v>
      </c>
      <c r="C173" s="13" t="s">
        <v>61</v>
      </c>
      <c r="E173" t="s">
        <v>4</v>
      </c>
      <c r="F173" t="s">
        <v>61</v>
      </c>
      <c r="G173" t="str">
        <f>LOOKUP(TabVMAzureEnvProjet[[#This Row],[Projet]],TabProjets[NomProj],TabProjets[SYGES])</f>
        <v>ONEMA/TMAWEB-16</v>
      </c>
      <c r="H173" t="str">
        <f>LOOKUP(TabVMAzureEnvProjet[[#This Row],[Projet]],TabProjets[NomProj],TabProjets[CP])</f>
        <v>Pierre BOURLIEUX</v>
      </c>
      <c r="I173">
        <f>LOOKUP(TabVMAzureEnvProjet[[#This Row],[Code SYGES]],TabCONTRATSDI[Contrat SYGES],TabCONTRATSDI[Cost Center])</f>
        <v>305704</v>
      </c>
      <c r="J173" s="22" t="str">
        <f>LOOKUP(TabVMAzureEnvProjet[[#This Row],[Code SYGES]],TabCONTRATSDI[Contrat SYGES],TabCONTRATSDI[Client])</f>
        <v>ONEMA</v>
      </c>
      <c r="K173" t="s">
        <v>151</v>
      </c>
      <c r="L173" s="31">
        <v>7.2108507301940534</v>
      </c>
      <c r="M173" s="40"/>
    </row>
    <row r="174" spans="1:13" x14ac:dyDescent="0.25">
      <c r="A174" s="22" t="str">
        <f>TabVMAzureEnvProjet[[#This Row],[Client]] &amp; " .:. "  &amp; TabVMAzureEnvProjet[[#This Row],[Projet]]</f>
        <v>AFB .:. AFB-CESMIA</v>
      </c>
      <c r="B174" s="22" t="str">
        <f>IF(TabVMAzureEnvProjet[[#This Row],[Projet AzureDevOps]]&lt;&gt;"",TabVMAzureEnvProjet[[#This Row],[Projet AzureDevOps]],TabVMAzureEnvProjet[[#This Row],[VM]])</f>
        <v>AFB-CESMIA</v>
      </c>
      <c r="C174" s="13" t="s">
        <v>3</v>
      </c>
      <c r="E174" t="s">
        <v>4</v>
      </c>
      <c r="F174" t="s">
        <v>3</v>
      </c>
      <c r="G174" t="str">
        <f>LOOKUP(TabVMAzureEnvProjet[[#This Row],[Projet]],TabProjets[NomProj],TabProjets[SYGES])</f>
        <v>AFB/OFB_LOT1</v>
      </c>
      <c r="H174" t="str">
        <f>LOOKUP(TabVMAzureEnvProjet[[#This Row],[Projet]],TabProjets[NomProj],TabProjets[CP])</f>
        <v>Jean-Philippe STROIAZZO</v>
      </c>
      <c r="I174">
        <f>LOOKUP(TabVMAzureEnvProjet[[#This Row],[Code SYGES]],TabCONTRATSDI[Contrat SYGES],TabCONTRATSDI[Cost Center])</f>
        <v>305704</v>
      </c>
      <c r="J174" s="22" t="str">
        <f>LOOKUP(TabVMAzureEnvProjet[[#This Row],[Code SYGES]],TabCONTRATSDI[Contrat SYGES],TabCONTRATSDI[Client])</f>
        <v>AFB</v>
      </c>
      <c r="K174" t="s">
        <v>151</v>
      </c>
      <c r="L174" s="31">
        <v>12.255714358527801</v>
      </c>
      <c r="M174" s="40"/>
    </row>
    <row r="175" spans="1:13" x14ac:dyDescent="0.25">
      <c r="A175" s="22" t="str">
        <f>TabVMAzureEnvProjet[[#This Row],[Client]] &amp; " .:. "  &amp; TabVMAzureEnvProjet[[#This Row],[Projet]]</f>
        <v>ONEMA .:. AFB-OISON</v>
      </c>
      <c r="B175" s="22" t="str">
        <f>IF(TabVMAzureEnvProjet[[#This Row],[Projet AzureDevOps]]&lt;&gt;"",TabVMAzureEnvProjet[[#This Row],[Projet AzureDevOps]],TabVMAzureEnvProjet[[#This Row],[VM]])</f>
        <v>AFB-OISON</v>
      </c>
      <c r="C175" s="13" t="s">
        <v>62</v>
      </c>
      <c r="E175" t="s">
        <v>4</v>
      </c>
      <c r="F175" t="s">
        <v>62</v>
      </c>
      <c r="G175" t="str">
        <f>LOOKUP(TabVMAzureEnvProjet[[#This Row],[Projet]],TabProjets[NomProj],TabProjets[SYGES])</f>
        <v>ONEMA/TMADCUA-15</v>
      </c>
      <c r="H175" t="str">
        <f>LOOKUP(TabVMAzureEnvProjet[[#This Row],[Projet]],TabProjets[NomProj],TabProjets[CP])</f>
        <v>Jean-Philippe STROIAZZO</v>
      </c>
      <c r="I175">
        <f>LOOKUP(TabVMAzureEnvProjet[[#This Row],[Code SYGES]],TabCONTRATSDI[Contrat SYGES],TabCONTRATSDI[Cost Center])</f>
        <v>305704</v>
      </c>
      <c r="J175" s="22" t="str">
        <f>LOOKUP(TabVMAzureEnvProjet[[#This Row],[Code SYGES]],TabCONTRATSDI[Contrat SYGES],TabCONTRATSDI[Client])</f>
        <v>ONEMA</v>
      </c>
      <c r="K175" t="s">
        <v>151</v>
      </c>
      <c r="L175" s="31">
        <v>5.7252775179069904</v>
      </c>
      <c r="M175" s="40"/>
    </row>
    <row r="176" spans="1:13" x14ac:dyDescent="0.25">
      <c r="A176" s="22" t="str">
        <f>TabVMAzureEnvProjet[[#This Row],[Client]] &amp; " .:. "  &amp; TabVMAzureEnvProjet[[#This Row],[Projet]]</f>
        <v>ONEMA .:. AFB-PATBIODIV</v>
      </c>
      <c r="B176" s="22" t="str">
        <f>IF(TabVMAzureEnvProjet[[#This Row],[Projet AzureDevOps]]&lt;&gt;"",TabVMAzureEnvProjet[[#This Row],[Projet AzureDevOps]],TabVMAzureEnvProjet[[#This Row],[VM]])</f>
        <v>AFB-PATBiodiv</v>
      </c>
      <c r="C176" s="13" t="s">
        <v>64</v>
      </c>
      <c r="E176" t="s">
        <v>4</v>
      </c>
      <c r="F176" t="s">
        <v>63</v>
      </c>
      <c r="G176" t="str">
        <f>LOOKUP(TabVMAzureEnvProjet[[#This Row],[Projet]],TabProjets[NomProj],TabProjets[SYGES])</f>
        <v>ONEMA/TMADCUA-15</v>
      </c>
      <c r="H176" t="str">
        <f>LOOKUP(TabVMAzureEnvProjet[[#This Row],[Projet]],TabProjets[NomProj],TabProjets[CP])</f>
        <v>Rodolphe HABEGGER</v>
      </c>
      <c r="I176">
        <f>LOOKUP(TabVMAzureEnvProjet[[#This Row],[Code SYGES]],TabCONTRATSDI[Contrat SYGES],TabCONTRATSDI[Cost Center])</f>
        <v>305704</v>
      </c>
      <c r="J176" s="22" t="str">
        <f>LOOKUP(TabVMAzureEnvProjet[[#This Row],[Code SYGES]],TabCONTRATSDI[Contrat SYGES],TabCONTRATSDI[Client])</f>
        <v>ONEMA</v>
      </c>
      <c r="K176" t="s">
        <v>151</v>
      </c>
      <c r="L176" s="31">
        <v>5.6861361027719299</v>
      </c>
      <c r="M176" s="40"/>
    </row>
    <row r="177" spans="1:13" x14ac:dyDescent="0.25">
      <c r="A177" s="22" t="str">
        <f>TabVMAzureEnvProjet[[#This Row],[Client]] &amp; " .:. "  &amp; TabVMAzureEnvProjet[[#This Row],[Projet]]</f>
        <v>AFB .:. AFB-PNM</v>
      </c>
      <c r="B177" s="22" t="str">
        <f>IF(TabVMAzureEnvProjet[[#This Row],[Projet AzureDevOps]]&lt;&gt;"",TabVMAzureEnvProjet[[#This Row],[Projet AzureDevOps]],TabVMAzureEnvProjet[[#This Row],[VM]])</f>
        <v>AFB-PNM</v>
      </c>
      <c r="C177" s="13" t="s">
        <v>5</v>
      </c>
      <c r="E177" t="s">
        <v>4</v>
      </c>
      <c r="F177" t="s">
        <v>5</v>
      </c>
      <c r="G177" t="str">
        <f>LOOKUP(TabVMAzureEnvProjet[[#This Row],[Projet]],TabProjets[NomProj],TabProjets[SYGES])</f>
        <v>AFB/OFB_LOT2</v>
      </c>
      <c r="H177" t="str">
        <f>LOOKUP(TabVMAzureEnvProjet[[#This Row],[Projet]],TabProjets[NomProj],TabProjets[CP])</f>
        <v>Eric RAUCOURT</v>
      </c>
      <c r="I177">
        <f>LOOKUP(TabVMAzureEnvProjet[[#This Row],[Code SYGES]],TabCONTRATSDI[Contrat SYGES],TabCONTRATSDI[Cost Center])</f>
        <v>305704</v>
      </c>
      <c r="J177" s="22" t="str">
        <f>LOOKUP(TabVMAzureEnvProjet[[#This Row],[Code SYGES]],TabCONTRATSDI[Contrat SYGES],TabCONTRATSDI[Client])</f>
        <v>AFB</v>
      </c>
      <c r="K177" t="s">
        <v>151</v>
      </c>
      <c r="L177" s="31">
        <v>14.352832561463577</v>
      </c>
      <c r="M177" s="40"/>
    </row>
    <row r="178" spans="1:13" x14ac:dyDescent="0.25">
      <c r="A178" s="22" t="str">
        <f>TabVMAzureEnvProjet[[#This Row],[Client]] &amp; " .:. "  &amp; TabVMAzureEnvProjet[[#This Row],[Projet]]</f>
        <v>AFB .:. AFB-PNX</v>
      </c>
      <c r="B178" s="22" t="str">
        <f>IF(TabVMAzureEnvProjet[[#This Row],[Projet AzureDevOps]]&lt;&gt;"",TabVMAzureEnvProjet[[#This Row],[Projet AzureDevOps]],TabVMAzureEnvProjet[[#This Row],[VM]])</f>
        <v>AFB-PNX</v>
      </c>
      <c r="C178" s="13" t="s">
        <v>8</v>
      </c>
      <c r="E178" t="s">
        <v>4</v>
      </c>
      <c r="F178" t="s">
        <v>8</v>
      </c>
      <c r="G178" t="str">
        <f>LOOKUP(TabVMAzureEnvProjet[[#This Row],[Projet]],TabProjets[NomProj],TabProjets[SYGES])</f>
        <v>AFB/OFB_LOT2</v>
      </c>
      <c r="H178" t="str">
        <f>LOOKUP(TabVMAzureEnvProjet[[#This Row],[Projet]],TabProjets[NomProj],TabProjets[CP])</f>
        <v>Pierre BOURLIEUX</v>
      </c>
      <c r="I178">
        <f>LOOKUP(TabVMAzureEnvProjet[[#This Row],[Code SYGES]],TabCONTRATSDI[Contrat SYGES],TabCONTRATSDI[Cost Center])</f>
        <v>305704</v>
      </c>
      <c r="J178" s="22" t="str">
        <f>LOOKUP(TabVMAzureEnvProjet[[#This Row],[Code SYGES]],TabCONTRATSDI[Contrat SYGES],TabCONTRATSDI[Client])</f>
        <v>AFB</v>
      </c>
      <c r="K178" t="s">
        <v>151</v>
      </c>
      <c r="L178" s="31">
        <v>2.4543945053909773</v>
      </c>
      <c r="M178" s="40"/>
    </row>
    <row r="179" spans="1:13" x14ac:dyDescent="0.25">
      <c r="A179" s="22" t="str">
        <f>TabVMAzureEnvProjet[[#This Row],[Client]] &amp; " .:. "  &amp; TabVMAzureEnvProjet[[#This Row],[Projet]]</f>
        <v>ONEMA .:. AFB-RAA</v>
      </c>
      <c r="B179" s="22" t="str">
        <f>IF(TabVMAzureEnvProjet[[#This Row],[Projet AzureDevOps]]&lt;&gt;"",TabVMAzureEnvProjet[[#This Row],[Projet AzureDevOps]],TabVMAzureEnvProjet[[#This Row],[VM]])</f>
        <v>AFB-RAA</v>
      </c>
      <c r="C179" s="13" t="s">
        <v>65</v>
      </c>
      <c r="E179" t="s">
        <v>4</v>
      </c>
      <c r="F179" t="s">
        <v>65</v>
      </c>
      <c r="G179" t="str">
        <f>LOOKUP(TabVMAzureEnvProjet[[#This Row],[Projet]],TabProjets[NomProj],TabProjets[SYGES])</f>
        <v>ONEMA/TMAWEB-16</v>
      </c>
      <c r="H179" t="str">
        <f>LOOKUP(TabVMAzureEnvProjet[[#This Row],[Projet]],TabProjets[NomProj],TabProjets[CP])</f>
        <v>Pierre BOURLIEUX</v>
      </c>
      <c r="I179">
        <f>LOOKUP(TabVMAzureEnvProjet[[#This Row],[Code SYGES]],TabCONTRATSDI[Contrat SYGES],TabCONTRATSDI[Cost Center])</f>
        <v>305704</v>
      </c>
      <c r="J179" s="22" t="str">
        <f>LOOKUP(TabVMAzureEnvProjet[[#This Row],[Code SYGES]],TabCONTRATSDI[Contrat SYGES],TabCONTRATSDI[Client])</f>
        <v>ONEMA</v>
      </c>
      <c r="K179" t="s">
        <v>151</v>
      </c>
      <c r="L179" s="31">
        <v>0.23681270210526315</v>
      </c>
      <c r="M179" s="40"/>
    </row>
    <row r="180" spans="1:13" x14ac:dyDescent="0.25">
      <c r="A180" s="22" t="str">
        <f>TabVMAzureEnvProjet[[#This Row],[Client]] &amp; " .:. "  &amp; TabVMAzureEnvProjet[[#This Row],[Projet]]</f>
        <v>ALM .:. ALM-ATOUT</v>
      </c>
      <c r="B180" s="22" t="str">
        <f>IF(TabVMAzureEnvProjet[[#This Row],[Projet AzureDevOps]]&lt;&gt;"",TabVMAzureEnvProjet[[#This Row],[Projet AzureDevOps]],TabVMAzureEnvProjet[[#This Row],[VM]])</f>
        <v>ALM-ATOUT</v>
      </c>
      <c r="C180" s="13" t="s">
        <v>17</v>
      </c>
      <c r="E180" t="s">
        <v>4</v>
      </c>
      <c r="F180" t="s">
        <v>17</v>
      </c>
      <c r="G180" t="str">
        <f>LOOKUP(TabVMAzureEnvProjet[[#This Row],[Projet]],TabProjets[NomProj],TabProjets[SYGES])</f>
        <v>ALM/TMA_ATOUT</v>
      </c>
      <c r="H180" t="str">
        <f>LOOKUP(TabVMAzureEnvProjet[[#This Row],[Projet]],TabProjets[NomProj],TabProjets[CP])</f>
        <v>Alice MARCHAL</v>
      </c>
      <c r="I180">
        <f>LOOKUP(TabVMAzureEnvProjet[[#This Row],[Code SYGES]],TabCONTRATSDI[Contrat SYGES],TabCONTRATSDI[Cost Center])</f>
        <v>305704</v>
      </c>
      <c r="J180" s="22" t="str">
        <f>LOOKUP(TabVMAzureEnvProjet[[#This Row],[Code SYGES]],TabCONTRATSDI[Contrat SYGES],TabCONTRATSDI[Client])</f>
        <v>ALM</v>
      </c>
      <c r="K180" t="s">
        <v>151</v>
      </c>
      <c r="L180" s="31">
        <v>11.506087884854869</v>
      </c>
      <c r="M180" s="40"/>
    </row>
    <row r="181" spans="1:13" x14ac:dyDescent="0.25">
      <c r="A181" s="22" t="str">
        <f>TabVMAzureEnvProjet[[#This Row],[Client]] &amp; " .:. "  &amp; TabVMAzureEnvProjet[[#This Row],[Projet]]</f>
        <v>BRGM .:. BRGM-ORRM</v>
      </c>
      <c r="B181" s="22" t="str">
        <f>IF(TabVMAzureEnvProjet[[#This Row],[Projet AzureDevOps]]&lt;&gt;"",TabVMAzureEnvProjet[[#This Row],[Projet AzureDevOps]],TabVMAzureEnvProjet[[#This Row],[VM]])</f>
        <v>BRGM-ORRM</v>
      </c>
      <c r="C181" s="13" t="s">
        <v>20</v>
      </c>
      <c r="E181" t="s">
        <v>4</v>
      </c>
      <c r="F181" t="s">
        <v>20</v>
      </c>
      <c r="G181" t="str">
        <f>LOOKUP(TabVMAzureEnvProjet[[#This Row],[Projet]],TabProjets[NomProj],TabProjets[SYGES])</f>
        <v>BRGM/TMA-5-1-ORRM-LOT1</v>
      </c>
      <c r="H181" t="str">
        <f>LOOKUP(TabVMAzureEnvProjet[[#This Row],[Projet]],TabProjets[NomProj],TabProjets[CP])</f>
        <v>Alice MARCHAL</v>
      </c>
      <c r="I181">
        <f>LOOKUP(TabVMAzureEnvProjet[[#This Row],[Code SYGES]],TabCONTRATSDI[Contrat SYGES],TabCONTRATSDI[Cost Center])</f>
        <v>305704</v>
      </c>
      <c r="J181" s="22" t="str">
        <f>LOOKUP(TabVMAzureEnvProjet[[#This Row],[Code SYGES]],TabCONTRATSDI[Contrat SYGES],TabCONTRATSDI[Client])</f>
        <v>BRGM</v>
      </c>
      <c r="K181" t="s">
        <v>151</v>
      </c>
      <c r="L181" s="31">
        <v>6.2898275603641114</v>
      </c>
      <c r="M181" s="40"/>
    </row>
    <row r="182" spans="1:13" x14ac:dyDescent="0.25">
      <c r="A182" s="22" t="str">
        <f>TabVMAzureEnvProjet[[#This Row],[Client]] &amp; " .:. "  &amp; TabVMAzureEnvProjet[[#This Row],[Projet]]</f>
        <v>CNAV .:. CNAV-BI-RGCU</v>
      </c>
      <c r="B182" s="22" t="str">
        <f>IF(TabVMAzureEnvProjet[[#This Row],[Projet AzureDevOps]]&lt;&gt;"",TabVMAzureEnvProjet[[#This Row],[Projet AzureDevOps]],TabVMAzureEnvProjet[[#This Row],[VM]])</f>
        <v>CNAV-BI-RGCU</v>
      </c>
      <c r="C182" s="13" t="s">
        <v>27</v>
      </c>
      <c r="E182" t="s">
        <v>4</v>
      </c>
      <c r="F182" t="s">
        <v>27</v>
      </c>
      <c r="G182" t="str">
        <f>LOOKUP(TabVMAzureEnvProjet[[#This Row],[Projet]],TabProjets[NomProj],TabProjets[SYGES])</f>
        <v>CNAV/BI-SIRRGCU</v>
      </c>
      <c r="H182" t="str">
        <f>LOOKUP(TabVMAzureEnvProjet[[#This Row],[Projet]],TabProjets[NomProj],TabProjets[CP])</f>
        <v>Valerie ASSELIN LOZACHMEUR</v>
      </c>
      <c r="I182">
        <f>LOOKUP(TabVMAzureEnvProjet[[#This Row],[Code SYGES]],TabCONTRATSDI[Contrat SYGES],TabCONTRATSDI[Cost Center])</f>
        <v>305704</v>
      </c>
      <c r="J182" s="22" t="str">
        <f>LOOKUP(TabVMAzureEnvProjet[[#This Row],[Code SYGES]],TabCONTRATSDI[Contrat SYGES],TabCONTRATSDI[Client])</f>
        <v>CNAV</v>
      </c>
      <c r="K182" t="s">
        <v>151</v>
      </c>
      <c r="L182" s="31">
        <v>11.24860335</v>
      </c>
      <c r="M182" s="40"/>
    </row>
    <row r="183" spans="1:13" x14ac:dyDescent="0.25">
      <c r="A183" s="22" t="str">
        <f>TabVMAzureEnvProjet[[#This Row],[Client]] &amp; " .:. "  &amp; TabVMAzureEnvProjet[[#This Row],[Projet]]</f>
        <v>INETUM .:. INETUM-INTERNE</v>
      </c>
      <c r="B183" s="22" t="str">
        <f>IF(TabVMAzureEnvProjet[[#This Row],[Projet AzureDevOps]]&lt;&gt;"",TabVMAzureEnvProjet[[#This Row],[Projet AzureDevOps]],TabVMAzureEnvProjet[[#This Row],[VM]])</f>
        <v>d8-qa</v>
      </c>
      <c r="C183" s="13" t="s">
        <v>141</v>
      </c>
      <c r="E183" t="s">
        <v>4</v>
      </c>
      <c r="F183" t="s">
        <v>102</v>
      </c>
      <c r="G183" t="str">
        <f>LOOKUP(TabVMAzureEnvProjet[[#This Row],[Projet]],TabProjets[NomProj],TabProjets[SYGES])</f>
        <v>INETUM/PROJET_INTERNE</v>
      </c>
      <c r="H183" t="str">
        <f>LOOKUP(TabVMAzureEnvProjet[[#This Row],[Projet]],TabProjets[NomProj],TabProjets[CP])</f>
        <v>Christophe ORLANDO</v>
      </c>
      <c r="I183">
        <f>LOOKUP(TabVMAzureEnvProjet[[#This Row],[Code SYGES]],TabCONTRATSDI[Contrat SYGES],TabCONTRATSDI[Cost Center])</f>
        <v>305704</v>
      </c>
      <c r="J183" s="22" t="str">
        <f>LOOKUP(TabVMAzureEnvProjet[[#This Row],[Code SYGES]],TabCONTRATSDI[Contrat SYGES],TabCONTRATSDI[Client])</f>
        <v>INETUM</v>
      </c>
      <c r="K183" t="s">
        <v>151</v>
      </c>
      <c r="L183" s="31">
        <v>0.79924286960526314</v>
      </c>
      <c r="M183" s="40"/>
    </row>
    <row r="184" spans="1:13" x14ac:dyDescent="0.25">
      <c r="A184" s="22" t="str">
        <f>TabVMAzureEnvProjet[[#This Row],[Client]] &amp; " .:. "  &amp; TabVMAzureEnvProjet[[#This Row],[Projet]]</f>
        <v>INETUM .:. INETUM-INTERNE</v>
      </c>
      <c r="B184" s="22" t="str">
        <f>IF(TabVMAzureEnvProjet[[#This Row],[Projet AzureDevOps]]&lt;&gt;"",TabVMAzureEnvProjet[[#This Row],[Projet AzureDevOps]],TabVMAzureEnvProjet[[#This Row],[VM]])</f>
        <v>drupal-qa</v>
      </c>
      <c r="C184" s="13" t="s">
        <v>142</v>
      </c>
      <c r="E184" t="s">
        <v>4</v>
      </c>
      <c r="F184" t="s">
        <v>102</v>
      </c>
      <c r="G184" t="str">
        <f>LOOKUP(TabVMAzureEnvProjet[[#This Row],[Projet]],TabProjets[NomProj],TabProjets[SYGES])</f>
        <v>INETUM/PROJET_INTERNE</v>
      </c>
      <c r="H184" t="str">
        <f>LOOKUP(TabVMAzureEnvProjet[[#This Row],[Projet]],TabProjets[NomProj],TabProjets[CP])</f>
        <v>Christophe ORLANDO</v>
      </c>
      <c r="I184">
        <f>LOOKUP(TabVMAzureEnvProjet[[#This Row],[Code SYGES]],TabCONTRATSDI[Contrat SYGES],TabCONTRATSDI[Cost Center])</f>
        <v>305704</v>
      </c>
      <c r="J184" s="22" t="str">
        <f>LOOKUP(TabVMAzureEnvProjet[[#This Row],[Code SYGES]],TabCONTRATSDI[Contrat SYGES],TabCONTRATSDI[Client])</f>
        <v>INETUM</v>
      </c>
      <c r="K184" t="s">
        <v>151</v>
      </c>
      <c r="L184" s="31">
        <v>0.79924286960526314</v>
      </c>
      <c r="M184" s="40"/>
    </row>
    <row r="185" spans="1:13" x14ac:dyDescent="0.25">
      <c r="A185" s="22" t="str">
        <f>TabVMAzureEnvProjet[[#This Row],[Client]] &amp; " .:. "  &amp; TabVMAzureEnvProjet[[#This Row],[Projet]]</f>
        <v>FRR .:. FRR-DIGIPAT</v>
      </c>
      <c r="B185" s="22" t="str">
        <f>IF(TabVMAzureEnvProjet[[#This Row],[Projet AzureDevOps]]&lt;&gt;"",TabVMAzureEnvProjet[[#This Row],[Projet AzureDevOps]],TabVMAzureEnvProjet[[#This Row],[VM]])</f>
        <v>FRR DIGIPAT</v>
      </c>
      <c r="C185" s="13" t="s">
        <v>30</v>
      </c>
      <c r="E185" t="s">
        <v>4</v>
      </c>
      <c r="F185" t="s">
        <v>29</v>
      </c>
      <c r="G185" t="str">
        <f>LOOKUP(TabVMAzureEnvProjet[[#This Row],[Projet]],TabProjets[NomProj],TabProjets[SYGES])</f>
        <v>FRR/TMASI</v>
      </c>
      <c r="H185" t="str">
        <f>LOOKUP(TabVMAzureEnvProjet[[#This Row],[Projet]],TabProjets[NomProj],TabProjets[CP])</f>
        <v>Alice MARCHAL</v>
      </c>
      <c r="I185">
        <f>LOOKUP(TabVMAzureEnvProjet[[#This Row],[Code SYGES]],TabCONTRATSDI[Contrat SYGES],TabCONTRATSDI[Cost Center])</f>
        <v>305704</v>
      </c>
      <c r="J185" s="22" t="str">
        <f>LOOKUP(TabVMAzureEnvProjet[[#This Row],[Code SYGES]],TabCONTRATSDI[Contrat SYGES],TabCONTRATSDI[Client])</f>
        <v>FRR</v>
      </c>
      <c r="K185" t="s">
        <v>151</v>
      </c>
      <c r="L185" s="31">
        <v>7.5952108089743593</v>
      </c>
      <c r="M185" s="40"/>
    </row>
    <row r="186" spans="1:13" x14ac:dyDescent="0.25">
      <c r="A186" s="22" t="str">
        <f>TabVMAzureEnvProjet[[#This Row],[Client]] &amp; " .:. "  &amp; TabVMAzureEnvProjet[[#This Row],[Projet]]</f>
        <v>FRR .:. FRR-APPLIFRR</v>
      </c>
      <c r="B186" s="22" t="str">
        <f>IF(TabVMAzureEnvProjet[[#This Row],[Projet AzureDevOps]]&lt;&gt;"",TabVMAzureEnvProjet[[#This Row],[Projet AzureDevOps]],TabVMAzureEnvProjet[[#This Row],[VM]])</f>
        <v>FRR-APPLIFRR</v>
      </c>
      <c r="C186" s="13" t="s">
        <v>32</v>
      </c>
      <c r="E186" t="s">
        <v>4</v>
      </c>
      <c r="F186" t="s">
        <v>32</v>
      </c>
      <c r="G186" t="str">
        <f>LOOKUP(TabVMAzureEnvProjet[[#This Row],[Projet]],TabProjets[NomProj],TabProjets[SYGES])</f>
        <v>FRR/TMASI</v>
      </c>
      <c r="H186" t="str">
        <f>LOOKUP(TabVMAzureEnvProjet[[#This Row],[Projet]],TabProjets[NomProj],TabProjets[CP])</f>
        <v>Jean-Philippe STROIAZZO</v>
      </c>
      <c r="I186">
        <f>LOOKUP(TabVMAzureEnvProjet[[#This Row],[Code SYGES]],TabCONTRATSDI[Contrat SYGES],TabCONTRATSDI[Cost Center])</f>
        <v>305704</v>
      </c>
      <c r="J186" s="22" t="str">
        <f>LOOKUP(TabVMAzureEnvProjet[[#This Row],[Code SYGES]],TabCONTRATSDI[Contrat SYGES],TabCONTRATSDI[Client])</f>
        <v>FRR</v>
      </c>
      <c r="K186" t="s">
        <v>151</v>
      </c>
      <c r="L186" s="31">
        <v>3.0048716641258739</v>
      </c>
      <c r="M186" s="40"/>
    </row>
    <row r="187" spans="1:13" x14ac:dyDescent="0.25">
      <c r="A187" s="22" t="str">
        <f>TabVMAzureEnvProjet[[#This Row],[Client]] &amp; " .:. "  &amp; TabVMAzureEnvProjet[[#This Row],[Projet]]</f>
        <v>FRR .:. FRR-CADENCIER</v>
      </c>
      <c r="B187" s="22" t="str">
        <f>IF(TabVMAzureEnvProjet[[#This Row],[Projet AzureDevOps]]&lt;&gt;"",TabVMAzureEnvProjet[[#This Row],[Projet AzureDevOps]],TabVMAzureEnvProjet[[#This Row],[VM]])</f>
        <v>FRR-CADENCIER</v>
      </c>
      <c r="C187" s="13" t="s">
        <v>33</v>
      </c>
      <c r="E187" t="s">
        <v>4</v>
      </c>
      <c r="F187" t="s">
        <v>33</v>
      </c>
      <c r="G187" t="str">
        <f>LOOKUP(TabVMAzureEnvProjet[[#This Row],[Projet]],TabProjets[NomProj],TabProjets[SYGES])</f>
        <v>FRR/TMASI</v>
      </c>
      <c r="H187" t="str">
        <f>LOOKUP(TabVMAzureEnvProjet[[#This Row],[Projet]],TabProjets[NomProj],TabProjets[CP])</f>
        <v>Jean-Philippe STROIAZZO</v>
      </c>
      <c r="I187">
        <f>LOOKUP(TabVMAzureEnvProjet[[#This Row],[Code SYGES]],TabCONTRATSDI[Contrat SYGES],TabCONTRATSDI[Cost Center])</f>
        <v>305704</v>
      </c>
      <c r="J187" s="22" t="str">
        <f>LOOKUP(TabVMAzureEnvProjet[[#This Row],[Code SYGES]],TabCONTRATSDI[Contrat SYGES],TabCONTRATSDI[Client])</f>
        <v>FRR</v>
      </c>
      <c r="K187" t="s">
        <v>151</v>
      </c>
      <c r="L187" s="31">
        <v>3.0048716641258739</v>
      </c>
      <c r="M187" s="40"/>
    </row>
    <row r="188" spans="1:13" x14ac:dyDescent="0.25">
      <c r="A188" s="22" t="str">
        <f>TabVMAzureEnvProjet[[#This Row],[Client]] &amp; " .:. "  &amp; TabVMAzureEnvProjet[[#This Row],[Projet]]</f>
        <v>FRR .:. FRR-PATAPAIN</v>
      </c>
      <c r="B188" s="22" t="str">
        <f>IF(TabVMAzureEnvProjet[[#This Row],[Projet AzureDevOps]]&lt;&gt;"",TabVMAzureEnvProjet[[#This Row],[Projet AzureDevOps]],TabVMAzureEnvProjet[[#This Row],[VM]])</f>
        <v>FRR-Patapain</v>
      </c>
      <c r="C188" s="13" t="s">
        <v>35</v>
      </c>
      <c r="E188" t="s">
        <v>4</v>
      </c>
      <c r="F188" t="s">
        <v>34</v>
      </c>
      <c r="G188" t="str">
        <f>LOOKUP(TabVMAzureEnvProjet[[#This Row],[Projet]],TabProjets[NomProj],TabProjets[SYGES])</f>
        <v>FRR/TMASI</v>
      </c>
      <c r="H188" t="str">
        <f>LOOKUP(TabVMAzureEnvProjet[[#This Row],[Projet]],TabProjets[NomProj],TabProjets[CP])</f>
        <v>Christophe ORLANDO</v>
      </c>
      <c r="I188">
        <f>LOOKUP(TabVMAzureEnvProjet[[#This Row],[Code SYGES]],TabCONTRATSDI[Contrat SYGES],TabCONTRATSDI[Cost Center])</f>
        <v>305704</v>
      </c>
      <c r="J188" s="22" t="str">
        <f>LOOKUP(TabVMAzureEnvProjet[[#This Row],[Code SYGES]],TabCONTRATSDI[Contrat SYGES],TabCONTRATSDI[Client])</f>
        <v>FRR</v>
      </c>
      <c r="K188" t="s">
        <v>151</v>
      </c>
      <c r="L188" s="31">
        <v>2.5944830583896099</v>
      </c>
      <c r="M188" s="40"/>
    </row>
    <row r="189" spans="1:13" x14ac:dyDescent="0.25">
      <c r="A189" s="22" t="str">
        <f>TabVMAzureEnvProjet[[#This Row],[Client]] &amp; " .:. "  &amp; TabVMAzureEnvProjet[[#This Row],[Projet]]</f>
        <v>FRR .:. FRR-PATAPAINANDROID</v>
      </c>
      <c r="B189" s="22" t="str">
        <f>IF(TabVMAzureEnvProjet[[#This Row],[Projet AzureDevOps]]&lt;&gt;"",TabVMAzureEnvProjet[[#This Row],[Projet AzureDevOps]],TabVMAzureEnvProjet[[#This Row],[VM]])</f>
        <v>FRR-PATAPAINANDROID</v>
      </c>
      <c r="C189" s="13" t="s">
        <v>36</v>
      </c>
      <c r="E189" t="s">
        <v>4</v>
      </c>
      <c r="F189" t="s">
        <v>36</v>
      </c>
      <c r="G189" t="str">
        <f>LOOKUP(TabVMAzureEnvProjet[[#This Row],[Projet]],TabProjets[NomProj],TabProjets[SYGES])</f>
        <v>FRR/TMASI</v>
      </c>
      <c r="H189" t="str">
        <f>LOOKUP(TabVMAzureEnvProjet[[#This Row],[Projet]],TabProjets[NomProj],TabProjets[CP])</f>
        <v>Jean-Philippe STROIAZZO</v>
      </c>
      <c r="I189">
        <f>LOOKUP(TabVMAzureEnvProjet[[#This Row],[Code SYGES]],TabCONTRATSDI[Contrat SYGES],TabCONTRATSDI[Cost Center])</f>
        <v>305704</v>
      </c>
      <c r="J189" s="22" t="str">
        <f>LOOKUP(TabVMAzureEnvProjet[[#This Row],[Code SYGES]],TabCONTRATSDI[Contrat SYGES],TabCONTRATSDI[Client])</f>
        <v>FRR</v>
      </c>
      <c r="K189" t="s">
        <v>151</v>
      </c>
      <c r="L189" s="31">
        <v>3.0048716641258739</v>
      </c>
      <c r="M189" s="40"/>
    </row>
    <row r="190" spans="1:13" x14ac:dyDescent="0.25">
      <c r="A190" s="22" t="str">
        <f>TabVMAzureEnvProjet[[#This Row],[Client]] &amp; " .:. "  &amp; TabVMAzureEnvProjet[[#This Row],[Projet]]</f>
        <v>INETUM .:. INETUM-INTERNE</v>
      </c>
      <c r="B190" s="22" t="str">
        <f>IF(TabVMAzureEnvProjet[[#This Row],[Projet AzureDevOps]]&lt;&gt;"",TabVMAzureEnvProjet[[#This Row],[Projet AzureDevOps]],TabVMAzureEnvProjet[[#This Row],[VM]])</f>
        <v>GFI-CMIS</v>
      </c>
      <c r="C190" s="13" t="s">
        <v>106</v>
      </c>
      <c r="E190" t="s">
        <v>4</v>
      </c>
      <c r="F190" t="s">
        <v>102</v>
      </c>
      <c r="G190" t="str">
        <f>LOOKUP(TabVMAzureEnvProjet[[#This Row],[Projet]],TabProjets[NomProj],TabProjets[SYGES])</f>
        <v>INETUM/PROJET_INTERNE</v>
      </c>
      <c r="H190" t="str">
        <f>LOOKUP(TabVMAzureEnvProjet[[#This Row],[Projet]],TabProjets[NomProj],TabProjets[CP])</f>
        <v>Christophe ORLANDO</v>
      </c>
      <c r="I190">
        <f>LOOKUP(TabVMAzureEnvProjet[[#This Row],[Code SYGES]],TabCONTRATSDI[Contrat SYGES],TabCONTRATSDI[Cost Center])</f>
        <v>305704</v>
      </c>
      <c r="J190" s="22" t="str">
        <f>LOOKUP(TabVMAzureEnvProjet[[#This Row],[Code SYGES]],TabCONTRATSDI[Contrat SYGES],TabCONTRATSDI[Client])</f>
        <v>INETUM</v>
      </c>
      <c r="K190" t="s">
        <v>151</v>
      </c>
      <c r="L190" s="31">
        <v>0.23681270210526315</v>
      </c>
      <c r="M190" s="40"/>
    </row>
    <row r="191" spans="1:13" x14ac:dyDescent="0.25">
      <c r="A191" s="22" t="str">
        <f>TabVMAzureEnvProjet[[#This Row],[Client]] &amp; " .:. "  &amp; TabVMAzureEnvProjet[[#This Row],[Projet]]</f>
        <v>INETUM .:. INETUM-INTERNE</v>
      </c>
      <c r="B191" s="22" t="str">
        <f>IF(TabVMAzureEnvProjet[[#This Row],[Projet AzureDevOps]]&lt;&gt;"",TabVMAzureEnvProjet[[#This Row],[Projet AzureDevOps]],TabVMAzureEnvProjet[[#This Row],[VM]])</f>
        <v>GFI-COFFEE</v>
      </c>
      <c r="C191" s="13" t="s">
        <v>107</v>
      </c>
      <c r="E191" t="s">
        <v>4</v>
      </c>
      <c r="F191" t="s">
        <v>102</v>
      </c>
      <c r="G191" t="str">
        <f>LOOKUP(TabVMAzureEnvProjet[[#This Row],[Projet]],TabProjets[NomProj],TabProjets[SYGES])</f>
        <v>INETUM/PROJET_INTERNE</v>
      </c>
      <c r="H191" t="str">
        <f>LOOKUP(TabVMAzureEnvProjet[[#This Row],[Projet]],TabProjets[NomProj],TabProjets[CP])</f>
        <v>Christophe ORLANDO</v>
      </c>
      <c r="I191">
        <f>LOOKUP(TabVMAzureEnvProjet[[#This Row],[Code SYGES]],TabCONTRATSDI[Contrat SYGES],TabCONTRATSDI[Cost Center])</f>
        <v>305704</v>
      </c>
      <c r="J191" s="22" t="str">
        <f>LOOKUP(TabVMAzureEnvProjet[[#This Row],[Code SYGES]],TabCONTRATSDI[Contrat SYGES],TabCONTRATSDI[Client])</f>
        <v>INETUM</v>
      </c>
      <c r="K191" t="s">
        <v>151</v>
      </c>
      <c r="L191" s="31">
        <v>1.3979283284115882</v>
      </c>
      <c r="M191" s="40"/>
    </row>
    <row r="192" spans="1:13" x14ac:dyDescent="0.25">
      <c r="A192" s="22" t="str">
        <f>TabVMAzureEnvProjet[[#This Row],[Client]] &amp; " .:. "  &amp; TabVMAzureEnvProjet[[#This Row],[Projet]]</f>
        <v>INETUM .:. INETUM-INTERNE</v>
      </c>
      <c r="B192" s="22" t="str">
        <f>IF(TabVMAzureEnvProjet[[#This Row],[Projet AzureDevOps]]&lt;&gt;"",TabVMAzureEnvProjet[[#This Row],[Projet AzureDevOps]],TabVMAzureEnvProjet[[#This Row],[VM]])</f>
        <v>GFI-CRALENIUM</v>
      </c>
      <c r="C192" s="13" t="s">
        <v>108</v>
      </c>
      <c r="E192" t="s">
        <v>4</v>
      </c>
      <c r="F192" t="s">
        <v>102</v>
      </c>
      <c r="G192" t="str">
        <f>LOOKUP(TabVMAzureEnvProjet[[#This Row],[Projet]],TabProjets[NomProj],TabProjets[SYGES])</f>
        <v>INETUM/PROJET_INTERNE</v>
      </c>
      <c r="H192" t="str">
        <f>LOOKUP(TabVMAzureEnvProjet[[#This Row],[Projet]],TabProjets[NomProj],TabProjets[CP])</f>
        <v>Christophe ORLANDO</v>
      </c>
      <c r="I192">
        <f>LOOKUP(TabVMAzureEnvProjet[[#This Row],[Code SYGES]],TabCONTRATSDI[Contrat SYGES],TabCONTRATSDI[Cost Center])</f>
        <v>305704</v>
      </c>
      <c r="J192" s="22" t="str">
        <f>LOOKUP(TabVMAzureEnvProjet[[#This Row],[Code SYGES]],TabCONTRATSDI[Contrat SYGES],TabCONTRATSDI[Client])</f>
        <v>INETUM</v>
      </c>
      <c r="K192" t="s">
        <v>151</v>
      </c>
      <c r="L192" s="31">
        <v>3.0048716641258739</v>
      </c>
      <c r="M192" s="40"/>
    </row>
    <row r="193" spans="1:13" x14ac:dyDescent="0.25">
      <c r="A193" s="22" t="str">
        <f>TabVMAzureEnvProjet[[#This Row],[Client]] &amp; " .:. "  &amp; TabVMAzureEnvProjet[[#This Row],[Projet]]</f>
        <v>INETUM .:. INETUM-INTERNE</v>
      </c>
      <c r="B193" s="22" t="str">
        <f>IF(TabVMAzureEnvProjet[[#This Row],[Projet AzureDevOps]]&lt;&gt;"",TabVMAzureEnvProjet[[#This Row],[Projet AzureDevOps]],TabVMAzureEnvProjet[[#This Row],[VM]])</f>
        <v>GFI-D8-BS4-THEME</v>
      </c>
      <c r="C193" s="13" t="s">
        <v>103</v>
      </c>
      <c r="E193" t="s">
        <v>4</v>
      </c>
      <c r="F193" t="s">
        <v>102</v>
      </c>
      <c r="G193" t="str">
        <f>LOOKUP(TabVMAzureEnvProjet[[#This Row],[Projet]],TabProjets[NomProj],TabProjets[SYGES])</f>
        <v>INETUM/PROJET_INTERNE</v>
      </c>
      <c r="H193" t="str">
        <f>LOOKUP(TabVMAzureEnvProjet[[#This Row],[Projet]],TabProjets[NomProj],TabProjets[CP])</f>
        <v>Christophe ORLANDO</v>
      </c>
      <c r="I193">
        <f>LOOKUP(TabVMAzureEnvProjet[[#This Row],[Code SYGES]],TabCONTRATSDI[Contrat SYGES],TabCONTRATSDI[Cost Center])</f>
        <v>305704</v>
      </c>
      <c r="J193" s="22" t="str">
        <f>LOOKUP(TabVMAzureEnvProjet[[#This Row],[Code SYGES]],TabCONTRATSDI[Contrat SYGES],TabCONTRATSDI[Client])</f>
        <v>INETUM</v>
      </c>
      <c r="K193" t="s">
        <v>151</v>
      </c>
      <c r="L193" s="31">
        <v>1.6366388967719296</v>
      </c>
      <c r="M193" s="40"/>
    </row>
    <row r="194" spans="1:13" x14ac:dyDescent="0.25">
      <c r="A194" s="22" t="str">
        <f>TabVMAzureEnvProjet[[#This Row],[Client]] &amp; " .:. "  &amp; TabVMAzureEnvProjet[[#This Row],[Projet]]</f>
        <v>INETUM .:. INETUM-INTERNE</v>
      </c>
      <c r="B194" s="22" t="str">
        <f>IF(TabVMAzureEnvProjet[[#This Row],[Projet AzureDevOps]]&lt;&gt;"",TabVMAzureEnvProjet[[#This Row],[Projet AzureDevOps]],TabVMAzureEnvProjet[[#This Row],[VM]])</f>
        <v>GFI-Docker Devbox Install</v>
      </c>
      <c r="C194" s="13" t="s">
        <v>109</v>
      </c>
      <c r="E194" t="s">
        <v>4</v>
      </c>
      <c r="F194" t="s">
        <v>102</v>
      </c>
      <c r="G194" t="str">
        <f>LOOKUP(TabVMAzureEnvProjet[[#This Row],[Projet]],TabProjets[NomProj],TabProjets[SYGES])</f>
        <v>INETUM/PROJET_INTERNE</v>
      </c>
      <c r="H194" t="str">
        <f>LOOKUP(TabVMAzureEnvProjet[[#This Row],[Projet]],TabProjets[NomProj],TabProjets[CP])</f>
        <v>Christophe ORLANDO</v>
      </c>
      <c r="I194">
        <f>LOOKUP(TabVMAzureEnvProjet[[#This Row],[Code SYGES]],TabCONTRATSDI[Contrat SYGES],TabCONTRATSDI[Cost Center])</f>
        <v>305704</v>
      </c>
      <c r="J194" s="22" t="str">
        <f>LOOKUP(TabVMAzureEnvProjet[[#This Row],[Code SYGES]],TabCONTRATSDI[Contrat SYGES],TabCONTRATSDI[Client])</f>
        <v>INETUM</v>
      </c>
      <c r="K194" t="s">
        <v>151</v>
      </c>
      <c r="L194" s="31">
        <v>0.23681270210526315</v>
      </c>
      <c r="M194" s="40"/>
    </row>
    <row r="195" spans="1:13" x14ac:dyDescent="0.25">
      <c r="A195" s="22" t="str">
        <f>TabVMAzureEnvProjet[[#This Row],[Client]] &amp; " .:. "  &amp; TabVMAzureEnvProjet[[#This Row],[Projet]]</f>
        <v>INETUM .:. INETUM-INTERNE</v>
      </c>
      <c r="B195" s="22" t="str">
        <f>IF(TabVMAzureEnvProjet[[#This Row],[Projet AzureDevOps]]&lt;&gt;"",TabVMAzureEnvProjet[[#This Row],[Projet AzureDevOps]],TabVMAzureEnvProjet[[#This Row],[VM]])</f>
        <v>GFI-MineReport</v>
      </c>
      <c r="C195" s="13" t="s">
        <v>104</v>
      </c>
      <c r="E195" t="s">
        <v>4</v>
      </c>
      <c r="F195" t="s">
        <v>102</v>
      </c>
      <c r="G195" t="str">
        <f>LOOKUP(TabVMAzureEnvProjet[[#This Row],[Projet]],TabProjets[NomProj],TabProjets[SYGES])</f>
        <v>INETUM/PROJET_INTERNE</v>
      </c>
      <c r="H195" t="str">
        <f>LOOKUP(TabVMAzureEnvProjet[[#This Row],[Projet]],TabProjets[NomProj],TabProjets[CP])</f>
        <v>Christophe ORLANDO</v>
      </c>
      <c r="I195">
        <f>LOOKUP(TabVMAzureEnvProjet[[#This Row],[Code SYGES]],TabCONTRATSDI[Contrat SYGES],TabCONTRATSDI[Cost Center])</f>
        <v>305704</v>
      </c>
      <c r="J195" s="22" t="str">
        <f>LOOKUP(TabVMAzureEnvProjet[[#This Row],[Code SYGES]],TabCONTRATSDI[Contrat SYGES],TabCONTRATSDI[Client])</f>
        <v>INETUM</v>
      </c>
      <c r="K195" t="s">
        <v>151</v>
      </c>
      <c r="L195" s="31">
        <v>7.657703049807691</v>
      </c>
      <c r="M195" s="40"/>
    </row>
    <row r="196" spans="1:13" x14ac:dyDescent="0.25">
      <c r="A196" s="22" t="str">
        <f>TabVMAzureEnvProjet[[#This Row],[Client]] &amp; " .:. "  &amp; TabVMAzureEnvProjet[[#This Row],[Projet]]</f>
        <v>INETUM .:. INETUM-INTERNE</v>
      </c>
      <c r="B196" s="22" t="str">
        <f>IF(TabVMAzureEnvProjet[[#This Row],[Projet AzureDevOps]]&lt;&gt;"",TabVMAzureEnvProjet[[#This Row],[Projet AzureDevOps]],TabVMAzureEnvProjet[[#This Row],[VM]])</f>
        <v>GFI-PMT</v>
      </c>
      <c r="C196" s="13" t="s">
        <v>110</v>
      </c>
      <c r="E196" t="s">
        <v>4</v>
      </c>
      <c r="F196" t="s">
        <v>102</v>
      </c>
      <c r="G196" t="str">
        <f>LOOKUP(TabVMAzureEnvProjet[[#This Row],[Projet]],TabProjets[NomProj],TabProjets[SYGES])</f>
        <v>INETUM/PROJET_INTERNE</v>
      </c>
      <c r="H196" t="str">
        <f>LOOKUP(TabVMAzureEnvProjet[[#This Row],[Projet]],TabProjets[NomProj],TabProjets[CP])</f>
        <v>Christophe ORLANDO</v>
      </c>
      <c r="I196">
        <f>LOOKUP(TabVMAzureEnvProjet[[#This Row],[Code SYGES]],TabCONTRATSDI[Contrat SYGES],TabCONTRATSDI[Cost Center])</f>
        <v>305704</v>
      </c>
      <c r="J196" s="22" t="str">
        <f>LOOKUP(TabVMAzureEnvProjet[[#This Row],[Code SYGES]],TabCONTRATSDI[Contrat SYGES],TabCONTRATSDI[Client])</f>
        <v>INETUM</v>
      </c>
      <c r="K196" t="s">
        <v>151</v>
      </c>
      <c r="L196" s="31">
        <v>1.4600046738931081</v>
      </c>
      <c r="M196" s="40"/>
    </row>
    <row r="197" spans="1:13" x14ac:dyDescent="0.25">
      <c r="A197" s="22" t="str">
        <f>TabVMAzureEnvProjet[[#This Row],[Client]] &amp; " .:. "  &amp; TabVMAzureEnvProjet[[#This Row],[Projet]]</f>
        <v>INETUM .:. INETUM-INTERNE</v>
      </c>
      <c r="B197" s="22" t="str">
        <f>IF(TabVMAzureEnvProjet[[#This Row],[Projet AzureDevOps]]&lt;&gt;"",TabVMAzureEnvProjet[[#This Row],[Projet AzureDevOps]],TabVMAzureEnvProjet[[#This Row],[VM]])</f>
        <v>GFI-RedmineDocker</v>
      </c>
      <c r="C197" s="13" t="s">
        <v>105</v>
      </c>
      <c r="E197" t="s">
        <v>4</v>
      </c>
      <c r="F197" t="s">
        <v>102</v>
      </c>
      <c r="G197" t="str">
        <f>LOOKUP(TabVMAzureEnvProjet[[#This Row],[Projet]],TabProjets[NomProj],TabProjets[SYGES])</f>
        <v>INETUM/PROJET_INTERNE</v>
      </c>
      <c r="H197" t="str">
        <f>LOOKUP(TabVMAzureEnvProjet[[#This Row],[Projet]],TabProjets[NomProj],TabProjets[CP])</f>
        <v>Christophe ORLANDO</v>
      </c>
      <c r="I197">
        <f>LOOKUP(TabVMAzureEnvProjet[[#This Row],[Code SYGES]],TabCONTRATSDI[Contrat SYGES],TabCONTRATSDI[Cost Center])</f>
        <v>305704</v>
      </c>
      <c r="J197" s="22" t="str">
        <f>LOOKUP(TabVMAzureEnvProjet[[#This Row],[Code SYGES]],TabCONTRATSDI[Contrat SYGES],TabCONTRATSDI[Client])</f>
        <v>INETUM</v>
      </c>
      <c r="K197" t="s">
        <v>151</v>
      </c>
      <c r="L197" s="31">
        <v>1.3589221824848483</v>
      </c>
      <c r="M197" s="40"/>
    </row>
    <row r="198" spans="1:13" x14ac:dyDescent="0.25">
      <c r="A198" s="22" t="str">
        <f>TabVMAzureEnvProjet[[#This Row],[Client]] &amp; " .:. "  &amp; TabVMAzureEnvProjet[[#This Row],[Projet]]</f>
        <v>INETUM .:. INETUM-INTERNE</v>
      </c>
      <c r="B198" s="22" t="str">
        <f>IF(TabVMAzureEnvProjet[[#This Row],[Projet AzureDevOps]]&lt;&gt;"",TabVMAzureEnvProjet[[#This Row],[Projet AzureDevOps]],TabVMAzureEnvProjet[[#This Row],[VM]])</f>
        <v>GFI-TENDER</v>
      </c>
      <c r="C198" s="13" t="s">
        <v>111</v>
      </c>
      <c r="E198" t="s">
        <v>4</v>
      </c>
      <c r="F198" t="s">
        <v>102</v>
      </c>
      <c r="G198" t="str">
        <f>LOOKUP(TabVMAzureEnvProjet[[#This Row],[Projet]],TabProjets[NomProj],TabProjets[SYGES])</f>
        <v>INETUM/PROJET_INTERNE</v>
      </c>
      <c r="H198" t="str">
        <f>LOOKUP(TabVMAzureEnvProjet[[#This Row],[Projet]],TabProjets[NomProj],TabProjets[CP])</f>
        <v>Christophe ORLANDO</v>
      </c>
      <c r="I198">
        <f>LOOKUP(TabVMAzureEnvProjet[[#This Row],[Code SYGES]],TabCONTRATSDI[Contrat SYGES],TabCONTRATSDI[Cost Center])</f>
        <v>305704</v>
      </c>
      <c r="J198" s="22" t="str">
        <f>LOOKUP(TabVMAzureEnvProjet[[#This Row],[Code SYGES]],TabCONTRATSDI[Contrat SYGES],TabCONTRATSDI[Client])</f>
        <v>INETUM</v>
      </c>
      <c r="K198" t="s">
        <v>151</v>
      </c>
      <c r="L198" s="31">
        <v>3.0048716641258739</v>
      </c>
      <c r="M198" s="40"/>
    </row>
    <row r="199" spans="1:13" x14ac:dyDescent="0.25">
      <c r="A199" s="22" t="str">
        <f>TabVMAzureEnvProjet[[#This Row],[Client]] &amp; " .:. "  &amp; TabVMAzureEnvProjet[[#This Row],[Projet]]</f>
        <v>GFI .:. GFI-WAAC</v>
      </c>
      <c r="B199" s="22" t="str">
        <f>IF(TabVMAzureEnvProjet[[#This Row],[Projet AzureDevOps]]&lt;&gt;"",TabVMAzureEnvProjet[[#This Row],[Projet AzureDevOps]],TabVMAzureEnvProjet[[#This Row],[VM]])</f>
        <v>GFI-WAAC</v>
      </c>
      <c r="C199" s="13" t="s">
        <v>38</v>
      </c>
      <c r="E199" t="s">
        <v>4</v>
      </c>
      <c r="F199" t="s">
        <v>38</v>
      </c>
      <c r="G199" t="str">
        <f>LOOKUP(TabVMAzureEnvProjet[[#This Row],[Projet]],TabProjets[NomProj],TabProjets[SYGES])</f>
        <v>383928 - WAAC 1.0</v>
      </c>
      <c r="H199" t="str">
        <f>LOOKUP(TabVMAzureEnvProjet[[#This Row],[Projet]],TabProjets[NomProj],TabProjets[CP])</f>
        <v>Laurent MARCIANIAK</v>
      </c>
      <c r="I199">
        <f>LOOKUP(TabVMAzureEnvProjet[[#This Row],[Code SYGES]],TabCONTRATSDI[Contrat SYGES],TabCONTRATSDI[Cost Center])</f>
        <v>100973</v>
      </c>
      <c r="J199" s="22" t="str">
        <f>LOOKUP(TabVMAzureEnvProjet[[#This Row],[Code SYGES]],TabCONTRATSDI[Contrat SYGES],TabCONTRATSDI[Client])</f>
        <v>GFI</v>
      </c>
      <c r="K199" t="s">
        <v>151</v>
      </c>
      <c r="L199" s="31">
        <v>0.23681270210526315</v>
      </c>
      <c r="M199" s="40"/>
    </row>
    <row r="200" spans="1:13" x14ac:dyDescent="0.25">
      <c r="A200" s="22" t="str">
        <f>TabVMAzureEnvProjet[[#This Row],[Client]] &amp; " .:. "  &amp; TabVMAzureEnvProjet[[#This Row],[Projet]]</f>
        <v>GLI .:. GLI-APIBIOMETRIE</v>
      </c>
      <c r="B200" s="22" t="str">
        <f>IF(TabVMAzureEnvProjet[[#This Row],[Projet AzureDevOps]]&lt;&gt;"",TabVMAzureEnvProjet[[#This Row],[Projet AzureDevOps]],TabVMAzureEnvProjet[[#This Row],[VM]])</f>
        <v>GLI-APIBiometrie</v>
      </c>
      <c r="C200" s="13" t="s">
        <v>42</v>
      </c>
      <c r="E200" t="s">
        <v>4</v>
      </c>
      <c r="F200" t="s">
        <v>41</v>
      </c>
      <c r="G200" t="str">
        <f>LOOKUP(TabVMAzureEnvProjet[[#This Row],[Projet]],TabProjets[NomProj],TabProjets[SYGES])</f>
        <v>GLI/BIOMETRIE</v>
      </c>
      <c r="H200" t="str">
        <f>LOOKUP(TabVMAzureEnvProjet[[#This Row],[Projet]],TabProjets[NomProj],TabProjets[CP])</f>
        <v>Rodolphe HABEGGER</v>
      </c>
      <c r="I200">
        <f>LOOKUP(TabVMAzureEnvProjet[[#This Row],[Code SYGES]],TabCONTRATSDI[Contrat SYGES],TabCONTRATSDI[Cost Center])</f>
        <v>305704</v>
      </c>
      <c r="J200" s="22" t="str">
        <f>LOOKUP(TabVMAzureEnvProjet[[#This Row],[Code SYGES]],TabCONTRATSDI[Contrat SYGES],TabCONTRATSDI[Client])</f>
        <v>GLI</v>
      </c>
      <c r="K200" t="s">
        <v>151</v>
      </c>
      <c r="L200" s="31">
        <v>4.4816507566476407</v>
      </c>
      <c r="M200" s="40"/>
    </row>
    <row r="201" spans="1:13" x14ac:dyDescent="0.25">
      <c r="A201" s="22" t="str">
        <f>TabVMAzureEnvProjet[[#This Row],[Client]] &amp; " .:. "  &amp; TabVMAzureEnvProjet[[#This Row],[Projet]]</f>
        <v>LAPOSTE .:. LAPOSTE-CDC</v>
      </c>
      <c r="B201" s="22" t="str">
        <f>IF(TabVMAzureEnvProjet[[#This Row],[Projet AzureDevOps]]&lt;&gt;"",TabVMAzureEnvProjet[[#This Row],[Projet AzureDevOps]],TabVMAzureEnvProjet[[#This Row],[VM]])</f>
        <v>LAPOSTE-F4N-Musee</v>
      </c>
      <c r="C201" s="13" t="s">
        <v>83</v>
      </c>
      <c r="E201" t="s">
        <v>4</v>
      </c>
      <c r="F201" t="s">
        <v>82</v>
      </c>
      <c r="G201" t="str">
        <f>LOOKUP(TabVMAzureEnvProjet[[#This Row],[Projet]],TabProjets[NomProj],TabProjets[SYGES])</f>
        <v>LA-POSTE/CDC_DRUPAL</v>
      </c>
      <c r="H201" t="str">
        <f>LOOKUP(TabVMAzureEnvProjet[[#This Row],[Projet]],TabProjets[NomProj],TabProjets[CP])</f>
        <v>Rodolphe HABEGGER</v>
      </c>
      <c r="I201">
        <f>LOOKUP(TabVMAzureEnvProjet[[#This Row],[Code SYGES]],TabCONTRATSDI[Contrat SYGES],TabCONTRATSDI[Cost Center])</f>
        <v>305704</v>
      </c>
      <c r="J201" s="22" t="str">
        <f>LOOKUP(TabVMAzureEnvProjet[[#This Row],[Code SYGES]],TabCONTRATSDI[Contrat SYGES],TabCONTRATSDI[Client])</f>
        <v>LAPOSTE</v>
      </c>
      <c r="K201" t="s">
        <v>151</v>
      </c>
      <c r="L201" s="31">
        <v>2.9889146044285715</v>
      </c>
      <c r="M201" s="40"/>
    </row>
    <row r="202" spans="1:13" x14ac:dyDescent="0.25">
      <c r="A202" s="22" t="str">
        <f>TabVMAzureEnvProjet[[#This Row],[Client]] &amp; " .:. "  &amp; TabVMAzureEnvProjet[[#This Row],[Projet]]</f>
        <v>LAPOSTE .:. LAPOSTE-CDC</v>
      </c>
      <c r="B202" s="22" t="str">
        <f>IF(TabVMAzureEnvProjet[[#This Row],[Projet AzureDevOps]]&lt;&gt;"",TabVMAzureEnvProjet[[#This Row],[Projet AzureDevOps]],TabVMAzureEnvProjet[[#This Row],[VM]])</f>
        <v>LAPOSTE-LPK-PortailVoyage</v>
      </c>
      <c r="C202" s="13" t="s">
        <v>84</v>
      </c>
      <c r="E202" t="s">
        <v>4</v>
      </c>
      <c r="F202" t="s">
        <v>82</v>
      </c>
      <c r="G202" t="str">
        <f>LOOKUP(TabVMAzureEnvProjet[[#This Row],[Projet]],TabProjets[NomProj],TabProjets[SYGES])</f>
        <v>LA-POSTE/CDC_DRUPAL</v>
      </c>
      <c r="H202" t="str">
        <f>LOOKUP(TabVMAzureEnvProjet[[#This Row],[Projet]],TabProjets[NomProj],TabProjets[CP])</f>
        <v>Rodolphe HABEGGER</v>
      </c>
      <c r="I202">
        <f>LOOKUP(TabVMAzureEnvProjet[[#This Row],[Code SYGES]],TabCONTRATSDI[Contrat SYGES],TabCONTRATSDI[Cost Center])</f>
        <v>305704</v>
      </c>
      <c r="J202" s="22" t="str">
        <f>LOOKUP(TabVMAzureEnvProjet[[#This Row],[Code SYGES]],TabCONTRATSDI[Contrat SYGES],TabCONTRATSDI[Client])</f>
        <v>LAPOSTE</v>
      </c>
      <c r="K202" t="s">
        <v>151</v>
      </c>
      <c r="L202" s="31">
        <v>1.1803729229610389</v>
      </c>
      <c r="M202" s="40"/>
    </row>
    <row r="203" spans="1:13" x14ac:dyDescent="0.25">
      <c r="A203" s="22" t="str">
        <f>TabVMAzureEnvProjet[[#This Row],[Client]] &amp; " .:. "  &amp; TabVMAzureEnvProjet[[#This Row],[Projet]]</f>
        <v>LAPOSTE .:. LAPOSTE-CDC</v>
      </c>
      <c r="B203" s="22" t="str">
        <f>IF(TabVMAzureEnvProjet[[#This Row],[Projet AzureDevOps]]&lt;&gt;"",TabVMAzureEnvProjet[[#This Row],[Projet AzureDevOps]],TabVMAzureEnvProjet[[#This Row],[VM]])</f>
        <v>LAPOSTE-LPM-IntranetDHA</v>
      </c>
      <c r="C203" s="13" t="s">
        <v>85</v>
      </c>
      <c r="E203" t="s">
        <v>4</v>
      </c>
      <c r="F203" t="s">
        <v>82</v>
      </c>
      <c r="G203" t="str">
        <f>LOOKUP(TabVMAzureEnvProjet[[#This Row],[Projet]],TabProjets[NomProj],TabProjets[SYGES])</f>
        <v>LA-POSTE/CDC_DRUPAL</v>
      </c>
      <c r="H203" t="str">
        <f>LOOKUP(TabVMAzureEnvProjet[[#This Row],[Projet]],TabProjets[NomProj],TabProjets[CP])</f>
        <v>Rodolphe HABEGGER</v>
      </c>
      <c r="I203">
        <f>LOOKUP(TabVMAzureEnvProjet[[#This Row],[Code SYGES]],TabCONTRATSDI[Contrat SYGES],TabCONTRATSDI[Cost Center])</f>
        <v>305704</v>
      </c>
      <c r="J203" s="22" t="str">
        <f>LOOKUP(TabVMAzureEnvProjet[[#This Row],[Code SYGES]],TabCONTRATSDI[Contrat SYGES],TabCONTRATSDI[Client])</f>
        <v>LAPOSTE</v>
      </c>
      <c r="K203" t="s">
        <v>151</v>
      </c>
      <c r="L203" s="31">
        <v>1.1803729229610389</v>
      </c>
      <c r="M203" s="40"/>
    </row>
    <row r="204" spans="1:13" x14ac:dyDescent="0.25">
      <c r="A204" s="22" t="str">
        <f>TabVMAzureEnvProjet[[#This Row],[Client]] &amp; " .:. "  &amp; TabVMAzureEnvProjet[[#This Row],[Projet]]</f>
        <v>MENESR .:. MENJ-APAE</v>
      </c>
      <c r="B204" s="22" t="str">
        <f>IF(TabVMAzureEnvProjet[[#This Row],[Projet AzureDevOps]]&lt;&gt;"",TabVMAzureEnvProjet[[#This Row],[Projet AzureDevOps]],TabVMAzureEnvProjet[[#This Row],[VM]])</f>
        <v>MENJ-APAE</v>
      </c>
      <c r="C204" s="13" t="s">
        <v>44</v>
      </c>
      <c r="E204" t="s">
        <v>4</v>
      </c>
      <c r="F204" t="s">
        <v>44</v>
      </c>
      <c r="G204" t="str">
        <f>LOOKUP(TabVMAzureEnvProjet[[#This Row],[Projet]],TabProjets[NomProj],TabProjets[SYGES])</f>
        <v>MENESR/TMA</v>
      </c>
      <c r="H204" t="str">
        <f>LOOKUP(TabVMAzureEnvProjet[[#This Row],[Projet]],TabProjets[NomProj],TabProjets[CP])</f>
        <v>Pierre BOURLIEUX</v>
      </c>
      <c r="I204">
        <f>LOOKUP(TabVMAzureEnvProjet[[#This Row],[Code SYGES]],TabCONTRATSDI[Contrat SYGES],TabCONTRATSDI[Cost Center])</f>
        <v>305704</v>
      </c>
      <c r="J204" s="22" t="str">
        <f>LOOKUP(TabVMAzureEnvProjet[[#This Row],[Code SYGES]],TabCONTRATSDI[Contrat SYGES],TabCONTRATSDI[Client])</f>
        <v>MENESR</v>
      </c>
      <c r="K204" t="s">
        <v>151</v>
      </c>
      <c r="L204" s="31">
        <v>1.2212769351428572</v>
      </c>
      <c r="M204" s="40"/>
    </row>
    <row r="205" spans="1:13" x14ac:dyDescent="0.25">
      <c r="A205" s="22" t="str">
        <f>TabVMAzureEnvProjet[[#This Row],[Client]] &amp; " .:. "  &amp; TabVMAzureEnvProjet[[#This Row],[Projet]]</f>
        <v>MENESR .:. MENJ-BI</v>
      </c>
      <c r="B205" s="22" t="str">
        <f>IF(TabVMAzureEnvProjet[[#This Row],[Projet AzureDevOps]]&lt;&gt;"",TabVMAzureEnvProjet[[#This Row],[Projet AzureDevOps]],TabVMAzureEnvProjet[[#This Row],[VM]])</f>
        <v>MENJ-BI</v>
      </c>
      <c r="C205" s="13" t="s">
        <v>51</v>
      </c>
      <c r="E205" t="s">
        <v>4</v>
      </c>
      <c r="F205" t="s">
        <v>51</v>
      </c>
      <c r="G205" t="str">
        <f>LOOKUP(TabVMAzureEnvProjet[[#This Row],[Projet]],TabProjets[NomProj],TabProjets[SYGES])</f>
        <v>MENESR/TMA</v>
      </c>
      <c r="H205" t="str">
        <f>LOOKUP(TabVMAzureEnvProjet[[#This Row],[Projet]],TabProjets[NomProj],TabProjets[CP])</f>
        <v>Eric PERROUD</v>
      </c>
      <c r="I205">
        <f>LOOKUP(TabVMAzureEnvProjet[[#This Row],[Code SYGES]],TabCONTRATSDI[Contrat SYGES],TabCONTRATSDI[Cost Center])</f>
        <v>305704</v>
      </c>
      <c r="J205" s="22" t="str">
        <f>LOOKUP(TabVMAzureEnvProjet[[#This Row],[Code SYGES]],TabCONTRATSDI[Contrat SYGES],TabCONTRATSDI[Client])</f>
        <v>MENESR</v>
      </c>
      <c r="K205" t="s">
        <v>151</v>
      </c>
      <c r="L205" s="31">
        <v>4.4994413399999997</v>
      </c>
      <c r="M205" s="40"/>
    </row>
    <row r="206" spans="1:13" x14ac:dyDescent="0.25">
      <c r="A206" s="22" t="str">
        <f>TabVMAzureEnvProjet[[#This Row],[Client]] &amp; " .:. "  &amp; TabVMAzureEnvProjet[[#This Row],[Projet]]</f>
        <v>MENESR .:. MENJ-BNIE</v>
      </c>
      <c r="B206" s="22" t="str">
        <f>IF(TabVMAzureEnvProjet[[#This Row],[Projet AzureDevOps]]&lt;&gt;"",TabVMAzureEnvProjet[[#This Row],[Projet AzureDevOps]],TabVMAzureEnvProjet[[#This Row],[VM]])</f>
        <v>MENJ-BNIE-BDD</v>
      </c>
      <c r="C206" s="13" t="s">
        <v>46</v>
      </c>
      <c r="E206" t="s">
        <v>4</v>
      </c>
      <c r="F206" t="s">
        <v>45</v>
      </c>
      <c r="G206" t="str">
        <f>LOOKUP(TabVMAzureEnvProjet[[#This Row],[Projet]],TabProjets[NomProj],TabProjets[SYGES])</f>
        <v>MENESR/TMA</v>
      </c>
      <c r="H206" t="str">
        <f>LOOKUP(TabVMAzureEnvProjet[[#This Row],[Projet]],TabProjets[NomProj],TabProjets[CP])</f>
        <v>Pierre BOURLIEUX</v>
      </c>
      <c r="I206">
        <f>LOOKUP(TabVMAzureEnvProjet[[#This Row],[Code SYGES]],TabCONTRATSDI[Contrat SYGES],TabCONTRATSDI[Cost Center])</f>
        <v>305704</v>
      </c>
      <c r="J206" s="22" t="str">
        <f>LOOKUP(TabVMAzureEnvProjet[[#This Row],[Code SYGES]],TabCONTRATSDI[Contrat SYGES],TabCONTRATSDI[Client])</f>
        <v>MENESR</v>
      </c>
      <c r="K206" t="s">
        <v>151</v>
      </c>
      <c r="L206" s="31">
        <v>4.9708113851428575</v>
      </c>
      <c r="M206" s="40"/>
    </row>
    <row r="207" spans="1:13" x14ac:dyDescent="0.25">
      <c r="A207" s="22" t="str">
        <f>TabVMAzureEnvProjet[[#This Row],[Client]] &amp; " .:. "  &amp; TabVMAzureEnvProjet[[#This Row],[Projet]]</f>
        <v>MENESR .:. MENJ-BNIE</v>
      </c>
      <c r="B207" s="22" t="str">
        <f>IF(TabVMAzureEnvProjet[[#This Row],[Projet AzureDevOps]]&lt;&gt;"",TabVMAzureEnvProjet[[#This Row],[Projet AzureDevOps]],TabVMAzureEnvProjet[[#This Row],[VM]])</f>
        <v>MENJ-BNIE-Webservices</v>
      </c>
      <c r="C207" s="13" t="s">
        <v>47</v>
      </c>
      <c r="E207" t="s">
        <v>4</v>
      </c>
      <c r="F207" t="s">
        <v>45</v>
      </c>
      <c r="G207" t="str">
        <f>LOOKUP(TabVMAzureEnvProjet[[#This Row],[Projet]],TabProjets[NomProj],TabProjets[SYGES])</f>
        <v>MENESR/TMA</v>
      </c>
      <c r="H207" t="str">
        <f>LOOKUP(TabVMAzureEnvProjet[[#This Row],[Projet]],TabProjets[NomProj],TabProjets[CP])</f>
        <v>Pierre BOURLIEUX</v>
      </c>
      <c r="I207">
        <f>LOOKUP(TabVMAzureEnvProjet[[#This Row],[Code SYGES]],TabCONTRATSDI[Contrat SYGES],TabCONTRATSDI[Cost Center])</f>
        <v>305704</v>
      </c>
      <c r="J207" s="22" t="str">
        <f>LOOKUP(TabVMAzureEnvProjet[[#This Row],[Code SYGES]],TabCONTRATSDI[Contrat SYGES],TabCONTRATSDI[Client])</f>
        <v>MENESR</v>
      </c>
      <c r="K207" t="s">
        <v>151</v>
      </c>
      <c r="L207" s="31">
        <v>0.32138866714285713</v>
      </c>
      <c r="M207" s="40"/>
    </row>
    <row r="208" spans="1:13" x14ac:dyDescent="0.25">
      <c r="A208" s="22" t="str">
        <f>TabVMAzureEnvProjet[[#This Row],[Client]] &amp; " .:. "  &amp; TabVMAzureEnvProjet[[#This Row],[Projet]]</f>
        <v>MENESR .:. MENJ-RNIE</v>
      </c>
      <c r="B208" s="22" t="str">
        <f>IF(TabVMAzureEnvProjet[[#This Row],[Projet AzureDevOps]]&lt;&gt;"",TabVMAzureEnvProjet[[#This Row],[Projet AzureDevOps]],TabVMAzureEnvProjet[[#This Row],[VM]])</f>
        <v>MENJ-RNIE-BDD</v>
      </c>
      <c r="C208" s="13" t="s">
        <v>49</v>
      </c>
      <c r="E208" t="s">
        <v>4</v>
      </c>
      <c r="F208" t="s">
        <v>48</v>
      </c>
      <c r="G208" t="str">
        <f>LOOKUP(TabVMAzureEnvProjet[[#This Row],[Projet]],TabProjets[NomProj],TabProjets[SYGES])</f>
        <v>MENESR/TMA</v>
      </c>
      <c r="H208" t="str">
        <f>LOOKUP(TabVMAzureEnvProjet[[#This Row],[Projet]],TabProjets[NomProj],TabProjets[CP])</f>
        <v>Pierre BOURLIEUX</v>
      </c>
      <c r="I208">
        <f>LOOKUP(TabVMAzureEnvProjet[[#This Row],[Code SYGES]],TabCONTRATSDI[Contrat SYGES],TabCONTRATSDI[Cost Center])</f>
        <v>305704</v>
      </c>
      <c r="J208" s="22" t="str">
        <f>LOOKUP(TabVMAzureEnvProjet[[#This Row],[Code SYGES]],TabCONTRATSDI[Contrat SYGES],TabCONTRATSDI[Client])</f>
        <v>MENESR</v>
      </c>
      <c r="K208" t="s">
        <v>151</v>
      </c>
      <c r="L208" s="31">
        <v>1.2557804504989254</v>
      </c>
      <c r="M208" s="40"/>
    </row>
    <row r="209" spans="1:13" x14ac:dyDescent="0.25">
      <c r="A209" s="22" t="str">
        <f>TabVMAzureEnvProjet[[#This Row],[Client]] &amp; " .:. "  &amp; TabVMAzureEnvProjet[[#This Row],[Projet]]</f>
        <v>MENESR .:. MENJ-RNIE</v>
      </c>
      <c r="B209" s="22" t="str">
        <f>IF(TabVMAzureEnvProjet[[#This Row],[Projet AzureDevOps]]&lt;&gt;"",TabVMAzureEnvProjet[[#This Row],[Projet AzureDevOps]],TabVMAzureEnvProjet[[#This Row],[VM]])</f>
        <v>MENJ-RNIE-Webservices</v>
      </c>
      <c r="C209" s="13" t="s">
        <v>50</v>
      </c>
      <c r="E209" t="s">
        <v>4</v>
      </c>
      <c r="F209" t="s">
        <v>48</v>
      </c>
      <c r="G209" t="str">
        <f>LOOKUP(TabVMAzureEnvProjet[[#This Row],[Projet]],TabProjets[NomProj],TabProjets[SYGES])</f>
        <v>MENESR/TMA</v>
      </c>
      <c r="H209" t="str">
        <f>LOOKUP(TabVMAzureEnvProjet[[#This Row],[Projet]],TabProjets[NomProj],TabProjets[CP])</f>
        <v>Pierre BOURLIEUX</v>
      </c>
      <c r="I209">
        <f>LOOKUP(TabVMAzureEnvProjet[[#This Row],[Code SYGES]],TabCONTRATSDI[Contrat SYGES],TabCONTRATSDI[Cost Center])</f>
        <v>305704</v>
      </c>
      <c r="J209" s="22" t="str">
        <f>LOOKUP(TabVMAzureEnvProjet[[#This Row],[Code SYGES]],TabCONTRATSDI[Contrat SYGES],TabCONTRATSDI[Client])</f>
        <v>MENESR</v>
      </c>
      <c r="K209" t="s">
        <v>151</v>
      </c>
      <c r="L209" s="31">
        <v>3.8435441022040404</v>
      </c>
      <c r="M209" s="40"/>
    </row>
    <row r="210" spans="1:13" x14ac:dyDescent="0.25">
      <c r="A210" s="22" t="str">
        <f>TabVMAzureEnvProjet[[#This Row],[Client]] &amp; " .:. "  &amp; TabVMAzureEnvProjet[[#This Row],[Projet]]</f>
        <v>AFB .:. OFB-CMONSPOT</v>
      </c>
      <c r="B210" s="22" t="str">
        <f>IF(TabVMAzureEnvProjet[[#This Row],[Projet AzureDevOps]]&lt;&gt;"",TabVMAzureEnvProjet[[#This Row],[Projet AzureDevOps]],TabVMAzureEnvProjet[[#This Row],[VM]])</f>
        <v>OFB-CMONSPOT</v>
      </c>
      <c r="C210" s="13" t="s">
        <v>12</v>
      </c>
      <c r="E210" t="s">
        <v>4</v>
      </c>
      <c r="F210" t="s">
        <v>12</v>
      </c>
      <c r="G210" t="str">
        <f>LOOKUP(TabVMAzureEnvProjet[[#This Row],[Projet]],TabProjets[NomProj],TabProjets[SYGES])</f>
        <v>AFB/OFB_LOT2</v>
      </c>
      <c r="H210" t="str">
        <f>LOOKUP(TabVMAzureEnvProjet[[#This Row],[Projet]],TabProjets[NomProj],TabProjets[CP])</f>
        <v>Pierre BOURLIEUX</v>
      </c>
      <c r="I210">
        <f>LOOKUP(TabVMAzureEnvProjet[[#This Row],[Code SYGES]],TabCONTRATSDI[Contrat SYGES],TabCONTRATSDI[Cost Center])</f>
        <v>305704</v>
      </c>
      <c r="J210" s="22" t="str">
        <f>LOOKUP(TabVMAzureEnvProjet[[#This Row],[Code SYGES]],TabCONTRATSDI[Contrat SYGES],TabCONTRATSDI[Client])</f>
        <v>AFB</v>
      </c>
      <c r="K210" t="s">
        <v>151</v>
      </c>
      <c r="L210" s="31">
        <v>0.449944134</v>
      </c>
      <c r="M210" s="40"/>
    </row>
    <row r="211" spans="1:13" x14ac:dyDescent="0.25">
      <c r="A211" s="22" t="str">
        <f>TabVMAzureEnvProjet[[#This Row],[Client]] &amp; " .:. "  &amp; TabVMAzureEnvProjet[[#This Row],[Projet]]</f>
        <v>OFB .:. OFB-NATUREFRANCE</v>
      </c>
      <c r="B211" s="22" t="str">
        <f>IF(TabVMAzureEnvProjet[[#This Row],[Projet AzureDevOps]]&lt;&gt;"",TabVMAzureEnvProjet[[#This Row],[Projet AzureDevOps]],TabVMAzureEnvProjet[[#This Row],[VM]])</f>
        <v>OFB-NatureFrance</v>
      </c>
      <c r="C211" s="13" t="s">
        <v>79</v>
      </c>
      <c r="E211" t="s">
        <v>4</v>
      </c>
      <c r="F211" t="s">
        <v>78</v>
      </c>
      <c r="G211" t="str">
        <f>LOOKUP(TabVMAzureEnvProjet[[#This Row],[Projet]],TabProjets[NomProj],TabProjets[SYGES])</f>
        <v>AFB OFB_LOT2 -9-1 NATURE FRANCE</v>
      </c>
      <c r="H211" t="str">
        <f>LOOKUP(TabVMAzureEnvProjet[[#This Row],[Projet]],TabProjets[NomProj],TabProjets[CP])</f>
        <v>Rodolphe HABEGGER</v>
      </c>
      <c r="I211">
        <f>LOOKUP(TabVMAzureEnvProjet[[#This Row],[Code SYGES]],TabCONTRATSDI[Contrat SYGES],TabCONTRATSDI[Cost Center])</f>
        <v>305704</v>
      </c>
      <c r="J211" s="22" t="str">
        <f>LOOKUP(TabVMAzureEnvProjet[[#This Row],[Code SYGES]],TabCONTRATSDI[Contrat SYGES],TabCONTRATSDI[Client])</f>
        <v>OFB</v>
      </c>
      <c r="K211" t="s">
        <v>151</v>
      </c>
      <c r="L211" s="31">
        <v>14.177147375861301</v>
      </c>
      <c r="M211" s="40"/>
    </row>
    <row r="212" spans="1:13" x14ac:dyDescent="0.25">
      <c r="A212" s="22" t="str">
        <f>TabVMAzureEnvProjet[[#This Row],[Client]] &amp; " .:. "  &amp; TabVMAzureEnvProjet[[#This Row],[Projet]]</f>
        <v>AFB .:. OFB-SISPEA</v>
      </c>
      <c r="B212" s="22" t="str">
        <f>IF(TabVMAzureEnvProjet[[#This Row],[Projet AzureDevOps]]&lt;&gt;"",TabVMAzureEnvProjet[[#This Row],[Projet AzureDevOps]],TabVMAzureEnvProjet[[#This Row],[VM]])</f>
        <v>OFB-SISPEA</v>
      </c>
      <c r="C212" s="13" t="s">
        <v>9</v>
      </c>
      <c r="E212" t="s">
        <v>4</v>
      </c>
      <c r="F212" t="s">
        <v>9</v>
      </c>
      <c r="G212" t="str">
        <f>LOOKUP(TabVMAzureEnvProjet[[#This Row],[Projet]],TabProjets[NomProj],TabProjets[SYGES])</f>
        <v>AFB/OFB_LOT2</v>
      </c>
      <c r="H212" t="str">
        <f>LOOKUP(TabVMAzureEnvProjet[[#This Row],[Projet]],TabProjets[NomProj],TabProjets[CP])</f>
        <v>Pierre BOURLIEUX</v>
      </c>
      <c r="I212">
        <f>LOOKUP(TabVMAzureEnvProjet[[#This Row],[Code SYGES]],TabCONTRATSDI[Contrat SYGES],TabCONTRATSDI[Cost Center])</f>
        <v>305704</v>
      </c>
      <c r="J212" s="22" t="str">
        <f>LOOKUP(TabVMAzureEnvProjet[[#This Row],[Code SYGES]],TabCONTRATSDI[Contrat SYGES],TabCONTRATSDI[Client])</f>
        <v>AFB</v>
      </c>
      <c r="K212" t="s">
        <v>151</v>
      </c>
      <c r="L212" s="31">
        <v>4.9493854739999996</v>
      </c>
      <c r="M212" s="40"/>
    </row>
    <row r="213" spans="1:13" x14ac:dyDescent="0.25">
      <c r="A213" s="22" t="str">
        <f>TabVMAzureEnvProjet[[#This Row],[Client]] &amp; " .:. "  &amp; TabVMAzureEnvProjet[[#This Row],[Projet]]</f>
        <v>PCM .:. PCM-ALS</v>
      </c>
      <c r="B213" s="22" t="str">
        <f>IF(TabVMAzureEnvProjet[[#This Row],[Projet AzureDevOps]]&lt;&gt;"",TabVMAzureEnvProjet[[#This Row],[Projet AzureDevOps]],TabVMAzureEnvProjet[[#This Row],[VM]])</f>
        <v>PCM-ALS</v>
      </c>
      <c r="C213" s="13" t="s">
        <v>71</v>
      </c>
      <c r="E213" t="s">
        <v>4</v>
      </c>
      <c r="F213" t="s">
        <v>71</v>
      </c>
      <c r="G213" t="str">
        <f>LOOKUP(TabVMAzureEnvProjet[[#This Row],[Projet]],TabProjets[NomProj],TabProjets[SYGES])</f>
        <v>PCM/WEB</v>
      </c>
      <c r="H213" t="str">
        <f>LOOKUP(TabVMAzureEnvProjet[[#This Row],[Projet]],TabProjets[NomProj],TabProjets[CP])</f>
        <v>Alice MARCHAL</v>
      </c>
      <c r="I213">
        <f>LOOKUP(TabVMAzureEnvProjet[[#This Row],[Code SYGES]],TabCONTRATSDI[Contrat SYGES],TabCONTRATSDI[Cost Center])</f>
        <v>305704</v>
      </c>
      <c r="J213" s="22" t="str">
        <f>LOOKUP(TabVMAzureEnvProjet[[#This Row],[Code SYGES]],TabCONTRATSDI[Contrat SYGES],TabCONTRATSDI[Client])</f>
        <v>PCM</v>
      </c>
      <c r="K213" t="s">
        <v>151</v>
      </c>
      <c r="L213" s="31">
        <v>8.4393656846290721</v>
      </c>
      <c r="M213" s="40"/>
    </row>
    <row r="214" spans="1:13" x14ac:dyDescent="0.25">
      <c r="A214" s="22" t="str">
        <f>TabVMAzureEnvProjet[[#This Row],[Client]] &amp; " .:. "  &amp; TabVMAzureEnvProjet[[#This Row],[Projet]]</f>
        <v>PCM .:. PCM-WEB</v>
      </c>
      <c r="B214" s="22" t="str">
        <f>IF(TabVMAzureEnvProjet[[#This Row],[Projet AzureDevOps]]&lt;&gt;"",TabVMAzureEnvProjet[[#This Row],[Projet AzureDevOps]],TabVMAzureEnvProjet[[#This Row],[VM]])</f>
        <v>PCM-Web</v>
      </c>
      <c r="C214" s="13" t="s">
        <v>73</v>
      </c>
      <c r="E214" t="s">
        <v>4</v>
      </c>
      <c r="F214" t="s">
        <v>72</v>
      </c>
      <c r="G214" t="str">
        <f>LOOKUP(TabVMAzureEnvProjet[[#This Row],[Projet]],TabProjets[NomProj],TabProjets[SYGES])</f>
        <v>PCM/WEB</v>
      </c>
      <c r="H214" t="str">
        <f>LOOKUP(TabVMAzureEnvProjet[[#This Row],[Projet]],TabProjets[NomProj],TabProjets[CP])</f>
        <v>Rodolphe HABEGGER</v>
      </c>
      <c r="I214">
        <f>LOOKUP(TabVMAzureEnvProjet[[#This Row],[Code SYGES]],TabCONTRATSDI[Contrat SYGES],TabCONTRATSDI[Cost Center])</f>
        <v>305704</v>
      </c>
      <c r="J214" s="22" t="str">
        <f>LOOKUP(TabVMAzureEnvProjet[[#This Row],[Code SYGES]],TabCONTRATSDI[Contrat SYGES],TabCONTRATSDI[Client])</f>
        <v>PCM</v>
      </c>
      <c r="K214" t="s">
        <v>151</v>
      </c>
      <c r="L214" s="31">
        <v>3.5852691312380949</v>
      </c>
      <c r="M214" s="40"/>
    </row>
    <row r="215" spans="1:13" x14ac:dyDescent="0.25">
      <c r="A215" s="22" t="str">
        <f>TabVMAzureEnvProjet[[#This Row],[Client]] &amp; " .:. "  &amp; TabVMAzureEnvProjet[[#This Row],[Projet]]</f>
        <v>SAFT .:. SAFT-PDM</v>
      </c>
      <c r="B215" s="22" t="str">
        <f>IF(TabVMAzureEnvProjet[[#This Row],[Projet AzureDevOps]]&lt;&gt;"",TabVMAzureEnvProjet[[#This Row],[Projet AzureDevOps]],TabVMAzureEnvProjet[[#This Row],[VM]])</f>
        <v>SAFT-PDM</v>
      </c>
      <c r="C215" s="13" t="s">
        <v>94</v>
      </c>
      <c r="E215" t="s">
        <v>4</v>
      </c>
      <c r="F215" t="s">
        <v>94</v>
      </c>
      <c r="G215" t="str">
        <f>LOOKUP(TabVMAzureEnvProjet[[#This Row],[Projet]],TabProjets[NomProj],TabProjets[SYGES])</f>
        <v>SAFT/TMA</v>
      </c>
      <c r="H215" t="str">
        <f>LOOKUP(TabVMAzureEnvProjet[[#This Row],[Projet]],TabProjets[NomProj],TabProjets[CP])</f>
        <v>Pierre BOURLIEUX</v>
      </c>
      <c r="I215">
        <f>LOOKUP(TabVMAzureEnvProjet[[#This Row],[Code SYGES]],TabCONTRATSDI[Contrat SYGES],TabCONTRATSDI[Cost Center])</f>
        <v>305704</v>
      </c>
      <c r="J215" s="22" t="str">
        <f>LOOKUP(TabVMAzureEnvProjet[[#This Row],[Code SYGES]],TabCONTRATSDI[Contrat SYGES],TabCONTRATSDI[Client])</f>
        <v>SAFT</v>
      </c>
      <c r="K215" t="s">
        <v>151</v>
      </c>
      <c r="L215" s="31">
        <v>3.0048716641258739</v>
      </c>
      <c r="M215" s="40"/>
    </row>
    <row r="216" spans="1:13" x14ac:dyDescent="0.25">
      <c r="A216" s="22" t="str">
        <f>TabVMAzureEnvProjet[[#This Row],[Client]] &amp; " .:. "  &amp; TabVMAzureEnvProjet[[#This Row],[Projet]]</f>
        <v>SPC .:. SPC-BUILD</v>
      </c>
      <c r="B216" s="22" t="str">
        <f>IF(TabVMAzureEnvProjet[[#This Row],[Projet AzureDevOps]]&lt;&gt;"",TabVMAzureEnvProjet[[#This Row],[Projet AzureDevOps]],TabVMAzureEnvProjet[[#This Row],[VM]])</f>
        <v>SPC-BUILD</v>
      </c>
      <c r="C216" s="13" t="s">
        <v>67</v>
      </c>
      <c r="E216" t="s">
        <v>4</v>
      </c>
      <c r="F216" t="s">
        <v>67</v>
      </c>
      <c r="G216" t="str">
        <f>LOOKUP(TabVMAzureEnvProjet[[#This Row],[Projet]],TabProjets[NomProj],TabProjets[SYGES])</f>
        <v>SPC/BUILD</v>
      </c>
      <c r="H216" t="str">
        <f>LOOKUP(TabVMAzureEnvProjet[[#This Row],[Projet]],TabProjets[NomProj],TabProjets[CP])</f>
        <v>Nicolas DURFORT</v>
      </c>
      <c r="I216">
        <f>LOOKUP(TabVMAzureEnvProjet[[#This Row],[Code SYGES]],TabCONTRATSDI[Contrat SYGES],TabCONTRATSDI[Cost Center])</f>
        <v>305704</v>
      </c>
      <c r="J216" s="22" t="str">
        <f>LOOKUP(TabVMAzureEnvProjet[[#This Row],[Code SYGES]],TabCONTRATSDI[Contrat SYGES],TabCONTRATSDI[Client])</f>
        <v>SPC</v>
      </c>
      <c r="K216" t="s">
        <v>151</v>
      </c>
      <c r="L216" s="31">
        <v>26.289592972285714</v>
      </c>
      <c r="M216" s="40"/>
    </row>
    <row r="217" spans="1:13" x14ac:dyDescent="0.25">
      <c r="A217" s="22" t="str">
        <f>TabVMAzureEnvProjet[[#This Row],[Client]] &amp; " .:. "  &amp; TabVMAzureEnvProjet[[#This Row],[Projet]]</f>
        <v>SPC .:. SPC-WEB</v>
      </c>
      <c r="B217" s="22" t="str">
        <f>IF(TabVMAzureEnvProjet[[#This Row],[Projet AzureDevOps]]&lt;&gt;"",TabVMAzureEnvProjet[[#This Row],[Projet AzureDevOps]],TabVMAzureEnvProjet[[#This Row],[VM]])</f>
        <v>SPC-WEB</v>
      </c>
      <c r="C217" s="13" t="s">
        <v>69</v>
      </c>
      <c r="E217" t="s">
        <v>4</v>
      </c>
      <c r="F217" t="s">
        <v>69</v>
      </c>
      <c r="G217" t="str">
        <f>LOOKUP(TabVMAzureEnvProjet[[#This Row],[Projet]],TabProjets[NomProj],TabProjets[SYGES])</f>
        <v>SPC/BUILD-0-1-SITE-WEB</v>
      </c>
      <c r="H217" t="str">
        <f>LOOKUP(TabVMAzureEnvProjet[[#This Row],[Projet]],TabProjets[NomProj],TabProjets[CP])</f>
        <v>Nicolas DURFORT</v>
      </c>
      <c r="I217">
        <f>LOOKUP(TabVMAzureEnvProjet[[#This Row],[Code SYGES]],TabCONTRATSDI[Contrat SYGES],TabCONTRATSDI[Cost Center])</f>
        <v>305704</v>
      </c>
      <c r="J217" s="22" t="str">
        <f>LOOKUP(TabVMAzureEnvProjet[[#This Row],[Code SYGES]],TabCONTRATSDI[Contrat SYGES],TabCONTRATSDI[Client])</f>
        <v>SPC</v>
      </c>
      <c r="K217" t="s">
        <v>151</v>
      </c>
      <c r="L217" s="31">
        <v>2.6365147501052633</v>
      </c>
      <c r="M217" s="40"/>
    </row>
    <row r="218" spans="1:13" x14ac:dyDescent="0.25">
      <c r="A218" s="22" t="str">
        <f>TabVMAzureEnvProjet[[#This Row],[Client]] &amp; " .:. "  &amp; TabVMAzureEnvProjet[[#This Row],[Projet]]</f>
        <v>ALM .:. ALM-ATOUT</v>
      </c>
      <c r="B218" s="22" t="str">
        <f>IF(TabVMAzureEnvProjet[[#This Row],[Projet AzureDevOps]]&lt;&gt;"",TabVMAzureEnvProjet[[#This Row],[Projet AzureDevOps]],TabVMAzureEnvProjet[[#This Row],[VM]])</f>
        <v>ALM-ATOUT-VM</v>
      </c>
      <c r="C218" s="13"/>
      <c r="D218" t="s">
        <v>18</v>
      </c>
      <c r="E218" t="s">
        <v>6</v>
      </c>
      <c r="F218" t="s">
        <v>17</v>
      </c>
      <c r="G218" t="str">
        <f>LOOKUP(TabVMAzureEnvProjet[[#This Row],[Projet]],TabProjets[NomProj],TabProjets[SYGES])</f>
        <v>ALM/TMA_ATOUT</v>
      </c>
      <c r="H218" t="str">
        <f>LOOKUP(TabVMAzureEnvProjet[[#This Row],[Projet]],TabProjets[NomProj],TabProjets[CP])</f>
        <v>Alice MARCHAL</v>
      </c>
      <c r="I218">
        <f>LOOKUP(TabVMAzureEnvProjet[[#This Row],[Code SYGES]],TabCONTRATSDI[Contrat SYGES],TabCONTRATSDI[Cost Center])</f>
        <v>305704</v>
      </c>
      <c r="J218" s="22" t="str">
        <f>LOOKUP(TabVMAzureEnvProjet[[#This Row],[Code SYGES]],TabCONTRATSDI[Contrat SYGES],TabCONTRATSDI[Client])</f>
        <v>ALM</v>
      </c>
      <c r="K218" t="s">
        <v>151</v>
      </c>
      <c r="L218" s="31">
        <v>109.36</v>
      </c>
      <c r="M218" s="40"/>
    </row>
    <row r="219" spans="1:13" x14ac:dyDescent="0.25">
      <c r="A219" s="22" t="str">
        <f>TabVMAzureEnvProjet[[#This Row],[Client]] &amp; " .:. "  &amp; TabVMAzureEnvProjet[[#This Row],[Projet]]</f>
        <v>BRGM .:. BRGM-ORRM</v>
      </c>
      <c r="B219" s="22" t="str">
        <f>IF(TabVMAzureEnvProjet[[#This Row],[Projet AzureDevOps]]&lt;&gt;"",TabVMAzureEnvProjet[[#This Row],[Projet AzureDevOps]],TabVMAzureEnvProjet[[#This Row],[VM]])</f>
        <v>BRGM-ORRM-VM</v>
      </c>
      <c r="C219" s="13"/>
      <c r="D219" t="s">
        <v>22</v>
      </c>
      <c r="E219" t="s">
        <v>21</v>
      </c>
      <c r="F219" t="s">
        <v>20</v>
      </c>
      <c r="G219" t="str">
        <f>LOOKUP(TabVMAzureEnvProjet[[#This Row],[Projet]],TabProjets[NomProj],TabProjets[SYGES])</f>
        <v>BRGM/TMA-5-1-ORRM-LOT1</v>
      </c>
      <c r="H219" t="str">
        <f>LOOKUP(TabVMAzureEnvProjet[[#This Row],[Projet]],TabProjets[NomProj],TabProjets[CP])</f>
        <v>Alice MARCHAL</v>
      </c>
      <c r="I219">
        <f>LOOKUP(TabVMAzureEnvProjet[[#This Row],[Code SYGES]],TabCONTRATSDI[Contrat SYGES],TabCONTRATSDI[Cost Center])</f>
        <v>305704</v>
      </c>
      <c r="J219" s="22" t="str">
        <f>LOOKUP(TabVMAzureEnvProjet[[#This Row],[Code SYGES]],TabCONTRATSDI[Contrat SYGES],TabCONTRATSDI[Client])</f>
        <v>BRGM</v>
      </c>
      <c r="K219" t="s">
        <v>151</v>
      </c>
      <c r="L219" s="31">
        <v>10.199999999999999</v>
      </c>
      <c r="M219" s="40"/>
    </row>
    <row r="220" spans="1:13" x14ac:dyDescent="0.25">
      <c r="A220" s="22" t="str">
        <f>TabVMAzureEnvProjet[[#This Row],[Client]] &amp; " .:. "  &amp; TabVMAzureEnvProjet[[#This Row],[Projet]]</f>
        <v>CA-TITRES .:. CATITRES-COMX</v>
      </c>
      <c r="B220" s="22" t="str">
        <f>IF(TabVMAzureEnvProjet[[#This Row],[Projet AzureDevOps]]&lt;&gt;"",TabVMAzureEnvProjet[[#This Row],[Projet AzureDevOps]],TabVMAzureEnvProjet[[#This Row],[VM]])</f>
        <v>CATITRES-COMX-VM</v>
      </c>
      <c r="C220" s="13"/>
      <c r="D220" t="s">
        <v>25</v>
      </c>
      <c r="E220" t="s">
        <v>10</v>
      </c>
      <c r="F220" t="s">
        <v>24</v>
      </c>
      <c r="G220" t="str">
        <f>LOOKUP(TabVMAzureEnvProjet[[#This Row],[Projet]],TabProjets[NomProj],TabProjets[SYGES])</f>
        <v>CA-TITRES/TMA</v>
      </c>
      <c r="H220" t="str">
        <f>LOOKUP(TabVMAzureEnvProjet[[#This Row],[Projet]],TabProjets[NomProj],TabProjets[CP])</f>
        <v>Jean-Philippe STROIAZZO</v>
      </c>
      <c r="I220">
        <f>LOOKUP(TabVMAzureEnvProjet[[#This Row],[Code SYGES]],TabCONTRATSDI[Contrat SYGES],TabCONTRATSDI[Cost Center])</f>
        <v>305704</v>
      </c>
      <c r="J220" s="22" t="str">
        <f>LOOKUP(TabVMAzureEnvProjet[[#This Row],[Code SYGES]],TabCONTRATSDI[Contrat SYGES],TabCONTRATSDI[Client])</f>
        <v>CA-TITRES</v>
      </c>
      <c r="K220" t="s">
        <v>151</v>
      </c>
      <c r="L220" s="31">
        <v>168.71</v>
      </c>
      <c r="M220" s="40"/>
    </row>
    <row r="221" spans="1:13" x14ac:dyDescent="0.25">
      <c r="A221" s="22" t="str">
        <f>TabVMAzureEnvProjet[[#This Row],[Client]] &amp; " .:. "  &amp; TabVMAzureEnvProjet[[#This Row],[Projet]]</f>
        <v>EBR .:. EBR-LAPOSTE</v>
      </c>
      <c r="B221" s="22" t="str">
        <f>IF(TabVMAzureEnvProjet[[#This Row],[Projet AzureDevOps]]&lt;&gt;"",TabVMAzureEnvProjet[[#This Row],[Projet AzureDevOps]],TabVMAzureEnvProjet[[#This Row],[VM]])</f>
        <v>EBR-LAPOSTE-VM</v>
      </c>
      <c r="C221" s="13"/>
      <c r="D221" t="s">
        <v>76</v>
      </c>
      <c r="E221" t="s">
        <v>10</v>
      </c>
      <c r="F221" t="s">
        <v>75</v>
      </c>
      <c r="G221" t="str">
        <f>LOOKUP(TabVMAzureEnvProjet[[#This Row],[Projet]],TabProjets[NomProj],TabProjets[SYGES])</f>
        <v>EBR/TMA</v>
      </c>
      <c r="H221" t="str">
        <f>LOOKUP(TabVMAzureEnvProjet[[#This Row],[Projet]],TabProjets[NomProj],TabProjets[CP])</f>
        <v>Valerie ASSELIN LOZACHMEUR</v>
      </c>
      <c r="I221">
        <f>LOOKUP(TabVMAzureEnvProjet[[#This Row],[Code SYGES]],TabCONTRATSDI[Contrat SYGES],TabCONTRATSDI[Cost Center])</f>
        <v>305704</v>
      </c>
      <c r="J221" s="22" t="str">
        <f>LOOKUP(TabVMAzureEnvProjet[[#This Row],[Code SYGES]],TabCONTRATSDI[Contrat SYGES],TabCONTRATSDI[Client])</f>
        <v>EBR</v>
      </c>
      <c r="K221" t="s">
        <v>151</v>
      </c>
      <c r="L221" s="31">
        <v>118.1</v>
      </c>
      <c r="M221" s="40"/>
    </row>
    <row r="222" spans="1:13" x14ac:dyDescent="0.25">
      <c r="A222" s="22" t="str">
        <f>TabVMAzureEnvProjet[[#This Row],[Client]] &amp; " .:. "  &amp; TabVMAzureEnvProjet[[#This Row],[Projet]]</f>
        <v>INETUM .:. INETUM-INTERNE</v>
      </c>
      <c r="B222" s="22" t="str">
        <f>IF(TabVMAzureEnvProjet[[#This Row],[Projet AzureDevOps]]&lt;&gt;"",TabVMAzureEnvProjet[[#This Row],[Projet AzureDevOps]],TabVMAzureEnvProjet[[#This Row],[VM]])</f>
        <v>GFI-PMT-VM</v>
      </c>
      <c r="C222" s="13"/>
      <c r="D222" t="s">
        <v>121</v>
      </c>
      <c r="E222" t="s">
        <v>10</v>
      </c>
      <c r="F222" t="s">
        <v>102</v>
      </c>
      <c r="G222" t="str">
        <f>LOOKUP(TabVMAzureEnvProjet[[#This Row],[Projet]],TabProjets[NomProj],TabProjets[SYGES])</f>
        <v>INETUM/PROJET_INTERNE</v>
      </c>
      <c r="H222" t="str">
        <f>LOOKUP(TabVMAzureEnvProjet[[#This Row],[Projet]],TabProjets[NomProj],TabProjets[CP])</f>
        <v>Christophe ORLANDO</v>
      </c>
      <c r="I222">
        <f>LOOKUP(TabVMAzureEnvProjet[[#This Row],[Code SYGES]],TabCONTRATSDI[Contrat SYGES],TabCONTRATSDI[Cost Center])</f>
        <v>305704</v>
      </c>
      <c r="J222" s="22" t="str">
        <f>LOOKUP(TabVMAzureEnvProjet[[#This Row],[Code SYGES]],TabCONTRATSDI[Contrat SYGES],TabCONTRATSDI[Client])</f>
        <v>INETUM</v>
      </c>
      <c r="K222" t="s">
        <v>151</v>
      </c>
      <c r="L222" s="31">
        <v>2.4700000000000002</v>
      </c>
      <c r="M222" s="40"/>
    </row>
    <row r="223" spans="1:13" x14ac:dyDescent="0.25">
      <c r="A223" s="22" t="str">
        <f>TabVMAzureEnvProjet[[#This Row],[Client]] &amp; " .:. "  &amp; TabVMAzureEnvProjet[[#This Row],[Projet]]</f>
        <v>MENESR .:. MENJ-BI</v>
      </c>
      <c r="B223" s="22" t="str">
        <f>IF(TabVMAzureEnvProjet[[#This Row],[Projet AzureDevOps]]&lt;&gt;"",TabVMAzureEnvProjet[[#This Row],[Projet AzureDevOps]],TabVMAzureEnvProjet[[#This Row],[VM]])</f>
        <v>MENJ-BI-VM</v>
      </c>
      <c r="C223" s="13"/>
      <c r="D223" t="s">
        <v>52</v>
      </c>
      <c r="E223" t="s">
        <v>6</v>
      </c>
      <c r="F223" t="s">
        <v>51</v>
      </c>
      <c r="G223" t="str">
        <f>LOOKUP(TabVMAzureEnvProjet[[#This Row],[Projet]],TabProjets[NomProj],TabProjets[SYGES])</f>
        <v>MENESR/TMA</v>
      </c>
      <c r="H223" t="str">
        <f>LOOKUP(TabVMAzureEnvProjet[[#This Row],[Projet]],TabProjets[NomProj],TabProjets[CP])</f>
        <v>Eric PERROUD</v>
      </c>
      <c r="I223">
        <f>LOOKUP(TabVMAzureEnvProjet[[#This Row],[Code SYGES]],TabCONTRATSDI[Contrat SYGES],TabCONTRATSDI[Cost Center])</f>
        <v>305704</v>
      </c>
      <c r="J223" s="22" t="str">
        <f>LOOKUP(TabVMAzureEnvProjet[[#This Row],[Code SYGES]],TabCONTRATSDI[Contrat SYGES],TabCONTRATSDI[Client])</f>
        <v>MENESR</v>
      </c>
      <c r="K223" t="s">
        <v>151</v>
      </c>
      <c r="L223" s="31">
        <v>4.54</v>
      </c>
      <c r="M223" s="40"/>
    </row>
    <row r="224" spans="1:13" x14ac:dyDescent="0.25">
      <c r="A224" s="22" t="str">
        <f>TabVMAzureEnvProjet[[#This Row],[Client]] &amp; " .:. "  &amp; TabVMAzureEnvProjet[[#This Row],[Projet]]</f>
        <v>AFB .:. AFB-NatureFrance</v>
      </c>
      <c r="B224" s="22" t="str">
        <f>IF(TabVMAzureEnvProjet[[#This Row],[Projet AzureDevOps]]&lt;&gt;"",TabVMAzureEnvProjet[[#This Row],[Projet AzureDevOps]],TabVMAzureEnvProjet[[#This Row],[VM]])</f>
        <v>OFB-FRANCENATURE-VM</v>
      </c>
      <c r="C224" s="13"/>
      <c r="D224" t="s">
        <v>80</v>
      </c>
      <c r="E224" t="s">
        <v>6</v>
      </c>
      <c r="F224" t="s">
        <v>147</v>
      </c>
      <c r="G224" t="str">
        <f>LOOKUP(TabVMAzureEnvProjet[[#This Row],[Projet]],TabProjets[NomProj],TabProjets[SYGES])</f>
        <v>AFB/OFB_LOT2</v>
      </c>
      <c r="H224" t="str">
        <f>LOOKUP(TabVMAzureEnvProjet[[#This Row],[Projet]],TabProjets[NomProj],TabProjets[CP])</f>
        <v>Rodolphe HABEGGER</v>
      </c>
      <c r="I224">
        <f>LOOKUP(TabVMAzureEnvProjet[[#This Row],[Code SYGES]],TabCONTRATSDI[Contrat SYGES],TabCONTRATSDI[Cost Center])</f>
        <v>305704</v>
      </c>
      <c r="J224" s="22" t="str">
        <f>LOOKUP(TabVMAzureEnvProjet[[#This Row],[Code SYGES]],TabCONTRATSDI[Contrat SYGES],TabCONTRATSDI[Client])</f>
        <v>AFB</v>
      </c>
      <c r="K224" t="s">
        <v>151</v>
      </c>
      <c r="L224" s="31">
        <v>13.59</v>
      </c>
      <c r="M224" s="40"/>
    </row>
    <row r="225" spans="1:13" x14ac:dyDescent="0.25">
      <c r="A225" s="22" t="str">
        <f>TabVMAzureEnvProjet[[#This Row],[Client]] &amp; " .:. "  &amp; TabVMAzureEnvProjet[[#This Row],[Projet]]</f>
        <v>AFB .:. OFB-SISPEA</v>
      </c>
      <c r="B225" s="22" t="str">
        <f>IF(TabVMAzureEnvProjet[[#This Row],[Projet AzureDevOps]]&lt;&gt;"",TabVMAzureEnvProjet[[#This Row],[Projet AzureDevOps]],TabVMAzureEnvProjet[[#This Row],[VM]])</f>
        <v>OFB-SISPEA-VM</v>
      </c>
      <c r="D225" t="s">
        <v>11</v>
      </c>
      <c r="E225" t="s">
        <v>10</v>
      </c>
      <c r="F225" t="s">
        <v>9</v>
      </c>
      <c r="G225" t="str">
        <f>LOOKUP(TabVMAzureEnvProjet[[#This Row],[Projet]],TabProjets[NomProj],TabProjets[SYGES])</f>
        <v>AFB/OFB_LOT2</v>
      </c>
      <c r="H225" t="str">
        <f>LOOKUP(TabVMAzureEnvProjet[[#This Row],[Projet]],TabProjets[NomProj],TabProjets[CP])</f>
        <v>Pierre BOURLIEUX</v>
      </c>
      <c r="I225">
        <f>LOOKUP(TabVMAzureEnvProjet[[#This Row],[Code SYGES]],TabCONTRATSDI[Contrat SYGES],TabCONTRATSDI[Cost Center])</f>
        <v>305704</v>
      </c>
      <c r="J225" s="22" t="str">
        <f>LOOKUP(TabVMAzureEnvProjet[[#This Row],[Code SYGES]],TabCONTRATSDI[Contrat SYGES],TabCONTRATSDI[Client])</f>
        <v>AFB</v>
      </c>
      <c r="K225" t="s">
        <v>151</v>
      </c>
      <c r="L225" s="31">
        <v>7.45</v>
      </c>
      <c r="M225" s="40"/>
    </row>
    <row r="226" spans="1:13" x14ac:dyDescent="0.25">
      <c r="A226" s="22" t="str">
        <f>TabVMAzureEnvProjet[[#This Row],[Client]] &amp; " .:. "  &amp; TabVMAzureEnvProjet[[#This Row],[Projet]]</f>
        <v>SPC .:. SPC-BUILD</v>
      </c>
      <c r="B226" s="22" t="str">
        <f>IF(TabVMAzureEnvProjet[[#This Row],[Projet AzureDevOps]]&lt;&gt;"",TabVMAzureEnvProjet[[#This Row],[Projet AzureDevOps]],TabVMAzureEnvProjet[[#This Row],[VM]])</f>
        <v>SPC-BUILDAS-VM</v>
      </c>
      <c r="D226" t="s">
        <v>68</v>
      </c>
      <c r="E226" t="s">
        <v>10</v>
      </c>
      <c r="F226" t="s">
        <v>67</v>
      </c>
      <c r="G226" t="str">
        <f>LOOKUP(TabVMAzureEnvProjet[[#This Row],[Projet]],TabProjets[NomProj],TabProjets[SYGES])</f>
        <v>SPC/BUILD</v>
      </c>
      <c r="H226" t="str">
        <f>LOOKUP(TabVMAzureEnvProjet[[#This Row],[Projet]],TabProjets[NomProj],TabProjets[CP])</f>
        <v>Nicolas DURFORT</v>
      </c>
      <c r="I226">
        <f>LOOKUP(TabVMAzureEnvProjet[[#This Row],[Code SYGES]],TabCONTRATSDI[Contrat SYGES],TabCONTRATSDI[Cost Center])</f>
        <v>305704</v>
      </c>
      <c r="J226" s="22" t="str">
        <f>LOOKUP(TabVMAzureEnvProjet[[#This Row],[Code SYGES]],TabCONTRATSDI[Contrat SYGES],TabCONTRATSDI[Client])</f>
        <v>SPC</v>
      </c>
      <c r="K226" t="s">
        <v>151</v>
      </c>
      <c r="L226" s="31">
        <v>144.77000000000001</v>
      </c>
      <c r="M226" s="40"/>
    </row>
    <row r="227" spans="1:13" x14ac:dyDescent="0.25">
      <c r="A227" s="22" t="str">
        <f>TabVMAzureEnvProjet[[#This Row],[Client]] &amp; " .:. "  &amp; TabVMAzureEnvProjet[[#This Row],[Projet]]</f>
        <v>STMICRO .:. STMICRO-DATAPACK</v>
      </c>
      <c r="B227" s="22" t="str">
        <f>IF(TabVMAzureEnvProjet[[#This Row],[Projet AzureDevOps]]&lt;&gt;"",TabVMAzureEnvProjet[[#This Row],[Projet AzureDevOps]],TabVMAzureEnvProjet[[#This Row],[VM]])</f>
        <v>STMICRO-DATAPACK-VM</v>
      </c>
      <c r="D227" t="s">
        <v>97</v>
      </c>
      <c r="E227" t="s">
        <v>10</v>
      </c>
      <c r="F227" t="s">
        <v>96</v>
      </c>
      <c r="G227" t="str">
        <f>LOOKUP(TabVMAzureEnvProjet[[#This Row],[Projet]],TabProjets[NomProj],TabProjets[SYGES])</f>
        <v>STMICRO/TMASI</v>
      </c>
      <c r="H227" t="str">
        <f>LOOKUP(TabVMAzureEnvProjet[[#This Row],[Projet]],TabProjets[NomProj],TabProjets[CP])</f>
        <v>Jean-Philippe STROIAZZO</v>
      </c>
      <c r="I227">
        <f>LOOKUP(TabVMAzureEnvProjet[[#This Row],[Code SYGES]],TabCONTRATSDI[Contrat SYGES],TabCONTRATSDI[Cost Center])</f>
        <v>305704</v>
      </c>
      <c r="J227" s="22" t="str">
        <f>LOOKUP(TabVMAzureEnvProjet[[#This Row],[Code SYGES]],TabCONTRATSDI[Contrat SYGES],TabCONTRATSDI[Client])</f>
        <v>STMICRO</v>
      </c>
      <c r="K227" t="s">
        <v>151</v>
      </c>
      <c r="L227" s="31">
        <v>1.27</v>
      </c>
      <c r="M227" s="40"/>
    </row>
    <row r="228" spans="1:13" x14ac:dyDescent="0.25">
      <c r="A228" s="22" t="str">
        <f>TabVMAzureEnvProjet[[#This Row],[Client]] &amp; " .:. "  &amp; TabVMAzureEnvProjet[[#This Row],[Projet]]</f>
        <v>FRR .:. FRR-DIGIPAT</v>
      </c>
      <c r="B228" s="22" t="str">
        <f>IF(TabVMAzureEnvProjet[[#This Row],[Projet AzureDevOps]]&lt;&gt;"",TabVMAzureEnvProjet[[#This Row],[Projet AzureDevOps]],TabVMAzureEnvProjet[[#This Row],[VM]])</f>
        <v>FRR-DIGIPAT-VM</v>
      </c>
      <c r="D228" t="s">
        <v>31</v>
      </c>
      <c r="E228" t="s">
        <v>21</v>
      </c>
      <c r="F228" t="s">
        <v>29</v>
      </c>
      <c r="G228" t="str">
        <f>LOOKUP(TabVMAzureEnvProjet[[#This Row],[Projet]],TabProjets[NomProj],TabProjets[SYGES])</f>
        <v>FRR/TMASI</v>
      </c>
      <c r="H228" t="str">
        <f>LOOKUP(TabVMAzureEnvProjet[[#This Row],[Projet]],TabProjets[NomProj],TabProjets[CP])</f>
        <v>Alice MARCHAL</v>
      </c>
      <c r="I228">
        <f>LOOKUP(TabVMAzureEnvProjet[[#This Row],[Code SYGES]],TabCONTRATSDI[Contrat SYGES],TabCONTRATSDI[Cost Center])</f>
        <v>305704</v>
      </c>
      <c r="J228" s="22" t="str">
        <f>LOOKUP(TabVMAzureEnvProjet[[#This Row],[Code SYGES]],TabCONTRATSDI[Contrat SYGES],TabCONTRATSDI[Client])</f>
        <v>FRR</v>
      </c>
      <c r="K228" t="s">
        <v>151</v>
      </c>
      <c r="L228" s="31">
        <v>24.59</v>
      </c>
      <c r="M228" s="40"/>
    </row>
    <row r="229" spans="1:13" x14ac:dyDescent="0.25">
      <c r="A229" s="22" t="str">
        <f>TabVMAzureEnvProjet[[#This Row],[Client]] &amp; " .:. "  &amp; TabVMAzureEnvProjet[[#This Row],[Projet]]</f>
        <v>ONEMA .:. AFB-BASEINDICATEURS</v>
      </c>
      <c r="B229" s="22" t="str">
        <f>IF(TabVMAzureEnvProjet[[#This Row],[Projet AzureDevOps]]&lt;&gt;"",TabVMAzureEnvProjet[[#This Row],[Projet AzureDevOps]],TabVMAzureEnvProjet[[#This Row],[VM]])</f>
        <v>AFB-BaseIndicateurs</v>
      </c>
      <c r="C229" s="13" t="s">
        <v>58</v>
      </c>
      <c r="E229" t="s">
        <v>4</v>
      </c>
      <c r="F229" t="s">
        <v>57</v>
      </c>
      <c r="G229" t="str">
        <f>LOOKUP(TabVMAzureEnvProjet[[#This Row],[Projet]],TabProjets[NomProj],TabProjets[SYGES])</f>
        <v>ONEMA/TMADCUA-15</v>
      </c>
      <c r="H229" t="str">
        <f>LOOKUP(TabVMAzureEnvProjet[[#This Row],[Projet]],TabProjets[NomProj],TabProjets[CP])</f>
        <v>Pierre BOURLIEUX</v>
      </c>
      <c r="I229">
        <f>LOOKUP(TabVMAzureEnvProjet[[#This Row],[Code SYGES]],TabCONTRATSDI[Contrat SYGES],TabCONTRATSDI[Cost Center])</f>
        <v>305704</v>
      </c>
      <c r="J229" s="22" t="str">
        <f>LOOKUP(TabVMAzureEnvProjet[[#This Row],[Code SYGES]],TabCONTRATSDI[Contrat SYGES],TabCONTRATSDI[Client])</f>
        <v>ONEMA</v>
      </c>
      <c r="K229" t="s">
        <v>152</v>
      </c>
      <c r="L229" s="31">
        <v>0.70212543537871841</v>
      </c>
      <c r="M229" s="40" t="s">
        <v>153</v>
      </c>
    </row>
    <row r="230" spans="1:13" x14ac:dyDescent="0.25">
      <c r="A230" s="22" t="str">
        <f>TabVMAzureEnvProjet[[#This Row],[Client]] &amp; " .:. "  &amp; TabVMAzureEnvProjet[[#This Row],[Projet]]</f>
        <v>ONEMA .:. AFB-CATALOGUE</v>
      </c>
      <c r="B230" s="22" t="str">
        <f>IF(TabVMAzureEnvProjet[[#This Row],[Projet AzureDevOps]]&lt;&gt;"",TabVMAzureEnvProjet[[#This Row],[Projet AzureDevOps]],TabVMAzureEnvProjet[[#This Row],[VM]])</f>
        <v>AFB-Catalogue</v>
      </c>
      <c r="C230" s="13" t="s">
        <v>60</v>
      </c>
      <c r="E230" t="s">
        <v>4</v>
      </c>
      <c r="F230" t="s">
        <v>59</v>
      </c>
      <c r="G230" t="str">
        <f>LOOKUP(TabVMAzureEnvProjet[[#This Row],[Projet]],TabProjets[NomProj],TabProjets[SYGES])</f>
        <v>ONEMA/TMADCUA-15</v>
      </c>
      <c r="H230" t="str">
        <f>LOOKUP(TabVMAzureEnvProjet[[#This Row],[Projet]],TabProjets[NomProj],TabProjets[CP])</f>
        <v>Pierre BOURLIEUX</v>
      </c>
      <c r="I230">
        <f>LOOKUP(TabVMAzureEnvProjet[[#This Row],[Code SYGES]],TabCONTRATSDI[Contrat SYGES],TabCONTRATSDI[Cost Center])</f>
        <v>305704</v>
      </c>
      <c r="J230" s="22" t="str">
        <f>LOOKUP(TabVMAzureEnvProjet[[#This Row],[Code SYGES]],TabCONTRATSDI[Contrat SYGES],TabCONTRATSDI[Client])</f>
        <v>ONEMA</v>
      </c>
      <c r="K230" t="s">
        <v>152</v>
      </c>
      <c r="L230" s="31">
        <v>2.3697134644167948</v>
      </c>
      <c r="M230" s="40" t="s">
        <v>153</v>
      </c>
    </row>
    <row r="231" spans="1:13" x14ac:dyDescent="0.25">
      <c r="A231" s="22" t="str">
        <f>TabVMAzureEnvProjet[[#This Row],[Client]] &amp; " .:. "  &amp; TabVMAzureEnvProjet[[#This Row],[Projet]]</f>
        <v>ONEMA .:. AFB-CDR</v>
      </c>
      <c r="B231" s="22" t="str">
        <f>IF(TabVMAzureEnvProjet[[#This Row],[Projet AzureDevOps]]&lt;&gt;"",TabVMAzureEnvProjet[[#This Row],[Projet AzureDevOps]],TabVMAzureEnvProjet[[#This Row],[VM]])</f>
        <v>AFB-CDR</v>
      </c>
      <c r="C231" s="13" t="s">
        <v>61</v>
      </c>
      <c r="E231" t="s">
        <v>4</v>
      </c>
      <c r="F231" t="s">
        <v>61</v>
      </c>
      <c r="G231" t="str">
        <f>LOOKUP(TabVMAzureEnvProjet[[#This Row],[Projet]],TabProjets[NomProj],TabProjets[SYGES])</f>
        <v>ONEMA/TMAWEB-16</v>
      </c>
      <c r="H231" t="str">
        <f>LOOKUP(TabVMAzureEnvProjet[[#This Row],[Projet]],TabProjets[NomProj],TabProjets[CP])</f>
        <v>Pierre BOURLIEUX</v>
      </c>
      <c r="I231">
        <f>LOOKUP(TabVMAzureEnvProjet[[#This Row],[Code SYGES]],TabCONTRATSDI[Contrat SYGES],TabCONTRATSDI[Cost Center])</f>
        <v>305704</v>
      </c>
      <c r="J231" s="22" t="str">
        <f>LOOKUP(TabVMAzureEnvProjet[[#This Row],[Code SYGES]],TabCONTRATSDI[Contrat SYGES],TabCONTRATSDI[Client])</f>
        <v>ONEMA</v>
      </c>
      <c r="K231" t="s">
        <v>152</v>
      </c>
      <c r="L231" s="31">
        <v>8.2477403569440337</v>
      </c>
      <c r="M231" s="40" t="s">
        <v>153</v>
      </c>
    </row>
    <row r="232" spans="1:13" x14ac:dyDescent="0.25">
      <c r="A232" s="22" t="str">
        <f>TabVMAzureEnvProjet[[#This Row],[Client]] &amp; " .:. "  &amp; TabVMAzureEnvProjet[[#This Row],[Projet]]</f>
        <v>AFB .:. AFB-CESMIA</v>
      </c>
      <c r="B232" s="22" t="str">
        <f>IF(TabVMAzureEnvProjet[[#This Row],[Projet AzureDevOps]]&lt;&gt;"",TabVMAzureEnvProjet[[#This Row],[Projet AzureDevOps]],TabVMAzureEnvProjet[[#This Row],[VM]])</f>
        <v>AFB-CESMIA</v>
      </c>
      <c r="C232" s="13" t="s">
        <v>3</v>
      </c>
      <c r="E232" t="s">
        <v>4</v>
      </c>
      <c r="F232" t="s">
        <v>3</v>
      </c>
      <c r="G232" t="str">
        <f>LOOKUP(TabVMAzureEnvProjet[[#This Row],[Projet]],TabProjets[NomProj],TabProjets[SYGES])</f>
        <v>AFB/OFB_LOT1</v>
      </c>
      <c r="H232" t="str">
        <f>LOOKUP(TabVMAzureEnvProjet[[#This Row],[Projet]],TabProjets[NomProj],TabProjets[CP])</f>
        <v>Jean-Philippe STROIAZZO</v>
      </c>
      <c r="I232">
        <f>LOOKUP(TabVMAzureEnvProjet[[#This Row],[Code SYGES]],TabCONTRATSDI[Contrat SYGES],TabCONTRATSDI[Cost Center])</f>
        <v>305704</v>
      </c>
      <c r="J232" s="22" t="str">
        <f>LOOKUP(TabVMAzureEnvProjet[[#This Row],[Code SYGES]],TabCONTRATSDI[Contrat SYGES],TabCONTRATSDI[Client])</f>
        <v>AFB</v>
      </c>
      <c r="K232" t="s">
        <v>152</v>
      </c>
      <c r="L232" s="31">
        <v>13.169821098442615</v>
      </c>
      <c r="M232" s="40" t="s">
        <v>153</v>
      </c>
    </row>
    <row r="233" spans="1:13" x14ac:dyDescent="0.25">
      <c r="A233" s="22" t="str">
        <f>TabVMAzureEnvProjet[[#This Row],[Client]] &amp; " .:. "  &amp; TabVMAzureEnvProjet[[#This Row],[Projet]]</f>
        <v>ONEMA .:. AFB-OISON</v>
      </c>
      <c r="B233" s="22" t="str">
        <f>IF(TabVMAzureEnvProjet[[#This Row],[Projet AzureDevOps]]&lt;&gt;"",TabVMAzureEnvProjet[[#This Row],[Projet AzureDevOps]],TabVMAzureEnvProjet[[#This Row],[VM]])</f>
        <v>AFB-OISON</v>
      </c>
      <c r="C233" s="13" t="s">
        <v>62</v>
      </c>
      <c r="E233" t="s">
        <v>4</v>
      </c>
      <c r="F233" t="s">
        <v>62</v>
      </c>
      <c r="G233" t="str">
        <f>LOOKUP(TabVMAzureEnvProjet[[#This Row],[Projet]],TabProjets[NomProj],TabProjets[SYGES])</f>
        <v>ONEMA/TMADCUA-15</v>
      </c>
      <c r="H233" t="str">
        <f>LOOKUP(TabVMAzureEnvProjet[[#This Row],[Projet]],TabProjets[NomProj],TabProjets[CP])</f>
        <v>Jean-Philippe STROIAZZO</v>
      </c>
      <c r="I233">
        <f>LOOKUP(TabVMAzureEnvProjet[[#This Row],[Code SYGES]],TabCONTRATSDI[Contrat SYGES],TabCONTRATSDI[Cost Center])</f>
        <v>305704</v>
      </c>
      <c r="J233" s="22" t="str">
        <f>LOOKUP(TabVMAzureEnvProjet[[#This Row],[Code SYGES]],TabCONTRATSDI[Contrat SYGES],TabCONTRATSDI[Client])</f>
        <v>ONEMA</v>
      </c>
      <c r="K233" t="s">
        <v>152</v>
      </c>
      <c r="L233" s="31">
        <v>2.0536304298330741</v>
      </c>
      <c r="M233" s="40" t="s">
        <v>153</v>
      </c>
    </row>
    <row r="234" spans="1:13" x14ac:dyDescent="0.25">
      <c r="A234" s="22" t="str">
        <f>TabVMAzureEnvProjet[[#This Row],[Client]] &amp; " .:. "  &amp; TabVMAzureEnvProjet[[#This Row],[Projet]]</f>
        <v>ONEMA .:. AFB-PATBIODIV</v>
      </c>
      <c r="B234" s="22" t="str">
        <f>IF(TabVMAzureEnvProjet[[#This Row],[Projet AzureDevOps]]&lt;&gt;"",TabVMAzureEnvProjet[[#This Row],[Projet AzureDevOps]],TabVMAzureEnvProjet[[#This Row],[VM]])</f>
        <v>AFB-PATBiodiv</v>
      </c>
      <c r="C234" s="13" t="s">
        <v>64</v>
      </c>
      <c r="E234" t="s">
        <v>4</v>
      </c>
      <c r="F234" t="s">
        <v>63</v>
      </c>
      <c r="G234" t="str">
        <f>LOOKUP(TabVMAzureEnvProjet[[#This Row],[Projet]],TabProjets[NomProj],TabProjets[SYGES])</f>
        <v>ONEMA/TMADCUA-15</v>
      </c>
      <c r="H234" t="str">
        <f>LOOKUP(TabVMAzureEnvProjet[[#This Row],[Projet]],TabProjets[NomProj],TabProjets[CP])</f>
        <v>Rodolphe HABEGGER</v>
      </c>
      <c r="I234">
        <f>LOOKUP(TabVMAzureEnvProjet[[#This Row],[Code SYGES]],TabCONTRATSDI[Contrat SYGES],TabCONTRATSDI[Cost Center])</f>
        <v>305704</v>
      </c>
      <c r="J234" s="22" t="str">
        <f>LOOKUP(TabVMAzureEnvProjet[[#This Row],[Code SYGES]],TabCONTRATSDI[Contrat SYGES],TabCONTRATSDI[Client])</f>
        <v>ONEMA</v>
      </c>
      <c r="K234" t="s">
        <v>152</v>
      </c>
      <c r="L234" s="31">
        <v>5.731238176881047</v>
      </c>
      <c r="M234" s="40" t="s">
        <v>153</v>
      </c>
    </row>
    <row r="235" spans="1:13" x14ac:dyDescent="0.25">
      <c r="A235" s="22" t="str">
        <f>TabVMAzureEnvProjet[[#This Row],[Client]] &amp; " .:. "  &amp; TabVMAzureEnvProjet[[#This Row],[Projet]]</f>
        <v>AFB .:. AFB-PNM</v>
      </c>
      <c r="B235" s="22" t="str">
        <f>IF(TabVMAzureEnvProjet[[#This Row],[Projet AzureDevOps]]&lt;&gt;"",TabVMAzureEnvProjet[[#This Row],[Projet AzureDevOps]],TabVMAzureEnvProjet[[#This Row],[VM]])</f>
        <v>AFB-PNM</v>
      </c>
      <c r="C235" s="13" t="s">
        <v>5</v>
      </c>
      <c r="E235" t="s">
        <v>4</v>
      </c>
      <c r="F235" t="s">
        <v>5</v>
      </c>
      <c r="G235" t="str">
        <f>LOOKUP(TabVMAzureEnvProjet[[#This Row],[Projet]],TabProjets[NomProj],TabProjets[SYGES])</f>
        <v>AFB/OFB_LOT2</v>
      </c>
      <c r="H235" t="str">
        <f>LOOKUP(TabVMAzureEnvProjet[[#This Row],[Projet]],TabProjets[NomProj],TabProjets[CP])</f>
        <v>Eric RAUCOURT</v>
      </c>
      <c r="I235">
        <f>LOOKUP(TabVMAzureEnvProjet[[#This Row],[Code SYGES]],TabCONTRATSDI[Contrat SYGES],TabCONTRATSDI[Cost Center])</f>
        <v>305704</v>
      </c>
      <c r="J235" s="22" t="str">
        <f>LOOKUP(TabVMAzureEnvProjet[[#This Row],[Code SYGES]],TabCONTRATSDI[Contrat SYGES],TabCONTRATSDI[Client])</f>
        <v>AFB</v>
      </c>
      <c r="K235" t="s">
        <v>152</v>
      </c>
      <c r="L235" s="31">
        <v>12.742523040070225</v>
      </c>
      <c r="M235" s="40" t="s">
        <v>153</v>
      </c>
    </row>
    <row r="236" spans="1:13" x14ac:dyDescent="0.25">
      <c r="A236" s="22" t="str">
        <f>TabVMAzureEnvProjet[[#This Row],[Client]] &amp; " .:. "  &amp; TabVMAzureEnvProjet[[#This Row],[Projet]]</f>
        <v>AFB .:. AFB-PNX</v>
      </c>
      <c r="B236" s="22" t="str">
        <f>IF(TabVMAzureEnvProjet[[#This Row],[Projet AzureDevOps]]&lt;&gt;"",TabVMAzureEnvProjet[[#This Row],[Projet AzureDevOps]],TabVMAzureEnvProjet[[#This Row],[VM]])</f>
        <v>AFB-PNX</v>
      </c>
      <c r="C236" s="13" t="s">
        <v>8</v>
      </c>
      <c r="E236" t="s">
        <v>4</v>
      </c>
      <c r="F236" t="s">
        <v>8</v>
      </c>
      <c r="G236" t="str">
        <f>LOOKUP(TabVMAzureEnvProjet[[#This Row],[Projet]],TabProjets[NomProj],TabProjets[SYGES])</f>
        <v>AFB/OFB_LOT2</v>
      </c>
      <c r="H236" t="str">
        <f>LOOKUP(TabVMAzureEnvProjet[[#This Row],[Projet]],TabProjets[NomProj],TabProjets[CP])</f>
        <v>Pierre BOURLIEUX</v>
      </c>
      <c r="I236">
        <f>LOOKUP(TabVMAzureEnvProjet[[#This Row],[Code SYGES]],TabCONTRATSDI[Contrat SYGES],TabCONTRATSDI[Cost Center])</f>
        <v>305704</v>
      </c>
      <c r="J236" s="22" t="str">
        <f>LOOKUP(TabVMAzureEnvProjet[[#This Row],[Code SYGES]],TabCONTRATSDI[Contrat SYGES],TabCONTRATSDI[Client])</f>
        <v>AFB</v>
      </c>
      <c r="K236" t="s">
        <v>152</v>
      </c>
      <c r="L236" s="31">
        <v>2.509320213631824</v>
      </c>
      <c r="M236" s="40" t="s">
        <v>153</v>
      </c>
    </row>
    <row r="237" spans="1:13" x14ac:dyDescent="0.25">
      <c r="A237" s="22" t="str">
        <f>TabVMAzureEnvProjet[[#This Row],[Client]] &amp; " .:. "  &amp; TabVMAzureEnvProjet[[#This Row],[Projet]]</f>
        <v>ONEMA .:. AFB-RAA</v>
      </c>
      <c r="B237" s="22" t="str">
        <f>IF(TabVMAzureEnvProjet[[#This Row],[Projet AzureDevOps]]&lt;&gt;"",TabVMAzureEnvProjet[[#This Row],[Projet AzureDevOps]],TabVMAzureEnvProjet[[#This Row],[VM]])</f>
        <v>AFB-RAA</v>
      </c>
      <c r="C237" s="13" t="s">
        <v>65</v>
      </c>
      <c r="E237" t="s">
        <v>4</v>
      </c>
      <c r="F237" t="s">
        <v>65</v>
      </c>
      <c r="G237" t="str">
        <f>LOOKUP(TabVMAzureEnvProjet[[#This Row],[Projet]],TabProjets[NomProj],TabProjets[SYGES])</f>
        <v>ONEMA/TMAWEB-16</v>
      </c>
      <c r="H237" t="str">
        <f>LOOKUP(TabVMAzureEnvProjet[[#This Row],[Projet]],TabProjets[NomProj],TabProjets[CP])</f>
        <v>Pierre BOURLIEUX</v>
      </c>
      <c r="I237">
        <f>LOOKUP(TabVMAzureEnvProjet[[#This Row],[Code SYGES]],TabCONTRATSDI[Contrat SYGES],TabCONTRATSDI[Cost Center])</f>
        <v>305704</v>
      </c>
      <c r="J237" s="22" t="str">
        <f>LOOKUP(TabVMAzureEnvProjet[[#This Row],[Code SYGES]],TabCONTRATSDI[Contrat SYGES],TabCONTRATSDI[Client])</f>
        <v>ONEMA</v>
      </c>
      <c r="K237" t="s">
        <v>152</v>
      </c>
      <c r="L237" s="31">
        <v>0.2421122190961098</v>
      </c>
      <c r="M237" s="40" t="s">
        <v>153</v>
      </c>
    </row>
    <row r="238" spans="1:13" x14ac:dyDescent="0.25">
      <c r="A238" s="22" t="str">
        <f>TabVMAzureEnvProjet[[#This Row],[Client]] &amp; " .:. "  &amp; TabVMAzureEnvProjet[[#This Row],[Projet]]</f>
        <v>ALM .:. ALM-ATOUT</v>
      </c>
      <c r="B238" s="22" t="str">
        <f>IF(TabVMAzureEnvProjet[[#This Row],[Projet AzureDevOps]]&lt;&gt;"",TabVMAzureEnvProjet[[#This Row],[Projet AzureDevOps]],TabVMAzureEnvProjet[[#This Row],[VM]])</f>
        <v>ALM-ATOUT</v>
      </c>
      <c r="C238" s="13" t="s">
        <v>17</v>
      </c>
      <c r="E238" t="s">
        <v>4</v>
      </c>
      <c r="F238" t="s">
        <v>17</v>
      </c>
      <c r="G238" t="str">
        <f>LOOKUP(TabVMAzureEnvProjet[[#This Row],[Projet]],TabProjets[NomProj],TabProjets[SYGES])</f>
        <v>ALM/TMA_ATOUT</v>
      </c>
      <c r="H238" t="str">
        <f>LOOKUP(TabVMAzureEnvProjet[[#This Row],[Projet]],TabProjets[NomProj],TabProjets[CP])</f>
        <v>Alice MARCHAL</v>
      </c>
      <c r="I238">
        <f>LOOKUP(TabVMAzureEnvProjet[[#This Row],[Code SYGES]],TabCONTRATSDI[Contrat SYGES],TabCONTRATSDI[Cost Center])</f>
        <v>305704</v>
      </c>
      <c r="J238" s="22" t="str">
        <f>LOOKUP(TabVMAzureEnvProjet[[#This Row],[Code SYGES]],TabCONTRATSDI[Contrat SYGES],TabCONTRATSDI[Client])</f>
        <v>ALM</v>
      </c>
      <c r="K238" t="s">
        <v>152</v>
      </c>
      <c r="L238" s="31">
        <v>6.4039036999823331</v>
      </c>
      <c r="M238" s="40" t="s">
        <v>153</v>
      </c>
    </row>
    <row r="239" spans="1:13" x14ac:dyDescent="0.25">
      <c r="A239" s="22" t="str">
        <f>TabVMAzureEnvProjet[[#This Row],[Client]] &amp; " .:. "  &amp; TabVMAzureEnvProjet[[#This Row],[Projet]]</f>
        <v>BRGM .:. BRGM-ORRM</v>
      </c>
      <c r="B239" s="22" t="str">
        <f>IF(TabVMAzureEnvProjet[[#This Row],[Projet AzureDevOps]]&lt;&gt;"",TabVMAzureEnvProjet[[#This Row],[Projet AzureDevOps]],TabVMAzureEnvProjet[[#This Row],[VM]])</f>
        <v>BRGM-ORRM</v>
      </c>
      <c r="C239" s="13" t="s">
        <v>20</v>
      </c>
      <c r="E239" t="s">
        <v>4</v>
      </c>
      <c r="F239" t="s">
        <v>20</v>
      </c>
      <c r="G239" t="str">
        <f>LOOKUP(TabVMAzureEnvProjet[[#This Row],[Projet]],TabProjets[NomProj],TabProjets[SYGES])</f>
        <v>BRGM/TMA-5-1-ORRM-LOT1</v>
      </c>
      <c r="H239" t="str">
        <f>LOOKUP(TabVMAzureEnvProjet[[#This Row],[Projet]],TabProjets[NomProj],TabProjets[CP])</f>
        <v>Alice MARCHAL</v>
      </c>
      <c r="I239">
        <f>LOOKUP(TabVMAzureEnvProjet[[#This Row],[Code SYGES]],TabCONTRATSDI[Contrat SYGES],TabCONTRATSDI[Cost Center])</f>
        <v>305704</v>
      </c>
      <c r="J239" s="22" t="str">
        <f>LOOKUP(TabVMAzureEnvProjet[[#This Row],[Code SYGES]],TabCONTRATSDI[Contrat SYGES],TabCONTRATSDI[Client])</f>
        <v>BRGM</v>
      </c>
      <c r="K239" t="s">
        <v>152</v>
      </c>
      <c r="L239" s="31">
        <v>5.5596459454105496</v>
      </c>
      <c r="M239" s="40" t="s">
        <v>153</v>
      </c>
    </row>
    <row r="240" spans="1:13" x14ac:dyDescent="0.25">
      <c r="A240" s="22" t="str">
        <f>TabVMAzureEnvProjet[[#This Row],[Client]] &amp; " .:. "  &amp; TabVMAzureEnvProjet[[#This Row],[Projet]]</f>
        <v>CNAV .:. CNAV-BI-RGCU</v>
      </c>
      <c r="B240" s="22" t="str">
        <f>IF(TabVMAzureEnvProjet[[#This Row],[Projet AzureDevOps]]&lt;&gt;"",TabVMAzureEnvProjet[[#This Row],[Projet AzureDevOps]],TabVMAzureEnvProjet[[#This Row],[VM]])</f>
        <v>CNAV-BI-RGCU</v>
      </c>
      <c r="C240" s="13" t="s">
        <v>27</v>
      </c>
      <c r="E240" t="s">
        <v>4</v>
      </c>
      <c r="F240" t="s">
        <v>27</v>
      </c>
      <c r="G240" t="str">
        <f>LOOKUP(TabVMAzureEnvProjet[[#This Row],[Projet]],TabProjets[NomProj],TabProjets[SYGES])</f>
        <v>CNAV/BI-SIRRGCU</v>
      </c>
      <c r="H240" t="str">
        <f>LOOKUP(TabVMAzureEnvProjet[[#This Row],[Projet]],TabProjets[NomProj],TabProjets[CP])</f>
        <v>Valerie ASSELIN LOZACHMEUR</v>
      </c>
      <c r="I240">
        <f>LOOKUP(TabVMAzureEnvProjet[[#This Row],[Code SYGES]],TabCONTRATSDI[Contrat SYGES],TabCONTRATSDI[Cost Center])</f>
        <v>305704</v>
      </c>
      <c r="J240" s="22" t="str">
        <f>LOOKUP(TabVMAzureEnvProjet[[#This Row],[Code SYGES]],TabCONTRATSDI[Contrat SYGES],TabCONTRATSDI[Client])</f>
        <v>CNAV</v>
      </c>
      <c r="K240" t="s">
        <v>152</v>
      </c>
      <c r="L240" s="31">
        <v>11.500330407065217</v>
      </c>
      <c r="M240" s="40" t="s">
        <v>153</v>
      </c>
    </row>
    <row r="241" spans="1:13" x14ac:dyDescent="0.25">
      <c r="A241" s="22" t="str">
        <f>TabVMAzureEnvProjet[[#This Row],[Client]] &amp; " .:. "  &amp; TabVMAzureEnvProjet[[#This Row],[Projet]]</f>
        <v>INETUM .:. INETUM-INTERNE</v>
      </c>
      <c r="B241" s="22" t="str">
        <f>IF(TabVMAzureEnvProjet[[#This Row],[Projet AzureDevOps]]&lt;&gt;"",TabVMAzureEnvProjet[[#This Row],[Projet AzureDevOps]],TabVMAzureEnvProjet[[#This Row],[VM]])</f>
        <v>d8-qa</v>
      </c>
      <c r="C241" s="13" t="s">
        <v>141</v>
      </c>
      <c r="E241" t="s">
        <v>4</v>
      </c>
      <c r="F241" t="s">
        <v>102</v>
      </c>
      <c r="G241" t="str">
        <f>LOOKUP(TabVMAzureEnvProjet[[#This Row],[Projet]],TabProjets[NomProj],TabProjets[SYGES])</f>
        <v>INETUM/PROJET_INTERNE</v>
      </c>
      <c r="H241" t="str">
        <f>LOOKUP(TabVMAzureEnvProjet[[#This Row],[Projet]],TabProjets[NomProj],TabProjets[CP])</f>
        <v>Christophe ORLANDO</v>
      </c>
      <c r="I241">
        <f>LOOKUP(TabVMAzureEnvProjet[[#This Row],[Code SYGES]],TabCONTRATSDI[Contrat SYGES],TabCONTRATSDI[Cost Center])</f>
        <v>305704</v>
      </c>
      <c r="J241" s="22" t="str">
        <f>LOOKUP(TabVMAzureEnvProjet[[#This Row],[Code SYGES]],TabCONTRATSDI[Contrat SYGES],TabCONTRATSDI[Client])</f>
        <v>INETUM</v>
      </c>
      <c r="K241" t="s">
        <v>152</v>
      </c>
      <c r="L241" s="31">
        <v>0.81712873944937059</v>
      </c>
      <c r="M241" s="40" t="s">
        <v>153</v>
      </c>
    </row>
    <row r="242" spans="1:13" x14ac:dyDescent="0.25">
      <c r="A242" s="22" t="str">
        <f>TabVMAzureEnvProjet[[#This Row],[Client]] &amp; " .:. "  &amp; TabVMAzureEnvProjet[[#This Row],[Projet]]</f>
        <v>INETUM .:. INETUM-INTERNE</v>
      </c>
      <c r="B242" s="22" t="str">
        <f>IF(TabVMAzureEnvProjet[[#This Row],[Projet AzureDevOps]]&lt;&gt;"",TabVMAzureEnvProjet[[#This Row],[Projet AzureDevOps]],TabVMAzureEnvProjet[[#This Row],[VM]])</f>
        <v>drupal-qa</v>
      </c>
      <c r="C242" s="13" t="s">
        <v>142</v>
      </c>
      <c r="E242" t="s">
        <v>4</v>
      </c>
      <c r="F242" t="s">
        <v>102</v>
      </c>
      <c r="G242" t="str">
        <f>LOOKUP(TabVMAzureEnvProjet[[#This Row],[Projet]],TabProjets[NomProj],TabProjets[SYGES])</f>
        <v>INETUM/PROJET_INTERNE</v>
      </c>
      <c r="H242" t="str">
        <f>LOOKUP(TabVMAzureEnvProjet[[#This Row],[Projet]],TabProjets[NomProj],TabProjets[CP])</f>
        <v>Christophe ORLANDO</v>
      </c>
      <c r="I242">
        <f>LOOKUP(TabVMAzureEnvProjet[[#This Row],[Code SYGES]],TabCONTRATSDI[Contrat SYGES],TabCONTRATSDI[Cost Center])</f>
        <v>305704</v>
      </c>
      <c r="J242" s="22" t="str">
        <f>LOOKUP(TabVMAzureEnvProjet[[#This Row],[Code SYGES]],TabCONTRATSDI[Contrat SYGES],TabCONTRATSDI[Client])</f>
        <v>INETUM</v>
      </c>
      <c r="K242" t="s">
        <v>152</v>
      </c>
      <c r="L242" s="31">
        <v>0.81712873944937059</v>
      </c>
      <c r="M242" s="40" t="s">
        <v>153</v>
      </c>
    </row>
    <row r="243" spans="1:13" x14ac:dyDescent="0.25">
      <c r="A243" s="22" t="str">
        <f>TabVMAzureEnvProjet[[#This Row],[Client]] &amp; " .:. "  &amp; TabVMAzureEnvProjet[[#This Row],[Projet]]</f>
        <v>FRR .:. FRR-DIGIPAT</v>
      </c>
      <c r="B243" s="22" t="str">
        <f>IF(TabVMAzureEnvProjet[[#This Row],[Projet AzureDevOps]]&lt;&gt;"",TabVMAzureEnvProjet[[#This Row],[Projet AzureDevOps]],TabVMAzureEnvProjet[[#This Row],[VM]])</f>
        <v>FRR DIGIPAT</v>
      </c>
      <c r="C243" s="13" t="s">
        <v>30</v>
      </c>
      <c r="E243" t="s">
        <v>4</v>
      </c>
      <c r="F243" t="s">
        <v>29</v>
      </c>
      <c r="G243" t="str">
        <f>LOOKUP(TabVMAzureEnvProjet[[#This Row],[Projet]],TabProjets[NomProj],TabProjets[SYGES])</f>
        <v>FRR/TMASI</v>
      </c>
      <c r="H243" t="str">
        <f>LOOKUP(TabVMAzureEnvProjet[[#This Row],[Projet]],TabProjets[NomProj],TabProjets[CP])</f>
        <v>Alice MARCHAL</v>
      </c>
      <c r="I243">
        <f>LOOKUP(TabVMAzureEnvProjet[[#This Row],[Code SYGES]],TabCONTRATSDI[Contrat SYGES],TabCONTRATSDI[Cost Center])</f>
        <v>305704</v>
      </c>
      <c r="J243" s="22" t="str">
        <f>LOOKUP(TabVMAzureEnvProjet[[#This Row],[Code SYGES]],TabCONTRATSDI[Contrat SYGES],TabCONTRATSDI[Client])</f>
        <v>FRR</v>
      </c>
      <c r="K243" t="s">
        <v>152</v>
      </c>
      <c r="L243" s="31">
        <v>7.4222767357344717</v>
      </c>
      <c r="M243" s="40" t="s">
        <v>153</v>
      </c>
    </row>
    <row r="244" spans="1:13" x14ac:dyDescent="0.25">
      <c r="A244" s="22" t="str">
        <f>TabVMAzureEnvProjet[[#This Row],[Client]] &amp; " .:. "  &amp; TabVMAzureEnvProjet[[#This Row],[Projet]]</f>
        <v>FRR .:. FRR-APPLIFRR</v>
      </c>
      <c r="B244" s="22" t="str">
        <f>IF(TabVMAzureEnvProjet[[#This Row],[Projet AzureDevOps]]&lt;&gt;"",TabVMAzureEnvProjet[[#This Row],[Projet AzureDevOps]],TabVMAzureEnvProjet[[#This Row],[VM]])</f>
        <v>FRR-APPLIFRR</v>
      </c>
      <c r="C244" s="13" t="s">
        <v>32</v>
      </c>
      <c r="E244" t="s">
        <v>4</v>
      </c>
      <c r="F244" t="s">
        <v>32</v>
      </c>
      <c r="G244" t="str">
        <f>LOOKUP(TabVMAzureEnvProjet[[#This Row],[Projet]],TabProjets[NomProj],TabProjets[SYGES])</f>
        <v>FRR/TMASI</v>
      </c>
      <c r="H244" t="str">
        <f>LOOKUP(TabVMAzureEnvProjet[[#This Row],[Projet]],TabProjets[NomProj],TabProjets[CP])</f>
        <v>Jean-Philippe STROIAZZO</v>
      </c>
      <c r="I244">
        <f>LOOKUP(TabVMAzureEnvProjet[[#This Row],[Code SYGES]],TabCONTRATSDI[Contrat SYGES],TabCONTRATSDI[Cost Center])</f>
        <v>305704</v>
      </c>
      <c r="J244" s="22" t="str">
        <f>LOOKUP(TabVMAzureEnvProjet[[#This Row],[Code SYGES]],TabCONTRATSDI[Contrat SYGES],TabCONTRATSDI[Client])</f>
        <v>FRR</v>
      </c>
      <c r="K244" t="s">
        <v>152</v>
      </c>
      <c r="L244" s="31">
        <v>3.0468407831705249</v>
      </c>
      <c r="M244" s="40" t="s">
        <v>153</v>
      </c>
    </row>
    <row r="245" spans="1:13" x14ac:dyDescent="0.25">
      <c r="A245" s="22" t="str">
        <f>TabVMAzureEnvProjet[[#This Row],[Client]] &amp; " .:. "  &amp; TabVMAzureEnvProjet[[#This Row],[Projet]]</f>
        <v>FRR .:. FRR-CADENCIER</v>
      </c>
      <c r="B245" s="22" t="str">
        <f>IF(TabVMAzureEnvProjet[[#This Row],[Projet AzureDevOps]]&lt;&gt;"",TabVMAzureEnvProjet[[#This Row],[Projet AzureDevOps]],TabVMAzureEnvProjet[[#This Row],[VM]])</f>
        <v>FRR-CADENCIER</v>
      </c>
      <c r="C245" s="13" t="s">
        <v>33</v>
      </c>
      <c r="E245" t="s">
        <v>4</v>
      </c>
      <c r="F245" t="s">
        <v>33</v>
      </c>
      <c r="G245" t="str">
        <f>LOOKUP(TabVMAzureEnvProjet[[#This Row],[Projet]],TabProjets[NomProj],TabProjets[SYGES])</f>
        <v>FRR/TMASI</v>
      </c>
      <c r="H245" t="str">
        <f>LOOKUP(TabVMAzureEnvProjet[[#This Row],[Projet]],TabProjets[NomProj],TabProjets[CP])</f>
        <v>Jean-Philippe STROIAZZO</v>
      </c>
      <c r="I245">
        <f>LOOKUP(TabVMAzureEnvProjet[[#This Row],[Code SYGES]],TabCONTRATSDI[Contrat SYGES],TabCONTRATSDI[Cost Center])</f>
        <v>305704</v>
      </c>
      <c r="J245" s="22" t="str">
        <f>LOOKUP(TabVMAzureEnvProjet[[#This Row],[Code SYGES]],TabCONTRATSDI[Contrat SYGES],TabCONTRATSDI[Client])</f>
        <v>FRR</v>
      </c>
      <c r="K245" t="s">
        <v>152</v>
      </c>
      <c r="L245" s="31">
        <v>3.0468407831705249</v>
      </c>
      <c r="M245" s="40" t="s">
        <v>153</v>
      </c>
    </row>
    <row r="246" spans="1:13" x14ac:dyDescent="0.25">
      <c r="A246" s="22" t="str">
        <f>TabVMAzureEnvProjet[[#This Row],[Client]] &amp; " .:. "  &amp; TabVMAzureEnvProjet[[#This Row],[Projet]]</f>
        <v>FRR .:. FRR-PATAPAIN</v>
      </c>
      <c r="B246" s="22" t="str">
        <f>IF(TabVMAzureEnvProjet[[#This Row],[Projet AzureDevOps]]&lt;&gt;"",TabVMAzureEnvProjet[[#This Row],[Projet AzureDevOps]],TabVMAzureEnvProjet[[#This Row],[VM]])</f>
        <v>FRR-Patapain</v>
      </c>
      <c r="C246" s="13" t="s">
        <v>35</v>
      </c>
      <c r="E246" t="s">
        <v>4</v>
      </c>
      <c r="F246" t="s">
        <v>34</v>
      </c>
      <c r="G246" t="str">
        <f>LOOKUP(TabVMAzureEnvProjet[[#This Row],[Projet]],TabProjets[NomProj],TabProjets[SYGES])</f>
        <v>FRR/TMASI</v>
      </c>
      <c r="H246" t="str">
        <f>LOOKUP(TabVMAzureEnvProjet[[#This Row],[Projet]],TabProjets[NomProj],TabProjets[CP])</f>
        <v>Christophe ORLANDO</v>
      </c>
      <c r="I246">
        <f>LOOKUP(TabVMAzureEnvProjet[[#This Row],[Code SYGES]],TabCONTRATSDI[Contrat SYGES],TabCONTRATSDI[Cost Center])</f>
        <v>305704</v>
      </c>
      <c r="J246" s="22" t="str">
        <f>LOOKUP(TabVMAzureEnvProjet[[#This Row],[Code SYGES]],TabCONTRATSDI[Contrat SYGES],TabCONTRATSDI[Client])</f>
        <v>FRR</v>
      </c>
      <c r="K246" t="s">
        <v>152</v>
      </c>
      <c r="L246" s="31">
        <v>2.6525437406425745</v>
      </c>
      <c r="M246" s="40" t="s">
        <v>153</v>
      </c>
    </row>
    <row r="247" spans="1:13" x14ac:dyDescent="0.25">
      <c r="A247" s="22" t="str">
        <f>TabVMAzureEnvProjet[[#This Row],[Client]] &amp; " .:. "  &amp; TabVMAzureEnvProjet[[#This Row],[Projet]]</f>
        <v>FRR .:. FRR-PATAPAINANDROID</v>
      </c>
      <c r="B247" s="22" t="str">
        <f>IF(TabVMAzureEnvProjet[[#This Row],[Projet AzureDevOps]]&lt;&gt;"",TabVMAzureEnvProjet[[#This Row],[Projet AzureDevOps]],TabVMAzureEnvProjet[[#This Row],[VM]])</f>
        <v>FRR-PATAPAINANDROID</v>
      </c>
      <c r="C247" s="13" t="s">
        <v>36</v>
      </c>
      <c r="E247" t="s">
        <v>4</v>
      </c>
      <c r="F247" t="s">
        <v>36</v>
      </c>
      <c r="G247" t="str">
        <f>LOOKUP(TabVMAzureEnvProjet[[#This Row],[Projet]],TabProjets[NomProj],TabProjets[SYGES])</f>
        <v>FRR/TMASI</v>
      </c>
      <c r="H247" t="str">
        <f>LOOKUP(TabVMAzureEnvProjet[[#This Row],[Projet]],TabProjets[NomProj],TabProjets[CP])</f>
        <v>Jean-Philippe STROIAZZO</v>
      </c>
      <c r="I247">
        <f>LOOKUP(TabVMAzureEnvProjet[[#This Row],[Code SYGES]],TabCONTRATSDI[Contrat SYGES],TabCONTRATSDI[Cost Center])</f>
        <v>305704</v>
      </c>
      <c r="J247" s="22" t="str">
        <f>LOOKUP(TabVMAzureEnvProjet[[#This Row],[Code SYGES]],TabCONTRATSDI[Contrat SYGES],TabCONTRATSDI[Client])</f>
        <v>FRR</v>
      </c>
      <c r="K247" t="s">
        <v>152</v>
      </c>
      <c r="L247" s="31">
        <v>3.0468407831705249</v>
      </c>
      <c r="M247" s="40" t="s">
        <v>153</v>
      </c>
    </row>
    <row r="248" spans="1:13" x14ac:dyDescent="0.25">
      <c r="A248" s="22" t="str">
        <f>TabVMAzureEnvProjet[[#This Row],[Client]] &amp; " .:. "  &amp; TabVMAzureEnvProjet[[#This Row],[Projet]]</f>
        <v>INETUM .:. INETUM-INTERNE</v>
      </c>
      <c r="B248" s="22" t="str">
        <f>IF(TabVMAzureEnvProjet[[#This Row],[Projet AzureDevOps]]&lt;&gt;"",TabVMAzureEnvProjet[[#This Row],[Projet AzureDevOps]],TabVMAzureEnvProjet[[#This Row],[VM]])</f>
        <v>GFI-CMIS</v>
      </c>
      <c r="C248" s="13" t="s">
        <v>106</v>
      </c>
      <c r="E248" t="s">
        <v>4</v>
      </c>
      <c r="F248" t="s">
        <v>102</v>
      </c>
      <c r="G248" t="str">
        <f>LOOKUP(TabVMAzureEnvProjet[[#This Row],[Projet]],TabProjets[NomProj],TabProjets[SYGES])</f>
        <v>INETUM/PROJET_INTERNE</v>
      </c>
      <c r="H248" t="str">
        <f>LOOKUP(TabVMAzureEnvProjet[[#This Row],[Projet]],TabProjets[NomProj],TabProjets[CP])</f>
        <v>Christophe ORLANDO</v>
      </c>
      <c r="I248">
        <f>LOOKUP(TabVMAzureEnvProjet[[#This Row],[Code SYGES]],TabCONTRATSDI[Contrat SYGES],TabCONTRATSDI[Cost Center])</f>
        <v>305704</v>
      </c>
      <c r="J248" s="22" t="str">
        <f>LOOKUP(TabVMAzureEnvProjet[[#This Row],[Code SYGES]],TabCONTRATSDI[Contrat SYGES],TabCONTRATSDI[Client])</f>
        <v>INETUM</v>
      </c>
      <c r="K248" t="s">
        <v>152</v>
      </c>
      <c r="L248" s="31">
        <v>0.2421122190961098</v>
      </c>
      <c r="M248" s="40" t="s">
        <v>153</v>
      </c>
    </row>
    <row r="249" spans="1:13" x14ac:dyDescent="0.25">
      <c r="A249" s="22" t="str">
        <f>TabVMAzureEnvProjet[[#This Row],[Client]] &amp; " .:. "  &amp; TabVMAzureEnvProjet[[#This Row],[Projet]]</f>
        <v>INETUM .:. INETUM-INTERNE</v>
      </c>
      <c r="B249" s="22" t="str">
        <f>IF(TabVMAzureEnvProjet[[#This Row],[Projet AzureDevOps]]&lt;&gt;"",TabVMAzureEnvProjet[[#This Row],[Projet AzureDevOps]],TabVMAzureEnvProjet[[#This Row],[VM]])</f>
        <v>GFI-COFFEE</v>
      </c>
      <c r="C249" s="13" t="s">
        <v>107</v>
      </c>
      <c r="E249" t="s">
        <v>4</v>
      </c>
      <c r="F249" t="s">
        <v>102</v>
      </c>
      <c r="G249" t="str">
        <f>LOOKUP(TabVMAzureEnvProjet[[#This Row],[Projet]],TabProjets[NomProj],TabProjets[SYGES])</f>
        <v>INETUM/PROJET_INTERNE</v>
      </c>
      <c r="H249" t="str">
        <f>LOOKUP(TabVMAzureEnvProjet[[#This Row],[Projet]],TabProjets[NomProj],TabProjets[CP])</f>
        <v>Christophe ORLANDO</v>
      </c>
      <c r="I249">
        <f>LOOKUP(TabVMAzureEnvProjet[[#This Row],[Code SYGES]],TabCONTRATSDI[Contrat SYGES],TabCONTRATSDI[Cost Center])</f>
        <v>305704</v>
      </c>
      <c r="J249" s="22" t="str">
        <f>LOOKUP(TabVMAzureEnvProjet[[#This Row],[Code SYGES]],TabCONTRATSDI[Contrat SYGES],TabCONTRATSDI[Client])</f>
        <v>INETUM</v>
      </c>
      <c r="K249" t="s">
        <v>152</v>
      </c>
      <c r="L249" s="31">
        <v>1.4039364393040652</v>
      </c>
      <c r="M249" s="40" t="s">
        <v>153</v>
      </c>
    </row>
    <row r="250" spans="1:13" x14ac:dyDescent="0.25">
      <c r="A250" s="22" t="str">
        <f>TabVMAzureEnvProjet[[#This Row],[Client]] &amp; " .:. "  &amp; TabVMAzureEnvProjet[[#This Row],[Projet]]</f>
        <v>INETUM .:. INETUM-INTERNE</v>
      </c>
      <c r="B250" s="22" t="str">
        <f>IF(TabVMAzureEnvProjet[[#This Row],[Projet AzureDevOps]]&lt;&gt;"",TabVMAzureEnvProjet[[#This Row],[Projet AzureDevOps]],TabVMAzureEnvProjet[[#This Row],[VM]])</f>
        <v>GFI-CRALENIUM</v>
      </c>
      <c r="C250" s="13" t="s">
        <v>108</v>
      </c>
      <c r="E250" t="s">
        <v>4</v>
      </c>
      <c r="F250" t="s">
        <v>102</v>
      </c>
      <c r="G250" t="str">
        <f>LOOKUP(TabVMAzureEnvProjet[[#This Row],[Projet]],TabProjets[NomProj],TabProjets[SYGES])</f>
        <v>INETUM/PROJET_INTERNE</v>
      </c>
      <c r="H250" t="str">
        <f>LOOKUP(TabVMAzureEnvProjet[[#This Row],[Projet]],TabProjets[NomProj],TabProjets[CP])</f>
        <v>Christophe ORLANDO</v>
      </c>
      <c r="I250">
        <f>LOOKUP(TabVMAzureEnvProjet[[#This Row],[Code SYGES]],TabCONTRATSDI[Contrat SYGES],TabCONTRATSDI[Cost Center])</f>
        <v>305704</v>
      </c>
      <c r="J250" s="22" t="str">
        <f>LOOKUP(TabVMAzureEnvProjet[[#This Row],[Code SYGES]],TabCONTRATSDI[Contrat SYGES],TabCONTRATSDI[Client])</f>
        <v>INETUM</v>
      </c>
      <c r="K250" t="s">
        <v>152</v>
      </c>
      <c r="L250" s="31">
        <v>3.0468407831705249</v>
      </c>
      <c r="M250" s="40" t="s">
        <v>153</v>
      </c>
    </row>
    <row r="251" spans="1:13" x14ac:dyDescent="0.25">
      <c r="A251" s="22" t="str">
        <f>TabVMAzureEnvProjet[[#This Row],[Client]] &amp; " .:. "  &amp; TabVMAzureEnvProjet[[#This Row],[Projet]]</f>
        <v>INETUM .:. INETUM-INTERNE</v>
      </c>
      <c r="B251" s="22" t="str">
        <f>IF(TabVMAzureEnvProjet[[#This Row],[Projet AzureDevOps]]&lt;&gt;"",TabVMAzureEnvProjet[[#This Row],[Projet AzureDevOps]],TabVMAzureEnvProjet[[#This Row],[VM]])</f>
        <v>GFI-D8-BS4-THEME</v>
      </c>
      <c r="C251" s="13" t="s">
        <v>103</v>
      </c>
      <c r="E251" t="s">
        <v>4</v>
      </c>
      <c r="F251" t="s">
        <v>102</v>
      </c>
      <c r="G251" t="str">
        <f>LOOKUP(TabVMAzureEnvProjet[[#This Row],[Projet]],TabProjets[NomProj],TabProjets[SYGES])</f>
        <v>INETUM/PROJET_INTERNE</v>
      </c>
      <c r="H251" t="str">
        <f>LOOKUP(TabVMAzureEnvProjet[[#This Row],[Projet]],TabProjets[NomProj],TabProjets[CP])</f>
        <v>Christophe ORLANDO</v>
      </c>
      <c r="I251">
        <f>LOOKUP(TabVMAzureEnvProjet[[#This Row],[Code SYGES]],TabCONTRATSDI[Contrat SYGES],TabCONTRATSDI[Cost Center])</f>
        <v>305704</v>
      </c>
      <c r="J251" s="22" t="str">
        <f>LOOKUP(TabVMAzureEnvProjet[[#This Row],[Code SYGES]],TabCONTRATSDI[Contrat SYGES],TabCONTRATSDI[Client])</f>
        <v>INETUM</v>
      </c>
      <c r="K251" t="s">
        <v>152</v>
      </c>
      <c r="L251" s="31">
        <v>1.6732644475308922</v>
      </c>
      <c r="M251" s="40" t="s">
        <v>153</v>
      </c>
    </row>
    <row r="252" spans="1:13" x14ac:dyDescent="0.25">
      <c r="A252" s="22" t="str">
        <f>TabVMAzureEnvProjet[[#This Row],[Client]] &amp; " .:. "  &amp; TabVMAzureEnvProjet[[#This Row],[Projet]]</f>
        <v>INETUM .:. INETUM-INTERNE</v>
      </c>
      <c r="B252" s="22" t="str">
        <f>IF(TabVMAzureEnvProjet[[#This Row],[Projet AzureDevOps]]&lt;&gt;"",TabVMAzureEnvProjet[[#This Row],[Projet AzureDevOps]],TabVMAzureEnvProjet[[#This Row],[VM]])</f>
        <v>GFI-Docker Devbox Install</v>
      </c>
      <c r="C252" s="13" t="s">
        <v>109</v>
      </c>
      <c r="E252" t="s">
        <v>4</v>
      </c>
      <c r="F252" t="s">
        <v>102</v>
      </c>
      <c r="G252" t="str">
        <f>LOOKUP(TabVMAzureEnvProjet[[#This Row],[Projet]],TabProjets[NomProj],TabProjets[SYGES])</f>
        <v>INETUM/PROJET_INTERNE</v>
      </c>
      <c r="H252" t="str">
        <f>LOOKUP(TabVMAzureEnvProjet[[#This Row],[Projet]],TabProjets[NomProj],TabProjets[CP])</f>
        <v>Christophe ORLANDO</v>
      </c>
      <c r="I252">
        <f>LOOKUP(TabVMAzureEnvProjet[[#This Row],[Code SYGES]],TabCONTRATSDI[Contrat SYGES],TabCONTRATSDI[Cost Center])</f>
        <v>305704</v>
      </c>
      <c r="J252" s="22" t="str">
        <f>LOOKUP(TabVMAzureEnvProjet[[#This Row],[Code SYGES]],TabCONTRATSDI[Contrat SYGES],TabCONTRATSDI[Client])</f>
        <v>INETUM</v>
      </c>
      <c r="K252" t="s">
        <v>152</v>
      </c>
      <c r="L252" s="31">
        <v>0.2421122190961098</v>
      </c>
      <c r="M252" s="40" t="s">
        <v>153</v>
      </c>
    </row>
    <row r="253" spans="1:13" x14ac:dyDescent="0.25">
      <c r="A253" s="22" t="str">
        <f>TabVMAzureEnvProjet[[#This Row],[Client]] &amp; " .:. "  &amp; TabVMAzureEnvProjet[[#This Row],[Projet]]</f>
        <v>INETUM .:. INETUM-INTERNE</v>
      </c>
      <c r="B253" s="22" t="str">
        <f>IF(TabVMAzureEnvProjet[[#This Row],[Projet AzureDevOps]]&lt;&gt;"",TabVMAzureEnvProjet[[#This Row],[Projet AzureDevOps]],TabVMAzureEnvProjet[[#This Row],[VM]])</f>
        <v>GFI-MineReport</v>
      </c>
      <c r="C253" s="13" t="s">
        <v>104</v>
      </c>
      <c r="E253" t="s">
        <v>4</v>
      </c>
      <c r="F253" t="s">
        <v>102</v>
      </c>
      <c r="G253" t="str">
        <f>LOOKUP(TabVMAzureEnvProjet[[#This Row],[Projet]],TabProjets[NomProj],TabProjets[SYGES])</f>
        <v>INETUM/PROJET_INTERNE</v>
      </c>
      <c r="H253" t="str">
        <f>LOOKUP(TabVMAzureEnvProjet[[#This Row],[Projet]],TabProjets[NomProj],TabProjets[CP])</f>
        <v>Christophe ORLANDO</v>
      </c>
      <c r="I253">
        <f>LOOKUP(TabVMAzureEnvProjet[[#This Row],[Code SYGES]],TabCONTRATSDI[Contrat SYGES],TabCONTRATSDI[Cost Center])</f>
        <v>305704</v>
      </c>
      <c r="J253" s="22" t="str">
        <f>LOOKUP(TabVMAzureEnvProjet[[#This Row],[Code SYGES]],TabCONTRATSDI[Contrat SYGES],TabCONTRATSDI[Client])</f>
        <v>INETUM</v>
      </c>
      <c r="K253" t="s">
        <v>152</v>
      </c>
      <c r="L253" s="31">
        <v>5.503729551952639</v>
      </c>
      <c r="M253" s="40" t="s">
        <v>153</v>
      </c>
    </row>
    <row r="254" spans="1:13" x14ac:dyDescent="0.25">
      <c r="A254" s="22" t="str">
        <f>TabVMAzureEnvProjet[[#This Row],[Client]] &amp; " .:. "  &amp; TabVMAzureEnvProjet[[#This Row],[Projet]]</f>
        <v>INETUM .:. INETUM-INTERNE</v>
      </c>
      <c r="B254" s="22" t="str">
        <f>IF(TabVMAzureEnvProjet[[#This Row],[Projet AzureDevOps]]&lt;&gt;"",TabVMAzureEnvProjet[[#This Row],[Projet AzureDevOps]],TabVMAzureEnvProjet[[#This Row],[VM]])</f>
        <v>GFI-PMT</v>
      </c>
      <c r="C254" s="13" t="s">
        <v>110</v>
      </c>
      <c r="E254" t="s">
        <v>4</v>
      </c>
      <c r="F254" t="s">
        <v>102</v>
      </c>
      <c r="G254" t="str">
        <f>LOOKUP(TabVMAzureEnvProjet[[#This Row],[Projet]],TabProjets[NomProj],TabProjets[SYGES])</f>
        <v>INETUM/PROJET_INTERNE</v>
      </c>
      <c r="H254" t="str">
        <f>LOOKUP(TabVMAzureEnvProjet[[#This Row],[Projet]],TabProjets[NomProj],TabProjets[CP])</f>
        <v>Christophe ORLANDO</v>
      </c>
      <c r="I254">
        <f>LOOKUP(TabVMAzureEnvProjet[[#This Row],[Code SYGES]],TabCONTRATSDI[Contrat SYGES],TabCONTRATSDI[Cost Center])</f>
        <v>305704</v>
      </c>
      <c r="J254" s="22" t="str">
        <f>LOOKUP(TabVMAzureEnvProjet[[#This Row],[Code SYGES]],TabCONTRATSDI[Contrat SYGES],TabCONTRATSDI[Client])</f>
        <v>INETUM</v>
      </c>
      <c r="K254" t="s">
        <v>152</v>
      </c>
      <c r="L254" s="31">
        <v>5.957679673734722</v>
      </c>
      <c r="M254" s="40" t="s">
        <v>153</v>
      </c>
    </row>
    <row r="255" spans="1:13" x14ac:dyDescent="0.25">
      <c r="A255" s="22" t="str">
        <f>TabVMAzureEnvProjet[[#This Row],[Client]] &amp; " .:. "  &amp; TabVMAzureEnvProjet[[#This Row],[Projet]]</f>
        <v>INETUM .:. INETUM-INTERNE</v>
      </c>
      <c r="B255" s="22" t="str">
        <f>IF(TabVMAzureEnvProjet[[#This Row],[Projet AzureDevOps]]&lt;&gt;"",TabVMAzureEnvProjet[[#This Row],[Projet AzureDevOps]],TabVMAzureEnvProjet[[#This Row],[VM]])</f>
        <v>GFI-RedmineDocker</v>
      </c>
      <c r="C255" s="13" t="s">
        <v>105</v>
      </c>
      <c r="E255" t="s">
        <v>4</v>
      </c>
      <c r="F255" t="s">
        <v>102</v>
      </c>
      <c r="G255" t="str">
        <f>LOOKUP(TabVMAzureEnvProjet[[#This Row],[Projet]],TabProjets[NomProj],TabProjets[SYGES])</f>
        <v>INETUM/PROJET_INTERNE</v>
      </c>
      <c r="H255" t="str">
        <f>LOOKUP(TabVMAzureEnvProjet[[#This Row],[Projet]],TabProjets[NomProj],TabProjets[CP])</f>
        <v>Christophe ORLANDO</v>
      </c>
      <c r="I255">
        <f>LOOKUP(TabVMAzureEnvProjet[[#This Row],[Code SYGES]],TabCONTRATSDI[Contrat SYGES],TabCONTRATSDI[Cost Center])</f>
        <v>305704</v>
      </c>
      <c r="J255" s="22" t="str">
        <f>LOOKUP(TabVMAzureEnvProjet[[#This Row],[Code SYGES]],TabCONTRATSDI[Contrat SYGES],TabCONTRATSDI[Client])</f>
        <v>INETUM</v>
      </c>
      <c r="K255" t="s">
        <v>152</v>
      </c>
      <c r="L255" s="31">
        <v>1.3893328451363636</v>
      </c>
      <c r="M255" s="40" t="s">
        <v>153</v>
      </c>
    </row>
    <row r="256" spans="1:13" x14ac:dyDescent="0.25">
      <c r="A256" s="22" t="str">
        <f>TabVMAzureEnvProjet[[#This Row],[Client]] &amp; " .:. "  &amp; TabVMAzureEnvProjet[[#This Row],[Projet]]</f>
        <v>INETUM .:. INETUM-INTERNE</v>
      </c>
      <c r="B256" s="22" t="str">
        <f>IF(TabVMAzureEnvProjet[[#This Row],[Projet AzureDevOps]]&lt;&gt;"",TabVMAzureEnvProjet[[#This Row],[Projet AzureDevOps]],TabVMAzureEnvProjet[[#This Row],[VM]])</f>
        <v>GFI-TENDER</v>
      </c>
      <c r="C256" s="13" t="s">
        <v>111</v>
      </c>
      <c r="E256" t="s">
        <v>4</v>
      </c>
      <c r="F256" t="s">
        <v>102</v>
      </c>
      <c r="G256" t="str">
        <f>LOOKUP(TabVMAzureEnvProjet[[#This Row],[Projet]],TabProjets[NomProj],TabProjets[SYGES])</f>
        <v>INETUM/PROJET_INTERNE</v>
      </c>
      <c r="H256" t="str">
        <f>LOOKUP(TabVMAzureEnvProjet[[#This Row],[Projet]],TabProjets[NomProj],TabProjets[CP])</f>
        <v>Christophe ORLANDO</v>
      </c>
      <c r="I256">
        <f>LOOKUP(TabVMAzureEnvProjet[[#This Row],[Code SYGES]],TabCONTRATSDI[Contrat SYGES],TabCONTRATSDI[Cost Center])</f>
        <v>305704</v>
      </c>
      <c r="J256" s="22" t="str">
        <f>LOOKUP(TabVMAzureEnvProjet[[#This Row],[Code SYGES]],TabCONTRATSDI[Contrat SYGES],TabCONTRATSDI[Client])</f>
        <v>INETUM</v>
      </c>
      <c r="K256" t="s">
        <v>152</v>
      </c>
      <c r="L256" s="31">
        <v>3.0468407831705249</v>
      </c>
      <c r="M256" s="40" t="s">
        <v>153</v>
      </c>
    </row>
    <row r="257" spans="1:13" x14ac:dyDescent="0.25">
      <c r="A257" s="22" t="str">
        <f>TabVMAzureEnvProjet[[#This Row],[Client]] &amp; " .:. "  &amp; TabVMAzureEnvProjet[[#This Row],[Projet]]</f>
        <v>GFI .:. GFI-WAAC</v>
      </c>
      <c r="B257" s="22" t="str">
        <f>IF(TabVMAzureEnvProjet[[#This Row],[Projet AzureDevOps]]&lt;&gt;"",TabVMAzureEnvProjet[[#This Row],[Projet AzureDevOps]],TabVMAzureEnvProjet[[#This Row],[VM]])</f>
        <v>GFI-WAAC</v>
      </c>
      <c r="C257" s="13" t="s">
        <v>38</v>
      </c>
      <c r="E257" t="s">
        <v>4</v>
      </c>
      <c r="F257" t="s">
        <v>38</v>
      </c>
      <c r="G257" t="str">
        <f>LOOKUP(TabVMAzureEnvProjet[[#This Row],[Projet]],TabProjets[NomProj],TabProjets[SYGES])</f>
        <v>383928 - WAAC 1.0</v>
      </c>
      <c r="H257" t="str">
        <f>LOOKUP(TabVMAzureEnvProjet[[#This Row],[Projet]],TabProjets[NomProj],TabProjets[CP])</f>
        <v>Laurent MARCIANIAK</v>
      </c>
      <c r="I257">
        <f>LOOKUP(TabVMAzureEnvProjet[[#This Row],[Code SYGES]],TabCONTRATSDI[Contrat SYGES],TabCONTRATSDI[Cost Center])</f>
        <v>100973</v>
      </c>
      <c r="J257" s="22" t="str">
        <f>LOOKUP(TabVMAzureEnvProjet[[#This Row],[Code SYGES]],TabCONTRATSDI[Contrat SYGES],TabCONTRATSDI[Client])</f>
        <v>GFI</v>
      </c>
      <c r="K257" t="s">
        <v>152</v>
      </c>
      <c r="L257" s="31">
        <v>29.930346557412129</v>
      </c>
      <c r="M257" s="40" t="s">
        <v>153</v>
      </c>
    </row>
    <row r="258" spans="1:13" x14ac:dyDescent="0.25">
      <c r="A258" s="22" t="str">
        <f>TabVMAzureEnvProjet[[#This Row],[Client]] &amp; " .:. "  &amp; TabVMAzureEnvProjet[[#This Row],[Projet]]</f>
        <v>GLI .:. GLI-APIBIOMETRIE</v>
      </c>
      <c r="B258" s="22" t="str">
        <f>IF(TabVMAzureEnvProjet[[#This Row],[Projet AzureDevOps]]&lt;&gt;"",TabVMAzureEnvProjet[[#This Row],[Projet AzureDevOps]],TabVMAzureEnvProjet[[#This Row],[VM]])</f>
        <v>GLI-APIBiometrie</v>
      </c>
      <c r="C258" s="13" t="s">
        <v>42</v>
      </c>
      <c r="E258" t="s">
        <v>4</v>
      </c>
      <c r="F258" t="s">
        <v>41</v>
      </c>
      <c r="G258" t="str">
        <f>LOOKUP(TabVMAzureEnvProjet[[#This Row],[Projet]],TabProjets[NomProj],TabProjets[SYGES])</f>
        <v>GLI/BIOMETRIE</v>
      </c>
      <c r="H258" t="str">
        <f>LOOKUP(TabVMAzureEnvProjet[[#This Row],[Projet]],TabProjets[NomProj],TabProjets[CP])</f>
        <v>Rodolphe HABEGGER</v>
      </c>
      <c r="I258">
        <f>LOOKUP(TabVMAzureEnvProjet[[#This Row],[Code SYGES]],TabCONTRATSDI[Contrat SYGES],TabCONTRATSDI[Cost Center])</f>
        <v>305704</v>
      </c>
      <c r="J258" s="22" t="str">
        <f>LOOKUP(TabVMAzureEnvProjet[[#This Row],[Code SYGES]],TabCONTRATSDI[Contrat SYGES],TabCONTRATSDI[Client])</f>
        <v>GLI</v>
      </c>
      <c r="K258" t="s">
        <v>152</v>
      </c>
      <c r="L258" s="31">
        <v>8.5590075737964888</v>
      </c>
      <c r="M258" s="40" t="s">
        <v>153</v>
      </c>
    </row>
    <row r="259" spans="1:13" x14ac:dyDescent="0.25">
      <c r="A259" s="22" t="str">
        <f>TabVMAzureEnvProjet[[#This Row],[Client]] &amp; " .:. "  &amp; TabVMAzureEnvProjet[[#This Row],[Projet]]</f>
        <v>LAPOSTE .:. LAPOSTE-CDC</v>
      </c>
      <c r="B259" s="22" t="str">
        <f>IF(TabVMAzureEnvProjet[[#This Row],[Projet AzureDevOps]]&lt;&gt;"",TabVMAzureEnvProjet[[#This Row],[Projet AzureDevOps]],TabVMAzureEnvProjet[[#This Row],[VM]])</f>
        <v>LAPOSTE-F4N-Musee</v>
      </c>
      <c r="C259" s="13" t="s">
        <v>83</v>
      </c>
      <c r="E259" t="s">
        <v>4</v>
      </c>
      <c r="F259" t="s">
        <v>82</v>
      </c>
      <c r="G259" t="str">
        <f>LOOKUP(TabVMAzureEnvProjet[[#This Row],[Projet]],TabProjets[NomProj],TabProjets[SYGES])</f>
        <v>LA-POSTE/CDC_DRUPAL</v>
      </c>
      <c r="H259" t="str">
        <f>LOOKUP(TabVMAzureEnvProjet[[#This Row],[Projet]],TabProjets[NomProj],TabProjets[CP])</f>
        <v>Rodolphe HABEGGER</v>
      </c>
      <c r="I259">
        <f>LOOKUP(TabVMAzureEnvProjet[[#This Row],[Code SYGES]],TabCONTRATSDI[Contrat SYGES],TabCONTRATSDI[Cost Center])</f>
        <v>305704</v>
      </c>
      <c r="J259" s="22" t="str">
        <f>LOOKUP(TabVMAzureEnvProjet[[#This Row],[Code SYGES]],TabCONTRATSDI[Contrat SYGES],TabCONTRATSDI[Client])</f>
        <v>LAPOSTE</v>
      </c>
      <c r="K259" t="s">
        <v>152</v>
      </c>
      <c r="L259" s="31">
        <v>2.9736568623982915</v>
      </c>
      <c r="M259" s="40" t="s">
        <v>153</v>
      </c>
    </row>
    <row r="260" spans="1:13" x14ac:dyDescent="0.25">
      <c r="A260" s="22" t="str">
        <f>TabVMAzureEnvProjet[[#This Row],[Client]] &amp; " .:. "  &amp; TabVMAzureEnvProjet[[#This Row],[Projet]]</f>
        <v>LAPOSTE .:. LAPOSTE-CDC</v>
      </c>
      <c r="B260" s="22" t="str">
        <f>IF(TabVMAzureEnvProjet[[#This Row],[Projet AzureDevOps]]&lt;&gt;"",TabVMAzureEnvProjet[[#This Row],[Projet AzureDevOps]],TabVMAzureEnvProjet[[#This Row],[VM]])</f>
        <v>LAPOSTE-LPK-PortailVoyage</v>
      </c>
      <c r="C260" s="13" t="s">
        <v>84</v>
      </c>
      <c r="E260" t="s">
        <v>4</v>
      </c>
      <c r="F260" t="s">
        <v>82</v>
      </c>
      <c r="G260" t="str">
        <f>LOOKUP(TabVMAzureEnvProjet[[#This Row],[Projet]],TabProjets[NomProj],TabProjets[SYGES])</f>
        <v>LA-POSTE/CDC_DRUPAL</v>
      </c>
      <c r="H260" t="str">
        <f>LOOKUP(TabVMAzureEnvProjet[[#This Row],[Projet]],TabProjets[NomProj],TabProjets[CP])</f>
        <v>Rodolphe HABEGGER</v>
      </c>
      <c r="I260">
        <f>LOOKUP(TabVMAzureEnvProjet[[#This Row],[Code SYGES]],TabCONTRATSDI[Contrat SYGES],TabCONTRATSDI[Cost Center])</f>
        <v>305704</v>
      </c>
      <c r="J260" s="22" t="str">
        <f>LOOKUP(TabVMAzureEnvProjet[[#This Row],[Code SYGES]],TabCONTRATSDI[Contrat SYGES],TabCONTRATSDI[Client])</f>
        <v>LAPOSTE</v>
      </c>
      <c r="K260" t="s">
        <v>152</v>
      </c>
      <c r="L260" s="31">
        <v>1.20678791804009</v>
      </c>
      <c r="M260" s="40" t="s">
        <v>153</v>
      </c>
    </row>
    <row r="261" spans="1:13" x14ac:dyDescent="0.25">
      <c r="A261" s="22" t="str">
        <f>TabVMAzureEnvProjet[[#This Row],[Client]] &amp; " .:. "  &amp; TabVMAzureEnvProjet[[#This Row],[Projet]]</f>
        <v>LAPOSTE .:. LAPOSTE-CDC</v>
      </c>
      <c r="B261" s="22" t="str">
        <f>IF(TabVMAzureEnvProjet[[#This Row],[Projet AzureDevOps]]&lt;&gt;"",TabVMAzureEnvProjet[[#This Row],[Projet AzureDevOps]],TabVMAzureEnvProjet[[#This Row],[VM]])</f>
        <v>LAPOSTE-LPM-IntranetDHA</v>
      </c>
      <c r="C261" s="13" t="s">
        <v>85</v>
      </c>
      <c r="E261" t="s">
        <v>4</v>
      </c>
      <c r="F261" t="s">
        <v>82</v>
      </c>
      <c r="G261" t="str">
        <f>LOOKUP(TabVMAzureEnvProjet[[#This Row],[Projet]],TabProjets[NomProj],TabProjets[SYGES])</f>
        <v>LA-POSTE/CDC_DRUPAL</v>
      </c>
      <c r="H261" t="str">
        <f>LOOKUP(TabVMAzureEnvProjet[[#This Row],[Projet]],TabProjets[NomProj],TabProjets[CP])</f>
        <v>Rodolphe HABEGGER</v>
      </c>
      <c r="I261">
        <f>LOOKUP(TabVMAzureEnvProjet[[#This Row],[Code SYGES]],TabCONTRATSDI[Contrat SYGES],TabCONTRATSDI[Cost Center])</f>
        <v>305704</v>
      </c>
      <c r="J261" s="22" t="str">
        <f>LOOKUP(TabVMAzureEnvProjet[[#This Row],[Code SYGES]],TabCONTRATSDI[Contrat SYGES],TabCONTRATSDI[Client])</f>
        <v>LAPOSTE</v>
      </c>
      <c r="K261" t="s">
        <v>152</v>
      </c>
      <c r="L261" s="31">
        <v>1.20678791804009</v>
      </c>
      <c r="M261" s="40" t="s">
        <v>153</v>
      </c>
    </row>
    <row r="262" spans="1:13" x14ac:dyDescent="0.25">
      <c r="A262" s="22" t="str">
        <f>TabVMAzureEnvProjet[[#This Row],[Client]] &amp; " .:. "  &amp; TabVMAzureEnvProjet[[#This Row],[Projet]]</f>
        <v>MENESR .:. MENJ-APAE</v>
      </c>
      <c r="B262" s="22" t="str">
        <f>IF(TabVMAzureEnvProjet[[#This Row],[Projet AzureDevOps]]&lt;&gt;"",TabVMAzureEnvProjet[[#This Row],[Projet AzureDevOps]],TabVMAzureEnvProjet[[#This Row],[VM]])</f>
        <v>MENJ-APAE</v>
      </c>
      <c r="C262" s="13" t="s">
        <v>44</v>
      </c>
      <c r="E262" t="s">
        <v>4</v>
      </c>
      <c r="F262" t="s">
        <v>44</v>
      </c>
      <c r="G262" t="str">
        <f>LOOKUP(TabVMAzureEnvProjet[[#This Row],[Projet]],TabProjets[NomProj],TabProjets[SYGES])</f>
        <v>MENESR/TMA</v>
      </c>
      <c r="H262" t="str">
        <f>LOOKUP(TabVMAzureEnvProjet[[#This Row],[Projet]],TabProjets[NomProj],TabProjets[CP])</f>
        <v>Pierre BOURLIEUX</v>
      </c>
      <c r="I262">
        <f>LOOKUP(TabVMAzureEnvProjet[[#This Row],[Code SYGES]],TabCONTRATSDI[Contrat SYGES],TabCONTRATSDI[Cost Center])</f>
        <v>305704</v>
      </c>
      <c r="J262" s="22" t="str">
        <f>LOOKUP(TabVMAzureEnvProjet[[#This Row],[Code SYGES]],TabCONTRATSDI[Contrat SYGES],TabCONTRATSDI[Client])</f>
        <v>MENESR</v>
      </c>
      <c r="K262" t="s">
        <v>152</v>
      </c>
      <c r="L262" s="31">
        <v>1.2486073013385091</v>
      </c>
      <c r="M262" s="40" t="s">
        <v>153</v>
      </c>
    </row>
    <row r="263" spans="1:13" x14ac:dyDescent="0.25">
      <c r="A263" s="22" t="str">
        <f>TabVMAzureEnvProjet[[#This Row],[Client]] &amp; " .:. "  &amp; TabVMAzureEnvProjet[[#This Row],[Projet]]</f>
        <v>MENESR .:. MENJ-BI</v>
      </c>
      <c r="B263" s="22" t="str">
        <f>IF(TabVMAzureEnvProjet[[#This Row],[Projet AzureDevOps]]&lt;&gt;"",TabVMAzureEnvProjet[[#This Row],[Projet AzureDevOps]],TabVMAzureEnvProjet[[#This Row],[VM]])</f>
        <v>MENJ-BI</v>
      </c>
      <c r="C263" s="13" t="s">
        <v>51</v>
      </c>
      <c r="E263" t="s">
        <v>4</v>
      </c>
      <c r="F263" t="s">
        <v>51</v>
      </c>
      <c r="G263" t="str">
        <f>LOOKUP(TabVMAzureEnvProjet[[#This Row],[Projet]],TabProjets[NomProj],TabProjets[SYGES])</f>
        <v>MENESR/TMA</v>
      </c>
      <c r="H263" t="str">
        <f>LOOKUP(TabVMAzureEnvProjet[[#This Row],[Projet]],TabProjets[NomProj],TabProjets[CP])</f>
        <v>Eric PERROUD</v>
      </c>
      <c r="I263">
        <f>LOOKUP(TabVMAzureEnvProjet[[#This Row],[Code SYGES]],TabCONTRATSDI[Contrat SYGES],TabCONTRATSDI[Cost Center])</f>
        <v>305704</v>
      </c>
      <c r="J263" s="22" t="str">
        <f>LOOKUP(TabVMAzureEnvProjet[[#This Row],[Code SYGES]],TabCONTRATSDI[Contrat SYGES],TabCONTRATSDI[Client])</f>
        <v>MENESR</v>
      </c>
      <c r="K263" t="s">
        <v>152</v>
      </c>
      <c r="L263" s="31">
        <v>4.6001321628260863</v>
      </c>
      <c r="M263" s="40" t="s">
        <v>153</v>
      </c>
    </row>
    <row r="264" spans="1:13" x14ac:dyDescent="0.25">
      <c r="A264" s="22" t="str">
        <f>TabVMAzureEnvProjet[[#This Row],[Client]] &amp; " .:. "  &amp; TabVMAzureEnvProjet[[#This Row],[Projet]]</f>
        <v>MENESR .:. MENJ-BNIE</v>
      </c>
      <c r="B264" s="22" t="str">
        <f>IF(TabVMAzureEnvProjet[[#This Row],[Projet AzureDevOps]]&lt;&gt;"",TabVMAzureEnvProjet[[#This Row],[Projet AzureDevOps]],TabVMAzureEnvProjet[[#This Row],[VM]])</f>
        <v>MENJ-BNIE-BDD</v>
      </c>
      <c r="C264" s="13" t="s">
        <v>46</v>
      </c>
      <c r="E264" t="s">
        <v>4</v>
      </c>
      <c r="F264" t="s">
        <v>45</v>
      </c>
      <c r="G264" t="str">
        <f>LOOKUP(TabVMAzureEnvProjet[[#This Row],[Projet]],TabProjets[NomProj],TabProjets[SYGES])</f>
        <v>MENESR/TMA</v>
      </c>
      <c r="H264" t="str">
        <f>LOOKUP(TabVMAzureEnvProjet[[#This Row],[Projet]],TabProjets[NomProj],TabProjets[CP])</f>
        <v>Pierre BOURLIEUX</v>
      </c>
      <c r="I264">
        <f>LOOKUP(TabVMAzureEnvProjet[[#This Row],[Code SYGES]],TabCONTRATSDI[Contrat SYGES],TabCONTRATSDI[Cost Center])</f>
        <v>305704</v>
      </c>
      <c r="J264" s="22" t="str">
        <f>LOOKUP(TabVMAzureEnvProjet[[#This Row],[Code SYGES]],TabCONTRATSDI[Contrat SYGES],TabCONTRATSDI[Client])</f>
        <v>MENESR</v>
      </c>
      <c r="K264" t="s">
        <v>152</v>
      </c>
      <c r="L264" s="31">
        <v>4.2058351202981363</v>
      </c>
      <c r="M264" s="40" t="s">
        <v>153</v>
      </c>
    </row>
    <row r="265" spans="1:13" x14ac:dyDescent="0.25">
      <c r="A265" s="22" t="str">
        <f>TabVMAzureEnvProjet[[#This Row],[Client]] &amp; " .:. "  &amp; TabVMAzureEnvProjet[[#This Row],[Projet]]</f>
        <v>MENESR .:. MENJ-BNIE</v>
      </c>
      <c r="B265" s="22" t="str">
        <f>IF(TabVMAzureEnvProjet[[#This Row],[Projet AzureDevOps]]&lt;&gt;"",TabVMAzureEnvProjet[[#This Row],[Projet AzureDevOps]],TabVMAzureEnvProjet[[#This Row],[VM]])</f>
        <v>MENJ-BNIE-Webservices</v>
      </c>
      <c r="C265" s="13" t="s">
        <v>47</v>
      </c>
      <c r="E265" t="s">
        <v>4</v>
      </c>
      <c r="F265" t="s">
        <v>45</v>
      </c>
      <c r="G265" t="str">
        <f>LOOKUP(TabVMAzureEnvProjet[[#This Row],[Projet]],TabProjets[NomProj],TabProjets[SYGES])</f>
        <v>MENESR/TMA</v>
      </c>
      <c r="H265" t="str">
        <f>LOOKUP(TabVMAzureEnvProjet[[#This Row],[Projet]],TabProjets[NomProj],TabProjets[CP])</f>
        <v>Pierre BOURLIEUX</v>
      </c>
      <c r="I265">
        <f>LOOKUP(TabVMAzureEnvProjet[[#This Row],[Code SYGES]],TabCONTRATSDI[Contrat SYGES],TabCONTRATSDI[Cost Center])</f>
        <v>305704</v>
      </c>
      <c r="J265" s="22" t="str">
        <f>LOOKUP(TabVMAzureEnvProjet[[#This Row],[Code SYGES]],TabCONTRATSDI[Contrat SYGES],TabCONTRATSDI[Client])</f>
        <v>MENESR</v>
      </c>
      <c r="K265" t="s">
        <v>152</v>
      </c>
      <c r="L265" s="31">
        <v>0.3285808687732919</v>
      </c>
      <c r="M265" s="40" t="s">
        <v>153</v>
      </c>
    </row>
    <row r="266" spans="1:13" x14ac:dyDescent="0.25">
      <c r="A266" s="22" t="str">
        <f>TabVMAzureEnvProjet[[#This Row],[Client]] &amp; " .:. "  &amp; TabVMAzureEnvProjet[[#This Row],[Projet]]</f>
        <v>MENESR .:. MENJ-RNIE</v>
      </c>
      <c r="B266" s="22" t="str">
        <f>IF(TabVMAzureEnvProjet[[#This Row],[Projet AzureDevOps]]&lt;&gt;"",TabVMAzureEnvProjet[[#This Row],[Projet AzureDevOps]],TabVMAzureEnvProjet[[#This Row],[VM]])</f>
        <v>MENJ-RNIE-BDD</v>
      </c>
      <c r="C266" s="13" t="s">
        <v>49</v>
      </c>
      <c r="E266" t="s">
        <v>4</v>
      </c>
      <c r="F266" t="s">
        <v>48</v>
      </c>
      <c r="G266" t="str">
        <f>LOOKUP(TabVMAzureEnvProjet[[#This Row],[Projet]],TabProjets[NomProj],TabProjets[SYGES])</f>
        <v>MENESR/TMA</v>
      </c>
      <c r="H266" t="str">
        <f>LOOKUP(TabVMAzureEnvProjet[[#This Row],[Projet]],TabProjets[NomProj],TabProjets[CP])</f>
        <v>Pierre BOURLIEUX</v>
      </c>
      <c r="I266">
        <f>LOOKUP(TabVMAzureEnvProjet[[#This Row],[Code SYGES]],TabCONTRATSDI[Contrat SYGES],TabCONTRATSDI[Cost Center])</f>
        <v>305704</v>
      </c>
      <c r="J266" s="22" t="str">
        <f>LOOKUP(TabVMAzureEnvProjet[[#This Row],[Code SYGES]],TabCONTRATSDI[Contrat SYGES],TabCONTRATSDI[Client])</f>
        <v>MENESR</v>
      </c>
      <c r="K266" t="s">
        <v>152</v>
      </c>
      <c r="L266" s="31">
        <v>1.2486073013385091</v>
      </c>
      <c r="M266" s="40" t="s">
        <v>153</v>
      </c>
    </row>
    <row r="267" spans="1:13" x14ac:dyDescent="0.25">
      <c r="A267" s="22" t="str">
        <f>TabVMAzureEnvProjet[[#This Row],[Client]] &amp; " .:. "  &amp; TabVMAzureEnvProjet[[#This Row],[Projet]]</f>
        <v>MENESR .:. MENJ-RNIE</v>
      </c>
      <c r="B267" s="22" t="str">
        <f>IF(TabVMAzureEnvProjet[[#This Row],[Projet AzureDevOps]]&lt;&gt;"",TabVMAzureEnvProjet[[#This Row],[Projet AzureDevOps]],TabVMAzureEnvProjet[[#This Row],[VM]])</f>
        <v>MENJ-RNIE-Webservices</v>
      </c>
      <c r="C267" s="13" t="s">
        <v>50</v>
      </c>
      <c r="E267" t="s">
        <v>4</v>
      </c>
      <c r="F267" t="s">
        <v>48</v>
      </c>
      <c r="G267" t="str">
        <f>LOOKUP(TabVMAzureEnvProjet[[#This Row],[Projet]],TabProjets[NomProj],TabProjets[SYGES])</f>
        <v>MENESR/TMA</v>
      </c>
      <c r="H267" t="str">
        <f>LOOKUP(TabVMAzureEnvProjet[[#This Row],[Projet]],TabProjets[NomProj],TabProjets[CP])</f>
        <v>Pierre BOURLIEUX</v>
      </c>
      <c r="I267">
        <f>LOOKUP(TabVMAzureEnvProjet[[#This Row],[Code SYGES]],TabCONTRATSDI[Contrat SYGES],TabCONTRATSDI[Cost Center])</f>
        <v>305704</v>
      </c>
      <c r="J267" s="22" t="str">
        <f>LOOKUP(TabVMAzureEnvProjet[[#This Row],[Code SYGES]],TabCONTRATSDI[Contrat SYGES],TabCONTRATSDI[Client])</f>
        <v>MENESR</v>
      </c>
      <c r="K267" t="s">
        <v>152</v>
      </c>
      <c r="L267" s="31">
        <v>2.0595255288695267</v>
      </c>
      <c r="M267" s="40" t="s">
        <v>153</v>
      </c>
    </row>
    <row r="268" spans="1:13" x14ac:dyDescent="0.25">
      <c r="A268" s="22" t="str">
        <f>TabVMAzureEnvProjet[[#This Row],[Client]] &amp; " .:. "  &amp; TabVMAzureEnvProjet[[#This Row],[Projet]]</f>
        <v>AFB .:. OFB-CMONSPOT</v>
      </c>
      <c r="B268" s="22" t="str">
        <f>IF(TabVMAzureEnvProjet[[#This Row],[Projet AzureDevOps]]&lt;&gt;"",TabVMAzureEnvProjet[[#This Row],[Projet AzureDevOps]],TabVMAzureEnvProjet[[#This Row],[VM]])</f>
        <v>OFB-CMONSPOT</v>
      </c>
      <c r="C268" s="13" t="s">
        <v>12</v>
      </c>
      <c r="E268" t="s">
        <v>4</v>
      </c>
      <c r="F268" t="s">
        <v>12</v>
      </c>
      <c r="G268" t="str">
        <f>LOOKUP(TabVMAzureEnvProjet[[#This Row],[Projet]],TabProjets[NomProj],TabProjets[SYGES])</f>
        <v>AFB/OFB_LOT2</v>
      </c>
      <c r="H268" t="str">
        <f>LOOKUP(TabVMAzureEnvProjet[[#This Row],[Projet]],TabProjets[NomProj],TabProjets[CP])</f>
        <v>Pierre BOURLIEUX</v>
      </c>
      <c r="I268">
        <f>LOOKUP(TabVMAzureEnvProjet[[#This Row],[Code SYGES]],TabCONTRATSDI[Contrat SYGES],TabCONTRATSDI[Cost Center])</f>
        <v>305704</v>
      </c>
      <c r="J268" s="22" t="str">
        <f>LOOKUP(TabVMAzureEnvProjet[[#This Row],[Code SYGES]],TabCONTRATSDI[Contrat SYGES],TabCONTRATSDI[Client])</f>
        <v>AFB</v>
      </c>
      <c r="K268" t="s">
        <v>152</v>
      </c>
      <c r="L268" s="31">
        <v>1.1171749538291924</v>
      </c>
      <c r="M268" s="40" t="s">
        <v>153</v>
      </c>
    </row>
    <row r="269" spans="1:13" x14ac:dyDescent="0.25">
      <c r="A269" s="22" t="str">
        <f>TabVMAzureEnvProjet[[#This Row],[Client]] &amp; " .:. "  &amp; TabVMAzureEnvProjet[[#This Row],[Projet]]</f>
        <v>OFB .:. OFB-NATUREFRANCE</v>
      </c>
      <c r="B269" s="22" t="str">
        <f>IF(TabVMAzureEnvProjet[[#This Row],[Projet AzureDevOps]]&lt;&gt;"",TabVMAzureEnvProjet[[#This Row],[Projet AzureDevOps]],TabVMAzureEnvProjet[[#This Row],[VM]])</f>
        <v>OFB-NatureFrance</v>
      </c>
      <c r="C269" s="13" t="s">
        <v>79</v>
      </c>
      <c r="E269" t="s">
        <v>4</v>
      </c>
      <c r="F269" t="s">
        <v>78</v>
      </c>
      <c r="G269" t="str">
        <f>LOOKUP(TabVMAzureEnvProjet[[#This Row],[Projet]],TabProjets[NomProj],TabProjets[SYGES])</f>
        <v>AFB OFB_LOT2 -9-1 NATURE FRANCE</v>
      </c>
      <c r="H269" t="str">
        <f>LOOKUP(TabVMAzureEnvProjet[[#This Row],[Projet]],TabProjets[NomProj],TabProjets[CP])</f>
        <v>Rodolphe HABEGGER</v>
      </c>
      <c r="I269">
        <f>LOOKUP(TabVMAzureEnvProjet[[#This Row],[Code SYGES]],TabCONTRATSDI[Contrat SYGES],TabCONTRATSDI[Cost Center])</f>
        <v>305704</v>
      </c>
      <c r="J269" s="22" t="str">
        <f>LOOKUP(TabVMAzureEnvProjet[[#This Row],[Code SYGES]],TabCONTRATSDI[Contrat SYGES],TabCONTRATSDI[Client])</f>
        <v>OFB</v>
      </c>
      <c r="K269" t="s">
        <v>152</v>
      </c>
      <c r="L269" s="31">
        <v>8.8536741727016874</v>
      </c>
      <c r="M269" s="40" t="s">
        <v>153</v>
      </c>
    </row>
    <row r="270" spans="1:13" x14ac:dyDescent="0.25">
      <c r="A270" s="22" t="str">
        <f>TabVMAzureEnvProjet[[#This Row],[Client]] &amp; " .:. "  &amp; TabVMAzureEnvProjet[[#This Row],[Projet]]</f>
        <v>AFB .:. OFB-SISPEA</v>
      </c>
      <c r="B270" s="22" t="str">
        <f>IF(TabVMAzureEnvProjet[[#This Row],[Projet AzureDevOps]]&lt;&gt;"",TabVMAzureEnvProjet[[#This Row],[Projet AzureDevOps]],TabVMAzureEnvProjet[[#This Row],[VM]])</f>
        <v>OFB-SISPEA</v>
      </c>
      <c r="C270" s="13" t="s">
        <v>9</v>
      </c>
      <c r="E270" t="s">
        <v>4</v>
      </c>
      <c r="F270" t="s">
        <v>9</v>
      </c>
      <c r="G270" t="str">
        <f>LOOKUP(TabVMAzureEnvProjet[[#This Row],[Projet]],TabProjets[NomProj],TabProjets[SYGES])</f>
        <v>AFB/OFB_LOT2</v>
      </c>
      <c r="H270" t="str">
        <f>LOOKUP(TabVMAzureEnvProjet[[#This Row],[Projet]],TabProjets[NomProj],TabProjets[CP])</f>
        <v>Pierre BOURLIEUX</v>
      </c>
      <c r="I270">
        <f>LOOKUP(TabVMAzureEnvProjet[[#This Row],[Code SYGES]],TabCONTRATSDI[Contrat SYGES],TabCONTRATSDI[Cost Center])</f>
        <v>305704</v>
      </c>
      <c r="J270" s="22" t="str">
        <f>LOOKUP(TabVMAzureEnvProjet[[#This Row],[Code SYGES]],TabCONTRATSDI[Contrat SYGES],TabCONTRATSDI[Client])</f>
        <v>AFB</v>
      </c>
      <c r="K270" t="s">
        <v>152</v>
      </c>
      <c r="L270" s="31">
        <v>5.7173071166552791</v>
      </c>
      <c r="M270" s="40" t="s">
        <v>153</v>
      </c>
    </row>
    <row r="271" spans="1:13" x14ac:dyDescent="0.25">
      <c r="A271" s="22" t="str">
        <f>TabVMAzureEnvProjet[[#This Row],[Client]] &amp; " .:. "  &amp; TabVMAzureEnvProjet[[#This Row],[Projet]]</f>
        <v>PCM .:. PCM-ALS</v>
      </c>
      <c r="B271" s="22" t="str">
        <f>IF(TabVMAzureEnvProjet[[#This Row],[Projet AzureDevOps]]&lt;&gt;"",TabVMAzureEnvProjet[[#This Row],[Projet AzureDevOps]],TabVMAzureEnvProjet[[#This Row],[VM]])</f>
        <v>PCM-ALS</v>
      </c>
      <c r="C271" s="13" t="s">
        <v>71</v>
      </c>
      <c r="E271" t="s">
        <v>4</v>
      </c>
      <c r="F271" t="s">
        <v>71</v>
      </c>
      <c r="G271" t="str">
        <f>LOOKUP(TabVMAzureEnvProjet[[#This Row],[Projet]],TabProjets[NomProj],TabProjets[SYGES])</f>
        <v>PCM/WEB</v>
      </c>
      <c r="H271" t="str">
        <f>LOOKUP(TabVMAzureEnvProjet[[#This Row],[Projet]],TabProjets[NomProj],TabProjets[CP])</f>
        <v>Alice MARCHAL</v>
      </c>
      <c r="I271">
        <f>LOOKUP(TabVMAzureEnvProjet[[#This Row],[Code SYGES]],TabCONTRATSDI[Contrat SYGES],TabCONTRATSDI[Cost Center])</f>
        <v>305704</v>
      </c>
      <c r="J271" s="22" t="str">
        <f>LOOKUP(TabVMAzureEnvProjet[[#This Row],[Code SYGES]],TabCONTRATSDI[Contrat SYGES],TabCONTRATSDI[Client])</f>
        <v>PCM</v>
      </c>
      <c r="K271" t="s">
        <v>152</v>
      </c>
      <c r="L271" s="31">
        <v>8.3532779034635478</v>
      </c>
      <c r="M271" s="40" t="s">
        <v>153</v>
      </c>
    </row>
    <row r="272" spans="1:13" x14ac:dyDescent="0.25">
      <c r="A272" s="22" t="str">
        <f>TabVMAzureEnvProjet[[#This Row],[Client]] &amp; " .:. "  &amp; TabVMAzureEnvProjet[[#This Row],[Projet]]</f>
        <v>PCM .:. PCM-WEB</v>
      </c>
      <c r="B272" s="22" t="str">
        <f>IF(TabVMAzureEnvProjet[[#This Row],[Projet AzureDevOps]]&lt;&gt;"",TabVMAzureEnvProjet[[#This Row],[Projet AzureDevOps]],TabVMAzureEnvProjet[[#This Row],[VM]])</f>
        <v>PCM-Web</v>
      </c>
      <c r="C272" s="13" t="s">
        <v>73</v>
      </c>
      <c r="E272" t="s">
        <v>4</v>
      </c>
      <c r="F272" t="s">
        <v>72</v>
      </c>
      <c r="G272" t="str">
        <f>LOOKUP(TabVMAzureEnvProjet[[#This Row],[Projet]],TabProjets[NomProj],TabProjets[SYGES])</f>
        <v>PCM/WEB</v>
      </c>
      <c r="H272" t="str">
        <f>LOOKUP(TabVMAzureEnvProjet[[#This Row],[Projet]],TabProjets[NomProj],TabProjets[CP])</f>
        <v>Rodolphe HABEGGER</v>
      </c>
      <c r="I272">
        <f>LOOKUP(TabVMAzureEnvProjet[[#This Row],[Code SYGES]],TabCONTRATSDI[Contrat SYGES],TabCONTRATSDI[Cost Center])</f>
        <v>305704</v>
      </c>
      <c r="J272" s="22" t="str">
        <f>LOOKUP(TabVMAzureEnvProjet[[#This Row],[Code SYGES]],TabCONTRATSDI[Contrat SYGES],TabCONTRATSDI[Client])</f>
        <v>PCM</v>
      </c>
      <c r="K272" t="s">
        <v>152</v>
      </c>
      <c r="L272" s="31">
        <v>3.5833569188998444</v>
      </c>
      <c r="M272" s="40" t="s">
        <v>153</v>
      </c>
    </row>
    <row r="273" spans="1:13" x14ac:dyDescent="0.25">
      <c r="A273" s="22" t="str">
        <f>TabVMAzureEnvProjet[[#This Row],[Client]] &amp; " .:. "  &amp; TabVMAzureEnvProjet[[#This Row],[Projet]]</f>
        <v>SAFT .:. SAFT-PDM</v>
      </c>
      <c r="B273" s="22" t="str">
        <f>IF(TabVMAzureEnvProjet[[#This Row],[Projet AzureDevOps]]&lt;&gt;"",TabVMAzureEnvProjet[[#This Row],[Projet AzureDevOps]],TabVMAzureEnvProjet[[#This Row],[VM]])</f>
        <v>SAFT-PDM</v>
      </c>
      <c r="C273" s="13" t="s">
        <v>94</v>
      </c>
      <c r="E273" t="s">
        <v>4</v>
      </c>
      <c r="F273" t="s">
        <v>94</v>
      </c>
      <c r="G273" t="str">
        <f>LOOKUP(TabVMAzureEnvProjet[[#This Row],[Projet]],TabProjets[NomProj],TabProjets[SYGES])</f>
        <v>SAFT/TMA</v>
      </c>
      <c r="H273" t="str">
        <f>LOOKUP(TabVMAzureEnvProjet[[#This Row],[Projet]],TabProjets[NomProj],TabProjets[CP])</f>
        <v>Pierre BOURLIEUX</v>
      </c>
      <c r="I273">
        <f>LOOKUP(TabVMAzureEnvProjet[[#This Row],[Code SYGES]],TabCONTRATSDI[Contrat SYGES],TabCONTRATSDI[Cost Center])</f>
        <v>305704</v>
      </c>
      <c r="J273" s="22" t="str">
        <f>LOOKUP(TabVMAzureEnvProjet[[#This Row],[Code SYGES]],TabCONTRATSDI[Contrat SYGES],TabCONTRATSDI[Client])</f>
        <v>SAFT</v>
      </c>
      <c r="K273" t="s">
        <v>152</v>
      </c>
      <c r="L273" s="31">
        <v>3.0468407831705249</v>
      </c>
      <c r="M273" s="40" t="s">
        <v>153</v>
      </c>
    </row>
    <row r="274" spans="1:13" x14ac:dyDescent="0.25">
      <c r="A274" s="22" t="str">
        <f>TabVMAzureEnvProjet[[#This Row],[Client]] &amp; " .:. "  &amp; TabVMAzureEnvProjet[[#This Row],[Projet]]</f>
        <v>SPC .:. SPC-BUILD</v>
      </c>
      <c r="B274" s="22" t="str">
        <f>IF(TabVMAzureEnvProjet[[#This Row],[Projet AzureDevOps]]&lt;&gt;"",TabVMAzureEnvProjet[[#This Row],[Projet AzureDevOps]],TabVMAzureEnvProjet[[#This Row],[VM]])</f>
        <v>SPC-BUILD</v>
      </c>
      <c r="C274" s="13" t="s">
        <v>67</v>
      </c>
      <c r="E274" t="s">
        <v>4</v>
      </c>
      <c r="F274" t="s">
        <v>67</v>
      </c>
      <c r="G274" t="str">
        <f>LOOKUP(TabVMAzureEnvProjet[[#This Row],[Projet]],TabProjets[NomProj],TabProjets[SYGES])</f>
        <v>SPC/BUILD</v>
      </c>
      <c r="H274" t="str">
        <f>LOOKUP(TabVMAzureEnvProjet[[#This Row],[Projet]],TabProjets[NomProj],TabProjets[CP])</f>
        <v>Nicolas DURFORT</v>
      </c>
      <c r="I274">
        <f>LOOKUP(TabVMAzureEnvProjet[[#This Row],[Code SYGES]],TabCONTRATSDI[Contrat SYGES],TabCONTRATSDI[Cost Center])</f>
        <v>305704</v>
      </c>
      <c r="J274" s="22" t="str">
        <f>LOOKUP(TabVMAzureEnvProjet[[#This Row],[Code SYGES]],TabCONTRATSDI[Contrat SYGES],TabCONTRATSDI[Client])</f>
        <v>SPC</v>
      </c>
      <c r="K274" t="s">
        <v>152</v>
      </c>
      <c r="L274" s="31">
        <v>40.483507544746864</v>
      </c>
      <c r="M274" s="40" t="s">
        <v>153</v>
      </c>
    </row>
    <row r="275" spans="1:13" x14ac:dyDescent="0.25">
      <c r="A275" s="22" t="str">
        <f>TabVMAzureEnvProjet[[#This Row],[Client]] &amp; " .:. "  &amp; TabVMAzureEnvProjet[[#This Row],[Projet]]</f>
        <v>SPC .:. SPC-WEB</v>
      </c>
      <c r="B275" s="22" t="str">
        <f>IF(TabVMAzureEnvProjet[[#This Row],[Projet AzureDevOps]]&lt;&gt;"",TabVMAzureEnvProjet[[#This Row],[Projet AzureDevOps]],TabVMAzureEnvProjet[[#This Row],[VM]])</f>
        <v>SPC-WEB</v>
      </c>
      <c r="C275" s="13" t="s">
        <v>69</v>
      </c>
      <c r="E275" t="s">
        <v>4</v>
      </c>
      <c r="F275" t="s">
        <v>69</v>
      </c>
      <c r="G275" t="str">
        <f>LOOKUP(TabVMAzureEnvProjet[[#This Row],[Projet]],TabProjets[NomProj],TabProjets[SYGES])</f>
        <v>SPC/BUILD-0-1-SITE-WEB</v>
      </c>
      <c r="H275" t="str">
        <f>LOOKUP(TabVMAzureEnvProjet[[#This Row],[Projet]],TabProjets[NomProj],TabProjets[CP])</f>
        <v>Nicolas DURFORT</v>
      </c>
      <c r="I275">
        <f>LOOKUP(TabVMAzureEnvProjet[[#This Row],[Code SYGES]],TabCONTRATSDI[Contrat SYGES],TabCONTRATSDI[Cost Center])</f>
        <v>305704</v>
      </c>
      <c r="J275" s="22" t="str">
        <f>LOOKUP(TabVMAzureEnvProjet[[#This Row],[Code SYGES]],TabCONTRATSDI[Contrat SYGES],TabCONTRATSDI[Client])</f>
        <v>SPC</v>
      </c>
      <c r="K275" t="s">
        <v>152</v>
      </c>
      <c r="L275" s="31">
        <v>2.6955160392700224</v>
      </c>
      <c r="M275" s="40" t="s">
        <v>153</v>
      </c>
    </row>
    <row r="276" spans="1:13" x14ac:dyDescent="0.25">
      <c r="A276" s="22" t="str">
        <f>TabVMAzureEnvProjet[[#This Row],[Client]] &amp; " .:. "  &amp; TabVMAzureEnvProjet[[#This Row],[Projet]]</f>
        <v>ALM .:. ALM-ATOUT</v>
      </c>
      <c r="B276" s="22" t="str">
        <f>IF(TabVMAzureEnvProjet[[#This Row],[Projet AzureDevOps]]&lt;&gt;"",TabVMAzureEnvProjet[[#This Row],[Projet AzureDevOps]],TabVMAzureEnvProjet[[#This Row],[VM]])</f>
        <v>ALM-ATOUT-VM</v>
      </c>
      <c r="D276" t="s">
        <v>18</v>
      </c>
      <c r="E276" t="s">
        <v>6</v>
      </c>
      <c r="F276" t="s">
        <v>17</v>
      </c>
      <c r="G276" t="str">
        <f>LOOKUP(TabVMAzureEnvProjet[[#This Row],[Projet]],TabProjets[NomProj],TabProjets[SYGES])</f>
        <v>ALM/TMA_ATOUT</v>
      </c>
      <c r="H276" t="str">
        <f>LOOKUP(TabVMAzureEnvProjet[[#This Row],[Projet]],TabProjets[NomProj],TabProjets[CP])</f>
        <v>Alice MARCHAL</v>
      </c>
      <c r="I276">
        <f>LOOKUP(TabVMAzureEnvProjet[[#This Row],[Code SYGES]],TabCONTRATSDI[Contrat SYGES],TabCONTRATSDI[Cost Center])</f>
        <v>305704</v>
      </c>
      <c r="J276" s="22" t="str">
        <f>LOOKUP(TabVMAzureEnvProjet[[#This Row],[Code SYGES]],TabCONTRATSDI[Contrat SYGES],TabCONTRATSDI[Client])</f>
        <v>ALM</v>
      </c>
      <c r="K276" t="s">
        <v>152</v>
      </c>
      <c r="L276" s="31">
        <v>69.62</v>
      </c>
      <c r="M276" s="40" t="s">
        <v>154</v>
      </c>
    </row>
    <row r="277" spans="1:13" x14ac:dyDescent="0.25">
      <c r="A277" s="22" t="str">
        <f>TabVMAzureEnvProjet[[#This Row],[Client]] &amp; " .:. "  &amp; TabVMAzureEnvProjet[[#This Row],[Projet]]</f>
        <v>BRGM .:. BRGM-ORRM</v>
      </c>
      <c r="B277" s="22" t="str">
        <f>IF(TabVMAzureEnvProjet[[#This Row],[Projet AzureDevOps]]&lt;&gt;"",TabVMAzureEnvProjet[[#This Row],[Projet AzureDevOps]],TabVMAzureEnvProjet[[#This Row],[VM]])</f>
        <v>BRGM-ORRM-VM</v>
      </c>
      <c r="D277" t="s">
        <v>22</v>
      </c>
      <c r="E277" t="s">
        <v>21</v>
      </c>
      <c r="F277" t="s">
        <v>20</v>
      </c>
      <c r="G277" t="str">
        <f>LOOKUP(TabVMAzureEnvProjet[[#This Row],[Projet]],TabProjets[NomProj],TabProjets[SYGES])</f>
        <v>BRGM/TMA-5-1-ORRM-LOT1</v>
      </c>
      <c r="H277" t="str">
        <f>LOOKUP(TabVMAzureEnvProjet[[#This Row],[Projet]],TabProjets[NomProj],TabProjets[CP])</f>
        <v>Alice MARCHAL</v>
      </c>
      <c r="I277">
        <f>LOOKUP(TabVMAzureEnvProjet[[#This Row],[Code SYGES]],TabCONTRATSDI[Contrat SYGES],TabCONTRATSDI[Cost Center])</f>
        <v>305704</v>
      </c>
      <c r="J277" s="22" t="str">
        <f>LOOKUP(TabVMAzureEnvProjet[[#This Row],[Code SYGES]],TabCONTRATSDI[Contrat SYGES],TabCONTRATSDI[Client])</f>
        <v>BRGM</v>
      </c>
      <c r="K277" t="s">
        <v>152</v>
      </c>
      <c r="L277" s="31">
        <v>6.69</v>
      </c>
      <c r="M277" s="40" t="s">
        <v>154</v>
      </c>
    </row>
    <row r="278" spans="1:13" x14ac:dyDescent="0.25">
      <c r="A278" s="22" t="str">
        <f>TabVMAzureEnvProjet[[#This Row],[Client]] &amp; " .:. "  &amp; TabVMAzureEnvProjet[[#This Row],[Projet]]</f>
        <v>CA-TITRES .:. CATITRES-COMX</v>
      </c>
      <c r="B278" s="22" t="str">
        <f>IF(TabVMAzureEnvProjet[[#This Row],[Projet AzureDevOps]]&lt;&gt;"",TabVMAzureEnvProjet[[#This Row],[Projet AzureDevOps]],TabVMAzureEnvProjet[[#This Row],[VM]])</f>
        <v>CATITRES-COMX-VM</v>
      </c>
      <c r="D278" t="s">
        <v>25</v>
      </c>
      <c r="E278" t="s">
        <v>10</v>
      </c>
      <c r="F278" t="s">
        <v>24</v>
      </c>
      <c r="G278" t="str">
        <f>LOOKUP(TabVMAzureEnvProjet[[#This Row],[Projet]],TabProjets[NomProj],TabProjets[SYGES])</f>
        <v>CA-TITRES/TMA</v>
      </c>
      <c r="H278" t="str">
        <f>LOOKUP(TabVMAzureEnvProjet[[#This Row],[Projet]],TabProjets[NomProj],TabProjets[CP])</f>
        <v>Jean-Philippe STROIAZZO</v>
      </c>
      <c r="I278">
        <f>LOOKUP(TabVMAzureEnvProjet[[#This Row],[Code SYGES]],TabCONTRATSDI[Contrat SYGES],TabCONTRATSDI[Cost Center])</f>
        <v>305704</v>
      </c>
      <c r="J278" s="22" t="str">
        <f>LOOKUP(TabVMAzureEnvProjet[[#This Row],[Code SYGES]],TabCONTRATSDI[Contrat SYGES],TabCONTRATSDI[Client])</f>
        <v>CA-TITRES</v>
      </c>
      <c r="K278" t="s">
        <v>152</v>
      </c>
      <c r="L278" s="31">
        <v>118.25</v>
      </c>
      <c r="M278" s="40" t="s">
        <v>154</v>
      </c>
    </row>
    <row r="279" spans="1:13" x14ac:dyDescent="0.25">
      <c r="A279" s="22" t="str">
        <f>TabVMAzureEnvProjet[[#This Row],[Client]] &amp; " .:. "  &amp; TabVMAzureEnvProjet[[#This Row],[Projet]]</f>
        <v>EBR .:. EBR-LAPOSTE</v>
      </c>
      <c r="B279" s="22" t="str">
        <f>IF(TabVMAzureEnvProjet[[#This Row],[Projet AzureDevOps]]&lt;&gt;"",TabVMAzureEnvProjet[[#This Row],[Projet AzureDevOps]],TabVMAzureEnvProjet[[#This Row],[VM]])</f>
        <v>EBR-LAPOSTE-VM</v>
      </c>
      <c r="D279" t="s">
        <v>76</v>
      </c>
      <c r="E279" t="s">
        <v>10</v>
      </c>
      <c r="F279" t="s">
        <v>75</v>
      </c>
      <c r="G279" t="str">
        <f>LOOKUP(TabVMAzureEnvProjet[[#This Row],[Projet]],TabProjets[NomProj],TabProjets[SYGES])</f>
        <v>EBR/TMA</v>
      </c>
      <c r="H279" t="str">
        <f>LOOKUP(TabVMAzureEnvProjet[[#This Row],[Projet]],TabProjets[NomProj],TabProjets[CP])</f>
        <v>Valerie ASSELIN LOZACHMEUR</v>
      </c>
      <c r="I279">
        <f>LOOKUP(TabVMAzureEnvProjet[[#This Row],[Code SYGES]],TabCONTRATSDI[Contrat SYGES],TabCONTRATSDI[Cost Center])</f>
        <v>305704</v>
      </c>
      <c r="J279" s="22" t="str">
        <f>LOOKUP(TabVMAzureEnvProjet[[#This Row],[Code SYGES]],TabCONTRATSDI[Contrat SYGES],TabCONTRATSDI[Client])</f>
        <v>EBR</v>
      </c>
      <c r="K279" t="s">
        <v>152</v>
      </c>
      <c r="L279" s="31">
        <v>79.11</v>
      </c>
      <c r="M279" s="40" t="s">
        <v>154</v>
      </c>
    </row>
    <row r="280" spans="1:13" x14ac:dyDescent="0.25">
      <c r="A280" s="22" t="str">
        <f>TabVMAzureEnvProjet[[#This Row],[Client]] &amp; " .:. "  &amp; TabVMAzureEnvProjet[[#This Row],[Projet]]</f>
        <v>INETUM .:. INETUM-INTERNE</v>
      </c>
      <c r="B280" s="22" t="str">
        <f>IF(TabVMAzureEnvProjet[[#This Row],[Projet AzureDevOps]]&lt;&gt;"",TabVMAzureEnvProjet[[#This Row],[Projet AzureDevOps]],TabVMAzureEnvProjet[[#This Row],[VM]])</f>
        <v>GFI-PMT-VM</v>
      </c>
      <c r="D280" t="s">
        <v>121</v>
      </c>
      <c r="E280" t="s">
        <v>10</v>
      </c>
      <c r="F280" t="s">
        <v>102</v>
      </c>
      <c r="G280" t="str">
        <f>LOOKUP(TabVMAzureEnvProjet[[#This Row],[Projet]],TabProjets[NomProj],TabProjets[SYGES])</f>
        <v>INETUM/PROJET_INTERNE</v>
      </c>
      <c r="H280" t="str">
        <f>LOOKUP(TabVMAzureEnvProjet[[#This Row],[Projet]],TabProjets[NomProj],TabProjets[CP])</f>
        <v>Christophe ORLANDO</v>
      </c>
      <c r="I280">
        <f>LOOKUP(TabVMAzureEnvProjet[[#This Row],[Code SYGES]],TabCONTRATSDI[Contrat SYGES],TabCONTRATSDI[Cost Center])</f>
        <v>305704</v>
      </c>
      <c r="J280" s="22" t="str">
        <f>LOOKUP(TabVMAzureEnvProjet[[#This Row],[Code SYGES]],TabCONTRATSDI[Contrat SYGES],TabCONTRATSDI[Client])</f>
        <v>INETUM</v>
      </c>
      <c r="K280" t="s">
        <v>152</v>
      </c>
      <c r="L280" s="31">
        <v>15.69</v>
      </c>
      <c r="M280" s="40" t="s">
        <v>154</v>
      </c>
    </row>
    <row r="281" spans="1:13" x14ac:dyDescent="0.25">
      <c r="A281" s="22" t="str">
        <f>TabVMAzureEnvProjet[[#This Row],[Client]] &amp; " .:. "  &amp; TabVMAzureEnvProjet[[#This Row],[Projet]]</f>
        <v>MENESR .:. MENJ-BI</v>
      </c>
      <c r="B281" s="22" t="str">
        <f>IF(TabVMAzureEnvProjet[[#This Row],[Projet AzureDevOps]]&lt;&gt;"",TabVMAzureEnvProjet[[#This Row],[Projet AzureDevOps]],TabVMAzureEnvProjet[[#This Row],[VM]])</f>
        <v>MENJ-BI-VM</v>
      </c>
      <c r="D281" t="s">
        <v>52</v>
      </c>
      <c r="E281" t="s">
        <v>6</v>
      </c>
      <c r="F281" t="s">
        <v>51</v>
      </c>
      <c r="G281" t="str">
        <f>LOOKUP(TabVMAzureEnvProjet[[#This Row],[Projet]],TabProjets[NomProj],TabProjets[SYGES])</f>
        <v>MENESR/TMA</v>
      </c>
      <c r="H281" t="str">
        <f>LOOKUP(TabVMAzureEnvProjet[[#This Row],[Projet]],TabProjets[NomProj],TabProjets[CP])</f>
        <v>Eric PERROUD</v>
      </c>
      <c r="I281">
        <f>LOOKUP(TabVMAzureEnvProjet[[#This Row],[Code SYGES]],TabCONTRATSDI[Contrat SYGES],TabCONTRATSDI[Cost Center])</f>
        <v>305704</v>
      </c>
      <c r="J281" s="22" t="str">
        <f>LOOKUP(TabVMAzureEnvProjet[[#This Row],[Code SYGES]],TabCONTRATSDI[Contrat SYGES],TabCONTRATSDI[Client])</f>
        <v>MENESR</v>
      </c>
      <c r="K281" t="s">
        <v>152</v>
      </c>
      <c r="L281" s="31">
        <v>3.03</v>
      </c>
      <c r="M281" s="40" t="s">
        <v>154</v>
      </c>
    </row>
    <row r="282" spans="1:13" x14ac:dyDescent="0.25">
      <c r="A282" s="22" t="str">
        <f>TabVMAzureEnvProjet[[#This Row],[Client]] &amp; " .:. "  &amp; TabVMAzureEnvProjet[[#This Row],[Projet]]</f>
        <v>AFB .:. AFB-NatureFrance</v>
      </c>
      <c r="B282" s="22" t="str">
        <f>IF(TabVMAzureEnvProjet[[#This Row],[Projet AzureDevOps]]&lt;&gt;"",TabVMAzureEnvProjet[[#This Row],[Projet AzureDevOps]],TabVMAzureEnvProjet[[#This Row],[VM]])</f>
        <v>OFB-FRANCENATURE-VM</v>
      </c>
      <c r="D282" t="s">
        <v>80</v>
      </c>
      <c r="E282" t="s">
        <v>6</v>
      </c>
      <c r="F282" t="s">
        <v>147</v>
      </c>
      <c r="G282" t="str">
        <f>LOOKUP(TabVMAzureEnvProjet[[#This Row],[Projet]],TabProjets[NomProj],TabProjets[SYGES])</f>
        <v>AFB/OFB_LOT2</v>
      </c>
      <c r="H282" t="str">
        <f>LOOKUP(TabVMAzureEnvProjet[[#This Row],[Projet]],TabProjets[NomProj],TabProjets[CP])</f>
        <v>Rodolphe HABEGGER</v>
      </c>
      <c r="I282">
        <f>LOOKUP(TabVMAzureEnvProjet[[#This Row],[Code SYGES]],TabCONTRATSDI[Contrat SYGES],TabCONTRATSDI[Cost Center])</f>
        <v>305704</v>
      </c>
      <c r="J282" s="22" t="str">
        <f>LOOKUP(TabVMAzureEnvProjet[[#This Row],[Code SYGES]],TabCONTRATSDI[Contrat SYGES],TabCONTRATSDI[Client])</f>
        <v>AFB</v>
      </c>
      <c r="K282" t="s">
        <v>152</v>
      </c>
      <c r="L282" s="31">
        <v>8.9</v>
      </c>
      <c r="M282" s="40" t="s">
        <v>154</v>
      </c>
    </row>
    <row r="283" spans="1:13" x14ac:dyDescent="0.25">
      <c r="A283" s="22" t="str">
        <f>TabVMAzureEnvProjet[[#This Row],[Client]] &amp; " .:. "  &amp; TabVMAzureEnvProjet[[#This Row],[Projet]]</f>
        <v>AFB .:. OFB-SISPEA</v>
      </c>
      <c r="B283" s="22" t="str">
        <f>IF(TabVMAzureEnvProjet[[#This Row],[Projet AzureDevOps]]&lt;&gt;"",TabVMAzureEnvProjet[[#This Row],[Projet AzureDevOps]],TabVMAzureEnvProjet[[#This Row],[VM]])</f>
        <v>OFB-SISPEA-VM</v>
      </c>
      <c r="D283" t="s">
        <v>11</v>
      </c>
      <c r="E283" t="s">
        <v>10</v>
      </c>
      <c r="F283" t="s">
        <v>9</v>
      </c>
      <c r="G283" t="str">
        <f>LOOKUP(TabVMAzureEnvProjet[[#This Row],[Projet]],TabProjets[NomProj],TabProjets[SYGES])</f>
        <v>AFB/OFB_LOT2</v>
      </c>
      <c r="H283" t="str">
        <f>LOOKUP(TabVMAzureEnvProjet[[#This Row],[Projet]],TabProjets[NomProj],TabProjets[CP])</f>
        <v>Pierre BOURLIEUX</v>
      </c>
      <c r="I283">
        <f>LOOKUP(TabVMAzureEnvProjet[[#This Row],[Code SYGES]],TabCONTRATSDI[Contrat SYGES],TabCONTRATSDI[Cost Center])</f>
        <v>305704</v>
      </c>
      <c r="J283" s="22" t="str">
        <f>LOOKUP(TabVMAzureEnvProjet[[#This Row],[Code SYGES]],TabCONTRATSDI[Contrat SYGES],TabCONTRATSDI[Client])</f>
        <v>AFB</v>
      </c>
      <c r="K283" t="s">
        <v>152</v>
      </c>
      <c r="L283" s="31">
        <v>21.82</v>
      </c>
      <c r="M283" s="40" t="s">
        <v>154</v>
      </c>
    </row>
    <row r="284" spans="1:13" x14ac:dyDescent="0.25">
      <c r="A284" s="22" t="str">
        <f>TabVMAzureEnvProjet[[#This Row],[Client]] &amp; " .:. "  &amp; TabVMAzureEnvProjet[[#This Row],[Projet]]</f>
        <v>SPC .:. SPC-BUILD</v>
      </c>
      <c r="B284" s="22" t="str">
        <f>IF(TabVMAzureEnvProjet[[#This Row],[Projet AzureDevOps]]&lt;&gt;"",TabVMAzureEnvProjet[[#This Row],[Projet AzureDevOps]],TabVMAzureEnvProjet[[#This Row],[VM]])</f>
        <v>SPC-BUILDAS-VM</v>
      </c>
      <c r="D284" t="s">
        <v>68</v>
      </c>
      <c r="E284" t="s">
        <v>10</v>
      </c>
      <c r="F284" t="s">
        <v>67</v>
      </c>
      <c r="G284" t="str">
        <f>LOOKUP(TabVMAzureEnvProjet[[#This Row],[Projet]],TabProjets[NomProj],TabProjets[SYGES])</f>
        <v>SPC/BUILD</v>
      </c>
      <c r="H284" t="str">
        <f>LOOKUP(TabVMAzureEnvProjet[[#This Row],[Projet]],TabProjets[NomProj],TabProjets[CP])</f>
        <v>Nicolas DURFORT</v>
      </c>
      <c r="I284">
        <f>LOOKUP(TabVMAzureEnvProjet[[#This Row],[Code SYGES]],TabCONTRATSDI[Contrat SYGES],TabCONTRATSDI[Cost Center])</f>
        <v>305704</v>
      </c>
      <c r="J284" s="22" t="str">
        <f>LOOKUP(TabVMAzureEnvProjet[[#This Row],[Code SYGES]],TabCONTRATSDI[Contrat SYGES],TabCONTRATSDI[Client])</f>
        <v>SPC</v>
      </c>
      <c r="K284" t="s">
        <v>152</v>
      </c>
      <c r="L284" s="31">
        <v>102.45</v>
      </c>
      <c r="M284" s="40" t="s">
        <v>154</v>
      </c>
    </row>
    <row r="285" spans="1:13" x14ac:dyDescent="0.25">
      <c r="A285" s="22" t="str">
        <f>TabVMAzureEnvProjet[[#This Row],[Client]] &amp; " .:. "  &amp; TabVMAzureEnvProjet[[#This Row],[Projet]]</f>
        <v>STMICRO .:. STMICRO-DATAPACK</v>
      </c>
      <c r="B285" s="22" t="str">
        <f>IF(TabVMAzureEnvProjet[[#This Row],[Projet AzureDevOps]]&lt;&gt;"",TabVMAzureEnvProjet[[#This Row],[Projet AzureDevOps]],TabVMAzureEnvProjet[[#This Row],[VM]])</f>
        <v>STMICRO-DATAPACK-VM</v>
      </c>
      <c r="D285" t="s">
        <v>97</v>
      </c>
      <c r="E285" t="s">
        <v>10</v>
      </c>
      <c r="F285" t="s">
        <v>96</v>
      </c>
      <c r="G285" t="str">
        <f>LOOKUP(TabVMAzureEnvProjet[[#This Row],[Projet]],TabProjets[NomProj],TabProjets[SYGES])</f>
        <v>STMICRO/TMASI</v>
      </c>
      <c r="H285" t="str">
        <f>LOOKUP(TabVMAzureEnvProjet[[#This Row],[Projet]],TabProjets[NomProj],TabProjets[CP])</f>
        <v>Jean-Philippe STROIAZZO</v>
      </c>
      <c r="I285">
        <f>LOOKUP(TabVMAzureEnvProjet[[#This Row],[Code SYGES]],TabCONTRATSDI[Contrat SYGES],TabCONTRATSDI[Cost Center])</f>
        <v>305704</v>
      </c>
      <c r="J285" s="22" t="str">
        <f>LOOKUP(TabVMAzureEnvProjet[[#This Row],[Code SYGES]],TabCONTRATSDI[Contrat SYGES],TabCONTRATSDI[Client])</f>
        <v>STMICRO</v>
      </c>
      <c r="K285" t="s">
        <v>152</v>
      </c>
      <c r="L285" s="31">
        <v>28.32</v>
      </c>
      <c r="M285" s="40" t="s">
        <v>154</v>
      </c>
    </row>
    <row r="286" spans="1:13" x14ac:dyDescent="0.25">
      <c r="A286" s="22" t="str">
        <f>TabVMAzureEnvProjet[[#This Row],[Client]] &amp; " .:. "  &amp; TabVMAzureEnvProjet[[#This Row],[Projet]]</f>
        <v>FRR .:. FRR-DIGIPAT</v>
      </c>
      <c r="B286" s="22" t="str">
        <f>IF(TabVMAzureEnvProjet[[#This Row],[Projet AzureDevOps]]&lt;&gt;"",TabVMAzureEnvProjet[[#This Row],[Projet AzureDevOps]],TabVMAzureEnvProjet[[#This Row],[VM]])</f>
        <v>FRR-DIGIPAT-VM</v>
      </c>
      <c r="D286" t="s">
        <v>31</v>
      </c>
      <c r="E286" t="s">
        <v>21</v>
      </c>
      <c r="F286" t="s">
        <v>29</v>
      </c>
      <c r="G286" t="str">
        <f>LOOKUP(TabVMAzureEnvProjet[[#This Row],[Projet]],TabProjets[NomProj],TabProjets[SYGES])</f>
        <v>FRR/TMASI</v>
      </c>
      <c r="H286" t="str">
        <f>LOOKUP(TabVMAzureEnvProjet[[#This Row],[Projet]],TabProjets[NomProj],TabProjets[CP])</f>
        <v>Alice MARCHAL</v>
      </c>
      <c r="I286">
        <f>LOOKUP(TabVMAzureEnvProjet[[#This Row],[Code SYGES]],TabCONTRATSDI[Contrat SYGES],TabCONTRATSDI[Cost Center])</f>
        <v>305704</v>
      </c>
      <c r="J286" s="22" t="str">
        <f>LOOKUP(TabVMAzureEnvProjet[[#This Row],[Code SYGES]],TabCONTRATSDI[Contrat SYGES],TabCONTRATSDI[Client])</f>
        <v>FRR</v>
      </c>
      <c r="K286" t="s">
        <v>152</v>
      </c>
      <c r="L286" s="31">
        <v>20.8</v>
      </c>
      <c r="M286" s="40" t="s">
        <v>154</v>
      </c>
    </row>
    <row r="287" spans="1:13" x14ac:dyDescent="0.25">
      <c r="A287" s="22" t="str">
        <f>TabVMAzureEnvProjet[[#This Row],[Client]] &amp; " .:. "  &amp; TabVMAzureEnvProjet[[#This Row],[Projet]]</f>
        <v>ONEMA .:. AFB-BASEINDICATEURS</v>
      </c>
      <c r="B287" s="22" t="str">
        <f>IF(TabVMAzureEnvProjet[[#This Row],[Projet AzureDevOps]]&lt;&gt;"",TabVMAzureEnvProjet[[#This Row],[Projet AzureDevOps]],TabVMAzureEnvProjet[[#This Row],[VM]])</f>
        <v>AFB-BaseIndicateurs</v>
      </c>
      <c r="C287" s="13" t="s">
        <v>58</v>
      </c>
      <c r="E287" t="s">
        <v>4</v>
      </c>
      <c r="F287" t="s">
        <v>57</v>
      </c>
      <c r="G287" t="str">
        <f>LOOKUP(TabVMAzureEnvProjet[[#This Row],[Projet]],TabProjets[NomProj],TabProjets[SYGES])</f>
        <v>ONEMA/TMADCUA-15</v>
      </c>
      <c r="H287" t="str">
        <f>LOOKUP(TabVMAzureEnvProjet[[#This Row],[Projet]],TabProjets[NomProj],TabProjets[CP])</f>
        <v>Pierre BOURLIEUX</v>
      </c>
      <c r="I287">
        <f>LOOKUP(TabVMAzureEnvProjet[[#This Row],[Code SYGES]],TabCONTRATSDI[Contrat SYGES],TabCONTRATSDI[Cost Center])</f>
        <v>305704</v>
      </c>
      <c r="J287" s="22" t="str">
        <f>LOOKUP(TabVMAzureEnvProjet[[#This Row],[Code SYGES]],TabCONTRATSDI[Contrat SYGES],TabCONTRATSDI[Client])</f>
        <v>ONEMA</v>
      </c>
      <c r="K287" t="s">
        <v>155</v>
      </c>
      <c r="L287" s="46">
        <v>0.66523616197636937</v>
      </c>
      <c r="M287" s="41" t="s">
        <v>156</v>
      </c>
    </row>
    <row r="288" spans="1:13" x14ac:dyDescent="0.25">
      <c r="A288" s="22" t="str">
        <f>TabVMAzureEnvProjet[[#This Row],[Client]] &amp; " .:. "  &amp; TabVMAzureEnvProjet[[#This Row],[Projet]]</f>
        <v>ONEMA .:. AFB-CATALOGUE</v>
      </c>
      <c r="B288" s="22" t="str">
        <f>IF(TabVMAzureEnvProjet[[#This Row],[Projet AzureDevOps]]&lt;&gt;"",TabVMAzureEnvProjet[[#This Row],[Projet AzureDevOps]],TabVMAzureEnvProjet[[#This Row],[VM]])</f>
        <v>AFB-Catalogue</v>
      </c>
      <c r="C288" s="13" t="s">
        <v>60</v>
      </c>
      <c r="E288" t="s">
        <v>4</v>
      </c>
      <c r="F288" t="s">
        <v>59</v>
      </c>
      <c r="G288" t="str">
        <f>LOOKUP(TabVMAzureEnvProjet[[#This Row],[Projet]],TabProjets[NomProj],TabProjets[SYGES])</f>
        <v>ONEMA/TMADCUA-15</v>
      </c>
      <c r="H288" t="str">
        <f>LOOKUP(TabVMAzureEnvProjet[[#This Row],[Projet]],TabProjets[NomProj],TabProjets[CP])</f>
        <v>Pierre BOURLIEUX</v>
      </c>
      <c r="I288">
        <f>LOOKUP(TabVMAzureEnvProjet[[#This Row],[Code SYGES]],TabCONTRATSDI[Contrat SYGES],TabCONTRATSDI[Cost Center])</f>
        <v>305704</v>
      </c>
      <c r="J288" s="22" t="str">
        <f>LOOKUP(TabVMAzureEnvProjet[[#This Row],[Code SYGES]],TabCONTRATSDI[Contrat SYGES],TabCONTRATSDI[Client])</f>
        <v>ONEMA</v>
      </c>
      <c r="K288" t="s">
        <v>155</v>
      </c>
      <c r="L288" s="46">
        <v>2.1512118385011503</v>
      </c>
      <c r="M288" s="41" t="s">
        <v>156</v>
      </c>
    </row>
    <row r="289" spans="1:13" x14ac:dyDescent="0.25">
      <c r="A289" s="22" t="str">
        <f>TabVMAzureEnvProjet[[#This Row],[Client]] &amp; " .:. "  &amp; TabVMAzureEnvProjet[[#This Row],[Projet]]</f>
        <v>ONEMA .:. AFB-CDR</v>
      </c>
      <c r="B289" s="22" t="str">
        <f>IF(TabVMAzureEnvProjet[[#This Row],[Projet AzureDevOps]]&lt;&gt;"",TabVMAzureEnvProjet[[#This Row],[Projet AzureDevOps]],TabVMAzureEnvProjet[[#This Row],[VM]])</f>
        <v>AFB-CDR</v>
      </c>
      <c r="C289" s="13" t="s">
        <v>61</v>
      </c>
      <c r="E289" t="s">
        <v>4</v>
      </c>
      <c r="F289" t="s">
        <v>61</v>
      </c>
      <c r="G289" t="str">
        <f>LOOKUP(TabVMAzureEnvProjet[[#This Row],[Projet]],TabProjets[NomProj],TabProjets[SYGES])</f>
        <v>ONEMA/TMAWEB-16</v>
      </c>
      <c r="H289" t="str">
        <f>LOOKUP(TabVMAzureEnvProjet[[#This Row],[Projet]],TabProjets[NomProj],TabProjets[CP])</f>
        <v>Pierre BOURLIEUX</v>
      </c>
      <c r="I289">
        <f>LOOKUP(TabVMAzureEnvProjet[[#This Row],[Code SYGES]],TabCONTRATSDI[Contrat SYGES],TabCONTRATSDI[Cost Center])</f>
        <v>305704</v>
      </c>
      <c r="J289" s="22" t="str">
        <f>LOOKUP(TabVMAzureEnvProjet[[#This Row],[Code SYGES]],TabCONTRATSDI[Contrat SYGES],TabCONTRATSDI[Client])</f>
        <v>ONEMA</v>
      </c>
      <c r="K289" t="s">
        <v>155</v>
      </c>
      <c r="L289" s="46">
        <v>7.6914142209152647</v>
      </c>
      <c r="M289" s="41" t="s">
        <v>156</v>
      </c>
    </row>
    <row r="290" spans="1:13" x14ac:dyDescent="0.25">
      <c r="A290" s="22" t="str">
        <f>TabVMAzureEnvProjet[[#This Row],[Client]] &amp; " .:. "  &amp; TabVMAzureEnvProjet[[#This Row],[Projet]]</f>
        <v>AFB .:. AFB-CESMIA</v>
      </c>
      <c r="B290" s="22" t="str">
        <f>IF(TabVMAzureEnvProjet[[#This Row],[Projet AzureDevOps]]&lt;&gt;"",TabVMAzureEnvProjet[[#This Row],[Projet AzureDevOps]],TabVMAzureEnvProjet[[#This Row],[VM]])</f>
        <v>AFB-CESMIA</v>
      </c>
      <c r="C290" s="13" t="s">
        <v>3</v>
      </c>
      <c r="E290" t="s">
        <v>4</v>
      </c>
      <c r="F290" t="s">
        <v>3</v>
      </c>
      <c r="G290" t="str">
        <f>LOOKUP(TabVMAzureEnvProjet[[#This Row],[Projet]],TabProjets[NomProj],TabProjets[SYGES])</f>
        <v>AFB/OFB_LOT1</v>
      </c>
      <c r="H290" t="str">
        <f>LOOKUP(TabVMAzureEnvProjet[[#This Row],[Projet]],TabProjets[NomProj],TabProjets[CP])</f>
        <v>Jean-Philippe STROIAZZO</v>
      </c>
      <c r="I290">
        <f>LOOKUP(TabVMAzureEnvProjet[[#This Row],[Code SYGES]],TabCONTRATSDI[Contrat SYGES],TabCONTRATSDI[Cost Center])</f>
        <v>305704</v>
      </c>
      <c r="J290" s="22" t="str">
        <f>LOOKUP(TabVMAzureEnvProjet[[#This Row],[Code SYGES]],TabCONTRATSDI[Contrat SYGES],TabCONTRATSDI[Client])</f>
        <v>AFB</v>
      </c>
      <c r="K290" t="s">
        <v>155</v>
      </c>
      <c r="L290" s="46">
        <v>12.024478946515805</v>
      </c>
      <c r="M290" s="41" t="s">
        <v>156</v>
      </c>
    </row>
    <row r="291" spans="1:13" x14ac:dyDescent="0.25">
      <c r="A291" s="22" t="str">
        <f>TabVMAzureEnvProjet[[#This Row],[Client]] &amp; " .:. "  &amp; TabVMAzureEnvProjet[[#This Row],[Projet]]</f>
        <v>ONEMA .:. AFB-OISON</v>
      </c>
      <c r="B291" s="22" t="str">
        <f>IF(TabVMAzureEnvProjet[[#This Row],[Projet AzureDevOps]]&lt;&gt;"",TabVMAzureEnvProjet[[#This Row],[Projet AzureDevOps]],TabVMAzureEnvProjet[[#This Row],[VM]])</f>
        <v>AFB-OISON</v>
      </c>
      <c r="C291" s="13" t="s">
        <v>62</v>
      </c>
      <c r="E291" t="s">
        <v>4</v>
      </c>
      <c r="F291" t="s">
        <v>62</v>
      </c>
      <c r="G291" t="str">
        <f>LOOKUP(TabVMAzureEnvProjet[[#This Row],[Projet]],TabProjets[NomProj],TabProjets[SYGES])</f>
        <v>ONEMA/TMADCUA-15</v>
      </c>
      <c r="H291" t="str">
        <f>LOOKUP(TabVMAzureEnvProjet[[#This Row],[Projet]],TabProjets[NomProj],TabProjets[CP])</f>
        <v>Jean-Philippe STROIAZZO</v>
      </c>
      <c r="I291">
        <f>LOOKUP(TabVMAzureEnvProjet[[#This Row],[Code SYGES]],TabCONTRATSDI[Contrat SYGES],TabCONTRATSDI[Cost Center])</f>
        <v>305704</v>
      </c>
      <c r="J291" s="22" t="str">
        <f>LOOKUP(TabVMAzureEnvProjet[[#This Row],[Code SYGES]],TabCONTRATSDI[Contrat SYGES],TabCONTRATSDI[Client])</f>
        <v>ONEMA</v>
      </c>
      <c r="K291" t="s">
        <v>155</v>
      </c>
      <c r="L291" s="46">
        <v>5.6574630958543519</v>
      </c>
      <c r="M291" s="41" t="s">
        <v>156</v>
      </c>
    </row>
    <row r="292" spans="1:13" x14ac:dyDescent="0.25">
      <c r="A292" s="22" t="str">
        <f>TabVMAzureEnvProjet[[#This Row],[Client]] &amp; " .:. "  &amp; TabVMAzureEnvProjet[[#This Row],[Projet]]</f>
        <v>ONEMA .:. AFB-PATBIODIV</v>
      </c>
      <c r="B292" s="22" t="str">
        <f>IF(TabVMAzureEnvProjet[[#This Row],[Projet AzureDevOps]]&lt;&gt;"",TabVMAzureEnvProjet[[#This Row],[Projet AzureDevOps]],TabVMAzureEnvProjet[[#This Row],[VM]])</f>
        <v>AFB-PATBiodiv</v>
      </c>
      <c r="C292" s="13" t="s">
        <v>64</v>
      </c>
      <c r="E292" t="s">
        <v>4</v>
      </c>
      <c r="F292" t="s">
        <v>63</v>
      </c>
      <c r="G292" t="str">
        <f>LOOKUP(TabVMAzureEnvProjet[[#This Row],[Projet]],TabProjets[NomProj],TabProjets[SYGES])</f>
        <v>ONEMA/TMADCUA-15</v>
      </c>
      <c r="H292" t="str">
        <f>LOOKUP(TabVMAzureEnvProjet[[#This Row],[Projet]],TabProjets[NomProj],TabProjets[CP])</f>
        <v>Rodolphe HABEGGER</v>
      </c>
      <c r="I292">
        <f>LOOKUP(TabVMAzureEnvProjet[[#This Row],[Code SYGES]],TabCONTRATSDI[Contrat SYGES],TabCONTRATSDI[Cost Center])</f>
        <v>305704</v>
      </c>
      <c r="J292" s="22" t="str">
        <f>LOOKUP(TabVMAzureEnvProjet[[#This Row],[Code SYGES]],TabCONTRATSDI[Contrat SYGES],TabCONTRATSDI[Client])</f>
        <v>ONEMA</v>
      </c>
      <c r="K292" t="s">
        <v>155</v>
      </c>
      <c r="L292" s="46">
        <v>5.6344271000580015</v>
      </c>
      <c r="M292" s="41" t="s">
        <v>156</v>
      </c>
    </row>
    <row r="293" spans="1:13" x14ac:dyDescent="0.25">
      <c r="A293" s="22" t="str">
        <f>TabVMAzureEnvProjet[[#This Row],[Client]] &amp; " .:. "  &amp; TabVMAzureEnvProjet[[#This Row],[Projet]]</f>
        <v>AFB .:. AFB-PNM</v>
      </c>
      <c r="B293" s="22" t="str">
        <f>IF(TabVMAzureEnvProjet[[#This Row],[Projet AzureDevOps]]&lt;&gt;"",TabVMAzureEnvProjet[[#This Row],[Projet AzureDevOps]],TabVMAzureEnvProjet[[#This Row],[VM]])</f>
        <v>AFB-PNM</v>
      </c>
      <c r="C293" s="13" t="s">
        <v>5</v>
      </c>
      <c r="E293" t="s">
        <v>4</v>
      </c>
      <c r="F293" t="s">
        <v>5</v>
      </c>
      <c r="G293" t="str">
        <f>LOOKUP(TabVMAzureEnvProjet[[#This Row],[Projet]],TabProjets[NomProj],TabProjets[SYGES])</f>
        <v>AFB/OFB_LOT2</v>
      </c>
      <c r="H293" t="str">
        <f>LOOKUP(TabVMAzureEnvProjet[[#This Row],[Projet]],TabProjets[NomProj],TabProjets[CP])</f>
        <v>Eric RAUCOURT</v>
      </c>
      <c r="I293">
        <f>LOOKUP(TabVMAzureEnvProjet[[#This Row],[Code SYGES]],TabCONTRATSDI[Contrat SYGES],TabCONTRATSDI[Cost Center])</f>
        <v>305704</v>
      </c>
      <c r="J293" s="22" t="str">
        <f>LOOKUP(TabVMAzureEnvProjet[[#This Row],[Code SYGES]],TabCONTRATSDI[Contrat SYGES],TabCONTRATSDI[Client])</f>
        <v>AFB</v>
      </c>
      <c r="K293" t="s">
        <v>155</v>
      </c>
      <c r="L293" s="46">
        <v>8.5358770953017196</v>
      </c>
      <c r="M293" s="41" t="s">
        <v>156</v>
      </c>
    </row>
    <row r="294" spans="1:13" x14ac:dyDescent="0.25">
      <c r="A294" s="22" t="str">
        <f>TabVMAzureEnvProjet[[#This Row],[Client]] &amp; " .:. "  &amp; TabVMAzureEnvProjet[[#This Row],[Projet]]</f>
        <v>AFB .:. AFB-PNX</v>
      </c>
      <c r="B294" s="22" t="str">
        <f>IF(TabVMAzureEnvProjet[[#This Row],[Projet AzureDevOps]]&lt;&gt;"",TabVMAzureEnvProjet[[#This Row],[Projet AzureDevOps]],TabVMAzureEnvProjet[[#This Row],[VM]])</f>
        <v>AFB-PNX</v>
      </c>
      <c r="C294" s="13" t="s">
        <v>8</v>
      </c>
      <c r="E294" t="s">
        <v>4</v>
      </c>
      <c r="F294" t="s">
        <v>8</v>
      </c>
      <c r="G294" t="str">
        <f>LOOKUP(TabVMAzureEnvProjet[[#This Row],[Projet]],TabProjets[NomProj],TabProjets[SYGES])</f>
        <v>AFB/OFB_LOT2</v>
      </c>
      <c r="H294" t="str">
        <f>LOOKUP(TabVMAzureEnvProjet[[#This Row],[Projet]],TabProjets[NomProj],TabProjets[CP])</f>
        <v>Pierre BOURLIEUX</v>
      </c>
      <c r="I294">
        <f>LOOKUP(TabVMAzureEnvProjet[[#This Row],[Code SYGES]],TabCONTRATSDI[Contrat SYGES],TabCONTRATSDI[Cost Center])</f>
        <v>305704</v>
      </c>
      <c r="J294" s="22" t="str">
        <f>LOOKUP(TabVMAzureEnvProjet[[#This Row],[Code SYGES]],TabCONTRATSDI[Contrat SYGES],TabCONTRATSDI[Client])</f>
        <v>AFB</v>
      </c>
      <c r="K294" t="s">
        <v>155</v>
      </c>
      <c r="L294" s="46">
        <v>2.6348895648947366</v>
      </c>
      <c r="M294" s="41" t="s">
        <v>156</v>
      </c>
    </row>
    <row r="295" spans="1:13" x14ac:dyDescent="0.25">
      <c r="A295" s="22" t="str">
        <f>TabVMAzureEnvProjet[[#This Row],[Client]] &amp; " .:. "  &amp; TabVMAzureEnvProjet[[#This Row],[Projet]]</f>
        <v>ONEMA .:. AFB-RAA</v>
      </c>
      <c r="B295" s="22" t="str">
        <f>IF(TabVMAzureEnvProjet[[#This Row],[Projet AzureDevOps]]&lt;&gt;"",TabVMAzureEnvProjet[[#This Row],[Projet AzureDevOps]],TabVMAzureEnvProjet[[#This Row],[VM]])</f>
        <v>AFB-RAA</v>
      </c>
      <c r="C295" s="13" t="s">
        <v>65</v>
      </c>
      <c r="E295" t="s">
        <v>4</v>
      </c>
      <c r="F295" t="s">
        <v>65</v>
      </c>
      <c r="G295" t="str">
        <f>LOOKUP(TabVMAzureEnvProjet[[#This Row],[Projet]],TabProjets[NomProj],TabProjets[SYGES])</f>
        <v>ONEMA/TMAWEB-16</v>
      </c>
      <c r="H295" t="str">
        <f>LOOKUP(TabVMAzureEnvProjet[[#This Row],[Projet]],TabProjets[NomProj],TabProjets[CP])</f>
        <v>Pierre BOURLIEUX</v>
      </c>
      <c r="I295">
        <f>LOOKUP(TabVMAzureEnvProjet[[#This Row],[Code SYGES]],TabCONTRATSDI[Contrat SYGES],TabCONTRATSDI[Cost Center])</f>
        <v>305704</v>
      </c>
      <c r="J295" s="22" t="str">
        <f>LOOKUP(TabVMAzureEnvProjet[[#This Row],[Code SYGES]],TabCONTRATSDI[Contrat SYGES],TabCONTRATSDI[Client])</f>
        <v>ONEMA</v>
      </c>
      <c r="K295" t="s">
        <v>155</v>
      </c>
      <c r="L295" s="46">
        <v>0.24391992605800211</v>
      </c>
      <c r="M295" s="41" t="s">
        <v>156</v>
      </c>
    </row>
    <row r="296" spans="1:13" x14ac:dyDescent="0.25">
      <c r="A296" s="22" t="str">
        <f>TabVMAzureEnvProjet[[#This Row],[Client]] &amp; " .:. "  &amp; TabVMAzureEnvProjet[[#This Row],[Projet]]</f>
        <v>ALM .:. ALM-ATOUT</v>
      </c>
      <c r="B296" s="22" t="str">
        <f>IF(TabVMAzureEnvProjet[[#This Row],[Projet AzureDevOps]]&lt;&gt;"",TabVMAzureEnvProjet[[#This Row],[Projet AzureDevOps]],TabVMAzureEnvProjet[[#This Row],[VM]])</f>
        <v>ALM-ATOUT</v>
      </c>
      <c r="C296" s="13" t="s">
        <v>17</v>
      </c>
      <c r="E296" t="s">
        <v>4</v>
      </c>
      <c r="F296" t="s">
        <v>17</v>
      </c>
      <c r="G296" t="str">
        <f>LOOKUP(TabVMAzureEnvProjet[[#This Row],[Projet]],TabProjets[NomProj],TabProjets[SYGES])</f>
        <v>ALM/TMA_ATOUT</v>
      </c>
      <c r="H296" t="str">
        <f>LOOKUP(TabVMAzureEnvProjet[[#This Row],[Projet]],TabProjets[NomProj],TabProjets[CP])</f>
        <v>Alice MARCHAL</v>
      </c>
      <c r="I296">
        <f>LOOKUP(TabVMAzureEnvProjet[[#This Row],[Code SYGES]],TabCONTRATSDI[Contrat SYGES],TabCONTRATSDI[Cost Center])</f>
        <v>305704</v>
      </c>
      <c r="J296" s="22" t="str">
        <f>LOOKUP(TabVMAzureEnvProjet[[#This Row],[Code SYGES]],TabCONTRATSDI[Contrat SYGES],TabCONTRATSDI[Client])</f>
        <v>ALM</v>
      </c>
      <c r="K296" t="s">
        <v>155</v>
      </c>
      <c r="L296" s="46">
        <v>11.810314365685436</v>
      </c>
      <c r="M296" s="41" t="s">
        <v>156</v>
      </c>
    </row>
    <row r="297" spans="1:13" x14ac:dyDescent="0.25">
      <c r="A297" s="22" t="str">
        <f>TabVMAzureEnvProjet[[#This Row],[Client]] &amp; " .:. "  &amp; TabVMAzureEnvProjet[[#This Row],[Projet]]</f>
        <v>BRGM .:. BRGM-ORRM</v>
      </c>
      <c r="B297" s="22" t="str">
        <f>IF(TabVMAzureEnvProjet[[#This Row],[Projet AzureDevOps]]&lt;&gt;"",TabVMAzureEnvProjet[[#This Row],[Projet AzureDevOps]],TabVMAzureEnvProjet[[#This Row],[VM]])</f>
        <v>BRGM-ORRM</v>
      </c>
      <c r="C297" s="13" t="s">
        <v>20</v>
      </c>
      <c r="E297" t="s">
        <v>4</v>
      </c>
      <c r="F297" t="s">
        <v>20</v>
      </c>
      <c r="G297" t="str">
        <f>LOOKUP(TabVMAzureEnvProjet[[#This Row],[Projet]],TabProjets[NomProj],TabProjets[SYGES])</f>
        <v>BRGM/TMA-5-1-ORRM-LOT1</v>
      </c>
      <c r="H297" t="str">
        <f>LOOKUP(TabVMAzureEnvProjet[[#This Row],[Projet]],TabProjets[NomProj],TabProjets[CP])</f>
        <v>Alice MARCHAL</v>
      </c>
      <c r="I297">
        <f>LOOKUP(TabVMAzureEnvProjet[[#This Row],[Code SYGES]],TabCONTRATSDI[Contrat SYGES],TabCONTRATSDI[Cost Center])</f>
        <v>305704</v>
      </c>
      <c r="J297" s="22" t="str">
        <f>LOOKUP(TabVMAzureEnvProjet[[#This Row],[Code SYGES]],TabCONTRATSDI[Contrat SYGES],TabCONTRATSDI[Client])</f>
        <v>BRGM</v>
      </c>
      <c r="K297" t="s">
        <v>155</v>
      </c>
      <c r="L297" s="46">
        <v>4.7836859625696624</v>
      </c>
      <c r="M297" s="41" t="s">
        <v>156</v>
      </c>
    </row>
    <row r="298" spans="1:13" x14ac:dyDescent="0.25">
      <c r="A298" s="22" t="str">
        <f>TabVMAzureEnvProjet[[#This Row],[Client]] &amp; " .:. "  &amp; TabVMAzureEnvProjet[[#This Row],[Projet]]</f>
        <v>CNAV .:. CNAV-BI-RGCU</v>
      </c>
      <c r="B298" s="22" t="str">
        <f>IF(TabVMAzureEnvProjet[[#This Row],[Projet AzureDevOps]]&lt;&gt;"",TabVMAzureEnvProjet[[#This Row],[Projet AzureDevOps]],TabVMAzureEnvProjet[[#This Row],[VM]])</f>
        <v>CNAV-BI-RGCU</v>
      </c>
      <c r="C298" s="13" t="s">
        <v>27</v>
      </c>
      <c r="E298" t="s">
        <v>4</v>
      </c>
      <c r="F298" t="s">
        <v>27</v>
      </c>
      <c r="G298" t="str">
        <f>LOOKUP(TabVMAzureEnvProjet[[#This Row],[Projet]],TabProjets[NomProj],TabProjets[SYGES])</f>
        <v>CNAV/BI-SIRRGCU</v>
      </c>
      <c r="H298" t="str">
        <f>LOOKUP(TabVMAzureEnvProjet[[#This Row],[Projet]],TabProjets[NomProj],TabProjets[CP])</f>
        <v>Valerie ASSELIN LOZACHMEUR</v>
      </c>
      <c r="I298">
        <f>LOOKUP(TabVMAzureEnvProjet[[#This Row],[Code SYGES]],TabCONTRATSDI[Contrat SYGES],TabCONTRATSDI[Cost Center])</f>
        <v>305704</v>
      </c>
      <c r="J298" s="22" t="str">
        <f>LOOKUP(TabVMAzureEnvProjet[[#This Row],[Code SYGES]],TabCONTRATSDI[Contrat SYGES],TabCONTRATSDI[Client])</f>
        <v>CNAV</v>
      </c>
      <c r="K298" t="s">
        <v>155</v>
      </c>
      <c r="L298" s="46">
        <v>11.5861964877551</v>
      </c>
      <c r="M298" s="41" t="s">
        <v>156</v>
      </c>
    </row>
    <row r="299" spans="1:13" x14ac:dyDescent="0.25">
      <c r="A299" s="22" t="str">
        <f>TabVMAzureEnvProjet[[#This Row],[Client]] &amp; " .:. "  &amp; TabVMAzureEnvProjet[[#This Row],[Projet]]</f>
        <v>INETUM .:. INETUM-INTERNE</v>
      </c>
      <c r="B299" s="22" t="str">
        <f>IF(TabVMAzureEnvProjet[[#This Row],[Projet AzureDevOps]]&lt;&gt;"",TabVMAzureEnvProjet[[#This Row],[Projet AzureDevOps]],TabVMAzureEnvProjet[[#This Row],[VM]])</f>
        <v>d8-qa</v>
      </c>
      <c r="C299" s="13" t="s">
        <v>141</v>
      </c>
      <c r="E299" t="s">
        <v>4</v>
      </c>
      <c r="F299" t="s">
        <v>102</v>
      </c>
      <c r="G299" t="str">
        <f>LOOKUP(TabVMAzureEnvProjet[[#This Row],[Projet]],TabProjets[NomProj],TabProjets[SYGES])</f>
        <v>INETUM/PROJET_INTERNE</v>
      </c>
      <c r="H299" t="str">
        <f>LOOKUP(TabVMAzureEnvProjet[[#This Row],[Projet]],TabProjets[NomProj],TabProjets[CP])</f>
        <v>Christophe ORLANDO</v>
      </c>
      <c r="I299">
        <f>LOOKUP(TabVMAzureEnvProjet[[#This Row],[Code SYGES]],TabCONTRATSDI[Contrat SYGES],TabCONTRATSDI[Cost Center])</f>
        <v>305704</v>
      </c>
      <c r="J299" s="22" t="str">
        <f>LOOKUP(TabVMAzureEnvProjet[[#This Row],[Code SYGES]],TabCONTRATSDI[Contrat SYGES],TabCONTRATSDI[Client])</f>
        <v>INETUM</v>
      </c>
      <c r="K299" t="s">
        <v>155</v>
      </c>
      <c r="L299" s="46">
        <v>0.57495411142243358</v>
      </c>
      <c r="M299" s="41" t="s">
        <v>156</v>
      </c>
    </row>
    <row r="300" spans="1:13" x14ac:dyDescent="0.25">
      <c r="A300" s="22" t="str">
        <f>TabVMAzureEnvProjet[[#This Row],[Client]] &amp; " .:. "  &amp; TabVMAzureEnvProjet[[#This Row],[Projet]]</f>
        <v>INETUM .:. INETUM-INTERNE</v>
      </c>
      <c r="B300" s="22" t="str">
        <f>IF(TabVMAzureEnvProjet[[#This Row],[Projet AzureDevOps]]&lt;&gt;"",TabVMAzureEnvProjet[[#This Row],[Projet AzureDevOps]],TabVMAzureEnvProjet[[#This Row],[VM]])</f>
        <v>drupal-qa</v>
      </c>
      <c r="C300" s="13" t="s">
        <v>142</v>
      </c>
      <c r="E300" t="s">
        <v>4</v>
      </c>
      <c r="F300" t="s">
        <v>102</v>
      </c>
      <c r="G300" t="str">
        <f>LOOKUP(TabVMAzureEnvProjet[[#This Row],[Projet]],TabProjets[NomProj],TabProjets[SYGES])</f>
        <v>INETUM/PROJET_INTERNE</v>
      </c>
      <c r="H300" t="str">
        <f>LOOKUP(TabVMAzureEnvProjet[[#This Row],[Projet]],TabProjets[NomProj],TabProjets[CP])</f>
        <v>Christophe ORLANDO</v>
      </c>
      <c r="I300">
        <f>LOOKUP(TabVMAzureEnvProjet[[#This Row],[Code SYGES]],TabCONTRATSDI[Contrat SYGES],TabCONTRATSDI[Cost Center])</f>
        <v>305704</v>
      </c>
      <c r="J300" s="22" t="str">
        <f>LOOKUP(TabVMAzureEnvProjet[[#This Row],[Code SYGES]],TabCONTRATSDI[Contrat SYGES],TabCONTRATSDI[Client])</f>
        <v>INETUM</v>
      </c>
      <c r="K300" t="s">
        <v>155</v>
      </c>
      <c r="L300" s="46">
        <v>0.57495411142243358</v>
      </c>
      <c r="M300" s="41" t="s">
        <v>156</v>
      </c>
    </row>
    <row r="301" spans="1:13" x14ac:dyDescent="0.25">
      <c r="A301" s="22" t="str">
        <f>TabVMAzureEnvProjet[[#This Row],[Client]] &amp; " .:. "  &amp; TabVMAzureEnvProjet[[#This Row],[Projet]]</f>
        <v>FRR .:. FRR-DIGIPAT</v>
      </c>
      <c r="B301" s="22" t="str">
        <f>IF(TabVMAzureEnvProjet[[#This Row],[Projet AzureDevOps]]&lt;&gt;"",TabVMAzureEnvProjet[[#This Row],[Projet AzureDevOps]],TabVMAzureEnvProjet[[#This Row],[VM]])</f>
        <v>FRR DIGIPAT</v>
      </c>
      <c r="C301" s="13" t="s">
        <v>30</v>
      </c>
      <c r="E301" t="s">
        <v>4</v>
      </c>
      <c r="F301" t="s">
        <v>29</v>
      </c>
      <c r="G301" t="str">
        <f>LOOKUP(TabVMAzureEnvProjet[[#This Row],[Projet]],TabProjets[NomProj],TabProjets[SYGES])</f>
        <v>FRR/TMASI</v>
      </c>
      <c r="H301" t="str">
        <f>LOOKUP(TabVMAzureEnvProjet[[#This Row],[Projet]],TabProjets[NomProj],TabProjets[CP])</f>
        <v>Alice MARCHAL</v>
      </c>
      <c r="I301">
        <f>LOOKUP(TabVMAzureEnvProjet[[#This Row],[Code SYGES]],TabCONTRATSDI[Contrat SYGES],TabCONTRATSDI[Cost Center])</f>
        <v>305704</v>
      </c>
      <c r="J301" s="22" t="str">
        <f>LOOKUP(TabVMAzureEnvProjet[[#This Row],[Code SYGES]],TabCONTRATSDI[Contrat SYGES],TabCONTRATSDI[Client])</f>
        <v>FRR</v>
      </c>
      <c r="K301" t="s">
        <v>155</v>
      </c>
      <c r="L301" s="46">
        <v>6.3808511118819231</v>
      </c>
      <c r="M301" s="41" t="s">
        <v>156</v>
      </c>
    </row>
    <row r="302" spans="1:13" x14ac:dyDescent="0.25">
      <c r="A302" s="22" t="str">
        <f>TabVMAzureEnvProjet[[#This Row],[Client]] &amp; " .:. "  &amp; TabVMAzureEnvProjet[[#This Row],[Projet]]</f>
        <v>FRR .:. FRR-APPLIFRR</v>
      </c>
      <c r="B302" s="22" t="str">
        <f>IF(TabVMAzureEnvProjet[[#This Row],[Projet AzureDevOps]]&lt;&gt;"",TabVMAzureEnvProjet[[#This Row],[Projet AzureDevOps]],TabVMAzureEnvProjet[[#This Row],[VM]])</f>
        <v>FRR-APPLIFRR</v>
      </c>
      <c r="C302" s="13" t="s">
        <v>32</v>
      </c>
      <c r="E302" t="s">
        <v>4</v>
      </c>
      <c r="F302" t="s">
        <v>32</v>
      </c>
      <c r="G302" t="str">
        <f>LOOKUP(TabVMAzureEnvProjet[[#This Row],[Projet]],TabProjets[NomProj],TabProjets[SYGES])</f>
        <v>FRR/TMASI</v>
      </c>
      <c r="H302" t="str">
        <f>LOOKUP(TabVMAzureEnvProjet[[#This Row],[Projet]],TabProjets[NomProj],TabProjets[CP])</f>
        <v>Jean-Philippe STROIAZZO</v>
      </c>
      <c r="I302">
        <f>LOOKUP(TabVMAzureEnvProjet[[#This Row],[Code SYGES]],TabCONTRATSDI[Contrat SYGES],TabCONTRATSDI[Cost Center])</f>
        <v>305704</v>
      </c>
      <c r="J302" s="22" t="str">
        <f>LOOKUP(TabVMAzureEnvProjet[[#This Row],[Code SYGES]],TabCONTRATSDI[Contrat SYGES],TabCONTRATSDI[Client])</f>
        <v>FRR</v>
      </c>
      <c r="K302" t="s">
        <v>155</v>
      </c>
      <c r="L302" s="46">
        <v>3.028210445663265</v>
      </c>
      <c r="M302" s="41" t="s">
        <v>156</v>
      </c>
    </row>
    <row r="303" spans="1:13" x14ac:dyDescent="0.25">
      <c r="A303" s="22" t="str">
        <f>TabVMAzureEnvProjet[[#This Row],[Client]] &amp; " .:. "  &amp; TabVMAzureEnvProjet[[#This Row],[Projet]]</f>
        <v>FRR .:. FRR-CADENCIER</v>
      </c>
      <c r="B303" s="22" t="str">
        <f>IF(TabVMAzureEnvProjet[[#This Row],[Projet AzureDevOps]]&lt;&gt;"",TabVMAzureEnvProjet[[#This Row],[Projet AzureDevOps]],TabVMAzureEnvProjet[[#This Row],[VM]])</f>
        <v>FRR-CADENCIER</v>
      </c>
      <c r="C303" s="13" t="s">
        <v>33</v>
      </c>
      <c r="E303" t="s">
        <v>4</v>
      </c>
      <c r="F303" t="s">
        <v>33</v>
      </c>
      <c r="G303" t="str">
        <f>LOOKUP(TabVMAzureEnvProjet[[#This Row],[Projet]],TabProjets[NomProj],TabProjets[SYGES])</f>
        <v>FRR/TMASI</v>
      </c>
      <c r="H303" t="str">
        <f>LOOKUP(TabVMAzureEnvProjet[[#This Row],[Projet]],TabProjets[NomProj],TabProjets[CP])</f>
        <v>Jean-Philippe STROIAZZO</v>
      </c>
      <c r="I303">
        <f>LOOKUP(TabVMAzureEnvProjet[[#This Row],[Code SYGES]],TabCONTRATSDI[Contrat SYGES],TabCONTRATSDI[Cost Center])</f>
        <v>305704</v>
      </c>
      <c r="J303" s="22" t="str">
        <f>LOOKUP(TabVMAzureEnvProjet[[#This Row],[Code SYGES]],TabCONTRATSDI[Contrat SYGES],TabCONTRATSDI[Client])</f>
        <v>FRR</v>
      </c>
      <c r="K303" t="s">
        <v>155</v>
      </c>
      <c r="L303" s="46">
        <v>3.028210445663265</v>
      </c>
      <c r="M303" s="41" t="s">
        <v>156</v>
      </c>
    </row>
    <row r="304" spans="1:13" x14ac:dyDescent="0.25">
      <c r="A304" s="22" t="str">
        <f>TabVMAzureEnvProjet[[#This Row],[Client]] &amp; " .:. "  &amp; TabVMAzureEnvProjet[[#This Row],[Projet]]</f>
        <v>FRR .:. FRR-PATAPAIN</v>
      </c>
      <c r="B304" s="22" t="str">
        <f>IF(TabVMAzureEnvProjet[[#This Row],[Projet AzureDevOps]]&lt;&gt;"",TabVMAzureEnvProjet[[#This Row],[Projet AzureDevOps]],TabVMAzureEnvProjet[[#This Row],[VM]])</f>
        <v>FRR-Patapain</v>
      </c>
      <c r="C304" s="13" t="s">
        <v>35</v>
      </c>
      <c r="E304" t="s">
        <v>4</v>
      </c>
      <c r="F304" t="s">
        <v>34</v>
      </c>
      <c r="G304" t="str">
        <f>LOOKUP(TabVMAzureEnvProjet[[#This Row],[Projet]],TabProjets[NomProj],TabProjets[SYGES])</f>
        <v>FRR/TMASI</v>
      </c>
      <c r="H304" t="str">
        <f>LOOKUP(TabVMAzureEnvProjet[[#This Row],[Projet]],TabProjets[NomProj],TabProjets[CP])</f>
        <v>Christophe ORLANDO</v>
      </c>
      <c r="I304">
        <f>LOOKUP(TabVMAzureEnvProjet[[#This Row],[Code SYGES]],TabCONTRATSDI[Contrat SYGES],TabCONTRATSDI[Cost Center])</f>
        <v>305704</v>
      </c>
      <c r="J304" s="22" t="str">
        <f>LOOKUP(TabVMAzureEnvProjet[[#This Row],[Code SYGES]],TabCONTRATSDI[Contrat SYGES],TabCONTRATSDI[Client])</f>
        <v>FRR</v>
      </c>
      <c r="K304" t="s">
        <v>155</v>
      </c>
      <c r="L304" s="46">
        <v>2.4225683565306122</v>
      </c>
      <c r="M304" s="41" t="s">
        <v>156</v>
      </c>
    </row>
    <row r="305" spans="1:13" x14ac:dyDescent="0.25">
      <c r="A305" s="22" t="str">
        <f>TabVMAzureEnvProjet[[#This Row],[Client]] &amp; " .:. "  &amp; TabVMAzureEnvProjet[[#This Row],[Projet]]</f>
        <v>FRR .:. FRR-PATAPAINANDROID</v>
      </c>
      <c r="B305" s="22" t="str">
        <f>IF(TabVMAzureEnvProjet[[#This Row],[Projet AzureDevOps]]&lt;&gt;"",TabVMAzureEnvProjet[[#This Row],[Projet AzureDevOps]],TabVMAzureEnvProjet[[#This Row],[VM]])</f>
        <v>FRR-PATAPAINANDROID</v>
      </c>
      <c r="C305" s="13" t="s">
        <v>36</v>
      </c>
      <c r="E305" t="s">
        <v>4</v>
      </c>
      <c r="F305" t="s">
        <v>36</v>
      </c>
      <c r="G305" t="str">
        <f>LOOKUP(TabVMAzureEnvProjet[[#This Row],[Projet]],TabProjets[NomProj],TabProjets[SYGES])</f>
        <v>FRR/TMASI</v>
      </c>
      <c r="H305" t="str">
        <f>LOOKUP(TabVMAzureEnvProjet[[#This Row],[Projet]],TabProjets[NomProj],TabProjets[CP])</f>
        <v>Jean-Philippe STROIAZZO</v>
      </c>
      <c r="I305">
        <f>LOOKUP(TabVMAzureEnvProjet[[#This Row],[Code SYGES]],TabCONTRATSDI[Contrat SYGES],TabCONTRATSDI[Cost Center])</f>
        <v>305704</v>
      </c>
      <c r="J305" s="22" t="str">
        <f>LOOKUP(TabVMAzureEnvProjet[[#This Row],[Code SYGES]],TabCONTRATSDI[Contrat SYGES],TabCONTRATSDI[Client])</f>
        <v>FRR</v>
      </c>
      <c r="K305" t="s">
        <v>155</v>
      </c>
      <c r="L305" s="46">
        <v>3.028210445663265</v>
      </c>
      <c r="M305" s="41" t="s">
        <v>156</v>
      </c>
    </row>
    <row r="306" spans="1:13" x14ac:dyDescent="0.25">
      <c r="A306" s="22" t="str">
        <f>TabVMAzureEnvProjet[[#This Row],[Client]] &amp; " .:. "  &amp; TabVMAzureEnvProjet[[#This Row],[Projet]]</f>
        <v>INETUM .:. INETUM-INTERNE</v>
      </c>
      <c r="B306" s="22" t="str">
        <f>IF(TabVMAzureEnvProjet[[#This Row],[Projet AzureDevOps]]&lt;&gt;"",TabVMAzureEnvProjet[[#This Row],[Projet AzureDevOps]],TabVMAzureEnvProjet[[#This Row],[VM]])</f>
        <v>GFI-CMIS</v>
      </c>
      <c r="C306" s="13" t="s">
        <v>106</v>
      </c>
      <c r="E306" t="s">
        <v>4</v>
      </c>
      <c r="F306" t="s">
        <v>102</v>
      </c>
      <c r="G306" t="str">
        <f>LOOKUP(TabVMAzureEnvProjet[[#This Row],[Projet]],TabProjets[NomProj],TabProjets[SYGES])</f>
        <v>INETUM/PROJET_INTERNE</v>
      </c>
      <c r="H306" t="str">
        <f>LOOKUP(TabVMAzureEnvProjet[[#This Row],[Projet]],TabProjets[NomProj],TabProjets[CP])</f>
        <v>Christophe ORLANDO</v>
      </c>
      <c r="I306">
        <f>LOOKUP(TabVMAzureEnvProjet[[#This Row],[Code SYGES]],TabCONTRATSDI[Contrat SYGES],TabCONTRATSDI[Cost Center])</f>
        <v>305704</v>
      </c>
      <c r="J306" s="22" t="str">
        <f>LOOKUP(TabVMAzureEnvProjet[[#This Row],[Code SYGES]],TabCONTRATSDI[Contrat SYGES],TabCONTRATSDI[Client])</f>
        <v>INETUM</v>
      </c>
      <c r="K306" t="s">
        <v>155</v>
      </c>
      <c r="L306" s="46">
        <v>0.24391992605800211</v>
      </c>
      <c r="M306" s="41" t="s">
        <v>156</v>
      </c>
    </row>
    <row r="307" spans="1:13" x14ac:dyDescent="0.25">
      <c r="A307" s="22" t="str">
        <f>TabVMAzureEnvProjet[[#This Row],[Client]] &amp; " .:. "  &amp; TabVMAzureEnvProjet[[#This Row],[Projet]]</f>
        <v>INETUM .:. INETUM-INTERNE</v>
      </c>
      <c r="B307" s="22" t="str">
        <f>IF(TabVMAzureEnvProjet[[#This Row],[Projet AzureDevOps]]&lt;&gt;"",TabVMAzureEnvProjet[[#This Row],[Projet AzureDevOps]],TabVMAzureEnvProjet[[#This Row],[VM]])</f>
        <v>GFI-COFFEE</v>
      </c>
      <c r="C307" s="13" t="s">
        <v>107</v>
      </c>
      <c r="E307" t="s">
        <v>4</v>
      </c>
      <c r="F307" t="s">
        <v>102</v>
      </c>
      <c r="G307" t="str">
        <f>LOOKUP(TabVMAzureEnvProjet[[#This Row],[Projet]],TabProjets[NomProj],TabProjets[SYGES])</f>
        <v>INETUM/PROJET_INTERNE</v>
      </c>
      <c r="H307" t="str">
        <f>LOOKUP(TabVMAzureEnvProjet[[#This Row],[Projet]],TabProjets[NomProj],TabProjets[CP])</f>
        <v>Christophe ORLANDO</v>
      </c>
      <c r="I307">
        <f>LOOKUP(TabVMAzureEnvProjet[[#This Row],[Code SYGES]],TabCONTRATSDI[Contrat SYGES],TabCONTRATSDI[Cost Center])</f>
        <v>305704</v>
      </c>
      <c r="J307" s="22" t="str">
        <f>LOOKUP(TabVMAzureEnvProjet[[#This Row],[Code SYGES]],TabCONTRATSDI[Contrat SYGES],TabCONTRATSDI[Client])</f>
        <v>INETUM</v>
      </c>
      <c r="K307" t="s">
        <v>155</v>
      </c>
      <c r="L307" s="46">
        <v>1.2902809724999997</v>
      </c>
      <c r="M307" s="41" t="s">
        <v>156</v>
      </c>
    </row>
    <row r="308" spans="1:13" x14ac:dyDescent="0.25">
      <c r="A308" s="22" t="str">
        <f>TabVMAzureEnvProjet[[#This Row],[Client]] &amp; " .:. "  &amp; TabVMAzureEnvProjet[[#This Row],[Projet]]</f>
        <v>INETUM .:. INETUM-INTERNE</v>
      </c>
      <c r="B308" s="22" t="str">
        <f>IF(TabVMAzureEnvProjet[[#This Row],[Projet AzureDevOps]]&lt;&gt;"",TabVMAzureEnvProjet[[#This Row],[Projet AzureDevOps]],TabVMAzureEnvProjet[[#This Row],[VM]])</f>
        <v>GFI-CRALENIUM</v>
      </c>
      <c r="C308" s="13" t="s">
        <v>108</v>
      </c>
      <c r="E308" t="s">
        <v>4</v>
      </c>
      <c r="F308" t="s">
        <v>102</v>
      </c>
      <c r="G308" t="str">
        <f>LOOKUP(TabVMAzureEnvProjet[[#This Row],[Projet]],TabProjets[NomProj],TabProjets[SYGES])</f>
        <v>INETUM/PROJET_INTERNE</v>
      </c>
      <c r="H308" t="str">
        <f>LOOKUP(TabVMAzureEnvProjet[[#This Row],[Projet]],TabProjets[NomProj],TabProjets[CP])</f>
        <v>Christophe ORLANDO</v>
      </c>
      <c r="I308">
        <f>LOOKUP(TabVMAzureEnvProjet[[#This Row],[Code SYGES]],TabCONTRATSDI[Contrat SYGES],TabCONTRATSDI[Cost Center])</f>
        <v>305704</v>
      </c>
      <c r="J308" s="22" t="str">
        <f>LOOKUP(TabVMAzureEnvProjet[[#This Row],[Code SYGES]],TabCONTRATSDI[Contrat SYGES],TabCONTRATSDI[Client])</f>
        <v>INETUM</v>
      </c>
      <c r="K308" t="s">
        <v>155</v>
      </c>
      <c r="L308" s="46">
        <v>3.028210445663265</v>
      </c>
      <c r="M308" s="41" t="s">
        <v>156</v>
      </c>
    </row>
    <row r="309" spans="1:13" x14ac:dyDescent="0.25">
      <c r="A309" s="22" t="str">
        <f>TabVMAzureEnvProjet[[#This Row],[Client]] &amp; " .:. "  &amp; TabVMAzureEnvProjet[[#This Row],[Projet]]</f>
        <v>INETUM .:. INETUM-INTERNE</v>
      </c>
      <c r="B309" s="22" t="str">
        <f>IF(TabVMAzureEnvProjet[[#This Row],[Projet AzureDevOps]]&lt;&gt;"",TabVMAzureEnvProjet[[#This Row],[Projet AzureDevOps]],TabVMAzureEnvProjet[[#This Row],[VM]])</f>
        <v>GFI-D8-BS4-THEME</v>
      </c>
      <c r="C309" s="13" t="s">
        <v>103</v>
      </c>
      <c r="E309" t="s">
        <v>4</v>
      </c>
      <c r="F309" t="s">
        <v>102</v>
      </c>
      <c r="G309" t="str">
        <f>LOOKUP(TabVMAzureEnvProjet[[#This Row],[Projet]],TabProjets[NomProj],TabProjets[SYGES])</f>
        <v>INETUM/PROJET_INTERNE</v>
      </c>
      <c r="H309" t="str">
        <f>LOOKUP(TabVMAzureEnvProjet[[#This Row],[Projet]],TabProjets[NomProj],TabProjets[CP])</f>
        <v>Christophe ORLANDO</v>
      </c>
      <c r="I309">
        <f>LOOKUP(TabVMAzureEnvProjet[[#This Row],[Code SYGES]],TabCONTRATSDI[Contrat SYGES],TabCONTRATSDI[Cost Center])</f>
        <v>305704</v>
      </c>
      <c r="J309" s="22" t="str">
        <f>LOOKUP(TabVMAzureEnvProjet[[#This Row],[Code SYGES]],TabCONTRATSDI[Contrat SYGES],TabCONTRATSDI[Client])</f>
        <v>INETUM</v>
      </c>
      <c r="K309" t="s">
        <v>155</v>
      </c>
      <c r="L309" s="46">
        <v>1.5312750913641244</v>
      </c>
      <c r="M309" s="41" t="s">
        <v>156</v>
      </c>
    </row>
    <row r="310" spans="1:13" x14ac:dyDescent="0.25">
      <c r="A310" s="22" t="str">
        <f>TabVMAzureEnvProjet[[#This Row],[Client]] &amp; " .:. "  &amp; TabVMAzureEnvProjet[[#This Row],[Projet]]</f>
        <v>INETUM .:. INETUM-INTERNE</v>
      </c>
      <c r="B310" s="22" t="str">
        <f>IF(TabVMAzureEnvProjet[[#This Row],[Projet AzureDevOps]]&lt;&gt;"",TabVMAzureEnvProjet[[#This Row],[Projet AzureDevOps]],TabVMAzureEnvProjet[[#This Row],[VM]])</f>
        <v>GFI-Docker Devbox Install</v>
      </c>
      <c r="C310" s="13" t="s">
        <v>109</v>
      </c>
      <c r="E310" t="s">
        <v>4</v>
      </c>
      <c r="F310" t="s">
        <v>102</v>
      </c>
      <c r="G310" t="str">
        <f>LOOKUP(TabVMAzureEnvProjet[[#This Row],[Projet]],TabProjets[NomProj],TabProjets[SYGES])</f>
        <v>INETUM/PROJET_INTERNE</v>
      </c>
      <c r="H310" t="str">
        <f>LOOKUP(TabVMAzureEnvProjet[[#This Row],[Projet]],TabProjets[NomProj],TabProjets[CP])</f>
        <v>Christophe ORLANDO</v>
      </c>
      <c r="I310">
        <f>LOOKUP(TabVMAzureEnvProjet[[#This Row],[Code SYGES]],TabCONTRATSDI[Contrat SYGES],TabCONTRATSDI[Cost Center])</f>
        <v>305704</v>
      </c>
      <c r="J310" s="22" t="str">
        <f>LOOKUP(TabVMAzureEnvProjet[[#This Row],[Code SYGES]],TabCONTRATSDI[Contrat SYGES],TabCONTRATSDI[Client])</f>
        <v>INETUM</v>
      </c>
      <c r="K310" t="s">
        <v>155</v>
      </c>
      <c r="L310" s="46">
        <v>10.685624234059457</v>
      </c>
      <c r="M310" s="41" t="s">
        <v>156</v>
      </c>
    </row>
    <row r="311" spans="1:13" x14ac:dyDescent="0.25">
      <c r="A311" s="22" t="str">
        <f>TabVMAzureEnvProjet[[#This Row],[Client]] &amp; " .:. "  &amp; TabVMAzureEnvProjet[[#This Row],[Projet]]</f>
        <v>INETUM .:. INETUM-INTERNE</v>
      </c>
      <c r="B311" s="22" t="str">
        <f>IF(TabVMAzureEnvProjet[[#This Row],[Projet AzureDevOps]]&lt;&gt;"",TabVMAzureEnvProjet[[#This Row],[Projet AzureDevOps]],TabVMAzureEnvProjet[[#This Row],[VM]])</f>
        <v>GFI-MineReport</v>
      </c>
      <c r="C311" s="13" t="s">
        <v>104</v>
      </c>
      <c r="E311" t="s">
        <v>4</v>
      </c>
      <c r="F311" t="s">
        <v>102</v>
      </c>
      <c r="G311" t="str">
        <f>LOOKUP(TabVMAzureEnvProjet[[#This Row],[Projet]],TabProjets[NomProj],TabProjets[SYGES])</f>
        <v>INETUM/PROJET_INTERNE</v>
      </c>
      <c r="H311" t="str">
        <f>LOOKUP(TabVMAzureEnvProjet[[#This Row],[Projet]],TabProjets[NomProj],TabProjets[CP])</f>
        <v>Christophe ORLANDO</v>
      </c>
      <c r="I311">
        <f>LOOKUP(TabVMAzureEnvProjet[[#This Row],[Code SYGES]],TabCONTRATSDI[Contrat SYGES],TabCONTRATSDI[Cost Center])</f>
        <v>305704</v>
      </c>
      <c r="J311" s="22" t="str">
        <f>LOOKUP(TabVMAzureEnvProjet[[#This Row],[Code SYGES]],TabCONTRATSDI[Contrat SYGES],TabCONTRATSDI[Client])</f>
        <v>INETUM</v>
      </c>
      <c r="K311" t="s">
        <v>155</v>
      </c>
      <c r="L311" s="46">
        <v>5.2551676926603488</v>
      </c>
      <c r="M311" s="41" t="s">
        <v>156</v>
      </c>
    </row>
    <row r="312" spans="1:13" x14ac:dyDescent="0.25">
      <c r="A312" s="22" t="str">
        <f>TabVMAzureEnvProjet[[#This Row],[Client]] &amp; " .:. "  &amp; TabVMAzureEnvProjet[[#This Row],[Projet]]</f>
        <v>INETUM .:. INETUM-INTERNE</v>
      </c>
      <c r="B312" s="22" t="str">
        <f>IF(TabVMAzureEnvProjet[[#This Row],[Projet AzureDevOps]]&lt;&gt;"",TabVMAzureEnvProjet[[#This Row],[Projet AzureDevOps]],TabVMAzureEnvProjet[[#This Row],[VM]])</f>
        <v>GFI-PMT</v>
      </c>
      <c r="C312" s="13" t="s">
        <v>110</v>
      </c>
      <c r="E312" t="s">
        <v>4</v>
      </c>
      <c r="F312" t="s">
        <v>102</v>
      </c>
      <c r="G312" t="str">
        <f>LOOKUP(TabVMAzureEnvProjet[[#This Row],[Projet]],TabProjets[NomProj],TabProjets[SYGES])</f>
        <v>INETUM/PROJET_INTERNE</v>
      </c>
      <c r="H312" t="str">
        <f>LOOKUP(TabVMAzureEnvProjet[[#This Row],[Projet]],TabProjets[NomProj],TabProjets[CP])</f>
        <v>Christophe ORLANDO</v>
      </c>
      <c r="I312">
        <f>LOOKUP(TabVMAzureEnvProjet[[#This Row],[Code SYGES]],TabCONTRATSDI[Contrat SYGES],TabCONTRATSDI[Cost Center])</f>
        <v>305704</v>
      </c>
      <c r="J312" s="22" t="str">
        <f>LOOKUP(TabVMAzureEnvProjet[[#This Row],[Code SYGES]],TabCONTRATSDI[Contrat SYGES],TabCONTRATSDI[Client])</f>
        <v>INETUM</v>
      </c>
      <c r="K312" t="s">
        <v>155</v>
      </c>
      <c r="L312" s="46">
        <v>5.7312878769536439</v>
      </c>
      <c r="M312" s="41" t="s">
        <v>156</v>
      </c>
    </row>
    <row r="313" spans="1:13" x14ac:dyDescent="0.25">
      <c r="A313" s="22" t="str">
        <f>TabVMAzureEnvProjet[[#This Row],[Client]] &amp; " .:. "  &amp; TabVMAzureEnvProjet[[#This Row],[Projet]]</f>
        <v>INETUM .:. INETUM-INTERNE</v>
      </c>
      <c r="B313" s="22" t="str">
        <f>IF(TabVMAzureEnvProjet[[#This Row],[Projet AzureDevOps]]&lt;&gt;"",TabVMAzureEnvProjet[[#This Row],[Projet AzureDevOps]],TabVMAzureEnvProjet[[#This Row],[VM]])</f>
        <v>GFI-RedmineDocker</v>
      </c>
      <c r="C313" s="13" t="s">
        <v>105</v>
      </c>
      <c r="E313" t="s">
        <v>4</v>
      </c>
      <c r="F313" t="s">
        <v>102</v>
      </c>
      <c r="G313" t="str">
        <f>LOOKUP(TabVMAzureEnvProjet[[#This Row],[Projet]],TabProjets[NomProj],TabProjets[SYGES])</f>
        <v>INETUM/PROJET_INTERNE</v>
      </c>
      <c r="H313" t="str">
        <f>LOOKUP(TabVMAzureEnvProjet[[#This Row],[Projet]],TabProjets[NomProj],TabProjets[CP])</f>
        <v>Christophe ORLANDO</v>
      </c>
      <c r="I313">
        <f>LOOKUP(TabVMAzureEnvProjet[[#This Row],[Code SYGES]],TabCONTRATSDI[Contrat SYGES],TabCONTRATSDI[Cost Center])</f>
        <v>305704</v>
      </c>
      <c r="J313" s="22" t="str">
        <f>LOOKUP(TabVMAzureEnvProjet[[#This Row],[Code SYGES]],TabCONTRATSDI[Contrat SYGES],TabCONTRATSDI[Client])</f>
        <v>INETUM</v>
      </c>
      <c r="K313" t="s">
        <v>155</v>
      </c>
      <c r="L313" s="46">
        <v>1.3575745379591835</v>
      </c>
      <c r="M313" s="41" t="s">
        <v>156</v>
      </c>
    </row>
    <row r="314" spans="1:13" x14ac:dyDescent="0.25">
      <c r="A314" s="22" t="str">
        <f>TabVMAzureEnvProjet[[#This Row],[Client]] &amp; " .:. "  &amp; TabVMAzureEnvProjet[[#This Row],[Projet]]</f>
        <v>INETUM .:. INETUM-INTERNE</v>
      </c>
      <c r="B314" s="22" t="str">
        <f>IF(TabVMAzureEnvProjet[[#This Row],[Projet AzureDevOps]]&lt;&gt;"",TabVMAzureEnvProjet[[#This Row],[Projet AzureDevOps]],TabVMAzureEnvProjet[[#This Row],[VM]])</f>
        <v>GFI-TENDER</v>
      </c>
      <c r="C314" s="13" t="s">
        <v>111</v>
      </c>
      <c r="E314" t="s">
        <v>4</v>
      </c>
      <c r="F314" t="s">
        <v>102</v>
      </c>
      <c r="G314" t="str">
        <f>LOOKUP(TabVMAzureEnvProjet[[#This Row],[Projet]],TabProjets[NomProj],TabProjets[SYGES])</f>
        <v>INETUM/PROJET_INTERNE</v>
      </c>
      <c r="H314" t="str">
        <f>LOOKUP(TabVMAzureEnvProjet[[#This Row],[Projet]],TabProjets[NomProj],TabProjets[CP])</f>
        <v>Christophe ORLANDO</v>
      </c>
      <c r="I314">
        <f>LOOKUP(TabVMAzureEnvProjet[[#This Row],[Code SYGES]],TabCONTRATSDI[Contrat SYGES],TabCONTRATSDI[Cost Center])</f>
        <v>305704</v>
      </c>
      <c r="J314" s="22" t="str">
        <f>LOOKUP(TabVMAzureEnvProjet[[#This Row],[Code SYGES]],TabCONTRATSDI[Contrat SYGES],TabCONTRATSDI[Client])</f>
        <v>INETUM</v>
      </c>
      <c r="K314" t="s">
        <v>155</v>
      </c>
      <c r="L314" s="46">
        <v>3.028210445663265</v>
      </c>
      <c r="M314" s="41" t="s">
        <v>156</v>
      </c>
    </row>
    <row r="315" spans="1:13" x14ac:dyDescent="0.25">
      <c r="A315" s="22" t="str">
        <f>TabVMAzureEnvProjet[[#This Row],[Client]] &amp; " .:. "  &amp; TabVMAzureEnvProjet[[#This Row],[Projet]]</f>
        <v>GFI .:. GFI-WAAC</v>
      </c>
      <c r="B315" s="22" t="str">
        <f>IF(TabVMAzureEnvProjet[[#This Row],[Projet AzureDevOps]]&lt;&gt;"",TabVMAzureEnvProjet[[#This Row],[Projet AzureDevOps]],TabVMAzureEnvProjet[[#This Row],[VM]])</f>
        <v>GFI-WAAC</v>
      </c>
      <c r="C315" s="13" t="s">
        <v>38</v>
      </c>
      <c r="E315" t="s">
        <v>4</v>
      </c>
      <c r="F315" t="s">
        <v>38</v>
      </c>
      <c r="G315" t="str">
        <f>LOOKUP(TabVMAzureEnvProjet[[#This Row],[Projet]],TabProjets[NomProj],TabProjets[SYGES])</f>
        <v>383928 - WAAC 1.0</v>
      </c>
      <c r="H315" t="str">
        <f>LOOKUP(TabVMAzureEnvProjet[[#This Row],[Projet]],TabProjets[NomProj],TabProjets[CP])</f>
        <v>Laurent MARCIANIAK</v>
      </c>
      <c r="I315">
        <f>LOOKUP(TabVMAzureEnvProjet[[#This Row],[Code SYGES]],TabCONTRATSDI[Contrat SYGES],TabCONTRATSDI[Cost Center])</f>
        <v>100973</v>
      </c>
      <c r="J315" s="22" t="str">
        <f>LOOKUP(TabVMAzureEnvProjet[[#This Row],[Code SYGES]],TabCONTRATSDI[Contrat SYGES],TabCONTRATSDI[Client])</f>
        <v>GFI</v>
      </c>
      <c r="K315" t="s">
        <v>155</v>
      </c>
      <c r="L315" s="46">
        <v>41.698142482602471</v>
      </c>
      <c r="M315" s="41" t="s">
        <v>156</v>
      </c>
    </row>
    <row r="316" spans="1:13" x14ac:dyDescent="0.25">
      <c r="A316" s="22" t="str">
        <f>TabVMAzureEnvProjet[[#This Row],[Client]] &amp; " .:. "  &amp; TabVMAzureEnvProjet[[#This Row],[Projet]]</f>
        <v>GLI .:. GLI-APIBIOMETRIE</v>
      </c>
      <c r="B316" s="22" t="str">
        <f>IF(TabVMAzureEnvProjet[[#This Row],[Projet AzureDevOps]]&lt;&gt;"",TabVMAzureEnvProjet[[#This Row],[Projet AzureDevOps]],TabVMAzureEnvProjet[[#This Row],[VM]])</f>
        <v>GLI-APIBiometrie</v>
      </c>
      <c r="C316" s="13" t="s">
        <v>42</v>
      </c>
      <c r="E316" t="s">
        <v>4</v>
      </c>
      <c r="F316" t="s">
        <v>41</v>
      </c>
      <c r="G316" t="str">
        <f>LOOKUP(TabVMAzureEnvProjet[[#This Row],[Projet]],TabProjets[NomProj],TabProjets[SYGES])</f>
        <v>GLI/BIOMETRIE</v>
      </c>
      <c r="H316" t="str">
        <f>LOOKUP(TabVMAzureEnvProjet[[#This Row],[Projet]],TabProjets[NomProj],TabProjets[CP])</f>
        <v>Rodolphe HABEGGER</v>
      </c>
      <c r="I316">
        <f>LOOKUP(TabVMAzureEnvProjet[[#This Row],[Code SYGES]],TabCONTRATSDI[Contrat SYGES],TabCONTRATSDI[Cost Center])</f>
        <v>305704</v>
      </c>
      <c r="J316" s="22" t="str">
        <f>LOOKUP(TabVMAzureEnvProjet[[#This Row],[Code SYGES]],TabCONTRATSDI[Contrat SYGES],TabCONTRATSDI[Client])</f>
        <v>GLI</v>
      </c>
      <c r="K316" t="s">
        <v>155</v>
      </c>
      <c r="L316" s="46">
        <v>7.3543251483909149</v>
      </c>
      <c r="M316" s="41" t="s">
        <v>156</v>
      </c>
    </row>
    <row r="317" spans="1:13" x14ac:dyDescent="0.25">
      <c r="A317" s="22" t="str">
        <f>TabVMAzureEnvProjet[[#This Row],[Client]] &amp; " .:. "  &amp; TabVMAzureEnvProjet[[#This Row],[Projet]]</f>
        <v>LAPOSTE .:. LAPOSTE-CDC</v>
      </c>
      <c r="B317" s="22" t="str">
        <f>IF(TabVMAzureEnvProjet[[#This Row],[Projet AzureDevOps]]&lt;&gt;"",TabVMAzureEnvProjet[[#This Row],[Projet AzureDevOps]],TabVMAzureEnvProjet[[#This Row],[VM]])</f>
        <v>LAPOSTE-F4N-Musee</v>
      </c>
      <c r="C317" s="13" t="s">
        <v>83</v>
      </c>
      <c r="E317" t="s">
        <v>4</v>
      </c>
      <c r="F317" t="s">
        <v>82</v>
      </c>
      <c r="G317" t="str">
        <f>LOOKUP(TabVMAzureEnvProjet[[#This Row],[Projet]],TabProjets[NomProj],TabProjets[SYGES])</f>
        <v>LA-POSTE/CDC_DRUPAL</v>
      </c>
      <c r="H317" t="str">
        <f>LOOKUP(TabVMAzureEnvProjet[[#This Row],[Projet]],TabProjets[NomProj],TabProjets[CP])</f>
        <v>Rodolphe HABEGGER</v>
      </c>
      <c r="I317">
        <f>LOOKUP(TabVMAzureEnvProjet[[#This Row],[Code SYGES]],TabCONTRATSDI[Contrat SYGES],TabCONTRATSDI[Cost Center])</f>
        <v>305704</v>
      </c>
      <c r="J317" s="22" t="str">
        <f>LOOKUP(TabVMAzureEnvProjet[[#This Row],[Code SYGES]],TabCONTRATSDI[Contrat SYGES],TabCONTRATSDI[Client])</f>
        <v>LAPOSTE</v>
      </c>
      <c r="K317" t="s">
        <v>155</v>
      </c>
      <c r="L317" s="46">
        <v>2.3874586702040812</v>
      </c>
      <c r="M317" s="41" t="s">
        <v>156</v>
      </c>
    </row>
    <row r="318" spans="1:13" x14ac:dyDescent="0.25">
      <c r="A318" s="22" t="str">
        <f>TabVMAzureEnvProjet[[#This Row],[Client]] &amp; " .:. "  &amp; TabVMAzureEnvProjet[[#This Row],[Projet]]</f>
        <v>LAPOSTE .:. LAPOSTE-CDC</v>
      </c>
      <c r="B318" s="22" t="str">
        <f>IF(TabVMAzureEnvProjet[[#This Row],[Projet AzureDevOps]]&lt;&gt;"",TabVMAzureEnvProjet[[#This Row],[Projet AzureDevOps]],TabVMAzureEnvProjet[[#This Row],[VM]])</f>
        <v>LAPOSTE-LPK-PortailVoyage</v>
      </c>
      <c r="C318" s="13" t="s">
        <v>84</v>
      </c>
      <c r="E318" t="s">
        <v>4</v>
      </c>
      <c r="F318" t="s">
        <v>82</v>
      </c>
      <c r="G318" t="str">
        <f>LOOKUP(TabVMAzureEnvProjet[[#This Row],[Projet]],TabProjets[NomProj],TabProjets[SYGES])</f>
        <v>LA-POSTE/CDC_DRUPAL</v>
      </c>
      <c r="H318" t="str">
        <f>LOOKUP(TabVMAzureEnvProjet[[#This Row],[Projet]],TabProjets[NomProj],TabProjets[CP])</f>
        <v>Rodolphe HABEGGER</v>
      </c>
      <c r="I318">
        <f>LOOKUP(TabVMAzureEnvProjet[[#This Row],[Code SYGES]],TabCONTRATSDI[Contrat SYGES],TabCONTRATSDI[Cost Center])</f>
        <v>305704</v>
      </c>
      <c r="J318" s="22" t="str">
        <f>LOOKUP(TabVMAzureEnvProjet[[#This Row],[Code SYGES]],TabCONTRATSDI[Contrat SYGES],TabCONTRATSDI[Client])</f>
        <v>LAPOSTE</v>
      </c>
      <c r="K318" t="s">
        <v>155</v>
      </c>
      <c r="L318" s="46">
        <v>1.1515977115102038</v>
      </c>
      <c r="M318" s="41" t="s">
        <v>156</v>
      </c>
    </row>
    <row r="319" spans="1:13" x14ac:dyDescent="0.25">
      <c r="A319" s="22" t="str">
        <f>TabVMAzureEnvProjet[[#This Row],[Client]] &amp; " .:. "  &amp; TabVMAzureEnvProjet[[#This Row],[Projet]]</f>
        <v>LAPOSTE .:. LAPOSTE-CDC</v>
      </c>
      <c r="B319" s="22" t="str">
        <f>IF(TabVMAzureEnvProjet[[#This Row],[Projet AzureDevOps]]&lt;&gt;"",TabVMAzureEnvProjet[[#This Row],[Projet AzureDevOps]],TabVMAzureEnvProjet[[#This Row],[VM]])</f>
        <v>LAPOSTE-LPM-IntranetDHA</v>
      </c>
      <c r="C319" s="13" t="s">
        <v>85</v>
      </c>
      <c r="E319" t="s">
        <v>4</v>
      </c>
      <c r="F319" t="s">
        <v>82</v>
      </c>
      <c r="G319" t="str">
        <f>LOOKUP(TabVMAzureEnvProjet[[#This Row],[Projet]],TabProjets[NomProj],TabProjets[SYGES])</f>
        <v>LA-POSTE/CDC_DRUPAL</v>
      </c>
      <c r="H319" t="str">
        <f>LOOKUP(TabVMAzureEnvProjet[[#This Row],[Projet]],TabProjets[NomProj],TabProjets[CP])</f>
        <v>Rodolphe HABEGGER</v>
      </c>
      <c r="I319">
        <f>LOOKUP(TabVMAzureEnvProjet[[#This Row],[Code SYGES]],TabCONTRATSDI[Contrat SYGES],TabCONTRATSDI[Cost Center])</f>
        <v>305704</v>
      </c>
      <c r="J319" s="22" t="str">
        <f>LOOKUP(TabVMAzureEnvProjet[[#This Row],[Code SYGES]],TabCONTRATSDI[Contrat SYGES],TabCONTRATSDI[Client])</f>
        <v>LAPOSTE</v>
      </c>
      <c r="K319" t="s">
        <v>155</v>
      </c>
      <c r="L319" s="46">
        <v>1.9240108106938774</v>
      </c>
      <c r="M319" s="41" t="s">
        <v>156</v>
      </c>
    </row>
    <row r="320" spans="1:13" x14ac:dyDescent="0.25">
      <c r="A320" s="22" t="str">
        <f>TabVMAzureEnvProjet[[#This Row],[Client]] &amp; " .:. "  &amp; TabVMAzureEnvProjet[[#This Row],[Projet]]</f>
        <v>MENESR .:. MENJ-APAE</v>
      </c>
      <c r="B320" s="22" t="str">
        <f>IF(TabVMAzureEnvProjet[[#This Row],[Projet AzureDevOps]]&lt;&gt;"",TabVMAzureEnvProjet[[#This Row],[Projet AzureDevOps]],TabVMAzureEnvProjet[[#This Row],[VM]])</f>
        <v>MENJ-APAE</v>
      </c>
      <c r="C320" s="13" t="s">
        <v>44</v>
      </c>
      <c r="E320" t="s">
        <v>4</v>
      </c>
      <c r="F320" t="s">
        <v>44</v>
      </c>
      <c r="G320" t="str">
        <f>LOOKUP(TabVMAzureEnvProjet[[#This Row],[Projet]],TabProjets[NomProj],TabProjets[SYGES])</f>
        <v>MENESR/TMA</v>
      </c>
      <c r="H320" t="str">
        <f>LOOKUP(TabVMAzureEnvProjet[[#This Row],[Projet]],TabProjets[NomProj],TabProjets[CP])</f>
        <v>Pierre BOURLIEUX</v>
      </c>
      <c r="I320">
        <f>LOOKUP(TabVMAzureEnvProjet[[#This Row],[Code SYGES]],TabCONTRATSDI[Contrat SYGES],TabCONTRATSDI[Cost Center])</f>
        <v>305704</v>
      </c>
      <c r="J320" s="22" t="str">
        <f>LOOKUP(TabVMAzureEnvProjet[[#This Row],[Code SYGES]],TabCONTRATSDI[Contrat SYGES],TabCONTRATSDI[Client])</f>
        <v>MENESR</v>
      </c>
      <c r="K320" t="s">
        <v>155</v>
      </c>
      <c r="L320" s="46">
        <v>1.5668951440583088</v>
      </c>
      <c r="M320" s="41" t="s">
        <v>156</v>
      </c>
    </row>
    <row r="321" spans="1:13" x14ac:dyDescent="0.25">
      <c r="A321" s="22" t="str">
        <f>TabVMAzureEnvProjet[[#This Row],[Client]] &amp; " .:. "  &amp; TabVMAzureEnvProjet[[#This Row],[Projet]]</f>
        <v>MENESR .:. MENJ-BI</v>
      </c>
      <c r="B321" s="22" t="str">
        <f>IF(TabVMAzureEnvProjet[[#This Row],[Projet AzureDevOps]]&lt;&gt;"",TabVMAzureEnvProjet[[#This Row],[Projet AzureDevOps]],TabVMAzureEnvProjet[[#This Row],[VM]])</f>
        <v>MENJ-BI</v>
      </c>
      <c r="C321" s="13" t="s">
        <v>51</v>
      </c>
      <c r="E321" t="s">
        <v>4</v>
      </c>
      <c r="F321" t="s">
        <v>51</v>
      </c>
      <c r="G321" t="str">
        <f>LOOKUP(TabVMAzureEnvProjet[[#This Row],[Projet]],TabProjets[NomProj],TabProjets[SYGES])</f>
        <v>MENESR/TMA</v>
      </c>
      <c r="H321" t="str">
        <f>LOOKUP(TabVMAzureEnvProjet[[#This Row],[Projet]],TabProjets[NomProj],TabProjets[CP])</f>
        <v>Eric PERROUD</v>
      </c>
      <c r="I321">
        <f>LOOKUP(TabVMAzureEnvProjet[[#This Row],[Code SYGES]],TabCONTRATSDI[Contrat SYGES],TabCONTRATSDI[Cost Center])</f>
        <v>305704</v>
      </c>
      <c r="J321" s="22" t="str">
        <f>LOOKUP(TabVMAzureEnvProjet[[#This Row],[Code SYGES]],TabCONTRATSDI[Contrat SYGES],TabCONTRATSDI[Client])</f>
        <v>MENESR</v>
      </c>
      <c r="K321" t="s">
        <v>155</v>
      </c>
      <c r="L321" s="46">
        <v>4.6344785951020402</v>
      </c>
      <c r="M321" s="41" t="s">
        <v>156</v>
      </c>
    </row>
    <row r="322" spans="1:13" x14ac:dyDescent="0.25">
      <c r="A322" s="22" t="str">
        <f>TabVMAzureEnvProjet[[#This Row],[Client]] &amp; " .:. "  &amp; TabVMAzureEnvProjet[[#This Row],[Projet]]</f>
        <v>MENESR .:. MENJ-BNIE</v>
      </c>
      <c r="B322" s="22" t="str">
        <f>IF(TabVMAzureEnvProjet[[#This Row],[Projet AzureDevOps]]&lt;&gt;"",TabVMAzureEnvProjet[[#This Row],[Projet AzureDevOps]],TabVMAzureEnvProjet[[#This Row],[VM]])</f>
        <v>MENJ-BNIE-BDD</v>
      </c>
      <c r="C322" s="13" t="s">
        <v>46</v>
      </c>
      <c r="E322" t="s">
        <v>4</v>
      </c>
      <c r="F322" t="s">
        <v>45</v>
      </c>
      <c r="G322" t="str">
        <f>LOOKUP(TabVMAzureEnvProjet[[#This Row],[Projet]],TabProjets[NomProj],TabProjets[SYGES])</f>
        <v>MENESR/TMA</v>
      </c>
      <c r="H322" t="str">
        <f>LOOKUP(TabVMAzureEnvProjet[[#This Row],[Projet]],TabProjets[NomProj],TabProjets[CP])</f>
        <v>Pierre BOURLIEUX</v>
      </c>
      <c r="I322">
        <f>LOOKUP(TabVMAzureEnvProjet[[#This Row],[Code SYGES]],TabCONTRATSDI[Contrat SYGES],TabCONTRATSDI[Cost Center])</f>
        <v>305704</v>
      </c>
      <c r="J322" s="22" t="str">
        <f>LOOKUP(TabVMAzureEnvProjet[[#This Row],[Code SYGES]],TabCONTRATSDI[Contrat SYGES],TabCONTRATSDI[Client])</f>
        <v>MENESR</v>
      </c>
      <c r="K322" t="s">
        <v>155</v>
      </c>
      <c r="L322" s="46">
        <v>4.5462028123381923</v>
      </c>
      <c r="M322" s="41" t="s">
        <v>156</v>
      </c>
    </row>
    <row r="323" spans="1:13" x14ac:dyDescent="0.25">
      <c r="A323" s="22" t="str">
        <f>TabVMAzureEnvProjet[[#This Row],[Client]] &amp; " .:. "  &amp; TabVMAzureEnvProjet[[#This Row],[Projet]]</f>
        <v>MENESR .:. MENJ-BNIE</v>
      </c>
      <c r="B323" s="22" t="str">
        <f>IF(TabVMAzureEnvProjet[[#This Row],[Projet AzureDevOps]]&lt;&gt;"",TabVMAzureEnvProjet[[#This Row],[Projet AzureDevOps]],TabVMAzureEnvProjet[[#This Row],[VM]])</f>
        <v>MENJ-BNIE-Webservices</v>
      </c>
      <c r="C323" s="13" t="s">
        <v>47</v>
      </c>
      <c r="E323" t="s">
        <v>4</v>
      </c>
      <c r="F323" t="s">
        <v>45</v>
      </c>
      <c r="G323" t="str">
        <f>LOOKUP(TabVMAzureEnvProjet[[#This Row],[Projet]],TabProjets[NomProj],TabProjets[SYGES])</f>
        <v>MENESR/TMA</v>
      </c>
      <c r="H323" t="str">
        <f>LOOKUP(TabVMAzureEnvProjet[[#This Row],[Projet]],TabProjets[NomProj],TabProjets[CP])</f>
        <v>Pierre BOURLIEUX</v>
      </c>
      <c r="I323">
        <f>LOOKUP(TabVMAzureEnvProjet[[#This Row],[Code SYGES]],TabCONTRATSDI[Contrat SYGES],TabCONTRATSDI[Cost Center])</f>
        <v>305704</v>
      </c>
      <c r="J323" s="22" t="str">
        <f>LOOKUP(TabVMAzureEnvProjet[[#This Row],[Code SYGES]],TabCONTRATSDI[Contrat SYGES],TabCONTRATSDI[Client])</f>
        <v>MENESR</v>
      </c>
      <c r="K323" t="s">
        <v>155</v>
      </c>
      <c r="L323" s="46">
        <v>0.63999942503790086</v>
      </c>
      <c r="M323" s="41" t="s">
        <v>156</v>
      </c>
    </row>
    <row r="324" spans="1:13" x14ac:dyDescent="0.25">
      <c r="A324" s="22" t="str">
        <f>TabVMAzureEnvProjet[[#This Row],[Client]] &amp; " .:. "  &amp; TabVMAzureEnvProjet[[#This Row],[Projet]]</f>
        <v>MENESR .:. MENJ-RNIE</v>
      </c>
      <c r="B324" s="22" t="str">
        <f>IF(TabVMAzureEnvProjet[[#This Row],[Projet AzureDevOps]]&lt;&gt;"",TabVMAzureEnvProjet[[#This Row],[Projet AzureDevOps]],TabVMAzureEnvProjet[[#This Row],[VM]])</f>
        <v>MENJ-RNIE-BDD</v>
      </c>
      <c r="C324" s="13" t="s">
        <v>49</v>
      </c>
      <c r="E324" t="s">
        <v>4</v>
      </c>
      <c r="F324" t="s">
        <v>48</v>
      </c>
      <c r="G324" t="str">
        <f>LOOKUP(TabVMAzureEnvProjet[[#This Row],[Projet]],TabProjets[NomProj],TabProjets[SYGES])</f>
        <v>MENESR/TMA</v>
      </c>
      <c r="H324" t="str">
        <f>LOOKUP(TabVMAzureEnvProjet[[#This Row],[Projet]],TabProjets[NomProj],TabProjets[CP])</f>
        <v>Pierre BOURLIEUX</v>
      </c>
      <c r="I324">
        <f>LOOKUP(TabVMAzureEnvProjet[[#This Row],[Code SYGES]],TabCONTRATSDI[Contrat SYGES],TabCONTRATSDI[Cost Center])</f>
        <v>305704</v>
      </c>
      <c r="J324" s="22" t="str">
        <f>LOOKUP(TabVMAzureEnvProjet[[#This Row],[Code SYGES]],TabCONTRATSDI[Contrat SYGES],TabCONTRATSDI[Client])</f>
        <v>MENESR</v>
      </c>
      <c r="K324" t="s">
        <v>155</v>
      </c>
      <c r="L324" s="46">
        <v>1.5668951440583088</v>
      </c>
      <c r="M324" s="41" t="s">
        <v>156</v>
      </c>
    </row>
    <row r="325" spans="1:13" x14ac:dyDescent="0.25">
      <c r="A325" s="22" t="str">
        <f>TabVMAzureEnvProjet[[#This Row],[Client]] &amp; " .:. "  &amp; TabVMAzureEnvProjet[[#This Row],[Projet]]</f>
        <v>MENESR .:. MENJ-RNIE</v>
      </c>
      <c r="B325" s="22" t="str">
        <f>IF(TabVMAzureEnvProjet[[#This Row],[Projet AzureDevOps]]&lt;&gt;"",TabVMAzureEnvProjet[[#This Row],[Projet AzureDevOps]],TabVMAzureEnvProjet[[#This Row],[VM]])</f>
        <v>MENJ-RNIE-Webservices</v>
      </c>
      <c r="C325" s="13" t="s">
        <v>50</v>
      </c>
      <c r="E325" t="s">
        <v>4</v>
      </c>
      <c r="F325" t="s">
        <v>48</v>
      </c>
      <c r="G325" t="str">
        <f>LOOKUP(TabVMAzureEnvProjet[[#This Row],[Projet]],TabProjets[NomProj],TabProjets[SYGES])</f>
        <v>MENESR/TMA</v>
      </c>
      <c r="H325" t="str">
        <f>LOOKUP(TabVMAzureEnvProjet[[#This Row],[Projet]],TabProjets[NomProj],TabProjets[CP])</f>
        <v>Pierre BOURLIEUX</v>
      </c>
      <c r="I325">
        <f>LOOKUP(TabVMAzureEnvProjet[[#This Row],[Code SYGES]],TabCONTRATSDI[Contrat SYGES],TabCONTRATSDI[Cost Center])</f>
        <v>305704</v>
      </c>
      <c r="J325" s="22" t="str">
        <f>LOOKUP(TabVMAzureEnvProjet[[#This Row],[Code SYGES]],TabCONTRATSDI[Contrat SYGES],TabCONTRATSDI[Client])</f>
        <v>MENESR</v>
      </c>
      <c r="K325" t="s">
        <v>155</v>
      </c>
      <c r="L325" s="46">
        <v>2.5700937791570855</v>
      </c>
      <c r="M325" s="41" t="s">
        <v>156</v>
      </c>
    </row>
    <row r="326" spans="1:13" x14ac:dyDescent="0.25">
      <c r="A326" s="22" t="str">
        <f>TabVMAzureEnvProjet[[#This Row],[Client]] &amp; " .:. "  &amp; TabVMAzureEnvProjet[[#This Row],[Projet]]</f>
        <v>AFB .:. OFB-CMONSPOT</v>
      </c>
      <c r="B326" s="22" t="str">
        <f>IF(TabVMAzureEnvProjet[[#This Row],[Projet AzureDevOps]]&lt;&gt;"",TabVMAzureEnvProjet[[#This Row],[Projet AzureDevOps]],TabVMAzureEnvProjet[[#This Row],[VM]])</f>
        <v>OFB-CMONSPOT</v>
      </c>
      <c r="C326" s="13" t="s">
        <v>12</v>
      </c>
      <c r="E326" t="s">
        <v>4</v>
      </c>
      <c r="F326" t="s">
        <v>12</v>
      </c>
      <c r="G326" t="str">
        <f>LOOKUP(TabVMAzureEnvProjet[[#This Row],[Projet]],TabProjets[NomProj],TabProjets[SYGES])</f>
        <v>AFB/OFB_LOT2</v>
      </c>
      <c r="H326" t="str">
        <f>LOOKUP(TabVMAzureEnvProjet[[#This Row],[Projet]],TabProjets[NomProj],TabProjets[CP])</f>
        <v>Pierre BOURLIEUX</v>
      </c>
      <c r="I326">
        <f>LOOKUP(TabVMAzureEnvProjet[[#This Row],[Code SYGES]],TabCONTRATSDI[Contrat SYGES],TabCONTRATSDI[Cost Center])</f>
        <v>305704</v>
      </c>
      <c r="J326" s="22" t="str">
        <f>LOOKUP(TabVMAzureEnvProjet[[#This Row],[Code SYGES]],TabCONTRATSDI[Contrat SYGES],TabCONTRATSDI[Client])</f>
        <v>AFB</v>
      </c>
      <c r="K326" t="s">
        <v>155</v>
      </c>
      <c r="L326" s="46">
        <v>1.0833846066472304</v>
      </c>
      <c r="M326" s="41" t="s">
        <v>156</v>
      </c>
    </row>
    <row r="327" spans="1:13" x14ac:dyDescent="0.25">
      <c r="A327" s="22" t="str">
        <f>TabVMAzureEnvProjet[[#This Row],[Client]] &amp; " .:. "  &amp; TabVMAzureEnvProjet[[#This Row],[Projet]]</f>
        <v>OFB .:. OFB-NATUREFRANCE</v>
      </c>
      <c r="B327" s="22" t="str">
        <f>IF(TabVMAzureEnvProjet[[#This Row],[Projet AzureDevOps]]&lt;&gt;"",TabVMAzureEnvProjet[[#This Row],[Projet AzureDevOps]],TabVMAzureEnvProjet[[#This Row],[VM]])</f>
        <v>OFB-NatureFrance</v>
      </c>
      <c r="C327" s="13" t="s">
        <v>79</v>
      </c>
      <c r="E327" t="s">
        <v>4</v>
      </c>
      <c r="F327" t="s">
        <v>78</v>
      </c>
      <c r="G327" t="str">
        <f>LOOKUP(TabVMAzureEnvProjet[[#This Row],[Projet]],TabProjets[NomProj],TabProjets[SYGES])</f>
        <v>AFB OFB_LOT2 -9-1 NATURE FRANCE</v>
      </c>
      <c r="H327" t="str">
        <f>LOOKUP(TabVMAzureEnvProjet[[#This Row],[Projet]],TabProjets[NomProj],TabProjets[CP])</f>
        <v>Rodolphe HABEGGER</v>
      </c>
      <c r="I327">
        <f>LOOKUP(TabVMAzureEnvProjet[[#This Row],[Code SYGES]],TabCONTRATSDI[Contrat SYGES],TabCONTRATSDI[Cost Center])</f>
        <v>305704</v>
      </c>
      <c r="J327" s="22" t="str">
        <f>LOOKUP(TabVMAzureEnvProjet[[#This Row],[Code SYGES]],TabCONTRATSDI[Contrat SYGES],TabCONTRATSDI[Client])</f>
        <v>OFB</v>
      </c>
      <c r="K327" t="s">
        <v>155</v>
      </c>
      <c r="L327" s="46">
        <v>6.4849029377652991</v>
      </c>
      <c r="M327" s="41" t="s">
        <v>156</v>
      </c>
    </row>
    <row r="328" spans="1:13" x14ac:dyDescent="0.25">
      <c r="A328" s="22" t="str">
        <f>TabVMAzureEnvProjet[[#This Row],[Client]] &amp; " .:. "  &amp; TabVMAzureEnvProjet[[#This Row],[Projet]]</f>
        <v>AFB .:. OFB-SISPEA</v>
      </c>
      <c r="B328" s="22" t="str">
        <f>IF(TabVMAzureEnvProjet[[#This Row],[Projet AzureDevOps]]&lt;&gt;"",TabVMAzureEnvProjet[[#This Row],[Projet AzureDevOps]],TabVMAzureEnvProjet[[#This Row],[VM]])</f>
        <v>OFB-SISPEA</v>
      </c>
      <c r="C328" s="13" t="s">
        <v>9</v>
      </c>
      <c r="E328" t="s">
        <v>4</v>
      </c>
      <c r="F328" t="s">
        <v>9</v>
      </c>
      <c r="G328" t="str">
        <f>LOOKUP(TabVMAzureEnvProjet[[#This Row],[Projet]],TabProjets[NomProj],TabProjets[SYGES])</f>
        <v>AFB/OFB_LOT2</v>
      </c>
      <c r="H328" t="str">
        <f>LOOKUP(TabVMAzureEnvProjet[[#This Row],[Projet]],TabProjets[NomProj],TabProjets[CP])</f>
        <v>Pierre BOURLIEUX</v>
      </c>
      <c r="I328">
        <f>LOOKUP(TabVMAzureEnvProjet[[#This Row],[Code SYGES]],TabCONTRATSDI[Contrat SYGES],TabCONTRATSDI[Cost Center])</f>
        <v>305704</v>
      </c>
      <c r="J328" s="22" t="str">
        <f>LOOKUP(TabVMAzureEnvProjet[[#This Row],[Code SYGES]],TabCONTRATSDI[Contrat SYGES],TabCONTRATSDI[Client])</f>
        <v>AFB</v>
      </c>
      <c r="K328" t="s">
        <v>155</v>
      </c>
      <c r="L328" s="46">
        <v>5.717863201749271</v>
      </c>
      <c r="M328" s="41" t="s">
        <v>156</v>
      </c>
    </row>
    <row r="329" spans="1:13" x14ac:dyDescent="0.25">
      <c r="A329" s="22" t="str">
        <f>TabVMAzureEnvProjet[[#This Row],[Client]] &amp; " .:. "  &amp; TabVMAzureEnvProjet[[#This Row],[Projet]]</f>
        <v>PCM .:. PCM-ALS</v>
      </c>
      <c r="B329" s="22" t="str">
        <f>IF(TabVMAzureEnvProjet[[#This Row],[Projet AzureDevOps]]&lt;&gt;"",TabVMAzureEnvProjet[[#This Row],[Projet AzureDevOps]],TabVMAzureEnvProjet[[#This Row],[VM]])</f>
        <v>PCM-ALS</v>
      </c>
      <c r="C329" s="13" t="s">
        <v>71</v>
      </c>
      <c r="E329" t="s">
        <v>4</v>
      </c>
      <c r="F329" t="s">
        <v>71</v>
      </c>
      <c r="G329" t="str">
        <f>LOOKUP(TabVMAzureEnvProjet[[#This Row],[Projet]],TabProjets[NomProj],TabProjets[SYGES])</f>
        <v>PCM/WEB</v>
      </c>
      <c r="H329" t="str">
        <f>LOOKUP(TabVMAzureEnvProjet[[#This Row],[Projet]],TabProjets[NomProj],TabProjets[CP])</f>
        <v>Alice MARCHAL</v>
      </c>
      <c r="I329">
        <f>LOOKUP(TabVMAzureEnvProjet[[#This Row],[Code SYGES]],TabCONTRATSDI[Contrat SYGES],TabCONTRATSDI[Cost Center])</f>
        <v>305704</v>
      </c>
      <c r="J329" s="22" t="str">
        <f>LOOKUP(TabVMAzureEnvProjet[[#This Row],[Code SYGES]],TabCONTRATSDI[Contrat SYGES],TabCONTRATSDI[Client])</f>
        <v>PCM</v>
      </c>
      <c r="K329" t="s">
        <v>155</v>
      </c>
      <c r="L329" s="46">
        <v>7.5709770844399253</v>
      </c>
      <c r="M329" s="41" t="s">
        <v>156</v>
      </c>
    </row>
    <row r="330" spans="1:13" x14ac:dyDescent="0.25">
      <c r="A330" s="22" t="str">
        <f>TabVMAzureEnvProjet[[#This Row],[Client]] &amp; " .:. "  &amp; TabVMAzureEnvProjet[[#This Row],[Projet]]</f>
        <v>PCM .:. PCM-WEB</v>
      </c>
      <c r="B330" s="22" t="str">
        <f>IF(TabVMAzureEnvProjet[[#This Row],[Projet AzureDevOps]]&lt;&gt;"",TabVMAzureEnvProjet[[#This Row],[Projet AzureDevOps]],TabVMAzureEnvProjet[[#This Row],[VM]])</f>
        <v>PCM-Web</v>
      </c>
      <c r="C330" s="13" t="s">
        <v>73</v>
      </c>
      <c r="E330" t="s">
        <v>4</v>
      </c>
      <c r="F330" t="s">
        <v>72</v>
      </c>
      <c r="G330" t="str">
        <f>LOOKUP(TabVMAzureEnvProjet[[#This Row],[Projet]],TabProjets[NomProj],TabProjets[SYGES])</f>
        <v>PCM/WEB</v>
      </c>
      <c r="H330" t="str">
        <f>LOOKUP(TabVMAzureEnvProjet[[#This Row],[Projet]],TabProjets[NomProj],TabProjets[CP])</f>
        <v>Rodolphe HABEGGER</v>
      </c>
      <c r="I330">
        <f>LOOKUP(TabVMAzureEnvProjet[[#This Row],[Code SYGES]],TabCONTRATSDI[Contrat SYGES],TabCONTRATSDI[Cost Center])</f>
        <v>305704</v>
      </c>
      <c r="J330" s="22" t="str">
        <f>LOOKUP(TabVMAzureEnvProjet[[#This Row],[Code SYGES]],TabCONTRATSDI[Contrat SYGES],TabCONTRATSDI[Client])</f>
        <v>PCM</v>
      </c>
      <c r="K330" t="s">
        <v>155</v>
      </c>
      <c r="L330" s="46">
        <v>3.3272279408775507</v>
      </c>
      <c r="M330" s="41" t="s">
        <v>156</v>
      </c>
    </row>
    <row r="331" spans="1:13" x14ac:dyDescent="0.25">
      <c r="A331" s="22" t="str">
        <f>TabVMAzureEnvProjet[[#This Row],[Client]] &amp; " .:. "  &amp; TabVMAzureEnvProjet[[#This Row],[Projet]]</f>
        <v>SAFT .:. SAFT-PDM</v>
      </c>
      <c r="B331" s="22" t="str">
        <f>IF(TabVMAzureEnvProjet[[#This Row],[Projet AzureDevOps]]&lt;&gt;"",TabVMAzureEnvProjet[[#This Row],[Projet AzureDevOps]],TabVMAzureEnvProjet[[#This Row],[VM]])</f>
        <v>SAFT-PDM</v>
      </c>
      <c r="C331" s="13" t="s">
        <v>94</v>
      </c>
      <c r="E331" t="s">
        <v>4</v>
      </c>
      <c r="F331" t="s">
        <v>94</v>
      </c>
      <c r="G331" t="str">
        <f>LOOKUP(TabVMAzureEnvProjet[[#This Row],[Projet]],TabProjets[NomProj],TabProjets[SYGES])</f>
        <v>SAFT/TMA</v>
      </c>
      <c r="H331" t="str">
        <f>LOOKUP(TabVMAzureEnvProjet[[#This Row],[Projet]],TabProjets[NomProj],TabProjets[CP])</f>
        <v>Pierre BOURLIEUX</v>
      </c>
      <c r="I331">
        <f>LOOKUP(TabVMAzureEnvProjet[[#This Row],[Code SYGES]],TabCONTRATSDI[Contrat SYGES],TabCONTRATSDI[Cost Center])</f>
        <v>305704</v>
      </c>
      <c r="J331" s="22" t="str">
        <f>LOOKUP(TabVMAzureEnvProjet[[#This Row],[Code SYGES]],TabCONTRATSDI[Contrat SYGES],TabCONTRATSDI[Client])</f>
        <v>SAFT</v>
      </c>
      <c r="K331" t="s">
        <v>155</v>
      </c>
      <c r="L331" s="46">
        <v>3.028210445663265</v>
      </c>
      <c r="M331" s="41" t="s">
        <v>156</v>
      </c>
    </row>
    <row r="332" spans="1:13" x14ac:dyDescent="0.25">
      <c r="A332" s="22" t="str">
        <f>TabVMAzureEnvProjet[[#This Row],[Client]] &amp; " .:. "  &amp; TabVMAzureEnvProjet[[#This Row],[Projet]]</f>
        <v>SPC .:. SPC-BUILD</v>
      </c>
      <c r="B332" s="22" t="str">
        <f>IF(TabVMAzureEnvProjet[[#This Row],[Projet AzureDevOps]]&lt;&gt;"",TabVMAzureEnvProjet[[#This Row],[Projet AzureDevOps]],TabVMAzureEnvProjet[[#This Row],[VM]])</f>
        <v>SPC-BUILD</v>
      </c>
      <c r="C332" s="13" t="s">
        <v>67</v>
      </c>
      <c r="E332" t="s">
        <v>4</v>
      </c>
      <c r="F332" t="s">
        <v>67</v>
      </c>
      <c r="G332" t="str">
        <f>LOOKUP(TabVMAzureEnvProjet[[#This Row],[Projet]],TabProjets[NomProj],TabProjets[SYGES])</f>
        <v>SPC/BUILD</v>
      </c>
      <c r="H332" t="str">
        <f>LOOKUP(TabVMAzureEnvProjet[[#This Row],[Projet]],TabProjets[NomProj],TabProjets[CP])</f>
        <v>Nicolas DURFORT</v>
      </c>
      <c r="I332">
        <f>LOOKUP(TabVMAzureEnvProjet[[#This Row],[Code SYGES]],TabCONTRATSDI[Contrat SYGES],TabCONTRATSDI[Cost Center])</f>
        <v>305704</v>
      </c>
      <c r="J332" s="22" t="str">
        <f>LOOKUP(TabVMAzureEnvProjet[[#This Row],[Code SYGES]],TabCONTRATSDI[Contrat SYGES],TabCONTRATSDI[Client])</f>
        <v>SPC</v>
      </c>
      <c r="K332" t="s">
        <v>155</v>
      </c>
      <c r="L332" s="46">
        <v>37.06700578888092</v>
      </c>
      <c r="M332" s="41" t="s">
        <v>156</v>
      </c>
    </row>
    <row r="333" spans="1:13" x14ac:dyDescent="0.25">
      <c r="A333" s="22" t="str">
        <f>TabVMAzureEnvProjet[[#This Row],[Client]] &amp; " .:. "  &amp; TabVMAzureEnvProjet[[#This Row],[Projet]]</f>
        <v>SPC .:. SPC-WEB</v>
      </c>
      <c r="B333" s="22" t="str">
        <f>IF(TabVMAzureEnvProjet[[#This Row],[Projet AzureDevOps]]&lt;&gt;"",TabVMAzureEnvProjet[[#This Row],[Projet AzureDevOps]],TabVMAzureEnvProjet[[#This Row],[VM]])</f>
        <v>SPC-WEB</v>
      </c>
      <c r="C333" s="13" t="s">
        <v>69</v>
      </c>
      <c r="E333" t="s">
        <v>4</v>
      </c>
      <c r="F333" t="s">
        <v>69</v>
      </c>
      <c r="G333" t="str">
        <f>LOOKUP(TabVMAzureEnvProjet[[#This Row],[Projet]],TabProjets[NomProj],TabProjets[SYGES])</f>
        <v>SPC/BUILD-0-1-SITE-WEB</v>
      </c>
      <c r="H333" t="str">
        <f>LOOKUP(TabVMAzureEnvProjet[[#This Row],[Projet]],TabProjets[NomProj],TabProjets[CP])</f>
        <v>Nicolas DURFORT</v>
      </c>
      <c r="I333">
        <f>LOOKUP(TabVMAzureEnvProjet[[#This Row],[Code SYGES]],TabCONTRATSDI[Contrat SYGES],TabCONTRATSDI[Cost Center])</f>
        <v>305704</v>
      </c>
      <c r="J333" s="22" t="str">
        <f>LOOKUP(TabVMAzureEnvProjet[[#This Row],[Code SYGES]],TabCONTRATSDI[Contrat SYGES],TabCONTRATSDI[Client])</f>
        <v>SPC</v>
      </c>
      <c r="K333" t="s">
        <v>155</v>
      </c>
      <c r="L333" s="46">
        <v>2.5611592236090224</v>
      </c>
      <c r="M333" s="41" t="s">
        <v>156</v>
      </c>
    </row>
    <row r="334" spans="1:13" x14ac:dyDescent="0.25">
      <c r="A334" s="22" t="str">
        <f>TabVMAzureEnvProjet[[#This Row],[Client]] &amp; " .:. "  &amp; TabVMAzureEnvProjet[[#This Row],[Projet]]</f>
        <v>ALM .:. ALM-ATOUT</v>
      </c>
      <c r="B334" s="22" t="str">
        <f>IF(TabVMAzureEnvProjet[[#This Row],[Projet AzureDevOps]]&lt;&gt;"",TabVMAzureEnvProjet[[#This Row],[Projet AzureDevOps]],TabVMAzureEnvProjet[[#This Row],[VM]])</f>
        <v>ALM-ATOUT-VM</v>
      </c>
      <c r="D334" t="s">
        <v>18</v>
      </c>
      <c r="E334" t="s">
        <v>6</v>
      </c>
      <c r="F334" t="s">
        <v>17</v>
      </c>
      <c r="G334" t="str">
        <f>LOOKUP(TabVMAzureEnvProjet[[#This Row],[Projet]],TabProjets[NomProj],TabProjets[SYGES])</f>
        <v>ALM/TMA_ATOUT</v>
      </c>
      <c r="H334" t="str">
        <f>LOOKUP(TabVMAzureEnvProjet[[#This Row],[Projet]],TabProjets[NomProj],TabProjets[CP])</f>
        <v>Alice MARCHAL</v>
      </c>
      <c r="I334">
        <f>LOOKUP(TabVMAzureEnvProjet[[#This Row],[Code SYGES]],TabCONTRATSDI[Contrat SYGES],TabCONTRATSDI[Cost Center])</f>
        <v>305704</v>
      </c>
      <c r="J334" s="22" t="str">
        <f>LOOKUP(TabVMAzureEnvProjet[[#This Row],[Code SYGES]],TabCONTRATSDI[Contrat SYGES],TabCONTRATSDI[Client])</f>
        <v>ALM</v>
      </c>
      <c r="K334" t="s">
        <v>155</v>
      </c>
      <c r="L334" s="31">
        <v>83.47</v>
      </c>
      <c r="M334" s="40" t="s">
        <v>157</v>
      </c>
    </row>
    <row r="335" spans="1:13" x14ac:dyDescent="0.25">
      <c r="A335" s="22" t="str">
        <f>TabVMAzureEnvProjet[[#This Row],[Client]] &amp; " .:. "  &amp; TabVMAzureEnvProjet[[#This Row],[Projet]]</f>
        <v>BRGM .:. BRGM-ORRM</v>
      </c>
      <c r="B335" s="22" t="str">
        <f>IF(TabVMAzureEnvProjet[[#This Row],[Projet AzureDevOps]]&lt;&gt;"",TabVMAzureEnvProjet[[#This Row],[Projet AzureDevOps]],TabVMAzureEnvProjet[[#This Row],[VM]])</f>
        <v>BRGM-ORRM-VM</v>
      </c>
      <c r="D335" t="s">
        <v>22</v>
      </c>
      <c r="E335" t="s">
        <v>21</v>
      </c>
      <c r="F335" t="s">
        <v>20</v>
      </c>
      <c r="G335" t="str">
        <f>LOOKUP(TabVMAzureEnvProjet[[#This Row],[Projet]],TabProjets[NomProj],TabProjets[SYGES])</f>
        <v>BRGM/TMA-5-1-ORRM-LOT1</v>
      </c>
      <c r="H335" t="str">
        <f>LOOKUP(TabVMAzureEnvProjet[[#This Row],[Projet]],TabProjets[NomProj],TabProjets[CP])</f>
        <v>Alice MARCHAL</v>
      </c>
      <c r="I335">
        <f>LOOKUP(TabVMAzureEnvProjet[[#This Row],[Code SYGES]],TabCONTRATSDI[Contrat SYGES],TabCONTRATSDI[Cost Center])</f>
        <v>305704</v>
      </c>
      <c r="J335" s="22" t="str">
        <f>LOOKUP(TabVMAzureEnvProjet[[#This Row],[Code SYGES]],TabCONTRATSDI[Contrat SYGES],TabCONTRATSDI[Client])</f>
        <v>BRGM</v>
      </c>
      <c r="K335" t="s">
        <v>155</v>
      </c>
      <c r="L335" s="31">
        <v>8.31</v>
      </c>
      <c r="M335" s="40" t="s">
        <v>157</v>
      </c>
    </row>
    <row r="336" spans="1:13" x14ac:dyDescent="0.25">
      <c r="A336" s="22" t="str">
        <f>TabVMAzureEnvProjet[[#This Row],[Client]] &amp; " .:. "  &amp; TabVMAzureEnvProjet[[#This Row],[Projet]]</f>
        <v>CA-TITRES .:. CATITRES-COMX</v>
      </c>
      <c r="B336" s="22" t="str">
        <f>IF(TabVMAzureEnvProjet[[#This Row],[Projet AzureDevOps]]&lt;&gt;"",TabVMAzureEnvProjet[[#This Row],[Projet AzureDevOps]],TabVMAzureEnvProjet[[#This Row],[VM]])</f>
        <v>CATITRES-COMX-VM</v>
      </c>
      <c r="D336" t="s">
        <v>25</v>
      </c>
      <c r="E336" t="s">
        <v>10</v>
      </c>
      <c r="F336" t="s">
        <v>24</v>
      </c>
      <c r="G336" t="str">
        <f>LOOKUP(TabVMAzureEnvProjet[[#This Row],[Projet]],TabProjets[NomProj],TabProjets[SYGES])</f>
        <v>CA-TITRES/TMA</v>
      </c>
      <c r="H336" t="str">
        <f>LOOKUP(TabVMAzureEnvProjet[[#This Row],[Projet]],TabProjets[NomProj],TabProjets[CP])</f>
        <v>Jean-Philippe STROIAZZO</v>
      </c>
      <c r="I336">
        <f>LOOKUP(TabVMAzureEnvProjet[[#This Row],[Code SYGES]],TabCONTRATSDI[Contrat SYGES],TabCONTRATSDI[Cost Center])</f>
        <v>305704</v>
      </c>
      <c r="J336" s="22" t="str">
        <f>LOOKUP(TabVMAzureEnvProjet[[#This Row],[Code SYGES]],TabCONTRATSDI[Contrat SYGES],TabCONTRATSDI[Client])</f>
        <v>CA-TITRES</v>
      </c>
      <c r="K336" t="s">
        <v>155</v>
      </c>
      <c r="L336" s="31">
        <v>139.36000000000001</v>
      </c>
      <c r="M336" s="40" t="s">
        <v>157</v>
      </c>
    </row>
    <row r="337" spans="1:13" x14ac:dyDescent="0.25">
      <c r="A337" s="22" t="str">
        <f>TabVMAzureEnvProjet[[#This Row],[Client]] &amp; " .:. "  &amp; TabVMAzureEnvProjet[[#This Row],[Projet]]</f>
        <v>EBR .:. EBR-LAPOSTE</v>
      </c>
      <c r="B337" s="22" t="str">
        <f>IF(TabVMAzureEnvProjet[[#This Row],[Projet AzureDevOps]]&lt;&gt;"",TabVMAzureEnvProjet[[#This Row],[Projet AzureDevOps]],TabVMAzureEnvProjet[[#This Row],[VM]])</f>
        <v>EBR-LAPOSTE-VM</v>
      </c>
      <c r="D337" t="s">
        <v>76</v>
      </c>
      <c r="E337" t="s">
        <v>10</v>
      </c>
      <c r="F337" t="s">
        <v>75</v>
      </c>
      <c r="G337" t="str">
        <f>LOOKUP(TabVMAzureEnvProjet[[#This Row],[Projet]],TabProjets[NomProj],TabProjets[SYGES])</f>
        <v>EBR/TMA</v>
      </c>
      <c r="H337" t="str">
        <f>LOOKUP(TabVMAzureEnvProjet[[#This Row],[Projet]],TabProjets[NomProj],TabProjets[CP])</f>
        <v>Valerie ASSELIN LOZACHMEUR</v>
      </c>
      <c r="I337">
        <f>LOOKUP(TabVMAzureEnvProjet[[#This Row],[Code SYGES]],TabCONTRATSDI[Contrat SYGES],TabCONTRATSDI[Cost Center])</f>
        <v>305704</v>
      </c>
      <c r="J337" s="22" t="str">
        <f>LOOKUP(TabVMAzureEnvProjet[[#This Row],[Code SYGES]],TabCONTRATSDI[Contrat SYGES],TabCONTRATSDI[Client])</f>
        <v>EBR</v>
      </c>
      <c r="K337" t="s">
        <v>155</v>
      </c>
      <c r="L337" s="31">
        <v>112.1</v>
      </c>
      <c r="M337" s="40" t="s">
        <v>157</v>
      </c>
    </row>
    <row r="338" spans="1:13" x14ac:dyDescent="0.25">
      <c r="A338" s="22" t="str">
        <f>TabVMAzureEnvProjet[[#This Row],[Client]] &amp; " .:. "  &amp; TabVMAzureEnvProjet[[#This Row],[Projet]]</f>
        <v>INETUM .:. INETUM-INTERNE</v>
      </c>
      <c r="B338" s="22" t="str">
        <f>IF(TabVMAzureEnvProjet[[#This Row],[Projet AzureDevOps]]&lt;&gt;"",TabVMAzureEnvProjet[[#This Row],[Projet AzureDevOps]],TabVMAzureEnvProjet[[#This Row],[VM]])</f>
        <v>GFI-PMT-VM</v>
      </c>
      <c r="D338" t="s">
        <v>121</v>
      </c>
      <c r="E338" t="s">
        <v>10</v>
      </c>
      <c r="F338" t="s">
        <v>102</v>
      </c>
      <c r="G338" t="str">
        <f>LOOKUP(TabVMAzureEnvProjet[[#This Row],[Projet]],TabProjets[NomProj],TabProjets[SYGES])</f>
        <v>INETUM/PROJET_INTERNE</v>
      </c>
      <c r="H338" t="str">
        <f>LOOKUP(TabVMAzureEnvProjet[[#This Row],[Projet]],TabProjets[NomProj],TabProjets[CP])</f>
        <v>Christophe ORLANDO</v>
      </c>
      <c r="I338">
        <f>LOOKUP(TabVMAzureEnvProjet[[#This Row],[Code SYGES]],TabCONTRATSDI[Contrat SYGES],TabCONTRATSDI[Cost Center])</f>
        <v>305704</v>
      </c>
      <c r="J338" s="22" t="str">
        <f>LOOKUP(TabVMAzureEnvProjet[[#This Row],[Code SYGES]],TabCONTRATSDI[Contrat SYGES],TabCONTRATSDI[Client])</f>
        <v>INETUM</v>
      </c>
      <c r="K338" t="s">
        <v>155</v>
      </c>
      <c r="L338" s="31">
        <v>19.84</v>
      </c>
      <c r="M338" s="40" t="s">
        <v>157</v>
      </c>
    </row>
    <row r="339" spans="1:13" x14ac:dyDescent="0.25">
      <c r="A339" s="34" t="str">
        <f>TabVMAzureEnvProjet[[#This Row],[Client]] &amp; " .:. "  &amp; TabVMAzureEnvProjet[[#This Row],[Projet]]</f>
        <v>MENESR .:. MENJ-BI</v>
      </c>
      <c r="B339" s="22" t="str">
        <f>IF(TabVMAzureEnvProjet[[#This Row],[Projet AzureDevOps]]&lt;&gt;"",TabVMAzureEnvProjet[[#This Row],[Projet AzureDevOps]],TabVMAzureEnvProjet[[#This Row],[VM]])</f>
        <v>MENJ-BI-VM</v>
      </c>
      <c r="D339" t="s">
        <v>52</v>
      </c>
      <c r="E339" t="s">
        <v>6</v>
      </c>
      <c r="F339" t="s">
        <v>51</v>
      </c>
      <c r="G339" t="str">
        <f>LOOKUP(TabVMAzureEnvProjet[[#This Row],[Projet]],TabProjets[NomProj],TabProjets[SYGES])</f>
        <v>MENESR/TMA</v>
      </c>
      <c r="H339" t="str">
        <f>LOOKUP(TabVMAzureEnvProjet[[#This Row],[Projet]],TabProjets[NomProj],TabProjets[CP])</f>
        <v>Eric PERROUD</v>
      </c>
      <c r="I339">
        <f>LOOKUP(TabVMAzureEnvProjet[[#This Row],[Code SYGES]],TabCONTRATSDI[Contrat SYGES],TabCONTRATSDI[Cost Center])</f>
        <v>305704</v>
      </c>
      <c r="J339" s="22" t="str">
        <f>LOOKUP(TabVMAzureEnvProjet[[#This Row],[Code SYGES]],TabCONTRATSDI[Contrat SYGES],TabCONTRATSDI[Client])</f>
        <v>MENESR</v>
      </c>
      <c r="K339" t="s">
        <v>155</v>
      </c>
      <c r="L339" s="31">
        <v>3.92</v>
      </c>
      <c r="M339" s="40" t="s">
        <v>157</v>
      </c>
    </row>
    <row r="340" spans="1:13" x14ac:dyDescent="0.25">
      <c r="A340" s="34" t="str">
        <f>TabVMAzureEnvProjet[[#This Row],[Client]] &amp; " .:. "  &amp; TabVMAzureEnvProjet[[#This Row],[Projet]]</f>
        <v>AFB .:. AFB-NatureFrance</v>
      </c>
      <c r="B340" s="22" t="str">
        <f>IF(TabVMAzureEnvProjet[[#This Row],[Projet AzureDevOps]]&lt;&gt;"",TabVMAzureEnvProjet[[#This Row],[Projet AzureDevOps]],TabVMAzureEnvProjet[[#This Row],[VM]])</f>
        <v>OFB-FRANCENATURE-VM</v>
      </c>
      <c r="D340" t="s">
        <v>80</v>
      </c>
      <c r="E340" t="s">
        <v>6</v>
      </c>
      <c r="F340" t="s">
        <v>147</v>
      </c>
      <c r="G340" t="str">
        <f>LOOKUP(TabVMAzureEnvProjet[[#This Row],[Projet]],TabProjets[NomProj],TabProjets[SYGES])</f>
        <v>AFB/OFB_LOT2</v>
      </c>
      <c r="H340" t="str">
        <f>LOOKUP(TabVMAzureEnvProjet[[#This Row],[Projet]],TabProjets[NomProj],TabProjets[CP])</f>
        <v>Rodolphe HABEGGER</v>
      </c>
      <c r="I340">
        <f>LOOKUP(TabVMAzureEnvProjet[[#This Row],[Code SYGES]],TabCONTRATSDI[Contrat SYGES],TabCONTRATSDI[Cost Center])</f>
        <v>305704</v>
      </c>
      <c r="J340" s="22" t="str">
        <f>LOOKUP(TabVMAzureEnvProjet[[#This Row],[Code SYGES]],TabCONTRATSDI[Contrat SYGES],TabCONTRATSDI[Client])</f>
        <v>AFB</v>
      </c>
      <c r="K340" t="s">
        <v>155</v>
      </c>
      <c r="L340" s="31">
        <v>11.46</v>
      </c>
      <c r="M340" s="40" t="s">
        <v>157</v>
      </c>
    </row>
    <row r="341" spans="1:13" x14ac:dyDescent="0.25">
      <c r="A341" s="34" t="str">
        <f>TabVMAzureEnvProjet[[#This Row],[Client]] &amp; " .:. "  &amp; TabVMAzureEnvProjet[[#This Row],[Projet]]</f>
        <v>AFB .:. OFB-SISPEA</v>
      </c>
      <c r="B341" s="22" t="str">
        <f>IF(TabVMAzureEnvProjet[[#This Row],[Projet AzureDevOps]]&lt;&gt;"",TabVMAzureEnvProjet[[#This Row],[Projet AzureDevOps]],TabVMAzureEnvProjet[[#This Row],[VM]])</f>
        <v>OFB-SISPEA-VM</v>
      </c>
      <c r="D341" t="s">
        <v>11</v>
      </c>
      <c r="E341" t="s">
        <v>10</v>
      </c>
      <c r="F341" t="s">
        <v>9</v>
      </c>
      <c r="G341" t="str">
        <f>LOOKUP(TabVMAzureEnvProjet[[#This Row],[Projet]],TabProjets[NomProj],TabProjets[SYGES])</f>
        <v>AFB/OFB_LOT2</v>
      </c>
      <c r="H341" t="str">
        <f>LOOKUP(TabVMAzureEnvProjet[[#This Row],[Projet]],TabProjets[NomProj],TabProjets[CP])</f>
        <v>Pierre BOURLIEUX</v>
      </c>
      <c r="I341">
        <f>LOOKUP(TabVMAzureEnvProjet[[#This Row],[Code SYGES]],TabCONTRATSDI[Contrat SYGES],TabCONTRATSDI[Cost Center])</f>
        <v>305704</v>
      </c>
      <c r="J341" s="22" t="str">
        <f>LOOKUP(TabVMAzureEnvProjet[[#This Row],[Code SYGES]],TabCONTRATSDI[Contrat SYGES],TabCONTRATSDI[Client])</f>
        <v>AFB</v>
      </c>
      <c r="K341" t="s">
        <v>155</v>
      </c>
      <c r="L341" s="31">
        <v>27.06</v>
      </c>
      <c r="M341" s="40" t="s">
        <v>157</v>
      </c>
    </row>
    <row r="342" spans="1:13" x14ac:dyDescent="0.25">
      <c r="A342" s="34" t="str">
        <f>TabVMAzureEnvProjet[[#This Row],[Client]] &amp; " .:. "  &amp; TabVMAzureEnvProjet[[#This Row],[Projet]]</f>
        <v>SPC .:. SPC-BUILD</v>
      </c>
      <c r="B342" s="22" t="str">
        <f>IF(TabVMAzureEnvProjet[[#This Row],[Projet AzureDevOps]]&lt;&gt;"",TabVMAzureEnvProjet[[#This Row],[Projet AzureDevOps]],TabVMAzureEnvProjet[[#This Row],[VM]])</f>
        <v>SPC-BUILDAS-VM</v>
      </c>
      <c r="D342" t="s">
        <v>68</v>
      </c>
      <c r="E342" t="s">
        <v>10</v>
      </c>
      <c r="F342" t="s">
        <v>67</v>
      </c>
      <c r="G342" t="str">
        <f>LOOKUP(TabVMAzureEnvProjet[[#This Row],[Projet]],TabProjets[NomProj],TabProjets[SYGES])</f>
        <v>SPC/BUILD</v>
      </c>
      <c r="H342" t="str">
        <f>LOOKUP(TabVMAzureEnvProjet[[#This Row],[Projet]],TabProjets[NomProj],TabProjets[CP])</f>
        <v>Nicolas DURFORT</v>
      </c>
      <c r="I342">
        <f>LOOKUP(TabVMAzureEnvProjet[[#This Row],[Code SYGES]],TabCONTRATSDI[Contrat SYGES],TabCONTRATSDI[Cost Center])</f>
        <v>305704</v>
      </c>
      <c r="J342" s="22" t="str">
        <f>LOOKUP(TabVMAzureEnvProjet[[#This Row],[Code SYGES]],TabCONTRATSDI[Contrat SYGES],TabCONTRATSDI[Client])</f>
        <v>SPC</v>
      </c>
      <c r="K342" t="s">
        <v>155</v>
      </c>
      <c r="L342" s="31">
        <v>69.48</v>
      </c>
      <c r="M342" s="40" t="s">
        <v>157</v>
      </c>
    </row>
    <row r="343" spans="1:13" x14ac:dyDescent="0.25">
      <c r="A343" s="34" t="str">
        <f>TabVMAzureEnvProjet[[#This Row],[Client]] &amp; " .:. "  &amp; TabVMAzureEnvProjet[[#This Row],[Projet]]</f>
        <v>STMICRO .:. STMICRO-DATAPACK</v>
      </c>
      <c r="B343" s="22" t="str">
        <f>IF(TabVMAzureEnvProjet[[#This Row],[Projet AzureDevOps]]&lt;&gt;"",TabVMAzureEnvProjet[[#This Row],[Projet AzureDevOps]],TabVMAzureEnvProjet[[#This Row],[VM]])</f>
        <v>STMICRO-DATAPACK-VM</v>
      </c>
      <c r="D343" t="s">
        <v>97</v>
      </c>
      <c r="E343" t="s">
        <v>10</v>
      </c>
      <c r="F343" t="s">
        <v>96</v>
      </c>
      <c r="G343" t="str">
        <f>LOOKUP(TabVMAzureEnvProjet[[#This Row],[Projet]],TabProjets[NomProj],TabProjets[SYGES])</f>
        <v>STMICRO/TMASI</v>
      </c>
      <c r="H343" t="str">
        <f>LOOKUP(TabVMAzureEnvProjet[[#This Row],[Projet]],TabProjets[NomProj],TabProjets[CP])</f>
        <v>Jean-Philippe STROIAZZO</v>
      </c>
      <c r="I343">
        <f>LOOKUP(TabVMAzureEnvProjet[[#This Row],[Code SYGES]],TabCONTRATSDI[Contrat SYGES],TabCONTRATSDI[Cost Center])</f>
        <v>305704</v>
      </c>
      <c r="J343" s="22" t="str">
        <f>LOOKUP(TabVMAzureEnvProjet[[#This Row],[Code SYGES]],TabCONTRATSDI[Contrat SYGES],TabCONTRATSDI[Client])</f>
        <v>STMICRO</v>
      </c>
      <c r="K343" t="s">
        <v>155</v>
      </c>
      <c r="L343" s="31">
        <v>37.06</v>
      </c>
      <c r="M343" s="40" t="s">
        <v>157</v>
      </c>
    </row>
    <row r="344" spans="1:13" x14ac:dyDescent="0.25">
      <c r="A344" s="34" t="str">
        <f>TabVMAzureEnvProjet[[#This Row],[Client]] &amp; " .:. "  &amp; TabVMAzureEnvProjet[[#This Row],[Projet]]</f>
        <v>FRR .:. FRR-DIGIPAT</v>
      </c>
      <c r="B344" s="22" t="str">
        <f>IF(TabVMAzureEnvProjet[[#This Row],[Projet AzureDevOps]]&lt;&gt;"",TabVMAzureEnvProjet[[#This Row],[Projet AzureDevOps]],TabVMAzureEnvProjet[[#This Row],[VM]])</f>
        <v>FRR-DIGIPAT-VM</v>
      </c>
      <c r="D344" t="s">
        <v>31</v>
      </c>
      <c r="E344" t="s">
        <v>21</v>
      </c>
      <c r="F344" t="s">
        <v>29</v>
      </c>
      <c r="G344" t="str">
        <f>LOOKUP(TabVMAzureEnvProjet[[#This Row],[Projet]],TabProjets[NomProj],TabProjets[SYGES])</f>
        <v>FRR/TMASI</v>
      </c>
      <c r="H344" t="str">
        <f>LOOKUP(TabVMAzureEnvProjet[[#This Row],[Projet]],TabProjets[NomProj],TabProjets[CP])</f>
        <v>Alice MARCHAL</v>
      </c>
      <c r="I344">
        <f>LOOKUP(TabVMAzureEnvProjet[[#This Row],[Code SYGES]],TabCONTRATSDI[Contrat SYGES],TabCONTRATSDI[Cost Center])</f>
        <v>305704</v>
      </c>
      <c r="J344" s="22" t="str">
        <f>LOOKUP(TabVMAzureEnvProjet[[#This Row],[Code SYGES]],TabCONTRATSDI[Contrat SYGES],TabCONTRATSDI[Client])</f>
        <v>FRR</v>
      </c>
      <c r="K344" t="s">
        <v>155</v>
      </c>
      <c r="L344" s="31">
        <v>21.64</v>
      </c>
      <c r="M344" s="40" t="s">
        <v>157</v>
      </c>
    </row>
    <row r="345" spans="1:13" x14ac:dyDescent="0.25">
      <c r="A345" s="22" t="str">
        <f>TabVMAzureEnvProjet[[#This Row],[Client]] &amp; " .:. "  &amp; TabVMAzureEnvProjet[[#This Row],[Projet]]</f>
        <v>GFI .:. GFI-WAAC</v>
      </c>
      <c r="B345" s="22" t="str">
        <f>IF(TabVMAzureEnvProjet[[#This Row],[Projet AzureDevOps]]&lt;&gt;"",TabVMAzureEnvProjet[[#This Row],[Projet AzureDevOps]],TabVMAzureEnvProjet[[#This Row],[VM]])</f>
        <v>GFI-WAAC-VM</v>
      </c>
      <c r="D345" t="s">
        <v>39</v>
      </c>
      <c r="E345" t="s">
        <v>6</v>
      </c>
      <c r="F345" t="s">
        <v>38</v>
      </c>
      <c r="G345" t="str">
        <f>LOOKUP(TabVMAzureEnvProjet[[#This Row],[Projet]],TabProjets[NomProj],TabProjets[SYGES])</f>
        <v>383928 - WAAC 1.0</v>
      </c>
      <c r="H345" t="str">
        <f>LOOKUP(TabVMAzureEnvProjet[[#This Row],[Projet]],TabProjets[NomProj],TabProjets[CP])</f>
        <v>Laurent MARCIANIAK</v>
      </c>
      <c r="I345">
        <f>LOOKUP(TabVMAzureEnvProjet[[#This Row],[Code SYGES]],TabCONTRATSDI[Contrat SYGES],TabCONTRATSDI[Cost Center])</f>
        <v>100973</v>
      </c>
      <c r="J345" s="22" t="str">
        <f>LOOKUP(TabVMAzureEnvProjet[[#This Row],[Code SYGES]],TabCONTRATSDI[Contrat SYGES],TabCONTRATSDI[Client])</f>
        <v>GFI</v>
      </c>
      <c r="K345" t="s">
        <v>155</v>
      </c>
      <c r="L345" s="31">
        <v>3.84</v>
      </c>
      <c r="M345" s="40" t="s">
        <v>157</v>
      </c>
    </row>
    <row r="346" spans="1:13" x14ac:dyDescent="0.25">
      <c r="A346" s="22" t="str">
        <f>TabVMAzureEnvProjet[[#This Row],[Client]] &amp; " .:. "  &amp; TabVMAzureEnvProjet[[#This Row],[Projet]]</f>
        <v>LAPOSTE .:. LAPOSTE-CDC</v>
      </c>
      <c r="B346" s="22" t="str">
        <f>IF(TabVMAzureEnvProjet[[#This Row],[Projet AzureDevOps]]&lt;&gt;"",TabVMAzureEnvProjet[[#This Row],[Projet AzureDevOps]],TabVMAzureEnvProjet[[#This Row],[VM]])</f>
        <v>LAPOSTE-CDC-VM</v>
      </c>
      <c r="D346" t="s">
        <v>92</v>
      </c>
      <c r="E346" t="s">
        <v>10</v>
      </c>
      <c r="F346" t="s">
        <v>82</v>
      </c>
      <c r="G346" t="str">
        <f>LOOKUP(TabVMAzureEnvProjet[[#This Row],[Projet]],TabProjets[NomProj],TabProjets[SYGES])</f>
        <v>LA-POSTE/CDC_DRUPAL</v>
      </c>
      <c r="H346" t="str">
        <f>LOOKUP(TabVMAzureEnvProjet[[#This Row],[Projet]],TabProjets[NomProj],TabProjets[CP])</f>
        <v>Rodolphe HABEGGER</v>
      </c>
      <c r="I346">
        <f>LOOKUP(TabVMAzureEnvProjet[[#This Row],[Code SYGES]],TabCONTRATSDI[Contrat SYGES],TabCONTRATSDI[Cost Center])</f>
        <v>305704</v>
      </c>
      <c r="J346" s="22" t="str">
        <f>LOOKUP(TabVMAzureEnvProjet[[#This Row],[Code SYGES]],TabCONTRATSDI[Contrat SYGES],TabCONTRATSDI[Client])</f>
        <v>LAPOSTE</v>
      </c>
      <c r="K346" t="s">
        <v>155</v>
      </c>
      <c r="L346" s="31">
        <v>4.03</v>
      </c>
      <c r="M346" s="40" t="s">
        <v>157</v>
      </c>
    </row>
    <row r="347" spans="1:13" x14ac:dyDescent="0.25">
      <c r="A347" s="22" t="str">
        <f>TabVMAzureEnvProjet[[#This Row],[Client]] &amp; " .:. "  &amp; TabVMAzureEnvProjet[[#This Row],[Projet]]</f>
        <v>ONEMA .:. AFB-BASEINDICATEURS</v>
      </c>
      <c r="B347" s="22" t="str">
        <f>IF(TabVMAzureEnvProjet[[#This Row],[Projet AzureDevOps]]&lt;&gt;"",TabVMAzureEnvProjet[[#This Row],[Projet AzureDevOps]],TabVMAzureEnvProjet[[#This Row],[VM]])</f>
        <v>AFB-BaseIndicateurs</v>
      </c>
      <c r="C347" s="57" t="s">
        <v>58</v>
      </c>
      <c r="E347" t="s">
        <v>4</v>
      </c>
      <c r="F347" t="s">
        <v>57</v>
      </c>
      <c r="G347" t="str">
        <f>LOOKUP(TabVMAzureEnvProjet[[#This Row],[Projet]],TabProjets[NomProj],TabProjets[SYGES])</f>
        <v>ONEMA/TMADCUA-15</v>
      </c>
      <c r="H347" t="str">
        <f>LOOKUP(TabVMAzureEnvProjet[[#This Row],[Projet]],TabProjets[NomProj],TabProjets[CP])</f>
        <v>Pierre BOURLIEUX</v>
      </c>
      <c r="I347">
        <f>LOOKUP(TabVMAzureEnvProjet[[#This Row],[Code SYGES]],TabCONTRATSDI[Contrat SYGES],TabCONTRATSDI[Cost Center])</f>
        <v>305704</v>
      </c>
      <c r="J347" s="22" t="str">
        <f>LOOKUP(TabVMAzureEnvProjet[[#This Row],[Code SYGES]],TabCONTRATSDI[Contrat SYGES],TabCONTRATSDI[Client])</f>
        <v>ONEMA</v>
      </c>
      <c r="K347" t="s">
        <v>158</v>
      </c>
      <c r="L347" s="31">
        <v>0.54191800844999993</v>
      </c>
      <c r="M347" s="41" t="s">
        <v>159</v>
      </c>
    </row>
    <row r="348" spans="1:13" x14ac:dyDescent="0.25">
      <c r="A348" s="22" t="str">
        <f>TabVMAzureEnvProjet[[#This Row],[Client]] &amp; " .:. "  &amp; TabVMAzureEnvProjet[[#This Row],[Projet]]</f>
        <v>ONEMA .:. AFB-CATALOGUE</v>
      </c>
      <c r="B348" s="22" t="str">
        <f>IF(TabVMAzureEnvProjet[[#This Row],[Projet AzureDevOps]]&lt;&gt;"",TabVMAzureEnvProjet[[#This Row],[Projet AzureDevOps]],TabVMAzureEnvProjet[[#This Row],[VM]])</f>
        <v>AFB-Catalogue</v>
      </c>
      <c r="C348" s="57" t="s">
        <v>60</v>
      </c>
      <c r="E348" t="s">
        <v>4</v>
      </c>
      <c r="F348" t="s">
        <v>59</v>
      </c>
      <c r="G348" t="str">
        <f>LOOKUP(TabVMAzureEnvProjet[[#This Row],[Projet]],TabProjets[NomProj],TabProjets[SYGES])</f>
        <v>ONEMA/TMADCUA-15</v>
      </c>
      <c r="H348" t="str">
        <f>LOOKUP(TabVMAzureEnvProjet[[#This Row],[Projet]],TabProjets[NomProj],TabProjets[CP])</f>
        <v>Pierre BOURLIEUX</v>
      </c>
      <c r="I348">
        <f>LOOKUP(TabVMAzureEnvProjet[[#This Row],[Code SYGES]],TabCONTRATSDI[Contrat SYGES],TabCONTRATSDI[Cost Center])</f>
        <v>305704</v>
      </c>
      <c r="J348" s="22" t="str">
        <f>LOOKUP(TabVMAzureEnvProjet[[#This Row],[Code SYGES]],TabCONTRATSDI[Contrat SYGES],TabCONTRATSDI[Client])</f>
        <v>ONEMA</v>
      </c>
      <c r="K348" t="s">
        <v>158</v>
      </c>
      <c r="L348" s="31">
        <v>1.9538540440714285</v>
      </c>
      <c r="M348" s="41" t="s">
        <v>159</v>
      </c>
    </row>
    <row r="349" spans="1:13" x14ac:dyDescent="0.25">
      <c r="A349" s="22" t="str">
        <f>TabVMAzureEnvProjet[[#This Row],[Client]] &amp; " .:. "  &amp; TabVMAzureEnvProjet[[#This Row],[Projet]]</f>
        <v>ONEMA .:. AFB-CDR</v>
      </c>
      <c r="B349" s="22" t="str">
        <f>IF(TabVMAzureEnvProjet[[#This Row],[Projet AzureDevOps]]&lt;&gt;"",TabVMAzureEnvProjet[[#This Row],[Projet AzureDevOps]],TabVMAzureEnvProjet[[#This Row],[VM]])</f>
        <v>AFB-CDR</v>
      </c>
      <c r="C349" s="57" t="s">
        <v>61</v>
      </c>
      <c r="E349" t="s">
        <v>4</v>
      </c>
      <c r="F349" t="s">
        <v>61</v>
      </c>
      <c r="G349" t="str">
        <f>LOOKUP(TabVMAzureEnvProjet[[#This Row],[Projet]],TabProjets[NomProj],TabProjets[SYGES])</f>
        <v>ONEMA/TMAWEB-16</v>
      </c>
      <c r="H349" t="str">
        <f>LOOKUP(TabVMAzureEnvProjet[[#This Row],[Projet]],TabProjets[NomProj],TabProjets[CP])</f>
        <v>Pierre BOURLIEUX</v>
      </c>
      <c r="I349">
        <f>LOOKUP(TabVMAzureEnvProjet[[#This Row],[Code SYGES]],TabCONTRATSDI[Contrat SYGES],TabCONTRATSDI[Cost Center])</f>
        <v>305704</v>
      </c>
      <c r="J349" s="22" t="str">
        <f>LOOKUP(TabVMAzureEnvProjet[[#This Row],[Code SYGES]],TabCONTRATSDI[Contrat SYGES],TabCONTRATSDI[Client])</f>
        <v>ONEMA</v>
      </c>
      <c r="K349" t="s">
        <v>158</v>
      </c>
      <c r="L349" s="31">
        <v>8.353320436652405</v>
      </c>
      <c r="M349" s="41" t="s">
        <v>159</v>
      </c>
    </row>
    <row r="350" spans="1:13" x14ac:dyDescent="0.25">
      <c r="A350" s="22" t="str">
        <f>TabVMAzureEnvProjet[[#This Row],[Client]] &amp; " .:. "  &amp; TabVMAzureEnvProjet[[#This Row],[Projet]]</f>
        <v>AFB .:. AFB-CESMIA</v>
      </c>
      <c r="B350" s="22" t="str">
        <f>IF(TabVMAzureEnvProjet[[#This Row],[Projet AzureDevOps]]&lt;&gt;"",TabVMAzureEnvProjet[[#This Row],[Projet AzureDevOps]],TabVMAzureEnvProjet[[#This Row],[VM]])</f>
        <v>AFB-CESMIA</v>
      </c>
      <c r="C350" s="57" t="s">
        <v>3</v>
      </c>
      <c r="E350" t="s">
        <v>4</v>
      </c>
      <c r="F350" t="s">
        <v>3</v>
      </c>
      <c r="G350" t="str">
        <f>LOOKUP(TabVMAzureEnvProjet[[#This Row],[Projet]],TabProjets[NomProj],TabProjets[SYGES])</f>
        <v>AFB/OFB_LOT1</v>
      </c>
      <c r="H350" t="str">
        <f>LOOKUP(TabVMAzureEnvProjet[[#This Row],[Projet]],TabProjets[NomProj],TabProjets[CP])</f>
        <v>Jean-Philippe STROIAZZO</v>
      </c>
      <c r="I350">
        <f>LOOKUP(TabVMAzureEnvProjet[[#This Row],[Code SYGES]],TabCONTRATSDI[Contrat SYGES],TabCONTRATSDI[Cost Center])</f>
        <v>305704</v>
      </c>
      <c r="J350" s="22" t="str">
        <f>LOOKUP(TabVMAzureEnvProjet[[#This Row],[Code SYGES]],TabCONTRATSDI[Contrat SYGES],TabCONTRATSDI[Client])</f>
        <v>AFB</v>
      </c>
      <c r="K350" t="s">
        <v>158</v>
      </c>
      <c r="L350" s="31">
        <v>10.506672025636158</v>
      </c>
      <c r="M350" s="41" t="s">
        <v>159</v>
      </c>
    </row>
    <row r="351" spans="1:13" x14ac:dyDescent="0.25">
      <c r="A351" s="22" t="str">
        <f>TabVMAzureEnvProjet[[#This Row],[Client]] &amp; " .:. "  &amp; TabVMAzureEnvProjet[[#This Row],[Projet]]</f>
        <v>ONEMA .:. AFB-OISON</v>
      </c>
      <c r="B351" s="22" t="str">
        <f>IF(TabVMAzureEnvProjet[[#This Row],[Projet AzureDevOps]]&lt;&gt;"",TabVMAzureEnvProjet[[#This Row],[Projet AzureDevOps]],TabVMAzureEnvProjet[[#This Row],[VM]])</f>
        <v>AFB-OISON</v>
      </c>
      <c r="C351" s="57" t="s">
        <v>62</v>
      </c>
      <c r="E351" t="s">
        <v>4</v>
      </c>
      <c r="F351" t="s">
        <v>62</v>
      </c>
      <c r="G351" t="str">
        <f>LOOKUP(TabVMAzureEnvProjet[[#This Row],[Projet]],TabProjets[NomProj],TabProjets[SYGES])</f>
        <v>ONEMA/TMADCUA-15</v>
      </c>
      <c r="H351" t="str">
        <f>LOOKUP(TabVMAzureEnvProjet[[#This Row],[Projet]],TabProjets[NomProj],TabProjets[CP])</f>
        <v>Jean-Philippe STROIAZZO</v>
      </c>
      <c r="I351">
        <f>LOOKUP(TabVMAzureEnvProjet[[#This Row],[Code SYGES]],TabCONTRATSDI[Contrat SYGES],TabCONTRATSDI[Cost Center])</f>
        <v>305704</v>
      </c>
      <c r="J351" s="22" t="str">
        <f>LOOKUP(TabVMAzureEnvProjet[[#This Row],[Code SYGES]],TabCONTRATSDI[Contrat SYGES],TabCONTRATSDI[Client])</f>
        <v>ONEMA</v>
      </c>
      <c r="K351" t="s">
        <v>158</v>
      </c>
      <c r="L351" s="31">
        <v>1.4467125603733746</v>
      </c>
      <c r="M351" s="41" t="s">
        <v>159</v>
      </c>
    </row>
    <row r="352" spans="1:13" x14ac:dyDescent="0.25">
      <c r="A352" s="22" t="str">
        <f>TabVMAzureEnvProjet[[#This Row],[Client]] &amp; " .:. "  &amp; TabVMAzureEnvProjet[[#This Row],[Projet]]</f>
        <v>ONEMA .:. AFB-PATBIODIV</v>
      </c>
      <c r="B352" s="22" t="str">
        <f>IF(TabVMAzureEnvProjet[[#This Row],[Projet AzureDevOps]]&lt;&gt;"",TabVMAzureEnvProjet[[#This Row],[Projet AzureDevOps]],TabVMAzureEnvProjet[[#This Row],[VM]])</f>
        <v>AFB-PATBiodiv</v>
      </c>
      <c r="C352" s="57" t="s">
        <v>64</v>
      </c>
      <c r="E352" t="s">
        <v>4</v>
      </c>
      <c r="F352" t="s">
        <v>63</v>
      </c>
      <c r="G352" t="str">
        <f>LOOKUP(TabVMAzureEnvProjet[[#This Row],[Projet]],TabProjets[NomProj],TabProjets[SYGES])</f>
        <v>ONEMA/TMADCUA-15</v>
      </c>
      <c r="H352" t="str">
        <f>LOOKUP(TabVMAzureEnvProjet[[#This Row],[Projet]],TabProjets[NomProj],TabProjets[CP])</f>
        <v>Rodolphe HABEGGER</v>
      </c>
      <c r="I352">
        <f>LOOKUP(TabVMAzureEnvProjet[[#This Row],[Code SYGES]],TabCONTRATSDI[Contrat SYGES],TabCONTRATSDI[Cost Center])</f>
        <v>305704</v>
      </c>
      <c r="J352" s="22" t="str">
        <f>LOOKUP(TabVMAzureEnvProjet[[#This Row],[Code SYGES]],TabCONTRATSDI[Contrat SYGES],TabCONTRATSDI[Client])</f>
        <v>ONEMA</v>
      </c>
      <c r="K352" t="s">
        <v>158</v>
      </c>
      <c r="L352" s="31">
        <v>5.129788494953571</v>
      </c>
      <c r="M352" s="41" t="s">
        <v>159</v>
      </c>
    </row>
    <row r="353" spans="1:13" x14ac:dyDescent="0.25">
      <c r="A353" s="22" t="str">
        <f>TabVMAzureEnvProjet[[#This Row],[Client]] &amp; " .:. "  &amp; TabVMAzureEnvProjet[[#This Row],[Projet]]</f>
        <v>AFB .:. AFB-PNM</v>
      </c>
      <c r="B353" s="22" t="str">
        <f>IF(TabVMAzureEnvProjet[[#This Row],[Projet AzureDevOps]]&lt;&gt;"",TabVMAzureEnvProjet[[#This Row],[Projet AzureDevOps]],TabVMAzureEnvProjet[[#This Row],[VM]])</f>
        <v>AFB-PNM</v>
      </c>
      <c r="C353" s="57" t="s">
        <v>5</v>
      </c>
      <c r="E353" t="s">
        <v>4</v>
      </c>
      <c r="F353" t="s">
        <v>5</v>
      </c>
      <c r="G353" t="str">
        <f>LOOKUP(TabVMAzureEnvProjet[[#This Row],[Projet]],TabProjets[NomProj],TabProjets[SYGES])</f>
        <v>AFB/OFB_LOT2</v>
      </c>
      <c r="H353" t="str">
        <f>LOOKUP(TabVMAzureEnvProjet[[#This Row],[Projet]],TabProjets[NomProj],TabProjets[CP])</f>
        <v>Eric RAUCOURT</v>
      </c>
      <c r="I353">
        <f>LOOKUP(TabVMAzureEnvProjet[[#This Row],[Code SYGES]],TabCONTRATSDI[Contrat SYGES],TabCONTRATSDI[Cost Center])</f>
        <v>305704</v>
      </c>
      <c r="J353" s="22" t="str">
        <f>LOOKUP(TabVMAzureEnvProjet[[#This Row],[Code SYGES]],TabCONTRATSDI[Contrat SYGES],TabCONTRATSDI[Client])</f>
        <v>AFB</v>
      </c>
      <c r="K353" t="s">
        <v>158</v>
      </c>
      <c r="L353" s="31">
        <v>7.2929497215806531</v>
      </c>
      <c r="M353" s="41" t="s">
        <v>159</v>
      </c>
    </row>
    <row r="354" spans="1:13" x14ac:dyDescent="0.25">
      <c r="A354" s="22" t="str">
        <f>TabVMAzureEnvProjet[[#This Row],[Client]] &amp; " .:. "  &amp; TabVMAzureEnvProjet[[#This Row],[Projet]]</f>
        <v>AFB .:. AFB-PNX</v>
      </c>
      <c r="B354" s="22" t="str">
        <f>IF(TabVMAzureEnvProjet[[#This Row],[Projet AzureDevOps]]&lt;&gt;"",TabVMAzureEnvProjet[[#This Row],[Projet AzureDevOps]],TabVMAzureEnvProjet[[#This Row],[VM]])</f>
        <v>AFB-PNX</v>
      </c>
      <c r="C354" s="57" t="s">
        <v>8</v>
      </c>
      <c r="E354" t="s">
        <v>4</v>
      </c>
      <c r="F354" t="s">
        <v>8</v>
      </c>
      <c r="G354" t="str">
        <f>LOOKUP(TabVMAzureEnvProjet[[#This Row],[Projet]],TabProjets[NomProj],TabProjets[SYGES])</f>
        <v>AFB/OFB_LOT2</v>
      </c>
      <c r="H354" t="str">
        <f>LOOKUP(TabVMAzureEnvProjet[[#This Row],[Projet]],TabProjets[NomProj],TabProjets[CP])</f>
        <v>Pierre BOURLIEUX</v>
      </c>
      <c r="I354">
        <f>LOOKUP(TabVMAzureEnvProjet[[#This Row],[Code SYGES]],TabCONTRATSDI[Contrat SYGES],TabCONTRATSDI[Cost Center])</f>
        <v>305704</v>
      </c>
      <c r="J354" s="22" t="str">
        <f>LOOKUP(TabVMAzureEnvProjet[[#This Row],[Code SYGES]],TabCONTRATSDI[Contrat SYGES],TabCONTRATSDI[Client])</f>
        <v>AFB</v>
      </c>
      <c r="K354" t="s">
        <v>158</v>
      </c>
      <c r="L354" s="31">
        <v>2.5428600591263639</v>
      </c>
      <c r="M354" s="41" t="s">
        <v>159</v>
      </c>
    </row>
    <row r="355" spans="1:13" x14ac:dyDescent="0.25">
      <c r="A355" s="22" t="str">
        <f>TabVMAzureEnvProjet[[#This Row],[Client]] &amp; " .:. "  &amp; TabVMAzureEnvProjet[[#This Row],[Projet]]</f>
        <v>ONEMA .:. AFB-RAA</v>
      </c>
      <c r="B355" s="22" t="str">
        <f>IF(TabVMAzureEnvProjet[[#This Row],[Projet AzureDevOps]]&lt;&gt;"",TabVMAzureEnvProjet[[#This Row],[Projet AzureDevOps]],TabVMAzureEnvProjet[[#This Row],[VM]])</f>
        <v>AFB-RAA</v>
      </c>
      <c r="C355" s="57" t="s">
        <v>65</v>
      </c>
      <c r="E355" t="s">
        <v>4</v>
      </c>
      <c r="F355" t="s">
        <v>65</v>
      </c>
      <c r="G355" t="str">
        <f>LOOKUP(TabVMAzureEnvProjet[[#This Row],[Projet]],TabProjets[NomProj],TabProjets[SYGES])</f>
        <v>ONEMA/TMAWEB-16</v>
      </c>
      <c r="H355" t="str">
        <f>LOOKUP(TabVMAzureEnvProjet[[#This Row],[Projet]],TabProjets[NomProj],TabProjets[CP])</f>
        <v>Pierre BOURLIEUX</v>
      </c>
      <c r="I355">
        <f>LOOKUP(TabVMAzureEnvProjet[[#This Row],[Code SYGES]],TabCONTRATSDI[Contrat SYGES],TabCONTRATSDI[Cost Center])</f>
        <v>305704</v>
      </c>
      <c r="J355" s="22" t="str">
        <f>LOOKUP(TabVMAzureEnvProjet[[#This Row],[Code SYGES]],TabCONTRATSDI[Contrat SYGES],TabCONTRATSDI[Client])</f>
        <v>ONEMA</v>
      </c>
      <c r="K355" t="s">
        <v>158</v>
      </c>
      <c r="L355" s="31">
        <v>0.23225057504999999</v>
      </c>
      <c r="M355" s="41" t="s">
        <v>159</v>
      </c>
    </row>
    <row r="356" spans="1:13" x14ac:dyDescent="0.25">
      <c r="A356" s="22" t="str">
        <f>TabVMAzureEnvProjet[[#This Row],[Client]] &amp; " .:. "  &amp; TabVMAzureEnvProjet[[#This Row],[Projet]]</f>
        <v>ALM .:. ALM-ATOUT</v>
      </c>
      <c r="B356" s="22" t="str">
        <f>IF(TabVMAzureEnvProjet[[#This Row],[Projet AzureDevOps]]&lt;&gt;"",TabVMAzureEnvProjet[[#This Row],[Projet AzureDevOps]],TabVMAzureEnvProjet[[#This Row],[VM]])</f>
        <v>ALM-ATOUT</v>
      </c>
      <c r="C356" s="57" t="s">
        <v>17</v>
      </c>
      <c r="E356" t="s">
        <v>4</v>
      </c>
      <c r="F356" t="s">
        <v>17</v>
      </c>
      <c r="G356" t="str">
        <f>LOOKUP(TabVMAzureEnvProjet[[#This Row],[Projet]],TabProjets[NomProj],TabProjets[SYGES])</f>
        <v>ALM/TMA_ATOUT</v>
      </c>
      <c r="H356" t="str">
        <f>LOOKUP(TabVMAzureEnvProjet[[#This Row],[Projet]],TabProjets[NomProj],TabProjets[CP])</f>
        <v>Alice MARCHAL</v>
      </c>
      <c r="I356">
        <f>LOOKUP(TabVMAzureEnvProjet[[#This Row],[Code SYGES]],TabCONTRATSDI[Contrat SYGES],TabCONTRATSDI[Cost Center])</f>
        <v>305704</v>
      </c>
      <c r="J356" s="22" t="str">
        <f>LOOKUP(TabVMAzureEnvProjet[[#This Row],[Code SYGES]],TabCONTRATSDI[Contrat SYGES],TabCONTRATSDI[Client])</f>
        <v>ALM</v>
      </c>
      <c r="K356" t="s">
        <v>158</v>
      </c>
      <c r="L356" s="31">
        <v>8.3333622967462198</v>
      </c>
      <c r="M356" s="41" t="s">
        <v>159</v>
      </c>
    </row>
    <row r="357" spans="1:13" x14ac:dyDescent="0.25">
      <c r="A357" s="22" t="str">
        <f>TabVMAzureEnvProjet[[#This Row],[Client]] &amp; " .:. "  &amp; TabVMAzureEnvProjet[[#This Row],[Projet]]</f>
        <v>BRGM .:. BRGM-ORRM</v>
      </c>
      <c r="B357" s="22" t="str">
        <f>IF(TabVMAzureEnvProjet[[#This Row],[Projet AzureDevOps]]&lt;&gt;"",TabVMAzureEnvProjet[[#This Row],[Projet AzureDevOps]],TabVMAzureEnvProjet[[#This Row],[VM]])</f>
        <v>BRGM-ORRM</v>
      </c>
      <c r="C357" s="57" t="s">
        <v>20</v>
      </c>
      <c r="E357" t="s">
        <v>4</v>
      </c>
      <c r="F357" t="s">
        <v>20</v>
      </c>
      <c r="G357" t="str">
        <f>LOOKUP(TabVMAzureEnvProjet[[#This Row],[Projet]],TabProjets[NomProj],TabProjets[SYGES])</f>
        <v>BRGM/TMA-5-1-ORRM-LOT1</v>
      </c>
      <c r="H357" t="str">
        <f>LOOKUP(TabVMAzureEnvProjet[[#This Row],[Projet]],TabProjets[NomProj],TabProjets[CP])</f>
        <v>Alice MARCHAL</v>
      </c>
      <c r="I357">
        <f>LOOKUP(TabVMAzureEnvProjet[[#This Row],[Code SYGES]],TabCONTRATSDI[Contrat SYGES],TabCONTRATSDI[Cost Center])</f>
        <v>305704</v>
      </c>
      <c r="J357" s="22" t="str">
        <f>LOOKUP(TabVMAzureEnvProjet[[#This Row],[Code SYGES]],TabCONTRATSDI[Contrat SYGES],TabCONTRATSDI[Client])</f>
        <v>BRGM</v>
      </c>
      <c r="K357" t="s">
        <v>158</v>
      </c>
      <c r="L357" s="31">
        <v>4.7102867055675963</v>
      </c>
      <c r="M357" s="41" t="s">
        <v>159</v>
      </c>
    </row>
    <row r="358" spans="1:13" x14ac:dyDescent="0.25">
      <c r="A358" s="22" t="str">
        <f>TabVMAzureEnvProjet[[#This Row],[Client]] &amp; " .:. "  &amp; TabVMAzureEnvProjet[[#This Row],[Projet]]</f>
        <v>CNAV .:. CNAV-BI-RGCU</v>
      </c>
      <c r="B358" s="22" t="str">
        <f>IF(TabVMAzureEnvProjet[[#This Row],[Projet AzureDevOps]]&lt;&gt;"",TabVMAzureEnvProjet[[#This Row],[Projet AzureDevOps]],TabVMAzureEnvProjet[[#This Row],[VM]])</f>
        <v>CNAV-BI-RGCU</v>
      </c>
      <c r="C358" s="57" t="s">
        <v>27</v>
      </c>
      <c r="E358" t="s">
        <v>4</v>
      </c>
      <c r="F358" t="s">
        <v>27</v>
      </c>
      <c r="G358" t="str">
        <f>LOOKUP(TabVMAzureEnvProjet[[#This Row],[Projet]],TabProjets[NomProj],TabProjets[SYGES])</f>
        <v>CNAV/BI-SIRRGCU</v>
      </c>
      <c r="H358" t="str">
        <f>LOOKUP(TabVMAzureEnvProjet[[#This Row],[Projet]],TabProjets[NomProj],TabProjets[CP])</f>
        <v>Valerie ASSELIN LOZACHMEUR</v>
      </c>
      <c r="I358">
        <f>LOOKUP(TabVMAzureEnvProjet[[#This Row],[Code SYGES]],TabCONTRATSDI[Contrat SYGES],TabCONTRATSDI[Cost Center])</f>
        <v>305704</v>
      </c>
      <c r="J358" s="22" t="str">
        <f>LOOKUP(TabVMAzureEnvProjet[[#This Row],[Code SYGES]],TabCONTRATSDI[Contrat SYGES],TabCONTRATSDI[Client])</f>
        <v>CNAV</v>
      </c>
      <c r="K358" t="s">
        <v>158</v>
      </c>
      <c r="L358" s="31">
        <v>11.612528752500001</v>
      </c>
      <c r="M358" s="41" t="s">
        <v>159</v>
      </c>
    </row>
    <row r="359" spans="1:13" x14ac:dyDescent="0.25">
      <c r="A359" s="22" t="str">
        <f>TabVMAzureEnvProjet[[#This Row],[Client]] &amp; " .:. "  &amp; TabVMAzureEnvProjet[[#This Row],[Projet]]</f>
        <v>INETUM .:. INETUM-INTERNE</v>
      </c>
      <c r="B359" s="22" t="str">
        <f>IF(TabVMAzureEnvProjet[[#This Row],[Projet AzureDevOps]]&lt;&gt;"",TabVMAzureEnvProjet[[#This Row],[Projet AzureDevOps]],TabVMAzureEnvProjet[[#This Row],[VM]])</f>
        <v>d8-qa</v>
      </c>
      <c r="C359" s="57" t="s">
        <v>141</v>
      </c>
      <c r="E359" t="s">
        <v>4</v>
      </c>
      <c r="F359" t="s">
        <v>102</v>
      </c>
      <c r="G359" t="str">
        <f>LOOKUP(TabVMAzureEnvProjet[[#This Row],[Projet]],TabProjets[NomProj],TabProjets[SYGES])</f>
        <v>INETUM/PROJET_INTERNE</v>
      </c>
      <c r="H359" t="str">
        <f>LOOKUP(TabVMAzureEnvProjet[[#This Row],[Projet]],TabProjets[NomProj],TabProjets[CP])</f>
        <v>Christophe ORLANDO</v>
      </c>
      <c r="I359">
        <f>LOOKUP(TabVMAzureEnvProjet[[#This Row],[Code SYGES]],TabCONTRATSDI[Contrat SYGES],TabCONTRATSDI[Cost Center])</f>
        <v>305704</v>
      </c>
      <c r="J359" s="22" t="str">
        <f>LOOKUP(TabVMAzureEnvProjet[[#This Row],[Code SYGES]],TabCONTRATSDI[Contrat SYGES],TabCONTRATSDI[Client])</f>
        <v>INETUM</v>
      </c>
      <c r="K359" t="s">
        <v>158</v>
      </c>
      <c r="L359" s="31">
        <v>0.50548654569705886</v>
      </c>
      <c r="M359" s="41" t="s">
        <v>159</v>
      </c>
    </row>
    <row r="360" spans="1:13" x14ac:dyDescent="0.25">
      <c r="A360" s="22" t="str">
        <f>TabVMAzureEnvProjet[[#This Row],[Client]] &amp; " .:. "  &amp; TabVMAzureEnvProjet[[#This Row],[Projet]]</f>
        <v>INETUM .:. INETUM-INTERNE</v>
      </c>
      <c r="B360" s="22" t="str">
        <f>IF(TabVMAzureEnvProjet[[#This Row],[Projet AzureDevOps]]&lt;&gt;"",TabVMAzureEnvProjet[[#This Row],[Projet AzureDevOps]],TabVMAzureEnvProjet[[#This Row],[VM]])</f>
        <v>drupal-qa</v>
      </c>
      <c r="C360" s="57" t="s">
        <v>142</v>
      </c>
      <c r="E360" t="s">
        <v>4</v>
      </c>
      <c r="F360" t="s">
        <v>102</v>
      </c>
      <c r="G360" t="str">
        <f>LOOKUP(TabVMAzureEnvProjet[[#This Row],[Projet]],TabProjets[NomProj],TabProjets[SYGES])</f>
        <v>INETUM/PROJET_INTERNE</v>
      </c>
      <c r="H360" t="str">
        <f>LOOKUP(TabVMAzureEnvProjet[[#This Row],[Projet]],TabProjets[NomProj],TabProjets[CP])</f>
        <v>Christophe ORLANDO</v>
      </c>
      <c r="I360">
        <f>LOOKUP(TabVMAzureEnvProjet[[#This Row],[Code SYGES]],TabCONTRATSDI[Contrat SYGES],TabCONTRATSDI[Cost Center])</f>
        <v>305704</v>
      </c>
      <c r="J360" s="22" t="str">
        <f>LOOKUP(TabVMAzureEnvProjet[[#This Row],[Code SYGES]],TabCONTRATSDI[Contrat SYGES],TabCONTRATSDI[Client])</f>
        <v>INETUM</v>
      </c>
      <c r="K360" t="s">
        <v>158</v>
      </c>
      <c r="L360" s="31">
        <v>0.50548654569705886</v>
      </c>
      <c r="M360" s="41" t="s">
        <v>159</v>
      </c>
    </row>
    <row r="361" spans="1:13" x14ac:dyDescent="0.25">
      <c r="A361" s="22" t="str">
        <f>TabVMAzureEnvProjet[[#This Row],[Client]] &amp; " .:. "  &amp; TabVMAzureEnvProjet[[#This Row],[Projet]]</f>
        <v>FRR .:. FRR-DIGIPAT</v>
      </c>
      <c r="B361" s="22" t="str">
        <f>IF(TabVMAzureEnvProjet[[#This Row],[Projet AzureDevOps]]&lt;&gt;"",TabVMAzureEnvProjet[[#This Row],[Projet AzureDevOps]],TabVMAzureEnvProjet[[#This Row],[VM]])</f>
        <v>FRR DIGIPAT</v>
      </c>
      <c r="C361" s="57" t="s">
        <v>30</v>
      </c>
      <c r="E361" t="s">
        <v>4</v>
      </c>
      <c r="F361" t="s">
        <v>29</v>
      </c>
      <c r="G361" t="str">
        <f>LOOKUP(TabVMAzureEnvProjet[[#This Row],[Projet]],TabProjets[NomProj],TabProjets[SYGES])</f>
        <v>FRR/TMASI</v>
      </c>
      <c r="H361" t="str">
        <f>LOOKUP(TabVMAzureEnvProjet[[#This Row],[Projet]],TabProjets[NomProj],TabProjets[CP])</f>
        <v>Alice MARCHAL</v>
      </c>
      <c r="I361">
        <f>LOOKUP(TabVMAzureEnvProjet[[#This Row],[Code SYGES]],TabCONTRATSDI[Contrat SYGES],TabCONTRATSDI[Cost Center])</f>
        <v>305704</v>
      </c>
      <c r="J361" s="22" t="str">
        <f>LOOKUP(TabVMAzureEnvProjet[[#This Row],[Code SYGES]],TabCONTRATSDI[Contrat SYGES],TabCONTRATSDI[Client])</f>
        <v>FRR</v>
      </c>
      <c r="K361" t="s">
        <v>158</v>
      </c>
      <c r="L361" s="31">
        <v>6.0710145096298875</v>
      </c>
      <c r="M361" s="41" t="s">
        <v>159</v>
      </c>
    </row>
    <row r="362" spans="1:13" x14ac:dyDescent="0.25">
      <c r="A362" s="22" t="str">
        <f>TabVMAzureEnvProjet[[#This Row],[Client]] &amp; " .:. "  &amp; TabVMAzureEnvProjet[[#This Row],[Projet]]</f>
        <v>FRR .:. FRR-APPLIFRR</v>
      </c>
      <c r="B362" s="22" t="str">
        <f>IF(TabVMAzureEnvProjet[[#This Row],[Projet AzureDevOps]]&lt;&gt;"",TabVMAzureEnvProjet[[#This Row],[Projet AzureDevOps]],TabVMAzureEnvProjet[[#This Row],[VM]])</f>
        <v>FRR-APPLIFRR</v>
      </c>
      <c r="C362" s="57" t="s">
        <v>32</v>
      </c>
      <c r="E362" t="s">
        <v>4</v>
      </c>
      <c r="F362" t="s">
        <v>32</v>
      </c>
      <c r="G362" t="str">
        <f>LOOKUP(TabVMAzureEnvProjet[[#This Row],[Projet]],TabProjets[NomProj],TabProjets[SYGES])</f>
        <v>FRR/TMASI</v>
      </c>
      <c r="H362" t="str">
        <f>LOOKUP(TabVMAzureEnvProjet[[#This Row],[Projet]],TabProjets[NomProj],TabProjets[CP])</f>
        <v>Jean-Philippe STROIAZZO</v>
      </c>
      <c r="I362">
        <f>LOOKUP(TabVMAzureEnvProjet[[#This Row],[Code SYGES]],TabCONTRATSDI[Contrat SYGES],TabCONTRATSDI[Cost Center])</f>
        <v>305704</v>
      </c>
      <c r="J362" s="22" t="str">
        <f>LOOKUP(TabVMAzureEnvProjet[[#This Row],[Code SYGES]],TabCONTRATSDI[Contrat SYGES],TabCONTRATSDI[Client])</f>
        <v>FRR</v>
      </c>
      <c r="K362" t="s">
        <v>158</v>
      </c>
      <c r="L362" s="31">
        <v>2.8572932588388156</v>
      </c>
      <c r="M362" s="41" t="s">
        <v>159</v>
      </c>
    </row>
    <row r="363" spans="1:13" x14ac:dyDescent="0.25">
      <c r="A363" s="22" t="str">
        <f>TabVMAzureEnvProjet[[#This Row],[Client]] &amp; " .:. "  &amp; TabVMAzureEnvProjet[[#This Row],[Projet]]</f>
        <v>FRR .:. FRR-CADENCIER</v>
      </c>
      <c r="B363" s="22" t="str">
        <f>IF(TabVMAzureEnvProjet[[#This Row],[Projet AzureDevOps]]&lt;&gt;"",TabVMAzureEnvProjet[[#This Row],[Projet AzureDevOps]],TabVMAzureEnvProjet[[#This Row],[VM]])</f>
        <v>FRR-CADENCIER</v>
      </c>
      <c r="C363" s="57" t="s">
        <v>33</v>
      </c>
      <c r="E363" t="s">
        <v>4</v>
      </c>
      <c r="F363" t="s">
        <v>33</v>
      </c>
      <c r="G363" t="str">
        <f>LOOKUP(TabVMAzureEnvProjet[[#This Row],[Projet]],TabProjets[NomProj],TabProjets[SYGES])</f>
        <v>FRR/TMASI</v>
      </c>
      <c r="H363" t="str">
        <f>LOOKUP(TabVMAzureEnvProjet[[#This Row],[Projet]],TabProjets[NomProj],TabProjets[CP])</f>
        <v>Jean-Philippe STROIAZZO</v>
      </c>
      <c r="I363">
        <f>LOOKUP(TabVMAzureEnvProjet[[#This Row],[Code SYGES]],TabCONTRATSDI[Contrat SYGES],TabCONTRATSDI[Cost Center])</f>
        <v>305704</v>
      </c>
      <c r="J363" s="22" t="str">
        <f>LOOKUP(TabVMAzureEnvProjet[[#This Row],[Code SYGES]],TabCONTRATSDI[Contrat SYGES],TabCONTRATSDI[Client])</f>
        <v>FRR</v>
      </c>
      <c r="K363" t="s">
        <v>158</v>
      </c>
      <c r="L363" s="31">
        <v>2.8572932588388156</v>
      </c>
      <c r="M363" s="41" t="s">
        <v>159</v>
      </c>
    </row>
    <row r="364" spans="1:13" x14ac:dyDescent="0.25">
      <c r="A364" s="22" t="str">
        <f>TabVMAzureEnvProjet[[#This Row],[Client]] &amp; " .:. "  &amp; TabVMAzureEnvProjet[[#This Row],[Projet]]</f>
        <v>FRR .:. FRR-PATAPAIN</v>
      </c>
      <c r="B364" s="22" t="str">
        <f>IF(TabVMAzureEnvProjet[[#This Row],[Projet AzureDevOps]]&lt;&gt;"",TabVMAzureEnvProjet[[#This Row],[Projet AzureDevOps]],TabVMAzureEnvProjet[[#This Row],[VM]])</f>
        <v>FRR-Patapain</v>
      </c>
      <c r="C364" s="57" t="s">
        <v>35</v>
      </c>
      <c r="E364" t="s">
        <v>4</v>
      </c>
      <c r="F364" t="s">
        <v>34</v>
      </c>
      <c r="G364" t="str">
        <f>LOOKUP(TabVMAzureEnvProjet[[#This Row],[Projet]],TabProjets[NomProj],TabProjets[SYGES])</f>
        <v>FRR/TMASI</v>
      </c>
      <c r="H364" t="str">
        <f>LOOKUP(TabVMAzureEnvProjet[[#This Row],[Projet]],TabProjets[NomProj],TabProjets[CP])</f>
        <v>Christophe ORLANDO</v>
      </c>
      <c r="I364">
        <f>LOOKUP(TabVMAzureEnvProjet[[#This Row],[Code SYGES]],TabCONTRATSDI[Contrat SYGES],TabCONTRATSDI[Cost Center])</f>
        <v>305704</v>
      </c>
      <c r="J364" s="22" t="str">
        <f>LOOKUP(TabVMAzureEnvProjet[[#This Row],[Code SYGES]],TabCONTRATSDI[Contrat SYGES],TabCONTRATSDI[Client])</f>
        <v>FRR</v>
      </c>
      <c r="K364" t="s">
        <v>158</v>
      </c>
      <c r="L364" s="31">
        <v>1.9768947757232143</v>
      </c>
      <c r="M364" s="41" t="s">
        <v>159</v>
      </c>
    </row>
    <row r="365" spans="1:13" x14ac:dyDescent="0.25">
      <c r="A365" s="22" t="str">
        <f>TabVMAzureEnvProjet[[#This Row],[Client]] &amp; " .:. "  &amp; TabVMAzureEnvProjet[[#This Row],[Projet]]</f>
        <v>FRR .:. FRR-PATAPAINANDROID</v>
      </c>
      <c r="B365" s="22" t="str">
        <f>IF(TabVMAzureEnvProjet[[#This Row],[Projet AzureDevOps]]&lt;&gt;"",TabVMAzureEnvProjet[[#This Row],[Projet AzureDevOps]],TabVMAzureEnvProjet[[#This Row],[VM]])</f>
        <v>FRR-PATAPAINANDROID</v>
      </c>
      <c r="C365" s="57" t="s">
        <v>36</v>
      </c>
      <c r="E365" t="s">
        <v>4</v>
      </c>
      <c r="F365" t="s">
        <v>36</v>
      </c>
      <c r="G365" t="str">
        <f>LOOKUP(TabVMAzureEnvProjet[[#This Row],[Projet]],TabProjets[NomProj],TabProjets[SYGES])</f>
        <v>FRR/TMASI</v>
      </c>
      <c r="H365" t="str">
        <f>LOOKUP(TabVMAzureEnvProjet[[#This Row],[Projet]],TabProjets[NomProj],TabProjets[CP])</f>
        <v>Jean-Philippe STROIAZZO</v>
      </c>
      <c r="I365">
        <f>LOOKUP(TabVMAzureEnvProjet[[#This Row],[Code SYGES]],TabCONTRATSDI[Contrat SYGES],TabCONTRATSDI[Cost Center])</f>
        <v>305704</v>
      </c>
      <c r="J365" s="22" t="str">
        <f>LOOKUP(TabVMAzureEnvProjet[[#This Row],[Code SYGES]],TabCONTRATSDI[Contrat SYGES],TabCONTRATSDI[Client])</f>
        <v>FRR</v>
      </c>
      <c r="K365" t="s">
        <v>158</v>
      </c>
      <c r="L365" s="31">
        <v>2.8572932588388156</v>
      </c>
      <c r="M365" s="41" t="s">
        <v>159</v>
      </c>
    </row>
    <row r="366" spans="1:13" x14ac:dyDescent="0.25">
      <c r="A366" s="22" t="str">
        <f>TabVMAzureEnvProjet[[#This Row],[Client]] &amp; " .:. "  &amp; TabVMAzureEnvProjet[[#This Row],[Projet]]</f>
        <v>INETUM .:. INETUM-INTERNE</v>
      </c>
      <c r="B366" s="22" t="str">
        <f>IF(TabVMAzureEnvProjet[[#This Row],[Projet AzureDevOps]]&lt;&gt;"",TabVMAzureEnvProjet[[#This Row],[Projet AzureDevOps]],TabVMAzureEnvProjet[[#This Row],[VM]])</f>
        <v>GFI-CMIS</v>
      </c>
      <c r="C366" s="57" t="s">
        <v>106</v>
      </c>
      <c r="E366" t="s">
        <v>4</v>
      </c>
      <c r="F366" t="s">
        <v>102</v>
      </c>
      <c r="G366" t="str">
        <f>LOOKUP(TabVMAzureEnvProjet[[#This Row],[Projet]],TabProjets[NomProj],TabProjets[SYGES])</f>
        <v>INETUM/PROJET_INTERNE</v>
      </c>
      <c r="H366" t="str">
        <f>LOOKUP(TabVMAzureEnvProjet[[#This Row],[Projet]],TabProjets[NomProj],TabProjets[CP])</f>
        <v>Christophe ORLANDO</v>
      </c>
      <c r="I366">
        <f>LOOKUP(TabVMAzureEnvProjet[[#This Row],[Code SYGES]],TabCONTRATSDI[Contrat SYGES],TabCONTRATSDI[Cost Center])</f>
        <v>305704</v>
      </c>
      <c r="J366" s="22" t="str">
        <f>LOOKUP(TabVMAzureEnvProjet[[#This Row],[Code SYGES]],TabCONTRATSDI[Contrat SYGES],TabCONTRATSDI[Client])</f>
        <v>INETUM</v>
      </c>
      <c r="K366" t="s">
        <v>158</v>
      </c>
      <c r="L366" s="31">
        <v>0.23225057504999999</v>
      </c>
      <c r="M366" s="41" t="s">
        <v>159</v>
      </c>
    </row>
    <row r="367" spans="1:13" x14ac:dyDescent="0.25">
      <c r="A367" s="22" t="str">
        <f>TabVMAzureEnvProjet[[#This Row],[Client]] &amp; " .:. "  &amp; TabVMAzureEnvProjet[[#This Row],[Projet]]</f>
        <v>INETUM .:. INETUM-INTERNE</v>
      </c>
      <c r="B367" s="22" t="str">
        <f>IF(TabVMAzureEnvProjet[[#This Row],[Projet AzureDevOps]]&lt;&gt;"",TabVMAzureEnvProjet[[#This Row],[Projet AzureDevOps]],TabVMAzureEnvProjet[[#This Row],[VM]])</f>
        <v>GFI-COFFEE</v>
      </c>
      <c r="C367" s="57" t="s">
        <v>107</v>
      </c>
      <c r="E367" t="s">
        <v>4</v>
      </c>
      <c r="F367" t="s">
        <v>102</v>
      </c>
      <c r="G367" t="str">
        <f>LOOKUP(TabVMAzureEnvProjet[[#This Row],[Projet]],TabProjets[NomProj],TabProjets[SYGES])</f>
        <v>INETUM/PROJET_INTERNE</v>
      </c>
      <c r="H367" t="str">
        <f>LOOKUP(TabVMAzureEnvProjet[[#This Row],[Projet]],TabProjets[NomProj],TabProjets[CP])</f>
        <v>Christophe ORLANDO</v>
      </c>
      <c r="I367">
        <f>LOOKUP(TabVMAzureEnvProjet[[#This Row],[Code SYGES]],TabCONTRATSDI[Contrat SYGES],TabCONTRATSDI[Cost Center])</f>
        <v>305704</v>
      </c>
      <c r="J367" s="22" t="str">
        <f>LOOKUP(TabVMAzureEnvProjet[[#This Row],[Code SYGES]],TabCONTRATSDI[Contrat SYGES],TabCONTRATSDI[Client])</f>
        <v>INETUM</v>
      </c>
      <c r="K367" t="s">
        <v>158</v>
      </c>
      <c r="L367" s="31">
        <v>0.99928865843881576</v>
      </c>
      <c r="M367" s="41" t="s">
        <v>159</v>
      </c>
    </row>
    <row r="368" spans="1:13" x14ac:dyDescent="0.25">
      <c r="A368" s="22" t="str">
        <f>TabVMAzureEnvProjet[[#This Row],[Client]] &amp; " .:. "  &amp; TabVMAzureEnvProjet[[#This Row],[Projet]]</f>
        <v>INETUM .:. INETUM-INTERNE</v>
      </c>
      <c r="B368" s="22" t="str">
        <f>IF(TabVMAzureEnvProjet[[#This Row],[Projet AzureDevOps]]&lt;&gt;"",TabVMAzureEnvProjet[[#This Row],[Projet AzureDevOps]],TabVMAzureEnvProjet[[#This Row],[VM]])</f>
        <v>GFI-CRALENIUM</v>
      </c>
      <c r="C368" s="57" t="s">
        <v>108</v>
      </c>
      <c r="E368" t="s">
        <v>4</v>
      </c>
      <c r="F368" t="s">
        <v>102</v>
      </c>
      <c r="G368" t="str">
        <f>LOOKUP(TabVMAzureEnvProjet[[#This Row],[Projet]],TabProjets[NomProj],TabProjets[SYGES])</f>
        <v>INETUM/PROJET_INTERNE</v>
      </c>
      <c r="H368" t="str">
        <f>LOOKUP(TabVMAzureEnvProjet[[#This Row],[Projet]],TabProjets[NomProj],TabProjets[CP])</f>
        <v>Christophe ORLANDO</v>
      </c>
      <c r="I368">
        <f>LOOKUP(TabVMAzureEnvProjet[[#This Row],[Code SYGES]],TabCONTRATSDI[Contrat SYGES],TabCONTRATSDI[Cost Center])</f>
        <v>305704</v>
      </c>
      <c r="J368" s="22" t="str">
        <f>LOOKUP(TabVMAzureEnvProjet[[#This Row],[Code SYGES]],TabCONTRATSDI[Contrat SYGES],TabCONTRATSDI[Client])</f>
        <v>INETUM</v>
      </c>
      <c r="K368" t="s">
        <v>158</v>
      </c>
      <c r="L368" s="31">
        <v>2.8572932588388156</v>
      </c>
      <c r="M368" s="41" t="s">
        <v>159</v>
      </c>
    </row>
    <row r="369" spans="1:13" x14ac:dyDescent="0.25">
      <c r="A369" s="22" t="str">
        <f>TabVMAzureEnvProjet[[#This Row],[Client]] &amp; " .:. "  &amp; TabVMAzureEnvProjet[[#This Row],[Projet]]</f>
        <v>INETUM .:. INETUM-INTERNE</v>
      </c>
      <c r="B369" s="22" t="str">
        <f>IF(TabVMAzureEnvProjet[[#This Row],[Projet AzureDevOps]]&lt;&gt;"",TabVMAzureEnvProjet[[#This Row],[Projet AzureDevOps]],TabVMAzureEnvProjet[[#This Row],[VM]])</f>
        <v>GFI-D8-BS4-THEME</v>
      </c>
      <c r="C369" s="57" t="s">
        <v>103</v>
      </c>
      <c r="E369" t="s">
        <v>4</v>
      </c>
      <c r="F369" t="s">
        <v>102</v>
      </c>
      <c r="G369" t="str">
        <f>LOOKUP(TabVMAzureEnvProjet[[#This Row],[Projet]],TabProjets[NomProj],TabProjets[SYGES])</f>
        <v>INETUM/PROJET_INTERNE</v>
      </c>
      <c r="H369" t="str">
        <f>LOOKUP(TabVMAzureEnvProjet[[#This Row],[Projet]],TabProjets[NomProj],TabProjets[CP])</f>
        <v>Christophe ORLANDO</v>
      </c>
      <c r="I369">
        <f>LOOKUP(TabVMAzureEnvProjet[[#This Row],[Code SYGES]],TabCONTRATSDI[Contrat SYGES],TabCONTRATSDI[Cost Center])</f>
        <v>305704</v>
      </c>
      <c r="J369" s="22" t="str">
        <f>LOOKUP(TabVMAzureEnvProjet[[#This Row],[Code SYGES]],TabCONTRATSDI[Contrat SYGES],TabCONTRATSDI[Client])</f>
        <v>INETUM</v>
      </c>
      <c r="K369" t="s">
        <v>158</v>
      </c>
      <c r="L369" s="31">
        <v>1.4119360356214286</v>
      </c>
      <c r="M369" s="41" t="s">
        <v>159</v>
      </c>
    </row>
    <row r="370" spans="1:13" x14ac:dyDescent="0.25">
      <c r="A370" s="22" t="str">
        <f>TabVMAzureEnvProjet[[#This Row],[Client]] &amp; " .:. "  &amp; TabVMAzureEnvProjet[[#This Row],[Projet]]</f>
        <v>INETUM .:. INETUM-INTERNE</v>
      </c>
      <c r="B370" s="22" t="str">
        <f>IF(TabVMAzureEnvProjet[[#This Row],[Projet AzureDevOps]]&lt;&gt;"",TabVMAzureEnvProjet[[#This Row],[Projet AzureDevOps]],TabVMAzureEnvProjet[[#This Row],[VM]])</f>
        <v>GFI-Docker Devbox Install</v>
      </c>
      <c r="C370" s="57" t="s">
        <v>109</v>
      </c>
      <c r="E370" t="s">
        <v>4</v>
      </c>
      <c r="F370" t="s">
        <v>102</v>
      </c>
      <c r="G370" t="str">
        <f>LOOKUP(TabVMAzureEnvProjet[[#This Row],[Projet]],TabProjets[NomProj],TabProjets[SYGES])</f>
        <v>INETUM/PROJET_INTERNE</v>
      </c>
      <c r="H370" t="str">
        <f>LOOKUP(TabVMAzureEnvProjet[[#This Row],[Projet]],TabProjets[NomProj],TabProjets[CP])</f>
        <v>Christophe ORLANDO</v>
      </c>
      <c r="I370">
        <f>LOOKUP(TabVMAzureEnvProjet[[#This Row],[Code SYGES]],TabCONTRATSDI[Contrat SYGES],TabCONTRATSDI[Cost Center])</f>
        <v>305704</v>
      </c>
      <c r="J370" s="22" t="str">
        <f>LOOKUP(TabVMAzureEnvProjet[[#This Row],[Code SYGES]],TabCONTRATSDI[Contrat SYGES],TabCONTRATSDI[Client])</f>
        <v>INETUM</v>
      </c>
      <c r="K370" t="s">
        <v>158</v>
      </c>
      <c r="L370" s="31">
        <v>11.247318175776945</v>
      </c>
      <c r="M370" s="41" t="s">
        <v>159</v>
      </c>
    </row>
    <row r="371" spans="1:13" x14ac:dyDescent="0.25">
      <c r="A371" s="22" t="str">
        <f>TabVMAzureEnvProjet[[#This Row],[Client]] &amp; " .:. "  &amp; TabVMAzureEnvProjet[[#This Row],[Projet]]</f>
        <v>INETUM .:. INETUM-INTERNE</v>
      </c>
      <c r="B371" s="22" t="str">
        <f>IF(TabVMAzureEnvProjet[[#This Row],[Projet AzureDevOps]]&lt;&gt;"",TabVMAzureEnvProjet[[#This Row],[Projet AzureDevOps]],TabVMAzureEnvProjet[[#This Row],[VM]])</f>
        <v>GFI-MineReport</v>
      </c>
      <c r="C371" s="57" t="s">
        <v>104</v>
      </c>
      <c r="E371" t="s">
        <v>4</v>
      </c>
      <c r="F371" t="s">
        <v>102</v>
      </c>
      <c r="G371" t="str">
        <f>LOOKUP(TabVMAzureEnvProjet[[#This Row],[Projet]],TabProjets[NomProj],TabProjets[SYGES])</f>
        <v>INETUM/PROJET_INTERNE</v>
      </c>
      <c r="H371" t="str">
        <f>LOOKUP(TabVMAzureEnvProjet[[#This Row],[Projet]],TabProjets[NomProj],TabProjets[CP])</f>
        <v>Christophe ORLANDO</v>
      </c>
      <c r="I371">
        <f>LOOKUP(TabVMAzureEnvProjet[[#This Row],[Code SYGES]],TabCONTRATSDI[Contrat SYGES],TabCONTRATSDI[Cost Center])</f>
        <v>305704</v>
      </c>
      <c r="J371" s="22" t="str">
        <f>LOOKUP(TabVMAzureEnvProjet[[#This Row],[Code SYGES]],TabCONTRATSDI[Contrat SYGES],TabCONTRATSDI[Client])</f>
        <v>INETUM</v>
      </c>
      <c r="K371" t="s">
        <v>158</v>
      </c>
      <c r="L371" s="31">
        <v>4.0014688859233747</v>
      </c>
      <c r="M371" s="41" t="s">
        <v>159</v>
      </c>
    </row>
    <row r="372" spans="1:13" x14ac:dyDescent="0.25">
      <c r="A372" s="22" t="str">
        <f>TabVMAzureEnvProjet[[#This Row],[Client]] &amp; " .:. "  &amp; TabVMAzureEnvProjet[[#This Row],[Projet]]</f>
        <v>INETUM .:. INETUM-INTERNE</v>
      </c>
      <c r="B372" s="22" t="str">
        <f>IF(TabVMAzureEnvProjet[[#This Row],[Projet AzureDevOps]]&lt;&gt;"",TabVMAzureEnvProjet[[#This Row],[Projet AzureDevOps]],TabVMAzureEnvProjet[[#This Row],[VM]])</f>
        <v>GFI-PMT</v>
      </c>
      <c r="C372" s="57" t="s">
        <v>110</v>
      </c>
      <c r="E372" t="s">
        <v>4</v>
      </c>
      <c r="F372" t="s">
        <v>102</v>
      </c>
      <c r="G372" t="str">
        <f>LOOKUP(TabVMAzureEnvProjet[[#This Row],[Projet]],TabProjets[NomProj],TabProjets[SYGES])</f>
        <v>INETUM/PROJET_INTERNE</v>
      </c>
      <c r="H372" t="str">
        <f>LOOKUP(TabVMAzureEnvProjet[[#This Row],[Projet]],TabProjets[NomProj],TabProjets[CP])</f>
        <v>Christophe ORLANDO</v>
      </c>
      <c r="I372">
        <f>LOOKUP(TabVMAzureEnvProjet[[#This Row],[Code SYGES]],TabCONTRATSDI[Contrat SYGES],TabCONTRATSDI[Cost Center])</f>
        <v>305704</v>
      </c>
      <c r="J372" s="22" t="str">
        <f>LOOKUP(TabVMAzureEnvProjet[[#This Row],[Code SYGES]],TabCONTRATSDI[Contrat SYGES],TabCONTRATSDI[Client])</f>
        <v>INETUM</v>
      </c>
      <c r="K372" t="s">
        <v>158</v>
      </c>
      <c r="L372" s="31">
        <v>8.5189156644436572</v>
      </c>
      <c r="M372" s="41" t="s">
        <v>159</v>
      </c>
    </row>
    <row r="373" spans="1:13" x14ac:dyDescent="0.25">
      <c r="A373" s="22" t="str">
        <f>TabVMAzureEnvProjet[[#This Row],[Client]] &amp; " .:. "  &amp; TabVMAzureEnvProjet[[#This Row],[Projet]]</f>
        <v>INETUM .:. INETUM-INTERNE</v>
      </c>
      <c r="B373" s="22" t="str">
        <f>IF(TabVMAzureEnvProjet[[#This Row],[Projet AzureDevOps]]&lt;&gt;"",TabVMAzureEnvProjet[[#This Row],[Projet AzureDevOps]],TabVMAzureEnvProjet[[#This Row],[VM]])</f>
        <v>GFI-RedmineDocker</v>
      </c>
      <c r="C373" s="57" t="s">
        <v>105</v>
      </c>
      <c r="E373" t="s">
        <v>4</v>
      </c>
      <c r="F373" t="s">
        <v>102</v>
      </c>
      <c r="G373" t="str">
        <f>LOOKUP(TabVMAzureEnvProjet[[#This Row],[Projet]],TabProjets[NomProj],TabProjets[SYGES])</f>
        <v>INETUM/PROJET_INTERNE</v>
      </c>
      <c r="H373" t="str">
        <f>LOOKUP(TabVMAzureEnvProjet[[#This Row],[Projet]],TabProjets[NomProj],TabProjets[CP])</f>
        <v>Christophe ORLANDO</v>
      </c>
      <c r="I373">
        <f>LOOKUP(TabVMAzureEnvProjet[[#This Row],[Code SYGES]],TabCONTRATSDI[Contrat SYGES],TabCONTRATSDI[Cost Center])</f>
        <v>305704</v>
      </c>
      <c r="J373" s="22" t="str">
        <f>LOOKUP(TabVMAzureEnvProjet[[#This Row],[Code SYGES]],TabCONTRATSDI[Contrat SYGES],TabCONTRATSDI[Client])</f>
        <v>INETUM</v>
      </c>
      <c r="K373" t="s">
        <v>158</v>
      </c>
      <c r="L373" s="31">
        <v>1.1382121435982144</v>
      </c>
      <c r="M373" s="41" t="s">
        <v>159</v>
      </c>
    </row>
    <row r="374" spans="1:13" x14ac:dyDescent="0.25">
      <c r="A374" s="22" t="str">
        <f>TabVMAzureEnvProjet[[#This Row],[Client]] &amp; " .:. "  &amp; TabVMAzureEnvProjet[[#This Row],[Projet]]</f>
        <v>INETUM .:. INETUM-INTERNE</v>
      </c>
      <c r="B374" s="22" t="str">
        <f>IF(TabVMAzureEnvProjet[[#This Row],[Projet AzureDevOps]]&lt;&gt;"",TabVMAzureEnvProjet[[#This Row],[Projet AzureDevOps]],TabVMAzureEnvProjet[[#This Row],[VM]])</f>
        <v>GFI-TENDER</v>
      </c>
      <c r="C374" s="57" t="s">
        <v>111</v>
      </c>
      <c r="E374" t="s">
        <v>4</v>
      </c>
      <c r="F374" t="s">
        <v>102</v>
      </c>
      <c r="G374" t="str">
        <f>LOOKUP(TabVMAzureEnvProjet[[#This Row],[Projet]],TabProjets[NomProj],TabProjets[SYGES])</f>
        <v>INETUM/PROJET_INTERNE</v>
      </c>
      <c r="H374" t="str">
        <f>LOOKUP(TabVMAzureEnvProjet[[#This Row],[Projet]],TabProjets[NomProj],TabProjets[CP])</f>
        <v>Christophe ORLANDO</v>
      </c>
      <c r="I374">
        <f>LOOKUP(TabVMAzureEnvProjet[[#This Row],[Code SYGES]],TabCONTRATSDI[Contrat SYGES],TabCONTRATSDI[Cost Center])</f>
        <v>305704</v>
      </c>
      <c r="J374" s="22" t="str">
        <f>LOOKUP(TabVMAzureEnvProjet[[#This Row],[Code SYGES]],TabCONTRATSDI[Contrat SYGES],TabCONTRATSDI[Client])</f>
        <v>INETUM</v>
      </c>
      <c r="K374" t="s">
        <v>158</v>
      </c>
      <c r="L374" s="31">
        <v>2.8572932588388156</v>
      </c>
      <c r="M374" s="41" t="s">
        <v>159</v>
      </c>
    </row>
    <row r="375" spans="1:13" x14ac:dyDescent="0.25">
      <c r="A375" s="22" t="str">
        <f>TabVMAzureEnvProjet[[#This Row],[Client]] &amp; " .:. "  &amp; TabVMAzureEnvProjet[[#This Row],[Projet]]</f>
        <v>GFI .:. GFI-WAAC</v>
      </c>
      <c r="B375" s="22" t="str">
        <f>IF(TabVMAzureEnvProjet[[#This Row],[Projet AzureDevOps]]&lt;&gt;"",TabVMAzureEnvProjet[[#This Row],[Projet AzureDevOps]],TabVMAzureEnvProjet[[#This Row],[VM]])</f>
        <v>GFI-WAAC</v>
      </c>
      <c r="C375" s="57" t="s">
        <v>38</v>
      </c>
      <c r="E375" t="s">
        <v>4</v>
      </c>
      <c r="F375" t="s">
        <v>38</v>
      </c>
      <c r="G375" t="str">
        <f>LOOKUP(TabVMAzureEnvProjet[[#This Row],[Projet]],TabProjets[NomProj],TabProjets[SYGES])</f>
        <v>383928 - WAAC 1.0</v>
      </c>
      <c r="H375" t="str">
        <f>LOOKUP(TabVMAzureEnvProjet[[#This Row],[Projet]],TabProjets[NomProj],TabProjets[CP])</f>
        <v>Laurent MARCIANIAK</v>
      </c>
      <c r="I375">
        <f>LOOKUP(TabVMAzureEnvProjet[[#This Row],[Code SYGES]],TabCONTRATSDI[Contrat SYGES],TabCONTRATSDI[Cost Center])</f>
        <v>100973</v>
      </c>
      <c r="J375" s="22" t="str">
        <f>LOOKUP(TabVMAzureEnvProjet[[#This Row],[Code SYGES]],TabCONTRATSDI[Contrat SYGES],TabCONTRATSDI[Client])</f>
        <v>GFI</v>
      </c>
      <c r="K375" t="s">
        <v>158</v>
      </c>
      <c r="L375" s="31">
        <v>269.59129032927143</v>
      </c>
      <c r="M375" s="41" t="s">
        <v>159</v>
      </c>
    </row>
    <row r="376" spans="1:13" x14ac:dyDescent="0.25">
      <c r="A376" s="22" t="str">
        <f>TabVMAzureEnvProjet[[#This Row],[Client]] &amp; " .:. "  &amp; TabVMAzureEnvProjet[[#This Row],[Projet]]</f>
        <v>GLI .:. GLI-APIBIOMETRIE</v>
      </c>
      <c r="B376" s="22" t="str">
        <f>IF(TabVMAzureEnvProjet[[#This Row],[Projet AzureDevOps]]&lt;&gt;"",TabVMAzureEnvProjet[[#This Row],[Projet AzureDevOps]],TabVMAzureEnvProjet[[#This Row],[VM]])</f>
        <v>GLI-APIBiometrie</v>
      </c>
      <c r="C376" s="57" t="s">
        <v>42</v>
      </c>
      <c r="E376" t="s">
        <v>4</v>
      </c>
      <c r="F376" t="s">
        <v>41</v>
      </c>
      <c r="G376" t="str">
        <f>LOOKUP(TabVMAzureEnvProjet[[#This Row],[Projet]],TabProjets[NomProj],TabProjets[SYGES])</f>
        <v>GLI/BIOMETRIE</v>
      </c>
      <c r="H376" t="str">
        <f>LOOKUP(TabVMAzureEnvProjet[[#This Row],[Projet]],TabProjets[NomProj],TabProjets[CP])</f>
        <v>Rodolphe HABEGGER</v>
      </c>
      <c r="I376">
        <f>LOOKUP(TabVMAzureEnvProjet[[#This Row],[Code SYGES]],TabCONTRATSDI[Contrat SYGES],TabCONTRATSDI[Cost Center])</f>
        <v>305704</v>
      </c>
      <c r="J376" s="22" t="str">
        <f>LOOKUP(TabVMAzureEnvProjet[[#This Row],[Code SYGES]],TabCONTRATSDI[Contrat SYGES],TabCONTRATSDI[Client])</f>
        <v>GLI</v>
      </c>
      <c r="K376" t="s">
        <v>158</v>
      </c>
      <c r="L376" s="31">
        <v>9.4846120816269703</v>
      </c>
      <c r="M376" s="41" t="s">
        <v>159</v>
      </c>
    </row>
    <row r="377" spans="1:13" x14ac:dyDescent="0.25">
      <c r="A377" s="22" t="str">
        <f>TabVMAzureEnvProjet[[#This Row],[Client]] &amp; " .:. "  &amp; TabVMAzureEnvProjet[[#This Row],[Projet]]</f>
        <v>LAPOSTE .:. LAPOSTE-CDC</v>
      </c>
      <c r="B377" s="22" t="str">
        <f>IF(TabVMAzureEnvProjet[[#This Row],[Projet AzureDevOps]]&lt;&gt;"",TabVMAzureEnvProjet[[#This Row],[Projet AzureDevOps]],TabVMAzureEnvProjet[[#This Row],[VM]])</f>
        <v>LAPOSTE-F4N-Musee</v>
      </c>
      <c r="C377" s="57" t="s">
        <v>83</v>
      </c>
      <c r="E377" t="s">
        <v>4</v>
      </c>
      <c r="F377" t="s">
        <v>82</v>
      </c>
      <c r="G377" t="str">
        <f>LOOKUP(TabVMAzureEnvProjet[[#This Row],[Projet]],TabProjets[NomProj],TabProjets[SYGES])</f>
        <v>LA-POSTE/CDC_DRUPAL</v>
      </c>
      <c r="H377" t="str">
        <f>LOOKUP(TabVMAzureEnvProjet[[#This Row],[Projet]],TabProjets[NomProj],TabProjets[CP])</f>
        <v>Rodolphe HABEGGER</v>
      </c>
      <c r="I377">
        <f>LOOKUP(TabVMAzureEnvProjet[[#This Row],[Code SYGES]],TabCONTRATSDI[Contrat SYGES],TabCONTRATSDI[Cost Center])</f>
        <v>305704</v>
      </c>
      <c r="J377" s="22" t="str">
        <f>LOOKUP(TabVMAzureEnvProjet[[#This Row],[Code SYGES]],TabCONTRATSDI[Contrat SYGES],TabCONTRATSDI[Client])</f>
        <v>LAPOSTE</v>
      </c>
      <c r="K377" t="s">
        <v>158</v>
      </c>
      <c r="L377" s="31">
        <v>2.0017787659071429</v>
      </c>
      <c r="M377" s="41" t="s">
        <v>159</v>
      </c>
    </row>
    <row r="378" spans="1:13" x14ac:dyDescent="0.25">
      <c r="A378" s="22" t="str">
        <f>TabVMAzureEnvProjet[[#This Row],[Client]] &amp; " .:. "  &amp; TabVMAzureEnvProjet[[#This Row],[Projet]]</f>
        <v>LAPOSTE .:. LAPOSTE-CDC</v>
      </c>
      <c r="B378" s="22" t="str">
        <f>IF(TabVMAzureEnvProjet[[#This Row],[Projet AzureDevOps]]&lt;&gt;"",TabVMAzureEnvProjet[[#This Row],[Projet AzureDevOps]],TabVMAzureEnvProjet[[#This Row],[VM]])</f>
        <v>LAPOSTE-L71-PDP</v>
      </c>
      <c r="C378" s="57" t="s">
        <v>86</v>
      </c>
      <c r="E378" t="s">
        <v>4</v>
      </c>
      <c r="F378" t="s">
        <v>82</v>
      </c>
      <c r="G378" t="str">
        <f>LOOKUP(TabVMAzureEnvProjet[[#This Row],[Projet]],TabProjets[NomProj],TabProjets[SYGES])</f>
        <v>LA-POSTE/CDC_DRUPAL</v>
      </c>
      <c r="H378" t="str">
        <f>LOOKUP(TabVMAzureEnvProjet[[#This Row],[Projet]],TabProjets[NomProj],TabProjets[CP])</f>
        <v>Rodolphe HABEGGER</v>
      </c>
      <c r="I378">
        <f>LOOKUP(TabVMAzureEnvProjet[[#This Row],[Code SYGES]],TabCONTRATSDI[Contrat SYGES],TabCONTRATSDI[Cost Center])</f>
        <v>305704</v>
      </c>
      <c r="J378" s="22" t="str">
        <f>LOOKUP(TabVMAzureEnvProjet[[#This Row],[Code SYGES]],TabCONTRATSDI[Contrat SYGES],TabCONTRATSDI[Client])</f>
        <v>LAPOSTE</v>
      </c>
      <c r="K378" t="s">
        <v>158</v>
      </c>
      <c r="L378" s="31">
        <v>1.1640177630482142</v>
      </c>
      <c r="M378" s="41" t="s">
        <v>159</v>
      </c>
    </row>
    <row r="379" spans="1:13" x14ac:dyDescent="0.25">
      <c r="A379" s="22" t="str">
        <f>TabVMAzureEnvProjet[[#This Row],[Client]] &amp; " .:. "  &amp; TabVMAzureEnvProjet[[#This Row],[Projet]]</f>
        <v>LAPOSTE .:. LAPOSTE-CDC</v>
      </c>
      <c r="B379" s="22" t="str">
        <f>IF(TabVMAzureEnvProjet[[#This Row],[Projet AzureDevOps]]&lt;&gt;"",TabVMAzureEnvProjet[[#This Row],[Projet AzureDevOps]],TabVMAzureEnvProjet[[#This Row],[VM]])</f>
        <v>LAPOSTE-LCA-PariteUn-e</v>
      </c>
      <c r="C379" s="57" t="s">
        <v>87</v>
      </c>
      <c r="E379" t="s">
        <v>4</v>
      </c>
      <c r="F379" t="s">
        <v>82</v>
      </c>
      <c r="G379" t="str">
        <f>LOOKUP(TabVMAzureEnvProjet[[#This Row],[Projet]],TabProjets[NomProj],TabProjets[SYGES])</f>
        <v>LA-POSTE/CDC_DRUPAL</v>
      </c>
      <c r="H379" t="str">
        <f>LOOKUP(TabVMAzureEnvProjet[[#This Row],[Projet]],TabProjets[NomProj],TabProjets[CP])</f>
        <v>Rodolphe HABEGGER</v>
      </c>
      <c r="I379">
        <f>LOOKUP(TabVMAzureEnvProjet[[#This Row],[Code SYGES]],TabCONTRATSDI[Contrat SYGES],TabCONTRATSDI[Cost Center])</f>
        <v>305704</v>
      </c>
      <c r="J379" s="22" t="str">
        <f>LOOKUP(TabVMAzureEnvProjet[[#This Row],[Code SYGES]],TabCONTRATSDI[Contrat SYGES],TabCONTRATSDI[Client])</f>
        <v>LAPOSTE</v>
      </c>
      <c r="K379" t="s">
        <v>158</v>
      </c>
      <c r="L379" s="31">
        <v>1.1640177630482142</v>
      </c>
      <c r="M379" s="41" t="s">
        <v>159</v>
      </c>
    </row>
    <row r="380" spans="1:13" x14ac:dyDescent="0.25">
      <c r="A380" s="22" t="str">
        <f>TabVMAzureEnvProjet[[#This Row],[Client]] &amp; " .:. "  &amp; TabVMAzureEnvProjet[[#This Row],[Projet]]</f>
        <v>LAPOSTE .:. LAPOSTE-CDC</v>
      </c>
      <c r="B380" s="22" t="str">
        <f>IF(TabVMAzureEnvProjet[[#This Row],[Projet AzureDevOps]]&lt;&gt;"",TabVMAzureEnvProjet[[#This Row],[Projet AzureDevOps]],TabVMAzureEnvProjet[[#This Row],[VM]])</f>
        <v>LAPOSTE-LPK-PortailVoyage</v>
      </c>
      <c r="C380" s="57" t="s">
        <v>84</v>
      </c>
      <c r="E380" t="s">
        <v>4</v>
      </c>
      <c r="F380" t="s">
        <v>82</v>
      </c>
      <c r="G380" t="str">
        <f>LOOKUP(TabVMAzureEnvProjet[[#This Row],[Projet]],TabProjets[NomProj],TabProjets[SYGES])</f>
        <v>LA-POSTE/CDC_DRUPAL</v>
      </c>
      <c r="H380" t="str">
        <f>LOOKUP(TabVMAzureEnvProjet[[#This Row],[Projet]],TabProjets[NomProj],TabProjets[CP])</f>
        <v>Rodolphe HABEGGER</v>
      </c>
      <c r="I380">
        <f>LOOKUP(TabVMAzureEnvProjet[[#This Row],[Code SYGES]],TabCONTRATSDI[Contrat SYGES],TabCONTRATSDI[Cost Center])</f>
        <v>305704</v>
      </c>
      <c r="J380" s="22" t="str">
        <f>LOOKUP(TabVMAzureEnvProjet[[#This Row],[Code SYGES]],TabCONTRATSDI[Contrat SYGES],TabCONTRATSDI[Client])</f>
        <v>LAPOSTE</v>
      </c>
      <c r="K380" t="s">
        <v>158</v>
      </c>
      <c r="L380" s="31">
        <v>1.1640177630482142</v>
      </c>
      <c r="M380" s="41" t="s">
        <v>159</v>
      </c>
    </row>
    <row r="381" spans="1:13" x14ac:dyDescent="0.25">
      <c r="A381" s="22" t="str">
        <f>TabVMAzureEnvProjet[[#This Row],[Client]] &amp; " .:. "  &amp; TabVMAzureEnvProjet[[#This Row],[Projet]]</f>
        <v>LAPOSTE .:. LAPOSTE-CDC</v>
      </c>
      <c r="B381" s="22" t="str">
        <f>IF(TabVMAzureEnvProjet[[#This Row],[Projet AzureDevOps]]&lt;&gt;"",TabVMAzureEnvProjet[[#This Row],[Projet AzureDevOps]],TabVMAzureEnvProjet[[#This Row],[VM]])</f>
        <v>LAPOSTE-LPM-IntranetDHA</v>
      </c>
      <c r="C381" s="57" t="s">
        <v>85</v>
      </c>
      <c r="E381" t="s">
        <v>4</v>
      </c>
      <c r="F381" t="s">
        <v>82</v>
      </c>
      <c r="G381" t="str">
        <f>LOOKUP(TabVMAzureEnvProjet[[#This Row],[Projet]],TabProjets[NomProj],TabProjets[SYGES])</f>
        <v>LA-POSTE/CDC_DRUPAL</v>
      </c>
      <c r="H381" t="str">
        <f>LOOKUP(TabVMAzureEnvProjet[[#This Row],[Projet]],TabProjets[NomProj],TabProjets[CP])</f>
        <v>Rodolphe HABEGGER</v>
      </c>
      <c r="I381">
        <f>LOOKUP(TabVMAzureEnvProjet[[#This Row],[Code SYGES]],TabCONTRATSDI[Contrat SYGES],TabCONTRATSDI[Cost Center])</f>
        <v>305704</v>
      </c>
      <c r="J381" s="22" t="str">
        <f>LOOKUP(TabVMAzureEnvProjet[[#This Row],[Code SYGES]],TabCONTRATSDI[Contrat SYGES],TabCONTRATSDI[Client])</f>
        <v>LAPOSTE</v>
      </c>
      <c r="K381" t="s">
        <v>158</v>
      </c>
      <c r="L381" s="31">
        <v>1.5179234012196425</v>
      </c>
      <c r="M381" s="41" t="s">
        <v>159</v>
      </c>
    </row>
    <row r="382" spans="1:13" x14ac:dyDescent="0.25">
      <c r="A382" s="22" t="str">
        <f>TabVMAzureEnvProjet[[#This Row],[Client]] &amp; " .:. "  &amp; TabVMAzureEnvProjet[[#This Row],[Projet]]</f>
        <v>LAPOSTE .:. LAPOSTE-CDC</v>
      </c>
      <c r="B382" s="22" t="str">
        <f>IF(TabVMAzureEnvProjet[[#This Row],[Projet AzureDevOps]]&lt;&gt;"",TabVMAzureEnvProjet[[#This Row],[Projet AzureDevOps]],TabVMAzureEnvProjet[[#This Row],[VM]])</f>
        <v>LAPOSTE-VWA-Fondation</v>
      </c>
      <c r="C382" s="57" t="s">
        <v>88</v>
      </c>
      <c r="E382" t="s">
        <v>4</v>
      </c>
      <c r="F382" t="s">
        <v>82</v>
      </c>
      <c r="G382" t="str">
        <f>LOOKUP(TabVMAzureEnvProjet[[#This Row],[Projet]],TabProjets[NomProj],TabProjets[SYGES])</f>
        <v>LA-POSTE/CDC_DRUPAL</v>
      </c>
      <c r="H382" t="str">
        <f>LOOKUP(TabVMAzureEnvProjet[[#This Row],[Projet]],TabProjets[NomProj],TabProjets[CP])</f>
        <v>Rodolphe HABEGGER</v>
      </c>
      <c r="I382">
        <f>LOOKUP(TabVMAzureEnvProjet[[#This Row],[Code SYGES]],TabCONTRATSDI[Contrat SYGES],TabCONTRATSDI[Cost Center])</f>
        <v>305704</v>
      </c>
      <c r="J382" s="22" t="str">
        <f>LOOKUP(TabVMAzureEnvProjet[[#This Row],[Code SYGES]],TabCONTRATSDI[Contrat SYGES],TabCONTRATSDI[Client])</f>
        <v>LAPOSTE</v>
      </c>
      <c r="K382" t="s">
        <v>158</v>
      </c>
      <c r="L382" s="31">
        <v>1.1640177630482142</v>
      </c>
      <c r="M382" s="41" t="s">
        <v>159</v>
      </c>
    </row>
    <row r="383" spans="1:13" x14ac:dyDescent="0.25">
      <c r="A383" s="22" t="str">
        <f>TabVMAzureEnvProjet[[#This Row],[Client]] &amp; " .:. "  &amp; TabVMAzureEnvProjet[[#This Row],[Projet]]</f>
        <v>MENESR .:. MENJ-APAE</v>
      </c>
      <c r="B383" s="22" t="str">
        <f>IF(TabVMAzureEnvProjet[[#This Row],[Projet AzureDevOps]]&lt;&gt;"",TabVMAzureEnvProjet[[#This Row],[Projet AzureDevOps]],TabVMAzureEnvProjet[[#This Row],[VM]])</f>
        <v>MENJ-APAE</v>
      </c>
      <c r="C383" s="57" t="s">
        <v>44</v>
      </c>
      <c r="E383" t="s">
        <v>4</v>
      </c>
      <c r="F383" t="s">
        <v>44</v>
      </c>
      <c r="G383" t="str">
        <f>LOOKUP(TabVMAzureEnvProjet[[#This Row],[Projet]],TabProjets[NomProj],TabProjets[SYGES])</f>
        <v>MENESR/TMA</v>
      </c>
      <c r="H383" t="str">
        <f>LOOKUP(TabVMAzureEnvProjet[[#This Row],[Projet]],TabProjets[NomProj],TabProjets[CP])</f>
        <v>Pierre BOURLIEUX</v>
      </c>
      <c r="I383">
        <f>LOOKUP(TabVMAzureEnvProjet[[#This Row],[Code SYGES]],TabCONTRATSDI[Contrat SYGES],TabCONTRATSDI[Cost Center])</f>
        <v>305704</v>
      </c>
      <c r="J383" s="22" t="str">
        <f>LOOKUP(TabVMAzureEnvProjet[[#This Row],[Code SYGES]],TabCONTRATSDI[Contrat SYGES],TabCONTRATSDI[Client])</f>
        <v>MENESR</v>
      </c>
      <c r="K383" t="s">
        <v>158</v>
      </c>
      <c r="L383" s="31">
        <v>1.4344888458970588</v>
      </c>
      <c r="M383" s="41" t="s">
        <v>159</v>
      </c>
    </row>
    <row r="384" spans="1:13" x14ac:dyDescent="0.25">
      <c r="A384" s="22" t="str">
        <f>TabVMAzureEnvProjet[[#This Row],[Client]] &amp; " .:. "  &amp; TabVMAzureEnvProjet[[#This Row],[Projet]]</f>
        <v>MENESR .:. MENJ-BI</v>
      </c>
      <c r="B384" s="22" t="str">
        <f>IF(TabVMAzureEnvProjet[[#This Row],[Projet AzureDevOps]]&lt;&gt;"",TabVMAzureEnvProjet[[#This Row],[Projet AzureDevOps]],TabVMAzureEnvProjet[[#This Row],[VM]])</f>
        <v>MENJ-BI</v>
      </c>
      <c r="C384" s="57" t="s">
        <v>51</v>
      </c>
      <c r="E384" t="s">
        <v>4</v>
      </c>
      <c r="F384" t="s">
        <v>51</v>
      </c>
      <c r="G384" t="str">
        <f>LOOKUP(TabVMAzureEnvProjet[[#This Row],[Projet]],TabProjets[NomProj],TabProjets[SYGES])</f>
        <v>MENESR/TMA</v>
      </c>
      <c r="H384" t="str">
        <f>LOOKUP(TabVMAzureEnvProjet[[#This Row],[Projet]],TabProjets[NomProj],TabProjets[CP])</f>
        <v>Eric PERROUD</v>
      </c>
      <c r="I384">
        <f>LOOKUP(TabVMAzureEnvProjet[[#This Row],[Code SYGES]],TabCONTRATSDI[Contrat SYGES],TabCONTRATSDI[Cost Center])</f>
        <v>305704</v>
      </c>
      <c r="J384" s="22" t="str">
        <f>LOOKUP(TabVMAzureEnvProjet[[#This Row],[Code SYGES]],TabCONTRATSDI[Contrat SYGES],TabCONTRATSDI[Client])</f>
        <v>MENESR</v>
      </c>
      <c r="K384" t="s">
        <v>158</v>
      </c>
      <c r="L384" s="31">
        <v>3.4837586257500002</v>
      </c>
      <c r="M384" s="41" t="s">
        <v>159</v>
      </c>
    </row>
    <row r="385" spans="1:13" x14ac:dyDescent="0.25">
      <c r="A385" s="22" t="str">
        <f>TabVMAzureEnvProjet[[#This Row],[Client]] &amp; " .:. "  &amp; TabVMAzureEnvProjet[[#This Row],[Projet]]</f>
        <v>MENESR .:. MENJ-BNIE</v>
      </c>
      <c r="B385" s="22" t="str">
        <f>IF(TabVMAzureEnvProjet[[#This Row],[Projet AzureDevOps]]&lt;&gt;"",TabVMAzureEnvProjet[[#This Row],[Projet AzureDevOps]],TabVMAzureEnvProjet[[#This Row],[VM]])</f>
        <v>MENJ-BNIE-BDD</v>
      </c>
      <c r="C385" s="57" t="s">
        <v>46</v>
      </c>
      <c r="E385" t="s">
        <v>4</v>
      </c>
      <c r="F385" t="s">
        <v>45</v>
      </c>
      <c r="G385" t="str">
        <f>LOOKUP(TabVMAzureEnvProjet[[#This Row],[Projet]],TabProjets[NomProj],TabProjets[SYGES])</f>
        <v>MENESR/TMA</v>
      </c>
      <c r="H385" t="str">
        <f>LOOKUP(TabVMAzureEnvProjet[[#This Row],[Projet]],TabProjets[NomProj],TabProjets[CP])</f>
        <v>Pierre BOURLIEUX</v>
      </c>
      <c r="I385">
        <f>LOOKUP(TabVMAzureEnvProjet[[#This Row],[Code SYGES]],TabCONTRATSDI[Contrat SYGES],TabCONTRATSDI[Cost Center])</f>
        <v>305704</v>
      </c>
      <c r="J385" s="22" t="str">
        <f>LOOKUP(TabVMAzureEnvProjet[[#This Row],[Code SYGES]],TabCONTRATSDI[Contrat SYGES],TabCONTRATSDI[Client])</f>
        <v>MENESR</v>
      </c>
      <c r="K385" t="s">
        <v>158</v>
      </c>
      <c r="L385" s="31">
        <v>3.2861269554698511</v>
      </c>
      <c r="M385" s="41" t="s">
        <v>159</v>
      </c>
    </row>
    <row r="386" spans="1:13" x14ac:dyDescent="0.25">
      <c r="A386" s="22" t="str">
        <f>TabVMAzureEnvProjet[[#This Row],[Client]] &amp; " .:. "  &amp; TabVMAzureEnvProjet[[#This Row],[Projet]]</f>
        <v>MENESR .:. MENJ-BNIE</v>
      </c>
      <c r="B386" s="22" t="str">
        <f>IF(TabVMAzureEnvProjet[[#This Row],[Projet AzureDevOps]]&lt;&gt;"",TabVMAzureEnvProjet[[#This Row],[Projet AzureDevOps]],TabVMAzureEnvProjet[[#This Row],[VM]])</f>
        <v>MENJ-BNIE-Webservices</v>
      </c>
      <c r="C386" s="57" t="s">
        <v>47</v>
      </c>
      <c r="E386" t="s">
        <v>4</v>
      </c>
      <c r="F386" t="s">
        <v>45</v>
      </c>
      <c r="G386" t="str">
        <f>LOOKUP(TabVMAzureEnvProjet[[#This Row],[Projet]],TabProjets[NomProj],TabProjets[SYGES])</f>
        <v>MENESR/TMA</v>
      </c>
      <c r="H386" t="str">
        <f>LOOKUP(TabVMAzureEnvProjet[[#This Row],[Projet]],TabProjets[NomProj],TabProjets[CP])</f>
        <v>Pierre BOURLIEUX</v>
      </c>
      <c r="I386">
        <f>LOOKUP(TabVMAzureEnvProjet[[#This Row],[Code SYGES]],TabCONTRATSDI[Contrat SYGES],TabCONTRATSDI[Cost Center])</f>
        <v>305704</v>
      </c>
      <c r="J386" s="22" t="str">
        <f>LOOKUP(TabVMAzureEnvProjet[[#This Row],[Code SYGES]],TabCONTRATSDI[Contrat SYGES],TabCONTRATSDI[Client])</f>
        <v>MENESR</v>
      </c>
      <c r="K386" t="s">
        <v>158</v>
      </c>
      <c r="L386" s="31">
        <v>0.50548654569705886</v>
      </c>
      <c r="M386" s="41" t="s">
        <v>159</v>
      </c>
    </row>
    <row r="387" spans="1:13" x14ac:dyDescent="0.25">
      <c r="A387" s="22" t="str">
        <f>TabVMAzureEnvProjet[[#This Row],[Client]] &amp; " .:. "  &amp; TabVMAzureEnvProjet[[#This Row],[Projet]]</f>
        <v>MENESR .:. MENJ-INSERJEUNES</v>
      </c>
      <c r="B387" s="22" t="str">
        <f>IF(TabVMAzureEnvProjet[[#This Row],[Projet AzureDevOps]]&lt;&gt;"",TabVMAzureEnvProjet[[#This Row],[Projet AzureDevOps]],TabVMAzureEnvProjet[[#This Row],[VM]])</f>
        <v>MENJ-InserJeunes</v>
      </c>
      <c r="C387" s="57" t="s">
        <v>54</v>
      </c>
      <c r="E387" t="s">
        <v>4</v>
      </c>
      <c r="F387" t="s">
        <v>53</v>
      </c>
      <c r="G387" t="str">
        <f>LOOKUP(TabVMAzureEnvProjet[[#This Row],[Projet]],TabProjets[NomProj],TabProjets[SYGES])</f>
        <v>MENESR - TMA - 23 - 1 - INSERJEUNES</v>
      </c>
      <c r="H387" t="str">
        <f>LOOKUP(TabVMAzureEnvProjet[[#This Row],[Projet]],TabProjets[NomProj],TabProjets[CP])</f>
        <v>Christophe ORLANDO</v>
      </c>
      <c r="I387">
        <f>LOOKUP(TabVMAzureEnvProjet[[#This Row],[Code SYGES]],TabCONTRATSDI[Contrat SYGES],TabCONTRATSDI[Cost Center])</f>
        <v>305704</v>
      </c>
      <c r="J387" s="22" t="str">
        <f>LOOKUP(TabVMAzureEnvProjet[[#This Row],[Code SYGES]],TabCONTRATSDI[Contrat SYGES],TabCONTRATSDI[Client])</f>
        <v>MENESR</v>
      </c>
      <c r="K387" t="s">
        <v>158</v>
      </c>
      <c r="L387" s="31">
        <v>5.291509603259378</v>
      </c>
      <c r="M387" s="41" t="s">
        <v>159</v>
      </c>
    </row>
    <row r="388" spans="1:13" x14ac:dyDescent="0.25">
      <c r="A388" s="22" t="str">
        <f>TabVMAzureEnvProjet[[#This Row],[Client]] &amp; " .:. "  &amp; TabVMAzureEnvProjet[[#This Row],[Projet]]</f>
        <v>MENESR .:. MENJ-RNIE</v>
      </c>
      <c r="B388" s="22" t="str">
        <f>IF(TabVMAzureEnvProjet[[#This Row],[Projet AzureDevOps]]&lt;&gt;"",TabVMAzureEnvProjet[[#This Row],[Projet AzureDevOps]],TabVMAzureEnvProjet[[#This Row],[VM]])</f>
        <v>MENJ-RNIE-BDD</v>
      </c>
      <c r="C388" s="57" t="s">
        <v>49</v>
      </c>
      <c r="E388" t="s">
        <v>4</v>
      </c>
      <c r="F388" t="s">
        <v>48</v>
      </c>
      <c r="G388" t="str">
        <f>LOOKUP(TabVMAzureEnvProjet[[#This Row],[Projet]],TabProjets[NomProj],TabProjets[SYGES])</f>
        <v>MENESR/TMA</v>
      </c>
      <c r="H388" t="str">
        <f>LOOKUP(TabVMAzureEnvProjet[[#This Row],[Projet]],TabProjets[NomProj],TabProjets[CP])</f>
        <v>Pierre BOURLIEUX</v>
      </c>
      <c r="I388">
        <f>LOOKUP(TabVMAzureEnvProjet[[#This Row],[Code SYGES]],TabCONTRATSDI[Contrat SYGES],TabCONTRATSDI[Cost Center])</f>
        <v>305704</v>
      </c>
      <c r="J388" s="22" t="str">
        <f>LOOKUP(TabVMAzureEnvProjet[[#This Row],[Code SYGES]],TabCONTRATSDI[Contrat SYGES],TabCONTRATSDI[Client])</f>
        <v>MENESR</v>
      </c>
      <c r="K388" t="s">
        <v>158</v>
      </c>
      <c r="L388" s="31">
        <v>1.4344888458970588</v>
      </c>
      <c r="M388" s="41" t="s">
        <v>159</v>
      </c>
    </row>
    <row r="389" spans="1:13" x14ac:dyDescent="0.25">
      <c r="A389" s="22" t="str">
        <f>TabVMAzureEnvProjet[[#This Row],[Client]] &amp; " .:. "  &amp; TabVMAzureEnvProjet[[#This Row],[Projet]]</f>
        <v>MENESR .:. MENJ-RNIE</v>
      </c>
      <c r="B389" s="22" t="str">
        <f>IF(TabVMAzureEnvProjet[[#This Row],[Projet AzureDevOps]]&lt;&gt;"",TabVMAzureEnvProjet[[#This Row],[Projet AzureDevOps]],TabVMAzureEnvProjet[[#This Row],[VM]])</f>
        <v>MENJ-RNIE-Webservices</v>
      </c>
      <c r="C389" s="57" t="s">
        <v>50</v>
      </c>
      <c r="E389" t="s">
        <v>4</v>
      </c>
      <c r="F389" t="s">
        <v>48</v>
      </c>
      <c r="G389" t="str">
        <f>LOOKUP(TabVMAzureEnvProjet[[#This Row],[Projet]],TabProjets[NomProj],TabProjets[SYGES])</f>
        <v>MENESR/TMA</v>
      </c>
      <c r="H389" t="str">
        <f>LOOKUP(TabVMAzureEnvProjet[[#This Row],[Projet]],TabProjets[NomProj],TabProjets[CP])</f>
        <v>Pierre BOURLIEUX</v>
      </c>
      <c r="I389">
        <f>LOOKUP(TabVMAzureEnvProjet[[#This Row],[Code SYGES]],TabCONTRATSDI[Contrat SYGES],TabCONTRATSDI[Cost Center])</f>
        <v>305704</v>
      </c>
      <c r="J389" s="22" t="str">
        <f>LOOKUP(TabVMAzureEnvProjet[[#This Row],[Code SYGES]],TabCONTRATSDI[Contrat SYGES],TabCONTRATSDI[Client])</f>
        <v>MENESR</v>
      </c>
      <c r="K389" t="s">
        <v>158</v>
      </c>
      <c r="L389" s="31">
        <v>1.4344888458970588</v>
      </c>
      <c r="M389" s="41" t="s">
        <v>159</v>
      </c>
    </row>
    <row r="390" spans="1:13" x14ac:dyDescent="0.25">
      <c r="A390" s="22" t="str">
        <f>TabVMAzureEnvProjet[[#This Row],[Client]] &amp; " .:. "  &amp; TabVMAzureEnvProjet[[#This Row],[Projet]]</f>
        <v>AFB .:. OFB-CMONSPOT</v>
      </c>
      <c r="B390" s="22" t="str">
        <f>IF(TabVMAzureEnvProjet[[#This Row],[Projet AzureDevOps]]&lt;&gt;"",TabVMAzureEnvProjet[[#This Row],[Projet AzureDevOps]],TabVMAzureEnvProjet[[#This Row],[VM]])</f>
        <v>OFB-CMONSPOT</v>
      </c>
      <c r="C390" s="57" t="s">
        <v>12</v>
      </c>
      <c r="E390" t="s">
        <v>4</v>
      </c>
      <c r="F390" t="s">
        <v>12</v>
      </c>
      <c r="G390" t="str">
        <f>LOOKUP(TabVMAzureEnvProjet[[#This Row],[Projet]],TabProjets[NomProj],TabProjets[SYGES])</f>
        <v>AFB/OFB_LOT2</v>
      </c>
      <c r="H390" t="str">
        <f>LOOKUP(TabVMAzureEnvProjet[[#This Row],[Projet]],TabProjets[NomProj],TabProjets[CP])</f>
        <v>Pierre BOURLIEUX</v>
      </c>
      <c r="I390">
        <f>LOOKUP(TabVMAzureEnvProjet[[#This Row],[Code SYGES]],TabCONTRATSDI[Contrat SYGES],TabCONTRATSDI[Cost Center])</f>
        <v>305704</v>
      </c>
      <c r="J390" s="22" t="str">
        <f>LOOKUP(TabVMAzureEnvProjet[[#This Row],[Code SYGES]],TabCONTRATSDI[Contrat SYGES],TabCONTRATSDI[Client])</f>
        <v>AFB</v>
      </c>
      <c r="K390" t="s">
        <v>158</v>
      </c>
      <c r="L390" s="31">
        <v>0.97324050497142855</v>
      </c>
      <c r="M390" s="41" t="s">
        <v>159</v>
      </c>
    </row>
    <row r="391" spans="1:13" x14ac:dyDescent="0.25">
      <c r="A391" s="22" t="str">
        <f>TabVMAzureEnvProjet[[#This Row],[Client]] &amp; " .:. "  &amp; TabVMAzureEnvProjet[[#This Row],[Projet]]</f>
        <v>OFB .:. OFB-NATUREFRANCE</v>
      </c>
      <c r="B391" s="22" t="str">
        <f>IF(TabVMAzureEnvProjet[[#This Row],[Projet AzureDevOps]]&lt;&gt;"",TabVMAzureEnvProjet[[#This Row],[Projet AzureDevOps]],TabVMAzureEnvProjet[[#This Row],[VM]])</f>
        <v>OFB-NatureFrance</v>
      </c>
      <c r="C391" s="57" t="s">
        <v>79</v>
      </c>
      <c r="E391" t="s">
        <v>4</v>
      </c>
      <c r="F391" t="s">
        <v>78</v>
      </c>
      <c r="G391" t="str">
        <f>LOOKUP(TabVMAzureEnvProjet[[#This Row],[Projet]],TabProjets[NomProj],TabProjets[SYGES])</f>
        <v>AFB OFB_LOT2 -9-1 NATURE FRANCE</v>
      </c>
      <c r="H391" t="str">
        <f>LOOKUP(TabVMAzureEnvProjet[[#This Row],[Projet]],TabProjets[NomProj],TabProjets[CP])</f>
        <v>Rodolphe HABEGGER</v>
      </c>
      <c r="I391">
        <f>LOOKUP(TabVMAzureEnvProjet[[#This Row],[Code SYGES]],TabCONTRATSDI[Contrat SYGES],TabCONTRATSDI[Cost Center])</f>
        <v>305704</v>
      </c>
      <c r="J391" s="22" t="str">
        <f>LOOKUP(TabVMAzureEnvProjet[[#This Row],[Code SYGES]],TabCONTRATSDI[Contrat SYGES],TabCONTRATSDI[Client])</f>
        <v>OFB</v>
      </c>
      <c r="K391" t="s">
        <v>158</v>
      </c>
      <c r="L391" s="31">
        <v>7.2261328477339992</v>
      </c>
      <c r="M391" s="41" t="s">
        <v>159</v>
      </c>
    </row>
    <row r="392" spans="1:13" x14ac:dyDescent="0.25">
      <c r="A392" s="22" t="str">
        <f>TabVMAzureEnvProjet[[#This Row],[Client]] &amp; " .:. "  &amp; TabVMAzureEnvProjet[[#This Row],[Projet]]</f>
        <v>AFB .:. OFB-SISPEA</v>
      </c>
      <c r="B392" s="22" t="str">
        <f>IF(TabVMAzureEnvProjet[[#This Row],[Projet AzureDevOps]]&lt;&gt;"",TabVMAzureEnvProjet[[#This Row],[Projet AzureDevOps]],TabVMAzureEnvProjet[[#This Row],[VM]])</f>
        <v>OFB-SISPEA</v>
      </c>
      <c r="C392" s="57" t="s">
        <v>9</v>
      </c>
      <c r="E392" t="s">
        <v>4</v>
      </c>
      <c r="F392" t="s">
        <v>9</v>
      </c>
      <c r="G392" t="str">
        <f>LOOKUP(TabVMAzureEnvProjet[[#This Row],[Projet]],TabProjets[NomProj],TabProjets[SYGES])</f>
        <v>AFB/OFB_LOT2</v>
      </c>
      <c r="H392" t="str">
        <f>LOOKUP(TabVMAzureEnvProjet[[#This Row],[Projet]],TabProjets[NomProj],TabProjets[CP])</f>
        <v>Pierre BOURLIEUX</v>
      </c>
      <c r="I392">
        <f>LOOKUP(TabVMAzureEnvProjet[[#This Row],[Code SYGES]],TabCONTRATSDI[Contrat SYGES],TabCONTRATSDI[Cost Center])</f>
        <v>305704</v>
      </c>
      <c r="J392" s="22" t="str">
        <f>LOOKUP(TabVMAzureEnvProjet[[#This Row],[Code SYGES]],TabCONTRATSDI[Contrat SYGES],TabCONTRATSDI[Client])</f>
        <v>AFB</v>
      </c>
      <c r="K392" t="s">
        <v>158</v>
      </c>
      <c r="L392" s="31">
        <v>3.2957462554714287</v>
      </c>
      <c r="M392" s="41" t="s">
        <v>159</v>
      </c>
    </row>
    <row r="393" spans="1:13" x14ac:dyDescent="0.25">
      <c r="A393" s="22" t="str">
        <f>TabVMAzureEnvProjet[[#This Row],[Client]] &amp; " .:. "  &amp; TabVMAzureEnvProjet[[#This Row],[Projet]]</f>
        <v>PCM .:. PCM-ALS</v>
      </c>
      <c r="B393" s="22" t="str">
        <f>IF(TabVMAzureEnvProjet[[#This Row],[Projet AzureDevOps]]&lt;&gt;"",TabVMAzureEnvProjet[[#This Row],[Projet AzureDevOps]],TabVMAzureEnvProjet[[#This Row],[VM]])</f>
        <v>PCM-ALS</v>
      </c>
      <c r="C393" s="57" t="s">
        <v>71</v>
      </c>
      <c r="E393" t="s">
        <v>4</v>
      </c>
      <c r="F393" t="s">
        <v>71</v>
      </c>
      <c r="G393" t="str">
        <f>LOOKUP(TabVMAzureEnvProjet[[#This Row],[Projet]],TabProjets[NomProj],TabProjets[SYGES])</f>
        <v>PCM/WEB</v>
      </c>
      <c r="H393" t="str">
        <f>LOOKUP(TabVMAzureEnvProjet[[#This Row],[Projet]],TabProjets[NomProj],TabProjets[CP])</f>
        <v>Alice MARCHAL</v>
      </c>
      <c r="I393">
        <f>LOOKUP(TabVMAzureEnvProjet[[#This Row],[Code SYGES]],TabCONTRATSDI[Contrat SYGES],TabCONTRATSDI[Cost Center])</f>
        <v>305704</v>
      </c>
      <c r="J393" s="22" t="str">
        <f>LOOKUP(TabVMAzureEnvProjet[[#This Row],[Code SYGES]],TabCONTRATSDI[Contrat SYGES],TabCONTRATSDI[Client])</f>
        <v>PCM</v>
      </c>
      <c r="K393" t="s">
        <v>158</v>
      </c>
      <c r="L393" s="31">
        <v>7.3527582847178561</v>
      </c>
      <c r="M393" s="41" t="s">
        <v>159</v>
      </c>
    </row>
    <row r="394" spans="1:13" x14ac:dyDescent="0.25">
      <c r="A394" s="22" t="str">
        <f>TabVMAzureEnvProjet[[#This Row],[Client]] &amp; " .:. "  &amp; TabVMAzureEnvProjet[[#This Row],[Projet]]</f>
        <v>PCM .:. PCM-WEB</v>
      </c>
      <c r="B394" s="22" t="str">
        <f>IF(TabVMAzureEnvProjet[[#This Row],[Projet AzureDevOps]]&lt;&gt;"",TabVMAzureEnvProjet[[#This Row],[Projet AzureDevOps]],TabVMAzureEnvProjet[[#This Row],[VM]])</f>
        <v>PCM-Web</v>
      </c>
      <c r="C394" s="57" t="s">
        <v>73</v>
      </c>
      <c r="E394" t="s">
        <v>4</v>
      </c>
      <c r="F394" t="s">
        <v>72</v>
      </c>
      <c r="G394" t="str">
        <f>LOOKUP(TabVMAzureEnvProjet[[#This Row],[Projet]],TabProjets[NomProj],TabProjets[SYGES])</f>
        <v>PCM/WEB</v>
      </c>
      <c r="H394" t="str">
        <f>LOOKUP(TabVMAzureEnvProjet[[#This Row],[Projet]],TabProjets[NomProj],TabProjets[CP])</f>
        <v>Rodolphe HABEGGER</v>
      </c>
      <c r="I394">
        <f>LOOKUP(TabVMAzureEnvProjet[[#This Row],[Code SYGES]],TabCONTRATSDI[Contrat SYGES],TabCONTRATSDI[Cost Center])</f>
        <v>305704</v>
      </c>
      <c r="J394" s="22" t="str">
        <f>LOOKUP(TabVMAzureEnvProjet[[#This Row],[Code SYGES]],TabCONTRATSDI[Contrat SYGES],TabCONTRATSDI[Client])</f>
        <v>PCM</v>
      </c>
      <c r="K394" t="s">
        <v>158</v>
      </c>
      <c r="L394" s="31">
        <v>3.1316962461107138</v>
      </c>
      <c r="M394" s="41" t="s">
        <v>159</v>
      </c>
    </row>
    <row r="395" spans="1:13" x14ac:dyDescent="0.25">
      <c r="A395" s="22" t="str">
        <f>TabVMAzureEnvProjet[[#This Row],[Client]] &amp; " .:. "  &amp; TabVMAzureEnvProjet[[#This Row],[Projet]]</f>
        <v>SAFT .:. SAFT-PDM</v>
      </c>
      <c r="B395" s="22" t="str">
        <f>IF(TabVMAzureEnvProjet[[#This Row],[Projet AzureDevOps]]&lt;&gt;"",TabVMAzureEnvProjet[[#This Row],[Projet AzureDevOps]],TabVMAzureEnvProjet[[#This Row],[VM]])</f>
        <v>SAFT-PDM</v>
      </c>
      <c r="C395" s="57" t="s">
        <v>94</v>
      </c>
      <c r="E395" t="s">
        <v>4</v>
      </c>
      <c r="F395" t="s">
        <v>94</v>
      </c>
      <c r="G395" t="str">
        <f>LOOKUP(TabVMAzureEnvProjet[[#This Row],[Projet]],TabProjets[NomProj],TabProjets[SYGES])</f>
        <v>SAFT/TMA</v>
      </c>
      <c r="H395" t="str">
        <f>LOOKUP(TabVMAzureEnvProjet[[#This Row],[Projet]],TabProjets[NomProj],TabProjets[CP])</f>
        <v>Pierre BOURLIEUX</v>
      </c>
      <c r="I395">
        <f>LOOKUP(TabVMAzureEnvProjet[[#This Row],[Code SYGES]],TabCONTRATSDI[Contrat SYGES],TabCONTRATSDI[Cost Center])</f>
        <v>305704</v>
      </c>
      <c r="J395" s="22" t="str">
        <f>LOOKUP(TabVMAzureEnvProjet[[#This Row],[Code SYGES]],TabCONTRATSDI[Contrat SYGES],TabCONTRATSDI[Client])</f>
        <v>SAFT</v>
      </c>
      <c r="K395" t="s">
        <v>158</v>
      </c>
      <c r="L395" s="31">
        <v>2.8572932588388156</v>
      </c>
      <c r="M395" s="41" t="s">
        <v>159</v>
      </c>
    </row>
    <row r="396" spans="1:13" x14ac:dyDescent="0.25">
      <c r="A396" s="22" t="str">
        <f>TabVMAzureEnvProjet[[#This Row],[Client]] &amp; " .:. "  &amp; TabVMAzureEnvProjet[[#This Row],[Projet]]</f>
        <v>SPC .:. SPC-BUILD</v>
      </c>
      <c r="B396" s="22" t="str">
        <f>IF(TabVMAzureEnvProjet[[#This Row],[Projet AzureDevOps]]&lt;&gt;"",TabVMAzureEnvProjet[[#This Row],[Projet AzureDevOps]],TabVMAzureEnvProjet[[#This Row],[VM]])</f>
        <v>SPC-BUILD</v>
      </c>
      <c r="C396" s="57" t="s">
        <v>67</v>
      </c>
      <c r="E396" t="s">
        <v>4</v>
      </c>
      <c r="F396" t="s">
        <v>67</v>
      </c>
      <c r="G396" t="str">
        <f>LOOKUP(TabVMAzureEnvProjet[[#This Row],[Projet]],TabProjets[NomProj],TabProjets[SYGES])</f>
        <v>SPC/BUILD</v>
      </c>
      <c r="H396" t="str">
        <f>LOOKUP(TabVMAzureEnvProjet[[#This Row],[Projet]],TabProjets[NomProj],TabProjets[CP])</f>
        <v>Nicolas DURFORT</v>
      </c>
      <c r="I396">
        <f>LOOKUP(TabVMAzureEnvProjet[[#This Row],[Code SYGES]],TabCONTRATSDI[Contrat SYGES],TabCONTRATSDI[Cost Center])</f>
        <v>305704</v>
      </c>
      <c r="J396" s="22" t="str">
        <f>LOOKUP(TabVMAzureEnvProjet[[#This Row],[Code SYGES]],TabCONTRATSDI[Contrat SYGES],TabCONTRATSDI[Client])</f>
        <v>SPC</v>
      </c>
      <c r="K396" t="s">
        <v>158</v>
      </c>
      <c r="L396" s="31">
        <v>43.435231610975563</v>
      </c>
      <c r="M396" s="41" t="s">
        <v>159</v>
      </c>
    </row>
    <row r="397" spans="1:13" x14ac:dyDescent="0.25">
      <c r="A397" s="22" t="str">
        <f>TabVMAzureEnvProjet[[#This Row],[Client]] &amp; " .:. "  &amp; TabVMAzureEnvProjet[[#This Row],[Projet]]</f>
        <v>SPC .:. SPC-WEB</v>
      </c>
      <c r="B397" s="22" t="str">
        <f>IF(TabVMAzureEnvProjet[[#This Row],[Projet AzureDevOps]]&lt;&gt;"",TabVMAzureEnvProjet[[#This Row],[Projet AzureDevOps]],TabVMAzureEnvProjet[[#This Row],[VM]])</f>
        <v>SPC-WEB</v>
      </c>
      <c r="C397" s="57" t="s">
        <v>69</v>
      </c>
      <c r="E397" t="s">
        <v>4</v>
      </c>
      <c r="F397" t="s">
        <v>69</v>
      </c>
      <c r="G397" t="str">
        <f>LOOKUP(TabVMAzureEnvProjet[[#This Row],[Projet]],TabProjets[NomProj],TabProjets[SYGES])</f>
        <v>SPC/BUILD-0-1-SITE-WEB</v>
      </c>
      <c r="H397" t="str">
        <f>LOOKUP(TabVMAzureEnvProjet[[#This Row],[Projet]],TabProjets[NomProj],TabProjets[CP])</f>
        <v>Nicolas DURFORT</v>
      </c>
      <c r="I397">
        <f>LOOKUP(TabVMAzureEnvProjet[[#This Row],[Code SYGES]],TabCONTRATSDI[Contrat SYGES],TabCONTRATSDI[Cost Center])</f>
        <v>305704</v>
      </c>
      <c r="J397" s="22" t="str">
        <f>LOOKUP(TabVMAzureEnvProjet[[#This Row],[Code SYGES]],TabCONTRATSDI[Contrat SYGES],TabCONTRATSDI[Client])</f>
        <v>SPC</v>
      </c>
      <c r="K397" t="s">
        <v>158</v>
      </c>
      <c r="L397" s="31">
        <v>2.4441608136214286</v>
      </c>
      <c r="M397" s="41" t="s">
        <v>159</v>
      </c>
    </row>
    <row r="398" spans="1:13" x14ac:dyDescent="0.25">
      <c r="A398" s="22" t="str">
        <f>TabVMAzureEnvProjet[[#This Row],[Client]] &amp; " .:. "  &amp; TabVMAzureEnvProjet[[#This Row],[Projet]]</f>
        <v>STMICRO .:. STMICRO-DATAPACK</v>
      </c>
      <c r="B398" s="22" t="str">
        <f>IF(TabVMAzureEnvProjet[[#This Row],[Projet AzureDevOps]]&lt;&gt;"",TabVMAzureEnvProjet[[#This Row],[Projet AzureDevOps]],TabVMAzureEnvProjet[[#This Row],[VM]])</f>
        <v>STMICRO-DATAPACK</v>
      </c>
      <c r="C398" s="57" t="s">
        <v>96</v>
      </c>
      <c r="E398" t="s">
        <v>4</v>
      </c>
      <c r="F398" t="s">
        <v>96</v>
      </c>
      <c r="G398" t="str">
        <f>LOOKUP(TabVMAzureEnvProjet[[#This Row],[Projet]],TabProjets[NomProj],TabProjets[SYGES])</f>
        <v>STMICRO/TMASI</v>
      </c>
      <c r="H398" t="str">
        <f>LOOKUP(TabVMAzureEnvProjet[[#This Row],[Projet]],TabProjets[NomProj],TabProjets[CP])</f>
        <v>Jean-Philippe STROIAZZO</v>
      </c>
      <c r="I398">
        <f>LOOKUP(TabVMAzureEnvProjet[[#This Row],[Code SYGES]],TabCONTRATSDI[Contrat SYGES],TabCONTRATSDI[Cost Center])</f>
        <v>305704</v>
      </c>
      <c r="J398" s="22" t="str">
        <f>LOOKUP(TabVMAzureEnvProjet[[#This Row],[Code SYGES]],TabCONTRATSDI[Contrat SYGES],TabCONTRATSDI[Client])</f>
        <v>STMICRO</v>
      </c>
      <c r="K398" t="s">
        <v>158</v>
      </c>
      <c r="L398" s="31">
        <v>1.9692763542358747</v>
      </c>
      <c r="M398" s="41" t="s">
        <v>159</v>
      </c>
    </row>
    <row r="399" spans="1:13" x14ac:dyDescent="0.25">
      <c r="A399" s="22" t="str">
        <f>TabVMAzureEnvProjet[[#This Row],[Client]] &amp; " .:. "  &amp; TabVMAzureEnvProjet[[#This Row],[Projet]]</f>
        <v>STMICRO .:. STMICRO-ROCKET</v>
      </c>
      <c r="B399" s="22" t="str">
        <f>IF(TabVMAzureEnvProjet[[#This Row],[Projet AzureDevOps]]&lt;&gt;"",TabVMAzureEnvProjet[[#This Row],[Projet AzureDevOps]],TabVMAzureEnvProjet[[#This Row],[VM]])</f>
        <v>STMICRO-ROCKET</v>
      </c>
      <c r="C399" s="57" t="s">
        <v>98</v>
      </c>
      <c r="E399" t="s">
        <v>4</v>
      </c>
      <c r="F399" t="s">
        <v>98</v>
      </c>
      <c r="G399" t="str">
        <f>LOOKUP(TabVMAzureEnvProjet[[#This Row],[Projet]],TabProjets[NomProj],TabProjets[SYGES])</f>
        <v>STMICRO/TMASI</v>
      </c>
      <c r="H399" t="str">
        <f>LOOKUP(TabVMAzureEnvProjet[[#This Row],[Projet]],TabProjets[NomProj],TabProjets[CP])</f>
        <v>Jean-Philippe STROIAZZO</v>
      </c>
      <c r="I399">
        <f>LOOKUP(TabVMAzureEnvProjet[[#This Row],[Code SYGES]],TabCONTRATSDI[Contrat SYGES],TabCONTRATSDI[Cost Center])</f>
        <v>305704</v>
      </c>
      <c r="J399" s="22" t="str">
        <f>LOOKUP(TabVMAzureEnvProjet[[#This Row],[Code SYGES]],TabCONTRATSDI[Contrat SYGES],TabCONTRATSDI[Client])</f>
        <v>STMICRO</v>
      </c>
      <c r="K399" t="s">
        <v>158</v>
      </c>
      <c r="L399" s="31">
        <v>4.2917821047358746</v>
      </c>
      <c r="M399" s="41" t="s">
        <v>159</v>
      </c>
    </row>
    <row r="400" spans="1:13" x14ac:dyDescent="0.25">
      <c r="A400" s="22" t="str">
        <f>TabVMAzureEnvProjet[[#This Row],[Client]] &amp; " .:. "  &amp; TabVMAzureEnvProjet[[#This Row],[Projet]]</f>
        <v>ALM .:. ALM-ATOUT</v>
      </c>
      <c r="B400" s="22" t="str">
        <f>IF(TabVMAzureEnvProjet[[#This Row],[Projet AzureDevOps]]&lt;&gt;"",TabVMAzureEnvProjet[[#This Row],[Projet AzureDevOps]],TabVMAzureEnvProjet[[#This Row],[VM]])</f>
        <v>ALM-ATOUT-VM</v>
      </c>
      <c r="D400" t="s">
        <v>18</v>
      </c>
      <c r="E400" t="s">
        <v>6</v>
      </c>
      <c r="F400" t="s">
        <v>17</v>
      </c>
      <c r="G400" t="str">
        <f>LOOKUP(TabVMAzureEnvProjet[[#This Row],[Projet]],TabProjets[NomProj],TabProjets[SYGES])</f>
        <v>ALM/TMA_ATOUT</v>
      </c>
      <c r="H400" t="str">
        <f>LOOKUP(TabVMAzureEnvProjet[[#This Row],[Projet]],TabProjets[NomProj],TabProjets[CP])</f>
        <v>Alice MARCHAL</v>
      </c>
      <c r="I400">
        <f>LOOKUP(TabVMAzureEnvProjet[[#This Row],[Code SYGES]],TabCONTRATSDI[Contrat SYGES],TabCONTRATSDI[Cost Center])</f>
        <v>305704</v>
      </c>
      <c r="J400" s="22" t="str">
        <f>LOOKUP(TabVMAzureEnvProjet[[#This Row],[Code SYGES]],TabCONTRATSDI[Contrat SYGES],TabCONTRATSDI[Client])</f>
        <v>ALM</v>
      </c>
      <c r="K400" t="s">
        <v>158</v>
      </c>
      <c r="L400" s="31">
        <v>80.239999999999995</v>
      </c>
      <c r="M400" s="40" t="s">
        <v>160</v>
      </c>
    </row>
    <row r="401" spans="1:13" x14ac:dyDescent="0.25">
      <c r="A401" s="22" t="str">
        <f>TabVMAzureEnvProjet[[#This Row],[Client]] &amp; " .:. "  &amp; TabVMAzureEnvProjet[[#This Row],[Projet]]</f>
        <v>BRGM .:. BRGM-ORRM</v>
      </c>
      <c r="B401" s="22" t="str">
        <f>IF(TabVMAzureEnvProjet[[#This Row],[Projet AzureDevOps]]&lt;&gt;"",TabVMAzureEnvProjet[[#This Row],[Projet AzureDevOps]],TabVMAzureEnvProjet[[#This Row],[VM]])</f>
        <v>BRGM-ORRM-VM</v>
      </c>
      <c r="D401" t="s">
        <v>22</v>
      </c>
      <c r="E401" t="s">
        <v>21</v>
      </c>
      <c r="F401" t="s">
        <v>20</v>
      </c>
      <c r="G401" t="str">
        <f>LOOKUP(TabVMAzureEnvProjet[[#This Row],[Projet]],TabProjets[NomProj],TabProjets[SYGES])</f>
        <v>BRGM/TMA-5-1-ORRM-LOT1</v>
      </c>
      <c r="H401" t="str">
        <f>LOOKUP(TabVMAzureEnvProjet[[#This Row],[Projet]],TabProjets[NomProj],TabProjets[CP])</f>
        <v>Alice MARCHAL</v>
      </c>
      <c r="I401">
        <f>LOOKUP(TabVMAzureEnvProjet[[#This Row],[Code SYGES]],TabCONTRATSDI[Contrat SYGES],TabCONTRATSDI[Cost Center])</f>
        <v>305704</v>
      </c>
      <c r="J401" s="22" t="str">
        <f>LOOKUP(TabVMAzureEnvProjet[[#This Row],[Code SYGES]],TabCONTRATSDI[Contrat SYGES],TabCONTRATSDI[Client])</f>
        <v>BRGM</v>
      </c>
      <c r="K401" t="s">
        <v>158</v>
      </c>
      <c r="L401" s="31">
        <v>9.19</v>
      </c>
      <c r="M401" s="40" t="s">
        <v>160</v>
      </c>
    </row>
    <row r="402" spans="1:13" x14ac:dyDescent="0.25">
      <c r="A402" s="22" t="str">
        <f>TabVMAzureEnvProjet[[#This Row],[Client]] &amp; " .:. "  &amp; TabVMAzureEnvProjet[[#This Row],[Projet]]</f>
        <v>CA-TITRES .:. CATITRES-COMX</v>
      </c>
      <c r="B402" s="22" t="str">
        <f>IF(TabVMAzureEnvProjet[[#This Row],[Projet AzureDevOps]]&lt;&gt;"",TabVMAzureEnvProjet[[#This Row],[Projet AzureDevOps]],TabVMAzureEnvProjet[[#This Row],[VM]])</f>
        <v>CATITRES-COMX-VM</v>
      </c>
      <c r="D402" t="s">
        <v>25</v>
      </c>
      <c r="E402" t="s">
        <v>10</v>
      </c>
      <c r="F402" t="s">
        <v>24</v>
      </c>
      <c r="G402" t="str">
        <f>LOOKUP(TabVMAzureEnvProjet[[#This Row],[Projet]],TabProjets[NomProj],TabProjets[SYGES])</f>
        <v>CA-TITRES/TMA</v>
      </c>
      <c r="H402" t="str">
        <f>LOOKUP(TabVMAzureEnvProjet[[#This Row],[Projet]],TabProjets[NomProj],TabProjets[CP])</f>
        <v>Jean-Philippe STROIAZZO</v>
      </c>
      <c r="I402">
        <f>LOOKUP(TabVMAzureEnvProjet[[#This Row],[Code SYGES]],TabCONTRATSDI[Contrat SYGES],TabCONTRATSDI[Cost Center])</f>
        <v>305704</v>
      </c>
      <c r="J402" s="22" t="str">
        <f>LOOKUP(TabVMAzureEnvProjet[[#This Row],[Code SYGES]],TabCONTRATSDI[Contrat SYGES],TabCONTRATSDI[Client])</f>
        <v>CA-TITRES</v>
      </c>
      <c r="K402" t="s">
        <v>158</v>
      </c>
      <c r="L402" s="31">
        <v>144.04</v>
      </c>
      <c r="M402" s="40" t="s">
        <v>160</v>
      </c>
    </row>
    <row r="403" spans="1:13" x14ac:dyDescent="0.25">
      <c r="A403" s="22" t="str">
        <f>TabVMAzureEnvProjet[[#This Row],[Client]] &amp; " .:. "  &amp; TabVMAzureEnvProjet[[#This Row],[Projet]]</f>
        <v>EBR .:. EBR-LAPOSTE</v>
      </c>
      <c r="B403" s="22" t="str">
        <f>IF(TabVMAzureEnvProjet[[#This Row],[Projet AzureDevOps]]&lt;&gt;"",TabVMAzureEnvProjet[[#This Row],[Projet AzureDevOps]],TabVMAzureEnvProjet[[#This Row],[VM]])</f>
        <v>EBR-LAPOSTE-VM</v>
      </c>
      <c r="D403" t="s">
        <v>76</v>
      </c>
      <c r="E403" t="s">
        <v>10</v>
      </c>
      <c r="F403" t="s">
        <v>75</v>
      </c>
      <c r="G403" t="str">
        <f>LOOKUP(TabVMAzureEnvProjet[[#This Row],[Projet]],TabProjets[NomProj],TabProjets[SYGES])</f>
        <v>EBR/TMA</v>
      </c>
      <c r="H403" t="str">
        <f>LOOKUP(TabVMAzureEnvProjet[[#This Row],[Projet]],TabProjets[NomProj],TabProjets[CP])</f>
        <v>Valerie ASSELIN LOZACHMEUR</v>
      </c>
      <c r="I403">
        <f>LOOKUP(TabVMAzureEnvProjet[[#This Row],[Code SYGES]],TabCONTRATSDI[Contrat SYGES],TabCONTRATSDI[Cost Center])</f>
        <v>305704</v>
      </c>
      <c r="J403" s="22" t="str">
        <f>LOOKUP(TabVMAzureEnvProjet[[#This Row],[Code SYGES]],TabCONTRATSDI[Contrat SYGES],TabCONTRATSDI[Client])</f>
        <v>EBR</v>
      </c>
      <c r="K403" t="s">
        <v>158</v>
      </c>
      <c r="L403" s="31">
        <v>100.47</v>
      </c>
      <c r="M403" s="40" t="s">
        <v>160</v>
      </c>
    </row>
    <row r="404" spans="1:13" x14ac:dyDescent="0.25">
      <c r="A404" s="22" t="str">
        <f>TabVMAzureEnvProjet[[#This Row],[Client]] &amp; " .:. "  &amp; TabVMAzureEnvProjet[[#This Row],[Projet]]</f>
        <v>INETUM .:. INETUM-INTERNE</v>
      </c>
      <c r="B404" s="22" t="str">
        <f>IF(TabVMAzureEnvProjet[[#This Row],[Projet AzureDevOps]]&lt;&gt;"",TabVMAzureEnvProjet[[#This Row],[Projet AzureDevOps]],TabVMAzureEnvProjet[[#This Row],[VM]])</f>
        <v>GFI-PMT-VM</v>
      </c>
      <c r="D404" t="s">
        <v>121</v>
      </c>
      <c r="E404" t="s">
        <v>10</v>
      </c>
      <c r="F404" t="s">
        <v>102</v>
      </c>
      <c r="G404" t="str">
        <f>LOOKUP(TabVMAzureEnvProjet[[#This Row],[Projet]],TabProjets[NomProj],TabProjets[SYGES])</f>
        <v>INETUM/PROJET_INTERNE</v>
      </c>
      <c r="H404" t="str">
        <f>LOOKUP(TabVMAzureEnvProjet[[#This Row],[Projet]],TabProjets[NomProj],TabProjets[CP])</f>
        <v>Christophe ORLANDO</v>
      </c>
      <c r="I404">
        <f>LOOKUP(TabVMAzureEnvProjet[[#This Row],[Code SYGES]],TabCONTRATSDI[Contrat SYGES],TabCONTRATSDI[Cost Center])</f>
        <v>305704</v>
      </c>
      <c r="J404" s="22" t="str">
        <f>LOOKUP(TabVMAzureEnvProjet[[#This Row],[Code SYGES]],TabCONTRATSDI[Contrat SYGES],TabCONTRATSDI[Client])</f>
        <v>INETUM</v>
      </c>
      <c r="K404" t="s">
        <v>158</v>
      </c>
      <c r="L404" s="31">
        <v>22.43</v>
      </c>
      <c r="M404" s="40" t="s">
        <v>160</v>
      </c>
    </row>
    <row r="405" spans="1:13" x14ac:dyDescent="0.25">
      <c r="A405" s="22" t="str">
        <f>TabVMAzureEnvProjet[[#This Row],[Client]] &amp; " .:. "  &amp; TabVMAzureEnvProjet[[#This Row],[Projet]]</f>
        <v>MENESR .:. MENJ-BI</v>
      </c>
      <c r="B405" s="22" t="str">
        <f>IF(TabVMAzureEnvProjet[[#This Row],[Projet AzureDevOps]]&lt;&gt;"",TabVMAzureEnvProjet[[#This Row],[Projet AzureDevOps]],TabVMAzureEnvProjet[[#This Row],[VM]])</f>
        <v>MENJ-BI-VM</v>
      </c>
      <c r="D405" t="s">
        <v>52</v>
      </c>
      <c r="E405" t="s">
        <v>6</v>
      </c>
      <c r="F405" t="s">
        <v>51</v>
      </c>
      <c r="G405" t="str">
        <f>LOOKUP(TabVMAzureEnvProjet[[#This Row],[Projet]],TabProjets[NomProj],TabProjets[SYGES])</f>
        <v>MENESR/TMA</v>
      </c>
      <c r="H405" t="str">
        <f>LOOKUP(TabVMAzureEnvProjet[[#This Row],[Projet]],TabProjets[NomProj],TabProjets[CP])</f>
        <v>Eric PERROUD</v>
      </c>
      <c r="I405">
        <f>LOOKUP(TabVMAzureEnvProjet[[#This Row],[Code SYGES]],TabCONTRATSDI[Contrat SYGES],TabCONTRATSDI[Cost Center])</f>
        <v>305704</v>
      </c>
      <c r="J405" s="22" t="str">
        <f>LOOKUP(TabVMAzureEnvProjet[[#This Row],[Code SYGES]],TabCONTRATSDI[Contrat SYGES],TabCONTRATSDI[Client])</f>
        <v>MENESR</v>
      </c>
      <c r="K405" t="s">
        <v>158</v>
      </c>
      <c r="L405" s="31">
        <v>3.78</v>
      </c>
      <c r="M405" s="40" t="s">
        <v>160</v>
      </c>
    </row>
    <row r="406" spans="1:13" x14ac:dyDescent="0.25">
      <c r="A406" s="22" t="str">
        <f>TabVMAzureEnvProjet[[#This Row],[Client]] &amp; " .:. "  &amp; TabVMAzureEnvProjet[[#This Row],[Projet]]</f>
        <v>AFB .:. AFB-NatureFrance</v>
      </c>
      <c r="B406" s="22" t="str">
        <f>IF(TabVMAzureEnvProjet[[#This Row],[Projet AzureDevOps]]&lt;&gt;"",TabVMAzureEnvProjet[[#This Row],[Projet AzureDevOps]],TabVMAzureEnvProjet[[#This Row],[VM]])</f>
        <v>OFB-FRANCENATURE-VM</v>
      </c>
      <c r="D406" t="s">
        <v>80</v>
      </c>
      <c r="E406" t="s">
        <v>6</v>
      </c>
      <c r="F406" t="s">
        <v>147</v>
      </c>
      <c r="G406" t="str">
        <f>LOOKUP(TabVMAzureEnvProjet[[#This Row],[Projet]],TabProjets[NomProj],TabProjets[SYGES])</f>
        <v>AFB/OFB_LOT2</v>
      </c>
      <c r="H406" t="str">
        <f>LOOKUP(TabVMAzureEnvProjet[[#This Row],[Projet]],TabProjets[NomProj],TabProjets[CP])</f>
        <v>Rodolphe HABEGGER</v>
      </c>
      <c r="I406">
        <f>LOOKUP(TabVMAzureEnvProjet[[#This Row],[Code SYGES]],TabCONTRATSDI[Contrat SYGES],TabCONTRATSDI[Cost Center])</f>
        <v>305704</v>
      </c>
      <c r="J406" s="22" t="str">
        <f>LOOKUP(TabVMAzureEnvProjet[[#This Row],[Code SYGES]],TabCONTRATSDI[Contrat SYGES],TabCONTRATSDI[Client])</f>
        <v>AFB</v>
      </c>
      <c r="K406" t="s">
        <v>158</v>
      </c>
      <c r="L406" s="31">
        <v>10.59</v>
      </c>
      <c r="M406" s="40" t="s">
        <v>160</v>
      </c>
    </row>
    <row r="407" spans="1:13" x14ac:dyDescent="0.25">
      <c r="A407" s="22" t="str">
        <f>TabVMAzureEnvProjet[[#This Row],[Client]] &amp; " .:. "  &amp; TabVMAzureEnvProjet[[#This Row],[Projet]]</f>
        <v>AFB .:. OFB-SISPEA</v>
      </c>
      <c r="B407" s="22" t="str">
        <f>IF(TabVMAzureEnvProjet[[#This Row],[Projet AzureDevOps]]&lt;&gt;"",TabVMAzureEnvProjet[[#This Row],[Projet AzureDevOps]],TabVMAzureEnvProjet[[#This Row],[VM]])</f>
        <v>OFB-SISPEA-VM</v>
      </c>
      <c r="D407" t="s">
        <v>11</v>
      </c>
      <c r="E407" t="s">
        <v>10</v>
      </c>
      <c r="F407" t="s">
        <v>9</v>
      </c>
      <c r="G407" t="str">
        <f>LOOKUP(TabVMAzureEnvProjet[[#This Row],[Projet]],TabProjets[NomProj],TabProjets[SYGES])</f>
        <v>AFB/OFB_LOT2</v>
      </c>
      <c r="H407" t="str">
        <f>LOOKUP(TabVMAzureEnvProjet[[#This Row],[Projet]],TabProjets[NomProj],TabProjets[CP])</f>
        <v>Pierre BOURLIEUX</v>
      </c>
      <c r="I407">
        <f>LOOKUP(TabVMAzureEnvProjet[[#This Row],[Code SYGES]],TabCONTRATSDI[Contrat SYGES],TabCONTRATSDI[Cost Center])</f>
        <v>305704</v>
      </c>
      <c r="J407" s="22" t="str">
        <f>LOOKUP(TabVMAzureEnvProjet[[#This Row],[Code SYGES]],TabCONTRATSDI[Contrat SYGES],TabCONTRATSDI[Client])</f>
        <v>AFB</v>
      </c>
      <c r="K407" t="s">
        <v>158</v>
      </c>
      <c r="L407" s="31">
        <v>27.32</v>
      </c>
      <c r="M407" s="40" t="s">
        <v>160</v>
      </c>
    </row>
    <row r="408" spans="1:13" x14ac:dyDescent="0.25">
      <c r="A408" s="22" t="str">
        <f>TabVMAzureEnvProjet[[#This Row],[Client]] &amp; " .:. "  &amp; TabVMAzureEnvProjet[[#This Row],[Projet]]</f>
        <v>SPC .:. SPC-BUILD</v>
      </c>
      <c r="B408" s="22" t="str">
        <f>IF(TabVMAzureEnvProjet[[#This Row],[Projet AzureDevOps]]&lt;&gt;"",TabVMAzureEnvProjet[[#This Row],[Projet AzureDevOps]],TabVMAzureEnvProjet[[#This Row],[VM]])</f>
        <v>SPC-BUILDAS-VM</v>
      </c>
      <c r="D408" t="s">
        <v>68</v>
      </c>
      <c r="E408" t="s">
        <v>10</v>
      </c>
      <c r="F408" t="s">
        <v>67</v>
      </c>
      <c r="G408" t="str">
        <f>LOOKUP(TabVMAzureEnvProjet[[#This Row],[Projet]],TabProjets[NomProj],TabProjets[SYGES])</f>
        <v>SPC/BUILD</v>
      </c>
      <c r="H408" t="str">
        <f>LOOKUP(TabVMAzureEnvProjet[[#This Row],[Projet]],TabProjets[NomProj],TabProjets[CP])</f>
        <v>Nicolas DURFORT</v>
      </c>
      <c r="I408">
        <f>LOOKUP(TabVMAzureEnvProjet[[#This Row],[Code SYGES]],TabCONTRATSDI[Contrat SYGES],TabCONTRATSDI[Cost Center])</f>
        <v>305704</v>
      </c>
      <c r="J408" s="22" t="str">
        <f>LOOKUP(TabVMAzureEnvProjet[[#This Row],[Code SYGES]],TabCONTRATSDI[Contrat SYGES],TabCONTRATSDI[Client])</f>
        <v>SPC</v>
      </c>
      <c r="K408" t="s">
        <v>158</v>
      </c>
      <c r="L408" s="31">
        <v>141.30000000000001</v>
      </c>
      <c r="M408" s="40" t="s">
        <v>160</v>
      </c>
    </row>
    <row r="409" spans="1:13" x14ac:dyDescent="0.25">
      <c r="A409" s="22" t="str">
        <f>TabVMAzureEnvProjet[[#This Row],[Client]] &amp; " .:. "  &amp; TabVMAzureEnvProjet[[#This Row],[Projet]]</f>
        <v>STMICRO .:. STMICRO-DATAPACK</v>
      </c>
      <c r="B409" s="22" t="str">
        <f>IF(TabVMAzureEnvProjet[[#This Row],[Projet AzureDevOps]]&lt;&gt;"",TabVMAzureEnvProjet[[#This Row],[Projet AzureDevOps]],TabVMAzureEnvProjet[[#This Row],[VM]])</f>
        <v>STMICRO-DATAPACK-VM</v>
      </c>
      <c r="D409" t="s">
        <v>97</v>
      </c>
      <c r="E409" t="s">
        <v>10</v>
      </c>
      <c r="F409" t="s">
        <v>96</v>
      </c>
      <c r="G409" t="str">
        <f>LOOKUP(TabVMAzureEnvProjet[[#This Row],[Projet]],TabProjets[NomProj],TabProjets[SYGES])</f>
        <v>STMICRO/TMASI</v>
      </c>
      <c r="H409" t="str">
        <f>LOOKUP(TabVMAzureEnvProjet[[#This Row],[Projet]],TabProjets[NomProj],TabProjets[CP])</f>
        <v>Jean-Philippe STROIAZZO</v>
      </c>
      <c r="I409">
        <f>LOOKUP(TabVMAzureEnvProjet[[#This Row],[Code SYGES]],TabCONTRATSDI[Contrat SYGES],TabCONTRATSDI[Cost Center])</f>
        <v>305704</v>
      </c>
      <c r="J409" s="22" t="str">
        <f>LOOKUP(TabVMAzureEnvProjet[[#This Row],[Code SYGES]],TabCONTRATSDI[Contrat SYGES],TabCONTRATSDI[Client])</f>
        <v>STMICRO</v>
      </c>
      <c r="K409" t="s">
        <v>158</v>
      </c>
      <c r="L409" s="31">
        <v>38.4</v>
      </c>
      <c r="M409" s="40" t="s">
        <v>160</v>
      </c>
    </row>
    <row r="410" spans="1:13" x14ac:dyDescent="0.25">
      <c r="A410" s="22" t="str">
        <f>TabVMAzureEnvProjet[[#This Row],[Client]] &amp; " .:. "  &amp; TabVMAzureEnvProjet[[#This Row],[Projet]]</f>
        <v>FRR .:. FRR-DIGIPAT</v>
      </c>
      <c r="B410" s="22" t="str">
        <f>IF(TabVMAzureEnvProjet[[#This Row],[Projet AzureDevOps]]&lt;&gt;"",TabVMAzureEnvProjet[[#This Row],[Projet AzureDevOps]],TabVMAzureEnvProjet[[#This Row],[VM]])</f>
        <v>FRR-DIGIPAT-VM</v>
      </c>
      <c r="D410" t="s">
        <v>31</v>
      </c>
      <c r="E410" t="s">
        <v>21</v>
      </c>
      <c r="F410" t="s">
        <v>29</v>
      </c>
      <c r="G410" t="str">
        <f>LOOKUP(TabVMAzureEnvProjet[[#This Row],[Projet]],TabProjets[NomProj],TabProjets[SYGES])</f>
        <v>FRR/TMASI</v>
      </c>
      <c r="H410" t="str">
        <f>LOOKUP(TabVMAzureEnvProjet[[#This Row],[Projet]],TabProjets[NomProj],TabProjets[CP])</f>
        <v>Alice MARCHAL</v>
      </c>
      <c r="I410">
        <f>LOOKUP(TabVMAzureEnvProjet[[#This Row],[Code SYGES]],TabCONTRATSDI[Contrat SYGES],TabCONTRATSDI[Cost Center])</f>
        <v>305704</v>
      </c>
      <c r="J410" s="22" t="str">
        <f>LOOKUP(TabVMAzureEnvProjet[[#This Row],[Code SYGES]],TabCONTRATSDI[Contrat SYGES],TabCONTRATSDI[Client])</f>
        <v>FRR</v>
      </c>
      <c r="K410" t="s">
        <v>158</v>
      </c>
      <c r="L410" s="31">
        <v>21.65</v>
      </c>
      <c r="M410" s="40" t="s">
        <v>160</v>
      </c>
    </row>
    <row r="411" spans="1:13" x14ac:dyDescent="0.25">
      <c r="A411" s="22" t="str">
        <f>TabVMAzureEnvProjet[[#This Row],[Client]] &amp; " .:. "  &amp; TabVMAzureEnvProjet[[#This Row],[Projet]]</f>
        <v>GFI .:. GFI-WAAC</v>
      </c>
      <c r="B411" s="22" t="str">
        <f>IF(TabVMAzureEnvProjet[[#This Row],[Projet AzureDevOps]]&lt;&gt;"",TabVMAzureEnvProjet[[#This Row],[Projet AzureDevOps]],TabVMAzureEnvProjet[[#This Row],[VM]])</f>
        <v>GFI-WAAC-VM</v>
      </c>
      <c r="D411" t="s">
        <v>39</v>
      </c>
      <c r="E411" t="s">
        <v>6</v>
      </c>
      <c r="F411" t="s">
        <v>38</v>
      </c>
      <c r="G411" t="str">
        <f>LOOKUP(TabVMAzureEnvProjet[[#This Row],[Projet]],TabProjets[NomProj],TabProjets[SYGES])</f>
        <v>383928 - WAAC 1.0</v>
      </c>
      <c r="H411" t="str">
        <f>LOOKUP(TabVMAzureEnvProjet[[#This Row],[Projet]],TabProjets[NomProj],TabProjets[CP])</f>
        <v>Laurent MARCIANIAK</v>
      </c>
      <c r="I411">
        <f>LOOKUP(TabVMAzureEnvProjet[[#This Row],[Code SYGES]],TabCONTRATSDI[Contrat SYGES],TabCONTRATSDI[Cost Center])</f>
        <v>100973</v>
      </c>
      <c r="J411" s="22" t="str">
        <f>LOOKUP(TabVMAzureEnvProjet[[#This Row],[Code SYGES]],TabCONTRATSDI[Contrat SYGES],TabCONTRATSDI[Client])</f>
        <v>GFI</v>
      </c>
      <c r="K411" t="s">
        <v>158</v>
      </c>
      <c r="L411" s="31">
        <v>15.03</v>
      </c>
      <c r="M411" s="40" t="s">
        <v>160</v>
      </c>
    </row>
    <row r="412" spans="1:13" x14ac:dyDescent="0.25">
      <c r="A412" s="22" t="str">
        <f>TabVMAzureEnvProjet[[#This Row],[Client]] &amp; " .:. "  &amp; TabVMAzureEnvProjet[[#This Row],[Projet]]</f>
        <v>LAPOSTE .:. LAPOSTE-CDC</v>
      </c>
      <c r="B412" s="22" t="str">
        <f>IF(TabVMAzureEnvProjet[[#This Row],[Projet AzureDevOps]]&lt;&gt;"",TabVMAzureEnvProjet[[#This Row],[Projet AzureDevOps]],TabVMAzureEnvProjet[[#This Row],[VM]])</f>
        <v>LAPOSTE-CDC-VM</v>
      </c>
      <c r="D412" t="s">
        <v>92</v>
      </c>
      <c r="E412" t="s">
        <v>10</v>
      </c>
      <c r="F412" t="s">
        <v>82</v>
      </c>
      <c r="G412" t="str">
        <f>LOOKUP(TabVMAzureEnvProjet[[#This Row],[Projet]],TabProjets[NomProj],TabProjets[SYGES])</f>
        <v>LA-POSTE/CDC_DRUPAL</v>
      </c>
      <c r="H412" t="str">
        <f>LOOKUP(TabVMAzureEnvProjet[[#This Row],[Projet]],TabProjets[NomProj],TabProjets[CP])</f>
        <v>Rodolphe HABEGGER</v>
      </c>
      <c r="I412">
        <f>LOOKUP(TabVMAzureEnvProjet[[#This Row],[Code SYGES]],TabCONTRATSDI[Contrat SYGES],TabCONTRATSDI[Cost Center])</f>
        <v>305704</v>
      </c>
      <c r="J412" s="22" t="str">
        <f>LOOKUP(TabVMAzureEnvProjet[[#This Row],[Code SYGES]],TabCONTRATSDI[Contrat SYGES],TabCONTRATSDI[Client])</f>
        <v>LAPOSTE</v>
      </c>
      <c r="K412" t="s">
        <v>158</v>
      </c>
      <c r="L412" s="31">
        <v>9.43</v>
      </c>
      <c r="M412" s="40" t="s">
        <v>160</v>
      </c>
    </row>
    <row r="413" spans="1:13" x14ac:dyDescent="0.25">
      <c r="A413" s="22" t="str">
        <f>TabVMAzureEnvProjet[[#This Row],[Client]] &amp; " .:. "  &amp; TabVMAzureEnvProjet[[#This Row],[Projet]]</f>
        <v>MENESR .:. MENJ-INSERJEUNES</v>
      </c>
      <c r="B413" s="22" t="str">
        <f>IF(TabVMAzureEnvProjet[[#This Row],[Projet AzureDevOps]]&lt;&gt;"",TabVMAzureEnvProjet[[#This Row],[Projet AzureDevOps]],TabVMAzureEnvProjet[[#This Row],[VM]])</f>
        <v>MENJ-INERJEUNES</v>
      </c>
      <c r="D413" t="s">
        <v>55</v>
      </c>
      <c r="E413" t="s">
        <v>21</v>
      </c>
      <c r="F413" t="s">
        <v>53</v>
      </c>
      <c r="G413" t="str">
        <f>LOOKUP(TabVMAzureEnvProjet[[#This Row],[Projet]],TabProjets[NomProj],TabProjets[SYGES])</f>
        <v>MENESR - TMA - 23 - 1 - INSERJEUNES</v>
      </c>
      <c r="H413" t="str">
        <f>LOOKUP(TabVMAzureEnvProjet[[#This Row],[Projet]],TabProjets[NomProj],TabProjets[CP])</f>
        <v>Christophe ORLANDO</v>
      </c>
      <c r="I413">
        <f>LOOKUP(TabVMAzureEnvProjet[[#This Row],[Code SYGES]],TabCONTRATSDI[Contrat SYGES],TabCONTRATSDI[Cost Center])</f>
        <v>305704</v>
      </c>
      <c r="J413" s="22" t="str">
        <f>LOOKUP(TabVMAzureEnvProjet[[#This Row],[Code SYGES]],TabCONTRATSDI[Contrat SYGES],TabCONTRATSDI[Client])</f>
        <v>MENESR</v>
      </c>
      <c r="K413" t="s">
        <v>158</v>
      </c>
      <c r="L413" s="31">
        <v>0.87</v>
      </c>
      <c r="M413" s="40" t="s">
        <v>160</v>
      </c>
    </row>
    <row r="414" spans="1:13" x14ac:dyDescent="0.25">
      <c r="A414" s="22" t="str">
        <f>TabVMAzureEnvProjet[[#This Row],[Client]] &amp; " .:. "  &amp; TabVMAzureEnvProjet[[#This Row],[Projet]]</f>
        <v>ONEMA .:. AFB-BASEINDICATEURS</v>
      </c>
      <c r="B414" s="22" t="str">
        <f>IF(TabVMAzureEnvProjet[[#This Row],[Projet AzureDevOps]]&lt;&gt;"",TabVMAzureEnvProjet[[#This Row],[Projet AzureDevOps]],TabVMAzureEnvProjet[[#This Row],[VM]])</f>
        <v>AFB-BaseIndicateurs</v>
      </c>
      <c r="C414" s="57" t="s">
        <v>58</v>
      </c>
      <c r="E414" t="s">
        <v>4</v>
      </c>
      <c r="F414" t="s">
        <v>57</v>
      </c>
      <c r="G414" t="str">
        <f>LOOKUP(TabVMAzureEnvProjet[[#This Row],[Projet]],TabProjets[NomProj],TabProjets[SYGES])</f>
        <v>ONEMA/TMADCUA-15</v>
      </c>
      <c r="H414" t="str">
        <f>LOOKUP(TabVMAzureEnvProjet[[#This Row],[Projet]],TabProjets[NomProj],TabProjets[CP])</f>
        <v>Pierre BOURLIEUX</v>
      </c>
      <c r="I414">
        <f>LOOKUP(TabVMAzureEnvProjet[[#This Row],[Code SYGES]],TabCONTRATSDI[Contrat SYGES],TabCONTRATSDI[Cost Center])</f>
        <v>305704</v>
      </c>
      <c r="J414" s="22" t="str">
        <f>LOOKUP(TabVMAzureEnvProjet[[#This Row],[Code SYGES]],TabCONTRATSDI[Contrat SYGES],TabCONTRATSDI[Client])</f>
        <v>ONEMA</v>
      </c>
      <c r="K414" t="s">
        <v>161</v>
      </c>
      <c r="L414" s="31">
        <v>0.48803683080208327</v>
      </c>
      <c r="M414" s="41" t="s">
        <v>162</v>
      </c>
    </row>
    <row r="415" spans="1:13" x14ac:dyDescent="0.25">
      <c r="A415" s="22" t="str">
        <f>TabVMAzureEnvProjet[[#This Row],[Client]] &amp; " .:. "  &amp; TabVMAzureEnvProjet[[#This Row],[Projet]]</f>
        <v>ONEMA .:. AFB-CATALOGUE</v>
      </c>
      <c r="B415" s="22" t="str">
        <f>IF(TabVMAzureEnvProjet[[#This Row],[Projet AzureDevOps]]&lt;&gt;"",TabVMAzureEnvProjet[[#This Row],[Projet AzureDevOps]],TabVMAzureEnvProjet[[#This Row],[VM]])</f>
        <v>AFB-Catalogue</v>
      </c>
      <c r="C415" s="57" t="s">
        <v>60</v>
      </c>
      <c r="E415" t="s">
        <v>4</v>
      </c>
      <c r="F415" t="s">
        <v>59</v>
      </c>
      <c r="G415" t="str">
        <f>LOOKUP(TabVMAzureEnvProjet[[#This Row],[Projet]],TabProjets[NomProj],TabProjets[SYGES])</f>
        <v>ONEMA/TMADCUA-15</v>
      </c>
      <c r="H415" t="str">
        <f>LOOKUP(TabVMAzureEnvProjet[[#This Row],[Projet]],TabProjets[NomProj],TabProjets[CP])</f>
        <v>Pierre BOURLIEUX</v>
      </c>
      <c r="I415">
        <f>LOOKUP(TabVMAzureEnvProjet[[#This Row],[Code SYGES]],TabCONTRATSDI[Contrat SYGES],TabCONTRATSDI[Cost Center])</f>
        <v>305704</v>
      </c>
      <c r="J415" s="22" t="str">
        <f>LOOKUP(TabVMAzureEnvProjet[[#This Row],[Code SYGES]],TabCONTRATSDI[Contrat SYGES],TabCONTRATSDI[Client])</f>
        <v>ONEMA</v>
      </c>
      <c r="K415" t="s">
        <v>161</v>
      </c>
      <c r="L415" s="31">
        <v>1.8724201854354703</v>
      </c>
      <c r="M415" s="41" t="s">
        <v>162</v>
      </c>
    </row>
    <row r="416" spans="1:13" x14ac:dyDescent="0.25">
      <c r="A416" s="22" t="str">
        <f>TabVMAzureEnvProjet[[#This Row],[Client]] &amp; " .:. "  &amp; TabVMAzureEnvProjet[[#This Row],[Projet]]</f>
        <v>ONEMA .:. AFB-CDR</v>
      </c>
      <c r="B416" s="22" t="str">
        <f>IF(TabVMAzureEnvProjet[[#This Row],[Projet AzureDevOps]]&lt;&gt;"",TabVMAzureEnvProjet[[#This Row],[Projet AzureDevOps]],TabVMAzureEnvProjet[[#This Row],[VM]])</f>
        <v>AFB-CDR</v>
      </c>
      <c r="C416" s="57" t="s">
        <v>61</v>
      </c>
      <c r="E416" t="s">
        <v>4</v>
      </c>
      <c r="F416" t="s">
        <v>61</v>
      </c>
      <c r="G416" t="str">
        <f>LOOKUP(TabVMAzureEnvProjet[[#This Row],[Projet]],TabProjets[NomProj],TabProjets[SYGES])</f>
        <v>ONEMA/TMAWEB-16</v>
      </c>
      <c r="H416" t="str">
        <f>LOOKUP(TabVMAzureEnvProjet[[#This Row],[Projet]],TabProjets[NomProj],TabProjets[CP])</f>
        <v>Pierre BOURLIEUX</v>
      </c>
      <c r="I416">
        <f>LOOKUP(TabVMAzureEnvProjet[[#This Row],[Code SYGES]],TabCONTRATSDI[Contrat SYGES],TabCONTRATSDI[Cost Center])</f>
        <v>305704</v>
      </c>
      <c r="J416" s="22" t="str">
        <f>LOOKUP(TabVMAzureEnvProjet[[#This Row],[Code SYGES]],TabCONTRATSDI[Contrat SYGES],TabCONTRATSDI[Client])</f>
        <v>ONEMA</v>
      </c>
      <c r="K416" t="s">
        <v>161</v>
      </c>
      <c r="L416" s="31">
        <v>8.5200006208381094</v>
      </c>
      <c r="M416" s="41" t="s">
        <v>162</v>
      </c>
    </row>
    <row r="417" spans="1:13" x14ac:dyDescent="0.25">
      <c r="A417" s="22" t="str">
        <f>TabVMAzureEnvProjet[[#This Row],[Client]] &amp; " .:. "  &amp; TabVMAzureEnvProjet[[#This Row],[Projet]]</f>
        <v>AFB .:. AFB-CESMIA</v>
      </c>
      <c r="B417" s="22" t="str">
        <f>IF(TabVMAzureEnvProjet[[#This Row],[Projet AzureDevOps]]&lt;&gt;"",TabVMAzureEnvProjet[[#This Row],[Projet AzureDevOps]],TabVMAzureEnvProjet[[#This Row],[VM]])</f>
        <v>AFB-CESMIA</v>
      </c>
      <c r="C417" s="57" t="s">
        <v>3</v>
      </c>
      <c r="E417" t="s">
        <v>4</v>
      </c>
      <c r="F417" t="s">
        <v>3</v>
      </c>
      <c r="G417" t="str">
        <f>LOOKUP(TabVMAzureEnvProjet[[#This Row],[Projet]],TabProjets[NomProj],TabProjets[SYGES])</f>
        <v>AFB/OFB_LOT1</v>
      </c>
      <c r="H417" t="str">
        <f>LOOKUP(TabVMAzureEnvProjet[[#This Row],[Projet]],TabProjets[NomProj],TabProjets[CP])</f>
        <v>Jean-Philippe STROIAZZO</v>
      </c>
      <c r="I417">
        <f>LOOKUP(TabVMAzureEnvProjet[[#This Row],[Code SYGES]],TabCONTRATSDI[Contrat SYGES],TabCONTRATSDI[Cost Center])</f>
        <v>305704</v>
      </c>
      <c r="J417" s="22" t="str">
        <f>LOOKUP(TabVMAzureEnvProjet[[#This Row],[Code SYGES]],TabCONTRATSDI[Contrat SYGES],TabCONTRATSDI[Client])</f>
        <v>AFB</v>
      </c>
      <c r="K417" t="s">
        <v>161</v>
      </c>
      <c r="L417" s="31">
        <v>8.3242972598595628</v>
      </c>
      <c r="M417" s="41" t="s">
        <v>162</v>
      </c>
    </row>
    <row r="418" spans="1:13" x14ac:dyDescent="0.25">
      <c r="A418" s="22" t="str">
        <f>TabVMAzureEnvProjet[[#This Row],[Client]] &amp; " .:. "  &amp; TabVMAzureEnvProjet[[#This Row],[Projet]]</f>
        <v>ONEMA .:. AFB-OISON</v>
      </c>
      <c r="B418" s="22" t="str">
        <f>IF(TabVMAzureEnvProjet[[#This Row],[Projet AzureDevOps]]&lt;&gt;"",TabVMAzureEnvProjet[[#This Row],[Projet AzureDevOps]],TabVMAzureEnvProjet[[#This Row],[VM]])</f>
        <v>AFB-OISON</v>
      </c>
      <c r="C418" s="57" t="s">
        <v>62</v>
      </c>
      <c r="E418" t="s">
        <v>4</v>
      </c>
      <c r="F418" t="s">
        <v>62</v>
      </c>
      <c r="G418" t="str">
        <f>LOOKUP(TabVMAzureEnvProjet[[#This Row],[Projet]],TabProjets[NomProj],TabProjets[SYGES])</f>
        <v>ONEMA/TMADCUA-15</v>
      </c>
      <c r="H418" t="str">
        <f>LOOKUP(TabVMAzureEnvProjet[[#This Row],[Projet]],TabProjets[NomProj],TabProjets[CP])</f>
        <v>Jean-Philippe STROIAZZO</v>
      </c>
      <c r="I418">
        <f>LOOKUP(TabVMAzureEnvProjet[[#This Row],[Code SYGES]],TabCONTRATSDI[Contrat SYGES],TabCONTRATSDI[Cost Center])</f>
        <v>305704</v>
      </c>
      <c r="J418" s="22" t="str">
        <f>LOOKUP(TabVMAzureEnvProjet[[#This Row],[Code SYGES]],TabCONTRATSDI[Contrat SYGES],TabCONTRATSDI[Client])</f>
        <v>ONEMA</v>
      </c>
      <c r="K418" t="s">
        <v>161</v>
      </c>
      <c r="L418" s="31">
        <v>5.3654356422009251</v>
      </c>
      <c r="M418" s="41" t="s">
        <v>162</v>
      </c>
    </row>
    <row r="419" spans="1:13" x14ac:dyDescent="0.25">
      <c r="A419" s="22" t="str">
        <f>TabVMAzureEnvProjet[[#This Row],[Client]] &amp; " .:. "  &amp; TabVMAzureEnvProjet[[#This Row],[Projet]]</f>
        <v>ONEMA .:. AFB-PATBIODIV</v>
      </c>
      <c r="B419" s="22" t="str">
        <f>IF(TabVMAzureEnvProjet[[#This Row],[Projet AzureDevOps]]&lt;&gt;"",TabVMAzureEnvProjet[[#This Row],[Projet AzureDevOps]],TabVMAzureEnvProjet[[#This Row],[VM]])</f>
        <v>AFB-PATBiodiv</v>
      </c>
      <c r="C419" s="57" t="s">
        <v>64</v>
      </c>
      <c r="E419" t="s">
        <v>4</v>
      </c>
      <c r="F419" t="s">
        <v>63</v>
      </c>
      <c r="G419" t="str">
        <f>LOOKUP(TabVMAzureEnvProjet[[#This Row],[Projet]],TabProjets[NomProj],TabProjets[SYGES])</f>
        <v>ONEMA/TMADCUA-15</v>
      </c>
      <c r="H419" t="str">
        <f>LOOKUP(TabVMAzureEnvProjet[[#This Row],[Projet]],TabProjets[NomProj],TabProjets[CP])</f>
        <v>Rodolphe HABEGGER</v>
      </c>
      <c r="I419">
        <f>LOOKUP(TabVMAzureEnvProjet[[#This Row],[Code SYGES]],TabCONTRATSDI[Contrat SYGES],TabCONTRATSDI[Cost Center])</f>
        <v>305704</v>
      </c>
      <c r="J419" s="22" t="str">
        <f>LOOKUP(TabVMAzureEnvProjet[[#This Row],[Code SYGES]],TabCONTRATSDI[Contrat SYGES],TabCONTRATSDI[Client])</f>
        <v>ONEMA</v>
      </c>
      <c r="K419" t="s">
        <v>161</v>
      </c>
      <c r="L419" s="31">
        <v>5.8899122897217104</v>
      </c>
      <c r="M419" s="41" t="s">
        <v>162</v>
      </c>
    </row>
    <row r="420" spans="1:13" x14ac:dyDescent="0.25">
      <c r="A420" s="22" t="str">
        <f>TabVMAzureEnvProjet[[#This Row],[Client]] &amp; " .:. "  &amp; TabVMAzureEnvProjet[[#This Row],[Projet]]</f>
        <v>AFB .:. AFB-PNM</v>
      </c>
      <c r="B420" s="22" t="str">
        <f>IF(TabVMAzureEnvProjet[[#This Row],[Projet AzureDevOps]]&lt;&gt;"",TabVMAzureEnvProjet[[#This Row],[Projet AzureDevOps]],TabVMAzureEnvProjet[[#This Row],[VM]])</f>
        <v>AFB-PNM</v>
      </c>
      <c r="C420" s="57" t="s">
        <v>5</v>
      </c>
      <c r="E420" t="s">
        <v>4</v>
      </c>
      <c r="F420" t="s">
        <v>5</v>
      </c>
      <c r="G420" t="str">
        <f>LOOKUP(TabVMAzureEnvProjet[[#This Row],[Projet]],TabProjets[NomProj],TabProjets[SYGES])</f>
        <v>AFB/OFB_LOT2</v>
      </c>
      <c r="H420" t="str">
        <f>LOOKUP(TabVMAzureEnvProjet[[#This Row],[Projet]],TabProjets[NomProj],TabProjets[CP])</f>
        <v>Eric RAUCOURT</v>
      </c>
      <c r="I420">
        <f>LOOKUP(TabVMAzureEnvProjet[[#This Row],[Code SYGES]],TabCONTRATSDI[Contrat SYGES],TabCONTRATSDI[Cost Center])</f>
        <v>305704</v>
      </c>
      <c r="J420" s="22" t="str">
        <f>LOOKUP(TabVMAzureEnvProjet[[#This Row],[Code SYGES]],TabCONTRATSDI[Contrat SYGES],TabCONTRATSDI[Client])</f>
        <v>AFB</v>
      </c>
      <c r="K420" t="s">
        <v>161</v>
      </c>
      <c r="L420" s="31">
        <v>8.1899604416767993</v>
      </c>
      <c r="M420" s="41" t="s">
        <v>162</v>
      </c>
    </row>
    <row r="421" spans="1:13" x14ac:dyDescent="0.25">
      <c r="A421" s="22" t="str">
        <f>TabVMAzureEnvProjet[[#This Row],[Client]] &amp; " .:. "  &amp; TabVMAzureEnvProjet[[#This Row],[Projet]]</f>
        <v>AFB .:. AFB-PNX</v>
      </c>
      <c r="B421" s="22" t="str">
        <f>IF(TabVMAzureEnvProjet[[#This Row],[Projet AzureDevOps]]&lt;&gt;"",TabVMAzureEnvProjet[[#This Row],[Projet AzureDevOps]],TabVMAzureEnvProjet[[#This Row],[VM]])</f>
        <v>AFB-PNX</v>
      </c>
      <c r="C421" s="57" t="s">
        <v>8</v>
      </c>
      <c r="E421" t="s">
        <v>4</v>
      </c>
      <c r="F421" t="s">
        <v>8</v>
      </c>
      <c r="G421" t="str">
        <f>LOOKUP(TabVMAzureEnvProjet[[#This Row],[Projet]],TabProjets[NomProj],TabProjets[SYGES])</f>
        <v>AFB/OFB_LOT2</v>
      </c>
      <c r="H421" t="str">
        <f>LOOKUP(TabVMAzureEnvProjet[[#This Row],[Projet]],TabProjets[NomProj],TabProjets[CP])</f>
        <v>Pierre BOURLIEUX</v>
      </c>
      <c r="I421">
        <f>LOOKUP(TabVMAzureEnvProjet[[#This Row],[Code SYGES]],TabCONTRATSDI[Contrat SYGES],TabCONTRATSDI[Cost Center])</f>
        <v>305704</v>
      </c>
      <c r="J421" s="22" t="str">
        <f>LOOKUP(TabVMAzureEnvProjet[[#This Row],[Code SYGES]],TabCONTRATSDI[Contrat SYGES],TabCONTRATSDI[Client])</f>
        <v>AFB</v>
      </c>
      <c r="K421" t="s">
        <v>161</v>
      </c>
      <c r="L421" s="31">
        <v>2.0319578575688242</v>
      </c>
      <c r="M421" s="41" t="s">
        <v>162</v>
      </c>
    </row>
    <row r="422" spans="1:13" x14ac:dyDescent="0.25">
      <c r="A422" s="22" t="str">
        <f>TabVMAzureEnvProjet[[#This Row],[Client]] &amp; " .:. "  &amp; TabVMAzureEnvProjet[[#This Row],[Projet]]</f>
        <v>ONEMA .:. AFB-RAA</v>
      </c>
      <c r="B422" s="22" t="str">
        <f>IF(TabVMAzureEnvProjet[[#This Row],[Projet AzureDevOps]]&lt;&gt;"",TabVMAzureEnvProjet[[#This Row],[Projet AzureDevOps]],TabVMAzureEnvProjet[[#This Row],[VM]])</f>
        <v>AFB-RAA</v>
      </c>
      <c r="C422" s="57" t="s">
        <v>65</v>
      </c>
      <c r="E422" t="s">
        <v>4</v>
      </c>
      <c r="F422" t="s">
        <v>65</v>
      </c>
      <c r="G422" t="str">
        <f>LOOKUP(TabVMAzureEnvProjet[[#This Row],[Projet]],TabProjets[NomProj],TabProjets[SYGES])</f>
        <v>ONEMA/TMAWEB-16</v>
      </c>
      <c r="H422" t="str">
        <f>LOOKUP(TabVMAzureEnvProjet[[#This Row],[Projet]],TabProjets[NomProj],TabProjets[CP])</f>
        <v>Pierre BOURLIEUX</v>
      </c>
      <c r="I422">
        <f>LOOKUP(TabVMAzureEnvProjet[[#This Row],[Code SYGES]],TabCONTRATSDI[Contrat SYGES],TabCONTRATSDI[Cost Center])</f>
        <v>305704</v>
      </c>
      <c r="J422" s="22" t="str">
        <f>LOOKUP(TabVMAzureEnvProjet[[#This Row],[Code SYGES]],TabCONTRATSDI[Contrat SYGES],TabCONTRATSDI[Client])</f>
        <v>ONEMA</v>
      </c>
      <c r="K422" t="s">
        <v>161</v>
      </c>
      <c r="L422" s="31">
        <v>0.23117534090624997</v>
      </c>
      <c r="M422" s="41" t="s">
        <v>162</v>
      </c>
    </row>
    <row r="423" spans="1:13" x14ac:dyDescent="0.25">
      <c r="A423" s="22" t="str">
        <f>TabVMAzureEnvProjet[[#This Row],[Client]] &amp; " .:. "  &amp; TabVMAzureEnvProjet[[#This Row],[Projet]]</f>
        <v>ALM .:. ALM-ATOUT</v>
      </c>
      <c r="B423" s="22" t="str">
        <f>IF(TabVMAzureEnvProjet[[#This Row],[Projet AzureDevOps]]&lt;&gt;"",TabVMAzureEnvProjet[[#This Row],[Projet AzureDevOps]],TabVMAzureEnvProjet[[#This Row],[VM]])</f>
        <v>ALM-ATOUT</v>
      </c>
      <c r="C423" s="57" t="s">
        <v>17</v>
      </c>
      <c r="E423" t="s">
        <v>4</v>
      </c>
      <c r="F423" t="s">
        <v>17</v>
      </c>
      <c r="G423" t="str">
        <f>LOOKUP(TabVMAzureEnvProjet[[#This Row],[Projet]],TabProjets[NomProj],TabProjets[SYGES])</f>
        <v>ALM/TMA_ATOUT</v>
      </c>
      <c r="H423" t="str">
        <f>LOOKUP(TabVMAzureEnvProjet[[#This Row],[Projet]],TabProjets[NomProj],TabProjets[CP])</f>
        <v>Alice MARCHAL</v>
      </c>
      <c r="I423">
        <f>LOOKUP(TabVMAzureEnvProjet[[#This Row],[Code SYGES]],TabCONTRATSDI[Contrat SYGES],TabCONTRATSDI[Cost Center])</f>
        <v>305704</v>
      </c>
      <c r="J423" s="22" t="str">
        <f>LOOKUP(TabVMAzureEnvProjet[[#This Row],[Code SYGES]],TabCONTRATSDI[Contrat SYGES],TabCONTRATSDI[Client])</f>
        <v>ALM</v>
      </c>
      <c r="K423" t="s">
        <v>161</v>
      </c>
      <c r="L423" s="31">
        <v>6.750258549395399</v>
      </c>
      <c r="M423" s="41" t="s">
        <v>162</v>
      </c>
    </row>
    <row r="424" spans="1:13" x14ac:dyDescent="0.25">
      <c r="A424" s="22" t="str">
        <f>TabVMAzureEnvProjet[[#This Row],[Client]] &amp; " .:. "  &amp; TabVMAzureEnvProjet[[#This Row],[Projet]]</f>
        <v>BRGM .:. BRGM-ORRM</v>
      </c>
      <c r="B424" s="22" t="str">
        <f>IF(TabVMAzureEnvProjet[[#This Row],[Projet AzureDevOps]]&lt;&gt;"",TabVMAzureEnvProjet[[#This Row],[Projet AzureDevOps]],TabVMAzureEnvProjet[[#This Row],[VM]])</f>
        <v>BRGM-ORRM</v>
      </c>
      <c r="C424" s="57" t="s">
        <v>20</v>
      </c>
      <c r="E424" t="s">
        <v>4</v>
      </c>
      <c r="F424" t="s">
        <v>20</v>
      </c>
      <c r="G424" t="str">
        <f>LOOKUP(TabVMAzureEnvProjet[[#This Row],[Projet]],TabProjets[NomProj],TabProjets[SYGES])</f>
        <v>BRGM/TMA-5-1-ORRM-LOT1</v>
      </c>
      <c r="H424" t="str">
        <f>LOOKUP(TabVMAzureEnvProjet[[#This Row],[Projet]],TabProjets[NomProj],TabProjets[CP])</f>
        <v>Alice MARCHAL</v>
      </c>
      <c r="I424">
        <f>LOOKUP(TabVMAzureEnvProjet[[#This Row],[Code SYGES]],TabCONTRATSDI[Contrat SYGES],TabCONTRATSDI[Cost Center])</f>
        <v>305704</v>
      </c>
      <c r="J424" s="22" t="str">
        <f>LOOKUP(TabVMAzureEnvProjet[[#This Row],[Code SYGES]],TabCONTRATSDI[Contrat SYGES],TabCONTRATSDI[Client])</f>
        <v>BRGM</v>
      </c>
      <c r="K424" t="s">
        <v>161</v>
      </c>
      <c r="L424" s="31">
        <v>8.9045395465594517</v>
      </c>
      <c r="M424" s="41" t="s">
        <v>162</v>
      </c>
    </row>
    <row r="425" spans="1:13" x14ac:dyDescent="0.25">
      <c r="A425" s="22" t="str">
        <f>TabVMAzureEnvProjet[[#This Row],[Client]] &amp; " .:. "  &amp; TabVMAzureEnvProjet[[#This Row],[Projet]]</f>
        <v>CGOS .:. CGOS-BI</v>
      </c>
      <c r="B425" s="22" t="str">
        <f>IF(TabVMAzureEnvProjet[[#This Row],[Projet AzureDevOps]]&lt;&gt;"",TabVMAzureEnvProjet[[#This Row],[Projet AzureDevOps]],TabVMAzureEnvProjet[[#This Row],[VM]])</f>
        <v>CGOS-BI</v>
      </c>
      <c r="C425" s="57" t="s">
        <v>100</v>
      </c>
      <c r="E425" t="s">
        <v>4</v>
      </c>
      <c r="F425" t="s">
        <v>100</v>
      </c>
      <c r="G425" t="str">
        <f>LOOKUP(TabVMAzureEnvProjet[[#This Row],[Projet]],TabProjets[NomProj],TabProjets[SYGES])</f>
        <v>CGOS-BUILDBI-18</v>
      </c>
      <c r="H425" t="str">
        <f>LOOKUP(TabVMAzureEnvProjet[[#This Row],[Projet]],TabProjets[NomProj],TabProjets[CP])</f>
        <v>Valerie ASSELIN LOZACHMEUR</v>
      </c>
      <c r="I425">
        <f>LOOKUP(TabVMAzureEnvProjet[[#This Row],[Code SYGES]],TabCONTRATSDI[Contrat SYGES],TabCONTRATSDI[Cost Center])</f>
        <v>305704</v>
      </c>
      <c r="J425" s="22" t="str">
        <f>LOOKUP(TabVMAzureEnvProjet[[#This Row],[Code SYGES]],TabCONTRATSDI[Contrat SYGES],TabCONTRATSDI[Client])</f>
        <v>CGOS</v>
      </c>
      <c r="K425" t="s">
        <v>161</v>
      </c>
      <c r="L425" s="31">
        <v>4.6235068181249996</v>
      </c>
      <c r="M425" s="41" t="s">
        <v>162</v>
      </c>
    </row>
    <row r="426" spans="1:13" x14ac:dyDescent="0.25">
      <c r="A426" s="22" t="str">
        <f>TabVMAzureEnvProjet[[#This Row],[Client]] &amp; " .:. "  &amp; TabVMAzureEnvProjet[[#This Row],[Projet]]</f>
        <v>CNAV .:. CNAV-BI-RGCU</v>
      </c>
      <c r="B426" s="22" t="str">
        <f>IF(TabVMAzureEnvProjet[[#This Row],[Projet AzureDevOps]]&lt;&gt;"",TabVMAzureEnvProjet[[#This Row],[Projet AzureDevOps]],TabVMAzureEnvProjet[[#This Row],[VM]])</f>
        <v>CNAV-BI-RGCU</v>
      </c>
      <c r="C426" s="57" t="s">
        <v>27</v>
      </c>
      <c r="E426" t="s">
        <v>4</v>
      </c>
      <c r="F426" t="s">
        <v>27</v>
      </c>
      <c r="G426" t="str">
        <f>LOOKUP(TabVMAzureEnvProjet[[#This Row],[Projet]],TabProjets[NomProj],TabProjets[SYGES])</f>
        <v>CNAV/BI-SIRRGCU</v>
      </c>
      <c r="H426" t="str">
        <f>LOOKUP(TabVMAzureEnvProjet[[#This Row],[Projet]],TabProjets[NomProj],TabProjets[CP])</f>
        <v>Valerie ASSELIN LOZACHMEUR</v>
      </c>
      <c r="I426">
        <f>LOOKUP(TabVMAzureEnvProjet[[#This Row],[Code SYGES]],TabCONTRATSDI[Contrat SYGES],TabCONTRATSDI[Cost Center])</f>
        <v>305704</v>
      </c>
      <c r="J426" s="22" t="str">
        <f>LOOKUP(TabVMAzureEnvProjet[[#This Row],[Code SYGES]],TabCONTRATSDI[Contrat SYGES],TabCONTRATSDI[Client])</f>
        <v>CNAV</v>
      </c>
      <c r="K426" t="s">
        <v>161</v>
      </c>
      <c r="L426" s="31">
        <v>11.5587670453125</v>
      </c>
      <c r="M426" s="41" t="s">
        <v>162</v>
      </c>
    </row>
    <row r="427" spans="1:13" x14ac:dyDescent="0.25">
      <c r="A427" s="22" t="str">
        <f>TabVMAzureEnvProjet[[#This Row],[Client]] &amp; " .:. "  &amp; TabVMAzureEnvProjet[[#This Row],[Projet]]</f>
        <v>INETUM .:. INETUM-INTERNE</v>
      </c>
      <c r="B427" s="22" t="str">
        <f>IF(TabVMAzureEnvProjet[[#This Row],[Projet AzureDevOps]]&lt;&gt;"",TabVMAzureEnvProjet[[#This Row],[Projet AzureDevOps]],TabVMAzureEnvProjet[[#This Row],[VM]])</f>
        <v>d8-qa</v>
      </c>
      <c r="C427" s="57" t="s">
        <v>141</v>
      </c>
      <c r="E427" t="s">
        <v>4</v>
      </c>
      <c r="F427" t="s">
        <v>102</v>
      </c>
      <c r="G427" t="str">
        <f>LOOKUP(TabVMAzureEnvProjet[[#This Row],[Projet]],TabProjets[NomProj],TabProjets[SYGES])</f>
        <v>INETUM/PROJET_INTERNE</v>
      </c>
      <c r="H427" t="str">
        <f>LOOKUP(TabVMAzureEnvProjet[[#This Row],[Projet]],TabProjets[NomProj],TabProjets[CP])</f>
        <v>Christophe ORLANDO</v>
      </c>
      <c r="I427">
        <f>LOOKUP(TabVMAzureEnvProjet[[#This Row],[Code SYGES]],TabCONTRATSDI[Contrat SYGES],TabCONTRATSDI[Cost Center])</f>
        <v>305704</v>
      </c>
      <c r="J427" s="22" t="str">
        <f>LOOKUP(TabVMAzureEnvProjet[[#This Row],[Code SYGES]],TabCONTRATSDI[Contrat SYGES],TabCONTRATSDI[Client])</f>
        <v>INETUM</v>
      </c>
      <c r="K427" t="s">
        <v>161</v>
      </c>
      <c r="L427" s="31">
        <v>0.50314633020772059</v>
      </c>
      <c r="M427" s="41" t="s">
        <v>162</v>
      </c>
    </row>
    <row r="428" spans="1:13" x14ac:dyDescent="0.25">
      <c r="A428" s="22" t="str">
        <f>TabVMAzureEnvProjet[[#This Row],[Client]] &amp; " .:. "  &amp; TabVMAzureEnvProjet[[#This Row],[Projet]]</f>
        <v>INETUM .:. INETUM-INTERNE</v>
      </c>
      <c r="B428" s="22" t="str">
        <f>IF(TabVMAzureEnvProjet[[#This Row],[Projet AzureDevOps]]&lt;&gt;"",TabVMAzureEnvProjet[[#This Row],[Projet AzureDevOps]],TabVMAzureEnvProjet[[#This Row],[VM]])</f>
        <v>drupal-qa</v>
      </c>
      <c r="C428" s="57" t="s">
        <v>142</v>
      </c>
      <c r="E428" t="s">
        <v>4</v>
      </c>
      <c r="F428" t="s">
        <v>102</v>
      </c>
      <c r="G428" t="str">
        <f>LOOKUP(TabVMAzureEnvProjet[[#This Row],[Projet]],TabProjets[NomProj],TabProjets[SYGES])</f>
        <v>INETUM/PROJET_INTERNE</v>
      </c>
      <c r="H428" t="str">
        <f>LOOKUP(TabVMAzureEnvProjet[[#This Row],[Projet]],TabProjets[NomProj],TabProjets[CP])</f>
        <v>Christophe ORLANDO</v>
      </c>
      <c r="I428">
        <f>LOOKUP(TabVMAzureEnvProjet[[#This Row],[Code SYGES]],TabCONTRATSDI[Contrat SYGES],TabCONTRATSDI[Cost Center])</f>
        <v>305704</v>
      </c>
      <c r="J428" s="22" t="str">
        <f>LOOKUP(TabVMAzureEnvProjet[[#This Row],[Code SYGES]],TabCONTRATSDI[Contrat SYGES],TabCONTRATSDI[Client])</f>
        <v>INETUM</v>
      </c>
      <c r="K428" t="s">
        <v>161</v>
      </c>
      <c r="L428" s="31">
        <v>0.50314633020772059</v>
      </c>
      <c r="M428" s="41" t="s">
        <v>162</v>
      </c>
    </row>
    <row r="429" spans="1:13" x14ac:dyDescent="0.25">
      <c r="A429" s="22" t="str">
        <f>TabVMAzureEnvProjet[[#This Row],[Client]] &amp; " .:. "  &amp; TabVMAzureEnvProjet[[#This Row],[Projet]]</f>
        <v>FRR .:. FRR-DIGIPAT</v>
      </c>
      <c r="B429" s="22" t="str">
        <f>IF(TabVMAzureEnvProjet[[#This Row],[Projet AzureDevOps]]&lt;&gt;"",TabVMAzureEnvProjet[[#This Row],[Projet AzureDevOps]],TabVMAzureEnvProjet[[#This Row],[VM]])</f>
        <v>FRR DIGIPAT</v>
      </c>
      <c r="C429" s="57" t="s">
        <v>30</v>
      </c>
      <c r="E429" t="s">
        <v>4</v>
      </c>
      <c r="F429" t="s">
        <v>29</v>
      </c>
      <c r="G429" t="str">
        <f>LOOKUP(TabVMAzureEnvProjet[[#This Row],[Projet]],TabProjets[NomProj],TabProjets[SYGES])</f>
        <v>FRR/TMASI</v>
      </c>
      <c r="H429" t="str">
        <f>LOOKUP(TabVMAzureEnvProjet[[#This Row],[Projet]],TabProjets[NomProj],TabProjets[CP])</f>
        <v>Alice MARCHAL</v>
      </c>
      <c r="I429">
        <f>LOOKUP(TabVMAzureEnvProjet[[#This Row],[Code SYGES]],TabCONTRATSDI[Contrat SYGES],TabCONTRATSDI[Cost Center])</f>
        <v>305704</v>
      </c>
      <c r="J429" s="22" t="str">
        <f>LOOKUP(TabVMAzureEnvProjet[[#This Row],[Code SYGES]],TabCONTRATSDI[Contrat SYGES],TabCONTRATSDI[Client])</f>
        <v>FRR</v>
      </c>
      <c r="K429" t="s">
        <v>161</v>
      </c>
      <c r="L429" s="31">
        <v>5.415682225420114</v>
      </c>
      <c r="M429" s="41" t="s">
        <v>162</v>
      </c>
    </row>
    <row r="430" spans="1:13" x14ac:dyDescent="0.25">
      <c r="A430" s="22" t="str">
        <f>TabVMAzureEnvProjet[[#This Row],[Client]] &amp; " .:. "  &amp; TabVMAzureEnvProjet[[#This Row],[Projet]]</f>
        <v>FRR .:. FRR-APPLIFRR</v>
      </c>
      <c r="B430" s="22" t="str">
        <f>IF(TabVMAzureEnvProjet[[#This Row],[Projet AzureDevOps]]&lt;&gt;"",TabVMAzureEnvProjet[[#This Row],[Projet AzureDevOps]],TabVMAzureEnvProjet[[#This Row],[VM]])</f>
        <v>FRR-APPLIFRR</v>
      </c>
      <c r="C430" s="57" t="s">
        <v>32</v>
      </c>
      <c r="E430" t="s">
        <v>4</v>
      </c>
      <c r="F430" t="s">
        <v>32</v>
      </c>
      <c r="G430" t="str">
        <f>LOOKUP(TabVMAzureEnvProjet[[#This Row],[Projet]],TabProjets[NomProj],TabProjets[SYGES])</f>
        <v>FRR/TMASI</v>
      </c>
      <c r="H430" t="str">
        <f>LOOKUP(TabVMAzureEnvProjet[[#This Row],[Projet]],TabProjets[NomProj],TabProjets[CP])</f>
        <v>Jean-Philippe STROIAZZO</v>
      </c>
      <c r="I430">
        <f>LOOKUP(TabVMAzureEnvProjet[[#This Row],[Code SYGES]],TabCONTRATSDI[Contrat SYGES],TabCONTRATSDI[Cost Center])</f>
        <v>305704</v>
      </c>
      <c r="J430" s="22" t="str">
        <f>LOOKUP(TabVMAzureEnvProjet[[#This Row],[Code SYGES]],TabCONTRATSDI[Contrat SYGES],TabCONTRATSDI[Client])</f>
        <v>FRR</v>
      </c>
      <c r="K430" t="s">
        <v>161</v>
      </c>
      <c r="L430" s="31">
        <v>2.8486518616267227</v>
      </c>
      <c r="M430" s="41" t="s">
        <v>162</v>
      </c>
    </row>
    <row r="431" spans="1:13" x14ac:dyDescent="0.25">
      <c r="A431" s="22" t="str">
        <f>TabVMAzureEnvProjet[[#This Row],[Client]] &amp; " .:. "  &amp; TabVMAzureEnvProjet[[#This Row],[Projet]]</f>
        <v>FRR .:. FRR-CADENCIER</v>
      </c>
      <c r="B431" s="22" t="str">
        <f>IF(TabVMAzureEnvProjet[[#This Row],[Projet AzureDevOps]]&lt;&gt;"",TabVMAzureEnvProjet[[#This Row],[Projet AzureDevOps]],TabVMAzureEnvProjet[[#This Row],[VM]])</f>
        <v>FRR-CADENCIER</v>
      </c>
      <c r="C431" s="57" t="s">
        <v>33</v>
      </c>
      <c r="E431" t="s">
        <v>4</v>
      </c>
      <c r="F431" t="s">
        <v>33</v>
      </c>
      <c r="G431" t="str">
        <f>LOOKUP(TabVMAzureEnvProjet[[#This Row],[Projet]],TabProjets[NomProj],TabProjets[SYGES])</f>
        <v>FRR/TMASI</v>
      </c>
      <c r="H431" t="str">
        <f>LOOKUP(TabVMAzureEnvProjet[[#This Row],[Projet]],TabProjets[NomProj],TabProjets[CP])</f>
        <v>Jean-Philippe STROIAZZO</v>
      </c>
      <c r="I431">
        <f>LOOKUP(TabVMAzureEnvProjet[[#This Row],[Code SYGES]],TabCONTRATSDI[Contrat SYGES],TabCONTRATSDI[Cost Center])</f>
        <v>305704</v>
      </c>
      <c r="J431" s="22" t="str">
        <f>LOOKUP(TabVMAzureEnvProjet[[#This Row],[Code SYGES]],TabCONTRATSDI[Contrat SYGES],TabCONTRATSDI[Client])</f>
        <v>FRR</v>
      </c>
      <c r="K431" t="s">
        <v>161</v>
      </c>
      <c r="L431" s="31">
        <v>2.8486518616267227</v>
      </c>
      <c r="M431" s="41" t="s">
        <v>162</v>
      </c>
    </row>
    <row r="432" spans="1:13" x14ac:dyDescent="0.25">
      <c r="A432" s="22" t="str">
        <f>TabVMAzureEnvProjet[[#This Row],[Client]] &amp; " .:. "  &amp; TabVMAzureEnvProjet[[#This Row],[Projet]]</f>
        <v>FRR .:. FRR-PATAPAIN</v>
      </c>
      <c r="B432" s="22" t="str">
        <f>IF(TabVMAzureEnvProjet[[#This Row],[Projet AzureDevOps]]&lt;&gt;"",TabVMAzureEnvProjet[[#This Row],[Projet AzureDevOps]],TabVMAzureEnvProjet[[#This Row],[VM]])</f>
        <v>FRR-Patapain</v>
      </c>
      <c r="C432" s="57" t="s">
        <v>35</v>
      </c>
      <c r="E432" t="s">
        <v>4</v>
      </c>
      <c r="F432" t="s">
        <v>34</v>
      </c>
      <c r="G432" t="str">
        <f>LOOKUP(TabVMAzureEnvProjet[[#This Row],[Projet]],TabProjets[NomProj],TabProjets[SYGES])</f>
        <v>FRR/TMASI</v>
      </c>
      <c r="H432" t="str">
        <f>LOOKUP(TabVMAzureEnvProjet[[#This Row],[Projet]],TabProjets[NomProj],TabProjets[CP])</f>
        <v>Christophe ORLANDO</v>
      </c>
      <c r="I432">
        <f>LOOKUP(TabVMAzureEnvProjet[[#This Row],[Code SYGES]],TabCONTRATSDI[Contrat SYGES],TabCONTRATSDI[Cost Center])</f>
        <v>305704</v>
      </c>
      <c r="J432" s="22" t="str">
        <f>LOOKUP(TabVMAzureEnvProjet[[#This Row],[Code SYGES]],TabCONTRATSDI[Contrat SYGES],TabCONTRATSDI[Client])</f>
        <v>FRR</v>
      </c>
      <c r="K432" t="s">
        <v>161</v>
      </c>
      <c r="L432" s="31">
        <v>1.3576964465922619</v>
      </c>
      <c r="M432" s="41" t="s">
        <v>162</v>
      </c>
    </row>
    <row r="433" spans="1:13" x14ac:dyDescent="0.25">
      <c r="A433" s="22" t="str">
        <f>TabVMAzureEnvProjet[[#This Row],[Client]] &amp; " .:. "  &amp; TabVMAzureEnvProjet[[#This Row],[Projet]]</f>
        <v>FRR .:. FRR-PATAPAINANDROID</v>
      </c>
      <c r="B433" s="22" t="str">
        <f>IF(TabVMAzureEnvProjet[[#This Row],[Projet AzureDevOps]]&lt;&gt;"",TabVMAzureEnvProjet[[#This Row],[Projet AzureDevOps]],TabVMAzureEnvProjet[[#This Row],[VM]])</f>
        <v>FRR-PATAPAINANDROID</v>
      </c>
      <c r="C433" s="57" t="s">
        <v>36</v>
      </c>
      <c r="E433" t="s">
        <v>4</v>
      </c>
      <c r="F433" t="s">
        <v>36</v>
      </c>
      <c r="G433" t="str">
        <f>LOOKUP(TabVMAzureEnvProjet[[#This Row],[Projet]],TabProjets[NomProj],TabProjets[SYGES])</f>
        <v>FRR/TMASI</v>
      </c>
      <c r="H433" t="str">
        <f>LOOKUP(TabVMAzureEnvProjet[[#This Row],[Projet]],TabProjets[NomProj],TabProjets[CP])</f>
        <v>Jean-Philippe STROIAZZO</v>
      </c>
      <c r="I433">
        <f>LOOKUP(TabVMAzureEnvProjet[[#This Row],[Code SYGES]],TabCONTRATSDI[Contrat SYGES],TabCONTRATSDI[Cost Center])</f>
        <v>305704</v>
      </c>
      <c r="J433" s="22" t="str">
        <f>LOOKUP(TabVMAzureEnvProjet[[#This Row],[Code SYGES]],TabCONTRATSDI[Contrat SYGES],TabCONTRATSDI[Client])</f>
        <v>FRR</v>
      </c>
      <c r="K433" t="s">
        <v>161</v>
      </c>
      <c r="L433" s="31">
        <v>2.8486518616267227</v>
      </c>
      <c r="M433" s="41" t="s">
        <v>162</v>
      </c>
    </row>
    <row r="434" spans="1:13" x14ac:dyDescent="0.25">
      <c r="A434" s="22" t="str">
        <f>TabVMAzureEnvProjet[[#This Row],[Client]] &amp; " .:. "  &amp; TabVMAzureEnvProjet[[#This Row],[Projet]]</f>
        <v>INETUM .:. INETUM-INTERNE</v>
      </c>
      <c r="B434" s="22" t="str">
        <f>IF(TabVMAzureEnvProjet[[#This Row],[Projet AzureDevOps]]&lt;&gt;"",TabVMAzureEnvProjet[[#This Row],[Projet AzureDevOps]],TabVMAzureEnvProjet[[#This Row],[VM]])</f>
        <v>GFI-BaseDocumentaire</v>
      </c>
      <c r="C434" s="57" t="s">
        <v>112</v>
      </c>
      <c r="E434" t="s">
        <v>4</v>
      </c>
      <c r="F434" t="s">
        <v>102</v>
      </c>
      <c r="G434" t="str">
        <f>LOOKUP(TabVMAzureEnvProjet[[#This Row],[Projet]],TabProjets[NomProj],TabProjets[SYGES])</f>
        <v>INETUM/PROJET_INTERNE</v>
      </c>
      <c r="H434" t="str">
        <f>LOOKUP(TabVMAzureEnvProjet[[#This Row],[Projet]],TabProjets[NomProj],TabProjets[CP])</f>
        <v>Christophe ORLANDO</v>
      </c>
      <c r="I434">
        <f>LOOKUP(TabVMAzureEnvProjet[[#This Row],[Code SYGES]],TabCONTRATSDI[Contrat SYGES],TabCONTRATSDI[Cost Center])</f>
        <v>305704</v>
      </c>
      <c r="J434" s="22" t="str">
        <f>LOOKUP(TabVMAzureEnvProjet[[#This Row],[Code SYGES]],TabCONTRATSDI[Contrat SYGES],TabCONTRATSDI[Client])</f>
        <v>INETUM</v>
      </c>
      <c r="K434" t="s">
        <v>161</v>
      </c>
      <c r="L434" s="31">
        <v>1.8347249278273807</v>
      </c>
      <c r="M434" s="41" t="s">
        <v>162</v>
      </c>
    </row>
    <row r="435" spans="1:13" x14ac:dyDescent="0.25">
      <c r="A435" s="22" t="str">
        <f>TabVMAzureEnvProjet[[#This Row],[Client]] &amp; " .:. "  &amp; TabVMAzureEnvProjet[[#This Row],[Projet]]</f>
        <v>INETUM .:. INETUM-INTERNE</v>
      </c>
      <c r="B435" s="22" t="str">
        <f>IF(TabVMAzureEnvProjet[[#This Row],[Projet AzureDevOps]]&lt;&gt;"",TabVMAzureEnvProjet[[#This Row],[Projet AzureDevOps]],TabVMAzureEnvProjet[[#This Row],[VM]])</f>
        <v>GFI-CMIS</v>
      </c>
      <c r="C435" s="57" t="s">
        <v>106</v>
      </c>
      <c r="E435" t="s">
        <v>4</v>
      </c>
      <c r="F435" t="s">
        <v>102</v>
      </c>
      <c r="G435" t="str">
        <f>LOOKUP(TabVMAzureEnvProjet[[#This Row],[Projet]],TabProjets[NomProj],TabProjets[SYGES])</f>
        <v>INETUM/PROJET_INTERNE</v>
      </c>
      <c r="H435" t="str">
        <f>LOOKUP(TabVMAzureEnvProjet[[#This Row],[Projet]],TabProjets[NomProj],TabProjets[CP])</f>
        <v>Christophe ORLANDO</v>
      </c>
      <c r="I435">
        <f>LOOKUP(TabVMAzureEnvProjet[[#This Row],[Code SYGES]],TabCONTRATSDI[Contrat SYGES],TabCONTRATSDI[Cost Center])</f>
        <v>305704</v>
      </c>
      <c r="J435" s="22" t="str">
        <f>LOOKUP(TabVMAzureEnvProjet[[#This Row],[Code SYGES]],TabCONTRATSDI[Contrat SYGES],TabCONTRATSDI[Client])</f>
        <v>INETUM</v>
      </c>
      <c r="K435" t="s">
        <v>161</v>
      </c>
      <c r="L435" s="31">
        <v>0.23117534090624997</v>
      </c>
      <c r="M435" s="41" t="s">
        <v>162</v>
      </c>
    </row>
    <row r="436" spans="1:13" x14ac:dyDescent="0.25">
      <c r="A436" s="22" t="str">
        <f>TabVMAzureEnvProjet[[#This Row],[Client]] &amp; " .:. "  &amp; TabVMAzureEnvProjet[[#This Row],[Projet]]</f>
        <v>INETUM .:. INETUM-INTERNE</v>
      </c>
      <c r="B436" s="22" t="str">
        <f>IF(TabVMAzureEnvProjet[[#This Row],[Projet AzureDevOps]]&lt;&gt;"",TabVMAzureEnvProjet[[#This Row],[Projet AzureDevOps]],TabVMAzureEnvProjet[[#This Row],[VM]])</f>
        <v>GFI-COFFEE</v>
      </c>
      <c r="C436" s="57" t="s">
        <v>107</v>
      </c>
      <c r="E436" t="s">
        <v>4</v>
      </c>
      <c r="F436" t="s">
        <v>102</v>
      </c>
      <c r="G436" t="str">
        <f>LOOKUP(TabVMAzureEnvProjet[[#This Row],[Projet]],TabProjets[NomProj],TabProjets[SYGES])</f>
        <v>INETUM/PROJET_INTERNE</v>
      </c>
      <c r="H436" t="str">
        <f>LOOKUP(TabVMAzureEnvProjet[[#This Row],[Projet]],TabProjets[NomProj],TabProjets[CP])</f>
        <v>Christophe ORLANDO</v>
      </c>
      <c r="I436">
        <f>LOOKUP(TabVMAzureEnvProjet[[#This Row],[Code SYGES]],TabCONTRATSDI[Contrat SYGES],TabCONTRATSDI[Cost Center])</f>
        <v>305704</v>
      </c>
      <c r="J436" s="22" t="str">
        <f>LOOKUP(TabVMAzureEnvProjet[[#This Row],[Code SYGES]],TabCONTRATSDI[Contrat SYGES],TabCONTRATSDI[Client])</f>
        <v>INETUM</v>
      </c>
      <c r="K436" t="s">
        <v>161</v>
      </c>
      <c r="L436" s="31">
        <v>0.70569314592434207</v>
      </c>
      <c r="M436" s="41" t="s">
        <v>162</v>
      </c>
    </row>
    <row r="437" spans="1:13" x14ac:dyDescent="0.25">
      <c r="A437" s="22" t="str">
        <f>TabVMAzureEnvProjet[[#This Row],[Client]] &amp; " .:. "  &amp; TabVMAzureEnvProjet[[#This Row],[Projet]]</f>
        <v>INETUM .:. INETUM-INTERNE</v>
      </c>
      <c r="B437" s="22" t="str">
        <f>IF(TabVMAzureEnvProjet[[#This Row],[Projet AzureDevOps]]&lt;&gt;"",TabVMAzureEnvProjet[[#This Row],[Projet AzureDevOps]],TabVMAzureEnvProjet[[#This Row],[VM]])</f>
        <v>GFI-CRALENIUM</v>
      </c>
      <c r="C437" s="57" t="s">
        <v>108</v>
      </c>
      <c r="E437" t="s">
        <v>4</v>
      </c>
      <c r="F437" t="s">
        <v>102</v>
      </c>
      <c r="G437" t="str">
        <f>LOOKUP(TabVMAzureEnvProjet[[#This Row],[Projet]],TabProjets[NomProj],TabProjets[SYGES])</f>
        <v>INETUM/PROJET_INTERNE</v>
      </c>
      <c r="H437" t="str">
        <f>LOOKUP(TabVMAzureEnvProjet[[#This Row],[Projet]],TabProjets[NomProj],TabProjets[CP])</f>
        <v>Christophe ORLANDO</v>
      </c>
      <c r="I437">
        <f>LOOKUP(TabVMAzureEnvProjet[[#This Row],[Code SYGES]],TabCONTRATSDI[Contrat SYGES],TabCONTRATSDI[Cost Center])</f>
        <v>305704</v>
      </c>
      <c r="J437" s="22" t="str">
        <f>LOOKUP(TabVMAzureEnvProjet[[#This Row],[Code SYGES]],TabCONTRATSDI[Contrat SYGES],TabCONTRATSDI[Client])</f>
        <v>INETUM</v>
      </c>
      <c r="K437" t="s">
        <v>161</v>
      </c>
      <c r="L437" s="31">
        <v>2.8486518616267227</v>
      </c>
      <c r="M437" s="41" t="s">
        <v>162</v>
      </c>
    </row>
    <row r="438" spans="1:13" x14ac:dyDescent="0.25">
      <c r="A438" s="22" t="str">
        <f>TabVMAzureEnvProjet[[#This Row],[Client]] &amp; " .:. "  &amp; TabVMAzureEnvProjet[[#This Row],[Projet]]</f>
        <v>INETUM .:. INETUM-INTERNE</v>
      </c>
      <c r="B438" s="22" t="str">
        <f>IF(TabVMAzureEnvProjet[[#This Row],[Projet AzureDevOps]]&lt;&gt;"",TabVMAzureEnvProjet[[#This Row],[Projet AzureDevOps]],TabVMAzureEnvProjet[[#This Row],[VM]])</f>
        <v>GFI-D8-BS4-THEME</v>
      </c>
      <c r="C438" s="57" t="s">
        <v>103</v>
      </c>
      <c r="E438" t="s">
        <v>4</v>
      </c>
      <c r="F438" t="s">
        <v>102</v>
      </c>
      <c r="G438" t="str">
        <f>LOOKUP(TabVMAzureEnvProjet[[#This Row],[Projet]],TabProjets[NomProj],TabProjets[SYGES])</f>
        <v>INETUM/PROJET_INTERNE</v>
      </c>
      <c r="H438" t="str">
        <f>LOOKUP(TabVMAzureEnvProjet[[#This Row],[Projet]],TabProjets[NomProj],TabProjets[CP])</f>
        <v>Christophe ORLANDO</v>
      </c>
      <c r="I438">
        <f>LOOKUP(TabVMAzureEnvProjet[[#This Row],[Code SYGES]],TabCONTRATSDI[Contrat SYGES],TabCONTRATSDI[Cost Center])</f>
        <v>305704</v>
      </c>
      <c r="J438" s="22" t="str">
        <f>LOOKUP(TabVMAzureEnvProjet[[#This Row],[Code SYGES]],TabCONTRATSDI[Contrat SYGES],TabCONTRATSDI[Client])</f>
        <v>INETUM</v>
      </c>
      <c r="K438" t="s">
        <v>161</v>
      </c>
      <c r="L438" s="31">
        <v>1.4053992947157736</v>
      </c>
      <c r="M438" s="41" t="s">
        <v>162</v>
      </c>
    </row>
    <row r="439" spans="1:13" x14ac:dyDescent="0.25">
      <c r="A439" s="22" t="str">
        <f>TabVMAzureEnvProjet[[#This Row],[Client]] &amp; " .:. "  &amp; TabVMAzureEnvProjet[[#This Row],[Projet]]</f>
        <v>INETUM .:. INETUM-INTERNE</v>
      </c>
      <c r="B439" s="22" t="str">
        <f>IF(TabVMAzureEnvProjet[[#This Row],[Projet AzureDevOps]]&lt;&gt;"",TabVMAzureEnvProjet[[#This Row],[Projet AzureDevOps]],TabVMAzureEnvProjet[[#This Row],[VM]])</f>
        <v>GFI-Docker Devbox Install</v>
      </c>
      <c r="C439" s="57" t="s">
        <v>109</v>
      </c>
      <c r="E439" t="s">
        <v>4</v>
      </c>
      <c r="F439" t="s">
        <v>102</v>
      </c>
      <c r="G439" t="str">
        <f>LOOKUP(TabVMAzureEnvProjet[[#This Row],[Projet]],TabProjets[NomProj],TabProjets[SYGES])</f>
        <v>INETUM/PROJET_INTERNE</v>
      </c>
      <c r="H439" t="str">
        <f>LOOKUP(TabVMAzureEnvProjet[[#This Row],[Projet]],TabProjets[NomProj],TabProjets[CP])</f>
        <v>Christophe ORLANDO</v>
      </c>
      <c r="I439">
        <f>LOOKUP(TabVMAzureEnvProjet[[#This Row],[Code SYGES]],TabCONTRATSDI[Contrat SYGES],TabCONTRATSDI[Cost Center])</f>
        <v>305704</v>
      </c>
      <c r="J439" s="22" t="str">
        <f>LOOKUP(TabVMAzureEnvProjet[[#This Row],[Code SYGES]],TabCONTRATSDI[Contrat SYGES],TabCONTRATSDI[Client])</f>
        <v>INETUM</v>
      </c>
      <c r="K439" t="s">
        <v>161</v>
      </c>
      <c r="L439" s="31">
        <v>12.340365803023669</v>
      </c>
      <c r="M439" s="41" t="s">
        <v>162</v>
      </c>
    </row>
    <row r="440" spans="1:13" x14ac:dyDescent="0.25">
      <c r="A440" s="22" t="str">
        <f>TabVMAzureEnvProjet[[#This Row],[Client]] &amp; " .:. "  &amp; TabVMAzureEnvProjet[[#This Row],[Projet]]</f>
        <v>INETUM .:. INETUM-INTERNE</v>
      </c>
      <c r="B440" s="22" t="str">
        <f>IF(TabVMAzureEnvProjet[[#This Row],[Projet AzureDevOps]]&lt;&gt;"",TabVMAzureEnvProjet[[#This Row],[Projet AzureDevOps]],TabVMAzureEnvProjet[[#This Row],[VM]])</f>
        <v>GFI-MineReport</v>
      </c>
      <c r="C440" s="57" t="s">
        <v>104</v>
      </c>
      <c r="E440" t="s">
        <v>4</v>
      </c>
      <c r="F440" t="s">
        <v>102</v>
      </c>
      <c r="G440" t="str">
        <f>LOOKUP(TabVMAzureEnvProjet[[#This Row],[Projet]],TabProjets[NomProj],TabProjets[SYGES])</f>
        <v>INETUM/PROJET_INTERNE</v>
      </c>
      <c r="H440" t="str">
        <f>LOOKUP(TabVMAzureEnvProjet[[#This Row],[Projet]],TabProjets[NomProj],TabProjets[CP])</f>
        <v>Christophe ORLANDO</v>
      </c>
      <c r="I440">
        <f>LOOKUP(TabVMAzureEnvProjet[[#This Row],[Code SYGES]],TabCONTRATSDI[Contrat SYGES],TabCONTRATSDI[Cost Center])</f>
        <v>305704</v>
      </c>
      <c r="J440" s="22" t="str">
        <f>LOOKUP(TabVMAzureEnvProjet[[#This Row],[Code SYGES]],TabCONTRATSDI[Contrat SYGES],TabCONTRATSDI[Client])</f>
        <v>INETUM</v>
      </c>
      <c r="K440" t="s">
        <v>161</v>
      </c>
      <c r="L440" s="31">
        <v>3.9829435670070623</v>
      </c>
      <c r="M440" s="41" t="s">
        <v>162</v>
      </c>
    </row>
    <row r="441" spans="1:13" x14ac:dyDescent="0.25">
      <c r="A441" s="22" t="str">
        <f>TabVMAzureEnvProjet[[#This Row],[Client]] &amp; " .:. "  &amp; TabVMAzureEnvProjet[[#This Row],[Projet]]</f>
        <v>INETUM .:. INETUM-INTERNE</v>
      </c>
      <c r="B441" s="22" t="str">
        <f>IF(TabVMAzureEnvProjet[[#This Row],[Projet AzureDevOps]]&lt;&gt;"",TabVMAzureEnvProjet[[#This Row],[Projet AzureDevOps]],TabVMAzureEnvProjet[[#This Row],[VM]])</f>
        <v>GFI-PMT</v>
      </c>
      <c r="C441" s="57" t="s">
        <v>110</v>
      </c>
      <c r="E441" t="s">
        <v>4</v>
      </c>
      <c r="F441" t="s">
        <v>102</v>
      </c>
      <c r="G441" t="str">
        <f>LOOKUP(TabVMAzureEnvProjet[[#This Row],[Projet]],TabProjets[NomProj],TabProjets[SYGES])</f>
        <v>INETUM/PROJET_INTERNE</v>
      </c>
      <c r="H441" t="str">
        <f>LOOKUP(TabVMAzureEnvProjet[[#This Row],[Projet]],TabProjets[NomProj],TabProjets[CP])</f>
        <v>Christophe ORLANDO</v>
      </c>
      <c r="I441">
        <f>LOOKUP(TabVMAzureEnvProjet[[#This Row],[Code SYGES]],TabCONTRATSDI[Contrat SYGES],TabCONTRATSDI[Cost Center])</f>
        <v>305704</v>
      </c>
      <c r="J441" s="22" t="str">
        <f>LOOKUP(TabVMAzureEnvProjet[[#This Row],[Code SYGES]],TabCONTRATSDI[Contrat SYGES],TabCONTRATSDI[Client])</f>
        <v>INETUM</v>
      </c>
      <c r="K441" t="s">
        <v>161</v>
      </c>
      <c r="L441" s="31">
        <v>4.8960061890957052</v>
      </c>
      <c r="M441" s="41" t="s">
        <v>162</v>
      </c>
    </row>
    <row r="442" spans="1:13" x14ac:dyDescent="0.25">
      <c r="A442" s="22" t="str">
        <f>TabVMAzureEnvProjet[[#This Row],[Client]] &amp; " .:. "  &amp; TabVMAzureEnvProjet[[#This Row],[Projet]]</f>
        <v>INETUM .:. INETUM-INTERNE</v>
      </c>
      <c r="B442" s="22" t="str">
        <f>IF(TabVMAzureEnvProjet[[#This Row],[Projet AzureDevOps]]&lt;&gt;"",TabVMAzureEnvProjet[[#This Row],[Projet AzureDevOps]],TabVMAzureEnvProjet[[#This Row],[VM]])</f>
        <v>GFI-RedmineDocker</v>
      </c>
      <c r="C442" s="57" t="s">
        <v>105</v>
      </c>
      <c r="E442" t="s">
        <v>4</v>
      </c>
      <c r="F442" t="s">
        <v>102</v>
      </c>
      <c r="G442" t="str">
        <f>LOOKUP(TabVMAzureEnvProjet[[#This Row],[Projet]],TabProjets[NomProj],TabProjets[SYGES])</f>
        <v>INETUM/PROJET_INTERNE</v>
      </c>
      <c r="H442" t="str">
        <f>LOOKUP(TabVMAzureEnvProjet[[#This Row],[Projet]],TabProjets[NomProj],TabProjets[CP])</f>
        <v>Christophe ORLANDO</v>
      </c>
      <c r="I442">
        <f>LOOKUP(TabVMAzureEnvProjet[[#This Row],[Code SYGES]],TabCONTRATSDI[Contrat SYGES],TabCONTRATSDI[Cost Center])</f>
        <v>305704</v>
      </c>
      <c r="J442" s="22" t="str">
        <f>LOOKUP(TabVMAzureEnvProjet[[#This Row],[Code SYGES]],TabCONTRATSDI[Contrat SYGES],TabCONTRATSDI[Client])</f>
        <v>INETUM</v>
      </c>
      <c r="K442" t="s">
        <v>161</v>
      </c>
      <c r="L442" s="31">
        <v>0.82195676766666659</v>
      </c>
      <c r="M442" s="41" t="s">
        <v>162</v>
      </c>
    </row>
    <row r="443" spans="1:13" x14ac:dyDescent="0.25">
      <c r="A443" s="22" t="str">
        <f>TabVMAzureEnvProjet[[#This Row],[Client]] &amp; " .:. "  &amp; TabVMAzureEnvProjet[[#This Row],[Projet]]</f>
        <v>INETUM .:. INETUM-INTERNE</v>
      </c>
      <c r="B443" s="22" t="str">
        <f>IF(TabVMAzureEnvProjet[[#This Row],[Projet AzureDevOps]]&lt;&gt;"",TabVMAzureEnvProjet[[#This Row],[Projet AzureDevOps]],TabVMAzureEnvProjet[[#This Row],[VM]])</f>
        <v>GFI-TENDER</v>
      </c>
      <c r="C443" s="57" t="s">
        <v>111</v>
      </c>
      <c r="E443" t="s">
        <v>4</v>
      </c>
      <c r="F443" t="s">
        <v>102</v>
      </c>
      <c r="G443" t="str">
        <f>LOOKUP(TabVMAzureEnvProjet[[#This Row],[Projet]],TabProjets[NomProj],TabProjets[SYGES])</f>
        <v>INETUM/PROJET_INTERNE</v>
      </c>
      <c r="H443" t="str">
        <f>LOOKUP(TabVMAzureEnvProjet[[#This Row],[Projet]],TabProjets[NomProj],TabProjets[CP])</f>
        <v>Christophe ORLANDO</v>
      </c>
      <c r="I443">
        <f>LOOKUP(TabVMAzureEnvProjet[[#This Row],[Code SYGES]],TabCONTRATSDI[Contrat SYGES],TabCONTRATSDI[Cost Center])</f>
        <v>305704</v>
      </c>
      <c r="J443" s="22" t="str">
        <f>LOOKUP(TabVMAzureEnvProjet[[#This Row],[Code SYGES]],TabCONTRATSDI[Contrat SYGES],TabCONTRATSDI[Client])</f>
        <v>INETUM</v>
      </c>
      <c r="K443" t="s">
        <v>161</v>
      </c>
      <c r="L443" s="31">
        <v>2.8486518616267227</v>
      </c>
      <c r="M443" s="41" t="s">
        <v>162</v>
      </c>
    </row>
    <row r="444" spans="1:13" x14ac:dyDescent="0.25">
      <c r="A444" s="22" t="str">
        <f>TabVMAzureEnvProjet[[#This Row],[Client]] &amp; " .:. "  &amp; TabVMAzureEnvProjet[[#This Row],[Projet]]</f>
        <v>GFI .:. GFI-WAAC</v>
      </c>
      <c r="B444" s="22" t="str">
        <f>IF(TabVMAzureEnvProjet[[#This Row],[Projet AzureDevOps]]&lt;&gt;"",TabVMAzureEnvProjet[[#This Row],[Projet AzureDevOps]],TabVMAzureEnvProjet[[#This Row],[VM]])</f>
        <v>GFI-WAAC</v>
      </c>
      <c r="C444" s="57" t="s">
        <v>38</v>
      </c>
      <c r="E444" t="s">
        <v>4</v>
      </c>
      <c r="F444" t="s">
        <v>38</v>
      </c>
      <c r="G444" t="str">
        <f>LOOKUP(TabVMAzureEnvProjet[[#This Row],[Projet]],TabProjets[NomProj],TabProjets[SYGES])</f>
        <v>383928 - WAAC 1.0</v>
      </c>
      <c r="H444" t="str">
        <f>LOOKUP(TabVMAzureEnvProjet[[#This Row],[Projet]],TabProjets[NomProj],TabProjets[CP])</f>
        <v>Laurent MARCIANIAK</v>
      </c>
      <c r="I444">
        <f>LOOKUP(TabVMAzureEnvProjet[[#This Row],[Code SYGES]],TabCONTRATSDI[Contrat SYGES],TabCONTRATSDI[Cost Center])</f>
        <v>100973</v>
      </c>
      <c r="J444" s="22" t="str">
        <f>LOOKUP(TabVMAzureEnvProjet[[#This Row],[Code SYGES]],TabCONTRATSDI[Contrat SYGES],TabCONTRATSDI[Client])</f>
        <v>GFI</v>
      </c>
      <c r="K444" t="s">
        <v>161</v>
      </c>
      <c r="L444" s="31">
        <v>208.64268324964121</v>
      </c>
      <c r="M444" s="41" t="s">
        <v>162</v>
      </c>
    </row>
    <row r="445" spans="1:13" x14ac:dyDescent="0.25">
      <c r="A445" s="22" t="str">
        <f>TabVMAzureEnvProjet[[#This Row],[Client]] &amp; " .:. "  &amp; TabVMAzureEnvProjet[[#This Row],[Projet]]</f>
        <v>GLI .:. GLI-APIBIOMETRIE</v>
      </c>
      <c r="B445" s="22" t="str">
        <f>IF(TabVMAzureEnvProjet[[#This Row],[Projet AzureDevOps]]&lt;&gt;"",TabVMAzureEnvProjet[[#This Row],[Projet AzureDevOps]],TabVMAzureEnvProjet[[#This Row],[VM]])</f>
        <v>GLI-APIBiometrie</v>
      </c>
      <c r="C445" s="57" t="s">
        <v>42</v>
      </c>
      <c r="E445" t="s">
        <v>4</v>
      </c>
      <c r="F445" t="s">
        <v>41</v>
      </c>
      <c r="G445" t="str">
        <f>LOOKUP(TabVMAzureEnvProjet[[#This Row],[Projet]],TabProjets[NomProj],TabProjets[SYGES])</f>
        <v>GLI/BIOMETRIE</v>
      </c>
      <c r="H445" t="str">
        <f>LOOKUP(TabVMAzureEnvProjet[[#This Row],[Projet]],TabProjets[NomProj],TabProjets[CP])</f>
        <v>Rodolphe HABEGGER</v>
      </c>
      <c r="I445">
        <f>LOOKUP(TabVMAzureEnvProjet[[#This Row],[Code SYGES]],TabCONTRATSDI[Contrat SYGES],TabCONTRATSDI[Cost Center])</f>
        <v>305704</v>
      </c>
      <c r="J445" s="22" t="str">
        <f>LOOKUP(TabVMAzureEnvProjet[[#This Row],[Code SYGES]],TabCONTRATSDI[Contrat SYGES],TabCONTRATSDI[Client])</f>
        <v>GLI</v>
      </c>
      <c r="K445" t="s">
        <v>161</v>
      </c>
      <c r="L445" s="31">
        <v>4.4771271007949025</v>
      </c>
      <c r="M445" s="41" t="s">
        <v>162</v>
      </c>
    </row>
    <row r="446" spans="1:13" x14ac:dyDescent="0.25">
      <c r="A446" s="22" t="str">
        <f>TabVMAzureEnvProjet[[#This Row],[Client]] &amp; " .:. "  &amp; TabVMAzureEnvProjet[[#This Row],[Projet]]</f>
        <v>LAPOSTE .:. LAPOSTE-CDC</v>
      </c>
      <c r="B446" s="22" t="str">
        <f>IF(TabVMAzureEnvProjet[[#This Row],[Projet AzureDevOps]]&lt;&gt;"",TabVMAzureEnvProjet[[#This Row],[Projet AzureDevOps]],TabVMAzureEnvProjet[[#This Row],[VM]])</f>
        <v>LAPOSTE-F4N-Musee</v>
      </c>
      <c r="C446" s="57" t="s">
        <v>83</v>
      </c>
      <c r="E446" t="s">
        <v>4</v>
      </c>
      <c r="F446" t="s">
        <v>82</v>
      </c>
      <c r="G446" t="str">
        <f>LOOKUP(TabVMAzureEnvProjet[[#This Row],[Projet]],TabProjets[NomProj],TabProjets[SYGES])</f>
        <v>LA-POSTE/CDC_DRUPAL</v>
      </c>
      <c r="H446" t="str">
        <f>LOOKUP(TabVMAzureEnvProjet[[#This Row],[Projet]],TabProjets[NomProj],TabProjets[CP])</f>
        <v>Rodolphe HABEGGER</v>
      </c>
      <c r="I446">
        <f>LOOKUP(TabVMAzureEnvProjet[[#This Row],[Code SYGES]],TabCONTRATSDI[Contrat SYGES],TabCONTRATSDI[Cost Center])</f>
        <v>305704</v>
      </c>
      <c r="J446" s="22" t="str">
        <f>LOOKUP(TabVMAzureEnvProjet[[#This Row],[Code SYGES]],TabCONTRATSDI[Contrat SYGES],TabCONTRATSDI[Client])</f>
        <v>LAPOSTE</v>
      </c>
      <c r="K446" t="s">
        <v>161</v>
      </c>
      <c r="L446" s="31">
        <v>1.8147931433841649</v>
      </c>
      <c r="M446" s="41" t="s">
        <v>162</v>
      </c>
    </row>
    <row r="447" spans="1:13" x14ac:dyDescent="0.25">
      <c r="A447" s="22" t="str">
        <f>TabVMAzureEnvProjet[[#This Row],[Client]] &amp; " .:. "  &amp; TabVMAzureEnvProjet[[#This Row],[Projet]]</f>
        <v>LAPOSTE .:. LAPOSTE-CDC</v>
      </c>
      <c r="B447" s="22" t="str">
        <f>IF(TabVMAzureEnvProjet[[#This Row],[Projet AzureDevOps]]&lt;&gt;"",TabVMAzureEnvProjet[[#This Row],[Projet AzureDevOps]],TabVMAzureEnvProjet[[#This Row],[VM]])</f>
        <v>LAPOSTE-L71-PDP</v>
      </c>
      <c r="C447" s="57" t="s">
        <v>86</v>
      </c>
      <c r="E447" t="s">
        <v>4</v>
      </c>
      <c r="F447" t="s">
        <v>82</v>
      </c>
      <c r="G447" t="str">
        <f>LOOKUP(TabVMAzureEnvProjet[[#This Row],[Projet]],TabProjets[NomProj],TabProjets[SYGES])</f>
        <v>LA-POSTE/CDC_DRUPAL</v>
      </c>
      <c r="H447" t="str">
        <f>LOOKUP(TabVMAzureEnvProjet[[#This Row],[Projet]],TabProjets[NomProj],TabProjets[CP])</f>
        <v>Rodolphe HABEGGER</v>
      </c>
      <c r="I447">
        <f>LOOKUP(TabVMAzureEnvProjet[[#This Row],[Code SYGES]],TabCONTRATSDI[Contrat SYGES],TabCONTRATSDI[Cost Center])</f>
        <v>305704</v>
      </c>
      <c r="J447" s="22" t="str">
        <f>LOOKUP(TabVMAzureEnvProjet[[#This Row],[Code SYGES]],TabCONTRATSDI[Contrat SYGES],TabCONTRATSDI[Client])</f>
        <v>LAPOSTE</v>
      </c>
      <c r="K447" t="s">
        <v>161</v>
      </c>
      <c r="L447" s="31">
        <v>1.8147931433841649</v>
      </c>
      <c r="M447" s="41" t="s">
        <v>162</v>
      </c>
    </row>
    <row r="448" spans="1:13" x14ac:dyDescent="0.25">
      <c r="A448" s="22" t="str">
        <f>TabVMAzureEnvProjet[[#This Row],[Client]] &amp; " .:. "  &amp; TabVMAzureEnvProjet[[#This Row],[Projet]]</f>
        <v>LAPOSTE .:. LAPOSTE-CDC</v>
      </c>
      <c r="B448" s="22" t="str">
        <f>IF(TabVMAzureEnvProjet[[#This Row],[Projet AzureDevOps]]&lt;&gt;"",TabVMAzureEnvProjet[[#This Row],[Projet AzureDevOps]],TabVMAzureEnvProjet[[#This Row],[VM]])</f>
        <v>LAPOSTE-LCA-PariteUn-e</v>
      </c>
      <c r="C448" s="57" t="s">
        <v>87</v>
      </c>
      <c r="E448" t="s">
        <v>4</v>
      </c>
      <c r="F448" t="s">
        <v>82</v>
      </c>
      <c r="G448" t="str">
        <f>LOOKUP(TabVMAzureEnvProjet[[#This Row],[Projet]],TabProjets[NomProj],TabProjets[SYGES])</f>
        <v>LA-POSTE/CDC_DRUPAL</v>
      </c>
      <c r="H448" t="str">
        <f>LOOKUP(TabVMAzureEnvProjet[[#This Row],[Projet]],TabProjets[NomProj],TabProjets[CP])</f>
        <v>Rodolphe HABEGGER</v>
      </c>
      <c r="I448">
        <f>LOOKUP(TabVMAzureEnvProjet[[#This Row],[Code SYGES]],TabCONTRATSDI[Contrat SYGES],TabCONTRATSDI[Cost Center])</f>
        <v>305704</v>
      </c>
      <c r="J448" s="22" t="str">
        <f>LOOKUP(TabVMAzureEnvProjet[[#This Row],[Code SYGES]],TabCONTRATSDI[Contrat SYGES],TabCONTRATSDI[Client])</f>
        <v>LAPOSTE</v>
      </c>
      <c r="K448" t="s">
        <v>161</v>
      </c>
      <c r="L448" s="31">
        <v>1.8147931433841649</v>
      </c>
      <c r="M448" s="41" t="s">
        <v>162</v>
      </c>
    </row>
    <row r="449" spans="1:13" x14ac:dyDescent="0.25">
      <c r="A449" s="22" t="str">
        <f>TabVMAzureEnvProjet[[#This Row],[Client]] &amp; " .:. "  &amp; TabVMAzureEnvProjet[[#This Row],[Projet]]</f>
        <v>LAPOSTE .:. LAPOSTE-CDC</v>
      </c>
      <c r="B449" s="22" t="str">
        <f>IF(TabVMAzureEnvProjet[[#This Row],[Projet AzureDevOps]]&lt;&gt;"",TabVMAzureEnvProjet[[#This Row],[Projet AzureDevOps]],TabVMAzureEnvProjet[[#This Row],[VM]])</f>
        <v>LAPOSTE-LPK-PortailVoyage</v>
      </c>
      <c r="C449" s="57" t="s">
        <v>84</v>
      </c>
      <c r="E449" t="s">
        <v>4</v>
      </c>
      <c r="F449" t="s">
        <v>82</v>
      </c>
      <c r="G449" t="str">
        <f>LOOKUP(TabVMAzureEnvProjet[[#This Row],[Projet]],TabProjets[NomProj],TabProjets[SYGES])</f>
        <v>LA-POSTE/CDC_DRUPAL</v>
      </c>
      <c r="H449" t="str">
        <f>LOOKUP(TabVMAzureEnvProjet[[#This Row],[Projet]],TabProjets[NomProj],TabProjets[CP])</f>
        <v>Rodolphe HABEGGER</v>
      </c>
      <c r="I449">
        <f>LOOKUP(TabVMAzureEnvProjet[[#This Row],[Code SYGES]],TabCONTRATSDI[Contrat SYGES],TabCONTRATSDI[Cost Center])</f>
        <v>305704</v>
      </c>
      <c r="J449" s="22" t="str">
        <f>LOOKUP(TabVMAzureEnvProjet[[#This Row],[Code SYGES]],TabCONTRATSDI[Contrat SYGES],TabCONTRATSDI[Client])</f>
        <v>LAPOSTE</v>
      </c>
      <c r="K449" t="s">
        <v>161</v>
      </c>
      <c r="L449" s="31">
        <v>1.8147931433841649</v>
      </c>
      <c r="M449" s="41" t="s">
        <v>162</v>
      </c>
    </row>
    <row r="450" spans="1:13" x14ac:dyDescent="0.25">
      <c r="A450" s="22" t="str">
        <f>TabVMAzureEnvProjet[[#This Row],[Client]] &amp; " .:. "  &amp; TabVMAzureEnvProjet[[#This Row],[Projet]]</f>
        <v>LAPOSTE .:. LAPOSTE-CDC</v>
      </c>
      <c r="B450" s="22" t="str">
        <f>IF(TabVMAzureEnvProjet[[#This Row],[Projet AzureDevOps]]&lt;&gt;"",TabVMAzureEnvProjet[[#This Row],[Projet AzureDevOps]],TabVMAzureEnvProjet[[#This Row],[VM]])</f>
        <v>LAPOSTE-LPM-IntranetDHA</v>
      </c>
      <c r="C450" s="57" t="s">
        <v>85</v>
      </c>
      <c r="E450" t="s">
        <v>4</v>
      </c>
      <c r="F450" t="s">
        <v>82</v>
      </c>
      <c r="G450" t="str">
        <f>LOOKUP(TabVMAzureEnvProjet[[#This Row],[Projet]],TabProjets[NomProj],TabProjets[SYGES])</f>
        <v>LA-POSTE/CDC_DRUPAL</v>
      </c>
      <c r="H450" t="str">
        <f>LOOKUP(TabVMAzureEnvProjet[[#This Row],[Projet]],TabProjets[NomProj],TabProjets[CP])</f>
        <v>Rodolphe HABEGGER</v>
      </c>
      <c r="I450">
        <f>LOOKUP(TabVMAzureEnvProjet[[#This Row],[Code SYGES]],TabCONTRATSDI[Contrat SYGES],TabCONTRATSDI[Cost Center])</f>
        <v>305704</v>
      </c>
      <c r="J450" s="22" t="str">
        <f>LOOKUP(TabVMAzureEnvProjet[[#This Row],[Code SYGES]],TabCONTRATSDI[Contrat SYGES],TabCONTRATSDI[Client])</f>
        <v>LAPOSTE</v>
      </c>
      <c r="K450" t="s">
        <v>161</v>
      </c>
      <c r="L450" s="31">
        <v>1.8147931433841649</v>
      </c>
      <c r="M450" s="41" t="s">
        <v>162</v>
      </c>
    </row>
    <row r="451" spans="1:13" x14ac:dyDescent="0.25">
      <c r="A451" s="22" t="str">
        <f>TabVMAzureEnvProjet[[#This Row],[Client]] &amp; " .:. "  &amp; TabVMAzureEnvProjet[[#This Row],[Projet]]</f>
        <v>LAPOSTE .:. LAPOSTE-CDC</v>
      </c>
      <c r="B451" s="22" t="str">
        <f>IF(TabVMAzureEnvProjet[[#This Row],[Projet AzureDevOps]]&lt;&gt;"",TabVMAzureEnvProjet[[#This Row],[Projet AzureDevOps]],TabVMAzureEnvProjet[[#This Row],[VM]])</f>
        <v>LAPOSTE-V7_-Galaxy</v>
      </c>
      <c r="C451" s="57" t="s">
        <v>89</v>
      </c>
      <c r="E451" t="s">
        <v>4</v>
      </c>
      <c r="F451" t="s">
        <v>82</v>
      </c>
      <c r="G451" t="str">
        <f>LOOKUP(TabVMAzureEnvProjet[[#This Row],[Projet]],TabProjets[NomProj],TabProjets[SYGES])</f>
        <v>LA-POSTE/CDC_DRUPAL</v>
      </c>
      <c r="H451" t="str">
        <f>LOOKUP(TabVMAzureEnvProjet[[#This Row],[Projet]],TabProjets[NomProj],TabProjets[CP])</f>
        <v>Rodolphe HABEGGER</v>
      </c>
      <c r="I451">
        <f>LOOKUP(TabVMAzureEnvProjet[[#This Row],[Code SYGES]],TabCONTRATSDI[Contrat SYGES],TabCONTRATSDI[Cost Center])</f>
        <v>305704</v>
      </c>
      <c r="J451" s="22" t="str">
        <f>LOOKUP(TabVMAzureEnvProjet[[#This Row],[Code SYGES]],TabCONTRATSDI[Contrat SYGES],TabCONTRATSDI[Client])</f>
        <v>LAPOSTE</v>
      </c>
      <c r="K451" t="s">
        <v>161</v>
      </c>
      <c r="L451" s="31">
        <v>0.77525467859469699</v>
      </c>
      <c r="M451" s="41" t="s">
        <v>162</v>
      </c>
    </row>
    <row r="452" spans="1:13" x14ac:dyDescent="0.25">
      <c r="A452" s="22" t="str">
        <f>TabVMAzureEnvProjet[[#This Row],[Client]] &amp; " .:. "  &amp; TabVMAzureEnvProjet[[#This Row],[Projet]]</f>
        <v>LAPOSTE .:. LAPOSTE-CDC</v>
      </c>
      <c r="B452" s="22" t="str">
        <f>IF(TabVMAzureEnvProjet[[#This Row],[Projet AzureDevOps]]&lt;&gt;"",TabVMAzureEnvProjet[[#This Row],[Projet AzureDevOps]],TabVMAzureEnvProjet[[#This Row],[VM]])</f>
        <v>LAPOSTE-VWA-Fondation</v>
      </c>
      <c r="C452" s="57" t="s">
        <v>88</v>
      </c>
      <c r="E452" t="s">
        <v>4</v>
      </c>
      <c r="F452" t="s">
        <v>82</v>
      </c>
      <c r="G452" t="str">
        <f>LOOKUP(TabVMAzureEnvProjet[[#This Row],[Projet]],TabProjets[NomProj],TabProjets[SYGES])</f>
        <v>LA-POSTE/CDC_DRUPAL</v>
      </c>
      <c r="H452" t="str">
        <f>LOOKUP(TabVMAzureEnvProjet[[#This Row],[Projet]],TabProjets[NomProj],TabProjets[CP])</f>
        <v>Rodolphe HABEGGER</v>
      </c>
      <c r="I452">
        <f>LOOKUP(TabVMAzureEnvProjet[[#This Row],[Code SYGES]],TabCONTRATSDI[Contrat SYGES],TabCONTRATSDI[Cost Center])</f>
        <v>305704</v>
      </c>
      <c r="J452" s="22" t="str">
        <f>LOOKUP(TabVMAzureEnvProjet[[#This Row],[Code SYGES]],TabCONTRATSDI[Contrat SYGES],TabCONTRATSDI[Client])</f>
        <v>LAPOSTE</v>
      </c>
      <c r="K452" t="s">
        <v>161</v>
      </c>
      <c r="L452" s="31">
        <v>1.8147931433841649</v>
      </c>
      <c r="M452" s="41" t="s">
        <v>162</v>
      </c>
    </row>
    <row r="453" spans="1:13" x14ac:dyDescent="0.25">
      <c r="A453" s="22" t="str">
        <f>TabVMAzureEnvProjet[[#This Row],[Client]] &amp; " .:. "  &amp; TabVMAzureEnvProjet[[#This Row],[Projet]]</f>
        <v>MENESR .:. MENJ-APAE</v>
      </c>
      <c r="B453" s="22" t="str">
        <f>IF(TabVMAzureEnvProjet[[#This Row],[Projet AzureDevOps]]&lt;&gt;"",TabVMAzureEnvProjet[[#This Row],[Projet AzureDevOps]],TabVMAzureEnvProjet[[#This Row],[VM]])</f>
        <v>MENJ-APAE</v>
      </c>
      <c r="C453" s="57" t="s">
        <v>44</v>
      </c>
      <c r="E453" t="s">
        <v>4</v>
      </c>
      <c r="F453" t="s">
        <v>44</v>
      </c>
      <c r="G453" t="str">
        <f>LOOKUP(TabVMAzureEnvProjet[[#This Row],[Projet]],TabProjets[NomProj],TabProjets[SYGES])</f>
        <v>MENESR/TMA</v>
      </c>
      <c r="H453" t="str">
        <f>LOOKUP(TabVMAzureEnvProjet[[#This Row],[Projet]],TabProjets[NomProj],TabProjets[CP])</f>
        <v>Pierre BOURLIEUX</v>
      </c>
      <c r="I453">
        <f>LOOKUP(TabVMAzureEnvProjet[[#This Row],[Code SYGES]],TabCONTRATSDI[Contrat SYGES],TabCONTRATSDI[Cost Center])</f>
        <v>305704</v>
      </c>
      <c r="J453" s="22" t="str">
        <f>LOOKUP(TabVMAzureEnvProjet[[#This Row],[Code SYGES]],TabCONTRATSDI[Contrat SYGES],TabCONTRATSDI[Client])</f>
        <v>MENESR</v>
      </c>
      <c r="K453" t="s">
        <v>161</v>
      </c>
      <c r="L453" s="31">
        <v>1.4068317537503341</v>
      </c>
      <c r="M453" s="41" t="s">
        <v>162</v>
      </c>
    </row>
    <row r="454" spans="1:13" x14ac:dyDescent="0.25">
      <c r="A454" s="22" t="str">
        <f>TabVMAzureEnvProjet[[#This Row],[Client]] &amp; " .:. "  &amp; TabVMAzureEnvProjet[[#This Row],[Projet]]</f>
        <v>MENESR .:. MENJ-BI</v>
      </c>
      <c r="B454" s="22" t="str">
        <f>IF(TabVMAzureEnvProjet[[#This Row],[Projet AzureDevOps]]&lt;&gt;"",TabVMAzureEnvProjet[[#This Row],[Projet AzureDevOps]],TabVMAzureEnvProjet[[#This Row],[VM]])</f>
        <v>MENJ-BI</v>
      </c>
      <c r="C454" s="57" t="s">
        <v>51</v>
      </c>
      <c r="E454" t="s">
        <v>4</v>
      </c>
      <c r="F454" t="s">
        <v>51</v>
      </c>
      <c r="G454" t="str">
        <f>LOOKUP(TabVMAzureEnvProjet[[#This Row],[Projet]],TabProjets[NomProj],TabProjets[SYGES])</f>
        <v>MENESR/TMA</v>
      </c>
      <c r="H454" t="str">
        <f>LOOKUP(TabVMAzureEnvProjet[[#This Row],[Projet]],TabProjets[NomProj],TabProjets[CP])</f>
        <v>Eric PERROUD</v>
      </c>
      <c r="I454">
        <f>LOOKUP(TabVMAzureEnvProjet[[#This Row],[Code SYGES]],TabCONTRATSDI[Contrat SYGES],TabCONTRATSDI[Cost Center])</f>
        <v>305704</v>
      </c>
      <c r="J454" s="22" t="str">
        <f>LOOKUP(TabVMAzureEnvProjet[[#This Row],[Code SYGES]],TabCONTRATSDI[Contrat SYGES],TabCONTRATSDI[Client])</f>
        <v>MENESR</v>
      </c>
      <c r="K454" t="s">
        <v>161</v>
      </c>
      <c r="L454" s="31">
        <v>3.4676301135937497</v>
      </c>
      <c r="M454" s="41" t="s">
        <v>162</v>
      </c>
    </row>
    <row r="455" spans="1:13" x14ac:dyDescent="0.25">
      <c r="A455" s="22" t="str">
        <f>TabVMAzureEnvProjet[[#This Row],[Client]] &amp; " .:. "  &amp; TabVMAzureEnvProjet[[#This Row],[Projet]]</f>
        <v>MENESR .:. MENJ-BNIE</v>
      </c>
      <c r="B455" s="22" t="str">
        <f>IF(TabVMAzureEnvProjet[[#This Row],[Projet AzureDevOps]]&lt;&gt;"",TabVMAzureEnvProjet[[#This Row],[Projet AzureDevOps]],TabVMAzureEnvProjet[[#This Row],[VM]])</f>
        <v>MENJ-BNIE-BDD</v>
      </c>
      <c r="C455" s="57" t="s">
        <v>46</v>
      </c>
      <c r="E455" t="s">
        <v>4</v>
      </c>
      <c r="F455" t="s">
        <v>45</v>
      </c>
      <c r="G455" t="str">
        <f>LOOKUP(TabVMAzureEnvProjet[[#This Row],[Projet]],TabProjets[NomProj],TabProjets[SYGES])</f>
        <v>MENESR/TMA</v>
      </c>
      <c r="H455" t="str">
        <f>LOOKUP(TabVMAzureEnvProjet[[#This Row],[Projet]],TabProjets[NomProj],TabProjets[CP])</f>
        <v>Pierre BOURLIEUX</v>
      </c>
      <c r="I455">
        <f>LOOKUP(TabVMAzureEnvProjet[[#This Row],[Code SYGES]],TabCONTRATSDI[Contrat SYGES],TabCONTRATSDI[Cost Center])</f>
        <v>305704</v>
      </c>
      <c r="J455" s="22" t="str">
        <f>LOOKUP(TabVMAzureEnvProjet[[#This Row],[Code SYGES]],TabCONTRATSDI[Contrat SYGES],TabCONTRATSDI[Client])</f>
        <v>MENESR</v>
      </c>
      <c r="K455" t="s">
        <v>161</v>
      </c>
      <c r="L455" s="31">
        <v>3.2232094322994409</v>
      </c>
      <c r="M455" s="41" t="s">
        <v>162</v>
      </c>
    </row>
    <row r="456" spans="1:13" x14ac:dyDescent="0.25">
      <c r="A456" s="22" t="str">
        <f>TabVMAzureEnvProjet[[#This Row],[Client]] &amp; " .:. "  &amp; TabVMAzureEnvProjet[[#This Row],[Projet]]</f>
        <v>MENESR .:. MENJ-BNIE</v>
      </c>
      <c r="B456" s="22" t="str">
        <f>IF(TabVMAzureEnvProjet[[#This Row],[Projet AzureDevOps]]&lt;&gt;"",TabVMAzureEnvProjet[[#This Row],[Projet AzureDevOps]],TabVMAzureEnvProjet[[#This Row],[VM]])</f>
        <v>MENJ-BNIE-Webservices</v>
      </c>
      <c r="C456" s="57" t="s">
        <v>47</v>
      </c>
      <c r="E456" t="s">
        <v>4</v>
      </c>
      <c r="F456" t="s">
        <v>45</v>
      </c>
      <c r="G456" t="str">
        <f>LOOKUP(TabVMAzureEnvProjet[[#This Row],[Projet]],TabProjets[NomProj],TabProjets[SYGES])</f>
        <v>MENESR/TMA</v>
      </c>
      <c r="H456" t="str">
        <f>LOOKUP(TabVMAzureEnvProjet[[#This Row],[Projet]],TabProjets[NomProj],TabProjets[CP])</f>
        <v>Pierre BOURLIEUX</v>
      </c>
      <c r="I456">
        <f>LOOKUP(TabVMAzureEnvProjet[[#This Row],[Code SYGES]],TabCONTRATSDI[Contrat SYGES],TabCONTRATSDI[Cost Center])</f>
        <v>305704</v>
      </c>
      <c r="J456" s="22" t="str">
        <f>LOOKUP(TabVMAzureEnvProjet[[#This Row],[Code SYGES]],TabCONTRATSDI[Contrat SYGES],TabCONTRATSDI[Client])</f>
        <v>MENESR</v>
      </c>
      <c r="K456" t="s">
        <v>161</v>
      </c>
      <c r="L456" s="31">
        <v>0.48213039012533421</v>
      </c>
      <c r="M456" s="41" t="s">
        <v>162</v>
      </c>
    </row>
    <row r="457" spans="1:13" x14ac:dyDescent="0.25">
      <c r="A457" s="22" t="str">
        <f>TabVMAzureEnvProjet[[#This Row],[Client]] &amp; " .:. "  &amp; TabVMAzureEnvProjet[[#This Row],[Projet]]</f>
        <v>MENESR .:. MENJ-INSERJEUNES</v>
      </c>
      <c r="B457" s="22" t="str">
        <f>IF(TabVMAzureEnvProjet[[#This Row],[Projet AzureDevOps]]&lt;&gt;"",TabVMAzureEnvProjet[[#This Row],[Projet AzureDevOps]],TabVMAzureEnvProjet[[#This Row],[VM]])</f>
        <v>MENJ-InserJeunes</v>
      </c>
      <c r="C457" s="57" t="s">
        <v>54</v>
      </c>
      <c r="E457" t="s">
        <v>4</v>
      </c>
      <c r="F457" t="s">
        <v>53</v>
      </c>
      <c r="G457" t="str">
        <f>LOOKUP(TabVMAzureEnvProjet[[#This Row],[Projet]],TabProjets[NomProj],TabProjets[SYGES])</f>
        <v>MENESR - TMA - 23 - 1 - INSERJEUNES</v>
      </c>
      <c r="H457" t="str">
        <f>LOOKUP(TabVMAzureEnvProjet[[#This Row],[Projet]],TabProjets[NomProj],TabProjets[CP])</f>
        <v>Christophe ORLANDO</v>
      </c>
      <c r="I457">
        <f>LOOKUP(TabVMAzureEnvProjet[[#This Row],[Code SYGES]],TabCONTRATSDI[Contrat SYGES],TabCONTRATSDI[Cost Center])</f>
        <v>305704</v>
      </c>
      <c r="J457" s="22" t="str">
        <f>LOOKUP(TabVMAzureEnvProjet[[#This Row],[Code SYGES]],TabCONTRATSDI[Contrat SYGES],TabCONTRATSDI[Client])</f>
        <v>MENESR</v>
      </c>
      <c r="K457" t="s">
        <v>161</v>
      </c>
      <c r="L457" s="31">
        <v>12.055836278606039</v>
      </c>
      <c r="M457" s="41" t="s">
        <v>162</v>
      </c>
    </row>
    <row r="458" spans="1:13" x14ac:dyDescent="0.25">
      <c r="A458" s="22" t="str">
        <f>TabVMAzureEnvProjet[[#This Row],[Client]] &amp; " .:. "  &amp; TabVMAzureEnvProjet[[#This Row],[Projet]]</f>
        <v>MENESR .:. MENJ-RNIE</v>
      </c>
      <c r="B458" s="22" t="str">
        <f>IF(TabVMAzureEnvProjet[[#This Row],[Projet AzureDevOps]]&lt;&gt;"",TabVMAzureEnvProjet[[#This Row],[Projet AzureDevOps]],TabVMAzureEnvProjet[[#This Row],[VM]])</f>
        <v>MENJ-RNIE-BDD</v>
      </c>
      <c r="C458" s="57" t="s">
        <v>49</v>
      </c>
      <c r="E458" t="s">
        <v>4</v>
      </c>
      <c r="F458" t="s">
        <v>48</v>
      </c>
      <c r="G458" t="str">
        <f>LOOKUP(TabVMAzureEnvProjet[[#This Row],[Projet]],TabProjets[NomProj],TabProjets[SYGES])</f>
        <v>MENESR/TMA</v>
      </c>
      <c r="H458" t="str">
        <f>LOOKUP(TabVMAzureEnvProjet[[#This Row],[Projet]],TabProjets[NomProj],TabProjets[CP])</f>
        <v>Pierre BOURLIEUX</v>
      </c>
      <c r="I458">
        <f>LOOKUP(TabVMAzureEnvProjet[[#This Row],[Code SYGES]],TabCONTRATSDI[Contrat SYGES],TabCONTRATSDI[Cost Center])</f>
        <v>305704</v>
      </c>
      <c r="J458" s="22" t="str">
        <f>LOOKUP(TabVMAzureEnvProjet[[#This Row],[Code SYGES]],TabCONTRATSDI[Contrat SYGES],TabCONTRATSDI[Client])</f>
        <v>MENESR</v>
      </c>
      <c r="K458" t="s">
        <v>161</v>
      </c>
      <c r="L458" s="31">
        <v>1.4068317537503341</v>
      </c>
      <c r="M458" s="41" t="s">
        <v>162</v>
      </c>
    </row>
    <row r="459" spans="1:13" x14ac:dyDescent="0.25">
      <c r="A459" s="22" t="str">
        <f>TabVMAzureEnvProjet[[#This Row],[Client]] &amp; " .:. "  &amp; TabVMAzureEnvProjet[[#This Row],[Projet]]</f>
        <v>MENESR .:. MENJ-RNIE</v>
      </c>
      <c r="B459" s="22" t="str">
        <f>IF(TabVMAzureEnvProjet[[#This Row],[Projet AzureDevOps]]&lt;&gt;"",TabVMAzureEnvProjet[[#This Row],[Projet AzureDevOps]],TabVMAzureEnvProjet[[#This Row],[VM]])</f>
        <v>MENJ-RNIE-Webservices</v>
      </c>
      <c r="C459" s="57" t="s">
        <v>50</v>
      </c>
      <c r="E459" t="s">
        <v>4</v>
      </c>
      <c r="F459" t="s">
        <v>48</v>
      </c>
      <c r="G459" t="str">
        <f>LOOKUP(TabVMAzureEnvProjet[[#This Row],[Projet]],TabProjets[NomProj],TabProjets[SYGES])</f>
        <v>MENESR/TMA</v>
      </c>
      <c r="H459" t="str">
        <f>LOOKUP(TabVMAzureEnvProjet[[#This Row],[Projet]],TabProjets[NomProj],TabProjets[CP])</f>
        <v>Pierre BOURLIEUX</v>
      </c>
      <c r="I459">
        <f>LOOKUP(TabVMAzureEnvProjet[[#This Row],[Code SYGES]],TabCONTRATSDI[Contrat SYGES],TabCONTRATSDI[Cost Center])</f>
        <v>305704</v>
      </c>
      <c r="J459" s="22" t="str">
        <f>LOOKUP(TabVMAzureEnvProjet[[#This Row],[Code SYGES]],TabCONTRATSDI[Contrat SYGES],TabCONTRATSDI[Client])</f>
        <v>MENESR</v>
      </c>
      <c r="K459" t="s">
        <v>161</v>
      </c>
      <c r="L459" s="31">
        <v>1.630431785015334</v>
      </c>
      <c r="M459" s="41" t="s">
        <v>162</v>
      </c>
    </row>
    <row r="460" spans="1:13" x14ac:dyDescent="0.25">
      <c r="A460" s="22" t="str">
        <f>TabVMAzureEnvProjet[[#This Row],[Client]] &amp; " .:. "  &amp; TabVMAzureEnvProjet[[#This Row],[Projet]]</f>
        <v>AFB .:. OFB-CMONSPOT</v>
      </c>
      <c r="B460" s="22" t="str">
        <f>IF(TabVMAzureEnvProjet[[#This Row],[Projet AzureDevOps]]&lt;&gt;"",TabVMAzureEnvProjet[[#This Row],[Projet AzureDevOps]],TabVMAzureEnvProjet[[#This Row],[VM]])</f>
        <v>OFB-CMONSPOT</v>
      </c>
      <c r="C460" s="57" t="s">
        <v>12</v>
      </c>
      <c r="E460" t="s">
        <v>4</v>
      </c>
      <c r="F460" t="s">
        <v>12</v>
      </c>
      <c r="G460" t="str">
        <f>LOOKUP(TabVMAzureEnvProjet[[#This Row],[Projet]],TabProjets[NomProj],TabProjets[SYGES])</f>
        <v>AFB/OFB_LOT2</v>
      </c>
      <c r="H460" t="str">
        <f>LOOKUP(TabVMAzureEnvProjet[[#This Row],[Projet]],TabProjets[NomProj],TabProjets[CP])</f>
        <v>Pierre BOURLIEUX</v>
      </c>
      <c r="I460">
        <f>LOOKUP(TabVMAzureEnvProjet[[#This Row],[Code SYGES]],TabCONTRATSDI[Contrat SYGES],TabCONTRATSDI[Cost Center])</f>
        <v>305704</v>
      </c>
      <c r="J460" s="22" t="str">
        <f>LOOKUP(TabVMAzureEnvProjet[[#This Row],[Code SYGES]],TabCONTRATSDI[Contrat SYGES],TabCONTRATSDI[Client])</f>
        <v>AFB</v>
      </c>
      <c r="K460" t="s">
        <v>161</v>
      </c>
      <c r="L460" s="31">
        <v>0.91736246391369036</v>
      </c>
      <c r="M460" s="41" t="s">
        <v>162</v>
      </c>
    </row>
    <row r="461" spans="1:13" x14ac:dyDescent="0.25">
      <c r="A461" s="22" t="str">
        <f>TabVMAzureEnvProjet[[#This Row],[Client]] &amp; " .:. "  &amp; TabVMAzureEnvProjet[[#This Row],[Projet]]</f>
        <v>OFB .:. OFB-NATUREFRANCE</v>
      </c>
      <c r="B461" s="22" t="str">
        <f>IF(TabVMAzureEnvProjet[[#This Row],[Projet AzureDevOps]]&lt;&gt;"",TabVMAzureEnvProjet[[#This Row],[Projet AzureDevOps]],TabVMAzureEnvProjet[[#This Row],[VM]])</f>
        <v>OFB-NatureFrance</v>
      </c>
      <c r="C461" s="57" t="s">
        <v>79</v>
      </c>
      <c r="E461" t="s">
        <v>4</v>
      </c>
      <c r="F461" t="s">
        <v>78</v>
      </c>
      <c r="G461" t="str">
        <f>LOOKUP(TabVMAzureEnvProjet[[#This Row],[Projet]],TabProjets[NomProj],TabProjets[SYGES])</f>
        <v>AFB OFB_LOT2 -9-1 NATURE FRANCE</v>
      </c>
      <c r="H461" t="str">
        <f>LOOKUP(TabVMAzureEnvProjet[[#This Row],[Projet]],TabProjets[NomProj],TabProjets[CP])</f>
        <v>Rodolphe HABEGGER</v>
      </c>
      <c r="I461">
        <f>LOOKUP(TabVMAzureEnvProjet[[#This Row],[Code SYGES]],TabCONTRATSDI[Contrat SYGES],TabCONTRATSDI[Cost Center])</f>
        <v>305704</v>
      </c>
      <c r="J461" s="22" t="str">
        <f>LOOKUP(TabVMAzureEnvProjet[[#This Row],[Code SYGES]],TabCONTRATSDI[Contrat SYGES],TabCONTRATSDI[Client])</f>
        <v>OFB</v>
      </c>
      <c r="K461" t="s">
        <v>161</v>
      </c>
      <c r="L461" s="31">
        <v>5.9959585861046474</v>
      </c>
      <c r="M461" s="41" t="s">
        <v>162</v>
      </c>
    </row>
    <row r="462" spans="1:13" x14ac:dyDescent="0.25">
      <c r="A462" s="22" t="str">
        <f>TabVMAzureEnvProjet[[#This Row],[Client]] &amp; " .:. "  &amp; TabVMAzureEnvProjet[[#This Row],[Projet]]</f>
        <v>AFB .:. OFB-SISPEA</v>
      </c>
      <c r="B462" s="22" t="str">
        <f>IF(TabVMAzureEnvProjet[[#This Row],[Projet AzureDevOps]]&lt;&gt;"",TabVMAzureEnvProjet[[#This Row],[Projet AzureDevOps]],TabVMAzureEnvProjet[[#This Row],[VM]])</f>
        <v>OFB-SISPEA</v>
      </c>
      <c r="C462" s="57" t="s">
        <v>9</v>
      </c>
      <c r="E462" t="s">
        <v>4</v>
      </c>
      <c r="F462" t="s">
        <v>9</v>
      </c>
      <c r="G462" t="str">
        <f>LOOKUP(TabVMAzureEnvProjet[[#This Row],[Projet]],TabProjets[NomProj],TabProjets[SYGES])</f>
        <v>AFB/OFB_LOT2</v>
      </c>
      <c r="H462" t="str">
        <f>LOOKUP(TabVMAzureEnvProjet[[#This Row],[Projet]],TabProjets[NomProj],TabProjets[CP])</f>
        <v>Pierre BOURLIEUX</v>
      </c>
      <c r="I462">
        <f>LOOKUP(TabVMAzureEnvProjet[[#This Row],[Code SYGES]],TabCONTRATSDI[Contrat SYGES],TabCONTRATSDI[Cost Center])</f>
        <v>305704</v>
      </c>
      <c r="J462" s="22" t="str">
        <f>LOOKUP(TabVMAzureEnvProjet[[#This Row],[Code SYGES]],TabCONTRATSDI[Contrat SYGES],TabCONTRATSDI[Client])</f>
        <v>AFB</v>
      </c>
      <c r="K462" t="s">
        <v>161</v>
      </c>
      <c r="L462" s="31">
        <v>3.2291158729761906</v>
      </c>
      <c r="M462" s="41" t="s">
        <v>162</v>
      </c>
    </row>
    <row r="463" spans="1:13" x14ac:dyDescent="0.25">
      <c r="A463" s="22" t="str">
        <f>TabVMAzureEnvProjet[[#This Row],[Client]] &amp; " .:. "  &amp; TabVMAzureEnvProjet[[#This Row],[Projet]]</f>
        <v>PCM .:. PCM-ALS</v>
      </c>
      <c r="B463" s="22" t="str">
        <f>IF(TabVMAzureEnvProjet[[#This Row],[Projet AzureDevOps]]&lt;&gt;"",TabVMAzureEnvProjet[[#This Row],[Projet AzureDevOps]],TabVMAzureEnvProjet[[#This Row],[VM]])</f>
        <v>PCM-ALS</v>
      </c>
      <c r="C463" s="57" t="s">
        <v>71</v>
      </c>
      <c r="E463" t="s">
        <v>4</v>
      </c>
      <c r="F463" t="s">
        <v>71</v>
      </c>
      <c r="G463" t="str">
        <f>LOOKUP(TabVMAzureEnvProjet[[#This Row],[Projet]],TabProjets[NomProj],TabProjets[SYGES])</f>
        <v>PCM/WEB</v>
      </c>
      <c r="H463" t="str">
        <f>LOOKUP(TabVMAzureEnvProjet[[#This Row],[Projet]],TabProjets[NomProj],TabProjets[CP])</f>
        <v>Alice MARCHAL</v>
      </c>
      <c r="I463">
        <f>LOOKUP(TabVMAzureEnvProjet[[#This Row],[Code SYGES]],TabCONTRATSDI[Contrat SYGES],TabCONTRATSDI[Cost Center])</f>
        <v>305704</v>
      </c>
      <c r="J463" s="22" t="str">
        <f>LOOKUP(TabVMAzureEnvProjet[[#This Row],[Code SYGES]],TabCONTRATSDI[Contrat SYGES],TabCONTRATSDI[Client])</f>
        <v>PCM</v>
      </c>
      <c r="K463" t="s">
        <v>161</v>
      </c>
      <c r="L463" s="31">
        <v>4.2606888760603718</v>
      </c>
      <c r="M463" s="41" t="s">
        <v>162</v>
      </c>
    </row>
    <row r="464" spans="1:13" x14ac:dyDescent="0.25">
      <c r="A464" s="22" t="str">
        <f>TabVMAzureEnvProjet[[#This Row],[Client]] &amp; " .:. "  &amp; TabVMAzureEnvProjet[[#This Row],[Projet]]</f>
        <v>PCM .:. PCM-WEB</v>
      </c>
      <c r="B464" s="22" t="str">
        <f>IF(TabVMAzureEnvProjet[[#This Row],[Projet AzureDevOps]]&lt;&gt;"",TabVMAzureEnvProjet[[#This Row],[Projet AzureDevOps]],TabVMAzureEnvProjet[[#This Row],[VM]])</f>
        <v>PCM-Web</v>
      </c>
      <c r="C464" s="57" t="s">
        <v>73</v>
      </c>
      <c r="E464" t="s">
        <v>4</v>
      </c>
      <c r="F464" t="s">
        <v>72</v>
      </c>
      <c r="G464" t="str">
        <f>LOOKUP(TabVMAzureEnvProjet[[#This Row],[Projet]],TabProjets[NomProj],TabProjets[SYGES])</f>
        <v>PCM/WEB</v>
      </c>
      <c r="H464" t="str">
        <f>LOOKUP(TabVMAzureEnvProjet[[#This Row],[Projet]],TabProjets[NomProj],TabProjets[CP])</f>
        <v>Rodolphe HABEGGER</v>
      </c>
      <c r="I464">
        <f>LOOKUP(TabVMAzureEnvProjet[[#This Row],[Code SYGES]],TabCONTRATSDI[Contrat SYGES],TabCONTRATSDI[Cost Center])</f>
        <v>305704</v>
      </c>
      <c r="J464" s="22" t="str">
        <f>LOOKUP(TabVMAzureEnvProjet[[#This Row],[Code SYGES]],TabCONTRATSDI[Contrat SYGES],TabCONTRATSDI[Client])</f>
        <v>PCM</v>
      </c>
      <c r="K464" t="s">
        <v>161</v>
      </c>
      <c r="L464" s="31">
        <v>2.468622390391741</v>
      </c>
      <c r="M464" s="41" t="s">
        <v>162</v>
      </c>
    </row>
    <row r="465" spans="1:13" x14ac:dyDescent="0.25">
      <c r="A465" s="22" t="str">
        <f>TabVMAzureEnvProjet[[#This Row],[Client]] &amp; " .:. "  &amp; TabVMAzureEnvProjet[[#This Row],[Projet]]</f>
        <v>SAFT .:. SAFT-PDM</v>
      </c>
      <c r="B465" s="22" t="str">
        <f>IF(TabVMAzureEnvProjet[[#This Row],[Projet AzureDevOps]]&lt;&gt;"",TabVMAzureEnvProjet[[#This Row],[Projet AzureDevOps]],TabVMAzureEnvProjet[[#This Row],[VM]])</f>
        <v>SAFT-PDM</v>
      </c>
      <c r="C465" s="57" t="s">
        <v>94</v>
      </c>
      <c r="E465" t="s">
        <v>4</v>
      </c>
      <c r="F465" t="s">
        <v>94</v>
      </c>
      <c r="G465" t="str">
        <f>LOOKUP(TabVMAzureEnvProjet[[#This Row],[Projet]],TabProjets[NomProj],TabProjets[SYGES])</f>
        <v>SAFT/TMA</v>
      </c>
      <c r="H465" t="str">
        <f>LOOKUP(TabVMAzureEnvProjet[[#This Row],[Projet]],TabProjets[NomProj],TabProjets[CP])</f>
        <v>Pierre BOURLIEUX</v>
      </c>
      <c r="I465">
        <f>LOOKUP(TabVMAzureEnvProjet[[#This Row],[Code SYGES]],TabCONTRATSDI[Contrat SYGES],TabCONTRATSDI[Cost Center])</f>
        <v>305704</v>
      </c>
      <c r="J465" s="22" t="str">
        <f>LOOKUP(TabVMAzureEnvProjet[[#This Row],[Code SYGES]],TabCONTRATSDI[Contrat SYGES],TabCONTRATSDI[Client])</f>
        <v>SAFT</v>
      </c>
      <c r="K465" t="s">
        <v>161</v>
      </c>
      <c r="L465" s="31">
        <v>2.8486518616267227</v>
      </c>
      <c r="M465" s="41" t="s">
        <v>162</v>
      </c>
    </row>
    <row r="466" spans="1:13" x14ac:dyDescent="0.25">
      <c r="A466" s="22" t="str">
        <f>TabVMAzureEnvProjet[[#This Row],[Client]] &amp; " .:. "  &amp; TabVMAzureEnvProjet[[#This Row],[Projet]]</f>
        <v>SPC .:. SPC-BUILD</v>
      </c>
      <c r="B466" s="22" t="str">
        <f>IF(TabVMAzureEnvProjet[[#This Row],[Projet AzureDevOps]]&lt;&gt;"",TabVMAzureEnvProjet[[#This Row],[Projet AzureDevOps]],TabVMAzureEnvProjet[[#This Row],[VM]])</f>
        <v>SPC-BUILD</v>
      </c>
      <c r="C466" s="57" t="s">
        <v>67</v>
      </c>
      <c r="E466" t="s">
        <v>4</v>
      </c>
      <c r="F466" t="s">
        <v>67</v>
      </c>
      <c r="G466" t="str">
        <f>LOOKUP(TabVMAzureEnvProjet[[#This Row],[Projet]],TabProjets[NomProj],TabProjets[SYGES])</f>
        <v>SPC/BUILD</v>
      </c>
      <c r="H466" t="str">
        <f>LOOKUP(TabVMAzureEnvProjet[[#This Row],[Projet]],TabProjets[NomProj],TabProjets[CP])</f>
        <v>Nicolas DURFORT</v>
      </c>
      <c r="I466">
        <f>LOOKUP(TabVMAzureEnvProjet[[#This Row],[Code SYGES]],TabCONTRATSDI[Contrat SYGES],TabCONTRATSDI[Cost Center])</f>
        <v>305704</v>
      </c>
      <c r="J466" s="22" t="str">
        <f>LOOKUP(TabVMAzureEnvProjet[[#This Row],[Code SYGES]],TabCONTRATSDI[Contrat SYGES],TabCONTRATSDI[Client])</f>
        <v>SPC</v>
      </c>
      <c r="K466" t="s">
        <v>161</v>
      </c>
      <c r="L466" s="31">
        <v>41.409077385933756</v>
      </c>
      <c r="M466" s="41" t="s">
        <v>162</v>
      </c>
    </row>
    <row r="467" spans="1:13" x14ac:dyDescent="0.25">
      <c r="A467" s="22" t="str">
        <f>TabVMAzureEnvProjet[[#This Row],[Client]] &amp; " .:. "  &amp; TabVMAzureEnvProjet[[#This Row],[Projet]]</f>
        <v>SPC .:. SPC-WEB</v>
      </c>
      <c r="B467" s="22" t="str">
        <f>IF(TabVMAzureEnvProjet[[#This Row],[Projet AzureDevOps]]&lt;&gt;"",TabVMAzureEnvProjet[[#This Row],[Projet AzureDevOps]],TabVMAzureEnvProjet[[#This Row],[VM]])</f>
        <v>SPC-WEB</v>
      </c>
      <c r="C467" s="57" t="s">
        <v>69</v>
      </c>
      <c r="E467" t="s">
        <v>4</v>
      </c>
      <c r="F467" t="s">
        <v>69</v>
      </c>
      <c r="G467" t="str">
        <f>LOOKUP(TabVMAzureEnvProjet[[#This Row],[Projet]],TabProjets[NomProj],TabProjets[SYGES])</f>
        <v>SPC/BUILD-0-1-SITE-WEB</v>
      </c>
      <c r="H467" t="str">
        <f>LOOKUP(TabVMAzureEnvProjet[[#This Row],[Projet]],TabProjets[NomProj],TabProjets[CP])</f>
        <v>Nicolas DURFORT</v>
      </c>
      <c r="I467">
        <f>LOOKUP(TabVMAzureEnvProjet[[#This Row],[Code SYGES]],TabCONTRATSDI[Contrat SYGES],TabCONTRATSDI[Cost Center])</f>
        <v>305704</v>
      </c>
      <c r="J467" s="22" t="str">
        <f>LOOKUP(TabVMAzureEnvProjet[[#This Row],[Code SYGES]],TabCONTRATSDI[Contrat SYGES],TabCONTRATSDI[Client])</f>
        <v>SPC</v>
      </c>
      <c r="K467" t="s">
        <v>161</v>
      </c>
      <c r="L467" s="31">
        <v>3.203429723986607</v>
      </c>
      <c r="M467" s="41" t="s">
        <v>162</v>
      </c>
    </row>
    <row r="468" spans="1:13" x14ac:dyDescent="0.25">
      <c r="A468" s="22" t="str">
        <f>TabVMAzureEnvProjet[[#This Row],[Client]] &amp; " .:. "  &amp; TabVMAzureEnvProjet[[#This Row],[Projet]]</f>
        <v>STMICRO .:. STMICRO-DATAPACK</v>
      </c>
      <c r="B468" s="22" t="str">
        <f>IF(TabVMAzureEnvProjet[[#This Row],[Projet AzureDevOps]]&lt;&gt;"",TabVMAzureEnvProjet[[#This Row],[Projet AzureDevOps]],TabVMAzureEnvProjet[[#This Row],[VM]])</f>
        <v>STMICRO-DATAPACK</v>
      </c>
      <c r="C468" s="57" t="s">
        <v>96</v>
      </c>
      <c r="E468" t="s">
        <v>4</v>
      </c>
      <c r="F468" t="s">
        <v>96</v>
      </c>
      <c r="G468" t="str">
        <f>LOOKUP(TabVMAzureEnvProjet[[#This Row],[Projet]],TabProjets[NomProj],TabProjets[SYGES])</f>
        <v>STMICRO/TMASI</v>
      </c>
      <c r="H468" t="str">
        <f>LOOKUP(TabVMAzureEnvProjet[[#This Row],[Projet]],TabProjets[NomProj],TabProjets[CP])</f>
        <v>Jean-Philippe STROIAZZO</v>
      </c>
      <c r="I468">
        <f>LOOKUP(TabVMAzureEnvProjet[[#This Row],[Code SYGES]],TabCONTRATSDI[Contrat SYGES],TabCONTRATSDI[Cost Center])</f>
        <v>305704</v>
      </c>
      <c r="J468" s="22" t="str">
        <f>LOOKUP(TabVMAzureEnvProjet[[#This Row],[Code SYGES]],TabCONTRATSDI[Contrat SYGES],TabCONTRATSDI[Client])</f>
        <v>STMICRO</v>
      </c>
      <c r="K468" t="s">
        <v>161</v>
      </c>
      <c r="L468" s="31">
        <v>3.3407898422674789</v>
      </c>
      <c r="M468" s="41" t="s">
        <v>162</v>
      </c>
    </row>
    <row r="469" spans="1:13" x14ac:dyDescent="0.25">
      <c r="A469" s="22" t="str">
        <f>TabVMAzureEnvProjet[[#This Row],[Client]] &amp; " .:. "  &amp; TabVMAzureEnvProjet[[#This Row],[Projet]]</f>
        <v>STMICRO .:. STMICRO-ROCKET</v>
      </c>
      <c r="B469" s="22" t="str">
        <f>IF(TabVMAzureEnvProjet[[#This Row],[Projet AzureDevOps]]&lt;&gt;"",TabVMAzureEnvProjet[[#This Row],[Projet AzureDevOps]],TabVMAzureEnvProjet[[#This Row],[VM]])</f>
        <v>STMICRO-ROCKET</v>
      </c>
      <c r="C469" s="57" t="s">
        <v>98</v>
      </c>
      <c r="E469" t="s">
        <v>4</v>
      </c>
      <c r="F469" t="s">
        <v>98</v>
      </c>
      <c r="G469" t="str">
        <f>LOOKUP(TabVMAzureEnvProjet[[#This Row],[Projet]],TabProjets[NomProj],TabProjets[SYGES])</f>
        <v>STMICRO/TMASI</v>
      </c>
      <c r="H469" t="str">
        <f>LOOKUP(TabVMAzureEnvProjet[[#This Row],[Projet]],TabProjets[NomProj],TabProjets[CP])</f>
        <v>Jean-Philippe STROIAZZO</v>
      </c>
      <c r="I469">
        <f>LOOKUP(TabVMAzureEnvProjet[[#This Row],[Code SYGES]],TabCONTRATSDI[Contrat SYGES],TabCONTRATSDI[Cost Center])</f>
        <v>305704</v>
      </c>
      <c r="J469" s="22" t="str">
        <f>LOOKUP(TabVMAzureEnvProjet[[#This Row],[Code SYGES]],TabCONTRATSDI[Contrat SYGES],TabCONTRATSDI[Client])</f>
        <v>STMICRO</v>
      </c>
      <c r="K469" t="s">
        <v>161</v>
      </c>
      <c r="L469" s="31">
        <v>3.9829435670070623</v>
      </c>
      <c r="M469" s="41" t="s">
        <v>162</v>
      </c>
    </row>
    <row r="470" spans="1:13" x14ac:dyDescent="0.25">
      <c r="A470" s="22" t="str">
        <f>TabVMAzureEnvProjet[[#This Row],[Client]] &amp; " .:. "  &amp; TabVMAzureEnvProjet[[#This Row],[Projet]]</f>
        <v>ALM .:. ALM-ATOUT</v>
      </c>
      <c r="B470" s="22" t="str">
        <f>IF(TabVMAzureEnvProjet[[#This Row],[Projet AzureDevOps]]&lt;&gt;"",TabVMAzureEnvProjet[[#This Row],[Projet AzureDevOps]],TabVMAzureEnvProjet[[#This Row],[VM]])</f>
        <v>ALM-ATOUT-VM</v>
      </c>
      <c r="D470" t="s">
        <v>18</v>
      </c>
      <c r="E470" t="s">
        <v>6</v>
      </c>
      <c r="F470" t="s">
        <v>17</v>
      </c>
      <c r="G470" t="str">
        <f>LOOKUP(TabVMAzureEnvProjet[[#This Row],[Projet]],TabProjets[NomProj],TabProjets[SYGES])</f>
        <v>ALM/TMA_ATOUT</v>
      </c>
      <c r="H470" t="str">
        <f>LOOKUP(TabVMAzureEnvProjet[[#This Row],[Projet]],TabProjets[NomProj],TabProjets[CP])</f>
        <v>Alice MARCHAL</v>
      </c>
      <c r="I470">
        <f>LOOKUP(TabVMAzureEnvProjet[[#This Row],[Code SYGES]],TabCONTRATSDI[Contrat SYGES],TabCONTRATSDI[Cost Center])</f>
        <v>305704</v>
      </c>
      <c r="J470" s="22" t="str">
        <f>LOOKUP(TabVMAzureEnvProjet[[#This Row],[Code SYGES]],TabCONTRATSDI[Contrat SYGES],TabCONTRATSDI[Client])</f>
        <v>ALM</v>
      </c>
      <c r="K470" t="s">
        <v>161</v>
      </c>
      <c r="L470" s="31">
        <v>18.8</v>
      </c>
      <c r="M470" s="40" t="s">
        <v>163</v>
      </c>
    </row>
    <row r="471" spans="1:13" x14ac:dyDescent="0.25">
      <c r="A471" s="22" t="str">
        <f>TabVMAzureEnvProjet[[#This Row],[Client]] &amp; " .:. "  &amp; TabVMAzureEnvProjet[[#This Row],[Projet]]</f>
        <v>BRGM .:. BRGM-ORRM</v>
      </c>
      <c r="B471" s="22" t="str">
        <f>IF(TabVMAzureEnvProjet[[#This Row],[Projet AzureDevOps]]&lt;&gt;"",TabVMAzureEnvProjet[[#This Row],[Projet AzureDevOps]],TabVMAzureEnvProjet[[#This Row],[VM]])</f>
        <v>BRGM-ORRM-VM</v>
      </c>
      <c r="D471" t="s">
        <v>22</v>
      </c>
      <c r="E471" t="s">
        <v>21</v>
      </c>
      <c r="F471" t="s">
        <v>20</v>
      </c>
      <c r="G471" t="str">
        <f>LOOKUP(TabVMAzureEnvProjet[[#This Row],[Projet]],TabProjets[NomProj],TabProjets[SYGES])</f>
        <v>BRGM/TMA-5-1-ORRM-LOT1</v>
      </c>
      <c r="H471" t="str">
        <f>LOOKUP(TabVMAzureEnvProjet[[#This Row],[Projet]],TabProjets[NomProj],TabProjets[CP])</f>
        <v>Alice MARCHAL</v>
      </c>
      <c r="I471">
        <f>LOOKUP(TabVMAzureEnvProjet[[#This Row],[Code SYGES]],TabCONTRATSDI[Contrat SYGES],TabCONTRATSDI[Cost Center])</f>
        <v>305704</v>
      </c>
      <c r="J471" s="22" t="str">
        <f>LOOKUP(TabVMAzureEnvProjet[[#This Row],[Code SYGES]],TabCONTRATSDI[Contrat SYGES],TabCONTRATSDI[Client])</f>
        <v>BRGM</v>
      </c>
      <c r="K471" t="s">
        <v>161</v>
      </c>
      <c r="L471" s="31">
        <v>4.5199999999999996</v>
      </c>
      <c r="M471" s="40" t="s">
        <v>163</v>
      </c>
    </row>
    <row r="472" spans="1:13" x14ac:dyDescent="0.25">
      <c r="A472" s="22" t="str">
        <f>TabVMAzureEnvProjet[[#This Row],[Client]] &amp; " .:. "  &amp; TabVMAzureEnvProjet[[#This Row],[Projet]]</f>
        <v>CA-TITRES .:. CATITRES-COMX</v>
      </c>
      <c r="B472" s="22" t="str">
        <f>IF(TabVMAzureEnvProjet[[#This Row],[Projet AzureDevOps]]&lt;&gt;"",TabVMAzureEnvProjet[[#This Row],[Projet AzureDevOps]],TabVMAzureEnvProjet[[#This Row],[VM]])</f>
        <v>CATITRES-COMX-VM</v>
      </c>
      <c r="D472" t="s">
        <v>25</v>
      </c>
      <c r="E472" t="s">
        <v>10</v>
      </c>
      <c r="F472" t="s">
        <v>24</v>
      </c>
      <c r="G472" t="str">
        <f>LOOKUP(TabVMAzureEnvProjet[[#This Row],[Projet]],TabProjets[NomProj],TabProjets[SYGES])</f>
        <v>CA-TITRES/TMA</v>
      </c>
      <c r="H472" t="str">
        <f>LOOKUP(TabVMAzureEnvProjet[[#This Row],[Projet]],TabProjets[NomProj],TabProjets[CP])</f>
        <v>Jean-Philippe STROIAZZO</v>
      </c>
      <c r="I472">
        <f>LOOKUP(TabVMAzureEnvProjet[[#This Row],[Code SYGES]],TabCONTRATSDI[Contrat SYGES],TabCONTRATSDI[Cost Center])</f>
        <v>305704</v>
      </c>
      <c r="J472" s="22" t="str">
        <f>LOOKUP(TabVMAzureEnvProjet[[#This Row],[Code SYGES]],TabCONTRATSDI[Contrat SYGES],TabCONTRATSDI[Client])</f>
        <v>CA-TITRES</v>
      </c>
      <c r="K472" t="s">
        <v>161</v>
      </c>
      <c r="L472" s="31">
        <v>30.56</v>
      </c>
      <c r="M472" s="40" t="s">
        <v>163</v>
      </c>
    </row>
    <row r="473" spans="1:13" x14ac:dyDescent="0.25">
      <c r="A473" s="22" t="str">
        <f>TabVMAzureEnvProjet[[#This Row],[Client]] &amp; " .:. "  &amp; TabVMAzureEnvProjet[[#This Row],[Projet]]</f>
        <v>EBR .:. EBR-LAPOSTE</v>
      </c>
      <c r="B473" s="22" t="str">
        <f>IF(TabVMAzureEnvProjet[[#This Row],[Projet AzureDevOps]]&lt;&gt;"",TabVMAzureEnvProjet[[#This Row],[Projet AzureDevOps]],TabVMAzureEnvProjet[[#This Row],[VM]])</f>
        <v>EBR-LAPOSTE-VM</v>
      </c>
      <c r="D473" t="s">
        <v>76</v>
      </c>
      <c r="E473" t="s">
        <v>10</v>
      </c>
      <c r="F473" t="s">
        <v>75</v>
      </c>
      <c r="G473" t="str">
        <f>LOOKUP(TabVMAzureEnvProjet[[#This Row],[Projet]],TabProjets[NomProj],TabProjets[SYGES])</f>
        <v>EBR/TMA</v>
      </c>
      <c r="H473" t="str">
        <f>LOOKUP(TabVMAzureEnvProjet[[#This Row],[Projet]],TabProjets[NomProj],TabProjets[CP])</f>
        <v>Valerie ASSELIN LOZACHMEUR</v>
      </c>
      <c r="I473">
        <f>LOOKUP(TabVMAzureEnvProjet[[#This Row],[Code SYGES]],TabCONTRATSDI[Contrat SYGES],TabCONTRATSDI[Cost Center])</f>
        <v>305704</v>
      </c>
      <c r="J473" s="22" t="str">
        <f>LOOKUP(TabVMAzureEnvProjet[[#This Row],[Code SYGES]],TabCONTRATSDI[Contrat SYGES],TabCONTRATSDI[Client])</f>
        <v>EBR</v>
      </c>
      <c r="K473" t="s">
        <v>161</v>
      </c>
      <c r="L473" s="31">
        <v>107.89</v>
      </c>
      <c r="M473" s="40" t="s">
        <v>163</v>
      </c>
    </row>
    <row r="474" spans="1:13" x14ac:dyDescent="0.25">
      <c r="A474" s="22" t="str">
        <f>TabVMAzureEnvProjet[[#This Row],[Client]] &amp; " .:. "  &amp; TabVMAzureEnvProjet[[#This Row],[Projet]]</f>
        <v>INETUM .:. INETUM-INTERNE</v>
      </c>
      <c r="B474" s="22" t="str">
        <f>IF(TabVMAzureEnvProjet[[#This Row],[Projet AzureDevOps]]&lt;&gt;"",TabVMAzureEnvProjet[[#This Row],[Projet AzureDevOps]],TabVMAzureEnvProjet[[#This Row],[VM]])</f>
        <v>GFI-PMT-VM</v>
      </c>
      <c r="D474" t="s">
        <v>121</v>
      </c>
      <c r="E474" t="s">
        <v>10</v>
      </c>
      <c r="F474" t="s">
        <v>102</v>
      </c>
      <c r="G474" t="str">
        <f>LOOKUP(TabVMAzureEnvProjet[[#This Row],[Projet]],TabProjets[NomProj],TabProjets[SYGES])</f>
        <v>INETUM/PROJET_INTERNE</v>
      </c>
      <c r="H474" t="str">
        <f>LOOKUP(TabVMAzureEnvProjet[[#This Row],[Projet]],TabProjets[NomProj],TabProjets[CP])</f>
        <v>Christophe ORLANDO</v>
      </c>
      <c r="I474">
        <f>LOOKUP(TabVMAzureEnvProjet[[#This Row],[Code SYGES]],TabCONTRATSDI[Contrat SYGES],TabCONTRATSDI[Cost Center])</f>
        <v>305704</v>
      </c>
      <c r="J474" s="22" t="str">
        <f>LOOKUP(TabVMAzureEnvProjet[[#This Row],[Code SYGES]],TabCONTRATSDI[Contrat SYGES],TabCONTRATSDI[Client])</f>
        <v>INETUM</v>
      </c>
      <c r="K474" t="s">
        <v>161</v>
      </c>
      <c r="L474" s="31">
        <v>25.79</v>
      </c>
      <c r="M474" s="40" t="s">
        <v>163</v>
      </c>
    </row>
    <row r="475" spans="1:13" x14ac:dyDescent="0.25">
      <c r="A475" s="22" t="str">
        <f>TabVMAzureEnvProjet[[#This Row],[Client]] &amp; " .:. "  &amp; TabVMAzureEnvProjet[[#This Row],[Projet]]</f>
        <v>MENESR .:. MENJ-BI</v>
      </c>
      <c r="B475" s="22" t="str">
        <f>IF(TabVMAzureEnvProjet[[#This Row],[Projet AzureDevOps]]&lt;&gt;"",TabVMAzureEnvProjet[[#This Row],[Projet AzureDevOps]],TabVMAzureEnvProjet[[#This Row],[VM]])</f>
        <v>MENJ-BI-VM</v>
      </c>
      <c r="D475" t="s">
        <v>52</v>
      </c>
      <c r="E475" t="s">
        <v>6</v>
      </c>
      <c r="F475" t="s">
        <v>51</v>
      </c>
      <c r="G475" t="str">
        <f>LOOKUP(TabVMAzureEnvProjet[[#This Row],[Projet]],TabProjets[NomProj],TabProjets[SYGES])</f>
        <v>MENESR/TMA</v>
      </c>
      <c r="H475" t="str">
        <f>LOOKUP(TabVMAzureEnvProjet[[#This Row],[Projet]],TabProjets[NomProj],TabProjets[CP])</f>
        <v>Eric PERROUD</v>
      </c>
      <c r="I475">
        <f>LOOKUP(TabVMAzureEnvProjet[[#This Row],[Code SYGES]],TabCONTRATSDI[Contrat SYGES],TabCONTRATSDI[Cost Center])</f>
        <v>305704</v>
      </c>
      <c r="J475" s="22" t="str">
        <f>LOOKUP(TabVMAzureEnvProjet[[#This Row],[Code SYGES]],TabCONTRATSDI[Contrat SYGES],TabCONTRATSDI[Client])</f>
        <v>MENESR</v>
      </c>
      <c r="K475" t="s">
        <v>161</v>
      </c>
      <c r="L475" s="31">
        <v>3.75</v>
      </c>
      <c r="M475" s="40" t="s">
        <v>163</v>
      </c>
    </row>
    <row r="476" spans="1:13" x14ac:dyDescent="0.25">
      <c r="A476" s="22" t="str">
        <f>TabVMAzureEnvProjet[[#This Row],[Client]] &amp; " .:. "  &amp; TabVMAzureEnvProjet[[#This Row],[Projet]]</f>
        <v>AFB .:. AFB-NatureFrance</v>
      </c>
      <c r="B476" s="22" t="str">
        <f>IF(TabVMAzureEnvProjet[[#This Row],[Projet AzureDevOps]]&lt;&gt;"",TabVMAzureEnvProjet[[#This Row],[Projet AzureDevOps]],TabVMAzureEnvProjet[[#This Row],[VM]])</f>
        <v>OFB-FRANCENATURE-VM</v>
      </c>
      <c r="D476" t="s">
        <v>80</v>
      </c>
      <c r="E476" t="s">
        <v>6</v>
      </c>
      <c r="F476" t="s">
        <v>147</v>
      </c>
      <c r="G476" t="str">
        <f>LOOKUP(TabVMAzureEnvProjet[[#This Row],[Projet]],TabProjets[NomProj],TabProjets[SYGES])</f>
        <v>AFB/OFB_LOT2</v>
      </c>
      <c r="H476" t="str">
        <f>LOOKUP(TabVMAzureEnvProjet[[#This Row],[Projet]],TabProjets[NomProj],TabProjets[CP])</f>
        <v>Rodolphe HABEGGER</v>
      </c>
      <c r="I476">
        <f>LOOKUP(TabVMAzureEnvProjet[[#This Row],[Code SYGES]],TabCONTRATSDI[Contrat SYGES],TabCONTRATSDI[Cost Center])</f>
        <v>305704</v>
      </c>
      <c r="J476" s="22" t="str">
        <f>LOOKUP(TabVMAzureEnvProjet[[#This Row],[Code SYGES]],TabCONTRATSDI[Contrat SYGES],TabCONTRATSDI[Client])</f>
        <v>AFB</v>
      </c>
      <c r="K476" t="s">
        <v>161</v>
      </c>
      <c r="L476" s="31">
        <v>3.71</v>
      </c>
      <c r="M476" s="40" t="s">
        <v>163</v>
      </c>
    </row>
    <row r="477" spans="1:13" x14ac:dyDescent="0.25">
      <c r="A477" s="22" t="str">
        <f>TabVMAzureEnvProjet[[#This Row],[Client]] &amp; " .:. "  &amp; TabVMAzureEnvProjet[[#This Row],[Projet]]</f>
        <v>AFB .:. OFB-SISPEA</v>
      </c>
      <c r="B477" s="22" t="str">
        <f>IF(TabVMAzureEnvProjet[[#This Row],[Projet AzureDevOps]]&lt;&gt;"",TabVMAzureEnvProjet[[#This Row],[Projet AzureDevOps]],TabVMAzureEnvProjet[[#This Row],[VM]])</f>
        <v>OFB-SISPEA-VM</v>
      </c>
      <c r="D477" t="s">
        <v>11</v>
      </c>
      <c r="E477" t="s">
        <v>10</v>
      </c>
      <c r="F477" t="s">
        <v>9</v>
      </c>
      <c r="G477" t="str">
        <f>LOOKUP(TabVMAzureEnvProjet[[#This Row],[Projet]],TabProjets[NomProj],TabProjets[SYGES])</f>
        <v>AFB/OFB_LOT2</v>
      </c>
      <c r="H477" t="str">
        <f>LOOKUP(TabVMAzureEnvProjet[[#This Row],[Projet]],TabProjets[NomProj],TabProjets[CP])</f>
        <v>Pierre BOURLIEUX</v>
      </c>
      <c r="I477">
        <f>LOOKUP(TabVMAzureEnvProjet[[#This Row],[Code SYGES]],TabCONTRATSDI[Contrat SYGES],TabCONTRATSDI[Cost Center])</f>
        <v>305704</v>
      </c>
      <c r="J477" s="22" t="str">
        <f>LOOKUP(TabVMAzureEnvProjet[[#This Row],[Code SYGES]],TabCONTRATSDI[Contrat SYGES],TabCONTRATSDI[Client])</f>
        <v>AFB</v>
      </c>
      <c r="K477" t="s">
        <v>161</v>
      </c>
      <c r="L477" s="31">
        <v>8.0399999999999991</v>
      </c>
      <c r="M477" s="40" t="s">
        <v>163</v>
      </c>
    </row>
    <row r="478" spans="1:13" x14ac:dyDescent="0.25">
      <c r="A478" s="22" t="str">
        <f>TabVMAzureEnvProjet[[#This Row],[Client]] &amp; " .:. "  &amp; TabVMAzureEnvProjet[[#This Row],[Projet]]</f>
        <v>SPC .:. SPC-BUILD</v>
      </c>
      <c r="B478" s="22" t="str">
        <f>IF(TabVMAzureEnvProjet[[#This Row],[Projet AzureDevOps]]&lt;&gt;"",TabVMAzureEnvProjet[[#This Row],[Projet AzureDevOps]],TabVMAzureEnvProjet[[#This Row],[VM]])</f>
        <v>SPC-BUILDAS-VM</v>
      </c>
      <c r="D478" t="s">
        <v>68</v>
      </c>
      <c r="E478" t="s">
        <v>10</v>
      </c>
      <c r="F478" t="s">
        <v>67</v>
      </c>
      <c r="G478" t="str">
        <f>LOOKUP(TabVMAzureEnvProjet[[#This Row],[Projet]],TabProjets[NomProj],TabProjets[SYGES])</f>
        <v>SPC/BUILD</v>
      </c>
      <c r="H478" t="str">
        <f>LOOKUP(TabVMAzureEnvProjet[[#This Row],[Projet]],TabProjets[NomProj],TabProjets[CP])</f>
        <v>Nicolas DURFORT</v>
      </c>
      <c r="I478">
        <f>LOOKUP(TabVMAzureEnvProjet[[#This Row],[Code SYGES]],TabCONTRATSDI[Contrat SYGES],TabCONTRATSDI[Cost Center])</f>
        <v>305704</v>
      </c>
      <c r="J478" s="22" t="str">
        <f>LOOKUP(TabVMAzureEnvProjet[[#This Row],[Code SYGES]],TabCONTRATSDI[Contrat SYGES],TabCONTRATSDI[Client])</f>
        <v>SPC</v>
      </c>
      <c r="K478" t="s">
        <v>161</v>
      </c>
      <c r="L478" s="31">
        <v>108.01</v>
      </c>
      <c r="M478" s="40" t="s">
        <v>163</v>
      </c>
    </row>
    <row r="479" spans="1:13" x14ac:dyDescent="0.25">
      <c r="A479" s="22" t="str">
        <f>TabVMAzureEnvProjet[[#This Row],[Client]] &amp; " .:. "  &amp; TabVMAzureEnvProjet[[#This Row],[Projet]]</f>
        <v>STMICRO .:. STMICRO-DATAPACK</v>
      </c>
      <c r="B479" s="22" t="str">
        <f>IF(TabVMAzureEnvProjet[[#This Row],[Projet AzureDevOps]]&lt;&gt;"",TabVMAzureEnvProjet[[#This Row],[Projet AzureDevOps]],TabVMAzureEnvProjet[[#This Row],[VM]])</f>
        <v>STMICRO-DATAPACK-VM</v>
      </c>
      <c r="D479" t="s">
        <v>97</v>
      </c>
      <c r="E479" t="s">
        <v>10</v>
      </c>
      <c r="F479" t="s">
        <v>96</v>
      </c>
      <c r="G479" t="str">
        <f>LOOKUP(TabVMAzureEnvProjet[[#This Row],[Projet]],TabProjets[NomProj],TabProjets[SYGES])</f>
        <v>STMICRO/TMASI</v>
      </c>
      <c r="H479" t="str">
        <f>LOOKUP(TabVMAzureEnvProjet[[#This Row],[Projet]],TabProjets[NomProj],TabProjets[CP])</f>
        <v>Jean-Philippe STROIAZZO</v>
      </c>
      <c r="I479">
        <f>LOOKUP(TabVMAzureEnvProjet[[#This Row],[Code SYGES]],TabCONTRATSDI[Contrat SYGES],TabCONTRATSDI[Cost Center])</f>
        <v>305704</v>
      </c>
      <c r="J479" s="22" t="str">
        <f>LOOKUP(TabVMAzureEnvProjet[[#This Row],[Code SYGES]],TabCONTRATSDI[Contrat SYGES],TabCONTRATSDI[Client])</f>
        <v>STMICRO</v>
      </c>
      <c r="K479" t="s">
        <v>161</v>
      </c>
      <c r="L479" s="31">
        <v>13.91</v>
      </c>
      <c r="M479" s="40" t="s">
        <v>163</v>
      </c>
    </row>
    <row r="480" spans="1:13" x14ac:dyDescent="0.25">
      <c r="A480" s="22" t="str">
        <f>TabVMAzureEnvProjet[[#This Row],[Client]] &amp; " .:. "  &amp; TabVMAzureEnvProjet[[#This Row],[Projet]]</f>
        <v>FRR .:. FRR-DIGIPAT</v>
      </c>
      <c r="B480" s="22" t="str">
        <f>IF(TabVMAzureEnvProjet[[#This Row],[Projet AzureDevOps]]&lt;&gt;"",TabVMAzureEnvProjet[[#This Row],[Projet AzureDevOps]],TabVMAzureEnvProjet[[#This Row],[VM]])</f>
        <v>FRR-DIGIPAT-VM</v>
      </c>
      <c r="D480" t="s">
        <v>31</v>
      </c>
      <c r="E480" t="s">
        <v>21</v>
      </c>
      <c r="F480" t="s">
        <v>29</v>
      </c>
      <c r="G480" t="str">
        <f>LOOKUP(TabVMAzureEnvProjet[[#This Row],[Projet]],TabProjets[NomProj],TabProjets[SYGES])</f>
        <v>FRR/TMASI</v>
      </c>
      <c r="H480" t="str">
        <f>LOOKUP(TabVMAzureEnvProjet[[#This Row],[Projet]],TabProjets[NomProj],TabProjets[CP])</f>
        <v>Alice MARCHAL</v>
      </c>
      <c r="I480">
        <f>LOOKUP(TabVMAzureEnvProjet[[#This Row],[Code SYGES]],TabCONTRATSDI[Contrat SYGES],TabCONTRATSDI[Cost Center])</f>
        <v>305704</v>
      </c>
      <c r="J480" s="22" t="str">
        <f>LOOKUP(TabVMAzureEnvProjet[[#This Row],[Code SYGES]],TabCONTRATSDI[Contrat SYGES],TabCONTRATSDI[Client])</f>
        <v>FRR</v>
      </c>
      <c r="K480" t="s">
        <v>161</v>
      </c>
      <c r="L480" s="31">
        <v>11.56</v>
      </c>
      <c r="M480" s="40" t="s">
        <v>163</v>
      </c>
    </row>
    <row r="481" spans="1:13" x14ac:dyDescent="0.25">
      <c r="A481" s="22" t="str">
        <f>TabVMAzureEnvProjet[[#This Row],[Client]] &amp; " .:. "  &amp; TabVMAzureEnvProjet[[#This Row],[Projet]]</f>
        <v>GFI .:. GFI-WAAC</v>
      </c>
      <c r="B481" s="22" t="str">
        <f>IF(TabVMAzureEnvProjet[[#This Row],[Projet AzureDevOps]]&lt;&gt;"",TabVMAzureEnvProjet[[#This Row],[Projet AzureDevOps]],TabVMAzureEnvProjet[[#This Row],[VM]])</f>
        <v>GFI-WAAC-VM</v>
      </c>
      <c r="D481" t="s">
        <v>39</v>
      </c>
      <c r="E481" t="s">
        <v>6</v>
      </c>
      <c r="F481" t="s">
        <v>38</v>
      </c>
      <c r="G481" t="str">
        <f>LOOKUP(TabVMAzureEnvProjet[[#This Row],[Projet]],TabProjets[NomProj],TabProjets[SYGES])</f>
        <v>383928 - WAAC 1.0</v>
      </c>
      <c r="H481" t="str">
        <f>LOOKUP(TabVMAzureEnvProjet[[#This Row],[Projet]],TabProjets[NomProj],TabProjets[CP])</f>
        <v>Laurent MARCIANIAK</v>
      </c>
      <c r="I481">
        <f>LOOKUP(TabVMAzureEnvProjet[[#This Row],[Code SYGES]],TabCONTRATSDI[Contrat SYGES],TabCONTRATSDI[Cost Center])</f>
        <v>100973</v>
      </c>
      <c r="J481" s="22" t="str">
        <f>LOOKUP(TabVMAzureEnvProjet[[#This Row],[Code SYGES]],TabCONTRATSDI[Contrat SYGES],TabCONTRATSDI[Client])</f>
        <v>GFI</v>
      </c>
      <c r="K481" t="s">
        <v>161</v>
      </c>
      <c r="L481" s="31">
        <v>16.37</v>
      </c>
      <c r="M481" s="40" t="s">
        <v>163</v>
      </c>
    </row>
    <row r="482" spans="1:13" x14ac:dyDescent="0.25">
      <c r="A482" s="22" t="str">
        <f>TabVMAzureEnvProjet[[#This Row],[Client]] &amp; " .:. "  &amp; TabVMAzureEnvProjet[[#This Row],[Projet]]</f>
        <v>LAPOSTE .:. LAPOSTE-CDC</v>
      </c>
      <c r="B482" s="22" t="str">
        <f>IF(TabVMAzureEnvProjet[[#This Row],[Projet AzureDevOps]]&lt;&gt;"",TabVMAzureEnvProjet[[#This Row],[Projet AzureDevOps]],TabVMAzureEnvProjet[[#This Row],[VM]])</f>
        <v>LAPOSTE-CDC-VM</v>
      </c>
      <c r="D482" t="s">
        <v>92</v>
      </c>
      <c r="E482" t="s">
        <v>10</v>
      </c>
      <c r="F482" t="s">
        <v>82</v>
      </c>
      <c r="G482" t="str">
        <f>LOOKUP(TabVMAzureEnvProjet[[#This Row],[Projet]],TabProjets[NomProj],TabProjets[SYGES])</f>
        <v>LA-POSTE/CDC_DRUPAL</v>
      </c>
      <c r="H482" t="str">
        <f>LOOKUP(TabVMAzureEnvProjet[[#This Row],[Projet]],TabProjets[NomProj],TabProjets[CP])</f>
        <v>Rodolphe HABEGGER</v>
      </c>
      <c r="I482">
        <f>LOOKUP(TabVMAzureEnvProjet[[#This Row],[Code SYGES]],TabCONTRATSDI[Contrat SYGES],TabCONTRATSDI[Cost Center])</f>
        <v>305704</v>
      </c>
      <c r="J482" s="22" t="str">
        <f>LOOKUP(TabVMAzureEnvProjet[[#This Row],[Code SYGES]],TabCONTRATSDI[Contrat SYGES],TabCONTRATSDI[Client])</f>
        <v>LAPOSTE</v>
      </c>
      <c r="K482" t="s">
        <v>161</v>
      </c>
      <c r="L482" s="31">
        <v>3.75</v>
      </c>
      <c r="M482" s="40" t="s">
        <v>163</v>
      </c>
    </row>
    <row r="483" spans="1:13" x14ac:dyDescent="0.25">
      <c r="A483" s="22" t="str">
        <f>TabVMAzureEnvProjet[[#This Row],[Client]] &amp; " .:. "  &amp; TabVMAzureEnvProjet[[#This Row],[Projet]]</f>
        <v>MENESR .:. MENJ-INSERJEUNES</v>
      </c>
      <c r="B483" s="22" t="str">
        <f>IF(TabVMAzureEnvProjet[[#This Row],[Projet AzureDevOps]]&lt;&gt;"",TabVMAzureEnvProjet[[#This Row],[Projet AzureDevOps]],TabVMAzureEnvProjet[[#This Row],[VM]])</f>
        <v>MENJ-INERJEUNES</v>
      </c>
      <c r="D483" t="s">
        <v>55</v>
      </c>
      <c r="E483" t="s">
        <v>21</v>
      </c>
      <c r="F483" t="s">
        <v>53</v>
      </c>
      <c r="G483" t="str">
        <f>LOOKUP(TabVMAzureEnvProjet[[#This Row],[Projet]],TabProjets[NomProj],TabProjets[SYGES])</f>
        <v>MENESR - TMA - 23 - 1 - INSERJEUNES</v>
      </c>
      <c r="H483" t="str">
        <f>LOOKUP(TabVMAzureEnvProjet[[#This Row],[Projet]],TabProjets[NomProj],TabProjets[CP])</f>
        <v>Christophe ORLANDO</v>
      </c>
      <c r="I483">
        <f>LOOKUP(TabVMAzureEnvProjet[[#This Row],[Code SYGES]],TabCONTRATSDI[Contrat SYGES],TabCONTRATSDI[Cost Center])</f>
        <v>305704</v>
      </c>
      <c r="J483" s="22" t="str">
        <f>LOOKUP(TabVMAzureEnvProjet[[#This Row],[Code SYGES]],TabCONTRATSDI[Contrat SYGES],TabCONTRATSDI[Client])</f>
        <v>MENESR</v>
      </c>
      <c r="K483" t="s">
        <v>161</v>
      </c>
      <c r="L483" s="31">
        <v>29.07</v>
      </c>
      <c r="M483" s="40" t="s">
        <v>163</v>
      </c>
    </row>
    <row r="484" spans="1:13" x14ac:dyDescent="0.25">
      <c r="A484" s="22" t="str">
        <f>TabVMAzureEnvProjet[[#This Row],[Client]] &amp; " .:. "  &amp; TabVMAzureEnvProjet[[#This Row],[Projet]]</f>
        <v>ONEMA .:. AFB-BASEINDICATEURS</v>
      </c>
      <c r="B484" s="22" t="str">
        <f>IF(TabVMAzureEnvProjet[[#This Row],[Projet AzureDevOps]]&lt;&gt;"",TabVMAzureEnvProjet[[#This Row],[Projet AzureDevOps]],TabVMAzureEnvProjet[[#This Row],[VM]])</f>
        <v>AFB-BaseIndicateurs</v>
      </c>
      <c r="C484" s="57" t="s">
        <v>58</v>
      </c>
      <c r="E484" t="s">
        <v>4</v>
      </c>
      <c r="F484" t="s">
        <v>57</v>
      </c>
      <c r="G484" t="str">
        <f>LOOKUP(TabVMAzureEnvProjet[[#This Row],[Projet]],TabProjets[NomProj],TabProjets[SYGES])</f>
        <v>ONEMA/TMADCUA-15</v>
      </c>
      <c r="H484" t="str">
        <f>LOOKUP(TabVMAzureEnvProjet[[#This Row],[Projet]],TabProjets[NomProj],TabProjets[CP])</f>
        <v>Pierre BOURLIEUX</v>
      </c>
      <c r="I484">
        <f>LOOKUP(TabVMAzureEnvProjet[[#This Row],[Code SYGES]],TabCONTRATSDI[Contrat SYGES],TabCONTRATSDI[Cost Center])</f>
        <v>305704</v>
      </c>
      <c r="J484" s="22" t="str">
        <f>LOOKUP(TabVMAzureEnvProjet[[#This Row],[Code SYGES]],TabCONTRATSDI[Contrat SYGES],TabCONTRATSDI[Client])</f>
        <v>ONEMA</v>
      </c>
      <c r="K484" t="s">
        <v>164</v>
      </c>
      <c r="L484" s="31">
        <v>0.47776348083900921</v>
      </c>
      <c r="M484" s="47" t="s">
        <v>165</v>
      </c>
    </row>
    <row r="485" spans="1:13" x14ac:dyDescent="0.25">
      <c r="A485" s="22" t="str">
        <f>TabVMAzureEnvProjet[[#This Row],[Client]] &amp; " .:. "  &amp; TabVMAzureEnvProjet[[#This Row],[Projet]]</f>
        <v>ONEMA .:. AFB-CATALOGUE</v>
      </c>
      <c r="B485" s="22" t="str">
        <f>IF(TabVMAzureEnvProjet[[#This Row],[Projet AzureDevOps]]&lt;&gt;"",TabVMAzureEnvProjet[[#This Row],[Projet AzureDevOps]],TabVMAzureEnvProjet[[#This Row],[VM]])</f>
        <v>AFB-Catalogue</v>
      </c>
      <c r="C485" s="57" t="s">
        <v>60</v>
      </c>
      <c r="E485" t="s">
        <v>4</v>
      </c>
      <c r="F485" t="s">
        <v>59</v>
      </c>
      <c r="G485" t="str">
        <f>LOOKUP(TabVMAzureEnvProjet[[#This Row],[Projet]],TabProjets[NomProj],TabProjets[SYGES])</f>
        <v>ONEMA/TMADCUA-15</v>
      </c>
      <c r="H485" t="str">
        <f>LOOKUP(TabVMAzureEnvProjet[[#This Row],[Projet]],TabProjets[NomProj],TabProjets[CP])</f>
        <v>Pierre BOURLIEUX</v>
      </c>
      <c r="I485">
        <f>LOOKUP(TabVMAzureEnvProjet[[#This Row],[Code SYGES]],TabCONTRATSDI[Contrat SYGES],TabCONTRATSDI[Cost Center])</f>
        <v>305704</v>
      </c>
      <c r="J485" s="22" t="str">
        <f>LOOKUP(TabVMAzureEnvProjet[[#This Row],[Code SYGES]],TabCONTRATSDI[Contrat SYGES],TabCONTRATSDI[Client])</f>
        <v>ONEMA</v>
      </c>
      <c r="K485" t="s">
        <v>164</v>
      </c>
      <c r="L485" s="31">
        <v>1.8022591868768243</v>
      </c>
      <c r="M485" s="47" t="s">
        <v>165</v>
      </c>
    </row>
    <row r="486" spans="1:13" x14ac:dyDescent="0.25">
      <c r="A486" s="22" t="str">
        <f>TabVMAzureEnvProjet[[#This Row],[Client]] &amp; " .:. "  &amp; TabVMAzureEnvProjet[[#This Row],[Projet]]</f>
        <v>ONEMA .:. AFB-CDR</v>
      </c>
      <c r="B486" s="22" t="str">
        <f>IF(TabVMAzureEnvProjet[[#This Row],[Projet AzureDevOps]]&lt;&gt;"",TabVMAzureEnvProjet[[#This Row],[Projet AzureDevOps]],TabVMAzureEnvProjet[[#This Row],[VM]])</f>
        <v>AFB-CDR</v>
      </c>
      <c r="C486" s="57" t="s">
        <v>61</v>
      </c>
      <c r="E486" t="s">
        <v>4</v>
      </c>
      <c r="F486" t="s">
        <v>61</v>
      </c>
      <c r="G486" t="str">
        <f>LOOKUP(TabVMAzureEnvProjet[[#This Row],[Projet]],TabProjets[NomProj],TabProjets[SYGES])</f>
        <v>ONEMA/TMAWEB-16</v>
      </c>
      <c r="H486" t="str">
        <f>LOOKUP(TabVMAzureEnvProjet[[#This Row],[Projet]],TabProjets[NomProj],TabProjets[CP])</f>
        <v>Pierre BOURLIEUX</v>
      </c>
      <c r="I486">
        <f>LOOKUP(TabVMAzureEnvProjet[[#This Row],[Code SYGES]],TabCONTRATSDI[Contrat SYGES],TabCONTRATSDI[Cost Center])</f>
        <v>305704</v>
      </c>
      <c r="J486" s="22" t="str">
        <f>LOOKUP(TabVMAzureEnvProjet[[#This Row],[Code SYGES]],TabCONTRATSDI[Contrat SYGES],TabCONTRATSDI[Client])</f>
        <v>ONEMA</v>
      </c>
      <c r="K486" t="s">
        <v>164</v>
      </c>
      <c r="L486" s="31">
        <v>8.4695767636990968</v>
      </c>
      <c r="M486" s="47" t="s">
        <v>165</v>
      </c>
    </row>
    <row r="487" spans="1:13" x14ac:dyDescent="0.25">
      <c r="A487" s="22" t="str">
        <f>TabVMAzureEnvProjet[[#This Row],[Client]] &amp; " .:. "  &amp; TabVMAzureEnvProjet[[#This Row],[Projet]]</f>
        <v>AFB .:. AFB-CESMIA</v>
      </c>
      <c r="B487" s="22" t="str">
        <f>IF(TabVMAzureEnvProjet[[#This Row],[Projet AzureDevOps]]&lt;&gt;"",TabVMAzureEnvProjet[[#This Row],[Projet AzureDevOps]],TabVMAzureEnvProjet[[#This Row],[VM]])</f>
        <v>AFB-CESMIA</v>
      </c>
      <c r="C487" s="57" t="s">
        <v>3</v>
      </c>
      <c r="E487" t="s">
        <v>4</v>
      </c>
      <c r="F487" t="s">
        <v>3</v>
      </c>
      <c r="G487" t="str">
        <f>LOOKUP(TabVMAzureEnvProjet[[#This Row],[Projet]],TabProjets[NomProj],TabProjets[SYGES])</f>
        <v>AFB/OFB_LOT1</v>
      </c>
      <c r="H487" t="str">
        <f>LOOKUP(TabVMAzureEnvProjet[[#This Row],[Projet]],TabProjets[NomProj],TabProjets[CP])</f>
        <v>Jean-Philippe STROIAZZO</v>
      </c>
      <c r="I487">
        <f>LOOKUP(TabVMAzureEnvProjet[[#This Row],[Code SYGES]],TabCONTRATSDI[Contrat SYGES],TabCONTRATSDI[Cost Center])</f>
        <v>305704</v>
      </c>
      <c r="J487" s="22" t="str">
        <f>LOOKUP(TabVMAzureEnvProjet[[#This Row],[Code SYGES]],TabCONTRATSDI[Contrat SYGES],TabCONTRATSDI[Client])</f>
        <v>AFB</v>
      </c>
      <c r="K487" t="s">
        <v>164</v>
      </c>
      <c r="L487" s="31">
        <v>7.5841293448123794</v>
      </c>
      <c r="M487" s="47" t="s">
        <v>165</v>
      </c>
    </row>
    <row r="488" spans="1:13" x14ac:dyDescent="0.25">
      <c r="A488" s="22" t="str">
        <f>TabVMAzureEnvProjet[[#This Row],[Client]] &amp; " .:. "  &amp; TabVMAzureEnvProjet[[#This Row],[Projet]]</f>
        <v>ONEMA .:. AFB-OISON</v>
      </c>
      <c r="B488" s="22" t="str">
        <f>IF(TabVMAzureEnvProjet[[#This Row],[Projet AzureDevOps]]&lt;&gt;"",TabVMAzureEnvProjet[[#This Row],[Projet AzureDevOps]],TabVMAzureEnvProjet[[#This Row],[VM]])</f>
        <v>AFB-OISON</v>
      </c>
      <c r="C488" s="57" t="s">
        <v>62</v>
      </c>
      <c r="E488" t="s">
        <v>4</v>
      </c>
      <c r="F488" t="s">
        <v>62</v>
      </c>
      <c r="G488" t="str">
        <f>LOOKUP(TabVMAzureEnvProjet[[#This Row],[Projet]],TabProjets[NomProj],TabProjets[SYGES])</f>
        <v>ONEMA/TMADCUA-15</v>
      </c>
      <c r="H488" t="str">
        <f>LOOKUP(TabVMAzureEnvProjet[[#This Row],[Projet]],TabProjets[NomProj],TabProjets[CP])</f>
        <v>Jean-Philippe STROIAZZO</v>
      </c>
      <c r="I488">
        <f>LOOKUP(TabVMAzureEnvProjet[[#This Row],[Code SYGES]],TabCONTRATSDI[Contrat SYGES],TabCONTRATSDI[Cost Center])</f>
        <v>305704</v>
      </c>
      <c r="J488" s="22" t="str">
        <f>LOOKUP(TabVMAzureEnvProjet[[#This Row],[Code SYGES]],TabCONTRATSDI[Contrat SYGES],TabCONTRATSDI[Client])</f>
        <v>ONEMA</v>
      </c>
      <c r="K488" t="s">
        <v>164</v>
      </c>
      <c r="L488" s="31">
        <v>4.5914059585910412</v>
      </c>
      <c r="M488" s="47" t="s">
        <v>165</v>
      </c>
    </row>
    <row r="489" spans="1:13" x14ac:dyDescent="0.25">
      <c r="A489" s="22" t="str">
        <f>TabVMAzureEnvProjet[[#This Row],[Client]] &amp; " .:. "  &amp; TabVMAzureEnvProjet[[#This Row],[Projet]]</f>
        <v>ONEMA .:. AFB-PATBIODIV</v>
      </c>
      <c r="B489" s="22" t="str">
        <f>IF(TabVMAzureEnvProjet[[#This Row],[Projet AzureDevOps]]&lt;&gt;"",TabVMAzureEnvProjet[[#This Row],[Projet AzureDevOps]],TabVMAzureEnvProjet[[#This Row],[VM]])</f>
        <v>AFB-PATBiodiv</v>
      </c>
      <c r="C489" s="57" t="s">
        <v>64</v>
      </c>
      <c r="E489" t="s">
        <v>4</v>
      </c>
      <c r="F489" t="s">
        <v>63</v>
      </c>
      <c r="G489" t="str">
        <f>LOOKUP(TabVMAzureEnvProjet[[#This Row],[Projet]],TabProjets[NomProj],TabProjets[SYGES])</f>
        <v>ONEMA/TMADCUA-15</v>
      </c>
      <c r="H489" t="str">
        <f>LOOKUP(TabVMAzureEnvProjet[[#This Row],[Projet]],TabProjets[NomProj],TabProjets[CP])</f>
        <v>Rodolphe HABEGGER</v>
      </c>
      <c r="I489">
        <f>LOOKUP(TabVMAzureEnvProjet[[#This Row],[Code SYGES]],TabCONTRATSDI[Contrat SYGES],TabCONTRATSDI[Cost Center])</f>
        <v>305704</v>
      </c>
      <c r="J489" s="22" t="str">
        <f>LOOKUP(TabVMAzureEnvProjet[[#This Row],[Code SYGES]],TabCONTRATSDI[Contrat SYGES],TabCONTRATSDI[Client])</f>
        <v>ONEMA</v>
      </c>
      <c r="K489" t="s">
        <v>164</v>
      </c>
      <c r="L489" s="31">
        <v>4.4345500014565182</v>
      </c>
      <c r="M489" s="47" t="s">
        <v>165</v>
      </c>
    </row>
    <row r="490" spans="1:13" x14ac:dyDescent="0.25">
      <c r="A490" s="22" t="str">
        <f>TabVMAzureEnvProjet[[#This Row],[Client]] &amp; " .:. "  &amp; TabVMAzureEnvProjet[[#This Row],[Projet]]</f>
        <v>AFB .:. AFB-PNM</v>
      </c>
      <c r="B490" s="22" t="str">
        <f>IF(TabVMAzureEnvProjet[[#This Row],[Projet AzureDevOps]]&lt;&gt;"",TabVMAzureEnvProjet[[#This Row],[Projet AzureDevOps]],TabVMAzureEnvProjet[[#This Row],[VM]])</f>
        <v>AFB-PNM</v>
      </c>
      <c r="C490" s="57" t="s">
        <v>5</v>
      </c>
      <c r="E490" t="s">
        <v>4</v>
      </c>
      <c r="F490" t="s">
        <v>5</v>
      </c>
      <c r="G490" t="str">
        <f>LOOKUP(TabVMAzureEnvProjet[[#This Row],[Projet]],TabProjets[NomProj],TabProjets[SYGES])</f>
        <v>AFB/OFB_LOT2</v>
      </c>
      <c r="H490" t="str">
        <f>LOOKUP(TabVMAzureEnvProjet[[#This Row],[Projet]],TabProjets[NomProj],TabProjets[CP])</f>
        <v>Eric RAUCOURT</v>
      </c>
      <c r="I490">
        <f>LOOKUP(TabVMAzureEnvProjet[[#This Row],[Code SYGES]],TabCONTRATSDI[Contrat SYGES],TabCONTRATSDI[Cost Center])</f>
        <v>305704</v>
      </c>
      <c r="J490" s="22" t="str">
        <f>LOOKUP(TabVMAzureEnvProjet[[#This Row],[Code SYGES]],TabCONTRATSDI[Contrat SYGES],TabCONTRATSDI[Client])</f>
        <v>AFB</v>
      </c>
      <c r="K490" t="s">
        <v>164</v>
      </c>
      <c r="L490" s="31">
        <v>8.0052626343829392</v>
      </c>
      <c r="M490" s="47" t="s">
        <v>165</v>
      </c>
    </row>
    <row r="491" spans="1:13" x14ac:dyDescent="0.25">
      <c r="A491" s="22" t="str">
        <f>TabVMAzureEnvProjet[[#This Row],[Client]] &amp; " .:. "  &amp; TabVMAzureEnvProjet[[#This Row],[Projet]]</f>
        <v>AFB .:. AFB-PNX</v>
      </c>
      <c r="B491" s="22" t="str">
        <f>IF(TabVMAzureEnvProjet[[#This Row],[Projet AzureDevOps]]&lt;&gt;"",TabVMAzureEnvProjet[[#This Row],[Projet AzureDevOps]],TabVMAzureEnvProjet[[#This Row],[VM]])</f>
        <v>AFB-PNX</v>
      </c>
      <c r="C491" s="57" t="s">
        <v>8</v>
      </c>
      <c r="E491" t="s">
        <v>4</v>
      </c>
      <c r="F491" t="s">
        <v>8</v>
      </c>
      <c r="G491" t="str">
        <f>LOOKUP(TabVMAzureEnvProjet[[#This Row],[Projet]],TabProjets[NomProj],TabProjets[SYGES])</f>
        <v>AFB/OFB_LOT2</v>
      </c>
      <c r="H491" t="str">
        <f>LOOKUP(TabVMAzureEnvProjet[[#This Row],[Projet]],TabProjets[NomProj],TabProjets[CP])</f>
        <v>Pierre BOURLIEUX</v>
      </c>
      <c r="I491">
        <f>LOOKUP(TabVMAzureEnvProjet[[#This Row],[Code SYGES]],TabCONTRATSDI[Contrat SYGES],TabCONTRATSDI[Cost Center])</f>
        <v>305704</v>
      </c>
      <c r="J491" s="22" t="str">
        <f>LOOKUP(TabVMAzureEnvProjet[[#This Row],[Code SYGES]],TabCONTRATSDI[Contrat SYGES],TabCONTRATSDI[Client])</f>
        <v>AFB</v>
      </c>
      <c r="K491" t="s">
        <v>164</v>
      </c>
      <c r="L491" s="31">
        <v>2.0322448429461519</v>
      </c>
      <c r="M491" s="47" t="s">
        <v>165</v>
      </c>
    </row>
    <row r="492" spans="1:13" x14ac:dyDescent="0.25">
      <c r="A492" s="22" t="str">
        <f>TabVMAzureEnvProjet[[#This Row],[Client]] &amp; " .:. "  &amp; TabVMAzureEnvProjet[[#This Row],[Projet]]</f>
        <v>ONEMA .:. AFB-RAA</v>
      </c>
      <c r="B492" s="22" t="str">
        <f>IF(TabVMAzureEnvProjet[[#This Row],[Projet AzureDevOps]]&lt;&gt;"",TabVMAzureEnvProjet[[#This Row],[Projet AzureDevOps]],TabVMAzureEnvProjet[[#This Row],[VM]])</f>
        <v>AFB-RAA</v>
      </c>
      <c r="C492" s="57" t="s">
        <v>65</v>
      </c>
      <c r="E492" t="s">
        <v>4</v>
      </c>
      <c r="F492" t="s">
        <v>65</v>
      </c>
      <c r="G492" t="str">
        <f>LOOKUP(TabVMAzureEnvProjet[[#This Row],[Projet]],TabProjets[NomProj],TabProjets[SYGES])</f>
        <v>ONEMA/TMAWEB-16</v>
      </c>
      <c r="H492" t="str">
        <f>LOOKUP(TabVMAzureEnvProjet[[#This Row],[Projet]],TabProjets[NomProj],TabProjets[CP])</f>
        <v>Pierre BOURLIEUX</v>
      </c>
      <c r="I492">
        <f>LOOKUP(TabVMAzureEnvProjet[[#This Row],[Code SYGES]],TabCONTRATSDI[Contrat SYGES],TabCONTRATSDI[Cost Center])</f>
        <v>305704</v>
      </c>
      <c r="J492" s="22" t="str">
        <f>LOOKUP(TabVMAzureEnvProjet[[#This Row],[Code SYGES]],TabCONTRATSDI[Contrat SYGES],TabCONTRATSDI[Client])</f>
        <v>ONEMA</v>
      </c>
      <c r="K492" t="s">
        <v>164</v>
      </c>
      <c r="L492" s="31">
        <v>0.23275656758823526</v>
      </c>
      <c r="M492" s="47" t="s">
        <v>165</v>
      </c>
    </row>
    <row r="493" spans="1:13" x14ac:dyDescent="0.25">
      <c r="A493" s="22" t="str">
        <f>TabVMAzureEnvProjet[[#This Row],[Client]] &amp; " .:. "  &amp; TabVMAzureEnvProjet[[#This Row],[Projet]]</f>
        <v>ALM .:. ALM-ATOUT</v>
      </c>
      <c r="B493" s="22" t="str">
        <f>IF(TabVMAzureEnvProjet[[#This Row],[Projet AzureDevOps]]&lt;&gt;"",TabVMAzureEnvProjet[[#This Row],[Projet AzureDevOps]],TabVMAzureEnvProjet[[#This Row],[VM]])</f>
        <v>ALM-ATOUT</v>
      </c>
      <c r="C493" s="57" t="s">
        <v>17</v>
      </c>
      <c r="E493" t="s">
        <v>4</v>
      </c>
      <c r="F493" t="s">
        <v>17</v>
      </c>
      <c r="G493" t="str">
        <f>LOOKUP(TabVMAzureEnvProjet[[#This Row],[Projet]],TabProjets[NomProj],TabProjets[SYGES])</f>
        <v>ALM/TMA_ATOUT</v>
      </c>
      <c r="H493" t="str">
        <f>LOOKUP(TabVMAzureEnvProjet[[#This Row],[Projet]],TabProjets[NomProj],TabProjets[CP])</f>
        <v>Alice MARCHAL</v>
      </c>
      <c r="I493">
        <f>LOOKUP(TabVMAzureEnvProjet[[#This Row],[Code SYGES]],TabCONTRATSDI[Contrat SYGES],TabCONTRATSDI[Cost Center])</f>
        <v>305704</v>
      </c>
      <c r="J493" s="22" t="str">
        <f>LOOKUP(TabVMAzureEnvProjet[[#This Row],[Code SYGES]],TabCONTRATSDI[Contrat SYGES],TabCONTRATSDI[Client])</f>
        <v>ALM</v>
      </c>
      <c r="K493" t="s">
        <v>164</v>
      </c>
      <c r="L493" s="31">
        <v>5.2988461311500963</v>
      </c>
      <c r="M493" s="47" t="s">
        <v>165</v>
      </c>
    </row>
    <row r="494" spans="1:13" x14ac:dyDescent="0.25">
      <c r="A494" s="22" t="str">
        <f>TabVMAzureEnvProjet[[#This Row],[Client]] &amp; " .:. "  &amp; TabVMAzureEnvProjet[[#This Row],[Projet]]</f>
        <v>BRGM .:. BRGM-ORRM</v>
      </c>
      <c r="B494" s="22" t="str">
        <f>IF(TabVMAzureEnvProjet[[#This Row],[Projet AzureDevOps]]&lt;&gt;"",TabVMAzureEnvProjet[[#This Row],[Projet AzureDevOps]],TabVMAzureEnvProjet[[#This Row],[VM]])</f>
        <v>BRGM-ORRM</v>
      </c>
      <c r="C494" s="57" t="s">
        <v>20</v>
      </c>
      <c r="E494" t="s">
        <v>4</v>
      </c>
      <c r="F494" t="s">
        <v>20</v>
      </c>
      <c r="G494" t="str">
        <f>LOOKUP(TabVMAzureEnvProjet[[#This Row],[Projet]],TabProjets[NomProj],TabProjets[SYGES])</f>
        <v>BRGM/TMA-5-1-ORRM-LOT1</v>
      </c>
      <c r="H494" t="str">
        <f>LOOKUP(TabVMAzureEnvProjet[[#This Row],[Projet]],TabProjets[NomProj],TabProjets[CP])</f>
        <v>Alice MARCHAL</v>
      </c>
      <c r="I494">
        <f>LOOKUP(TabVMAzureEnvProjet[[#This Row],[Code SYGES]],TabCONTRATSDI[Contrat SYGES],TabCONTRATSDI[Cost Center])</f>
        <v>305704</v>
      </c>
      <c r="J494" s="22" t="str">
        <f>LOOKUP(TabVMAzureEnvProjet[[#This Row],[Code SYGES]],TabCONTRATSDI[Contrat SYGES],TabCONTRATSDI[Client])</f>
        <v>BRGM</v>
      </c>
      <c r="K494" t="s">
        <v>164</v>
      </c>
      <c r="L494" s="31">
        <v>9.1257165263106224</v>
      </c>
      <c r="M494" s="47" t="s">
        <v>165</v>
      </c>
    </row>
    <row r="495" spans="1:13" x14ac:dyDescent="0.25">
      <c r="A495" s="22" t="str">
        <f>TabVMAzureEnvProjet[[#This Row],[Client]] &amp; " .:. "  &amp; TabVMAzureEnvProjet[[#This Row],[Projet]]</f>
        <v>CGOS .:. CGOS-BI</v>
      </c>
      <c r="B495" s="22" t="str">
        <f>IF(TabVMAzureEnvProjet[[#This Row],[Projet AzureDevOps]]&lt;&gt;"",TabVMAzureEnvProjet[[#This Row],[Projet AzureDevOps]],TabVMAzureEnvProjet[[#This Row],[VM]])</f>
        <v>CGOS-BI</v>
      </c>
      <c r="C495" s="57" t="s">
        <v>100</v>
      </c>
      <c r="E495" t="s">
        <v>4</v>
      </c>
      <c r="F495" t="s">
        <v>100</v>
      </c>
      <c r="G495" t="str">
        <f>LOOKUP(TabVMAzureEnvProjet[[#This Row],[Projet]],TabProjets[NomProj],TabProjets[SYGES])</f>
        <v>CGOS-BUILDBI-18</v>
      </c>
      <c r="H495" t="str">
        <f>LOOKUP(TabVMAzureEnvProjet[[#This Row],[Projet]],TabProjets[NomProj],TabProjets[CP])</f>
        <v>Valerie ASSELIN LOZACHMEUR</v>
      </c>
      <c r="I495">
        <f>LOOKUP(TabVMAzureEnvProjet[[#This Row],[Code SYGES]],TabCONTRATSDI[Contrat SYGES],TabCONTRATSDI[Cost Center])</f>
        <v>305704</v>
      </c>
      <c r="J495" s="22" t="str">
        <f>LOOKUP(TabVMAzureEnvProjet[[#This Row],[Code SYGES]],TabCONTRATSDI[Contrat SYGES],TabCONTRATSDI[Client])</f>
        <v>CGOS</v>
      </c>
      <c r="K495" t="s">
        <v>164</v>
      </c>
      <c r="L495" s="31">
        <v>6.9826970276470579</v>
      </c>
      <c r="M495" s="47" t="s">
        <v>165</v>
      </c>
    </row>
    <row r="496" spans="1:13" x14ac:dyDescent="0.25">
      <c r="A496" s="22" t="str">
        <f>TabVMAzureEnvProjet[[#This Row],[Client]] &amp; " .:. "  &amp; TabVMAzureEnvProjet[[#This Row],[Projet]]</f>
        <v>CNAV .:. CNAV-BI-RGCU</v>
      </c>
      <c r="B496" s="22" t="str">
        <f>IF(TabVMAzureEnvProjet[[#This Row],[Projet AzureDevOps]]&lt;&gt;"",TabVMAzureEnvProjet[[#This Row],[Projet AzureDevOps]],TabVMAzureEnvProjet[[#This Row],[VM]])</f>
        <v>CNAV-BI-RGCU</v>
      </c>
      <c r="C496" s="57" t="s">
        <v>27</v>
      </c>
      <c r="E496" t="s">
        <v>4</v>
      </c>
      <c r="F496" t="s">
        <v>27</v>
      </c>
      <c r="G496" t="str">
        <f>LOOKUP(TabVMAzureEnvProjet[[#This Row],[Projet]],TabProjets[NomProj],TabProjets[SYGES])</f>
        <v>CNAV/BI-SIRRGCU</v>
      </c>
      <c r="H496" t="str">
        <f>LOOKUP(TabVMAzureEnvProjet[[#This Row],[Projet]],TabProjets[NomProj],TabProjets[CP])</f>
        <v>Valerie ASSELIN LOZACHMEUR</v>
      </c>
      <c r="I496">
        <f>LOOKUP(TabVMAzureEnvProjet[[#This Row],[Code SYGES]],TabCONTRATSDI[Contrat SYGES],TabCONTRATSDI[Cost Center])</f>
        <v>305704</v>
      </c>
      <c r="J496" s="22" t="str">
        <f>LOOKUP(TabVMAzureEnvProjet[[#This Row],[Code SYGES]],TabCONTRATSDI[Contrat SYGES],TabCONTRATSDI[Client])</f>
        <v>CNAV</v>
      </c>
      <c r="K496" t="s">
        <v>164</v>
      </c>
      <c r="L496" s="31">
        <v>9.3102627035294105</v>
      </c>
      <c r="M496" s="47" t="s">
        <v>165</v>
      </c>
    </row>
    <row r="497" spans="1:13" x14ac:dyDescent="0.25">
      <c r="A497" s="22" t="str">
        <f>TabVMAzureEnvProjet[[#This Row],[Client]] &amp; " .:. "  &amp; TabVMAzureEnvProjet[[#This Row],[Projet]]</f>
        <v>INETUM .:. INETUM-INTERNE</v>
      </c>
      <c r="B497" s="22" t="str">
        <f>IF(TabVMAzureEnvProjet[[#This Row],[Projet AzureDevOps]]&lt;&gt;"",TabVMAzureEnvProjet[[#This Row],[Projet AzureDevOps]],TabVMAzureEnvProjet[[#This Row],[VM]])</f>
        <v>d8-qa</v>
      </c>
      <c r="C497" s="57" t="s">
        <v>141</v>
      </c>
      <c r="E497" t="s">
        <v>4</v>
      </c>
      <c r="F497" t="s">
        <v>102</v>
      </c>
      <c r="G497" t="str">
        <f>LOOKUP(TabVMAzureEnvProjet[[#This Row],[Projet]],TabProjets[NomProj],TabProjets[SYGES])</f>
        <v>INETUM/PROJET_INTERNE</v>
      </c>
      <c r="H497" t="str">
        <f>LOOKUP(TabVMAzureEnvProjet[[#This Row],[Projet]],TabProjets[NomProj],TabProjets[CP])</f>
        <v>Christophe ORLANDO</v>
      </c>
      <c r="I497">
        <f>LOOKUP(TabVMAzureEnvProjet[[#This Row],[Code SYGES]],TabCONTRATSDI[Contrat SYGES],TabCONTRATSDI[Cost Center])</f>
        <v>305704</v>
      </c>
      <c r="J497" s="22" t="str">
        <f>LOOKUP(TabVMAzureEnvProjet[[#This Row],[Code SYGES]],TabCONTRATSDI[Contrat SYGES],TabCONTRATSDI[Client])</f>
        <v>INETUM</v>
      </c>
      <c r="K497" t="s">
        <v>164</v>
      </c>
      <c r="L497" s="31">
        <v>0.50658782357439436</v>
      </c>
      <c r="M497" s="47" t="s">
        <v>165</v>
      </c>
    </row>
    <row r="498" spans="1:13" x14ac:dyDescent="0.25">
      <c r="A498" s="22" t="str">
        <f>TabVMAzureEnvProjet[[#This Row],[Client]] &amp; " .:. "  &amp; TabVMAzureEnvProjet[[#This Row],[Projet]]</f>
        <v>INETUM .:. INETUM-INTERNE</v>
      </c>
      <c r="B498" s="22" t="str">
        <f>IF(TabVMAzureEnvProjet[[#This Row],[Projet AzureDevOps]]&lt;&gt;"",TabVMAzureEnvProjet[[#This Row],[Projet AzureDevOps]],TabVMAzureEnvProjet[[#This Row],[VM]])</f>
        <v>drupal-qa</v>
      </c>
      <c r="C498" s="57" t="s">
        <v>142</v>
      </c>
      <c r="E498" t="s">
        <v>4</v>
      </c>
      <c r="F498" t="s">
        <v>102</v>
      </c>
      <c r="G498" t="str">
        <f>LOOKUP(TabVMAzureEnvProjet[[#This Row],[Projet]],TabProjets[NomProj],TabProjets[SYGES])</f>
        <v>INETUM/PROJET_INTERNE</v>
      </c>
      <c r="H498" t="str">
        <f>LOOKUP(TabVMAzureEnvProjet[[#This Row],[Projet]],TabProjets[NomProj],TabProjets[CP])</f>
        <v>Christophe ORLANDO</v>
      </c>
      <c r="I498">
        <f>LOOKUP(TabVMAzureEnvProjet[[#This Row],[Code SYGES]],TabCONTRATSDI[Contrat SYGES],TabCONTRATSDI[Cost Center])</f>
        <v>305704</v>
      </c>
      <c r="J498" s="22" t="str">
        <f>LOOKUP(TabVMAzureEnvProjet[[#This Row],[Code SYGES]],TabCONTRATSDI[Contrat SYGES],TabCONTRATSDI[Client])</f>
        <v>INETUM</v>
      </c>
      <c r="K498" t="s">
        <v>164</v>
      </c>
      <c r="L498" s="31">
        <v>0.50658782357439436</v>
      </c>
      <c r="M498" s="47" t="s">
        <v>165</v>
      </c>
    </row>
    <row r="499" spans="1:13" x14ac:dyDescent="0.25">
      <c r="A499" s="22" t="str">
        <f>TabVMAzureEnvProjet[[#This Row],[Client]] &amp; " .:. "  &amp; TabVMAzureEnvProjet[[#This Row],[Projet]]</f>
        <v>FRR .:. FRR-DIGIPAT</v>
      </c>
      <c r="B499" s="22" t="str">
        <f>IF(TabVMAzureEnvProjet[[#This Row],[Projet AzureDevOps]]&lt;&gt;"",TabVMAzureEnvProjet[[#This Row],[Projet AzureDevOps]],TabVMAzureEnvProjet[[#This Row],[VM]])</f>
        <v>FRR DIGIPAT</v>
      </c>
      <c r="C499" s="57" t="s">
        <v>30</v>
      </c>
      <c r="E499" t="s">
        <v>4</v>
      </c>
      <c r="F499" t="s">
        <v>29</v>
      </c>
      <c r="G499" t="str">
        <f>LOOKUP(TabVMAzureEnvProjet[[#This Row],[Projet]],TabProjets[NomProj],TabProjets[SYGES])</f>
        <v>FRR/TMASI</v>
      </c>
      <c r="H499" t="str">
        <f>LOOKUP(TabVMAzureEnvProjet[[#This Row],[Projet]],TabProjets[NomProj],TabProjets[CP])</f>
        <v>Alice MARCHAL</v>
      </c>
      <c r="I499">
        <f>LOOKUP(TabVMAzureEnvProjet[[#This Row],[Code SYGES]],TabCONTRATSDI[Contrat SYGES],TabCONTRATSDI[Cost Center])</f>
        <v>305704</v>
      </c>
      <c r="J499" s="22" t="str">
        <f>LOOKUP(TabVMAzureEnvProjet[[#This Row],[Code SYGES]],TabCONTRATSDI[Contrat SYGES],TabCONTRATSDI[Client])</f>
        <v>FRR</v>
      </c>
      <c r="K499" t="s">
        <v>164</v>
      </c>
      <c r="L499" s="31">
        <v>5.1312154922892255</v>
      </c>
      <c r="M499" s="47" t="s">
        <v>165</v>
      </c>
    </row>
    <row r="500" spans="1:13" x14ac:dyDescent="0.25">
      <c r="A500" s="22" t="str">
        <f>TabVMAzureEnvProjet[[#This Row],[Client]] &amp; " .:. "  &amp; TabVMAzureEnvProjet[[#This Row],[Projet]]</f>
        <v>FRR .:. FRR-APPLIFRR</v>
      </c>
      <c r="B500" s="22" t="str">
        <f>IF(TabVMAzureEnvProjet[[#This Row],[Projet AzureDevOps]]&lt;&gt;"",TabVMAzureEnvProjet[[#This Row],[Projet AzureDevOps]],TabVMAzureEnvProjet[[#This Row],[VM]])</f>
        <v>FRR-APPLIFRR</v>
      </c>
      <c r="C500" s="57" t="s">
        <v>32</v>
      </c>
      <c r="E500" t="s">
        <v>4</v>
      </c>
      <c r="F500" t="s">
        <v>32</v>
      </c>
      <c r="G500" t="str">
        <f>LOOKUP(TabVMAzureEnvProjet[[#This Row],[Projet]],TabProjets[NomProj],TabProjets[SYGES])</f>
        <v>FRR/TMASI</v>
      </c>
      <c r="H500" t="str">
        <f>LOOKUP(TabVMAzureEnvProjet[[#This Row],[Projet]],TabProjets[NomProj],TabProjets[CP])</f>
        <v>Jean-Philippe STROIAZZO</v>
      </c>
      <c r="I500">
        <f>LOOKUP(TabVMAzureEnvProjet[[#This Row],[Code SYGES]],TabCONTRATSDI[Contrat SYGES],TabCONTRATSDI[Cost Center])</f>
        <v>305704</v>
      </c>
      <c r="J500" s="22" t="str">
        <f>LOOKUP(TabVMAzureEnvProjet[[#This Row],[Code SYGES]],TabCONTRATSDI[Contrat SYGES],TabCONTRATSDI[Client])</f>
        <v>FRR</v>
      </c>
      <c r="K500" t="s">
        <v>164</v>
      </c>
      <c r="L500" s="31">
        <v>2.7332854572297656</v>
      </c>
      <c r="M500" s="47" t="s">
        <v>165</v>
      </c>
    </row>
    <row r="501" spans="1:13" x14ac:dyDescent="0.25">
      <c r="A501" s="22" t="str">
        <f>TabVMAzureEnvProjet[[#This Row],[Client]] &amp; " .:. "  &amp; TabVMAzureEnvProjet[[#This Row],[Projet]]</f>
        <v>FRR .:. FRR-CADENCIER</v>
      </c>
      <c r="B501" s="22" t="str">
        <f>IF(TabVMAzureEnvProjet[[#This Row],[Projet AzureDevOps]]&lt;&gt;"",TabVMAzureEnvProjet[[#This Row],[Projet AzureDevOps]],TabVMAzureEnvProjet[[#This Row],[VM]])</f>
        <v>FRR-CADENCIER</v>
      </c>
      <c r="C501" s="57" t="s">
        <v>33</v>
      </c>
      <c r="E501" t="s">
        <v>4</v>
      </c>
      <c r="F501" t="s">
        <v>33</v>
      </c>
      <c r="G501" t="str">
        <f>LOOKUP(TabVMAzureEnvProjet[[#This Row],[Projet]],TabProjets[NomProj],TabProjets[SYGES])</f>
        <v>FRR/TMASI</v>
      </c>
      <c r="H501" t="str">
        <f>LOOKUP(TabVMAzureEnvProjet[[#This Row],[Projet]],TabProjets[NomProj],TabProjets[CP])</f>
        <v>Jean-Philippe STROIAZZO</v>
      </c>
      <c r="I501">
        <f>LOOKUP(TabVMAzureEnvProjet[[#This Row],[Code SYGES]],TabCONTRATSDI[Contrat SYGES],TabCONTRATSDI[Cost Center])</f>
        <v>305704</v>
      </c>
      <c r="J501" s="22" t="str">
        <f>LOOKUP(TabVMAzureEnvProjet[[#This Row],[Code SYGES]],TabCONTRATSDI[Contrat SYGES],TabCONTRATSDI[Client])</f>
        <v>FRR</v>
      </c>
      <c r="K501" t="s">
        <v>164</v>
      </c>
      <c r="L501" s="31">
        <v>2.7332854572297656</v>
      </c>
      <c r="M501" s="47" t="s">
        <v>165</v>
      </c>
    </row>
    <row r="502" spans="1:13" x14ac:dyDescent="0.25">
      <c r="A502" s="22" t="str">
        <f>TabVMAzureEnvProjet[[#This Row],[Client]] &amp; " .:. "  &amp; TabVMAzureEnvProjet[[#This Row],[Projet]]</f>
        <v>FRR .:. FRR-PATAPAIN</v>
      </c>
      <c r="B502" s="22" t="str">
        <f>IF(TabVMAzureEnvProjet[[#This Row],[Projet AzureDevOps]]&lt;&gt;"",TabVMAzureEnvProjet[[#This Row],[Projet AzureDevOps]],TabVMAzureEnvProjet[[#This Row],[VM]])</f>
        <v>FRR-Patapain</v>
      </c>
      <c r="C502" s="57" t="s">
        <v>35</v>
      </c>
      <c r="E502" t="s">
        <v>4</v>
      </c>
      <c r="F502" t="s">
        <v>34</v>
      </c>
      <c r="G502" t="str">
        <f>LOOKUP(TabVMAzureEnvProjet[[#This Row],[Projet]],TabProjets[NomProj],TabProjets[SYGES])</f>
        <v>FRR/TMASI</v>
      </c>
      <c r="H502" t="str">
        <f>LOOKUP(TabVMAzureEnvProjet[[#This Row],[Projet]],TabProjets[NomProj],TabProjets[CP])</f>
        <v>Christophe ORLANDO</v>
      </c>
      <c r="I502">
        <f>LOOKUP(TabVMAzureEnvProjet[[#This Row],[Code SYGES]],TabCONTRATSDI[Contrat SYGES],TabCONTRATSDI[Cost Center])</f>
        <v>305704</v>
      </c>
      <c r="J502" s="22" t="str">
        <f>LOOKUP(TabVMAzureEnvProjet[[#This Row],[Code SYGES]],TabCONTRATSDI[Contrat SYGES],TabCONTRATSDI[Client])</f>
        <v>FRR</v>
      </c>
      <c r="K502" t="s">
        <v>164</v>
      </c>
      <c r="L502" s="31">
        <v>1.3339751401814461</v>
      </c>
      <c r="M502" s="47" t="s">
        <v>165</v>
      </c>
    </row>
    <row r="503" spans="1:13" x14ac:dyDescent="0.25">
      <c r="A503" s="22" t="str">
        <f>TabVMAzureEnvProjet[[#This Row],[Client]] &amp; " .:. "  &amp; TabVMAzureEnvProjet[[#This Row],[Projet]]</f>
        <v>FRR .:. FRR-PATAPAINANDROID</v>
      </c>
      <c r="B503" s="22" t="str">
        <f>IF(TabVMAzureEnvProjet[[#This Row],[Projet AzureDevOps]]&lt;&gt;"",TabVMAzureEnvProjet[[#This Row],[Projet AzureDevOps]],TabVMAzureEnvProjet[[#This Row],[VM]])</f>
        <v>FRR-PATAPAINANDROID</v>
      </c>
      <c r="C503" s="57" t="s">
        <v>36</v>
      </c>
      <c r="E503" t="s">
        <v>4</v>
      </c>
      <c r="F503" t="s">
        <v>36</v>
      </c>
      <c r="G503" t="str">
        <f>LOOKUP(TabVMAzureEnvProjet[[#This Row],[Projet]],TabProjets[NomProj],TabProjets[SYGES])</f>
        <v>FRR/TMASI</v>
      </c>
      <c r="H503" t="str">
        <f>LOOKUP(TabVMAzureEnvProjet[[#This Row],[Projet]],TabProjets[NomProj],TabProjets[CP])</f>
        <v>Jean-Philippe STROIAZZO</v>
      </c>
      <c r="I503">
        <f>LOOKUP(TabVMAzureEnvProjet[[#This Row],[Code SYGES]],TabCONTRATSDI[Contrat SYGES],TabCONTRATSDI[Cost Center])</f>
        <v>305704</v>
      </c>
      <c r="J503" s="22" t="str">
        <f>LOOKUP(TabVMAzureEnvProjet[[#This Row],[Code SYGES]],TabCONTRATSDI[Contrat SYGES],TabCONTRATSDI[Client])</f>
        <v>FRR</v>
      </c>
      <c r="K503" t="s">
        <v>164</v>
      </c>
      <c r="L503" s="31">
        <v>7.38841680899447</v>
      </c>
      <c r="M503" s="47" t="s">
        <v>165</v>
      </c>
    </row>
    <row r="504" spans="1:13" x14ac:dyDescent="0.25">
      <c r="A504" s="22" t="str">
        <f>TabVMAzureEnvProjet[[#This Row],[Client]] &amp; " .:. "  &amp; TabVMAzureEnvProjet[[#This Row],[Projet]]</f>
        <v>INETUM .:. INETUM-INTERNE</v>
      </c>
      <c r="B504" s="22" t="str">
        <f>IF(TabVMAzureEnvProjet[[#This Row],[Projet AzureDevOps]]&lt;&gt;"",TabVMAzureEnvProjet[[#This Row],[Projet AzureDevOps]],TabVMAzureEnvProjet[[#This Row],[VM]])</f>
        <v>GFI-BaseDocumentaire</v>
      </c>
      <c r="C504" s="57" t="s">
        <v>112</v>
      </c>
      <c r="E504" t="s">
        <v>4</v>
      </c>
      <c r="F504" t="s">
        <v>102</v>
      </c>
      <c r="G504" t="str">
        <f>LOOKUP(TabVMAzureEnvProjet[[#This Row],[Projet]],TabProjets[NomProj],TabProjets[SYGES])</f>
        <v>INETUM/PROJET_INTERNE</v>
      </c>
      <c r="H504" t="str">
        <f>LOOKUP(TabVMAzureEnvProjet[[#This Row],[Projet]],TabProjets[NomProj],TabProjets[CP])</f>
        <v>Christophe ORLANDO</v>
      </c>
      <c r="I504">
        <f>LOOKUP(TabVMAzureEnvProjet[[#This Row],[Code SYGES]],TabCONTRATSDI[Contrat SYGES],TabCONTRATSDI[Cost Center])</f>
        <v>305704</v>
      </c>
      <c r="J504" s="22" t="str">
        <f>LOOKUP(TabVMAzureEnvProjet[[#This Row],[Code SYGES]],TabCONTRATSDI[Contrat SYGES],TabCONTRATSDI[Client])</f>
        <v>INETUM</v>
      </c>
      <c r="K504" t="s">
        <v>164</v>
      </c>
      <c r="L504" s="31">
        <v>1.7124233186848739</v>
      </c>
      <c r="M504" s="47" t="s">
        <v>165</v>
      </c>
    </row>
    <row r="505" spans="1:13" x14ac:dyDescent="0.25">
      <c r="A505" s="22" t="str">
        <f>TabVMAzureEnvProjet[[#This Row],[Client]] &amp; " .:. "  &amp; TabVMAzureEnvProjet[[#This Row],[Projet]]</f>
        <v>INETUM .:. INETUM-INTERNE</v>
      </c>
      <c r="B505" s="22" t="str">
        <f>IF(TabVMAzureEnvProjet[[#This Row],[Projet AzureDevOps]]&lt;&gt;"",TabVMAzureEnvProjet[[#This Row],[Projet AzureDevOps]],TabVMAzureEnvProjet[[#This Row],[VM]])</f>
        <v>GFI-CMIS</v>
      </c>
      <c r="C505" s="57" t="s">
        <v>106</v>
      </c>
      <c r="E505" t="s">
        <v>4</v>
      </c>
      <c r="F505" t="s">
        <v>102</v>
      </c>
      <c r="G505" t="str">
        <f>LOOKUP(TabVMAzureEnvProjet[[#This Row],[Projet]],TabProjets[NomProj],TabProjets[SYGES])</f>
        <v>INETUM/PROJET_INTERNE</v>
      </c>
      <c r="H505" t="str">
        <f>LOOKUP(TabVMAzureEnvProjet[[#This Row],[Projet]],TabProjets[NomProj],TabProjets[CP])</f>
        <v>Christophe ORLANDO</v>
      </c>
      <c r="I505">
        <f>LOOKUP(TabVMAzureEnvProjet[[#This Row],[Code SYGES]],TabCONTRATSDI[Contrat SYGES],TabCONTRATSDI[Cost Center])</f>
        <v>305704</v>
      </c>
      <c r="J505" s="22" t="str">
        <f>LOOKUP(TabVMAzureEnvProjet[[#This Row],[Code SYGES]],TabCONTRATSDI[Contrat SYGES],TabCONTRATSDI[Client])</f>
        <v>INETUM</v>
      </c>
      <c r="K505" t="s">
        <v>164</v>
      </c>
      <c r="L505" s="31">
        <v>0.23275656758823526</v>
      </c>
      <c r="M505" s="47" t="s">
        <v>165</v>
      </c>
    </row>
    <row r="506" spans="1:13" x14ac:dyDescent="0.25">
      <c r="A506" s="22" t="str">
        <f>TabVMAzureEnvProjet[[#This Row],[Client]] &amp; " .:. "  &amp; TabVMAzureEnvProjet[[#This Row],[Projet]]</f>
        <v>INETUM .:. INETUM-INTERNE</v>
      </c>
      <c r="B506" s="22" t="str">
        <f>IF(TabVMAzureEnvProjet[[#This Row],[Projet AzureDevOps]]&lt;&gt;"",TabVMAzureEnvProjet[[#This Row],[Projet AzureDevOps]],TabVMAzureEnvProjet[[#This Row],[VM]])</f>
        <v>GFI-COFFEE</v>
      </c>
      <c r="C506" s="57" t="s">
        <v>107</v>
      </c>
      <c r="E506" t="s">
        <v>4</v>
      </c>
      <c r="F506" t="s">
        <v>102</v>
      </c>
      <c r="G506" t="str">
        <f>LOOKUP(TabVMAzureEnvProjet[[#This Row],[Projet]],TabProjets[NomProj],TabProjets[SYGES])</f>
        <v>INETUM/PROJET_INTERNE</v>
      </c>
      <c r="H506" t="str">
        <f>LOOKUP(TabVMAzureEnvProjet[[#This Row],[Projet]],TabProjets[NomProj],TabProjets[CP])</f>
        <v>Christophe ORLANDO</v>
      </c>
      <c r="I506">
        <f>LOOKUP(TabVMAzureEnvProjet[[#This Row],[Code SYGES]],TabCONTRATSDI[Contrat SYGES],TabCONTRATSDI[Cost Center])</f>
        <v>305704</v>
      </c>
      <c r="J506" s="22" t="str">
        <f>LOOKUP(TabVMAzureEnvProjet[[#This Row],[Code SYGES]],TabCONTRATSDI[Contrat SYGES],TabCONTRATSDI[Client])</f>
        <v>INETUM</v>
      </c>
      <c r="K506" t="s">
        <v>164</v>
      </c>
      <c r="L506" s="31">
        <v>0.71052004842724448</v>
      </c>
      <c r="M506" s="47" t="s">
        <v>165</v>
      </c>
    </row>
    <row r="507" spans="1:13" x14ac:dyDescent="0.25">
      <c r="A507" s="22" t="str">
        <f>TabVMAzureEnvProjet[[#This Row],[Client]] &amp; " .:. "  &amp; TabVMAzureEnvProjet[[#This Row],[Projet]]</f>
        <v>INETUM .:. INETUM-INTERNE</v>
      </c>
      <c r="B507" s="22" t="str">
        <f>IF(TabVMAzureEnvProjet[[#This Row],[Projet AzureDevOps]]&lt;&gt;"",TabVMAzureEnvProjet[[#This Row],[Projet AzureDevOps]],TabVMAzureEnvProjet[[#This Row],[VM]])</f>
        <v>GFI-CRALENIUM</v>
      </c>
      <c r="C507" s="57" t="s">
        <v>108</v>
      </c>
      <c r="E507" t="s">
        <v>4</v>
      </c>
      <c r="F507" t="s">
        <v>102</v>
      </c>
      <c r="G507" t="str">
        <f>LOOKUP(TabVMAzureEnvProjet[[#This Row],[Projet]],TabProjets[NomProj],TabProjets[SYGES])</f>
        <v>INETUM/PROJET_INTERNE</v>
      </c>
      <c r="H507" t="str">
        <f>LOOKUP(TabVMAzureEnvProjet[[#This Row],[Projet]],TabProjets[NomProj],TabProjets[CP])</f>
        <v>Christophe ORLANDO</v>
      </c>
      <c r="I507">
        <f>LOOKUP(TabVMAzureEnvProjet[[#This Row],[Code SYGES]],TabCONTRATSDI[Contrat SYGES],TabCONTRATSDI[Cost Center])</f>
        <v>305704</v>
      </c>
      <c r="J507" s="22" t="str">
        <f>LOOKUP(TabVMAzureEnvProjet[[#This Row],[Code SYGES]],TabCONTRATSDI[Contrat SYGES],TabCONTRATSDI[Client])</f>
        <v>INETUM</v>
      </c>
      <c r="K507" t="s">
        <v>164</v>
      </c>
      <c r="L507" s="31">
        <v>2.7332854572297656</v>
      </c>
      <c r="M507" s="47" t="s">
        <v>165</v>
      </c>
    </row>
    <row r="508" spans="1:13" x14ac:dyDescent="0.25">
      <c r="A508" s="22" t="str">
        <f>TabVMAzureEnvProjet[[#This Row],[Client]] &amp; " .:. "  &amp; TabVMAzureEnvProjet[[#This Row],[Projet]]</f>
        <v>INETUM .:. INETUM-INTERNE</v>
      </c>
      <c r="B508" s="22" t="str">
        <f>IF(TabVMAzureEnvProjet[[#This Row],[Projet AzureDevOps]]&lt;&gt;"",TabVMAzureEnvProjet[[#This Row],[Projet AzureDevOps]],TabVMAzureEnvProjet[[#This Row],[VM]])</f>
        <v>GFI-D8-BS4-THEME</v>
      </c>
      <c r="C508" s="57" t="s">
        <v>103</v>
      </c>
      <c r="E508" t="s">
        <v>4</v>
      </c>
      <c r="F508" t="s">
        <v>102</v>
      </c>
      <c r="G508" t="str">
        <f>LOOKUP(TabVMAzureEnvProjet[[#This Row],[Projet]],TabProjets[NomProj],TabProjets[SYGES])</f>
        <v>INETUM/PROJET_INTERNE</v>
      </c>
      <c r="H508" t="str">
        <f>LOOKUP(TabVMAzureEnvProjet[[#This Row],[Projet]],TabProjets[NomProj],TabProjets[CP])</f>
        <v>Christophe ORLANDO</v>
      </c>
      <c r="I508">
        <f>LOOKUP(TabVMAzureEnvProjet[[#This Row],[Code SYGES]],TabCONTRATSDI[Contrat SYGES],TabCONTRATSDI[Cost Center])</f>
        <v>305704</v>
      </c>
      <c r="J508" s="22" t="str">
        <f>LOOKUP(TabVMAzureEnvProjet[[#This Row],[Code SYGES]],TabCONTRATSDI[Contrat SYGES],TabCONTRATSDI[Client])</f>
        <v>INETUM</v>
      </c>
      <c r="K508" t="s">
        <v>164</v>
      </c>
      <c r="L508" s="31">
        <v>1.2801611217352939</v>
      </c>
      <c r="M508" s="47" t="s">
        <v>165</v>
      </c>
    </row>
    <row r="509" spans="1:13" x14ac:dyDescent="0.25">
      <c r="A509" s="22" t="str">
        <f>TabVMAzureEnvProjet[[#This Row],[Client]] &amp; " .:. "  &amp; TabVMAzureEnvProjet[[#This Row],[Projet]]</f>
        <v>INETUM .:. INETUM-INTERNE</v>
      </c>
      <c r="B509" s="22" t="str">
        <f>IF(TabVMAzureEnvProjet[[#This Row],[Projet AzureDevOps]]&lt;&gt;"",TabVMAzureEnvProjet[[#This Row],[Projet AzureDevOps]],TabVMAzureEnvProjet[[#This Row],[VM]])</f>
        <v>GFI-Docker Devbox Install</v>
      </c>
      <c r="C509" s="57" t="s">
        <v>109</v>
      </c>
      <c r="E509" t="s">
        <v>4</v>
      </c>
      <c r="F509" t="s">
        <v>102</v>
      </c>
      <c r="G509" t="str">
        <f>LOOKUP(TabVMAzureEnvProjet[[#This Row],[Projet]],TabProjets[NomProj],TabProjets[SYGES])</f>
        <v>INETUM/PROJET_INTERNE</v>
      </c>
      <c r="H509" t="str">
        <f>LOOKUP(TabVMAzureEnvProjet[[#This Row],[Projet]],TabProjets[NomProj],TabProjets[CP])</f>
        <v>Christophe ORLANDO</v>
      </c>
      <c r="I509">
        <f>LOOKUP(TabVMAzureEnvProjet[[#This Row],[Code SYGES]],TabCONTRATSDI[Contrat SYGES],TabCONTRATSDI[Cost Center])</f>
        <v>305704</v>
      </c>
      <c r="J509" s="22" t="str">
        <f>LOOKUP(TabVMAzureEnvProjet[[#This Row],[Code SYGES]],TabCONTRATSDI[Contrat SYGES],TabCONTRATSDI[Client])</f>
        <v>INETUM</v>
      </c>
      <c r="K509" t="s">
        <v>164</v>
      </c>
      <c r="L509" s="31">
        <v>12.438786882849689</v>
      </c>
      <c r="M509" s="47" t="s">
        <v>165</v>
      </c>
    </row>
    <row r="510" spans="1:13" x14ac:dyDescent="0.25">
      <c r="A510" s="22" t="str">
        <f>TabVMAzureEnvProjet[[#This Row],[Client]] &amp; " .:. "  &amp; TabVMAzureEnvProjet[[#This Row],[Projet]]</f>
        <v>INETUM .:. INETUM-INTERNE</v>
      </c>
      <c r="B510" s="22" t="str">
        <f>IF(TabVMAzureEnvProjet[[#This Row],[Projet AzureDevOps]]&lt;&gt;"",TabVMAzureEnvProjet[[#This Row],[Projet AzureDevOps]],TabVMAzureEnvProjet[[#This Row],[VM]])</f>
        <v>GFI-MineReport</v>
      </c>
      <c r="C510" s="57" t="s">
        <v>104</v>
      </c>
      <c r="E510" t="s">
        <v>4</v>
      </c>
      <c r="F510" t="s">
        <v>102</v>
      </c>
      <c r="G510" t="str">
        <f>LOOKUP(TabVMAzureEnvProjet[[#This Row],[Projet]],TabProjets[NomProj],TabProjets[SYGES])</f>
        <v>INETUM/PROJET_INTERNE</v>
      </c>
      <c r="H510" t="str">
        <f>LOOKUP(TabVMAzureEnvProjet[[#This Row],[Projet]],TabProjets[NomProj],TabProjets[CP])</f>
        <v>Christophe ORLANDO</v>
      </c>
      <c r="I510">
        <f>LOOKUP(TabVMAzureEnvProjet[[#This Row],[Code SYGES]],TabCONTRATSDI[Contrat SYGES],TabCONTRATSDI[Cost Center])</f>
        <v>305704</v>
      </c>
      <c r="J510" s="22" t="str">
        <f>LOOKUP(TabVMAzureEnvProjet[[#This Row],[Code SYGES]],TabCONTRATSDI[Contrat SYGES],TabCONTRATSDI[Client])</f>
        <v>INETUM</v>
      </c>
      <c r="K510" t="s">
        <v>164</v>
      </c>
      <c r="L510" s="31">
        <v>1.6826210071781094</v>
      </c>
      <c r="M510" s="47" t="s">
        <v>165</v>
      </c>
    </row>
    <row r="511" spans="1:13" x14ac:dyDescent="0.25">
      <c r="A511" s="22" t="str">
        <f>TabVMAzureEnvProjet[[#This Row],[Client]] &amp; " .:. "  &amp; TabVMAzureEnvProjet[[#This Row],[Projet]]</f>
        <v>INETUM .:. INETUM-INTERNE</v>
      </c>
      <c r="B511" s="22" t="str">
        <f>IF(TabVMAzureEnvProjet[[#This Row],[Projet AzureDevOps]]&lt;&gt;"",TabVMAzureEnvProjet[[#This Row],[Projet AzureDevOps]],TabVMAzureEnvProjet[[#This Row],[VM]])</f>
        <v>GFI-PMT</v>
      </c>
      <c r="C511" s="57" t="s">
        <v>110</v>
      </c>
      <c r="E511" t="s">
        <v>4</v>
      </c>
      <c r="F511" t="s">
        <v>102</v>
      </c>
      <c r="G511" t="str">
        <f>LOOKUP(TabVMAzureEnvProjet[[#This Row],[Projet]],TabProjets[NomProj],TabProjets[SYGES])</f>
        <v>INETUM/PROJET_INTERNE</v>
      </c>
      <c r="H511" t="str">
        <f>LOOKUP(TabVMAzureEnvProjet[[#This Row],[Projet]],TabProjets[NomProj],TabProjets[CP])</f>
        <v>Christophe ORLANDO</v>
      </c>
      <c r="I511">
        <f>LOOKUP(TabVMAzureEnvProjet[[#This Row],[Code SYGES]],TabCONTRATSDI[Contrat SYGES],TabCONTRATSDI[Cost Center])</f>
        <v>305704</v>
      </c>
      <c r="J511" s="22" t="str">
        <f>LOOKUP(TabVMAzureEnvProjet[[#This Row],[Code SYGES]],TabCONTRATSDI[Contrat SYGES],TabCONTRATSDI[Client])</f>
        <v>INETUM</v>
      </c>
      <c r="K511" t="s">
        <v>164</v>
      </c>
      <c r="L511" s="31">
        <v>4.7623100036418</v>
      </c>
      <c r="M511" s="47" t="s">
        <v>165</v>
      </c>
    </row>
    <row r="512" spans="1:13" x14ac:dyDescent="0.25">
      <c r="A512" s="22" t="str">
        <f>TabVMAzureEnvProjet[[#This Row],[Client]] &amp; " .:. "  &amp; TabVMAzureEnvProjet[[#This Row],[Projet]]</f>
        <v>INETUM .:. INETUM-INTERNE</v>
      </c>
      <c r="B512" s="22" t="str">
        <f>IF(TabVMAzureEnvProjet[[#This Row],[Projet AzureDevOps]]&lt;&gt;"",TabVMAzureEnvProjet[[#This Row],[Projet AzureDevOps]],TabVMAzureEnvProjet[[#This Row],[VM]])</f>
        <v>GFI-POC</v>
      </c>
      <c r="C512" s="57" t="s">
        <v>166</v>
      </c>
      <c r="E512" t="s">
        <v>4</v>
      </c>
      <c r="F512" t="s">
        <v>102</v>
      </c>
      <c r="G512" t="str">
        <f>LOOKUP(TabVMAzureEnvProjet[[#This Row],[Projet]],TabProjets[NomProj],TabProjets[SYGES])</f>
        <v>INETUM/PROJET_INTERNE</v>
      </c>
      <c r="H512" t="str">
        <f>LOOKUP(TabVMAzureEnvProjet[[#This Row],[Projet]],TabProjets[NomProj],TabProjets[CP])</f>
        <v>Christophe ORLANDO</v>
      </c>
      <c r="I512">
        <f>LOOKUP(TabVMAzureEnvProjet[[#This Row],[Code SYGES]],TabCONTRATSDI[Contrat SYGES],TabCONTRATSDI[Cost Center])</f>
        <v>305704</v>
      </c>
      <c r="J512" s="22" t="str">
        <f>LOOKUP(TabVMAzureEnvProjet[[#This Row],[Code SYGES]],TabCONTRATSDI[Contrat SYGES],TabCONTRATSDI[Client])</f>
        <v>INETUM</v>
      </c>
      <c r="K512" t="s">
        <v>164</v>
      </c>
      <c r="L512" s="31">
        <v>4.8490951580882342</v>
      </c>
      <c r="M512" s="47" t="s">
        <v>165</v>
      </c>
    </row>
    <row r="513" spans="1:13" x14ac:dyDescent="0.25">
      <c r="A513" s="22" t="str">
        <f>TabVMAzureEnvProjet[[#This Row],[Client]] &amp; " .:. "  &amp; TabVMAzureEnvProjet[[#This Row],[Projet]]</f>
        <v>INETUM .:. INETUM-INTERNE</v>
      </c>
      <c r="B513" s="22" t="str">
        <f>IF(TabVMAzureEnvProjet[[#This Row],[Projet AzureDevOps]]&lt;&gt;"",TabVMAzureEnvProjet[[#This Row],[Projet AzureDevOps]],TabVMAzureEnvProjet[[#This Row],[VM]])</f>
        <v>GFI-RedmineDocker</v>
      </c>
      <c r="C513" s="57" t="s">
        <v>105</v>
      </c>
      <c r="E513" t="s">
        <v>4</v>
      </c>
      <c r="F513" t="s">
        <v>102</v>
      </c>
      <c r="G513" t="str">
        <f>LOOKUP(TabVMAzureEnvProjet[[#This Row],[Projet]],TabProjets[NomProj],TabProjets[SYGES])</f>
        <v>INETUM/PROJET_INTERNE</v>
      </c>
      <c r="H513" t="str">
        <f>LOOKUP(TabVMAzureEnvProjet[[#This Row],[Projet]],TabProjets[NomProj],TabProjets[CP])</f>
        <v>Christophe ORLANDO</v>
      </c>
      <c r="I513">
        <f>LOOKUP(TabVMAzureEnvProjet[[#This Row],[Code SYGES]],TabCONTRATSDI[Contrat SYGES],TabCONTRATSDI[Cost Center])</f>
        <v>305704</v>
      </c>
      <c r="J513" s="22" t="str">
        <f>LOOKUP(TabVMAzureEnvProjet[[#This Row],[Code SYGES]],TabCONTRATSDI[Contrat SYGES],TabCONTRATSDI[Client])</f>
        <v>INETUM</v>
      </c>
      <c r="K513" t="s">
        <v>164</v>
      </c>
      <c r="L513" s="31">
        <v>0.75645884466176461</v>
      </c>
      <c r="M513" s="47" t="s">
        <v>165</v>
      </c>
    </row>
    <row r="514" spans="1:13" x14ac:dyDescent="0.25">
      <c r="A514" s="22" t="str">
        <f>TabVMAzureEnvProjet[[#This Row],[Client]] &amp; " .:. "  &amp; TabVMAzureEnvProjet[[#This Row],[Projet]]</f>
        <v>INETUM .:. INETUM-INTERNE</v>
      </c>
      <c r="B514" s="22" t="str">
        <f>IF(TabVMAzureEnvProjet[[#This Row],[Projet AzureDevOps]]&lt;&gt;"",TabVMAzureEnvProjet[[#This Row],[Projet AzureDevOps]],TabVMAzureEnvProjet[[#This Row],[VM]])</f>
        <v>GFI-TENDER</v>
      </c>
      <c r="C514" s="57" t="s">
        <v>111</v>
      </c>
      <c r="E514" t="s">
        <v>4</v>
      </c>
      <c r="F514" t="s">
        <v>102</v>
      </c>
      <c r="G514" t="str">
        <f>LOOKUP(TabVMAzureEnvProjet[[#This Row],[Projet]],TabProjets[NomProj],TabProjets[SYGES])</f>
        <v>INETUM/PROJET_INTERNE</v>
      </c>
      <c r="H514" t="str">
        <f>LOOKUP(TabVMAzureEnvProjet[[#This Row],[Projet]],TabProjets[NomProj],TabProjets[CP])</f>
        <v>Christophe ORLANDO</v>
      </c>
      <c r="I514">
        <f>LOOKUP(TabVMAzureEnvProjet[[#This Row],[Code SYGES]],TabCONTRATSDI[Contrat SYGES],TabCONTRATSDI[Cost Center])</f>
        <v>305704</v>
      </c>
      <c r="J514" s="22" t="str">
        <f>LOOKUP(TabVMAzureEnvProjet[[#This Row],[Code SYGES]],TabCONTRATSDI[Contrat SYGES],TabCONTRATSDI[Client])</f>
        <v>INETUM</v>
      </c>
      <c r="K514" t="s">
        <v>164</v>
      </c>
      <c r="L514" s="31">
        <v>2.7332854572297656</v>
      </c>
      <c r="M514" s="47" t="s">
        <v>165</v>
      </c>
    </row>
    <row r="515" spans="1:13" x14ac:dyDescent="0.25">
      <c r="A515" s="22" t="str">
        <f>TabVMAzureEnvProjet[[#This Row],[Client]] &amp; " .:. "  &amp; TabVMAzureEnvProjet[[#This Row],[Projet]]</f>
        <v>GFI .:. GFI-WAAC</v>
      </c>
      <c r="B515" s="22" t="str">
        <f>IF(TabVMAzureEnvProjet[[#This Row],[Projet AzureDevOps]]&lt;&gt;"",TabVMAzureEnvProjet[[#This Row],[Projet AzureDevOps]],TabVMAzureEnvProjet[[#This Row],[VM]])</f>
        <v>GFI-WAAC</v>
      </c>
      <c r="C515" s="57" t="s">
        <v>38</v>
      </c>
      <c r="E515" t="s">
        <v>4</v>
      </c>
      <c r="F515" t="s">
        <v>38</v>
      </c>
      <c r="G515" t="str">
        <f>LOOKUP(TabVMAzureEnvProjet[[#This Row],[Projet]],TabProjets[NomProj],TabProjets[SYGES])</f>
        <v>383928 - WAAC 1.0</v>
      </c>
      <c r="H515" t="str">
        <f>LOOKUP(TabVMAzureEnvProjet[[#This Row],[Projet]],TabProjets[NomProj],TabProjets[CP])</f>
        <v>Laurent MARCIANIAK</v>
      </c>
      <c r="I515">
        <f>LOOKUP(TabVMAzureEnvProjet[[#This Row],[Code SYGES]],TabCONTRATSDI[Contrat SYGES],TabCONTRATSDI[Cost Center])</f>
        <v>100973</v>
      </c>
      <c r="J515" s="22" t="str">
        <f>LOOKUP(TabVMAzureEnvProjet[[#This Row],[Code SYGES]],TabCONTRATSDI[Contrat SYGES],TabCONTRATSDI[Client])</f>
        <v>GFI</v>
      </c>
      <c r="K515" t="s">
        <v>164</v>
      </c>
      <c r="L515" s="31">
        <v>217.86693174744465</v>
      </c>
      <c r="M515" s="47" t="s">
        <v>165</v>
      </c>
    </row>
    <row r="516" spans="1:13" x14ac:dyDescent="0.25">
      <c r="A516" s="22" t="str">
        <f>TabVMAzureEnvProjet[[#This Row],[Client]] &amp; " .:. "  &amp; TabVMAzureEnvProjet[[#This Row],[Projet]]</f>
        <v>GLI .:. GLI-APIBIOMETRIE</v>
      </c>
      <c r="B516" s="22" t="str">
        <f>IF(TabVMAzureEnvProjet[[#This Row],[Projet AzureDevOps]]&lt;&gt;"",TabVMAzureEnvProjet[[#This Row],[Projet AzureDevOps]],TabVMAzureEnvProjet[[#This Row],[VM]])</f>
        <v>GLI-APIBiometrie</v>
      </c>
      <c r="C516" s="57" t="s">
        <v>42</v>
      </c>
      <c r="E516" t="s">
        <v>4</v>
      </c>
      <c r="F516" t="s">
        <v>41</v>
      </c>
      <c r="G516" t="str">
        <f>LOOKUP(TabVMAzureEnvProjet[[#This Row],[Projet]],TabProjets[NomProj],TabProjets[SYGES])</f>
        <v>GLI/BIOMETRIE</v>
      </c>
      <c r="H516" t="str">
        <f>LOOKUP(TabVMAzureEnvProjet[[#This Row],[Projet]],TabProjets[NomProj],TabProjets[CP])</f>
        <v>Rodolphe HABEGGER</v>
      </c>
      <c r="I516">
        <f>LOOKUP(TabVMAzureEnvProjet[[#This Row],[Code SYGES]],TabCONTRATSDI[Contrat SYGES],TabCONTRATSDI[Cost Center])</f>
        <v>305704</v>
      </c>
      <c r="J516" s="22" t="str">
        <f>LOOKUP(TabVMAzureEnvProjet[[#This Row],[Code SYGES]],TabCONTRATSDI[Contrat SYGES],TabCONTRATSDI[Client])</f>
        <v>GLI</v>
      </c>
      <c r="K516" t="s">
        <v>164</v>
      </c>
      <c r="L516" s="31">
        <v>3.701887247239827</v>
      </c>
      <c r="M516" s="47" t="s">
        <v>165</v>
      </c>
    </row>
    <row r="517" spans="1:13" x14ac:dyDescent="0.25">
      <c r="A517" s="22" t="str">
        <f>TabVMAzureEnvProjet[[#This Row],[Client]] &amp; " .:. "  &amp; TabVMAzureEnvProjet[[#This Row],[Projet]]</f>
        <v>LAPOSTE .:. LAPOSTE-CDC</v>
      </c>
      <c r="B517" s="22" t="str">
        <f>IF(TabVMAzureEnvProjet[[#This Row],[Projet AzureDevOps]]&lt;&gt;"",TabVMAzureEnvProjet[[#This Row],[Projet AzureDevOps]],TabVMAzureEnvProjet[[#This Row],[VM]])</f>
        <v>LAPOSTE-F4N-Musee</v>
      </c>
      <c r="C517" s="57" t="s">
        <v>83</v>
      </c>
      <c r="E517" t="s">
        <v>4</v>
      </c>
      <c r="F517" t="s">
        <v>82</v>
      </c>
      <c r="G517" t="str">
        <f>LOOKUP(TabVMAzureEnvProjet[[#This Row],[Projet]],TabProjets[NomProj],TabProjets[SYGES])</f>
        <v>LA-POSTE/CDC_DRUPAL</v>
      </c>
      <c r="H517" t="str">
        <f>LOOKUP(TabVMAzureEnvProjet[[#This Row],[Projet]],TabProjets[NomProj],TabProjets[CP])</f>
        <v>Rodolphe HABEGGER</v>
      </c>
      <c r="I517">
        <f>LOOKUP(TabVMAzureEnvProjet[[#This Row],[Code SYGES]],TabCONTRATSDI[Contrat SYGES],TabCONTRATSDI[Cost Center])</f>
        <v>305704</v>
      </c>
      <c r="J517" s="22" t="str">
        <f>LOOKUP(TabVMAzureEnvProjet[[#This Row],[Code SYGES]],TabCONTRATSDI[Contrat SYGES],TabCONTRATSDI[Client])</f>
        <v>LAPOSTE</v>
      </c>
      <c r="K517" t="s">
        <v>164</v>
      </c>
      <c r="L517" s="31">
        <v>1.9824884342522815</v>
      </c>
      <c r="M517" s="47" t="s">
        <v>165</v>
      </c>
    </row>
    <row r="518" spans="1:13" x14ac:dyDescent="0.25">
      <c r="A518" s="22" t="str">
        <f>TabVMAzureEnvProjet[[#This Row],[Client]] &amp; " .:. "  &amp; TabVMAzureEnvProjet[[#This Row],[Projet]]</f>
        <v>LAPOSTE .:. LAPOSTE-CDC</v>
      </c>
      <c r="B518" s="22" t="str">
        <f>IF(TabVMAzureEnvProjet[[#This Row],[Projet AzureDevOps]]&lt;&gt;"",TabVMAzureEnvProjet[[#This Row],[Projet AzureDevOps]],TabVMAzureEnvProjet[[#This Row],[VM]])</f>
        <v>LAPOSTE-L71-PDP</v>
      </c>
      <c r="C518" s="57" t="s">
        <v>86</v>
      </c>
      <c r="E518" t="s">
        <v>4</v>
      </c>
      <c r="F518" t="s">
        <v>82</v>
      </c>
      <c r="G518" t="str">
        <f>LOOKUP(TabVMAzureEnvProjet[[#This Row],[Projet]],TabProjets[NomProj],TabProjets[SYGES])</f>
        <v>LA-POSTE/CDC_DRUPAL</v>
      </c>
      <c r="H518" t="str">
        <f>LOOKUP(TabVMAzureEnvProjet[[#This Row],[Projet]],TabProjets[NomProj],TabProjets[CP])</f>
        <v>Rodolphe HABEGGER</v>
      </c>
      <c r="I518">
        <f>LOOKUP(TabVMAzureEnvProjet[[#This Row],[Code SYGES]],TabCONTRATSDI[Contrat SYGES],TabCONTRATSDI[Cost Center])</f>
        <v>305704</v>
      </c>
      <c r="J518" s="22" t="str">
        <f>LOOKUP(TabVMAzureEnvProjet[[#This Row],[Code SYGES]],TabCONTRATSDI[Contrat SYGES],TabCONTRATSDI[Client])</f>
        <v>LAPOSTE</v>
      </c>
      <c r="K518" t="s">
        <v>164</v>
      </c>
      <c r="L518" s="31">
        <v>1.9391361912655141</v>
      </c>
      <c r="M518" s="47" t="s">
        <v>165</v>
      </c>
    </row>
    <row r="519" spans="1:13" x14ac:dyDescent="0.25">
      <c r="A519" s="22" t="str">
        <f>TabVMAzureEnvProjet[[#This Row],[Client]] &amp; " .:. "  &amp; TabVMAzureEnvProjet[[#This Row],[Projet]]</f>
        <v>LAPOSTE .:. LAPOSTE-CDC</v>
      </c>
      <c r="B519" s="22" t="str">
        <f>IF(TabVMAzureEnvProjet[[#This Row],[Projet AzureDevOps]]&lt;&gt;"",TabVMAzureEnvProjet[[#This Row],[Projet AzureDevOps]],TabVMAzureEnvProjet[[#This Row],[VM]])</f>
        <v>LAPOSTE-LCA-PariteUn-e</v>
      </c>
      <c r="C519" s="57" t="s">
        <v>87</v>
      </c>
      <c r="E519" t="s">
        <v>4</v>
      </c>
      <c r="F519" t="s">
        <v>82</v>
      </c>
      <c r="G519" t="str">
        <f>LOOKUP(TabVMAzureEnvProjet[[#This Row],[Projet]],TabProjets[NomProj],TabProjets[SYGES])</f>
        <v>LA-POSTE/CDC_DRUPAL</v>
      </c>
      <c r="H519" t="str">
        <f>LOOKUP(TabVMAzureEnvProjet[[#This Row],[Projet]],TabProjets[NomProj],TabProjets[CP])</f>
        <v>Rodolphe HABEGGER</v>
      </c>
      <c r="I519">
        <f>LOOKUP(TabVMAzureEnvProjet[[#This Row],[Code SYGES]],TabCONTRATSDI[Contrat SYGES],TabCONTRATSDI[Cost Center])</f>
        <v>305704</v>
      </c>
      <c r="J519" s="22" t="str">
        <f>LOOKUP(TabVMAzureEnvProjet[[#This Row],[Code SYGES]],TabCONTRATSDI[Contrat SYGES],TabCONTRATSDI[Client])</f>
        <v>LAPOSTE</v>
      </c>
      <c r="K519" t="s">
        <v>164</v>
      </c>
      <c r="L519" s="31">
        <v>1.9499742520122059</v>
      </c>
      <c r="M519" s="47" t="s">
        <v>165</v>
      </c>
    </row>
    <row r="520" spans="1:13" x14ac:dyDescent="0.25">
      <c r="A520" s="22" t="str">
        <f>TabVMAzureEnvProjet[[#This Row],[Client]] &amp; " .:. "  &amp; TabVMAzureEnvProjet[[#This Row],[Projet]]</f>
        <v>LAPOSTE .:. LAPOSTE-CDC</v>
      </c>
      <c r="B520" s="22" t="str">
        <f>IF(TabVMAzureEnvProjet[[#This Row],[Projet AzureDevOps]]&lt;&gt;"",TabVMAzureEnvProjet[[#This Row],[Projet AzureDevOps]],TabVMAzureEnvProjet[[#This Row],[VM]])</f>
        <v>LAPOSTE-LPK-PortailVoyage</v>
      </c>
      <c r="C520" s="57" t="s">
        <v>84</v>
      </c>
      <c r="E520" t="s">
        <v>4</v>
      </c>
      <c r="F520" t="s">
        <v>82</v>
      </c>
      <c r="G520" t="str">
        <f>LOOKUP(TabVMAzureEnvProjet[[#This Row],[Projet]],TabProjets[NomProj],TabProjets[SYGES])</f>
        <v>LA-POSTE/CDC_DRUPAL</v>
      </c>
      <c r="H520" t="str">
        <f>LOOKUP(TabVMAzureEnvProjet[[#This Row],[Projet]],TabProjets[NomProj],TabProjets[CP])</f>
        <v>Rodolphe HABEGGER</v>
      </c>
      <c r="I520">
        <f>LOOKUP(TabVMAzureEnvProjet[[#This Row],[Code SYGES]],TabCONTRATSDI[Contrat SYGES],TabCONTRATSDI[Cost Center])</f>
        <v>305704</v>
      </c>
      <c r="J520" s="22" t="str">
        <f>LOOKUP(TabVMAzureEnvProjet[[#This Row],[Code SYGES]],TabCONTRATSDI[Contrat SYGES],TabCONTRATSDI[Client])</f>
        <v>LAPOSTE</v>
      </c>
      <c r="K520" t="s">
        <v>164</v>
      </c>
      <c r="L520" s="31">
        <v>2.4268489248666483</v>
      </c>
      <c r="M520" s="47" t="s">
        <v>165</v>
      </c>
    </row>
    <row r="521" spans="1:13" x14ac:dyDescent="0.25">
      <c r="A521" s="22" t="str">
        <f>TabVMAzureEnvProjet[[#This Row],[Client]] &amp; " .:. "  &amp; TabVMAzureEnvProjet[[#This Row],[Projet]]</f>
        <v>LAPOSTE .:. LAPOSTE-CDC</v>
      </c>
      <c r="B521" s="22" t="str">
        <f>IF(TabVMAzureEnvProjet[[#This Row],[Projet AzureDevOps]]&lt;&gt;"",TabVMAzureEnvProjet[[#This Row],[Projet AzureDevOps]],TabVMAzureEnvProjet[[#This Row],[VM]])</f>
        <v>LAPOSTE-LPM-IntranetDHA</v>
      </c>
      <c r="C521" s="57" t="s">
        <v>85</v>
      </c>
      <c r="E521" t="s">
        <v>4</v>
      </c>
      <c r="F521" t="s">
        <v>82</v>
      </c>
      <c r="G521" t="str">
        <f>LOOKUP(TabVMAzureEnvProjet[[#This Row],[Projet]],TabProjets[NomProj],TabProjets[SYGES])</f>
        <v>LA-POSTE/CDC_DRUPAL</v>
      </c>
      <c r="H521" t="str">
        <f>LOOKUP(TabVMAzureEnvProjet[[#This Row],[Projet]],TabProjets[NomProj],TabProjets[CP])</f>
        <v>Rodolphe HABEGGER</v>
      </c>
      <c r="I521">
        <f>LOOKUP(TabVMAzureEnvProjet[[#This Row],[Code SYGES]],TabCONTRATSDI[Contrat SYGES],TabCONTRATSDI[Cost Center])</f>
        <v>305704</v>
      </c>
      <c r="J521" s="22" t="str">
        <f>LOOKUP(TabVMAzureEnvProjet[[#This Row],[Code SYGES]],TabCONTRATSDI[Contrat SYGES],TabCONTRATSDI[Client])</f>
        <v>LAPOSTE</v>
      </c>
      <c r="K521" t="s">
        <v>164</v>
      </c>
      <c r="L521" s="31">
        <v>1.9391361912655141</v>
      </c>
      <c r="M521" s="47" t="s">
        <v>165</v>
      </c>
    </row>
    <row r="522" spans="1:13" x14ac:dyDescent="0.25">
      <c r="A522" s="22" t="str">
        <f>TabVMAzureEnvProjet[[#This Row],[Client]] &amp; " .:. "  &amp; TabVMAzureEnvProjet[[#This Row],[Projet]]</f>
        <v>LAPOSTE .:. LAPOSTE-CDC</v>
      </c>
      <c r="B522" s="22" t="str">
        <f>IF(TabVMAzureEnvProjet[[#This Row],[Projet AzureDevOps]]&lt;&gt;"",TabVMAzureEnvProjet[[#This Row],[Projet AzureDevOps]],TabVMAzureEnvProjet[[#This Row],[VM]])</f>
        <v>LAPOSTE-V7_-Galaxy</v>
      </c>
      <c r="C522" s="57" t="s">
        <v>89</v>
      </c>
      <c r="E522" t="s">
        <v>4</v>
      </c>
      <c r="F522" t="s">
        <v>82</v>
      </c>
      <c r="G522" t="str">
        <f>LOOKUP(TabVMAzureEnvProjet[[#This Row],[Projet]],TabProjets[NomProj],TabProjets[SYGES])</f>
        <v>LA-POSTE/CDC_DRUPAL</v>
      </c>
      <c r="H522" t="str">
        <f>LOOKUP(TabVMAzureEnvProjet[[#This Row],[Projet]],TabProjets[NomProj],TabProjets[CP])</f>
        <v>Rodolphe HABEGGER</v>
      </c>
      <c r="I522">
        <f>LOOKUP(TabVMAzureEnvProjet[[#This Row],[Code SYGES]],TabCONTRATSDI[Contrat SYGES],TabCONTRATSDI[Cost Center])</f>
        <v>305704</v>
      </c>
      <c r="J522" s="22" t="str">
        <f>LOOKUP(TabVMAzureEnvProjet[[#This Row],[Code SYGES]],TabCONTRATSDI[Contrat SYGES],TabCONTRATSDI[Client])</f>
        <v>LAPOSTE</v>
      </c>
      <c r="K522" t="s">
        <v>164</v>
      </c>
      <c r="L522" s="31">
        <v>1.0225440692202779</v>
      </c>
      <c r="M522" s="47" t="s">
        <v>165</v>
      </c>
    </row>
    <row r="523" spans="1:13" x14ac:dyDescent="0.25">
      <c r="A523" s="22" t="str">
        <f>TabVMAzureEnvProjet[[#This Row],[Client]] &amp; " .:. "  &amp; TabVMAzureEnvProjet[[#This Row],[Projet]]</f>
        <v>LAPOSTE .:. LAPOSTE-CDC</v>
      </c>
      <c r="B523" s="22" t="str">
        <f>IF(TabVMAzureEnvProjet[[#This Row],[Projet AzureDevOps]]&lt;&gt;"",TabVMAzureEnvProjet[[#This Row],[Projet AzureDevOps]],TabVMAzureEnvProjet[[#This Row],[VM]])</f>
        <v>LAPOSTE-VW2-MEDIACOM</v>
      </c>
      <c r="C523" s="57" t="s">
        <v>90</v>
      </c>
      <c r="E523" t="s">
        <v>4</v>
      </c>
      <c r="F523" t="s">
        <v>82</v>
      </c>
      <c r="G523" t="str">
        <f>LOOKUP(TabVMAzureEnvProjet[[#This Row],[Projet]],TabProjets[NomProj],TabProjets[SYGES])</f>
        <v>LA-POSTE/CDC_DRUPAL</v>
      </c>
      <c r="H523" t="str">
        <f>LOOKUP(TabVMAzureEnvProjet[[#This Row],[Projet]],TabProjets[NomProj],TabProjets[CP])</f>
        <v>Rodolphe HABEGGER</v>
      </c>
      <c r="I523">
        <f>LOOKUP(TabVMAzureEnvProjet[[#This Row],[Code SYGES]],TabCONTRATSDI[Contrat SYGES],TabCONTRATSDI[Cost Center])</f>
        <v>305704</v>
      </c>
      <c r="J523" s="22" t="str">
        <f>LOOKUP(TabVMAzureEnvProjet[[#This Row],[Code SYGES]],TabCONTRATSDI[Contrat SYGES],TabCONTRATSDI[Client])</f>
        <v>LAPOSTE</v>
      </c>
      <c r="K523" t="s">
        <v>164</v>
      </c>
      <c r="L523" s="31">
        <v>1.3043336486342665</v>
      </c>
      <c r="M523" s="47" t="s">
        <v>165</v>
      </c>
    </row>
    <row r="524" spans="1:13" x14ac:dyDescent="0.25">
      <c r="A524" s="22" t="str">
        <f>TabVMAzureEnvProjet[[#This Row],[Client]] &amp; " .:. "  &amp; TabVMAzureEnvProjet[[#This Row],[Projet]]</f>
        <v>LAPOSTE .:. LAPOSTE-CDC</v>
      </c>
      <c r="B524" s="22" t="str">
        <f>IF(TabVMAzureEnvProjet[[#This Row],[Projet AzureDevOps]]&lt;&gt;"",TabVMAzureEnvProjet[[#This Row],[Projet AzureDevOps]],TabVMAzureEnvProjet[[#This Row],[VM]])</f>
        <v>LAPOSTE-VWA-Fondation</v>
      </c>
      <c r="C524" s="57" t="s">
        <v>88</v>
      </c>
      <c r="E524" t="s">
        <v>4</v>
      </c>
      <c r="F524" t="s">
        <v>82</v>
      </c>
      <c r="G524" t="str">
        <f>LOOKUP(TabVMAzureEnvProjet[[#This Row],[Projet]],TabProjets[NomProj],TabProjets[SYGES])</f>
        <v>LA-POSTE/CDC_DRUPAL</v>
      </c>
      <c r="H524" t="str">
        <f>LOOKUP(TabVMAzureEnvProjet[[#This Row],[Projet]],TabProjets[NomProj],TabProjets[CP])</f>
        <v>Rodolphe HABEGGER</v>
      </c>
      <c r="I524">
        <f>LOOKUP(TabVMAzureEnvProjet[[#This Row],[Code SYGES]],TabCONTRATSDI[Contrat SYGES],TabCONTRATSDI[Cost Center])</f>
        <v>305704</v>
      </c>
      <c r="J524" s="22" t="str">
        <f>LOOKUP(TabVMAzureEnvProjet[[#This Row],[Code SYGES]],TabCONTRATSDI[Contrat SYGES],TabCONTRATSDI[Client])</f>
        <v>LAPOSTE</v>
      </c>
      <c r="K524" t="s">
        <v>164</v>
      </c>
      <c r="L524" s="31">
        <v>1.8957839482787464</v>
      </c>
      <c r="M524" s="47" t="s">
        <v>165</v>
      </c>
    </row>
    <row r="525" spans="1:13" x14ac:dyDescent="0.25">
      <c r="A525" s="22" t="str">
        <f>TabVMAzureEnvProjet[[#This Row],[Client]] &amp; " .:. "  &amp; TabVMAzureEnvProjet[[#This Row],[Projet]]</f>
        <v>MENESR .:. MENJ-APAE</v>
      </c>
      <c r="B525" s="22" t="str">
        <f>IF(TabVMAzureEnvProjet[[#This Row],[Projet AzureDevOps]]&lt;&gt;"",TabVMAzureEnvProjet[[#This Row],[Projet AzureDevOps]],TabVMAzureEnvProjet[[#This Row],[VM]])</f>
        <v>MENJ-APAE</v>
      </c>
      <c r="C525" s="57" t="s">
        <v>44</v>
      </c>
      <c r="E525" t="s">
        <v>4</v>
      </c>
      <c r="F525" t="s">
        <v>44</v>
      </c>
      <c r="G525" t="str">
        <f>LOOKUP(TabVMAzureEnvProjet[[#This Row],[Projet]],TabProjets[NomProj],TabProjets[SYGES])</f>
        <v>MENESR/TMA</v>
      </c>
      <c r="H525" t="str">
        <f>LOOKUP(TabVMAzureEnvProjet[[#This Row],[Projet]],TabProjets[NomProj],TabProjets[CP])</f>
        <v>Pierre BOURLIEUX</v>
      </c>
      <c r="I525">
        <f>LOOKUP(TabVMAzureEnvProjet[[#This Row],[Code SYGES]],TabCONTRATSDI[Contrat SYGES],TabCONTRATSDI[Cost Center])</f>
        <v>305704</v>
      </c>
      <c r="J525" s="22" t="str">
        <f>LOOKUP(TabVMAzureEnvProjet[[#This Row],[Code SYGES]],TabCONTRATSDI[Contrat SYGES],TabCONTRATSDI[Client])</f>
        <v>MENESR</v>
      </c>
      <c r="K525" t="s">
        <v>164</v>
      </c>
      <c r="L525" s="31">
        <v>2.7953607381920413</v>
      </c>
      <c r="M525" s="47" t="s">
        <v>165</v>
      </c>
    </row>
    <row r="526" spans="1:13" x14ac:dyDescent="0.25">
      <c r="A526" s="22" t="str">
        <f>TabVMAzureEnvProjet[[#This Row],[Client]] &amp; " .:. "  &amp; TabVMAzureEnvProjet[[#This Row],[Projet]]</f>
        <v>MENESR .:. MENJ-BI</v>
      </c>
      <c r="B526" s="22" t="str">
        <f>IF(TabVMAzureEnvProjet[[#This Row],[Projet AzureDevOps]]&lt;&gt;"",TabVMAzureEnvProjet[[#This Row],[Projet AzureDevOps]],TabVMAzureEnvProjet[[#This Row],[VM]])</f>
        <v>MENJ-BI</v>
      </c>
      <c r="C526" s="57" t="s">
        <v>51</v>
      </c>
      <c r="E526" t="s">
        <v>4</v>
      </c>
      <c r="F526" t="s">
        <v>51</v>
      </c>
      <c r="G526" t="str">
        <f>LOOKUP(TabVMAzureEnvProjet[[#This Row],[Projet]],TabProjets[NomProj],TabProjets[SYGES])</f>
        <v>MENESR/TMA</v>
      </c>
      <c r="H526" t="str">
        <f>LOOKUP(TabVMAzureEnvProjet[[#This Row],[Projet]],TabProjets[NomProj],TabProjets[CP])</f>
        <v>Eric PERROUD</v>
      </c>
      <c r="I526">
        <f>LOOKUP(TabVMAzureEnvProjet[[#This Row],[Code SYGES]],TabCONTRATSDI[Contrat SYGES],TabCONTRATSDI[Cost Center])</f>
        <v>305704</v>
      </c>
      <c r="J526" s="22" t="str">
        <f>LOOKUP(TabVMAzureEnvProjet[[#This Row],[Code SYGES]],TabCONTRATSDI[Contrat SYGES],TabCONTRATSDI[Client])</f>
        <v>MENESR</v>
      </c>
      <c r="K526" t="s">
        <v>164</v>
      </c>
      <c r="L526" s="31">
        <v>3.2585919462352937</v>
      </c>
      <c r="M526" s="47" t="s">
        <v>165</v>
      </c>
    </row>
    <row r="527" spans="1:13" x14ac:dyDescent="0.25">
      <c r="A527" s="22" t="str">
        <f>TabVMAzureEnvProjet[[#This Row],[Client]] &amp; " .:. "  &amp; TabVMAzureEnvProjet[[#This Row],[Projet]]</f>
        <v>MENESR .:. MENJ-BNIE</v>
      </c>
      <c r="B527" s="22" t="str">
        <f>IF(TabVMAzureEnvProjet[[#This Row],[Projet AzureDevOps]]&lt;&gt;"",TabVMAzureEnvProjet[[#This Row],[Projet AzureDevOps]],TabVMAzureEnvProjet[[#This Row],[VM]])</f>
        <v>MENJ-BNIE-BDD</v>
      </c>
      <c r="C527" s="57" t="s">
        <v>46</v>
      </c>
      <c r="E527" t="s">
        <v>4</v>
      </c>
      <c r="F527" t="s">
        <v>45</v>
      </c>
      <c r="G527" t="str">
        <f>LOOKUP(TabVMAzureEnvProjet[[#This Row],[Projet]],TabProjets[NomProj],TabProjets[SYGES])</f>
        <v>MENESR/TMA</v>
      </c>
      <c r="H527" t="str">
        <f>LOOKUP(TabVMAzureEnvProjet[[#This Row],[Projet]],TabProjets[NomProj],TabProjets[CP])</f>
        <v>Pierre BOURLIEUX</v>
      </c>
      <c r="I527">
        <f>LOOKUP(TabVMAzureEnvProjet[[#This Row],[Code SYGES]],TabCONTRATSDI[Contrat SYGES],TabCONTRATSDI[Cost Center])</f>
        <v>305704</v>
      </c>
      <c r="J527" s="22" t="str">
        <f>LOOKUP(TabVMAzureEnvProjet[[#This Row],[Code SYGES]],TabCONTRATSDI[Contrat SYGES],TabCONTRATSDI[Client])</f>
        <v>MENESR</v>
      </c>
      <c r="K527" t="s">
        <v>164</v>
      </c>
      <c r="L527" s="31">
        <v>2.0638400972004449</v>
      </c>
      <c r="M527" s="47" t="s">
        <v>165</v>
      </c>
    </row>
    <row r="528" spans="1:13" x14ac:dyDescent="0.25">
      <c r="A528" s="22" t="str">
        <f>TabVMAzureEnvProjet[[#This Row],[Client]] &amp; " .:. "  &amp; TabVMAzureEnvProjet[[#This Row],[Projet]]</f>
        <v>MENESR .:. MENJ-BNIE</v>
      </c>
      <c r="B528" s="22" t="str">
        <f>IF(TabVMAzureEnvProjet[[#This Row],[Projet AzureDevOps]]&lt;&gt;"",TabVMAzureEnvProjet[[#This Row],[Projet AzureDevOps]],TabVMAzureEnvProjet[[#This Row],[VM]])</f>
        <v>MENJ-BNIE-Webservices</v>
      </c>
      <c r="C528" s="57" t="s">
        <v>47</v>
      </c>
      <c r="E528" t="s">
        <v>4</v>
      </c>
      <c r="F528" t="s">
        <v>45</v>
      </c>
      <c r="G528" t="str">
        <f>LOOKUP(TabVMAzureEnvProjet[[#This Row],[Projet]],TabProjets[NomProj],TabProjets[SYGES])</f>
        <v>MENESR/TMA</v>
      </c>
      <c r="H528" t="str">
        <f>LOOKUP(TabVMAzureEnvProjet[[#This Row],[Projet]],TabProjets[NomProj],TabProjets[CP])</f>
        <v>Pierre BOURLIEUX</v>
      </c>
      <c r="I528">
        <f>LOOKUP(TabVMAzureEnvProjet[[#This Row],[Code SYGES]],TabCONTRATSDI[Contrat SYGES],TabCONTRATSDI[Cost Center])</f>
        <v>305704</v>
      </c>
      <c r="J528" s="22" t="str">
        <f>LOOKUP(TabVMAzureEnvProjet[[#This Row],[Code SYGES]],TabCONTRATSDI[Contrat SYGES],TabCONTRATSDI[Client])</f>
        <v>MENESR</v>
      </c>
      <c r="K528" t="s">
        <v>164</v>
      </c>
      <c r="L528" s="31">
        <v>0.46779506230968854</v>
      </c>
      <c r="M528" s="47" t="s">
        <v>165</v>
      </c>
    </row>
    <row r="529" spans="1:13" x14ac:dyDescent="0.25">
      <c r="A529" s="22" t="str">
        <f>TabVMAzureEnvProjet[[#This Row],[Client]] &amp; " .:. "  &amp; TabVMAzureEnvProjet[[#This Row],[Projet]]</f>
        <v>MENESR .:. MENJ-INSERJEUNES</v>
      </c>
      <c r="B529" s="22" t="str">
        <f>IF(TabVMAzureEnvProjet[[#This Row],[Projet AzureDevOps]]&lt;&gt;"",TabVMAzureEnvProjet[[#This Row],[Projet AzureDevOps]],TabVMAzureEnvProjet[[#This Row],[VM]])</f>
        <v>MENJ-InserJeunes</v>
      </c>
      <c r="C529" s="57" t="s">
        <v>54</v>
      </c>
      <c r="E529" t="s">
        <v>4</v>
      </c>
      <c r="F529" t="s">
        <v>53</v>
      </c>
      <c r="G529" t="str">
        <f>LOOKUP(TabVMAzureEnvProjet[[#This Row],[Projet]],TabProjets[NomProj],TabProjets[SYGES])</f>
        <v>MENESR - TMA - 23 - 1 - INSERJEUNES</v>
      </c>
      <c r="H529" t="str">
        <f>LOOKUP(TabVMAzureEnvProjet[[#This Row],[Projet]],TabProjets[NomProj],TabProjets[CP])</f>
        <v>Christophe ORLANDO</v>
      </c>
      <c r="I529">
        <f>LOOKUP(TabVMAzureEnvProjet[[#This Row],[Code SYGES]],TabCONTRATSDI[Contrat SYGES],TabCONTRATSDI[Cost Center])</f>
        <v>305704</v>
      </c>
      <c r="J529" s="22" t="str">
        <f>LOOKUP(TabVMAzureEnvProjet[[#This Row],[Code SYGES]],TabCONTRATSDI[Contrat SYGES],TabCONTRATSDI[Client])</f>
        <v>MENESR</v>
      </c>
      <c r="K529" t="s">
        <v>164</v>
      </c>
      <c r="L529" s="31">
        <v>14.276433508033136</v>
      </c>
      <c r="M529" s="47" t="s">
        <v>165</v>
      </c>
    </row>
    <row r="530" spans="1:13" x14ac:dyDescent="0.25">
      <c r="A530" s="22" t="str">
        <f>TabVMAzureEnvProjet[[#This Row],[Client]] &amp; " .:. "  &amp; TabVMAzureEnvProjet[[#This Row],[Projet]]</f>
        <v>MENESR .:. MENJ-RNIE</v>
      </c>
      <c r="B530" s="22" t="str">
        <f>IF(TabVMAzureEnvProjet[[#This Row],[Projet AzureDevOps]]&lt;&gt;"",TabVMAzureEnvProjet[[#This Row],[Projet AzureDevOps]],TabVMAzureEnvProjet[[#This Row],[VM]])</f>
        <v>MENJ-RNIE-BDD</v>
      </c>
      <c r="C530" s="57" t="s">
        <v>49</v>
      </c>
      <c r="E530" t="s">
        <v>4</v>
      </c>
      <c r="F530" t="s">
        <v>48</v>
      </c>
      <c r="G530" t="str">
        <f>LOOKUP(TabVMAzureEnvProjet[[#This Row],[Projet]],TabProjets[NomProj],TabProjets[SYGES])</f>
        <v>MENESR/TMA</v>
      </c>
      <c r="H530" t="str">
        <f>LOOKUP(TabVMAzureEnvProjet[[#This Row],[Projet]],TabProjets[NomProj],TabProjets[CP])</f>
        <v>Pierre BOURLIEUX</v>
      </c>
      <c r="I530">
        <f>LOOKUP(TabVMAzureEnvProjet[[#This Row],[Code SYGES]],TabCONTRATSDI[Contrat SYGES],TabCONTRATSDI[Cost Center])</f>
        <v>305704</v>
      </c>
      <c r="J530" s="22" t="str">
        <f>LOOKUP(TabVMAzureEnvProjet[[#This Row],[Code SYGES]],TabCONTRATSDI[Contrat SYGES],TabCONTRATSDI[Client])</f>
        <v>MENESR</v>
      </c>
      <c r="K530" t="s">
        <v>164</v>
      </c>
      <c r="L530" s="31">
        <v>1.3988213326626295</v>
      </c>
      <c r="M530" s="47" t="s">
        <v>165</v>
      </c>
    </row>
    <row r="531" spans="1:13" x14ac:dyDescent="0.25">
      <c r="A531" s="22" t="str">
        <f>TabVMAzureEnvProjet[[#This Row],[Client]] &amp; " .:. "  &amp; TabVMAzureEnvProjet[[#This Row],[Projet]]</f>
        <v>MENESR .:. MENJ-RNIE</v>
      </c>
      <c r="B531" s="22" t="str">
        <f>IF(TabVMAzureEnvProjet[[#This Row],[Projet AzureDevOps]]&lt;&gt;"",TabVMAzureEnvProjet[[#This Row],[Projet AzureDevOps]],TabVMAzureEnvProjet[[#This Row],[VM]])</f>
        <v>MENJ-RNIE-Webservices</v>
      </c>
      <c r="C531" s="57" t="s">
        <v>50</v>
      </c>
      <c r="E531" t="s">
        <v>4</v>
      </c>
      <c r="F531" t="s">
        <v>48</v>
      </c>
      <c r="G531" t="str">
        <f>LOOKUP(TabVMAzureEnvProjet[[#This Row],[Projet]],TabProjets[NomProj],TabProjets[SYGES])</f>
        <v>MENESR/TMA</v>
      </c>
      <c r="H531" t="str">
        <f>LOOKUP(TabVMAzureEnvProjet[[#This Row],[Projet]],TabProjets[NomProj],TabProjets[CP])</f>
        <v>Pierre BOURLIEUX</v>
      </c>
      <c r="I531">
        <f>LOOKUP(TabVMAzureEnvProjet[[#This Row],[Code SYGES]],TabCONTRATSDI[Contrat SYGES],TabCONTRATSDI[Cost Center])</f>
        <v>305704</v>
      </c>
      <c r="J531" s="22" t="str">
        <f>LOOKUP(TabVMAzureEnvProjet[[#This Row],[Code SYGES]],TabCONTRATSDI[Contrat SYGES],TabCONTRATSDI[Client])</f>
        <v>MENESR</v>
      </c>
      <c r="K531" t="s">
        <v>164</v>
      </c>
      <c r="L531" s="31">
        <v>0.58701373052329908</v>
      </c>
      <c r="M531" s="47" t="s">
        <v>165</v>
      </c>
    </row>
    <row r="532" spans="1:13" x14ac:dyDescent="0.25">
      <c r="A532" s="22" t="str">
        <f>TabVMAzureEnvProjet[[#This Row],[Client]] &amp; " .:. "  &amp; TabVMAzureEnvProjet[[#This Row],[Projet]]</f>
        <v>AFB .:. OFB-CMONSPOT</v>
      </c>
      <c r="B532" s="22" t="str">
        <f>IF(TabVMAzureEnvProjet[[#This Row],[Projet AzureDevOps]]&lt;&gt;"",TabVMAzureEnvProjet[[#This Row],[Projet AzureDevOps]],TabVMAzureEnvProjet[[#This Row],[VM]])</f>
        <v>OFB-CMONSPOT</v>
      </c>
      <c r="C532" s="57" t="s">
        <v>12</v>
      </c>
      <c r="E532" t="s">
        <v>4</v>
      </c>
      <c r="F532" t="s">
        <v>12</v>
      </c>
      <c r="G532" t="str">
        <f>LOOKUP(TabVMAzureEnvProjet[[#This Row],[Projet]],TabProjets[NomProj],TabProjets[SYGES])</f>
        <v>AFB/OFB_LOT2</v>
      </c>
      <c r="H532" t="str">
        <f>LOOKUP(TabVMAzureEnvProjet[[#This Row],[Projet]],TabProjets[NomProj],TabProjets[CP])</f>
        <v>Pierre BOURLIEUX</v>
      </c>
      <c r="I532">
        <f>LOOKUP(TabVMAzureEnvProjet[[#This Row],[Code SYGES]],TabCONTRATSDI[Contrat SYGES],TabCONTRATSDI[Cost Center])</f>
        <v>305704</v>
      </c>
      <c r="J532" s="22" t="str">
        <f>LOOKUP(TabVMAzureEnvProjet[[#This Row],[Code SYGES]],TabCONTRATSDI[Contrat SYGES],TabCONTRATSDI[Client])</f>
        <v>AFB</v>
      </c>
      <c r="K532" t="s">
        <v>164</v>
      </c>
      <c r="L532" s="31">
        <v>0.910025677788589</v>
      </c>
      <c r="M532" s="47" t="s">
        <v>165</v>
      </c>
    </row>
    <row r="533" spans="1:13" x14ac:dyDescent="0.25">
      <c r="A533" s="22" t="str">
        <f>TabVMAzureEnvProjet[[#This Row],[Client]] &amp; " .:. "  &amp; TabVMAzureEnvProjet[[#This Row],[Projet]]</f>
        <v>OFB .:. OFB-NATUREFRANCE</v>
      </c>
      <c r="B533" s="22" t="str">
        <f>IF(TabVMAzureEnvProjet[[#This Row],[Projet AzureDevOps]]&lt;&gt;"",TabVMAzureEnvProjet[[#This Row],[Projet AzureDevOps]],TabVMAzureEnvProjet[[#This Row],[VM]])</f>
        <v>OFB-NatureFrance</v>
      </c>
      <c r="C533" s="57" t="s">
        <v>79</v>
      </c>
      <c r="E533" t="s">
        <v>4</v>
      </c>
      <c r="F533" t="s">
        <v>78</v>
      </c>
      <c r="G533" t="str">
        <f>LOOKUP(TabVMAzureEnvProjet[[#This Row],[Projet]],TabProjets[NomProj],TabProjets[SYGES])</f>
        <v>AFB OFB_LOT2 -9-1 NATURE FRANCE</v>
      </c>
      <c r="H533" t="str">
        <f>LOOKUP(TabVMAzureEnvProjet[[#This Row],[Projet]],TabProjets[NomProj],TabProjets[CP])</f>
        <v>Rodolphe HABEGGER</v>
      </c>
      <c r="I533">
        <f>LOOKUP(TabVMAzureEnvProjet[[#This Row],[Code SYGES]],TabCONTRATSDI[Contrat SYGES],TabCONTRATSDI[Cost Center])</f>
        <v>305704</v>
      </c>
      <c r="J533" s="22" t="str">
        <f>LOOKUP(TabVMAzureEnvProjet[[#This Row],[Code SYGES]],TabCONTRATSDI[Contrat SYGES],TabCONTRATSDI[Client])</f>
        <v>OFB</v>
      </c>
      <c r="K533" t="s">
        <v>164</v>
      </c>
      <c r="L533" s="31">
        <v>6.2196371624623614</v>
      </c>
      <c r="M533" s="47" t="s">
        <v>165</v>
      </c>
    </row>
    <row r="534" spans="1:13" x14ac:dyDescent="0.25">
      <c r="A534" s="22" t="str">
        <f>TabVMAzureEnvProjet[[#This Row],[Client]] &amp; " .:. "  &amp; TabVMAzureEnvProjet[[#This Row],[Projet]]</f>
        <v>AFB .:. OFB-SISPEA</v>
      </c>
      <c r="B534" s="22" t="str">
        <f>IF(TabVMAzureEnvProjet[[#This Row],[Projet AzureDevOps]]&lt;&gt;"",TabVMAzureEnvProjet[[#This Row],[Projet AzureDevOps]],TabVMAzureEnvProjet[[#This Row],[VM]])</f>
        <v>OFB-SISPEA</v>
      </c>
      <c r="C534" s="57" t="s">
        <v>9</v>
      </c>
      <c r="E534" t="s">
        <v>4</v>
      </c>
      <c r="F534" t="s">
        <v>9</v>
      </c>
      <c r="G534" t="str">
        <f>LOOKUP(TabVMAzureEnvProjet[[#This Row],[Projet]],TabProjets[NomProj],TabProjets[SYGES])</f>
        <v>AFB/OFB_LOT2</v>
      </c>
      <c r="H534" t="str">
        <f>LOOKUP(TabVMAzureEnvProjet[[#This Row],[Projet]],TabProjets[NomProj],TabProjets[CP])</f>
        <v>Pierre BOURLIEUX</v>
      </c>
      <c r="I534">
        <f>LOOKUP(TabVMAzureEnvProjet[[#This Row],[Code SYGES]],TabCONTRATSDI[Contrat SYGES],TabCONTRATSDI[Cost Center])</f>
        <v>305704</v>
      </c>
      <c r="J534" s="22" t="str">
        <f>LOOKUP(TabVMAzureEnvProjet[[#This Row],[Code SYGES]],TabCONTRATSDI[Contrat SYGES],TabCONTRATSDI[Client])</f>
        <v>AFB</v>
      </c>
      <c r="K534" t="s">
        <v>164</v>
      </c>
      <c r="L534" s="31">
        <v>3.2375913536709415</v>
      </c>
      <c r="M534" s="47" t="s">
        <v>165</v>
      </c>
    </row>
    <row r="535" spans="1:13" x14ac:dyDescent="0.25">
      <c r="A535" s="22" t="str">
        <f>TabVMAzureEnvProjet[[#This Row],[Client]] &amp; " .:. "  &amp; TabVMAzureEnvProjet[[#This Row],[Projet]]</f>
        <v>PCM .:. PCM-ALS</v>
      </c>
      <c r="B535" s="22" t="str">
        <f>IF(TabVMAzureEnvProjet[[#This Row],[Projet AzureDevOps]]&lt;&gt;"",TabVMAzureEnvProjet[[#This Row],[Projet AzureDevOps]],TabVMAzureEnvProjet[[#This Row],[VM]])</f>
        <v>PCM-ALS</v>
      </c>
      <c r="C535" s="57" t="s">
        <v>71</v>
      </c>
      <c r="E535" t="s">
        <v>4</v>
      </c>
      <c r="F535" t="s">
        <v>71</v>
      </c>
      <c r="G535" t="str">
        <f>LOOKUP(TabVMAzureEnvProjet[[#This Row],[Projet]],TabProjets[NomProj],TabProjets[SYGES])</f>
        <v>PCM/WEB</v>
      </c>
      <c r="H535" t="str">
        <f>LOOKUP(TabVMAzureEnvProjet[[#This Row],[Projet]],TabProjets[NomProj],TabProjets[CP])</f>
        <v>Alice MARCHAL</v>
      </c>
      <c r="I535">
        <f>LOOKUP(TabVMAzureEnvProjet[[#This Row],[Code SYGES]],TabCONTRATSDI[Contrat SYGES],TabCONTRATSDI[Cost Center])</f>
        <v>305704</v>
      </c>
      <c r="J535" s="22" t="str">
        <f>LOOKUP(TabVMAzureEnvProjet[[#This Row],[Code SYGES]],TabCONTRATSDI[Contrat SYGES],TabCONTRATSDI[Client])</f>
        <v>PCM</v>
      </c>
      <c r="K535" t="s">
        <v>164</v>
      </c>
      <c r="L535" s="31">
        <v>4.1067339334349473</v>
      </c>
      <c r="M535" s="47" t="s">
        <v>165</v>
      </c>
    </row>
    <row r="536" spans="1:13" x14ac:dyDescent="0.25">
      <c r="A536" s="22" t="str">
        <f>TabVMAzureEnvProjet[[#This Row],[Client]] &amp; " .:. "  &amp; TabVMAzureEnvProjet[[#This Row],[Projet]]</f>
        <v>PCM .:. PCM-WEB</v>
      </c>
      <c r="B536" s="22" t="str">
        <f>IF(TabVMAzureEnvProjet[[#This Row],[Projet AzureDevOps]]&lt;&gt;"",TabVMAzureEnvProjet[[#This Row],[Projet AzureDevOps]],TabVMAzureEnvProjet[[#This Row],[VM]])</f>
        <v>PCM-Web</v>
      </c>
      <c r="C536" s="57" t="s">
        <v>73</v>
      </c>
      <c r="E536" t="s">
        <v>4</v>
      </c>
      <c r="F536" t="s">
        <v>72</v>
      </c>
      <c r="G536" t="str">
        <f>LOOKUP(TabVMAzureEnvProjet[[#This Row],[Projet]],TabProjets[NomProj],TabProjets[SYGES])</f>
        <v>PCM/WEB</v>
      </c>
      <c r="H536" t="str">
        <f>LOOKUP(TabVMAzureEnvProjet[[#This Row],[Projet]],TabProjets[NomProj],TabProjets[CP])</f>
        <v>Rodolphe HABEGGER</v>
      </c>
      <c r="I536">
        <f>LOOKUP(TabVMAzureEnvProjet[[#This Row],[Code SYGES]],TabCONTRATSDI[Contrat SYGES],TabCONTRATSDI[Cost Center])</f>
        <v>305704</v>
      </c>
      <c r="J536" s="22" t="str">
        <f>LOOKUP(TabVMAzureEnvProjet[[#This Row],[Code SYGES]],TabCONTRATSDI[Contrat SYGES],TabCONTRATSDI[Client])</f>
        <v>PCM</v>
      </c>
      <c r="K536" t="s">
        <v>164</v>
      </c>
      <c r="L536" s="31">
        <v>2.4007760749608575</v>
      </c>
      <c r="M536" s="47" t="s">
        <v>165</v>
      </c>
    </row>
    <row r="537" spans="1:13" x14ac:dyDescent="0.25">
      <c r="A537" s="22" t="str">
        <f>TabVMAzureEnvProjet[[#This Row],[Client]] &amp; " .:. "  &amp; TabVMAzureEnvProjet[[#This Row],[Projet]]</f>
        <v>SAFT .:. SAFT-PDM</v>
      </c>
      <c r="B537" s="22" t="str">
        <f>IF(TabVMAzureEnvProjet[[#This Row],[Projet AzureDevOps]]&lt;&gt;"",TabVMAzureEnvProjet[[#This Row],[Projet AzureDevOps]],TabVMAzureEnvProjet[[#This Row],[VM]])</f>
        <v>SAFT-PDM</v>
      </c>
      <c r="C537" s="57" t="s">
        <v>94</v>
      </c>
      <c r="E537" t="s">
        <v>4</v>
      </c>
      <c r="F537" t="s">
        <v>94</v>
      </c>
      <c r="G537" t="str">
        <f>LOOKUP(TabVMAzureEnvProjet[[#This Row],[Projet]],TabProjets[NomProj],TabProjets[SYGES])</f>
        <v>SAFT/TMA</v>
      </c>
      <c r="H537" t="str">
        <f>LOOKUP(TabVMAzureEnvProjet[[#This Row],[Projet]],TabProjets[NomProj],TabProjets[CP])</f>
        <v>Pierre BOURLIEUX</v>
      </c>
      <c r="I537">
        <f>LOOKUP(TabVMAzureEnvProjet[[#This Row],[Code SYGES]],TabCONTRATSDI[Contrat SYGES],TabCONTRATSDI[Cost Center])</f>
        <v>305704</v>
      </c>
      <c r="J537" s="22" t="str">
        <f>LOOKUP(TabVMAzureEnvProjet[[#This Row],[Code SYGES]],TabCONTRATSDI[Contrat SYGES],TabCONTRATSDI[Client])</f>
        <v>SAFT</v>
      </c>
      <c r="K537" t="s">
        <v>164</v>
      </c>
      <c r="L537" s="31">
        <v>2.7332854572297656</v>
      </c>
      <c r="M537" s="47" t="s">
        <v>165</v>
      </c>
    </row>
    <row r="538" spans="1:13" x14ac:dyDescent="0.25">
      <c r="A538" s="22" t="str">
        <f>TabVMAzureEnvProjet[[#This Row],[Client]] &amp; " .:. "  &amp; TabVMAzureEnvProjet[[#This Row],[Projet]]</f>
        <v>SPC .:. SPC-BUILD</v>
      </c>
      <c r="B538" s="22" t="str">
        <f>IF(TabVMAzureEnvProjet[[#This Row],[Projet AzureDevOps]]&lt;&gt;"",TabVMAzureEnvProjet[[#This Row],[Projet AzureDevOps]],TabVMAzureEnvProjet[[#This Row],[VM]])</f>
        <v>SPC-BUILD</v>
      </c>
      <c r="C538" s="57" t="s">
        <v>67</v>
      </c>
      <c r="E538" t="s">
        <v>4</v>
      </c>
      <c r="F538" t="s">
        <v>67</v>
      </c>
      <c r="G538" t="str">
        <f>LOOKUP(TabVMAzureEnvProjet[[#This Row],[Projet]],TabProjets[NomProj],TabProjets[SYGES])</f>
        <v>SPC/BUILD</v>
      </c>
      <c r="H538" t="str">
        <f>LOOKUP(TabVMAzureEnvProjet[[#This Row],[Projet]],TabProjets[NomProj],TabProjets[CP])</f>
        <v>Nicolas DURFORT</v>
      </c>
      <c r="I538">
        <f>LOOKUP(TabVMAzureEnvProjet[[#This Row],[Code SYGES]],TabCONTRATSDI[Contrat SYGES],TabCONTRATSDI[Cost Center])</f>
        <v>305704</v>
      </c>
      <c r="J538" s="22" t="str">
        <f>LOOKUP(TabVMAzureEnvProjet[[#This Row],[Code SYGES]],TabCONTRATSDI[Contrat SYGES],TabCONTRATSDI[Client])</f>
        <v>SPC</v>
      </c>
      <c r="K538" t="s">
        <v>164</v>
      </c>
      <c r="L538" s="31">
        <v>40.856329288536301</v>
      </c>
      <c r="M538" s="47" t="s">
        <v>165</v>
      </c>
    </row>
    <row r="539" spans="1:13" x14ac:dyDescent="0.25">
      <c r="A539" s="22" t="str">
        <f>TabVMAzureEnvProjet[[#This Row],[Client]] &amp; " .:. "  &amp; TabVMAzureEnvProjet[[#This Row],[Projet]]</f>
        <v>SPC .:. SPC-WEB</v>
      </c>
      <c r="B539" s="22" t="str">
        <f>IF(TabVMAzureEnvProjet[[#This Row],[Projet AzureDevOps]]&lt;&gt;"",TabVMAzureEnvProjet[[#This Row],[Projet AzureDevOps]],TabVMAzureEnvProjet[[#This Row],[VM]])</f>
        <v>SPC-WEB</v>
      </c>
      <c r="C539" s="57" t="s">
        <v>69</v>
      </c>
      <c r="E539" t="s">
        <v>4</v>
      </c>
      <c r="F539" t="s">
        <v>69</v>
      </c>
      <c r="G539" t="str">
        <f>LOOKUP(TabVMAzureEnvProjet[[#This Row],[Projet]],TabProjets[NomProj],TabProjets[SYGES])</f>
        <v>SPC/BUILD-0-1-SITE-WEB</v>
      </c>
      <c r="H539" t="str">
        <f>LOOKUP(TabVMAzureEnvProjet[[#This Row],[Projet]],TabProjets[NomProj],TabProjets[CP])</f>
        <v>Nicolas DURFORT</v>
      </c>
      <c r="I539">
        <f>LOOKUP(TabVMAzureEnvProjet[[#This Row],[Code SYGES]],TabCONTRATSDI[Contrat SYGES],TabCONTRATSDI[Cost Center])</f>
        <v>305704</v>
      </c>
      <c r="J539" s="22" t="str">
        <f>LOOKUP(TabVMAzureEnvProjet[[#This Row],[Code SYGES]],TabCONTRATSDI[Contrat SYGES],TabCONTRATSDI[Client])</f>
        <v>SPC</v>
      </c>
      <c r="K539" t="s">
        <v>164</v>
      </c>
      <c r="L539" s="31">
        <v>3.1422136624411761</v>
      </c>
      <c r="M539" s="47" t="s">
        <v>165</v>
      </c>
    </row>
    <row r="540" spans="1:13" x14ac:dyDescent="0.25">
      <c r="A540" s="22" t="str">
        <f>TabVMAzureEnvProjet[[#This Row],[Client]] &amp; " .:. "  &amp; TabVMAzureEnvProjet[[#This Row],[Projet]]</f>
        <v>STMICRO .:. STMICRO-DATAPACK</v>
      </c>
      <c r="B540" s="22" t="str">
        <f>IF(TabVMAzureEnvProjet[[#This Row],[Projet AzureDevOps]]&lt;&gt;"",TabVMAzureEnvProjet[[#This Row],[Projet AzureDevOps]],TabVMAzureEnvProjet[[#This Row],[VM]])</f>
        <v>STMICRO-DATAPACK</v>
      </c>
      <c r="C540" s="57" t="s">
        <v>96</v>
      </c>
      <c r="E540" t="s">
        <v>4</v>
      </c>
      <c r="F540" t="s">
        <v>96</v>
      </c>
      <c r="G540" t="str">
        <f>LOOKUP(TabVMAzureEnvProjet[[#This Row],[Projet]],TabProjets[NomProj],TabProjets[SYGES])</f>
        <v>STMICRO/TMASI</v>
      </c>
      <c r="H540" t="str">
        <f>LOOKUP(TabVMAzureEnvProjet[[#This Row],[Projet]],TabProjets[NomProj],TabProjets[CP])</f>
        <v>Jean-Philippe STROIAZZO</v>
      </c>
      <c r="I540">
        <f>LOOKUP(TabVMAzureEnvProjet[[#This Row],[Code SYGES]],TabCONTRATSDI[Contrat SYGES],TabCONTRATSDI[Cost Center])</f>
        <v>305704</v>
      </c>
      <c r="J540" s="22" t="str">
        <f>LOOKUP(TabVMAzureEnvProjet[[#This Row],[Code SYGES]],TabCONTRATSDI[Contrat SYGES],TabCONTRATSDI[Client])</f>
        <v>STMICRO</v>
      </c>
      <c r="K540" t="s">
        <v>164</v>
      </c>
      <c r="L540" s="31">
        <v>3.8938083992663444</v>
      </c>
      <c r="M540" s="47" t="s">
        <v>165</v>
      </c>
    </row>
    <row r="541" spans="1:13" x14ac:dyDescent="0.25">
      <c r="A541" s="22" t="str">
        <f>TabVMAzureEnvProjet[[#This Row],[Client]] &amp; " .:. "  &amp; TabVMAzureEnvProjet[[#This Row],[Projet]]</f>
        <v>STMICRO .:. STMICRO-ROCKET</v>
      </c>
      <c r="B541" s="22" t="str">
        <f>IF(TabVMAzureEnvProjet[[#This Row],[Projet AzureDevOps]]&lt;&gt;"",TabVMAzureEnvProjet[[#This Row],[Projet AzureDevOps]],TabVMAzureEnvProjet[[#This Row],[VM]])</f>
        <v>STMICRO-ROCKET</v>
      </c>
      <c r="C541" s="57" t="s">
        <v>98</v>
      </c>
      <c r="E541" t="s">
        <v>4</v>
      </c>
      <c r="F541" t="s">
        <v>98</v>
      </c>
      <c r="G541" t="str">
        <f>LOOKUP(TabVMAzureEnvProjet[[#This Row],[Projet]],TabProjets[NomProj],TabProjets[SYGES])</f>
        <v>STMICRO/TMASI</v>
      </c>
      <c r="H541" t="str">
        <f>LOOKUP(TabVMAzureEnvProjet[[#This Row],[Projet]],TabProjets[NomProj],TabProjets[CP])</f>
        <v>Jean-Philippe STROIAZZO</v>
      </c>
      <c r="I541">
        <f>LOOKUP(TabVMAzureEnvProjet[[#This Row],[Code SYGES]],TabCONTRATSDI[Contrat SYGES],TabCONTRATSDI[Cost Center])</f>
        <v>305704</v>
      </c>
      <c r="J541" s="22" t="str">
        <f>LOOKUP(TabVMAzureEnvProjet[[#This Row],[Code SYGES]],TabCONTRATSDI[Contrat SYGES],TabCONTRATSDI[Client])</f>
        <v>STMICRO</v>
      </c>
      <c r="K541" t="s">
        <v>164</v>
      </c>
      <c r="L541" s="31">
        <v>5.4067260885898731</v>
      </c>
      <c r="M541" s="47" t="s">
        <v>165</v>
      </c>
    </row>
    <row r="542" spans="1:13" x14ac:dyDescent="0.25">
      <c r="A542" s="22" t="str">
        <f>TabVMAzureEnvProjet[[#This Row],[Client]] &amp; " .:. "  &amp; TabVMAzureEnvProjet[[#This Row],[Projet]]</f>
        <v>ALM .:. ALM-ATOUT</v>
      </c>
      <c r="B542" s="22" t="str">
        <f>IF(TabVMAzureEnvProjet[[#This Row],[Projet AzureDevOps]]&lt;&gt;"",TabVMAzureEnvProjet[[#This Row],[Projet AzureDevOps]],TabVMAzureEnvProjet[[#This Row],[VM]])</f>
        <v>ALM-ATOUT-VM</v>
      </c>
      <c r="D542" t="s">
        <v>18</v>
      </c>
      <c r="E542" t="s">
        <v>6</v>
      </c>
      <c r="F542" t="s">
        <v>17</v>
      </c>
      <c r="G542" t="str">
        <f>LOOKUP(TabVMAzureEnvProjet[[#This Row],[Projet]],TabProjets[NomProj],TabProjets[SYGES])</f>
        <v>ALM/TMA_ATOUT</v>
      </c>
      <c r="H542" t="str">
        <f>LOOKUP(TabVMAzureEnvProjet[[#This Row],[Projet]],TabProjets[NomProj],TabProjets[CP])</f>
        <v>Alice MARCHAL</v>
      </c>
      <c r="I542">
        <f>LOOKUP(TabVMAzureEnvProjet[[#This Row],[Code SYGES]],TabCONTRATSDI[Contrat SYGES],TabCONTRATSDI[Cost Center])</f>
        <v>305704</v>
      </c>
      <c r="J542" s="22" t="str">
        <f>LOOKUP(TabVMAzureEnvProjet[[#This Row],[Code SYGES]],TabCONTRATSDI[Contrat SYGES],TabCONTRATSDI[Client])</f>
        <v>ALM</v>
      </c>
      <c r="K542" t="s">
        <v>164</v>
      </c>
      <c r="L542" s="31">
        <v>26.15</v>
      </c>
      <c r="M542" s="40" t="s">
        <v>167</v>
      </c>
    </row>
    <row r="543" spans="1:13" x14ac:dyDescent="0.25">
      <c r="A543" s="22" t="str">
        <f>TabVMAzureEnvProjet[[#This Row],[Client]] &amp; " .:. "  &amp; TabVMAzureEnvProjet[[#This Row],[Projet]]</f>
        <v>BRGM .:. BRGM-ORRM</v>
      </c>
      <c r="B543" s="22" t="str">
        <f>IF(TabVMAzureEnvProjet[[#This Row],[Projet AzureDevOps]]&lt;&gt;"",TabVMAzureEnvProjet[[#This Row],[Projet AzureDevOps]],TabVMAzureEnvProjet[[#This Row],[VM]])</f>
        <v>BRGM-ORRM-VM</v>
      </c>
      <c r="D543" t="s">
        <v>22</v>
      </c>
      <c r="E543" t="s">
        <v>21</v>
      </c>
      <c r="F543" t="s">
        <v>20</v>
      </c>
      <c r="G543" t="str">
        <f>LOOKUP(TabVMAzureEnvProjet[[#This Row],[Projet]],TabProjets[NomProj],TabProjets[SYGES])</f>
        <v>BRGM/TMA-5-1-ORRM-LOT1</v>
      </c>
      <c r="H543" t="str">
        <f>LOOKUP(TabVMAzureEnvProjet[[#This Row],[Projet]],TabProjets[NomProj],TabProjets[CP])</f>
        <v>Alice MARCHAL</v>
      </c>
      <c r="I543">
        <f>LOOKUP(TabVMAzureEnvProjet[[#This Row],[Code SYGES]],TabCONTRATSDI[Contrat SYGES],TabCONTRATSDI[Cost Center])</f>
        <v>305704</v>
      </c>
      <c r="J543" s="22" t="str">
        <f>LOOKUP(TabVMAzureEnvProjet[[#This Row],[Code SYGES]],TabCONTRATSDI[Contrat SYGES],TabCONTRATSDI[Client])</f>
        <v>BRGM</v>
      </c>
      <c r="K543" t="s">
        <v>164</v>
      </c>
      <c r="L543" s="31">
        <v>4.83</v>
      </c>
      <c r="M543" s="40" t="s">
        <v>167</v>
      </c>
    </row>
    <row r="544" spans="1:13" x14ac:dyDescent="0.25">
      <c r="A544" s="22" t="str">
        <f>TabVMAzureEnvProjet[[#This Row],[Client]] &amp; " .:. "  &amp; TabVMAzureEnvProjet[[#This Row],[Projet]]</f>
        <v>CA-TITRES .:. CATITRES-COMX</v>
      </c>
      <c r="B544" s="22" t="str">
        <f>IF(TabVMAzureEnvProjet[[#This Row],[Projet AzureDevOps]]&lt;&gt;"",TabVMAzureEnvProjet[[#This Row],[Projet AzureDevOps]],TabVMAzureEnvProjet[[#This Row],[VM]])</f>
        <v>CATITRES-COMX-VM</v>
      </c>
      <c r="D544" t="s">
        <v>25</v>
      </c>
      <c r="E544" t="s">
        <v>10</v>
      </c>
      <c r="F544" t="s">
        <v>24</v>
      </c>
      <c r="G544" t="str">
        <f>LOOKUP(TabVMAzureEnvProjet[[#This Row],[Projet]],TabProjets[NomProj],TabProjets[SYGES])</f>
        <v>CA-TITRES/TMA</v>
      </c>
      <c r="H544" t="str">
        <f>LOOKUP(TabVMAzureEnvProjet[[#This Row],[Projet]],TabProjets[NomProj],TabProjets[CP])</f>
        <v>Jean-Philippe STROIAZZO</v>
      </c>
      <c r="I544">
        <f>LOOKUP(TabVMAzureEnvProjet[[#This Row],[Code SYGES]],TabCONTRATSDI[Contrat SYGES],TabCONTRATSDI[Cost Center])</f>
        <v>305704</v>
      </c>
      <c r="J544" s="22" t="str">
        <f>LOOKUP(TabVMAzureEnvProjet[[#This Row],[Code SYGES]],TabCONTRATSDI[Contrat SYGES],TabCONTRATSDI[Client])</f>
        <v>CA-TITRES</v>
      </c>
      <c r="K544" t="s">
        <v>164</v>
      </c>
      <c r="L544" s="31">
        <v>14.32</v>
      </c>
      <c r="M544" s="40" t="s">
        <v>167</v>
      </c>
    </row>
    <row r="545" spans="1:13" x14ac:dyDescent="0.25">
      <c r="A545" s="22" t="str">
        <f>TabVMAzureEnvProjet[[#This Row],[Client]] &amp; " .:. "  &amp; TabVMAzureEnvProjet[[#This Row],[Projet]]</f>
        <v>EBR .:. EBR-LAPOSTE</v>
      </c>
      <c r="B545" s="22" t="str">
        <f>IF(TabVMAzureEnvProjet[[#This Row],[Projet AzureDevOps]]&lt;&gt;"",TabVMAzureEnvProjet[[#This Row],[Projet AzureDevOps]],TabVMAzureEnvProjet[[#This Row],[VM]])</f>
        <v>EBR-LAPOSTE-VM</v>
      </c>
      <c r="D545" t="s">
        <v>76</v>
      </c>
      <c r="E545" t="s">
        <v>10</v>
      </c>
      <c r="F545" t="s">
        <v>75</v>
      </c>
      <c r="G545" t="str">
        <f>LOOKUP(TabVMAzureEnvProjet[[#This Row],[Projet]],TabProjets[NomProj],TabProjets[SYGES])</f>
        <v>EBR/TMA</v>
      </c>
      <c r="H545" t="str">
        <f>LOOKUP(TabVMAzureEnvProjet[[#This Row],[Projet]],TabProjets[NomProj],TabProjets[CP])</f>
        <v>Valerie ASSELIN LOZACHMEUR</v>
      </c>
      <c r="I545">
        <f>LOOKUP(TabVMAzureEnvProjet[[#This Row],[Code SYGES]],TabCONTRATSDI[Contrat SYGES],TabCONTRATSDI[Cost Center])</f>
        <v>305704</v>
      </c>
      <c r="J545" s="22" t="str">
        <f>LOOKUP(TabVMAzureEnvProjet[[#This Row],[Code SYGES]],TabCONTRATSDI[Contrat SYGES],TabCONTRATSDI[Client])</f>
        <v>EBR</v>
      </c>
      <c r="K545" t="s">
        <v>164</v>
      </c>
      <c r="L545" s="31">
        <v>113.25</v>
      </c>
      <c r="M545" s="40" t="s">
        <v>167</v>
      </c>
    </row>
    <row r="546" spans="1:13" x14ac:dyDescent="0.25">
      <c r="A546" s="22" t="str">
        <f>TabVMAzureEnvProjet[[#This Row],[Client]] &amp; " .:. "  &amp; TabVMAzureEnvProjet[[#This Row],[Projet]]</f>
        <v>INETUM .:. INETUM-INTERNE</v>
      </c>
      <c r="B546" s="22" t="str">
        <f>IF(TabVMAzureEnvProjet[[#This Row],[Projet AzureDevOps]]&lt;&gt;"",TabVMAzureEnvProjet[[#This Row],[Projet AzureDevOps]],TabVMAzureEnvProjet[[#This Row],[VM]])</f>
        <v>GFI-PMT-VM</v>
      </c>
      <c r="D546" t="s">
        <v>121</v>
      </c>
      <c r="E546" t="s">
        <v>10</v>
      </c>
      <c r="F546" t="s">
        <v>102</v>
      </c>
      <c r="G546" t="str">
        <f>LOOKUP(TabVMAzureEnvProjet[[#This Row],[Projet]],TabProjets[NomProj],TabProjets[SYGES])</f>
        <v>INETUM/PROJET_INTERNE</v>
      </c>
      <c r="H546" t="str">
        <f>LOOKUP(TabVMAzureEnvProjet[[#This Row],[Projet]],TabProjets[NomProj],TabProjets[CP])</f>
        <v>Christophe ORLANDO</v>
      </c>
      <c r="I546">
        <f>LOOKUP(TabVMAzureEnvProjet[[#This Row],[Code SYGES]],TabCONTRATSDI[Contrat SYGES],TabCONTRATSDI[Cost Center])</f>
        <v>305704</v>
      </c>
      <c r="J546" s="22" t="str">
        <f>LOOKUP(TabVMAzureEnvProjet[[#This Row],[Code SYGES]],TabCONTRATSDI[Contrat SYGES],TabCONTRATSDI[Client])</f>
        <v>INETUM</v>
      </c>
      <c r="K546" t="s">
        <v>164</v>
      </c>
      <c r="L546" s="31">
        <v>30.24</v>
      </c>
      <c r="M546" s="40" t="s">
        <v>167</v>
      </c>
    </row>
    <row r="547" spans="1:13" x14ac:dyDescent="0.25">
      <c r="A547" s="22" t="str">
        <f>TabVMAzureEnvProjet[[#This Row],[Client]] &amp; " .:. "  &amp; TabVMAzureEnvProjet[[#This Row],[Projet]]</f>
        <v>MENESR .:. MENJ-BI</v>
      </c>
      <c r="B547" s="22" t="str">
        <f>IF(TabVMAzureEnvProjet[[#This Row],[Projet AzureDevOps]]&lt;&gt;"",TabVMAzureEnvProjet[[#This Row],[Projet AzureDevOps]],TabVMAzureEnvProjet[[#This Row],[VM]])</f>
        <v>MENJ-BI-VM</v>
      </c>
      <c r="D547" t="s">
        <v>52</v>
      </c>
      <c r="E547" t="s">
        <v>6</v>
      </c>
      <c r="F547" t="s">
        <v>51</v>
      </c>
      <c r="G547" t="str">
        <f>LOOKUP(TabVMAzureEnvProjet[[#This Row],[Projet]],TabProjets[NomProj],TabProjets[SYGES])</f>
        <v>MENESR/TMA</v>
      </c>
      <c r="H547" t="str">
        <f>LOOKUP(TabVMAzureEnvProjet[[#This Row],[Projet]],TabProjets[NomProj],TabProjets[CP])</f>
        <v>Eric PERROUD</v>
      </c>
      <c r="I547">
        <f>LOOKUP(TabVMAzureEnvProjet[[#This Row],[Code SYGES]],TabCONTRATSDI[Contrat SYGES],TabCONTRATSDI[Cost Center])</f>
        <v>305704</v>
      </c>
      <c r="J547" s="22" t="str">
        <f>LOOKUP(TabVMAzureEnvProjet[[#This Row],[Code SYGES]],TabCONTRATSDI[Contrat SYGES],TabCONTRATSDI[Client])</f>
        <v>MENESR</v>
      </c>
      <c r="K547" t="s">
        <v>164</v>
      </c>
      <c r="L547" s="31">
        <v>4.2300000000000004</v>
      </c>
      <c r="M547" s="40" t="s">
        <v>167</v>
      </c>
    </row>
    <row r="548" spans="1:13" x14ac:dyDescent="0.25">
      <c r="A548" s="22" t="str">
        <f>TabVMAzureEnvProjet[[#This Row],[Client]] &amp; " .:. "  &amp; TabVMAzureEnvProjet[[#This Row],[Projet]]</f>
        <v>AFB .:. AFB-NatureFrance</v>
      </c>
      <c r="B548" s="22" t="str">
        <f>IF(TabVMAzureEnvProjet[[#This Row],[Projet AzureDevOps]]&lt;&gt;"",TabVMAzureEnvProjet[[#This Row],[Projet AzureDevOps]],TabVMAzureEnvProjet[[#This Row],[VM]])</f>
        <v>OFB-FRANCENATURE-VM</v>
      </c>
      <c r="D548" t="s">
        <v>80</v>
      </c>
      <c r="E548" t="s">
        <v>6</v>
      </c>
      <c r="F548" t="s">
        <v>147</v>
      </c>
      <c r="G548" t="str">
        <f>LOOKUP(TabVMAzureEnvProjet[[#This Row],[Projet]],TabProjets[NomProj],TabProjets[SYGES])</f>
        <v>AFB/OFB_LOT2</v>
      </c>
      <c r="H548" t="str">
        <f>LOOKUP(TabVMAzureEnvProjet[[#This Row],[Projet]],TabProjets[NomProj],TabProjets[CP])</f>
        <v>Rodolphe HABEGGER</v>
      </c>
      <c r="I548">
        <f>LOOKUP(TabVMAzureEnvProjet[[#This Row],[Code SYGES]],TabCONTRATSDI[Contrat SYGES],TabCONTRATSDI[Cost Center])</f>
        <v>305704</v>
      </c>
      <c r="J548" s="22" t="str">
        <f>LOOKUP(TabVMAzureEnvProjet[[#This Row],[Code SYGES]],TabCONTRATSDI[Contrat SYGES],TabCONTRATSDI[Client])</f>
        <v>AFB</v>
      </c>
      <c r="K548" t="s">
        <v>164</v>
      </c>
      <c r="L548" s="31">
        <v>4.09</v>
      </c>
      <c r="M548" s="40" t="s">
        <v>167</v>
      </c>
    </row>
    <row r="549" spans="1:13" x14ac:dyDescent="0.25">
      <c r="A549" s="22" t="str">
        <f>TabVMAzureEnvProjet[[#This Row],[Client]] &amp; " .:. "  &amp; TabVMAzureEnvProjet[[#This Row],[Projet]]</f>
        <v>AFB .:. OFB-SISPEA</v>
      </c>
      <c r="B549" s="22" t="str">
        <f>IF(TabVMAzureEnvProjet[[#This Row],[Projet AzureDevOps]]&lt;&gt;"",TabVMAzureEnvProjet[[#This Row],[Projet AzureDevOps]],TabVMAzureEnvProjet[[#This Row],[VM]])</f>
        <v>OFB-SISPEA-VM</v>
      </c>
      <c r="D549" t="s">
        <v>11</v>
      </c>
      <c r="E549" t="s">
        <v>10</v>
      </c>
      <c r="F549" t="s">
        <v>9</v>
      </c>
      <c r="G549" t="str">
        <f>LOOKUP(TabVMAzureEnvProjet[[#This Row],[Projet]],TabProjets[NomProj],TabProjets[SYGES])</f>
        <v>AFB/OFB_LOT2</v>
      </c>
      <c r="H549" t="str">
        <f>LOOKUP(TabVMAzureEnvProjet[[#This Row],[Projet]],TabProjets[NomProj],TabProjets[CP])</f>
        <v>Pierre BOURLIEUX</v>
      </c>
      <c r="I549">
        <f>LOOKUP(TabVMAzureEnvProjet[[#This Row],[Code SYGES]],TabCONTRATSDI[Contrat SYGES],TabCONTRATSDI[Cost Center])</f>
        <v>305704</v>
      </c>
      <c r="J549" s="22" t="str">
        <f>LOOKUP(TabVMAzureEnvProjet[[#This Row],[Code SYGES]],TabCONTRATSDI[Contrat SYGES],TabCONTRATSDI[Client])</f>
        <v>AFB</v>
      </c>
      <c r="K549" t="s">
        <v>164</v>
      </c>
      <c r="L549" s="31">
        <v>8.58</v>
      </c>
      <c r="M549" s="40" t="s">
        <v>167</v>
      </c>
    </row>
    <row r="550" spans="1:13" x14ac:dyDescent="0.25">
      <c r="A550" s="22" t="str">
        <f>TabVMAzureEnvProjet[[#This Row],[Client]] &amp; " .:. "  &amp; TabVMAzureEnvProjet[[#This Row],[Projet]]</f>
        <v>SPC .:. SPC-BUILD</v>
      </c>
      <c r="B550" s="22" t="str">
        <f>IF(TabVMAzureEnvProjet[[#This Row],[Projet AzureDevOps]]&lt;&gt;"",TabVMAzureEnvProjet[[#This Row],[Projet AzureDevOps]],TabVMAzureEnvProjet[[#This Row],[VM]])</f>
        <v>SPC-BUILDAS-VM</v>
      </c>
      <c r="D550" t="s">
        <v>68</v>
      </c>
      <c r="E550" t="s">
        <v>10</v>
      </c>
      <c r="F550" t="s">
        <v>67</v>
      </c>
      <c r="G550" t="str">
        <f>LOOKUP(TabVMAzureEnvProjet[[#This Row],[Projet]],TabProjets[NomProj],TabProjets[SYGES])</f>
        <v>SPC/BUILD</v>
      </c>
      <c r="H550" t="str">
        <f>LOOKUP(TabVMAzureEnvProjet[[#This Row],[Projet]],TabProjets[NomProj],TabProjets[CP])</f>
        <v>Nicolas DURFORT</v>
      </c>
      <c r="I550">
        <f>LOOKUP(TabVMAzureEnvProjet[[#This Row],[Code SYGES]],TabCONTRATSDI[Contrat SYGES],TabCONTRATSDI[Cost Center])</f>
        <v>305704</v>
      </c>
      <c r="J550" s="22" t="str">
        <f>LOOKUP(TabVMAzureEnvProjet[[#This Row],[Code SYGES]],TabCONTRATSDI[Contrat SYGES],TabCONTRATSDI[Client])</f>
        <v>SPC</v>
      </c>
      <c r="K550" t="s">
        <v>164</v>
      </c>
      <c r="L550" s="31">
        <v>176.82</v>
      </c>
      <c r="M550" s="40" t="s">
        <v>167</v>
      </c>
    </row>
    <row r="551" spans="1:13" x14ac:dyDescent="0.25">
      <c r="A551" s="22" t="str">
        <f>TabVMAzureEnvProjet[[#This Row],[Client]] &amp; " .:. "  &amp; TabVMAzureEnvProjet[[#This Row],[Projet]]</f>
        <v>STMICRO .:. STMICRO-DATAPACK</v>
      </c>
      <c r="B551" s="22" t="str">
        <f>IF(TabVMAzureEnvProjet[[#This Row],[Projet AzureDevOps]]&lt;&gt;"",TabVMAzureEnvProjet[[#This Row],[Projet AzureDevOps]],TabVMAzureEnvProjet[[#This Row],[VM]])</f>
        <v>STMICRO-DATAPACK-VM</v>
      </c>
      <c r="D551" t="s">
        <v>97</v>
      </c>
      <c r="E551" t="s">
        <v>10</v>
      </c>
      <c r="F551" t="s">
        <v>96</v>
      </c>
      <c r="G551" t="str">
        <f>LOOKUP(TabVMAzureEnvProjet[[#This Row],[Projet]],TabProjets[NomProj],TabProjets[SYGES])</f>
        <v>STMICRO/TMASI</v>
      </c>
      <c r="H551" t="str">
        <f>LOOKUP(TabVMAzureEnvProjet[[#This Row],[Projet]],TabProjets[NomProj],TabProjets[CP])</f>
        <v>Jean-Philippe STROIAZZO</v>
      </c>
      <c r="I551">
        <f>LOOKUP(TabVMAzureEnvProjet[[#This Row],[Code SYGES]],TabCONTRATSDI[Contrat SYGES],TabCONTRATSDI[Cost Center])</f>
        <v>305704</v>
      </c>
      <c r="J551" s="22" t="str">
        <f>LOOKUP(TabVMAzureEnvProjet[[#This Row],[Code SYGES]],TabCONTRATSDI[Contrat SYGES],TabCONTRATSDI[Client])</f>
        <v>STMICRO</v>
      </c>
      <c r="K551" t="s">
        <v>164</v>
      </c>
      <c r="L551" s="31">
        <v>14.78</v>
      </c>
      <c r="M551" s="40" t="s">
        <v>167</v>
      </c>
    </row>
    <row r="552" spans="1:13" x14ac:dyDescent="0.25">
      <c r="A552" s="22" t="str">
        <f>TabVMAzureEnvProjet[[#This Row],[Client]] &amp; " .:. "  &amp; TabVMAzureEnvProjet[[#This Row],[Projet]]</f>
        <v>FRR .:. FRR-DIGIPAT</v>
      </c>
      <c r="B552" s="22" t="str">
        <f>IF(TabVMAzureEnvProjet[[#This Row],[Projet AzureDevOps]]&lt;&gt;"",TabVMAzureEnvProjet[[#This Row],[Projet AzureDevOps]],TabVMAzureEnvProjet[[#This Row],[VM]])</f>
        <v>FRR-DIGIPAT-VM</v>
      </c>
      <c r="D552" t="s">
        <v>31</v>
      </c>
      <c r="E552" t="s">
        <v>21</v>
      </c>
      <c r="F552" t="s">
        <v>29</v>
      </c>
      <c r="G552" t="str">
        <f>LOOKUP(TabVMAzureEnvProjet[[#This Row],[Projet]],TabProjets[NomProj],TabProjets[SYGES])</f>
        <v>FRR/TMASI</v>
      </c>
      <c r="H552" t="str">
        <f>LOOKUP(TabVMAzureEnvProjet[[#This Row],[Projet]],TabProjets[NomProj],TabProjets[CP])</f>
        <v>Alice MARCHAL</v>
      </c>
      <c r="I552">
        <f>LOOKUP(TabVMAzureEnvProjet[[#This Row],[Code SYGES]],TabCONTRATSDI[Contrat SYGES],TabCONTRATSDI[Cost Center])</f>
        <v>305704</v>
      </c>
      <c r="J552" s="22" t="str">
        <f>LOOKUP(TabVMAzureEnvProjet[[#This Row],[Code SYGES]],TabCONTRATSDI[Contrat SYGES],TabCONTRATSDI[Client])</f>
        <v>FRR</v>
      </c>
      <c r="K552" t="s">
        <v>164</v>
      </c>
      <c r="L552" s="31">
        <v>13.04</v>
      </c>
      <c r="M552" s="40" t="s">
        <v>167</v>
      </c>
    </row>
    <row r="553" spans="1:13" x14ac:dyDescent="0.25">
      <c r="A553" s="22" t="str">
        <f>TabVMAzureEnvProjet[[#This Row],[Client]] &amp; " .:. "  &amp; TabVMAzureEnvProjet[[#This Row],[Projet]]</f>
        <v>GFI .:. GFI-WAAC</v>
      </c>
      <c r="B553" s="22" t="str">
        <f>IF(TabVMAzureEnvProjet[[#This Row],[Projet AzureDevOps]]&lt;&gt;"",TabVMAzureEnvProjet[[#This Row],[Projet AzureDevOps]],TabVMAzureEnvProjet[[#This Row],[VM]])</f>
        <v>GFI-WAAC-VM</v>
      </c>
      <c r="D553" t="s">
        <v>39</v>
      </c>
      <c r="E553" t="s">
        <v>6</v>
      </c>
      <c r="F553" t="s">
        <v>38</v>
      </c>
      <c r="G553" t="str">
        <f>LOOKUP(TabVMAzureEnvProjet[[#This Row],[Projet]],TabProjets[NomProj],TabProjets[SYGES])</f>
        <v>383928 - WAAC 1.0</v>
      </c>
      <c r="H553" t="str">
        <f>LOOKUP(TabVMAzureEnvProjet[[#This Row],[Projet]],TabProjets[NomProj],TabProjets[CP])</f>
        <v>Laurent MARCIANIAK</v>
      </c>
      <c r="I553">
        <f>LOOKUP(TabVMAzureEnvProjet[[#This Row],[Code SYGES]],TabCONTRATSDI[Contrat SYGES],TabCONTRATSDI[Cost Center])</f>
        <v>100973</v>
      </c>
      <c r="J553" s="22" t="str">
        <f>LOOKUP(TabVMAzureEnvProjet[[#This Row],[Code SYGES]],TabCONTRATSDI[Contrat SYGES],TabCONTRATSDI[Client])</f>
        <v>GFI</v>
      </c>
      <c r="K553" t="s">
        <v>164</v>
      </c>
      <c r="L553" s="31">
        <v>27.19</v>
      </c>
      <c r="M553" s="40" t="s">
        <v>167</v>
      </c>
    </row>
    <row r="554" spans="1:13" x14ac:dyDescent="0.25">
      <c r="A554" s="22" t="str">
        <f>TabVMAzureEnvProjet[[#This Row],[Client]] &amp; " .:. "  &amp; TabVMAzureEnvProjet[[#This Row],[Projet]]</f>
        <v>LAPOSTE .:. LAPOSTE-CDC</v>
      </c>
      <c r="B554" s="22" t="str">
        <f>IF(TabVMAzureEnvProjet[[#This Row],[Projet AzureDevOps]]&lt;&gt;"",TabVMAzureEnvProjet[[#This Row],[Projet AzureDevOps]],TabVMAzureEnvProjet[[#This Row],[VM]])</f>
        <v>LAPOSTE-CDC-VM</v>
      </c>
      <c r="D554" t="s">
        <v>92</v>
      </c>
      <c r="E554" t="s">
        <v>10</v>
      </c>
      <c r="F554" t="s">
        <v>82</v>
      </c>
      <c r="G554" t="str">
        <f>LOOKUP(TabVMAzureEnvProjet[[#This Row],[Projet]],TabProjets[NomProj],TabProjets[SYGES])</f>
        <v>LA-POSTE/CDC_DRUPAL</v>
      </c>
      <c r="H554" t="str">
        <f>LOOKUP(TabVMAzureEnvProjet[[#This Row],[Projet]],TabProjets[NomProj],TabProjets[CP])</f>
        <v>Rodolphe HABEGGER</v>
      </c>
      <c r="I554">
        <f>LOOKUP(TabVMAzureEnvProjet[[#This Row],[Code SYGES]],TabCONTRATSDI[Contrat SYGES],TabCONTRATSDI[Cost Center])</f>
        <v>305704</v>
      </c>
      <c r="J554" s="22" t="str">
        <f>LOOKUP(TabVMAzureEnvProjet[[#This Row],[Code SYGES]],TabCONTRATSDI[Contrat SYGES],TabCONTRATSDI[Client])</f>
        <v>LAPOSTE</v>
      </c>
      <c r="K554" t="s">
        <v>164</v>
      </c>
      <c r="L554" s="31">
        <v>4.29</v>
      </c>
      <c r="M554" s="40" t="s">
        <v>167</v>
      </c>
    </row>
    <row r="555" spans="1:13" x14ac:dyDescent="0.25">
      <c r="A555" s="22" t="str">
        <f>TabVMAzureEnvProjet[[#This Row],[Client]] &amp; " .:. "  &amp; TabVMAzureEnvProjet[[#This Row],[Projet]]</f>
        <v>MENESR .:. MENJ-INSERJEUNES</v>
      </c>
      <c r="B555" s="22" t="str">
        <f>IF(TabVMAzureEnvProjet[[#This Row],[Projet AzureDevOps]]&lt;&gt;"",TabVMAzureEnvProjet[[#This Row],[Projet AzureDevOps]],TabVMAzureEnvProjet[[#This Row],[VM]])</f>
        <v>MENJ-INERJEUNES</v>
      </c>
      <c r="D555" t="s">
        <v>55</v>
      </c>
      <c r="E555" t="s">
        <v>21</v>
      </c>
      <c r="F555" t="s">
        <v>53</v>
      </c>
      <c r="G555" t="str">
        <f>LOOKUP(TabVMAzureEnvProjet[[#This Row],[Projet]],TabProjets[NomProj],TabProjets[SYGES])</f>
        <v>MENESR - TMA - 23 - 1 - INSERJEUNES</v>
      </c>
      <c r="H555" t="str">
        <f>LOOKUP(TabVMAzureEnvProjet[[#This Row],[Projet]],TabProjets[NomProj],TabProjets[CP])</f>
        <v>Christophe ORLANDO</v>
      </c>
      <c r="I555">
        <f>LOOKUP(TabVMAzureEnvProjet[[#This Row],[Code SYGES]],TabCONTRATSDI[Contrat SYGES],TabCONTRATSDI[Cost Center])</f>
        <v>305704</v>
      </c>
      <c r="J555" s="22" t="str">
        <f>LOOKUP(TabVMAzureEnvProjet[[#This Row],[Code SYGES]],TabCONTRATSDI[Contrat SYGES],TabCONTRATSDI[Client])</f>
        <v>MENESR</v>
      </c>
      <c r="K555" t="s">
        <v>164</v>
      </c>
      <c r="L555" s="31">
        <v>37.67</v>
      </c>
      <c r="M555" s="40" t="s">
        <v>167</v>
      </c>
    </row>
    <row r="556" spans="1:13" x14ac:dyDescent="0.25">
      <c r="A556" s="22" t="str">
        <f>TabVMAzureEnvProjet[[#This Row],[Client]] &amp; " .:. "  &amp; TabVMAzureEnvProjet[[#This Row],[Projet]]</f>
        <v>ONEMA .:. AFB-BASEINDICATEURS</v>
      </c>
      <c r="B556" s="22" t="str">
        <f>IF(TabVMAzureEnvProjet[[#This Row],[Projet AzureDevOps]]&lt;&gt;"",TabVMAzureEnvProjet[[#This Row],[Projet AzureDevOps]],TabVMAzureEnvProjet[[#This Row],[VM]])</f>
        <v>AFB-BaseIndicateurs</v>
      </c>
      <c r="C556" s="57" t="s">
        <v>58</v>
      </c>
      <c r="E556" t="s">
        <v>4</v>
      </c>
      <c r="F556" t="s">
        <v>57</v>
      </c>
      <c r="G556" t="str">
        <f>LOOKUP(TabVMAzureEnvProjet[[#This Row],[Projet]],TabProjets[NomProj],TabProjets[SYGES])</f>
        <v>ONEMA/TMADCUA-15</v>
      </c>
      <c r="H556" t="str">
        <f>LOOKUP(TabVMAzureEnvProjet[[#This Row],[Projet]],TabProjets[NomProj],TabProjets[CP])</f>
        <v>Pierre BOURLIEUX</v>
      </c>
      <c r="I556">
        <f>LOOKUP(TabVMAzureEnvProjet[[#This Row],[Code SYGES]],TabCONTRATSDI[Contrat SYGES],TabCONTRATSDI[Cost Center])</f>
        <v>305704</v>
      </c>
      <c r="J556" s="22" t="str">
        <f>LOOKUP(TabVMAzureEnvProjet[[#This Row],[Code SYGES]],TabCONTRATSDI[Contrat SYGES],TabCONTRATSDI[Client])</f>
        <v>ONEMA</v>
      </c>
      <c r="K556" t="s">
        <v>168</v>
      </c>
      <c r="L556" s="46">
        <v>0.47451780501809204</v>
      </c>
      <c r="M556" s="40" t="s">
        <v>169</v>
      </c>
    </row>
    <row r="557" spans="1:13" x14ac:dyDescent="0.25">
      <c r="A557" s="22" t="str">
        <f>TabVMAzureEnvProjet[[#This Row],[Client]] &amp; " .:. "  &amp; TabVMAzureEnvProjet[[#This Row],[Projet]]</f>
        <v>ONEMA .:. AFB-CATALOGUE</v>
      </c>
      <c r="B557" s="22" t="str">
        <f>IF(TabVMAzureEnvProjet[[#This Row],[Projet AzureDevOps]]&lt;&gt;"",TabVMAzureEnvProjet[[#This Row],[Projet AzureDevOps]],TabVMAzureEnvProjet[[#This Row],[VM]])</f>
        <v>AFB-Catalogue</v>
      </c>
      <c r="C557" s="57" t="s">
        <v>60</v>
      </c>
      <c r="E557" t="s">
        <v>4</v>
      </c>
      <c r="F557" t="s">
        <v>59</v>
      </c>
      <c r="G557" t="str">
        <f>LOOKUP(TabVMAzureEnvProjet[[#This Row],[Projet]],TabProjets[NomProj],TabProjets[SYGES])</f>
        <v>ONEMA/TMADCUA-15</v>
      </c>
      <c r="H557" t="str">
        <f>LOOKUP(TabVMAzureEnvProjet[[#This Row],[Projet]],TabProjets[NomProj],TabProjets[CP])</f>
        <v>Pierre BOURLIEUX</v>
      </c>
      <c r="I557">
        <f>LOOKUP(TabVMAzureEnvProjet[[#This Row],[Code SYGES]],TabCONTRATSDI[Contrat SYGES],TabCONTRATSDI[Cost Center])</f>
        <v>305704</v>
      </c>
      <c r="J557" s="22" t="str">
        <f>LOOKUP(TabVMAzureEnvProjet[[#This Row],[Code SYGES]],TabCONTRATSDI[Contrat SYGES],TabCONTRATSDI[Client])</f>
        <v>ONEMA</v>
      </c>
      <c r="K557" t="s">
        <v>168</v>
      </c>
      <c r="L557" s="46">
        <v>1.7823097335734492</v>
      </c>
      <c r="M557" s="40" t="s">
        <v>169</v>
      </c>
    </row>
    <row r="558" spans="1:13" x14ac:dyDescent="0.25">
      <c r="A558" s="22" t="str">
        <f>TabVMAzureEnvProjet[[#This Row],[Client]] &amp; " .:. "  &amp; TabVMAzureEnvProjet[[#This Row],[Projet]]</f>
        <v>ONEMA .:. AFB-CDR</v>
      </c>
      <c r="B558" s="22" t="str">
        <f>IF(TabVMAzureEnvProjet[[#This Row],[Projet AzureDevOps]]&lt;&gt;"",TabVMAzureEnvProjet[[#This Row],[Projet AzureDevOps]],TabVMAzureEnvProjet[[#This Row],[VM]])</f>
        <v>AFB-CDR</v>
      </c>
      <c r="C558" s="57" t="s">
        <v>61</v>
      </c>
      <c r="E558" t="s">
        <v>4</v>
      </c>
      <c r="F558" t="s">
        <v>61</v>
      </c>
      <c r="G558" t="str">
        <f>LOOKUP(TabVMAzureEnvProjet[[#This Row],[Projet]],TabProjets[NomProj],TabProjets[SYGES])</f>
        <v>ONEMA/TMAWEB-16</v>
      </c>
      <c r="H558" t="str">
        <f>LOOKUP(TabVMAzureEnvProjet[[#This Row],[Projet]],TabProjets[NomProj],TabProjets[CP])</f>
        <v>Pierre BOURLIEUX</v>
      </c>
      <c r="I558">
        <f>LOOKUP(TabVMAzureEnvProjet[[#This Row],[Code SYGES]],TabCONTRATSDI[Contrat SYGES],TabCONTRATSDI[Cost Center])</f>
        <v>305704</v>
      </c>
      <c r="J558" s="22" t="str">
        <f>LOOKUP(TabVMAzureEnvProjet[[#This Row],[Code SYGES]],TabCONTRATSDI[Contrat SYGES],TabCONTRATSDI[Client])</f>
        <v>ONEMA</v>
      </c>
      <c r="K558" t="s">
        <v>168</v>
      </c>
      <c r="L558" s="46">
        <v>8.5834899484370109</v>
      </c>
      <c r="M558" s="40" t="s">
        <v>169</v>
      </c>
    </row>
    <row r="559" spans="1:13" x14ac:dyDescent="0.25">
      <c r="A559" s="22" t="str">
        <f>TabVMAzureEnvProjet[[#This Row],[Client]] &amp; " .:. "  &amp; TabVMAzureEnvProjet[[#This Row],[Projet]]</f>
        <v>AFB .:. AFB-CESMIA</v>
      </c>
      <c r="B559" s="22" t="str">
        <f>IF(TabVMAzureEnvProjet[[#This Row],[Projet AzureDevOps]]&lt;&gt;"",TabVMAzureEnvProjet[[#This Row],[Projet AzureDevOps]],TabVMAzureEnvProjet[[#This Row],[VM]])</f>
        <v>AFB-CESMIA</v>
      </c>
      <c r="C559" s="57" t="s">
        <v>3</v>
      </c>
      <c r="E559" t="s">
        <v>4</v>
      </c>
      <c r="F559" t="s">
        <v>3</v>
      </c>
      <c r="G559" t="str">
        <f>LOOKUP(TabVMAzureEnvProjet[[#This Row],[Projet]],TabProjets[NomProj],TabProjets[SYGES])</f>
        <v>AFB/OFB_LOT1</v>
      </c>
      <c r="H559" t="str">
        <f>LOOKUP(TabVMAzureEnvProjet[[#This Row],[Projet]],TabProjets[NomProj],TabProjets[CP])</f>
        <v>Jean-Philippe STROIAZZO</v>
      </c>
      <c r="I559">
        <f>LOOKUP(TabVMAzureEnvProjet[[#This Row],[Code SYGES]],TabCONTRATSDI[Contrat SYGES],TabCONTRATSDI[Cost Center])</f>
        <v>305704</v>
      </c>
      <c r="J559" s="22" t="str">
        <f>LOOKUP(TabVMAzureEnvProjet[[#This Row],[Code SYGES]],TabCONTRATSDI[Contrat SYGES],TabCONTRATSDI[Client])</f>
        <v>AFB</v>
      </c>
      <c r="K559" t="s">
        <v>168</v>
      </c>
      <c r="L559" s="46">
        <v>7.7033115450041949</v>
      </c>
      <c r="M559" s="40" t="s">
        <v>169</v>
      </c>
    </row>
    <row r="560" spans="1:13" x14ac:dyDescent="0.25">
      <c r="A560" s="22" t="str">
        <f>TabVMAzureEnvProjet[[#This Row],[Client]] &amp; " .:. "  &amp; TabVMAzureEnvProjet[[#This Row],[Projet]]</f>
        <v>ONEMA .:. AFB-OISON</v>
      </c>
      <c r="B560" s="22" t="str">
        <f>IF(TabVMAzureEnvProjet[[#This Row],[Projet AzureDevOps]]&lt;&gt;"",TabVMAzureEnvProjet[[#This Row],[Projet AzureDevOps]],TabVMAzureEnvProjet[[#This Row],[VM]])</f>
        <v>AFB-OISON</v>
      </c>
      <c r="C560" s="57" t="s">
        <v>62</v>
      </c>
      <c r="E560" t="s">
        <v>4</v>
      </c>
      <c r="F560" t="s">
        <v>62</v>
      </c>
      <c r="G560" t="str">
        <f>LOOKUP(TabVMAzureEnvProjet[[#This Row],[Projet]],TabProjets[NomProj],TabProjets[SYGES])</f>
        <v>ONEMA/TMADCUA-15</v>
      </c>
      <c r="H560" t="str">
        <f>LOOKUP(TabVMAzureEnvProjet[[#This Row],[Projet]],TabProjets[NomProj],TabProjets[CP])</f>
        <v>Jean-Philippe STROIAZZO</v>
      </c>
      <c r="I560">
        <f>LOOKUP(TabVMAzureEnvProjet[[#This Row],[Code SYGES]],TabCONTRATSDI[Contrat SYGES],TabCONTRATSDI[Cost Center])</f>
        <v>305704</v>
      </c>
      <c r="J560" s="22" t="str">
        <f>LOOKUP(TabVMAzureEnvProjet[[#This Row],[Code SYGES]],TabCONTRATSDI[Contrat SYGES],TabCONTRATSDI[Client])</f>
        <v>ONEMA</v>
      </c>
      <c r="K560" t="s">
        <v>168</v>
      </c>
      <c r="L560" s="46">
        <v>5.4631399788822836</v>
      </c>
      <c r="M560" s="40" t="s">
        <v>169</v>
      </c>
    </row>
    <row r="561" spans="1:13" x14ac:dyDescent="0.25">
      <c r="A561" s="22" t="str">
        <f>TabVMAzureEnvProjet[[#This Row],[Client]] &amp; " .:. "  &amp; TabVMAzureEnvProjet[[#This Row],[Projet]]</f>
        <v>ONEMA .:. AFB-PATBIODIV</v>
      </c>
      <c r="B561" s="22" t="str">
        <f>IF(TabVMAzureEnvProjet[[#This Row],[Projet AzureDevOps]]&lt;&gt;"",TabVMAzureEnvProjet[[#This Row],[Projet AzureDevOps]],TabVMAzureEnvProjet[[#This Row],[VM]])</f>
        <v>AFB-PATBiodiv</v>
      </c>
      <c r="C561" s="57" t="s">
        <v>64</v>
      </c>
      <c r="E561" t="s">
        <v>4</v>
      </c>
      <c r="F561" t="s">
        <v>63</v>
      </c>
      <c r="G561" t="str">
        <f>LOOKUP(TabVMAzureEnvProjet[[#This Row],[Projet]],TabProjets[NomProj],TabProjets[SYGES])</f>
        <v>ONEMA/TMADCUA-15</v>
      </c>
      <c r="H561" t="str">
        <f>LOOKUP(TabVMAzureEnvProjet[[#This Row],[Projet]],TabProjets[NomProj],TabProjets[CP])</f>
        <v>Rodolphe HABEGGER</v>
      </c>
      <c r="I561">
        <f>LOOKUP(TabVMAzureEnvProjet[[#This Row],[Code SYGES]],TabCONTRATSDI[Contrat SYGES],TabCONTRATSDI[Cost Center])</f>
        <v>305704</v>
      </c>
      <c r="J561" s="22" t="str">
        <f>LOOKUP(TabVMAzureEnvProjet[[#This Row],[Code SYGES]],TabCONTRATSDI[Contrat SYGES],TabCONTRATSDI[Client])</f>
        <v>ONEMA</v>
      </c>
      <c r="K561" t="s">
        <v>168</v>
      </c>
      <c r="L561" s="46">
        <v>4.9550203381399944</v>
      </c>
      <c r="M561" s="40" t="s">
        <v>169</v>
      </c>
    </row>
    <row r="562" spans="1:13" x14ac:dyDescent="0.25">
      <c r="A562" s="22" t="str">
        <f>TabVMAzureEnvProjet[[#This Row],[Client]] &amp; " .:. "  &amp; TabVMAzureEnvProjet[[#This Row],[Projet]]</f>
        <v>AFB .:. AFB-PNM</v>
      </c>
      <c r="B562" s="22" t="str">
        <f>IF(TabVMAzureEnvProjet[[#This Row],[Projet AzureDevOps]]&lt;&gt;"",TabVMAzureEnvProjet[[#This Row],[Projet AzureDevOps]],TabVMAzureEnvProjet[[#This Row],[VM]])</f>
        <v>AFB-PNM</v>
      </c>
      <c r="C562" s="57" t="s">
        <v>5</v>
      </c>
      <c r="E562" t="s">
        <v>4</v>
      </c>
      <c r="F562" t="s">
        <v>5</v>
      </c>
      <c r="G562" t="str">
        <f>LOOKUP(TabVMAzureEnvProjet[[#This Row],[Projet]],TabProjets[NomProj],TabProjets[SYGES])</f>
        <v>AFB/OFB_LOT2</v>
      </c>
      <c r="H562" t="str">
        <f>LOOKUP(TabVMAzureEnvProjet[[#This Row],[Projet]],TabProjets[NomProj],TabProjets[CP])</f>
        <v>Eric RAUCOURT</v>
      </c>
      <c r="I562">
        <f>LOOKUP(TabVMAzureEnvProjet[[#This Row],[Code SYGES]],TabCONTRATSDI[Contrat SYGES],TabCONTRATSDI[Cost Center])</f>
        <v>305704</v>
      </c>
      <c r="J562" s="22" t="str">
        <f>LOOKUP(TabVMAzureEnvProjet[[#This Row],[Code SYGES]],TabCONTRATSDI[Contrat SYGES],TabCONTRATSDI[Client])</f>
        <v>AFB</v>
      </c>
      <c r="K562" t="s">
        <v>168</v>
      </c>
      <c r="L562" s="46">
        <v>4.3650520144760527</v>
      </c>
      <c r="M562" s="40" t="s">
        <v>169</v>
      </c>
    </row>
    <row r="563" spans="1:13" x14ac:dyDescent="0.25">
      <c r="A563" s="22" t="str">
        <f>TabVMAzureEnvProjet[[#This Row],[Client]] &amp; " .:. "  &amp; TabVMAzureEnvProjet[[#This Row],[Projet]]</f>
        <v>AFB .:. AFB-PNX</v>
      </c>
      <c r="B563" s="22" t="str">
        <f>IF(TabVMAzureEnvProjet[[#This Row],[Projet AzureDevOps]]&lt;&gt;"",TabVMAzureEnvProjet[[#This Row],[Projet AzureDevOps]],TabVMAzureEnvProjet[[#This Row],[VM]])</f>
        <v>AFB-PNX</v>
      </c>
      <c r="C563" s="57" t="s">
        <v>8</v>
      </c>
      <c r="E563" t="s">
        <v>4</v>
      </c>
      <c r="F563" t="s">
        <v>8</v>
      </c>
      <c r="G563" t="str">
        <f>LOOKUP(TabVMAzureEnvProjet[[#This Row],[Projet]],TabProjets[NomProj],TabProjets[SYGES])</f>
        <v>AFB/OFB_LOT2</v>
      </c>
      <c r="H563" t="str">
        <f>LOOKUP(TabVMAzureEnvProjet[[#This Row],[Projet]],TabProjets[NomProj],TabProjets[CP])</f>
        <v>Pierre BOURLIEUX</v>
      </c>
      <c r="I563">
        <f>LOOKUP(TabVMAzureEnvProjet[[#This Row],[Code SYGES]],TabCONTRATSDI[Contrat SYGES],TabCONTRATSDI[Cost Center])</f>
        <v>305704</v>
      </c>
      <c r="J563" s="22" t="str">
        <f>LOOKUP(TabVMAzureEnvProjet[[#This Row],[Code SYGES]],TabCONTRATSDI[Contrat SYGES],TabCONTRATSDI[Client])</f>
        <v>AFB</v>
      </c>
      <c r="K563" t="s">
        <v>168</v>
      </c>
      <c r="L563" s="46">
        <v>2.0184388317848332</v>
      </c>
      <c r="M563" s="40" t="s">
        <v>169</v>
      </c>
    </row>
    <row r="564" spans="1:13" x14ac:dyDescent="0.25">
      <c r="A564" s="22" t="str">
        <f>TabVMAzureEnvProjet[[#This Row],[Client]] &amp; " .:. "  &amp; TabVMAzureEnvProjet[[#This Row],[Projet]]</f>
        <v>ONEMA .:. AFB-RAA</v>
      </c>
      <c r="B564" s="22" t="str">
        <f>IF(TabVMAzureEnvProjet[[#This Row],[Projet AzureDevOps]]&lt;&gt;"",TabVMAzureEnvProjet[[#This Row],[Projet AzureDevOps]],TabVMAzureEnvProjet[[#This Row],[VM]])</f>
        <v>AFB-RAA</v>
      </c>
      <c r="C564" s="57" t="s">
        <v>65</v>
      </c>
      <c r="E564" t="s">
        <v>4</v>
      </c>
      <c r="F564" t="s">
        <v>65</v>
      </c>
      <c r="G564" t="str">
        <f>LOOKUP(TabVMAzureEnvProjet[[#This Row],[Projet]],TabProjets[NomProj],TabProjets[SYGES])</f>
        <v>ONEMA/TMAWEB-16</v>
      </c>
      <c r="H564" t="str">
        <f>LOOKUP(TabVMAzureEnvProjet[[#This Row],[Projet]],TabProjets[NomProj],TabProjets[CP])</f>
        <v>Pierre BOURLIEUX</v>
      </c>
      <c r="I564">
        <f>LOOKUP(TabVMAzureEnvProjet[[#This Row],[Code SYGES]],TabCONTRATSDI[Contrat SYGES],TabCONTRATSDI[Cost Center])</f>
        <v>305704</v>
      </c>
      <c r="J564" s="22" t="str">
        <f>LOOKUP(TabVMAzureEnvProjet[[#This Row],[Code SYGES]],TabCONTRATSDI[Contrat SYGES],TabCONTRATSDI[Client])</f>
        <v>ONEMA</v>
      </c>
      <c r="K564" t="s">
        <v>168</v>
      </c>
      <c r="L564" s="46">
        <v>0.23117534090624997</v>
      </c>
      <c r="M564" s="40" t="s">
        <v>169</v>
      </c>
    </row>
    <row r="565" spans="1:13" x14ac:dyDescent="0.25">
      <c r="A565" s="22" t="str">
        <f>TabVMAzureEnvProjet[[#This Row],[Client]] &amp; " .:. "  &amp; TabVMAzureEnvProjet[[#This Row],[Projet]]</f>
        <v>ALM .:. ALM-ATOUT</v>
      </c>
      <c r="B565" s="22" t="str">
        <f>IF(TabVMAzureEnvProjet[[#This Row],[Projet AzureDevOps]]&lt;&gt;"",TabVMAzureEnvProjet[[#This Row],[Projet AzureDevOps]],TabVMAzureEnvProjet[[#This Row],[VM]])</f>
        <v>ALM-ATOUT</v>
      </c>
      <c r="C565" s="57" t="s">
        <v>17</v>
      </c>
      <c r="E565" t="s">
        <v>4</v>
      </c>
      <c r="F565" t="s">
        <v>17</v>
      </c>
      <c r="G565" t="str">
        <f>LOOKUP(TabVMAzureEnvProjet[[#This Row],[Projet]],TabProjets[NomProj],TabProjets[SYGES])</f>
        <v>ALM/TMA_ATOUT</v>
      </c>
      <c r="H565" t="str">
        <f>LOOKUP(TabVMAzureEnvProjet[[#This Row],[Projet]],TabProjets[NomProj],TabProjets[CP])</f>
        <v>Alice MARCHAL</v>
      </c>
      <c r="I565">
        <f>LOOKUP(TabVMAzureEnvProjet[[#This Row],[Code SYGES]],TabCONTRATSDI[Contrat SYGES],TabCONTRATSDI[Cost Center])</f>
        <v>305704</v>
      </c>
      <c r="J565" s="22" t="str">
        <f>LOOKUP(TabVMAzureEnvProjet[[#This Row],[Code SYGES]],TabCONTRATSDI[Contrat SYGES],TabCONTRATSDI[Client])</f>
        <v>ALM</v>
      </c>
      <c r="K565" t="s">
        <v>168</v>
      </c>
      <c r="L565" s="46">
        <v>7.2021260246712249</v>
      </c>
      <c r="M565" s="40" t="s">
        <v>169</v>
      </c>
    </row>
    <row r="566" spans="1:13" x14ac:dyDescent="0.25">
      <c r="A566" s="22" t="str">
        <f>TabVMAzureEnvProjet[[#This Row],[Client]] &amp; " .:. "  &amp; TabVMAzureEnvProjet[[#This Row],[Projet]]</f>
        <v>ALM .:. ALM-ATOUT</v>
      </c>
      <c r="B566" s="22" t="str">
        <f>IF(TabVMAzureEnvProjet[[#This Row],[Projet AzureDevOps]]&lt;&gt;"",TabVMAzureEnvProjet[[#This Row],[Projet AzureDevOps]],TabVMAzureEnvProjet[[#This Row],[VM]])</f>
        <v>BRGM-ORRM</v>
      </c>
      <c r="C566" s="57" t="s">
        <v>20</v>
      </c>
      <c r="E566" t="s">
        <v>4</v>
      </c>
      <c r="F566" t="s">
        <v>17</v>
      </c>
      <c r="G566" t="str">
        <f>LOOKUP(TabVMAzureEnvProjet[[#This Row],[Projet]],TabProjets[NomProj],TabProjets[SYGES])</f>
        <v>ALM/TMA_ATOUT</v>
      </c>
      <c r="H566" t="str">
        <f>LOOKUP(TabVMAzureEnvProjet[[#This Row],[Projet]],TabProjets[NomProj],TabProjets[CP])</f>
        <v>Alice MARCHAL</v>
      </c>
      <c r="I566">
        <f>LOOKUP(TabVMAzureEnvProjet[[#This Row],[Code SYGES]],TabCONTRATSDI[Contrat SYGES],TabCONTRATSDI[Cost Center])</f>
        <v>305704</v>
      </c>
      <c r="J566" s="22" t="str">
        <f>LOOKUP(TabVMAzureEnvProjet[[#This Row],[Code SYGES]],TabCONTRATSDI[Contrat SYGES],TabCONTRATSDI[Client])</f>
        <v>ALM</v>
      </c>
      <c r="K566" t="s">
        <v>168</v>
      </c>
      <c r="L566" s="46">
        <v>6.30130942926733</v>
      </c>
      <c r="M566" s="40" t="s">
        <v>169</v>
      </c>
    </row>
    <row r="567" spans="1:13" x14ac:dyDescent="0.25">
      <c r="A567" s="22" t="str">
        <f>TabVMAzureEnvProjet[[#This Row],[Client]] &amp; " .:. "  &amp; TabVMAzureEnvProjet[[#This Row],[Projet]]</f>
        <v>CGOS .:. CGOS-BI</v>
      </c>
      <c r="B567" s="22" t="str">
        <f>IF(TabVMAzureEnvProjet[[#This Row],[Projet AzureDevOps]]&lt;&gt;"",TabVMAzureEnvProjet[[#This Row],[Projet AzureDevOps]],TabVMAzureEnvProjet[[#This Row],[VM]])</f>
        <v>CGOS-BI</v>
      </c>
      <c r="C567" s="57" t="s">
        <v>100</v>
      </c>
      <c r="E567" t="s">
        <v>4</v>
      </c>
      <c r="F567" t="s">
        <v>100</v>
      </c>
      <c r="G567" t="str">
        <f>LOOKUP(TabVMAzureEnvProjet[[#This Row],[Projet]],TabProjets[NomProj],TabProjets[SYGES])</f>
        <v>CGOS-BUILDBI-18</v>
      </c>
      <c r="H567" t="str">
        <f>LOOKUP(TabVMAzureEnvProjet[[#This Row],[Projet]],TabProjets[NomProj],TabProjets[CP])</f>
        <v>Valerie ASSELIN LOZACHMEUR</v>
      </c>
      <c r="I567">
        <f>LOOKUP(TabVMAzureEnvProjet[[#This Row],[Code SYGES]],TabCONTRATSDI[Contrat SYGES],TabCONTRATSDI[Cost Center])</f>
        <v>305704</v>
      </c>
      <c r="J567" s="22" t="str">
        <f>LOOKUP(TabVMAzureEnvProjet[[#This Row],[Code SYGES]],TabCONTRATSDI[Contrat SYGES],TabCONTRATSDI[Client])</f>
        <v>CGOS</v>
      </c>
      <c r="K567" t="s">
        <v>168</v>
      </c>
      <c r="L567" s="46">
        <v>4.6235068181249996</v>
      </c>
      <c r="M567" s="40" t="s">
        <v>169</v>
      </c>
    </row>
    <row r="568" spans="1:13" x14ac:dyDescent="0.25">
      <c r="A568" s="22" t="str">
        <f>TabVMAzureEnvProjet[[#This Row],[Client]] &amp; " .:. "  &amp; TabVMAzureEnvProjet[[#This Row],[Projet]]</f>
        <v>CNAV .:. CNAV-BI-RGCU</v>
      </c>
      <c r="B568" s="22" t="str">
        <f>IF(TabVMAzureEnvProjet[[#This Row],[Projet AzureDevOps]]&lt;&gt;"",TabVMAzureEnvProjet[[#This Row],[Projet AzureDevOps]],TabVMAzureEnvProjet[[#This Row],[VM]])</f>
        <v>CNAV-BI-RGCU</v>
      </c>
      <c r="C568" s="57" t="s">
        <v>27</v>
      </c>
      <c r="E568" t="s">
        <v>4</v>
      </c>
      <c r="F568" t="s">
        <v>27</v>
      </c>
      <c r="G568" t="str">
        <f>LOOKUP(TabVMAzureEnvProjet[[#This Row],[Projet]],TabProjets[NomProj],TabProjets[SYGES])</f>
        <v>CNAV/BI-SIRRGCU</v>
      </c>
      <c r="H568" t="str">
        <f>LOOKUP(TabVMAzureEnvProjet[[#This Row],[Projet]],TabProjets[NomProj],TabProjets[CP])</f>
        <v>Valerie ASSELIN LOZACHMEUR</v>
      </c>
      <c r="I568">
        <f>LOOKUP(TabVMAzureEnvProjet[[#This Row],[Code SYGES]],TabCONTRATSDI[Contrat SYGES],TabCONTRATSDI[Cost Center])</f>
        <v>305704</v>
      </c>
      <c r="J568" s="22" t="str">
        <f>LOOKUP(TabVMAzureEnvProjet[[#This Row],[Code SYGES]],TabCONTRATSDI[Contrat SYGES],TabCONTRATSDI[Client])</f>
        <v>CNAV</v>
      </c>
      <c r="K568" t="s">
        <v>168</v>
      </c>
      <c r="L568" s="46">
        <v>0</v>
      </c>
      <c r="M568" s="40" t="s">
        <v>169</v>
      </c>
    </row>
    <row r="569" spans="1:13" x14ac:dyDescent="0.25">
      <c r="A569" s="22" t="str">
        <f>TabVMAzureEnvProjet[[#This Row],[Client]] &amp; " .:. "  &amp; TabVMAzureEnvProjet[[#This Row],[Projet]]</f>
        <v>INETUM .:. INETUM-INTERNE</v>
      </c>
      <c r="B569" s="22" t="str">
        <f>IF(TabVMAzureEnvProjet[[#This Row],[Projet AzureDevOps]]&lt;&gt;"",TabVMAzureEnvProjet[[#This Row],[Projet AzureDevOps]],TabVMAzureEnvProjet[[#This Row],[VM]])</f>
        <v>d8-qa</v>
      </c>
      <c r="C569" s="57" t="s">
        <v>141</v>
      </c>
      <c r="E569" t="s">
        <v>4</v>
      </c>
      <c r="F569" t="s">
        <v>102</v>
      </c>
      <c r="G569" t="str">
        <f>LOOKUP(TabVMAzureEnvProjet[[#This Row],[Projet]],TabProjets[NomProj],TabProjets[SYGES])</f>
        <v>INETUM/PROJET_INTERNE</v>
      </c>
      <c r="H569" t="str">
        <f>LOOKUP(TabVMAzureEnvProjet[[#This Row],[Projet]],TabProjets[NomProj],TabProjets[CP])</f>
        <v>Christophe ORLANDO</v>
      </c>
      <c r="I569">
        <f>LOOKUP(TabVMAzureEnvProjet[[#This Row],[Code SYGES]],TabCONTRATSDI[Contrat SYGES],TabCONTRATSDI[Cost Center])</f>
        <v>305704</v>
      </c>
      <c r="J569" s="22" t="str">
        <f>LOOKUP(TabVMAzureEnvProjet[[#This Row],[Code SYGES]],TabCONTRATSDI[Contrat SYGES],TabCONTRATSDI[Client])</f>
        <v>INETUM</v>
      </c>
      <c r="K569" t="s">
        <v>168</v>
      </c>
      <c r="L569" s="46">
        <v>0.50314633020772059</v>
      </c>
      <c r="M569" s="40" t="s">
        <v>169</v>
      </c>
    </row>
    <row r="570" spans="1:13" x14ac:dyDescent="0.25">
      <c r="A570" s="22" t="str">
        <f>TabVMAzureEnvProjet[[#This Row],[Client]] &amp; " .:. "  &amp; TabVMAzureEnvProjet[[#This Row],[Projet]]</f>
        <v>INETUM .:. INETUM-INTERNE</v>
      </c>
      <c r="B570" s="22" t="str">
        <f>IF(TabVMAzureEnvProjet[[#This Row],[Projet AzureDevOps]]&lt;&gt;"",TabVMAzureEnvProjet[[#This Row],[Projet AzureDevOps]],TabVMAzureEnvProjet[[#This Row],[VM]])</f>
        <v>drupal-qa</v>
      </c>
      <c r="C570" s="57" t="s">
        <v>142</v>
      </c>
      <c r="E570" t="s">
        <v>4</v>
      </c>
      <c r="F570" t="s">
        <v>102</v>
      </c>
      <c r="G570" t="str">
        <f>LOOKUP(TabVMAzureEnvProjet[[#This Row],[Projet]],TabProjets[NomProj],TabProjets[SYGES])</f>
        <v>INETUM/PROJET_INTERNE</v>
      </c>
      <c r="H570" t="str">
        <f>LOOKUP(TabVMAzureEnvProjet[[#This Row],[Projet]],TabProjets[NomProj],TabProjets[CP])</f>
        <v>Christophe ORLANDO</v>
      </c>
      <c r="I570">
        <f>LOOKUP(TabVMAzureEnvProjet[[#This Row],[Code SYGES]],TabCONTRATSDI[Contrat SYGES],TabCONTRATSDI[Cost Center])</f>
        <v>305704</v>
      </c>
      <c r="J570" s="22" t="str">
        <f>LOOKUP(TabVMAzureEnvProjet[[#This Row],[Code SYGES]],TabCONTRATSDI[Contrat SYGES],TabCONTRATSDI[Client])</f>
        <v>INETUM</v>
      </c>
      <c r="K570" t="s">
        <v>168</v>
      </c>
      <c r="L570" s="46">
        <v>0.50314633020772059</v>
      </c>
      <c r="M570" s="40" t="s">
        <v>169</v>
      </c>
    </row>
    <row r="571" spans="1:13" x14ac:dyDescent="0.25">
      <c r="A571" s="22" t="str">
        <f>TabVMAzureEnvProjet[[#This Row],[Client]] &amp; " .:. "  &amp; TabVMAzureEnvProjet[[#This Row],[Projet]]</f>
        <v>FRR .:. FRR-DIGIPAT</v>
      </c>
      <c r="B571" s="22" t="str">
        <f>IF(TabVMAzureEnvProjet[[#This Row],[Projet AzureDevOps]]&lt;&gt;"",TabVMAzureEnvProjet[[#This Row],[Projet AzureDevOps]],TabVMAzureEnvProjet[[#This Row],[VM]])</f>
        <v>FRR DIGIPAT</v>
      </c>
      <c r="C571" s="57" t="s">
        <v>30</v>
      </c>
      <c r="E571" t="s">
        <v>4</v>
      </c>
      <c r="F571" t="s">
        <v>29</v>
      </c>
      <c r="G571" t="str">
        <f>LOOKUP(TabVMAzureEnvProjet[[#This Row],[Projet]],TabProjets[NomProj],TabProjets[SYGES])</f>
        <v>FRR/TMASI</v>
      </c>
      <c r="H571" t="str">
        <f>LOOKUP(TabVMAzureEnvProjet[[#This Row],[Projet]],TabProjets[NomProj],TabProjets[CP])</f>
        <v>Alice MARCHAL</v>
      </c>
      <c r="I571">
        <f>LOOKUP(TabVMAzureEnvProjet[[#This Row],[Code SYGES]],TabCONTRATSDI[Contrat SYGES],TabCONTRATSDI[Cost Center])</f>
        <v>305704</v>
      </c>
      <c r="J571" s="22" t="str">
        <f>LOOKUP(TabVMAzureEnvProjet[[#This Row],[Code SYGES]],TabCONTRATSDI[Contrat SYGES],TabCONTRATSDI[Client])</f>
        <v>FRR</v>
      </c>
      <c r="K571" t="s">
        <v>168</v>
      </c>
      <c r="L571" s="46">
        <v>4.2355037552539141</v>
      </c>
      <c r="M571" s="40" t="s">
        <v>169</v>
      </c>
    </row>
    <row r="572" spans="1:13" x14ac:dyDescent="0.25">
      <c r="A572" s="22" t="str">
        <f>TabVMAzureEnvProjet[[#This Row],[Client]] &amp; " .:. "  &amp; TabVMAzureEnvProjet[[#This Row],[Projet]]</f>
        <v>FRR .:. FRR-APPLIFRR</v>
      </c>
      <c r="B572" s="22" t="str">
        <f>IF(TabVMAzureEnvProjet[[#This Row],[Projet AzureDevOps]]&lt;&gt;"",TabVMAzureEnvProjet[[#This Row],[Projet AzureDevOps]],TabVMAzureEnvProjet[[#This Row],[VM]])</f>
        <v>FRR-APPLIFRR</v>
      </c>
      <c r="C572" s="57" t="s">
        <v>32</v>
      </c>
      <c r="E572" t="s">
        <v>4</v>
      </c>
      <c r="F572" t="s">
        <v>32</v>
      </c>
      <c r="G572" t="str">
        <f>LOOKUP(TabVMAzureEnvProjet[[#This Row],[Projet]],TabProjets[NomProj],TabProjets[SYGES])</f>
        <v>FRR/TMASI</v>
      </c>
      <c r="H572" t="str">
        <f>LOOKUP(TabVMAzureEnvProjet[[#This Row],[Projet]],TabProjets[NomProj],TabProjets[CP])</f>
        <v>Jean-Philippe STROIAZZO</v>
      </c>
      <c r="I572">
        <f>LOOKUP(TabVMAzureEnvProjet[[#This Row],[Code SYGES]],TabCONTRATSDI[Contrat SYGES],TabCONTRATSDI[Cost Center])</f>
        <v>305704</v>
      </c>
      <c r="J572" s="22" t="str">
        <f>LOOKUP(TabVMAzureEnvProjet[[#This Row],[Code SYGES]],TabCONTRATSDI[Contrat SYGES],TabCONTRATSDI[Client])</f>
        <v>FRR</v>
      </c>
      <c r="K572" t="s">
        <v>168</v>
      </c>
      <c r="L572" s="46">
        <v>1.9441324722078241</v>
      </c>
      <c r="M572" s="40" t="s">
        <v>169</v>
      </c>
    </row>
    <row r="573" spans="1:13" x14ac:dyDescent="0.25">
      <c r="A573" s="22" t="str">
        <f>TabVMAzureEnvProjet[[#This Row],[Client]] &amp; " .:. "  &amp; TabVMAzureEnvProjet[[#This Row],[Projet]]</f>
        <v>FRR .:. FRR-CADENCIER</v>
      </c>
      <c r="B573" s="22" t="str">
        <f>IF(TabVMAzureEnvProjet[[#This Row],[Projet AzureDevOps]]&lt;&gt;"",TabVMAzureEnvProjet[[#This Row],[Projet AzureDevOps]],TabVMAzureEnvProjet[[#This Row],[VM]])</f>
        <v>FRR-CADENCIER</v>
      </c>
      <c r="C573" s="57" t="s">
        <v>33</v>
      </c>
      <c r="E573" t="s">
        <v>4</v>
      </c>
      <c r="F573" t="s">
        <v>33</v>
      </c>
      <c r="G573" t="str">
        <f>LOOKUP(TabVMAzureEnvProjet[[#This Row],[Projet]],TabProjets[NomProj],TabProjets[SYGES])</f>
        <v>FRR/TMASI</v>
      </c>
      <c r="H573" t="str">
        <f>LOOKUP(TabVMAzureEnvProjet[[#This Row],[Projet]],TabProjets[NomProj],TabProjets[CP])</f>
        <v>Jean-Philippe STROIAZZO</v>
      </c>
      <c r="I573">
        <f>LOOKUP(TabVMAzureEnvProjet[[#This Row],[Code SYGES]],TabCONTRATSDI[Contrat SYGES],TabCONTRATSDI[Cost Center])</f>
        <v>305704</v>
      </c>
      <c r="J573" s="22" t="str">
        <f>LOOKUP(TabVMAzureEnvProjet[[#This Row],[Code SYGES]],TabCONTRATSDI[Contrat SYGES],TabCONTRATSDI[Client])</f>
        <v>FRR</v>
      </c>
      <c r="K573" t="s">
        <v>168</v>
      </c>
      <c r="L573" s="46">
        <v>2.5220708244734489</v>
      </c>
      <c r="M573" s="40" t="s">
        <v>169</v>
      </c>
    </row>
    <row r="574" spans="1:13" x14ac:dyDescent="0.25">
      <c r="A574" s="22" t="str">
        <f>TabVMAzureEnvProjet[[#This Row],[Client]] &amp; " .:. "  &amp; TabVMAzureEnvProjet[[#This Row],[Projet]]</f>
        <v>FRR .:. FRR-PATAPAIN</v>
      </c>
      <c r="B574" s="22" t="str">
        <f>IF(TabVMAzureEnvProjet[[#This Row],[Projet AzureDevOps]]&lt;&gt;"",TabVMAzureEnvProjet[[#This Row],[Projet AzureDevOps]],TabVMAzureEnvProjet[[#This Row],[VM]])</f>
        <v>FRR-Patapain</v>
      </c>
      <c r="C574" s="57" t="s">
        <v>35</v>
      </c>
      <c r="E574" t="s">
        <v>4</v>
      </c>
      <c r="F574" t="s">
        <v>34</v>
      </c>
      <c r="G574" t="str">
        <f>LOOKUP(TabVMAzureEnvProjet[[#This Row],[Projet]],TabProjets[NomProj],TabProjets[SYGES])</f>
        <v>FRR/TMASI</v>
      </c>
      <c r="H574" t="str">
        <f>LOOKUP(TabVMAzureEnvProjet[[#This Row],[Projet]],TabProjets[NomProj],TabProjets[CP])</f>
        <v>Christophe ORLANDO</v>
      </c>
      <c r="I574">
        <f>LOOKUP(TabVMAzureEnvProjet[[#This Row],[Code SYGES]],TabCONTRATSDI[Contrat SYGES],TabCONTRATSDI[Cost Center])</f>
        <v>305704</v>
      </c>
      <c r="J574" s="22" t="str">
        <f>LOOKUP(TabVMAzureEnvProjet[[#This Row],[Code SYGES]],TabCONTRATSDI[Contrat SYGES],TabCONTRATSDI[Client])</f>
        <v>FRR</v>
      </c>
      <c r="K574" t="s">
        <v>168</v>
      </c>
      <c r="L574" s="46">
        <v>1.3249128090660829</v>
      </c>
      <c r="M574" s="40" t="s">
        <v>169</v>
      </c>
    </row>
    <row r="575" spans="1:13" x14ac:dyDescent="0.25">
      <c r="A575" s="22" t="str">
        <f>TabVMAzureEnvProjet[[#This Row],[Client]] &amp; " .:. "  &amp; TabVMAzureEnvProjet[[#This Row],[Projet]]</f>
        <v>FRR .:. FRR-PATAPAINANDROID</v>
      </c>
      <c r="B575" s="22" t="str">
        <f>IF(TabVMAzureEnvProjet[[#This Row],[Projet AzureDevOps]]&lt;&gt;"",TabVMAzureEnvProjet[[#This Row],[Projet AzureDevOps]],TabVMAzureEnvProjet[[#This Row],[VM]])</f>
        <v>FRR-PATAPAINANDROID</v>
      </c>
      <c r="C575" s="57" t="s">
        <v>36</v>
      </c>
      <c r="E575" t="s">
        <v>4</v>
      </c>
      <c r="F575" t="s">
        <v>36</v>
      </c>
      <c r="G575" t="str">
        <f>LOOKUP(TabVMAzureEnvProjet[[#This Row],[Projet]],TabProjets[NomProj],TabProjets[SYGES])</f>
        <v>FRR/TMASI</v>
      </c>
      <c r="H575" t="str">
        <f>LOOKUP(TabVMAzureEnvProjet[[#This Row],[Projet]],TabProjets[NomProj],TabProjets[CP])</f>
        <v>Jean-Philippe STROIAZZO</v>
      </c>
      <c r="I575">
        <f>LOOKUP(TabVMAzureEnvProjet[[#This Row],[Code SYGES]],TabCONTRATSDI[Contrat SYGES],TabCONTRATSDI[Cost Center])</f>
        <v>305704</v>
      </c>
      <c r="J575" s="22" t="str">
        <f>LOOKUP(TabVMAzureEnvProjet[[#This Row],[Code SYGES]],TabCONTRATSDI[Contrat SYGES],TabCONTRATSDI[Client])</f>
        <v>FRR</v>
      </c>
      <c r="K575" t="s">
        <v>168</v>
      </c>
      <c r="L575" s="46">
        <v>6.5676392903328233</v>
      </c>
      <c r="M575" s="40" t="s">
        <v>169</v>
      </c>
    </row>
    <row r="576" spans="1:13" x14ac:dyDescent="0.25">
      <c r="A576" s="22" t="str">
        <f>TabVMAzureEnvProjet[[#This Row],[Client]] &amp; " .:. "  &amp; TabVMAzureEnvProjet[[#This Row],[Projet]]</f>
        <v>INETUM .:. INETUM-INTERNE</v>
      </c>
      <c r="B576" s="22" t="str">
        <f>IF(TabVMAzureEnvProjet[[#This Row],[Projet AzureDevOps]]&lt;&gt;"",TabVMAzureEnvProjet[[#This Row],[Projet AzureDevOps]],TabVMAzureEnvProjet[[#This Row],[VM]])</f>
        <v>GFI-BaseDocumentaire</v>
      </c>
      <c r="C576" s="57" t="s">
        <v>112</v>
      </c>
      <c r="E576" t="s">
        <v>4</v>
      </c>
      <c r="F576" t="s">
        <v>102</v>
      </c>
      <c r="G576" t="str">
        <f>LOOKUP(TabVMAzureEnvProjet[[#This Row],[Projet]],TabProjets[NomProj],TabProjets[SYGES])</f>
        <v>INETUM/PROJET_INTERNE</v>
      </c>
      <c r="H576" t="str">
        <f>LOOKUP(TabVMAzureEnvProjet[[#This Row],[Projet]],TabProjets[NomProj],TabProjets[CP])</f>
        <v>Christophe ORLANDO</v>
      </c>
      <c r="I576">
        <f>LOOKUP(TabVMAzureEnvProjet[[#This Row],[Code SYGES]],TabCONTRATSDI[Contrat SYGES],TabCONTRATSDI[Cost Center])</f>
        <v>305704</v>
      </c>
      <c r="J576" s="22" t="str">
        <f>LOOKUP(TabVMAzureEnvProjet[[#This Row],[Code SYGES]],TabCONTRATSDI[Contrat SYGES],TabCONTRATSDI[Client])</f>
        <v>INETUM</v>
      </c>
      <c r="K576" t="s">
        <v>168</v>
      </c>
      <c r="L576" s="46">
        <v>1.7007900080959821</v>
      </c>
      <c r="M576" s="40" t="s">
        <v>169</v>
      </c>
    </row>
    <row r="577" spans="1:13" x14ac:dyDescent="0.25">
      <c r="A577" s="22" t="str">
        <f>TabVMAzureEnvProjet[[#This Row],[Client]] &amp; " .:. "  &amp; TabVMAzureEnvProjet[[#This Row],[Projet]]</f>
        <v>INETUM .:. INETUM-INTERNE</v>
      </c>
      <c r="B577" s="22" t="str">
        <f>IF(TabVMAzureEnvProjet[[#This Row],[Projet AzureDevOps]]&lt;&gt;"",TabVMAzureEnvProjet[[#This Row],[Projet AzureDevOps]],TabVMAzureEnvProjet[[#This Row],[VM]])</f>
        <v>GFI-CMIS</v>
      </c>
      <c r="C577" s="57" t="s">
        <v>106</v>
      </c>
      <c r="E577" t="s">
        <v>4</v>
      </c>
      <c r="F577" t="s">
        <v>102</v>
      </c>
      <c r="G577" t="str">
        <f>LOOKUP(TabVMAzureEnvProjet[[#This Row],[Projet]],TabProjets[NomProj],TabProjets[SYGES])</f>
        <v>INETUM/PROJET_INTERNE</v>
      </c>
      <c r="H577" t="str">
        <f>LOOKUP(TabVMAzureEnvProjet[[#This Row],[Projet]],TabProjets[NomProj],TabProjets[CP])</f>
        <v>Christophe ORLANDO</v>
      </c>
      <c r="I577">
        <f>LOOKUP(TabVMAzureEnvProjet[[#This Row],[Code SYGES]],TabCONTRATSDI[Contrat SYGES],TabCONTRATSDI[Cost Center])</f>
        <v>305704</v>
      </c>
      <c r="J577" s="22" t="str">
        <f>LOOKUP(TabVMAzureEnvProjet[[#This Row],[Code SYGES]],TabCONTRATSDI[Contrat SYGES],TabCONTRATSDI[Client])</f>
        <v>INETUM</v>
      </c>
      <c r="K577" t="s">
        <v>168</v>
      </c>
      <c r="L577" s="46">
        <v>0.23117534090624997</v>
      </c>
      <c r="M577" s="40" t="s">
        <v>169</v>
      </c>
    </row>
    <row r="578" spans="1:13" x14ac:dyDescent="0.25">
      <c r="A578" s="22" t="str">
        <f>TabVMAzureEnvProjet[[#This Row],[Client]] &amp; " .:. "  &amp; TabVMAzureEnvProjet[[#This Row],[Projet]]</f>
        <v>INETUM .:. INETUM-INTERNE</v>
      </c>
      <c r="B578" s="22" t="str">
        <f>IF(TabVMAzureEnvProjet[[#This Row],[Projet AzureDevOps]]&lt;&gt;"",TabVMAzureEnvProjet[[#This Row],[Projet AzureDevOps]],TabVMAzureEnvProjet[[#This Row],[VM]])</f>
        <v>GFI-COFFEE</v>
      </c>
      <c r="C578" s="57" t="s">
        <v>107</v>
      </c>
      <c r="E578" t="s">
        <v>4</v>
      </c>
      <c r="F578" t="s">
        <v>102</v>
      </c>
      <c r="G578" t="str">
        <f>LOOKUP(TabVMAzureEnvProjet[[#This Row],[Projet]],TabProjets[NomProj],TabProjets[SYGES])</f>
        <v>INETUM/PROJET_INTERNE</v>
      </c>
      <c r="H578" t="str">
        <f>LOOKUP(TabVMAzureEnvProjet[[#This Row],[Projet]],TabProjets[NomProj],TabProjets[CP])</f>
        <v>Christophe ORLANDO</v>
      </c>
      <c r="I578">
        <f>LOOKUP(TabVMAzureEnvProjet[[#This Row],[Code SYGES]],TabCONTRATSDI[Contrat SYGES],TabCONTRATSDI[Cost Center])</f>
        <v>305704</v>
      </c>
      <c r="J578" s="22" t="str">
        <f>LOOKUP(TabVMAzureEnvProjet[[#This Row],[Code SYGES]],TabCONTRATSDI[Contrat SYGES],TabCONTRATSDI[Client])</f>
        <v>INETUM</v>
      </c>
      <c r="K578" t="s">
        <v>168</v>
      </c>
      <c r="L578" s="46">
        <v>0.70569314592434207</v>
      </c>
      <c r="M578" s="40" t="s">
        <v>169</v>
      </c>
    </row>
    <row r="579" spans="1:13" x14ac:dyDescent="0.25">
      <c r="A579" s="22" t="str">
        <f>TabVMAzureEnvProjet[[#This Row],[Client]] &amp; " .:. "  &amp; TabVMAzureEnvProjet[[#This Row],[Projet]]</f>
        <v>INETUM .:. INETUM-INTERNE</v>
      </c>
      <c r="B579" s="22" t="str">
        <f>IF(TabVMAzureEnvProjet[[#This Row],[Projet AzureDevOps]]&lt;&gt;"",TabVMAzureEnvProjet[[#This Row],[Projet AzureDevOps]],TabVMAzureEnvProjet[[#This Row],[VM]])</f>
        <v>GFI-CRALENIUM</v>
      </c>
      <c r="C579" s="57" t="s">
        <v>108</v>
      </c>
      <c r="E579" t="s">
        <v>4</v>
      </c>
      <c r="F579" t="s">
        <v>102</v>
      </c>
      <c r="G579" t="str">
        <f>LOOKUP(TabVMAzureEnvProjet[[#This Row],[Projet]],TabProjets[NomProj],TabProjets[SYGES])</f>
        <v>INETUM/PROJET_INTERNE</v>
      </c>
      <c r="H579" t="str">
        <f>LOOKUP(TabVMAzureEnvProjet[[#This Row],[Projet]],TabProjets[NomProj],TabProjets[CP])</f>
        <v>Christophe ORLANDO</v>
      </c>
      <c r="I579">
        <f>LOOKUP(TabVMAzureEnvProjet[[#This Row],[Code SYGES]],TabCONTRATSDI[Contrat SYGES],TabCONTRATSDI[Cost Center])</f>
        <v>305704</v>
      </c>
      <c r="J579" s="22" t="str">
        <f>LOOKUP(TabVMAzureEnvProjet[[#This Row],[Code SYGES]],TabCONTRATSDI[Contrat SYGES],TabCONTRATSDI[Client])</f>
        <v>INETUM</v>
      </c>
      <c r="K579" t="s">
        <v>168</v>
      </c>
      <c r="L579" s="46">
        <v>1.9441324722078241</v>
      </c>
      <c r="M579" s="40" t="s">
        <v>169</v>
      </c>
    </row>
    <row r="580" spans="1:13" x14ac:dyDescent="0.25">
      <c r="A580" s="22" t="str">
        <f>TabVMAzureEnvProjet[[#This Row],[Client]] &amp; " .:. "  &amp; TabVMAzureEnvProjet[[#This Row],[Projet]]</f>
        <v>INETUM .:. INETUM-INTERNE</v>
      </c>
      <c r="B580" s="22" t="str">
        <f>IF(TabVMAzureEnvProjet[[#This Row],[Projet AzureDevOps]]&lt;&gt;"",TabVMAzureEnvProjet[[#This Row],[Projet AzureDevOps]],TabVMAzureEnvProjet[[#This Row],[VM]])</f>
        <v>GFI-D8-BS4-THEME</v>
      </c>
      <c r="C580" s="57" t="s">
        <v>103</v>
      </c>
      <c r="E580" t="s">
        <v>4</v>
      </c>
      <c r="F580" t="s">
        <v>102</v>
      </c>
      <c r="G580" t="str">
        <f>LOOKUP(TabVMAzureEnvProjet[[#This Row],[Projet]],TabProjets[NomProj],TabProjets[SYGES])</f>
        <v>INETUM/PROJET_INTERNE</v>
      </c>
      <c r="H580" t="str">
        <f>LOOKUP(TabVMAzureEnvProjet[[#This Row],[Projet]],TabProjets[NomProj],TabProjets[CP])</f>
        <v>Christophe ORLANDO</v>
      </c>
      <c r="I580">
        <f>LOOKUP(TabVMAzureEnvProjet[[#This Row],[Code SYGES]],TabCONTRATSDI[Contrat SYGES],TabCONTRATSDI[Cost Center])</f>
        <v>305704</v>
      </c>
      <c r="J580" s="22" t="str">
        <f>LOOKUP(TabVMAzureEnvProjet[[#This Row],[Code SYGES]],TabCONTRATSDI[Contrat SYGES],TabCONTRATSDI[Client])</f>
        <v>INETUM</v>
      </c>
      <c r="K580" t="s">
        <v>168</v>
      </c>
      <c r="L580" s="46">
        <v>1.271464374984375</v>
      </c>
      <c r="M580" s="40" t="s">
        <v>169</v>
      </c>
    </row>
    <row r="581" spans="1:13" x14ac:dyDescent="0.25">
      <c r="A581" s="22" t="str">
        <f>TabVMAzureEnvProjet[[#This Row],[Client]] &amp; " .:. "  &amp; TabVMAzureEnvProjet[[#This Row],[Projet]]</f>
        <v>INETUM .:. INETUM-INTERNE</v>
      </c>
      <c r="B581" s="22" t="str">
        <f>IF(TabVMAzureEnvProjet[[#This Row],[Projet AzureDevOps]]&lt;&gt;"",TabVMAzureEnvProjet[[#This Row],[Projet AzureDevOps]],TabVMAzureEnvProjet[[#This Row],[VM]])</f>
        <v>GFI-Docker Devbox Install</v>
      </c>
      <c r="C581" s="57" t="s">
        <v>109</v>
      </c>
      <c r="E581" t="s">
        <v>4</v>
      </c>
      <c r="F581" t="s">
        <v>102</v>
      </c>
      <c r="G581" t="str">
        <f>LOOKUP(TabVMAzureEnvProjet[[#This Row],[Projet]],TabProjets[NomProj],TabProjets[SYGES])</f>
        <v>INETUM/PROJET_INTERNE</v>
      </c>
      <c r="H581" t="str">
        <f>LOOKUP(TabVMAzureEnvProjet[[#This Row],[Projet]],TabProjets[NomProj],TabProjets[CP])</f>
        <v>Christophe ORLANDO</v>
      </c>
      <c r="I581">
        <f>LOOKUP(TabVMAzureEnvProjet[[#This Row],[Code SYGES]],TabCONTRATSDI[Contrat SYGES],TabCONTRATSDI[Cost Center])</f>
        <v>305704</v>
      </c>
      <c r="J581" s="22" t="str">
        <f>LOOKUP(TabVMAzureEnvProjet[[#This Row],[Code SYGES]],TabCONTRATSDI[Contrat SYGES],TabCONTRATSDI[Client])</f>
        <v>INETUM</v>
      </c>
      <c r="K581" t="s">
        <v>168</v>
      </c>
      <c r="L581" s="46">
        <v>13.997830844917225</v>
      </c>
      <c r="M581" s="40" t="s">
        <v>169</v>
      </c>
    </row>
    <row r="582" spans="1:13" x14ac:dyDescent="0.25">
      <c r="A582" s="22" t="str">
        <f>TabVMAzureEnvProjet[[#This Row],[Client]] &amp; " .:. "  &amp; TabVMAzureEnvProjet[[#This Row],[Projet]]</f>
        <v>INETUM .:. INETUM-INTERNE</v>
      </c>
      <c r="B582" s="22" t="str">
        <f>IF(TabVMAzureEnvProjet[[#This Row],[Projet AzureDevOps]]&lt;&gt;"",TabVMAzureEnvProjet[[#This Row],[Projet AzureDevOps]],TabVMAzureEnvProjet[[#This Row],[VM]])</f>
        <v>GFI-MineReport</v>
      </c>
      <c r="C582" s="57" t="s">
        <v>104</v>
      </c>
      <c r="E582" t="s">
        <v>4</v>
      </c>
      <c r="F582" t="s">
        <v>102</v>
      </c>
      <c r="G582" t="str">
        <f>LOOKUP(TabVMAzureEnvProjet[[#This Row],[Projet]],TabProjets[NomProj],TabProjets[SYGES])</f>
        <v>INETUM/PROJET_INTERNE</v>
      </c>
      <c r="H582" t="str">
        <f>LOOKUP(TabVMAzureEnvProjet[[#This Row],[Projet]],TabProjets[NomProj],TabProjets[CP])</f>
        <v>Christophe ORLANDO</v>
      </c>
      <c r="I582">
        <f>LOOKUP(TabVMAzureEnvProjet[[#This Row],[Code SYGES]],TabCONTRATSDI[Contrat SYGES],TabCONTRATSDI[Cost Center])</f>
        <v>305704</v>
      </c>
      <c r="J582" s="22" t="str">
        <f>LOOKUP(TabVMAzureEnvProjet[[#This Row],[Code SYGES]],TabCONTRATSDI[Contrat SYGES],TabCONTRATSDI[Client])</f>
        <v>INETUM</v>
      </c>
      <c r="K582" t="s">
        <v>168</v>
      </c>
      <c r="L582" s="46">
        <v>1.6711901579445625</v>
      </c>
      <c r="M582" s="40" t="s">
        <v>169</v>
      </c>
    </row>
    <row r="583" spans="1:13" x14ac:dyDescent="0.25">
      <c r="A583" s="22" t="str">
        <f>TabVMAzureEnvProjet[[#This Row],[Client]] &amp; " .:. "  &amp; TabVMAzureEnvProjet[[#This Row],[Projet]]</f>
        <v>INETUM .:. INETUM-INTERNE</v>
      </c>
      <c r="B583" s="22" t="str">
        <f>IF(TabVMAzureEnvProjet[[#This Row],[Projet AzureDevOps]]&lt;&gt;"",TabVMAzureEnvProjet[[#This Row],[Projet AzureDevOps]],TabVMAzureEnvProjet[[#This Row],[VM]])</f>
        <v>GFI-PMT</v>
      </c>
      <c r="C583" s="57" t="s">
        <v>110</v>
      </c>
      <c r="E583" t="s">
        <v>4</v>
      </c>
      <c r="F583" t="s">
        <v>102</v>
      </c>
      <c r="G583" t="str">
        <f>LOOKUP(TabVMAzureEnvProjet[[#This Row],[Projet]],TabProjets[NomProj],TabProjets[SYGES])</f>
        <v>INETUM/PROJET_INTERNE</v>
      </c>
      <c r="H583" t="str">
        <f>LOOKUP(TabVMAzureEnvProjet[[#This Row],[Projet]],TabProjets[NomProj],TabProjets[CP])</f>
        <v>Christophe ORLANDO</v>
      </c>
      <c r="I583">
        <f>LOOKUP(TabVMAzureEnvProjet[[#This Row],[Code SYGES]],TabCONTRATSDI[Contrat SYGES],TabCONTRATSDI[Cost Center])</f>
        <v>305704</v>
      </c>
      <c r="J583" s="22" t="str">
        <f>LOOKUP(TabVMAzureEnvProjet[[#This Row],[Code SYGES]],TabCONTRATSDI[Contrat SYGES],TabCONTRATSDI[Client])</f>
        <v>INETUM</v>
      </c>
      <c r="K583" t="s">
        <v>168</v>
      </c>
      <c r="L583" s="46">
        <v>8.267342120948733</v>
      </c>
      <c r="M583" s="40" t="s">
        <v>169</v>
      </c>
    </row>
    <row r="584" spans="1:13" x14ac:dyDescent="0.25">
      <c r="A584" s="22" t="str">
        <f>TabVMAzureEnvProjet[[#This Row],[Client]] &amp; " .:. "  &amp; TabVMAzureEnvProjet[[#This Row],[Projet]]</f>
        <v>INETUM .:. INETUM-INTERNE</v>
      </c>
      <c r="B584" s="22" t="str">
        <f>IF(TabVMAzureEnvProjet[[#This Row],[Projet AzureDevOps]]&lt;&gt;"",TabVMAzureEnvProjet[[#This Row],[Projet AzureDevOps]],TabVMAzureEnvProjet[[#This Row],[VM]])</f>
        <v>GFI-POC</v>
      </c>
      <c r="C584" s="57" t="s">
        <v>166</v>
      </c>
      <c r="E584" t="s">
        <v>4</v>
      </c>
      <c r="F584" t="s">
        <v>102</v>
      </c>
      <c r="G584" t="str">
        <f>LOOKUP(TabVMAzureEnvProjet[[#This Row],[Projet]],TabProjets[NomProj],TabProjets[SYGES])</f>
        <v>INETUM/PROJET_INTERNE</v>
      </c>
      <c r="H584" t="str">
        <f>LOOKUP(TabVMAzureEnvProjet[[#This Row],[Projet]],TabProjets[NomProj],TabProjets[CP])</f>
        <v>Christophe ORLANDO</v>
      </c>
      <c r="I584">
        <f>LOOKUP(TabVMAzureEnvProjet[[#This Row],[Code SYGES]],TabCONTRATSDI[Contrat SYGES],TabCONTRATSDI[Cost Center])</f>
        <v>305704</v>
      </c>
      <c r="J584" s="22" t="str">
        <f>LOOKUP(TabVMAzureEnvProjet[[#This Row],[Code SYGES]],TabCONTRATSDI[Contrat SYGES],TabCONTRATSDI[Client])</f>
        <v>INETUM</v>
      </c>
      <c r="K584" t="s">
        <v>168</v>
      </c>
      <c r="L584" s="46">
        <v>4.8084470908499997</v>
      </c>
      <c r="M584" s="40" t="s">
        <v>169</v>
      </c>
    </row>
    <row r="585" spans="1:13" x14ac:dyDescent="0.25">
      <c r="A585" s="22" t="str">
        <f>TabVMAzureEnvProjet[[#This Row],[Client]] &amp; " .:. "  &amp; TabVMAzureEnvProjet[[#This Row],[Projet]]</f>
        <v>INETUM .:. INETUM-INTERNE</v>
      </c>
      <c r="B585" s="22" t="str">
        <f>IF(TabVMAzureEnvProjet[[#This Row],[Projet AzureDevOps]]&lt;&gt;"",TabVMAzureEnvProjet[[#This Row],[Projet AzureDevOps]],TabVMAzureEnvProjet[[#This Row],[VM]])</f>
        <v>GFI-RedmineDocker</v>
      </c>
      <c r="C585" s="57" t="s">
        <v>105</v>
      </c>
      <c r="E585" t="s">
        <v>4</v>
      </c>
      <c r="F585" t="s">
        <v>102</v>
      </c>
      <c r="G585" t="str">
        <f>LOOKUP(TabVMAzureEnvProjet[[#This Row],[Projet]],TabProjets[NomProj],TabProjets[SYGES])</f>
        <v>INETUM/PROJET_INTERNE</v>
      </c>
      <c r="H585" t="str">
        <f>LOOKUP(TabVMAzureEnvProjet[[#This Row],[Projet]],TabProjets[NomProj],TabProjets[CP])</f>
        <v>Christophe ORLANDO</v>
      </c>
      <c r="I585">
        <f>LOOKUP(TabVMAzureEnvProjet[[#This Row],[Code SYGES]],TabCONTRATSDI[Contrat SYGES],TabCONTRATSDI[Cost Center])</f>
        <v>305704</v>
      </c>
      <c r="J585" s="22" t="str">
        <f>LOOKUP(TabVMAzureEnvProjet[[#This Row],[Code SYGES]],TabCONTRATSDI[Contrat SYGES],TabCONTRATSDI[Client])</f>
        <v>INETUM</v>
      </c>
      <c r="K585" t="s">
        <v>168</v>
      </c>
      <c r="L585" s="46">
        <v>0.75131985794531242</v>
      </c>
      <c r="M585" s="40" t="s">
        <v>169</v>
      </c>
    </row>
    <row r="586" spans="1:13" x14ac:dyDescent="0.25">
      <c r="A586" s="22" t="str">
        <f>TabVMAzureEnvProjet[[#This Row],[Client]] &amp; " .:. "  &amp; TabVMAzureEnvProjet[[#This Row],[Projet]]</f>
        <v>INETUM .:. INETUM-INTERNE</v>
      </c>
      <c r="B586" s="22" t="str">
        <f>IF(TabVMAzureEnvProjet[[#This Row],[Projet AzureDevOps]]&lt;&gt;"",TabVMAzureEnvProjet[[#This Row],[Projet AzureDevOps]],TabVMAzureEnvProjet[[#This Row],[VM]])</f>
        <v>GFI-TENDER</v>
      </c>
      <c r="C586" s="57" t="s">
        <v>111</v>
      </c>
      <c r="E586" t="s">
        <v>4</v>
      </c>
      <c r="F586" t="s">
        <v>102</v>
      </c>
      <c r="G586" t="str">
        <f>LOOKUP(TabVMAzureEnvProjet[[#This Row],[Projet]],TabProjets[NomProj],TabProjets[SYGES])</f>
        <v>INETUM/PROJET_INTERNE</v>
      </c>
      <c r="H586" t="str">
        <f>LOOKUP(TabVMAzureEnvProjet[[#This Row],[Projet]],TabProjets[NomProj],TabProjets[CP])</f>
        <v>Christophe ORLANDO</v>
      </c>
      <c r="I586">
        <f>LOOKUP(TabVMAzureEnvProjet[[#This Row],[Code SYGES]],TabCONTRATSDI[Contrat SYGES],TabCONTRATSDI[Cost Center])</f>
        <v>305704</v>
      </c>
      <c r="J586" s="22" t="str">
        <f>LOOKUP(TabVMAzureEnvProjet[[#This Row],[Code SYGES]],TabCONTRATSDI[Contrat SYGES],TabCONTRATSDI[Client])</f>
        <v>INETUM</v>
      </c>
      <c r="K586" t="s">
        <v>168</v>
      </c>
      <c r="L586" s="46">
        <v>1.9441324722078241</v>
      </c>
      <c r="M586" s="40" t="s">
        <v>169</v>
      </c>
    </row>
    <row r="587" spans="1:13" x14ac:dyDescent="0.25">
      <c r="A587" s="22" t="str">
        <f>TabVMAzureEnvProjet[[#This Row],[Client]] &amp; " .:. "  &amp; TabVMAzureEnvProjet[[#This Row],[Projet]]</f>
        <v>GFI .:. GFI-WAAC</v>
      </c>
      <c r="B587" s="22" t="str">
        <f>IF(TabVMAzureEnvProjet[[#This Row],[Projet AzureDevOps]]&lt;&gt;"",TabVMAzureEnvProjet[[#This Row],[Projet AzureDevOps]],TabVMAzureEnvProjet[[#This Row],[VM]])</f>
        <v>GFI-WAAC</v>
      </c>
      <c r="C587" s="57" t="s">
        <v>38</v>
      </c>
      <c r="E587" t="s">
        <v>4</v>
      </c>
      <c r="F587" t="s">
        <v>38</v>
      </c>
      <c r="G587" t="str">
        <f>LOOKUP(TabVMAzureEnvProjet[[#This Row],[Projet]],TabProjets[NomProj],TabProjets[SYGES])</f>
        <v>383928 - WAAC 1.0</v>
      </c>
      <c r="H587" t="str">
        <f>LOOKUP(TabVMAzureEnvProjet[[#This Row],[Projet]],TabProjets[NomProj],TabProjets[CP])</f>
        <v>Laurent MARCIANIAK</v>
      </c>
      <c r="I587">
        <f>LOOKUP(TabVMAzureEnvProjet[[#This Row],[Code SYGES]],TabCONTRATSDI[Contrat SYGES],TabCONTRATSDI[Cost Center])</f>
        <v>100973</v>
      </c>
      <c r="J587" s="22" t="str">
        <f>LOOKUP(TabVMAzureEnvProjet[[#This Row],[Code SYGES]],TabCONTRATSDI[Contrat SYGES],TabCONTRATSDI[Client])</f>
        <v>GFI</v>
      </c>
      <c r="K587" t="s">
        <v>168</v>
      </c>
      <c r="L587" s="46">
        <v>228.56274382908697</v>
      </c>
      <c r="M587" s="40" t="s">
        <v>169</v>
      </c>
    </row>
    <row r="588" spans="1:13" x14ac:dyDescent="0.25">
      <c r="A588" s="22" t="str">
        <f>TabVMAzureEnvProjet[[#This Row],[Client]] &amp; " .:. "  &amp; TabVMAzureEnvProjet[[#This Row],[Projet]]</f>
        <v>GLI .:. GLI-APIBIOMETRIE</v>
      </c>
      <c r="B588" s="22" t="str">
        <f>IF(TabVMAzureEnvProjet[[#This Row],[Projet AzureDevOps]]&lt;&gt;"",TabVMAzureEnvProjet[[#This Row],[Projet AzureDevOps]],TabVMAzureEnvProjet[[#This Row],[VM]])</f>
        <v>GLI-APIBiometrie</v>
      </c>
      <c r="C588" s="57" t="s">
        <v>42</v>
      </c>
      <c r="E588" t="s">
        <v>4</v>
      </c>
      <c r="F588" t="s">
        <v>41</v>
      </c>
      <c r="G588" t="str">
        <f>LOOKUP(TabVMAzureEnvProjet[[#This Row],[Projet]],TabProjets[NomProj],TabProjets[SYGES])</f>
        <v>GLI/BIOMETRIE</v>
      </c>
      <c r="H588" t="str">
        <f>LOOKUP(TabVMAzureEnvProjet[[#This Row],[Projet]],TabProjets[NomProj],TabProjets[CP])</f>
        <v>Rodolphe HABEGGER</v>
      </c>
      <c r="I588">
        <f>LOOKUP(TabVMAzureEnvProjet[[#This Row],[Code SYGES]],TabCONTRATSDI[Contrat SYGES],TabCONTRATSDI[Cost Center])</f>
        <v>305704</v>
      </c>
      <c r="J588" s="22" t="str">
        <f>LOOKUP(TabVMAzureEnvProjet[[#This Row],[Code SYGES]],TabCONTRATSDI[Contrat SYGES],TabCONTRATSDI[Client])</f>
        <v>GLI</v>
      </c>
      <c r="K588" t="s">
        <v>168</v>
      </c>
      <c r="L588" s="46">
        <v>2.3342430675438521</v>
      </c>
      <c r="M588" s="40" t="s">
        <v>169</v>
      </c>
    </row>
    <row r="589" spans="1:13" x14ac:dyDescent="0.25">
      <c r="A589" s="22" t="str">
        <f>TabVMAzureEnvProjet[[#This Row],[Client]] &amp; " .:. "  &amp; TabVMAzureEnvProjet[[#This Row],[Projet]]</f>
        <v>LAPOSTE .:. LAPOSTE-CDC</v>
      </c>
      <c r="B589" s="22" t="str">
        <f>IF(TabVMAzureEnvProjet[[#This Row],[Projet AzureDevOps]]&lt;&gt;"",TabVMAzureEnvProjet[[#This Row],[Projet AzureDevOps]],TabVMAzureEnvProjet[[#This Row],[VM]])</f>
        <v>LAPOSTE-F4N-Musee</v>
      </c>
      <c r="C589" s="57" t="s">
        <v>83</v>
      </c>
      <c r="E589" t="s">
        <v>4</v>
      </c>
      <c r="F589" t="s">
        <v>82</v>
      </c>
      <c r="G589" t="str">
        <f>LOOKUP(TabVMAzureEnvProjet[[#This Row],[Projet]],TabProjets[NomProj],TabProjets[SYGES])</f>
        <v>LA-POSTE/CDC_DRUPAL</v>
      </c>
      <c r="H589" t="str">
        <f>LOOKUP(TabVMAzureEnvProjet[[#This Row],[Projet]],TabProjets[NomProj],TabProjets[CP])</f>
        <v>Rodolphe HABEGGER</v>
      </c>
      <c r="I589">
        <f>LOOKUP(TabVMAzureEnvProjet[[#This Row],[Code SYGES]],TabCONTRATSDI[Contrat SYGES],TabCONTRATSDI[Cost Center])</f>
        <v>305704</v>
      </c>
      <c r="J589" s="22" t="str">
        <f>LOOKUP(TabVMAzureEnvProjet[[#This Row],[Code SYGES]],TabCONTRATSDI[Contrat SYGES],TabCONTRATSDI[Client])</f>
        <v>LAPOSTE</v>
      </c>
      <c r="K589" t="s">
        <v>168</v>
      </c>
      <c r="L589" s="46">
        <v>2.9592874248003209</v>
      </c>
      <c r="M589" s="40" t="s">
        <v>169</v>
      </c>
    </row>
    <row r="590" spans="1:13" x14ac:dyDescent="0.25">
      <c r="A590" s="22" t="str">
        <f>TabVMAzureEnvProjet[[#This Row],[Client]] &amp; " .:. "  &amp; TabVMAzureEnvProjet[[#This Row],[Projet]]</f>
        <v>LAPOSTE .:. LAPOSTE-CDC</v>
      </c>
      <c r="B590" s="22" t="str">
        <f>IF(TabVMAzureEnvProjet[[#This Row],[Projet AzureDevOps]]&lt;&gt;"",TabVMAzureEnvProjet[[#This Row],[Projet AzureDevOps]],TabVMAzureEnvProjet[[#This Row],[VM]])</f>
        <v>LAPOSTE-L71-PDP</v>
      </c>
      <c r="C590" s="57" t="s">
        <v>86</v>
      </c>
      <c r="E590" t="s">
        <v>4</v>
      </c>
      <c r="F590" t="s">
        <v>82</v>
      </c>
      <c r="G590" t="str">
        <f>LOOKUP(TabVMAzureEnvProjet[[#This Row],[Projet]],TabProjets[NomProj],TabProjets[SYGES])</f>
        <v>LA-POSTE/CDC_DRUPAL</v>
      </c>
      <c r="H590" t="str">
        <f>LOOKUP(TabVMAzureEnvProjet[[#This Row],[Projet]],TabProjets[NomProj],TabProjets[CP])</f>
        <v>Rodolphe HABEGGER</v>
      </c>
      <c r="I590">
        <f>LOOKUP(TabVMAzureEnvProjet[[#This Row],[Code SYGES]],TabCONTRATSDI[Contrat SYGES],TabCONTRATSDI[Cost Center])</f>
        <v>305704</v>
      </c>
      <c r="J590" s="22" t="str">
        <f>LOOKUP(TabVMAzureEnvProjet[[#This Row],[Code SYGES]],TabCONTRATSDI[Contrat SYGES],TabCONTRATSDI[Client])</f>
        <v>LAPOSTE</v>
      </c>
      <c r="K590" t="s">
        <v>168</v>
      </c>
      <c r="L590" s="46">
        <v>1.8856293470849654</v>
      </c>
      <c r="M590" s="40" t="s">
        <v>169</v>
      </c>
    </row>
    <row r="591" spans="1:13" x14ac:dyDescent="0.25">
      <c r="A591" s="22" t="str">
        <f>TabVMAzureEnvProjet[[#This Row],[Client]] &amp; " .:. "  &amp; TabVMAzureEnvProjet[[#This Row],[Projet]]</f>
        <v>LAPOSTE .:. LAPOSTE-CDC</v>
      </c>
      <c r="B591" s="22" t="str">
        <f>IF(TabVMAzureEnvProjet[[#This Row],[Projet AzureDevOps]]&lt;&gt;"",TabVMAzureEnvProjet[[#This Row],[Projet AzureDevOps]],TabVMAzureEnvProjet[[#This Row],[VM]])</f>
        <v>LAPOSTE-LCA-PariteUn-e</v>
      </c>
      <c r="C591" s="57" t="s">
        <v>87</v>
      </c>
      <c r="E591" t="s">
        <v>4</v>
      </c>
      <c r="F591" t="s">
        <v>82</v>
      </c>
      <c r="G591" t="str">
        <f>LOOKUP(TabVMAzureEnvProjet[[#This Row],[Projet]],TabProjets[NomProj],TabProjets[SYGES])</f>
        <v>LA-POSTE/CDC_DRUPAL</v>
      </c>
      <c r="H591" t="str">
        <f>LOOKUP(TabVMAzureEnvProjet[[#This Row],[Projet]],TabProjets[NomProj],TabProjets[CP])</f>
        <v>Rodolphe HABEGGER</v>
      </c>
      <c r="I591">
        <f>LOOKUP(TabVMAzureEnvProjet[[#This Row],[Code SYGES]],TabCONTRATSDI[Contrat SYGES],TabCONTRATSDI[Cost Center])</f>
        <v>305704</v>
      </c>
      <c r="J591" s="22" t="str">
        <f>LOOKUP(TabVMAzureEnvProjet[[#This Row],[Code SYGES]],TabCONTRATSDI[Contrat SYGES],TabCONTRATSDI[Client])</f>
        <v>LAPOSTE</v>
      </c>
      <c r="K591" t="s">
        <v>168</v>
      </c>
      <c r="L591" s="46">
        <v>2.6586631630400217</v>
      </c>
      <c r="M591" s="40" t="s">
        <v>169</v>
      </c>
    </row>
    <row r="592" spans="1:13" x14ac:dyDescent="0.25">
      <c r="A592" s="22" t="str">
        <f>TabVMAzureEnvProjet[[#This Row],[Client]] &amp; " .:. "  &amp; TabVMAzureEnvProjet[[#This Row],[Projet]]</f>
        <v>LAPOSTE .:. LAPOSTE-CDC</v>
      </c>
      <c r="B592" s="22" t="str">
        <f>IF(TabVMAzureEnvProjet[[#This Row],[Projet AzureDevOps]]&lt;&gt;"",TabVMAzureEnvProjet[[#This Row],[Projet AzureDevOps]],TabVMAzureEnvProjet[[#This Row],[VM]])</f>
        <v>LAPOSTE-LPK-PortailVoyage</v>
      </c>
      <c r="C592" s="57" t="s">
        <v>84</v>
      </c>
      <c r="E592" t="s">
        <v>4</v>
      </c>
      <c r="F592" t="s">
        <v>82</v>
      </c>
      <c r="G592" t="str">
        <f>LOOKUP(TabVMAzureEnvProjet[[#This Row],[Projet]],TabProjets[NomProj],TabProjets[SYGES])</f>
        <v>LA-POSTE/CDC_DRUPAL</v>
      </c>
      <c r="H592" t="str">
        <f>LOOKUP(TabVMAzureEnvProjet[[#This Row],[Projet]],TabProjets[NomProj],TabProjets[CP])</f>
        <v>Rodolphe HABEGGER</v>
      </c>
      <c r="I592">
        <f>LOOKUP(TabVMAzureEnvProjet[[#This Row],[Code SYGES]],TabCONTRATSDI[Contrat SYGES],TabCONTRATSDI[Cost Center])</f>
        <v>305704</v>
      </c>
      <c r="J592" s="22" t="str">
        <f>LOOKUP(TabVMAzureEnvProjet[[#This Row],[Code SYGES]],TabCONTRATSDI[Contrat SYGES],TabCONTRATSDI[Client])</f>
        <v>LAPOSTE</v>
      </c>
      <c r="K592" t="s">
        <v>168</v>
      </c>
      <c r="L592" s="46">
        <v>3.4746433021036918</v>
      </c>
      <c r="M592" s="40" t="s">
        <v>169</v>
      </c>
    </row>
    <row r="593" spans="1:13" x14ac:dyDescent="0.25">
      <c r="A593" s="22" t="str">
        <f>TabVMAzureEnvProjet[[#This Row],[Client]] &amp; " .:. "  &amp; TabVMAzureEnvProjet[[#This Row],[Projet]]</f>
        <v>LAPOSTE .:. LAPOSTE-CDC</v>
      </c>
      <c r="B593" s="22" t="str">
        <f>IF(TabVMAzureEnvProjet[[#This Row],[Projet AzureDevOps]]&lt;&gt;"",TabVMAzureEnvProjet[[#This Row],[Projet AzureDevOps]],TabVMAzureEnvProjet[[#This Row],[VM]])</f>
        <v>LAPOSTE-LPM-IntranetDHA</v>
      </c>
      <c r="C593" s="57" t="s">
        <v>85</v>
      </c>
      <c r="E593" t="s">
        <v>4</v>
      </c>
      <c r="F593" t="s">
        <v>82</v>
      </c>
      <c r="G593" t="str">
        <f>LOOKUP(TabVMAzureEnvProjet[[#This Row],[Projet]],TabProjets[NomProj],TabProjets[SYGES])</f>
        <v>LA-POSTE/CDC_DRUPAL</v>
      </c>
      <c r="H593" t="str">
        <f>LOOKUP(TabVMAzureEnvProjet[[#This Row],[Projet]],TabProjets[NomProj],TabProjets[CP])</f>
        <v>Rodolphe HABEGGER</v>
      </c>
      <c r="I593">
        <f>LOOKUP(TabVMAzureEnvProjet[[#This Row],[Code SYGES]],TabCONTRATSDI[Contrat SYGES],TabCONTRATSDI[Cost Center])</f>
        <v>305704</v>
      </c>
      <c r="J593" s="22" t="str">
        <f>LOOKUP(TabVMAzureEnvProjet[[#This Row],[Code SYGES]],TabCONTRATSDI[Contrat SYGES],TabCONTRATSDI[Client])</f>
        <v>LAPOSTE</v>
      </c>
      <c r="K593" t="s">
        <v>168</v>
      </c>
      <c r="L593" s="46">
        <v>1.9285756701935797</v>
      </c>
      <c r="M593" s="40" t="s">
        <v>169</v>
      </c>
    </row>
    <row r="594" spans="1:13" x14ac:dyDescent="0.25">
      <c r="A594" s="22" t="str">
        <f>TabVMAzureEnvProjet[[#This Row],[Client]] &amp; " .:. "  &amp; TabVMAzureEnvProjet[[#This Row],[Projet]]</f>
        <v>LAPOSTE .:. LAPOSTE-CDC</v>
      </c>
      <c r="B594" s="22" t="str">
        <f>IF(TabVMAzureEnvProjet[[#This Row],[Projet AzureDevOps]]&lt;&gt;"",TabVMAzureEnvProjet[[#This Row],[Projet AzureDevOps]],TabVMAzureEnvProjet[[#This Row],[VM]])</f>
        <v>LAPOSTE-V7_-Galaxy</v>
      </c>
      <c r="C594" s="57" t="s">
        <v>89</v>
      </c>
      <c r="E594" t="s">
        <v>4</v>
      </c>
      <c r="F594" t="s">
        <v>82</v>
      </c>
      <c r="G594" t="str">
        <f>LOOKUP(TabVMAzureEnvProjet[[#This Row],[Projet]],TabProjets[NomProj],TabProjets[SYGES])</f>
        <v>LA-POSTE/CDC_DRUPAL</v>
      </c>
      <c r="H594" t="str">
        <f>LOOKUP(TabVMAzureEnvProjet[[#This Row],[Projet]],TabProjets[NomProj],TabProjets[CP])</f>
        <v>Rodolphe HABEGGER</v>
      </c>
      <c r="I594">
        <f>LOOKUP(TabVMAzureEnvProjet[[#This Row],[Code SYGES]],TabCONTRATSDI[Contrat SYGES],TabCONTRATSDI[Cost Center])</f>
        <v>305704</v>
      </c>
      <c r="J594" s="22" t="str">
        <f>LOOKUP(TabVMAzureEnvProjet[[#This Row],[Code SYGES]],TabCONTRATSDI[Contrat SYGES],TabCONTRATSDI[Client])</f>
        <v>LAPOSTE</v>
      </c>
      <c r="K594" t="s">
        <v>168</v>
      </c>
      <c r="L594" s="46">
        <v>2.0915342524453102</v>
      </c>
      <c r="M594" s="40" t="s">
        <v>169</v>
      </c>
    </row>
    <row r="595" spans="1:13" x14ac:dyDescent="0.25">
      <c r="A595" s="22" t="str">
        <f>TabVMAzureEnvProjet[[#This Row],[Client]] &amp; " .:. "  &amp; TabVMAzureEnvProjet[[#This Row],[Projet]]</f>
        <v>LAPOSTE .:. LAPOSTE-CDC</v>
      </c>
      <c r="B595" s="22" t="str">
        <f>IF(TabVMAzureEnvProjet[[#This Row],[Projet AzureDevOps]]&lt;&gt;"",TabVMAzureEnvProjet[[#This Row],[Projet AzureDevOps]],TabVMAzureEnvProjet[[#This Row],[VM]])</f>
        <v>LAPOSTE-VW2-MEDIACOM</v>
      </c>
      <c r="C595" s="57" t="s">
        <v>90</v>
      </c>
      <c r="E595" t="s">
        <v>4</v>
      </c>
      <c r="F595" t="s">
        <v>82</v>
      </c>
      <c r="G595" t="str">
        <f>LOOKUP(TabVMAzureEnvProjet[[#This Row],[Projet]],TabProjets[NomProj],TabProjets[SYGES])</f>
        <v>LA-POSTE/CDC_DRUPAL</v>
      </c>
      <c r="H595" t="str">
        <f>LOOKUP(TabVMAzureEnvProjet[[#This Row],[Projet]],TabProjets[NomProj],TabProjets[CP])</f>
        <v>Rodolphe HABEGGER</v>
      </c>
      <c r="I595">
        <f>LOOKUP(TabVMAzureEnvProjet[[#This Row],[Code SYGES]],TabCONTRATSDI[Contrat SYGES],TabCONTRATSDI[Cost Center])</f>
        <v>305704</v>
      </c>
      <c r="J595" s="22" t="str">
        <f>LOOKUP(TabVMAzureEnvProjet[[#This Row],[Code SYGES]],TabCONTRATSDI[Contrat SYGES],TabCONTRATSDI[Client])</f>
        <v>LAPOSTE</v>
      </c>
      <c r="K595" t="s">
        <v>168</v>
      </c>
      <c r="L595" s="46">
        <v>1.1896614671644112</v>
      </c>
      <c r="M595" s="40" t="s">
        <v>169</v>
      </c>
    </row>
    <row r="596" spans="1:13" x14ac:dyDescent="0.25">
      <c r="A596" s="22" t="str">
        <f>TabVMAzureEnvProjet[[#This Row],[Client]] &amp; " .:. "  &amp; TabVMAzureEnvProjet[[#This Row],[Projet]]</f>
        <v>LAPOSTE .:. LAPOSTE-CDC</v>
      </c>
      <c r="B596" s="22" t="str">
        <f>IF(TabVMAzureEnvProjet[[#This Row],[Projet AzureDevOps]]&lt;&gt;"",TabVMAzureEnvProjet[[#This Row],[Projet AzureDevOps]],TabVMAzureEnvProjet[[#This Row],[VM]])</f>
        <v>LAPOSTE-VWA-Fondation</v>
      </c>
      <c r="C596" s="57" t="s">
        <v>88</v>
      </c>
      <c r="E596" t="s">
        <v>4</v>
      </c>
      <c r="F596" t="s">
        <v>82</v>
      </c>
      <c r="G596" t="str">
        <f>LOOKUP(TabVMAzureEnvProjet[[#This Row],[Projet]],TabProjets[NomProj],TabProjets[SYGES])</f>
        <v>LA-POSTE/CDC_DRUPAL</v>
      </c>
      <c r="H596" t="str">
        <f>LOOKUP(TabVMAzureEnvProjet[[#This Row],[Projet]],TabProjets[NomProj],TabProjets[CP])</f>
        <v>Rodolphe HABEGGER</v>
      </c>
      <c r="I596">
        <f>LOOKUP(TabVMAzureEnvProjet[[#This Row],[Code SYGES]],TabCONTRATSDI[Contrat SYGES],TabCONTRATSDI[Cost Center])</f>
        <v>305704</v>
      </c>
      <c r="J596" s="22" t="str">
        <f>LOOKUP(TabVMAzureEnvProjet[[#This Row],[Code SYGES]],TabCONTRATSDI[Contrat SYGES],TabCONTRATSDI[Client])</f>
        <v>LAPOSTE</v>
      </c>
      <c r="K596" t="s">
        <v>168</v>
      </c>
      <c r="L596" s="46">
        <v>2.0144683164108081</v>
      </c>
      <c r="M596" s="40" t="s">
        <v>169</v>
      </c>
    </row>
    <row r="597" spans="1:13" x14ac:dyDescent="0.25">
      <c r="A597" s="22" t="str">
        <f>TabVMAzureEnvProjet[[#This Row],[Client]] &amp; " .:. "  &amp; TabVMAzureEnvProjet[[#This Row],[Projet]]</f>
        <v>MENESR .:. MENJ-APAE</v>
      </c>
      <c r="B597" s="22" t="str">
        <f>IF(TabVMAzureEnvProjet[[#This Row],[Projet AzureDevOps]]&lt;&gt;"",TabVMAzureEnvProjet[[#This Row],[Projet AzureDevOps]],TabVMAzureEnvProjet[[#This Row],[VM]])</f>
        <v>MENJ-APAE</v>
      </c>
      <c r="C597" s="57" t="s">
        <v>44</v>
      </c>
      <c r="E597" t="s">
        <v>4</v>
      </c>
      <c r="F597" t="s">
        <v>44</v>
      </c>
      <c r="G597" t="str">
        <f>LOOKUP(TabVMAzureEnvProjet[[#This Row],[Projet]],TabProjets[NomProj],TabProjets[SYGES])</f>
        <v>MENESR/TMA</v>
      </c>
      <c r="H597" t="str">
        <f>LOOKUP(TabVMAzureEnvProjet[[#This Row],[Projet]],TabProjets[NomProj],TabProjets[CP])</f>
        <v>Pierre BOURLIEUX</v>
      </c>
      <c r="I597">
        <f>LOOKUP(TabVMAzureEnvProjet[[#This Row],[Code SYGES]],TabCONTRATSDI[Contrat SYGES],TabCONTRATSDI[Cost Center])</f>
        <v>305704</v>
      </c>
      <c r="J597" s="22" t="str">
        <f>LOOKUP(TabVMAzureEnvProjet[[#This Row],[Code SYGES]],TabCONTRATSDI[Contrat SYGES],TabCONTRATSDI[Client])</f>
        <v>MENESR</v>
      </c>
      <c r="K597" t="s">
        <v>168</v>
      </c>
      <c r="L597" s="46">
        <v>2.7686646710889704</v>
      </c>
      <c r="M597" s="40" t="s">
        <v>169</v>
      </c>
    </row>
    <row r="598" spans="1:13" x14ac:dyDescent="0.25">
      <c r="A598" s="22" t="str">
        <f>TabVMAzureEnvProjet[[#This Row],[Client]] &amp; " .:. "  &amp; TabVMAzureEnvProjet[[#This Row],[Projet]]</f>
        <v>MENESR .:. MENJ-BI</v>
      </c>
      <c r="B598" s="22" t="str">
        <f>IF(TabVMAzureEnvProjet[[#This Row],[Projet AzureDevOps]]&lt;&gt;"",TabVMAzureEnvProjet[[#This Row],[Projet AzureDevOps]],TabVMAzureEnvProjet[[#This Row],[VM]])</f>
        <v>MENJ-BI</v>
      </c>
      <c r="C598" s="57" t="s">
        <v>51</v>
      </c>
      <c r="E598" t="s">
        <v>4</v>
      </c>
      <c r="F598" t="s">
        <v>51</v>
      </c>
      <c r="G598" t="str">
        <f>LOOKUP(TabVMAzureEnvProjet[[#This Row],[Projet]],TabProjets[NomProj],TabProjets[SYGES])</f>
        <v>MENESR/TMA</v>
      </c>
      <c r="H598" t="str">
        <f>LOOKUP(TabVMAzureEnvProjet[[#This Row],[Projet]],TabProjets[NomProj],TabProjets[CP])</f>
        <v>Eric PERROUD</v>
      </c>
      <c r="I598">
        <f>LOOKUP(TabVMAzureEnvProjet[[#This Row],[Code SYGES]],TabCONTRATSDI[Contrat SYGES],TabCONTRATSDI[Cost Center])</f>
        <v>305704</v>
      </c>
      <c r="J598" s="22" t="str">
        <f>LOOKUP(TabVMAzureEnvProjet[[#This Row],[Code SYGES]],TabCONTRATSDI[Contrat SYGES],TabCONTRATSDI[Client])</f>
        <v>MENESR</v>
      </c>
      <c r="K598" t="s">
        <v>168</v>
      </c>
      <c r="L598" s="46">
        <v>0.92470136362499988</v>
      </c>
      <c r="M598" s="40" t="s">
        <v>169</v>
      </c>
    </row>
    <row r="599" spans="1:13" x14ac:dyDescent="0.25">
      <c r="A599" s="22" t="str">
        <f>TabVMAzureEnvProjet[[#This Row],[Client]] &amp; " .:. "  &amp; TabVMAzureEnvProjet[[#This Row],[Projet]]</f>
        <v>MENESR .:. MENJ-BNIE</v>
      </c>
      <c r="B599" s="22" t="str">
        <f>IF(TabVMAzureEnvProjet[[#This Row],[Projet AzureDevOps]]&lt;&gt;"",TabVMAzureEnvProjet[[#This Row],[Projet AzureDevOps]],TabVMAzureEnvProjet[[#This Row],[VM]])</f>
        <v>MENJ-BNIE-BDD</v>
      </c>
      <c r="C599" s="57" t="s">
        <v>46</v>
      </c>
      <c r="E599" t="s">
        <v>4</v>
      </c>
      <c r="F599" t="s">
        <v>45</v>
      </c>
      <c r="G599" t="str">
        <f>LOOKUP(TabVMAzureEnvProjet[[#This Row],[Projet]],TabProjets[NomProj],TabProjets[SYGES])</f>
        <v>MENESR/TMA</v>
      </c>
      <c r="H599" t="str">
        <f>LOOKUP(TabVMAzureEnvProjet[[#This Row],[Projet]],TabProjets[NomProj],TabProjets[CP])</f>
        <v>Pierre BOURLIEUX</v>
      </c>
      <c r="I599">
        <f>LOOKUP(TabVMAzureEnvProjet[[#This Row],[Code SYGES]],TabCONTRATSDI[Contrat SYGES],TabCONTRATSDI[Cost Center])</f>
        <v>305704</v>
      </c>
      <c r="J599" s="22" t="str">
        <f>LOOKUP(TabVMAzureEnvProjet[[#This Row],[Code SYGES]],TabCONTRATSDI[Contrat SYGES],TabCONTRATSDI[Client])</f>
        <v>MENESR</v>
      </c>
      <c r="K599" t="s">
        <v>168</v>
      </c>
      <c r="L599" s="46">
        <v>2.0421135996693276</v>
      </c>
      <c r="M599" s="40" t="s">
        <v>169</v>
      </c>
    </row>
    <row r="600" spans="1:13" x14ac:dyDescent="0.25">
      <c r="A600" s="22" t="str">
        <f>TabVMAzureEnvProjet[[#This Row],[Client]] &amp; " .:. "  &amp; TabVMAzureEnvProjet[[#This Row],[Projet]]</f>
        <v>MENESR .:. MENJ-BNIE</v>
      </c>
      <c r="B600" s="22" t="str">
        <f>IF(TabVMAzureEnvProjet[[#This Row],[Projet AzureDevOps]]&lt;&gt;"",TabVMAzureEnvProjet[[#This Row],[Projet AzureDevOps]],TabVMAzureEnvProjet[[#This Row],[VM]])</f>
        <v>MENJ-BNIE-Webservices</v>
      </c>
      <c r="C600" s="57" t="s">
        <v>47</v>
      </c>
      <c r="E600" t="s">
        <v>4</v>
      </c>
      <c r="F600" t="s">
        <v>45</v>
      </c>
      <c r="G600" t="str">
        <f>LOOKUP(TabVMAzureEnvProjet[[#This Row],[Projet]],TabProjets[NomProj],TabProjets[SYGES])</f>
        <v>MENESR/TMA</v>
      </c>
      <c r="H600" t="str">
        <f>LOOKUP(TabVMAzureEnvProjet[[#This Row],[Projet]],TabProjets[NomProj],TabProjets[CP])</f>
        <v>Pierre BOURLIEUX</v>
      </c>
      <c r="I600">
        <f>LOOKUP(TabVMAzureEnvProjet[[#This Row],[Code SYGES]],TabCONTRATSDI[Contrat SYGES],TabCONTRATSDI[Cost Center])</f>
        <v>305704</v>
      </c>
      <c r="J600" s="22" t="str">
        <f>LOOKUP(TabVMAzureEnvProjet[[#This Row],[Code SYGES]],TabCONTRATSDI[Contrat SYGES],TabCONTRATSDI[Client])</f>
        <v>MENESR</v>
      </c>
      <c r="K600" t="s">
        <v>168</v>
      </c>
      <c r="L600" s="46">
        <v>0.45691126202647059</v>
      </c>
      <c r="M600" s="40" t="s">
        <v>169</v>
      </c>
    </row>
    <row r="601" spans="1:13" x14ac:dyDescent="0.25">
      <c r="A601" s="22" t="str">
        <f>TabVMAzureEnvProjet[[#This Row],[Client]] &amp; " .:. "  &amp; TabVMAzureEnvProjet[[#This Row],[Projet]]</f>
        <v>MENESR .:. MENJ-INSERJEUNES</v>
      </c>
      <c r="B601" s="22" t="str">
        <f>IF(TabVMAzureEnvProjet[[#This Row],[Projet AzureDevOps]]&lt;&gt;"",TabVMAzureEnvProjet[[#This Row],[Projet AzureDevOps]],TabVMAzureEnvProjet[[#This Row],[VM]])</f>
        <v>MENJ-InserJeunes</v>
      </c>
      <c r="C601" s="57" t="s">
        <v>54</v>
      </c>
      <c r="E601" t="s">
        <v>4</v>
      </c>
      <c r="F601" t="s">
        <v>53</v>
      </c>
      <c r="G601" t="str">
        <f>LOOKUP(TabVMAzureEnvProjet[[#This Row],[Projet]],TabProjets[NomProj],TabProjets[SYGES])</f>
        <v>MENESR - TMA - 23 - 1 - INSERJEUNES</v>
      </c>
      <c r="H601" t="str">
        <f>LOOKUP(TabVMAzureEnvProjet[[#This Row],[Projet]],TabProjets[NomProj],TabProjets[CP])</f>
        <v>Christophe ORLANDO</v>
      </c>
      <c r="I601">
        <f>LOOKUP(TabVMAzureEnvProjet[[#This Row],[Code SYGES]],TabCONTRATSDI[Contrat SYGES],TabCONTRATSDI[Cost Center])</f>
        <v>305704</v>
      </c>
      <c r="J601" s="22" t="str">
        <f>LOOKUP(TabVMAzureEnvProjet[[#This Row],[Code SYGES]],TabCONTRATSDI[Contrat SYGES],TabCONTRATSDI[Client])</f>
        <v>MENESR</v>
      </c>
      <c r="K601" t="s">
        <v>168</v>
      </c>
      <c r="L601" s="46">
        <v>3.3698397804684599</v>
      </c>
      <c r="M601" s="40" t="s">
        <v>169</v>
      </c>
    </row>
    <row r="602" spans="1:13" x14ac:dyDescent="0.25">
      <c r="A602" s="22" t="str">
        <f>TabVMAzureEnvProjet[[#This Row],[Client]] &amp; " .:. "  &amp; TabVMAzureEnvProjet[[#This Row],[Projet]]</f>
        <v>MENESR .:. MENJ-RNIE</v>
      </c>
      <c r="B602" s="22" t="str">
        <f>IF(TabVMAzureEnvProjet[[#This Row],[Projet AzureDevOps]]&lt;&gt;"",TabVMAzureEnvProjet[[#This Row],[Projet AzureDevOps]],TabVMAzureEnvProjet[[#This Row],[VM]])</f>
        <v>MENJ-RNIE-BDD</v>
      </c>
      <c r="C602" s="57" t="s">
        <v>49</v>
      </c>
      <c r="E602" t="s">
        <v>4</v>
      </c>
      <c r="F602" t="s">
        <v>48</v>
      </c>
      <c r="G602" t="str">
        <f>LOOKUP(TabVMAzureEnvProjet[[#This Row],[Projet]],TabProjets[NomProj],TabProjets[SYGES])</f>
        <v>MENESR/TMA</v>
      </c>
      <c r="H602" t="str">
        <f>LOOKUP(TabVMAzureEnvProjet[[#This Row],[Projet]],TabProjets[NomProj],TabProjets[CP])</f>
        <v>Pierre BOURLIEUX</v>
      </c>
      <c r="I602">
        <f>LOOKUP(TabVMAzureEnvProjet[[#This Row],[Code SYGES]],TabCONTRATSDI[Contrat SYGES],TabCONTRATSDI[Cost Center])</f>
        <v>305704</v>
      </c>
      <c r="J602" s="22" t="str">
        <f>LOOKUP(TabVMAzureEnvProjet[[#This Row],[Code SYGES]],TabCONTRATSDI[Contrat SYGES],TabCONTRATSDI[Client])</f>
        <v>MENESR</v>
      </c>
      <c r="K602" t="s">
        <v>168</v>
      </c>
      <c r="L602" s="46">
        <v>1.3816126256514705</v>
      </c>
      <c r="M602" s="40" t="s">
        <v>169</v>
      </c>
    </row>
    <row r="603" spans="1:13" x14ac:dyDescent="0.25">
      <c r="A603" s="22" t="str">
        <f>TabVMAzureEnvProjet[[#This Row],[Client]] &amp; " .:. "  &amp; TabVMAzureEnvProjet[[#This Row],[Projet]]</f>
        <v>MENESR .:. MENJ-RNIE</v>
      </c>
      <c r="B603" s="22" t="str">
        <f>IF(TabVMAzureEnvProjet[[#This Row],[Projet AzureDevOps]]&lt;&gt;"",TabVMAzureEnvProjet[[#This Row],[Projet AzureDevOps]],TabVMAzureEnvProjet[[#This Row],[VM]])</f>
        <v>MENJ-RNIE-Webservices</v>
      </c>
      <c r="C603" s="57" t="s">
        <v>50</v>
      </c>
      <c r="E603" t="s">
        <v>4</v>
      </c>
      <c r="F603" t="s">
        <v>48</v>
      </c>
      <c r="G603" t="str">
        <f>LOOKUP(TabVMAzureEnvProjet[[#This Row],[Projet]],TabProjets[NomProj],TabProjets[SYGES])</f>
        <v>MENESR/TMA</v>
      </c>
      <c r="H603" t="str">
        <f>LOOKUP(TabVMAzureEnvProjet[[#This Row],[Projet]],TabProjets[NomProj],TabProjets[CP])</f>
        <v>Pierre BOURLIEUX</v>
      </c>
      <c r="I603">
        <f>LOOKUP(TabVMAzureEnvProjet[[#This Row],[Code SYGES]],TabCONTRATSDI[Contrat SYGES],TabCONTRATSDI[Cost Center])</f>
        <v>305704</v>
      </c>
      <c r="J603" s="22" t="str">
        <f>LOOKUP(TabVMAzureEnvProjet[[#This Row],[Code SYGES]],TabCONTRATSDI[Contrat SYGES],TabCONTRATSDI[Client])</f>
        <v>MENESR</v>
      </c>
      <c r="K603" t="s">
        <v>168</v>
      </c>
      <c r="L603" s="46">
        <v>0.45691126202647059</v>
      </c>
      <c r="M603" s="40" t="s">
        <v>169</v>
      </c>
    </row>
    <row r="604" spans="1:13" x14ac:dyDescent="0.25">
      <c r="A604" s="22" t="str">
        <f>TabVMAzureEnvProjet[[#This Row],[Client]] &amp; " .:. "  &amp; TabVMAzureEnvProjet[[#This Row],[Projet]]</f>
        <v>AFB .:. OFB-CMONSPOT</v>
      </c>
      <c r="B604" s="22" t="str">
        <f>IF(TabVMAzureEnvProjet[[#This Row],[Projet AzureDevOps]]&lt;&gt;"",TabVMAzureEnvProjet[[#This Row],[Projet AzureDevOps]],TabVMAzureEnvProjet[[#This Row],[VM]])</f>
        <v>OFB-CMONSPOT</v>
      </c>
      <c r="C604" s="57" t="s">
        <v>12</v>
      </c>
      <c r="E604" t="s">
        <v>4</v>
      </c>
      <c r="F604" t="s">
        <v>12</v>
      </c>
      <c r="G604" t="str">
        <f>LOOKUP(TabVMAzureEnvProjet[[#This Row],[Projet]],TabProjets[NomProj],TabProjets[SYGES])</f>
        <v>AFB/OFB_LOT2</v>
      </c>
      <c r="H604" t="str">
        <f>LOOKUP(TabVMAzureEnvProjet[[#This Row],[Projet]],TabProjets[NomProj],TabProjets[CP])</f>
        <v>Pierre BOURLIEUX</v>
      </c>
      <c r="I604">
        <f>LOOKUP(TabVMAzureEnvProjet[[#This Row],[Code SYGES]],TabCONTRATSDI[Contrat SYGES],TabCONTRATSDI[Cost Center])</f>
        <v>305704</v>
      </c>
      <c r="J604" s="22" t="str">
        <f>LOOKUP(TabVMAzureEnvProjet[[#This Row],[Code SYGES]],TabCONTRATSDI[Contrat SYGES],TabCONTRATSDI[Client])</f>
        <v>AFB</v>
      </c>
      <c r="K604" t="s">
        <v>168</v>
      </c>
      <c r="L604" s="46">
        <v>0.90384343812969925</v>
      </c>
      <c r="M604" s="40" t="s">
        <v>169</v>
      </c>
    </row>
    <row r="605" spans="1:13" x14ac:dyDescent="0.25">
      <c r="A605" s="22" t="str">
        <f>TabVMAzureEnvProjet[[#This Row],[Client]] &amp; " .:. "  &amp; TabVMAzureEnvProjet[[#This Row],[Projet]]</f>
        <v>OFB .:. OFB-NATUREFRANCE</v>
      </c>
      <c r="B605" s="22" t="str">
        <f>IF(TabVMAzureEnvProjet[[#This Row],[Projet AzureDevOps]]&lt;&gt;"",TabVMAzureEnvProjet[[#This Row],[Projet AzureDevOps]],TabVMAzureEnvProjet[[#This Row],[VM]])</f>
        <v>OFB-NatureFrance</v>
      </c>
      <c r="C605" s="57" t="s">
        <v>79</v>
      </c>
      <c r="E605" t="s">
        <v>4</v>
      </c>
      <c r="F605" t="s">
        <v>78</v>
      </c>
      <c r="G605" t="str">
        <f>LOOKUP(TabVMAzureEnvProjet[[#This Row],[Projet]],TabProjets[NomProj],TabProjets[SYGES])</f>
        <v>AFB OFB_LOT2 -9-1 NATURE FRANCE</v>
      </c>
      <c r="H605" t="str">
        <f>LOOKUP(TabVMAzureEnvProjet[[#This Row],[Projet]],TabProjets[NomProj],TabProjets[CP])</f>
        <v>Rodolphe HABEGGER</v>
      </c>
      <c r="I605">
        <f>LOOKUP(TabVMAzureEnvProjet[[#This Row],[Code SYGES]],TabCONTRATSDI[Contrat SYGES],TabCONTRATSDI[Cost Center])</f>
        <v>305704</v>
      </c>
      <c r="J605" s="22" t="str">
        <f>LOOKUP(TabVMAzureEnvProjet[[#This Row],[Code SYGES]],TabCONTRATSDI[Contrat SYGES],TabCONTRATSDI[Client])</f>
        <v>OFB</v>
      </c>
      <c r="K605" t="s">
        <v>168</v>
      </c>
      <c r="L605" s="46">
        <v>4.7233737928807402</v>
      </c>
      <c r="M605" s="40" t="s">
        <v>169</v>
      </c>
    </row>
    <row r="606" spans="1:13" x14ac:dyDescent="0.25">
      <c r="A606" s="22" t="str">
        <f>TabVMAzureEnvProjet[[#This Row],[Client]] &amp; " .:. "  &amp; TabVMAzureEnvProjet[[#This Row],[Projet]]</f>
        <v>AFB .:. OFB-SISPEA</v>
      </c>
      <c r="B606" s="22" t="str">
        <f>IF(TabVMAzureEnvProjet[[#This Row],[Projet AzureDevOps]]&lt;&gt;"",TabVMAzureEnvProjet[[#This Row],[Projet AzureDevOps]],TabVMAzureEnvProjet[[#This Row],[VM]])</f>
        <v>OFB-SISPEA</v>
      </c>
      <c r="C606" s="57" t="s">
        <v>9</v>
      </c>
      <c r="E606" t="s">
        <v>4</v>
      </c>
      <c r="F606" t="s">
        <v>9</v>
      </c>
      <c r="G606" t="str">
        <f>LOOKUP(TabVMAzureEnvProjet[[#This Row],[Projet]],TabProjets[NomProj],TabProjets[SYGES])</f>
        <v>AFB/OFB_LOT2</v>
      </c>
      <c r="H606" t="str">
        <f>LOOKUP(TabVMAzureEnvProjet[[#This Row],[Projet]],TabProjets[NomProj],TabProjets[CP])</f>
        <v>Pierre BOURLIEUX</v>
      </c>
      <c r="I606">
        <f>LOOKUP(TabVMAzureEnvProjet[[#This Row],[Code SYGES]],TabCONTRATSDI[Contrat SYGES],TabCONTRATSDI[Cost Center])</f>
        <v>305704</v>
      </c>
      <c r="J606" s="22" t="str">
        <f>LOOKUP(TabVMAzureEnvProjet[[#This Row],[Code SYGES]],TabCONTRATSDI[Contrat SYGES],TabCONTRATSDI[Client])</f>
        <v>AFB</v>
      </c>
      <c r="K606" t="s">
        <v>168</v>
      </c>
      <c r="L606" s="46">
        <v>3.2155968471921992</v>
      </c>
      <c r="M606" s="40" t="s">
        <v>169</v>
      </c>
    </row>
    <row r="607" spans="1:13" x14ac:dyDescent="0.25">
      <c r="A607" s="22" t="str">
        <f>TabVMAzureEnvProjet[[#This Row],[Client]] &amp; " .:. "  &amp; TabVMAzureEnvProjet[[#This Row],[Projet]]</f>
        <v>PCM .:. PCM-ALS</v>
      </c>
      <c r="B607" s="22" t="str">
        <f>IF(TabVMAzureEnvProjet[[#This Row],[Projet AzureDevOps]]&lt;&gt;"",TabVMAzureEnvProjet[[#This Row],[Projet AzureDevOps]],TabVMAzureEnvProjet[[#This Row],[VM]])</f>
        <v>PCM-ALS</v>
      </c>
      <c r="C607" s="57" t="s">
        <v>71</v>
      </c>
      <c r="E607" t="s">
        <v>4</v>
      </c>
      <c r="F607" t="s">
        <v>71</v>
      </c>
      <c r="G607" t="str">
        <f>LOOKUP(TabVMAzureEnvProjet[[#This Row],[Projet]],TabProjets[NomProj],TabProjets[SYGES])</f>
        <v>PCM/WEB</v>
      </c>
      <c r="H607" t="str">
        <f>LOOKUP(TabVMAzureEnvProjet[[#This Row],[Projet]],TabProjets[NomProj],TabProjets[CP])</f>
        <v>Alice MARCHAL</v>
      </c>
      <c r="I607">
        <f>LOOKUP(TabVMAzureEnvProjet[[#This Row],[Code SYGES]],TabCONTRATSDI[Contrat SYGES],TabCONTRATSDI[Cost Center])</f>
        <v>305704</v>
      </c>
      <c r="J607" s="22" t="str">
        <f>LOOKUP(TabVMAzureEnvProjet[[#This Row],[Code SYGES]],TabCONTRATSDI[Contrat SYGES],TabCONTRATSDI[Client])</f>
        <v>PCM</v>
      </c>
      <c r="K607" t="s">
        <v>168</v>
      </c>
      <c r="L607" s="46">
        <v>3.3545268036210922</v>
      </c>
      <c r="M607" s="40" t="s">
        <v>169</v>
      </c>
    </row>
    <row r="608" spans="1:13" x14ac:dyDescent="0.25">
      <c r="A608" s="22" t="str">
        <f>TabVMAzureEnvProjet[[#This Row],[Client]] &amp; " .:. "  &amp; TabVMAzureEnvProjet[[#This Row],[Projet]]</f>
        <v>PCM .:. PCM-WEB</v>
      </c>
      <c r="B608" s="22" t="str">
        <f>IF(TabVMAzureEnvProjet[[#This Row],[Projet AzureDevOps]]&lt;&gt;"",TabVMAzureEnvProjet[[#This Row],[Projet AzureDevOps]],TabVMAzureEnvProjet[[#This Row],[VM]])</f>
        <v>PCM-Web</v>
      </c>
      <c r="C608" s="57" t="s">
        <v>73</v>
      </c>
      <c r="E608" t="s">
        <v>4</v>
      </c>
      <c r="F608" t="s">
        <v>72</v>
      </c>
      <c r="G608" t="str">
        <f>LOOKUP(TabVMAzureEnvProjet[[#This Row],[Projet]],TabProjets[NomProj],TabProjets[SYGES])</f>
        <v>PCM/WEB</v>
      </c>
      <c r="H608" t="str">
        <f>LOOKUP(TabVMAzureEnvProjet[[#This Row],[Projet]],TabProjets[NomProj],TabProjets[CP])</f>
        <v>Rodolphe HABEGGER</v>
      </c>
      <c r="I608">
        <f>LOOKUP(TabVMAzureEnvProjet[[#This Row],[Code SYGES]],TabCONTRATSDI[Contrat SYGES],TabCONTRATSDI[Cost Center])</f>
        <v>305704</v>
      </c>
      <c r="J608" s="22" t="str">
        <f>LOOKUP(TabVMAzureEnvProjet[[#This Row],[Code SYGES]],TabCONTRATSDI[Contrat SYGES],TabCONTRATSDI[Client])</f>
        <v>PCM</v>
      </c>
      <c r="K608" t="s">
        <v>168</v>
      </c>
      <c r="L608" s="46">
        <v>2.1918203374645207</v>
      </c>
      <c r="M608" s="40" t="s">
        <v>169</v>
      </c>
    </row>
    <row r="609" spans="1:13" x14ac:dyDescent="0.25">
      <c r="A609" s="22" t="str">
        <f>TabVMAzureEnvProjet[[#This Row],[Client]] &amp; " .:. "  &amp; TabVMAzureEnvProjet[[#This Row],[Projet]]</f>
        <v>SAFT .:. SAFT-PDM</v>
      </c>
      <c r="B609" s="22" t="str">
        <f>IF(TabVMAzureEnvProjet[[#This Row],[Projet AzureDevOps]]&lt;&gt;"",TabVMAzureEnvProjet[[#This Row],[Projet AzureDevOps]],TabVMAzureEnvProjet[[#This Row],[VM]])</f>
        <v>SAFT-PDM</v>
      </c>
      <c r="C609" s="57" t="s">
        <v>94</v>
      </c>
      <c r="E609" t="s">
        <v>4</v>
      </c>
      <c r="F609" t="s">
        <v>94</v>
      </c>
      <c r="G609" t="str">
        <f>LOOKUP(TabVMAzureEnvProjet[[#This Row],[Projet]],TabProjets[NomProj],TabProjets[SYGES])</f>
        <v>SAFT/TMA</v>
      </c>
      <c r="H609" t="str">
        <f>LOOKUP(TabVMAzureEnvProjet[[#This Row],[Projet]],TabProjets[NomProj],TabProjets[CP])</f>
        <v>Pierre BOURLIEUX</v>
      </c>
      <c r="I609">
        <f>LOOKUP(TabVMAzureEnvProjet[[#This Row],[Code SYGES]],TabCONTRATSDI[Contrat SYGES],TabCONTRATSDI[Cost Center])</f>
        <v>305704</v>
      </c>
      <c r="J609" s="22" t="str">
        <f>LOOKUP(TabVMAzureEnvProjet[[#This Row],[Code SYGES]],TabCONTRATSDI[Contrat SYGES],TabCONTRATSDI[Client])</f>
        <v>SAFT</v>
      </c>
      <c r="K609" t="s">
        <v>168</v>
      </c>
      <c r="L609" s="46">
        <v>1.9441324722078241</v>
      </c>
      <c r="M609" s="40" t="s">
        <v>169</v>
      </c>
    </row>
    <row r="610" spans="1:13" x14ac:dyDescent="0.25">
      <c r="A610" s="22" t="str">
        <f>TabVMAzureEnvProjet[[#This Row],[Client]] &amp; " .:. "  &amp; TabVMAzureEnvProjet[[#This Row],[Projet]]</f>
        <v>SPC .:. SPC-BUILD</v>
      </c>
      <c r="B610" s="22" t="str">
        <f>IF(TabVMAzureEnvProjet[[#This Row],[Projet AzureDevOps]]&lt;&gt;"",TabVMAzureEnvProjet[[#This Row],[Projet AzureDevOps]],TabVMAzureEnvProjet[[#This Row],[VM]])</f>
        <v>SPC-BUILD</v>
      </c>
      <c r="C610" s="57" t="s">
        <v>67</v>
      </c>
      <c r="E610" t="s">
        <v>4</v>
      </c>
      <c r="F610" t="s">
        <v>67</v>
      </c>
      <c r="G610" t="str">
        <f>LOOKUP(TabVMAzureEnvProjet[[#This Row],[Projet]],TabProjets[NomProj],TabProjets[SYGES])</f>
        <v>SPC/BUILD</v>
      </c>
      <c r="H610" t="str">
        <f>LOOKUP(TabVMAzureEnvProjet[[#This Row],[Projet]],TabProjets[NomProj],TabProjets[CP])</f>
        <v>Nicolas DURFORT</v>
      </c>
      <c r="I610">
        <f>LOOKUP(TabVMAzureEnvProjet[[#This Row],[Code SYGES]],TabCONTRATSDI[Contrat SYGES],TabCONTRATSDI[Cost Center])</f>
        <v>305704</v>
      </c>
      <c r="J610" s="22" t="str">
        <f>LOOKUP(TabVMAzureEnvProjet[[#This Row],[Code SYGES]],TabCONTRATSDI[Contrat SYGES],TabCONTRATSDI[Client])</f>
        <v>SPC</v>
      </c>
      <c r="K610" t="s">
        <v>168</v>
      </c>
      <c r="L610" s="46">
        <v>44.568472804638468</v>
      </c>
      <c r="M610" s="40" t="s">
        <v>169</v>
      </c>
    </row>
    <row r="611" spans="1:13" x14ac:dyDescent="0.25">
      <c r="A611" s="22" t="str">
        <f>TabVMAzureEnvProjet[[#This Row],[Client]] &amp; " .:. "  &amp; TabVMAzureEnvProjet[[#This Row],[Projet]]</f>
        <v>SPC .:. SPC-WEB</v>
      </c>
      <c r="B611" s="22" t="str">
        <f>IF(TabVMAzureEnvProjet[[#This Row],[Projet AzureDevOps]]&lt;&gt;"",TabVMAzureEnvProjet[[#This Row],[Projet AzureDevOps]],TabVMAzureEnvProjet[[#This Row],[VM]])</f>
        <v>SPC-WEB</v>
      </c>
      <c r="C611" s="57" t="s">
        <v>69</v>
      </c>
      <c r="E611" t="s">
        <v>4</v>
      </c>
      <c r="F611" t="s">
        <v>69</v>
      </c>
      <c r="G611" t="str">
        <f>LOOKUP(TabVMAzureEnvProjet[[#This Row],[Projet]],TabProjets[NomProj],TabProjets[SYGES])</f>
        <v>SPC/BUILD-0-1-SITE-WEB</v>
      </c>
      <c r="H611" t="str">
        <f>LOOKUP(TabVMAzureEnvProjet[[#This Row],[Projet]],TabProjets[NomProj],TabProjets[CP])</f>
        <v>Nicolas DURFORT</v>
      </c>
      <c r="I611">
        <f>LOOKUP(TabVMAzureEnvProjet[[#This Row],[Code SYGES]],TabCONTRATSDI[Contrat SYGES],TabCONTRATSDI[Cost Center])</f>
        <v>305704</v>
      </c>
      <c r="J611" s="22" t="str">
        <f>LOOKUP(TabVMAzureEnvProjet[[#This Row],[Code SYGES]],TabCONTRATSDI[Contrat SYGES],TabCONTRATSDI[Client])</f>
        <v>SPC</v>
      </c>
      <c r="K611" t="s">
        <v>168</v>
      </c>
      <c r="L611" s="46">
        <v>5.4326205112968751</v>
      </c>
      <c r="M611" s="40" t="s">
        <v>169</v>
      </c>
    </row>
    <row r="612" spans="1:13" x14ac:dyDescent="0.25">
      <c r="A612" s="22" t="str">
        <f>TabVMAzureEnvProjet[[#This Row],[Client]] &amp; " .:. "  &amp; TabVMAzureEnvProjet[[#This Row],[Projet]]</f>
        <v>STMICRO .:. STMICRO-DATAPACK</v>
      </c>
      <c r="B612" s="22" t="str">
        <f>IF(TabVMAzureEnvProjet[[#This Row],[Projet AzureDevOps]]&lt;&gt;"",TabVMAzureEnvProjet[[#This Row],[Projet AzureDevOps]],TabVMAzureEnvProjet[[#This Row],[VM]])</f>
        <v>STMICRO-DATAPACK</v>
      </c>
      <c r="C612" s="57" t="s">
        <v>96</v>
      </c>
      <c r="E612" t="s">
        <v>4</v>
      </c>
      <c r="F612" t="s">
        <v>96</v>
      </c>
      <c r="G612" t="str">
        <f>LOOKUP(TabVMAzureEnvProjet[[#This Row],[Projet]],TabProjets[NomProj],TabProjets[SYGES])</f>
        <v>STMICRO/TMASI</v>
      </c>
      <c r="H612" t="str">
        <f>LOOKUP(TabVMAzureEnvProjet[[#This Row],[Projet]],TabProjets[NomProj],TabProjets[CP])</f>
        <v>Jean-Philippe STROIAZZO</v>
      </c>
      <c r="I612">
        <f>LOOKUP(TabVMAzureEnvProjet[[#This Row],[Code SYGES]],TabCONTRATSDI[Contrat SYGES],TabCONTRATSDI[Cost Center])</f>
        <v>305704</v>
      </c>
      <c r="J612" s="22" t="str">
        <f>LOOKUP(TabVMAzureEnvProjet[[#This Row],[Code SYGES]],TabCONTRATSDI[Contrat SYGES],TabCONTRATSDI[Client])</f>
        <v>STMICRO</v>
      </c>
      <c r="K612" t="s">
        <v>168</v>
      </c>
      <c r="L612" s="46">
        <v>3.8673558965539376</v>
      </c>
      <c r="M612" s="40" t="s">
        <v>169</v>
      </c>
    </row>
    <row r="613" spans="1:13" x14ac:dyDescent="0.25">
      <c r="A613" s="22" t="str">
        <f>TabVMAzureEnvProjet[[#This Row],[Client]] &amp; " .:. "  &amp; TabVMAzureEnvProjet[[#This Row],[Projet]]</f>
        <v>STMICRO .:. STMICRO-ROCKET</v>
      </c>
      <c r="B613" s="22" t="str">
        <f>IF(TabVMAzureEnvProjet[[#This Row],[Projet AzureDevOps]]&lt;&gt;"",TabVMAzureEnvProjet[[#This Row],[Projet AzureDevOps]],TabVMAzureEnvProjet[[#This Row],[VM]])</f>
        <v>STMICRO-ROCKET</v>
      </c>
      <c r="C613" s="57" t="s">
        <v>98</v>
      </c>
      <c r="E613" t="s">
        <v>4</v>
      </c>
      <c r="F613" t="s">
        <v>98</v>
      </c>
      <c r="G613" t="str">
        <f>LOOKUP(TabVMAzureEnvProjet[[#This Row],[Projet]],TabProjets[NomProj],TabProjets[SYGES])</f>
        <v>STMICRO/TMASI</v>
      </c>
      <c r="H613" t="str">
        <f>LOOKUP(TabVMAzureEnvProjet[[#This Row],[Projet]],TabProjets[NomProj],TabProjets[CP])</f>
        <v>Jean-Philippe STROIAZZO</v>
      </c>
      <c r="I613">
        <f>LOOKUP(TabVMAzureEnvProjet[[#This Row],[Code SYGES]],TabCONTRATSDI[Contrat SYGES],TabCONTRATSDI[Cost Center])</f>
        <v>305704</v>
      </c>
      <c r="J613" s="22" t="str">
        <f>LOOKUP(TabVMAzureEnvProjet[[#This Row],[Code SYGES]],TabCONTRATSDI[Contrat SYGES],TabCONTRATSDI[Client])</f>
        <v>STMICRO</v>
      </c>
      <c r="K613" t="s">
        <v>168</v>
      </c>
      <c r="L613" s="46">
        <v>5.3699956124445629</v>
      </c>
      <c r="M613" s="40" t="s">
        <v>169</v>
      </c>
    </row>
    <row r="614" spans="1:13" x14ac:dyDescent="0.25">
      <c r="A614" s="22" t="str">
        <f>TabVMAzureEnvProjet[[#This Row],[Client]] &amp; " .:. "  &amp; TabVMAzureEnvProjet[[#This Row],[Projet]]</f>
        <v>ALM .:. ALM-ATOUT</v>
      </c>
      <c r="B614" s="22" t="str">
        <f>IF(TabVMAzureEnvProjet[[#This Row],[Projet AzureDevOps]]&lt;&gt;"",TabVMAzureEnvProjet[[#This Row],[Projet AzureDevOps]],TabVMAzureEnvProjet[[#This Row],[VM]])</f>
        <v>ALM-ATOUT-VM</v>
      </c>
      <c r="D614" t="s">
        <v>18</v>
      </c>
      <c r="E614" t="s">
        <v>6</v>
      </c>
      <c r="F614" t="s">
        <v>17</v>
      </c>
      <c r="G614" t="str">
        <f>LOOKUP(TabVMAzureEnvProjet[[#This Row],[Projet]],TabProjets[NomProj],TabProjets[SYGES])</f>
        <v>ALM/TMA_ATOUT</v>
      </c>
      <c r="H614" t="str">
        <f>LOOKUP(TabVMAzureEnvProjet[[#This Row],[Projet]],TabProjets[NomProj],TabProjets[CP])</f>
        <v>Alice MARCHAL</v>
      </c>
      <c r="I614">
        <f>LOOKUP(TabVMAzureEnvProjet[[#This Row],[Code SYGES]],TabCONTRATSDI[Contrat SYGES],TabCONTRATSDI[Cost Center])</f>
        <v>305704</v>
      </c>
      <c r="J614" s="22" t="str">
        <f>LOOKUP(TabVMAzureEnvProjet[[#This Row],[Code SYGES]],TabCONTRATSDI[Contrat SYGES],TabCONTRATSDI[Client])</f>
        <v>ALM</v>
      </c>
      <c r="K614" t="s">
        <v>168</v>
      </c>
      <c r="L614" s="31">
        <v>11.029620224204988</v>
      </c>
      <c r="M614" s="40" t="s">
        <v>170</v>
      </c>
    </row>
    <row r="615" spans="1:13" x14ac:dyDescent="0.25">
      <c r="A615" s="22" t="str">
        <f>TabVMAzureEnvProjet[[#This Row],[Client]] &amp; " .:. "  &amp; TabVMAzureEnvProjet[[#This Row],[Projet]]</f>
        <v>BRGM .:. BRGM-ORRM</v>
      </c>
      <c r="B615" s="22" t="str">
        <f>IF(TabVMAzureEnvProjet[[#This Row],[Projet AzureDevOps]]&lt;&gt;"",TabVMAzureEnvProjet[[#This Row],[Projet AzureDevOps]],TabVMAzureEnvProjet[[#This Row],[VM]])</f>
        <v>BRGM-ORRM-VM</v>
      </c>
      <c r="D615" t="s">
        <v>22</v>
      </c>
      <c r="E615" t="s">
        <v>21</v>
      </c>
      <c r="F615" t="s">
        <v>20</v>
      </c>
      <c r="G615" t="str">
        <f>LOOKUP(TabVMAzureEnvProjet[[#This Row],[Projet]],TabProjets[NomProj],TabProjets[SYGES])</f>
        <v>BRGM/TMA-5-1-ORRM-LOT1</v>
      </c>
      <c r="H615" t="str">
        <f>LOOKUP(TabVMAzureEnvProjet[[#This Row],[Projet]],TabProjets[NomProj],TabProjets[CP])</f>
        <v>Alice MARCHAL</v>
      </c>
      <c r="I615">
        <f>LOOKUP(TabVMAzureEnvProjet[[#This Row],[Code SYGES]],TabCONTRATSDI[Contrat SYGES],TabCONTRATSDI[Cost Center])</f>
        <v>305704</v>
      </c>
      <c r="J615" s="22" t="str">
        <f>LOOKUP(TabVMAzureEnvProjet[[#This Row],[Code SYGES]],TabCONTRATSDI[Contrat SYGES],TabCONTRATSDI[Client])</f>
        <v>BRGM</v>
      </c>
      <c r="K615" t="s">
        <v>168</v>
      </c>
      <c r="L615" s="31">
        <v>2.0860619232822391</v>
      </c>
      <c r="M615" s="40" t="s">
        <v>170</v>
      </c>
    </row>
    <row r="616" spans="1:13" x14ac:dyDescent="0.25">
      <c r="A616" s="22" t="str">
        <f>TabVMAzureEnvProjet[[#This Row],[Client]] &amp; " .:. "  &amp; TabVMAzureEnvProjet[[#This Row],[Projet]]</f>
        <v>CA-TITRES .:. CATITRES-COMX</v>
      </c>
      <c r="B616" s="22" t="str">
        <f>IF(TabVMAzureEnvProjet[[#This Row],[Projet AzureDevOps]]&lt;&gt;"",TabVMAzureEnvProjet[[#This Row],[Projet AzureDevOps]],TabVMAzureEnvProjet[[#This Row],[VM]])</f>
        <v>CATITRES-COMX-VM</v>
      </c>
      <c r="D616" t="s">
        <v>25</v>
      </c>
      <c r="E616" t="s">
        <v>10</v>
      </c>
      <c r="F616" t="s">
        <v>24</v>
      </c>
      <c r="G616" t="str">
        <f>LOOKUP(TabVMAzureEnvProjet[[#This Row],[Projet]],TabProjets[NomProj],TabProjets[SYGES])</f>
        <v>CA-TITRES/TMA</v>
      </c>
      <c r="H616" t="str">
        <f>LOOKUP(TabVMAzureEnvProjet[[#This Row],[Projet]],TabProjets[NomProj],TabProjets[CP])</f>
        <v>Jean-Philippe STROIAZZO</v>
      </c>
      <c r="I616">
        <f>LOOKUP(TabVMAzureEnvProjet[[#This Row],[Code SYGES]],TabCONTRATSDI[Contrat SYGES],TabCONTRATSDI[Cost Center])</f>
        <v>305704</v>
      </c>
      <c r="J616" s="22" t="str">
        <f>LOOKUP(TabVMAzureEnvProjet[[#This Row],[Code SYGES]],TabCONTRATSDI[Contrat SYGES],TabCONTRATSDI[Client])</f>
        <v>CA-TITRES</v>
      </c>
      <c r="K616" t="s">
        <v>168</v>
      </c>
      <c r="L616" s="31">
        <v>7.1341012735453369</v>
      </c>
      <c r="M616" s="40" t="s">
        <v>170</v>
      </c>
    </row>
    <row r="617" spans="1:13" x14ac:dyDescent="0.25">
      <c r="A617" s="22" t="str">
        <f>TabVMAzureEnvProjet[[#This Row],[Client]] &amp; " .:. "  &amp; TabVMAzureEnvProjet[[#This Row],[Projet]]</f>
        <v>EBR .:. EBR-LAPOSTE</v>
      </c>
      <c r="B617" s="22" t="str">
        <f>IF(TabVMAzureEnvProjet[[#This Row],[Projet AzureDevOps]]&lt;&gt;"",TabVMAzureEnvProjet[[#This Row],[Projet AzureDevOps]],TabVMAzureEnvProjet[[#This Row],[VM]])</f>
        <v>EBR-LAPOSTE-VM</v>
      </c>
      <c r="D617" t="s">
        <v>76</v>
      </c>
      <c r="E617" t="s">
        <v>10</v>
      </c>
      <c r="F617" t="s">
        <v>75</v>
      </c>
      <c r="G617" t="str">
        <f>LOOKUP(TabVMAzureEnvProjet[[#This Row],[Projet]],TabProjets[NomProj],TabProjets[SYGES])</f>
        <v>EBR/TMA</v>
      </c>
      <c r="H617" t="str">
        <f>LOOKUP(TabVMAzureEnvProjet[[#This Row],[Projet]],TabProjets[NomProj],TabProjets[CP])</f>
        <v>Valerie ASSELIN LOZACHMEUR</v>
      </c>
      <c r="I617">
        <f>LOOKUP(TabVMAzureEnvProjet[[#This Row],[Code SYGES]],TabCONTRATSDI[Contrat SYGES],TabCONTRATSDI[Cost Center])</f>
        <v>305704</v>
      </c>
      <c r="J617" s="22" t="str">
        <f>LOOKUP(TabVMAzureEnvProjet[[#This Row],[Code SYGES]],TabCONTRATSDI[Contrat SYGES],TabCONTRATSDI[Client])</f>
        <v>EBR</v>
      </c>
      <c r="K617" t="s">
        <v>168</v>
      </c>
      <c r="L617" s="31">
        <v>85.309559978647144</v>
      </c>
      <c r="M617" s="40" t="s">
        <v>170</v>
      </c>
    </row>
    <row r="618" spans="1:13" x14ac:dyDescent="0.25">
      <c r="A618" s="22" t="str">
        <f>TabVMAzureEnvProjet[[#This Row],[Client]] &amp; " .:. "  &amp; TabVMAzureEnvProjet[[#This Row],[Projet]]</f>
        <v>INETUM .:. INETUM-INTERNE</v>
      </c>
      <c r="B618" s="22" t="str">
        <f>IF(TabVMAzureEnvProjet[[#This Row],[Projet AzureDevOps]]&lt;&gt;"",TabVMAzureEnvProjet[[#This Row],[Projet AzureDevOps]],TabVMAzureEnvProjet[[#This Row],[VM]])</f>
        <v>GFI-PMT-VM</v>
      </c>
      <c r="D618" t="s">
        <v>121</v>
      </c>
      <c r="E618" t="s">
        <v>10</v>
      </c>
      <c r="F618" t="s">
        <v>102</v>
      </c>
      <c r="G618" t="str">
        <f>LOOKUP(TabVMAzureEnvProjet[[#This Row],[Projet]],TabProjets[NomProj],TabProjets[SYGES])</f>
        <v>INETUM/PROJET_INTERNE</v>
      </c>
      <c r="H618" t="str">
        <f>LOOKUP(TabVMAzureEnvProjet[[#This Row],[Projet]],TabProjets[NomProj],TabProjets[CP])</f>
        <v>Christophe ORLANDO</v>
      </c>
      <c r="I618">
        <f>LOOKUP(TabVMAzureEnvProjet[[#This Row],[Code SYGES]],TabCONTRATSDI[Contrat SYGES],TabCONTRATSDI[Cost Center])</f>
        <v>305704</v>
      </c>
      <c r="J618" s="22" t="str">
        <f>LOOKUP(TabVMAzureEnvProjet[[#This Row],[Code SYGES]],TabCONTRATSDI[Contrat SYGES],TabCONTRATSDI[Client])</f>
        <v>INETUM</v>
      </c>
      <c r="K618" t="s">
        <v>168</v>
      </c>
      <c r="L618" s="31">
        <v>16.746121406238082</v>
      </c>
      <c r="M618" s="40" t="s">
        <v>170</v>
      </c>
    </row>
    <row r="619" spans="1:13" x14ac:dyDescent="0.25">
      <c r="A619" s="22" t="str">
        <f>TabVMAzureEnvProjet[[#This Row],[Client]] &amp; " .:. "  &amp; TabVMAzureEnvProjet[[#This Row],[Projet]]</f>
        <v>MENESR .:. MENJ-BI</v>
      </c>
      <c r="B619" s="22" t="str">
        <f>IF(TabVMAzureEnvProjet[[#This Row],[Projet AzureDevOps]]&lt;&gt;"",TabVMAzureEnvProjet[[#This Row],[Projet AzureDevOps]],TabVMAzureEnvProjet[[#This Row],[VM]])</f>
        <v>MENJ-BI-VM</v>
      </c>
      <c r="D619" t="s">
        <v>52</v>
      </c>
      <c r="E619" t="s">
        <v>6</v>
      </c>
      <c r="F619" t="s">
        <v>51</v>
      </c>
      <c r="G619" t="str">
        <f>LOOKUP(TabVMAzureEnvProjet[[#This Row],[Projet]],TabProjets[NomProj],TabProjets[SYGES])</f>
        <v>MENESR/TMA</v>
      </c>
      <c r="H619" t="str">
        <f>LOOKUP(TabVMAzureEnvProjet[[#This Row],[Projet]],TabProjets[NomProj],TabProjets[CP])</f>
        <v>Eric PERROUD</v>
      </c>
      <c r="I619">
        <f>LOOKUP(TabVMAzureEnvProjet[[#This Row],[Code SYGES]],TabCONTRATSDI[Contrat SYGES],TabCONTRATSDI[Cost Center])</f>
        <v>305704</v>
      </c>
      <c r="J619" s="22" t="str">
        <f>LOOKUP(TabVMAzureEnvProjet[[#This Row],[Code SYGES]],TabCONTRATSDI[Contrat SYGES],TabCONTRATSDI[Client])</f>
        <v>MENESR</v>
      </c>
      <c r="K619" t="s">
        <v>168</v>
      </c>
      <c r="L619" s="31">
        <v>2.1782635552505147</v>
      </c>
      <c r="M619" s="40" t="s">
        <v>170</v>
      </c>
    </row>
    <row r="620" spans="1:13" x14ac:dyDescent="0.25">
      <c r="A620" s="22" t="str">
        <f>TabVMAzureEnvProjet[[#This Row],[Client]] &amp; " .:. "  &amp; TabVMAzureEnvProjet[[#This Row],[Projet]]</f>
        <v>AFB .:. AFB-NatureFrance</v>
      </c>
      <c r="B620" s="22" t="str">
        <f>IF(TabVMAzureEnvProjet[[#This Row],[Projet AzureDevOps]]&lt;&gt;"",TabVMAzureEnvProjet[[#This Row],[Projet AzureDevOps]],TabVMAzureEnvProjet[[#This Row],[VM]])</f>
        <v>OFB-FRANCENATURE-VM</v>
      </c>
      <c r="D620" t="s">
        <v>80</v>
      </c>
      <c r="E620" t="s">
        <v>6</v>
      </c>
      <c r="F620" t="s">
        <v>147</v>
      </c>
      <c r="G620" t="str">
        <f>LOOKUP(TabVMAzureEnvProjet[[#This Row],[Projet]],TabProjets[NomProj],TabProjets[SYGES])</f>
        <v>AFB/OFB_LOT2</v>
      </c>
      <c r="H620" t="str">
        <f>LOOKUP(TabVMAzureEnvProjet[[#This Row],[Projet]],TabProjets[NomProj],TabProjets[CP])</f>
        <v>Rodolphe HABEGGER</v>
      </c>
      <c r="I620">
        <f>LOOKUP(TabVMAzureEnvProjet[[#This Row],[Code SYGES]],TabCONTRATSDI[Contrat SYGES],TabCONTRATSDI[Cost Center])</f>
        <v>305704</v>
      </c>
      <c r="J620" s="22" t="str">
        <f>LOOKUP(TabVMAzureEnvProjet[[#This Row],[Code SYGES]],TabCONTRATSDI[Contrat SYGES],TabCONTRATSDI[Client])</f>
        <v>AFB</v>
      </c>
      <c r="K620" t="s">
        <v>168</v>
      </c>
      <c r="L620" s="31">
        <v>2.1321627392663771</v>
      </c>
      <c r="M620" s="40" t="s">
        <v>170</v>
      </c>
    </row>
    <row r="621" spans="1:13" x14ac:dyDescent="0.25">
      <c r="A621" s="22" t="str">
        <f>TabVMAzureEnvProjet[[#This Row],[Client]] &amp; " .:. "  &amp; TabVMAzureEnvProjet[[#This Row],[Projet]]</f>
        <v>AFB .:. OFB-SISPEA</v>
      </c>
      <c r="B621" s="22" t="str">
        <f>IF(TabVMAzureEnvProjet[[#This Row],[Projet AzureDevOps]]&lt;&gt;"",TabVMAzureEnvProjet[[#This Row],[Projet AzureDevOps]],TabVMAzureEnvProjet[[#This Row],[VM]])</f>
        <v>OFB-SISPEA-VM</v>
      </c>
      <c r="D621" t="s">
        <v>11</v>
      </c>
      <c r="E621" t="s">
        <v>10</v>
      </c>
      <c r="F621" t="s">
        <v>9</v>
      </c>
      <c r="G621" t="str">
        <f>LOOKUP(TabVMAzureEnvProjet[[#This Row],[Projet]],TabProjets[NomProj],TabProjets[SYGES])</f>
        <v>AFB/OFB_LOT2</v>
      </c>
      <c r="H621" t="str">
        <f>LOOKUP(TabVMAzureEnvProjet[[#This Row],[Projet]],TabProjets[NomProj],TabProjets[CP])</f>
        <v>Pierre BOURLIEUX</v>
      </c>
      <c r="I621">
        <f>LOOKUP(TabVMAzureEnvProjet[[#This Row],[Code SYGES]],TabCONTRATSDI[Contrat SYGES],TabCONTRATSDI[Cost Center])</f>
        <v>305704</v>
      </c>
      <c r="J621" s="22" t="str">
        <f>LOOKUP(TabVMAzureEnvProjet[[#This Row],[Code SYGES]],TabCONTRATSDI[Contrat SYGES],TabCONTRATSDI[Client])</f>
        <v>AFB</v>
      </c>
      <c r="K621" t="s">
        <v>168</v>
      </c>
      <c r="L621" s="31">
        <v>6.7422443376801642</v>
      </c>
      <c r="M621" s="40" t="s">
        <v>170</v>
      </c>
    </row>
    <row r="622" spans="1:13" x14ac:dyDescent="0.25">
      <c r="A622" s="22" t="str">
        <f>TabVMAzureEnvProjet[[#This Row],[Client]] &amp; " .:. "  &amp; TabVMAzureEnvProjet[[#This Row],[Projet]]</f>
        <v>SPC .:. SPC-BUILD</v>
      </c>
      <c r="B622" s="22" t="str">
        <f>IF(TabVMAzureEnvProjet[[#This Row],[Projet AzureDevOps]]&lt;&gt;"",TabVMAzureEnvProjet[[#This Row],[Projet AzureDevOps]],TabVMAzureEnvProjet[[#This Row],[VM]])</f>
        <v>SPC-BUILDAS-VM</v>
      </c>
      <c r="D622" t="s">
        <v>68</v>
      </c>
      <c r="E622" t="s">
        <v>10</v>
      </c>
      <c r="F622" t="s">
        <v>67</v>
      </c>
      <c r="G622" t="str">
        <f>LOOKUP(TabVMAzureEnvProjet[[#This Row],[Projet]],TabProjets[NomProj],TabProjets[SYGES])</f>
        <v>SPC/BUILD</v>
      </c>
      <c r="H622" t="str">
        <f>LOOKUP(TabVMAzureEnvProjet[[#This Row],[Projet]],TabProjets[NomProj],TabProjets[CP])</f>
        <v>Nicolas DURFORT</v>
      </c>
      <c r="I622">
        <f>LOOKUP(TabVMAzureEnvProjet[[#This Row],[Code SYGES]],TabCONTRATSDI[Contrat SYGES],TabCONTRATSDI[Cost Center])</f>
        <v>305704</v>
      </c>
      <c r="J622" s="22" t="str">
        <f>LOOKUP(TabVMAzureEnvProjet[[#This Row],[Code SYGES]],TabCONTRATSDI[Contrat SYGES],TabCONTRATSDI[Client])</f>
        <v>SPC</v>
      </c>
      <c r="K622" t="s">
        <v>168</v>
      </c>
      <c r="L622" s="31">
        <v>87.441722717913521</v>
      </c>
      <c r="M622" s="40" t="s">
        <v>170</v>
      </c>
    </row>
    <row r="623" spans="1:13" x14ac:dyDescent="0.25">
      <c r="A623" s="22" t="str">
        <f>TabVMAzureEnvProjet[[#This Row],[Client]] &amp; " .:. "  &amp; TabVMAzureEnvProjet[[#This Row],[Projet]]</f>
        <v>STMICRO .:. STMICRO-DATAPACK</v>
      </c>
      <c r="B623" s="22" t="str">
        <f>IF(TabVMAzureEnvProjet[[#This Row],[Projet AzureDevOps]]&lt;&gt;"",TabVMAzureEnvProjet[[#This Row],[Projet AzureDevOps]],TabVMAzureEnvProjet[[#This Row],[VM]])</f>
        <v>STMICRO-DATAPACK-VM</v>
      </c>
      <c r="D623" t="s">
        <v>97</v>
      </c>
      <c r="E623" t="s">
        <v>10</v>
      </c>
      <c r="F623" t="s">
        <v>96</v>
      </c>
      <c r="G623" t="str">
        <f>LOOKUP(TabVMAzureEnvProjet[[#This Row],[Projet]],TabProjets[NomProj],TabProjets[SYGES])</f>
        <v>STMICRO/TMASI</v>
      </c>
      <c r="H623" t="str">
        <f>LOOKUP(TabVMAzureEnvProjet[[#This Row],[Projet]],TabProjets[NomProj],TabProjets[CP])</f>
        <v>Jean-Philippe STROIAZZO</v>
      </c>
      <c r="I623">
        <f>LOOKUP(TabVMAzureEnvProjet[[#This Row],[Code SYGES]],TabCONTRATSDI[Contrat SYGES],TabCONTRATSDI[Cost Center])</f>
        <v>305704</v>
      </c>
      <c r="J623" s="22" t="str">
        <f>LOOKUP(TabVMAzureEnvProjet[[#This Row],[Code SYGES]],TabCONTRATSDI[Contrat SYGES],TabCONTRATSDI[Client])</f>
        <v>STMICRO</v>
      </c>
      <c r="K623" t="s">
        <v>168</v>
      </c>
      <c r="L623" s="31">
        <v>7.5720590253946467</v>
      </c>
      <c r="M623" s="40" t="s">
        <v>170</v>
      </c>
    </row>
    <row r="624" spans="1:13" x14ac:dyDescent="0.25">
      <c r="A624" s="22" t="str">
        <f>TabVMAzureEnvProjet[[#This Row],[Client]] &amp; " .:. "  &amp; TabVMAzureEnvProjet[[#This Row],[Projet]]</f>
        <v>FRR .:. FRR-DIGIPAT</v>
      </c>
      <c r="B624" s="22" t="str">
        <f>IF(TabVMAzureEnvProjet[[#This Row],[Projet AzureDevOps]]&lt;&gt;"",TabVMAzureEnvProjet[[#This Row],[Projet AzureDevOps]],TabVMAzureEnvProjet[[#This Row],[VM]])</f>
        <v>FRR-DIGIPAT-VM</v>
      </c>
      <c r="D624" t="s">
        <v>31</v>
      </c>
      <c r="E624" t="s">
        <v>21</v>
      </c>
      <c r="F624" t="s">
        <v>29</v>
      </c>
      <c r="G624" t="str">
        <f>LOOKUP(TabVMAzureEnvProjet[[#This Row],[Projet]],TabProjets[NomProj],TabProjets[SYGES])</f>
        <v>FRR/TMASI</v>
      </c>
      <c r="H624" t="str">
        <f>LOOKUP(TabVMAzureEnvProjet[[#This Row],[Projet]],TabProjets[NomProj],TabProjets[CP])</f>
        <v>Alice MARCHAL</v>
      </c>
      <c r="I624">
        <f>LOOKUP(TabVMAzureEnvProjet[[#This Row],[Code SYGES]],TabCONTRATSDI[Contrat SYGES],TabCONTRATSDI[Cost Center])</f>
        <v>305704</v>
      </c>
      <c r="J624" s="22" t="str">
        <f>LOOKUP(TabVMAzureEnvProjet[[#This Row],[Code SYGES]],TabCONTRATSDI[Contrat SYGES],TabCONTRATSDI[Client])</f>
        <v>FRR</v>
      </c>
      <c r="K624" t="s">
        <v>168</v>
      </c>
      <c r="L624" s="31">
        <v>6.650042705711888</v>
      </c>
      <c r="M624" s="40" t="s">
        <v>170</v>
      </c>
    </row>
    <row r="625" spans="1:13" x14ac:dyDescent="0.25">
      <c r="A625" s="22" t="str">
        <f>TabVMAzureEnvProjet[[#This Row],[Client]] &amp; " .:. "  &amp; TabVMAzureEnvProjet[[#This Row],[Projet]]</f>
        <v>GFI .:. GFI-WAAC</v>
      </c>
      <c r="B625" s="22" t="str">
        <f>IF(TabVMAzureEnvProjet[[#This Row],[Projet AzureDevOps]]&lt;&gt;"",TabVMAzureEnvProjet[[#This Row],[Projet AzureDevOps]],TabVMAzureEnvProjet[[#This Row],[VM]])</f>
        <v>GFI-WAAC-VM</v>
      </c>
      <c r="D625" t="s">
        <v>39</v>
      </c>
      <c r="E625" t="s">
        <v>6</v>
      </c>
      <c r="F625" t="s">
        <v>38</v>
      </c>
      <c r="G625" t="str">
        <f>LOOKUP(TabVMAzureEnvProjet[[#This Row],[Projet]],TabProjets[NomProj],TabProjets[SYGES])</f>
        <v>383928 - WAAC 1.0</v>
      </c>
      <c r="H625" t="str">
        <f>LOOKUP(TabVMAzureEnvProjet[[#This Row],[Projet]],TabProjets[NomProj],TabProjets[CP])</f>
        <v>Laurent MARCIANIAK</v>
      </c>
      <c r="I625">
        <f>LOOKUP(TabVMAzureEnvProjet[[#This Row],[Code SYGES]],TabCONTRATSDI[Contrat SYGES],TabCONTRATSDI[Cost Center])</f>
        <v>100973</v>
      </c>
      <c r="J625" s="22" t="str">
        <f>LOOKUP(TabVMAzureEnvProjet[[#This Row],[Code SYGES]],TabCONTRATSDI[Contrat SYGES],TabCONTRATSDI[Client])</f>
        <v>GFI</v>
      </c>
      <c r="K625" t="s">
        <v>168</v>
      </c>
      <c r="L625" s="31">
        <v>39.934831846259435</v>
      </c>
      <c r="M625" s="40" t="s">
        <v>170</v>
      </c>
    </row>
    <row r="626" spans="1:13" x14ac:dyDescent="0.25">
      <c r="A626" s="22" t="str">
        <f>TabVMAzureEnvProjet[[#This Row],[Client]] &amp; " .:. "  &amp; TabVMAzureEnvProjet[[#This Row],[Projet]]</f>
        <v>LAPOSTE .:. LAPOSTE-CDC</v>
      </c>
      <c r="B626" s="22" t="str">
        <f>IF(TabVMAzureEnvProjet[[#This Row],[Projet AzureDevOps]]&lt;&gt;"",TabVMAzureEnvProjet[[#This Row],[Projet AzureDevOps]],TabVMAzureEnvProjet[[#This Row],[VM]])</f>
        <v>LAPOSTE-CDC-VM</v>
      </c>
      <c r="D626" t="s">
        <v>92</v>
      </c>
      <c r="E626" t="s">
        <v>10</v>
      </c>
      <c r="F626" t="s">
        <v>82</v>
      </c>
      <c r="G626" t="str">
        <f>LOOKUP(TabVMAzureEnvProjet[[#This Row],[Projet]],TabProjets[NomProj],TabProjets[SYGES])</f>
        <v>LA-POSTE/CDC_DRUPAL</v>
      </c>
      <c r="H626" t="str">
        <f>LOOKUP(TabVMAzureEnvProjet[[#This Row],[Projet]],TabProjets[NomProj],TabProjets[CP])</f>
        <v>Rodolphe HABEGGER</v>
      </c>
      <c r="I626">
        <f>LOOKUP(TabVMAzureEnvProjet[[#This Row],[Code SYGES]],TabCONTRATSDI[Contrat SYGES],TabCONTRATSDI[Cost Center])</f>
        <v>305704</v>
      </c>
      <c r="J626" s="22" t="str">
        <f>LOOKUP(TabVMAzureEnvProjet[[#This Row],[Code SYGES]],TabCONTRATSDI[Contrat SYGES],TabCONTRATSDI[Client])</f>
        <v>LAPOSTE</v>
      </c>
      <c r="K626" t="s">
        <v>168</v>
      </c>
      <c r="L626" s="31">
        <v>2.1782635552505147</v>
      </c>
      <c r="M626" s="40" t="s">
        <v>170</v>
      </c>
    </row>
    <row r="627" spans="1:13" x14ac:dyDescent="0.25">
      <c r="A627" s="22" t="str">
        <f>TabVMAzureEnvProjet[[#This Row],[Client]] &amp; " .:. "  &amp; TabVMAzureEnvProjet[[#This Row],[Projet]]</f>
        <v>MENESR .:. MENJ-INSERJEUNES</v>
      </c>
      <c r="B627" s="22" t="str">
        <f>IF(TabVMAzureEnvProjet[[#This Row],[Projet AzureDevOps]]&lt;&gt;"",TabVMAzureEnvProjet[[#This Row],[Projet AzureDevOps]],TabVMAzureEnvProjet[[#This Row],[VM]])</f>
        <v>MENJ-INERJEUNES</v>
      </c>
      <c r="D627" t="s">
        <v>55</v>
      </c>
      <c r="E627" t="s">
        <v>21</v>
      </c>
      <c r="F627" t="s">
        <v>53</v>
      </c>
      <c r="G627" t="str">
        <f>LOOKUP(TabVMAzureEnvProjet[[#This Row],[Projet]],TabProjets[NomProj],TabProjets[SYGES])</f>
        <v>MENESR - TMA - 23 - 1 - INSERJEUNES</v>
      </c>
      <c r="H627" t="str">
        <f>LOOKUP(TabVMAzureEnvProjet[[#This Row],[Projet]],TabProjets[NomProj],TabProjets[CP])</f>
        <v>Christophe ORLANDO</v>
      </c>
      <c r="I627">
        <f>LOOKUP(TabVMAzureEnvProjet[[#This Row],[Code SYGES]],TabCONTRATSDI[Contrat SYGES],TabCONTRATSDI[Cost Center])</f>
        <v>305704</v>
      </c>
      <c r="J627" s="22" t="str">
        <f>LOOKUP(TabVMAzureEnvProjet[[#This Row],[Code SYGES]],TabCONTRATSDI[Contrat SYGES],TabCONTRATSDI[Client])</f>
        <v>MENESR</v>
      </c>
      <c r="K627" t="s">
        <v>168</v>
      </c>
      <c r="L627" s="31">
        <v>20.457237092961183</v>
      </c>
      <c r="M627" s="40" t="s">
        <v>170</v>
      </c>
    </row>
    <row r="628" spans="1:13" x14ac:dyDescent="0.25">
      <c r="A628" s="22" t="str">
        <f>TabVMAzureEnvProjet[[#This Row],[Client]] &amp; " .:. "  &amp; TabVMAzureEnvProjet[[#This Row],[Projet]]</f>
        <v>AFB .:. OFB-ESTAMP</v>
      </c>
      <c r="B628" s="22" t="str">
        <f>IF(TabVMAzureEnvProjet[[#This Row],[Projet AzureDevOps]]&lt;&gt;"",TabVMAzureEnvProjet[[#This Row],[Projet AzureDevOps]],TabVMAzureEnvProjet[[#This Row],[VM]])</f>
        <v>OFB-ESTAMP</v>
      </c>
      <c r="D628" t="s">
        <v>13</v>
      </c>
      <c r="E628" t="s">
        <v>6</v>
      </c>
      <c r="F628" t="s">
        <v>13</v>
      </c>
      <c r="G628" t="str">
        <f>LOOKUP(TabVMAzureEnvProjet[[#This Row],[Projet]],TabProjets[NomProj],TabProjets[SYGES])</f>
        <v>AFB/OFB_LOT1</v>
      </c>
      <c r="H628" t="str">
        <f>LOOKUP(TabVMAzureEnvProjet[[#This Row],[Projet]],TabProjets[NomProj],TabProjets[CP])</f>
        <v>Pierre BOURLIEUX</v>
      </c>
      <c r="I628">
        <f>LOOKUP(TabVMAzureEnvProjet[[#This Row],[Code SYGES]],TabCONTRATSDI[Contrat SYGES],TabCONTRATSDI[Cost Center])</f>
        <v>305704</v>
      </c>
      <c r="J628" s="22" t="str">
        <f>LOOKUP(TabVMAzureEnvProjet[[#This Row],[Code SYGES]],TabCONTRATSDI[Contrat SYGES],TabCONTRATSDI[Client])</f>
        <v>AFB</v>
      </c>
      <c r="K628" t="s">
        <v>168</v>
      </c>
      <c r="L628" s="31">
        <v>4.6677076183939601</v>
      </c>
      <c r="M628" s="40" t="s">
        <v>170</v>
      </c>
    </row>
    <row r="629" spans="1:13" x14ac:dyDescent="0.25">
      <c r="A629" s="22" t="str">
        <f>TabVMAzureEnvProjet[[#This Row],[Client]] &amp; " .:. "  &amp; TabVMAzureEnvProjet[[#This Row],[Projet]]</f>
        <v>ONEMA .:. AFB-BASEINDICATEURS</v>
      </c>
      <c r="B629" s="22" t="str">
        <f>IF(TabVMAzureEnvProjet[[#This Row],[Projet AzureDevOps]]&lt;&gt;"",TabVMAzureEnvProjet[[#This Row],[Projet AzureDevOps]],TabVMAzureEnvProjet[[#This Row],[VM]])</f>
        <v>AFB-BaseIndicateurs</v>
      </c>
      <c r="C629" s="57" t="s">
        <v>58</v>
      </c>
      <c r="E629" t="s">
        <v>4</v>
      </c>
      <c r="F629" t="s">
        <v>57</v>
      </c>
      <c r="G629" t="str">
        <f>LOOKUP(TabVMAzureEnvProjet[[#This Row],[Projet]],TabProjets[NomProj],TabProjets[SYGES])</f>
        <v>ONEMA/TMADCUA-15</v>
      </c>
      <c r="H629" t="str">
        <f>LOOKUP(TabVMAzureEnvProjet[[#This Row],[Projet]],TabProjets[NomProj],TabProjets[CP])</f>
        <v>Pierre BOURLIEUX</v>
      </c>
      <c r="I629">
        <f>LOOKUP(TabVMAzureEnvProjet[[#This Row],[Code SYGES]],TabCONTRATSDI[Contrat SYGES],TabCONTRATSDI[Cost Center])</f>
        <v>305704</v>
      </c>
      <c r="J629" s="22" t="str">
        <f>LOOKUP(TabVMAzureEnvProjet[[#This Row],[Code SYGES]],TabCONTRATSDI[Contrat SYGES],TabCONTRATSDI[Client])</f>
        <v>ONEMA</v>
      </c>
      <c r="K629" t="s">
        <v>171</v>
      </c>
      <c r="L629" s="31">
        <v>0.45660379287644237</v>
      </c>
      <c r="M629" s="40" t="s">
        <v>172</v>
      </c>
    </row>
    <row r="630" spans="1:13" x14ac:dyDescent="0.25">
      <c r="A630" s="22" t="str">
        <f>TabVMAzureEnvProjet[[#This Row],[Client]] &amp; " .:. "  &amp; TabVMAzureEnvProjet[[#This Row],[Projet]]</f>
        <v>ONEMA .:. AFB-CATALOGUE</v>
      </c>
      <c r="B630" s="22" t="str">
        <f>IF(TabVMAzureEnvProjet[[#This Row],[Projet AzureDevOps]]&lt;&gt;"",TabVMAzureEnvProjet[[#This Row],[Projet AzureDevOps]],TabVMAzureEnvProjet[[#This Row],[VM]])</f>
        <v>AFB-Catalogue</v>
      </c>
      <c r="C630" s="57" t="s">
        <v>60</v>
      </c>
      <c r="E630" t="s">
        <v>4</v>
      </c>
      <c r="F630" t="s">
        <v>59</v>
      </c>
      <c r="G630" t="str">
        <f>LOOKUP(TabVMAzureEnvProjet[[#This Row],[Projet]],TabProjets[NomProj],TabProjets[SYGES])</f>
        <v>ONEMA/TMADCUA-15</v>
      </c>
      <c r="H630" t="str">
        <f>LOOKUP(TabVMAzureEnvProjet[[#This Row],[Projet]],TabProjets[NomProj],TabProjets[CP])</f>
        <v>Pierre BOURLIEUX</v>
      </c>
      <c r="I630">
        <f>LOOKUP(TabVMAzureEnvProjet[[#This Row],[Code SYGES]],TabCONTRATSDI[Contrat SYGES],TabCONTRATSDI[Cost Center])</f>
        <v>305704</v>
      </c>
      <c r="J630" s="22" t="str">
        <f>LOOKUP(TabVMAzureEnvProjet[[#This Row],[Code SYGES]],TabCONTRATSDI[Contrat SYGES],TabCONTRATSDI[Client])</f>
        <v>ONEMA</v>
      </c>
      <c r="K630" t="s">
        <v>171</v>
      </c>
      <c r="L630" s="31">
        <v>1.6702630381579548</v>
      </c>
      <c r="M630" s="40" t="s">
        <v>172</v>
      </c>
    </row>
    <row r="631" spans="1:13" x14ac:dyDescent="0.25">
      <c r="A631" s="22" t="str">
        <f>TabVMAzureEnvProjet[[#This Row],[Client]] &amp; " .:. "  &amp; TabVMAzureEnvProjet[[#This Row],[Projet]]</f>
        <v>ONEMA .:. AFB-CDR</v>
      </c>
      <c r="B631" s="22" t="str">
        <f>IF(TabVMAzureEnvProjet[[#This Row],[Projet AzureDevOps]]&lt;&gt;"",TabVMAzureEnvProjet[[#This Row],[Projet AzureDevOps]],TabVMAzureEnvProjet[[#This Row],[VM]])</f>
        <v>AFB-CDR</v>
      </c>
      <c r="C631" s="57" t="s">
        <v>61</v>
      </c>
      <c r="E631" t="s">
        <v>4</v>
      </c>
      <c r="F631" t="s">
        <v>61</v>
      </c>
      <c r="G631" t="str">
        <f>LOOKUP(TabVMAzureEnvProjet[[#This Row],[Projet]],TabProjets[NomProj],TabProjets[SYGES])</f>
        <v>ONEMA/TMAWEB-16</v>
      </c>
      <c r="H631" t="str">
        <f>LOOKUP(TabVMAzureEnvProjet[[#This Row],[Projet]],TabProjets[NomProj],TabProjets[CP])</f>
        <v>Pierre BOURLIEUX</v>
      </c>
      <c r="I631">
        <f>LOOKUP(TabVMAzureEnvProjet[[#This Row],[Code SYGES]],TabCONTRATSDI[Contrat SYGES],TabCONTRATSDI[Cost Center])</f>
        <v>305704</v>
      </c>
      <c r="J631" s="22" t="str">
        <f>LOOKUP(TabVMAzureEnvProjet[[#This Row],[Code SYGES]],TabCONTRATSDI[Contrat SYGES],TabCONTRATSDI[Client])</f>
        <v>ONEMA</v>
      </c>
      <c r="K631" t="s">
        <v>171</v>
      </c>
      <c r="L631" s="31">
        <v>8.2352330012090018</v>
      </c>
      <c r="M631" s="40" t="s">
        <v>172</v>
      </c>
    </row>
    <row r="632" spans="1:13" x14ac:dyDescent="0.25">
      <c r="A632" s="22" t="str">
        <f>TabVMAzureEnvProjet[[#This Row],[Client]] &amp; " .:. "  &amp; TabVMAzureEnvProjet[[#This Row],[Projet]]</f>
        <v>AFB .:. AFB-CESMIA</v>
      </c>
      <c r="B632" s="22" t="str">
        <f>IF(TabVMAzureEnvProjet[[#This Row],[Projet AzureDevOps]]&lt;&gt;"",TabVMAzureEnvProjet[[#This Row],[Projet AzureDevOps]],TabVMAzureEnvProjet[[#This Row],[VM]])</f>
        <v>AFB-CESMIA</v>
      </c>
      <c r="C632" s="57" t="s">
        <v>3</v>
      </c>
      <c r="E632" t="s">
        <v>4</v>
      </c>
      <c r="F632" t="s">
        <v>3</v>
      </c>
      <c r="G632" t="str">
        <f>LOOKUP(TabVMAzureEnvProjet[[#This Row],[Projet]],TabProjets[NomProj],TabProjets[SYGES])</f>
        <v>AFB/OFB_LOT1</v>
      </c>
      <c r="H632" t="str">
        <f>LOOKUP(TabVMAzureEnvProjet[[#This Row],[Projet]],TabProjets[NomProj],TabProjets[CP])</f>
        <v>Jean-Philippe STROIAZZO</v>
      </c>
      <c r="I632">
        <f>LOOKUP(TabVMAzureEnvProjet[[#This Row],[Code SYGES]],TabCONTRATSDI[Contrat SYGES],TabCONTRATSDI[Cost Center])</f>
        <v>305704</v>
      </c>
      <c r="J632" s="22" t="str">
        <f>LOOKUP(TabVMAzureEnvProjet[[#This Row],[Code SYGES]],TabCONTRATSDI[Contrat SYGES],TabCONTRATSDI[Client])</f>
        <v>AFB</v>
      </c>
      <c r="K632" t="s">
        <v>171</v>
      </c>
      <c r="L632" s="31">
        <v>3.2283725863875663</v>
      </c>
      <c r="M632" s="40" t="s">
        <v>172</v>
      </c>
    </row>
    <row r="633" spans="1:13" x14ac:dyDescent="0.25">
      <c r="A633" s="22" t="str">
        <f>TabVMAzureEnvProjet[[#This Row],[Client]] &amp; " .:. "  &amp; TabVMAzureEnvProjet[[#This Row],[Projet]]</f>
        <v>ONEMA .:. AFB-OISON</v>
      </c>
      <c r="B633" s="22" t="str">
        <f>IF(TabVMAzureEnvProjet[[#This Row],[Projet AzureDevOps]]&lt;&gt;"",TabVMAzureEnvProjet[[#This Row],[Projet AzureDevOps]],TabVMAzureEnvProjet[[#This Row],[VM]])</f>
        <v>AFB-OISON</v>
      </c>
      <c r="C633" s="57" t="s">
        <v>62</v>
      </c>
      <c r="E633" t="s">
        <v>4</v>
      </c>
      <c r="F633" t="s">
        <v>62</v>
      </c>
      <c r="G633" t="str">
        <f>LOOKUP(TabVMAzureEnvProjet[[#This Row],[Projet]],TabProjets[NomProj],TabProjets[SYGES])</f>
        <v>ONEMA/TMADCUA-15</v>
      </c>
      <c r="H633" t="str">
        <f>LOOKUP(TabVMAzureEnvProjet[[#This Row],[Projet]],TabProjets[NomProj],TabProjets[CP])</f>
        <v>Jean-Philippe STROIAZZO</v>
      </c>
      <c r="I633">
        <f>LOOKUP(TabVMAzureEnvProjet[[#This Row],[Code SYGES]],TabCONTRATSDI[Contrat SYGES],TabCONTRATSDI[Cost Center])</f>
        <v>305704</v>
      </c>
      <c r="J633" s="22" t="str">
        <f>LOOKUP(TabVMAzureEnvProjet[[#This Row],[Code SYGES]],TabCONTRATSDI[Contrat SYGES],TabCONTRATSDI[Client])</f>
        <v>ONEMA</v>
      </c>
      <c r="K633" t="s">
        <v>171</v>
      </c>
      <c r="L633" s="31">
        <v>2.7018817933488126</v>
      </c>
      <c r="M633" s="40" t="s">
        <v>172</v>
      </c>
    </row>
    <row r="634" spans="1:13" x14ac:dyDescent="0.25">
      <c r="A634" s="22" t="str">
        <f>TabVMAzureEnvProjet[[#This Row],[Client]] &amp; " .:. "  &amp; TabVMAzureEnvProjet[[#This Row],[Projet]]</f>
        <v>ONEMA .:. AFB-PATBIODIV</v>
      </c>
      <c r="B634" s="22" t="str">
        <f>IF(TabVMAzureEnvProjet[[#This Row],[Projet AzureDevOps]]&lt;&gt;"",TabVMAzureEnvProjet[[#This Row],[Projet AzureDevOps]],TabVMAzureEnvProjet[[#This Row],[VM]])</f>
        <v>AFB-PATBiodiv</v>
      </c>
      <c r="C634" s="57" t="s">
        <v>64</v>
      </c>
      <c r="E634" t="s">
        <v>4</v>
      </c>
      <c r="F634" t="s">
        <v>63</v>
      </c>
      <c r="G634" t="str">
        <f>LOOKUP(TabVMAzureEnvProjet[[#This Row],[Projet]],TabProjets[NomProj],TabProjets[SYGES])</f>
        <v>ONEMA/TMADCUA-15</v>
      </c>
      <c r="H634" t="str">
        <f>LOOKUP(TabVMAzureEnvProjet[[#This Row],[Projet]],TabProjets[NomProj],TabProjets[CP])</f>
        <v>Rodolphe HABEGGER</v>
      </c>
      <c r="I634">
        <f>LOOKUP(TabVMAzureEnvProjet[[#This Row],[Code SYGES]],TabCONTRATSDI[Contrat SYGES],TabCONTRATSDI[Cost Center])</f>
        <v>305704</v>
      </c>
      <c r="J634" s="22" t="str">
        <f>LOOKUP(TabVMAzureEnvProjet[[#This Row],[Code SYGES]],TabCONTRATSDI[Contrat SYGES],TabCONTRATSDI[Client])</f>
        <v>ONEMA</v>
      </c>
      <c r="K634" t="s">
        <v>171</v>
      </c>
      <c r="L634" s="31">
        <v>4.2728295291711857</v>
      </c>
      <c r="M634" s="40" t="s">
        <v>172</v>
      </c>
    </row>
    <row r="635" spans="1:13" x14ac:dyDescent="0.25">
      <c r="A635" s="22" t="str">
        <f>TabVMAzureEnvProjet[[#This Row],[Client]] &amp; " .:. "  &amp; TabVMAzureEnvProjet[[#This Row],[Projet]]</f>
        <v>AFB .:. AFB-PNM</v>
      </c>
      <c r="B635" s="22" t="str">
        <f>IF(TabVMAzureEnvProjet[[#This Row],[Projet AzureDevOps]]&lt;&gt;"",TabVMAzureEnvProjet[[#This Row],[Projet AzureDevOps]],TabVMAzureEnvProjet[[#This Row],[VM]])</f>
        <v>AFB-PNM</v>
      </c>
      <c r="C635" s="57" t="s">
        <v>5</v>
      </c>
      <c r="E635" t="s">
        <v>4</v>
      </c>
      <c r="F635" t="s">
        <v>5</v>
      </c>
      <c r="G635" t="str">
        <f>LOOKUP(TabVMAzureEnvProjet[[#This Row],[Projet]],TabProjets[NomProj],TabProjets[SYGES])</f>
        <v>AFB/OFB_LOT2</v>
      </c>
      <c r="H635" t="str">
        <f>LOOKUP(TabVMAzureEnvProjet[[#This Row],[Projet]],TabProjets[NomProj],TabProjets[CP])</f>
        <v>Eric RAUCOURT</v>
      </c>
      <c r="I635">
        <f>LOOKUP(TabVMAzureEnvProjet[[#This Row],[Code SYGES]],TabCONTRATSDI[Contrat SYGES],TabCONTRATSDI[Cost Center])</f>
        <v>305704</v>
      </c>
      <c r="J635" s="22" t="str">
        <f>LOOKUP(TabVMAzureEnvProjet[[#This Row],[Code SYGES]],TabCONTRATSDI[Contrat SYGES],TabCONTRATSDI[Client])</f>
        <v>AFB</v>
      </c>
      <c r="K635" t="s">
        <v>171</v>
      </c>
      <c r="L635" s="31">
        <v>5.3897499337048727</v>
      </c>
      <c r="M635" s="40" t="s">
        <v>172</v>
      </c>
    </row>
    <row r="636" spans="1:13" x14ac:dyDescent="0.25">
      <c r="A636" s="22" t="str">
        <f>TabVMAzureEnvProjet[[#This Row],[Client]] &amp; " .:. "  &amp; TabVMAzureEnvProjet[[#This Row],[Projet]]</f>
        <v>AFB .:. AFB-PNX</v>
      </c>
      <c r="B636" s="22" t="str">
        <f>IF(TabVMAzureEnvProjet[[#This Row],[Projet AzureDevOps]]&lt;&gt;"",TabVMAzureEnvProjet[[#This Row],[Projet AzureDevOps]],TabVMAzureEnvProjet[[#This Row],[VM]])</f>
        <v>AFB-PNX</v>
      </c>
      <c r="C636" s="57" t="s">
        <v>8</v>
      </c>
      <c r="E636" t="s">
        <v>4</v>
      </c>
      <c r="F636" t="s">
        <v>8</v>
      </c>
      <c r="G636" t="str">
        <f>LOOKUP(TabVMAzureEnvProjet[[#This Row],[Projet]],TabProjets[NomProj],TabProjets[SYGES])</f>
        <v>AFB/OFB_LOT2</v>
      </c>
      <c r="H636" t="str">
        <f>LOOKUP(TabVMAzureEnvProjet[[#This Row],[Projet]],TabProjets[NomProj],TabProjets[CP])</f>
        <v>Pierre BOURLIEUX</v>
      </c>
      <c r="I636">
        <f>LOOKUP(TabVMAzureEnvProjet[[#This Row],[Code SYGES]],TabCONTRATSDI[Contrat SYGES],TabCONTRATSDI[Cost Center])</f>
        <v>305704</v>
      </c>
      <c r="J636" s="22" t="str">
        <f>LOOKUP(TabVMAzureEnvProjet[[#This Row],[Code SYGES]],TabCONTRATSDI[Contrat SYGES],TabCONTRATSDI[Client])</f>
        <v>AFB</v>
      </c>
      <c r="K636" t="s">
        <v>171</v>
      </c>
      <c r="L636" s="31">
        <v>2.0110851549835851</v>
      </c>
      <c r="M636" s="40" t="s">
        <v>172</v>
      </c>
    </row>
    <row r="637" spans="1:13" x14ac:dyDescent="0.25">
      <c r="A637" s="22" t="str">
        <f>TabVMAzureEnvProjet[[#This Row],[Client]] &amp; " .:. "  &amp; TabVMAzureEnvProjet[[#This Row],[Projet]]</f>
        <v>ONEMA .:. AFB-RAA</v>
      </c>
      <c r="B637" s="22" t="str">
        <f>IF(TabVMAzureEnvProjet[[#This Row],[Projet AzureDevOps]]&lt;&gt;"",TabVMAzureEnvProjet[[#This Row],[Projet AzureDevOps]],TabVMAzureEnvProjet[[#This Row],[VM]])</f>
        <v>AFB-RAA</v>
      </c>
      <c r="C637" s="57" t="s">
        <v>65</v>
      </c>
      <c r="E637" t="s">
        <v>4</v>
      </c>
      <c r="F637" t="s">
        <v>65</v>
      </c>
      <c r="G637" t="str">
        <f>LOOKUP(TabVMAzureEnvProjet[[#This Row],[Projet]],TabProjets[NomProj],TabProjets[SYGES])</f>
        <v>ONEMA/TMAWEB-16</v>
      </c>
      <c r="H637" t="str">
        <f>LOOKUP(TabVMAzureEnvProjet[[#This Row],[Projet]],TabProjets[NomProj],TabProjets[CP])</f>
        <v>Pierre BOURLIEUX</v>
      </c>
      <c r="I637">
        <f>LOOKUP(TabVMAzureEnvProjet[[#This Row],[Code SYGES]],TabCONTRATSDI[Contrat SYGES],TabCONTRATSDI[Cost Center])</f>
        <v>305704</v>
      </c>
      <c r="J637" s="22" t="str">
        <f>LOOKUP(TabVMAzureEnvProjet[[#This Row],[Code SYGES]],TabCONTRATSDI[Contrat SYGES],TabCONTRATSDI[Client])</f>
        <v>ONEMA</v>
      </c>
      <c r="K637" t="s">
        <v>171</v>
      </c>
      <c r="L637" s="31">
        <v>0.21159687962566842</v>
      </c>
      <c r="M637" s="40" t="s">
        <v>172</v>
      </c>
    </row>
    <row r="638" spans="1:13" x14ac:dyDescent="0.25">
      <c r="A638" s="22" t="str">
        <f>TabVMAzureEnvProjet[[#This Row],[Client]] &amp; " .:. "  &amp; TabVMAzureEnvProjet[[#This Row],[Projet]]</f>
        <v>ALM .:. ALM-ATOUT</v>
      </c>
      <c r="B638" s="22" t="str">
        <f>IF(TabVMAzureEnvProjet[[#This Row],[Projet AzureDevOps]]&lt;&gt;"",TabVMAzureEnvProjet[[#This Row],[Projet AzureDevOps]],TabVMAzureEnvProjet[[#This Row],[VM]])</f>
        <v>ALM-ATOUT</v>
      </c>
      <c r="C638" s="57" t="s">
        <v>17</v>
      </c>
      <c r="E638" t="s">
        <v>4</v>
      </c>
      <c r="F638" t="s">
        <v>17</v>
      </c>
      <c r="G638" t="str">
        <f>LOOKUP(TabVMAzureEnvProjet[[#This Row],[Projet]],TabProjets[NomProj],TabProjets[SYGES])</f>
        <v>ALM/TMA_ATOUT</v>
      </c>
      <c r="H638" t="str">
        <f>LOOKUP(TabVMAzureEnvProjet[[#This Row],[Projet]],TabProjets[NomProj],TabProjets[CP])</f>
        <v>Alice MARCHAL</v>
      </c>
      <c r="I638">
        <f>LOOKUP(TabVMAzureEnvProjet[[#This Row],[Code SYGES]],TabCONTRATSDI[Contrat SYGES],TabCONTRATSDI[Cost Center])</f>
        <v>305704</v>
      </c>
      <c r="J638" s="22" t="str">
        <f>LOOKUP(TabVMAzureEnvProjet[[#This Row],[Code SYGES]],TabCONTRATSDI[Contrat SYGES],TabCONTRATSDI[Client])</f>
        <v>ALM</v>
      </c>
      <c r="K638" t="s">
        <v>171</v>
      </c>
      <c r="L638" s="31">
        <v>6.7798103662031188</v>
      </c>
      <c r="M638" s="40" t="s">
        <v>172</v>
      </c>
    </row>
    <row r="639" spans="1:13" x14ac:dyDescent="0.25">
      <c r="A639" s="22" t="str">
        <f>TabVMAzureEnvProjet[[#This Row],[Client]] &amp; " .:. "  &amp; TabVMAzureEnvProjet[[#This Row],[Projet]]</f>
        <v>ALM .:. ALM-ATOUT</v>
      </c>
      <c r="B639" s="22" t="str">
        <f>IF(TabVMAzureEnvProjet[[#This Row],[Projet AzureDevOps]]&lt;&gt;"",TabVMAzureEnvProjet[[#This Row],[Projet AzureDevOps]],TabVMAzureEnvProjet[[#This Row],[VM]])</f>
        <v>BRGM-ORRM</v>
      </c>
      <c r="C639" s="57" t="s">
        <v>20</v>
      </c>
      <c r="E639" t="s">
        <v>4</v>
      </c>
      <c r="F639" t="s">
        <v>17</v>
      </c>
      <c r="G639" t="str">
        <f>LOOKUP(TabVMAzureEnvProjet[[#This Row],[Projet]],TabProjets[NomProj],TabProjets[SYGES])</f>
        <v>ALM/TMA_ATOUT</v>
      </c>
      <c r="H639" t="str">
        <f>LOOKUP(TabVMAzureEnvProjet[[#This Row],[Projet]],TabProjets[NomProj],TabProjets[CP])</f>
        <v>Alice MARCHAL</v>
      </c>
      <c r="I639">
        <f>LOOKUP(TabVMAzureEnvProjet[[#This Row],[Code SYGES]],TabCONTRATSDI[Contrat SYGES],TabCONTRATSDI[Cost Center])</f>
        <v>305704</v>
      </c>
      <c r="J639" s="22" t="str">
        <f>LOOKUP(TabVMAzureEnvProjet[[#This Row],[Code SYGES]],TabCONTRATSDI[Contrat SYGES],TabCONTRATSDI[Client])</f>
        <v>ALM</v>
      </c>
      <c r="K639" t="s">
        <v>171</v>
      </c>
      <c r="L639" s="31">
        <v>15.818189507952889</v>
      </c>
      <c r="M639" s="40" t="s">
        <v>172</v>
      </c>
    </row>
    <row r="640" spans="1:13" x14ac:dyDescent="0.25">
      <c r="A640" s="22" t="str">
        <f>TabVMAzureEnvProjet[[#This Row],[Client]] &amp; " .:. "  &amp; TabVMAzureEnvProjet[[#This Row],[Projet]]</f>
        <v>CGOS .:. CGOS-BI</v>
      </c>
      <c r="B640" s="22" t="str">
        <f>IF(TabVMAzureEnvProjet[[#This Row],[Projet AzureDevOps]]&lt;&gt;"",TabVMAzureEnvProjet[[#This Row],[Projet AzureDevOps]],TabVMAzureEnvProjet[[#This Row],[VM]])</f>
        <v>CGOS-BI</v>
      </c>
      <c r="C640" s="57" t="s">
        <v>100</v>
      </c>
      <c r="E640" t="s">
        <v>4</v>
      </c>
      <c r="F640" t="s">
        <v>100</v>
      </c>
      <c r="G640" t="str">
        <f>LOOKUP(TabVMAzureEnvProjet[[#This Row],[Projet]],TabProjets[NomProj],TabProjets[SYGES])</f>
        <v>CGOS-BUILDBI-18</v>
      </c>
      <c r="H640" t="str">
        <f>LOOKUP(TabVMAzureEnvProjet[[#This Row],[Projet]],TabProjets[NomProj],TabProjets[CP])</f>
        <v>Valerie ASSELIN LOZACHMEUR</v>
      </c>
      <c r="I640">
        <f>LOOKUP(TabVMAzureEnvProjet[[#This Row],[Code SYGES]],TabCONTRATSDI[Contrat SYGES],TabCONTRATSDI[Cost Center])</f>
        <v>305704</v>
      </c>
      <c r="J640" s="22" t="str">
        <f>LOOKUP(TabVMAzureEnvProjet[[#This Row],[Code SYGES]],TabCONTRATSDI[Contrat SYGES],TabCONTRATSDI[Client])</f>
        <v>CGOS</v>
      </c>
      <c r="K640" t="s">
        <v>171</v>
      </c>
      <c r="L640" s="31">
        <v>4.6551313517647053</v>
      </c>
      <c r="M640" s="40" t="s">
        <v>172</v>
      </c>
    </row>
    <row r="641" spans="1:13" x14ac:dyDescent="0.25">
      <c r="A641" s="22" t="str">
        <f>TabVMAzureEnvProjet[[#This Row],[Client]] &amp; " .:. "  &amp; TabVMAzureEnvProjet[[#This Row],[Projet]]</f>
        <v>CNAV .:. CNAV-BI-RGCU</v>
      </c>
      <c r="B641" s="22" t="str">
        <f>IF(TabVMAzureEnvProjet[[#This Row],[Projet AzureDevOps]]&lt;&gt;"",TabVMAzureEnvProjet[[#This Row],[Projet AzureDevOps]],TabVMAzureEnvProjet[[#This Row],[VM]])</f>
        <v>CNAV-BI-RGCU</v>
      </c>
      <c r="C641" s="57" t="s">
        <v>27</v>
      </c>
      <c r="E641" t="s">
        <v>4</v>
      </c>
      <c r="F641" t="s">
        <v>27</v>
      </c>
      <c r="G641" t="str">
        <f>LOOKUP(TabVMAzureEnvProjet[[#This Row],[Projet]],TabProjets[NomProj],TabProjets[SYGES])</f>
        <v>CNAV/BI-SIRRGCU</v>
      </c>
      <c r="H641" t="str">
        <f>LOOKUP(TabVMAzureEnvProjet[[#This Row],[Projet]],TabProjets[NomProj],TabProjets[CP])</f>
        <v>Valerie ASSELIN LOZACHMEUR</v>
      </c>
      <c r="I641">
        <f>LOOKUP(TabVMAzureEnvProjet[[#This Row],[Code SYGES]],TabCONTRATSDI[Contrat SYGES],TabCONTRATSDI[Cost Center])</f>
        <v>305704</v>
      </c>
      <c r="J641" s="22" t="str">
        <f>LOOKUP(TabVMAzureEnvProjet[[#This Row],[Code SYGES]],TabCONTRATSDI[Contrat SYGES],TabCONTRATSDI[Client])</f>
        <v>CNAV</v>
      </c>
      <c r="K641" t="s">
        <v>171</v>
      </c>
      <c r="L641" s="31">
        <v>2.3275656758823526</v>
      </c>
      <c r="M641" s="40" t="s">
        <v>172</v>
      </c>
    </row>
    <row r="642" spans="1:13" x14ac:dyDescent="0.25">
      <c r="A642" s="22" t="str">
        <f>TabVMAzureEnvProjet[[#This Row],[Client]] &amp; " .:. "  &amp; TabVMAzureEnvProjet[[#This Row],[Projet]]</f>
        <v>INETUM .:. INETUM-INTERNE</v>
      </c>
      <c r="B642" s="22" t="str">
        <f>IF(TabVMAzureEnvProjet[[#This Row],[Projet AzureDevOps]]&lt;&gt;"",TabVMAzureEnvProjet[[#This Row],[Projet AzureDevOps]],TabVMAzureEnvProjet[[#This Row],[VM]])</f>
        <v>d8-qa</v>
      </c>
      <c r="C642" s="57" t="s">
        <v>141</v>
      </c>
      <c r="E642" t="s">
        <v>4</v>
      </c>
      <c r="F642" t="s">
        <v>102</v>
      </c>
      <c r="G642" t="str">
        <f>LOOKUP(TabVMAzureEnvProjet[[#This Row],[Projet]],TabProjets[NomProj],TabProjets[SYGES])</f>
        <v>INETUM/PROJET_INTERNE</v>
      </c>
      <c r="H642" t="str">
        <f>LOOKUP(TabVMAzureEnvProjet[[#This Row],[Projet]],TabProjets[NomProj],TabProjets[CP])</f>
        <v>Christophe ORLANDO</v>
      </c>
      <c r="I642">
        <f>LOOKUP(TabVMAzureEnvProjet[[#This Row],[Code SYGES]],TabCONTRATSDI[Contrat SYGES],TabCONTRATSDI[Cost Center])</f>
        <v>305704</v>
      </c>
      <c r="J642" s="22" t="str">
        <f>LOOKUP(TabVMAzureEnvProjet[[#This Row],[Code SYGES]],TabCONTRATSDI[Contrat SYGES],TabCONTRATSDI[Client])</f>
        <v>INETUM</v>
      </c>
      <c r="K642" t="s">
        <v>171</v>
      </c>
      <c r="L642" s="31">
        <v>0.4332698011382734</v>
      </c>
      <c r="M642" s="40" t="s">
        <v>172</v>
      </c>
    </row>
    <row r="643" spans="1:13" x14ac:dyDescent="0.25">
      <c r="A643" s="22" t="str">
        <f>TabVMAzureEnvProjet[[#This Row],[Client]] &amp; " .:. "  &amp; TabVMAzureEnvProjet[[#This Row],[Projet]]</f>
        <v>INETUM .:. INETUM-INTERNE</v>
      </c>
      <c r="B643" s="22" t="str">
        <f>IF(TabVMAzureEnvProjet[[#This Row],[Projet AzureDevOps]]&lt;&gt;"",TabVMAzureEnvProjet[[#This Row],[Projet AzureDevOps]],TabVMAzureEnvProjet[[#This Row],[VM]])</f>
        <v>drupal-qa</v>
      </c>
      <c r="C643" s="57" t="s">
        <v>142</v>
      </c>
      <c r="E643" t="s">
        <v>4</v>
      </c>
      <c r="F643" t="s">
        <v>102</v>
      </c>
      <c r="G643" t="str">
        <f>LOOKUP(TabVMAzureEnvProjet[[#This Row],[Projet]],TabProjets[NomProj],TabProjets[SYGES])</f>
        <v>INETUM/PROJET_INTERNE</v>
      </c>
      <c r="H643" t="str">
        <f>LOOKUP(TabVMAzureEnvProjet[[#This Row],[Projet]],TabProjets[NomProj],TabProjets[CP])</f>
        <v>Christophe ORLANDO</v>
      </c>
      <c r="I643">
        <f>LOOKUP(TabVMAzureEnvProjet[[#This Row],[Code SYGES]],TabCONTRATSDI[Contrat SYGES],TabCONTRATSDI[Cost Center])</f>
        <v>305704</v>
      </c>
      <c r="J643" s="22" t="str">
        <f>LOOKUP(TabVMAzureEnvProjet[[#This Row],[Code SYGES]],TabCONTRATSDI[Contrat SYGES],TabCONTRATSDI[Client])</f>
        <v>INETUM</v>
      </c>
      <c r="K643" t="s">
        <v>171</v>
      </c>
      <c r="L643" s="31">
        <v>0.4332698011382734</v>
      </c>
      <c r="M643" s="40" t="s">
        <v>172</v>
      </c>
    </row>
    <row r="644" spans="1:13" x14ac:dyDescent="0.25">
      <c r="A644" s="22" t="str">
        <f>TabVMAzureEnvProjet[[#This Row],[Client]] &amp; " .:. "  &amp; TabVMAzureEnvProjet[[#This Row],[Projet]]</f>
        <v>FRR .:. FRR-DIGIPAT</v>
      </c>
      <c r="B644" s="22" t="str">
        <f>IF(TabVMAzureEnvProjet[[#This Row],[Projet AzureDevOps]]&lt;&gt;"",TabVMAzureEnvProjet[[#This Row],[Projet AzureDevOps]],TabVMAzureEnvProjet[[#This Row],[VM]])</f>
        <v>FRR DIGIPAT</v>
      </c>
      <c r="C644" s="57" t="s">
        <v>30</v>
      </c>
      <c r="E644" t="s">
        <v>4</v>
      </c>
      <c r="F644" t="s">
        <v>29</v>
      </c>
      <c r="G644" t="str">
        <f>LOOKUP(TabVMAzureEnvProjet[[#This Row],[Projet]],TabProjets[NomProj],TabProjets[SYGES])</f>
        <v>FRR/TMASI</v>
      </c>
      <c r="H644" t="str">
        <f>LOOKUP(TabVMAzureEnvProjet[[#This Row],[Projet]],TabProjets[NomProj],TabProjets[CP])</f>
        <v>Alice MARCHAL</v>
      </c>
      <c r="I644">
        <f>LOOKUP(TabVMAzureEnvProjet[[#This Row],[Code SYGES]],TabCONTRATSDI[Contrat SYGES],TabCONTRATSDI[Cost Center])</f>
        <v>305704</v>
      </c>
      <c r="J644" s="22" t="str">
        <f>LOOKUP(TabVMAzureEnvProjet[[#This Row],[Code SYGES]],TabCONTRATSDI[Contrat SYGES],TabCONTRATSDI[Client])</f>
        <v>FRR</v>
      </c>
      <c r="K644" t="s">
        <v>171</v>
      </c>
      <c r="L644" s="31">
        <v>4.6489089539678599</v>
      </c>
      <c r="M644" s="40" t="s">
        <v>172</v>
      </c>
    </row>
    <row r="645" spans="1:13" x14ac:dyDescent="0.25">
      <c r="A645" s="22" t="str">
        <f>TabVMAzureEnvProjet[[#This Row],[Client]] &amp; " .:. "  &amp; TabVMAzureEnvProjet[[#This Row],[Projet]]</f>
        <v>FRR .:. FRR-APPLIFRR</v>
      </c>
      <c r="B645" s="22" t="str">
        <f>IF(TabVMAzureEnvProjet[[#This Row],[Projet AzureDevOps]]&lt;&gt;"",TabVMAzureEnvProjet[[#This Row],[Projet AzureDevOps]],TabVMAzureEnvProjet[[#This Row],[VM]])</f>
        <v>FRR-APPLIFRR</v>
      </c>
      <c r="C645" s="57" t="s">
        <v>32</v>
      </c>
      <c r="E645" t="s">
        <v>4</v>
      </c>
      <c r="F645" t="s">
        <v>32</v>
      </c>
      <c r="G645" t="str">
        <f>LOOKUP(TabVMAzureEnvProjet[[#This Row],[Projet]],TabProjets[NomProj],TabProjets[SYGES])</f>
        <v>FRR/TMASI</v>
      </c>
      <c r="H645" t="str">
        <f>LOOKUP(TabVMAzureEnvProjet[[#This Row],[Projet]],TabProjets[NomProj],TabProjets[CP])</f>
        <v>Jean-Philippe STROIAZZO</v>
      </c>
      <c r="I645">
        <f>LOOKUP(TabVMAzureEnvProjet[[#This Row],[Code SYGES]],TabCONTRATSDI[Contrat SYGES],TabCONTRATSDI[Cost Center])</f>
        <v>305704</v>
      </c>
      <c r="J645" s="22" t="str">
        <f>LOOKUP(TabVMAzureEnvProjet[[#This Row],[Code SYGES]],TabCONTRATSDI[Contrat SYGES],TabCONTRATSDI[Client])</f>
        <v>FRR</v>
      </c>
      <c r="K645" t="s">
        <v>171</v>
      </c>
      <c r="L645" s="31">
        <v>1.9574302319356478</v>
      </c>
      <c r="M645" s="40" t="s">
        <v>172</v>
      </c>
    </row>
    <row r="646" spans="1:13" x14ac:dyDescent="0.25">
      <c r="A646" s="22" t="str">
        <f>TabVMAzureEnvProjet[[#This Row],[Client]] &amp; " .:. "  &amp; TabVMAzureEnvProjet[[#This Row],[Projet]]</f>
        <v>FRR .:. FRR-CADENCIER</v>
      </c>
      <c r="B646" s="22" t="str">
        <f>IF(TabVMAzureEnvProjet[[#This Row],[Projet AzureDevOps]]&lt;&gt;"",TabVMAzureEnvProjet[[#This Row],[Projet AzureDevOps]],TabVMAzureEnvProjet[[#This Row],[VM]])</f>
        <v>FRR-CADENCIER</v>
      </c>
      <c r="C646" s="57" t="s">
        <v>33</v>
      </c>
      <c r="E646" t="s">
        <v>4</v>
      </c>
      <c r="F646" t="s">
        <v>33</v>
      </c>
      <c r="G646" t="str">
        <f>LOOKUP(TabVMAzureEnvProjet[[#This Row],[Projet]],TabProjets[NomProj],TabProjets[SYGES])</f>
        <v>FRR/TMASI</v>
      </c>
      <c r="H646" t="str">
        <f>LOOKUP(TabVMAzureEnvProjet[[#This Row],[Projet]],TabProjets[NomProj],TabProjets[CP])</f>
        <v>Jean-Philippe STROIAZZO</v>
      </c>
      <c r="I646">
        <f>LOOKUP(TabVMAzureEnvProjet[[#This Row],[Code SYGES]],TabCONTRATSDI[Contrat SYGES],TabCONTRATSDI[Cost Center])</f>
        <v>305704</v>
      </c>
      <c r="J646" s="22" t="str">
        <f>LOOKUP(TabVMAzureEnvProjet[[#This Row],[Code SYGES]],TabCONTRATSDI[Contrat SYGES],TabCONTRATSDI[Client])</f>
        <v>FRR</v>
      </c>
      <c r="K646" t="s">
        <v>171</v>
      </c>
      <c r="L646" s="31">
        <v>2.4746670487983931</v>
      </c>
      <c r="M646" s="40" t="s">
        <v>172</v>
      </c>
    </row>
    <row r="647" spans="1:13" x14ac:dyDescent="0.25">
      <c r="A647" s="22" t="str">
        <f>TabVMAzureEnvProjet[[#This Row],[Client]] &amp; " .:. "  &amp; TabVMAzureEnvProjet[[#This Row],[Projet]]</f>
        <v>FRR .:. FRR-PATAPAIN</v>
      </c>
      <c r="B647" s="22" t="str">
        <f>IF(TabVMAzureEnvProjet[[#This Row],[Projet AzureDevOps]]&lt;&gt;"",TabVMAzureEnvProjet[[#This Row],[Projet AzureDevOps]],TabVMAzureEnvProjet[[#This Row],[VM]])</f>
        <v>FRR-Patapain</v>
      </c>
      <c r="C647" s="57" t="s">
        <v>35</v>
      </c>
      <c r="E647" t="s">
        <v>4</v>
      </c>
      <c r="F647" t="s">
        <v>34</v>
      </c>
      <c r="G647" t="str">
        <f>LOOKUP(TabVMAzureEnvProjet[[#This Row],[Projet]],TabProjets[NomProj],TabProjets[SYGES])</f>
        <v>FRR/TMASI</v>
      </c>
      <c r="H647" t="str">
        <f>LOOKUP(TabVMAzureEnvProjet[[#This Row],[Projet]],TabProjets[NomProj],TabProjets[CP])</f>
        <v>Christophe ORLANDO</v>
      </c>
      <c r="I647">
        <f>LOOKUP(TabVMAzureEnvProjet[[#This Row],[Code SYGES]],TabCONTRATSDI[Contrat SYGES],TabCONTRATSDI[Cost Center])</f>
        <v>305704</v>
      </c>
      <c r="J647" s="22" t="str">
        <f>LOOKUP(TabVMAzureEnvProjet[[#This Row],[Code SYGES]],TabCONTRATSDI[Contrat SYGES],TabCONTRATSDI[Client])</f>
        <v>FRR</v>
      </c>
      <c r="K647" t="s">
        <v>171</v>
      </c>
      <c r="L647" s="31">
        <v>1.3339751401814461</v>
      </c>
      <c r="M647" s="40" t="s">
        <v>172</v>
      </c>
    </row>
    <row r="648" spans="1:13" x14ac:dyDescent="0.25">
      <c r="A648" s="22" t="str">
        <f>TabVMAzureEnvProjet[[#This Row],[Client]] &amp; " .:. "  &amp; TabVMAzureEnvProjet[[#This Row],[Projet]]</f>
        <v>FRR .:. FRR-PATAPAINANDROID</v>
      </c>
      <c r="B648" s="22" t="str">
        <f>IF(TabVMAzureEnvProjet[[#This Row],[Projet AzureDevOps]]&lt;&gt;"",TabVMAzureEnvProjet[[#This Row],[Projet AzureDevOps]],TabVMAzureEnvProjet[[#This Row],[VM]])</f>
        <v>FRR-PATAPAINANDROID</v>
      </c>
      <c r="C648" s="57" t="s">
        <v>36</v>
      </c>
      <c r="E648" t="s">
        <v>4</v>
      </c>
      <c r="F648" t="s">
        <v>36</v>
      </c>
      <c r="G648" t="str">
        <f>LOOKUP(TabVMAzureEnvProjet[[#This Row],[Projet]],TabProjets[NomProj],TabProjets[SYGES])</f>
        <v>FRR/TMASI</v>
      </c>
      <c r="H648" t="str">
        <f>LOOKUP(TabVMAzureEnvProjet[[#This Row],[Projet]],TabProjets[NomProj],TabProjets[CP])</f>
        <v>Jean-Philippe STROIAZZO</v>
      </c>
      <c r="I648">
        <f>LOOKUP(TabVMAzureEnvProjet[[#This Row],[Code SYGES]],TabCONTRATSDI[Contrat SYGES],TabCONTRATSDI[Cost Center])</f>
        <v>305704</v>
      </c>
      <c r="J648" s="22" t="str">
        <f>LOOKUP(TabVMAzureEnvProjet[[#This Row],[Code SYGES]],TabCONTRATSDI[Contrat SYGES],TabCONTRATSDI[Client])</f>
        <v>FRR</v>
      </c>
      <c r="K648" t="s">
        <v>171</v>
      </c>
      <c r="L648" s="31">
        <v>6.6125615837003524</v>
      </c>
      <c r="M648" s="40" t="s">
        <v>172</v>
      </c>
    </row>
    <row r="649" spans="1:13" x14ac:dyDescent="0.25">
      <c r="A649" s="22" t="str">
        <f>TabVMAzureEnvProjet[[#This Row],[Client]] &amp; " .:. "  &amp; TabVMAzureEnvProjet[[#This Row],[Projet]]</f>
        <v>INETUM .:. INETUM-INTERNE</v>
      </c>
      <c r="B649" s="22" t="str">
        <f>IF(TabVMAzureEnvProjet[[#This Row],[Projet AzureDevOps]]&lt;&gt;"",TabVMAzureEnvProjet[[#This Row],[Projet AzureDevOps]],TabVMAzureEnvProjet[[#This Row],[VM]])</f>
        <v>GFI-BaseDocumentaire</v>
      </c>
      <c r="C649" s="57" t="s">
        <v>112</v>
      </c>
      <c r="E649" t="s">
        <v>4</v>
      </c>
      <c r="F649" t="s">
        <v>102</v>
      </c>
      <c r="G649" t="str">
        <f>LOOKUP(TabVMAzureEnvProjet[[#This Row],[Projet]],TabProjets[NomProj],TabProjets[SYGES])</f>
        <v>INETUM/PROJET_INTERNE</v>
      </c>
      <c r="H649" t="str">
        <f>LOOKUP(TabVMAzureEnvProjet[[#This Row],[Projet]],TabProjets[NomProj],TabProjets[CP])</f>
        <v>Christophe ORLANDO</v>
      </c>
      <c r="I649">
        <f>LOOKUP(TabVMAzureEnvProjet[[#This Row],[Code SYGES]],TabCONTRATSDI[Contrat SYGES],TabCONTRATSDI[Cost Center])</f>
        <v>305704</v>
      </c>
      <c r="J649" s="22" t="str">
        <f>LOOKUP(TabVMAzureEnvProjet[[#This Row],[Code SYGES]],TabCONTRATSDI[Contrat SYGES],TabCONTRATSDI[Client])</f>
        <v>INETUM</v>
      </c>
      <c r="K649" t="s">
        <v>171</v>
      </c>
      <c r="L649" s="31">
        <v>1.7124233186848739</v>
      </c>
      <c r="M649" s="40" t="s">
        <v>172</v>
      </c>
    </row>
    <row r="650" spans="1:13" x14ac:dyDescent="0.25">
      <c r="A650" s="22" t="str">
        <f>TabVMAzureEnvProjet[[#This Row],[Client]] &amp; " .:. "  &amp; TabVMAzureEnvProjet[[#This Row],[Projet]]</f>
        <v>INETUM .:. INETUM-INTERNE</v>
      </c>
      <c r="B650" s="22" t="str">
        <f>IF(TabVMAzureEnvProjet[[#This Row],[Projet AzureDevOps]]&lt;&gt;"",TabVMAzureEnvProjet[[#This Row],[Projet AzureDevOps]],TabVMAzureEnvProjet[[#This Row],[VM]])</f>
        <v>GFI-CMIS</v>
      </c>
      <c r="C650" s="57" t="s">
        <v>106</v>
      </c>
      <c r="E650" t="s">
        <v>4</v>
      </c>
      <c r="F650" t="s">
        <v>102</v>
      </c>
      <c r="G650" t="str">
        <f>LOOKUP(TabVMAzureEnvProjet[[#This Row],[Projet]],TabProjets[NomProj],TabProjets[SYGES])</f>
        <v>INETUM/PROJET_INTERNE</v>
      </c>
      <c r="H650" t="str">
        <f>LOOKUP(TabVMAzureEnvProjet[[#This Row],[Projet]],TabProjets[NomProj],TabProjets[CP])</f>
        <v>Christophe ORLANDO</v>
      </c>
      <c r="I650">
        <f>LOOKUP(TabVMAzureEnvProjet[[#This Row],[Code SYGES]],TabCONTRATSDI[Contrat SYGES],TabCONTRATSDI[Cost Center])</f>
        <v>305704</v>
      </c>
      <c r="J650" s="22" t="str">
        <f>LOOKUP(TabVMAzureEnvProjet[[#This Row],[Code SYGES]],TabCONTRATSDI[Contrat SYGES],TabCONTRATSDI[Client])</f>
        <v>INETUM</v>
      </c>
      <c r="K650" t="s">
        <v>171</v>
      </c>
      <c r="L650" s="31">
        <v>0.21159687962566842</v>
      </c>
      <c r="M650" s="40" t="s">
        <v>172</v>
      </c>
    </row>
    <row r="651" spans="1:13" x14ac:dyDescent="0.25">
      <c r="A651" s="22" t="str">
        <f>TabVMAzureEnvProjet[[#This Row],[Client]] &amp; " .:. "  &amp; TabVMAzureEnvProjet[[#This Row],[Projet]]</f>
        <v>INETUM .:. INETUM-INTERNE</v>
      </c>
      <c r="B651" s="22" t="str">
        <f>IF(TabVMAzureEnvProjet[[#This Row],[Projet AzureDevOps]]&lt;&gt;"",TabVMAzureEnvProjet[[#This Row],[Projet AzureDevOps]],TabVMAzureEnvProjet[[#This Row],[VM]])</f>
        <v>GFI-COFFEE</v>
      </c>
      <c r="C651" s="57" t="s">
        <v>107</v>
      </c>
      <c r="E651" t="s">
        <v>4</v>
      </c>
      <c r="F651" t="s">
        <v>102</v>
      </c>
      <c r="G651" t="str">
        <f>LOOKUP(TabVMAzureEnvProjet[[#This Row],[Projet]],TabProjets[NomProj],TabProjets[SYGES])</f>
        <v>INETUM/PROJET_INTERNE</v>
      </c>
      <c r="H651" t="str">
        <f>LOOKUP(TabVMAzureEnvProjet[[#This Row],[Projet]],TabProjets[NomProj],TabProjets[CP])</f>
        <v>Christophe ORLANDO</v>
      </c>
      <c r="I651">
        <f>LOOKUP(TabVMAzureEnvProjet[[#This Row],[Code SYGES]],TabCONTRATSDI[Contrat SYGES],TabCONTRATSDI[Cost Center])</f>
        <v>305704</v>
      </c>
      <c r="J651" s="22" t="str">
        <f>LOOKUP(TabVMAzureEnvProjet[[#This Row],[Code SYGES]],TabCONTRATSDI[Contrat SYGES],TabCONTRATSDI[Client])</f>
        <v>INETUM</v>
      </c>
      <c r="K651" t="s">
        <v>171</v>
      </c>
      <c r="L651" s="31">
        <v>0.93219296993984946</v>
      </c>
      <c r="M651" s="40" t="s">
        <v>172</v>
      </c>
    </row>
    <row r="652" spans="1:13" x14ac:dyDescent="0.25">
      <c r="A652" s="22" t="str">
        <f>TabVMAzureEnvProjet[[#This Row],[Client]] &amp; " .:. "  &amp; TabVMAzureEnvProjet[[#This Row],[Projet]]</f>
        <v>INETUM .:. INETUM-INTERNE</v>
      </c>
      <c r="B652" s="22" t="str">
        <f>IF(TabVMAzureEnvProjet[[#This Row],[Projet AzureDevOps]]&lt;&gt;"",TabVMAzureEnvProjet[[#This Row],[Projet AzureDevOps]],TabVMAzureEnvProjet[[#This Row],[VM]])</f>
        <v>GFI-CRALENIUM</v>
      </c>
      <c r="C652" s="57" t="s">
        <v>108</v>
      </c>
      <c r="E652" t="s">
        <v>4</v>
      </c>
      <c r="F652" t="s">
        <v>102</v>
      </c>
      <c r="G652" t="str">
        <f>LOOKUP(TabVMAzureEnvProjet[[#This Row],[Projet]],TabProjets[NomProj],TabProjets[SYGES])</f>
        <v>INETUM/PROJET_INTERNE</v>
      </c>
      <c r="H652" t="str">
        <f>LOOKUP(TabVMAzureEnvProjet[[#This Row],[Projet]],TabProjets[NomProj],TabProjets[CP])</f>
        <v>Christophe ORLANDO</v>
      </c>
      <c r="I652">
        <f>LOOKUP(TabVMAzureEnvProjet[[#This Row],[Code SYGES]],TabCONTRATSDI[Contrat SYGES],TabCONTRATSDI[Cost Center])</f>
        <v>305704</v>
      </c>
      <c r="J652" s="22" t="str">
        <f>LOOKUP(TabVMAzureEnvProjet[[#This Row],[Code SYGES]],TabCONTRATSDI[Contrat SYGES],TabCONTRATSDI[Client])</f>
        <v>INETUM</v>
      </c>
      <c r="K652" t="s">
        <v>171</v>
      </c>
      <c r="L652" s="31">
        <v>1.9574302319356478</v>
      </c>
      <c r="M652" s="40" t="s">
        <v>172</v>
      </c>
    </row>
    <row r="653" spans="1:13" x14ac:dyDescent="0.25">
      <c r="A653" s="22" t="str">
        <f>TabVMAzureEnvProjet[[#This Row],[Client]] &amp; " .:. "  &amp; TabVMAzureEnvProjet[[#This Row],[Projet]]</f>
        <v>INETUM .:. INETUM-INTERNE</v>
      </c>
      <c r="B653" s="22" t="str">
        <f>IF(TabVMAzureEnvProjet[[#This Row],[Projet AzureDevOps]]&lt;&gt;"",TabVMAzureEnvProjet[[#This Row],[Projet AzureDevOps]],TabVMAzureEnvProjet[[#This Row],[VM]])</f>
        <v>GFI-D8-BS4-THEME</v>
      </c>
      <c r="C653" s="57" t="s">
        <v>103</v>
      </c>
      <c r="E653" t="s">
        <v>4</v>
      </c>
      <c r="F653" t="s">
        <v>102</v>
      </c>
      <c r="G653" t="str">
        <f>LOOKUP(TabVMAzureEnvProjet[[#This Row],[Projet]],TabProjets[NomProj],TabProjets[SYGES])</f>
        <v>INETUM/PROJET_INTERNE</v>
      </c>
      <c r="H653" t="str">
        <f>LOOKUP(TabVMAzureEnvProjet[[#This Row],[Projet]],TabProjets[NomProj],TabProjets[CP])</f>
        <v>Christophe ORLANDO</v>
      </c>
      <c r="I653">
        <f>LOOKUP(TabVMAzureEnvProjet[[#This Row],[Code SYGES]],TabCONTRATSDI[Contrat SYGES],TabCONTRATSDI[Cost Center])</f>
        <v>305704</v>
      </c>
      <c r="J653" s="22" t="str">
        <f>LOOKUP(TabVMAzureEnvProjet[[#This Row],[Code SYGES]],TabCONTRATSDI[Contrat SYGES],TabCONTRATSDI[Client])</f>
        <v>INETUM</v>
      </c>
      <c r="K653" t="s">
        <v>171</v>
      </c>
      <c r="L653" s="31">
        <v>1.2590014337727271</v>
      </c>
      <c r="M653" s="40" t="s">
        <v>172</v>
      </c>
    </row>
    <row r="654" spans="1:13" x14ac:dyDescent="0.25">
      <c r="A654" s="22" t="str">
        <f>TabVMAzureEnvProjet[[#This Row],[Client]] &amp; " .:. "  &amp; TabVMAzureEnvProjet[[#This Row],[Projet]]</f>
        <v>INETUM .:. INETUM-INTERNE</v>
      </c>
      <c r="B654" s="22" t="str">
        <f>IF(TabVMAzureEnvProjet[[#This Row],[Projet AzureDevOps]]&lt;&gt;"",TabVMAzureEnvProjet[[#This Row],[Projet AzureDevOps]],TabVMAzureEnvProjet[[#This Row],[VM]])</f>
        <v>GFI-Docker Devbox Install</v>
      </c>
      <c r="C654" s="57" t="s">
        <v>109</v>
      </c>
      <c r="E654" t="s">
        <v>4</v>
      </c>
      <c r="F654" t="s">
        <v>102</v>
      </c>
      <c r="G654" t="str">
        <f>LOOKUP(TabVMAzureEnvProjet[[#This Row],[Projet]],TabProjets[NomProj],TabProjets[SYGES])</f>
        <v>INETUM/PROJET_INTERNE</v>
      </c>
      <c r="H654" t="str">
        <f>LOOKUP(TabVMAzureEnvProjet[[#This Row],[Projet]],TabProjets[NomProj],TabProjets[CP])</f>
        <v>Christophe ORLANDO</v>
      </c>
      <c r="I654">
        <f>LOOKUP(TabVMAzureEnvProjet[[#This Row],[Code SYGES]],TabCONTRATSDI[Contrat SYGES],TabCONTRATSDI[Cost Center])</f>
        <v>305704</v>
      </c>
      <c r="J654" s="22" t="str">
        <f>LOOKUP(TabVMAzureEnvProjet[[#This Row],[Code SYGES]],TabCONTRATSDI[Contrat SYGES],TabCONTRATSDI[Client])</f>
        <v>INETUM</v>
      </c>
      <c r="K654" t="s">
        <v>171</v>
      </c>
      <c r="L654" s="31">
        <v>18.426208055405922</v>
      </c>
      <c r="M654" s="40" t="s">
        <v>172</v>
      </c>
    </row>
    <row r="655" spans="1:13" x14ac:dyDescent="0.25">
      <c r="A655" s="22" t="str">
        <f>TabVMAzureEnvProjet[[#This Row],[Client]] &amp; " .:. "  &amp; TabVMAzureEnvProjet[[#This Row],[Projet]]</f>
        <v>INETUM .:. INETUM-INTERNE</v>
      </c>
      <c r="B655" s="22" t="str">
        <f>IF(TabVMAzureEnvProjet[[#This Row],[Projet AzureDevOps]]&lt;&gt;"",TabVMAzureEnvProjet[[#This Row],[Projet AzureDevOps]],TabVMAzureEnvProjet[[#This Row],[VM]])</f>
        <v>GFI-MineReport</v>
      </c>
      <c r="C655" s="57" t="s">
        <v>104</v>
      </c>
      <c r="E655" t="s">
        <v>4</v>
      </c>
      <c r="F655" t="s">
        <v>102</v>
      </c>
      <c r="G655" t="str">
        <f>LOOKUP(TabVMAzureEnvProjet[[#This Row],[Projet]],TabProjets[NomProj],TabProjets[SYGES])</f>
        <v>INETUM/PROJET_INTERNE</v>
      </c>
      <c r="H655" t="str">
        <f>LOOKUP(TabVMAzureEnvProjet[[#This Row],[Projet]],TabProjets[NomProj],TabProjets[CP])</f>
        <v>Christophe ORLANDO</v>
      </c>
      <c r="I655">
        <f>LOOKUP(TabVMAzureEnvProjet[[#This Row],[Code SYGES]],TabCONTRATSDI[Contrat SYGES],TabCONTRATSDI[Cost Center])</f>
        <v>305704</v>
      </c>
      <c r="J655" s="22" t="str">
        <f>LOOKUP(TabVMAzureEnvProjet[[#This Row],[Code SYGES]],TabCONTRATSDI[Contrat SYGES],TabCONTRATSDI[Client])</f>
        <v>INETUM</v>
      </c>
      <c r="K655" t="s">
        <v>171</v>
      </c>
      <c r="L655" s="31">
        <v>1.6304626727045552</v>
      </c>
      <c r="M655" s="40" t="s">
        <v>172</v>
      </c>
    </row>
    <row r="656" spans="1:13" x14ac:dyDescent="0.25">
      <c r="A656" s="22" t="str">
        <f>TabVMAzureEnvProjet[[#This Row],[Client]] &amp; " .:. "  &amp; TabVMAzureEnvProjet[[#This Row],[Projet]]</f>
        <v>INETUM .:. INETUM-INTERNE</v>
      </c>
      <c r="B656" s="22" t="str">
        <f>IF(TabVMAzureEnvProjet[[#This Row],[Projet AzureDevOps]]&lt;&gt;"",TabVMAzureEnvProjet[[#This Row],[Projet AzureDevOps]],TabVMAzureEnvProjet[[#This Row],[VM]])</f>
        <v>GFI-PMT</v>
      </c>
      <c r="C656" s="57" t="s">
        <v>110</v>
      </c>
      <c r="E656" t="s">
        <v>4</v>
      </c>
      <c r="F656" t="s">
        <v>102</v>
      </c>
      <c r="G656" t="str">
        <f>LOOKUP(TabVMAzureEnvProjet[[#This Row],[Projet]],TabProjets[NomProj],TabProjets[SYGES])</f>
        <v>INETUM/PROJET_INTERNE</v>
      </c>
      <c r="H656" t="str">
        <f>LOOKUP(TabVMAzureEnvProjet[[#This Row],[Projet]],TabProjets[NomProj],TabProjets[CP])</f>
        <v>Christophe ORLANDO</v>
      </c>
      <c r="I656">
        <f>LOOKUP(TabVMAzureEnvProjet[[#This Row],[Code SYGES]],TabCONTRATSDI[Contrat SYGES],TabCONTRATSDI[Cost Center])</f>
        <v>305704</v>
      </c>
      <c r="J656" s="22" t="str">
        <f>LOOKUP(TabVMAzureEnvProjet[[#This Row],[Code SYGES]],TabCONTRATSDI[Contrat SYGES],TabCONTRATSDI[Client])</f>
        <v>INETUM</v>
      </c>
      <c r="K656" t="s">
        <v>171</v>
      </c>
      <c r="L656" s="31">
        <v>4.296949738424491</v>
      </c>
      <c r="M656" s="40" t="s">
        <v>172</v>
      </c>
    </row>
    <row r="657" spans="1:13" x14ac:dyDescent="0.25">
      <c r="A657" s="22" t="str">
        <f>TabVMAzureEnvProjet[[#This Row],[Client]] &amp; " .:. "  &amp; TabVMAzureEnvProjet[[#This Row],[Projet]]</f>
        <v>INETUM .:. INETUM-INTERNE</v>
      </c>
      <c r="B657" s="22" t="str">
        <f>IF(TabVMAzureEnvProjet[[#This Row],[Projet AzureDevOps]]&lt;&gt;"",TabVMAzureEnvProjet[[#This Row],[Projet AzureDevOps]],TabVMAzureEnvProjet[[#This Row],[VM]])</f>
        <v>GFI-RedmineDocker</v>
      </c>
      <c r="C657" s="57" t="s">
        <v>105</v>
      </c>
      <c r="E657" t="s">
        <v>4</v>
      </c>
      <c r="F657" t="s">
        <v>102</v>
      </c>
      <c r="G657" t="str">
        <f>LOOKUP(TabVMAzureEnvProjet[[#This Row],[Projet]],TabProjets[NomProj],TabProjets[SYGES])</f>
        <v>INETUM/PROJET_INTERNE</v>
      </c>
      <c r="H657" t="str">
        <f>LOOKUP(TabVMAzureEnvProjet[[#This Row],[Projet]],TabProjets[NomProj],TabProjets[CP])</f>
        <v>Christophe ORLANDO</v>
      </c>
      <c r="I657">
        <f>LOOKUP(TabVMAzureEnvProjet[[#This Row],[Code SYGES]],TabCONTRATSDI[Contrat SYGES],TabCONTRATSDI[Cost Center])</f>
        <v>305704</v>
      </c>
      <c r="J657" s="22" t="str">
        <f>LOOKUP(TabVMAzureEnvProjet[[#This Row],[Code SYGES]],TabCONTRATSDI[Contrat SYGES],TabCONTRATSDI[Client])</f>
        <v>INETUM</v>
      </c>
      <c r="K657" t="s">
        <v>171</v>
      </c>
      <c r="L657" s="31">
        <v>0.9227135357962184</v>
      </c>
      <c r="M657" s="40" t="s">
        <v>172</v>
      </c>
    </row>
    <row r="658" spans="1:13" x14ac:dyDescent="0.25">
      <c r="A658" s="22" t="str">
        <f>TabVMAzureEnvProjet[[#This Row],[Client]] &amp; " .:. "  &amp; TabVMAzureEnvProjet[[#This Row],[Projet]]</f>
        <v>INETUM .:. INETUM-INTERNE</v>
      </c>
      <c r="B658" s="22" t="str">
        <f>IF(TabVMAzureEnvProjet[[#This Row],[Projet AzureDevOps]]&lt;&gt;"",TabVMAzureEnvProjet[[#This Row],[Projet AzureDevOps]],TabVMAzureEnvProjet[[#This Row],[VM]])</f>
        <v>GFI-TENDER</v>
      </c>
      <c r="C658" s="57" t="s">
        <v>111</v>
      </c>
      <c r="E658" t="s">
        <v>4</v>
      </c>
      <c r="F658" t="s">
        <v>102</v>
      </c>
      <c r="G658" t="str">
        <f>LOOKUP(TabVMAzureEnvProjet[[#This Row],[Projet]],TabProjets[NomProj],TabProjets[SYGES])</f>
        <v>INETUM/PROJET_INTERNE</v>
      </c>
      <c r="H658" t="str">
        <f>LOOKUP(TabVMAzureEnvProjet[[#This Row],[Projet]],TabProjets[NomProj],TabProjets[CP])</f>
        <v>Christophe ORLANDO</v>
      </c>
      <c r="I658">
        <f>LOOKUP(TabVMAzureEnvProjet[[#This Row],[Code SYGES]],TabCONTRATSDI[Contrat SYGES],TabCONTRATSDI[Cost Center])</f>
        <v>305704</v>
      </c>
      <c r="J658" s="22" t="str">
        <f>LOOKUP(TabVMAzureEnvProjet[[#This Row],[Code SYGES]],TabCONTRATSDI[Contrat SYGES],TabCONTRATSDI[Client])</f>
        <v>INETUM</v>
      </c>
      <c r="K658" t="s">
        <v>171</v>
      </c>
      <c r="L658" s="31">
        <v>1.9574302319356478</v>
      </c>
      <c r="M658" s="40" t="s">
        <v>172</v>
      </c>
    </row>
    <row r="659" spans="1:13" x14ac:dyDescent="0.25">
      <c r="A659" s="22" t="str">
        <f>TabVMAzureEnvProjet[[#This Row],[Client]] &amp; " .:. "  &amp; TabVMAzureEnvProjet[[#This Row],[Projet]]</f>
        <v>GFI .:. GFI-WAAC</v>
      </c>
      <c r="B659" s="22" t="str">
        <f>IF(TabVMAzureEnvProjet[[#This Row],[Projet AzureDevOps]]&lt;&gt;"",TabVMAzureEnvProjet[[#This Row],[Projet AzureDevOps]],TabVMAzureEnvProjet[[#This Row],[VM]])</f>
        <v>GFI-WAAC</v>
      </c>
      <c r="C659" s="57" t="s">
        <v>38</v>
      </c>
      <c r="E659" t="s">
        <v>4</v>
      </c>
      <c r="F659" t="s">
        <v>38</v>
      </c>
      <c r="G659" t="str">
        <f>LOOKUP(TabVMAzureEnvProjet[[#This Row],[Projet]],TabProjets[NomProj],TabProjets[SYGES])</f>
        <v>383928 - WAAC 1.0</v>
      </c>
      <c r="H659" t="str">
        <f>LOOKUP(TabVMAzureEnvProjet[[#This Row],[Projet]],TabProjets[NomProj],TabProjets[CP])</f>
        <v>Laurent MARCIANIAK</v>
      </c>
      <c r="I659">
        <f>LOOKUP(TabVMAzureEnvProjet[[#This Row],[Code SYGES]],TabCONTRATSDI[Contrat SYGES],TabCONTRATSDI[Cost Center])</f>
        <v>100973</v>
      </c>
      <c r="J659" s="22" t="str">
        <f>LOOKUP(TabVMAzureEnvProjet[[#This Row],[Code SYGES]],TabCONTRATSDI[Contrat SYGES],TabCONTRATSDI[Client])</f>
        <v>GFI</v>
      </c>
      <c r="K659" t="s">
        <v>171</v>
      </c>
      <c r="L659" s="31">
        <v>228.98483636549054</v>
      </c>
      <c r="M659" s="40" t="s">
        <v>172</v>
      </c>
    </row>
    <row r="660" spans="1:13" x14ac:dyDescent="0.25">
      <c r="A660" s="22" t="str">
        <f>TabVMAzureEnvProjet[[#This Row],[Client]] &amp; " .:. "  &amp; TabVMAzureEnvProjet[[#This Row],[Projet]]</f>
        <v>GLI .:. GLI-APIBIOMETRIE</v>
      </c>
      <c r="B660" s="22" t="str">
        <f>IF(TabVMAzureEnvProjet[[#This Row],[Projet AzureDevOps]]&lt;&gt;"",TabVMAzureEnvProjet[[#This Row],[Projet AzureDevOps]],TabVMAzureEnvProjet[[#This Row],[VM]])</f>
        <v>GLI-APIBiometrie</v>
      </c>
      <c r="C660" s="57" t="s">
        <v>42</v>
      </c>
      <c r="E660" t="s">
        <v>4</v>
      </c>
      <c r="F660" t="s">
        <v>41</v>
      </c>
      <c r="G660" t="str">
        <f>LOOKUP(TabVMAzureEnvProjet[[#This Row],[Projet]],TabProjets[NomProj],TabProjets[SYGES])</f>
        <v>GLI/BIOMETRIE</v>
      </c>
      <c r="H660" t="str">
        <f>LOOKUP(TabVMAzureEnvProjet[[#This Row],[Projet]],TabProjets[NomProj],TabProjets[CP])</f>
        <v>Rodolphe HABEGGER</v>
      </c>
      <c r="I660">
        <f>LOOKUP(TabVMAzureEnvProjet[[#This Row],[Code SYGES]],TabCONTRATSDI[Contrat SYGES],TabCONTRATSDI[Cost Center])</f>
        <v>305704</v>
      </c>
      <c r="J660" s="22" t="str">
        <f>LOOKUP(TabVMAzureEnvProjet[[#This Row],[Code SYGES]],TabCONTRATSDI[Contrat SYGES],TabCONTRATSDI[Client])</f>
        <v>GLI</v>
      </c>
      <c r="K660" t="s">
        <v>171</v>
      </c>
      <c r="L660" s="31">
        <v>2.0100775507948914</v>
      </c>
      <c r="M660" s="40" t="s">
        <v>172</v>
      </c>
    </row>
    <row r="661" spans="1:13" x14ac:dyDescent="0.25">
      <c r="A661" s="22" t="str">
        <f>TabVMAzureEnvProjet[[#This Row],[Client]] &amp; " .:. "  &amp; TabVMAzureEnvProjet[[#This Row],[Projet]]</f>
        <v>INETUM .:. INETUM-INTERNE</v>
      </c>
      <c r="B661" s="22" t="str">
        <f>IF(TabVMAzureEnvProjet[[#This Row],[Projet AzureDevOps]]&lt;&gt;"",TabVMAzureEnvProjet[[#This Row],[Projet AzureDevOps]],TabVMAzureEnvProjet[[#This Row],[VM]])</f>
        <v>INETUM-communaute-technique</v>
      </c>
      <c r="C661" s="57" t="s">
        <v>113</v>
      </c>
      <c r="E661" t="s">
        <v>4</v>
      </c>
      <c r="F661" t="s">
        <v>102</v>
      </c>
      <c r="G661" t="str">
        <f>LOOKUP(TabVMAzureEnvProjet[[#This Row],[Projet]],TabProjets[NomProj],TabProjets[SYGES])</f>
        <v>INETUM/PROJET_INTERNE</v>
      </c>
      <c r="H661" t="str">
        <f>LOOKUP(TabVMAzureEnvProjet[[#This Row],[Projet]],TabProjets[NomProj],TabProjets[CP])</f>
        <v>Christophe ORLANDO</v>
      </c>
      <c r="I661">
        <f>LOOKUP(TabVMAzureEnvProjet[[#This Row],[Code SYGES]],TabCONTRATSDI[Contrat SYGES],TabCONTRATSDI[Cost Center])</f>
        <v>305704</v>
      </c>
      <c r="J661" s="22" t="str">
        <f>LOOKUP(TabVMAzureEnvProjet[[#This Row],[Code SYGES]],TabCONTRATSDI[Contrat SYGES],TabCONTRATSDI[Client])</f>
        <v>INETUM</v>
      </c>
      <c r="K661" t="s">
        <v>171</v>
      </c>
      <c r="L661" s="31">
        <v>1.3753797175668447</v>
      </c>
      <c r="M661" s="40" t="s">
        <v>172</v>
      </c>
    </row>
    <row r="662" spans="1:13" x14ac:dyDescent="0.25">
      <c r="A662" s="22" t="str">
        <f>TabVMAzureEnvProjet[[#This Row],[Client]] &amp; " .:. "  &amp; TabVMAzureEnvProjet[[#This Row],[Projet]]</f>
        <v>INETUM .:. INETUM-INTERNE</v>
      </c>
      <c r="B662" s="22" t="str">
        <f>IF(TabVMAzureEnvProjet[[#This Row],[Projet AzureDevOps]]&lt;&gt;"",TabVMAzureEnvProjet[[#This Row],[Projet AzureDevOps]],TabVMAzureEnvProjet[[#This Row],[VM]])</f>
        <v>INETUM-documentation</v>
      </c>
      <c r="C662" s="57" t="s">
        <v>114</v>
      </c>
      <c r="E662" t="s">
        <v>4</v>
      </c>
      <c r="F662" t="s">
        <v>102</v>
      </c>
      <c r="G662" t="str">
        <f>LOOKUP(TabVMAzureEnvProjet[[#This Row],[Projet]],TabProjets[NomProj],TabProjets[SYGES])</f>
        <v>INETUM/PROJET_INTERNE</v>
      </c>
      <c r="H662" t="str">
        <f>LOOKUP(TabVMAzureEnvProjet[[#This Row],[Projet]],TabProjets[NomProj],TabProjets[CP])</f>
        <v>Christophe ORLANDO</v>
      </c>
      <c r="I662">
        <f>LOOKUP(TabVMAzureEnvProjet[[#This Row],[Code SYGES]],TabCONTRATSDI[Contrat SYGES],TabCONTRATSDI[Cost Center])</f>
        <v>305704</v>
      </c>
      <c r="J662" s="22" t="str">
        <f>LOOKUP(TabVMAzureEnvProjet[[#This Row],[Code SYGES]],TabCONTRATSDI[Contrat SYGES],TabCONTRATSDI[Client])</f>
        <v>INETUM</v>
      </c>
      <c r="K662" t="s">
        <v>171</v>
      </c>
      <c r="L662" s="31">
        <v>1.3753797175668447</v>
      </c>
      <c r="M662" s="40" t="s">
        <v>172</v>
      </c>
    </row>
    <row r="663" spans="1:13" x14ac:dyDescent="0.25">
      <c r="A663" s="22" t="str">
        <f>TabVMAzureEnvProjet[[#This Row],[Client]] &amp; " .:. "  &amp; TabVMAzureEnvProjet[[#This Row],[Projet]]</f>
        <v>INETUM .:. INETUM-INTERNE</v>
      </c>
      <c r="B663" s="22" t="str">
        <f>IF(TabVMAzureEnvProjet[[#This Row],[Projet AzureDevOps]]&lt;&gt;"",TabVMAzureEnvProjet[[#This Row],[Projet AzureDevOps]],TabVMAzureEnvProjet[[#This Row],[VM]])</f>
        <v>INETUM-starterkit-symfony</v>
      </c>
      <c r="C663" s="57" t="s">
        <v>115</v>
      </c>
      <c r="E663" t="s">
        <v>4</v>
      </c>
      <c r="F663" t="s">
        <v>102</v>
      </c>
      <c r="G663" t="str">
        <f>LOOKUP(TabVMAzureEnvProjet[[#This Row],[Projet]],TabProjets[NomProj],TabProjets[SYGES])</f>
        <v>INETUM/PROJET_INTERNE</v>
      </c>
      <c r="H663" t="str">
        <f>LOOKUP(TabVMAzureEnvProjet[[#This Row],[Projet]],TabProjets[NomProj],TabProjets[CP])</f>
        <v>Christophe ORLANDO</v>
      </c>
      <c r="I663">
        <f>LOOKUP(TabVMAzureEnvProjet[[#This Row],[Code SYGES]],TabCONTRATSDI[Contrat SYGES],TabCONTRATSDI[Cost Center])</f>
        <v>305704</v>
      </c>
      <c r="J663" s="22" t="str">
        <f>LOOKUP(TabVMAzureEnvProjet[[#This Row],[Code SYGES]],TabCONTRATSDI[Contrat SYGES],TabCONTRATSDI[Client])</f>
        <v>INETUM</v>
      </c>
      <c r="K663" t="s">
        <v>171</v>
      </c>
      <c r="L663" s="31">
        <v>0.37785157076012221</v>
      </c>
      <c r="M663" s="40" t="s">
        <v>172</v>
      </c>
    </row>
    <row r="664" spans="1:13" x14ac:dyDescent="0.25">
      <c r="A664" s="22" t="str">
        <f>TabVMAzureEnvProjet[[#This Row],[Client]] &amp; " .:. "  &amp; TabVMAzureEnvProjet[[#This Row],[Projet]]</f>
        <v>LAPOSTE .:. LAPOSTE-CDC</v>
      </c>
      <c r="B664" s="22" t="str">
        <f>IF(TabVMAzureEnvProjet[[#This Row],[Projet AzureDevOps]]&lt;&gt;"",TabVMAzureEnvProjet[[#This Row],[Projet AzureDevOps]],TabVMAzureEnvProjet[[#This Row],[VM]])</f>
        <v>LAPOSTE-F4N-Musee</v>
      </c>
      <c r="C664" s="57" t="s">
        <v>83</v>
      </c>
      <c r="E664" t="s">
        <v>4</v>
      </c>
      <c r="F664" t="s">
        <v>82</v>
      </c>
      <c r="G664" t="str">
        <f>LOOKUP(TabVMAzureEnvProjet[[#This Row],[Projet]],TabProjets[NomProj],TabProjets[SYGES])</f>
        <v>LA-POSTE/CDC_DRUPAL</v>
      </c>
      <c r="H664" t="str">
        <f>LOOKUP(TabVMAzureEnvProjet[[#This Row],[Projet]],TabProjets[NomProj],TabProjets[CP])</f>
        <v>Rodolphe HABEGGER</v>
      </c>
      <c r="I664">
        <f>LOOKUP(TabVMAzureEnvProjet[[#This Row],[Code SYGES]],TabCONTRATSDI[Contrat SYGES],TabCONTRATSDI[Cost Center])</f>
        <v>305704</v>
      </c>
      <c r="J664" s="22" t="str">
        <f>LOOKUP(TabVMAzureEnvProjet[[#This Row],[Code SYGES]],TabCONTRATSDI[Contrat SYGES],TabCONTRATSDI[Client])</f>
        <v>LAPOSTE</v>
      </c>
      <c r="K664" t="s">
        <v>171</v>
      </c>
      <c r="L664" s="31">
        <v>2.6835076872770842</v>
      </c>
      <c r="M664" s="40" t="s">
        <v>172</v>
      </c>
    </row>
    <row r="665" spans="1:13" x14ac:dyDescent="0.25">
      <c r="A665" s="22" t="str">
        <f>TabVMAzureEnvProjet[[#This Row],[Client]] &amp; " .:. "  &amp; TabVMAzureEnvProjet[[#This Row],[Projet]]</f>
        <v>LAPOSTE .:. LAPOSTE-CDC</v>
      </c>
      <c r="B665" s="22" t="str">
        <f>IF(TabVMAzureEnvProjet[[#This Row],[Projet AzureDevOps]]&lt;&gt;"",TabVMAzureEnvProjet[[#This Row],[Projet AzureDevOps]],TabVMAzureEnvProjet[[#This Row],[VM]])</f>
        <v>LAPOSTE-L71-PDP</v>
      </c>
      <c r="C665" s="57" t="s">
        <v>86</v>
      </c>
      <c r="E665" t="s">
        <v>4</v>
      </c>
      <c r="F665" t="s">
        <v>82</v>
      </c>
      <c r="G665" t="str">
        <f>LOOKUP(TabVMAzureEnvProjet[[#This Row],[Projet]],TabProjets[NomProj],TabProjets[SYGES])</f>
        <v>LA-POSTE/CDC_DRUPAL</v>
      </c>
      <c r="H665" t="str">
        <f>LOOKUP(TabVMAzureEnvProjet[[#This Row],[Projet]],TabProjets[NomProj],TabProjets[CP])</f>
        <v>Rodolphe HABEGGER</v>
      </c>
      <c r="I665">
        <f>LOOKUP(TabVMAzureEnvProjet[[#This Row],[Code SYGES]],TabCONTRATSDI[Contrat SYGES],TabCONTRATSDI[Cost Center])</f>
        <v>305704</v>
      </c>
      <c r="J665" s="22" t="str">
        <f>LOOKUP(TabVMAzureEnvProjet[[#This Row],[Code SYGES]],TabCONTRATSDI[Contrat SYGES],TabCONTRATSDI[Client])</f>
        <v>LAPOSTE</v>
      </c>
      <c r="K665" t="s">
        <v>171</v>
      </c>
      <c r="L665" s="31">
        <v>1.6360044957423705</v>
      </c>
      <c r="M665" s="40" t="s">
        <v>172</v>
      </c>
    </row>
    <row r="666" spans="1:13" x14ac:dyDescent="0.25">
      <c r="A666" s="22" t="str">
        <f>TabVMAzureEnvProjet[[#This Row],[Client]] &amp; " .:. "  &amp; TabVMAzureEnvProjet[[#This Row],[Projet]]</f>
        <v>LAPOSTE .:. LAPOSTE-CDC</v>
      </c>
      <c r="B666" s="22" t="str">
        <f>IF(TabVMAzureEnvProjet[[#This Row],[Projet AzureDevOps]]&lt;&gt;"",TabVMAzureEnvProjet[[#This Row],[Projet AzureDevOps]],TabVMAzureEnvProjet[[#This Row],[VM]])</f>
        <v>LAPOSTE-LCA-PariteUn-e</v>
      </c>
      <c r="C666" s="57" t="s">
        <v>87</v>
      </c>
      <c r="E666" t="s">
        <v>4</v>
      </c>
      <c r="F666" t="s">
        <v>82</v>
      </c>
      <c r="G666" t="str">
        <f>LOOKUP(TabVMAzureEnvProjet[[#This Row],[Projet]],TabProjets[NomProj],TabProjets[SYGES])</f>
        <v>LA-POSTE/CDC_DRUPAL</v>
      </c>
      <c r="H666" t="str">
        <f>LOOKUP(TabVMAzureEnvProjet[[#This Row],[Projet]],TabProjets[NomProj],TabProjets[CP])</f>
        <v>Rodolphe HABEGGER</v>
      </c>
      <c r="I666">
        <f>LOOKUP(TabVMAzureEnvProjet[[#This Row],[Code SYGES]],TabCONTRATSDI[Contrat SYGES],TabCONTRATSDI[Cost Center])</f>
        <v>305704</v>
      </c>
      <c r="J666" s="22" t="str">
        <f>LOOKUP(TabVMAzureEnvProjet[[#This Row],[Code SYGES]],TabCONTRATSDI[Contrat SYGES],TabCONTRATSDI[Client])</f>
        <v>LAPOSTE</v>
      </c>
      <c r="K666" t="s">
        <v>171</v>
      </c>
      <c r="L666" s="31">
        <v>1.6360044957423705</v>
      </c>
      <c r="M666" s="40" t="s">
        <v>172</v>
      </c>
    </row>
    <row r="667" spans="1:13" x14ac:dyDescent="0.25">
      <c r="A667" s="22" t="str">
        <f>TabVMAzureEnvProjet[[#This Row],[Client]] &amp; " .:. "  &amp; TabVMAzureEnvProjet[[#This Row],[Projet]]</f>
        <v>LAPOSTE .:. LAPOSTE-CDC</v>
      </c>
      <c r="B667" s="22" t="str">
        <f>IF(TabVMAzureEnvProjet[[#This Row],[Projet AzureDevOps]]&lt;&gt;"",TabVMAzureEnvProjet[[#This Row],[Projet AzureDevOps]],TabVMAzureEnvProjet[[#This Row],[VM]])</f>
        <v>LAPOSTE-LPK-PortailVoyage</v>
      </c>
      <c r="C667" s="57" t="s">
        <v>84</v>
      </c>
      <c r="E667" t="s">
        <v>4</v>
      </c>
      <c r="F667" t="s">
        <v>82</v>
      </c>
      <c r="G667" t="str">
        <f>LOOKUP(TabVMAzureEnvProjet[[#This Row],[Projet]],TabProjets[NomProj],TabProjets[SYGES])</f>
        <v>LA-POSTE/CDC_DRUPAL</v>
      </c>
      <c r="H667" t="str">
        <f>LOOKUP(TabVMAzureEnvProjet[[#This Row],[Projet]],TabProjets[NomProj],TabProjets[CP])</f>
        <v>Rodolphe HABEGGER</v>
      </c>
      <c r="I667">
        <f>LOOKUP(TabVMAzureEnvProjet[[#This Row],[Code SYGES]],TabCONTRATSDI[Contrat SYGES],TabCONTRATSDI[Cost Center])</f>
        <v>305704</v>
      </c>
      <c r="J667" s="22" t="str">
        <f>LOOKUP(TabVMAzureEnvProjet[[#This Row],[Code SYGES]],TabCONTRATSDI[Contrat SYGES],TabCONTRATSDI[Client])</f>
        <v>LAPOSTE</v>
      </c>
      <c r="K667" t="s">
        <v>171</v>
      </c>
      <c r="L667" s="31">
        <v>2.0969059000176444</v>
      </c>
      <c r="M667" s="40" t="s">
        <v>172</v>
      </c>
    </row>
    <row r="668" spans="1:13" x14ac:dyDescent="0.25">
      <c r="A668" s="22" t="str">
        <f>TabVMAzureEnvProjet[[#This Row],[Client]] &amp; " .:. "  &amp; TabVMAzureEnvProjet[[#This Row],[Projet]]</f>
        <v>LAPOSTE .:. LAPOSTE-CDC</v>
      </c>
      <c r="B668" s="22" t="str">
        <f>IF(TabVMAzureEnvProjet[[#This Row],[Projet AzureDevOps]]&lt;&gt;"",TabVMAzureEnvProjet[[#This Row],[Projet AzureDevOps]],TabVMAzureEnvProjet[[#This Row],[VM]])</f>
        <v>LAPOSTE-LPM-IntranetDHA</v>
      </c>
      <c r="C668" s="57" t="s">
        <v>85</v>
      </c>
      <c r="E668" t="s">
        <v>4</v>
      </c>
      <c r="F668" t="s">
        <v>82</v>
      </c>
      <c r="G668" t="str">
        <f>LOOKUP(TabVMAzureEnvProjet[[#This Row],[Projet]],TabProjets[NomProj],TabProjets[SYGES])</f>
        <v>LA-POSTE/CDC_DRUPAL</v>
      </c>
      <c r="H668" t="str">
        <f>LOOKUP(TabVMAzureEnvProjet[[#This Row],[Projet]],TabProjets[NomProj],TabProjets[CP])</f>
        <v>Rodolphe HABEGGER</v>
      </c>
      <c r="I668">
        <f>LOOKUP(TabVMAzureEnvProjet[[#This Row],[Code SYGES]],TabCONTRATSDI[Contrat SYGES],TabCONTRATSDI[Cost Center])</f>
        <v>305704</v>
      </c>
      <c r="J668" s="22" t="str">
        <f>LOOKUP(TabVMAzureEnvProjet[[#This Row],[Code SYGES]],TabCONTRATSDI[Contrat SYGES],TabCONTRATSDI[Client])</f>
        <v>LAPOSTE</v>
      </c>
      <c r="K668" t="s">
        <v>171</v>
      </c>
      <c r="L668" s="31">
        <v>1.6360044957423705</v>
      </c>
      <c r="M668" s="40" t="s">
        <v>172</v>
      </c>
    </row>
    <row r="669" spans="1:13" x14ac:dyDescent="0.25">
      <c r="A669" s="22" t="str">
        <f>TabVMAzureEnvProjet[[#This Row],[Client]] &amp; " .:. "  &amp; TabVMAzureEnvProjet[[#This Row],[Projet]]</f>
        <v>LAPOSTE .:. LAPOSTE-CDC</v>
      </c>
      <c r="B669" s="22" t="str">
        <f>IF(TabVMAzureEnvProjet[[#This Row],[Projet AzureDevOps]]&lt;&gt;"",TabVMAzureEnvProjet[[#This Row],[Projet AzureDevOps]],TabVMAzureEnvProjet[[#This Row],[VM]])</f>
        <v>LAPOSTE-V7_-Galaxy</v>
      </c>
      <c r="C669" s="57" t="s">
        <v>89</v>
      </c>
      <c r="E669" t="s">
        <v>4</v>
      </c>
      <c r="F669" t="s">
        <v>82</v>
      </c>
      <c r="G669" t="str">
        <f>LOOKUP(TabVMAzureEnvProjet[[#This Row],[Projet]],TabProjets[NomProj],TabProjets[SYGES])</f>
        <v>LA-POSTE/CDC_DRUPAL</v>
      </c>
      <c r="H669" t="str">
        <f>LOOKUP(TabVMAzureEnvProjet[[#This Row],[Projet]],TabProjets[NomProj],TabProjets[CP])</f>
        <v>Rodolphe HABEGGER</v>
      </c>
      <c r="I669">
        <f>LOOKUP(TabVMAzureEnvProjet[[#This Row],[Code SYGES]],TabCONTRATSDI[Contrat SYGES],TabCONTRATSDI[Cost Center])</f>
        <v>305704</v>
      </c>
      <c r="J669" s="22" t="str">
        <f>LOOKUP(TabVMAzureEnvProjet[[#This Row],[Code SYGES]],TabCONTRATSDI[Contrat SYGES],TabCONTRATSDI[Client])</f>
        <v>LAPOSTE</v>
      </c>
      <c r="K669" t="s">
        <v>171</v>
      </c>
      <c r="L669" s="31">
        <v>0.86980782451607597</v>
      </c>
      <c r="M669" s="40" t="s">
        <v>172</v>
      </c>
    </row>
    <row r="670" spans="1:13" x14ac:dyDescent="0.25">
      <c r="A670" s="22" t="str">
        <f>TabVMAzureEnvProjet[[#This Row],[Client]] &amp; " .:. "  &amp; TabVMAzureEnvProjet[[#This Row],[Projet]]</f>
        <v>LAPOSTE .:. LAPOSTE-CDC</v>
      </c>
      <c r="B670" s="22" t="str">
        <f>IF(TabVMAzureEnvProjet[[#This Row],[Projet AzureDevOps]]&lt;&gt;"",TabVMAzureEnvProjet[[#This Row],[Projet AzureDevOps]],TabVMAzureEnvProjet[[#This Row],[VM]])</f>
        <v>LAPOSTE-VW2-MEDIACOM</v>
      </c>
      <c r="C670" s="57" t="s">
        <v>90</v>
      </c>
      <c r="E670" t="s">
        <v>4</v>
      </c>
      <c r="F670" t="s">
        <v>82</v>
      </c>
      <c r="G670" t="str">
        <f>LOOKUP(TabVMAzureEnvProjet[[#This Row],[Projet]],TabProjets[NomProj],TabProjets[SYGES])</f>
        <v>LA-POSTE/CDC_DRUPAL</v>
      </c>
      <c r="H670" t="str">
        <f>LOOKUP(TabVMAzureEnvProjet[[#This Row],[Projet]],TabProjets[NomProj],TabProjets[CP])</f>
        <v>Rodolphe HABEGGER</v>
      </c>
      <c r="I670">
        <f>LOOKUP(TabVMAzureEnvProjet[[#This Row],[Code SYGES]],TabCONTRATSDI[Contrat SYGES],TabCONTRATSDI[Cost Center])</f>
        <v>305704</v>
      </c>
      <c r="J670" s="22" t="str">
        <f>LOOKUP(TabVMAzureEnvProjet[[#This Row],[Code SYGES]],TabCONTRATSDI[Contrat SYGES],TabCONTRATSDI[Client])</f>
        <v>LAPOSTE</v>
      </c>
      <c r="K670" t="s">
        <v>171</v>
      </c>
      <c r="L670" s="31">
        <v>0.70220731387052182</v>
      </c>
      <c r="M670" s="40" t="s">
        <v>172</v>
      </c>
    </row>
    <row r="671" spans="1:13" x14ac:dyDescent="0.25">
      <c r="A671" s="22" t="str">
        <f>TabVMAzureEnvProjet[[#This Row],[Client]] &amp; " .:. "  &amp; TabVMAzureEnvProjet[[#This Row],[Projet]]</f>
        <v>LAPOSTE .:. LAPOSTE-CDC</v>
      </c>
      <c r="B671" s="22" t="str">
        <f>IF(TabVMAzureEnvProjet[[#This Row],[Projet AzureDevOps]]&lt;&gt;"",TabVMAzureEnvProjet[[#This Row],[Projet AzureDevOps]],TabVMAzureEnvProjet[[#This Row],[VM]])</f>
        <v>LAPOSTE-VWA-Fondation</v>
      </c>
      <c r="C671" s="57" t="s">
        <v>88</v>
      </c>
      <c r="E671" t="s">
        <v>4</v>
      </c>
      <c r="F671" t="s">
        <v>82</v>
      </c>
      <c r="G671" t="str">
        <f>LOOKUP(TabVMAzureEnvProjet[[#This Row],[Projet]],TabProjets[NomProj],TabProjets[SYGES])</f>
        <v>LA-POSTE/CDC_DRUPAL</v>
      </c>
      <c r="H671" t="str">
        <f>LOOKUP(TabVMAzureEnvProjet[[#This Row],[Projet]],TabProjets[NomProj],TabProjets[CP])</f>
        <v>Rodolphe HABEGGER</v>
      </c>
      <c r="I671">
        <f>LOOKUP(TabVMAzureEnvProjet[[#This Row],[Code SYGES]],TabCONTRATSDI[Contrat SYGES],TabCONTRATSDI[Cost Center])</f>
        <v>305704</v>
      </c>
      <c r="J671" s="22" t="str">
        <f>LOOKUP(TabVMAzureEnvProjet[[#This Row],[Code SYGES]],TabCONTRATSDI[Contrat SYGES],TabCONTRATSDI[Client])</f>
        <v>LAPOSTE</v>
      </c>
      <c r="K671" t="s">
        <v>171</v>
      </c>
      <c r="L671" s="31">
        <v>1.6360044957423705</v>
      </c>
      <c r="M671" s="40" t="s">
        <v>172</v>
      </c>
    </row>
    <row r="672" spans="1:13" x14ac:dyDescent="0.25">
      <c r="A672" s="22" t="str">
        <f>TabVMAzureEnvProjet[[#This Row],[Client]] &amp; " .:. "  &amp; TabVMAzureEnvProjet[[#This Row],[Projet]]</f>
        <v>MENESR .:. MENJ-APAE</v>
      </c>
      <c r="B672" s="22" t="str">
        <f>IF(TabVMAzureEnvProjet[[#This Row],[Projet AzureDevOps]]&lt;&gt;"",TabVMAzureEnvProjet[[#This Row],[Projet AzureDevOps]],TabVMAzureEnvProjet[[#This Row],[VM]])</f>
        <v>MENJ-APAE</v>
      </c>
      <c r="C672" s="57" t="s">
        <v>44</v>
      </c>
      <c r="E672" t="s">
        <v>4</v>
      </c>
      <c r="F672" t="s">
        <v>44</v>
      </c>
      <c r="G672" t="str">
        <f>LOOKUP(TabVMAzureEnvProjet[[#This Row],[Projet]],TabProjets[NomProj],TabProjets[SYGES])</f>
        <v>MENESR/TMA</v>
      </c>
      <c r="H672" t="str">
        <f>LOOKUP(TabVMAzureEnvProjet[[#This Row],[Projet]],TabProjets[NomProj],TabProjets[CP])</f>
        <v>Pierre BOURLIEUX</v>
      </c>
      <c r="I672">
        <f>LOOKUP(TabVMAzureEnvProjet[[#This Row],[Code SYGES]],TabCONTRATSDI[Contrat SYGES],TabCONTRATSDI[Cost Center])</f>
        <v>305704</v>
      </c>
      <c r="J672" s="22" t="str">
        <f>LOOKUP(TabVMAzureEnvProjet[[#This Row],[Code SYGES]],TabCONTRATSDI[Contrat SYGES],TabCONTRATSDI[Client])</f>
        <v>MENESR</v>
      </c>
      <c r="K672" t="s">
        <v>171</v>
      </c>
      <c r="L672" s="31">
        <v>2.7154932885294114</v>
      </c>
      <c r="M672" s="40" t="s">
        <v>172</v>
      </c>
    </row>
    <row r="673" spans="1:13" x14ac:dyDescent="0.25">
      <c r="A673" s="22" t="str">
        <f>TabVMAzureEnvProjet[[#This Row],[Client]] &amp; " .:. "  &amp; TabVMAzureEnvProjet[[#This Row],[Projet]]</f>
        <v>MENESR .:. MENJ-BI</v>
      </c>
      <c r="B673" s="22" t="str">
        <f>IF(TabVMAzureEnvProjet[[#This Row],[Projet AzureDevOps]]&lt;&gt;"",TabVMAzureEnvProjet[[#This Row],[Projet AzureDevOps]],TabVMAzureEnvProjet[[#This Row],[VM]])</f>
        <v>MENJ-BI</v>
      </c>
      <c r="C673" s="57" t="s">
        <v>51</v>
      </c>
      <c r="E673" t="s">
        <v>4</v>
      </c>
      <c r="F673" t="s">
        <v>51</v>
      </c>
      <c r="G673" t="str">
        <f>LOOKUP(TabVMAzureEnvProjet[[#This Row],[Projet]],TabProjets[NomProj],TabProjets[SYGES])</f>
        <v>MENESR/TMA</v>
      </c>
      <c r="H673" t="str">
        <f>LOOKUP(TabVMAzureEnvProjet[[#This Row],[Projet]],TabProjets[NomProj],TabProjets[CP])</f>
        <v>Eric PERROUD</v>
      </c>
      <c r="I673">
        <f>LOOKUP(TabVMAzureEnvProjet[[#This Row],[Code SYGES]],TabCONTRATSDI[Contrat SYGES],TabCONTRATSDI[Cost Center])</f>
        <v>305704</v>
      </c>
      <c r="J673" s="22" t="str">
        <f>LOOKUP(TabVMAzureEnvProjet[[#This Row],[Code SYGES]],TabCONTRATSDI[Contrat SYGES],TabCONTRATSDI[Client])</f>
        <v>MENESR</v>
      </c>
      <c r="K673" t="s">
        <v>171</v>
      </c>
      <c r="L673" s="31">
        <v>3.1034209011764702</v>
      </c>
      <c r="M673" s="40" t="s">
        <v>172</v>
      </c>
    </row>
    <row r="674" spans="1:13" x14ac:dyDescent="0.25">
      <c r="A674" s="22" t="str">
        <f>TabVMAzureEnvProjet[[#This Row],[Client]] &amp; " .:. "  &amp; TabVMAzureEnvProjet[[#This Row],[Projet]]</f>
        <v>MENESR .:. MENJ-BNIE</v>
      </c>
      <c r="B674" s="22" t="str">
        <f>IF(TabVMAzureEnvProjet[[#This Row],[Projet AzureDevOps]]&lt;&gt;"",TabVMAzureEnvProjet[[#This Row],[Projet AzureDevOps]],TabVMAzureEnvProjet[[#This Row],[VM]])</f>
        <v>MENJ-BNIE-BDD</v>
      </c>
      <c r="C674" s="57" t="s">
        <v>46</v>
      </c>
      <c r="E674" t="s">
        <v>4</v>
      </c>
      <c r="F674" t="s">
        <v>45</v>
      </c>
      <c r="G674" t="str">
        <f>LOOKUP(TabVMAzureEnvProjet[[#This Row],[Projet]],TabProjets[NomProj],TabProjets[SYGES])</f>
        <v>MENESR/TMA</v>
      </c>
      <c r="H674" t="str">
        <f>LOOKUP(TabVMAzureEnvProjet[[#This Row],[Projet]],TabProjets[NomProj],TabProjets[CP])</f>
        <v>Pierre BOURLIEUX</v>
      </c>
      <c r="I674">
        <f>LOOKUP(TabVMAzureEnvProjet[[#This Row],[Code SYGES]],TabCONTRATSDI[Contrat SYGES],TabCONTRATSDI[Cost Center])</f>
        <v>305704</v>
      </c>
      <c r="J674" s="22" t="str">
        <f>LOOKUP(TabVMAzureEnvProjet[[#This Row],[Code SYGES]],TabCONTRATSDI[Contrat SYGES],TabCONTRATSDI[Client])</f>
        <v>MENESR</v>
      </c>
      <c r="K674" t="s">
        <v>171</v>
      </c>
      <c r="L674" s="31">
        <v>2.0560163470294115</v>
      </c>
      <c r="M674" s="40" t="s">
        <v>172</v>
      </c>
    </row>
    <row r="675" spans="1:13" x14ac:dyDescent="0.25">
      <c r="A675" s="22" t="str">
        <f>TabVMAzureEnvProjet[[#This Row],[Client]] &amp; " .:. "  &amp; TabVMAzureEnvProjet[[#This Row],[Projet]]</f>
        <v>MENESR .:. MENJ-BNIE</v>
      </c>
      <c r="B675" s="22" t="str">
        <f>IF(TabVMAzureEnvProjet[[#This Row],[Projet AzureDevOps]]&lt;&gt;"",TabVMAzureEnvProjet[[#This Row],[Projet AzureDevOps]],TabVMAzureEnvProjet[[#This Row],[VM]])</f>
        <v>MENJ-BNIE-Webservices</v>
      </c>
      <c r="C675" s="57" t="s">
        <v>47</v>
      </c>
      <c r="E675" t="s">
        <v>4</v>
      </c>
      <c r="F675" t="s">
        <v>45</v>
      </c>
      <c r="G675" t="str">
        <f>LOOKUP(TabVMAzureEnvProjet[[#This Row],[Projet]],TabProjets[NomProj],TabProjets[SYGES])</f>
        <v>MENESR/TMA</v>
      </c>
      <c r="H675" t="str">
        <f>LOOKUP(TabVMAzureEnvProjet[[#This Row],[Projet]],TabProjets[NomProj],TabProjets[CP])</f>
        <v>Pierre BOURLIEUX</v>
      </c>
      <c r="I675">
        <f>LOOKUP(TabVMAzureEnvProjet[[#This Row],[Code SYGES]],TabCONTRATSDI[Contrat SYGES],TabCONTRATSDI[Cost Center])</f>
        <v>305704</v>
      </c>
      <c r="J675" s="22" t="str">
        <f>LOOKUP(TabVMAzureEnvProjet[[#This Row],[Code SYGES]],TabCONTRATSDI[Contrat SYGES],TabCONTRATSDI[Client])</f>
        <v>MENESR</v>
      </c>
      <c r="K675" t="s">
        <v>171</v>
      </c>
      <c r="L675" s="31">
        <v>0.69826970276470579</v>
      </c>
      <c r="M675" s="40" t="s">
        <v>172</v>
      </c>
    </row>
    <row r="676" spans="1:13" x14ac:dyDescent="0.25">
      <c r="A676" s="22" t="str">
        <f>TabVMAzureEnvProjet[[#This Row],[Client]] &amp; " .:. "  &amp; TabVMAzureEnvProjet[[#This Row],[Projet]]</f>
        <v>MENESR .:. MENJ-INSERJEUNES</v>
      </c>
      <c r="B676" s="22" t="str">
        <f>IF(TabVMAzureEnvProjet[[#This Row],[Projet AzureDevOps]]&lt;&gt;"",TabVMAzureEnvProjet[[#This Row],[Projet AzureDevOps]],TabVMAzureEnvProjet[[#This Row],[VM]])</f>
        <v>MENJ-InserJeunes</v>
      </c>
      <c r="C676" s="57" t="s">
        <v>54</v>
      </c>
      <c r="E676" t="s">
        <v>4</v>
      </c>
      <c r="F676" t="s">
        <v>53</v>
      </c>
      <c r="G676" t="str">
        <f>LOOKUP(TabVMAzureEnvProjet[[#This Row],[Projet]],TabProjets[NomProj],TabProjets[SYGES])</f>
        <v>MENESR - TMA - 23 - 1 - INSERJEUNES</v>
      </c>
      <c r="H676" t="str">
        <f>LOOKUP(TabVMAzureEnvProjet[[#This Row],[Projet]],TabProjets[NomProj],TabProjets[CP])</f>
        <v>Christophe ORLANDO</v>
      </c>
      <c r="I676">
        <f>LOOKUP(TabVMAzureEnvProjet[[#This Row],[Code SYGES]],TabCONTRATSDI[Contrat SYGES],TabCONTRATSDI[Cost Center])</f>
        <v>305704</v>
      </c>
      <c r="J676" s="22" t="str">
        <f>LOOKUP(TabVMAzureEnvProjet[[#This Row],[Code SYGES]],TabCONTRATSDI[Contrat SYGES],TabCONTRATSDI[Client])</f>
        <v>MENESR</v>
      </c>
      <c r="K676" t="s">
        <v>171</v>
      </c>
      <c r="L676" s="31">
        <v>5.3305966119200345</v>
      </c>
      <c r="M676" s="40" t="s">
        <v>172</v>
      </c>
    </row>
    <row r="677" spans="1:13" x14ac:dyDescent="0.25">
      <c r="A677" s="22" t="str">
        <f>TabVMAzureEnvProjet[[#This Row],[Client]] &amp; " .:. "  &amp; TabVMAzureEnvProjet[[#This Row],[Projet]]</f>
        <v>MENESR .:. MENJ-RNIE</v>
      </c>
      <c r="B677" s="22" t="str">
        <f>IF(TabVMAzureEnvProjet[[#This Row],[Projet AzureDevOps]]&lt;&gt;"",TabVMAzureEnvProjet[[#This Row],[Projet AzureDevOps]],TabVMAzureEnvProjet[[#This Row],[VM]])</f>
        <v>MENJ-RNIE-BDD</v>
      </c>
      <c r="C677" s="57" t="s">
        <v>49</v>
      </c>
      <c r="E677" t="s">
        <v>4</v>
      </c>
      <c r="F677" t="s">
        <v>48</v>
      </c>
      <c r="G677" t="str">
        <f>LOOKUP(TabVMAzureEnvProjet[[#This Row],[Projet]],TabProjets[NomProj],TabProjets[SYGES])</f>
        <v>MENESR/TMA</v>
      </c>
      <c r="H677" t="str">
        <f>LOOKUP(TabVMAzureEnvProjet[[#This Row],[Projet]],TabProjets[NomProj],TabProjets[CP])</f>
        <v>Pierre BOURLIEUX</v>
      </c>
      <c r="I677">
        <f>LOOKUP(TabVMAzureEnvProjet[[#This Row],[Code SYGES]],TabCONTRATSDI[Contrat SYGES],TabCONTRATSDI[Cost Center])</f>
        <v>305704</v>
      </c>
      <c r="J677" s="22" t="str">
        <f>LOOKUP(TabVMAzureEnvProjet[[#This Row],[Code SYGES]],TabCONTRATSDI[Contrat SYGES],TabCONTRATSDI[Client])</f>
        <v>MENESR</v>
      </c>
      <c r="K677" t="s">
        <v>171</v>
      </c>
      <c r="L677" s="31">
        <v>1.4741249280588233</v>
      </c>
      <c r="M677" s="40" t="s">
        <v>172</v>
      </c>
    </row>
    <row r="678" spans="1:13" x14ac:dyDescent="0.25">
      <c r="A678" s="22" t="str">
        <f>TabVMAzureEnvProjet[[#This Row],[Client]] &amp; " .:. "  &amp; TabVMAzureEnvProjet[[#This Row],[Projet]]</f>
        <v>MENESR .:. MENJ-RNIE</v>
      </c>
      <c r="B678" s="22" t="str">
        <f>IF(TabVMAzureEnvProjet[[#This Row],[Projet AzureDevOps]]&lt;&gt;"",TabVMAzureEnvProjet[[#This Row],[Projet AzureDevOps]],TabVMAzureEnvProjet[[#This Row],[VM]])</f>
        <v>MENJ-RNIE-Webservices</v>
      </c>
      <c r="C678" s="57" t="s">
        <v>50</v>
      </c>
      <c r="E678" t="s">
        <v>4</v>
      </c>
      <c r="F678" t="s">
        <v>48</v>
      </c>
      <c r="G678" t="str">
        <f>LOOKUP(TabVMAzureEnvProjet[[#This Row],[Projet]],TabProjets[NomProj],TabProjets[SYGES])</f>
        <v>MENESR/TMA</v>
      </c>
      <c r="H678" t="str">
        <f>LOOKUP(TabVMAzureEnvProjet[[#This Row],[Projet]],TabProjets[NomProj],TabProjets[CP])</f>
        <v>Pierre BOURLIEUX</v>
      </c>
      <c r="I678">
        <f>LOOKUP(TabVMAzureEnvProjet[[#This Row],[Code SYGES]],TabCONTRATSDI[Contrat SYGES],TabCONTRATSDI[Cost Center])</f>
        <v>305704</v>
      </c>
      <c r="J678" s="22" t="str">
        <f>LOOKUP(TabVMAzureEnvProjet[[#This Row],[Code SYGES]],TabCONTRATSDI[Contrat SYGES],TabCONTRATSDI[Client])</f>
        <v>MENESR</v>
      </c>
      <c r="K678" t="s">
        <v>171</v>
      </c>
      <c r="L678" s="31">
        <v>0.69826970276470579</v>
      </c>
      <c r="M678" s="40" t="s">
        <v>172</v>
      </c>
    </row>
    <row r="679" spans="1:13" x14ac:dyDescent="0.25">
      <c r="A679" s="22" t="str">
        <f>TabVMAzureEnvProjet[[#This Row],[Client]] &amp; " .:. "  &amp; TabVMAzureEnvProjet[[#This Row],[Projet]]</f>
        <v>AFB .:. OFB-CARTOTHEQUE</v>
      </c>
      <c r="B679" s="22" t="str">
        <f>IF(TabVMAzureEnvProjet[[#This Row],[Projet AzureDevOps]]&lt;&gt;"",TabVMAzureEnvProjet[[#This Row],[Projet AzureDevOps]],TabVMAzureEnvProjet[[#This Row],[VM]])</f>
        <v>OFB-CARTOTHEQUE</v>
      </c>
      <c r="C679" s="57" t="s">
        <v>15</v>
      </c>
      <c r="E679" t="s">
        <v>4</v>
      </c>
      <c r="F679" t="s">
        <v>15</v>
      </c>
      <c r="G679" t="str">
        <f>LOOKUP(TabVMAzureEnvProjet[[#This Row],[Projet]],TabProjets[NomProj],TabProjets[SYGES])</f>
        <v>AFB/OFB_LOT2</v>
      </c>
      <c r="H679" t="str">
        <f>LOOKUP(TabVMAzureEnvProjet[[#This Row],[Projet]],TabProjets[NomProj],TabProjets[CP])</f>
        <v>Pierre BOURLIEUX</v>
      </c>
      <c r="I679">
        <f>LOOKUP(TabVMAzureEnvProjet[[#This Row],[Code SYGES]],TabCONTRATSDI[Contrat SYGES],TabCONTRATSDI[Cost Center])</f>
        <v>305704</v>
      </c>
      <c r="J679" s="22" t="str">
        <f>LOOKUP(TabVMAzureEnvProjet[[#This Row],[Code SYGES]],TabCONTRATSDI[Contrat SYGES],TabCONTRATSDI[Client])</f>
        <v>AFB</v>
      </c>
      <c r="K679" t="s">
        <v>171</v>
      </c>
      <c r="L679" s="31">
        <v>1.7456742569117645</v>
      </c>
      <c r="M679" s="40" t="s">
        <v>172</v>
      </c>
    </row>
    <row r="680" spans="1:13" x14ac:dyDescent="0.25">
      <c r="A680" s="22" t="str">
        <f>TabVMAzureEnvProjet[[#This Row],[Client]] &amp; " .:. "  &amp; TabVMAzureEnvProjet[[#This Row],[Projet]]</f>
        <v>AFB .:. OFB-CMONSPOT</v>
      </c>
      <c r="B680" s="22" t="str">
        <f>IF(TabVMAzureEnvProjet[[#This Row],[Projet AzureDevOps]]&lt;&gt;"",TabVMAzureEnvProjet[[#This Row],[Projet AzureDevOps]],TabVMAzureEnvProjet[[#This Row],[VM]])</f>
        <v>OFB-CMONSPOT</v>
      </c>
      <c r="C680" s="57" t="s">
        <v>12</v>
      </c>
      <c r="E680" t="s">
        <v>4</v>
      </c>
      <c r="F680" t="s">
        <v>12</v>
      </c>
      <c r="G680" t="str">
        <f>LOOKUP(TabVMAzureEnvProjet[[#This Row],[Projet]],TabProjets[NomProj],TabProjets[SYGES])</f>
        <v>AFB/OFB_LOT2</v>
      </c>
      <c r="H680" t="str">
        <f>LOOKUP(TabVMAzureEnvProjet[[#This Row],[Projet]],TabProjets[NomProj],TabProjets[CP])</f>
        <v>Pierre BOURLIEUX</v>
      </c>
      <c r="I680">
        <f>LOOKUP(TabVMAzureEnvProjet[[#This Row],[Code SYGES]],TabCONTRATSDI[Contrat SYGES],TabCONTRATSDI[Cost Center])</f>
        <v>305704</v>
      </c>
      <c r="J680" s="22" t="str">
        <f>LOOKUP(TabVMAzureEnvProjet[[#This Row],[Code SYGES]],TabCONTRATSDI[Contrat SYGES],TabCONTRATSDI[Client])</f>
        <v>AFB</v>
      </c>
      <c r="K680" t="s">
        <v>171</v>
      </c>
      <c r="L680" s="31">
        <v>0.82689833222136211</v>
      </c>
      <c r="M680" s="40" t="s">
        <v>172</v>
      </c>
    </row>
    <row r="681" spans="1:13" x14ac:dyDescent="0.25">
      <c r="A681" s="22" t="str">
        <f>TabVMAzureEnvProjet[[#This Row],[Client]] &amp; " .:. "  &amp; TabVMAzureEnvProjet[[#This Row],[Projet]]</f>
        <v>AFB .:. OFB-ESTAMP</v>
      </c>
      <c r="B681" s="22" t="str">
        <f>IF(TabVMAzureEnvProjet[[#This Row],[Projet AzureDevOps]]&lt;&gt;"",TabVMAzureEnvProjet[[#This Row],[Projet AzureDevOps]],TabVMAzureEnvProjet[[#This Row],[VM]])</f>
        <v>OFB-ESTAMP</v>
      </c>
      <c r="C681" s="57" t="s">
        <v>13</v>
      </c>
      <c r="E681" t="s">
        <v>4</v>
      </c>
      <c r="F681" t="s">
        <v>13</v>
      </c>
      <c r="G681" t="str">
        <f>LOOKUP(TabVMAzureEnvProjet[[#This Row],[Projet]],TabProjets[NomProj],TabProjets[SYGES])</f>
        <v>AFB/OFB_LOT1</v>
      </c>
      <c r="H681" t="str">
        <f>LOOKUP(TabVMAzureEnvProjet[[#This Row],[Projet]],TabProjets[NomProj],TabProjets[CP])</f>
        <v>Pierre BOURLIEUX</v>
      </c>
      <c r="I681">
        <f>LOOKUP(TabVMAzureEnvProjet[[#This Row],[Code SYGES]],TabCONTRATSDI[Contrat SYGES],TabCONTRATSDI[Cost Center])</f>
        <v>305704</v>
      </c>
      <c r="J681" s="22" t="str">
        <f>LOOKUP(TabVMAzureEnvProjet[[#This Row],[Code SYGES]],TabCONTRATSDI[Contrat SYGES],TabCONTRATSDI[Client])</f>
        <v>AFB</v>
      </c>
      <c r="K681" t="s">
        <v>171</v>
      </c>
      <c r="L681" s="31">
        <v>2.7789864359741649</v>
      </c>
      <c r="M681" s="40" t="s">
        <v>172</v>
      </c>
    </row>
    <row r="682" spans="1:13" x14ac:dyDescent="0.25">
      <c r="A682" s="22" t="str">
        <f>TabVMAzureEnvProjet[[#This Row],[Client]] &amp; " .:. "  &amp; TabVMAzureEnvProjet[[#This Row],[Projet]]</f>
        <v>OFB .:. OFB-NATUREFRANCE</v>
      </c>
      <c r="B682" s="22" t="str">
        <f>IF(TabVMAzureEnvProjet[[#This Row],[Projet AzureDevOps]]&lt;&gt;"",TabVMAzureEnvProjet[[#This Row],[Projet AzureDevOps]],TabVMAzureEnvProjet[[#This Row],[VM]])</f>
        <v>OFB-NatureFrance</v>
      </c>
      <c r="C682" s="57" t="s">
        <v>79</v>
      </c>
      <c r="E682" t="s">
        <v>4</v>
      </c>
      <c r="F682" t="s">
        <v>78</v>
      </c>
      <c r="G682" t="str">
        <f>LOOKUP(TabVMAzureEnvProjet[[#This Row],[Projet]],TabProjets[NomProj],TabProjets[SYGES])</f>
        <v>AFB OFB_LOT2 -9-1 NATURE FRANCE</v>
      </c>
      <c r="H682" t="str">
        <f>LOOKUP(TabVMAzureEnvProjet[[#This Row],[Projet]],TabProjets[NomProj],TabProjets[CP])</f>
        <v>Rodolphe HABEGGER</v>
      </c>
      <c r="I682">
        <f>LOOKUP(TabVMAzureEnvProjet[[#This Row],[Code SYGES]],TabCONTRATSDI[Contrat SYGES],TabCONTRATSDI[Cost Center])</f>
        <v>305704</v>
      </c>
      <c r="J682" s="22" t="str">
        <f>LOOKUP(TabVMAzureEnvProjet[[#This Row],[Code SYGES]],TabCONTRATSDI[Contrat SYGES],TabCONTRATSDI[Client])</f>
        <v>OFB</v>
      </c>
      <c r="K682" t="s">
        <v>171</v>
      </c>
      <c r="L682" s="31">
        <v>5.0581641886089344</v>
      </c>
      <c r="M682" s="40" t="s">
        <v>172</v>
      </c>
    </row>
    <row r="683" spans="1:13" x14ac:dyDescent="0.25">
      <c r="A683" s="22" t="str">
        <f>TabVMAzureEnvProjet[[#This Row],[Client]] &amp; " .:. "  &amp; TabVMAzureEnvProjet[[#This Row],[Projet]]</f>
        <v>AFB .:. OFB-SISPEA</v>
      </c>
      <c r="B683" s="22" t="str">
        <f>IF(TabVMAzureEnvProjet[[#This Row],[Projet AzureDevOps]]&lt;&gt;"",TabVMAzureEnvProjet[[#This Row],[Projet AzureDevOps]],TabVMAzureEnvProjet[[#This Row],[VM]])</f>
        <v>OFB-SISPEA</v>
      </c>
      <c r="C683" s="57" t="s">
        <v>9</v>
      </c>
      <c r="E683" t="s">
        <v>4</v>
      </c>
      <c r="F683" t="s">
        <v>9</v>
      </c>
      <c r="G683" t="str">
        <f>LOOKUP(TabVMAzureEnvProjet[[#This Row],[Projet]],TabProjets[NomProj],TabProjets[SYGES])</f>
        <v>AFB/OFB_LOT2</v>
      </c>
      <c r="H683" t="str">
        <f>LOOKUP(TabVMAzureEnvProjet[[#This Row],[Projet]],TabProjets[NomProj],TabProjets[CP])</f>
        <v>Pierre BOURLIEUX</v>
      </c>
      <c r="I683">
        <f>LOOKUP(TabVMAzureEnvProjet[[#This Row],[Code SYGES]],TabCONTRATSDI[Contrat SYGES],TabCONTRATSDI[Cost Center])</f>
        <v>305704</v>
      </c>
      <c r="J683" s="22" t="str">
        <f>LOOKUP(TabVMAzureEnvProjet[[#This Row],[Code SYGES]],TabCONTRATSDI[Contrat SYGES],TabCONTRATSDI[Client])</f>
        <v>AFB</v>
      </c>
      <c r="K683" t="s">
        <v>171</v>
      </c>
      <c r="L683" s="31">
        <v>2.3786087828095974</v>
      </c>
      <c r="M683" s="40" t="s">
        <v>172</v>
      </c>
    </row>
    <row r="684" spans="1:13" x14ac:dyDescent="0.25">
      <c r="A684" s="22" t="str">
        <f>TabVMAzureEnvProjet[[#This Row],[Client]] &amp; " .:. "  &amp; TabVMAzureEnvProjet[[#This Row],[Projet]]</f>
        <v>PCM .:. PCM-ALS</v>
      </c>
      <c r="B684" s="22" t="str">
        <f>IF(TabVMAzureEnvProjet[[#This Row],[Projet AzureDevOps]]&lt;&gt;"",TabVMAzureEnvProjet[[#This Row],[Projet AzureDevOps]],TabVMAzureEnvProjet[[#This Row],[VM]])</f>
        <v>PCM-ALS</v>
      </c>
      <c r="C684" s="57" t="s">
        <v>71</v>
      </c>
      <c r="E684" t="s">
        <v>4</v>
      </c>
      <c r="F684" t="s">
        <v>71</v>
      </c>
      <c r="G684" t="str">
        <f>LOOKUP(TabVMAzureEnvProjet[[#This Row],[Projet]],TabProjets[NomProj],TabProjets[SYGES])</f>
        <v>PCM/WEB</v>
      </c>
      <c r="H684" t="str">
        <f>LOOKUP(TabVMAzureEnvProjet[[#This Row],[Projet]],TabProjets[NomProj],TabProjets[CP])</f>
        <v>Alice MARCHAL</v>
      </c>
      <c r="I684">
        <f>LOOKUP(TabVMAzureEnvProjet[[#This Row],[Code SYGES]],TabCONTRATSDI[Contrat SYGES],TabCONTRATSDI[Cost Center])</f>
        <v>305704</v>
      </c>
      <c r="J684" s="22" t="str">
        <f>LOOKUP(TabVMAzureEnvProjet[[#This Row],[Code SYGES]],TabCONTRATSDI[Contrat SYGES],TabCONTRATSDI[Client])</f>
        <v>PCM</v>
      </c>
      <c r="K684" t="s">
        <v>171</v>
      </c>
      <c r="L684" s="31">
        <v>3.7438284914737814</v>
      </c>
      <c r="M684" s="40" t="s">
        <v>172</v>
      </c>
    </row>
    <row r="685" spans="1:13" x14ac:dyDescent="0.25">
      <c r="A685" s="22" t="str">
        <f>TabVMAzureEnvProjet[[#This Row],[Client]] &amp; " .:. "  &amp; TabVMAzureEnvProjet[[#This Row],[Projet]]</f>
        <v>PCM .:. PCM-WEB</v>
      </c>
      <c r="B685" s="22" t="str">
        <f>IF(TabVMAzureEnvProjet[[#This Row],[Projet AzureDevOps]]&lt;&gt;"",TabVMAzureEnvProjet[[#This Row],[Projet AzureDevOps]],TabVMAzureEnvProjet[[#This Row],[VM]])</f>
        <v>PCM-Web</v>
      </c>
      <c r="C685" s="57" t="s">
        <v>73</v>
      </c>
      <c r="E685" t="s">
        <v>4</v>
      </c>
      <c r="F685" t="s">
        <v>72</v>
      </c>
      <c r="G685" t="str">
        <f>LOOKUP(TabVMAzureEnvProjet[[#This Row],[Projet]],TabProjets[NomProj],TabProjets[SYGES])</f>
        <v>PCM/WEB</v>
      </c>
      <c r="H685" t="str">
        <f>LOOKUP(TabVMAzureEnvProjet[[#This Row],[Projet]],TabProjets[NomProj],TabProjets[CP])</f>
        <v>Rodolphe HABEGGER</v>
      </c>
      <c r="I685">
        <f>LOOKUP(TabVMAzureEnvProjet[[#This Row],[Code SYGES]],TabCONTRATSDI[Contrat SYGES],TabCONTRATSDI[Cost Center])</f>
        <v>305704</v>
      </c>
      <c r="J685" s="22" t="str">
        <f>LOOKUP(TabVMAzureEnvProjet[[#This Row],[Code SYGES]],TabCONTRATSDI[Contrat SYGES],TabCONTRATSDI[Client])</f>
        <v>PCM</v>
      </c>
      <c r="K685" t="s">
        <v>171</v>
      </c>
      <c r="L685" s="31">
        <v>2.142157666529485</v>
      </c>
      <c r="M685" s="40" t="s">
        <v>172</v>
      </c>
    </row>
    <row r="686" spans="1:13" x14ac:dyDescent="0.25">
      <c r="A686" s="22" t="str">
        <f>TabVMAzureEnvProjet[[#This Row],[Client]] &amp; " .:. "  &amp; TabVMAzureEnvProjet[[#This Row],[Projet]]</f>
        <v>SAFT .:. SAFT-PDM</v>
      </c>
      <c r="B686" s="22" t="str">
        <f>IF(TabVMAzureEnvProjet[[#This Row],[Projet AzureDevOps]]&lt;&gt;"",TabVMAzureEnvProjet[[#This Row],[Projet AzureDevOps]],TabVMAzureEnvProjet[[#This Row],[VM]])</f>
        <v>SAFT-PDM</v>
      </c>
      <c r="C686" s="57" t="s">
        <v>94</v>
      </c>
      <c r="E686" t="s">
        <v>4</v>
      </c>
      <c r="F686" t="s">
        <v>94</v>
      </c>
      <c r="G686" t="str">
        <f>LOOKUP(TabVMAzureEnvProjet[[#This Row],[Projet]],TabProjets[NomProj],TabProjets[SYGES])</f>
        <v>SAFT/TMA</v>
      </c>
      <c r="H686" t="str">
        <f>LOOKUP(TabVMAzureEnvProjet[[#This Row],[Projet]],TabProjets[NomProj],TabProjets[CP])</f>
        <v>Pierre BOURLIEUX</v>
      </c>
      <c r="I686">
        <f>LOOKUP(TabVMAzureEnvProjet[[#This Row],[Code SYGES]],TabCONTRATSDI[Contrat SYGES],TabCONTRATSDI[Cost Center])</f>
        <v>305704</v>
      </c>
      <c r="J686" s="22" t="str">
        <f>LOOKUP(TabVMAzureEnvProjet[[#This Row],[Code SYGES]],TabCONTRATSDI[Contrat SYGES],TabCONTRATSDI[Client])</f>
        <v>SAFT</v>
      </c>
      <c r="K686" t="s">
        <v>171</v>
      </c>
      <c r="L686" s="31">
        <v>1.9574302319356478</v>
      </c>
      <c r="M686" s="40" t="s">
        <v>172</v>
      </c>
    </row>
    <row r="687" spans="1:13" x14ac:dyDescent="0.25">
      <c r="A687" s="22" t="str">
        <f>TabVMAzureEnvProjet[[#This Row],[Client]] &amp; " .:. "  &amp; TabVMAzureEnvProjet[[#This Row],[Projet]]</f>
        <v>SPC .:. SPC-BUILD</v>
      </c>
      <c r="B687" s="22" t="str">
        <f>IF(TabVMAzureEnvProjet[[#This Row],[Projet AzureDevOps]]&lt;&gt;"",TabVMAzureEnvProjet[[#This Row],[Projet AzureDevOps]],TabVMAzureEnvProjet[[#This Row],[VM]])</f>
        <v>SPC-BUILD</v>
      </c>
      <c r="C687" s="57" t="s">
        <v>67</v>
      </c>
      <c r="E687" t="s">
        <v>4</v>
      </c>
      <c r="F687" t="s">
        <v>67</v>
      </c>
      <c r="G687" t="str">
        <f>LOOKUP(TabVMAzureEnvProjet[[#This Row],[Projet]],TabProjets[NomProj],TabProjets[SYGES])</f>
        <v>SPC/BUILD</v>
      </c>
      <c r="H687" t="str">
        <f>LOOKUP(TabVMAzureEnvProjet[[#This Row],[Projet]],TabProjets[NomProj],TabProjets[CP])</f>
        <v>Nicolas DURFORT</v>
      </c>
      <c r="I687">
        <f>LOOKUP(TabVMAzureEnvProjet[[#This Row],[Code SYGES]],TabCONTRATSDI[Contrat SYGES],TabCONTRATSDI[Cost Center])</f>
        <v>305704</v>
      </c>
      <c r="J687" s="22" t="str">
        <f>LOOKUP(TabVMAzureEnvProjet[[#This Row],[Code SYGES]],TabCONTRATSDI[Contrat SYGES],TabCONTRATSDI[Client])</f>
        <v>SPC</v>
      </c>
      <c r="K687" t="s">
        <v>171</v>
      </c>
      <c r="L687" s="31">
        <v>55.637426487375002</v>
      </c>
      <c r="M687" s="40" t="s">
        <v>172</v>
      </c>
    </row>
    <row r="688" spans="1:13" x14ac:dyDescent="0.25">
      <c r="A688" s="22" t="str">
        <f>TabVMAzureEnvProjet[[#This Row],[Client]] &amp; " .:. "  &amp; TabVMAzureEnvProjet[[#This Row],[Projet]]</f>
        <v>SPC .:. SPC-WEB</v>
      </c>
      <c r="B688" s="22" t="str">
        <f>IF(TabVMAzureEnvProjet[[#This Row],[Projet AzureDevOps]]&lt;&gt;"",TabVMAzureEnvProjet[[#This Row],[Projet AzureDevOps]],TabVMAzureEnvProjet[[#This Row],[VM]])</f>
        <v>SPC-WEB</v>
      </c>
      <c r="C688" s="57" t="s">
        <v>69</v>
      </c>
      <c r="E688" t="s">
        <v>4</v>
      </c>
      <c r="F688" t="s">
        <v>69</v>
      </c>
      <c r="G688" t="str">
        <f>LOOKUP(TabVMAzureEnvProjet[[#This Row],[Projet]],TabProjets[NomProj],TabProjets[SYGES])</f>
        <v>SPC/BUILD-0-1-SITE-WEB</v>
      </c>
      <c r="H688" t="str">
        <f>LOOKUP(TabVMAzureEnvProjet[[#This Row],[Projet]],TabProjets[NomProj],TabProjets[CP])</f>
        <v>Nicolas DURFORT</v>
      </c>
      <c r="I688">
        <f>LOOKUP(TabVMAzureEnvProjet[[#This Row],[Code SYGES]],TabCONTRATSDI[Contrat SYGES],TabCONTRATSDI[Cost Center])</f>
        <v>305704</v>
      </c>
      <c r="J688" s="22" t="str">
        <f>LOOKUP(TabVMAzureEnvProjet[[#This Row],[Code SYGES]],TabCONTRATSDI[Contrat SYGES],TabCONTRATSDI[Client])</f>
        <v>SPC</v>
      </c>
      <c r="K688" t="s">
        <v>171</v>
      </c>
      <c r="L688" s="31">
        <v>4.6551313517647053</v>
      </c>
      <c r="M688" s="40" t="s">
        <v>172</v>
      </c>
    </row>
    <row r="689" spans="1:13" x14ac:dyDescent="0.25">
      <c r="A689" s="22" t="str">
        <f>TabVMAzureEnvProjet[[#This Row],[Client]] &amp; " .:. "  &amp; TabVMAzureEnvProjet[[#This Row],[Projet]]</f>
        <v>STMICRO .:. STMICRO-DATAPACK</v>
      </c>
      <c r="B689" s="22" t="str">
        <f>IF(TabVMAzureEnvProjet[[#This Row],[Projet AzureDevOps]]&lt;&gt;"",TabVMAzureEnvProjet[[#This Row],[Projet AzureDevOps]],TabVMAzureEnvProjet[[#This Row],[VM]])</f>
        <v>STMICRO-DATAPACK</v>
      </c>
      <c r="C689" s="57" t="s">
        <v>96</v>
      </c>
      <c r="E689" t="s">
        <v>4</v>
      </c>
      <c r="F689" t="s">
        <v>96</v>
      </c>
      <c r="G689" t="str">
        <f>LOOKUP(TabVMAzureEnvProjet[[#This Row],[Projet]],TabProjets[NomProj],TabProjets[SYGES])</f>
        <v>STMICRO/TMASI</v>
      </c>
      <c r="H689" t="str">
        <f>LOOKUP(TabVMAzureEnvProjet[[#This Row],[Projet]],TabProjets[NomProj],TabProjets[CP])</f>
        <v>Jean-Philippe STROIAZZO</v>
      </c>
      <c r="I689">
        <f>LOOKUP(TabVMAzureEnvProjet[[#This Row],[Code SYGES]],TabCONTRATSDI[Contrat SYGES],TabCONTRATSDI[Cost Center])</f>
        <v>305704</v>
      </c>
      <c r="J689" s="22" t="str">
        <f>LOOKUP(TabVMAzureEnvProjet[[#This Row],[Code SYGES]],TabCONTRATSDI[Contrat SYGES],TabCONTRATSDI[Client])</f>
        <v>STMICRO</v>
      </c>
      <c r="K689" t="s">
        <v>171</v>
      </c>
      <c r="L689" s="31">
        <v>3.4537224521457315</v>
      </c>
      <c r="M689" s="40" t="s">
        <v>172</v>
      </c>
    </row>
    <row r="690" spans="1:13" x14ac:dyDescent="0.25">
      <c r="A690" s="22" t="str">
        <f>TabVMAzureEnvProjet[[#This Row],[Client]] &amp; " .:. "  &amp; TabVMAzureEnvProjet[[#This Row],[Projet]]</f>
        <v>STMICRO .:. STMICRO-ROCKET</v>
      </c>
      <c r="B690" s="22" t="str">
        <f>IF(TabVMAzureEnvProjet[[#This Row],[Projet AzureDevOps]]&lt;&gt;"",TabVMAzureEnvProjet[[#This Row],[Projet AzureDevOps]],TabVMAzureEnvProjet[[#This Row],[VM]])</f>
        <v>STMICRO-ROCKET</v>
      </c>
      <c r="C690" s="57" t="s">
        <v>98</v>
      </c>
      <c r="E690" t="s">
        <v>4</v>
      </c>
      <c r="F690" t="s">
        <v>98</v>
      </c>
      <c r="G690" t="str">
        <f>LOOKUP(TabVMAzureEnvProjet[[#This Row],[Projet]],TabProjets[NomProj],TabProjets[SYGES])</f>
        <v>STMICRO/TMASI</v>
      </c>
      <c r="H690" t="str">
        <f>LOOKUP(TabVMAzureEnvProjet[[#This Row],[Projet]],TabProjets[NomProj],TabProjets[CP])</f>
        <v>Jean-Philippe STROIAZZO</v>
      </c>
      <c r="I690">
        <f>LOOKUP(TabVMAzureEnvProjet[[#This Row],[Code SYGES]],TabCONTRATSDI[Contrat SYGES],TabCONTRATSDI[Cost Center])</f>
        <v>305704</v>
      </c>
      <c r="J690" s="22" t="str">
        <f>LOOKUP(TabVMAzureEnvProjet[[#This Row],[Code SYGES]],TabCONTRATSDI[Contrat SYGES],TabCONTRATSDI[Client])</f>
        <v>STMICRO</v>
      </c>
      <c r="K690" t="s">
        <v>171</v>
      </c>
      <c r="L690" s="31">
        <v>4.5787125288222015</v>
      </c>
      <c r="M690" s="40" t="s">
        <v>172</v>
      </c>
    </row>
    <row r="691" spans="1:13" x14ac:dyDescent="0.25">
      <c r="A691" s="22" t="str">
        <f>TabVMAzureEnvProjet[[#This Row],[Client]] &amp; " .:. "  &amp; TabVMAzureEnvProjet[[#This Row],[Projet]]</f>
        <v>ALM .:. ALM-ATOUT</v>
      </c>
      <c r="B691" s="22" t="str">
        <f>IF(TabVMAzureEnvProjet[[#This Row],[Projet AzureDevOps]]&lt;&gt;"",TabVMAzureEnvProjet[[#This Row],[Projet AzureDevOps]],TabVMAzureEnvProjet[[#This Row],[VM]])</f>
        <v>ALM-ATOUT-VM</v>
      </c>
      <c r="D691" t="s">
        <v>18</v>
      </c>
      <c r="E691" t="s">
        <v>6</v>
      </c>
      <c r="F691" t="s">
        <v>17</v>
      </c>
      <c r="G691" t="str">
        <f>LOOKUP(TabVMAzureEnvProjet[[#This Row],[Projet]],TabProjets[NomProj],TabProjets[SYGES])</f>
        <v>ALM/TMA_ATOUT</v>
      </c>
      <c r="H691" t="str">
        <f>LOOKUP(TabVMAzureEnvProjet[[#This Row],[Projet]],TabProjets[NomProj],TabProjets[CP])</f>
        <v>Alice MARCHAL</v>
      </c>
      <c r="I691">
        <f>LOOKUP(TabVMAzureEnvProjet[[#This Row],[Code SYGES]],TabCONTRATSDI[Contrat SYGES],TabCONTRATSDI[Cost Center])</f>
        <v>305704</v>
      </c>
      <c r="J691" s="22" t="str">
        <f>LOOKUP(TabVMAzureEnvProjet[[#This Row],[Code SYGES]],TabCONTRATSDI[Contrat SYGES],TabCONTRATSDI[Client])</f>
        <v>ALM</v>
      </c>
      <c r="K691" t="s">
        <v>171</v>
      </c>
      <c r="L691" s="31">
        <v>23.81</v>
      </c>
      <c r="M691" s="40" t="s">
        <v>173</v>
      </c>
    </row>
    <row r="692" spans="1:13" x14ac:dyDescent="0.25">
      <c r="A692" s="22" t="str">
        <f>TabVMAzureEnvProjet[[#This Row],[Client]] &amp; " .:. "  &amp; TabVMAzureEnvProjet[[#This Row],[Projet]]</f>
        <v>BRGM .:. BRGM-ORRM</v>
      </c>
      <c r="B692" s="22" t="str">
        <f>IF(TabVMAzureEnvProjet[[#This Row],[Projet AzureDevOps]]&lt;&gt;"",TabVMAzureEnvProjet[[#This Row],[Projet AzureDevOps]],TabVMAzureEnvProjet[[#This Row],[VM]])</f>
        <v>BRGM-ORRM-VM</v>
      </c>
      <c r="D692" t="s">
        <v>22</v>
      </c>
      <c r="E692" t="s">
        <v>21</v>
      </c>
      <c r="F692" t="s">
        <v>20</v>
      </c>
      <c r="G692" t="str">
        <f>LOOKUP(TabVMAzureEnvProjet[[#This Row],[Projet]],TabProjets[NomProj],TabProjets[SYGES])</f>
        <v>BRGM/TMA-5-1-ORRM-LOT1</v>
      </c>
      <c r="H692" t="str">
        <f>LOOKUP(TabVMAzureEnvProjet[[#This Row],[Projet]],TabProjets[NomProj],TabProjets[CP])</f>
        <v>Alice MARCHAL</v>
      </c>
      <c r="I692">
        <f>LOOKUP(TabVMAzureEnvProjet[[#This Row],[Code SYGES]],TabCONTRATSDI[Contrat SYGES],TabCONTRATSDI[Cost Center])</f>
        <v>305704</v>
      </c>
      <c r="J692" s="22" t="str">
        <f>LOOKUP(TabVMAzureEnvProjet[[#This Row],[Code SYGES]],TabCONTRATSDI[Contrat SYGES],TabCONTRATSDI[Client])</f>
        <v>BRGM</v>
      </c>
      <c r="K692" t="s">
        <v>171</v>
      </c>
      <c r="L692" s="31">
        <v>4.57</v>
      </c>
      <c r="M692" s="40" t="s">
        <v>173</v>
      </c>
    </row>
    <row r="693" spans="1:13" x14ac:dyDescent="0.25">
      <c r="A693" s="22" t="str">
        <f>TabVMAzureEnvProjet[[#This Row],[Client]] &amp; " .:. "  &amp; TabVMAzureEnvProjet[[#This Row],[Projet]]</f>
        <v>CA-TITRES .:. CATITRES-COMX</v>
      </c>
      <c r="B693" s="22" t="str">
        <f>IF(TabVMAzureEnvProjet[[#This Row],[Projet AzureDevOps]]&lt;&gt;"",TabVMAzureEnvProjet[[#This Row],[Projet AzureDevOps]],TabVMAzureEnvProjet[[#This Row],[VM]])</f>
        <v>CATITRES-COMX-VM</v>
      </c>
      <c r="D693" t="s">
        <v>25</v>
      </c>
      <c r="E693" t="s">
        <v>10</v>
      </c>
      <c r="F693" t="s">
        <v>24</v>
      </c>
      <c r="G693" t="str">
        <f>LOOKUP(TabVMAzureEnvProjet[[#This Row],[Projet]],TabProjets[NomProj],TabProjets[SYGES])</f>
        <v>CA-TITRES/TMA</v>
      </c>
      <c r="H693" t="str">
        <f>LOOKUP(TabVMAzureEnvProjet[[#This Row],[Projet]],TabProjets[NomProj],TabProjets[CP])</f>
        <v>Jean-Philippe STROIAZZO</v>
      </c>
      <c r="I693">
        <f>LOOKUP(TabVMAzureEnvProjet[[#This Row],[Code SYGES]],TabCONTRATSDI[Contrat SYGES],TabCONTRATSDI[Cost Center])</f>
        <v>305704</v>
      </c>
      <c r="J693" s="22" t="str">
        <f>LOOKUP(TabVMAzureEnvProjet[[#This Row],[Code SYGES]],TabCONTRATSDI[Contrat SYGES],TabCONTRATSDI[Client])</f>
        <v>CA-TITRES</v>
      </c>
      <c r="K693" t="s">
        <v>171</v>
      </c>
      <c r="L693" s="31">
        <v>15.77</v>
      </c>
      <c r="M693" s="40" t="s">
        <v>173</v>
      </c>
    </row>
    <row r="694" spans="1:13" x14ac:dyDescent="0.25">
      <c r="A694" s="22" t="str">
        <f>TabVMAzureEnvProjet[[#This Row],[Client]] &amp; " .:. "  &amp; TabVMAzureEnvProjet[[#This Row],[Projet]]</f>
        <v>EBR .:. EBR-LAPOSTE</v>
      </c>
      <c r="B694" s="22" t="str">
        <f>IF(TabVMAzureEnvProjet[[#This Row],[Projet AzureDevOps]]&lt;&gt;"",TabVMAzureEnvProjet[[#This Row],[Projet AzureDevOps]],TabVMAzureEnvProjet[[#This Row],[VM]])</f>
        <v>EBR-LAPOSTE-VM</v>
      </c>
      <c r="D694" t="s">
        <v>76</v>
      </c>
      <c r="E694" t="s">
        <v>10</v>
      </c>
      <c r="F694" t="s">
        <v>75</v>
      </c>
      <c r="G694" t="str">
        <f>LOOKUP(TabVMAzureEnvProjet[[#This Row],[Projet]],TabProjets[NomProj],TabProjets[SYGES])</f>
        <v>EBR/TMA</v>
      </c>
      <c r="H694" t="str">
        <f>LOOKUP(TabVMAzureEnvProjet[[#This Row],[Projet]],TabProjets[NomProj],TabProjets[CP])</f>
        <v>Valerie ASSELIN LOZACHMEUR</v>
      </c>
      <c r="I694">
        <f>LOOKUP(TabVMAzureEnvProjet[[#This Row],[Code SYGES]],TabCONTRATSDI[Contrat SYGES],TabCONTRATSDI[Cost Center])</f>
        <v>305704</v>
      </c>
      <c r="J694" s="22" t="str">
        <f>LOOKUP(TabVMAzureEnvProjet[[#This Row],[Code SYGES]],TabCONTRATSDI[Contrat SYGES],TabCONTRATSDI[Client])</f>
        <v>EBR</v>
      </c>
      <c r="K694" t="s">
        <v>171</v>
      </c>
      <c r="L694" s="31">
        <v>134.32</v>
      </c>
      <c r="M694" s="40" t="s">
        <v>173</v>
      </c>
    </row>
    <row r="695" spans="1:13" x14ac:dyDescent="0.25">
      <c r="A695" s="22" t="str">
        <f>TabVMAzureEnvProjet[[#This Row],[Client]] &amp; " .:. "  &amp; TabVMAzureEnvProjet[[#This Row],[Projet]]</f>
        <v>INETUM .:. INETUM-INTERNE</v>
      </c>
      <c r="B695" s="22" t="str">
        <f>IF(TabVMAzureEnvProjet[[#This Row],[Projet AzureDevOps]]&lt;&gt;"",TabVMAzureEnvProjet[[#This Row],[Projet AzureDevOps]],TabVMAzureEnvProjet[[#This Row],[VM]])</f>
        <v>GFI-PMT-VM</v>
      </c>
      <c r="D695" t="s">
        <v>121</v>
      </c>
      <c r="E695" t="s">
        <v>10</v>
      </c>
      <c r="F695" t="s">
        <v>102</v>
      </c>
      <c r="G695" t="str">
        <f>LOOKUP(TabVMAzureEnvProjet[[#This Row],[Projet]],TabProjets[NomProj],TabProjets[SYGES])</f>
        <v>INETUM/PROJET_INTERNE</v>
      </c>
      <c r="H695" t="str">
        <f>LOOKUP(TabVMAzureEnvProjet[[#This Row],[Projet]],TabProjets[NomProj],TabProjets[CP])</f>
        <v>Christophe ORLANDO</v>
      </c>
      <c r="I695">
        <f>LOOKUP(TabVMAzureEnvProjet[[#This Row],[Code SYGES]],TabCONTRATSDI[Contrat SYGES],TabCONTRATSDI[Cost Center])</f>
        <v>305704</v>
      </c>
      <c r="J695" s="22" t="str">
        <f>LOOKUP(TabVMAzureEnvProjet[[#This Row],[Code SYGES]],TabCONTRATSDI[Contrat SYGES],TabCONTRATSDI[Client])</f>
        <v>INETUM</v>
      </c>
      <c r="K695" t="s">
        <v>171</v>
      </c>
      <c r="L695" s="31">
        <v>33.6</v>
      </c>
      <c r="M695" s="40" t="s">
        <v>173</v>
      </c>
    </row>
    <row r="696" spans="1:13" x14ac:dyDescent="0.25">
      <c r="A696" s="22" t="str">
        <f>TabVMAzureEnvProjet[[#This Row],[Client]] &amp; " .:. "  &amp; TabVMAzureEnvProjet[[#This Row],[Projet]]</f>
        <v>MENESR .:. MENJ-BI</v>
      </c>
      <c r="B696" s="22" t="str">
        <f>IF(TabVMAzureEnvProjet[[#This Row],[Projet AzureDevOps]]&lt;&gt;"",TabVMAzureEnvProjet[[#This Row],[Projet AzureDevOps]],TabVMAzureEnvProjet[[#This Row],[VM]])</f>
        <v>MENJ-BI-VM</v>
      </c>
      <c r="D696" t="s">
        <v>52</v>
      </c>
      <c r="E696" t="s">
        <v>6</v>
      </c>
      <c r="F696" t="s">
        <v>51</v>
      </c>
      <c r="G696" t="str">
        <f>LOOKUP(TabVMAzureEnvProjet[[#This Row],[Projet]],TabProjets[NomProj],TabProjets[SYGES])</f>
        <v>MENESR/TMA</v>
      </c>
      <c r="H696" t="str">
        <f>LOOKUP(TabVMAzureEnvProjet[[#This Row],[Projet]],TabProjets[NomProj],TabProjets[CP])</f>
        <v>Eric PERROUD</v>
      </c>
      <c r="I696">
        <f>LOOKUP(TabVMAzureEnvProjet[[#This Row],[Code SYGES]],TabCONTRATSDI[Contrat SYGES],TabCONTRATSDI[Cost Center])</f>
        <v>305704</v>
      </c>
      <c r="J696" s="22" t="str">
        <f>LOOKUP(TabVMAzureEnvProjet[[#This Row],[Code SYGES]],TabCONTRATSDI[Contrat SYGES],TabCONTRATSDI[Client])</f>
        <v>MENESR</v>
      </c>
      <c r="K696" t="s">
        <v>171</v>
      </c>
      <c r="L696" s="31">
        <v>4.75</v>
      </c>
      <c r="M696" s="40" t="s">
        <v>173</v>
      </c>
    </row>
    <row r="697" spans="1:13" x14ac:dyDescent="0.25">
      <c r="A697" s="22" t="str">
        <f>TabVMAzureEnvProjet[[#This Row],[Client]] &amp; " .:. "  &amp; TabVMAzureEnvProjet[[#This Row],[Projet]]</f>
        <v>AFB .:. AFB-NatureFrance</v>
      </c>
      <c r="B697" s="22" t="str">
        <f>IF(TabVMAzureEnvProjet[[#This Row],[Projet AzureDevOps]]&lt;&gt;"",TabVMAzureEnvProjet[[#This Row],[Projet AzureDevOps]],TabVMAzureEnvProjet[[#This Row],[VM]])</f>
        <v>OFB-FRANCENATURE-VM</v>
      </c>
      <c r="D697" t="s">
        <v>80</v>
      </c>
      <c r="E697" t="s">
        <v>6</v>
      </c>
      <c r="F697" t="s">
        <v>147</v>
      </c>
      <c r="G697" t="str">
        <f>LOOKUP(TabVMAzureEnvProjet[[#This Row],[Projet]],TabProjets[NomProj],TabProjets[SYGES])</f>
        <v>AFB/OFB_LOT2</v>
      </c>
      <c r="H697" t="str">
        <f>LOOKUP(TabVMAzureEnvProjet[[#This Row],[Projet]],TabProjets[NomProj],TabProjets[CP])</f>
        <v>Rodolphe HABEGGER</v>
      </c>
      <c r="I697">
        <f>LOOKUP(TabVMAzureEnvProjet[[#This Row],[Code SYGES]],TabCONTRATSDI[Contrat SYGES],TabCONTRATSDI[Cost Center])</f>
        <v>305704</v>
      </c>
      <c r="J697" s="22" t="str">
        <f>LOOKUP(TabVMAzureEnvProjet[[#This Row],[Code SYGES]],TabCONTRATSDI[Contrat SYGES],TabCONTRATSDI[Client])</f>
        <v>AFB</v>
      </c>
      <c r="K697" t="s">
        <v>171</v>
      </c>
      <c r="L697" s="31">
        <v>4.6399999999999997</v>
      </c>
      <c r="M697" s="40" t="s">
        <v>173</v>
      </c>
    </row>
    <row r="698" spans="1:13" x14ac:dyDescent="0.25">
      <c r="A698" s="22" t="str">
        <f>TabVMAzureEnvProjet[[#This Row],[Client]] &amp; " .:. "  &amp; TabVMAzureEnvProjet[[#This Row],[Projet]]</f>
        <v>AFB .:. OFB-SISPEA</v>
      </c>
      <c r="B698" s="22" t="str">
        <f>IF(TabVMAzureEnvProjet[[#This Row],[Projet AzureDevOps]]&lt;&gt;"",TabVMAzureEnvProjet[[#This Row],[Projet AzureDevOps]],TabVMAzureEnvProjet[[#This Row],[VM]])</f>
        <v>OFB-SISPEA-VM</v>
      </c>
      <c r="D698" t="s">
        <v>11</v>
      </c>
      <c r="E698" t="s">
        <v>10</v>
      </c>
      <c r="F698" t="s">
        <v>9</v>
      </c>
      <c r="G698" t="str">
        <f>LOOKUP(TabVMAzureEnvProjet[[#This Row],[Projet]],TabProjets[NomProj],TabProjets[SYGES])</f>
        <v>AFB/OFB_LOT2</v>
      </c>
      <c r="H698" t="str">
        <f>LOOKUP(TabVMAzureEnvProjet[[#This Row],[Projet]],TabProjets[NomProj],TabProjets[CP])</f>
        <v>Pierre BOURLIEUX</v>
      </c>
      <c r="I698">
        <f>LOOKUP(TabVMAzureEnvProjet[[#This Row],[Code SYGES]],TabCONTRATSDI[Contrat SYGES],TabCONTRATSDI[Cost Center])</f>
        <v>305704</v>
      </c>
      <c r="J698" s="22" t="str">
        <f>LOOKUP(TabVMAzureEnvProjet[[#This Row],[Code SYGES]],TabCONTRATSDI[Contrat SYGES],TabCONTRATSDI[Client])</f>
        <v>AFB</v>
      </c>
      <c r="K698" t="s">
        <v>171</v>
      </c>
      <c r="L698" s="31">
        <v>9.49</v>
      </c>
      <c r="M698" s="40" t="s">
        <v>173</v>
      </c>
    </row>
    <row r="699" spans="1:13" x14ac:dyDescent="0.25">
      <c r="A699" s="22" t="str">
        <f>TabVMAzureEnvProjet[[#This Row],[Client]] &amp; " .:. "  &amp; TabVMAzureEnvProjet[[#This Row],[Projet]]</f>
        <v>SPC .:. SPC-BUILD</v>
      </c>
      <c r="B699" s="22" t="str">
        <f>IF(TabVMAzureEnvProjet[[#This Row],[Projet AzureDevOps]]&lt;&gt;"",TabVMAzureEnvProjet[[#This Row],[Projet AzureDevOps]],TabVMAzureEnvProjet[[#This Row],[VM]])</f>
        <v>SPC-BUILDAS-VM</v>
      </c>
      <c r="D699" t="s">
        <v>68</v>
      </c>
      <c r="E699" t="s">
        <v>10</v>
      </c>
      <c r="F699" t="s">
        <v>67</v>
      </c>
      <c r="G699" t="str">
        <f>LOOKUP(TabVMAzureEnvProjet[[#This Row],[Projet]],TabProjets[NomProj],TabProjets[SYGES])</f>
        <v>SPC/BUILD</v>
      </c>
      <c r="H699" t="str">
        <f>LOOKUP(TabVMAzureEnvProjet[[#This Row],[Projet]],TabProjets[NomProj],TabProjets[CP])</f>
        <v>Nicolas DURFORT</v>
      </c>
      <c r="I699">
        <f>LOOKUP(TabVMAzureEnvProjet[[#This Row],[Code SYGES]],TabCONTRATSDI[Contrat SYGES],TabCONTRATSDI[Cost Center])</f>
        <v>305704</v>
      </c>
      <c r="J699" s="22" t="str">
        <f>LOOKUP(TabVMAzureEnvProjet[[#This Row],[Code SYGES]],TabCONTRATSDI[Contrat SYGES],TabCONTRATSDI[Client])</f>
        <v>SPC</v>
      </c>
      <c r="K699" t="s">
        <v>171</v>
      </c>
      <c r="L699" s="31">
        <v>177.89</v>
      </c>
      <c r="M699" s="40" t="s">
        <v>173</v>
      </c>
    </row>
    <row r="700" spans="1:13" x14ac:dyDescent="0.25">
      <c r="A700" s="22" t="str">
        <f>TabVMAzureEnvProjet[[#This Row],[Client]] &amp; " .:. "  &amp; TabVMAzureEnvProjet[[#This Row],[Projet]]</f>
        <v>STMICRO .:. STMICRO-DATAPACK</v>
      </c>
      <c r="B700" s="22" t="str">
        <f>IF(TabVMAzureEnvProjet[[#This Row],[Projet AzureDevOps]]&lt;&gt;"",TabVMAzureEnvProjet[[#This Row],[Projet AzureDevOps]],TabVMAzureEnvProjet[[#This Row],[VM]])</f>
        <v>STMICRO-DATAPACK-VM</v>
      </c>
      <c r="D700" t="s">
        <v>97</v>
      </c>
      <c r="E700" t="s">
        <v>10</v>
      </c>
      <c r="F700" t="s">
        <v>96</v>
      </c>
      <c r="G700" t="str">
        <f>LOOKUP(TabVMAzureEnvProjet[[#This Row],[Projet]],TabProjets[NomProj],TabProjets[SYGES])</f>
        <v>STMICRO/TMASI</v>
      </c>
      <c r="H700" t="str">
        <f>LOOKUP(TabVMAzureEnvProjet[[#This Row],[Projet]],TabProjets[NomProj],TabProjets[CP])</f>
        <v>Jean-Philippe STROIAZZO</v>
      </c>
      <c r="I700">
        <f>LOOKUP(TabVMAzureEnvProjet[[#This Row],[Code SYGES]],TabCONTRATSDI[Contrat SYGES],TabCONTRATSDI[Cost Center])</f>
        <v>305704</v>
      </c>
      <c r="J700" s="22" t="str">
        <f>LOOKUP(TabVMAzureEnvProjet[[#This Row],[Code SYGES]],TabCONTRATSDI[Contrat SYGES],TabCONTRATSDI[Client])</f>
        <v>STMICRO</v>
      </c>
      <c r="K700" t="s">
        <v>171</v>
      </c>
      <c r="L700" s="31">
        <v>17.079999999999998</v>
      </c>
      <c r="M700" s="40" t="s">
        <v>173</v>
      </c>
    </row>
    <row r="701" spans="1:13" x14ac:dyDescent="0.25">
      <c r="A701" s="22" t="str">
        <f>TabVMAzureEnvProjet[[#This Row],[Client]] &amp; " .:. "  &amp; TabVMAzureEnvProjet[[#This Row],[Projet]]</f>
        <v>FRR .:. FRR-DIGIPAT</v>
      </c>
      <c r="B701" s="22" t="str">
        <f>IF(TabVMAzureEnvProjet[[#This Row],[Projet AzureDevOps]]&lt;&gt;"",TabVMAzureEnvProjet[[#This Row],[Projet AzureDevOps]],TabVMAzureEnvProjet[[#This Row],[VM]])</f>
        <v>FRR-DIGIPAT-VM</v>
      </c>
      <c r="D701" t="s">
        <v>31</v>
      </c>
      <c r="E701" t="s">
        <v>21</v>
      </c>
      <c r="F701" t="s">
        <v>29</v>
      </c>
      <c r="G701" t="str">
        <f>LOOKUP(TabVMAzureEnvProjet[[#This Row],[Projet]],TabProjets[NomProj],TabProjets[SYGES])</f>
        <v>FRR/TMASI</v>
      </c>
      <c r="H701" t="str">
        <f>LOOKUP(TabVMAzureEnvProjet[[#This Row],[Projet]],TabProjets[NomProj],TabProjets[CP])</f>
        <v>Alice MARCHAL</v>
      </c>
      <c r="I701">
        <f>LOOKUP(TabVMAzureEnvProjet[[#This Row],[Code SYGES]],TabCONTRATSDI[Contrat SYGES],TabCONTRATSDI[Cost Center])</f>
        <v>305704</v>
      </c>
      <c r="J701" s="22" t="str">
        <f>LOOKUP(TabVMAzureEnvProjet[[#This Row],[Code SYGES]],TabCONTRATSDI[Contrat SYGES],TabCONTRATSDI[Client])</f>
        <v>FRR</v>
      </c>
      <c r="K701" t="s">
        <v>171</v>
      </c>
      <c r="L701" s="31">
        <v>39.06</v>
      </c>
      <c r="M701" s="40" t="s">
        <v>173</v>
      </c>
    </row>
    <row r="702" spans="1:13" x14ac:dyDescent="0.25">
      <c r="A702" s="22" t="str">
        <f>TabVMAzureEnvProjet[[#This Row],[Client]] &amp; " .:. "  &amp; TabVMAzureEnvProjet[[#This Row],[Projet]]</f>
        <v>GFI .:. GFI-WAAC</v>
      </c>
      <c r="B702" s="22" t="str">
        <f>IF(TabVMAzureEnvProjet[[#This Row],[Projet AzureDevOps]]&lt;&gt;"",TabVMAzureEnvProjet[[#This Row],[Projet AzureDevOps]],TabVMAzureEnvProjet[[#This Row],[VM]])</f>
        <v>GFI-WAAC-VM</v>
      </c>
      <c r="D702" t="s">
        <v>39</v>
      </c>
      <c r="E702" t="s">
        <v>6</v>
      </c>
      <c r="F702" t="s">
        <v>38</v>
      </c>
      <c r="G702" t="str">
        <f>LOOKUP(TabVMAzureEnvProjet[[#This Row],[Projet]],TabProjets[NomProj],TabProjets[SYGES])</f>
        <v>383928 - WAAC 1.0</v>
      </c>
      <c r="H702" t="str">
        <f>LOOKUP(TabVMAzureEnvProjet[[#This Row],[Projet]],TabProjets[NomProj],TabProjets[CP])</f>
        <v>Laurent MARCIANIAK</v>
      </c>
      <c r="I702">
        <f>LOOKUP(TabVMAzureEnvProjet[[#This Row],[Code SYGES]],TabCONTRATSDI[Contrat SYGES],TabCONTRATSDI[Cost Center])</f>
        <v>100973</v>
      </c>
      <c r="J702" s="22" t="str">
        <f>LOOKUP(TabVMAzureEnvProjet[[#This Row],[Code SYGES]],TabCONTRATSDI[Contrat SYGES],TabCONTRATSDI[Client])</f>
        <v>GFI</v>
      </c>
      <c r="K702" t="s">
        <v>171</v>
      </c>
      <c r="L702" s="31">
        <v>70.819999999999993</v>
      </c>
      <c r="M702" s="40" t="s">
        <v>173</v>
      </c>
    </row>
    <row r="703" spans="1:13" x14ac:dyDescent="0.25">
      <c r="A703" s="22" t="str">
        <f>TabVMAzureEnvProjet[[#This Row],[Client]] &amp; " .:. "  &amp; TabVMAzureEnvProjet[[#This Row],[Projet]]</f>
        <v>LAPOSTE .:. LAPOSTE-CDC</v>
      </c>
      <c r="B703" s="22" t="str">
        <f>IF(TabVMAzureEnvProjet[[#This Row],[Projet AzureDevOps]]&lt;&gt;"",TabVMAzureEnvProjet[[#This Row],[Projet AzureDevOps]],TabVMAzureEnvProjet[[#This Row],[VM]])</f>
        <v>LAPOSTE-CDC-VM</v>
      </c>
      <c r="D703" t="s">
        <v>92</v>
      </c>
      <c r="E703" t="s">
        <v>10</v>
      </c>
      <c r="F703" t="s">
        <v>82</v>
      </c>
      <c r="G703" t="str">
        <f>LOOKUP(TabVMAzureEnvProjet[[#This Row],[Projet]],TabProjets[NomProj],TabProjets[SYGES])</f>
        <v>LA-POSTE/CDC_DRUPAL</v>
      </c>
      <c r="H703" t="str">
        <f>LOOKUP(TabVMAzureEnvProjet[[#This Row],[Projet]],TabProjets[NomProj],TabProjets[CP])</f>
        <v>Rodolphe HABEGGER</v>
      </c>
      <c r="I703">
        <f>LOOKUP(TabVMAzureEnvProjet[[#This Row],[Code SYGES]],TabCONTRATSDI[Contrat SYGES],TabCONTRATSDI[Cost Center])</f>
        <v>305704</v>
      </c>
      <c r="J703" s="22" t="str">
        <f>LOOKUP(TabVMAzureEnvProjet[[#This Row],[Code SYGES]],TabCONTRATSDI[Contrat SYGES],TabCONTRATSDI[Client])</f>
        <v>LAPOSTE</v>
      </c>
      <c r="K703" t="s">
        <v>171</v>
      </c>
      <c r="L703" s="31">
        <v>4.75</v>
      </c>
      <c r="M703" s="40" t="s">
        <v>173</v>
      </c>
    </row>
    <row r="704" spans="1:13" x14ac:dyDescent="0.25">
      <c r="A704" s="22" t="str">
        <f>TabVMAzureEnvProjet[[#This Row],[Client]] &amp; " .:. "  &amp; TabVMAzureEnvProjet[[#This Row],[Projet]]</f>
        <v>MENESR .:. MENJ-INSERJEUNES</v>
      </c>
      <c r="B704" s="22" t="str">
        <f>IF(TabVMAzureEnvProjet[[#This Row],[Projet AzureDevOps]]&lt;&gt;"",TabVMAzureEnvProjet[[#This Row],[Projet AzureDevOps]],TabVMAzureEnvProjet[[#This Row],[VM]])</f>
        <v>MENJ-INERJEUNES</v>
      </c>
      <c r="D704" t="s">
        <v>55</v>
      </c>
      <c r="E704" t="s">
        <v>21</v>
      </c>
      <c r="F704" t="s">
        <v>53</v>
      </c>
      <c r="G704" t="str">
        <f>LOOKUP(TabVMAzureEnvProjet[[#This Row],[Projet]],TabProjets[NomProj],TabProjets[SYGES])</f>
        <v>MENESR - TMA - 23 - 1 - INSERJEUNES</v>
      </c>
      <c r="H704" t="str">
        <f>LOOKUP(TabVMAzureEnvProjet[[#This Row],[Projet]],TabProjets[NomProj],TabProjets[CP])</f>
        <v>Christophe ORLANDO</v>
      </c>
      <c r="I704">
        <f>LOOKUP(TabVMAzureEnvProjet[[#This Row],[Code SYGES]],TabCONTRATSDI[Contrat SYGES],TabCONTRATSDI[Cost Center])</f>
        <v>305704</v>
      </c>
      <c r="J704" s="22" t="str">
        <f>LOOKUP(TabVMAzureEnvProjet[[#This Row],[Code SYGES]],TabCONTRATSDI[Contrat SYGES],TabCONTRATSDI[Client])</f>
        <v>MENESR</v>
      </c>
      <c r="K704" t="s">
        <v>171</v>
      </c>
      <c r="L704" s="31">
        <v>42.92</v>
      </c>
      <c r="M704" s="40" t="s">
        <v>173</v>
      </c>
    </row>
    <row r="705" spans="1:13" x14ac:dyDescent="0.25">
      <c r="A705" s="22" t="str">
        <f>TabVMAzureEnvProjet[[#This Row],[Client]] &amp; " .:. "  &amp; TabVMAzureEnvProjet[[#This Row],[Projet]]</f>
        <v>AFB .:. OFB-ESTAMP</v>
      </c>
      <c r="B705" s="22" t="str">
        <f>IF(TabVMAzureEnvProjet[[#This Row],[Projet AzureDevOps]]&lt;&gt;"",TabVMAzureEnvProjet[[#This Row],[Projet AzureDevOps]],TabVMAzureEnvProjet[[#This Row],[VM]])</f>
        <v>OFB-ESTAMP</v>
      </c>
      <c r="D705" t="s">
        <v>13</v>
      </c>
      <c r="E705" t="s">
        <v>6</v>
      </c>
      <c r="F705" t="s">
        <v>13</v>
      </c>
      <c r="G705" t="str">
        <f>LOOKUP(TabVMAzureEnvProjet[[#This Row],[Projet]],TabProjets[NomProj],TabProjets[SYGES])</f>
        <v>AFB/OFB_LOT1</v>
      </c>
      <c r="H705" t="str">
        <f>LOOKUP(TabVMAzureEnvProjet[[#This Row],[Projet]],TabProjets[NomProj],TabProjets[CP])</f>
        <v>Pierre BOURLIEUX</v>
      </c>
      <c r="I705">
        <f>LOOKUP(TabVMAzureEnvProjet[[#This Row],[Code SYGES]],TabCONTRATSDI[Contrat SYGES],TabCONTRATSDI[Cost Center])</f>
        <v>305704</v>
      </c>
      <c r="J705" s="22" t="str">
        <f>LOOKUP(TabVMAzureEnvProjet[[#This Row],[Code SYGES]],TabCONTRATSDI[Contrat SYGES],TabCONTRATSDI[Client])</f>
        <v>AFB</v>
      </c>
      <c r="K705" t="s">
        <v>171</v>
      </c>
      <c r="L705" s="31">
        <v>15.06</v>
      </c>
      <c r="M705" s="40" t="s">
        <v>173</v>
      </c>
    </row>
    <row r="706" spans="1:13" x14ac:dyDescent="0.25">
      <c r="A706" s="22" t="str">
        <f>TabVMAzureEnvProjet[[#This Row],[Client]] &amp; " .:. "  &amp; TabVMAzureEnvProjet[[#This Row],[Projet]]</f>
        <v>INETUM .:. INETUM-INTERNE</v>
      </c>
      <c r="B706" s="22" t="str">
        <f>IF(TabVMAzureEnvProjet[[#This Row],[Projet AzureDevOps]]&lt;&gt;"",TabVMAzureEnvProjet[[#This Row],[Projet AzureDevOps]],TabVMAzureEnvProjet[[#This Row],[VM]])</f>
        <v>INFRA</v>
      </c>
      <c r="D706" t="s">
        <v>174</v>
      </c>
      <c r="E706" t="s">
        <v>10</v>
      </c>
      <c r="F706" t="s">
        <v>102</v>
      </c>
      <c r="G706" t="str">
        <f>LOOKUP(TabVMAzureEnvProjet[[#This Row],[Projet]],TabProjets[NomProj],TabProjets[SYGES])</f>
        <v>INETUM/PROJET_INTERNE</v>
      </c>
      <c r="H706" t="str">
        <f>LOOKUP(TabVMAzureEnvProjet[[#This Row],[Projet]],TabProjets[NomProj],TabProjets[CP])</f>
        <v>Christophe ORLANDO</v>
      </c>
      <c r="I706">
        <f>LOOKUP(TabVMAzureEnvProjet[[#This Row],[Code SYGES]],TabCONTRATSDI[Contrat SYGES],TabCONTRATSDI[Cost Center])</f>
        <v>305704</v>
      </c>
      <c r="J706" s="22" t="str">
        <f>LOOKUP(TabVMAzureEnvProjet[[#This Row],[Code SYGES]],TabCONTRATSDI[Contrat SYGES],TabCONTRATSDI[Client])</f>
        <v>INETUM</v>
      </c>
      <c r="K706" t="s">
        <v>171</v>
      </c>
      <c r="L706" s="31">
        <v>29.17</v>
      </c>
      <c r="M706" s="40" t="s">
        <v>173</v>
      </c>
    </row>
    <row r="707" spans="1:13" x14ac:dyDescent="0.25">
      <c r="A707" s="22" t="str">
        <f>TabVMAzureEnvProjet[[#This Row],[Client]] &amp; " .:. "  &amp; TabVMAzureEnvProjet[[#This Row],[Projet]]</f>
        <v>ONEMA .:. AFB-BASEINDICATEURS</v>
      </c>
      <c r="B707" s="22" t="str">
        <f>IF(TabVMAzureEnvProjet[[#This Row],[Projet AzureDevOps]]&lt;&gt;"",TabVMAzureEnvProjet[[#This Row],[Projet AzureDevOps]],TabVMAzureEnvProjet[[#This Row],[VM]])</f>
        <v>AFB-BaseIndicateurs</v>
      </c>
      <c r="C707" s="57" t="s">
        <v>58</v>
      </c>
      <c r="E707" t="s">
        <v>4</v>
      </c>
      <c r="F707" t="s">
        <v>57</v>
      </c>
      <c r="G707" t="str">
        <f>LOOKUP(TabVMAzureEnvProjet[[#This Row],[Projet]],TabProjets[NomProj],TabProjets[SYGES])</f>
        <v>ONEMA/TMADCUA-15</v>
      </c>
      <c r="H707" t="str">
        <f>LOOKUP(TabVMAzureEnvProjet[[#This Row],[Projet]],TabProjets[NomProj],TabProjets[CP])</f>
        <v>Pierre BOURLIEUX</v>
      </c>
      <c r="I707">
        <f>LOOKUP(TabVMAzureEnvProjet[[#This Row],[Code SYGES]],TabCONTRATSDI[Contrat SYGES],TabCONTRATSDI[Cost Center])</f>
        <v>305704</v>
      </c>
      <c r="J707" s="22" t="str">
        <f>LOOKUP(TabVMAzureEnvProjet[[#This Row],[Code SYGES]],TabCONTRATSDI[Contrat SYGES],TabCONTRATSDI[Client])</f>
        <v>ONEMA</v>
      </c>
      <c r="K707" t="s">
        <v>175</v>
      </c>
      <c r="L707" s="31">
        <v>0.44864925342977735</v>
      </c>
      <c r="M707" s="41" t="s">
        <v>176</v>
      </c>
    </row>
    <row r="708" spans="1:13" x14ac:dyDescent="0.25">
      <c r="A708" s="22" t="str">
        <f>TabVMAzureEnvProjet[[#This Row],[Client]] &amp; " .:. "  &amp; TabVMAzureEnvProjet[[#This Row],[Projet]]</f>
        <v>ONEMA .:. AFB-CATALOGUE</v>
      </c>
      <c r="B708" s="22" t="str">
        <f>IF(TabVMAzureEnvProjet[[#This Row],[Projet AzureDevOps]]&lt;&gt;"",TabVMAzureEnvProjet[[#This Row],[Projet AzureDevOps]],TabVMAzureEnvProjet[[#This Row],[VM]])</f>
        <v>AFB-Catalogue</v>
      </c>
      <c r="C708" s="57" t="s">
        <v>60</v>
      </c>
      <c r="E708" t="s">
        <v>4</v>
      </c>
      <c r="F708" t="s">
        <v>59</v>
      </c>
      <c r="G708" t="str">
        <f>LOOKUP(TabVMAzureEnvProjet[[#This Row],[Projet]],TabProjets[NomProj],TabProjets[SYGES])</f>
        <v>ONEMA/TMADCUA-15</v>
      </c>
      <c r="H708" t="str">
        <f>LOOKUP(TabVMAzureEnvProjet[[#This Row],[Projet]],TabProjets[NomProj],TabProjets[CP])</f>
        <v>Pierre BOURLIEUX</v>
      </c>
      <c r="I708">
        <f>LOOKUP(TabVMAzureEnvProjet[[#This Row],[Code SYGES]],TabCONTRATSDI[Contrat SYGES],TabCONTRATSDI[Cost Center])</f>
        <v>305704</v>
      </c>
      <c r="J708" s="22" t="str">
        <f>LOOKUP(TabVMAzureEnvProjet[[#This Row],[Code SYGES]],TabCONTRATSDI[Contrat SYGES],TabCONTRATSDI[Client])</f>
        <v>ONEMA</v>
      </c>
      <c r="K708" t="s">
        <v>175</v>
      </c>
      <c r="L708" s="31">
        <v>1.7417278785223154</v>
      </c>
      <c r="M708" s="41" t="s">
        <v>176</v>
      </c>
    </row>
    <row r="709" spans="1:13" x14ac:dyDescent="0.25">
      <c r="A709" s="22" t="str">
        <f>TabVMAzureEnvProjet[[#This Row],[Client]] &amp; " .:. "  &amp; TabVMAzureEnvProjet[[#This Row],[Projet]]</f>
        <v>ONEMA .:. AFB-CDR</v>
      </c>
      <c r="B709" s="22" t="str">
        <f>IF(TabVMAzureEnvProjet[[#This Row],[Projet AzureDevOps]]&lt;&gt;"",TabVMAzureEnvProjet[[#This Row],[Projet AzureDevOps]],TabVMAzureEnvProjet[[#This Row],[VM]])</f>
        <v>AFB-CDR</v>
      </c>
      <c r="C709" s="57" t="s">
        <v>61</v>
      </c>
      <c r="E709" t="s">
        <v>4</v>
      </c>
      <c r="F709" t="s">
        <v>61</v>
      </c>
      <c r="G709" t="str">
        <f>LOOKUP(TabVMAzureEnvProjet[[#This Row],[Projet]],TabProjets[NomProj],TabProjets[SYGES])</f>
        <v>ONEMA/TMAWEB-16</v>
      </c>
      <c r="H709" t="str">
        <f>LOOKUP(TabVMAzureEnvProjet[[#This Row],[Projet]],TabProjets[NomProj],TabProjets[CP])</f>
        <v>Pierre BOURLIEUX</v>
      </c>
      <c r="I709">
        <f>LOOKUP(TabVMAzureEnvProjet[[#This Row],[Code SYGES]],TabCONTRATSDI[Contrat SYGES],TabCONTRATSDI[Cost Center])</f>
        <v>305704</v>
      </c>
      <c r="J709" s="22" t="str">
        <f>LOOKUP(TabVMAzureEnvProjet[[#This Row],[Code SYGES]],TabCONTRATSDI[Contrat SYGES],TabCONTRATSDI[Client])</f>
        <v>ONEMA</v>
      </c>
      <c r="K709" t="s">
        <v>175</v>
      </c>
      <c r="L709" s="31">
        <v>7.8412150366623088</v>
      </c>
      <c r="M709" s="41" t="s">
        <v>176</v>
      </c>
    </row>
    <row r="710" spans="1:13" x14ac:dyDescent="0.25">
      <c r="A710" s="22" t="str">
        <f>TabVMAzureEnvProjet[[#This Row],[Client]] &amp; " .:. "  &amp; TabVMAzureEnvProjet[[#This Row],[Projet]]</f>
        <v>AFB .:. AFB-CESMIA</v>
      </c>
      <c r="B710" s="22" t="str">
        <f>IF(TabVMAzureEnvProjet[[#This Row],[Projet AzureDevOps]]&lt;&gt;"",TabVMAzureEnvProjet[[#This Row],[Projet AzureDevOps]],TabVMAzureEnvProjet[[#This Row],[VM]])</f>
        <v>AFB-CESMIA</v>
      </c>
      <c r="C710" s="57" t="s">
        <v>3</v>
      </c>
      <c r="E710" t="s">
        <v>4</v>
      </c>
      <c r="F710" t="s">
        <v>3</v>
      </c>
      <c r="G710" t="str">
        <f>LOOKUP(TabVMAzureEnvProjet[[#This Row],[Projet]],TabProjets[NomProj],TabProjets[SYGES])</f>
        <v>AFB/OFB_LOT1</v>
      </c>
      <c r="H710" t="str">
        <f>LOOKUP(TabVMAzureEnvProjet[[#This Row],[Projet]],TabProjets[NomProj],TabProjets[CP])</f>
        <v>Jean-Philippe STROIAZZO</v>
      </c>
      <c r="I710">
        <f>LOOKUP(TabVMAzureEnvProjet[[#This Row],[Code SYGES]],TabCONTRATSDI[Contrat SYGES],TabCONTRATSDI[Cost Center])</f>
        <v>305704</v>
      </c>
      <c r="J710" s="22" t="str">
        <f>LOOKUP(TabVMAzureEnvProjet[[#This Row],[Code SYGES]],TabCONTRATSDI[Contrat SYGES],TabCONTRATSDI[Client])</f>
        <v>AFB</v>
      </c>
      <c r="K710" t="s">
        <v>175</v>
      </c>
      <c r="L710" s="31">
        <v>9.6801045599041888</v>
      </c>
      <c r="M710" s="41" t="s">
        <v>176</v>
      </c>
    </row>
    <row r="711" spans="1:13" x14ac:dyDescent="0.25">
      <c r="A711" s="22" t="str">
        <f>TabVMAzureEnvProjet[[#This Row],[Client]] &amp; " .:. "  &amp; TabVMAzureEnvProjet[[#This Row],[Projet]]</f>
        <v>ONEMA .:. AFB-OISON</v>
      </c>
      <c r="B711" s="22" t="str">
        <f>IF(TabVMAzureEnvProjet[[#This Row],[Projet AzureDevOps]]&lt;&gt;"",TabVMAzureEnvProjet[[#This Row],[Projet AzureDevOps]],TabVMAzureEnvProjet[[#This Row],[VM]])</f>
        <v>AFB-OISON</v>
      </c>
      <c r="C711" s="57" t="s">
        <v>62</v>
      </c>
      <c r="E711" t="s">
        <v>4</v>
      </c>
      <c r="F711" t="s">
        <v>62</v>
      </c>
      <c r="G711" t="str">
        <f>LOOKUP(TabVMAzureEnvProjet[[#This Row],[Projet]],TabProjets[NomProj],TabProjets[SYGES])</f>
        <v>ONEMA/TMADCUA-15</v>
      </c>
      <c r="H711" t="str">
        <f>LOOKUP(TabVMAzureEnvProjet[[#This Row],[Projet]],TabProjets[NomProj],TabProjets[CP])</f>
        <v>Jean-Philippe STROIAZZO</v>
      </c>
      <c r="I711">
        <f>LOOKUP(TabVMAzureEnvProjet[[#This Row],[Code SYGES]],TabCONTRATSDI[Contrat SYGES],TabCONTRATSDI[Cost Center])</f>
        <v>305704</v>
      </c>
      <c r="J711" s="22" t="str">
        <f>LOOKUP(TabVMAzureEnvProjet[[#This Row],[Code SYGES]],TabCONTRATSDI[Contrat SYGES],TabCONTRATSDI[Client])</f>
        <v>ONEMA</v>
      </c>
      <c r="K711" t="s">
        <v>175</v>
      </c>
      <c r="L711" s="31">
        <v>6.6606784484679249</v>
      </c>
      <c r="M711" s="41" t="s">
        <v>176</v>
      </c>
    </row>
    <row r="712" spans="1:13" x14ac:dyDescent="0.25">
      <c r="A712" s="22" t="str">
        <f>TabVMAzureEnvProjet[[#This Row],[Client]] &amp; " .:. "  &amp; TabVMAzureEnvProjet[[#This Row],[Projet]]</f>
        <v>ONEMA .:. AFB-PATBIODIV</v>
      </c>
      <c r="B712" s="22" t="str">
        <f>IF(TabVMAzureEnvProjet[[#This Row],[Projet AzureDevOps]]&lt;&gt;"",TabVMAzureEnvProjet[[#This Row],[Projet AzureDevOps]],TabVMAzureEnvProjet[[#This Row],[VM]])</f>
        <v>AFB-PATBiodiv</v>
      </c>
      <c r="C712" s="57" t="s">
        <v>64</v>
      </c>
      <c r="E712" t="s">
        <v>4</v>
      </c>
      <c r="F712" t="s">
        <v>63</v>
      </c>
      <c r="G712" t="str">
        <f>LOOKUP(TabVMAzureEnvProjet[[#This Row],[Projet]],TabProjets[NomProj],TabProjets[SYGES])</f>
        <v>ONEMA/TMADCUA-15</v>
      </c>
      <c r="H712" t="str">
        <f>LOOKUP(TabVMAzureEnvProjet[[#This Row],[Projet]],TabProjets[NomProj],TabProjets[CP])</f>
        <v>Rodolphe HABEGGER</v>
      </c>
      <c r="I712">
        <f>LOOKUP(TabVMAzureEnvProjet[[#This Row],[Code SYGES]],TabCONTRATSDI[Contrat SYGES],TabCONTRATSDI[Cost Center])</f>
        <v>305704</v>
      </c>
      <c r="J712" s="22" t="str">
        <f>LOOKUP(TabVMAzureEnvProjet[[#This Row],[Code SYGES]],TabCONTRATSDI[Contrat SYGES],TabCONTRATSDI[Client])</f>
        <v>ONEMA</v>
      </c>
      <c r="K712" t="s">
        <v>175</v>
      </c>
      <c r="L712" s="31">
        <v>5.4387758702842586</v>
      </c>
      <c r="M712" s="41" t="s">
        <v>176</v>
      </c>
    </row>
    <row r="713" spans="1:13" x14ac:dyDescent="0.25">
      <c r="A713" s="22" t="str">
        <f>TabVMAzureEnvProjet[[#This Row],[Client]] &amp; " .:. "  &amp; TabVMAzureEnvProjet[[#This Row],[Projet]]</f>
        <v>AFB .:. AFB-PNM</v>
      </c>
      <c r="B713" s="22" t="str">
        <f>IF(TabVMAzureEnvProjet[[#This Row],[Projet AzureDevOps]]&lt;&gt;"",TabVMAzureEnvProjet[[#This Row],[Projet AzureDevOps]],TabVMAzureEnvProjet[[#This Row],[VM]])</f>
        <v>AFB-PNM</v>
      </c>
      <c r="C713" s="57" t="s">
        <v>5</v>
      </c>
      <c r="E713" t="s">
        <v>4</v>
      </c>
      <c r="F713" t="s">
        <v>5</v>
      </c>
      <c r="G713" t="str">
        <f>LOOKUP(TabVMAzureEnvProjet[[#This Row],[Projet]],TabProjets[NomProj],TabProjets[SYGES])</f>
        <v>AFB/OFB_LOT2</v>
      </c>
      <c r="H713" t="str">
        <f>LOOKUP(TabVMAzureEnvProjet[[#This Row],[Projet]],TabProjets[NomProj],TabProjets[CP])</f>
        <v>Eric RAUCOURT</v>
      </c>
      <c r="I713">
        <f>LOOKUP(TabVMAzureEnvProjet[[#This Row],[Code SYGES]],TabCONTRATSDI[Contrat SYGES],TabCONTRATSDI[Cost Center])</f>
        <v>305704</v>
      </c>
      <c r="J713" s="22" t="str">
        <f>LOOKUP(TabVMAzureEnvProjet[[#This Row],[Code SYGES]],TabCONTRATSDI[Contrat SYGES],TabCONTRATSDI[Client])</f>
        <v>AFB</v>
      </c>
      <c r="K713" t="s">
        <v>175</v>
      </c>
      <c r="L713" s="31">
        <v>4.1980053392819254</v>
      </c>
      <c r="M713" s="41" t="s">
        <v>176</v>
      </c>
    </row>
    <row r="714" spans="1:13" x14ac:dyDescent="0.25">
      <c r="A714" s="22" t="str">
        <f>TabVMAzureEnvProjet[[#This Row],[Client]] &amp; " .:. "  &amp; TabVMAzureEnvProjet[[#This Row],[Projet]]</f>
        <v>AFB .:. AFB-PNX</v>
      </c>
      <c r="B714" s="22" t="str">
        <f>IF(TabVMAzureEnvProjet[[#This Row],[Projet AzureDevOps]]&lt;&gt;"",TabVMAzureEnvProjet[[#This Row],[Projet AzureDevOps]],TabVMAzureEnvProjet[[#This Row],[VM]])</f>
        <v>AFB-PNX</v>
      </c>
      <c r="C714" s="57" t="s">
        <v>8</v>
      </c>
      <c r="E714" t="s">
        <v>4</v>
      </c>
      <c r="F714" t="s">
        <v>8</v>
      </c>
      <c r="G714" t="str">
        <f>LOOKUP(TabVMAzureEnvProjet[[#This Row],[Projet]],TabProjets[NomProj],TabProjets[SYGES])</f>
        <v>AFB/OFB_LOT2</v>
      </c>
      <c r="H714" t="str">
        <f>LOOKUP(TabVMAzureEnvProjet[[#This Row],[Projet]],TabProjets[NomProj],TabProjets[CP])</f>
        <v>Pierre BOURLIEUX</v>
      </c>
      <c r="I714">
        <f>LOOKUP(TabVMAzureEnvProjet[[#This Row],[Code SYGES]],TabCONTRATSDI[Contrat SYGES],TabCONTRATSDI[Cost Center])</f>
        <v>305704</v>
      </c>
      <c r="J714" s="22" t="str">
        <f>LOOKUP(TabVMAzureEnvProjet[[#This Row],[Code SYGES]],TabCONTRATSDI[Contrat SYGES],TabCONTRATSDI[Client])</f>
        <v>AFB</v>
      </c>
      <c r="K714" t="s">
        <v>175</v>
      </c>
      <c r="L714" s="31">
        <v>1.3322285604295512</v>
      </c>
      <c r="M714" s="41" t="s">
        <v>176</v>
      </c>
    </row>
    <row r="715" spans="1:13" x14ac:dyDescent="0.25">
      <c r="A715" s="22" t="str">
        <f>TabVMAzureEnvProjet[[#This Row],[Client]] &amp; " .:. "  &amp; TabVMAzureEnvProjet[[#This Row],[Projet]]</f>
        <v>ONEMA .:. AFB-RAA</v>
      </c>
      <c r="B715" s="22" t="str">
        <f>IF(TabVMAzureEnvProjet[[#This Row],[Projet AzureDevOps]]&lt;&gt;"",TabVMAzureEnvProjet[[#This Row],[Projet AzureDevOps]],TabVMAzureEnvProjet[[#This Row],[VM]])</f>
        <v>AFB-RAA</v>
      </c>
      <c r="C715" s="57" t="s">
        <v>65</v>
      </c>
      <c r="E715" t="s">
        <v>4</v>
      </c>
      <c r="F715" t="s">
        <v>65</v>
      </c>
      <c r="G715" t="str">
        <f>LOOKUP(TabVMAzureEnvProjet[[#This Row],[Projet]],TabProjets[NomProj],TabProjets[SYGES])</f>
        <v>ONEMA/TMAWEB-16</v>
      </c>
      <c r="H715" t="str">
        <f>LOOKUP(TabVMAzureEnvProjet[[#This Row],[Projet]],TabProjets[NomProj],TabProjets[CP])</f>
        <v>Pierre BOURLIEUX</v>
      </c>
      <c r="I715">
        <f>LOOKUP(TabVMAzureEnvProjet[[#This Row],[Code SYGES]],TabCONTRATSDI[Contrat SYGES],TabCONTRATSDI[Cost Center])</f>
        <v>305704</v>
      </c>
      <c r="J715" s="22" t="str">
        <f>LOOKUP(TabVMAzureEnvProjet[[#This Row],[Code SYGES]],TabCONTRATSDI[Contrat SYGES],TabCONTRATSDI[Client])</f>
        <v>ONEMA</v>
      </c>
      <c r="K715" t="s">
        <v>175</v>
      </c>
      <c r="L715" s="31">
        <v>0.21364250163322732</v>
      </c>
      <c r="M715" s="41" t="s">
        <v>176</v>
      </c>
    </row>
    <row r="716" spans="1:13" x14ac:dyDescent="0.25">
      <c r="A716" s="22" t="str">
        <f>TabVMAzureEnvProjet[[#This Row],[Client]] &amp; " .:. "  &amp; TabVMAzureEnvProjet[[#This Row],[Projet]]</f>
        <v>ALM .:. ALM-ATOUT</v>
      </c>
      <c r="B716" s="22" t="str">
        <f>IF(TabVMAzureEnvProjet[[#This Row],[Projet AzureDevOps]]&lt;&gt;"",TabVMAzureEnvProjet[[#This Row],[Projet AzureDevOps]],TabVMAzureEnvProjet[[#This Row],[VM]])</f>
        <v>ALM-ATOUT</v>
      </c>
      <c r="C716" s="57" t="s">
        <v>17</v>
      </c>
      <c r="E716" t="s">
        <v>4</v>
      </c>
      <c r="F716" t="s">
        <v>17</v>
      </c>
      <c r="G716" t="str">
        <f>LOOKUP(TabVMAzureEnvProjet[[#This Row],[Projet]],TabProjets[NomProj],TabProjets[SYGES])</f>
        <v>ALM/TMA_ATOUT</v>
      </c>
      <c r="H716" t="str">
        <f>LOOKUP(TabVMAzureEnvProjet[[#This Row],[Projet]],TabProjets[NomProj],TabProjets[CP])</f>
        <v>Alice MARCHAL</v>
      </c>
      <c r="I716">
        <f>LOOKUP(TabVMAzureEnvProjet[[#This Row],[Code SYGES]],TabCONTRATSDI[Contrat SYGES],TabCONTRATSDI[Cost Center])</f>
        <v>305704</v>
      </c>
      <c r="J716" s="22" t="str">
        <f>LOOKUP(TabVMAzureEnvProjet[[#This Row],[Code SYGES]],TabCONTRATSDI[Contrat SYGES],TabCONTRATSDI[Client])</f>
        <v>ALM</v>
      </c>
      <c r="K716" t="s">
        <v>175</v>
      </c>
      <c r="L716" s="31">
        <v>9.1584470264590365</v>
      </c>
      <c r="M716" s="41" t="s">
        <v>176</v>
      </c>
    </row>
    <row r="717" spans="1:13" x14ac:dyDescent="0.25">
      <c r="A717" s="22" t="str">
        <f>TabVMAzureEnvProjet[[#This Row],[Client]] &amp; " .:. "  &amp; TabVMAzureEnvProjet[[#This Row],[Projet]]</f>
        <v>BRGM .:. BRGM-ORRM</v>
      </c>
      <c r="B717" s="22" t="str">
        <f>IF(TabVMAzureEnvProjet[[#This Row],[Projet AzureDevOps]]&lt;&gt;"",TabVMAzureEnvProjet[[#This Row],[Projet AzureDevOps]],TabVMAzureEnvProjet[[#This Row],[VM]])</f>
        <v>BRGM-ORRM</v>
      </c>
      <c r="C717" s="57" t="s">
        <v>20</v>
      </c>
      <c r="E717" t="s">
        <v>4</v>
      </c>
      <c r="F717" t="s">
        <v>20</v>
      </c>
      <c r="G717" t="str">
        <f>LOOKUP(TabVMAzureEnvProjet[[#This Row],[Projet]],TabProjets[NomProj],TabProjets[SYGES])</f>
        <v>BRGM/TMA-5-1-ORRM-LOT1</v>
      </c>
      <c r="H717" t="str">
        <f>LOOKUP(TabVMAzureEnvProjet[[#This Row],[Projet]],TabProjets[NomProj],TabProjets[CP])</f>
        <v>Alice MARCHAL</v>
      </c>
      <c r="I717">
        <f>LOOKUP(TabVMAzureEnvProjet[[#This Row],[Code SYGES]],TabCONTRATSDI[Contrat SYGES],TabCONTRATSDI[Cost Center])</f>
        <v>305704</v>
      </c>
      <c r="J717" s="22" t="str">
        <f>LOOKUP(TabVMAzureEnvProjet[[#This Row],[Code SYGES]],TabCONTRATSDI[Contrat SYGES],TabCONTRATSDI[Client])</f>
        <v>BRGM</v>
      </c>
      <c r="K717" t="s">
        <v>175</v>
      </c>
      <c r="L717" s="31">
        <v>10.64094973710662</v>
      </c>
      <c r="M717" s="41" t="s">
        <v>176</v>
      </c>
    </row>
    <row r="718" spans="1:13" x14ac:dyDescent="0.25">
      <c r="A718" s="22" t="str">
        <f>TabVMAzureEnvProjet[[#This Row],[Client]] &amp; " .:. "  &amp; TabVMAzureEnvProjet[[#This Row],[Projet]]</f>
        <v>CGOS .:. CGOS-BI</v>
      </c>
      <c r="B718" s="22" t="str">
        <f>IF(TabVMAzureEnvProjet[[#This Row],[Projet AzureDevOps]]&lt;&gt;"",TabVMAzureEnvProjet[[#This Row],[Projet AzureDevOps]],TabVMAzureEnvProjet[[#This Row],[VM]])</f>
        <v>CGOS-BI</v>
      </c>
      <c r="C718" s="57" t="s">
        <v>100</v>
      </c>
      <c r="E718" t="s">
        <v>4</v>
      </c>
      <c r="F718" t="s">
        <v>100</v>
      </c>
      <c r="G718" t="str">
        <f>LOOKUP(TabVMAzureEnvProjet[[#This Row],[Projet]],TabProjets[NomProj],TabProjets[SYGES])</f>
        <v>CGOS-BUILDBI-18</v>
      </c>
      <c r="H718" t="str">
        <f>LOOKUP(TabVMAzureEnvProjet[[#This Row],[Projet]],TabProjets[NomProj],TabProjets[CP])</f>
        <v>Valerie ASSELIN LOZACHMEUR</v>
      </c>
      <c r="I718">
        <f>LOOKUP(TabVMAzureEnvProjet[[#This Row],[Code SYGES]],TabCONTRATSDI[Contrat SYGES],TabCONTRATSDI[Cost Center])</f>
        <v>305704</v>
      </c>
      <c r="J718" s="22" t="str">
        <f>LOOKUP(TabVMAzureEnvProjet[[#This Row],[Code SYGES]],TabCONTRATSDI[Contrat SYGES],TabCONTRATSDI[Client])</f>
        <v>CGOS</v>
      </c>
      <c r="K718" t="s">
        <v>175</v>
      </c>
      <c r="L718" s="31">
        <v>7.0502025538965007</v>
      </c>
      <c r="M718" s="41" t="s">
        <v>176</v>
      </c>
    </row>
    <row r="719" spans="1:13" x14ac:dyDescent="0.25">
      <c r="A719" s="22" t="str">
        <f>TabVMAzureEnvProjet[[#This Row],[Client]] &amp; " .:. "  &amp; TabVMAzureEnvProjet[[#This Row],[Projet]]</f>
        <v>CNAV .:. CNAV-BI-RGCU</v>
      </c>
      <c r="B719" s="22" t="str">
        <f>IF(TabVMAzureEnvProjet[[#This Row],[Projet AzureDevOps]]&lt;&gt;"",TabVMAzureEnvProjet[[#This Row],[Projet AzureDevOps]],TabVMAzureEnvProjet[[#This Row],[VM]])</f>
        <v>CNAV-BI-RGCU</v>
      </c>
      <c r="C719" s="57" t="s">
        <v>27</v>
      </c>
      <c r="E719" t="s">
        <v>4</v>
      </c>
      <c r="F719" t="s">
        <v>27</v>
      </c>
      <c r="G719" t="str">
        <f>LOOKUP(TabVMAzureEnvProjet[[#This Row],[Projet]],TabProjets[NomProj],TabProjets[SYGES])</f>
        <v>CNAV/BI-SIRRGCU</v>
      </c>
      <c r="H719" t="str">
        <f>LOOKUP(TabVMAzureEnvProjet[[#This Row],[Projet]],TabProjets[NomProj],TabProjets[CP])</f>
        <v>Valerie ASSELIN LOZACHMEUR</v>
      </c>
      <c r="I719">
        <f>LOOKUP(TabVMAzureEnvProjet[[#This Row],[Code SYGES]],TabCONTRATSDI[Contrat SYGES],TabCONTRATSDI[Cost Center])</f>
        <v>305704</v>
      </c>
      <c r="J719" s="22" t="str">
        <f>LOOKUP(TabVMAzureEnvProjet[[#This Row],[Code SYGES]],TabCONTRATSDI[Contrat SYGES],TabCONTRATSDI[Client])</f>
        <v>CNAV</v>
      </c>
      <c r="K719" t="s">
        <v>175</v>
      </c>
      <c r="L719" s="31">
        <v>2.3500675179655004</v>
      </c>
      <c r="M719" s="41" t="s">
        <v>176</v>
      </c>
    </row>
    <row r="720" spans="1:13" x14ac:dyDescent="0.25">
      <c r="A720" s="22" t="str">
        <f>TabVMAzureEnvProjet[[#This Row],[Client]] &amp; " .:. "  &amp; TabVMAzureEnvProjet[[#This Row],[Projet]]</f>
        <v>FRR .:. FRR-DIGIPAT</v>
      </c>
      <c r="B720" s="22" t="str">
        <f>IF(TabVMAzureEnvProjet[[#This Row],[Projet AzureDevOps]]&lt;&gt;"",TabVMAzureEnvProjet[[#This Row],[Projet AzureDevOps]],TabVMAzureEnvProjet[[#This Row],[VM]])</f>
        <v>FRR DIGIPAT</v>
      </c>
      <c r="C720" s="57" t="s">
        <v>30</v>
      </c>
      <c r="E720" t="s">
        <v>4</v>
      </c>
      <c r="F720" t="s">
        <v>29</v>
      </c>
      <c r="G720" t="str">
        <f>LOOKUP(TabVMAzureEnvProjet[[#This Row],[Projet]],TabProjets[NomProj],TabProjets[SYGES])</f>
        <v>FRR/TMASI</v>
      </c>
      <c r="H720" t="str">
        <f>LOOKUP(TabVMAzureEnvProjet[[#This Row],[Projet]],TabProjets[NomProj],TabProjets[CP])</f>
        <v>Alice MARCHAL</v>
      </c>
      <c r="I720">
        <f>LOOKUP(TabVMAzureEnvProjet[[#This Row],[Code SYGES]],TabCONTRATSDI[Contrat SYGES],TabCONTRATSDI[Cost Center])</f>
        <v>305704</v>
      </c>
      <c r="J720" s="22" t="str">
        <f>LOOKUP(TabVMAzureEnvProjet[[#This Row],[Code SYGES]],TabCONTRATSDI[Contrat SYGES],TabCONTRATSDI[Client])</f>
        <v>FRR</v>
      </c>
      <c r="K720" t="s">
        <v>175</v>
      </c>
      <c r="L720" s="31">
        <v>4.7026563597827646</v>
      </c>
      <c r="M720" s="41" t="s">
        <v>176</v>
      </c>
    </row>
    <row r="721" spans="1:13" x14ac:dyDescent="0.25">
      <c r="A721" s="22" t="str">
        <f>TabVMAzureEnvProjet[[#This Row],[Client]] &amp; " .:. "  &amp; TabVMAzureEnvProjet[[#This Row],[Projet]]</f>
        <v>FRR .:. FRR-APPLIFRR</v>
      </c>
      <c r="B721" s="22" t="str">
        <f>IF(TabVMAzureEnvProjet[[#This Row],[Projet AzureDevOps]]&lt;&gt;"",TabVMAzureEnvProjet[[#This Row],[Projet AzureDevOps]],TabVMAzureEnvProjet[[#This Row],[VM]])</f>
        <v>FRR-APPLIFRR</v>
      </c>
      <c r="C721" s="57" t="s">
        <v>32</v>
      </c>
      <c r="E721" t="s">
        <v>4</v>
      </c>
      <c r="F721" t="s">
        <v>32</v>
      </c>
      <c r="G721" t="str">
        <f>LOOKUP(TabVMAzureEnvProjet[[#This Row],[Projet]],TabProjets[NomProj],TabProjets[SYGES])</f>
        <v>FRR/TMASI</v>
      </c>
      <c r="H721" t="str">
        <f>LOOKUP(TabVMAzureEnvProjet[[#This Row],[Projet]],TabProjets[NomProj],TabProjets[CP])</f>
        <v>Jean-Philippe STROIAZZO</v>
      </c>
      <c r="I721">
        <f>LOOKUP(TabVMAzureEnvProjet[[#This Row],[Code SYGES]],TabCONTRATSDI[Contrat SYGES],TabCONTRATSDI[Cost Center])</f>
        <v>305704</v>
      </c>
      <c r="J721" s="22" t="str">
        <f>LOOKUP(TabVMAzureEnvProjet[[#This Row],[Code SYGES]],TabCONTRATSDI[Contrat SYGES],TabCONTRATSDI[Client])</f>
        <v>FRR</v>
      </c>
      <c r="K721" t="s">
        <v>175</v>
      </c>
      <c r="L721" s="31">
        <v>1.9639849971568824</v>
      </c>
      <c r="M721" s="41" t="s">
        <v>176</v>
      </c>
    </row>
    <row r="722" spans="1:13" x14ac:dyDescent="0.25">
      <c r="A722" s="22" t="str">
        <f>TabVMAzureEnvProjet[[#This Row],[Client]] &amp; " .:. "  &amp; TabVMAzureEnvProjet[[#This Row],[Projet]]</f>
        <v>FRR .:. FRR-CADENCIER</v>
      </c>
      <c r="B722" s="22" t="str">
        <f>IF(TabVMAzureEnvProjet[[#This Row],[Projet AzureDevOps]]&lt;&gt;"",TabVMAzureEnvProjet[[#This Row],[Projet AzureDevOps]],TabVMAzureEnvProjet[[#This Row],[VM]])</f>
        <v>FRR-CADENCIER</v>
      </c>
      <c r="C722" s="57" t="s">
        <v>33</v>
      </c>
      <c r="E722" t="s">
        <v>4</v>
      </c>
      <c r="F722" t="s">
        <v>33</v>
      </c>
      <c r="G722" t="str">
        <f>LOOKUP(TabVMAzureEnvProjet[[#This Row],[Projet]],TabProjets[NomProj],TabProjets[SYGES])</f>
        <v>FRR/TMASI</v>
      </c>
      <c r="H722" t="str">
        <f>LOOKUP(TabVMAzureEnvProjet[[#This Row],[Projet]],TabProjets[NomProj],TabProjets[CP])</f>
        <v>Jean-Philippe STROIAZZO</v>
      </c>
      <c r="I722">
        <f>LOOKUP(TabVMAzureEnvProjet[[#This Row],[Code SYGES]],TabCONTRATSDI[Contrat SYGES],TabCONTRATSDI[Cost Center])</f>
        <v>305704</v>
      </c>
      <c r="J722" s="22" t="str">
        <f>LOOKUP(TabVMAzureEnvProjet[[#This Row],[Code SYGES]],TabCONTRATSDI[Contrat SYGES],TabCONTRATSDI[Client])</f>
        <v>FRR</v>
      </c>
      <c r="K722" t="s">
        <v>175</v>
      </c>
      <c r="L722" s="31">
        <v>2.4862222233714379</v>
      </c>
      <c r="M722" s="41" t="s">
        <v>176</v>
      </c>
    </row>
    <row r="723" spans="1:13" x14ac:dyDescent="0.25">
      <c r="A723" s="22" t="str">
        <f>TabVMAzureEnvProjet[[#This Row],[Client]] &amp; " .:. "  &amp; TabVMAzureEnvProjet[[#This Row],[Projet]]</f>
        <v>FRR .:. FRR-PATAPAIN</v>
      </c>
      <c r="B723" s="22" t="str">
        <f>IF(TabVMAzureEnvProjet[[#This Row],[Projet AzureDevOps]]&lt;&gt;"",TabVMAzureEnvProjet[[#This Row],[Projet AzureDevOps]],TabVMAzureEnvProjet[[#This Row],[VM]])</f>
        <v>FRR-Patapain</v>
      </c>
      <c r="C723" s="57" t="s">
        <v>35</v>
      </c>
      <c r="E723" t="s">
        <v>4</v>
      </c>
      <c r="F723" t="s">
        <v>34</v>
      </c>
      <c r="G723" t="str">
        <f>LOOKUP(TabVMAzureEnvProjet[[#This Row],[Projet]],TabProjets[NomProj],TabProjets[SYGES])</f>
        <v>FRR/TMASI</v>
      </c>
      <c r="H723" t="str">
        <f>LOOKUP(TabVMAzureEnvProjet[[#This Row],[Projet]],TabProjets[NomProj],TabProjets[CP])</f>
        <v>Christophe ORLANDO</v>
      </c>
      <c r="I723">
        <f>LOOKUP(TabVMAzureEnvProjet[[#This Row],[Code SYGES]],TabCONTRATSDI[Contrat SYGES],TabCONTRATSDI[Cost Center])</f>
        <v>305704</v>
      </c>
      <c r="J723" s="22" t="str">
        <f>LOOKUP(TabVMAzureEnvProjet[[#This Row],[Code SYGES]],TabCONTRATSDI[Contrat SYGES],TabCONTRATSDI[Client])</f>
        <v>FRR</v>
      </c>
      <c r="K723" t="s">
        <v>175</v>
      </c>
      <c r="L723" s="31">
        <v>1.2752572266606905</v>
      </c>
      <c r="M723" s="41" t="s">
        <v>176</v>
      </c>
    </row>
    <row r="724" spans="1:13" x14ac:dyDescent="0.25">
      <c r="A724" s="22" t="str">
        <f>TabVMAzureEnvProjet[[#This Row],[Client]] &amp; " .:. "  &amp; TabVMAzureEnvProjet[[#This Row],[Projet]]</f>
        <v>FRR .:. FRR-PATAPAINANDROID</v>
      </c>
      <c r="B724" s="22" t="str">
        <f>IF(TabVMAzureEnvProjet[[#This Row],[Projet AzureDevOps]]&lt;&gt;"",TabVMAzureEnvProjet[[#This Row],[Projet AzureDevOps]],TabVMAzureEnvProjet[[#This Row],[VM]])</f>
        <v>FRR-PATAPAINANDROID</v>
      </c>
      <c r="C724" s="57" t="s">
        <v>36</v>
      </c>
      <c r="E724" t="s">
        <v>4</v>
      </c>
      <c r="F724" t="s">
        <v>36</v>
      </c>
      <c r="G724" t="str">
        <f>LOOKUP(TabVMAzureEnvProjet[[#This Row],[Projet]],TabProjets[NomProj],TabProjets[SYGES])</f>
        <v>FRR/TMASI</v>
      </c>
      <c r="H724" t="str">
        <f>LOOKUP(TabVMAzureEnvProjet[[#This Row],[Projet]],TabProjets[NomProj],TabProjets[CP])</f>
        <v>Jean-Philippe STROIAZZO</v>
      </c>
      <c r="I724">
        <f>LOOKUP(TabVMAzureEnvProjet[[#This Row],[Code SYGES]],TabCONTRATSDI[Contrat SYGES],TabCONTRATSDI[Cost Center])</f>
        <v>305704</v>
      </c>
      <c r="J724" s="22" t="str">
        <f>LOOKUP(TabVMAzureEnvProjet[[#This Row],[Code SYGES]],TabCONTRATSDI[Contrat SYGES],TabCONTRATSDI[Client])</f>
        <v>FRR</v>
      </c>
      <c r="K724" t="s">
        <v>175</v>
      </c>
      <c r="L724" s="31">
        <v>6.6641200330878831</v>
      </c>
      <c r="M724" s="41" t="s">
        <v>176</v>
      </c>
    </row>
    <row r="725" spans="1:13" x14ac:dyDescent="0.25">
      <c r="A725" s="22" t="str">
        <f>TabVMAzureEnvProjet[[#This Row],[Client]] &amp; " .:. "  &amp; TabVMAzureEnvProjet[[#This Row],[Projet]]</f>
        <v>INETUM .:. INETUM-INTERNE</v>
      </c>
      <c r="B725" s="22" t="str">
        <f>IF(TabVMAzureEnvProjet[[#This Row],[Projet AzureDevOps]]&lt;&gt;"",TabVMAzureEnvProjet[[#This Row],[Projet AzureDevOps]],TabVMAzureEnvProjet[[#This Row],[VM]])</f>
        <v>GFI-BaseDocumentaire</v>
      </c>
      <c r="C725" s="57" t="s">
        <v>112</v>
      </c>
      <c r="E725" t="s">
        <v>4</v>
      </c>
      <c r="F725" t="s">
        <v>102</v>
      </c>
      <c r="G725" t="str">
        <f>LOOKUP(TabVMAzureEnvProjet[[#This Row],[Projet]],TabProjets[NomProj],TabProjets[SYGES])</f>
        <v>INETUM/PROJET_INTERNE</v>
      </c>
      <c r="H725" t="str">
        <f>LOOKUP(TabVMAzureEnvProjet[[#This Row],[Projet]],TabProjets[NomProj],TabProjets[CP])</f>
        <v>Christophe ORLANDO</v>
      </c>
      <c r="I725">
        <f>LOOKUP(TabVMAzureEnvProjet[[#This Row],[Code SYGES]],TabCONTRATSDI[Contrat SYGES],TabCONTRATSDI[Cost Center])</f>
        <v>305704</v>
      </c>
      <c r="J725" s="22" t="str">
        <f>LOOKUP(TabVMAzureEnvProjet[[#This Row],[Code SYGES]],TabCONTRATSDI[Contrat SYGES],TabCONTRATSDI[Client])</f>
        <v>INETUM</v>
      </c>
      <c r="K725" t="s">
        <v>175</v>
      </c>
      <c r="L725" s="31">
        <v>1.7289782453603324</v>
      </c>
      <c r="M725" s="41" t="s">
        <v>176</v>
      </c>
    </row>
    <row r="726" spans="1:13" x14ac:dyDescent="0.25">
      <c r="A726" s="22" t="str">
        <f>TabVMAzureEnvProjet[[#This Row],[Client]] &amp; " .:. "  &amp; TabVMAzureEnvProjet[[#This Row],[Projet]]</f>
        <v>INETUM .:. INETUM-INTERNE</v>
      </c>
      <c r="B726" s="22" t="str">
        <f>IF(TabVMAzureEnvProjet[[#This Row],[Projet AzureDevOps]]&lt;&gt;"",TabVMAzureEnvProjet[[#This Row],[Projet AzureDevOps]],TabVMAzureEnvProjet[[#This Row],[VM]])</f>
        <v>GFI-CMIS</v>
      </c>
      <c r="C726" s="57" t="s">
        <v>106</v>
      </c>
      <c r="E726" t="s">
        <v>4</v>
      </c>
      <c r="F726" t="s">
        <v>102</v>
      </c>
      <c r="G726" t="str">
        <f>LOOKUP(TabVMAzureEnvProjet[[#This Row],[Projet]],TabProjets[NomProj],TabProjets[SYGES])</f>
        <v>INETUM/PROJET_INTERNE</v>
      </c>
      <c r="H726" t="str">
        <f>LOOKUP(TabVMAzureEnvProjet[[#This Row],[Projet]],TabProjets[NomProj],TabProjets[CP])</f>
        <v>Christophe ORLANDO</v>
      </c>
      <c r="I726">
        <f>LOOKUP(TabVMAzureEnvProjet[[#This Row],[Code SYGES]],TabCONTRATSDI[Contrat SYGES],TabCONTRATSDI[Cost Center])</f>
        <v>305704</v>
      </c>
      <c r="J726" s="22" t="str">
        <f>LOOKUP(TabVMAzureEnvProjet[[#This Row],[Code SYGES]],TabCONTRATSDI[Contrat SYGES],TabCONTRATSDI[Client])</f>
        <v>INETUM</v>
      </c>
      <c r="K726" t="s">
        <v>175</v>
      </c>
      <c r="L726" s="31">
        <v>0.21364250163322732</v>
      </c>
      <c r="M726" s="41" t="s">
        <v>176</v>
      </c>
    </row>
    <row r="727" spans="1:13" x14ac:dyDescent="0.25">
      <c r="A727" s="22" t="str">
        <f>TabVMAzureEnvProjet[[#This Row],[Client]] &amp; " .:. "  &amp; TabVMAzureEnvProjet[[#This Row],[Projet]]</f>
        <v>INETUM .:. INETUM-INTERNE</v>
      </c>
      <c r="B727" s="22" t="str">
        <f>IF(TabVMAzureEnvProjet[[#This Row],[Projet AzureDevOps]]&lt;&gt;"",TabVMAzureEnvProjet[[#This Row],[Projet AzureDevOps]],TabVMAzureEnvProjet[[#This Row],[VM]])</f>
        <v>GFI-COFFEE</v>
      </c>
      <c r="C727" s="57" t="s">
        <v>107</v>
      </c>
      <c r="E727" t="s">
        <v>4</v>
      </c>
      <c r="F727" t="s">
        <v>102</v>
      </c>
      <c r="G727" t="str">
        <f>LOOKUP(TabVMAzureEnvProjet[[#This Row],[Projet]],TabProjets[NomProj],TabProjets[SYGES])</f>
        <v>INETUM/PROJET_INTERNE</v>
      </c>
      <c r="H727" t="str">
        <f>LOOKUP(TabVMAzureEnvProjet[[#This Row],[Projet]],TabProjets[NomProj],TabProjets[CP])</f>
        <v>Christophe ORLANDO</v>
      </c>
      <c r="I727">
        <f>LOOKUP(TabVMAzureEnvProjet[[#This Row],[Code SYGES]],TabCONTRATSDI[Contrat SYGES],TabCONTRATSDI[Cost Center])</f>
        <v>305704</v>
      </c>
      <c r="J727" s="22" t="str">
        <f>LOOKUP(TabVMAzureEnvProjet[[#This Row],[Code SYGES]],TabCONTRATSDI[Contrat SYGES],TabCONTRATSDI[Client])</f>
        <v>INETUM</v>
      </c>
      <c r="K727" t="s">
        <v>175</v>
      </c>
      <c r="L727" s="31">
        <v>0.92883620948160261</v>
      </c>
      <c r="M727" s="41" t="s">
        <v>176</v>
      </c>
    </row>
    <row r="728" spans="1:13" x14ac:dyDescent="0.25">
      <c r="A728" s="22" t="str">
        <f>TabVMAzureEnvProjet[[#This Row],[Client]] &amp; " .:. "  &amp; TabVMAzureEnvProjet[[#This Row],[Projet]]</f>
        <v>INETUM .:. INETUM-INTERNE</v>
      </c>
      <c r="B728" s="22" t="str">
        <f>IF(TabVMAzureEnvProjet[[#This Row],[Projet AzureDevOps]]&lt;&gt;"",TabVMAzureEnvProjet[[#This Row],[Projet AzureDevOps]],TabVMAzureEnvProjet[[#This Row],[VM]])</f>
        <v>GFI-CRALENIUM</v>
      </c>
      <c r="C728" s="57" t="s">
        <v>108</v>
      </c>
      <c r="E728" t="s">
        <v>4</v>
      </c>
      <c r="F728" t="s">
        <v>102</v>
      </c>
      <c r="G728" t="str">
        <f>LOOKUP(TabVMAzureEnvProjet[[#This Row],[Projet]],TabProjets[NomProj],TabProjets[SYGES])</f>
        <v>INETUM/PROJET_INTERNE</v>
      </c>
      <c r="H728" t="str">
        <f>LOOKUP(TabVMAzureEnvProjet[[#This Row],[Projet]],TabProjets[NomProj],TabProjets[CP])</f>
        <v>Christophe ORLANDO</v>
      </c>
      <c r="I728">
        <f>LOOKUP(TabVMAzureEnvProjet[[#This Row],[Code SYGES]],TabCONTRATSDI[Contrat SYGES],TabCONTRATSDI[Cost Center])</f>
        <v>305704</v>
      </c>
      <c r="J728" s="22" t="str">
        <f>LOOKUP(TabVMAzureEnvProjet[[#This Row],[Code SYGES]],TabCONTRATSDI[Contrat SYGES],TabCONTRATSDI[Client])</f>
        <v>INETUM</v>
      </c>
      <c r="K728" t="s">
        <v>175</v>
      </c>
      <c r="L728" s="31">
        <v>1.9639849971568824</v>
      </c>
      <c r="M728" s="41" t="s">
        <v>176</v>
      </c>
    </row>
    <row r="729" spans="1:13" x14ac:dyDescent="0.25">
      <c r="A729" s="22" t="str">
        <f>TabVMAzureEnvProjet[[#This Row],[Client]] &amp; " .:. "  &amp; TabVMAzureEnvProjet[[#This Row],[Projet]]</f>
        <v>INETUM .:. INETUM-INTERNE</v>
      </c>
      <c r="B729" s="22" t="str">
        <f>IF(TabVMAzureEnvProjet[[#This Row],[Projet AzureDevOps]]&lt;&gt;"",TabVMAzureEnvProjet[[#This Row],[Projet AzureDevOps]],TabVMAzureEnvProjet[[#This Row],[VM]])</f>
        <v>GFI-D8-BS4-THEME</v>
      </c>
      <c r="C729" s="57" t="s">
        <v>103</v>
      </c>
      <c r="E729" t="s">
        <v>4</v>
      </c>
      <c r="F729" t="s">
        <v>102</v>
      </c>
      <c r="G729" t="str">
        <f>LOOKUP(TabVMAzureEnvProjet[[#This Row],[Projet]],TabProjets[NomProj],TabProjets[SYGES])</f>
        <v>INETUM/PROJET_INTERNE</v>
      </c>
      <c r="H729" t="str">
        <f>LOOKUP(TabVMAzureEnvProjet[[#This Row],[Projet]],TabProjets[NomProj],TabProjets[CP])</f>
        <v>Christophe ORLANDO</v>
      </c>
      <c r="I729">
        <f>LOOKUP(TabVMAzureEnvProjet[[#This Row],[Code SYGES]],TabCONTRATSDI[Contrat SYGES],TabCONTRATSDI[Cost Center])</f>
        <v>305704</v>
      </c>
      <c r="J729" s="22" t="str">
        <f>LOOKUP(TabVMAzureEnvProjet[[#This Row],[Code SYGES]],TabCONTRATSDI[Contrat SYGES],TabCONTRATSDI[Client])</f>
        <v>INETUM</v>
      </c>
      <c r="K729" t="s">
        <v>175</v>
      </c>
      <c r="L729" s="31">
        <v>1.2711728847177024</v>
      </c>
      <c r="M729" s="41" t="s">
        <v>176</v>
      </c>
    </row>
    <row r="730" spans="1:13" x14ac:dyDescent="0.25">
      <c r="A730" s="22" t="str">
        <f>TabVMAzureEnvProjet[[#This Row],[Client]] &amp; " .:. "  &amp; TabVMAzureEnvProjet[[#This Row],[Projet]]</f>
        <v>INETUM .:. INETUM-INTERNE</v>
      </c>
      <c r="B730" s="22" t="str">
        <f>IF(TabVMAzureEnvProjet[[#This Row],[Projet AzureDevOps]]&lt;&gt;"",TabVMAzureEnvProjet[[#This Row],[Projet AzureDevOps]],TabVMAzureEnvProjet[[#This Row],[VM]])</f>
        <v>GFI-Docker Devbox Install</v>
      </c>
      <c r="C730" s="57" t="s">
        <v>109</v>
      </c>
      <c r="E730" t="s">
        <v>4</v>
      </c>
      <c r="F730" t="s">
        <v>102</v>
      </c>
      <c r="G730" t="str">
        <f>LOOKUP(TabVMAzureEnvProjet[[#This Row],[Projet]],TabProjets[NomProj],TabProjets[SYGES])</f>
        <v>INETUM/PROJET_INTERNE</v>
      </c>
      <c r="H730" t="str">
        <f>LOOKUP(TabVMAzureEnvProjet[[#This Row],[Projet]],TabProjets[NomProj],TabProjets[CP])</f>
        <v>Christophe ORLANDO</v>
      </c>
      <c r="I730">
        <f>LOOKUP(TabVMAzureEnvProjet[[#This Row],[Code SYGES]],TabCONTRATSDI[Contrat SYGES],TabCONTRATSDI[Cost Center])</f>
        <v>305704</v>
      </c>
      <c r="J730" s="22" t="str">
        <f>LOOKUP(TabVMAzureEnvProjet[[#This Row],[Code SYGES]],TabCONTRATSDI[Contrat SYGES],TabCONTRATSDI[Client])</f>
        <v>INETUM</v>
      </c>
      <c r="K730" t="s">
        <v>175</v>
      </c>
      <c r="L730" s="31">
        <v>8.4619166008226703</v>
      </c>
      <c r="M730" s="41" t="s">
        <v>176</v>
      </c>
    </row>
    <row r="731" spans="1:13" x14ac:dyDescent="0.25">
      <c r="A731" s="22" t="str">
        <f>TabVMAzureEnvProjet[[#This Row],[Client]] &amp; " .:. "  &amp; TabVMAzureEnvProjet[[#This Row],[Projet]]</f>
        <v>INETUM .:. INETUM-INTERNE</v>
      </c>
      <c r="B731" s="22" t="str">
        <f>IF(TabVMAzureEnvProjet[[#This Row],[Projet AzureDevOps]]&lt;&gt;"",TabVMAzureEnvProjet[[#This Row],[Projet AzureDevOps]],TabVMAzureEnvProjet[[#This Row],[VM]])</f>
        <v>GFI-MineReport</v>
      </c>
      <c r="C731" s="57" t="s">
        <v>104</v>
      </c>
      <c r="E731" t="s">
        <v>4</v>
      </c>
      <c r="F731" t="s">
        <v>102</v>
      </c>
      <c r="G731" t="str">
        <f>LOOKUP(TabVMAzureEnvProjet[[#This Row],[Projet]],TabProjets[NomProj],TabProjets[SYGES])</f>
        <v>INETUM/PROJET_INTERNE</v>
      </c>
      <c r="H731" t="str">
        <f>LOOKUP(TabVMAzureEnvProjet[[#This Row],[Projet]],TabProjets[NomProj],TabProjets[CP])</f>
        <v>Christophe ORLANDO</v>
      </c>
      <c r="I731">
        <f>LOOKUP(TabVMAzureEnvProjet[[#This Row],[Code SYGES]],TabCONTRATSDI[Contrat SYGES],TabCONTRATSDI[Cost Center])</f>
        <v>305704</v>
      </c>
      <c r="J731" s="22" t="str">
        <f>LOOKUP(TabVMAzureEnvProjet[[#This Row],[Code SYGES]],TabCONTRATSDI[Contrat SYGES],TabCONTRATSDI[Client])</f>
        <v>INETUM</v>
      </c>
      <c r="K731" t="s">
        <v>175</v>
      </c>
      <c r="L731" s="31">
        <v>2.0625634532189294</v>
      </c>
      <c r="M731" s="41" t="s">
        <v>176</v>
      </c>
    </row>
    <row r="732" spans="1:13" x14ac:dyDescent="0.25">
      <c r="A732" s="22" t="str">
        <f>TabVMAzureEnvProjet[[#This Row],[Client]] &amp; " .:. "  &amp; TabVMAzureEnvProjet[[#This Row],[Projet]]</f>
        <v>INETUM .:. INETUM-INTERNE</v>
      </c>
      <c r="B732" s="22" t="str">
        <f>IF(TabVMAzureEnvProjet[[#This Row],[Projet AzureDevOps]]&lt;&gt;"",TabVMAzureEnvProjet[[#This Row],[Projet AzureDevOps]],TabVMAzureEnvProjet[[#This Row],[VM]])</f>
        <v>GFI-PMT</v>
      </c>
      <c r="C732" s="57" t="s">
        <v>110</v>
      </c>
      <c r="E732" t="s">
        <v>4</v>
      </c>
      <c r="F732" t="s">
        <v>102</v>
      </c>
      <c r="G732" t="str">
        <f>LOOKUP(TabVMAzureEnvProjet[[#This Row],[Projet]],TabProjets[NomProj],TabProjets[SYGES])</f>
        <v>INETUM/PROJET_INTERNE</v>
      </c>
      <c r="H732" t="str">
        <f>LOOKUP(TabVMAzureEnvProjet[[#This Row],[Projet]],TabProjets[NomProj],TabProjets[CP])</f>
        <v>Christophe ORLANDO</v>
      </c>
      <c r="I732">
        <f>LOOKUP(TabVMAzureEnvProjet[[#This Row],[Code SYGES]],TabCONTRATSDI[Contrat SYGES],TabCONTRATSDI[Cost Center])</f>
        <v>305704</v>
      </c>
      <c r="J732" s="22" t="str">
        <f>LOOKUP(TabVMAzureEnvProjet[[#This Row],[Code SYGES]],TabCONTRATSDI[Contrat SYGES],TabCONTRATSDI[Client])</f>
        <v>INETUM</v>
      </c>
      <c r="K732" t="s">
        <v>175</v>
      </c>
      <c r="L732" s="31">
        <v>2.8999603228457103</v>
      </c>
      <c r="M732" s="41" t="s">
        <v>176</v>
      </c>
    </row>
    <row r="733" spans="1:13" x14ac:dyDescent="0.25">
      <c r="A733" s="22" t="str">
        <f>TabVMAzureEnvProjet[[#This Row],[Client]] &amp; " .:. "  &amp; TabVMAzureEnvProjet[[#This Row],[Projet]]</f>
        <v>INETUM .:. INETUM-INTERNE</v>
      </c>
      <c r="B733" s="22" t="str">
        <f>IF(TabVMAzureEnvProjet[[#This Row],[Projet AzureDevOps]]&lt;&gt;"",TabVMAzureEnvProjet[[#This Row],[Projet AzureDevOps]],TabVMAzureEnvProjet[[#This Row],[VM]])</f>
        <v>GFI-RedmineDocker</v>
      </c>
      <c r="C733" s="57" t="s">
        <v>105</v>
      </c>
      <c r="E733" t="s">
        <v>4</v>
      </c>
      <c r="F733" t="s">
        <v>102</v>
      </c>
      <c r="G733" t="str">
        <f>LOOKUP(TabVMAzureEnvProjet[[#This Row],[Projet]],TabProjets[NomProj],TabProjets[SYGES])</f>
        <v>INETUM/PROJET_INTERNE</v>
      </c>
      <c r="H733" t="str">
        <f>LOOKUP(TabVMAzureEnvProjet[[#This Row],[Projet]],TabProjets[NomProj],TabProjets[CP])</f>
        <v>Christophe ORLANDO</v>
      </c>
      <c r="I733">
        <f>LOOKUP(TabVMAzureEnvProjet[[#This Row],[Code SYGES]],TabCONTRATSDI[Contrat SYGES],TabCONTRATSDI[Cost Center])</f>
        <v>305704</v>
      </c>
      <c r="J733" s="22" t="str">
        <f>LOOKUP(TabVMAzureEnvProjet[[#This Row],[Code SYGES]],TabCONTRATSDI[Contrat SYGES],TabCONTRATSDI[Client])</f>
        <v>INETUM</v>
      </c>
      <c r="K733" t="s">
        <v>175</v>
      </c>
      <c r="L733" s="31">
        <v>0.89810929434203368</v>
      </c>
      <c r="M733" s="41" t="s">
        <v>176</v>
      </c>
    </row>
    <row r="734" spans="1:13" x14ac:dyDescent="0.25">
      <c r="A734" s="22" t="str">
        <f>TabVMAzureEnvProjet[[#This Row],[Client]] &amp; " .:. "  &amp; TabVMAzureEnvProjet[[#This Row],[Projet]]</f>
        <v>INETUM .:. INETUM-INTERNE</v>
      </c>
      <c r="B734" s="22" t="str">
        <f>IF(TabVMAzureEnvProjet[[#This Row],[Projet AzureDevOps]]&lt;&gt;"",TabVMAzureEnvProjet[[#This Row],[Projet AzureDevOps]],TabVMAzureEnvProjet[[#This Row],[VM]])</f>
        <v>GFI-TENDER</v>
      </c>
      <c r="C734" s="57" t="s">
        <v>111</v>
      </c>
      <c r="E734" t="s">
        <v>4</v>
      </c>
      <c r="F734" t="s">
        <v>102</v>
      </c>
      <c r="G734" t="str">
        <f>LOOKUP(TabVMAzureEnvProjet[[#This Row],[Projet]],TabProjets[NomProj],TabProjets[SYGES])</f>
        <v>INETUM/PROJET_INTERNE</v>
      </c>
      <c r="H734" t="str">
        <f>LOOKUP(TabVMAzureEnvProjet[[#This Row],[Projet]],TabProjets[NomProj],TabProjets[CP])</f>
        <v>Christophe ORLANDO</v>
      </c>
      <c r="I734">
        <f>LOOKUP(TabVMAzureEnvProjet[[#This Row],[Code SYGES]],TabCONTRATSDI[Contrat SYGES],TabCONTRATSDI[Cost Center])</f>
        <v>305704</v>
      </c>
      <c r="J734" s="22" t="str">
        <f>LOOKUP(TabVMAzureEnvProjet[[#This Row],[Code SYGES]],TabCONTRATSDI[Contrat SYGES],TabCONTRATSDI[Client])</f>
        <v>INETUM</v>
      </c>
      <c r="K734" t="s">
        <v>175</v>
      </c>
      <c r="L734" s="31">
        <v>1.9639849971568824</v>
      </c>
      <c r="M734" s="41" t="s">
        <v>176</v>
      </c>
    </row>
    <row r="735" spans="1:13" x14ac:dyDescent="0.25">
      <c r="A735" s="22" t="str">
        <f>TabVMAzureEnvProjet[[#This Row],[Client]] &amp; " .:. "  &amp; TabVMAzureEnvProjet[[#This Row],[Projet]]</f>
        <v>GFI .:. GFI-WAAC</v>
      </c>
      <c r="B735" s="22" t="str">
        <f>IF(TabVMAzureEnvProjet[[#This Row],[Projet AzureDevOps]]&lt;&gt;"",TabVMAzureEnvProjet[[#This Row],[Projet AzureDevOps]],TabVMAzureEnvProjet[[#This Row],[VM]])</f>
        <v>GFI-WAAC</v>
      </c>
      <c r="C735" s="57" t="s">
        <v>38</v>
      </c>
      <c r="E735" t="s">
        <v>4</v>
      </c>
      <c r="F735" t="s">
        <v>38</v>
      </c>
      <c r="G735" t="str">
        <f>LOOKUP(TabVMAzureEnvProjet[[#This Row],[Projet]],TabProjets[NomProj],TabProjets[SYGES])</f>
        <v>383928 - WAAC 1.0</v>
      </c>
      <c r="H735" t="str">
        <f>LOOKUP(TabVMAzureEnvProjet[[#This Row],[Projet]],TabProjets[NomProj],TabProjets[CP])</f>
        <v>Laurent MARCIANIAK</v>
      </c>
      <c r="I735">
        <f>LOOKUP(TabVMAzureEnvProjet[[#This Row],[Code SYGES]],TabCONTRATSDI[Contrat SYGES],TabCONTRATSDI[Cost Center])</f>
        <v>100973</v>
      </c>
      <c r="J735" s="22" t="str">
        <f>LOOKUP(TabVMAzureEnvProjet[[#This Row],[Code SYGES]],TabCONTRATSDI[Contrat SYGES],TabCONTRATSDI[Client])</f>
        <v>GFI</v>
      </c>
      <c r="K735" t="s">
        <v>175</v>
      </c>
      <c r="L735" s="31">
        <v>178.65328266019145</v>
      </c>
      <c r="M735" s="41" t="s">
        <v>176</v>
      </c>
    </row>
    <row r="736" spans="1:13" x14ac:dyDescent="0.25">
      <c r="A736" s="22" t="str">
        <f>TabVMAzureEnvProjet[[#This Row],[Client]] &amp; " .:. "  &amp; TabVMAzureEnvProjet[[#This Row],[Projet]]</f>
        <v>GLI .:. GLI-APIBIOMETRIE</v>
      </c>
      <c r="B736" s="22" t="str">
        <f>IF(TabVMAzureEnvProjet[[#This Row],[Projet AzureDevOps]]&lt;&gt;"",TabVMAzureEnvProjet[[#This Row],[Projet AzureDevOps]],TabVMAzureEnvProjet[[#This Row],[VM]])</f>
        <v>GLI-APIBiometrie</v>
      </c>
      <c r="C736" s="57" t="s">
        <v>42</v>
      </c>
      <c r="E736" t="s">
        <v>4</v>
      </c>
      <c r="F736" t="s">
        <v>41</v>
      </c>
      <c r="G736" t="str">
        <f>LOOKUP(TabVMAzureEnvProjet[[#This Row],[Projet]],TabProjets[NomProj],TabProjets[SYGES])</f>
        <v>GLI/BIOMETRIE</v>
      </c>
      <c r="H736" t="str">
        <f>LOOKUP(TabVMAzureEnvProjet[[#This Row],[Projet]],TabProjets[NomProj],TabProjets[CP])</f>
        <v>Rodolphe HABEGGER</v>
      </c>
      <c r="I736">
        <f>LOOKUP(TabVMAzureEnvProjet[[#This Row],[Code SYGES]],TabCONTRATSDI[Contrat SYGES],TabCONTRATSDI[Cost Center])</f>
        <v>305704</v>
      </c>
      <c r="J736" s="22" t="str">
        <f>LOOKUP(TabVMAzureEnvProjet[[#This Row],[Code SYGES]],TabCONTRATSDI[Contrat SYGES],TabCONTRATSDI[Client])</f>
        <v>GLI</v>
      </c>
      <c r="K736" t="s">
        <v>175</v>
      </c>
      <c r="L736" s="31">
        <v>2.0975593392257244</v>
      </c>
      <c r="M736" s="41" t="s">
        <v>176</v>
      </c>
    </row>
    <row r="737" spans="1:13" x14ac:dyDescent="0.25">
      <c r="A737" s="22" t="str">
        <f>TabVMAzureEnvProjet[[#This Row],[Client]] &amp; " .:. "  &amp; TabVMAzureEnvProjet[[#This Row],[Projet]]</f>
        <v>INETUM .:. INETUM-INTERNE</v>
      </c>
      <c r="B737" s="22" t="str">
        <f>IF(TabVMAzureEnvProjet[[#This Row],[Projet AzureDevOps]]&lt;&gt;"",TabVMAzureEnvProjet[[#This Row],[Projet AzureDevOps]],TabVMAzureEnvProjet[[#This Row],[VM]])</f>
        <v>INETUM-Azure-Pipelines</v>
      </c>
      <c r="C737" s="57" t="s">
        <v>116</v>
      </c>
      <c r="E737" t="s">
        <v>4</v>
      </c>
      <c r="F737" t="s">
        <v>102</v>
      </c>
      <c r="G737" t="str">
        <f>LOOKUP(TabVMAzureEnvProjet[[#This Row],[Projet]],TabProjets[NomProj],TabProjets[SYGES])</f>
        <v>INETUM/PROJET_INTERNE</v>
      </c>
      <c r="H737" t="str">
        <f>LOOKUP(TabVMAzureEnvProjet[[#This Row],[Projet]],TabProjets[NomProj],TabProjets[CP])</f>
        <v>Christophe ORLANDO</v>
      </c>
      <c r="I737">
        <f>LOOKUP(TabVMAzureEnvProjet[[#This Row],[Code SYGES]],TabCONTRATSDI[Contrat SYGES],TabCONTRATSDI[Cost Center])</f>
        <v>305704</v>
      </c>
      <c r="J737" s="22" t="str">
        <f>LOOKUP(TabVMAzureEnvProjet[[#This Row],[Code SYGES]],TabCONTRATSDI[Contrat SYGES],TabCONTRATSDI[Client])</f>
        <v>INETUM</v>
      </c>
      <c r="K737" t="s">
        <v>175</v>
      </c>
      <c r="L737" s="31">
        <v>3.6105910951901183</v>
      </c>
      <c r="M737" s="41" t="s">
        <v>176</v>
      </c>
    </row>
    <row r="738" spans="1:13" x14ac:dyDescent="0.25">
      <c r="A738" s="22" t="str">
        <f>TabVMAzureEnvProjet[[#This Row],[Client]] &amp; " .:. "  &amp; TabVMAzureEnvProjet[[#This Row],[Projet]]</f>
        <v>INETUM .:. INETUM-INTERNE</v>
      </c>
      <c r="B738" s="22" t="str">
        <f>IF(TabVMAzureEnvProjet[[#This Row],[Projet AzureDevOps]]&lt;&gt;"",TabVMAzureEnvProjet[[#This Row],[Projet AzureDevOps]],TabVMAzureEnvProjet[[#This Row],[VM]])</f>
        <v>INETUM-communaute-technique</v>
      </c>
      <c r="C738" s="57" t="s">
        <v>113</v>
      </c>
      <c r="E738" t="s">
        <v>4</v>
      </c>
      <c r="F738" t="s">
        <v>102</v>
      </c>
      <c r="G738" t="str">
        <f>LOOKUP(TabVMAzureEnvProjet[[#This Row],[Projet]],TabProjets[NomProj],TabProjets[SYGES])</f>
        <v>INETUM/PROJET_INTERNE</v>
      </c>
      <c r="H738" t="str">
        <f>LOOKUP(TabVMAzureEnvProjet[[#This Row],[Projet]],TabProjets[NomProj],TabProjets[CP])</f>
        <v>Christophe ORLANDO</v>
      </c>
      <c r="I738">
        <f>LOOKUP(TabVMAzureEnvProjet[[#This Row],[Code SYGES]],TabCONTRATSDI[Contrat SYGES],TabCONTRATSDI[Cost Center])</f>
        <v>305704</v>
      </c>
      <c r="J738" s="22" t="str">
        <f>LOOKUP(TabVMAzureEnvProjet[[#This Row],[Code SYGES]],TabCONTRATSDI[Contrat SYGES],TabCONTRATSDI[Client])</f>
        <v>INETUM</v>
      </c>
      <c r="K738" t="s">
        <v>175</v>
      </c>
      <c r="L738" s="31">
        <v>1.2605235772246177</v>
      </c>
      <c r="M738" s="41" t="s">
        <v>176</v>
      </c>
    </row>
    <row r="739" spans="1:13" x14ac:dyDescent="0.25">
      <c r="A739" s="22" t="str">
        <f>TabVMAzureEnvProjet[[#This Row],[Client]] &amp; " .:. "  &amp; TabVMAzureEnvProjet[[#This Row],[Projet]]</f>
        <v>INETUM .:. INETUM-INTERNE</v>
      </c>
      <c r="B739" s="22" t="str">
        <f>IF(TabVMAzureEnvProjet[[#This Row],[Projet AzureDevOps]]&lt;&gt;"",TabVMAzureEnvProjet[[#This Row],[Projet AzureDevOps]],TabVMAzureEnvProjet[[#This Row],[VM]])</f>
        <v>INETUM-documentation</v>
      </c>
      <c r="C739" s="57" t="s">
        <v>114</v>
      </c>
      <c r="E739" t="s">
        <v>4</v>
      </c>
      <c r="F739" t="s">
        <v>102</v>
      </c>
      <c r="G739" t="str">
        <f>LOOKUP(TabVMAzureEnvProjet[[#This Row],[Projet]],TabProjets[NomProj],TabProjets[SYGES])</f>
        <v>INETUM/PROJET_INTERNE</v>
      </c>
      <c r="H739" t="str">
        <f>LOOKUP(TabVMAzureEnvProjet[[#This Row],[Projet]],TabProjets[NomProj],TabProjets[CP])</f>
        <v>Christophe ORLANDO</v>
      </c>
      <c r="I739">
        <f>LOOKUP(TabVMAzureEnvProjet[[#This Row],[Code SYGES]],TabCONTRATSDI[Contrat SYGES],TabCONTRATSDI[Cost Center])</f>
        <v>305704</v>
      </c>
      <c r="J739" s="22" t="str">
        <f>LOOKUP(TabVMAzureEnvProjet[[#This Row],[Code SYGES]],TabCONTRATSDI[Contrat SYGES],TabCONTRATSDI[Client])</f>
        <v>INETUM</v>
      </c>
      <c r="K739" t="s">
        <v>175</v>
      </c>
      <c r="L739" s="31">
        <v>1.2605235772246177</v>
      </c>
      <c r="M739" s="41" t="s">
        <v>176</v>
      </c>
    </row>
    <row r="740" spans="1:13" x14ac:dyDescent="0.25">
      <c r="A740" s="22" t="str">
        <f>TabVMAzureEnvProjet[[#This Row],[Client]] &amp; " .:. "  &amp; TabVMAzureEnvProjet[[#This Row],[Projet]]</f>
        <v>INETUM .:. INETUM-INTERNE</v>
      </c>
      <c r="B740" s="22" t="str">
        <f>IF(TabVMAzureEnvProjet[[#This Row],[Projet AzureDevOps]]&lt;&gt;"",TabVMAzureEnvProjet[[#This Row],[Projet AzureDevOps]],TabVMAzureEnvProjet[[#This Row],[VM]])</f>
        <v>INETUM-starterkit-drupal</v>
      </c>
      <c r="C740" s="57" t="s">
        <v>117</v>
      </c>
      <c r="E740" t="s">
        <v>4</v>
      </c>
      <c r="F740" t="s">
        <v>102</v>
      </c>
      <c r="G740" t="str">
        <f>LOOKUP(TabVMAzureEnvProjet[[#This Row],[Projet]],TabProjets[NomProj],TabProjets[SYGES])</f>
        <v>INETUM/PROJET_INTERNE</v>
      </c>
      <c r="H740" t="str">
        <f>LOOKUP(TabVMAzureEnvProjet[[#This Row],[Projet]],TabProjets[NomProj],TabProjets[CP])</f>
        <v>Christophe ORLANDO</v>
      </c>
      <c r="I740">
        <f>LOOKUP(TabVMAzureEnvProjet[[#This Row],[Code SYGES]],TabCONTRATSDI[Contrat SYGES],TabCONTRATSDI[Cost Center])</f>
        <v>305704</v>
      </c>
      <c r="J740" s="22" t="str">
        <f>LOOKUP(TabVMAzureEnvProjet[[#This Row],[Code SYGES]],TabCONTRATSDI[Contrat SYGES],TabCONTRATSDI[Client])</f>
        <v>INETUM</v>
      </c>
      <c r="K740" t="s">
        <v>175</v>
      </c>
      <c r="L740" s="31">
        <v>5.8375598384050447</v>
      </c>
      <c r="M740" s="41" t="s">
        <v>176</v>
      </c>
    </row>
    <row r="741" spans="1:13" x14ac:dyDescent="0.25">
      <c r="A741" s="22" t="str">
        <f>TabVMAzureEnvProjet[[#This Row],[Client]] &amp; " .:. "  &amp; TabVMAzureEnvProjet[[#This Row],[Projet]]</f>
        <v>INETUM .:. INETUM-INTERNE</v>
      </c>
      <c r="B741" s="22" t="str">
        <f>IF(TabVMAzureEnvProjet[[#This Row],[Projet AzureDevOps]]&lt;&gt;"",TabVMAzureEnvProjet[[#This Row],[Projet AzureDevOps]],TabVMAzureEnvProjet[[#This Row],[VM]])</f>
        <v>INETUM-starterkit-symfony</v>
      </c>
      <c r="C741" s="57" t="s">
        <v>115</v>
      </c>
      <c r="E741" t="s">
        <v>4</v>
      </c>
      <c r="F741" t="s">
        <v>102</v>
      </c>
      <c r="G741" t="str">
        <f>LOOKUP(TabVMAzureEnvProjet[[#This Row],[Projet]],TabProjets[NomProj],TabProjets[SYGES])</f>
        <v>INETUM/PROJET_INTERNE</v>
      </c>
      <c r="H741" t="str">
        <f>LOOKUP(TabVMAzureEnvProjet[[#This Row],[Projet]],TabProjets[NomProj],TabProjets[CP])</f>
        <v>Christophe ORLANDO</v>
      </c>
      <c r="I741">
        <f>LOOKUP(TabVMAzureEnvProjet[[#This Row],[Code SYGES]],TabCONTRATSDI[Contrat SYGES],TabCONTRATSDI[Cost Center])</f>
        <v>305704</v>
      </c>
      <c r="J741" s="22" t="str">
        <f>LOOKUP(TabVMAzureEnvProjet[[#This Row],[Code SYGES]],TabCONTRATSDI[Contrat SYGES],TabCONTRATSDI[Client])</f>
        <v>INETUM</v>
      </c>
      <c r="K741" t="s">
        <v>175</v>
      </c>
      <c r="L741" s="31">
        <v>0.365259760856808</v>
      </c>
      <c r="M741" s="41" t="s">
        <v>176</v>
      </c>
    </row>
    <row r="742" spans="1:13" x14ac:dyDescent="0.25">
      <c r="A742" s="22" t="str">
        <f>TabVMAzureEnvProjet[[#This Row],[Client]] &amp; " .:. "  &amp; TabVMAzureEnvProjet[[#This Row],[Projet]]</f>
        <v>LAPOSTE .:. LAPOSTE-CDC</v>
      </c>
      <c r="B742" s="22" t="str">
        <f>IF(TabVMAzureEnvProjet[[#This Row],[Projet AzureDevOps]]&lt;&gt;"",TabVMAzureEnvProjet[[#This Row],[Projet AzureDevOps]],TabVMAzureEnvProjet[[#This Row],[VM]])</f>
        <v>LAPOSTE-F4N-Musee</v>
      </c>
      <c r="C742" s="57" t="s">
        <v>83</v>
      </c>
      <c r="E742" t="s">
        <v>4</v>
      </c>
      <c r="F742" t="s">
        <v>82</v>
      </c>
      <c r="G742" t="str">
        <f>LOOKUP(TabVMAzureEnvProjet[[#This Row],[Projet]],TabProjets[NomProj],TabProjets[SYGES])</f>
        <v>LA-POSTE/CDC_DRUPAL</v>
      </c>
      <c r="H742" t="str">
        <f>LOOKUP(TabVMAzureEnvProjet[[#This Row],[Projet]],TabProjets[NomProj],TabProjets[CP])</f>
        <v>Rodolphe HABEGGER</v>
      </c>
      <c r="I742">
        <f>LOOKUP(TabVMAzureEnvProjet[[#This Row],[Code SYGES]],TabCONTRATSDI[Contrat SYGES],TabCONTRATSDI[Cost Center])</f>
        <v>305704</v>
      </c>
      <c r="J742" s="22" t="str">
        <f>LOOKUP(TabVMAzureEnvProjet[[#This Row],[Code SYGES]],TabCONTRATSDI[Contrat SYGES],TabCONTRATSDI[Client])</f>
        <v>LAPOSTE</v>
      </c>
      <c r="K742" t="s">
        <v>175</v>
      </c>
      <c r="L742" s="31">
        <v>2.1837982420366853</v>
      </c>
      <c r="M742" s="41" t="s">
        <v>176</v>
      </c>
    </row>
    <row r="743" spans="1:13" x14ac:dyDescent="0.25">
      <c r="A743" s="22" t="str">
        <f>TabVMAzureEnvProjet[[#This Row],[Client]] &amp; " .:. "  &amp; TabVMAzureEnvProjet[[#This Row],[Projet]]</f>
        <v>LAPOSTE .:. LAPOSTE-CDC</v>
      </c>
      <c r="B743" s="22" t="str">
        <f>IF(TabVMAzureEnvProjet[[#This Row],[Projet AzureDevOps]]&lt;&gt;"",TabVMAzureEnvProjet[[#This Row],[Projet AzureDevOps]],TabVMAzureEnvProjet[[#This Row],[VM]])</f>
        <v>LAPOSTE-L71-PDP</v>
      </c>
      <c r="C743" s="57" t="s">
        <v>86</v>
      </c>
      <c r="E743" t="s">
        <v>4</v>
      </c>
      <c r="F743" t="s">
        <v>82</v>
      </c>
      <c r="G743" t="str">
        <f>LOOKUP(TabVMAzureEnvProjet[[#This Row],[Projet]],TabProjets[NomProj],TabProjets[SYGES])</f>
        <v>LA-POSTE/CDC_DRUPAL</v>
      </c>
      <c r="H743" t="str">
        <f>LOOKUP(TabVMAzureEnvProjet[[#This Row],[Projet]],TabProjets[NomProj],TabProjets[CP])</f>
        <v>Rodolphe HABEGGER</v>
      </c>
      <c r="I743">
        <f>LOOKUP(TabVMAzureEnvProjet[[#This Row],[Code SYGES]],TabCONTRATSDI[Contrat SYGES],TabCONTRATSDI[Cost Center])</f>
        <v>305704</v>
      </c>
      <c r="J743" s="22" t="str">
        <f>LOOKUP(TabVMAzureEnvProjet[[#This Row],[Code SYGES]],TabCONTRATSDI[Contrat SYGES],TabCONTRATSDI[Client])</f>
        <v>LAPOSTE</v>
      </c>
      <c r="K743" t="s">
        <v>175</v>
      </c>
      <c r="L743" s="31">
        <v>2.0727110359764054</v>
      </c>
      <c r="M743" s="41" t="s">
        <v>176</v>
      </c>
    </row>
    <row r="744" spans="1:13" x14ac:dyDescent="0.25">
      <c r="A744" s="22" t="str">
        <f>TabVMAzureEnvProjet[[#This Row],[Client]] &amp; " .:. "  &amp; TabVMAzureEnvProjet[[#This Row],[Projet]]</f>
        <v>LAPOSTE .:. LAPOSTE-CDC</v>
      </c>
      <c r="B744" s="22" t="str">
        <f>IF(TabVMAzureEnvProjet[[#This Row],[Projet AzureDevOps]]&lt;&gt;"",TabVMAzureEnvProjet[[#This Row],[Projet AzureDevOps]],TabVMAzureEnvProjet[[#This Row],[VM]])</f>
        <v>LAPOSTE-LCA-PariteUn-e</v>
      </c>
      <c r="C744" s="57" t="s">
        <v>87</v>
      </c>
      <c r="E744" t="s">
        <v>4</v>
      </c>
      <c r="F744" t="s">
        <v>82</v>
      </c>
      <c r="G744" t="str">
        <f>LOOKUP(TabVMAzureEnvProjet[[#This Row],[Projet]],TabProjets[NomProj],TabProjets[SYGES])</f>
        <v>LA-POSTE/CDC_DRUPAL</v>
      </c>
      <c r="H744" t="str">
        <f>LOOKUP(TabVMAzureEnvProjet[[#This Row],[Projet]],TabProjets[NomProj],TabProjets[CP])</f>
        <v>Rodolphe HABEGGER</v>
      </c>
      <c r="I744">
        <f>LOOKUP(TabVMAzureEnvProjet[[#This Row],[Code SYGES]],TabCONTRATSDI[Contrat SYGES],TabCONTRATSDI[Cost Center])</f>
        <v>305704</v>
      </c>
      <c r="J744" s="22" t="str">
        <f>LOOKUP(TabVMAzureEnvProjet[[#This Row],[Code SYGES]],TabCONTRATSDI[Contrat SYGES],TabCONTRATSDI[Client])</f>
        <v>LAPOSTE</v>
      </c>
      <c r="K744" t="s">
        <v>175</v>
      </c>
      <c r="L744" s="31">
        <v>2.0973970817675789</v>
      </c>
      <c r="M744" s="41" t="s">
        <v>176</v>
      </c>
    </row>
    <row r="745" spans="1:13" x14ac:dyDescent="0.25">
      <c r="A745" s="22" t="str">
        <f>TabVMAzureEnvProjet[[#This Row],[Client]] &amp; " .:. "  &amp; TabVMAzureEnvProjet[[#This Row],[Projet]]</f>
        <v>LAPOSTE .:. LAPOSTE-CDC</v>
      </c>
      <c r="B745" s="22" t="str">
        <f>IF(TabVMAzureEnvProjet[[#This Row],[Projet AzureDevOps]]&lt;&gt;"",TabVMAzureEnvProjet[[#This Row],[Projet AzureDevOps]],TabVMAzureEnvProjet[[#This Row],[VM]])</f>
        <v>LAPOSTE-LPK-PortailVoyage</v>
      </c>
      <c r="C745" s="57" t="s">
        <v>84</v>
      </c>
      <c r="E745" t="s">
        <v>4</v>
      </c>
      <c r="F745" t="s">
        <v>82</v>
      </c>
      <c r="G745" t="str">
        <f>LOOKUP(TabVMAzureEnvProjet[[#This Row],[Projet]],TabProjets[NomProj],TabProjets[SYGES])</f>
        <v>LA-POSTE/CDC_DRUPAL</v>
      </c>
      <c r="H745" t="str">
        <f>LOOKUP(TabVMAzureEnvProjet[[#This Row],[Projet]],TabProjets[NomProj],TabProjets[CP])</f>
        <v>Rodolphe HABEGGER</v>
      </c>
      <c r="I745">
        <f>LOOKUP(TabVMAzureEnvProjet[[#This Row],[Code SYGES]],TabCONTRATSDI[Contrat SYGES],TabCONTRATSDI[Cost Center])</f>
        <v>305704</v>
      </c>
      <c r="J745" s="22" t="str">
        <f>LOOKUP(TabVMAzureEnvProjet[[#This Row],[Code SYGES]],TabCONTRATSDI[Contrat SYGES],TabCONTRATSDI[Client])</f>
        <v>LAPOSTE</v>
      </c>
      <c r="K745" t="s">
        <v>175</v>
      </c>
      <c r="L745" s="31">
        <v>2.4183156770528318</v>
      </c>
      <c r="M745" s="41" t="s">
        <v>176</v>
      </c>
    </row>
    <row r="746" spans="1:13" x14ac:dyDescent="0.25">
      <c r="A746" s="22" t="str">
        <f>TabVMAzureEnvProjet[[#This Row],[Client]] &amp; " .:. "  &amp; TabVMAzureEnvProjet[[#This Row],[Projet]]</f>
        <v>LAPOSTE .:. LAPOSTE-CDC</v>
      </c>
      <c r="B746" s="22" t="str">
        <f>IF(TabVMAzureEnvProjet[[#This Row],[Projet AzureDevOps]]&lt;&gt;"",TabVMAzureEnvProjet[[#This Row],[Projet AzureDevOps]],TabVMAzureEnvProjet[[#This Row],[VM]])</f>
        <v>LAPOSTE-LPM-IntranetDHA</v>
      </c>
      <c r="C746" s="57" t="s">
        <v>85</v>
      </c>
      <c r="E746" t="s">
        <v>4</v>
      </c>
      <c r="F746" t="s">
        <v>82</v>
      </c>
      <c r="G746" t="str">
        <f>LOOKUP(TabVMAzureEnvProjet[[#This Row],[Projet]],TabProjets[NomProj],TabProjets[SYGES])</f>
        <v>LA-POSTE/CDC_DRUPAL</v>
      </c>
      <c r="H746" t="str">
        <f>LOOKUP(TabVMAzureEnvProjet[[#This Row],[Projet]],TabProjets[NomProj],TabProjets[CP])</f>
        <v>Rodolphe HABEGGER</v>
      </c>
      <c r="I746">
        <f>LOOKUP(TabVMAzureEnvProjet[[#This Row],[Code SYGES]],TabCONTRATSDI[Contrat SYGES],TabCONTRATSDI[Cost Center])</f>
        <v>305704</v>
      </c>
      <c r="J746" s="22" t="str">
        <f>LOOKUP(TabVMAzureEnvProjet[[#This Row],[Code SYGES]],TabCONTRATSDI[Contrat SYGES],TabCONTRATSDI[Client])</f>
        <v>LAPOSTE</v>
      </c>
      <c r="K746" t="s">
        <v>175</v>
      </c>
      <c r="L746" s="31">
        <v>2.0973970817675789</v>
      </c>
      <c r="M746" s="41" t="s">
        <v>176</v>
      </c>
    </row>
    <row r="747" spans="1:13" x14ac:dyDescent="0.25">
      <c r="A747" s="22" t="str">
        <f>TabVMAzureEnvProjet[[#This Row],[Client]] &amp; " .:. "  &amp; TabVMAzureEnvProjet[[#This Row],[Projet]]</f>
        <v>LAPOSTE .:. LAPOSTE-CDC</v>
      </c>
      <c r="B747" s="22" t="str">
        <f>IF(TabVMAzureEnvProjet[[#This Row],[Projet AzureDevOps]]&lt;&gt;"",TabVMAzureEnvProjet[[#This Row],[Projet AzureDevOps]],TabVMAzureEnvProjet[[#This Row],[VM]])</f>
        <v>LAPOSTE-V7_-Galaxy</v>
      </c>
      <c r="C747" s="57" t="s">
        <v>89</v>
      </c>
      <c r="E747" t="s">
        <v>4</v>
      </c>
      <c r="F747" t="s">
        <v>82</v>
      </c>
      <c r="G747" t="str">
        <f>LOOKUP(TabVMAzureEnvProjet[[#This Row],[Projet]],TabProjets[NomProj],TabProjets[SYGES])</f>
        <v>LA-POSTE/CDC_DRUPAL</v>
      </c>
      <c r="H747" t="str">
        <f>LOOKUP(TabVMAzureEnvProjet[[#This Row],[Projet]],TabProjets[NomProj],TabProjets[CP])</f>
        <v>Rodolphe HABEGGER</v>
      </c>
      <c r="I747">
        <f>LOOKUP(TabVMAzureEnvProjet[[#This Row],[Code SYGES]],TabCONTRATSDI[Contrat SYGES],TabCONTRATSDI[Cost Center])</f>
        <v>305704</v>
      </c>
      <c r="J747" s="22" t="str">
        <f>LOOKUP(TabVMAzureEnvProjet[[#This Row],[Code SYGES]],TabCONTRATSDI[Contrat SYGES],TabCONTRATSDI[Client])</f>
        <v>LAPOSTE</v>
      </c>
      <c r="K747" t="s">
        <v>175</v>
      </c>
      <c r="L747" s="31">
        <v>2.2699881725624236</v>
      </c>
      <c r="M747" s="41" t="s">
        <v>176</v>
      </c>
    </row>
    <row r="748" spans="1:13" x14ac:dyDescent="0.25">
      <c r="A748" s="22" t="str">
        <f>TabVMAzureEnvProjet[[#This Row],[Client]] &amp; " .:. "  &amp; TabVMAzureEnvProjet[[#This Row],[Projet]]</f>
        <v>LAPOSTE .:. LAPOSTE-CDC</v>
      </c>
      <c r="B748" s="22" t="str">
        <f>IF(TabVMAzureEnvProjet[[#This Row],[Projet AzureDevOps]]&lt;&gt;"",TabVMAzureEnvProjet[[#This Row],[Projet AzureDevOps]],TabVMAzureEnvProjet[[#This Row],[VM]])</f>
        <v>LAPOSTE-VW2-MEDIACOM</v>
      </c>
      <c r="C748" s="57" t="s">
        <v>90</v>
      </c>
      <c r="E748" t="s">
        <v>4</v>
      </c>
      <c r="F748" t="s">
        <v>82</v>
      </c>
      <c r="G748" t="str">
        <f>LOOKUP(TabVMAzureEnvProjet[[#This Row],[Projet]],TabProjets[NomProj],TabProjets[SYGES])</f>
        <v>LA-POSTE/CDC_DRUPAL</v>
      </c>
      <c r="H748" t="str">
        <f>LOOKUP(TabVMAzureEnvProjet[[#This Row],[Projet]],TabProjets[NomProj],TabProjets[CP])</f>
        <v>Rodolphe HABEGGER</v>
      </c>
      <c r="I748">
        <f>LOOKUP(TabVMAzureEnvProjet[[#This Row],[Code SYGES]],TabCONTRATSDI[Contrat SYGES],TabCONTRATSDI[Cost Center])</f>
        <v>305704</v>
      </c>
      <c r="J748" s="22" t="str">
        <f>LOOKUP(TabVMAzureEnvProjet[[#This Row],[Code SYGES]],TabCONTRATSDI[Contrat SYGES],TabCONTRATSDI[Client])</f>
        <v>LAPOSTE</v>
      </c>
      <c r="K748" t="s">
        <v>175</v>
      </c>
      <c r="L748" s="31">
        <v>1.6553111375314828</v>
      </c>
      <c r="M748" s="41" t="s">
        <v>176</v>
      </c>
    </row>
    <row r="749" spans="1:13" x14ac:dyDescent="0.25">
      <c r="A749" s="22" t="str">
        <f>TabVMAzureEnvProjet[[#This Row],[Client]] &amp; " .:. "  &amp; TabVMAzureEnvProjet[[#This Row],[Projet]]</f>
        <v>LAPOSTE .:. LAPOSTE-CDC</v>
      </c>
      <c r="B749" s="22" t="str">
        <f>IF(TabVMAzureEnvProjet[[#This Row],[Projet AzureDevOps]]&lt;&gt;"",TabVMAzureEnvProjet[[#This Row],[Projet AzureDevOps]],TabVMAzureEnvProjet[[#This Row],[VM]])</f>
        <v>LAPOSTE-VW7-EvtExpres</v>
      </c>
      <c r="C749" s="57" t="s">
        <v>91</v>
      </c>
      <c r="E749" t="s">
        <v>4</v>
      </c>
      <c r="F749" t="s">
        <v>82</v>
      </c>
      <c r="G749" t="str">
        <f>LOOKUP(TabVMAzureEnvProjet[[#This Row],[Projet]],TabProjets[NomProj],TabProjets[SYGES])</f>
        <v>LA-POSTE/CDC_DRUPAL</v>
      </c>
      <c r="H749" t="str">
        <f>LOOKUP(TabVMAzureEnvProjet[[#This Row],[Projet]],TabProjets[NomProj],TabProjets[CP])</f>
        <v>Rodolphe HABEGGER</v>
      </c>
      <c r="I749">
        <f>LOOKUP(TabVMAzureEnvProjet[[#This Row],[Code SYGES]],TabCONTRATSDI[Contrat SYGES],TabCONTRATSDI[Cost Center])</f>
        <v>305704</v>
      </c>
      <c r="J749" s="22" t="str">
        <f>LOOKUP(TabVMAzureEnvProjet[[#This Row],[Code SYGES]],TabCONTRATSDI[Contrat SYGES],TabCONTRATSDI[Client])</f>
        <v>LAPOSTE</v>
      </c>
      <c r="K749" t="s">
        <v>175</v>
      </c>
      <c r="L749" s="31">
        <v>1.5466818495452577</v>
      </c>
      <c r="M749" s="41" t="s">
        <v>176</v>
      </c>
    </row>
    <row r="750" spans="1:13" x14ac:dyDescent="0.25">
      <c r="A750" s="22" t="str">
        <f>TabVMAzureEnvProjet[[#This Row],[Client]] &amp; " .:. "  &amp; TabVMAzureEnvProjet[[#This Row],[Projet]]</f>
        <v>LAPOSTE .:. LAPOSTE-CDC</v>
      </c>
      <c r="B750" s="22" t="str">
        <f>IF(TabVMAzureEnvProjet[[#This Row],[Projet AzureDevOps]]&lt;&gt;"",TabVMAzureEnvProjet[[#This Row],[Projet AzureDevOps]],TabVMAzureEnvProjet[[#This Row],[VM]])</f>
        <v>LAPOSTE-VWA-Fondation</v>
      </c>
      <c r="C750" s="57" t="s">
        <v>88</v>
      </c>
      <c r="E750" t="s">
        <v>4</v>
      </c>
      <c r="F750" t="s">
        <v>82</v>
      </c>
      <c r="G750" t="str">
        <f>LOOKUP(TabVMAzureEnvProjet[[#This Row],[Projet]],TabProjets[NomProj],TabProjets[SYGES])</f>
        <v>LA-POSTE/CDC_DRUPAL</v>
      </c>
      <c r="H750" t="str">
        <f>LOOKUP(TabVMAzureEnvProjet[[#This Row],[Projet]],TabProjets[NomProj],TabProjets[CP])</f>
        <v>Rodolphe HABEGGER</v>
      </c>
      <c r="I750">
        <f>LOOKUP(TabVMAzureEnvProjet[[#This Row],[Code SYGES]],TabCONTRATSDI[Contrat SYGES],TabCONTRATSDI[Cost Center])</f>
        <v>305704</v>
      </c>
      <c r="J750" s="22" t="str">
        <f>LOOKUP(TabVMAzureEnvProjet[[#This Row],[Code SYGES]],TabCONTRATSDI[Contrat SYGES],TabCONTRATSDI[Client])</f>
        <v>LAPOSTE</v>
      </c>
      <c r="K750" t="s">
        <v>175</v>
      </c>
      <c r="L750" s="31">
        <v>2.3072284709925519</v>
      </c>
      <c r="M750" s="41" t="s">
        <v>176</v>
      </c>
    </row>
    <row r="751" spans="1:13" x14ac:dyDescent="0.25">
      <c r="A751" s="22" t="str">
        <f>TabVMAzureEnvProjet[[#This Row],[Client]] &amp; " .:. "  &amp; TabVMAzureEnvProjet[[#This Row],[Projet]]</f>
        <v>MENESR .:. MENJ-APAE</v>
      </c>
      <c r="B751" s="22" t="str">
        <f>IF(TabVMAzureEnvProjet[[#This Row],[Projet AzureDevOps]]&lt;&gt;"",TabVMAzureEnvProjet[[#This Row],[Projet AzureDevOps]],TabVMAzureEnvProjet[[#This Row],[VM]])</f>
        <v>MENJ-APAE</v>
      </c>
      <c r="C751" s="57" t="s">
        <v>44</v>
      </c>
      <c r="E751" t="s">
        <v>4</v>
      </c>
      <c r="F751" t="s">
        <v>44</v>
      </c>
      <c r="G751" t="str">
        <f>LOOKUP(TabVMAzureEnvProjet[[#This Row],[Projet]],TabProjets[NomProj],TabProjets[SYGES])</f>
        <v>MENESR/TMA</v>
      </c>
      <c r="H751" t="str">
        <f>LOOKUP(TabVMAzureEnvProjet[[#This Row],[Projet]],TabProjets[NomProj],TabProjets[CP])</f>
        <v>Pierre BOURLIEUX</v>
      </c>
      <c r="I751">
        <f>LOOKUP(TabVMAzureEnvProjet[[#This Row],[Code SYGES]],TabCONTRATSDI[Contrat SYGES],TabCONTRATSDI[Cost Center])</f>
        <v>305704</v>
      </c>
      <c r="J751" s="22" t="str">
        <f>LOOKUP(TabVMAzureEnvProjet[[#This Row],[Code SYGES]],TabCONTRATSDI[Contrat SYGES],TabCONTRATSDI[Client])</f>
        <v>MENESR</v>
      </c>
      <c r="K751" t="s">
        <v>175</v>
      </c>
      <c r="L751" s="31">
        <v>2.7255007312810333</v>
      </c>
      <c r="M751" s="41" t="s">
        <v>176</v>
      </c>
    </row>
    <row r="752" spans="1:13" x14ac:dyDescent="0.25">
      <c r="A752" s="22" t="str">
        <f>TabVMAzureEnvProjet[[#This Row],[Client]] &amp; " .:. "  &amp; TabVMAzureEnvProjet[[#This Row],[Projet]]</f>
        <v>MENESR .:. MENJ-BI</v>
      </c>
      <c r="B752" s="22" t="str">
        <f>IF(TabVMAzureEnvProjet[[#This Row],[Projet AzureDevOps]]&lt;&gt;"",TabVMAzureEnvProjet[[#This Row],[Projet AzureDevOps]],TabVMAzureEnvProjet[[#This Row],[VM]])</f>
        <v>MENJ-BI</v>
      </c>
      <c r="C752" s="57" t="s">
        <v>51</v>
      </c>
      <c r="E752" t="s">
        <v>4</v>
      </c>
      <c r="F752" t="s">
        <v>51</v>
      </c>
      <c r="G752" t="str">
        <f>LOOKUP(TabVMAzureEnvProjet[[#This Row],[Projet]],TabProjets[NomProj],TabProjets[SYGES])</f>
        <v>MENESR/TMA</v>
      </c>
      <c r="H752" t="str">
        <f>LOOKUP(TabVMAzureEnvProjet[[#This Row],[Projet]],TabProjets[NomProj],TabProjets[CP])</f>
        <v>Eric PERROUD</v>
      </c>
      <c r="I752">
        <f>LOOKUP(TabVMAzureEnvProjet[[#This Row],[Code SYGES]],TabCONTRATSDI[Contrat SYGES],TabCONTRATSDI[Cost Center])</f>
        <v>305704</v>
      </c>
      <c r="J752" s="22" t="str">
        <f>LOOKUP(TabVMAzureEnvProjet[[#This Row],[Code SYGES]],TabCONTRATSDI[Contrat SYGES],TabCONTRATSDI[Client])</f>
        <v>MENESR</v>
      </c>
      <c r="K752" t="s">
        <v>175</v>
      </c>
      <c r="L752" s="31">
        <v>0.7833558393218335</v>
      </c>
      <c r="M752" s="41" t="s">
        <v>176</v>
      </c>
    </row>
    <row r="753" spans="1:13" x14ac:dyDescent="0.25">
      <c r="A753" s="22" t="str">
        <f>TabVMAzureEnvProjet[[#This Row],[Client]] &amp; " .:. "  &amp; TabVMAzureEnvProjet[[#This Row],[Projet]]</f>
        <v>MENESR .:. MENJ-BNIE</v>
      </c>
      <c r="B753" s="22" t="str">
        <f>IF(TabVMAzureEnvProjet[[#This Row],[Projet AzureDevOps]]&lt;&gt;"",TabVMAzureEnvProjet[[#This Row],[Projet AzureDevOps]],TabVMAzureEnvProjet[[#This Row],[VM]])</f>
        <v>MENJ-BNIE-BDD</v>
      </c>
      <c r="C753" s="57" t="s">
        <v>46</v>
      </c>
      <c r="E753" t="s">
        <v>4</v>
      </c>
      <c r="F753" t="s">
        <v>45</v>
      </c>
      <c r="G753" t="str">
        <f>LOOKUP(TabVMAzureEnvProjet[[#This Row],[Projet]],TabProjets[NomProj],TabProjets[SYGES])</f>
        <v>MENESR/TMA</v>
      </c>
      <c r="H753" t="str">
        <f>LOOKUP(TabVMAzureEnvProjet[[#This Row],[Projet]],TabProjets[NomProj],TabProjets[CP])</f>
        <v>Pierre BOURLIEUX</v>
      </c>
      <c r="I753">
        <f>LOOKUP(TabVMAzureEnvProjet[[#This Row],[Code SYGES]],TabCONTRATSDI[Contrat SYGES],TabCONTRATSDI[Cost Center])</f>
        <v>305704</v>
      </c>
      <c r="J753" s="22" t="str">
        <f>LOOKUP(TabVMAzureEnvProjet[[#This Row],[Code SYGES]],TabCONTRATSDI[Contrat SYGES],TabCONTRATSDI[Client])</f>
        <v>MENESR</v>
      </c>
      <c r="K753" t="s">
        <v>175</v>
      </c>
      <c r="L753" s="31">
        <v>1.830236914913224</v>
      </c>
      <c r="M753" s="41" t="s">
        <v>176</v>
      </c>
    </row>
    <row r="754" spans="1:13" x14ac:dyDescent="0.25">
      <c r="A754" s="22" t="str">
        <f>TabVMAzureEnvProjet[[#This Row],[Client]] &amp; " .:. "  &amp; TabVMAzureEnvProjet[[#This Row],[Projet]]</f>
        <v>MENESR .:. MENJ-BNIE</v>
      </c>
      <c r="B754" s="22" t="str">
        <f>IF(TabVMAzureEnvProjet[[#This Row],[Projet AzureDevOps]]&lt;&gt;"",TabVMAzureEnvProjet[[#This Row],[Projet AzureDevOps]],TabVMAzureEnvProjet[[#This Row],[VM]])</f>
        <v>MENJ-BNIE-Webservices</v>
      </c>
      <c r="C754" s="57" t="s">
        <v>47</v>
      </c>
      <c r="E754" t="s">
        <v>4</v>
      </c>
      <c r="F754" t="s">
        <v>45</v>
      </c>
      <c r="G754" t="str">
        <f>LOOKUP(TabVMAzureEnvProjet[[#This Row],[Projet]],TabProjets[NomProj],TabProjets[SYGES])</f>
        <v>MENESR/TMA</v>
      </c>
      <c r="H754" t="str">
        <f>LOOKUP(TabVMAzureEnvProjet[[#This Row],[Projet]],TabProjets[NomProj],TabProjets[CP])</f>
        <v>Pierre BOURLIEUX</v>
      </c>
      <c r="I754">
        <f>LOOKUP(TabVMAzureEnvProjet[[#This Row],[Code SYGES]],TabCONTRATSDI[Contrat SYGES],TabCONTRATSDI[Cost Center])</f>
        <v>305704</v>
      </c>
      <c r="J754" s="22" t="str">
        <f>LOOKUP(TabVMAzureEnvProjet[[#This Row],[Code SYGES]],TabCONTRATSDI[Contrat SYGES],TabCONTRATSDI[Client])</f>
        <v>MENESR</v>
      </c>
      <c r="K754" t="s">
        <v>175</v>
      </c>
      <c r="L754" s="31">
        <v>0.37543321331553309</v>
      </c>
      <c r="M754" s="41" t="s">
        <v>176</v>
      </c>
    </row>
    <row r="755" spans="1:13" x14ac:dyDescent="0.25">
      <c r="A755" s="22" t="str">
        <f>TabVMAzureEnvProjet[[#This Row],[Client]] &amp; " .:. "  &amp; TabVMAzureEnvProjet[[#This Row],[Projet]]</f>
        <v>MENESR .:. MENJ-INSERJEUNES</v>
      </c>
      <c r="B755" s="22" t="str">
        <f>IF(TabVMAzureEnvProjet[[#This Row],[Projet AzureDevOps]]&lt;&gt;"",TabVMAzureEnvProjet[[#This Row],[Projet AzureDevOps]],TabVMAzureEnvProjet[[#This Row],[VM]])</f>
        <v>MENJ-InserJeunes</v>
      </c>
      <c r="C755" s="57" t="s">
        <v>54</v>
      </c>
      <c r="E755" t="s">
        <v>4</v>
      </c>
      <c r="F755" t="s">
        <v>53</v>
      </c>
      <c r="G755" t="str">
        <f>LOOKUP(TabVMAzureEnvProjet[[#This Row],[Projet]],TabProjets[NomProj],TabProjets[SYGES])</f>
        <v>MENESR - TMA - 23 - 1 - INSERJEUNES</v>
      </c>
      <c r="H755" t="str">
        <f>LOOKUP(TabVMAzureEnvProjet[[#This Row],[Projet]],TabProjets[NomProj],TabProjets[CP])</f>
        <v>Christophe ORLANDO</v>
      </c>
      <c r="I755">
        <f>LOOKUP(TabVMAzureEnvProjet[[#This Row],[Code SYGES]],TabCONTRATSDI[Contrat SYGES],TabCONTRATSDI[Cost Center])</f>
        <v>305704</v>
      </c>
      <c r="J755" s="22" t="str">
        <f>LOOKUP(TabVMAzureEnvProjet[[#This Row],[Code SYGES]],TabCONTRATSDI[Contrat SYGES],TabCONTRATSDI[Client])</f>
        <v>MENESR</v>
      </c>
      <c r="K755" t="s">
        <v>175</v>
      </c>
      <c r="L755" s="31">
        <v>2.353119553703118</v>
      </c>
      <c r="M755" s="41" t="s">
        <v>176</v>
      </c>
    </row>
    <row r="756" spans="1:13" x14ac:dyDescent="0.25">
      <c r="A756" s="22" t="str">
        <f>TabVMAzureEnvProjet[[#This Row],[Client]] &amp; " .:. "  &amp; TabVMAzureEnvProjet[[#This Row],[Projet]]</f>
        <v>MENESR .:. MENJ-RNIE</v>
      </c>
      <c r="B756" s="22" t="str">
        <f>IF(TabVMAzureEnvProjet[[#This Row],[Projet AzureDevOps]]&lt;&gt;"",TabVMAzureEnvProjet[[#This Row],[Projet AzureDevOps]],TabVMAzureEnvProjet[[#This Row],[VM]])</f>
        <v>MENJ-RNIE-BDD</v>
      </c>
      <c r="C756" s="57" t="s">
        <v>49</v>
      </c>
      <c r="E756" t="s">
        <v>4</v>
      </c>
      <c r="F756" t="s">
        <v>48</v>
      </c>
      <c r="G756" t="str">
        <f>LOOKUP(TabVMAzureEnvProjet[[#This Row],[Projet]],TabProjets[NomProj],TabProjets[SYGES])</f>
        <v>MENESR/TMA</v>
      </c>
      <c r="H756" t="str">
        <f>LOOKUP(TabVMAzureEnvProjet[[#This Row],[Projet]],TabProjets[NomProj],TabProjets[CP])</f>
        <v>Pierre BOURLIEUX</v>
      </c>
      <c r="I756">
        <f>LOOKUP(TabVMAzureEnvProjet[[#This Row],[Code SYGES]],TabCONTRATSDI[Contrat SYGES],TabCONTRATSDI[Cost Center])</f>
        <v>305704</v>
      </c>
      <c r="J756" s="22" t="str">
        <f>LOOKUP(TabVMAzureEnvProjet[[#This Row],[Code SYGES]],TabCONTRATSDI[Contrat SYGES],TabCONTRATSDI[Client])</f>
        <v>MENESR</v>
      </c>
      <c r="K756" t="s">
        <v>175</v>
      </c>
      <c r="L756" s="31">
        <v>1.1587890526373665</v>
      </c>
      <c r="M756" s="41" t="s">
        <v>176</v>
      </c>
    </row>
    <row r="757" spans="1:13" x14ac:dyDescent="0.25">
      <c r="A757" s="22" t="str">
        <f>TabVMAzureEnvProjet[[#This Row],[Client]] &amp; " .:. "  &amp; TabVMAzureEnvProjet[[#This Row],[Projet]]</f>
        <v>MENESR .:. MENJ-RNIE</v>
      </c>
      <c r="B757" s="22" t="str">
        <f>IF(TabVMAzureEnvProjet[[#This Row],[Projet AzureDevOps]]&lt;&gt;"",TabVMAzureEnvProjet[[#This Row],[Projet AzureDevOps]],TabVMAzureEnvProjet[[#This Row],[VM]])</f>
        <v>MENJ-RNIE-Webservices</v>
      </c>
      <c r="C757" s="57" t="s">
        <v>50</v>
      </c>
      <c r="E757" t="s">
        <v>4</v>
      </c>
      <c r="F757" t="s">
        <v>48</v>
      </c>
      <c r="G757" t="str">
        <f>LOOKUP(TabVMAzureEnvProjet[[#This Row],[Projet]],TabProjets[NomProj],TabProjets[SYGES])</f>
        <v>MENESR/TMA</v>
      </c>
      <c r="H757" t="str">
        <f>LOOKUP(TabVMAzureEnvProjet[[#This Row],[Projet]],TabProjets[NomProj],TabProjets[CP])</f>
        <v>Pierre BOURLIEUX</v>
      </c>
      <c r="I757">
        <f>LOOKUP(TabVMAzureEnvProjet[[#This Row],[Code SYGES]],TabCONTRATSDI[Contrat SYGES],TabCONTRATSDI[Cost Center])</f>
        <v>305704</v>
      </c>
      <c r="J757" s="22" t="str">
        <f>LOOKUP(TabVMAzureEnvProjet[[#This Row],[Code SYGES]],TabCONTRATSDI[Contrat SYGES],TabCONTRATSDI[Client])</f>
        <v>MENESR</v>
      </c>
      <c r="K757" t="s">
        <v>175</v>
      </c>
      <c r="L757" s="31">
        <v>0.56057855674933288</v>
      </c>
      <c r="M757" s="41" t="s">
        <v>176</v>
      </c>
    </row>
    <row r="758" spans="1:13" x14ac:dyDescent="0.25">
      <c r="A758" s="22" t="str">
        <f>TabVMAzureEnvProjet[[#This Row],[Client]] &amp; " .:. "  &amp; TabVMAzureEnvProjet[[#This Row],[Projet]]</f>
        <v>AFB .:. OFB-CARTOTHEQUE</v>
      </c>
      <c r="B758" s="22" t="str">
        <f>IF(TabVMAzureEnvProjet[[#This Row],[Projet AzureDevOps]]&lt;&gt;"",TabVMAzureEnvProjet[[#This Row],[Projet AzureDevOps]],TabVMAzureEnvProjet[[#This Row],[VM]])</f>
        <v>OFB-CARTOTHEQUE</v>
      </c>
      <c r="C758" s="57" t="s">
        <v>15</v>
      </c>
      <c r="E758" t="s">
        <v>4</v>
      </c>
      <c r="F758" t="s">
        <v>15</v>
      </c>
      <c r="G758" t="str">
        <f>LOOKUP(TabVMAzureEnvProjet[[#This Row],[Projet]],TabProjets[NomProj],TabProjets[SYGES])</f>
        <v>AFB/OFB_LOT2</v>
      </c>
      <c r="H758" t="str">
        <f>LOOKUP(TabVMAzureEnvProjet[[#This Row],[Projet]],TabProjets[NomProj],TabProjets[CP])</f>
        <v>Pierre BOURLIEUX</v>
      </c>
      <c r="I758">
        <f>LOOKUP(TabVMAzureEnvProjet[[#This Row],[Code SYGES]],TabCONTRATSDI[Contrat SYGES],TabCONTRATSDI[Cost Center])</f>
        <v>305704</v>
      </c>
      <c r="J758" s="22" t="str">
        <f>LOOKUP(TabVMAzureEnvProjet[[#This Row],[Code SYGES]],TabCONTRATSDI[Contrat SYGES],TabCONTRATSDI[Client])</f>
        <v>AFB</v>
      </c>
      <c r="K758" t="s">
        <v>175</v>
      </c>
      <c r="L758" s="31">
        <v>1.8464816212586075</v>
      </c>
      <c r="M758" s="41" t="s">
        <v>176</v>
      </c>
    </row>
    <row r="759" spans="1:13" x14ac:dyDescent="0.25">
      <c r="A759" s="22" t="str">
        <f>TabVMAzureEnvProjet[[#This Row],[Client]] &amp; " .:. "  &amp; TabVMAzureEnvProjet[[#This Row],[Projet]]</f>
        <v>AFB .:. OFB-CMONSPOT</v>
      </c>
      <c r="B759" s="22" t="str">
        <f>IF(TabVMAzureEnvProjet[[#This Row],[Projet AzureDevOps]]&lt;&gt;"",TabVMAzureEnvProjet[[#This Row],[Projet AzureDevOps]],TabVMAzureEnvProjet[[#This Row],[VM]])</f>
        <v>OFB-CMONSPOT</v>
      </c>
      <c r="C759" s="57" t="s">
        <v>12</v>
      </c>
      <c r="E759" t="s">
        <v>4</v>
      </c>
      <c r="F759" t="s">
        <v>12</v>
      </c>
      <c r="G759" t="str">
        <f>LOOKUP(TabVMAzureEnvProjet[[#This Row],[Projet]],TabProjets[NomProj],TabProjets[SYGES])</f>
        <v>AFB/OFB_LOT2</v>
      </c>
      <c r="H759" t="str">
        <f>LOOKUP(TabVMAzureEnvProjet[[#This Row],[Projet]],TabProjets[NomProj],TabProjets[CP])</f>
        <v>Pierre BOURLIEUX</v>
      </c>
      <c r="I759">
        <f>LOOKUP(TabVMAzureEnvProjet[[#This Row],[Code SYGES]],TabCONTRATSDI[Contrat SYGES],TabCONTRATSDI[Cost Center])</f>
        <v>305704</v>
      </c>
      <c r="J759" s="22" t="str">
        <f>LOOKUP(TabVMAzureEnvProjet[[#This Row],[Code SYGES]],TabCONTRATSDI[Contrat SYGES],TabCONTRATSDI[Client])</f>
        <v>AFB</v>
      </c>
      <c r="K759" t="s">
        <v>175</v>
      </c>
      <c r="L759" s="31">
        <v>0.90645461407240735</v>
      </c>
      <c r="M759" s="41" t="s">
        <v>176</v>
      </c>
    </row>
    <row r="760" spans="1:13" x14ac:dyDescent="0.25">
      <c r="A760" s="22" t="str">
        <f>TabVMAzureEnvProjet[[#This Row],[Client]] &amp; " .:. "  &amp; TabVMAzureEnvProjet[[#This Row],[Projet]]</f>
        <v>AFB .:. OFB-ESTAMP</v>
      </c>
      <c r="B760" s="22" t="str">
        <f>IF(TabVMAzureEnvProjet[[#This Row],[Projet AzureDevOps]]&lt;&gt;"",TabVMAzureEnvProjet[[#This Row],[Projet AzureDevOps]],TabVMAzureEnvProjet[[#This Row],[VM]])</f>
        <v>OFB-ESTAMP</v>
      </c>
      <c r="C760" s="57" t="s">
        <v>13</v>
      </c>
      <c r="E760" t="s">
        <v>4</v>
      </c>
      <c r="F760" t="s">
        <v>13</v>
      </c>
      <c r="G760" t="str">
        <f>LOOKUP(TabVMAzureEnvProjet[[#This Row],[Projet]],TabProjets[NomProj],TabProjets[SYGES])</f>
        <v>AFB/OFB_LOT1</v>
      </c>
      <c r="H760" t="str">
        <f>LOOKUP(TabVMAzureEnvProjet[[#This Row],[Projet]],TabProjets[NomProj],TabProjets[CP])</f>
        <v>Pierre BOURLIEUX</v>
      </c>
      <c r="I760">
        <f>LOOKUP(TabVMAzureEnvProjet[[#This Row],[Code SYGES]],TabCONTRATSDI[Contrat SYGES],TabCONTRATSDI[Cost Center])</f>
        <v>305704</v>
      </c>
      <c r="J760" s="22" t="str">
        <f>LOOKUP(TabVMAzureEnvProjet[[#This Row],[Code SYGES]],TabCONTRATSDI[Contrat SYGES],TabCONTRATSDI[Client])</f>
        <v>AFB</v>
      </c>
      <c r="K760" t="s">
        <v>175</v>
      </c>
      <c r="L760" s="31">
        <v>1.9386439074826591</v>
      </c>
      <c r="M760" s="41" t="s">
        <v>176</v>
      </c>
    </row>
    <row r="761" spans="1:13" x14ac:dyDescent="0.25">
      <c r="A761" s="22" t="str">
        <f>TabVMAzureEnvProjet[[#This Row],[Client]] &amp; " .:. "  &amp; TabVMAzureEnvProjet[[#This Row],[Projet]]</f>
        <v>OFB .:. OFB-NATUREFRANCE</v>
      </c>
      <c r="B761" s="22" t="str">
        <f>IF(TabVMAzureEnvProjet[[#This Row],[Projet AzureDevOps]]&lt;&gt;"",TabVMAzureEnvProjet[[#This Row],[Projet AzureDevOps]],TabVMAzureEnvProjet[[#This Row],[VM]])</f>
        <v>OFB-NatureFrance</v>
      </c>
      <c r="C761" s="57" t="s">
        <v>79</v>
      </c>
      <c r="E761" t="s">
        <v>4</v>
      </c>
      <c r="F761" t="s">
        <v>78</v>
      </c>
      <c r="G761" t="str">
        <f>LOOKUP(TabVMAzureEnvProjet[[#This Row],[Projet]],TabProjets[NomProj],TabProjets[SYGES])</f>
        <v>AFB OFB_LOT2 -9-1 NATURE FRANCE</v>
      </c>
      <c r="H761" t="str">
        <f>LOOKUP(TabVMAzureEnvProjet[[#This Row],[Projet]],TabProjets[NomProj],TabProjets[CP])</f>
        <v>Rodolphe HABEGGER</v>
      </c>
      <c r="I761">
        <f>LOOKUP(TabVMAzureEnvProjet[[#This Row],[Code SYGES]],TabCONTRATSDI[Contrat SYGES],TabCONTRATSDI[Cost Center])</f>
        <v>305704</v>
      </c>
      <c r="J761" s="22" t="str">
        <f>LOOKUP(TabVMAzureEnvProjet[[#This Row],[Code SYGES]],TabCONTRATSDI[Contrat SYGES],TabCONTRATSDI[Client])</f>
        <v>OFB</v>
      </c>
      <c r="K761" t="s">
        <v>175</v>
      </c>
      <c r="L761" s="31">
        <v>4.5011372223295192</v>
      </c>
      <c r="M761" s="41" t="s">
        <v>176</v>
      </c>
    </row>
    <row r="762" spans="1:13" x14ac:dyDescent="0.25">
      <c r="A762" s="22" t="str">
        <f>TabVMAzureEnvProjet[[#This Row],[Client]] &amp; " .:. "  &amp; TabVMAzureEnvProjet[[#This Row],[Projet]]</f>
        <v>AFB .:. OFB-SISPEA</v>
      </c>
      <c r="B762" s="22" t="str">
        <f>IF(TabVMAzureEnvProjet[[#This Row],[Projet AzureDevOps]]&lt;&gt;"",TabVMAzureEnvProjet[[#This Row],[Projet AzureDevOps]],TabVMAzureEnvProjet[[#This Row],[VM]])</f>
        <v>OFB-SISPEA</v>
      </c>
      <c r="C762" s="57" t="s">
        <v>9</v>
      </c>
      <c r="E762" t="s">
        <v>4</v>
      </c>
      <c r="F762" t="s">
        <v>9</v>
      </c>
      <c r="G762" t="str">
        <f>LOOKUP(TabVMAzureEnvProjet[[#This Row],[Projet]],TabProjets[NomProj],TabProjets[SYGES])</f>
        <v>AFB/OFB_LOT2</v>
      </c>
      <c r="H762" t="str">
        <f>LOOKUP(TabVMAzureEnvProjet[[#This Row],[Projet]],TabProjets[NomProj],TabProjets[CP])</f>
        <v>Pierre BOURLIEUX</v>
      </c>
      <c r="I762">
        <f>LOOKUP(TabVMAzureEnvProjet[[#This Row],[Code SYGES]],TabCONTRATSDI[Contrat SYGES],TabCONTRATSDI[Cost Center])</f>
        <v>305704</v>
      </c>
      <c r="J762" s="22" t="str">
        <f>LOOKUP(TabVMAzureEnvProjet[[#This Row],[Code SYGES]],TabCONTRATSDI[Contrat SYGES],TabCONTRATSDI[Client])</f>
        <v>AFB</v>
      </c>
      <c r="K762" t="s">
        <v>175</v>
      </c>
      <c r="L762" s="31">
        <v>2.4731662927160745</v>
      </c>
      <c r="M762" s="41" t="s">
        <v>176</v>
      </c>
    </row>
    <row r="763" spans="1:13" x14ac:dyDescent="0.25">
      <c r="A763" s="22" t="str">
        <f>TabVMAzureEnvProjet[[#This Row],[Client]] &amp; " .:. "  &amp; TabVMAzureEnvProjet[[#This Row],[Projet]]</f>
        <v>PCM .:. PCM-ALS</v>
      </c>
      <c r="B763" s="22" t="str">
        <f>IF(TabVMAzureEnvProjet[[#This Row],[Projet AzureDevOps]]&lt;&gt;"",TabVMAzureEnvProjet[[#This Row],[Projet AzureDevOps]],TabVMAzureEnvProjet[[#This Row],[VM]])</f>
        <v>PCM-ALS</v>
      </c>
      <c r="C763" s="57" t="s">
        <v>71</v>
      </c>
      <c r="E763" t="s">
        <v>4</v>
      </c>
      <c r="F763" t="s">
        <v>71</v>
      </c>
      <c r="G763" t="str">
        <f>LOOKUP(TabVMAzureEnvProjet[[#This Row],[Projet]],TabProjets[NomProj],TabProjets[SYGES])</f>
        <v>PCM/WEB</v>
      </c>
      <c r="H763" t="str">
        <f>LOOKUP(TabVMAzureEnvProjet[[#This Row],[Projet]],TabProjets[NomProj],TabProjets[CP])</f>
        <v>Alice MARCHAL</v>
      </c>
      <c r="I763">
        <f>LOOKUP(TabVMAzureEnvProjet[[#This Row],[Code SYGES]],TabCONTRATSDI[Contrat SYGES],TabCONTRATSDI[Cost Center])</f>
        <v>305704</v>
      </c>
      <c r="J763" s="22" t="str">
        <f>LOOKUP(TabVMAzureEnvProjet[[#This Row],[Code SYGES]],TabCONTRATSDI[Contrat SYGES],TabCONTRATSDI[Client])</f>
        <v>PCM</v>
      </c>
      <c r="K763" t="s">
        <v>175</v>
      </c>
      <c r="L763" s="31">
        <v>3.7084079397057796</v>
      </c>
      <c r="M763" s="41" t="s">
        <v>176</v>
      </c>
    </row>
    <row r="764" spans="1:13" x14ac:dyDescent="0.25">
      <c r="A764" s="22" t="str">
        <f>TabVMAzureEnvProjet[[#This Row],[Client]] &amp; " .:. "  &amp; TabVMAzureEnvProjet[[#This Row],[Projet]]</f>
        <v>PCM .:. PCM-WEB</v>
      </c>
      <c r="B764" s="22" t="str">
        <f>IF(TabVMAzureEnvProjet[[#This Row],[Projet AzureDevOps]]&lt;&gt;"",TabVMAzureEnvProjet[[#This Row],[Projet AzureDevOps]],TabVMAzureEnvProjet[[#This Row],[VM]])</f>
        <v>PCM-Web</v>
      </c>
      <c r="C764" s="57" t="s">
        <v>73</v>
      </c>
      <c r="E764" t="s">
        <v>4</v>
      </c>
      <c r="F764" t="s">
        <v>72</v>
      </c>
      <c r="G764" t="str">
        <f>LOOKUP(TabVMAzureEnvProjet[[#This Row],[Projet]],TabProjets[NomProj],TabProjets[SYGES])</f>
        <v>PCM/WEB</v>
      </c>
      <c r="H764" t="str">
        <f>LOOKUP(TabVMAzureEnvProjet[[#This Row],[Projet]],TabProjets[NomProj],TabProjets[CP])</f>
        <v>Rodolphe HABEGGER</v>
      </c>
      <c r="I764">
        <f>LOOKUP(TabVMAzureEnvProjet[[#This Row],[Code SYGES]],TabCONTRATSDI[Contrat SYGES],TabCONTRATSDI[Cost Center])</f>
        <v>305704</v>
      </c>
      <c r="J764" s="22" t="str">
        <f>LOOKUP(TabVMAzureEnvProjet[[#This Row],[Code SYGES]],TabCONTRATSDI[Contrat SYGES],TabCONTRATSDI[Client])</f>
        <v>PCM</v>
      </c>
      <c r="K764" t="s">
        <v>175</v>
      </c>
      <c r="L764" s="31">
        <v>2.0739729844005992</v>
      </c>
      <c r="M764" s="41" t="s">
        <v>176</v>
      </c>
    </row>
    <row r="765" spans="1:13" x14ac:dyDescent="0.25">
      <c r="A765" s="22" t="str">
        <f>TabVMAzureEnvProjet[[#This Row],[Client]] &amp; " .:. "  &amp; TabVMAzureEnvProjet[[#This Row],[Projet]]</f>
        <v>SAFT .:. SAFT-PDM</v>
      </c>
      <c r="B765" s="22" t="str">
        <f>IF(TabVMAzureEnvProjet[[#This Row],[Projet AzureDevOps]]&lt;&gt;"",TabVMAzureEnvProjet[[#This Row],[Projet AzureDevOps]],TabVMAzureEnvProjet[[#This Row],[VM]])</f>
        <v>SAFT-PDM</v>
      </c>
      <c r="C765" s="57" t="s">
        <v>94</v>
      </c>
      <c r="E765" t="s">
        <v>4</v>
      </c>
      <c r="F765" t="s">
        <v>94</v>
      </c>
      <c r="G765" t="str">
        <f>LOOKUP(TabVMAzureEnvProjet[[#This Row],[Projet]],TabProjets[NomProj],TabProjets[SYGES])</f>
        <v>SAFT/TMA</v>
      </c>
      <c r="H765" t="str">
        <f>LOOKUP(TabVMAzureEnvProjet[[#This Row],[Projet]],TabProjets[NomProj],TabProjets[CP])</f>
        <v>Pierre BOURLIEUX</v>
      </c>
      <c r="I765">
        <f>LOOKUP(TabVMAzureEnvProjet[[#This Row],[Code SYGES]],TabCONTRATSDI[Contrat SYGES],TabCONTRATSDI[Cost Center])</f>
        <v>305704</v>
      </c>
      <c r="J765" s="22" t="str">
        <f>LOOKUP(TabVMAzureEnvProjet[[#This Row],[Code SYGES]],TabCONTRATSDI[Contrat SYGES],TabCONTRATSDI[Client])</f>
        <v>SAFT</v>
      </c>
      <c r="K765" t="s">
        <v>175</v>
      </c>
      <c r="L765" s="31">
        <v>1.9639849971568824</v>
      </c>
      <c r="M765" s="41" t="s">
        <v>176</v>
      </c>
    </row>
    <row r="766" spans="1:13" x14ac:dyDescent="0.25">
      <c r="A766" s="22" t="str">
        <f>TabVMAzureEnvProjet[[#This Row],[Client]] &amp; " .:. "  &amp; TabVMAzureEnvProjet[[#This Row],[Projet]]</f>
        <v>SPC .:. SPC-BUILD</v>
      </c>
      <c r="B766" s="22" t="str">
        <f>IF(TabVMAzureEnvProjet[[#This Row],[Projet AzureDevOps]]&lt;&gt;"",TabVMAzureEnvProjet[[#This Row],[Projet AzureDevOps]],TabVMAzureEnvProjet[[#This Row],[VM]])</f>
        <v>SPC-BUILD</v>
      </c>
      <c r="C766" s="57" t="s">
        <v>67</v>
      </c>
      <c r="E766" t="s">
        <v>4</v>
      </c>
      <c r="F766" t="s">
        <v>67</v>
      </c>
      <c r="G766" t="str">
        <f>LOOKUP(TabVMAzureEnvProjet[[#This Row],[Projet]],TabProjets[NomProj],TabProjets[SYGES])</f>
        <v>SPC/BUILD</v>
      </c>
      <c r="H766" t="str">
        <f>LOOKUP(TabVMAzureEnvProjet[[#This Row],[Projet]],TabProjets[NomProj],TabProjets[CP])</f>
        <v>Nicolas DURFORT</v>
      </c>
      <c r="I766">
        <f>LOOKUP(TabVMAzureEnvProjet[[#This Row],[Code SYGES]],TabCONTRATSDI[Contrat SYGES],TabCONTRATSDI[Cost Center])</f>
        <v>305704</v>
      </c>
      <c r="J766" s="22" t="str">
        <f>LOOKUP(TabVMAzureEnvProjet[[#This Row],[Code SYGES]],TabCONTRATSDI[Contrat SYGES],TabCONTRATSDI[Client])</f>
        <v>SPC</v>
      </c>
      <c r="K766" t="s">
        <v>175</v>
      </c>
      <c r="L766" s="31">
        <v>45.055540291751477</v>
      </c>
      <c r="M766" s="41" t="s">
        <v>176</v>
      </c>
    </row>
    <row r="767" spans="1:13" x14ac:dyDescent="0.25">
      <c r="A767" s="22" t="str">
        <f>TabVMAzureEnvProjet[[#This Row],[Client]] &amp; " .:. "  &amp; TabVMAzureEnvProjet[[#This Row],[Projet]]</f>
        <v>SPC .:. SPC-WEB</v>
      </c>
      <c r="B767" s="22" t="str">
        <f>IF(TabVMAzureEnvProjet[[#This Row],[Projet AzureDevOps]]&lt;&gt;"",TabVMAzureEnvProjet[[#This Row],[Projet AzureDevOps]],TabVMAzureEnvProjet[[#This Row],[VM]])</f>
        <v>SPC-WEB</v>
      </c>
      <c r="C767" s="57" t="s">
        <v>69</v>
      </c>
      <c r="E767" t="s">
        <v>4</v>
      </c>
      <c r="F767" t="s">
        <v>69</v>
      </c>
      <c r="G767" t="str">
        <f>LOOKUP(TabVMAzureEnvProjet[[#This Row],[Projet]],TabProjets[NomProj],TabProjets[SYGES])</f>
        <v>SPC/BUILD-0-1-SITE-WEB</v>
      </c>
      <c r="H767" t="str">
        <f>LOOKUP(TabVMAzureEnvProjet[[#This Row],[Projet]],TabProjets[NomProj],TabProjets[CP])</f>
        <v>Nicolas DURFORT</v>
      </c>
      <c r="I767">
        <f>LOOKUP(TabVMAzureEnvProjet[[#This Row],[Code SYGES]],TabCONTRATSDI[Contrat SYGES],TabCONTRATSDI[Cost Center])</f>
        <v>305704</v>
      </c>
      <c r="J767" s="22" t="str">
        <f>LOOKUP(TabVMAzureEnvProjet[[#This Row],[Code SYGES]],TabCONTRATSDI[Contrat SYGES],TabCONTRATSDI[Client])</f>
        <v>SPC</v>
      </c>
      <c r="K767" t="s">
        <v>175</v>
      </c>
      <c r="L767" s="31">
        <v>0</v>
      </c>
      <c r="M767" s="41" t="s">
        <v>176</v>
      </c>
    </row>
    <row r="768" spans="1:13" x14ac:dyDescent="0.25">
      <c r="A768" s="22" t="str">
        <f>TabVMAzureEnvProjet[[#This Row],[Client]] &amp; " .:. "  &amp; TabVMAzureEnvProjet[[#This Row],[Projet]]</f>
        <v>STMICRO .:. STMICRO-DATAPACK</v>
      </c>
      <c r="B768" s="22" t="str">
        <f>IF(TabVMAzureEnvProjet[[#This Row],[Projet AzureDevOps]]&lt;&gt;"",TabVMAzureEnvProjet[[#This Row],[Projet AzureDevOps]],TabVMAzureEnvProjet[[#This Row],[VM]])</f>
        <v>STMICRO-DATAPACK</v>
      </c>
      <c r="C768" s="57" t="s">
        <v>96</v>
      </c>
      <c r="E768" t="s">
        <v>4</v>
      </c>
      <c r="F768" t="s">
        <v>96</v>
      </c>
      <c r="G768" t="str">
        <f>LOOKUP(TabVMAzureEnvProjet[[#This Row],[Projet]],TabProjets[NomProj],TabProjets[SYGES])</f>
        <v>STMICRO/TMASI</v>
      </c>
      <c r="H768" t="str">
        <f>LOOKUP(TabVMAzureEnvProjet[[#This Row],[Projet]],TabProjets[NomProj],TabProjets[CP])</f>
        <v>Jean-Philippe STROIAZZO</v>
      </c>
      <c r="I768">
        <f>LOOKUP(TabVMAzureEnvProjet[[#This Row],[Code SYGES]],TabCONTRATSDI[Contrat SYGES],TabCONTRATSDI[Cost Center])</f>
        <v>305704</v>
      </c>
      <c r="J768" s="22" t="str">
        <f>LOOKUP(TabVMAzureEnvProjet[[#This Row],[Code SYGES]],TabCONTRATSDI[Contrat SYGES],TabCONTRATSDI[Client])</f>
        <v>STMICRO</v>
      </c>
      <c r="K768" t="s">
        <v>175</v>
      </c>
      <c r="L768" s="31">
        <v>3.7545126298925022</v>
      </c>
      <c r="M768" s="41" t="s">
        <v>176</v>
      </c>
    </row>
    <row r="769" spans="1:13" x14ac:dyDescent="0.25">
      <c r="A769" s="22" t="str">
        <f>TabVMAzureEnvProjet[[#This Row],[Client]] &amp; " .:. "  &amp; TabVMAzureEnvProjet[[#This Row],[Projet]]</f>
        <v>STMICRO .:. STMICRO-ROCKET</v>
      </c>
      <c r="B769" s="22" t="str">
        <f>IF(TabVMAzureEnvProjet[[#This Row],[Projet AzureDevOps]]&lt;&gt;"",TabVMAzureEnvProjet[[#This Row],[Projet AzureDevOps]],TabVMAzureEnvProjet[[#This Row],[VM]])</f>
        <v>STMICRO-ROCKET</v>
      </c>
      <c r="C769" s="57" t="s">
        <v>98</v>
      </c>
      <c r="E769" t="s">
        <v>4</v>
      </c>
      <c r="F769" t="s">
        <v>98</v>
      </c>
      <c r="G769" t="str">
        <f>LOOKUP(TabVMAzureEnvProjet[[#This Row],[Projet]],TabProjets[NomProj],TabProjets[SYGES])</f>
        <v>STMICRO/TMASI</v>
      </c>
      <c r="H769" t="str">
        <f>LOOKUP(TabVMAzureEnvProjet[[#This Row],[Projet]],TabProjets[NomProj],TabProjets[CP])</f>
        <v>Jean-Philippe STROIAZZO</v>
      </c>
      <c r="I769">
        <f>LOOKUP(TabVMAzureEnvProjet[[#This Row],[Code SYGES]],TabCONTRATSDI[Contrat SYGES],TabCONTRATSDI[Cost Center])</f>
        <v>305704</v>
      </c>
      <c r="J769" s="22" t="str">
        <f>LOOKUP(TabVMAzureEnvProjet[[#This Row],[Code SYGES]],TabCONTRATSDI[Contrat SYGES],TabCONTRATSDI[Client])</f>
        <v>STMICRO</v>
      </c>
      <c r="K769" t="s">
        <v>175</v>
      </c>
      <c r="L769" s="31">
        <v>5.0022865739551357</v>
      </c>
      <c r="M769" s="41" t="s">
        <v>176</v>
      </c>
    </row>
    <row r="770" spans="1:13" x14ac:dyDescent="0.25">
      <c r="A770" s="22" t="str">
        <f>TabVMAzureEnvProjet[[#This Row],[Client]] &amp; " .:. "  &amp; TabVMAzureEnvProjet[[#This Row],[Projet]]</f>
        <v>ALM .:. ALM-ATOUT</v>
      </c>
      <c r="B770" s="22" t="str">
        <f>IF(TabVMAzureEnvProjet[[#This Row],[Projet AzureDevOps]]&lt;&gt;"",TabVMAzureEnvProjet[[#This Row],[Projet AzureDevOps]],TabVMAzureEnvProjet[[#This Row],[VM]])</f>
        <v>ALM-ATOUT-VM</v>
      </c>
      <c r="D770" s="19" t="s">
        <v>18</v>
      </c>
      <c r="E770" t="s">
        <v>6</v>
      </c>
      <c r="F770" t="s">
        <v>17</v>
      </c>
      <c r="G770" t="str">
        <f>LOOKUP(TabVMAzureEnvProjet[[#This Row],[Projet]],TabProjets[NomProj],TabProjets[SYGES])</f>
        <v>ALM/TMA_ATOUT</v>
      </c>
      <c r="H770" t="str">
        <f>LOOKUP(TabVMAzureEnvProjet[[#This Row],[Projet]],TabProjets[NomProj],TabProjets[CP])</f>
        <v>Alice MARCHAL</v>
      </c>
      <c r="I770">
        <f>LOOKUP(TabVMAzureEnvProjet[[#This Row],[Code SYGES]],TabCONTRATSDI[Contrat SYGES],TabCONTRATSDI[Cost Center])</f>
        <v>305704</v>
      </c>
      <c r="J770" s="22" t="str">
        <f>LOOKUP(TabVMAzureEnvProjet[[#This Row],[Code SYGES]],TabCONTRATSDI[Contrat SYGES],TabCONTRATSDI[Client])</f>
        <v>ALM</v>
      </c>
      <c r="K770" t="s">
        <v>175</v>
      </c>
      <c r="L770" s="31">
        <v>29.500102606197416</v>
      </c>
      <c r="M770" s="40" t="s">
        <v>177</v>
      </c>
    </row>
    <row r="771" spans="1:13" x14ac:dyDescent="0.25">
      <c r="A771" s="22" t="str">
        <f>TabVMAzureEnvProjet[[#This Row],[Client]] &amp; " .:. "  &amp; TabVMAzureEnvProjet[[#This Row],[Projet]]</f>
        <v>BRGM .:. BRGM-ORRM</v>
      </c>
      <c r="B771" s="22" t="str">
        <f>IF(TabVMAzureEnvProjet[[#This Row],[Projet AzureDevOps]]&lt;&gt;"",TabVMAzureEnvProjet[[#This Row],[Projet AzureDevOps]],TabVMAzureEnvProjet[[#This Row],[VM]])</f>
        <v>BRGM-ORRM-VM</v>
      </c>
      <c r="D771" s="19" t="s">
        <v>22</v>
      </c>
      <c r="E771" t="s">
        <v>21</v>
      </c>
      <c r="F771" t="s">
        <v>20</v>
      </c>
      <c r="G771" t="str">
        <f>LOOKUP(TabVMAzureEnvProjet[[#This Row],[Projet]],TabProjets[NomProj],TabProjets[SYGES])</f>
        <v>BRGM/TMA-5-1-ORRM-LOT1</v>
      </c>
      <c r="H771" t="str">
        <f>LOOKUP(TabVMAzureEnvProjet[[#This Row],[Projet]],TabProjets[NomProj],TabProjets[CP])</f>
        <v>Alice MARCHAL</v>
      </c>
      <c r="I771">
        <f>LOOKUP(TabVMAzureEnvProjet[[#This Row],[Code SYGES]],TabCONTRATSDI[Contrat SYGES],TabCONTRATSDI[Cost Center])</f>
        <v>305704</v>
      </c>
      <c r="J771" s="22" t="str">
        <f>LOOKUP(TabVMAzureEnvProjet[[#This Row],[Code SYGES]],TabCONTRATSDI[Contrat SYGES],TabCONTRATSDI[Client])</f>
        <v>BRGM</v>
      </c>
      <c r="K771" t="s">
        <v>175</v>
      </c>
      <c r="L771" s="31">
        <v>6.1587933511184074</v>
      </c>
      <c r="M771" s="40" t="s">
        <v>177</v>
      </c>
    </row>
    <row r="772" spans="1:13" x14ac:dyDescent="0.25">
      <c r="A772" s="22" t="str">
        <f>TabVMAzureEnvProjet[[#This Row],[Client]] &amp; " .:. "  &amp; TabVMAzureEnvProjet[[#This Row],[Projet]]</f>
        <v>CA-TITRES .:. CATITRES-COMX</v>
      </c>
      <c r="B772" s="22" t="str">
        <f>IF(TabVMAzureEnvProjet[[#This Row],[Projet AzureDevOps]]&lt;&gt;"",TabVMAzureEnvProjet[[#This Row],[Projet AzureDevOps]],TabVMAzureEnvProjet[[#This Row],[VM]])</f>
        <v>CATITRES-COMX-VM</v>
      </c>
      <c r="D772" s="19" t="s">
        <v>25</v>
      </c>
      <c r="E772" t="s">
        <v>10</v>
      </c>
      <c r="F772" t="s">
        <v>24</v>
      </c>
      <c r="G772" t="str">
        <f>LOOKUP(TabVMAzureEnvProjet[[#This Row],[Projet]],TabProjets[NomProj],TabProjets[SYGES])</f>
        <v>CA-TITRES/TMA</v>
      </c>
      <c r="H772" t="str">
        <f>LOOKUP(TabVMAzureEnvProjet[[#This Row],[Projet]],TabProjets[NomProj],TabProjets[CP])</f>
        <v>Jean-Philippe STROIAZZO</v>
      </c>
      <c r="I772">
        <f>LOOKUP(TabVMAzureEnvProjet[[#This Row],[Code SYGES]],TabCONTRATSDI[Contrat SYGES],TabCONTRATSDI[Cost Center])</f>
        <v>305704</v>
      </c>
      <c r="J772" s="22" t="str">
        <f>LOOKUP(TabVMAzureEnvProjet[[#This Row],[Code SYGES]],TabCONTRATSDI[Contrat SYGES],TabCONTRATSDI[Client])</f>
        <v>CA-TITRES</v>
      </c>
      <c r="K772" t="s">
        <v>175</v>
      </c>
      <c r="L772" s="31">
        <v>13.166361584239688</v>
      </c>
      <c r="M772" s="40" t="s">
        <v>177</v>
      </c>
    </row>
    <row r="773" spans="1:13" x14ac:dyDescent="0.25">
      <c r="A773" s="22" t="str">
        <f>TabVMAzureEnvProjet[[#This Row],[Client]] &amp; " .:. "  &amp; TabVMAzureEnvProjet[[#This Row],[Projet]]</f>
        <v>EBR .:. EBR-LAPOSTE</v>
      </c>
      <c r="B773" s="22" t="str">
        <f>IF(TabVMAzureEnvProjet[[#This Row],[Projet AzureDevOps]]&lt;&gt;"",TabVMAzureEnvProjet[[#This Row],[Projet AzureDevOps]],TabVMAzureEnvProjet[[#This Row],[VM]])</f>
        <v>EBR-LAPOSTE-VM</v>
      </c>
      <c r="D773" s="19" t="s">
        <v>76</v>
      </c>
      <c r="E773" t="s">
        <v>10</v>
      </c>
      <c r="F773" t="s">
        <v>75</v>
      </c>
      <c r="G773" t="str">
        <f>LOOKUP(TabVMAzureEnvProjet[[#This Row],[Projet]],TabProjets[NomProj],TabProjets[SYGES])</f>
        <v>EBR/TMA</v>
      </c>
      <c r="H773" t="str">
        <f>LOOKUP(TabVMAzureEnvProjet[[#This Row],[Projet]],TabProjets[NomProj],TabProjets[CP])</f>
        <v>Valerie ASSELIN LOZACHMEUR</v>
      </c>
      <c r="I773">
        <f>LOOKUP(TabVMAzureEnvProjet[[#This Row],[Code SYGES]],TabCONTRATSDI[Contrat SYGES],TabCONTRATSDI[Cost Center])</f>
        <v>305704</v>
      </c>
      <c r="J773" s="22" t="str">
        <f>LOOKUP(TabVMAzureEnvProjet[[#This Row],[Code SYGES]],TabCONTRATSDI[Contrat SYGES],TabCONTRATSDI[Client])</f>
        <v>EBR</v>
      </c>
      <c r="K773" t="s">
        <v>175</v>
      </c>
      <c r="L773" s="31">
        <v>99.751750461727895</v>
      </c>
      <c r="M773" s="40" t="s">
        <v>177</v>
      </c>
    </row>
    <row r="774" spans="1:13" x14ac:dyDescent="0.25">
      <c r="A774" s="22" t="str">
        <f>TabVMAzureEnvProjet[[#This Row],[Client]] &amp; " .:. "  &amp; TabVMAzureEnvProjet[[#This Row],[Projet]]</f>
        <v>FRR .:. FRR-DIGIPAT</v>
      </c>
      <c r="B774" s="22" t="str">
        <f>IF(TabVMAzureEnvProjet[[#This Row],[Projet AzureDevOps]]&lt;&gt;"",TabVMAzureEnvProjet[[#This Row],[Projet AzureDevOps]],TabVMAzureEnvProjet[[#This Row],[VM]])</f>
        <v>FRR-DIGIPAT-VM</v>
      </c>
      <c r="D774" s="19" t="s">
        <v>31</v>
      </c>
      <c r="E774" t="s">
        <v>21</v>
      </c>
      <c r="F774" t="s">
        <v>29</v>
      </c>
      <c r="G774" t="str">
        <f>LOOKUP(TabVMAzureEnvProjet[[#This Row],[Projet]],TabProjets[NomProj],TabProjets[SYGES])</f>
        <v>FRR/TMASI</v>
      </c>
      <c r="H774" t="str">
        <f>LOOKUP(TabVMAzureEnvProjet[[#This Row],[Projet]],TabProjets[NomProj],TabProjets[CP])</f>
        <v>Alice MARCHAL</v>
      </c>
      <c r="I774">
        <f>LOOKUP(TabVMAzureEnvProjet[[#This Row],[Code SYGES]],TabCONTRATSDI[Contrat SYGES],TabCONTRATSDI[Cost Center])</f>
        <v>305704</v>
      </c>
      <c r="J774" s="22" t="str">
        <f>LOOKUP(TabVMAzureEnvProjet[[#This Row],[Code SYGES]],TabCONTRATSDI[Contrat SYGES],TabCONTRATSDI[Client])</f>
        <v>FRR</v>
      </c>
      <c r="K774" t="s">
        <v>175</v>
      </c>
      <c r="L774" s="31">
        <v>43.566993638415767</v>
      </c>
      <c r="M774" s="40" t="s">
        <v>177</v>
      </c>
    </row>
    <row r="775" spans="1:13" x14ac:dyDescent="0.25">
      <c r="A775" s="22" t="str">
        <f>TabVMAzureEnvProjet[[#This Row],[Client]] &amp; " .:. "  &amp; TabVMAzureEnvProjet[[#This Row],[Projet]]</f>
        <v>INETUM .:. INETUM-INTERNE</v>
      </c>
      <c r="B775" s="22" t="str">
        <f>IF(TabVMAzureEnvProjet[[#This Row],[Projet AzureDevOps]]&lt;&gt;"",TabVMAzureEnvProjet[[#This Row],[Projet AzureDevOps]],TabVMAzureEnvProjet[[#This Row],[VM]])</f>
        <v>GFI-PMT-VM</v>
      </c>
      <c r="D775" s="19" t="s">
        <v>121</v>
      </c>
      <c r="E775" t="s">
        <v>120</v>
      </c>
      <c r="F775" t="s">
        <v>102</v>
      </c>
      <c r="G775" t="str">
        <f>LOOKUP(TabVMAzureEnvProjet[[#This Row],[Projet]],TabProjets[NomProj],TabProjets[SYGES])</f>
        <v>INETUM/PROJET_INTERNE</v>
      </c>
      <c r="H775" t="str">
        <f>LOOKUP(TabVMAzureEnvProjet[[#This Row],[Projet]],TabProjets[NomProj],TabProjets[CP])</f>
        <v>Christophe ORLANDO</v>
      </c>
      <c r="I775">
        <f>LOOKUP(TabVMAzureEnvProjet[[#This Row],[Code SYGES]],TabCONTRATSDI[Contrat SYGES],TabCONTRATSDI[Cost Center])</f>
        <v>305704</v>
      </c>
      <c r="J775" s="22" t="str">
        <f>LOOKUP(TabVMAzureEnvProjet[[#This Row],[Code SYGES]],TabCONTRATSDI[Contrat SYGES],TabCONTRATSDI[Client])</f>
        <v>INETUM</v>
      </c>
      <c r="K775" t="s">
        <v>175</v>
      </c>
      <c r="L775" s="31">
        <v>27.233252616458032</v>
      </c>
      <c r="M775" s="40" t="s">
        <v>177</v>
      </c>
    </row>
    <row r="776" spans="1:13" x14ac:dyDescent="0.25">
      <c r="A776" s="22" t="str">
        <f>TabVMAzureEnvProjet[[#This Row],[Client]] &amp; " .:. "  &amp; TabVMAzureEnvProjet[[#This Row],[Projet]]</f>
        <v>GFI .:. GFI-WAAC</v>
      </c>
      <c r="B776" s="22" t="str">
        <f>IF(TabVMAzureEnvProjet[[#This Row],[Projet AzureDevOps]]&lt;&gt;"",TabVMAzureEnvProjet[[#This Row],[Projet AzureDevOps]],TabVMAzureEnvProjet[[#This Row],[VM]])</f>
        <v>GFI-WAAC-VM</v>
      </c>
      <c r="D776" s="19" t="s">
        <v>39</v>
      </c>
      <c r="E776" t="s">
        <v>6</v>
      </c>
      <c r="F776" t="s">
        <v>38</v>
      </c>
      <c r="G776" t="str">
        <f>LOOKUP(TabVMAzureEnvProjet[[#This Row],[Projet]],TabProjets[NomProj],TabProjets[SYGES])</f>
        <v>383928 - WAAC 1.0</v>
      </c>
      <c r="H776" t="str">
        <f>LOOKUP(TabVMAzureEnvProjet[[#This Row],[Projet]],TabProjets[NomProj],TabProjets[CP])</f>
        <v>Laurent MARCIANIAK</v>
      </c>
      <c r="I776">
        <f>LOOKUP(TabVMAzureEnvProjet[[#This Row],[Code SYGES]],TabCONTRATSDI[Contrat SYGES],TabCONTRATSDI[Cost Center])</f>
        <v>100973</v>
      </c>
      <c r="J776" s="22" t="str">
        <f>LOOKUP(TabVMAzureEnvProjet[[#This Row],[Code SYGES]],TabCONTRATSDI[Contrat SYGES],TabCONTRATSDI[Client])</f>
        <v>GFI</v>
      </c>
      <c r="K776" t="s">
        <v>175</v>
      </c>
      <c r="L776" s="31">
        <v>61.391266160476093</v>
      </c>
      <c r="M776" s="40" t="s">
        <v>177</v>
      </c>
    </row>
    <row r="777" spans="1:13" x14ac:dyDescent="0.25">
      <c r="A777" s="22" t="str">
        <f>TabVMAzureEnvProjet[[#This Row],[Client]] &amp; " .:. "  &amp; TabVMAzureEnvProjet[[#This Row],[Projet]]</f>
        <v>INETUM .:. INETUM-INTERNE</v>
      </c>
      <c r="B777" s="22" t="str">
        <f>IF(TabVMAzureEnvProjet[[#This Row],[Projet AzureDevOps]]&lt;&gt;"",TabVMAzureEnvProjet[[#This Row],[Projet AzureDevOps]],TabVMAzureEnvProjet[[#This Row],[VM]])</f>
        <v>INETUM-SONAR</v>
      </c>
      <c r="D777" s="19" t="s">
        <v>122</v>
      </c>
      <c r="E777" t="s">
        <v>120</v>
      </c>
      <c r="F777" t="s">
        <v>102</v>
      </c>
      <c r="G777" t="str">
        <f>LOOKUP(TabVMAzureEnvProjet[[#This Row],[Projet]],TabProjets[NomProj],TabProjets[SYGES])</f>
        <v>INETUM/PROJET_INTERNE</v>
      </c>
      <c r="H777" t="str">
        <f>LOOKUP(TabVMAzureEnvProjet[[#This Row],[Projet]],TabProjets[NomProj],TabProjets[CP])</f>
        <v>Christophe ORLANDO</v>
      </c>
      <c r="I777">
        <f>LOOKUP(TabVMAzureEnvProjet[[#This Row],[Code SYGES]],TabCONTRATSDI[Contrat SYGES],TabCONTRATSDI[Cost Center])</f>
        <v>305704</v>
      </c>
      <c r="J777" s="22" t="str">
        <f>LOOKUP(TabVMAzureEnvProjet[[#This Row],[Code SYGES]],TabCONTRATSDI[Contrat SYGES],TabCONTRATSDI[Client])</f>
        <v>INETUM</v>
      </c>
      <c r="K777" t="s">
        <v>175</v>
      </c>
      <c r="L777" s="31">
        <v>64.186012723168474</v>
      </c>
      <c r="M777" s="40" t="s">
        <v>177</v>
      </c>
    </row>
    <row r="778" spans="1:13" x14ac:dyDescent="0.25">
      <c r="A778" s="22" t="str">
        <f>TabVMAzureEnvProjet[[#This Row],[Client]] &amp; " .:. "  &amp; TabVMAzureEnvProjet[[#This Row],[Projet]]</f>
        <v>INETUM .:. INETUM-INTERNE</v>
      </c>
      <c r="B778" s="22" t="str">
        <f>IF(TabVMAzureEnvProjet[[#This Row],[Projet AzureDevOps]]&lt;&gt;"",TabVMAzureEnvProjet[[#This Row],[Projet AzureDevOps]],TabVMAzureEnvProjet[[#This Row],[VM]])</f>
        <v>GFI-ORLEANS</v>
      </c>
      <c r="D778" s="19" t="s">
        <v>119</v>
      </c>
      <c r="E778" t="s">
        <v>10</v>
      </c>
      <c r="F778" t="s">
        <v>102</v>
      </c>
      <c r="G778" t="str">
        <f>LOOKUP(TabVMAzureEnvProjet[[#This Row],[Projet]],TabProjets[NomProj],TabProjets[SYGES])</f>
        <v>INETUM/PROJET_INTERNE</v>
      </c>
      <c r="H778" t="str">
        <f>LOOKUP(TabVMAzureEnvProjet[[#This Row],[Projet]],TabProjets[NomProj],TabProjets[CP])</f>
        <v>Christophe ORLANDO</v>
      </c>
      <c r="I778">
        <f>LOOKUP(TabVMAzureEnvProjet[[#This Row],[Code SYGES]],TabCONTRATSDI[Contrat SYGES],TabCONTRATSDI[Cost Center])</f>
        <v>305704</v>
      </c>
      <c r="J778" s="22" t="str">
        <f>LOOKUP(TabVMAzureEnvProjet[[#This Row],[Code SYGES]],TabCONTRATSDI[Contrat SYGES],TabCONTRATSDI[Client])</f>
        <v>INETUM</v>
      </c>
      <c r="K778" t="s">
        <v>175</v>
      </c>
      <c r="L778" s="31">
        <v>6.0863369587523088</v>
      </c>
      <c r="M778" s="40" t="s">
        <v>177</v>
      </c>
    </row>
    <row r="779" spans="1:13" x14ac:dyDescent="0.25">
      <c r="A779" s="22" t="str">
        <f>TabVMAzureEnvProjet[[#This Row],[Client]] &amp; " .:. "  &amp; TabVMAzureEnvProjet[[#This Row],[Projet]]</f>
        <v>ITCE .:. ITCE-SIF</v>
      </c>
      <c r="B779" s="22" t="str">
        <f>IF(TabVMAzureEnvProjet[[#This Row],[Projet AzureDevOps]]&lt;&gt;"",TabVMAzureEnvProjet[[#This Row],[Projet AzureDevOps]],TabVMAzureEnvProjet[[#This Row],[VM]])</f>
        <v>ITCE-SIF2</v>
      </c>
      <c r="D779" s="19" t="s">
        <v>125</v>
      </c>
      <c r="E779" t="s">
        <v>10</v>
      </c>
      <c r="F779" t="s">
        <v>124</v>
      </c>
      <c r="G779" t="str">
        <f>LOOKUP(TabVMAzureEnvProjet[[#This Row],[Projet]],TabProjets[NomProj],TabProjets[SYGES])</f>
        <v>ITCE/TMA</v>
      </c>
      <c r="H779" t="str">
        <f>LOOKUP(TabVMAzureEnvProjet[[#This Row],[Projet]],TabProjets[NomProj],TabProjets[CP])</f>
        <v>Frederic DELAIRE</v>
      </c>
      <c r="I779">
        <f>LOOKUP(TabVMAzureEnvProjet[[#This Row],[Code SYGES]],TabCONTRATSDI[Contrat SYGES],TabCONTRATSDI[Cost Center])</f>
        <v>305704</v>
      </c>
      <c r="J779" s="22" t="str">
        <f>LOOKUP(TabVMAzureEnvProjet[[#This Row],[Code SYGES]],TabCONTRATSDI[Contrat SYGES],TabCONTRATSDI[Client])</f>
        <v>ITCE</v>
      </c>
      <c r="K779" t="s">
        <v>175</v>
      </c>
      <c r="L779" s="31">
        <v>40.84470346808947</v>
      </c>
      <c r="M779" s="40" t="s">
        <v>177</v>
      </c>
    </row>
    <row r="780" spans="1:13" x14ac:dyDescent="0.25">
      <c r="A780" s="22" t="str">
        <f>TabVMAzureEnvProjet[[#This Row],[Client]] &amp; " .:. "  &amp; TabVMAzureEnvProjet[[#This Row],[Projet]]</f>
        <v>LAPOSTE .:. LAPOSTE-CDC</v>
      </c>
      <c r="B780" s="22" t="str">
        <f>IF(TabVMAzureEnvProjet[[#This Row],[Projet AzureDevOps]]&lt;&gt;"",TabVMAzureEnvProjet[[#This Row],[Projet AzureDevOps]],TabVMAzureEnvProjet[[#This Row],[VM]])</f>
        <v>LAPOSTE-CDC-VM</v>
      </c>
      <c r="D780" s="19" t="s">
        <v>92</v>
      </c>
      <c r="E780" t="s">
        <v>10</v>
      </c>
      <c r="F780" t="s">
        <v>82</v>
      </c>
      <c r="G780" t="str">
        <f>LOOKUP(TabVMAzureEnvProjet[[#This Row],[Projet]],TabProjets[NomProj],TabProjets[SYGES])</f>
        <v>LA-POSTE/CDC_DRUPAL</v>
      </c>
      <c r="H780" t="str">
        <f>LOOKUP(TabVMAzureEnvProjet[[#This Row],[Projet]],TabProjets[NomProj],TabProjets[CP])</f>
        <v>Rodolphe HABEGGER</v>
      </c>
      <c r="I780">
        <f>LOOKUP(TabVMAzureEnvProjet[[#This Row],[Code SYGES]],TabCONTRATSDI[Contrat SYGES],TabCONTRATSDI[Cost Center])</f>
        <v>305704</v>
      </c>
      <c r="J780" s="22" t="str">
        <f>LOOKUP(TabVMAzureEnvProjet[[#This Row],[Code SYGES]],TabCONTRATSDI[Contrat SYGES],TabCONTRATSDI[Client])</f>
        <v>LAPOSTE</v>
      </c>
      <c r="K780" t="s">
        <v>175</v>
      </c>
      <c r="L780" s="31">
        <v>3.7987851426226142</v>
      </c>
      <c r="M780" s="40" t="s">
        <v>177</v>
      </c>
    </row>
    <row r="781" spans="1:13" x14ac:dyDescent="0.25">
      <c r="A781" s="22" t="str">
        <f>TabVMAzureEnvProjet[[#This Row],[Client]] &amp; " .:. "  &amp; TabVMAzureEnvProjet[[#This Row],[Projet]]</f>
        <v>MENESR .:. MENJ-BI</v>
      </c>
      <c r="B781" s="22" t="str">
        <f>IF(TabVMAzureEnvProjet[[#This Row],[Projet AzureDevOps]]&lt;&gt;"",TabVMAzureEnvProjet[[#This Row],[Projet AzureDevOps]],TabVMAzureEnvProjet[[#This Row],[VM]])</f>
        <v>MENJ-BI-VM</v>
      </c>
      <c r="D781" s="19" t="s">
        <v>52</v>
      </c>
      <c r="E781" t="s">
        <v>6</v>
      </c>
      <c r="F781" t="s">
        <v>51</v>
      </c>
      <c r="G781" t="str">
        <f>LOOKUP(TabVMAzureEnvProjet[[#This Row],[Projet]],TabProjets[NomProj],TabProjets[SYGES])</f>
        <v>MENESR/TMA</v>
      </c>
      <c r="H781" t="str">
        <f>LOOKUP(TabVMAzureEnvProjet[[#This Row],[Projet]],TabProjets[NomProj],TabProjets[CP])</f>
        <v>Eric PERROUD</v>
      </c>
      <c r="I781">
        <f>LOOKUP(TabVMAzureEnvProjet[[#This Row],[Code SYGES]],TabCONTRATSDI[Contrat SYGES],TabCONTRATSDI[Cost Center])</f>
        <v>305704</v>
      </c>
      <c r="J781" s="22" t="str">
        <f>LOOKUP(TabVMAzureEnvProjet[[#This Row],[Code SYGES]],TabCONTRATSDI[Contrat SYGES],TabCONTRATSDI[Client])</f>
        <v>MENESR</v>
      </c>
      <c r="K781" t="s">
        <v>175</v>
      </c>
      <c r="L781" s="31">
        <v>3.7987851426226142</v>
      </c>
      <c r="M781" s="40" t="s">
        <v>177</v>
      </c>
    </row>
    <row r="782" spans="1:13" x14ac:dyDescent="0.25">
      <c r="A782" s="22" t="str">
        <f>TabVMAzureEnvProjet[[#This Row],[Client]] &amp; " .:. "  &amp; TabVMAzureEnvProjet[[#This Row],[Projet]]</f>
        <v>MENESR .:. MENJ-INSERJEUNES</v>
      </c>
      <c r="B782" s="22" t="str">
        <f>IF(TabVMAzureEnvProjet[[#This Row],[Projet AzureDevOps]]&lt;&gt;"",TabVMAzureEnvProjet[[#This Row],[Projet AzureDevOps]],TabVMAzureEnvProjet[[#This Row],[VM]])</f>
        <v>MENJ-INERJEUNES</v>
      </c>
      <c r="D782" s="19" t="s">
        <v>55</v>
      </c>
      <c r="E782" t="s">
        <v>21</v>
      </c>
      <c r="F782" t="s">
        <v>53</v>
      </c>
      <c r="G782" t="str">
        <f>LOOKUP(TabVMAzureEnvProjet[[#This Row],[Projet]],TabProjets[NomProj],TabProjets[SYGES])</f>
        <v>MENESR - TMA - 23 - 1 - INSERJEUNES</v>
      </c>
      <c r="H782" t="str">
        <f>LOOKUP(TabVMAzureEnvProjet[[#This Row],[Projet]],TabProjets[NomProj],TabProjets[CP])</f>
        <v>Christophe ORLANDO</v>
      </c>
      <c r="I782">
        <f>LOOKUP(TabVMAzureEnvProjet[[#This Row],[Code SYGES]],TabCONTRATSDI[Contrat SYGES],TabCONTRATSDI[Cost Center])</f>
        <v>305704</v>
      </c>
      <c r="J782" s="22" t="str">
        <f>LOOKUP(TabVMAzureEnvProjet[[#This Row],[Code SYGES]],TabCONTRATSDI[Contrat SYGES],TabCONTRATSDI[Client])</f>
        <v>MENESR</v>
      </c>
      <c r="K782" t="s">
        <v>175</v>
      </c>
      <c r="L782" s="31">
        <v>34.716962856556535</v>
      </c>
      <c r="M782" s="40" t="s">
        <v>177</v>
      </c>
    </row>
    <row r="783" spans="1:13" x14ac:dyDescent="0.25">
      <c r="A783" s="22" t="str">
        <f>TabVMAzureEnvProjet[[#This Row],[Client]] &amp; " .:. "  &amp; TabVMAzureEnvProjet[[#This Row],[Projet]]</f>
        <v>AFB .:. AFB-CMONSPOT</v>
      </c>
      <c r="B783" s="22" t="str">
        <f>IF(TabVMAzureEnvProjet[[#This Row],[Projet AzureDevOps]]&lt;&gt;"",TabVMAzureEnvProjet[[#This Row],[Projet AzureDevOps]],TabVMAzureEnvProjet[[#This Row],[VM]])</f>
        <v>OFB-CMONSPOT</v>
      </c>
      <c r="D783" s="19" t="s">
        <v>12</v>
      </c>
      <c r="E783" t="s">
        <v>10</v>
      </c>
      <c r="F783" t="s">
        <v>178</v>
      </c>
      <c r="G783" t="str">
        <f>LOOKUP(TabVMAzureEnvProjet[[#This Row],[Projet]],TabProjets[NomProj],TabProjets[SYGES])</f>
        <v>AFB/OFB_LOT2</v>
      </c>
      <c r="H783" t="str">
        <f>LOOKUP(TabVMAzureEnvProjet[[#This Row],[Projet]],TabProjets[NomProj],TabProjets[CP])</f>
        <v>Jean-Philippe STROIAZZO</v>
      </c>
      <c r="I783">
        <f>LOOKUP(TabVMAzureEnvProjet[[#This Row],[Code SYGES]],TabCONTRATSDI[Contrat SYGES],TabCONTRATSDI[Cost Center])</f>
        <v>305704</v>
      </c>
      <c r="J783" s="22" t="str">
        <f>LOOKUP(TabVMAzureEnvProjet[[#This Row],[Code SYGES]],TabCONTRATSDI[Contrat SYGES],TabCONTRATSDI[Client])</f>
        <v>AFB</v>
      </c>
      <c r="K783" t="s">
        <v>175</v>
      </c>
      <c r="L783" s="31">
        <v>5.082298378822081</v>
      </c>
      <c r="M783" s="40" t="s">
        <v>177</v>
      </c>
    </row>
    <row r="784" spans="1:13" x14ac:dyDescent="0.25">
      <c r="A784" s="22" t="str">
        <f>TabVMAzureEnvProjet[[#This Row],[Client]] &amp; " .:. "  &amp; TabVMAzureEnvProjet[[#This Row],[Projet]]</f>
        <v>AFB .:. OFB-ESTAMP</v>
      </c>
      <c r="B784" s="22" t="str">
        <f>IF(TabVMAzureEnvProjet[[#This Row],[Projet AzureDevOps]]&lt;&gt;"",TabVMAzureEnvProjet[[#This Row],[Projet AzureDevOps]],TabVMAzureEnvProjet[[#This Row],[VM]])</f>
        <v>OFB-ESTAMP-2</v>
      </c>
      <c r="D784" s="19" t="s">
        <v>14</v>
      </c>
      <c r="E784" t="s">
        <v>6</v>
      </c>
      <c r="F784" t="s">
        <v>13</v>
      </c>
      <c r="G784" t="str">
        <f>LOOKUP(TabVMAzureEnvProjet[[#This Row],[Projet]],TabProjets[NomProj],TabProjets[SYGES])</f>
        <v>AFB/OFB_LOT1</v>
      </c>
      <c r="H784" t="str">
        <f>LOOKUP(TabVMAzureEnvProjet[[#This Row],[Projet]],TabProjets[NomProj],TabProjets[CP])</f>
        <v>Pierre BOURLIEUX</v>
      </c>
      <c r="I784">
        <f>LOOKUP(TabVMAzureEnvProjet[[#This Row],[Code SYGES]],TabCONTRATSDI[Contrat SYGES],TabCONTRATSDI[Cost Center])</f>
        <v>305704</v>
      </c>
      <c r="J784" s="22" t="str">
        <f>LOOKUP(TabVMAzureEnvProjet[[#This Row],[Code SYGES]],TabCONTRATSDI[Contrat SYGES],TabCONTRATSDI[Client])</f>
        <v>AFB</v>
      </c>
      <c r="K784" t="s">
        <v>175</v>
      </c>
      <c r="L784" s="31">
        <v>18.352169095013338</v>
      </c>
      <c r="M784" s="40" t="s">
        <v>177</v>
      </c>
    </row>
    <row r="785" spans="1:13" x14ac:dyDescent="0.25">
      <c r="A785" s="22" t="str">
        <f>TabVMAzureEnvProjet[[#This Row],[Client]] &amp; " .:. "  &amp; TabVMAzureEnvProjet[[#This Row],[Projet]]</f>
        <v>AFB .:. AFB-NatureFrance</v>
      </c>
      <c r="B785" s="22" t="str">
        <f>IF(TabVMAzureEnvProjet[[#This Row],[Projet AzureDevOps]]&lt;&gt;"",TabVMAzureEnvProjet[[#This Row],[Projet AzureDevOps]],TabVMAzureEnvProjet[[#This Row],[VM]])</f>
        <v>OFB-FRANCENATURE-VM</v>
      </c>
      <c r="D785" s="19" t="s">
        <v>80</v>
      </c>
      <c r="E785" t="s">
        <v>6</v>
      </c>
      <c r="F785" t="s">
        <v>147</v>
      </c>
      <c r="G785" t="str">
        <f>LOOKUP(TabVMAzureEnvProjet[[#This Row],[Projet]],TabProjets[NomProj],TabProjets[SYGES])</f>
        <v>AFB/OFB_LOT2</v>
      </c>
      <c r="H785" t="str">
        <f>LOOKUP(TabVMAzureEnvProjet[[#This Row],[Projet]],TabProjets[NomProj],TabProjets[CP])</f>
        <v>Rodolphe HABEGGER</v>
      </c>
      <c r="I785">
        <f>LOOKUP(TabVMAzureEnvProjet[[#This Row],[Code SYGES]],TabCONTRATSDI[Contrat SYGES],TabCONTRATSDI[Cost Center])</f>
        <v>305704</v>
      </c>
      <c r="J785" s="22" t="str">
        <f>LOOKUP(TabVMAzureEnvProjet[[#This Row],[Code SYGES]],TabCONTRATSDI[Contrat SYGES],TabCONTRATSDI[Client])</f>
        <v>AFB</v>
      </c>
      <c r="K785" t="s">
        <v>175</v>
      </c>
      <c r="L785" s="31">
        <v>3.7159778370613585</v>
      </c>
      <c r="M785" s="40" t="s">
        <v>177</v>
      </c>
    </row>
    <row r="786" spans="1:13" x14ac:dyDescent="0.25">
      <c r="A786" s="22" t="str">
        <f>TabVMAzureEnvProjet[[#This Row],[Client]] &amp; " .:. "  &amp; TabVMAzureEnvProjet[[#This Row],[Projet]]</f>
        <v>AFB .:. OFB-SISPEA</v>
      </c>
      <c r="B786" s="22" t="str">
        <f>IF(TabVMAzureEnvProjet[[#This Row],[Projet AzureDevOps]]&lt;&gt;"",TabVMAzureEnvProjet[[#This Row],[Projet AzureDevOps]],TabVMAzureEnvProjet[[#This Row],[VM]])</f>
        <v>OFB-SISPEA-VM</v>
      </c>
      <c r="D786" s="19" t="s">
        <v>11</v>
      </c>
      <c r="E786" t="s">
        <v>10</v>
      </c>
      <c r="F786" t="s">
        <v>9</v>
      </c>
      <c r="G786" t="str">
        <f>LOOKUP(TabVMAzureEnvProjet[[#This Row],[Projet]],TabProjets[NomProj],TabProjets[SYGES])</f>
        <v>AFB/OFB_LOT2</v>
      </c>
      <c r="H786" t="str">
        <f>LOOKUP(TabVMAzureEnvProjet[[#This Row],[Projet]],TabProjets[NomProj],TabProjets[CP])</f>
        <v>Pierre BOURLIEUX</v>
      </c>
      <c r="I786">
        <f>LOOKUP(TabVMAzureEnvProjet[[#This Row],[Code SYGES]],TabCONTRATSDI[Contrat SYGES],TabCONTRATSDI[Cost Center])</f>
        <v>305704</v>
      </c>
      <c r="J786" s="22" t="str">
        <f>LOOKUP(TabVMAzureEnvProjet[[#This Row],[Code SYGES]],TabCONTRATSDI[Contrat SYGES],TabCONTRATSDI[Client])</f>
        <v>AFB</v>
      </c>
      <c r="K786" t="s">
        <v>175</v>
      </c>
      <c r="L786" s="31">
        <v>10.268105889595731</v>
      </c>
      <c r="M786" s="40" t="s">
        <v>177</v>
      </c>
    </row>
    <row r="787" spans="1:13" x14ac:dyDescent="0.25">
      <c r="A787" s="22" t="str">
        <f>TabVMAzureEnvProjet[[#This Row],[Client]] &amp; " .:. "  &amp; TabVMAzureEnvProjet[[#This Row],[Projet]]</f>
        <v>SPC .:. SPC-BUILD</v>
      </c>
      <c r="B787" s="22" t="str">
        <f>IF(TabVMAzureEnvProjet[[#This Row],[Projet AzureDevOps]]&lt;&gt;"",TabVMAzureEnvProjet[[#This Row],[Projet AzureDevOps]],TabVMAzureEnvProjet[[#This Row],[VM]])</f>
        <v>SPC-BUILDAS-VM</v>
      </c>
      <c r="D787" s="19" t="s">
        <v>68</v>
      </c>
      <c r="E787" t="s">
        <v>10</v>
      </c>
      <c r="F787" t="s">
        <v>67</v>
      </c>
      <c r="G787" t="str">
        <f>LOOKUP(TabVMAzureEnvProjet[[#This Row],[Projet]],TabProjets[NomProj],TabProjets[SYGES])</f>
        <v>SPC/BUILD</v>
      </c>
      <c r="H787" t="str">
        <f>LOOKUP(TabVMAzureEnvProjet[[#This Row],[Projet]],TabProjets[NomProj],TabProjets[CP])</f>
        <v>Nicolas DURFORT</v>
      </c>
      <c r="I787">
        <f>LOOKUP(TabVMAzureEnvProjet[[#This Row],[Code SYGES]],TabCONTRATSDI[Contrat SYGES],TabCONTRATSDI[Cost Center])</f>
        <v>305704</v>
      </c>
      <c r="J787" s="22" t="str">
        <f>LOOKUP(TabVMAzureEnvProjet[[#This Row],[Code SYGES]],TabCONTRATSDI[Contrat SYGES],TabCONTRATSDI[Client])</f>
        <v>SPC</v>
      </c>
      <c r="K787" t="s">
        <v>175</v>
      </c>
      <c r="L787" s="31">
        <v>119.12865996306178</v>
      </c>
      <c r="M787" s="40" t="s">
        <v>177</v>
      </c>
    </row>
    <row r="788" spans="1:13" x14ac:dyDescent="0.25">
      <c r="A788" s="22" t="str">
        <f>TabVMAzureEnvProjet[[#This Row],[Client]] &amp; " .:. "  &amp; TabVMAzureEnvProjet[[#This Row],[Projet]]</f>
        <v>STMICRO .:. STMICRO-DATAPACK</v>
      </c>
      <c r="B788" s="22" t="str">
        <f>IF(TabVMAzureEnvProjet[[#This Row],[Projet AzureDevOps]]&lt;&gt;"",TabVMAzureEnvProjet[[#This Row],[Projet AzureDevOps]],TabVMAzureEnvProjet[[#This Row],[VM]])</f>
        <v>STMICRO-DATAPACK-VM</v>
      </c>
      <c r="D788" s="19" t="s">
        <v>97</v>
      </c>
      <c r="E788" t="s">
        <v>10</v>
      </c>
      <c r="F788" t="s">
        <v>96</v>
      </c>
      <c r="G788" t="str">
        <f>LOOKUP(TabVMAzureEnvProjet[[#This Row],[Projet]],TabProjets[NomProj],TabProjets[SYGES])</f>
        <v>STMICRO/TMASI</v>
      </c>
      <c r="H788" t="str">
        <f>LOOKUP(TabVMAzureEnvProjet[[#This Row],[Projet]],TabProjets[NomProj],TabProjets[CP])</f>
        <v>Jean-Philippe STROIAZZO</v>
      </c>
      <c r="I788">
        <f>LOOKUP(TabVMAzureEnvProjet[[#This Row],[Code SYGES]],TabCONTRATSDI[Contrat SYGES],TabCONTRATSDI[Cost Center])</f>
        <v>305704</v>
      </c>
      <c r="J788" s="22" t="str">
        <f>LOOKUP(TabVMAzureEnvProjet[[#This Row],[Code SYGES]],TabCONTRATSDI[Contrat SYGES],TabCONTRATSDI[Client])</f>
        <v>STMICRO</v>
      </c>
      <c r="K788" t="s">
        <v>175</v>
      </c>
      <c r="L788" s="31">
        <v>14.53268212600041</v>
      </c>
      <c r="M788" s="40" t="s">
        <v>177</v>
      </c>
    </row>
    <row r="789" spans="1:13" x14ac:dyDescent="0.25">
      <c r="A789" s="22" t="str">
        <f>TabVMAzureEnvProjet[[#This Row],[Client]] &amp; " .:. "  &amp; TabVMAzureEnvProjet[[#This Row],[Projet]]</f>
        <v>ONEMA .:. AFB-BASEINDICATEURS</v>
      </c>
      <c r="B789" s="22" t="str">
        <f>IF(TabVMAzureEnvProjet[[#This Row],[Projet AzureDevOps]]&lt;&gt;"",TabVMAzureEnvProjet[[#This Row],[Projet AzureDevOps]],TabVMAzureEnvProjet[[#This Row],[VM]])</f>
        <v>AFB-BaseIndicateurs</v>
      </c>
      <c r="C789" s="57" t="s">
        <v>58</v>
      </c>
      <c r="E789" t="s">
        <v>4</v>
      </c>
      <c r="F789" t="str">
        <f>LOOKUP(TabVMAzureEnvProjet[[#This Row],[Projet AzureDevOps]],TabAzureDevOps[ProjetAzureDevOps],TabAzureDevOps[PROJET])</f>
        <v>AFB-BASEINDICATEURS</v>
      </c>
      <c r="G789" t="str">
        <f>LOOKUP(TabVMAzureEnvProjet[[#This Row],[Projet]],TabProjets[NomProj],TabProjets[SYGES])</f>
        <v>ONEMA/TMADCUA-15</v>
      </c>
      <c r="H789" t="str">
        <f>LOOKUP(TabVMAzureEnvProjet[[#This Row],[Projet]],TabProjets[NomProj],TabProjets[CP])</f>
        <v>Pierre BOURLIEUX</v>
      </c>
      <c r="I789">
        <f>LOOKUP(TabVMAzureEnvProjet[[#This Row],[Code SYGES]],TabCONTRATSDI[Contrat SYGES],TabCONTRATSDI[Cost Center])</f>
        <v>305704</v>
      </c>
      <c r="J789" s="22" t="str">
        <f>LOOKUP(TabVMAzureEnvProjet[[#This Row],[Code SYGES]],TabCONTRATSDI[Contrat SYGES],TabCONTRATSDI[Client])</f>
        <v>ONEMA</v>
      </c>
      <c r="K789" t="s">
        <v>179</v>
      </c>
      <c r="L789" s="31">
        <v>0.4393604490109414</v>
      </c>
      <c r="M789" s="41" t="s">
        <v>180</v>
      </c>
    </row>
    <row r="790" spans="1:13" x14ac:dyDescent="0.25">
      <c r="A790" s="22" t="str">
        <f>TabVMAzureEnvProjet[[#This Row],[Client]] &amp; " .:. "  &amp; TabVMAzureEnvProjet[[#This Row],[Projet]]</f>
        <v>ONEMA .:. AFB-CATALOGUE</v>
      </c>
      <c r="B790" s="22" t="str">
        <f>IF(TabVMAzureEnvProjet[[#This Row],[Projet AzureDevOps]]&lt;&gt;"",TabVMAzureEnvProjet[[#This Row],[Projet AzureDevOps]],TabVMAzureEnvProjet[[#This Row],[VM]])</f>
        <v>AFB-Catalogue</v>
      </c>
      <c r="C790" s="57" t="s">
        <v>60</v>
      </c>
      <c r="E790" t="s">
        <v>4</v>
      </c>
      <c r="F790" t="str">
        <f>LOOKUP(TabVMAzureEnvProjet[[#This Row],[Projet AzureDevOps]],TabAzureDevOps[ProjetAzureDevOps],TabAzureDevOps[PROJET])</f>
        <v>AFB-CATALOGUE</v>
      </c>
      <c r="G790" t="str">
        <f>LOOKUP(TabVMAzureEnvProjet[[#This Row],[Projet]],TabProjets[NomProj],TabProjets[SYGES])</f>
        <v>ONEMA/TMADCUA-15</v>
      </c>
      <c r="H790" t="str">
        <f>LOOKUP(TabVMAzureEnvProjet[[#This Row],[Projet]],TabProjets[NomProj],TabProjets[CP])</f>
        <v>Pierre BOURLIEUX</v>
      </c>
      <c r="I790">
        <f>LOOKUP(TabVMAzureEnvProjet[[#This Row],[Code SYGES]],TabCONTRATSDI[Contrat SYGES],TabCONTRATSDI[Cost Center])</f>
        <v>305704</v>
      </c>
      <c r="J790" s="22" t="str">
        <f>LOOKUP(TabVMAzureEnvProjet[[#This Row],[Code SYGES]],TabCONTRATSDI[Contrat SYGES],TabCONTRATSDI[Client])</f>
        <v>ONEMA</v>
      </c>
      <c r="K790" t="s">
        <v>179</v>
      </c>
      <c r="L790" s="31">
        <v>1.7232501493020502</v>
      </c>
      <c r="M790" s="41" t="s">
        <v>180</v>
      </c>
    </row>
    <row r="791" spans="1:13" x14ac:dyDescent="0.25">
      <c r="A791" s="22" t="str">
        <f>TabVMAzureEnvProjet[[#This Row],[Client]] &amp; " .:. "  &amp; TabVMAzureEnvProjet[[#This Row],[Projet]]</f>
        <v>ONEMA .:. AFB-CDR</v>
      </c>
      <c r="B791" s="22" t="str">
        <f>IF(TabVMAzureEnvProjet[[#This Row],[Projet AzureDevOps]]&lt;&gt;"",TabVMAzureEnvProjet[[#This Row],[Projet AzureDevOps]],TabVMAzureEnvProjet[[#This Row],[VM]])</f>
        <v>AFB-CDR</v>
      </c>
      <c r="C791" s="57" t="s">
        <v>61</v>
      </c>
      <c r="E791" t="s">
        <v>4</v>
      </c>
      <c r="F791" t="str">
        <f>LOOKUP(TabVMAzureEnvProjet[[#This Row],[Projet AzureDevOps]],TabAzureDevOps[ProjetAzureDevOps],TabAzureDevOps[PROJET])</f>
        <v>AFB-CDR</v>
      </c>
      <c r="G791" t="str">
        <f>LOOKUP(TabVMAzureEnvProjet[[#This Row],[Projet]],TabProjets[NomProj],TabProjets[SYGES])</f>
        <v>ONEMA/TMAWEB-16</v>
      </c>
      <c r="H791" t="str">
        <f>LOOKUP(TabVMAzureEnvProjet[[#This Row],[Projet]],TabProjets[NomProj],TabProjets[CP])</f>
        <v>Pierre BOURLIEUX</v>
      </c>
      <c r="I791">
        <f>LOOKUP(TabVMAzureEnvProjet[[#This Row],[Code SYGES]],TabCONTRATSDI[Contrat SYGES],TabCONTRATSDI[Cost Center])</f>
        <v>305704</v>
      </c>
      <c r="J791" s="22" t="str">
        <f>LOOKUP(TabVMAzureEnvProjet[[#This Row],[Code SYGES]],TabCONTRATSDI[Contrat SYGES],TabCONTRATSDI[Client])</f>
        <v>ONEMA</v>
      </c>
      <c r="K791" t="s">
        <v>179</v>
      </c>
      <c r="L791" s="31">
        <v>8.1793530258096769</v>
      </c>
      <c r="M791" s="41" t="s">
        <v>180</v>
      </c>
    </row>
    <row r="792" spans="1:13" x14ac:dyDescent="0.25">
      <c r="A792" s="22" t="str">
        <f>TabVMAzureEnvProjet[[#This Row],[Client]] &amp; " .:. "  &amp; TabVMAzureEnvProjet[[#This Row],[Projet]]</f>
        <v>AFB .:. AFB-CESMIA</v>
      </c>
      <c r="B792" s="22" t="str">
        <f>IF(TabVMAzureEnvProjet[[#This Row],[Projet AzureDevOps]]&lt;&gt;"",TabVMAzureEnvProjet[[#This Row],[Projet AzureDevOps]],TabVMAzureEnvProjet[[#This Row],[VM]])</f>
        <v>AFB-CESMIA</v>
      </c>
      <c r="C792" s="57" t="s">
        <v>3</v>
      </c>
      <c r="E792" t="s">
        <v>4</v>
      </c>
      <c r="F792" t="str">
        <f>LOOKUP(TabVMAzureEnvProjet[[#This Row],[Projet AzureDevOps]],TabAzureDevOps[ProjetAzureDevOps],TabAzureDevOps[PROJET])</f>
        <v>AFB-CESMIA</v>
      </c>
      <c r="G792" t="str">
        <f>LOOKUP(TabVMAzureEnvProjet[[#This Row],[Projet]],TabProjets[NomProj],TabProjets[SYGES])</f>
        <v>AFB/OFB_LOT1</v>
      </c>
      <c r="H792" t="str">
        <f>LOOKUP(TabVMAzureEnvProjet[[#This Row],[Projet]],TabProjets[NomProj],TabProjets[CP])</f>
        <v>Jean-Philippe STROIAZZO</v>
      </c>
      <c r="I792">
        <f>LOOKUP(TabVMAzureEnvProjet[[#This Row],[Code SYGES]],TabCONTRATSDI[Contrat SYGES],TabCONTRATSDI[Cost Center])</f>
        <v>305704</v>
      </c>
      <c r="J792" s="22" t="str">
        <f>LOOKUP(TabVMAzureEnvProjet[[#This Row],[Code SYGES]],TabCONTRATSDI[Contrat SYGES],TabCONTRATSDI[Client])</f>
        <v>AFB</v>
      </c>
      <c r="K792" t="s">
        <v>179</v>
      </c>
      <c r="L792" s="31">
        <v>10.839309424103405</v>
      </c>
      <c r="M792" s="41" t="s">
        <v>180</v>
      </c>
    </row>
    <row r="793" spans="1:13" x14ac:dyDescent="0.25">
      <c r="A793" s="22" t="str">
        <f>TabVMAzureEnvProjet[[#This Row],[Client]] &amp; " .:. "  &amp; TabVMAzureEnvProjet[[#This Row],[Projet]]</f>
        <v>ONEMA .:. AFB-OISON</v>
      </c>
      <c r="B793" s="22" t="str">
        <f>IF(TabVMAzureEnvProjet[[#This Row],[Projet AzureDevOps]]&lt;&gt;"",TabVMAzureEnvProjet[[#This Row],[Projet AzureDevOps]],TabVMAzureEnvProjet[[#This Row],[VM]])</f>
        <v>AFB-OISON</v>
      </c>
      <c r="C793" s="57" t="s">
        <v>62</v>
      </c>
      <c r="E793" t="s">
        <v>4</v>
      </c>
      <c r="F793" t="str">
        <f>LOOKUP(TabVMAzureEnvProjet[[#This Row],[Projet AzureDevOps]],TabAzureDevOps[ProjetAzureDevOps],TabAzureDevOps[PROJET])</f>
        <v>AFB-OISON</v>
      </c>
      <c r="G793" t="str">
        <f>LOOKUP(TabVMAzureEnvProjet[[#This Row],[Projet]],TabProjets[NomProj],TabProjets[SYGES])</f>
        <v>ONEMA/TMADCUA-15</v>
      </c>
      <c r="H793" t="str">
        <f>LOOKUP(TabVMAzureEnvProjet[[#This Row],[Projet]],TabProjets[NomProj],TabProjets[CP])</f>
        <v>Jean-Philippe STROIAZZO</v>
      </c>
      <c r="I793">
        <f>LOOKUP(TabVMAzureEnvProjet[[#This Row],[Code SYGES]],TabCONTRATSDI[Contrat SYGES],TabCONTRATSDI[Cost Center])</f>
        <v>305704</v>
      </c>
      <c r="J793" s="22" t="str">
        <f>LOOKUP(TabVMAzureEnvProjet[[#This Row],[Code SYGES]],TabCONTRATSDI[Contrat SYGES],TabCONTRATSDI[Client])</f>
        <v>ONEMA</v>
      </c>
      <c r="K793" t="s">
        <v>179</v>
      </c>
      <c r="L793" s="31">
        <v>9.4509540856467549</v>
      </c>
      <c r="M793" s="41" t="s">
        <v>180</v>
      </c>
    </row>
    <row r="794" spans="1:13" x14ac:dyDescent="0.25">
      <c r="A794" s="22" t="str">
        <f>TabVMAzureEnvProjet[[#This Row],[Client]] &amp; " .:. "  &amp; TabVMAzureEnvProjet[[#This Row],[Projet]]</f>
        <v>ONEMA .:. AFB-PATBIODIV</v>
      </c>
      <c r="B794" s="22" t="str">
        <f>IF(TabVMAzureEnvProjet[[#This Row],[Projet AzureDevOps]]&lt;&gt;"",TabVMAzureEnvProjet[[#This Row],[Projet AzureDevOps]],TabVMAzureEnvProjet[[#This Row],[VM]])</f>
        <v>AFB-PATBiodiv</v>
      </c>
      <c r="C794" s="57" t="s">
        <v>64</v>
      </c>
      <c r="E794" t="s">
        <v>4</v>
      </c>
      <c r="F794" t="str">
        <f>LOOKUP(TabVMAzureEnvProjet[[#This Row],[Projet AzureDevOps]],TabAzureDevOps[ProjetAzureDevOps],TabAzureDevOps[PROJET])</f>
        <v>AFB-PATBIODIV</v>
      </c>
      <c r="G794" t="str">
        <f>LOOKUP(TabVMAzureEnvProjet[[#This Row],[Projet]],TabProjets[NomProj],TabProjets[SYGES])</f>
        <v>ONEMA/TMADCUA-15</v>
      </c>
      <c r="H794" t="str">
        <f>LOOKUP(TabVMAzureEnvProjet[[#This Row],[Projet]],TabProjets[NomProj],TabProjets[CP])</f>
        <v>Rodolphe HABEGGER</v>
      </c>
      <c r="I794">
        <f>LOOKUP(TabVMAzureEnvProjet[[#This Row],[Code SYGES]],TabCONTRATSDI[Contrat SYGES],TabCONTRATSDI[Cost Center])</f>
        <v>305704</v>
      </c>
      <c r="J794" s="22" t="str">
        <f>LOOKUP(TabVMAzureEnvProjet[[#This Row],[Code SYGES]],TabCONTRATSDI[Contrat SYGES],TabCONTRATSDI[Client])</f>
        <v>ONEMA</v>
      </c>
      <c r="K794" t="s">
        <v>179</v>
      </c>
      <c r="L794" s="31">
        <v>5.5079995307479175</v>
      </c>
      <c r="M794" s="41" t="s">
        <v>180</v>
      </c>
    </row>
    <row r="795" spans="1:13" x14ac:dyDescent="0.25">
      <c r="A795" s="22" t="str">
        <f>TabVMAzureEnvProjet[[#This Row],[Client]] &amp; " .:. "  &amp; TabVMAzureEnvProjet[[#This Row],[Projet]]</f>
        <v>AFB .:. AFB-PNM</v>
      </c>
      <c r="B795" s="22" t="str">
        <f>IF(TabVMAzureEnvProjet[[#This Row],[Projet AzureDevOps]]&lt;&gt;"",TabVMAzureEnvProjet[[#This Row],[Projet AzureDevOps]],TabVMAzureEnvProjet[[#This Row],[VM]])</f>
        <v>AFB-PNM</v>
      </c>
      <c r="C795" s="57" t="s">
        <v>5</v>
      </c>
      <c r="E795" t="s">
        <v>4</v>
      </c>
      <c r="F795" t="str">
        <f>LOOKUP(TabVMAzureEnvProjet[[#This Row],[Projet AzureDevOps]],TabAzureDevOps[ProjetAzureDevOps],TabAzureDevOps[PROJET])</f>
        <v>AFB-PNM</v>
      </c>
      <c r="G795" t="str">
        <f>LOOKUP(TabVMAzureEnvProjet[[#This Row],[Projet]],TabProjets[NomProj],TabProjets[SYGES])</f>
        <v>AFB/OFB_LOT2</v>
      </c>
      <c r="H795" t="str">
        <f>LOOKUP(TabVMAzureEnvProjet[[#This Row],[Projet]],TabProjets[NomProj],TabProjets[CP])</f>
        <v>Eric RAUCOURT</v>
      </c>
      <c r="I795">
        <f>LOOKUP(TabVMAzureEnvProjet[[#This Row],[Code SYGES]],TabCONTRATSDI[Contrat SYGES],TabCONTRATSDI[Cost Center])</f>
        <v>305704</v>
      </c>
      <c r="J795" s="22" t="str">
        <f>LOOKUP(TabVMAzureEnvProjet[[#This Row],[Code SYGES]],TabCONTRATSDI[Contrat SYGES],TabCONTRATSDI[Client])</f>
        <v>AFB</v>
      </c>
      <c r="K795" t="s">
        <v>179</v>
      </c>
      <c r="L795" s="31">
        <v>4.6373763661101659</v>
      </c>
      <c r="M795" s="41" t="s">
        <v>180</v>
      </c>
    </row>
    <row r="796" spans="1:13" x14ac:dyDescent="0.25">
      <c r="A796" s="22" t="str">
        <f>TabVMAzureEnvProjet[[#This Row],[Client]] &amp; " .:. "  &amp; TabVMAzureEnvProjet[[#This Row],[Projet]]</f>
        <v>AFB .:. AFB-PNX</v>
      </c>
      <c r="B796" s="22" t="str">
        <f>IF(TabVMAzureEnvProjet[[#This Row],[Projet AzureDevOps]]&lt;&gt;"",TabVMAzureEnvProjet[[#This Row],[Projet AzureDevOps]],TabVMAzureEnvProjet[[#This Row],[VM]])</f>
        <v>AFB-PNX</v>
      </c>
      <c r="C796" s="57" t="s">
        <v>8</v>
      </c>
      <c r="E796" t="s">
        <v>4</v>
      </c>
      <c r="F796" t="str">
        <f>LOOKUP(TabVMAzureEnvProjet[[#This Row],[Projet AzureDevOps]],TabAzureDevOps[ProjetAzureDevOps],TabAzureDevOps[PROJET])</f>
        <v>AFB-PNX</v>
      </c>
      <c r="G796" t="str">
        <f>LOOKUP(TabVMAzureEnvProjet[[#This Row],[Projet]],TabProjets[NomProj],TabProjets[SYGES])</f>
        <v>AFB/OFB_LOT2</v>
      </c>
      <c r="H796" t="str">
        <f>LOOKUP(TabVMAzureEnvProjet[[#This Row],[Projet]],TabProjets[NomProj],TabProjets[CP])</f>
        <v>Pierre BOURLIEUX</v>
      </c>
      <c r="I796">
        <f>LOOKUP(TabVMAzureEnvProjet[[#This Row],[Code SYGES]],TabCONTRATSDI[Contrat SYGES],TabCONTRATSDI[Cost Center])</f>
        <v>305704</v>
      </c>
      <c r="J796" s="22" t="str">
        <f>LOOKUP(TabVMAzureEnvProjet[[#This Row],[Code SYGES]],TabCONTRATSDI[Contrat SYGES],TabCONTRATSDI[Client])</f>
        <v>AFB</v>
      </c>
      <c r="K796" t="s">
        <v>179</v>
      </c>
      <c r="L796" s="31">
        <v>1.4250169216190238</v>
      </c>
      <c r="M796" s="41" t="s">
        <v>180</v>
      </c>
    </row>
    <row r="797" spans="1:13" x14ac:dyDescent="0.25">
      <c r="A797" s="22" t="str">
        <f>TabVMAzureEnvProjet[[#This Row],[Client]] &amp; " .:. "  &amp; TabVMAzureEnvProjet[[#This Row],[Projet]]</f>
        <v>ONEMA .:. AFB-RAA</v>
      </c>
      <c r="B797" s="22" t="str">
        <f>IF(TabVMAzureEnvProjet[[#This Row],[Projet AzureDevOps]]&lt;&gt;"",TabVMAzureEnvProjet[[#This Row],[Projet AzureDevOps]],TabVMAzureEnvProjet[[#This Row],[VM]])</f>
        <v>AFB-RAA</v>
      </c>
      <c r="C797" s="57" t="s">
        <v>65</v>
      </c>
      <c r="E797" t="s">
        <v>4</v>
      </c>
      <c r="F797" t="str">
        <f>LOOKUP(TabVMAzureEnvProjet[[#This Row],[Projet AzureDevOps]],TabAzureDevOps[ProjetAzureDevOps],TabAzureDevOps[PROJET])</f>
        <v>AFB-RAA</v>
      </c>
      <c r="G797" t="str">
        <f>LOOKUP(TabVMAzureEnvProjet[[#This Row],[Projet]],TabProjets[NomProj],TabProjets[SYGES])</f>
        <v>ONEMA/TMAWEB-16</v>
      </c>
      <c r="H797" t="str">
        <f>LOOKUP(TabVMAzureEnvProjet[[#This Row],[Projet]],TabProjets[NomProj],TabProjets[CP])</f>
        <v>Pierre BOURLIEUX</v>
      </c>
      <c r="I797">
        <f>LOOKUP(TabVMAzureEnvProjet[[#This Row],[Code SYGES]],TabCONTRATSDI[Contrat SYGES],TabCONTRATSDI[Cost Center])</f>
        <v>305704</v>
      </c>
      <c r="J797" s="22" t="str">
        <f>LOOKUP(TabVMAzureEnvProjet[[#This Row],[Code SYGES]],TabCONTRATSDI[Contrat SYGES],TabCONTRATSDI[Client])</f>
        <v>ONEMA</v>
      </c>
      <c r="K797" t="s">
        <v>179</v>
      </c>
      <c r="L797" s="31">
        <v>0.20435369721439134</v>
      </c>
      <c r="M797" s="41" t="s">
        <v>180</v>
      </c>
    </row>
    <row r="798" spans="1:13" x14ac:dyDescent="0.25">
      <c r="A798" s="22" t="str">
        <f>TabVMAzureEnvProjet[[#This Row],[Client]] &amp; " .:. "  &amp; TabVMAzureEnvProjet[[#This Row],[Projet]]</f>
        <v>ALM .:. ALM-ATOUT</v>
      </c>
      <c r="B798" s="22" t="str">
        <f>IF(TabVMAzureEnvProjet[[#This Row],[Projet AzureDevOps]]&lt;&gt;"",TabVMAzureEnvProjet[[#This Row],[Projet AzureDevOps]],TabVMAzureEnvProjet[[#This Row],[VM]])</f>
        <v>ALM-ATOUT</v>
      </c>
      <c r="C798" s="57" t="s">
        <v>17</v>
      </c>
      <c r="E798" t="s">
        <v>4</v>
      </c>
      <c r="F798" t="str">
        <f>LOOKUP(TabVMAzureEnvProjet[[#This Row],[Projet AzureDevOps]],TabAzureDevOps[ProjetAzureDevOps],TabAzureDevOps[PROJET])</f>
        <v>ALM-ATOUT</v>
      </c>
      <c r="G798" t="str">
        <f>LOOKUP(TabVMAzureEnvProjet[[#This Row],[Projet]],TabProjets[NomProj],TabProjets[SYGES])</f>
        <v>ALM/TMA_ATOUT</v>
      </c>
      <c r="H798" t="str">
        <f>LOOKUP(TabVMAzureEnvProjet[[#This Row],[Projet]],TabProjets[NomProj],TabProjets[CP])</f>
        <v>Alice MARCHAL</v>
      </c>
      <c r="I798">
        <f>LOOKUP(TabVMAzureEnvProjet[[#This Row],[Code SYGES]],TabCONTRATSDI[Contrat SYGES],TabCONTRATSDI[Cost Center])</f>
        <v>305704</v>
      </c>
      <c r="J798" s="22" t="str">
        <f>LOOKUP(TabVMAzureEnvProjet[[#This Row],[Code SYGES]],TabCONTRATSDI[Contrat SYGES],TabCONTRATSDI[Client])</f>
        <v>ALM</v>
      </c>
      <c r="K798" t="s">
        <v>179</v>
      </c>
      <c r="L798" s="31">
        <v>2.3164472064162136</v>
      </c>
      <c r="M798" s="41" t="s">
        <v>180</v>
      </c>
    </row>
    <row r="799" spans="1:13" x14ac:dyDescent="0.25">
      <c r="A799" s="22" t="str">
        <f>TabVMAzureEnvProjet[[#This Row],[Client]] &amp; " .:. "  &amp; TabVMAzureEnvProjet[[#This Row],[Projet]]</f>
        <v>BRGM .:. BRGM-ORRM</v>
      </c>
      <c r="B799" s="22" t="str">
        <f>IF(TabVMAzureEnvProjet[[#This Row],[Projet AzureDevOps]]&lt;&gt;"",TabVMAzureEnvProjet[[#This Row],[Projet AzureDevOps]],TabVMAzureEnvProjet[[#This Row],[VM]])</f>
        <v>BRGM-ORRM</v>
      </c>
      <c r="C799" s="57" t="s">
        <v>20</v>
      </c>
      <c r="E799" t="s">
        <v>4</v>
      </c>
      <c r="F799" t="str">
        <f>LOOKUP(TabVMAzureEnvProjet[[#This Row],[Projet AzureDevOps]],TabAzureDevOps[ProjetAzureDevOps],TabAzureDevOps[PROJET])</f>
        <v>BRGM-ORRM</v>
      </c>
      <c r="G799" t="str">
        <f>LOOKUP(TabVMAzureEnvProjet[[#This Row],[Projet]],TabProjets[NomProj],TabProjets[SYGES])</f>
        <v>BRGM/TMA-5-1-ORRM-LOT1</v>
      </c>
      <c r="H799" t="str">
        <f>LOOKUP(TabVMAzureEnvProjet[[#This Row],[Projet]],TabProjets[NomProj],TabProjets[CP])</f>
        <v>Alice MARCHAL</v>
      </c>
      <c r="I799">
        <f>LOOKUP(TabVMAzureEnvProjet[[#This Row],[Code SYGES]],TabCONTRATSDI[Contrat SYGES],TabCONTRATSDI[Cost Center])</f>
        <v>305704</v>
      </c>
      <c r="J799" s="22" t="str">
        <f>LOOKUP(TabVMAzureEnvProjet[[#This Row],[Code SYGES]],TabCONTRATSDI[Contrat SYGES],TabCONTRATSDI[Client])</f>
        <v>BRGM</v>
      </c>
      <c r="K799" t="s">
        <v>179</v>
      </c>
      <c r="L799" s="31">
        <v>6.1145394697655888</v>
      </c>
      <c r="M799" s="41" t="s">
        <v>180</v>
      </c>
    </row>
    <row r="800" spans="1:13" x14ac:dyDescent="0.25">
      <c r="A800" s="22" t="str">
        <f>TabVMAzureEnvProjet[[#This Row],[Client]] &amp; " .:. "  &amp; TabVMAzureEnvProjet[[#This Row],[Projet]]</f>
        <v>CGOS .:. CGOS-BI</v>
      </c>
      <c r="B800" s="22" t="str">
        <f>IF(TabVMAzureEnvProjet[[#This Row],[Projet AzureDevOps]]&lt;&gt;"",TabVMAzureEnvProjet[[#This Row],[Projet AzureDevOps]],TabVMAzureEnvProjet[[#This Row],[VM]])</f>
        <v>CGOS-BI</v>
      </c>
      <c r="C800" s="57" t="s">
        <v>100</v>
      </c>
      <c r="E800" t="s">
        <v>4</v>
      </c>
      <c r="F800" t="str">
        <f>LOOKUP(TabVMAzureEnvProjet[[#This Row],[Projet AzureDevOps]],TabAzureDevOps[ProjetAzureDevOps],TabAzureDevOps[PROJET])</f>
        <v>CGOS-BI</v>
      </c>
      <c r="G800" t="str">
        <f>LOOKUP(TabVMAzureEnvProjet[[#This Row],[Projet]],TabProjets[NomProj],TabProjets[SYGES])</f>
        <v>CGOS-BUILDBI-18</v>
      </c>
      <c r="H800" t="str">
        <f>LOOKUP(TabVMAzureEnvProjet[[#This Row],[Projet]],TabProjets[NomProj],TabProjets[CP])</f>
        <v>Valerie ASSELIN LOZACHMEUR</v>
      </c>
      <c r="I800">
        <f>LOOKUP(TabVMAzureEnvProjet[[#This Row],[Code SYGES]],TabCONTRATSDI[Contrat SYGES],TabCONTRATSDI[Cost Center])</f>
        <v>305704</v>
      </c>
      <c r="J800" s="22" t="str">
        <f>LOOKUP(TabVMAzureEnvProjet[[#This Row],[Code SYGES]],TabCONTRATSDI[Contrat SYGES],TabCONTRATSDI[Client])</f>
        <v>CGOS</v>
      </c>
      <c r="K800" t="s">
        <v>179</v>
      </c>
      <c r="L800" s="31">
        <v>7.0502025538965007</v>
      </c>
      <c r="M800" s="41" t="s">
        <v>180</v>
      </c>
    </row>
    <row r="801" spans="1:13" x14ac:dyDescent="0.25">
      <c r="A801" s="22" t="str">
        <f>TabVMAzureEnvProjet[[#This Row],[Client]] &amp; " .:. "  &amp; TabVMAzureEnvProjet[[#This Row],[Projet]]</f>
        <v>CNAV .:. CNAV-BI-RGCU</v>
      </c>
      <c r="B801" s="22" t="str">
        <f>IF(TabVMAzureEnvProjet[[#This Row],[Projet AzureDevOps]]&lt;&gt;"",TabVMAzureEnvProjet[[#This Row],[Projet AzureDevOps]],TabVMAzureEnvProjet[[#This Row],[VM]])</f>
        <v>CNAV-BI-RGCU</v>
      </c>
      <c r="C801" s="57" t="s">
        <v>27</v>
      </c>
      <c r="E801" t="s">
        <v>4</v>
      </c>
      <c r="F801" t="str">
        <f>LOOKUP(TabVMAzureEnvProjet[[#This Row],[Projet AzureDevOps]],TabAzureDevOps[ProjetAzureDevOps],TabAzureDevOps[PROJET])</f>
        <v>CNAV-BI-RGCU</v>
      </c>
      <c r="G801" t="str">
        <f>LOOKUP(TabVMAzureEnvProjet[[#This Row],[Projet]],TabProjets[NomProj],TabProjets[SYGES])</f>
        <v>CNAV/BI-SIRRGCU</v>
      </c>
      <c r="H801" t="str">
        <f>LOOKUP(TabVMAzureEnvProjet[[#This Row],[Projet]],TabProjets[NomProj],TabProjets[CP])</f>
        <v>Valerie ASSELIN LOZACHMEUR</v>
      </c>
      <c r="I801">
        <f>LOOKUP(TabVMAzureEnvProjet[[#This Row],[Code SYGES]],TabCONTRATSDI[Contrat SYGES],TabCONTRATSDI[Cost Center])</f>
        <v>305704</v>
      </c>
      <c r="J801" s="22" t="str">
        <f>LOOKUP(TabVMAzureEnvProjet[[#This Row],[Code SYGES]],TabCONTRATSDI[Contrat SYGES],TabCONTRATSDI[Client])</f>
        <v>CNAV</v>
      </c>
      <c r="K801" t="s">
        <v>179</v>
      </c>
      <c r="L801" s="31">
        <v>2.3500675179655004</v>
      </c>
      <c r="M801" s="41" t="s">
        <v>180</v>
      </c>
    </row>
    <row r="802" spans="1:13" x14ac:dyDescent="0.25">
      <c r="A802" s="22" t="str">
        <f>TabVMAzureEnvProjet[[#This Row],[Client]] &amp; " .:. "  &amp; TabVMAzureEnvProjet[[#This Row],[Projet]]</f>
        <v>FRR .:. FRR-DIGIPAT</v>
      </c>
      <c r="B802" s="22" t="str">
        <f>IF(TabVMAzureEnvProjet[[#This Row],[Projet AzureDevOps]]&lt;&gt;"",TabVMAzureEnvProjet[[#This Row],[Projet AzureDevOps]],TabVMAzureEnvProjet[[#This Row],[VM]])</f>
        <v>FRR DIGIPAT</v>
      </c>
      <c r="C802" s="57" t="s">
        <v>30</v>
      </c>
      <c r="E802" t="s">
        <v>4</v>
      </c>
      <c r="F802" t="str">
        <f>LOOKUP(TabVMAzureEnvProjet[[#This Row],[Projet AzureDevOps]],TabAzureDevOps[ProjetAzureDevOps],TabAzureDevOps[PROJET])</f>
        <v>FRR-DIGIPAT</v>
      </c>
      <c r="G802" t="str">
        <f>LOOKUP(TabVMAzureEnvProjet[[#This Row],[Projet]],TabProjets[NomProj],TabProjets[SYGES])</f>
        <v>FRR/TMASI</v>
      </c>
      <c r="H802" t="str">
        <f>LOOKUP(TabVMAzureEnvProjet[[#This Row],[Projet]],TabProjets[NomProj],TabProjets[CP])</f>
        <v>Alice MARCHAL</v>
      </c>
      <c r="I802">
        <f>LOOKUP(TabVMAzureEnvProjet[[#This Row],[Code SYGES]],TabCONTRATSDI[Contrat SYGES],TabCONTRATSDI[Cost Center])</f>
        <v>305704</v>
      </c>
      <c r="J802" s="22" t="str">
        <f>LOOKUP(TabVMAzureEnvProjet[[#This Row],[Code SYGES]],TabCONTRATSDI[Contrat SYGES],TabCONTRATSDI[Client])</f>
        <v>FRR</v>
      </c>
      <c r="K802" t="s">
        <v>179</v>
      </c>
      <c r="L802" s="31">
        <v>4.6934674349813355</v>
      </c>
      <c r="M802" s="41" t="s">
        <v>180</v>
      </c>
    </row>
    <row r="803" spans="1:13" x14ac:dyDescent="0.25">
      <c r="A803" s="22" t="str">
        <f>TabVMAzureEnvProjet[[#This Row],[Client]] &amp; " .:. "  &amp; TabVMAzureEnvProjet[[#This Row],[Projet]]</f>
        <v>FRR .:. FRR-APPLIFRR</v>
      </c>
      <c r="B803" s="22" t="str">
        <f>IF(TabVMAzureEnvProjet[[#This Row],[Projet AzureDevOps]]&lt;&gt;"",TabVMAzureEnvProjet[[#This Row],[Projet AzureDevOps]],TabVMAzureEnvProjet[[#This Row],[VM]])</f>
        <v>FRR-APPLIFRR</v>
      </c>
      <c r="C803" s="57" t="s">
        <v>32</v>
      </c>
      <c r="E803" t="s">
        <v>4</v>
      </c>
      <c r="F803" t="str">
        <f>LOOKUP(TabVMAzureEnvProjet[[#This Row],[Projet AzureDevOps]],TabAzureDevOps[ProjetAzureDevOps],TabAzureDevOps[PROJET])</f>
        <v>FRR-APPLIFRR</v>
      </c>
      <c r="G803" t="str">
        <f>LOOKUP(TabVMAzureEnvProjet[[#This Row],[Projet]],TabProjets[NomProj],TabProjets[SYGES])</f>
        <v>FRR/TMASI</v>
      </c>
      <c r="H803" t="str">
        <f>LOOKUP(TabVMAzureEnvProjet[[#This Row],[Projet]],TabProjets[NomProj],TabProjets[CP])</f>
        <v>Jean-Philippe STROIAZZO</v>
      </c>
      <c r="I803">
        <f>LOOKUP(TabVMAzureEnvProjet[[#This Row],[Code SYGES]],TabCONTRATSDI[Contrat SYGES],TabCONTRATSDI[Cost Center])</f>
        <v>305704</v>
      </c>
      <c r="J803" s="22" t="str">
        <f>LOOKUP(TabVMAzureEnvProjet[[#This Row],[Code SYGES]],TabCONTRATSDI[Contrat SYGES],TabCONTRATSDI[Client])</f>
        <v>FRR</v>
      </c>
      <c r="K803" t="s">
        <v>179</v>
      </c>
      <c r="L803" s="31">
        <v>1.9639849971568824</v>
      </c>
      <c r="M803" s="41" t="s">
        <v>180</v>
      </c>
    </row>
    <row r="804" spans="1:13" x14ac:dyDescent="0.25">
      <c r="A804" s="22" t="str">
        <f>TabVMAzureEnvProjet[[#This Row],[Client]] &amp; " .:. "  &amp; TabVMAzureEnvProjet[[#This Row],[Projet]]</f>
        <v>FRR .:. FRR-CADENCIER</v>
      </c>
      <c r="B804" s="22" t="str">
        <f>IF(TabVMAzureEnvProjet[[#This Row],[Projet AzureDevOps]]&lt;&gt;"",TabVMAzureEnvProjet[[#This Row],[Projet AzureDevOps]],TabVMAzureEnvProjet[[#This Row],[VM]])</f>
        <v>FRR-CADENCIER</v>
      </c>
      <c r="C804" s="57" t="s">
        <v>33</v>
      </c>
      <c r="E804" t="s">
        <v>4</v>
      </c>
      <c r="F804" t="str">
        <f>LOOKUP(TabVMAzureEnvProjet[[#This Row],[Projet AzureDevOps]],TabAzureDevOps[ProjetAzureDevOps],TabAzureDevOps[PROJET])</f>
        <v>FRR-CADENCIER</v>
      </c>
      <c r="G804" t="str">
        <f>LOOKUP(TabVMAzureEnvProjet[[#This Row],[Projet]],TabProjets[NomProj],TabProjets[SYGES])</f>
        <v>FRR/TMASI</v>
      </c>
      <c r="H804" t="str">
        <f>LOOKUP(TabVMAzureEnvProjet[[#This Row],[Projet]],TabProjets[NomProj],TabProjets[CP])</f>
        <v>Jean-Philippe STROIAZZO</v>
      </c>
      <c r="I804">
        <f>LOOKUP(TabVMAzureEnvProjet[[#This Row],[Code SYGES]],TabCONTRATSDI[Contrat SYGES],TabCONTRATSDI[Cost Center])</f>
        <v>305704</v>
      </c>
      <c r="J804" s="22" t="str">
        <f>LOOKUP(TabVMAzureEnvProjet[[#This Row],[Code SYGES]],TabCONTRATSDI[Contrat SYGES],TabCONTRATSDI[Client])</f>
        <v>FRR</v>
      </c>
      <c r="K804" t="s">
        <v>179</v>
      </c>
      <c r="L804" s="31">
        <v>2.4862222233714379</v>
      </c>
      <c r="M804" s="41" t="s">
        <v>180</v>
      </c>
    </row>
    <row r="805" spans="1:13" x14ac:dyDescent="0.25">
      <c r="A805" s="22" t="str">
        <f>TabVMAzureEnvProjet[[#This Row],[Client]] &amp; " .:. "  &amp; TabVMAzureEnvProjet[[#This Row],[Projet]]</f>
        <v>FRR .:. FRR-PATAPAIN</v>
      </c>
      <c r="B805" s="22" t="str">
        <f>IF(TabVMAzureEnvProjet[[#This Row],[Projet AzureDevOps]]&lt;&gt;"",TabVMAzureEnvProjet[[#This Row],[Projet AzureDevOps]],TabVMAzureEnvProjet[[#This Row],[VM]])</f>
        <v>FRR-Patapain</v>
      </c>
      <c r="C805" s="57" t="s">
        <v>35</v>
      </c>
      <c r="E805" t="s">
        <v>4</v>
      </c>
      <c r="F805" t="str">
        <f>LOOKUP(TabVMAzureEnvProjet[[#This Row],[Projet AzureDevOps]],TabAzureDevOps[ProjetAzureDevOps],TabAzureDevOps[PROJET])</f>
        <v>FRR-PATAPAIN</v>
      </c>
      <c r="G805" t="str">
        <f>LOOKUP(TabVMAzureEnvProjet[[#This Row],[Projet]],TabProjets[NomProj],TabProjets[SYGES])</f>
        <v>FRR/TMASI</v>
      </c>
      <c r="H805" t="str">
        <f>LOOKUP(TabVMAzureEnvProjet[[#This Row],[Projet]],TabProjets[NomProj],TabProjets[CP])</f>
        <v>Christophe ORLANDO</v>
      </c>
      <c r="I805">
        <f>LOOKUP(TabVMAzureEnvProjet[[#This Row],[Code SYGES]],TabCONTRATSDI[Contrat SYGES],TabCONTRATSDI[Cost Center])</f>
        <v>305704</v>
      </c>
      <c r="J805" s="22" t="str">
        <f>LOOKUP(TabVMAzureEnvProjet[[#This Row],[Code SYGES]],TabCONTRATSDI[Contrat SYGES],TabCONTRATSDI[Client])</f>
        <v>FRR</v>
      </c>
      <c r="K805" t="s">
        <v>179</v>
      </c>
      <c r="L805" s="31">
        <v>1.2752572266606905</v>
      </c>
      <c r="M805" s="41" t="s">
        <v>180</v>
      </c>
    </row>
    <row r="806" spans="1:13" x14ac:dyDescent="0.25">
      <c r="A806" s="22" t="str">
        <f>TabVMAzureEnvProjet[[#This Row],[Client]] &amp; " .:. "  &amp; TabVMAzureEnvProjet[[#This Row],[Projet]]</f>
        <v>FRR .:. FRR-PATAPAINANDROID</v>
      </c>
      <c r="B806" s="22" t="str">
        <f>IF(TabVMAzureEnvProjet[[#This Row],[Projet AzureDevOps]]&lt;&gt;"",TabVMAzureEnvProjet[[#This Row],[Projet AzureDevOps]],TabVMAzureEnvProjet[[#This Row],[VM]])</f>
        <v>FRR-PATAPAINANDROID</v>
      </c>
      <c r="C806" s="57" t="s">
        <v>36</v>
      </c>
      <c r="E806" t="s">
        <v>4</v>
      </c>
      <c r="F806" t="str">
        <f>LOOKUP(TabVMAzureEnvProjet[[#This Row],[Projet AzureDevOps]],TabAzureDevOps[ProjetAzureDevOps],TabAzureDevOps[PROJET])</f>
        <v>FRR-PATAPAINANDROID</v>
      </c>
      <c r="G806" t="str">
        <f>LOOKUP(TabVMAzureEnvProjet[[#This Row],[Projet]],TabProjets[NomProj],TabProjets[SYGES])</f>
        <v>FRR/TMASI</v>
      </c>
      <c r="H806" t="str">
        <f>LOOKUP(TabVMAzureEnvProjet[[#This Row],[Projet]],TabProjets[NomProj],TabProjets[CP])</f>
        <v>Jean-Philippe STROIAZZO</v>
      </c>
      <c r="I806">
        <f>LOOKUP(TabVMAzureEnvProjet[[#This Row],[Code SYGES]],TabCONTRATSDI[Contrat SYGES],TabCONTRATSDI[Cost Center])</f>
        <v>305704</v>
      </c>
      <c r="J806" s="22" t="str">
        <f>LOOKUP(TabVMAzureEnvProjet[[#This Row],[Code SYGES]],TabCONTRATSDI[Contrat SYGES],TabCONTRATSDI[Client])</f>
        <v>FRR</v>
      </c>
      <c r="K806" t="s">
        <v>179</v>
      </c>
      <c r="L806" s="31">
        <v>6.6641200330878831</v>
      </c>
      <c r="M806" s="41" t="s">
        <v>180</v>
      </c>
    </row>
    <row r="807" spans="1:13" x14ac:dyDescent="0.25">
      <c r="A807" s="22" t="str">
        <f>TabVMAzureEnvProjet[[#This Row],[Client]] &amp; " .:. "  &amp; TabVMAzureEnvProjet[[#This Row],[Projet]]</f>
        <v>INETUM .:. INETUM-INTERNE</v>
      </c>
      <c r="B807" s="22" t="str">
        <f>IF(TabVMAzureEnvProjet[[#This Row],[Projet AzureDevOps]]&lt;&gt;"",TabVMAzureEnvProjet[[#This Row],[Projet AzureDevOps]],TabVMAzureEnvProjet[[#This Row],[VM]])</f>
        <v>GFI-BaseDocumentaire</v>
      </c>
      <c r="C807" s="57" t="s">
        <v>112</v>
      </c>
      <c r="E807" t="s">
        <v>4</v>
      </c>
      <c r="F807" t="str">
        <f>LOOKUP(TabVMAzureEnvProjet[[#This Row],[Projet AzureDevOps]],TabAzureDevOps[ProjetAzureDevOps],TabAzureDevOps[PROJET])</f>
        <v>INETUM-INTERNE</v>
      </c>
      <c r="G807" t="str">
        <f>LOOKUP(TabVMAzureEnvProjet[[#This Row],[Projet]],TabProjets[NomProj],TabProjets[SYGES])</f>
        <v>INETUM/PROJET_INTERNE</v>
      </c>
      <c r="H807" t="str">
        <f>LOOKUP(TabVMAzureEnvProjet[[#This Row],[Projet]],TabProjets[NomProj],TabProjets[CP])</f>
        <v>Christophe ORLANDO</v>
      </c>
      <c r="I807">
        <f>LOOKUP(TabVMAzureEnvProjet[[#This Row],[Code SYGES]],TabCONTRATSDI[Contrat SYGES],TabCONTRATSDI[Cost Center])</f>
        <v>305704</v>
      </c>
      <c r="J807" s="22" t="str">
        <f>LOOKUP(TabVMAzureEnvProjet[[#This Row],[Code SYGES]],TabCONTRATSDI[Contrat SYGES],TabCONTRATSDI[Client])</f>
        <v>INETUM</v>
      </c>
      <c r="K807" t="s">
        <v>179</v>
      </c>
      <c r="L807" s="31">
        <v>1.7289782453603324</v>
      </c>
      <c r="M807" s="41" t="s">
        <v>180</v>
      </c>
    </row>
    <row r="808" spans="1:13" x14ac:dyDescent="0.25">
      <c r="A808" s="22" t="str">
        <f>TabVMAzureEnvProjet[[#This Row],[Client]] &amp; " .:. "  &amp; TabVMAzureEnvProjet[[#This Row],[Projet]]</f>
        <v>INETUM .:. INETUM-INTERNE</v>
      </c>
      <c r="B808" s="22" t="str">
        <f>IF(TabVMAzureEnvProjet[[#This Row],[Projet AzureDevOps]]&lt;&gt;"",TabVMAzureEnvProjet[[#This Row],[Projet AzureDevOps]],TabVMAzureEnvProjet[[#This Row],[VM]])</f>
        <v>GFI-CMIS</v>
      </c>
      <c r="C808" s="57" t="s">
        <v>106</v>
      </c>
      <c r="E808" t="s">
        <v>4</v>
      </c>
      <c r="F808" t="str">
        <f>LOOKUP(TabVMAzureEnvProjet[[#This Row],[Projet AzureDevOps]],TabAzureDevOps[ProjetAzureDevOps],TabAzureDevOps[PROJET])</f>
        <v>INETUM-INTERNE</v>
      </c>
      <c r="G808" t="str">
        <f>LOOKUP(TabVMAzureEnvProjet[[#This Row],[Projet]],TabProjets[NomProj],TabProjets[SYGES])</f>
        <v>INETUM/PROJET_INTERNE</v>
      </c>
      <c r="H808" t="str">
        <f>LOOKUP(TabVMAzureEnvProjet[[#This Row],[Projet]],TabProjets[NomProj],TabProjets[CP])</f>
        <v>Christophe ORLANDO</v>
      </c>
      <c r="I808">
        <f>LOOKUP(TabVMAzureEnvProjet[[#This Row],[Code SYGES]],TabCONTRATSDI[Contrat SYGES],TabCONTRATSDI[Cost Center])</f>
        <v>305704</v>
      </c>
      <c r="J808" s="22" t="str">
        <f>LOOKUP(TabVMAzureEnvProjet[[#This Row],[Code SYGES]],TabCONTRATSDI[Contrat SYGES],TabCONTRATSDI[Client])</f>
        <v>INETUM</v>
      </c>
      <c r="K808" t="s">
        <v>179</v>
      </c>
      <c r="L808" s="31">
        <v>0.20435369721439134</v>
      </c>
      <c r="M808" s="41" t="s">
        <v>180</v>
      </c>
    </row>
    <row r="809" spans="1:13" x14ac:dyDescent="0.25">
      <c r="A809" s="22" t="str">
        <f>TabVMAzureEnvProjet[[#This Row],[Client]] &amp; " .:. "  &amp; TabVMAzureEnvProjet[[#This Row],[Projet]]</f>
        <v>INETUM .:. INETUM-INTERNE</v>
      </c>
      <c r="B809" s="22" t="str">
        <f>IF(TabVMAzureEnvProjet[[#This Row],[Projet AzureDevOps]]&lt;&gt;"",TabVMAzureEnvProjet[[#This Row],[Projet AzureDevOps]],TabVMAzureEnvProjet[[#This Row],[VM]])</f>
        <v>GFI-COFFEE</v>
      </c>
      <c r="C809" s="57" t="s">
        <v>107</v>
      </c>
      <c r="E809" t="s">
        <v>4</v>
      </c>
      <c r="F809" t="str">
        <f>LOOKUP(TabVMAzureEnvProjet[[#This Row],[Projet AzureDevOps]],TabAzureDevOps[ProjetAzureDevOps],TabAzureDevOps[PROJET])</f>
        <v>INETUM-INTERNE</v>
      </c>
      <c r="G809" t="str">
        <f>LOOKUP(TabVMAzureEnvProjet[[#This Row],[Projet]],TabProjets[NomProj],TabProjets[SYGES])</f>
        <v>INETUM/PROJET_INTERNE</v>
      </c>
      <c r="H809" t="str">
        <f>LOOKUP(TabVMAzureEnvProjet[[#This Row],[Projet]],TabProjets[NomProj],TabProjets[CP])</f>
        <v>Christophe ORLANDO</v>
      </c>
      <c r="I809">
        <f>LOOKUP(TabVMAzureEnvProjet[[#This Row],[Code SYGES]],TabCONTRATSDI[Contrat SYGES],TabCONTRATSDI[Cost Center])</f>
        <v>305704</v>
      </c>
      <c r="J809" s="22" t="str">
        <f>LOOKUP(TabVMAzureEnvProjet[[#This Row],[Code SYGES]],TabCONTRATSDI[Contrat SYGES],TabCONTRATSDI[Client])</f>
        <v>INETUM</v>
      </c>
      <c r="K809" t="s">
        <v>179</v>
      </c>
      <c r="L809" s="31">
        <v>0.91866275702287747</v>
      </c>
      <c r="M809" s="41" t="s">
        <v>180</v>
      </c>
    </row>
    <row r="810" spans="1:13" x14ac:dyDescent="0.25">
      <c r="A810" s="22" t="str">
        <f>TabVMAzureEnvProjet[[#This Row],[Client]] &amp; " .:. "  &amp; TabVMAzureEnvProjet[[#This Row],[Projet]]</f>
        <v>INETUM .:. INETUM-INTERNE</v>
      </c>
      <c r="B810" s="22" t="str">
        <f>IF(TabVMAzureEnvProjet[[#This Row],[Projet AzureDevOps]]&lt;&gt;"",TabVMAzureEnvProjet[[#This Row],[Projet AzureDevOps]],TabVMAzureEnvProjet[[#This Row],[VM]])</f>
        <v>GFI-CRALENIUM</v>
      </c>
      <c r="C810" s="57" t="s">
        <v>108</v>
      </c>
      <c r="E810" t="s">
        <v>4</v>
      </c>
      <c r="F810" t="str">
        <f>LOOKUP(TabVMAzureEnvProjet[[#This Row],[Projet AzureDevOps]],TabAzureDevOps[ProjetAzureDevOps],TabAzureDevOps[PROJET])</f>
        <v>INETUM-INTERNE</v>
      </c>
      <c r="G810" t="str">
        <f>LOOKUP(TabVMAzureEnvProjet[[#This Row],[Projet]],TabProjets[NomProj],TabProjets[SYGES])</f>
        <v>INETUM/PROJET_INTERNE</v>
      </c>
      <c r="H810" t="str">
        <f>LOOKUP(TabVMAzureEnvProjet[[#This Row],[Projet]],TabProjets[NomProj],TabProjets[CP])</f>
        <v>Christophe ORLANDO</v>
      </c>
      <c r="I810">
        <f>LOOKUP(TabVMAzureEnvProjet[[#This Row],[Code SYGES]],TabCONTRATSDI[Contrat SYGES],TabCONTRATSDI[Cost Center])</f>
        <v>305704</v>
      </c>
      <c r="J810" s="22" t="str">
        <f>LOOKUP(TabVMAzureEnvProjet[[#This Row],[Code SYGES]],TabCONTRATSDI[Contrat SYGES],TabCONTRATSDI[Client])</f>
        <v>INETUM</v>
      </c>
      <c r="K810" t="s">
        <v>179</v>
      </c>
      <c r="L810" s="31">
        <v>1.9639849971568824</v>
      </c>
      <c r="M810" s="41" t="s">
        <v>180</v>
      </c>
    </row>
    <row r="811" spans="1:13" x14ac:dyDescent="0.25">
      <c r="A811" s="22" t="str">
        <f>TabVMAzureEnvProjet[[#This Row],[Client]] &amp; " .:. "  &amp; TabVMAzureEnvProjet[[#This Row],[Projet]]</f>
        <v>INETUM .:. INETUM-INTERNE</v>
      </c>
      <c r="B811" s="22" t="str">
        <f>IF(TabVMAzureEnvProjet[[#This Row],[Projet AzureDevOps]]&lt;&gt;"",TabVMAzureEnvProjet[[#This Row],[Projet AzureDevOps]],TabVMAzureEnvProjet[[#This Row],[VM]])</f>
        <v>GFI-D8-BS4-THEME</v>
      </c>
      <c r="C811" s="57" t="s">
        <v>103</v>
      </c>
      <c r="E811" t="s">
        <v>4</v>
      </c>
      <c r="F811" t="str">
        <f>LOOKUP(TabVMAzureEnvProjet[[#This Row],[Projet AzureDevOps]],TabAzureDevOps[ProjetAzureDevOps],TabAzureDevOps[PROJET])</f>
        <v>INETUM-INTERNE</v>
      </c>
      <c r="G811" t="str">
        <f>LOOKUP(TabVMAzureEnvProjet[[#This Row],[Projet]],TabProjets[NomProj],TabProjets[SYGES])</f>
        <v>INETUM/PROJET_INTERNE</v>
      </c>
      <c r="H811" t="str">
        <f>LOOKUP(TabVMAzureEnvProjet[[#This Row],[Projet]],TabProjets[NomProj],TabProjets[CP])</f>
        <v>Christophe ORLANDO</v>
      </c>
      <c r="I811">
        <f>LOOKUP(TabVMAzureEnvProjet[[#This Row],[Code SYGES]],TabCONTRATSDI[Contrat SYGES],TabCONTRATSDI[Cost Center])</f>
        <v>305704</v>
      </c>
      <c r="J811" s="22" t="str">
        <f>LOOKUP(TabVMAzureEnvProjet[[#This Row],[Code SYGES]],TabCONTRATSDI[Contrat SYGES],TabCONTRATSDI[Client])</f>
        <v>INETUM</v>
      </c>
      <c r="K811" t="s">
        <v>179</v>
      </c>
      <c r="L811" s="31">
        <v>1.2618840802988665</v>
      </c>
      <c r="M811" s="41" t="s">
        <v>180</v>
      </c>
    </row>
    <row r="812" spans="1:13" x14ac:dyDescent="0.25">
      <c r="A812" s="22" t="str">
        <f>TabVMAzureEnvProjet[[#This Row],[Client]] &amp; " .:. "  &amp; TabVMAzureEnvProjet[[#This Row],[Projet]]</f>
        <v>INETUM .:. INETUM-INTERNE</v>
      </c>
      <c r="B812" s="22" t="str">
        <f>IF(TabVMAzureEnvProjet[[#This Row],[Projet AzureDevOps]]&lt;&gt;"",TabVMAzureEnvProjet[[#This Row],[Projet AzureDevOps]],TabVMAzureEnvProjet[[#This Row],[VM]])</f>
        <v>GFI-Docker Devbox Install</v>
      </c>
      <c r="C812" s="57" t="s">
        <v>109</v>
      </c>
      <c r="E812" t="s">
        <v>4</v>
      </c>
      <c r="F812" t="str">
        <f>LOOKUP(TabVMAzureEnvProjet[[#This Row],[Projet AzureDevOps]],TabAzureDevOps[ProjetAzureDevOps],TabAzureDevOps[PROJET])</f>
        <v>INETUM-INTERNE</v>
      </c>
      <c r="G812" t="str">
        <f>LOOKUP(TabVMAzureEnvProjet[[#This Row],[Projet]],TabProjets[NomProj],TabProjets[SYGES])</f>
        <v>INETUM/PROJET_INTERNE</v>
      </c>
      <c r="H812" t="str">
        <f>LOOKUP(TabVMAzureEnvProjet[[#This Row],[Projet]],TabProjets[NomProj],TabProjets[CP])</f>
        <v>Christophe ORLANDO</v>
      </c>
      <c r="I812">
        <f>LOOKUP(TabVMAzureEnvProjet[[#This Row],[Code SYGES]],TabCONTRATSDI[Contrat SYGES],TabCONTRATSDI[Cost Center])</f>
        <v>305704</v>
      </c>
      <c r="J812" s="22" t="str">
        <f>LOOKUP(TabVMAzureEnvProjet[[#This Row],[Code SYGES]],TabCONTRATSDI[Contrat SYGES],TabCONTRATSDI[Client])</f>
        <v>INETUM</v>
      </c>
      <c r="K812" t="s">
        <v>179</v>
      </c>
      <c r="L812" s="31">
        <v>8.3493344363591984</v>
      </c>
      <c r="M812" s="41" t="s">
        <v>180</v>
      </c>
    </row>
    <row r="813" spans="1:13" x14ac:dyDescent="0.25">
      <c r="A813" s="22" t="str">
        <f>TabVMAzureEnvProjet[[#This Row],[Client]] &amp; " .:. "  &amp; TabVMAzureEnvProjet[[#This Row],[Projet]]</f>
        <v>INETUM .:. INETUM-INTERNE</v>
      </c>
      <c r="B813" s="22" t="str">
        <f>IF(TabVMAzureEnvProjet[[#This Row],[Projet AzureDevOps]]&lt;&gt;"",TabVMAzureEnvProjet[[#This Row],[Projet AzureDevOps]],TabVMAzureEnvProjet[[#This Row],[VM]])</f>
        <v>GFI-MineReport</v>
      </c>
      <c r="C813" s="57" t="s">
        <v>104</v>
      </c>
      <c r="E813" t="s">
        <v>4</v>
      </c>
      <c r="F813" t="str">
        <f>LOOKUP(TabVMAzureEnvProjet[[#This Row],[Projet AzureDevOps]],TabAzureDevOps[ProjetAzureDevOps],TabAzureDevOps[PROJET])</f>
        <v>INETUM-INTERNE</v>
      </c>
      <c r="G813" t="str">
        <f>LOOKUP(TabVMAzureEnvProjet[[#This Row],[Projet]],TabProjets[NomProj],TabProjets[SYGES])</f>
        <v>INETUM/PROJET_INTERNE</v>
      </c>
      <c r="H813" t="str">
        <f>LOOKUP(TabVMAzureEnvProjet[[#This Row],[Projet]],TabProjets[NomProj],TabProjets[CP])</f>
        <v>Christophe ORLANDO</v>
      </c>
      <c r="I813">
        <f>LOOKUP(TabVMAzureEnvProjet[[#This Row],[Code SYGES]],TabCONTRATSDI[Contrat SYGES],TabCONTRATSDI[Cost Center])</f>
        <v>305704</v>
      </c>
      <c r="J813" s="22" t="str">
        <f>LOOKUP(TabVMAzureEnvProjet[[#This Row],[Code SYGES]],TabCONTRATSDI[Contrat SYGES],TabCONTRATSDI[Client])</f>
        <v>INETUM</v>
      </c>
      <c r="K813" t="s">
        <v>179</v>
      </c>
      <c r="L813" s="31">
        <v>2.0153609320734445</v>
      </c>
      <c r="M813" s="41" t="s">
        <v>180</v>
      </c>
    </row>
    <row r="814" spans="1:13" x14ac:dyDescent="0.25">
      <c r="A814" s="22" t="str">
        <f>TabVMAzureEnvProjet[[#This Row],[Client]] &amp; " .:. "  &amp; TabVMAzureEnvProjet[[#This Row],[Projet]]</f>
        <v>INETUM .:. INETUM-INTERNE</v>
      </c>
      <c r="B814" s="22" t="str">
        <f>IF(TabVMAzureEnvProjet[[#This Row],[Projet AzureDevOps]]&lt;&gt;"",TabVMAzureEnvProjet[[#This Row],[Projet AzureDevOps]],TabVMAzureEnvProjet[[#This Row],[VM]])</f>
        <v>GFI-PMT</v>
      </c>
      <c r="C814" s="57" t="s">
        <v>110</v>
      </c>
      <c r="E814" t="s">
        <v>4</v>
      </c>
      <c r="F814" t="str">
        <f>LOOKUP(TabVMAzureEnvProjet[[#This Row],[Projet AzureDevOps]],TabAzureDevOps[ProjetAzureDevOps],TabAzureDevOps[PROJET])</f>
        <v>INETUM-INTERNE</v>
      </c>
      <c r="G814" t="str">
        <f>LOOKUP(TabVMAzureEnvProjet[[#This Row],[Projet]],TabProjets[NomProj],TabProjets[SYGES])</f>
        <v>INETUM/PROJET_INTERNE</v>
      </c>
      <c r="H814" t="str">
        <f>LOOKUP(TabVMAzureEnvProjet[[#This Row],[Projet]],TabProjets[NomProj],TabProjets[CP])</f>
        <v>Christophe ORLANDO</v>
      </c>
      <c r="I814">
        <f>LOOKUP(TabVMAzureEnvProjet[[#This Row],[Code SYGES]],TabCONTRATSDI[Contrat SYGES],TabCONTRATSDI[Cost Center])</f>
        <v>305704</v>
      </c>
      <c r="J814" s="22" t="str">
        <f>LOOKUP(TabVMAzureEnvProjet[[#This Row],[Code SYGES]],TabCONTRATSDI[Contrat SYGES],TabCONTRATSDI[Client])</f>
        <v>INETUM</v>
      </c>
      <c r="K814" t="s">
        <v>179</v>
      </c>
      <c r="L814" s="31">
        <v>2.8919159661911267</v>
      </c>
      <c r="M814" s="41" t="s">
        <v>180</v>
      </c>
    </row>
    <row r="815" spans="1:13" x14ac:dyDescent="0.25">
      <c r="A815" s="22" t="str">
        <f>TabVMAzureEnvProjet[[#This Row],[Client]] &amp; " .:. "  &amp; TabVMAzureEnvProjet[[#This Row],[Projet]]</f>
        <v>INETUM .:. INETUM-INTERNE</v>
      </c>
      <c r="B815" s="22" t="str">
        <f>IF(TabVMAzureEnvProjet[[#This Row],[Projet AzureDevOps]]&lt;&gt;"",TabVMAzureEnvProjet[[#This Row],[Projet AzureDevOps]],TabVMAzureEnvProjet[[#This Row],[VM]])</f>
        <v>GFI-RedmineDocker</v>
      </c>
      <c r="C815" s="57" t="s">
        <v>105</v>
      </c>
      <c r="E815" t="s">
        <v>4</v>
      </c>
      <c r="F815" t="str">
        <f>LOOKUP(TabVMAzureEnvProjet[[#This Row],[Projet AzureDevOps]],TabAzureDevOps[ProjetAzureDevOps],TabAzureDevOps[PROJET])</f>
        <v>INETUM-INTERNE</v>
      </c>
      <c r="G815" t="str">
        <f>LOOKUP(TabVMAzureEnvProjet[[#This Row],[Projet]],TabProjets[NomProj],TabProjets[SYGES])</f>
        <v>INETUM/PROJET_INTERNE</v>
      </c>
      <c r="H815" t="str">
        <f>LOOKUP(TabVMAzureEnvProjet[[#This Row],[Projet]],TabProjets[NomProj],TabProjets[CP])</f>
        <v>Christophe ORLANDO</v>
      </c>
      <c r="I815">
        <f>LOOKUP(TabVMAzureEnvProjet[[#This Row],[Code SYGES]],TabCONTRATSDI[Contrat SYGES],TabCONTRATSDI[Cost Center])</f>
        <v>305704</v>
      </c>
      <c r="J815" s="22" t="str">
        <f>LOOKUP(TabVMAzureEnvProjet[[#This Row],[Code SYGES]],TabCONTRATSDI[Contrat SYGES],TabCONTRATSDI[Client])</f>
        <v>INETUM</v>
      </c>
      <c r="K815" t="s">
        <v>179</v>
      </c>
      <c r="L815" s="31">
        <v>0.88892036954060472</v>
      </c>
      <c r="M815" s="41" t="s">
        <v>180</v>
      </c>
    </row>
    <row r="816" spans="1:13" x14ac:dyDescent="0.25">
      <c r="A816" s="22" t="str">
        <f>TabVMAzureEnvProjet[[#This Row],[Client]] &amp; " .:. "  &amp; TabVMAzureEnvProjet[[#This Row],[Projet]]</f>
        <v>INETUM .:. INETUM-INTERNE</v>
      </c>
      <c r="B816" s="22" t="str">
        <f>IF(TabVMAzureEnvProjet[[#This Row],[Projet AzureDevOps]]&lt;&gt;"",TabVMAzureEnvProjet[[#This Row],[Projet AzureDevOps]],TabVMAzureEnvProjet[[#This Row],[VM]])</f>
        <v>GFI-TENDER</v>
      </c>
      <c r="C816" s="57" t="s">
        <v>111</v>
      </c>
      <c r="E816" t="s">
        <v>4</v>
      </c>
      <c r="F816" t="str">
        <f>LOOKUP(TabVMAzureEnvProjet[[#This Row],[Projet AzureDevOps]],TabAzureDevOps[ProjetAzureDevOps],TabAzureDevOps[PROJET])</f>
        <v>INETUM-INTERNE</v>
      </c>
      <c r="G816" t="str">
        <f>LOOKUP(TabVMAzureEnvProjet[[#This Row],[Projet]],TabProjets[NomProj],TabProjets[SYGES])</f>
        <v>INETUM/PROJET_INTERNE</v>
      </c>
      <c r="H816" t="str">
        <f>LOOKUP(TabVMAzureEnvProjet[[#This Row],[Projet]],TabProjets[NomProj],TabProjets[CP])</f>
        <v>Christophe ORLANDO</v>
      </c>
      <c r="I816">
        <f>LOOKUP(TabVMAzureEnvProjet[[#This Row],[Code SYGES]],TabCONTRATSDI[Contrat SYGES],TabCONTRATSDI[Cost Center])</f>
        <v>305704</v>
      </c>
      <c r="J816" s="22" t="str">
        <f>LOOKUP(TabVMAzureEnvProjet[[#This Row],[Code SYGES]],TabCONTRATSDI[Contrat SYGES],TabCONTRATSDI[Client])</f>
        <v>INETUM</v>
      </c>
      <c r="K816" t="s">
        <v>179</v>
      </c>
      <c r="L816" s="31">
        <v>1.9639849971568824</v>
      </c>
      <c r="M816" s="41" t="s">
        <v>180</v>
      </c>
    </row>
    <row r="817" spans="1:13" x14ac:dyDescent="0.25">
      <c r="A817" s="22" t="str">
        <f>TabVMAzureEnvProjet[[#This Row],[Client]] &amp; " .:. "  &amp; TabVMAzureEnvProjet[[#This Row],[Projet]]</f>
        <v>GFI .:. GFI-WAAC</v>
      </c>
      <c r="B817" s="22" t="str">
        <f>IF(TabVMAzureEnvProjet[[#This Row],[Projet AzureDevOps]]&lt;&gt;"",TabVMAzureEnvProjet[[#This Row],[Projet AzureDevOps]],TabVMAzureEnvProjet[[#This Row],[VM]])</f>
        <v>GFI-WAAC</v>
      </c>
      <c r="C817" s="57" t="s">
        <v>38</v>
      </c>
      <c r="E817" t="s">
        <v>4</v>
      </c>
      <c r="F817" t="str">
        <f>LOOKUP(TabVMAzureEnvProjet[[#This Row],[Projet AzureDevOps]],TabAzureDevOps[ProjetAzureDevOps],TabAzureDevOps[PROJET])</f>
        <v>GFI-WAAC</v>
      </c>
      <c r="G817" t="str">
        <f>LOOKUP(TabVMAzureEnvProjet[[#This Row],[Projet]],TabProjets[NomProj],TabProjets[SYGES])</f>
        <v>383928 - WAAC 1.0</v>
      </c>
      <c r="H817" t="str">
        <f>LOOKUP(TabVMAzureEnvProjet[[#This Row],[Projet]],TabProjets[NomProj],TabProjets[CP])</f>
        <v>Laurent MARCIANIAK</v>
      </c>
      <c r="I817">
        <f>LOOKUP(TabVMAzureEnvProjet[[#This Row],[Code SYGES]],TabCONTRATSDI[Contrat SYGES],TabCONTRATSDI[Cost Center])</f>
        <v>100973</v>
      </c>
      <c r="J817" s="22" t="str">
        <f>LOOKUP(TabVMAzureEnvProjet[[#This Row],[Code SYGES]],TabCONTRATSDI[Contrat SYGES],TabCONTRATSDI[Client])</f>
        <v>GFI</v>
      </c>
      <c r="K817" t="s">
        <v>179</v>
      </c>
      <c r="L817" s="31">
        <v>178.55087394818673</v>
      </c>
      <c r="M817" s="41" t="s">
        <v>180</v>
      </c>
    </row>
    <row r="818" spans="1:13" x14ac:dyDescent="0.25">
      <c r="A818" s="22" t="str">
        <f>TabVMAzureEnvProjet[[#This Row],[Client]] &amp; " .:. "  &amp; TabVMAzureEnvProjet[[#This Row],[Projet]]</f>
        <v>GLI .:. GLI-APIBIOMETRIE</v>
      </c>
      <c r="B818" s="22" t="str">
        <f>IF(TabVMAzureEnvProjet[[#This Row],[Projet AzureDevOps]]&lt;&gt;"",TabVMAzureEnvProjet[[#This Row],[Projet AzureDevOps]],TabVMAzureEnvProjet[[#This Row],[VM]])</f>
        <v>GLI-APIBiometrie</v>
      </c>
      <c r="C818" s="57" t="s">
        <v>42</v>
      </c>
      <c r="E818" t="s">
        <v>4</v>
      </c>
      <c r="F818" t="str">
        <f>LOOKUP(TabVMAzureEnvProjet[[#This Row],[Projet AzureDevOps]],TabAzureDevOps[ProjetAzureDevOps],TabAzureDevOps[PROJET])</f>
        <v>GLI-APIBIOMETRIE</v>
      </c>
      <c r="G818" t="str">
        <f>LOOKUP(TabVMAzureEnvProjet[[#This Row],[Projet]],TabProjets[NomProj],TabProjets[SYGES])</f>
        <v>GLI/BIOMETRIE</v>
      </c>
      <c r="H818" t="str">
        <f>LOOKUP(TabVMAzureEnvProjet[[#This Row],[Projet]],TabProjets[NomProj],TabProjets[CP])</f>
        <v>Rodolphe HABEGGER</v>
      </c>
      <c r="I818">
        <f>LOOKUP(TabVMAzureEnvProjet[[#This Row],[Code SYGES]],TabCONTRATSDI[Contrat SYGES],TabCONTRATSDI[Cost Center])</f>
        <v>305704</v>
      </c>
      <c r="J818" s="22" t="str">
        <f>LOOKUP(TabVMAzureEnvProjet[[#This Row],[Code SYGES]],TabCONTRATSDI[Contrat SYGES],TabCONTRATSDI[Client])</f>
        <v>GLI</v>
      </c>
      <c r="K818" t="s">
        <v>179</v>
      </c>
      <c r="L818" s="31">
        <v>2.07819696196557</v>
      </c>
      <c r="M818" s="41" t="s">
        <v>180</v>
      </c>
    </row>
    <row r="819" spans="1:13" x14ac:dyDescent="0.25">
      <c r="A819" s="22" t="str">
        <f>TabVMAzureEnvProjet[[#This Row],[Client]] &amp; " .:. "  &amp; TabVMAzureEnvProjet[[#This Row],[Projet]]</f>
        <v>INETUM .:. INETUM-INTERNE</v>
      </c>
      <c r="B819" s="22" t="str">
        <f>IF(TabVMAzureEnvProjet[[#This Row],[Projet AzureDevOps]]&lt;&gt;"",TabVMAzureEnvProjet[[#This Row],[Projet AzureDevOps]],TabVMAzureEnvProjet[[#This Row],[VM]])</f>
        <v>INETUM-Azure-Pipelines</v>
      </c>
      <c r="C819" s="57" t="s">
        <v>116</v>
      </c>
      <c r="E819" t="s">
        <v>4</v>
      </c>
      <c r="F819" t="str">
        <f>LOOKUP(TabVMAzureEnvProjet[[#This Row],[Projet AzureDevOps]],TabAzureDevOps[ProjetAzureDevOps],TabAzureDevOps[PROJET])</f>
        <v>INETUM-INTERNE</v>
      </c>
      <c r="G819" t="str">
        <f>LOOKUP(TabVMAzureEnvProjet[[#This Row],[Projet]],TabProjets[NomProj],TabProjets[SYGES])</f>
        <v>INETUM/PROJET_INTERNE</v>
      </c>
      <c r="H819" t="str">
        <f>LOOKUP(TabVMAzureEnvProjet[[#This Row],[Projet]],TabProjets[NomProj],TabProjets[CP])</f>
        <v>Christophe ORLANDO</v>
      </c>
      <c r="I819">
        <f>LOOKUP(TabVMAzureEnvProjet[[#This Row],[Code SYGES]],TabCONTRATSDI[Contrat SYGES],TabCONTRATSDI[Cost Center])</f>
        <v>305704</v>
      </c>
      <c r="J819" s="22" t="str">
        <f>LOOKUP(TabVMAzureEnvProjet[[#This Row],[Code SYGES]],TabCONTRATSDI[Contrat SYGES],TabCONTRATSDI[Client])</f>
        <v>INETUM</v>
      </c>
      <c r="K819" t="s">
        <v>179</v>
      </c>
      <c r="L819" s="31">
        <v>3.498008930726646</v>
      </c>
      <c r="M819" s="41" t="s">
        <v>180</v>
      </c>
    </row>
    <row r="820" spans="1:13" x14ac:dyDescent="0.25">
      <c r="A820" s="22" t="str">
        <f>TabVMAzureEnvProjet[[#This Row],[Client]] &amp; " .:. "  &amp; TabVMAzureEnvProjet[[#This Row],[Projet]]</f>
        <v>INETUM .:. INETUM-INTERNE</v>
      </c>
      <c r="B820" s="22" t="str">
        <f>IF(TabVMAzureEnvProjet[[#This Row],[Projet AzureDevOps]]&lt;&gt;"",TabVMAzureEnvProjet[[#This Row],[Projet AzureDevOps]],TabVMAzureEnvProjet[[#This Row],[VM]])</f>
        <v>INETUM-communaute-technique</v>
      </c>
      <c r="C820" s="57" t="s">
        <v>113</v>
      </c>
      <c r="E820" t="s">
        <v>4</v>
      </c>
      <c r="F820" t="str">
        <f>LOOKUP(TabVMAzureEnvProjet[[#This Row],[Projet AzureDevOps]],TabAzureDevOps[ProjetAzureDevOps],TabAzureDevOps[PROJET])</f>
        <v>INETUM-INTERNE</v>
      </c>
      <c r="G820" t="str">
        <f>LOOKUP(TabVMAzureEnvProjet[[#This Row],[Projet]],TabProjets[NomProj],TabProjets[SYGES])</f>
        <v>INETUM/PROJET_INTERNE</v>
      </c>
      <c r="H820" t="str">
        <f>LOOKUP(TabVMAzureEnvProjet[[#This Row],[Projet]],TabProjets[NomProj],TabProjets[CP])</f>
        <v>Christophe ORLANDO</v>
      </c>
      <c r="I820">
        <f>LOOKUP(TabVMAzureEnvProjet[[#This Row],[Code SYGES]],TabCONTRATSDI[Contrat SYGES],TabCONTRATSDI[Cost Center])</f>
        <v>305704</v>
      </c>
      <c r="J820" s="22" t="str">
        <f>LOOKUP(TabVMAzureEnvProjet[[#This Row],[Code SYGES]],TabCONTRATSDI[Contrat SYGES],TabCONTRATSDI[Client])</f>
        <v>INETUM</v>
      </c>
      <c r="K820" t="s">
        <v>179</v>
      </c>
      <c r="L820" s="31">
        <v>1.1479414127611454</v>
      </c>
      <c r="M820" s="41" t="s">
        <v>180</v>
      </c>
    </row>
    <row r="821" spans="1:13" x14ac:dyDescent="0.25">
      <c r="A821" s="22" t="str">
        <f>TabVMAzureEnvProjet[[#This Row],[Client]] &amp; " .:. "  &amp; TabVMAzureEnvProjet[[#This Row],[Projet]]</f>
        <v>INETUM .:. INETUM-INTERNE</v>
      </c>
      <c r="B821" s="22" t="str">
        <f>IF(TabVMAzureEnvProjet[[#This Row],[Projet AzureDevOps]]&lt;&gt;"",TabVMAzureEnvProjet[[#This Row],[Projet AzureDevOps]],TabVMAzureEnvProjet[[#This Row],[VM]])</f>
        <v>INETUM-Docker-Base-Image</v>
      </c>
      <c r="C821" s="52" t="s">
        <v>118</v>
      </c>
      <c r="E821" t="s">
        <v>4</v>
      </c>
      <c r="F821" t="str">
        <f>LOOKUP(TabVMAzureEnvProjet[[#This Row],[Projet AzureDevOps]],TabAzureDevOps[ProjetAzureDevOps],TabAzureDevOps[PROJET])</f>
        <v>INETUM-INTERNE</v>
      </c>
      <c r="G821" t="str">
        <f>LOOKUP(TabVMAzureEnvProjet[[#This Row],[Projet]],TabProjets[NomProj],TabProjets[SYGES])</f>
        <v>INETUM/PROJET_INTERNE</v>
      </c>
      <c r="H821" t="str">
        <f>LOOKUP(TabVMAzureEnvProjet[[#This Row],[Projet]],TabProjets[NomProj],TabProjets[CP])</f>
        <v>Christophe ORLANDO</v>
      </c>
      <c r="I821">
        <f>LOOKUP(TabVMAzureEnvProjet[[#This Row],[Code SYGES]],TabCONTRATSDI[Contrat SYGES],TabCONTRATSDI[Cost Center])</f>
        <v>305704</v>
      </c>
      <c r="J821" s="22" t="str">
        <f>LOOKUP(TabVMAzureEnvProjet[[#This Row],[Code SYGES]],TabCONTRATSDI[Contrat SYGES],TabCONTRATSDI[Client])</f>
        <v>INETUM</v>
      </c>
      <c r="K821" t="s">
        <v>179</v>
      </c>
      <c r="L821" s="31">
        <v>2.9853303937106999</v>
      </c>
      <c r="M821" s="41" t="s">
        <v>180</v>
      </c>
    </row>
    <row r="822" spans="1:13" x14ac:dyDescent="0.25">
      <c r="A822" s="22" t="str">
        <f>TabVMAzureEnvProjet[[#This Row],[Client]] &amp; " .:. "  &amp; TabVMAzureEnvProjet[[#This Row],[Projet]]</f>
        <v>INETUM .:. INETUM-INTERNE</v>
      </c>
      <c r="B822" s="22" t="str">
        <f>IF(TabVMAzureEnvProjet[[#This Row],[Projet AzureDevOps]]&lt;&gt;"",TabVMAzureEnvProjet[[#This Row],[Projet AzureDevOps]],TabVMAzureEnvProjet[[#This Row],[VM]])</f>
        <v>INETUM-documentation</v>
      </c>
      <c r="C822" s="57" t="s">
        <v>114</v>
      </c>
      <c r="E822" t="s">
        <v>4</v>
      </c>
      <c r="F822" t="str">
        <f>LOOKUP(TabVMAzureEnvProjet[[#This Row],[Projet AzureDevOps]],TabAzureDevOps[ProjetAzureDevOps],TabAzureDevOps[PROJET])</f>
        <v>INETUM-INTERNE</v>
      </c>
      <c r="G822" t="str">
        <f>LOOKUP(TabVMAzureEnvProjet[[#This Row],[Projet]],TabProjets[NomProj],TabProjets[SYGES])</f>
        <v>INETUM/PROJET_INTERNE</v>
      </c>
      <c r="H822" t="str">
        <f>LOOKUP(TabVMAzureEnvProjet[[#This Row],[Projet]],TabProjets[NomProj],TabProjets[CP])</f>
        <v>Christophe ORLANDO</v>
      </c>
      <c r="I822">
        <f>LOOKUP(TabVMAzureEnvProjet[[#This Row],[Code SYGES]],TabCONTRATSDI[Contrat SYGES],TabCONTRATSDI[Cost Center])</f>
        <v>305704</v>
      </c>
      <c r="J822" s="22" t="str">
        <f>LOOKUP(TabVMAzureEnvProjet[[#This Row],[Code SYGES]],TabCONTRATSDI[Contrat SYGES],TabCONTRATSDI[Client])</f>
        <v>INETUM</v>
      </c>
      <c r="K822" t="s">
        <v>179</v>
      </c>
      <c r="L822" s="31">
        <v>1.1479414127611454</v>
      </c>
      <c r="M822" s="41" t="s">
        <v>180</v>
      </c>
    </row>
    <row r="823" spans="1:13" x14ac:dyDescent="0.25">
      <c r="A823" s="22" t="str">
        <f>TabVMAzureEnvProjet[[#This Row],[Client]] &amp; " .:. "  &amp; TabVMAzureEnvProjet[[#This Row],[Projet]]</f>
        <v>INETUM .:. INETUM-INTERNE</v>
      </c>
      <c r="B823" s="22" t="str">
        <f>IF(TabVMAzureEnvProjet[[#This Row],[Projet AzureDevOps]]&lt;&gt;"",TabVMAzureEnvProjet[[#This Row],[Projet AzureDevOps]],TabVMAzureEnvProjet[[#This Row],[VM]])</f>
        <v>INETUM-starterkit-drupal</v>
      </c>
      <c r="C823" s="57" t="s">
        <v>117</v>
      </c>
      <c r="E823" t="s">
        <v>4</v>
      </c>
      <c r="F823" t="str">
        <f>LOOKUP(TabVMAzureEnvProjet[[#This Row],[Projet AzureDevOps]],TabAzureDevOps[ProjetAzureDevOps],TabAzureDevOps[PROJET])</f>
        <v>INETUM-INTERNE</v>
      </c>
      <c r="G823" t="str">
        <f>LOOKUP(TabVMAzureEnvProjet[[#This Row],[Projet]],TabProjets[NomProj],TabProjets[SYGES])</f>
        <v>INETUM/PROJET_INTERNE</v>
      </c>
      <c r="H823" t="str">
        <f>LOOKUP(TabVMAzureEnvProjet[[#This Row],[Projet]],TabProjets[NomProj],TabProjets[CP])</f>
        <v>Christophe ORLANDO</v>
      </c>
      <c r="I823">
        <f>LOOKUP(TabVMAzureEnvProjet[[#This Row],[Code SYGES]],TabCONTRATSDI[Contrat SYGES],TabCONTRATSDI[Cost Center])</f>
        <v>305704</v>
      </c>
      <c r="J823" s="22" t="str">
        <f>LOOKUP(TabVMAzureEnvProjet[[#This Row],[Code SYGES]],TabCONTRATSDI[Contrat SYGES],TabCONTRATSDI[Client])</f>
        <v>INETUM</v>
      </c>
      <c r="K823" t="s">
        <v>179</v>
      </c>
      <c r="L823" s="31">
        <v>5.8089086567260537</v>
      </c>
      <c r="M823" s="41" t="s">
        <v>180</v>
      </c>
    </row>
    <row r="824" spans="1:13" x14ac:dyDescent="0.25">
      <c r="A824" s="22" t="str">
        <f>TabVMAzureEnvProjet[[#This Row],[Client]] &amp; " .:. "  &amp; TabVMAzureEnvProjet[[#This Row],[Projet]]</f>
        <v>INETUM .:. INETUM-INTERNE</v>
      </c>
      <c r="B824" s="22" t="str">
        <f>IF(TabVMAzureEnvProjet[[#This Row],[Projet AzureDevOps]]&lt;&gt;"",TabVMAzureEnvProjet[[#This Row],[Projet AzureDevOps]],TabVMAzureEnvProjet[[#This Row],[VM]])</f>
        <v>INETUM-starterkit-symfony</v>
      </c>
      <c r="C824" s="57" t="s">
        <v>115</v>
      </c>
      <c r="E824" t="s">
        <v>4</v>
      </c>
      <c r="F824" t="str">
        <f>LOOKUP(TabVMAzureEnvProjet[[#This Row],[Projet AzureDevOps]],TabAzureDevOps[ProjetAzureDevOps],TabAzureDevOps[PROJET])</f>
        <v>INETUM-INTERNE</v>
      </c>
      <c r="G824" t="str">
        <f>LOOKUP(TabVMAzureEnvProjet[[#This Row],[Projet]],TabProjets[NomProj],TabProjets[SYGES])</f>
        <v>INETUM/PROJET_INTERNE</v>
      </c>
      <c r="H824" t="str">
        <f>LOOKUP(TabVMAzureEnvProjet[[#This Row],[Projet]],TabProjets[NomProj],TabProjets[CP])</f>
        <v>Christophe ORLANDO</v>
      </c>
      <c r="I824">
        <f>LOOKUP(TabVMAzureEnvProjet[[#This Row],[Code SYGES]],TabCONTRATSDI[Contrat SYGES],TabCONTRATSDI[Cost Center])</f>
        <v>305704</v>
      </c>
      <c r="J824" s="22" t="str">
        <f>LOOKUP(TabVMAzureEnvProjet[[#This Row],[Code SYGES]],TabCONTRATSDI[Contrat SYGES],TabCONTRATSDI[Client])</f>
        <v>INETUM</v>
      </c>
      <c r="K824" t="s">
        <v>179</v>
      </c>
      <c r="L824" s="31">
        <v>0.34678203163654286</v>
      </c>
      <c r="M824" s="41" t="s">
        <v>180</v>
      </c>
    </row>
    <row r="825" spans="1:13" x14ac:dyDescent="0.25">
      <c r="A825" s="22" t="str">
        <f>TabVMAzureEnvProjet[[#This Row],[Client]] &amp; " .:. "  &amp; TabVMAzureEnvProjet[[#This Row],[Projet]]</f>
        <v>LAPOSTE .:. LAPOSTE-CDC</v>
      </c>
      <c r="B825" s="22" t="str">
        <f>IF(TabVMAzureEnvProjet[[#This Row],[Projet AzureDevOps]]&lt;&gt;"",TabVMAzureEnvProjet[[#This Row],[Projet AzureDevOps]],TabVMAzureEnvProjet[[#This Row],[VM]])</f>
        <v>LAPOSTE-F4N-Musee</v>
      </c>
      <c r="C825" s="57" t="s">
        <v>83</v>
      </c>
      <c r="E825" t="s">
        <v>4</v>
      </c>
      <c r="F825" t="str">
        <f>LOOKUP(TabVMAzureEnvProjet[[#This Row],[Projet AzureDevOps]],TabAzureDevOps[ProjetAzureDevOps],TabAzureDevOps[PROJET])</f>
        <v>LAPOSTE-CDC</v>
      </c>
      <c r="G825" t="str">
        <f>LOOKUP(TabVMAzureEnvProjet[[#This Row],[Projet]],TabProjets[NomProj],TabProjets[SYGES])</f>
        <v>LA-POSTE/CDC_DRUPAL</v>
      </c>
      <c r="H825" t="str">
        <f>LOOKUP(TabVMAzureEnvProjet[[#This Row],[Projet]],TabProjets[NomProj],TabProjets[CP])</f>
        <v>Rodolphe HABEGGER</v>
      </c>
      <c r="I825">
        <f>LOOKUP(TabVMAzureEnvProjet[[#This Row],[Code SYGES]],TabCONTRATSDI[Contrat SYGES],TabCONTRATSDI[Cost Center])</f>
        <v>305704</v>
      </c>
      <c r="J825" s="22" t="str">
        <f>LOOKUP(TabVMAzureEnvProjet[[#This Row],[Code SYGES]],TabCONTRATSDI[Contrat SYGES],TabCONTRATSDI[Client])</f>
        <v>LAPOSTE</v>
      </c>
      <c r="K825" t="s">
        <v>179</v>
      </c>
      <c r="L825" s="31">
        <v>2.628279504464289</v>
      </c>
      <c r="M825" s="41" t="s">
        <v>180</v>
      </c>
    </row>
    <row r="826" spans="1:13" x14ac:dyDescent="0.25">
      <c r="A826" s="22" t="str">
        <f>TabVMAzureEnvProjet[[#This Row],[Client]] &amp; " .:. "  &amp; TabVMAzureEnvProjet[[#This Row],[Projet]]</f>
        <v>LAPOSTE .:. LAPOSTE-CDC</v>
      </c>
      <c r="B826" s="22" t="str">
        <f>IF(TabVMAzureEnvProjet[[#This Row],[Projet AzureDevOps]]&lt;&gt;"",TabVMAzureEnvProjet[[#This Row],[Projet AzureDevOps]],TabVMAzureEnvProjet[[#This Row],[VM]])</f>
        <v>LAPOSTE-L71-PDP</v>
      </c>
      <c r="C826" s="57" t="s">
        <v>86</v>
      </c>
      <c r="E826" t="s">
        <v>4</v>
      </c>
      <c r="F826" t="str">
        <f>LOOKUP(TabVMAzureEnvProjet[[#This Row],[Projet AzureDevOps]],TabAzureDevOps[ProjetAzureDevOps],TabAzureDevOps[PROJET])</f>
        <v>LAPOSTE-CDC</v>
      </c>
      <c r="G826" t="str">
        <f>LOOKUP(TabVMAzureEnvProjet[[#This Row],[Projet]],TabProjets[NomProj],TabProjets[SYGES])</f>
        <v>LA-POSTE/CDC_DRUPAL</v>
      </c>
      <c r="H826" t="str">
        <f>LOOKUP(TabVMAzureEnvProjet[[#This Row],[Projet]],TabProjets[NomProj],TabProjets[CP])</f>
        <v>Rodolphe HABEGGER</v>
      </c>
      <c r="I826">
        <f>LOOKUP(TabVMAzureEnvProjet[[#This Row],[Code SYGES]],TabCONTRATSDI[Contrat SYGES],TabCONTRATSDI[Cost Center])</f>
        <v>305704</v>
      </c>
      <c r="J826" s="22" t="str">
        <f>LOOKUP(TabVMAzureEnvProjet[[#This Row],[Code SYGES]],TabCONTRATSDI[Contrat SYGES],TabCONTRATSDI[Client])</f>
        <v>LAPOSTE</v>
      </c>
      <c r="K826" t="s">
        <v>179</v>
      </c>
      <c r="L826" s="31">
        <v>1.9647779280102831</v>
      </c>
      <c r="M826" s="41" t="s">
        <v>180</v>
      </c>
    </row>
    <row r="827" spans="1:13" x14ac:dyDescent="0.25">
      <c r="A827" s="22" t="str">
        <f>TabVMAzureEnvProjet[[#This Row],[Client]] &amp; " .:. "  &amp; TabVMAzureEnvProjet[[#This Row],[Projet]]</f>
        <v>LAPOSTE .:. LAPOSTE-CDC</v>
      </c>
      <c r="B827" s="22" t="str">
        <f>IF(TabVMAzureEnvProjet[[#This Row],[Projet AzureDevOps]]&lt;&gt;"",TabVMAzureEnvProjet[[#This Row],[Projet AzureDevOps]],TabVMAzureEnvProjet[[#This Row],[VM]])</f>
        <v>LAPOSTE-LCA-PariteUn-e</v>
      </c>
      <c r="C827" s="57" t="s">
        <v>87</v>
      </c>
      <c r="E827" t="s">
        <v>4</v>
      </c>
      <c r="F827" t="str">
        <f>LOOKUP(TabVMAzureEnvProjet[[#This Row],[Projet AzureDevOps]],TabAzureDevOps[ProjetAzureDevOps],TabAzureDevOps[PROJET])</f>
        <v>LAPOSTE-CDC</v>
      </c>
      <c r="G827" t="str">
        <f>LOOKUP(TabVMAzureEnvProjet[[#This Row],[Projet]],TabProjets[NomProj],TabProjets[SYGES])</f>
        <v>LA-POSTE/CDC_DRUPAL</v>
      </c>
      <c r="H827" t="str">
        <f>LOOKUP(TabVMAzureEnvProjet[[#This Row],[Projet]],TabProjets[NomProj],TabProjets[CP])</f>
        <v>Rodolphe HABEGGER</v>
      </c>
      <c r="I827">
        <f>LOOKUP(TabVMAzureEnvProjet[[#This Row],[Code SYGES]],TabCONTRATSDI[Contrat SYGES],TabCONTRATSDI[Cost Center])</f>
        <v>305704</v>
      </c>
      <c r="J827" s="22" t="str">
        <f>LOOKUP(TabVMAzureEnvProjet[[#This Row],[Code SYGES]],TabCONTRATSDI[Contrat SYGES],TabCONTRATSDI[Client])</f>
        <v>LAPOSTE</v>
      </c>
      <c r="K827" t="s">
        <v>179</v>
      </c>
      <c r="L827" s="31">
        <v>1.9647779280102831</v>
      </c>
      <c r="M827" s="41" t="s">
        <v>180</v>
      </c>
    </row>
    <row r="828" spans="1:13" x14ac:dyDescent="0.25">
      <c r="A828" s="22" t="str">
        <f>TabVMAzureEnvProjet[[#This Row],[Client]] &amp; " .:. "  &amp; TabVMAzureEnvProjet[[#This Row],[Projet]]</f>
        <v>LAPOSTE .:. LAPOSTE-CDC</v>
      </c>
      <c r="B828" s="22" t="str">
        <f>IF(TabVMAzureEnvProjet[[#This Row],[Projet AzureDevOps]]&lt;&gt;"",TabVMAzureEnvProjet[[#This Row],[Projet AzureDevOps]],TabVMAzureEnvProjet[[#This Row],[VM]])</f>
        <v>LAPOSTE-LPK-PortailVoyage</v>
      </c>
      <c r="C828" s="57" t="s">
        <v>84</v>
      </c>
      <c r="E828" t="s">
        <v>4</v>
      </c>
      <c r="F828" t="str">
        <f>LOOKUP(TabVMAzureEnvProjet[[#This Row],[Projet AzureDevOps]],TabAzureDevOps[ProjetAzureDevOps],TabAzureDevOps[PROJET])</f>
        <v>LAPOSTE-CDC</v>
      </c>
      <c r="G828" t="str">
        <f>LOOKUP(TabVMAzureEnvProjet[[#This Row],[Projet]],TabProjets[NomProj],TabProjets[SYGES])</f>
        <v>LA-POSTE/CDC_DRUPAL</v>
      </c>
      <c r="H828" t="str">
        <f>LOOKUP(TabVMAzureEnvProjet[[#This Row],[Projet]],TabProjets[NomProj],TabProjets[CP])</f>
        <v>Rodolphe HABEGGER</v>
      </c>
      <c r="I828">
        <f>LOOKUP(TabVMAzureEnvProjet[[#This Row],[Code SYGES]],TabCONTRATSDI[Contrat SYGES],TabCONTRATSDI[Cost Center])</f>
        <v>305704</v>
      </c>
      <c r="J828" s="22" t="str">
        <f>LOOKUP(TabVMAzureEnvProjet[[#This Row],[Code SYGES]],TabCONTRATSDI[Contrat SYGES],TabCONTRATSDI[Client])</f>
        <v>LAPOSTE</v>
      </c>
      <c r="K828" t="s">
        <v>179</v>
      </c>
      <c r="L828" s="31">
        <v>1.9647779280102831</v>
      </c>
      <c r="M828" s="41" t="s">
        <v>180</v>
      </c>
    </row>
    <row r="829" spans="1:13" x14ac:dyDescent="0.25">
      <c r="A829" s="22" t="str">
        <f>TabVMAzureEnvProjet[[#This Row],[Client]] &amp; " .:. "  &amp; TabVMAzureEnvProjet[[#This Row],[Projet]]</f>
        <v>LAPOSTE .:. LAPOSTE-CDC</v>
      </c>
      <c r="B829" s="22" t="str">
        <f>IF(TabVMAzureEnvProjet[[#This Row],[Projet AzureDevOps]]&lt;&gt;"",TabVMAzureEnvProjet[[#This Row],[Projet AzureDevOps]],TabVMAzureEnvProjet[[#This Row],[VM]])</f>
        <v>LAPOSTE-LPM-IntranetDHA</v>
      </c>
      <c r="C829" s="57" t="s">
        <v>85</v>
      </c>
      <c r="E829" t="s">
        <v>4</v>
      </c>
      <c r="F829" t="str">
        <f>LOOKUP(TabVMAzureEnvProjet[[#This Row],[Projet AzureDevOps]],TabAzureDevOps[ProjetAzureDevOps],TabAzureDevOps[PROJET])</f>
        <v>LAPOSTE-CDC</v>
      </c>
      <c r="G829" t="str">
        <f>LOOKUP(TabVMAzureEnvProjet[[#This Row],[Projet]],TabProjets[NomProj],TabProjets[SYGES])</f>
        <v>LA-POSTE/CDC_DRUPAL</v>
      </c>
      <c r="H829" t="str">
        <f>LOOKUP(TabVMAzureEnvProjet[[#This Row],[Projet]],TabProjets[NomProj],TabProjets[CP])</f>
        <v>Rodolphe HABEGGER</v>
      </c>
      <c r="I829">
        <f>LOOKUP(TabVMAzureEnvProjet[[#This Row],[Code SYGES]],TabCONTRATSDI[Contrat SYGES],TabCONTRATSDI[Cost Center])</f>
        <v>305704</v>
      </c>
      <c r="J829" s="22" t="str">
        <f>LOOKUP(TabVMAzureEnvProjet[[#This Row],[Code SYGES]],TabCONTRATSDI[Contrat SYGES],TabCONTRATSDI[Client])</f>
        <v>LAPOSTE</v>
      </c>
      <c r="K829" t="s">
        <v>179</v>
      </c>
      <c r="L829" s="31">
        <v>1.9647779280102831</v>
      </c>
      <c r="M829" s="41" t="s">
        <v>180</v>
      </c>
    </row>
    <row r="830" spans="1:13" x14ac:dyDescent="0.25">
      <c r="A830" s="22" t="str">
        <f>TabVMAzureEnvProjet[[#This Row],[Client]] &amp; " .:. "  &amp; TabVMAzureEnvProjet[[#This Row],[Projet]]</f>
        <v>LAPOSTE .:. LAPOSTE-CDC</v>
      </c>
      <c r="B830" s="22" t="str">
        <f>IF(TabVMAzureEnvProjet[[#This Row],[Projet AzureDevOps]]&lt;&gt;"",TabVMAzureEnvProjet[[#This Row],[Projet AzureDevOps]],TabVMAzureEnvProjet[[#This Row],[VM]])</f>
        <v>LAPOSTE-V7_-Galaxy</v>
      </c>
      <c r="C830" s="57" t="s">
        <v>89</v>
      </c>
      <c r="E830" t="s">
        <v>4</v>
      </c>
      <c r="F830" t="str">
        <f>LOOKUP(TabVMAzureEnvProjet[[#This Row],[Projet AzureDevOps]],TabAzureDevOps[ProjetAzureDevOps],TabAzureDevOps[PROJET])</f>
        <v>LAPOSTE-CDC</v>
      </c>
      <c r="G830" t="str">
        <f>LOOKUP(TabVMAzureEnvProjet[[#This Row],[Projet]],TabProjets[NomProj],TabProjets[SYGES])</f>
        <v>LA-POSTE/CDC_DRUPAL</v>
      </c>
      <c r="H830" t="str">
        <f>LOOKUP(TabVMAzureEnvProjet[[#This Row],[Projet]],TabProjets[NomProj],TabProjets[CP])</f>
        <v>Rodolphe HABEGGER</v>
      </c>
      <c r="I830">
        <f>LOOKUP(TabVMAzureEnvProjet[[#This Row],[Code SYGES]],TabCONTRATSDI[Contrat SYGES],TabCONTRATSDI[Cost Center])</f>
        <v>305704</v>
      </c>
      <c r="J830" s="22" t="str">
        <f>LOOKUP(TabVMAzureEnvProjet[[#This Row],[Code SYGES]],TabCONTRATSDI[Contrat SYGES],TabCONTRATSDI[Client])</f>
        <v>LAPOSTE</v>
      </c>
      <c r="K830" t="s">
        <v>179</v>
      </c>
      <c r="L830" s="31">
        <v>1.2610143932184754</v>
      </c>
      <c r="M830" s="41" t="s">
        <v>180</v>
      </c>
    </row>
    <row r="831" spans="1:13" x14ac:dyDescent="0.25">
      <c r="A831" s="22" t="str">
        <f>TabVMAzureEnvProjet[[#This Row],[Client]] &amp; " .:. "  &amp; TabVMAzureEnvProjet[[#This Row],[Projet]]</f>
        <v>LAPOSTE .:. LAPOSTE-CDC</v>
      </c>
      <c r="B831" s="22" t="str">
        <f>IF(TabVMAzureEnvProjet[[#This Row],[Projet AzureDevOps]]&lt;&gt;"",TabVMAzureEnvProjet[[#This Row],[Projet AzureDevOps]],TabVMAzureEnvProjet[[#This Row],[VM]])</f>
        <v>LAPOSTE-VW2-MEDIACOM</v>
      </c>
      <c r="C831" s="57" t="s">
        <v>90</v>
      </c>
      <c r="E831" t="s">
        <v>4</v>
      </c>
      <c r="F831" t="str">
        <f>LOOKUP(TabVMAzureEnvProjet[[#This Row],[Projet AzureDevOps]],TabAzureDevOps[ProjetAzureDevOps],TabAzureDevOps[PROJET])</f>
        <v>LAPOSTE-CDC</v>
      </c>
      <c r="G831" t="str">
        <f>LOOKUP(TabVMAzureEnvProjet[[#This Row],[Projet]],TabProjets[NomProj],TabProjets[SYGES])</f>
        <v>LA-POSTE/CDC_DRUPAL</v>
      </c>
      <c r="H831" t="str">
        <f>LOOKUP(TabVMAzureEnvProjet[[#This Row],[Projet]],TabProjets[NomProj],TabProjets[CP])</f>
        <v>Rodolphe HABEGGER</v>
      </c>
      <c r="I831">
        <f>LOOKUP(TabVMAzureEnvProjet[[#This Row],[Code SYGES]],TabCONTRATSDI[Contrat SYGES],TabCONTRATSDI[Cost Center])</f>
        <v>305704</v>
      </c>
      <c r="J831" s="22" t="str">
        <f>LOOKUP(TabVMAzureEnvProjet[[#This Row],[Code SYGES]],TabCONTRATSDI[Contrat SYGES],TabCONTRATSDI[Client])</f>
        <v>LAPOSTE</v>
      </c>
      <c r="K831" t="s">
        <v>179</v>
      </c>
      <c r="L831" s="31">
        <v>0.96725595347278792</v>
      </c>
      <c r="M831" s="41" t="s">
        <v>180</v>
      </c>
    </row>
    <row r="832" spans="1:13" x14ac:dyDescent="0.25">
      <c r="A832" s="22" t="str">
        <f>TabVMAzureEnvProjet[[#This Row],[Client]] &amp; " .:. "  &amp; TabVMAzureEnvProjet[[#This Row],[Projet]]</f>
        <v>LAPOSTE .:. LAPOSTE-CDC</v>
      </c>
      <c r="B832" s="22" t="str">
        <f>IF(TabVMAzureEnvProjet[[#This Row],[Projet AzureDevOps]]&lt;&gt;"",TabVMAzureEnvProjet[[#This Row],[Projet AzureDevOps]],TabVMAzureEnvProjet[[#This Row],[VM]])</f>
        <v>LAPOSTE-VW7-EvtExpres</v>
      </c>
      <c r="C832" s="57" t="s">
        <v>91</v>
      </c>
      <c r="E832" t="s">
        <v>4</v>
      </c>
      <c r="F832" t="str">
        <f>LOOKUP(TabVMAzureEnvProjet[[#This Row],[Projet AzureDevOps]],TabAzureDevOps[ProjetAzureDevOps],TabAzureDevOps[PROJET])</f>
        <v>LAPOSTE-CDC</v>
      </c>
      <c r="G832" t="str">
        <f>LOOKUP(TabVMAzureEnvProjet[[#This Row],[Projet]],TabProjets[NomProj],TabProjets[SYGES])</f>
        <v>LA-POSTE/CDC_DRUPAL</v>
      </c>
      <c r="H832" t="str">
        <f>LOOKUP(TabVMAzureEnvProjet[[#This Row],[Projet]],TabProjets[NomProj],TabProjets[CP])</f>
        <v>Rodolphe HABEGGER</v>
      </c>
      <c r="I832">
        <f>LOOKUP(TabVMAzureEnvProjet[[#This Row],[Code SYGES]],TabCONTRATSDI[Contrat SYGES],TabCONTRATSDI[Cost Center])</f>
        <v>305704</v>
      </c>
      <c r="J832" s="22" t="str">
        <f>LOOKUP(TabVMAzureEnvProjet[[#This Row],[Code SYGES]],TabCONTRATSDI[Contrat SYGES],TabCONTRATSDI[Client])</f>
        <v>LAPOSTE</v>
      </c>
      <c r="K832" t="s">
        <v>179</v>
      </c>
      <c r="L832" s="31">
        <v>1.5374929247438285</v>
      </c>
      <c r="M832" s="41" t="s">
        <v>180</v>
      </c>
    </row>
    <row r="833" spans="1:13" x14ac:dyDescent="0.25">
      <c r="A833" s="22" t="str">
        <f>TabVMAzureEnvProjet[[#This Row],[Client]] &amp; " .:. "  &amp; TabVMAzureEnvProjet[[#This Row],[Projet]]</f>
        <v>LAPOSTE .:. LAPOSTE-CDC</v>
      </c>
      <c r="B833" s="22" t="str">
        <f>IF(TabVMAzureEnvProjet[[#This Row],[Projet AzureDevOps]]&lt;&gt;"",TabVMAzureEnvProjet[[#This Row],[Projet AzureDevOps]],TabVMAzureEnvProjet[[#This Row],[VM]])</f>
        <v>LAPOSTE-VWA-Fondation</v>
      </c>
      <c r="C833" s="57" t="s">
        <v>88</v>
      </c>
      <c r="E833" t="s">
        <v>4</v>
      </c>
      <c r="F833" t="str">
        <f>LOOKUP(TabVMAzureEnvProjet[[#This Row],[Projet AzureDevOps]],TabAzureDevOps[ProjetAzureDevOps],TabAzureDevOps[PROJET])</f>
        <v>LAPOSTE-CDC</v>
      </c>
      <c r="G833" t="str">
        <f>LOOKUP(TabVMAzureEnvProjet[[#This Row],[Projet]],TabProjets[NomProj],TabProjets[SYGES])</f>
        <v>LA-POSTE/CDC_DRUPAL</v>
      </c>
      <c r="H833" t="str">
        <f>LOOKUP(TabVMAzureEnvProjet[[#This Row],[Projet]],TabProjets[NomProj],TabProjets[CP])</f>
        <v>Rodolphe HABEGGER</v>
      </c>
      <c r="I833">
        <f>LOOKUP(TabVMAzureEnvProjet[[#This Row],[Code SYGES]],TabCONTRATSDI[Contrat SYGES],TabCONTRATSDI[Cost Center])</f>
        <v>305704</v>
      </c>
      <c r="J833" s="22" t="str">
        <f>LOOKUP(TabVMAzureEnvProjet[[#This Row],[Code SYGES]],TabCONTRATSDI[Contrat SYGES],TabCONTRATSDI[Client])</f>
        <v>LAPOSTE</v>
      </c>
      <c r="K833" t="s">
        <v>179</v>
      </c>
      <c r="L833" s="31">
        <v>2.9345110012892146</v>
      </c>
      <c r="M833" s="41" t="s">
        <v>180</v>
      </c>
    </row>
    <row r="834" spans="1:13" x14ac:dyDescent="0.25">
      <c r="A834" s="22" t="str">
        <f>TabVMAzureEnvProjet[[#This Row],[Client]] &amp; " .:. "  &amp; TabVMAzureEnvProjet[[#This Row],[Projet]]</f>
        <v>MENESR .:. MENJ-APAE</v>
      </c>
      <c r="B834" s="22" t="str">
        <f>IF(TabVMAzureEnvProjet[[#This Row],[Projet AzureDevOps]]&lt;&gt;"",TabVMAzureEnvProjet[[#This Row],[Projet AzureDevOps]],TabVMAzureEnvProjet[[#This Row],[VM]])</f>
        <v>MENJ-APAE</v>
      </c>
      <c r="C834" s="57" t="s">
        <v>44</v>
      </c>
      <c r="E834" t="s">
        <v>4</v>
      </c>
      <c r="F834" t="str">
        <f>LOOKUP(TabVMAzureEnvProjet[[#This Row],[Projet AzureDevOps]],TabAzureDevOps[ProjetAzureDevOps],TabAzureDevOps[PROJET])</f>
        <v>MENJ-APAE</v>
      </c>
      <c r="G834" t="str">
        <f>LOOKUP(TabVMAzureEnvProjet[[#This Row],[Projet]],TabProjets[NomProj],TabProjets[SYGES])</f>
        <v>MENESR/TMA</v>
      </c>
      <c r="H834" t="str">
        <f>LOOKUP(TabVMAzureEnvProjet[[#This Row],[Projet]],TabProjets[NomProj],TabProjets[CP])</f>
        <v>Pierre BOURLIEUX</v>
      </c>
      <c r="I834">
        <f>LOOKUP(TabVMAzureEnvProjet[[#This Row],[Code SYGES]],TabCONTRATSDI[Contrat SYGES],TabCONTRATSDI[Cost Center])</f>
        <v>305704</v>
      </c>
      <c r="J834" s="22" t="str">
        <f>LOOKUP(TabVMAzureEnvProjet[[#This Row],[Code SYGES]],TabCONTRATSDI[Contrat SYGES],TabCONTRATSDI[Client])</f>
        <v>MENESR</v>
      </c>
      <c r="K834" t="s">
        <v>179</v>
      </c>
      <c r="L834" s="31">
        <v>2.7061383540208794</v>
      </c>
      <c r="M834" s="41" t="s">
        <v>180</v>
      </c>
    </row>
    <row r="835" spans="1:13" x14ac:dyDescent="0.25">
      <c r="A835" s="22" t="str">
        <f>TabVMAzureEnvProjet[[#This Row],[Client]] &amp; " .:. "  &amp; TabVMAzureEnvProjet[[#This Row],[Projet]]</f>
        <v>MENESR .:. MENJ-BI</v>
      </c>
      <c r="B835" s="22" t="str">
        <f>IF(TabVMAzureEnvProjet[[#This Row],[Projet AzureDevOps]]&lt;&gt;"",TabVMAzureEnvProjet[[#This Row],[Projet AzureDevOps]],TabVMAzureEnvProjet[[#This Row],[VM]])</f>
        <v>MENJ-BI</v>
      </c>
      <c r="C835" s="57" t="s">
        <v>51</v>
      </c>
      <c r="E835" t="s">
        <v>4</v>
      </c>
      <c r="F835" t="str">
        <f>LOOKUP(TabVMAzureEnvProjet[[#This Row],[Projet AzureDevOps]],TabAzureDevOps[ProjetAzureDevOps],TabAzureDevOps[PROJET])</f>
        <v>MENJ-BI</v>
      </c>
      <c r="G835" t="str">
        <f>LOOKUP(TabVMAzureEnvProjet[[#This Row],[Projet]],TabProjets[NomProj],TabProjets[SYGES])</f>
        <v>MENESR/TMA</v>
      </c>
      <c r="H835" t="str">
        <f>LOOKUP(TabVMAzureEnvProjet[[#This Row],[Projet]],TabProjets[NomProj],TabProjets[CP])</f>
        <v>Eric PERROUD</v>
      </c>
      <c r="I835">
        <f>LOOKUP(TabVMAzureEnvProjet[[#This Row],[Code SYGES]],TabCONTRATSDI[Contrat SYGES],TabCONTRATSDI[Cost Center])</f>
        <v>305704</v>
      </c>
      <c r="J835" s="22" t="str">
        <f>LOOKUP(TabVMAzureEnvProjet[[#This Row],[Code SYGES]],TabCONTRATSDI[Contrat SYGES],TabCONTRATSDI[Client])</f>
        <v>MENESR</v>
      </c>
      <c r="K835" t="s">
        <v>179</v>
      </c>
      <c r="L835" s="31">
        <v>0.7833558393218335</v>
      </c>
      <c r="M835" s="41" t="s">
        <v>180</v>
      </c>
    </row>
    <row r="836" spans="1:13" x14ac:dyDescent="0.25">
      <c r="A836" s="22" t="str">
        <f>TabVMAzureEnvProjet[[#This Row],[Client]] &amp; " .:. "  &amp; TabVMAzureEnvProjet[[#This Row],[Projet]]</f>
        <v>MENESR .:. MENJ-BNIE</v>
      </c>
      <c r="B836" s="22" t="str">
        <f>IF(TabVMAzureEnvProjet[[#This Row],[Projet AzureDevOps]]&lt;&gt;"",TabVMAzureEnvProjet[[#This Row],[Projet AzureDevOps]],TabVMAzureEnvProjet[[#This Row],[VM]])</f>
        <v>MENJ-BNIE-BDD</v>
      </c>
      <c r="C836" s="57" t="s">
        <v>46</v>
      </c>
      <c r="E836" t="s">
        <v>4</v>
      </c>
      <c r="F836" t="str">
        <f>LOOKUP(TabVMAzureEnvProjet[[#This Row],[Projet AzureDevOps]],TabAzureDevOps[ProjetAzureDevOps],TabAzureDevOps[PROJET])</f>
        <v>MENJ-BNIE</v>
      </c>
      <c r="G836" t="str">
        <f>LOOKUP(TabVMAzureEnvProjet[[#This Row],[Projet]],TabProjets[NomProj],TabProjets[SYGES])</f>
        <v>MENESR/TMA</v>
      </c>
      <c r="H836" t="str">
        <f>LOOKUP(TabVMAzureEnvProjet[[#This Row],[Projet]],TabProjets[NomProj],TabProjets[CP])</f>
        <v>Pierre BOURLIEUX</v>
      </c>
      <c r="I836">
        <f>LOOKUP(TabVMAzureEnvProjet[[#This Row],[Code SYGES]],TabCONTRATSDI[Contrat SYGES],TabCONTRATSDI[Cost Center])</f>
        <v>305704</v>
      </c>
      <c r="J836" s="22" t="str">
        <f>LOOKUP(TabVMAzureEnvProjet[[#This Row],[Code SYGES]],TabCONTRATSDI[Contrat SYGES],TabCONTRATSDI[Client])</f>
        <v>MENESR</v>
      </c>
      <c r="K836" t="s">
        <v>179</v>
      </c>
      <c r="L836" s="31">
        <v>1.8108745376530697</v>
      </c>
      <c r="M836" s="41" t="s">
        <v>180</v>
      </c>
    </row>
    <row r="837" spans="1:13" x14ac:dyDescent="0.25">
      <c r="A837" s="22" t="str">
        <f>TabVMAzureEnvProjet[[#This Row],[Client]] &amp; " .:. "  &amp; TabVMAzureEnvProjet[[#This Row],[Projet]]</f>
        <v>MENESR .:. MENJ-BNIE</v>
      </c>
      <c r="B837" s="22" t="str">
        <f>IF(TabVMAzureEnvProjet[[#This Row],[Projet AzureDevOps]]&lt;&gt;"",TabVMAzureEnvProjet[[#This Row],[Projet AzureDevOps]],TabVMAzureEnvProjet[[#This Row],[VM]])</f>
        <v>MENJ-BNIE-Webservices</v>
      </c>
      <c r="C837" s="57" t="s">
        <v>47</v>
      </c>
      <c r="E837" t="s">
        <v>4</v>
      </c>
      <c r="F837" t="str">
        <f>LOOKUP(TabVMAzureEnvProjet[[#This Row],[Projet AzureDevOps]],TabAzureDevOps[ProjetAzureDevOps],TabAzureDevOps[PROJET])</f>
        <v>MENJ-BNIE</v>
      </c>
      <c r="G837" t="str">
        <f>LOOKUP(TabVMAzureEnvProjet[[#This Row],[Projet]],TabProjets[NomProj],TabProjets[SYGES])</f>
        <v>MENESR/TMA</v>
      </c>
      <c r="H837" t="str">
        <f>LOOKUP(TabVMAzureEnvProjet[[#This Row],[Projet]],TabProjets[NomProj],TabProjets[CP])</f>
        <v>Pierre BOURLIEUX</v>
      </c>
      <c r="I837">
        <f>LOOKUP(TabVMAzureEnvProjet[[#This Row],[Code SYGES]],TabCONTRATSDI[Contrat SYGES],TabCONTRATSDI[Cost Center])</f>
        <v>305704</v>
      </c>
      <c r="J837" s="22" t="str">
        <f>LOOKUP(TabVMAzureEnvProjet[[#This Row],[Code SYGES]],TabCONTRATSDI[Contrat SYGES],TabCONTRATSDI[Client])</f>
        <v>MENESR</v>
      </c>
      <c r="K837" t="s">
        <v>179</v>
      </c>
      <c r="L837" s="31">
        <v>0.38159012745745596</v>
      </c>
      <c r="M837" s="41" t="s">
        <v>180</v>
      </c>
    </row>
    <row r="838" spans="1:13" x14ac:dyDescent="0.25">
      <c r="A838" s="22" t="str">
        <f>TabVMAzureEnvProjet[[#This Row],[Client]] &amp; " .:. "  &amp; TabVMAzureEnvProjet[[#This Row],[Projet]]</f>
        <v>MENESR .:. MENJ-INSERJEUNES</v>
      </c>
      <c r="B838" s="22" t="str">
        <f>IF(TabVMAzureEnvProjet[[#This Row],[Projet AzureDevOps]]&lt;&gt;"",TabVMAzureEnvProjet[[#This Row],[Projet AzureDevOps]],TabVMAzureEnvProjet[[#This Row],[VM]])</f>
        <v>MENJ-InserJeunes</v>
      </c>
      <c r="C838" s="57" t="s">
        <v>54</v>
      </c>
      <c r="E838" t="s">
        <v>4</v>
      </c>
      <c r="F838" t="str">
        <f>LOOKUP(TabVMAzureEnvProjet[[#This Row],[Projet AzureDevOps]],TabAzureDevOps[ProjetAzureDevOps],TabAzureDevOps[PROJET])</f>
        <v>MENJ-INSERJEUNES</v>
      </c>
      <c r="G838" t="str">
        <f>LOOKUP(TabVMAzureEnvProjet[[#This Row],[Projet]],TabProjets[NomProj],TabProjets[SYGES])</f>
        <v>MENESR - TMA - 23 - 1 - INSERJEUNES</v>
      </c>
      <c r="H838" t="str">
        <f>LOOKUP(TabVMAzureEnvProjet[[#This Row],[Projet]],TabProjets[NomProj],TabProjets[CP])</f>
        <v>Christophe ORLANDO</v>
      </c>
      <c r="I838">
        <f>LOOKUP(TabVMAzureEnvProjet[[#This Row],[Code SYGES]],TabCONTRATSDI[Contrat SYGES],TabCONTRATSDI[Cost Center])</f>
        <v>305704</v>
      </c>
      <c r="J838" s="22" t="str">
        <f>LOOKUP(TabVMAzureEnvProjet[[#This Row],[Code SYGES]],TabCONTRATSDI[Contrat SYGES],TabCONTRATSDI[Client])</f>
        <v>MENESR</v>
      </c>
      <c r="K838" t="s">
        <v>179</v>
      </c>
      <c r="L838" s="31">
        <v>2.3336572968255571</v>
      </c>
      <c r="M838" s="41" t="s">
        <v>180</v>
      </c>
    </row>
    <row r="839" spans="1:13" x14ac:dyDescent="0.25">
      <c r="A839" s="22" t="str">
        <f>TabVMAzureEnvProjet[[#This Row],[Client]] &amp; " .:. "  &amp; TabVMAzureEnvProjet[[#This Row],[Projet]]</f>
        <v>MENESR .:. MENJ-RNIE</v>
      </c>
      <c r="B839" s="22" t="str">
        <f>IF(TabVMAzureEnvProjet[[#This Row],[Projet AzureDevOps]]&lt;&gt;"",TabVMAzureEnvProjet[[#This Row],[Projet AzureDevOps]],TabVMAzureEnvProjet[[#This Row],[VM]])</f>
        <v>MENJ-RNIE-BDD</v>
      </c>
      <c r="C839" s="57" t="s">
        <v>49</v>
      </c>
      <c r="E839" t="s">
        <v>4</v>
      </c>
      <c r="F839" t="str">
        <f>LOOKUP(TabVMAzureEnvProjet[[#This Row],[Projet AzureDevOps]],TabAzureDevOps[ProjetAzureDevOps],TabAzureDevOps[PROJET])</f>
        <v>MENJ-RNIE</v>
      </c>
      <c r="G839" t="str">
        <f>LOOKUP(TabVMAzureEnvProjet[[#This Row],[Projet]],TabProjets[NomProj],TabProjets[SYGES])</f>
        <v>MENESR/TMA</v>
      </c>
      <c r="H839" t="str">
        <f>LOOKUP(TabVMAzureEnvProjet[[#This Row],[Projet]],TabProjets[NomProj],TabProjets[CP])</f>
        <v>Pierre BOURLIEUX</v>
      </c>
      <c r="I839">
        <f>LOOKUP(TabVMAzureEnvProjet[[#This Row],[Code SYGES]],TabCONTRATSDI[Contrat SYGES],TabCONTRATSDI[Cost Center])</f>
        <v>305704</v>
      </c>
      <c r="J839" s="22" t="str">
        <f>LOOKUP(TabVMAzureEnvProjet[[#This Row],[Code SYGES]],TabCONTRATSDI[Contrat SYGES],TabCONTRATSDI[Client])</f>
        <v>MENESR</v>
      </c>
      <c r="K839" t="s">
        <v>179</v>
      </c>
      <c r="L839" s="31">
        <v>1.1394266753772122</v>
      </c>
      <c r="M839" s="41" t="s">
        <v>180</v>
      </c>
    </row>
    <row r="840" spans="1:13" x14ac:dyDescent="0.25">
      <c r="A840" s="22" t="str">
        <f>TabVMAzureEnvProjet[[#This Row],[Client]] &amp; " .:. "  &amp; TabVMAzureEnvProjet[[#This Row],[Projet]]</f>
        <v>MENESR .:. MENJ-RNIE</v>
      </c>
      <c r="B840" s="22" t="str">
        <f>IF(TabVMAzureEnvProjet[[#This Row],[Projet AzureDevOps]]&lt;&gt;"",TabVMAzureEnvProjet[[#This Row],[Projet AzureDevOps]],TabVMAzureEnvProjet[[#This Row],[VM]])</f>
        <v>MENJ-RNIE-Webservices</v>
      </c>
      <c r="C840" s="57" t="s">
        <v>50</v>
      </c>
      <c r="E840" t="s">
        <v>4</v>
      </c>
      <c r="F840" t="str">
        <f>LOOKUP(TabVMAzureEnvProjet[[#This Row],[Projet AzureDevOps]],TabAzureDevOps[ProjetAzureDevOps],TabAzureDevOps[PROJET])</f>
        <v>MENJ-RNIE</v>
      </c>
      <c r="G840" t="str">
        <f>LOOKUP(TabVMAzureEnvProjet[[#This Row],[Projet]],TabProjets[NomProj],TabProjets[SYGES])</f>
        <v>MENESR/TMA</v>
      </c>
      <c r="H840" t="str">
        <f>LOOKUP(TabVMAzureEnvProjet[[#This Row],[Projet]],TabProjets[NomProj],TabProjets[CP])</f>
        <v>Pierre BOURLIEUX</v>
      </c>
      <c r="I840">
        <f>LOOKUP(TabVMAzureEnvProjet[[#This Row],[Code SYGES]],TabCONTRATSDI[Contrat SYGES],TabCONTRATSDI[Cost Center])</f>
        <v>305704</v>
      </c>
      <c r="J840" s="22" t="str">
        <f>LOOKUP(TabVMAzureEnvProjet[[#This Row],[Code SYGES]],TabCONTRATSDI[Contrat SYGES],TabCONTRATSDI[Client])</f>
        <v>MENESR</v>
      </c>
      <c r="K840" t="s">
        <v>179</v>
      </c>
      <c r="L840" s="31">
        <v>0.35607083605537881</v>
      </c>
      <c r="M840" s="41" t="s">
        <v>180</v>
      </c>
    </row>
    <row r="841" spans="1:13" x14ac:dyDescent="0.25">
      <c r="A841" s="22" t="str">
        <f>TabVMAzureEnvProjet[[#This Row],[Client]] &amp; " .:. "  &amp; TabVMAzureEnvProjet[[#This Row],[Projet]]</f>
        <v>AFB .:. OFB-CARTOTHEQUE</v>
      </c>
      <c r="B841" s="22" t="str">
        <f>IF(TabVMAzureEnvProjet[[#This Row],[Projet AzureDevOps]]&lt;&gt;"",TabVMAzureEnvProjet[[#This Row],[Projet AzureDevOps]],TabVMAzureEnvProjet[[#This Row],[VM]])</f>
        <v>OFB-CARTOTHEQUE</v>
      </c>
      <c r="C841" s="57" t="s">
        <v>15</v>
      </c>
      <c r="E841" t="s">
        <v>4</v>
      </c>
      <c r="F841" t="str">
        <f>LOOKUP(TabVMAzureEnvProjet[[#This Row],[Projet AzureDevOps]],TabAzureDevOps[ProjetAzureDevOps],TabAzureDevOps[PROJET])</f>
        <v>OFB-CARTOTHEQUE</v>
      </c>
      <c r="G841" t="str">
        <f>LOOKUP(TabVMAzureEnvProjet[[#This Row],[Projet]],TabProjets[NomProj],TabProjets[SYGES])</f>
        <v>AFB/OFB_LOT2</v>
      </c>
      <c r="H841" t="str">
        <f>LOOKUP(TabVMAzureEnvProjet[[#This Row],[Projet]],TabProjets[NomProj],TabProjets[CP])</f>
        <v>Pierre BOURLIEUX</v>
      </c>
      <c r="I841">
        <f>LOOKUP(TabVMAzureEnvProjet[[#This Row],[Code SYGES]],TabCONTRATSDI[Contrat SYGES],TabCONTRATSDI[Cost Center])</f>
        <v>305704</v>
      </c>
      <c r="J841" s="22" t="str">
        <f>LOOKUP(TabVMAzureEnvProjet[[#This Row],[Code SYGES]],TabCONTRATSDI[Contrat SYGES],TabCONTRATSDI[Client])</f>
        <v>AFB</v>
      </c>
      <c r="K841" t="s">
        <v>179</v>
      </c>
      <c r="L841" s="31">
        <v>1.8464816212586075</v>
      </c>
      <c r="M841" s="41" t="s">
        <v>180</v>
      </c>
    </row>
    <row r="842" spans="1:13" x14ac:dyDescent="0.25">
      <c r="A842" s="22" t="str">
        <f>TabVMAzureEnvProjet[[#This Row],[Client]] &amp; " .:. "  &amp; TabVMAzureEnvProjet[[#This Row],[Projet]]</f>
        <v>AFB .:. OFB-CMONSPOT</v>
      </c>
      <c r="B842" s="22" t="str">
        <f>IF(TabVMAzureEnvProjet[[#This Row],[Projet AzureDevOps]]&lt;&gt;"",TabVMAzureEnvProjet[[#This Row],[Projet AzureDevOps]],TabVMAzureEnvProjet[[#This Row],[VM]])</f>
        <v>OFB-CMONSPOT</v>
      </c>
      <c r="C842" s="57" t="s">
        <v>12</v>
      </c>
      <c r="E842" t="s">
        <v>4</v>
      </c>
      <c r="F842" t="str">
        <f>LOOKUP(TabVMAzureEnvProjet[[#This Row],[Projet AzureDevOps]],TabAzureDevOps[ProjetAzureDevOps],TabAzureDevOps[PROJET])</f>
        <v>OFB-CMONSPOT</v>
      </c>
      <c r="G842" t="str">
        <f>LOOKUP(TabVMAzureEnvProjet[[#This Row],[Projet]],TabProjets[NomProj],TabProjets[SYGES])</f>
        <v>AFB/OFB_LOT2</v>
      </c>
      <c r="H842" t="str">
        <f>LOOKUP(TabVMAzureEnvProjet[[#This Row],[Projet]],TabProjets[NomProj],TabProjets[CP])</f>
        <v>Pierre BOURLIEUX</v>
      </c>
      <c r="I842">
        <f>LOOKUP(TabVMAzureEnvProjet[[#This Row],[Code SYGES]],TabCONTRATSDI[Contrat SYGES],TabCONTRATSDI[Cost Center])</f>
        <v>305704</v>
      </c>
      <c r="J842" s="22" t="str">
        <f>LOOKUP(TabVMAzureEnvProjet[[#This Row],[Code SYGES]],TabCONTRATSDI[Contrat SYGES],TabCONTRATSDI[Client])</f>
        <v>AFB</v>
      </c>
      <c r="K842" t="s">
        <v>179</v>
      </c>
      <c r="L842" s="31">
        <v>0.90645461407240735</v>
      </c>
      <c r="M842" s="41" t="s">
        <v>180</v>
      </c>
    </row>
    <row r="843" spans="1:13" x14ac:dyDescent="0.25">
      <c r="A843" s="22" t="str">
        <f>TabVMAzureEnvProjet[[#This Row],[Client]] &amp; " .:. "  &amp; TabVMAzureEnvProjet[[#This Row],[Projet]]</f>
        <v>AFB .:. OFB-ESTAMP</v>
      </c>
      <c r="B843" s="22" t="str">
        <f>IF(TabVMAzureEnvProjet[[#This Row],[Projet AzureDevOps]]&lt;&gt;"",TabVMAzureEnvProjet[[#This Row],[Projet AzureDevOps]],TabVMAzureEnvProjet[[#This Row],[VM]])</f>
        <v>OFB-ESTAMP</v>
      </c>
      <c r="C843" s="57" t="s">
        <v>13</v>
      </c>
      <c r="E843" t="s">
        <v>4</v>
      </c>
      <c r="F843" t="str">
        <f>LOOKUP(TabVMAzureEnvProjet[[#This Row],[Projet AzureDevOps]],TabAzureDevOps[ProjetAzureDevOps],TabAzureDevOps[PROJET])</f>
        <v>OFB-ESTAMP</v>
      </c>
      <c r="G843" t="str">
        <f>LOOKUP(TabVMAzureEnvProjet[[#This Row],[Projet]],TabProjets[NomProj],TabProjets[SYGES])</f>
        <v>AFB/OFB_LOT1</v>
      </c>
      <c r="H843" t="str">
        <f>LOOKUP(TabVMAzureEnvProjet[[#This Row],[Projet]],TabProjets[NomProj],TabProjets[CP])</f>
        <v>Pierre BOURLIEUX</v>
      </c>
      <c r="I843">
        <f>LOOKUP(TabVMAzureEnvProjet[[#This Row],[Code SYGES]],TabCONTRATSDI[Contrat SYGES],TabCONTRATSDI[Cost Center])</f>
        <v>305704</v>
      </c>
      <c r="J843" s="22" t="str">
        <f>LOOKUP(TabVMAzureEnvProjet[[#This Row],[Code SYGES]],TabCONTRATSDI[Contrat SYGES],TabCONTRATSDI[Client])</f>
        <v>AFB</v>
      </c>
      <c r="K843" t="s">
        <v>179</v>
      </c>
      <c r="L843" s="31">
        <v>1.7803541802768943</v>
      </c>
      <c r="M843" s="41" t="s">
        <v>180</v>
      </c>
    </row>
    <row r="844" spans="1:13" x14ac:dyDescent="0.25">
      <c r="A844" s="22" t="str">
        <f>TabVMAzureEnvProjet[[#This Row],[Client]] &amp; " .:. "  &amp; TabVMAzureEnvProjet[[#This Row],[Projet]]</f>
        <v>OFB .:. OFB-NATUREFRANCE</v>
      </c>
      <c r="B844" s="22" t="str">
        <f>IF(TabVMAzureEnvProjet[[#This Row],[Projet AzureDevOps]]&lt;&gt;"",TabVMAzureEnvProjet[[#This Row],[Projet AzureDevOps]],TabVMAzureEnvProjet[[#This Row],[VM]])</f>
        <v>OFB-NatureFrance</v>
      </c>
      <c r="C844" s="57" t="s">
        <v>79</v>
      </c>
      <c r="E844" t="s">
        <v>4</v>
      </c>
      <c r="F844" t="str">
        <f>LOOKUP(TabVMAzureEnvProjet[[#This Row],[Projet AzureDevOps]],TabAzureDevOps[ProjetAzureDevOps],TabAzureDevOps[PROJET])</f>
        <v>OFB-NATUREFRANCE</v>
      </c>
      <c r="G844" t="str">
        <f>LOOKUP(TabVMAzureEnvProjet[[#This Row],[Projet]],TabProjets[NomProj],TabProjets[SYGES])</f>
        <v>AFB OFB_LOT2 -9-1 NATURE FRANCE</v>
      </c>
      <c r="H844" t="str">
        <f>LOOKUP(TabVMAzureEnvProjet[[#This Row],[Projet]],TabProjets[NomProj],TabProjets[CP])</f>
        <v>Rodolphe HABEGGER</v>
      </c>
      <c r="I844">
        <f>LOOKUP(TabVMAzureEnvProjet[[#This Row],[Code SYGES]],TabCONTRATSDI[Contrat SYGES],TabCONTRATSDI[Cost Center])</f>
        <v>305704</v>
      </c>
      <c r="J844" s="22" t="str">
        <f>LOOKUP(TabVMAzureEnvProjet[[#This Row],[Code SYGES]],TabCONTRATSDI[Contrat SYGES],TabCONTRATSDI[Client])</f>
        <v>OFB</v>
      </c>
      <c r="K844" t="s">
        <v>179</v>
      </c>
      <c r="L844" s="31">
        <v>4.4826594931092538</v>
      </c>
      <c r="M844" s="41" t="s">
        <v>180</v>
      </c>
    </row>
    <row r="845" spans="1:13" x14ac:dyDescent="0.25">
      <c r="A845" s="22" t="str">
        <f>TabVMAzureEnvProjet[[#This Row],[Client]] &amp; " .:. "  &amp; TabVMAzureEnvProjet[[#This Row],[Projet]]</f>
        <v>AFB .:. OFB-SISPEA</v>
      </c>
      <c r="B845" s="22" t="str">
        <f>IF(TabVMAzureEnvProjet[[#This Row],[Projet AzureDevOps]]&lt;&gt;"",TabVMAzureEnvProjet[[#This Row],[Projet AzureDevOps]],TabVMAzureEnvProjet[[#This Row],[VM]])</f>
        <v>OFB-SISPEA</v>
      </c>
      <c r="C845" s="57" t="s">
        <v>9</v>
      </c>
      <c r="E845" t="s">
        <v>4</v>
      </c>
      <c r="F845" t="str">
        <f>LOOKUP(TabVMAzureEnvProjet[[#This Row],[Projet AzureDevOps]],TabAzureDevOps[ProjetAzureDevOps],TabAzureDevOps[PROJET])</f>
        <v>OFB-SISPEA</v>
      </c>
      <c r="G845" t="str">
        <f>LOOKUP(TabVMAzureEnvProjet[[#This Row],[Projet]],TabProjets[NomProj],TabProjets[SYGES])</f>
        <v>AFB/OFB_LOT2</v>
      </c>
      <c r="H845" t="str">
        <f>LOOKUP(TabVMAzureEnvProjet[[#This Row],[Projet]],TabProjets[NomProj],TabProjets[CP])</f>
        <v>Pierre BOURLIEUX</v>
      </c>
      <c r="I845">
        <f>LOOKUP(TabVMAzureEnvProjet[[#This Row],[Code SYGES]],TabCONTRATSDI[Contrat SYGES],TabCONTRATSDI[Cost Center])</f>
        <v>305704</v>
      </c>
      <c r="J845" s="22" t="str">
        <f>LOOKUP(TabVMAzureEnvProjet[[#This Row],[Code SYGES]],TabCONTRATSDI[Contrat SYGES],TabCONTRATSDI[Client])</f>
        <v>AFB</v>
      </c>
      <c r="K845" t="s">
        <v>179</v>
      </c>
      <c r="L845" s="31">
        <v>2.4731662927160745</v>
      </c>
      <c r="M845" s="41" t="s">
        <v>180</v>
      </c>
    </row>
    <row r="846" spans="1:13" x14ac:dyDescent="0.25">
      <c r="A846" s="22" t="str">
        <f>TabVMAzureEnvProjet[[#This Row],[Client]] &amp; " .:. "  &amp; TabVMAzureEnvProjet[[#This Row],[Projet]]</f>
        <v>PCM .:. PCM-ALS</v>
      </c>
      <c r="B846" s="22" t="str">
        <f>IF(TabVMAzureEnvProjet[[#This Row],[Projet AzureDevOps]]&lt;&gt;"",TabVMAzureEnvProjet[[#This Row],[Projet AzureDevOps]],TabVMAzureEnvProjet[[#This Row],[VM]])</f>
        <v>PCM-ALS</v>
      </c>
      <c r="C846" s="57" t="s">
        <v>71</v>
      </c>
      <c r="E846" t="s">
        <v>4</v>
      </c>
      <c r="F846" t="str">
        <f>LOOKUP(TabVMAzureEnvProjet[[#This Row],[Projet AzureDevOps]],TabAzureDevOps[ProjetAzureDevOps],TabAzureDevOps[PROJET])</f>
        <v>PCM-ALS</v>
      </c>
      <c r="G846" t="str">
        <f>LOOKUP(TabVMAzureEnvProjet[[#This Row],[Projet]],TabProjets[NomProj],TabProjets[SYGES])</f>
        <v>PCM/WEB</v>
      </c>
      <c r="H846" t="str">
        <f>LOOKUP(TabVMAzureEnvProjet[[#This Row],[Projet]],TabProjets[NomProj],TabProjets[CP])</f>
        <v>Alice MARCHAL</v>
      </c>
      <c r="I846">
        <f>LOOKUP(TabVMAzureEnvProjet[[#This Row],[Code SYGES]],TabCONTRATSDI[Contrat SYGES],TabCONTRATSDI[Cost Center])</f>
        <v>305704</v>
      </c>
      <c r="J846" s="22" t="str">
        <f>LOOKUP(TabVMAzureEnvProjet[[#This Row],[Code SYGES]],TabCONTRATSDI[Contrat SYGES],TabCONTRATSDI[Client])</f>
        <v>PCM</v>
      </c>
      <c r="K846" t="s">
        <v>179</v>
      </c>
      <c r="L846" s="31">
        <v>3.6991191352869435</v>
      </c>
      <c r="M846" s="41" t="s">
        <v>180</v>
      </c>
    </row>
    <row r="847" spans="1:13" x14ac:dyDescent="0.25">
      <c r="A847" s="22" t="str">
        <f>TabVMAzureEnvProjet[[#This Row],[Client]] &amp; " .:. "  &amp; TabVMAzureEnvProjet[[#This Row],[Projet]]</f>
        <v>PCM .:. PCM-WEB</v>
      </c>
      <c r="B847" s="22" t="str">
        <f>IF(TabVMAzureEnvProjet[[#This Row],[Projet AzureDevOps]]&lt;&gt;"",TabVMAzureEnvProjet[[#This Row],[Projet AzureDevOps]],TabVMAzureEnvProjet[[#This Row],[VM]])</f>
        <v>PCM-Web</v>
      </c>
      <c r="C847" s="57" t="s">
        <v>73</v>
      </c>
      <c r="E847" t="s">
        <v>4</v>
      </c>
      <c r="F847" t="str">
        <f>LOOKUP(TabVMAzureEnvProjet[[#This Row],[Projet AzureDevOps]],TabAzureDevOps[ProjetAzureDevOps],TabAzureDevOps[PROJET])</f>
        <v>PCM-WEB</v>
      </c>
      <c r="G847" t="str">
        <f>LOOKUP(TabVMAzureEnvProjet[[#This Row],[Projet]],TabProjets[NomProj],TabProjets[SYGES])</f>
        <v>PCM/WEB</v>
      </c>
      <c r="H847" t="str">
        <f>LOOKUP(TabVMAzureEnvProjet[[#This Row],[Projet]],TabProjets[NomProj],TabProjets[CP])</f>
        <v>Rodolphe HABEGGER</v>
      </c>
      <c r="I847">
        <f>LOOKUP(TabVMAzureEnvProjet[[#This Row],[Code SYGES]],TabCONTRATSDI[Contrat SYGES],TabCONTRATSDI[Cost Center])</f>
        <v>305704</v>
      </c>
      <c r="J847" s="22" t="str">
        <f>LOOKUP(TabVMAzureEnvProjet[[#This Row],[Code SYGES]],TabCONTRATSDI[Contrat SYGES],TabCONTRATSDI[Client])</f>
        <v>PCM</v>
      </c>
      <c r="K847" t="s">
        <v>179</v>
      </c>
      <c r="L847" s="31">
        <v>2.0739729844005992</v>
      </c>
      <c r="M847" s="41" t="s">
        <v>180</v>
      </c>
    </row>
    <row r="848" spans="1:13" x14ac:dyDescent="0.25">
      <c r="A848" s="22" t="str">
        <f>TabVMAzureEnvProjet[[#This Row],[Client]] &amp; " .:. "  &amp; TabVMAzureEnvProjet[[#This Row],[Projet]]</f>
        <v>SAFT .:. SAFT-PDM</v>
      </c>
      <c r="B848" s="22" t="str">
        <f>IF(TabVMAzureEnvProjet[[#This Row],[Projet AzureDevOps]]&lt;&gt;"",TabVMAzureEnvProjet[[#This Row],[Projet AzureDevOps]],TabVMAzureEnvProjet[[#This Row],[VM]])</f>
        <v>SAFT-PDM</v>
      </c>
      <c r="C848" s="57" t="s">
        <v>94</v>
      </c>
      <c r="E848" t="s">
        <v>4</v>
      </c>
      <c r="F848" t="str">
        <f>LOOKUP(TabVMAzureEnvProjet[[#This Row],[Projet AzureDevOps]],TabAzureDevOps[ProjetAzureDevOps],TabAzureDevOps[PROJET])</f>
        <v>SAFT-PDM</v>
      </c>
      <c r="G848" t="str">
        <f>LOOKUP(TabVMAzureEnvProjet[[#This Row],[Projet]],TabProjets[NomProj],TabProjets[SYGES])</f>
        <v>SAFT/TMA</v>
      </c>
      <c r="H848" t="str">
        <f>LOOKUP(TabVMAzureEnvProjet[[#This Row],[Projet]],TabProjets[NomProj],TabProjets[CP])</f>
        <v>Pierre BOURLIEUX</v>
      </c>
      <c r="I848">
        <f>LOOKUP(TabVMAzureEnvProjet[[#This Row],[Code SYGES]],TabCONTRATSDI[Contrat SYGES],TabCONTRATSDI[Cost Center])</f>
        <v>305704</v>
      </c>
      <c r="J848" s="22" t="str">
        <f>LOOKUP(TabVMAzureEnvProjet[[#This Row],[Code SYGES]],TabCONTRATSDI[Contrat SYGES],TabCONTRATSDI[Client])</f>
        <v>SAFT</v>
      </c>
      <c r="K848" t="s">
        <v>179</v>
      </c>
      <c r="L848" s="31">
        <v>1.9639849971568824</v>
      </c>
      <c r="M848" s="41" t="s">
        <v>180</v>
      </c>
    </row>
    <row r="849" spans="1:13" x14ac:dyDescent="0.25">
      <c r="A849" s="22" t="str">
        <f>TabVMAzureEnvProjet[[#This Row],[Client]] &amp; " .:. "  &amp; TabVMAzureEnvProjet[[#This Row],[Projet]]</f>
        <v>SPC .:. SPC-BUILD</v>
      </c>
      <c r="B849" s="22" t="str">
        <f>IF(TabVMAzureEnvProjet[[#This Row],[Projet AzureDevOps]]&lt;&gt;"",TabVMAzureEnvProjet[[#This Row],[Projet AzureDevOps]],TabVMAzureEnvProjet[[#This Row],[VM]])</f>
        <v>SPC-BUILD</v>
      </c>
      <c r="C849" s="57" t="s">
        <v>67</v>
      </c>
      <c r="E849" t="s">
        <v>4</v>
      </c>
      <c r="F849" t="str">
        <f>LOOKUP(TabVMAzureEnvProjet[[#This Row],[Projet AzureDevOps]],TabAzureDevOps[ProjetAzureDevOps],TabAzureDevOps[PROJET])</f>
        <v>SPC-BUILD</v>
      </c>
      <c r="G849" t="str">
        <f>LOOKUP(TabVMAzureEnvProjet[[#This Row],[Projet]],TabProjets[NomProj],TabProjets[SYGES])</f>
        <v>SPC/BUILD</v>
      </c>
      <c r="H849" t="str">
        <f>LOOKUP(TabVMAzureEnvProjet[[#This Row],[Projet]],TabProjets[NomProj],TabProjets[CP])</f>
        <v>Nicolas DURFORT</v>
      </c>
      <c r="I849">
        <f>LOOKUP(TabVMAzureEnvProjet[[#This Row],[Code SYGES]],TabCONTRATSDI[Contrat SYGES],TabCONTRATSDI[Cost Center])</f>
        <v>305704</v>
      </c>
      <c r="J849" s="22" t="str">
        <f>LOOKUP(TabVMAzureEnvProjet[[#This Row],[Code SYGES]],TabCONTRATSDI[Contrat SYGES],TabCONTRATSDI[Client])</f>
        <v>SPC</v>
      </c>
      <c r="K849" t="s">
        <v>179</v>
      </c>
      <c r="L849" s="31">
        <v>51.335675834953072</v>
      </c>
      <c r="M849" s="41" t="s">
        <v>180</v>
      </c>
    </row>
    <row r="850" spans="1:13" x14ac:dyDescent="0.25">
      <c r="A850" s="22" t="str">
        <f>TabVMAzureEnvProjet[[#This Row],[Client]] &amp; " .:. "  &amp; TabVMAzureEnvProjet[[#This Row],[Projet]]</f>
        <v>SPC .:. SPC-WEB</v>
      </c>
      <c r="B850" s="22" t="str">
        <f>IF(TabVMAzureEnvProjet[[#This Row],[Projet AzureDevOps]]&lt;&gt;"",TabVMAzureEnvProjet[[#This Row],[Projet AzureDevOps]],TabVMAzureEnvProjet[[#This Row],[VM]])</f>
        <v>SPC-WEB</v>
      </c>
      <c r="C850" s="57" t="s">
        <v>69</v>
      </c>
      <c r="E850" t="s">
        <v>4</v>
      </c>
      <c r="F850" t="str">
        <f>LOOKUP(TabVMAzureEnvProjet[[#This Row],[Projet AzureDevOps]],TabAzureDevOps[ProjetAzureDevOps],TabAzureDevOps[PROJET])</f>
        <v>SPC-WEB</v>
      </c>
      <c r="G850" t="str">
        <f>LOOKUP(TabVMAzureEnvProjet[[#This Row],[Projet]],TabProjets[NomProj],TabProjets[SYGES])</f>
        <v>SPC/BUILD-0-1-SITE-WEB</v>
      </c>
      <c r="H850" t="str">
        <f>LOOKUP(TabVMAzureEnvProjet[[#This Row],[Projet]],TabProjets[NomProj],TabProjets[CP])</f>
        <v>Nicolas DURFORT</v>
      </c>
      <c r="I850">
        <f>LOOKUP(TabVMAzureEnvProjet[[#This Row],[Code SYGES]],TabCONTRATSDI[Contrat SYGES],TabCONTRATSDI[Cost Center])</f>
        <v>305704</v>
      </c>
      <c r="J850" s="22" t="str">
        <f>LOOKUP(TabVMAzureEnvProjet[[#This Row],[Code SYGES]],TabCONTRATSDI[Contrat SYGES],TabCONTRATSDI[Client])</f>
        <v>SPC</v>
      </c>
      <c r="K850" t="s">
        <v>179</v>
      </c>
      <c r="L850" s="31">
        <v>0</v>
      </c>
      <c r="M850" s="41" t="s">
        <v>180</v>
      </c>
    </row>
    <row r="851" spans="1:13" x14ac:dyDescent="0.25">
      <c r="A851" s="22" t="str">
        <f>TabVMAzureEnvProjet[[#This Row],[Client]] &amp; " .:. "  &amp; TabVMAzureEnvProjet[[#This Row],[Projet]]</f>
        <v>STMICRO .:. STMICRO-DATAPACK</v>
      </c>
      <c r="B851" s="22" t="str">
        <f>IF(TabVMAzureEnvProjet[[#This Row],[Projet AzureDevOps]]&lt;&gt;"",TabVMAzureEnvProjet[[#This Row],[Projet AzureDevOps]],TabVMAzureEnvProjet[[#This Row],[VM]])</f>
        <v>STMICRO-DATAPACK</v>
      </c>
      <c r="C851" s="57" t="s">
        <v>96</v>
      </c>
      <c r="E851" t="s">
        <v>4</v>
      </c>
      <c r="F851" t="str">
        <f>LOOKUP(TabVMAzureEnvProjet[[#This Row],[Projet AzureDevOps]],TabAzureDevOps[ProjetAzureDevOps],TabAzureDevOps[PROJET])</f>
        <v>STMICRO-DATAPACK</v>
      </c>
      <c r="G851" t="str">
        <f>LOOKUP(TabVMAzureEnvProjet[[#This Row],[Projet]],TabProjets[NomProj],TabProjets[SYGES])</f>
        <v>STMICRO/TMASI</v>
      </c>
      <c r="H851" t="str">
        <f>LOOKUP(TabVMAzureEnvProjet[[#This Row],[Projet]],TabProjets[NomProj],TabProjets[CP])</f>
        <v>Jean-Philippe STROIAZZO</v>
      </c>
      <c r="I851">
        <f>LOOKUP(TabVMAzureEnvProjet[[#This Row],[Code SYGES]],TabCONTRATSDI[Contrat SYGES],TabCONTRATSDI[Cost Center])</f>
        <v>305704</v>
      </c>
      <c r="J851" s="22" t="str">
        <f>LOOKUP(TabVMAzureEnvProjet[[#This Row],[Code SYGES]],TabCONTRATSDI[Contrat SYGES],TabCONTRATSDI[Client])</f>
        <v>STMICRO</v>
      </c>
      <c r="K851" t="s">
        <v>179</v>
      </c>
      <c r="L851" s="31">
        <v>3.6604081946492948</v>
      </c>
      <c r="M851" s="41" t="s">
        <v>180</v>
      </c>
    </row>
    <row r="852" spans="1:13" x14ac:dyDescent="0.25">
      <c r="A852" s="22" t="str">
        <f>TabVMAzureEnvProjet[[#This Row],[Client]] &amp; " .:. "  &amp; TabVMAzureEnvProjet[[#This Row],[Projet]]</f>
        <v>STMICRO .:. STMICRO-ROCKET</v>
      </c>
      <c r="B852" s="22" t="str">
        <f>IF(TabVMAzureEnvProjet[[#This Row],[Projet AzureDevOps]]&lt;&gt;"",TabVMAzureEnvProjet[[#This Row],[Projet AzureDevOps]],TabVMAzureEnvProjet[[#This Row],[VM]])</f>
        <v>STMICRO-ROCKET</v>
      </c>
      <c r="C852" s="57" t="s">
        <v>98</v>
      </c>
      <c r="E852" t="s">
        <v>4</v>
      </c>
      <c r="F852" t="str">
        <f>LOOKUP(TabVMAzureEnvProjet[[#This Row],[Projet AzureDevOps]],TabAzureDevOps[ProjetAzureDevOps],TabAzureDevOps[PROJET])</f>
        <v>STMICRO-ROCKET</v>
      </c>
      <c r="G852" t="str">
        <f>LOOKUP(TabVMAzureEnvProjet[[#This Row],[Projet]],TabProjets[NomProj],TabProjets[SYGES])</f>
        <v>STMICRO/TMASI</v>
      </c>
      <c r="H852" t="str">
        <f>LOOKUP(TabVMAzureEnvProjet[[#This Row],[Projet]],TabProjets[NomProj],TabProjets[CP])</f>
        <v>Jean-Philippe STROIAZZO</v>
      </c>
      <c r="I852">
        <f>LOOKUP(TabVMAzureEnvProjet[[#This Row],[Code SYGES]],TabCONTRATSDI[Contrat SYGES],TabCONTRATSDI[Cost Center])</f>
        <v>305704</v>
      </c>
      <c r="J852" s="22" t="str">
        <f>LOOKUP(TabVMAzureEnvProjet[[#This Row],[Code SYGES]],TabCONTRATSDI[Contrat SYGES],TabCONTRATSDI[Client])</f>
        <v>STMICRO</v>
      </c>
      <c r="K852" t="s">
        <v>179</v>
      </c>
      <c r="L852" s="31">
        <v>4.992113121496411</v>
      </c>
      <c r="M852" s="41" t="s">
        <v>180</v>
      </c>
    </row>
    <row r="853" spans="1:13" x14ac:dyDescent="0.25">
      <c r="A853" s="22" t="str">
        <f>TabVMAzureEnvProjet[[#This Row],[Client]] &amp; " .:. "  &amp; TabVMAzureEnvProjet[[#This Row],[Projet]]</f>
        <v>ALM .:. ALM-ATOUT</v>
      </c>
      <c r="B853" s="22" t="str">
        <f>IF(TabVMAzureEnvProjet[[#This Row],[Projet AzureDevOps]]&lt;&gt;"",TabVMAzureEnvProjet[[#This Row],[Projet AzureDevOps]],TabVMAzureEnvProjet[[#This Row],[VM]])</f>
        <v>ALM-ATOUT-VM</v>
      </c>
      <c r="D853" s="19" t="s">
        <v>18</v>
      </c>
      <c r="E853" t="s">
        <v>6</v>
      </c>
      <c r="F853" t="str">
        <f>LOOKUP(TabVMAzureEnvProjet[[#This Row],[VM]],TabVMAZURE[VM],TabVMAZURE[PROJET])</f>
        <v>ALM-ATOUT</v>
      </c>
      <c r="G853" t="str">
        <f>LOOKUP(TabVMAzureEnvProjet[[#This Row],[Projet]],TabProjets[NomProj],TabProjets[SYGES])</f>
        <v>ALM/TMA_ATOUT</v>
      </c>
      <c r="H853" t="str">
        <f>LOOKUP(TabVMAzureEnvProjet[[#This Row],[Projet]],TabProjets[NomProj],TabProjets[CP])</f>
        <v>Alice MARCHAL</v>
      </c>
      <c r="I853">
        <f>LOOKUP(TabVMAzureEnvProjet[[#This Row],[Code SYGES]],TabCONTRATSDI[Contrat SYGES],TabCONTRATSDI[Cost Center])</f>
        <v>305704</v>
      </c>
      <c r="J853" s="22" t="str">
        <f>LOOKUP(TabVMAzureEnvProjet[[#This Row],[Code SYGES]],TabCONTRATSDI[Contrat SYGES],TabCONTRATSDI[Client])</f>
        <v>ALM</v>
      </c>
      <c r="K853" t="s">
        <v>179</v>
      </c>
      <c r="L853" s="31">
        <v>18.214040473528058</v>
      </c>
      <c r="M853" s="40" t="s">
        <v>181</v>
      </c>
    </row>
    <row r="854" spans="1:13" x14ac:dyDescent="0.25">
      <c r="A854" s="22" t="str">
        <f>TabVMAzureEnvProjet[[#This Row],[Client]] &amp; " .:. "  &amp; TabVMAzureEnvProjet[[#This Row],[Projet]]</f>
        <v>BRGM .:. BRGM-ORRM</v>
      </c>
      <c r="B854" s="22" t="str">
        <f>IF(TabVMAzureEnvProjet[[#This Row],[Projet AzureDevOps]]&lt;&gt;"",TabVMAzureEnvProjet[[#This Row],[Projet AzureDevOps]],TabVMAzureEnvProjet[[#This Row],[VM]])</f>
        <v>BRGM-ORRM-VM</v>
      </c>
      <c r="D854" s="19" t="s">
        <v>22</v>
      </c>
      <c r="E854" t="s">
        <v>21</v>
      </c>
      <c r="F854" t="str">
        <f>LOOKUP(TabVMAzureEnvProjet[[#This Row],[VM]],TabVMAZURE[VM],TabVMAZURE[PROJET])</f>
        <v>BRGM-ORRM</v>
      </c>
      <c r="G854" t="str">
        <f>LOOKUP(TabVMAzureEnvProjet[[#This Row],[Projet]],TabProjets[NomProj],TabProjets[SYGES])</f>
        <v>BRGM/TMA-5-1-ORRM-LOT1</v>
      </c>
      <c r="H854" t="str">
        <f>LOOKUP(TabVMAzureEnvProjet[[#This Row],[Projet]],TabProjets[NomProj],TabProjets[CP])</f>
        <v>Alice MARCHAL</v>
      </c>
      <c r="I854">
        <f>LOOKUP(TabVMAzureEnvProjet[[#This Row],[Code SYGES]],TabCONTRATSDI[Contrat SYGES],TabCONTRATSDI[Cost Center])</f>
        <v>305704</v>
      </c>
      <c r="J854" s="22" t="str">
        <f>LOOKUP(TabVMAzureEnvProjet[[#This Row],[Code SYGES]],TabCONTRATSDI[Contrat SYGES],TabCONTRATSDI[Client])</f>
        <v>BRGM</v>
      </c>
      <c r="K854" t="s">
        <v>179</v>
      </c>
      <c r="L854" s="31">
        <v>3.5156217778285388</v>
      </c>
      <c r="M854" s="40" t="s">
        <v>181</v>
      </c>
    </row>
    <row r="855" spans="1:13" x14ac:dyDescent="0.25">
      <c r="A855" s="22" t="str">
        <f>TabVMAzureEnvProjet[[#This Row],[Client]] &amp; " .:. "  &amp; TabVMAzureEnvProjet[[#This Row],[Projet]]</f>
        <v>CA-TITRES .:. CATITRES-COMX</v>
      </c>
      <c r="B855" s="22" t="str">
        <f>IF(TabVMAzureEnvProjet[[#This Row],[Projet AzureDevOps]]&lt;&gt;"",TabVMAzureEnvProjet[[#This Row],[Projet AzureDevOps]],TabVMAzureEnvProjet[[#This Row],[VM]])</f>
        <v>CATITRES-COMX-VM</v>
      </c>
      <c r="D855" s="19" t="s">
        <v>25</v>
      </c>
      <c r="E855" t="s">
        <v>10</v>
      </c>
      <c r="F855" t="str">
        <f>LOOKUP(TabVMAzureEnvProjet[[#This Row],[VM]],TabVMAZURE[VM],TabVMAZURE[PROJET])</f>
        <v>CATITRES-COMX</v>
      </c>
      <c r="G855" t="str">
        <f>LOOKUP(TabVMAzureEnvProjet[[#This Row],[Projet]],TabProjets[NomProj],TabProjets[SYGES])</f>
        <v>CA-TITRES/TMA</v>
      </c>
      <c r="H855" t="str">
        <f>LOOKUP(TabVMAzureEnvProjet[[#This Row],[Projet]],TabProjets[NomProj],TabProjets[CP])</f>
        <v>Jean-Philippe STROIAZZO</v>
      </c>
      <c r="I855">
        <f>LOOKUP(TabVMAzureEnvProjet[[#This Row],[Code SYGES]],TabCONTRATSDI[Contrat SYGES],TabCONTRATSDI[Cost Center])</f>
        <v>305704</v>
      </c>
      <c r="J855" s="22" t="str">
        <f>LOOKUP(TabVMAzureEnvProjet[[#This Row],[Code SYGES]],TabCONTRATSDI[Contrat SYGES],TabCONTRATSDI[Client])</f>
        <v>CA-TITRES</v>
      </c>
      <c r="K855" t="s">
        <v>179</v>
      </c>
      <c r="L855" s="31">
        <v>27.932994876398766</v>
      </c>
      <c r="M855" s="40" t="s">
        <v>181</v>
      </c>
    </row>
    <row r="856" spans="1:13" x14ac:dyDescent="0.25">
      <c r="A856" s="22" t="str">
        <f>TabVMAzureEnvProjet[[#This Row],[Client]] &amp; " .:. "  &amp; TabVMAzureEnvProjet[[#This Row],[Projet]]</f>
        <v>EBR .:. EBR-LAPOSTE</v>
      </c>
      <c r="B856" s="22" t="str">
        <f>IF(TabVMAzureEnvProjet[[#This Row],[Projet AzureDevOps]]&lt;&gt;"",TabVMAzureEnvProjet[[#This Row],[Projet AzureDevOps]],TabVMAzureEnvProjet[[#This Row],[VM]])</f>
        <v>EBR-LAPOSTE-VM</v>
      </c>
      <c r="D856" s="19" t="s">
        <v>76</v>
      </c>
      <c r="E856" t="s">
        <v>10</v>
      </c>
      <c r="F856" t="str">
        <f>LOOKUP(TabVMAzureEnvProjet[[#This Row],[VM]],TabVMAZURE[VM],TabVMAZURE[PROJET])</f>
        <v>EBR-LAPOSTE</v>
      </c>
      <c r="G856" t="str">
        <f>LOOKUP(TabVMAzureEnvProjet[[#This Row],[Projet]],TabProjets[NomProj],TabProjets[SYGES])</f>
        <v>EBR/TMA</v>
      </c>
      <c r="H856" t="str">
        <f>LOOKUP(TabVMAzureEnvProjet[[#This Row],[Projet]],TabProjets[NomProj],TabProjets[CP])</f>
        <v>Valerie ASSELIN LOZACHMEUR</v>
      </c>
      <c r="I856">
        <f>LOOKUP(TabVMAzureEnvProjet[[#This Row],[Code SYGES]],TabCONTRATSDI[Contrat SYGES],TabCONTRATSDI[Cost Center])</f>
        <v>305704</v>
      </c>
      <c r="J856" s="22" t="str">
        <f>LOOKUP(TabVMAzureEnvProjet[[#This Row],[Code SYGES]],TabCONTRATSDI[Contrat SYGES],TabCONTRATSDI[Client])</f>
        <v>EBR</v>
      </c>
      <c r="K856" t="s">
        <v>179</v>
      </c>
      <c r="L856" s="31">
        <v>87.710563808623263</v>
      </c>
      <c r="M856" s="40" t="s">
        <v>181</v>
      </c>
    </row>
    <row r="857" spans="1:13" x14ac:dyDescent="0.25">
      <c r="A857" s="22" t="str">
        <f>TabVMAzureEnvProjet[[#This Row],[Client]] &amp; " .:. "  &amp; TabVMAzureEnvProjet[[#This Row],[Projet]]</f>
        <v>FRR .:. FRR-DIGIPAT</v>
      </c>
      <c r="B857" s="22" t="str">
        <f>IF(TabVMAzureEnvProjet[[#This Row],[Projet AzureDevOps]]&lt;&gt;"",TabVMAzureEnvProjet[[#This Row],[Projet AzureDevOps]],TabVMAzureEnvProjet[[#This Row],[VM]])</f>
        <v>FRR-DIGIPAT-VM</v>
      </c>
      <c r="D857" s="19" t="s">
        <v>31</v>
      </c>
      <c r="E857" t="s">
        <v>21</v>
      </c>
      <c r="F857" t="str">
        <f>LOOKUP(TabVMAzureEnvProjet[[#This Row],[VM]],TabVMAZURE[VM],TabVMAZURE[PROJET])</f>
        <v>FRR-DIGIPAT</v>
      </c>
      <c r="G857" t="str">
        <f>LOOKUP(TabVMAzureEnvProjet[[#This Row],[Projet]],TabProjets[NomProj],TabProjets[SYGES])</f>
        <v>FRR/TMASI</v>
      </c>
      <c r="H857" t="str">
        <f>LOOKUP(TabVMAzureEnvProjet[[#This Row],[Projet]],TabProjets[NomProj],TabProjets[CP])</f>
        <v>Alice MARCHAL</v>
      </c>
      <c r="I857">
        <f>LOOKUP(TabVMAzureEnvProjet[[#This Row],[Code SYGES]],TabCONTRATSDI[Contrat SYGES],TabCONTRATSDI[Cost Center])</f>
        <v>305704</v>
      </c>
      <c r="J857" s="22" t="str">
        <f>LOOKUP(TabVMAzureEnvProjet[[#This Row],[Code SYGES]],TabCONTRATSDI[Contrat SYGES],TabCONTRATSDI[Client])</f>
        <v>FRR</v>
      </c>
      <c r="K857" t="s">
        <v>179</v>
      </c>
      <c r="L857" s="31">
        <v>13.678528418855066</v>
      </c>
      <c r="M857" s="40" t="s">
        <v>181</v>
      </c>
    </row>
    <row r="858" spans="1:13" x14ac:dyDescent="0.25">
      <c r="A858" s="22" t="str">
        <f>TabVMAzureEnvProjet[[#This Row],[Client]] &amp; " .:. "  &amp; TabVMAzureEnvProjet[[#This Row],[Projet]]</f>
        <v>INETUM .:. INETUM-INTERNE</v>
      </c>
      <c r="B858" s="22" t="str">
        <f>IF(TabVMAzureEnvProjet[[#This Row],[Projet AzureDevOps]]&lt;&gt;"",TabVMAzureEnvProjet[[#This Row],[Projet AzureDevOps]],TabVMAzureEnvProjet[[#This Row],[VM]])</f>
        <v>GFI-PMT-VM</v>
      </c>
      <c r="D858" s="19" t="s">
        <v>121</v>
      </c>
      <c r="E858" t="s">
        <v>120</v>
      </c>
      <c r="F858" t="str">
        <f>LOOKUP(TabVMAzureEnvProjet[[#This Row],[VM]],TabVMAZURE[VM],TabVMAZURE[PROJET])</f>
        <v>INETUM-INTERNE</v>
      </c>
      <c r="G858" t="str">
        <f>LOOKUP(TabVMAzureEnvProjet[[#This Row],[Projet]],TabProjets[NomProj],TabProjets[SYGES])</f>
        <v>INETUM/PROJET_INTERNE</v>
      </c>
      <c r="H858" t="str">
        <f>LOOKUP(TabVMAzureEnvProjet[[#This Row],[Projet]],TabProjets[NomProj],TabProjets[CP])</f>
        <v>Christophe ORLANDO</v>
      </c>
      <c r="I858">
        <f>LOOKUP(TabVMAzureEnvProjet[[#This Row],[Code SYGES]],TabCONTRATSDI[Contrat SYGES],TabCONTRATSDI[Cost Center])</f>
        <v>305704</v>
      </c>
      <c r="J858" s="22" t="str">
        <f>LOOKUP(TabVMAzureEnvProjet[[#This Row],[Code SYGES]],TabCONTRATSDI[Contrat SYGES],TabCONTRATSDI[Client])</f>
        <v>INETUM</v>
      </c>
      <c r="K858" t="s">
        <v>179</v>
      </c>
      <c r="L858" s="31">
        <v>20.865755193323647</v>
      </c>
      <c r="M858" s="40" t="s">
        <v>181</v>
      </c>
    </row>
    <row r="859" spans="1:13" x14ac:dyDescent="0.25">
      <c r="A859" s="22" t="str">
        <f>TabVMAzureEnvProjet[[#This Row],[Client]] &amp; " .:. "  &amp; TabVMAzureEnvProjet[[#This Row],[Projet]]</f>
        <v>GFI .:. GFI-WAAC</v>
      </c>
      <c r="B859" s="22" t="str">
        <f>IF(TabVMAzureEnvProjet[[#This Row],[Projet AzureDevOps]]&lt;&gt;"",TabVMAzureEnvProjet[[#This Row],[Projet AzureDevOps]],TabVMAzureEnvProjet[[#This Row],[VM]])</f>
        <v>GFI-WAAC-VM</v>
      </c>
      <c r="D859" s="19" t="s">
        <v>39</v>
      </c>
      <c r="E859" t="s">
        <v>6</v>
      </c>
      <c r="F859" t="str">
        <f>LOOKUP(TabVMAzureEnvProjet[[#This Row],[VM]],TabVMAZURE[VM],TabVMAZURE[PROJET])</f>
        <v>GFI-WAAC</v>
      </c>
      <c r="G859" t="str">
        <f>LOOKUP(TabVMAzureEnvProjet[[#This Row],[Projet]],TabProjets[NomProj],TabProjets[SYGES])</f>
        <v>383928 - WAAC 1.0</v>
      </c>
      <c r="H859" t="str">
        <f>LOOKUP(TabVMAzureEnvProjet[[#This Row],[Projet]],TabProjets[NomProj],TabProjets[CP])</f>
        <v>Laurent MARCIANIAK</v>
      </c>
      <c r="I859">
        <f>LOOKUP(TabVMAzureEnvProjet[[#This Row],[Code SYGES]],TabCONTRATSDI[Contrat SYGES],TabCONTRATSDI[Cost Center])</f>
        <v>100973</v>
      </c>
      <c r="J859" s="22" t="str">
        <f>LOOKUP(TabVMAzureEnvProjet[[#This Row],[Code SYGES]],TabCONTRATSDI[Contrat SYGES],TabCONTRATSDI[Client])</f>
        <v>GFI</v>
      </c>
      <c r="K859" t="s">
        <v>179</v>
      </c>
      <c r="L859" s="31">
        <v>53.598233725461036</v>
      </c>
      <c r="M859" s="40" t="s">
        <v>181</v>
      </c>
    </row>
    <row r="860" spans="1:13" x14ac:dyDescent="0.25">
      <c r="A860" s="22" t="str">
        <f>TabVMAzureEnvProjet[[#This Row],[Client]] &amp; " .:. "  &amp; TabVMAzureEnvProjet[[#This Row],[Projet]]</f>
        <v>INETUM .:. INETUM-INTERNE</v>
      </c>
      <c r="B860" s="22" t="str">
        <f>IF(TabVMAzureEnvProjet[[#This Row],[Projet AzureDevOps]]&lt;&gt;"",TabVMAzureEnvProjet[[#This Row],[Projet AzureDevOps]],TabVMAzureEnvProjet[[#This Row],[VM]])</f>
        <v>INETUM-SONAR</v>
      </c>
      <c r="D860" s="19" t="s">
        <v>122</v>
      </c>
      <c r="E860" t="s">
        <v>120</v>
      </c>
      <c r="F860" t="str">
        <f>LOOKUP(TabVMAzureEnvProjet[[#This Row],[VM]],TabVMAZURE[VM],TabVMAZURE[PROJET])</f>
        <v>INETUM-INTERNE</v>
      </c>
      <c r="G860" t="str">
        <f>LOOKUP(TabVMAzureEnvProjet[[#This Row],[Projet]],TabProjets[NomProj],TabProjets[SYGES])</f>
        <v>INETUM/PROJET_INTERNE</v>
      </c>
      <c r="H860" t="str">
        <f>LOOKUP(TabVMAzureEnvProjet[[#This Row],[Projet]],TabProjets[NomProj],TabProjets[CP])</f>
        <v>Christophe ORLANDO</v>
      </c>
      <c r="I860">
        <f>LOOKUP(TabVMAzureEnvProjet[[#This Row],[Code SYGES]],TabCONTRATSDI[Contrat SYGES],TabCONTRATSDI[Cost Center])</f>
        <v>305704</v>
      </c>
      <c r="J860" s="22" t="str">
        <f>LOOKUP(TabVMAzureEnvProjet[[#This Row],[Code SYGES]],TabCONTRATSDI[Contrat SYGES],TabCONTRATSDI[Client])</f>
        <v>INETUM</v>
      </c>
      <c r="K860" t="s">
        <v>179</v>
      </c>
      <c r="L860" s="31">
        <v>53.886202744805345</v>
      </c>
      <c r="M860" s="40" t="s">
        <v>181</v>
      </c>
    </row>
    <row r="861" spans="1:13" x14ac:dyDescent="0.25">
      <c r="A861" s="22" t="str">
        <f>TabVMAzureEnvProjet[[#This Row],[Client]] &amp; " .:. "  &amp; TabVMAzureEnvProjet[[#This Row],[Projet]]</f>
        <v>INETUM .:. INETUM-INTERNE</v>
      </c>
      <c r="B861" s="22" t="str">
        <f>IF(TabVMAzureEnvProjet[[#This Row],[Projet AzureDevOps]]&lt;&gt;"",TabVMAzureEnvProjet[[#This Row],[Projet AzureDevOps]],TabVMAzureEnvProjet[[#This Row],[VM]])</f>
        <v>GFI-ORLEANS</v>
      </c>
      <c r="D861" s="19" t="s">
        <v>119</v>
      </c>
      <c r="E861" t="s">
        <v>10</v>
      </c>
      <c r="F861" t="str">
        <f>LOOKUP(TabVMAzureEnvProjet[[#This Row],[VM]],TabVMAZURE[VM],TabVMAZURE[PROJET])</f>
        <v>INETUM-INTERNE</v>
      </c>
      <c r="G861" t="str">
        <f>LOOKUP(TabVMAzureEnvProjet[[#This Row],[Projet]],TabProjets[NomProj],TabProjets[SYGES])</f>
        <v>INETUM/PROJET_INTERNE</v>
      </c>
      <c r="H861" t="str">
        <f>LOOKUP(TabVMAzureEnvProjet[[#This Row],[Projet]],TabProjets[NomProj],TabProjets[CP])</f>
        <v>Christophe ORLANDO</v>
      </c>
      <c r="I861">
        <f>LOOKUP(TabVMAzureEnvProjet[[#This Row],[Code SYGES]],TabCONTRATSDI[Contrat SYGES],TabCONTRATSDI[Cost Center])</f>
        <v>305704</v>
      </c>
      <c r="J861" s="22" t="str">
        <f>LOOKUP(TabVMAzureEnvProjet[[#This Row],[Code SYGES]],TabCONTRATSDI[Contrat SYGES],TabCONTRATSDI[Client])</f>
        <v>INETUM</v>
      </c>
      <c r="K861" t="s">
        <v>179</v>
      </c>
      <c r="L861" s="31">
        <v>5.3994191127059468</v>
      </c>
      <c r="M861" s="40" t="s">
        <v>181</v>
      </c>
    </row>
    <row r="862" spans="1:13" x14ac:dyDescent="0.25">
      <c r="A862" s="22" t="str">
        <f>TabVMAzureEnvProjet[[#This Row],[Client]] &amp; " .:. "  &amp; TabVMAzureEnvProjet[[#This Row],[Projet]]</f>
        <v>ITCE .:. ITCE-SIF</v>
      </c>
      <c r="B862" s="22" t="str">
        <f>IF(TabVMAzureEnvProjet[[#This Row],[Projet AzureDevOps]]&lt;&gt;"",TabVMAzureEnvProjet[[#This Row],[Projet AzureDevOps]],TabVMAzureEnvProjet[[#This Row],[VM]])</f>
        <v>ITCE-SIF2</v>
      </c>
      <c r="D862" s="19" t="s">
        <v>125</v>
      </c>
      <c r="E862" t="s">
        <v>10</v>
      </c>
      <c r="F862" t="str">
        <f>LOOKUP(TabVMAzureEnvProjet[[#This Row],[VM]],TabVMAZURE[VM],TabVMAZURE[PROJET])</f>
        <v>ITCE-SIF</v>
      </c>
      <c r="G862" t="str">
        <f>LOOKUP(TabVMAzureEnvProjet[[#This Row],[Projet]],TabProjets[NomProj],TabProjets[SYGES])</f>
        <v>ITCE/TMA</v>
      </c>
      <c r="H862" t="str">
        <f>LOOKUP(TabVMAzureEnvProjet[[#This Row],[Projet]],TabProjets[NomProj],TabProjets[CP])</f>
        <v>Frederic DELAIRE</v>
      </c>
      <c r="I862">
        <f>LOOKUP(TabVMAzureEnvProjet[[#This Row],[Code SYGES]],TabCONTRATSDI[Contrat SYGES],TabCONTRATSDI[Cost Center])</f>
        <v>305704</v>
      </c>
      <c r="J862" s="22" t="str">
        <f>LOOKUP(TabVMAzureEnvProjet[[#This Row],[Code SYGES]],TabCONTRATSDI[Contrat SYGES],TabCONTRATSDI[Client])</f>
        <v>ITCE</v>
      </c>
      <c r="K862" t="s">
        <v>179</v>
      </c>
      <c r="L862" s="31">
        <v>34.916243595498457</v>
      </c>
      <c r="M862" s="40" t="s">
        <v>181</v>
      </c>
    </row>
    <row r="863" spans="1:13" x14ac:dyDescent="0.25">
      <c r="A863" s="22" t="str">
        <f>TabVMAzureEnvProjet[[#This Row],[Client]] &amp; " .:. "  &amp; TabVMAzureEnvProjet[[#This Row],[Projet]]</f>
        <v>LAPOSTE .:. LAPOSTE-CDC</v>
      </c>
      <c r="B863" s="22" t="str">
        <f>IF(TabVMAzureEnvProjet[[#This Row],[Projet AzureDevOps]]&lt;&gt;"",TabVMAzureEnvProjet[[#This Row],[Projet AzureDevOps]],TabVMAzureEnvProjet[[#This Row],[VM]])</f>
        <v>LAPOSTE-CDC-VM</v>
      </c>
      <c r="D863" s="19" t="s">
        <v>92</v>
      </c>
      <c r="E863" t="s">
        <v>10</v>
      </c>
      <c r="F863" t="str">
        <f>LOOKUP(TabVMAzureEnvProjet[[#This Row],[VM]],TabVMAZURE[VM],TabVMAZURE[PROJET])</f>
        <v>LAPOSTE-CDC</v>
      </c>
      <c r="G863" t="str">
        <f>LOOKUP(TabVMAzureEnvProjet[[#This Row],[Projet]],TabProjets[NomProj],TabProjets[SYGES])</f>
        <v>LA-POSTE/CDC_DRUPAL</v>
      </c>
      <c r="H863" t="str">
        <f>LOOKUP(TabVMAzureEnvProjet[[#This Row],[Projet]],TabProjets[NomProj],TabProjets[CP])</f>
        <v>Rodolphe HABEGGER</v>
      </c>
      <c r="I863">
        <f>LOOKUP(TabVMAzureEnvProjet[[#This Row],[Code SYGES]],TabCONTRATSDI[Contrat SYGES],TabCONTRATSDI[Cost Center])</f>
        <v>305704</v>
      </c>
      <c r="J863" s="22" t="str">
        <f>LOOKUP(TabVMAzureEnvProjet[[#This Row],[Code SYGES]],TabCONTRATSDI[Contrat SYGES],TabCONTRATSDI[Client])</f>
        <v>LAPOSTE</v>
      </c>
      <c r="K863" t="s">
        <v>179</v>
      </c>
      <c r="L863" s="31">
        <v>3.155660503648142</v>
      </c>
      <c r="M863" s="40" t="s">
        <v>181</v>
      </c>
    </row>
    <row r="864" spans="1:13" x14ac:dyDescent="0.25">
      <c r="A864" s="22" t="str">
        <f>TabVMAzureEnvProjet[[#This Row],[Client]] &amp; " .:. "  &amp; TabVMAzureEnvProjet[[#This Row],[Projet]]</f>
        <v>MENESR .:. MENJ-BI</v>
      </c>
      <c r="B864" s="22" t="str">
        <f>IF(TabVMAzureEnvProjet[[#This Row],[Projet AzureDevOps]]&lt;&gt;"",TabVMAzureEnvProjet[[#This Row],[Projet AzureDevOps]],TabVMAzureEnvProjet[[#This Row],[VM]])</f>
        <v>MENJ-BI-VM</v>
      </c>
      <c r="D864" s="19" t="s">
        <v>52</v>
      </c>
      <c r="E864" t="s">
        <v>6</v>
      </c>
      <c r="F864" t="str">
        <f>LOOKUP(TabVMAzureEnvProjet[[#This Row],[VM]],TabVMAZURE[VM],TabVMAZURE[PROJET])</f>
        <v>MENJ-BI</v>
      </c>
      <c r="G864" t="str">
        <f>LOOKUP(TabVMAzureEnvProjet[[#This Row],[Projet]],TabProjets[NomProj],TabProjets[SYGES])</f>
        <v>MENESR/TMA</v>
      </c>
      <c r="H864" t="str">
        <f>LOOKUP(TabVMAzureEnvProjet[[#This Row],[Projet]],TabProjets[NomProj],TabProjets[CP])</f>
        <v>Eric PERROUD</v>
      </c>
      <c r="I864">
        <f>LOOKUP(TabVMAzureEnvProjet[[#This Row],[Code SYGES]],TabCONTRATSDI[Contrat SYGES],TabCONTRATSDI[Cost Center])</f>
        <v>305704</v>
      </c>
      <c r="J864" s="22" t="str">
        <f>LOOKUP(TabVMAzureEnvProjet[[#This Row],[Code SYGES]],TabCONTRATSDI[Contrat SYGES],TabCONTRATSDI[Client])</f>
        <v>MENESR</v>
      </c>
      <c r="K864" t="s">
        <v>179</v>
      </c>
      <c r="L864" s="31">
        <v>3.6236101600826576</v>
      </c>
      <c r="M864" s="40" t="s">
        <v>181</v>
      </c>
    </row>
    <row r="865" spans="1:13" x14ac:dyDescent="0.25">
      <c r="A865" s="22" t="str">
        <f>TabVMAzureEnvProjet[[#This Row],[Client]] &amp; " .:. "  &amp; TabVMAzureEnvProjet[[#This Row],[Projet]]</f>
        <v>MENESR .:. MENJ-INSERJEUNES</v>
      </c>
      <c r="B865" s="22" t="str">
        <f>IF(TabVMAzureEnvProjet[[#This Row],[Projet AzureDevOps]]&lt;&gt;"",TabVMAzureEnvProjet[[#This Row],[Projet AzureDevOps]],TabVMAzureEnvProjet[[#This Row],[VM]])</f>
        <v>MENJ-INERJEUNES</v>
      </c>
      <c r="D865" s="19" t="s">
        <v>55</v>
      </c>
      <c r="E865" t="s">
        <v>21</v>
      </c>
      <c r="F865" t="str">
        <f>LOOKUP(TabVMAzureEnvProjet[[#This Row],[VM]],TabVMAZURE[VM],TabVMAZURE[PROJET])</f>
        <v>MENJ-INSERJEUNES</v>
      </c>
      <c r="G865" t="str">
        <f>LOOKUP(TabVMAzureEnvProjet[[#This Row],[Projet]],TabProjets[NomProj],TabProjets[SYGES])</f>
        <v>MENESR - TMA - 23 - 1 - INSERJEUNES</v>
      </c>
      <c r="H865" t="str">
        <f>LOOKUP(TabVMAzureEnvProjet[[#This Row],[Projet]],TabProjets[NomProj],TabProjets[CP])</f>
        <v>Christophe ORLANDO</v>
      </c>
      <c r="I865">
        <f>LOOKUP(TabVMAzureEnvProjet[[#This Row],[Code SYGES]],TabCONTRATSDI[Contrat SYGES],TabCONTRATSDI[Cost Center])</f>
        <v>305704</v>
      </c>
      <c r="J865" s="22" t="str">
        <f>LOOKUP(TabVMAzureEnvProjet[[#This Row],[Code SYGES]],TabCONTRATSDI[Contrat SYGES],TabCONTRATSDI[Client])</f>
        <v>MENESR</v>
      </c>
      <c r="K865" t="s">
        <v>179</v>
      </c>
      <c r="L865" s="31">
        <v>23.277495730332301</v>
      </c>
      <c r="M865" s="40" t="s">
        <v>181</v>
      </c>
    </row>
    <row r="866" spans="1:13" x14ac:dyDescent="0.25">
      <c r="A866" s="22" t="str">
        <f>TabVMAzureEnvProjet[[#This Row],[Client]] &amp; " .:. "  &amp; TabVMAzureEnvProjet[[#This Row],[Projet]]</f>
        <v>AFB .:. OFB-CMONSPOT</v>
      </c>
      <c r="B866" s="22" t="str">
        <f>IF(TabVMAzureEnvProjet[[#This Row],[Projet AzureDevOps]]&lt;&gt;"",TabVMAzureEnvProjet[[#This Row],[Projet AzureDevOps]],TabVMAzureEnvProjet[[#This Row],[VM]])</f>
        <v>OFB-CMONSPOT</v>
      </c>
      <c r="D866" s="19" t="s">
        <v>12</v>
      </c>
      <c r="E866" t="s">
        <v>10</v>
      </c>
      <c r="F866" t="str">
        <f>LOOKUP(TabVMAzureEnvProjet[[#This Row],[VM]],TabVMAZURE[VM],TabVMAZURE[PROJET])</f>
        <v>OFB-CMONSPOT</v>
      </c>
      <c r="G866" t="str">
        <f>LOOKUP(TabVMAzureEnvProjet[[#This Row],[Projet]],TabProjets[NomProj],TabProjets[SYGES])</f>
        <v>AFB/OFB_LOT2</v>
      </c>
      <c r="H866" t="str">
        <f>LOOKUP(TabVMAzureEnvProjet[[#This Row],[Projet]],TabProjets[NomProj],TabProjets[CP])</f>
        <v>Pierre BOURLIEUX</v>
      </c>
      <c r="I866">
        <f>LOOKUP(TabVMAzureEnvProjet[[#This Row],[Code SYGES]],TabCONTRATSDI[Contrat SYGES],TabCONTRATSDI[Cost Center])</f>
        <v>305704</v>
      </c>
      <c r="J866" s="22" t="str">
        <f>LOOKUP(TabVMAzureEnvProjet[[#This Row],[Code SYGES]],TabCONTRATSDI[Contrat SYGES],TabCONTRATSDI[Client])</f>
        <v>AFB</v>
      </c>
      <c r="K866" t="s">
        <v>179</v>
      </c>
      <c r="L866" s="31">
        <v>4.5355120546729957</v>
      </c>
      <c r="M866" s="40" t="s">
        <v>181</v>
      </c>
    </row>
    <row r="867" spans="1:13" x14ac:dyDescent="0.25">
      <c r="A867" s="22" t="str">
        <f>TabVMAzureEnvProjet[[#This Row],[Client]] &amp; " .:. "  &amp; TabVMAzureEnvProjet[[#This Row],[Projet]]</f>
        <v>AFB .:. OFB-ESTAMP</v>
      </c>
      <c r="B867" s="22" t="str">
        <f>IF(TabVMAzureEnvProjet[[#This Row],[Projet AzureDevOps]]&lt;&gt;"",TabVMAzureEnvProjet[[#This Row],[Projet AzureDevOps]],TabVMAzureEnvProjet[[#This Row],[VM]])</f>
        <v>OFB-ESTAMP-2</v>
      </c>
      <c r="D867" s="19" t="s">
        <v>14</v>
      </c>
      <c r="E867" t="s">
        <v>6</v>
      </c>
      <c r="F867" t="str">
        <f>LOOKUP(TabVMAzureEnvProjet[[#This Row],[VM]],TabVMAZURE[VM],TabVMAZURE[PROJET])</f>
        <v>OFB-ESTAMP</v>
      </c>
      <c r="G867" t="str">
        <f>LOOKUP(TabVMAzureEnvProjet[[#This Row],[Projet]],TabProjets[NomProj],TabProjets[SYGES])</f>
        <v>AFB/OFB_LOT1</v>
      </c>
      <c r="H867" t="str">
        <f>LOOKUP(TabVMAzureEnvProjet[[#This Row],[Projet]],TabProjets[NomProj],TabProjets[CP])</f>
        <v>Pierre BOURLIEUX</v>
      </c>
      <c r="I867">
        <f>LOOKUP(TabVMAzureEnvProjet[[#This Row],[Code SYGES]],TabCONTRATSDI[Contrat SYGES],TabCONTRATSDI[Cost Center])</f>
        <v>305704</v>
      </c>
      <c r="J867" s="22" t="str">
        <f>LOOKUP(TabVMAzureEnvProjet[[#This Row],[Code SYGES]],TabCONTRATSDI[Contrat SYGES],TabCONTRATSDI[Client])</f>
        <v>AFB</v>
      </c>
      <c r="K867" t="s">
        <v>179</v>
      </c>
      <c r="L867" s="31">
        <v>7.082838004956268</v>
      </c>
      <c r="M867" s="40" t="s">
        <v>181</v>
      </c>
    </row>
    <row r="868" spans="1:13" x14ac:dyDescent="0.25">
      <c r="A868" s="22" t="str">
        <f>TabVMAzureEnvProjet[[#This Row],[Client]] &amp; " .:. "  &amp; TabVMAzureEnvProjet[[#This Row],[Projet]]</f>
        <v>OFB .:. OFB-NATUREFRANCE</v>
      </c>
      <c r="B868" s="22" t="str">
        <f>IF(TabVMAzureEnvProjet[[#This Row],[Projet AzureDevOps]]&lt;&gt;"",TabVMAzureEnvProjet[[#This Row],[Projet AzureDevOps]],TabVMAzureEnvProjet[[#This Row],[VM]])</f>
        <v>OFB-FRANCENATURE-VM</v>
      </c>
      <c r="D868" s="19" t="s">
        <v>80</v>
      </c>
      <c r="E868" t="s">
        <v>6</v>
      </c>
      <c r="F868" t="str">
        <f>LOOKUP(TabVMAzureEnvProjet[[#This Row],[VM]],TabVMAZURE[VM],TabVMAZURE[PROJET])</f>
        <v>OFB-NATUREFRANCE</v>
      </c>
      <c r="G868" t="str">
        <f>LOOKUP(TabVMAzureEnvProjet[[#This Row],[Projet]],TabProjets[NomProj],TabProjets[SYGES])</f>
        <v>AFB OFB_LOT2 -9-1 NATURE FRANCE</v>
      </c>
      <c r="H868" t="str">
        <f>LOOKUP(TabVMAzureEnvProjet[[#This Row],[Projet]],TabProjets[NomProj],TabProjets[CP])</f>
        <v>Rodolphe HABEGGER</v>
      </c>
      <c r="I868">
        <f>LOOKUP(TabVMAzureEnvProjet[[#This Row],[Code SYGES]],TabCONTRATSDI[Contrat SYGES],TabCONTRATSDI[Cost Center])</f>
        <v>305704</v>
      </c>
      <c r="J868" s="22" t="str">
        <f>LOOKUP(TabVMAzureEnvProjet[[#This Row],[Code SYGES]],TabCONTRATSDI[Contrat SYGES],TabCONTRATSDI[Client])</f>
        <v>OFB</v>
      </c>
      <c r="K868" t="s">
        <v>179</v>
      </c>
      <c r="L868" s="31">
        <v>6.5152990626651759</v>
      </c>
      <c r="M868" s="40" t="s">
        <v>181</v>
      </c>
    </row>
    <row r="869" spans="1:13" x14ac:dyDescent="0.25">
      <c r="A869" s="22" t="str">
        <f>TabVMAzureEnvProjet[[#This Row],[Client]] &amp; " .:. "  &amp; TabVMAzureEnvProjet[[#This Row],[Projet]]</f>
        <v>AFB .:. AFB-PNM</v>
      </c>
      <c r="B869" s="22" t="str">
        <f>IF(TabVMAzureEnvProjet[[#This Row],[Projet AzureDevOps]]&lt;&gt;"",TabVMAzureEnvProjet[[#This Row],[Projet AzureDevOps]],TabVMAzureEnvProjet[[#This Row],[VM]])</f>
        <v>OFB-PNM</v>
      </c>
      <c r="D869" s="19" t="s">
        <v>7</v>
      </c>
      <c r="E869" t="s">
        <v>6</v>
      </c>
      <c r="F869" t="str">
        <f>LOOKUP(TabVMAzureEnvProjet[[#This Row],[VM]],TabVMAZURE[VM],TabVMAZURE[PROJET])</f>
        <v>AFB-PNM</v>
      </c>
      <c r="G869" t="str">
        <f>LOOKUP(TabVMAzureEnvProjet[[#This Row],[Projet]],TabProjets[NomProj],TabProjets[SYGES])</f>
        <v>AFB/OFB_LOT2</v>
      </c>
      <c r="H869" t="str">
        <f>LOOKUP(TabVMAzureEnvProjet[[#This Row],[Projet]],TabProjets[NomProj],TabProjets[CP])</f>
        <v>Eric RAUCOURT</v>
      </c>
      <c r="I869">
        <f>LOOKUP(TabVMAzureEnvProjet[[#This Row],[Code SYGES]],TabCONTRATSDI[Contrat SYGES],TabCONTRATSDI[Cost Center])</f>
        <v>305704</v>
      </c>
      <c r="J869" s="22" t="str">
        <f>LOOKUP(TabVMAzureEnvProjet[[#This Row],[Code SYGES]],TabCONTRATSDI[Contrat SYGES],TabCONTRATSDI[Client])</f>
        <v>AFB</v>
      </c>
      <c r="K869" t="s">
        <v>179</v>
      </c>
      <c r="L869" s="31">
        <v>1.0078915677051101</v>
      </c>
      <c r="M869" s="40" t="s">
        <v>181</v>
      </c>
    </row>
    <row r="870" spans="1:13" x14ac:dyDescent="0.25">
      <c r="A870" s="22" t="str">
        <f>TabVMAzureEnvProjet[[#This Row],[Client]] &amp; " .:. "  &amp; TabVMAzureEnvProjet[[#This Row],[Projet]]</f>
        <v>AFB .:. OFB-SISPEA</v>
      </c>
      <c r="B870" s="22" t="str">
        <f>IF(TabVMAzureEnvProjet[[#This Row],[Projet AzureDevOps]]&lt;&gt;"",TabVMAzureEnvProjet[[#This Row],[Projet AzureDevOps]],TabVMAzureEnvProjet[[#This Row],[VM]])</f>
        <v>OFB-SISPEA-VM</v>
      </c>
      <c r="D870" s="19" t="s">
        <v>11</v>
      </c>
      <c r="E870" t="s">
        <v>10</v>
      </c>
      <c r="F870" t="str">
        <f>LOOKUP(TabVMAzureEnvProjet[[#This Row],[VM]],TabVMAZURE[VM],TabVMAZURE[PROJET])</f>
        <v>OFB-SISPEA</v>
      </c>
      <c r="G870" t="str">
        <f>LOOKUP(TabVMAzureEnvProjet[[#This Row],[Projet]],TabProjets[NomProj],TabProjets[SYGES])</f>
        <v>AFB/OFB_LOT2</v>
      </c>
      <c r="H870" t="str">
        <f>LOOKUP(TabVMAzureEnvProjet[[#This Row],[Projet]],TabProjets[NomProj],TabProjets[CP])</f>
        <v>Pierre BOURLIEUX</v>
      </c>
      <c r="I870">
        <f>LOOKUP(TabVMAzureEnvProjet[[#This Row],[Code SYGES]],TabCONTRATSDI[Contrat SYGES],TabCONTRATSDI[Cost Center])</f>
        <v>305704</v>
      </c>
      <c r="J870" s="22" t="str">
        <f>LOOKUP(TabVMAzureEnvProjet[[#This Row],[Code SYGES]],TabCONTRATSDI[Contrat SYGES],TabCONTRATSDI[Client])</f>
        <v>AFB</v>
      </c>
      <c r="K870" t="s">
        <v>179</v>
      </c>
      <c r="L870" s="31">
        <v>8.7830550900016746</v>
      </c>
      <c r="M870" s="40" t="s">
        <v>181</v>
      </c>
    </row>
    <row r="871" spans="1:13" x14ac:dyDescent="0.25">
      <c r="A871" s="22" t="str">
        <f>TabVMAzureEnvProjet[[#This Row],[Client]] &amp; " .:. "  &amp; TabVMAzureEnvProjet[[#This Row],[Projet]]</f>
        <v>SPC .:. SPC-BUILD</v>
      </c>
      <c r="B871" s="22" t="str">
        <f>IF(TabVMAzureEnvProjet[[#This Row],[Projet AzureDevOps]]&lt;&gt;"",TabVMAzureEnvProjet[[#This Row],[Projet AzureDevOps]],TabVMAzureEnvProjet[[#This Row],[VM]])</f>
        <v>SPC-BUILDAS-VM</v>
      </c>
      <c r="D871" s="19" t="s">
        <v>68</v>
      </c>
      <c r="E871" t="s">
        <v>10</v>
      </c>
      <c r="F871" t="str">
        <f>LOOKUP(TabVMAzureEnvProjet[[#This Row],[VM]],TabVMAZURE[VM],TabVMAZURE[PROJET])</f>
        <v>SPC-BUILD</v>
      </c>
      <c r="G871" t="str">
        <f>LOOKUP(TabVMAzureEnvProjet[[#This Row],[Projet]],TabProjets[NomProj],TabProjets[SYGES])</f>
        <v>SPC/BUILD</v>
      </c>
      <c r="H871" t="str">
        <f>LOOKUP(TabVMAzureEnvProjet[[#This Row],[Projet]],TabProjets[NomProj],TabProjets[CP])</f>
        <v>Nicolas DURFORT</v>
      </c>
      <c r="I871">
        <f>LOOKUP(TabVMAzureEnvProjet[[#This Row],[Code SYGES]],TabCONTRATSDI[Contrat SYGES],TabCONTRATSDI[Cost Center])</f>
        <v>305704</v>
      </c>
      <c r="J871" s="22" t="str">
        <f>LOOKUP(TabVMAzureEnvProjet[[#This Row],[Code SYGES]],TabCONTRATSDI[Contrat SYGES],TabCONTRATSDI[Client])</f>
        <v>SPC</v>
      </c>
      <c r="K871" t="s">
        <v>179</v>
      </c>
      <c r="L871" s="31">
        <v>62.141314632675773</v>
      </c>
      <c r="M871" s="40" t="s">
        <v>181</v>
      </c>
    </row>
    <row r="872" spans="1:13" x14ac:dyDescent="0.25">
      <c r="A872" s="22" t="str">
        <f>TabVMAzureEnvProjet[[#This Row],[Client]] &amp; " .:. "  &amp; TabVMAzureEnvProjet[[#This Row],[Projet]]</f>
        <v>STMICRO .:. STMICRO-DATAPACK</v>
      </c>
      <c r="B872" s="22" t="str">
        <f>IF(TabVMAzureEnvProjet[[#This Row],[Projet AzureDevOps]]&lt;&gt;"",TabVMAzureEnvProjet[[#This Row],[Projet AzureDevOps]],TabVMAzureEnvProjet[[#This Row],[VM]])</f>
        <v>STMICRO-DATAPACK-VM</v>
      </c>
      <c r="D872" s="19" t="s">
        <v>97</v>
      </c>
      <c r="E872" t="s">
        <v>10</v>
      </c>
      <c r="F872" t="str">
        <f>LOOKUP(TabVMAzureEnvProjet[[#This Row],[VM]],TabVMAZURE[VM],TabVMAZURE[PROJET])</f>
        <v>STMICRO-DATAPACK</v>
      </c>
      <c r="G872" t="str">
        <f>LOOKUP(TabVMAzureEnvProjet[[#This Row],[Projet]],TabProjets[NomProj],TabProjets[SYGES])</f>
        <v>STMICRO/TMASI</v>
      </c>
      <c r="H872" t="str">
        <f>LOOKUP(TabVMAzureEnvProjet[[#This Row],[Projet]],TabProjets[NomProj],TabProjets[CP])</f>
        <v>Jean-Philippe STROIAZZO</v>
      </c>
      <c r="I872">
        <f>LOOKUP(TabVMAzureEnvProjet[[#This Row],[Code SYGES]],TabCONTRATSDI[Contrat SYGES],TabCONTRATSDI[Cost Center])</f>
        <v>305704</v>
      </c>
      <c r="J872" s="22" t="str">
        <f>LOOKUP(TabVMAzureEnvProjet[[#This Row],[Code SYGES]],TabCONTRATSDI[Contrat SYGES],TabCONTRATSDI[Client])</f>
        <v>STMICRO</v>
      </c>
      <c r="K872" t="s">
        <v>179</v>
      </c>
      <c r="L872" s="31">
        <v>11.902719466231776</v>
      </c>
      <c r="M872" s="40" t="s">
        <v>181</v>
      </c>
    </row>
    <row r="873" spans="1:13" x14ac:dyDescent="0.25">
      <c r="A873" s="22" t="str">
        <f>TabVMAzureEnvProjet[[#This Row],[Client]] &amp; " .:. "  &amp; TabVMAzureEnvProjet[[#This Row],[Projet]]</f>
        <v>AFB .:. AFB-CESMIA</v>
      </c>
      <c r="B873" s="22" t="str">
        <f>IF(TabVMAzureEnvProjet[[#This Row],[Projet AzureDevOps]]&lt;&gt;"",TabVMAzureEnvProjet[[#This Row],[Projet AzureDevOps]],TabVMAzureEnvProjet[[#This Row],[VM]])</f>
        <v>AFB-CESMIA</v>
      </c>
      <c r="C873" s="58" t="s">
        <v>3</v>
      </c>
      <c r="E873" t="s">
        <v>4</v>
      </c>
      <c r="F873" t="str">
        <f>LOOKUP(TabVMAzureEnvProjet[[#This Row],[Projet AzureDevOps]],TabAzureDevOps[ProjetAzureDevOps],TabAzureDevOps[PROJET])</f>
        <v>AFB-CESMIA</v>
      </c>
      <c r="G873" t="str">
        <f>LOOKUP(TabVMAzureEnvProjet[[#This Row],[Projet]],TabProjets[NomProj],TabProjets[SYGES])</f>
        <v>AFB/OFB_LOT1</v>
      </c>
      <c r="H873" t="str">
        <f>LOOKUP(TabVMAzureEnvProjet[[#This Row],[Projet]],TabProjets[NomProj],TabProjets[CP])</f>
        <v>Jean-Philippe STROIAZZO</v>
      </c>
      <c r="I873">
        <f>LOOKUP(TabVMAzureEnvProjet[[#This Row],[Code SYGES]],TabCONTRATSDI[Contrat SYGES],TabCONTRATSDI[Cost Center])</f>
        <v>305704</v>
      </c>
      <c r="J873" s="22" t="str">
        <f>LOOKUP(TabVMAzureEnvProjet[[#This Row],[Code SYGES]],TabCONTRATSDI[Contrat SYGES],TabCONTRATSDI[Client])</f>
        <v>AFB</v>
      </c>
      <c r="K873" t="s">
        <v>405</v>
      </c>
      <c r="L873" s="31">
        <v>13.647956735348576</v>
      </c>
      <c r="M873" s="41" t="s">
        <v>427</v>
      </c>
    </row>
    <row r="874" spans="1:13" x14ac:dyDescent="0.25">
      <c r="A874" s="22" t="str">
        <f>TabVMAzureEnvProjet[[#This Row],[Client]] &amp; " .:. "  &amp; TabVMAzureEnvProjet[[#This Row],[Projet]]</f>
        <v>ONEMA .:. AFB-BASEINDICATEURS</v>
      </c>
      <c r="B874" s="22" t="str">
        <f>IF(TabVMAzureEnvProjet[[#This Row],[Projet AzureDevOps]]&lt;&gt;"",TabVMAzureEnvProjet[[#This Row],[Projet AzureDevOps]],TabVMAzureEnvProjet[[#This Row],[VM]])</f>
        <v>AFB-BaseIndicateurs</v>
      </c>
      <c r="C874" s="58" t="s">
        <v>58</v>
      </c>
      <c r="E874" t="s">
        <v>4</v>
      </c>
      <c r="F874" t="str">
        <f>LOOKUP(TabVMAzureEnvProjet[[#This Row],[Projet AzureDevOps]],TabAzureDevOps[ProjetAzureDevOps],TabAzureDevOps[PROJET])</f>
        <v>AFB-BASEINDICATEURS</v>
      </c>
      <c r="G874" t="str">
        <f>LOOKUP(TabVMAzureEnvProjet[[#This Row],[Projet]],TabProjets[NomProj],TabProjets[SYGES])</f>
        <v>ONEMA/TMADCUA-15</v>
      </c>
      <c r="H874" t="str">
        <f>LOOKUP(TabVMAzureEnvProjet[[#This Row],[Projet]],TabProjets[NomProj],TabProjets[CP])</f>
        <v>Pierre BOURLIEUX</v>
      </c>
      <c r="I874">
        <f>LOOKUP(TabVMAzureEnvProjet[[#This Row],[Code SYGES]],TabCONTRATSDI[Contrat SYGES],TabCONTRATSDI[Cost Center])</f>
        <v>305704</v>
      </c>
      <c r="J874" s="22" t="str">
        <f>LOOKUP(TabVMAzureEnvProjet[[#This Row],[Code SYGES]],TabCONTRATSDI[Contrat SYGES],TabCONTRATSDI[Client])</f>
        <v>ONEMA</v>
      </c>
      <c r="K874" t="s">
        <v>405</v>
      </c>
      <c r="L874" s="31">
        <v>0.42996379830389486</v>
      </c>
      <c r="M874" s="41" t="s">
        <v>427</v>
      </c>
    </row>
    <row r="875" spans="1:13" x14ac:dyDescent="0.25">
      <c r="A875" s="22" t="str">
        <f>TabVMAzureEnvProjet[[#This Row],[Client]] &amp; " .:. "  &amp; TabVMAzureEnvProjet[[#This Row],[Projet]]</f>
        <v>ONEMA .:. AFB-CATALOGUE</v>
      </c>
      <c r="B875" s="22" t="str">
        <f>IF(TabVMAzureEnvProjet[[#This Row],[Projet AzureDevOps]]&lt;&gt;"",TabVMAzureEnvProjet[[#This Row],[Projet AzureDevOps]],TabVMAzureEnvProjet[[#This Row],[VM]])</f>
        <v>AFB-Catalogue</v>
      </c>
      <c r="C875" s="58" t="s">
        <v>60</v>
      </c>
      <c r="E875" t="s">
        <v>4</v>
      </c>
      <c r="F875" t="str">
        <f>LOOKUP(TabVMAzureEnvProjet[[#This Row],[Projet AzureDevOps]],TabAzureDevOps[ProjetAzureDevOps],TabAzureDevOps[PROJET])</f>
        <v>AFB-CATALOGUE</v>
      </c>
      <c r="G875" t="str">
        <f>LOOKUP(TabVMAzureEnvProjet[[#This Row],[Projet]],TabProjets[NomProj],TabProjets[SYGES])</f>
        <v>ONEMA/TMADCUA-15</v>
      </c>
      <c r="H875" t="str">
        <f>LOOKUP(TabVMAzureEnvProjet[[#This Row],[Projet]],TabProjets[NomProj],TabProjets[CP])</f>
        <v>Pierre BOURLIEUX</v>
      </c>
      <c r="I875">
        <f>LOOKUP(TabVMAzureEnvProjet[[#This Row],[Code SYGES]],TabCONTRATSDI[Contrat SYGES],TabCONTRATSDI[Cost Center])</f>
        <v>305704</v>
      </c>
      <c r="J875" s="22" t="str">
        <f>LOOKUP(TabVMAzureEnvProjet[[#This Row],[Code SYGES]],TabCONTRATSDI[Contrat SYGES],TabCONTRATSDI[Client])</f>
        <v>ONEMA</v>
      </c>
      <c r="K875" t="s">
        <v>405</v>
      </c>
      <c r="L875" s="31">
        <v>1.7150267227533433</v>
      </c>
      <c r="M875" s="41" t="s">
        <v>427</v>
      </c>
    </row>
    <row r="876" spans="1:13" x14ac:dyDescent="0.25">
      <c r="A876" s="22" t="str">
        <f>TabVMAzureEnvProjet[[#This Row],[Client]] &amp; " .:. "  &amp; TabVMAzureEnvProjet[[#This Row],[Projet]]</f>
        <v>ONEMA .:. AFB-CDR</v>
      </c>
      <c r="B876" s="22" t="str">
        <f>IF(TabVMAzureEnvProjet[[#This Row],[Projet AzureDevOps]]&lt;&gt;"",TabVMAzureEnvProjet[[#This Row],[Projet AzureDevOps]],TabVMAzureEnvProjet[[#This Row],[VM]])</f>
        <v>AFB-CDR</v>
      </c>
      <c r="C876" s="58" t="s">
        <v>61</v>
      </c>
      <c r="E876" t="s">
        <v>4</v>
      </c>
      <c r="F876" t="str">
        <f>LOOKUP(TabVMAzureEnvProjet[[#This Row],[Projet AzureDevOps]],TabAzureDevOps[ProjetAzureDevOps],TabAzureDevOps[PROJET])</f>
        <v>AFB-CDR</v>
      </c>
      <c r="G876" t="str">
        <f>LOOKUP(TabVMAzureEnvProjet[[#This Row],[Projet]],TabProjets[NomProj],TabProjets[SYGES])</f>
        <v>ONEMA/TMAWEB-16</v>
      </c>
      <c r="H876" t="str">
        <f>LOOKUP(TabVMAzureEnvProjet[[#This Row],[Projet]],TabProjets[NomProj],TabProjets[CP])</f>
        <v>Pierre BOURLIEUX</v>
      </c>
      <c r="I876">
        <f>LOOKUP(TabVMAzureEnvProjet[[#This Row],[Code SYGES]],TabCONTRATSDI[Contrat SYGES],TabCONTRATSDI[Cost Center])</f>
        <v>305704</v>
      </c>
      <c r="J876" s="22" t="str">
        <f>LOOKUP(TabVMAzureEnvProjet[[#This Row],[Code SYGES]],TabCONTRATSDI[Contrat SYGES],TabCONTRATSDI[Client])</f>
        <v>ONEMA</v>
      </c>
      <c r="K876" t="s">
        <v>405</v>
      </c>
      <c r="L876" s="31">
        <v>7.9267403916639037</v>
      </c>
      <c r="M876" s="41" t="s">
        <v>427</v>
      </c>
    </row>
    <row r="877" spans="1:13" x14ac:dyDescent="0.25">
      <c r="A877" s="22" t="str">
        <f>TabVMAzureEnvProjet[[#This Row],[Client]] &amp; " .:. "  &amp; TabVMAzureEnvProjet[[#This Row],[Projet]]</f>
        <v>ONEMA .:. AFB-OISON</v>
      </c>
      <c r="B877" s="22" t="str">
        <f>IF(TabVMAzureEnvProjet[[#This Row],[Projet AzureDevOps]]&lt;&gt;"",TabVMAzureEnvProjet[[#This Row],[Projet AzureDevOps]],TabVMAzureEnvProjet[[#This Row],[VM]])</f>
        <v>AFB-OISON</v>
      </c>
      <c r="C877" s="58" t="s">
        <v>62</v>
      </c>
      <c r="E877" t="s">
        <v>4</v>
      </c>
      <c r="F877" t="str">
        <f>LOOKUP(TabVMAzureEnvProjet[[#This Row],[Projet AzureDevOps]],TabAzureDevOps[ProjetAzureDevOps],TabAzureDevOps[PROJET])</f>
        <v>AFB-OISON</v>
      </c>
      <c r="G877" t="str">
        <f>LOOKUP(TabVMAzureEnvProjet[[#This Row],[Projet]],TabProjets[NomProj],TabProjets[SYGES])</f>
        <v>ONEMA/TMADCUA-15</v>
      </c>
      <c r="H877" t="str">
        <f>LOOKUP(TabVMAzureEnvProjet[[#This Row],[Projet]],TabProjets[NomProj],TabProjets[CP])</f>
        <v>Jean-Philippe STROIAZZO</v>
      </c>
      <c r="I877">
        <f>LOOKUP(TabVMAzureEnvProjet[[#This Row],[Code SYGES]],TabCONTRATSDI[Contrat SYGES],TabCONTRATSDI[Cost Center])</f>
        <v>305704</v>
      </c>
      <c r="J877" s="22" t="str">
        <f>LOOKUP(TabVMAzureEnvProjet[[#This Row],[Code SYGES]],TabCONTRATSDI[Contrat SYGES],TabCONTRATSDI[Client])</f>
        <v>ONEMA</v>
      </c>
      <c r="K877" t="s">
        <v>405</v>
      </c>
      <c r="L877" s="31">
        <v>9.0745735376587238</v>
      </c>
      <c r="M877" s="41" t="s">
        <v>427</v>
      </c>
    </row>
    <row r="878" spans="1:13" x14ac:dyDescent="0.25">
      <c r="A878" s="22" t="str">
        <f>TabVMAzureEnvProjet[[#This Row],[Client]] &amp; " .:. "  &amp; TabVMAzureEnvProjet[[#This Row],[Projet]]</f>
        <v>ONEMA .:. AFB-PATBIODIV</v>
      </c>
      <c r="B878" s="22" t="str">
        <f>IF(TabVMAzureEnvProjet[[#This Row],[Projet AzureDevOps]]&lt;&gt;"",TabVMAzureEnvProjet[[#This Row],[Projet AzureDevOps]],TabVMAzureEnvProjet[[#This Row],[VM]])</f>
        <v>AFB-PATBiodiv</v>
      </c>
      <c r="C878" s="58" t="s">
        <v>64</v>
      </c>
      <c r="E878" t="s">
        <v>4</v>
      </c>
      <c r="F878" t="str">
        <f>LOOKUP(TabVMAzureEnvProjet[[#This Row],[Projet AzureDevOps]],TabAzureDevOps[ProjetAzureDevOps],TabAzureDevOps[PROJET])</f>
        <v>AFB-PATBIODIV</v>
      </c>
      <c r="G878" t="str">
        <f>LOOKUP(TabVMAzureEnvProjet[[#This Row],[Projet]],TabProjets[NomProj],TabProjets[SYGES])</f>
        <v>ONEMA/TMADCUA-15</v>
      </c>
      <c r="H878" t="str">
        <f>LOOKUP(TabVMAzureEnvProjet[[#This Row],[Projet]],TabProjets[NomProj],TabProjets[CP])</f>
        <v>Rodolphe HABEGGER</v>
      </c>
      <c r="I878">
        <f>LOOKUP(TabVMAzureEnvProjet[[#This Row],[Code SYGES]],TabCONTRATSDI[Contrat SYGES],TabCONTRATSDI[Cost Center])</f>
        <v>305704</v>
      </c>
      <c r="J878" s="22" t="str">
        <f>LOOKUP(TabVMAzureEnvProjet[[#This Row],[Code SYGES]],TabCONTRATSDI[Contrat SYGES],TabCONTRATSDI[Client])</f>
        <v>ONEMA</v>
      </c>
      <c r="K878" t="s">
        <v>405</v>
      </c>
      <c r="L878" s="31">
        <v>4.1543867222507247</v>
      </c>
      <c r="M878" s="41" t="s">
        <v>427</v>
      </c>
    </row>
    <row r="879" spans="1:13" x14ac:dyDescent="0.25">
      <c r="A879" s="22" t="str">
        <f>TabVMAzureEnvProjet[[#This Row],[Client]] &amp; " .:. "  &amp; TabVMAzureEnvProjet[[#This Row],[Projet]]</f>
        <v>AFB .:. AFB-PNM</v>
      </c>
      <c r="B879" s="22" t="str">
        <f>IF(TabVMAzureEnvProjet[[#This Row],[Projet AzureDevOps]]&lt;&gt;"",TabVMAzureEnvProjet[[#This Row],[Projet AzureDevOps]],TabVMAzureEnvProjet[[#This Row],[VM]])</f>
        <v>AFB-PNM</v>
      </c>
      <c r="C879" s="58" t="s">
        <v>5</v>
      </c>
      <c r="E879" t="s">
        <v>4</v>
      </c>
      <c r="F879" t="str">
        <f>LOOKUP(TabVMAzureEnvProjet[[#This Row],[Projet AzureDevOps]],TabAzureDevOps[ProjetAzureDevOps],TabAzureDevOps[PROJET])</f>
        <v>AFB-PNM</v>
      </c>
      <c r="G879" t="str">
        <f>LOOKUP(TabVMAzureEnvProjet[[#This Row],[Projet]],TabProjets[NomProj],TabProjets[SYGES])</f>
        <v>AFB/OFB_LOT2</v>
      </c>
      <c r="H879" t="str">
        <f>LOOKUP(TabVMAzureEnvProjet[[#This Row],[Projet]],TabProjets[NomProj],TabProjets[CP])</f>
        <v>Eric RAUCOURT</v>
      </c>
      <c r="I879">
        <f>LOOKUP(TabVMAzureEnvProjet[[#This Row],[Code SYGES]],TabCONTRATSDI[Contrat SYGES],TabCONTRATSDI[Cost Center])</f>
        <v>305704</v>
      </c>
      <c r="J879" s="22" t="str">
        <f>LOOKUP(TabVMAzureEnvProjet[[#This Row],[Code SYGES]],TabCONTRATSDI[Contrat SYGES],TabCONTRATSDI[Client])</f>
        <v>AFB</v>
      </c>
      <c r="K879" t="s">
        <v>405</v>
      </c>
      <c r="L879" s="31">
        <v>4.1692992373948234</v>
      </c>
      <c r="M879" s="41" t="s">
        <v>427</v>
      </c>
    </row>
    <row r="880" spans="1:13" x14ac:dyDescent="0.25">
      <c r="A880" s="22" t="str">
        <f>TabVMAzureEnvProjet[[#This Row],[Client]] &amp; " .:. "  &amp; TabVMAzureEnvProjet[[#This Row],[Projet]]</f>
        <v>AFB .:. AFB-PNX</v>
      </c>
      <c r="B880" s="22" t="str">
        <f>IF(TabVMAzureEnvProjet[[#This Row],[Projet AzureDevOps]]&lt;&gt;"",TabVMAzureEnvProjet[[#This Row],[Projet AzureDevOps]],TabVMAzureEnvProjet[[#This Row],[VM]])</f>
        <v>AFB-PNX</v>
      </c>
      <c r="C880" s="58" t="s">
        <v>8</v>
      </c>
      <c r="E880" t="s">
        <v>4</v>
      </c>
      <c r="F880" t="str">
        <f>LOOKUP(TabVMAzureEnvProjet[[#This Row],[Projet AzureDevOps]],TabAzureDevOps[ProjetAzureDevOps],TabAzureDevOps[PROJET])</f>
        <v>AFB-PNX</v>
      </c>
      <c r="G880" t="str">
        <f>LOOKUP(TabVMAzureEnvProjet[[#This Row],[Projet]],TabProjets[NomProj],TabProjets[SYGES])</f>
        <v>AFB/OFB_LOT2</v>
      </c>
      <c r="H880" t="str">
        <f>LOOKUP(TabVMAzureEnvProjet[[#This Row],[Projet]],TabProjets[NomProj],TabProjets[CP])</f>
        <v>Pierre BOURLIEUX</v>
      </c>
      <c r="I880">
        <f>LOOKUP(TabVMAzureEnvProjet[[#This Row],[Code SYGES]],TabCONTRATSDI[Contrat SYGES],TabCONTRATSDI[Cost Center])</f>
        <v>305704</v>
      </c>
      <c r="J880" s="22" t="str">
        <f>LOOKUP(TabVMAzureEnvProjet[[#This Row],[Code SYGES]],TabCONTRATSDI[Contrat SYGES],TabCONTRATSDI[Client])</f>
        <v>AFB</v>
      </c>
      <c r="K880" t="s">
        <v>405</v>
      </c>
      <c r="L880" s="31">
        <v>1.2665088468063661</v>
      </c>
      <c r="M880" s="41" t="s">
        <v>427</v>
      </c>
    </row>
    <row r="881" spans="1:13" x14ac:dyDescent="0.25">
      <c r="A881" s="22" t="str">
        <f>TabVMAzureEnvProjet[[#This Row],[Client]] &amp; " .:. "  &amp; TabVMAzureEnvProjet[[#This Row],[Projet]]</f>
        <v>ONEMA .:. AFB-RAA</v>
      </c>
      <c r="B881" s="22" t="str">
        <f>IF(TabVMAzureEnvProjet[[#This Row],[Projet AzureDevOps]]&lt;&gt;"",TabVMAzureEnvProjet[[#This Row],[Projet AzureDevOps]],TabVMAzureEnvProjet[[#This Row],[VM]])</f>
        <v>AFB-RAA</v>
      </c>
      <c r="C881" s="58" t="s">
        <v>65</v>
      </c>
      <c r="E881" t="s">
        <v>4</v>
      </c>
      <c r="F881" t="str">
        <f>LOOKUP(TabVMAzureEnvProjet[[#This Row],[Projet AzureDevOps]],TabAzureDevOps[ProjetAzureDevOps],TabAzureDevOps[PROJET])</f>
        <v>AFB-RAA</v>
      </c>
      <c r="G881" t="str">
        <f>LOOKUP(TabVMAzureEnvProjet[[#This Row],[Projet]],TabProjets[NomProj],TabProjets[SYGES])</f>
        <v>ONEMA/TMAWEB-16</v>
      </c>
      <c r="H881" t="str">
        <f>LOOKUP(TabVMAzureEnvProjet[[#This Row],[Projet]],TabProjets[NomProj],TabProjets[CP])</f>
        <v>Pierre BOURLIEUX</v>
      </c>
      <c r="I881">
        <f>LOOKUP(TabVMAzureEnvProjet[[#This Row],[Code SYGES]],TabCONTRATSDI[Contrat SYGES],TabCONTRATSDI[Cost Center])</f>
        <v>305704</v>
      </c>
      <c r="J881" s="22" t="str">
        <f>LOOKUP(TabVMAzureEnvProjet[[#This Row],[Code SYGES]],TabCONTRATSDI[Contrat SYGES],TabCONTRATSDI[Client])</f>
        <v>ONEMA</v>
      </c>
      <c r="K881" t="s">
        <v>405</v>
      </c>
      <c r="L881" s="31">
        <v>0.20520999464504075</v>
      </c>
      <c r="M881" s="41" t="s">
        <v>427</v>
      </c>
    </row>
    <row r="882" spans="1:13" x14ac:dyDescent="0.25">
      <c r="A882" s="22" t="str">
        <f>TabVMAzureEnvProjet[[#This Row],[Client]] &amp; " .:. "  &amp; TabVMAzureEnvProjet[[#This Row],[Projet]]</f>
        <v>ALM .:. ALM-ATOUT</v>
      </c>
      <c r="B882" s="22" t="str">
        <f>IF(TabVMAzureEnvProjet[[#This Row],[Projet AzureDevOps]]&lt;&gt;"",TabVMAzureEnvProjet[[#This Row],[Projet AzureDevOps]],TabVMAzureEnvProjet[[#This Row],[VM]])</f>
        <v>ALM-ATOUT</v>
      </c>
      <c r="C882" s="58" t="s">
        <v>17</v>
      </c>
      <c r="E882" t="s">
        <v>4</v>
      </c>
      <c r="F882" t="str">
        <f>LOOKUP(TabVMAzureEnvProjet[[#This Row],[Projet AzureDevOps]],TabAzureDevOps[ProjetAzureDevOps],TabAzureDevOps[PROJET])</f>
        <v>ALM-ATOUT</v>
      </c>
      <c r="G882" t="str">
        <f>LOOKUP(TabVMAzureEnvProjet[[#This Row],[Projet]],TabProjets[NomProj],TabProjets[SYGES])</f>
        <v>ALM/TMA_ATOUT</v>
      </c>
      <c r="H882" t="str">
        <f>LOOKUP(TabVMAzureEnvProjet[[#This Row],[Projet]],TabProjets[NomProj],TabProjets[CP])</f>
        <v>Alice MARCHAL</v>
      </c>
      <c r="I882">
        <f>LOOKUP(TabVMAzureEnvProjet[[#This Row],[Code SYGES]],TabCONTRATSDI[Contrat SYGES],TabCONTRATSDI[Cost Center])</f>
        <v>305704</v>
      </c>
      <c r="J882" s="22" t="str">
        <f>LOOKUP(TabVMAzureEnvProjet[[#This Row],[Code SYGES]],TabCONTRATSDI[Contrat SYGES],TabCONTRATSDI[Client])</f>
        <v>ALM</v>
      </c>
      <c r="K882" t="s">
        <v>405</v>
      </c>
      <c r="L882" s="31">
        <v>2.4477324791755843</v>
      </c>
      <c r="M882" s="41" t="s">
        <v>427</v>
      </c>
    </row>
    <row r="883" spans="1:13" x14ac:dyDescent="0.25">
      <c r="A883" s="22" t="str">
        <f>TabVMAzureEnvProjet[[#This Row],[Client]] &amp; " .:. "  &amp; TabVMAzureEnvProjet[[#This Row],[Projet]]</f>
        <v>BRGM .:. BRGM-ORRM</v>
      </c>
      <c r="B883" s="22" t="str">
        <f>IF(TabVMAzureEnvProjet[[#This Row],[Projet AzureDevOps]]&lt;&gt;"",TabVMAzureEnvProjet[[#This Row],[Projet AzureDevOps]],TabVMAzureEnvProjet[[#This Row],[VM]])</f>
        <v>BRGM-ORRM</v>
      </c>
      <c r="C883" s="58" t="s">
        <v>20</v>
      </c>
      <c r="E883" t="s">
        <v>4</v>
      </c>
      <c r="F883" t="str">
        <f>LOOKUP(TabVMAzureEnvProjet[[#This Row],[Projet AzureDevOps]],TabAzureDevOps[ProjetAzureDevOps],TabAzureDevOps[PROJET])</f>
        <v>BRGM-ORRM</v>
      </c>
      <c r="G883" t="str">
        <f>LOOKUP(TabVMAzureEnvProjet[[#This Row],[Projet]],TabProjets[NomProj],TabProjets[SYGES])</f>
        <v>BRGM/TMA-5-1-ORRM-LOT1</v>
      </c>
      <c r="H883" t="str">
        <f>LOOKUP(TabVMAzureEnvProjet[[#This Row],[Projet]],TabProjets[NomProj],TabProjets[CP])</f>
        <v>Alice MARCHAL</v>
      </c>
      <c r="I883">
        <f>LOOKUP(TabVMAzureEnvProjet[[#This Row],[Code SYGES]],TabCONTRATSDI[Contrat SYGES],TabCONTRATSDI[Cost Center])</f>
        <v>305704</v>
      </c>
      <c r="J883" s="22" t="str">
        <f>LOOKUP(TabVMAzureEnvProjet[[#This Row],[Code SYGES]],TabCONTRATSDI[Contrat SYGES],TabCONTRATSDI[Client])</f>
        <v>BRGM</v>
      </c>
      <c r="K883" t="s">
        <v>405</v>
      </c>
      <c r="L883" s="31">
        <v>6.9180090764420807</v>
      </c>
      <c r="M883" s="41" t="s">
        <v>427</v>
      </c>
    </row>
    <row r="884" spans="1:13" x14ac:dyDescent="0.25">
      <c r="A884" s="22" t="str">
        <f>TabVMAzureEnvProjet[[#This Row],[Client]] &amp; " .:. "  &amp; TabVMAzureEnvProjet[[#This Row],[Projet]]</f>
        <v>CGOS .:. CGOS-BI</v>
      </c>
      <c r="B884" s="22" t="str">
        <f>IF(TabVMAzureEnvProjet[[#This Row],[Projet AzureDevOps]]&lt;&gt;"",TabVMAzureEnvProjet[[#This Row],[Projet AzureDevOps]],TabVMAzureEnvProjet[[#This Row],[VM]])</f>
        <v>CGOS-BI</v>
      </c>
      <c r="C884" s="58" t="s">
        <v>100</v>
      </c>
      <c r="E884" t="s">
        <v>4</v>
      </c>
      <c r="F884" t="str">
        <f>LOOKUP(TabVMAzureEnvProjet[[#This Row],[Projet AzureDevOps]],TabAzureDevOps[ProjetAzureDevOps],TabAzureDevOps[PROJET])</f>
        <v>CGOS-BI</v>
      </c>
      <c r="G884" t="str">
        <f>LOOKUP(TabVMAzureEnvProjet[[#This Row],[Projet]],TabProjets[NomProj],TabProjets[SYGES])</f>
        <v>CGOS-BUILDBI-18</v>
      </c>
      <c r="H884" t="str">
        <f>LOOKUP(TabVMAzureEnvProjet[[#This Row],[Projet]],TabProjets[NomProj],TabProjets[CP])</f>
        <v>Valerie ASSELIN LOZACHMEUR</v>
      </c>
      <c r="I884">
        <f>LOOKUP(TabVMAzureEnvProjet[[#This Row],[Code SYGES]],TabCONTRATSDI[Contrat SYGES],TabCONTRATSDI[Cost Center])</f>
        <v>305704</v>
      </c>
      <c r="J884" s="22" t="str">
        <f>LOOKUP(TabVMAzureEnvProjet[[#This Row],[Code SYGES]],TabCONTRATSDI[Contrat SYGES],TabCONTRATSDI[Client])</f>
        <v>CGOS</v>
      </c>
      <c r="K884" t="s">
        <v>405</v>
      </c>
      <c r="L884" s="31">
        <v>7.0797448152539051</v>
      </c>
      <c r="M884" s="41" t="s">
        <v>427</v>
      </c>
    </row>
    <row r="885" spans="1:13" x14ac:dyDescent="0.25">
      <c r="A885" s="22" t="str">
        <f>TabVMAzureEnvProjet[[#This Row],[Client]] &amp; " .:. "  &amp; TabVMAzureEnvProjet[[#This Row],[Projet]]</f>
        <v>CNAV .:. CNAV-BI-RGCU</v>
      </c>
      <c r="B885" s="22" t="str">
        <f>IF(TabVMAzureEnvProjet[[#This Row],[Projet AzureDevOps]]&lt;&gt;"",TabVMAzureEnvProjet[[#This Row],[Projet AzureDevOps]],TabVMAzureEnvProjet[[#This Row],[VM]])</f>
        <v>CNAV-BI-RGCU</v>
      </c>
      <c r="C885" s="58" t="s">
        <v>27</v>
      </c>
      <c r="E885" t="s">
        <v>4</v>
      </c>
      <c r="F885" t="str">
        <f>LOOKUP(TabVMAzureEnvProjet[[#This Row],[Projet AzureDevOps]],TabAzureDevOps[ProjetAzureDevOps],TabAzureDevOps[PROJET])</f>
        <v>CNAV-BI-RGCU</v>
      </c>
      <c r="G885" t="str">
        <f>LOOKUP(TabVMAzureEnvProjet[[#This Row],[Projet]],TabProjets[NomProj],TabProjets[SYGES])</f>
        <v>CNAV/BI-SIRRGCU</v>
      </c>
      <c r="H885" t="str">
        <f>LOOKUP(TabVMAzureEnvProjet[[#This Row],[Projet]],TabProjets[NomProj],TabProjets[CP])</f>
        <v>Valerie ASSELIN LOZACHMEUR</v>
      </c>
      <c r="I885">
        <f>LOOKUP(TabVMAzureEnvProjet[[#This Row],[Code SYGES]],TabCONTRATSDI[Contrat SYGES],TabCONTRATSDI[Cost Center])</f>
        <v>305704</v>
      </c>
      <c r="J885" s="22" t="str">
        <f>LOOKUP(TabVMAzureEnvProjet[[#This Row],[Code SYGES]],TabCONTRATSDI[Contrat SYGES],TabCONTRATSDI[Client])</f>
        <v>CNAV</v>
      </c>
      <c r="K885" t="s">
        <v>405</v>
      </c>
      <c r="L885" s="31">
        <v>2.3599149384179685</v>
      </c>
      <c r="M885" s="41" t="s">
        <v>427</v>
      </c>
    </row>
    <row r="886" spans="1:13" x14ac:dyDescent="0.25">
      <c r="A886" s="22" t="str">
        <f>TabVMAzureEnvProjet[[#This Row],[Client]] &amp; " .:. "  &amp; TabVMAzureEnvProjet[[#This Row],[Projet]]</f>
        <v>FRR .:. FRR-DIGIPAT</v>
      </c>
      <c r="B886" s="22" t="str">
        <f>IF(TabVMAzureEnvProjet[[#This Row],[Projet AzureDevOps]]&lt;&gt;"",TabVMAzureEnvProjet[[#This Row],[Projet AzureDevOps]],TabVMAzureEnvProjet[[#This Row],[VM]])</f>
        <v>FRR DIGIPAT</v>
      </c>
      <c r="C886" s="58" t="s">
        <v>30</v>
      </c>
      <c r="E886" t="s">
        <v>4</v>
      </c>
      <c r="F886" t="str">
        <f>LOOKUP(TabVMAzureEnvProjet[[#This Row],[Projet AzureDevOps]],TabAzureDevOps[ProjetAzureDevOps],TabAzureDevOps[PROJET])</f>
        <v>FRR-DIGIPAT</v>
      </c>
      <c r="G886" t="str">
        <f>LOOKUP(TabVMAzureEnvProjet[[#This Row],[Projet]],TabProjets[NomProj],TabProjets[SYGES])</f>
        <v>FRR/TMASI</v>
      </c>
      <c r="H886" t="str">
        <f>LOOKUP(TabVMAzureEnvProjet[[#This Row],[Projet]],TabProjets[NomProj],TabProjets[CP])</f>
        <v>Alice MARCHAL</v>
      </c>
      <c r="I886">
        <f>LOOKUP(TabVMAzureEnvProjet[[#This Row],[Code SYGES]],TabCONTRATSDI[Contrat SYGES],TabCONTRATSDI[Cost Center])</f>
        <v>305704</v>
      </c>
      <c r="J886" s="22" t="str">
        <f>LOOKUP(TabVMAzureEnvProjet[[#This Row],[Code SYGES]],TabCONTRATSDI[Contrat SYGES],TabCONTRATSDI[Client])</f>
        <v>FRR</v>
      </c>
      <c r="K886" t="s">
        <v>405</v>
      </c>
      <c r="L886" s="31">
        <v>4.9176612997356548</v>
      </c>
      <c r="M886" s="41" t="s">
        <v>427</v>
      </c>
    </row>
    <row r="887" spans="1:13" x14ac:dyDescent="0.25">
      <c r="A887" s="22" t="str">
        <f>TabVMAzureEnvProjet[[#This Row],[Client]] &amp; " .:. "  &amp; TabVMAzureEnvProjet[[#This Row],[Projet]]</f>
        <v>FRR .:. FRR-APPLIFRR</v>
      </c>
      <c r="B887" s="22" t="str">
        <f>IF(TabVMAzureEnvProjet[[#This Row],[Projet AzureDevOps]]&lt;&gt;"",TabVMAzureEnvProjet[[#This Row],[Projet AzureDevOps]],TabVMAzureEnvProjet[[#This Row],[VM]])</f>
        <v>FRR-APPLIFRR</v>
      </c>
      <c r="C887" s="58" t="s">
        <v>32</v>
      </c>
      <c r="E887" t="s">
        <v>4</v>
      </c>
      <c r="F887" t="str">
        <f>LOOKUP(TabVMAzureEnvProjet[[#This Row],[Projet AzureDevOps]],TabAzureDevOps[ProjetAzureDevOps],TabAzureDevOps[PROJET])</f>
        <v>FRR-APPLIFRR</v>
      </c>
      <c r="G887" t="str">
        <f>LOOKUP(TabVMAzureEnvProjet[[#This Row],[Projet]],TabProjets[NomProj],TabProjets[SYGES])</f>
        <v>FRR/TMASI</v>
      </c>
      <c r="H887" t="str">
        <f>LOOKUP(TabVMAzureEnvProjet[[#This Row],[Projet]],TabProjets[NomProj],TabProjets[CP])</f>
        <v>Jean-Philippe STROIAZZO</v>
      </c>
      <c r="I887">
        <f>LOOKUP(TabVMAzureEnvProjet[[#This Row],[Code SYGES]],TabCONTRATSDI[Contrat SYGES],TabCONTRATSDI[Cost Center])</f>
        <v>305704</v>
      </c>
      <c r="J887" s="22" t="str">
        <f>LOOKUP(TabVMAzureEnvProjet[[#This Row],[Code SYGES]],TabCONTRATSDI[Contrat SYGES],TabCONTRATSDI[Client])</f>
        <v>FRR</v>
      </c>
      <c r="K887" t="s">
        <v>405</v>
      </c>
      <c r="L887" s="31">
        <v>1.2438079816120677</v>
      </c>
      <c r="M887" s="41" t="s">
        <v>427</v>
      </c>
    </row>
    <row r="888" spans="1:13" x14ac:dyDescent="0.25">
      <c r="A888" s="22" t="str">
        <f>TabVMAzureEnvProjet[[#This Row],[Client]] &amp; " .:. "  &amp; TabVMAzureEnvProjet[[#This Row],[Projet]]</f>
        <v>FRR .:. FRR-CADENCIER</v>
      </c>
      <c r="B888" s="22" t="str">
        <f>IF(TabVMAzureEnvProjet[[#This Row],[Projet AzureDevOps]]&lt;&gt;"",TabVMAzureEnvProjet[[#This Row],[Projet AzureDevOps]],TabVMAzureEnvProjet[[#This Row],[VM]])</f>
        <v>FRR-CADENCIER</v>
      </c>
      <c r="C888" s="58" t="s">
        <v>33</v>
      </c>
      <c r="E888" t="s">
        <v>4</v>
      </c>
      <c r="F888" t="str">
        <f>LOOKUP(TabVMAzureEnvProjet[[#This Row],[Projet AzureDevOps]],TabAzureDevOps[ProjetAzureDevOps],TabAzureDevOps[PROJET])</f>
        <v>FRR-CADENCIER</v>
      </c>
      <c r="G888" t="str">
        <f>LOOKUP(TabVMAzureEnvProjet[[#This Row],[Projet]],TabProjets[NomProj],TabProjets[SYGES])</f>
        <v>FRR/TMASI</v>
      </c>
      <c r="H888" t="str">
        <f>LOOKUP(TabVMAzureEnvProjet[[#This Row],[Projet]],TabProjets[NomProj],TabProjets[CP])</f>
        <v>Jean-Philippe STROIAZZO</v>
      </c>
      <c r="I888">
        <f>LOOKUP(TabVMAzureEnvProjet[[#This Row],[Code SYGES]],TabCONTRATSDI[Contrat SYGES],TabCONTRATSDI[Cost Center])</f>
        <v>305704</v>
      </c>
      <c r="J888" s="22" t="str">
        <f>LOOKUP(TabVMAzureEnvProjet[[#This Row],[Code SYGES]],TabCONTRATSDI[Contrat SYGES],TabCONTRATSDI[Client])</f>
        <v>FRR</v>
      </c>
      <c r="K888" t="s">
        <v>405</v>
      </c>
      <c r="L888" s="31">
        <v>1.7682335234827276</v>
      </c>
      <c r="M888" s="41" t="s">
        <v>427</v>
      </c>
    </row>
    <row r="889" spans="1:13" x14ac:dyDescent="0.25">
      <c r="A889" s="22" t="str">
        <f>TabVMAzureEnvProjet[[#This Row],[Client]] &amp; " .:. "  &amp; TabVMAzureEnvProjet[[#This Row],[Projet]]</f>
        <v>FRR .:. FRR-PATAPAIN</v>
      </c>
      <c r="B889" s="22" t="str">
        <f>IF(TabVMAzureEnvProjet[[#This Row],[Projet AzureDevOps]]&lt;&gt;"",TabVMAzureEnvProjet[[#This Row],[Projet AzureDevOps]],TabVMAzureEnvProjet[[#This Row],[VM]])</f>
        <v>FRR-Patapain</v>
      </c>
      <c r="C889" s="58" t="s">
        <v>35</v>
      </c>
      <c r="E889" t="s">
        <v>4</v>
      </c>
      <c r="F889" t="str">
        <f>LOOKUP(TabVMAzureEnvProjet[[#This Row],[Projet AzureDevOps]],TabAzureDevOps[ProjetAzureDevOps],TabAzureDevOps[PROJET])</f>
        <v>FRR-PATAPAIN</v>
      </c>
      <c r="G889" t="str">
        <f>LOOKUP(TabVMAzureEnvProjet[[#This Row],[Projet]],TabProjets[NomProj],TabProjets[SYGES])</f>
        <v>FRR/TMASI</v>
      </c>
      <c r="H889" t="str">
        <f>LOOKUP(TabVMAzureEnvProjet[[#This Row],[Projet]],TabProjets[NomProj],TabProjets[CP])</f>
        <v>Christophe ORLANDO</v>
      </c>
      <c r="I889">
        <f>LOOKUP(TabVMAzureEnvProjet[[#This Row],[Code SYGES]],TabCONTRATSDI[Contrat SYGES],TabCONTRATSDI[Cost Center])</f>
        <v>305704</v>
      </c>
      <c r="J889" s="22" t="str">
        <f>LOOKUP(TabVMAzureEnvProjet[[#This Row],[Code SYGES]],TabCONTRATSDI[Contrat SYGES],TabCONTRATSDI[Client])</f>
        <v>FRR</v>
      </c>
      <c r="K889" t="s">
        <v>405</v>
      </c>
      <c r="L889" s="31">
        <v>1.2365866138563621</v>
      </c>
      <c r="M889" s="41" t="s">
        <v>427</v>
      </c>
    </row>
    <row r="890" spans="1:13" x14ac:dyDescent="0.25">
      <c r="A890" s="22" t="str">
        <f>TabVMAzureEnvProjet[[#This Row],[Client]] &amp; " .:. "  &amp; TabVMAzureEnvProjet[[#This Row],[Projet]]</f>
        <v>FRR .:. FRR-PATAPAINANDROID</v>
      </c>
      <c r="B890" s="22" t="str">
        <f>IF(TabVMAzureEnvProjet[[#This Row],[Projet AzureDevOps]]&lt;&gt;"",TabVMAzureEnvProjet[[#This Row],[Projet AzureDevOps]],TabVMAzureEnvProjet[[#This Row],[VM]])</f>
        <v>FRR-PATAPAINANDROID</v>
      </c>
      <c r="C890" s="58" t="s">
        <v>36</v>
      </c>
      <c r="E890" t="s">
        <v>4</v>
      </c>
      <c r="F890" t="str">
        <f>LOOKUP(TabVMAzureEnvProjet[[#This Row],[Projet AzureDevOps]],TabAzureDevOps[ProjetAzureDevOps],TabAzureDevOps[PROJET])</f>
        <v>FRR-PATAPAINANDROID</v>
      </c>
      <c r="G890" t="str">
        <f>LOOKUP(TabVMAzureEnvProjet[[#This Row],[Projet]],TabProjets[NomProj],TabProjets[SYGES])</f>
        <v>FRR/TMASI</v>
      </c>
      <c r="H890" t="str">
        <f>LOOKUP(TabVMAzureEnvProjet[[#This Row],[Projet]],TabProjets[NomProj],TabProjets[CP])</f>
        <v>Jean-Philippe STROIAZZO</v>
      </c>
      <c r="I890">
        <f>LOOKUP(TabVMAzureEnvProjet[[#This Row],[Code SYGES]],TabCONTRATSDI[Contrat SYGES],TabCONTRATSDI[Cost Center])</f>
        <v>305704</v>
      </c>
      <c r="J890" s="22" t="str">
        <f>LOOKUP(TabVMAzureEnvProjet[[#This Row],[Code SYGES]],TabCONTRATSDI[Contrat SYGES],TabCONTRATSDI[Client])</f>
        <v>FRR</v>
      </c>
      <c r="K890" t="s">
        <v>405</v>
      </c>
      <c r="L890" s="31">
        <v>5.9636378584480045</v>
      </c>
      <c r="M890" s="41" t="s">
        <v>427</v>
      </c>
    </row>
    <row r="891" spans="1:13" x14ac:dyDescent="0.25">
      <c r="A891" s="22" t="str">
        <f>TabVMAzureEnvProjet[[#This Row],[Client]] &amp; " .:. "  &amp; TabVMAzureEnvProjet[[#This Row],[Projet]]</f>
        <v>INETUM .:. INETUM-INTERNE</v>
      </c>
      <c r="B891" s="22" t="str">
        <f>IF(TabVMAzureEnvProjet[[#This Row],[Projet AzureDevOps]]&lt;&gt;"",TabVMAzureEnvProjet[[#This Row],[Projet AzureDevOps]],TabVMAzureEnvProjet[[#This Row],[VM]])</f>
        <v>GFI-BaseDocumentaire</v>
      </c>
      <c r="C891" s="58" t="s">
        <v>112</v>
      </c>
      <c r="E891" t="s">
        <v>4</v>
      </c>
      <c r="F891" t="str">
        <f>LOOKUP(TabVMAzureEnvProjet[[#This Row],[Projet AzureDevOps]],TabAzureDevOps[ProjetAzureDevOps],TabAzureDevOps[PROJET])</f>
        <v>INETUM-INTERNE</v>
      </c>
      <c r="G891" t="str">
        <f>LOOKUP(TabVMAzureEnvProjet[[#This Row],[Projet]],TabProjets[NomProj],TabProjets[SYGES])</f>
        <v>INETUM/PROJET_INTERNE</v>
      </c>
      <c r="H891" t="str">
        <f>LOOKUP(TabVMAzureEnvProjet[[#This Row],[Projet]],TabProjets[NomProj],TabProjets[CP])</f>
        <v>Christophe ORLANDO</v>
      </c>
      <c r="I891">
        <f>LOOKUP(TabVMAzureEnvProjet[[#This Row],[Code SYGES]],TabCONTRATSDI[Contrat SYGES],TabCONTRATSDI[Cost Center])</f>
        <v>305704</v>
      </c>
      <c r="J891" s="22" t="str">
        <f>LOOKUP(TabVMAzureEnvProjet[[#This Row],[Code SYGES]],TabCONTRATSDI[Contrat SYGES],TabCONTRATSDI[Client])</f>
        <v>INETUM</v>
      </c>
      <c r="K891" t="s">
        <v>405</v>
      </c>
      <c r="L891" s="31">
        <v>1.0190541779532136</v>
      </c>
      <c r="M891" s="41" t="s">
        <v>427</v>
      </c>
    </row>
    <row r="892" spans="1:13" x14ac:dyDescent="0.25">
      <c r="A892" s="22" t="str">
        <f>TabVMAzureEnvProjet[[#This Row],[Client]] &amp; " .:. "  &amp; TabVMAzureEnvProjet[[#This Row],[Projet]]</f>
        <v>INETUM .:. INETUM-INTERNE</v>
      </c>
      <c r="B892" s="22" t="str">
        <f>IF(TabVMAzureEnvProjet[[#This Row],[Projet AzureDevOps]]&lt;&gt;"",TabVMAzureEnvProjet[[#This Row],[Projet AzureDevOps]],TabVMAzureEnvProjet[[#This Row],[VM]])</f>
        <v>GFI-CMIS</v>
      </c>
      <c r="C892" s="58" t="s">
        <v>106</v>
      </c>
      <c r="E892" t="s">
        <v>4</v>
      </c>
      <c r="F892" t="str">
        <f>LOOKUP(TabVMAzureEnvProjet[[#This Row],[Projet AzureDevOps]],TabAzureDevOps[ProjetAzureDevOps],TabAzureDevOps[PROJET])</f>
        <v>INETUM-INTERNE</v>
      </c>
      <c r="G892" t="str">
        <f>LOOKUP(TabVMAzureEnvProjet[[#This Row],[Projet]],TabProjets[NomProj],TabProjets[SYGES])</f>
        <v>INETUM/PROJET_INTERNE</v>
      </c>
      <c r="H892" t="str">
        <f>LOOKUP(TabVMAzureEnvProjet[[#This Row],[Projet]],TabProjets[NomProj],TabProjets[CP])</f>
        <v>Christophe ORLANDO</v>
      </c>
      <c r="I892">
        <f>LOOKUP(TabVMAzureEnvProjet[[#This Row],[Code SYGES]],TabCONTRATSDI[Contrat SYGES],TabCONTRATSDI[Cost Center])</f>
        <v>305704</v>
      </c>
      <c r="J892" s="22" t="str">
        <f>LOOKUP(TabVMAzureEnvProjet[[#This Row],[Code SYGES]],TabCONTRATSDI[Contrat SYGES],TabCONTRATSDI[Client])</f>
        <v>INETUM</v>
      </c>
      <c r="K892" t="s">
        <v>405</v>
      </c>
      <c r="L892" s="31">
        <v>0.20520999464504075</v>
      </c>
      <c r="M892" s="41" t="s">
        <v>427</v>
      </c>
    </row>
    <row r="893" spans="1:13" x14ac:dyDescent="0.25">
      <c r="A893" s="22" t="str">
        <f>TabVMAzureEnvProjet[[#This Row],[Client]] &amp; " .:. "  &amp; TabVMAzureEnvProjet[[#This Row],[Projet]]</f>
        <v>INETUM .:. INETUM-INTERNE</v>
      </c>
      <c r="B893" s="22" t="str">
        <f>IF(TabVMAzureEnvProjet[[#This Row],[Projet AzureDevOps]]&lt;&gt;"",TabVMAzureEnvProjet[[#This Row],[Projet AzureDevOps]],TabVMAzureEnvProjet[[#This Row],[VM]])</f>
        <v>GFI-COFFEE</v>
      </c>
      <c r="C893" s="58" t="s">
        <v>107</v>
      </c>
      <c r="E893" t="s">
        <v>4</v>
      </c>
      <c r="F893" t="str">
        <f>LOOKUP(TabVMAzureEnvProjet[[#This Row],[Projet AzureDevOps]],TabAzureDevOps[ProjetAzureDevOps],TabAzureDevOps[PROJET])</f>
        <v>INETUM-INTERNE</v>
      </c>
      <c r="G893" t="str">
        <f>LOOKUP(TabVMAzureEnvProjet[[#This Row],[Projet]],TabProjets[NomProj],TabProjets[SYGES])</f>
        <v>INETUM/PROJET_INTERNE</v>
      </c>
      <c r="H893" t="str">
        <f>LOOKUP(TabVMAzureEnvProjet[[#This Row],[Projet]],TabProjets[NomProj],TabProjets[CP])</f>
        <v>Christophe ORLANDO</v>
      </c>
      <c r="I893">
        <f>LOOKUP(TabVMAzureEnvProjet[[#This Row],[Code SYGES]],TabCONTRATSDI[Contrat SYGES],TabCONTRATSDI[Cost Center])</f>
        <v>305704</v>
      </c>
      <c r="J893" s="22" t="str">
        <f>LOOKUP(TabVMAzureEnvProjet[[#This Row],[Code SYGES]],TabCONTRATSDI[Contrat SYGES],TabCONTRATSDI[Client])</f>
        <v>INETUM</v>
      </c>
      <c r="K893" t="s">
        <v>405</v>
      </c>
      <c r="L893" s="31">
        <v>0.90194678598748856</v>
      </c>
      <c r="M893" s="41" t="s">
        <v>427</v>
      </c>
    </row>
    <row r="894" spans="1:13" x14ac:dyDescent="0.25">
      <c r="A894" s="22" t="str">
        <f>TabVMAzureEnvProjet[[#This Row],[Client]] &amp; " .:. "  &amp; TabVMAzureEnvProjet[[#This Row],[Projet]]</f>
        <v>INETUM .:. INETUM-INTERNE</v>
      </c>
      <c r="B894" s="22" t="str">
        <f>IF(TabVMAzureEnvProjet[[#This Row],[Projet AzureDevOps]]&lt;&gt;"",TabVMAzureEnvProjet[[#This Row],[Projet AzureDevOps]],TabVMAzureEnvProjet[[#This Row],[VM]])</f>
        <v>GFI-CRALENIUM</v>
      </c>
      <c r="C894" s="58" t="s">
        <v>108</v>
      </c>
      <c r="E894" t="s">
        <v>4</v>
      </c>
      <c r="F894" t="str">
        <f>LOOKUP(TabVMAzureEnvProjet[[#This Row],[Projet AzureDevOps]],TabAzureDevOps[ProjetAzureDevOps],TabAzureDevOps[PROJET])</f>
        <v>INETUM-INTERNE</v>
      </c>
      <c r="G894" t="str">
        <f>LOOKUP(TabVMAzureEnvProjet[[#This Row],[Projet]],TabProjets[NomProj],TabProjets[SYGES])</f>
        <v>INETUM/PROJET_INTERNE</v>
      </c>
      <c r="H894" t="str">
        <f>LOOKUP(TabVMAzureEnvProjet[[#This Row],[Projet]],TabProjets[NomProj],TabProjets[CP])</f>
        <v>Christophe ORLANDO</v>
      </c>
      <c r="I894">
        <f>LOOKUP(TabVMAzureEnvProjet[[#This Row],[Code SYGES]],TabCONTRATSDI[Contrat SYGES],TabCONTRATSDI[Cost Center])</f>
        <v>305704</v>
      </c>
      <c r="J894" s="22" t="str">
        <f>LOOKUP(TabVMAzureEnvProjet[[#This Row],[Code SYGES]],TabCONTRATSDI[Contrat SYGES],TabCONTRATSDI[Client])</f>
        <v>INETUM</v>
      </c>
      <c r="K894" t="s">
        <v>405</v>
      </c>
      <c r="L894" s="31">
        <v>1.2438079816120677</v>
      </c>
      <c r="M894" s="41" t="s">
        <v>427</v>
      </c>
    </row>
    <row r="895" spans="1:13" x14ac:dyDescent="0.25">
      <c r="A895" s="22" t="str">
        <f>TabVMAzureEnvProjet[[#This Row],[Client]] &amp; " .:. "  &amp; TabVMAzureEnvProjet[[#This Row],[Projet]]</f>
        <v>INETUM .:. INETUM-INTERNE</v>
      </c>
      <c r="B895" s="22" t="str">
        <f>IF(TabVMAzureEnvProjet[[#This Row],[Projet AzureDevOps]]&lt;&gt;"",TabVMAzureEnvProjet[[#This Row],[Projet AzureDevOps]],TabVMAzureEnvProjet[[#This Row],[VM]])</f>
        <v>GFI-D8-BS4-THEME</v>
      </c>
      <c r="C895" s="58" t="s">
        <v>103</v>
      </c>
      <c r="E895" t="s">
        <v>4</v>
      </c>
      <c r="F895" t="str">
        <f>LOOKUP(TabVMAzureEnvProjet[[#This Row],[Projet AzureDevOps]],TabAzureDevOps[ProjetAzureDevOps],TabAzureDevOps[PROJET])</f>
        <v>INETUM-INTERNE</v>
      </c>
      <c r="G895" t="str">
        <f>LOOKUP(TabVMAzureEnvProjet[[#This Row],[Projet]],TabProjets[NomProj],TabProjets[SYGES])</f>
        <v>INETUM/PROJET_INTERNE</v>
      </c>
      <c r="H895" t="str">
        <f>LOOKUP(TabVMAzureEnvProjet[[#This Row],[Projet]],TabProjets[NomProj],TabProjets[CP])</f>
        <v>Christophe ORLANDO</v>
      </c>
      <c r="I895">
        <f>LOOKUP(TabVMAzureEnvProjet[[#This Row],[Code SYGES]],TabCONTRATSDI[Contrat SYGES],TabCONTRATSDI[Cost Center])</f>
        <v>305704</v>
      </c>
      <c r="J895" s="22" t="str">
        <f>LOOKUP(TabVMAzureEnvProjet[[#This Row],[Code SYGES]],TabCONTRATSDI[Contrat SYGES],TabCONTRATSDI[Client])</f>
        <v>INETUM</v>
      </c>
      <c r="K895" t="s">
        <v>405</v>
      </c>
      <c r="L895" s="31">
        <v>1.201618524199294</v>
      </c>
      <c r="M895" s="41" t="s">
        <v>427</v>
      </c>
    </row>
    <row r="896" spans="1:13" x14ac:dyDescent="0.25">
      <c r="A896" s="22" t="str">
        <f>TabVMAzureEnvProjet[[#This Row],[Client]] &amp; " .:. "  &amp; TabVMAzureEnvProjet[[#This Row],[Projet]]</f>
        <v>INETUM .:. INETUM-INTERNE</v>
      </c>
      <c r="B896" s="22" t="str">
        <f>IF(TabVMAzureEnvProjet[[#This Row],[Projet AzureDevOps]]&lt;&gt;"",TabVMAzureEnvProjet[[#This Row],[Projet AzureDevOps]],TabVMAzureEnvProjet[[#This Row],[VM]])</f>
        <v>GFI-MineReport</v>
      </c>
      <c r="C896" s="58" t="s">
        <v>104</v>
      </c>
      <c r="E896" t="s">
        <v>4</v>
      </c>
      <c r="F896" t="str">
        <f>LOOKUP(TabVMAzureEnvProjet[[#This Row],[Projet AzureDevOps]],TabAzureDevOps[ProjetAzureDevOps],TabAzureDevOps[PROJET])</f>
        <v>INETUM-INTERNE</v>
      </c>
      <c r="G896" t="str">
        <f>LOOKUP(TabVMAzureEnvProjet[[#This Row],[Projet]],TabProjets[NomProj],TabProjets[SYGES])</f>
        <v>INETUM/PROJET_INTERNE</v>
      </c>
      <c r="H896" t="str">
        <f>LOOKUP(TabVMAzureEnvProjet[[#This Row],[Projet]],TabProjets[NomProj],TabProjets[CP])</f>
        <v>Christophe ORLANDO</v>
      </c>
      <c r="I896">
        <f>LOOKUP(TabVMAzureEnvProjet[[#This Row],[Code SYGES]],TabCONTRATSDI[Contrat SYGES],TabCONTRATSDI[Cost Center])</f>
        <v>305704</v>
      </c>
      <c r="J896" s="22" t="str">
        <f>LOOKUP(TabVMAzureEnvProjet[[#This Row],[Code SYGES]],TabCONTRATSDI[Contrat SYGES],TabCONTRATSDI[Client])</f>
        <v>INETUM</v>
      </c>
      <c r="K896" t="s">
        <v>405</v>
      </c>
      <c r="L896" s="31">
        <v>1.6099212675128791</v>
      </c>
      <c r="M896" s="41" t="s">
        <v>427</v>
      </c>
    </row>
    <row r="897" spans="1:13" x14ac:dyDescent="0.25">
      <c r="A897" s="22" t="str">
        <f>TabVMAzureEnvProjet[[#This Row],[Client]] &amp; " .:. "  &amp; TabVMAzureEnvProjet[[#This Row],[Projet]]</f>
        <v>INETUM .:. INETUM-INTERNE</v>
      </c>
      <c r="B897" s="22" t="str">
        <f>IF(TabVMAzureEnvProjet[[#This Row],[Projet AzureDevOps]]&lt;&gt;"",TabVMAzureEnvProjet[[#This Row],[Projet AzureDevOps]],TabVMAzureEnvProjet[[#This Row],[VM]])</f>
        <v>GFI-PMT</v>
      </c>
      <c r="C897" s="58" t="s">
        <v>110</v>
      </c>
      <c r="E897" t="s">
        <v>4</v>
      </c>
      <c r="F897" t="str">
        <f>LOOKUP(TabVMAzureEnvProjet[[#This Row],[Projet AzureDevOps]],TabAzureDevOps[ProjetAzureDevOps],TabAzureDevOps[PROJET])</f>
        <v>INETUM-INTERNE</v>
      </c>
      <c r="G897" t="str">
        <f>LOOKUP(TabVMAzureEnvProjet[[#This Row],[Projet]],TabProjets[NomProj],TabProjets[SYGES])</f>
        <v>INETUM/PROJET_INTERNE</v>
      </c>
      <c r="H897" t="str">
        <f>LOOKUP(TabVMAzureEnvProjet[[#This Row],[Projet]],TabProjets[NomProj],TabProjets[CP])</f>
        <v>Christophe ORLANDO</v>
      </c>
      <c r="I897">
        <f>LOOKUP(TabVMAzureEnvProjet[[#This Row],[Code SYGES]],TabCONTRATSDI[Contrat SYGES],TabCONTRATSDI[Cost Center])</f>
        <v>305704</v>
      </c>
      <c r="J897" s="22" t="str">
        <f>LOOKUP(TabVMAzureEnvProjet[[#This Row],[Code SYGES]],TabCONTRATSDI[Contrat SYGES],TabCONTRATSDI[Client])</f>
        <v>INETUM</v>
      </c>
      <c r="K897" t="s">
        <v>405</v>
      </c>
      <c r="L897" s="31">
        <v>2.3419328849509631</v>
      </c>
      <c r="M897" s="41" t="s">
        <v>427</v>
      </c>
    </row>
    <row r="898" spans="1:13" x14ac:dyDescent="0.25">
      <c r="A898" s="22" t="str">
        <f>TabVMAzureEnvProjet[[#This Row],[Client]] &amp; " .:. "  &amp; TabVMAzureEnvProjet[[#This Row],[Projet]]</f>
        <v>INETUM .:. INETUM-INTERNE</v>
      </c>
      <c r="B898" s="22" t="str">
        <f>IF(TabVMAzureEnvProjet[[#This Row],[Projet AzureDevOps]]&lt;&gt;"",TabVMAzureEnvProjet[[#This Row],[Projet AzureDevOps]],TabVMAzureEnvProjet[[#This Row],[VM]])</f>
        <v>GFI-RedmineDocker</v>
      </c>
      <c r="C898" s="58" t="s">
        <v>105</v>
      </c>
      <c r="E898" t="s">
        <v>4</v>
      </c>
      <c r="F898" t="str">
        <f>LOOKUP(TabVMAzureEnvProjet[[#This Row],[Projet AzureDevOps]],TabAzureDevOps[ProjetAzureDevOps],TabAzureDevOps[PROJET])</f>
        <v>INETUM-INTERNE</v>
      </c>
      <c r="G898" t="str">
        <f>LOOKUP(TabVMAzureEnvProjet[[#This Row],[Projet]],TabProjets[NomProj],TabProjets[SYGES])</f>
        <v>INETUM/PROJET_INTERNE</v>
      </c>
      <c r="H898" t="str">
        <f>LOOKUP(TabVMAzureEnvProjet[[#This Row],[Projet]],TabProjets[NomProj],TabProjets[CP])</f>
        <v>Christophe ORLANDO</v>
      </c>
      <c r="I898">
        <f>LOOKUP(TabVMAzureEnvProjet[[#This Row],[Code SYGES]],TabCONTRATSDI[Contrat SYGES],TabCONTRATSDI[Cost Center])</f>
        <v>305704</v>
      </c>
      <c r="J898" s="22" t="str">
        <f>LOOKUP(TabVMAzureEnvProjet[[#This Row],[Code SYGES]],TabCONTRATSDI[Contrat SYGES],TabCONTRATSDI[Client])</f>
        <v>INETUM</v>
      </c>
      <c r="K898" t="s">
        <v>405</v>
      </c>
      <c r="L898" s="31">
        <v>0.87301428440821582</v>
      </c>
      <c r="M898" s="41" t="s">
        <v>427</v>
      </c>
    </row>
    <row r="899" spans="1:13" x14ac:dyDescent="0.25">
      <c r="A899" s="22" t="str">
        <f>TabVMAzureEnvProjet[[#This Row],[Client]] &amp; " .:. "  &amp; TabVMAzureEnvProjet[[#This Row],[Projet]]</f>
        <v>INETUM .:. INETUM-INTERNE</v>
      </c>
      <c r="B899" s="22" t="str">
        <f>IF(TabVMAzureEnvProjet[[#This Row],[Projet AzureDevOps]]&lt;&gt;"",TabVMAzureEnvProjet[[#This Row],[Projet AzureDevOps]],TabVMAzureEnvProjet[[#This Row],[VM]])</f>
        <v>GFI-TENDER</v>
      </c>
      <c r="C899" s="58" t="s">
        <v>111</v>
      </c>
      <c r="E899" t="s">
        <v>4</v>
      </c>
      <c r="F899" t="str">
        <f>LOOKUP(TabVMAzureEnvProjet[[#This Row],[Projet AzureDevOps]],TabAzureDevOps[ProjetAzureDevOps],TabAzureDevOps[PROJET])</f>
        <v>INETUM-INTERNE</v>
      </c>
      <c r="G899" t="str">
        <f>LOOKUP(TabVMAzureEnvProjet[[#This Row],[Projet]],TabProjets[NomProj],TabProjets[SYGES])</f>
        <v>INETUM/PROJET_INTERNE</v>
      </c>
      <c r="H899" t="str">
        <f>LOOKUP(TabVMAzureEnvProjet[[#This Row],[Projet]],TabProjets[NomProj],TabProjets[CP])</f>
        <v>Christophe ORLANDO</v>
      </c>
      <c r="I899">
        <f>LOOKUP(TabVMAzureEnvProjet[[#This Row],[Code SYGES]],TabCONTRATSDI[Contrat SYGES],TabCONTRATSDI[Cost Center])</f>
        <v>305704</v>
      </c>
      <c r="J899" s="22" t="str">
        <f>LOOKUP(TabVMAzureEnvProjet[[#This Row],[Code SYGES]],TabCONTRATSDI[Contrat SYGES],TabCONTRATSDI[Client])</f>
        <v>INETUM</v>
      </c>
      <c r="K899" t="s">
        <v>405</v>
      </c>
      <c r="L899" s="31">
        <v>1.2438079816120677</v>
      </c>
      <c r="M899" s="41" t="s">
        <v>427</v>
      </c>
    </row>
    <row r="900" spans="1:13" x14ac:dyDescent="0.25">
      <c r="A900" s="22" t="str">
        <f>TabVMAzureEnvProjet[[#This Row],[Client]] &amp; " .:. "  &amp; TabVMAzureEnvProjet[[#This Row],[Projet]]</f>
        <v>GFI .:. GFI-WAAC</v>
      </c>
      <c r="B900" s="22" t="str">
        <f>IF(TabVMAzureEnvProjet[[#This Row],[Projet AzureDevOps]]&lt;&gt;"",TabVMAzureEnvProjet[[#This Row],[Projet AzureDevOps]],TabVMAzureEnvProjet[[#This Row],[VM]])</f>
        <v>GFI-WAAC</v>
      </c>
      <c r="C900" s="58" t="s">
        <v>38</v>
      </c>
      <c r="E900" t="s">
        <v>4</v>
      </c>
      <c r="F900" t="str">
        <f>LOOKUP(TabVMAzureEnvProjet[[#This Row],[Projet AzureDevOps]],TabAzureDevOps[ProjetAzureDevOps],TabAzureDevOps[PROJET])</f>
        <v>GFI-WAAC</v>
      </c>
      <c r="G900" t="str">
        <f>LOOKUP(TabVMAzureEnvProjet[[#This Row],[Projet]],TabProjets[NomProj],TabProjets[SYGES])</f>
        <v>383928 - WAAC 1.0</v>
      </c>
      <c r="H900" t="str">
        <f>LOOKUP(TabVMAzureEnvProjet[[#This Row],[Projet]],TabProjets[NomProj],TabProjets[CP])</f>
        <v>Laurent MARCIANIAK</v>
      </c>
      <c r="I900">
        <f>LOOKUP(TabVMAzureEnvProjet[[#This Row],[Code SYGES]],TabCONTRATSDI[Contrat SYGES],TabCONTRATSDI[Cost Center])</f>
        <v>100973</v>
      </c>
      <c r="J900" s="22" t="str">
        <f>LOOKUP(TabVMAzureEnvProjet[[#This Row],[Code SYGES]],TabCONTRATSDI[Contrat SYGES],TabCONTRATSDI[Client])</f>
        <v>GFI</v>
      </c>
      <c r="K900" t="s">
        <v>405</v>
      </c>
      <c r="L900" s="31">
        <v>192.42788685253538</v>
      </c>
      <c r="M900" s="41" t="s">
        <v>427</v>
      </c>
    </row>
    <row r="901" spans="1:13" x14ac:dyDescent="0.25">
      <c r="A901" s="22" t="str">
        <f>TabVMAzureEnvProjet[[#This Row],[Client]] &amp; " .:. "  &amp; TabVMAzureEnvProjet[[#This Row],[Projet]]</f>
        <v>GLI .:. GLI-APIBIOMETRIE</v>
      </c>
      <c r="B901" s="22" t="str">
        <f>IF(TabVMAzureEnvProjet[[#This Row],[Projet AzureDevOps]]&lt;&gt;"",TabVMAzureEnvProjet[[#This Row],[Projet AzureDevOps]],TabVMAzureEnvProjet[[#This Row],[VM]])</f>
        <v>GLI-APIBiometrie</v>
      </c>
      <c r="C901" s="58" t="s">
        <v>42</v>
      </c>
      <c r="E901" t="s">
        <v>4</v>
      </c>
      <c r="F901" t="str">
        <f>LOOKUP(TabVMAzureEnvProjet[[#This Row],[Projet AzureDevOps]],TabAzureDevOps[ProjetAzureDevOps],TabAzureDevOps[PROJET])</f>
        <v>GLI-APIBIOMETRIE</v>
      </c>
      <c r="G901" t="str">
        <f>LOOKUP(TabVMAzureEnvProjet[[#This Row],[Projet]],TabProjets[NomProj],TabProjets[SYGES])</f>
        <v>GLI/BIOMETRIE</v>
      </c>
      <c r="H901" t="str">
        <f>LOOKUP(TabVMAzureEnvProjet[[#This Row],[Projet]],TabProjets[NomProj],TabProjets[CP])</f>
        <v>Rodolphe HABEGGER</v>
      </c>
      <c r="I901">
        <f>LOOKUP(TabVMAzureEnvProjet[[#This Row],[Code SYGES]],TabCONTRATSDI[Contrat SYGES],TabCONTRATSDI[Cost Center])</f>
        <v>305704</v>
      </c>
      <c r="J901" s="22" t="str">
        <f>LOOKUP(TabVMAzureEnvProjet[[#This Row],[Code SYGES]],TabCONTRATSDI[Contrat SYGES],TabCONTRATSDI[Client])</f>
        <v>GLI</v>
      </c>
      <c r="K901" t="s">
        <v>405</v>
      </c>
      <c r="L901" s="31">
        <v>2.0467088511832281</v>
      </c>
      <c r="M901" s="41" t="s">
        <v>427</v>
      </c>
    </row>
    <row r="902" spans="1:13" x14ac:dyDescent="0.25">
      <c r="A902" s="22" t="str">
        <f>TabVMAzureEnvProjet[[#This Row],[Client]] &amp; " .:. "  &amp; TabVMAzureEnvProjet[[#This Row],[Projet]]</f>
        <v>INETUM .:. INETUM-INTERNE</v>
      </c>
      <c r="B902" s="22" t="str">
        <f>IF(TabVMAzureEnvProjet[[#This Row],[Projet AzureDevOps]]&lt;&gt;"",TabVMAzureEnvProjet[[#This Row],[Projet AzureDevOps]],TabVMAzureEnvProjet[[#This Row],[VM]])</f>
        <v>INETUM-Azure-Pipelines</v>
      </c>
      <c r="C902" s="58" t="s">
        <v>116</v>
      </c>
      <c r="E902" t="s">
        <v>4</v>
      </c>
      <c r="F902" t="str">
        <f>LOOKUP(TabVMAzureEnvProjet[[#This Row],[Projet AzureDevOps]],TabAzureDevOps[ProjetAzureDevOps],TabAzureDevOps[PROJET])</f>
        <v>INETUM-INTERNE</v>
      </c>
      <c r="G902" t="str">
        <f>LOOKUP(TabVMAzureEnvProjet[[#This Row],[Projet]],TabProjets[NomProj],TabProjets[SYGES])</f>
        <v>INETUM/PROJET_INTERNE</v>
      </c>
      <c r="H902" t="str">
        <f>LOOKUP(TabVMAzureEnvProjet[[#This Row],[Projet]],TabProjets[NomProj],TabProjets[CP])</f>
        <v>Christophe ORLANDO</v>
      </c>
      <c r="I902">
        <f>LOOKUP(TabVMAzureEnvProjet[[#This Row],[Code SYGES]],TabCONTRATSDI[Contrat SYGES],TabCONTRATSDI[Cost Center])</f>
        <v>305704</v>
      </c>
      <c r="J902" s="22" t="str">
        <f>LOOKUP(TabVMAzureEnvProjet[[#This Row],[Code SYGES]],TabCONTRATSDI[Contrat SYGES],TabCONTRATSDI[Client])</f>
        <v>INETUM</v>
      </c>
      <c r="K902" t="s">
        <v>405</v>
      </c>
      <c r="L902" s="31">
        <v>3.3382288968460632</v>
      </c>
      <c r="M902" s="41" t="s">
        <v>427</v>
      </c>
    </row>
    <row r="903" spans="1:13" x14ac:dyDescent="0.25">
      <c r="A903" s="22" t="str">
        <f>TabVMAzureEnvProjet[[#This Row],[Client]] &amp; " .:. "  &amp; TabVMAzureEnvProjet[[#This Row],[Projet]]</f>
        <v>INETUM .:. INETUM-INTERNE</v>
      </c>
      <c r="B903" s="22" t="str">
        <f>IF(TabVMAzureEnvProjet[[#This Row],[Projet AzureDevOps]]&lt;&gt;"",TabVMAzureEnvProjet[[#This Row],[Projet AzureDevOps]],TabVMAzureEnvProjet[[#This Row],[VM]])</f>
        <v>INETUM-communaute-technique</v>
      </c>
      <c r="C903" s="58" t="s">
        <v>113</v>
      </c>
      <c r="E903" t="s">
        <v>4</v>
      </c>
      <c r="F903" t="str">
        <f>LOOKUP(TabVMAzureEnvProjet[[#This Row],[Projet AzureDevOps]],TabAzureDevOps[ProjetAzureDevOps],TabAzureDevOps[PROJET])</f>
        <v>INETUM-INTERNE</v>
      </c>
      <c r="G903" t="str">
        <f>LOOKUP(TabVMAzureEnvProjet[[#This Row],[Projet]],TabProjets[NomProj],TabProjets[SYGES])</f>
        <v>INETUM/PROJET_INTERNE</v>
      </c>
      <c r="H903" t="str">
        <f>LOOKUP(TabVMAzureEnvProjet[[#This Row],[Projet]],TabProjets[NomProj],TabProjets[CP])</f>
        <v>Christophe ORLANDO</v>
      </c>
      <c r="I903">
        <f>LOOKUP(TabVMAzureEnvProjet[[#This Row],[Code SYGES]],TabCONTRATSDI[Contrat SYGES],TabCONTRATSDI[Cost Center])</f>
        <v>305704</v>
      </c>
      <c r="J903" s="22" t="str">
        <f>LOOKUP(TabVMAzureEnvProjet[[#This Row],[Code SYGES]],TabCONTRATSDI[Contrat SYGES],TabCONTRATSDI[Client])</f>
        <v>INETUM</v>
      </c>
      <c r="K903" t="s">
        <v>405</v>
      </c>
      <c r="L903" s="31">
        <v>0.97831395842809532</v>
      </c>
      <c r="M903" s="41" t="s">
        <v>427</v>
      </c>
    </row>
    <row r="904" spans="1:13" x14ac:dyDescent="0.25">
      <c r="A904" s="22" t="str">
        <f>TabVMAzureEnvProjet[[#This Row],[Client]] &amp; " .:. "  &amp; TabVMAzureEnvProjet[[#This Row],[Projet]]</f>
        <v>INETUM .:. INETUM-INTERNE</v>
      </c>
      <c r="B904" s="22" t="str">
        <f>IF(TabVMAzureEnvProjet[[#This Row],[Projet AzureDevOps]]&lt;&gt;"",TabVMAzureEnvProjet[[#This Row],[Projet AzureDevOps]],TabVMAzureEnvProjet[[#This Row],[VM]])</f>
        <v>INETUM-Docker-Base-Image</v>
      </c>
      <c r="C904" s="58" t="s">
        <v>118</v>
      </c>
      <c r="E904" t="s">
        <v>4</v>
      </c>
      <c r="F904" t="str">
        <f>LOOKUP(TabVMAzureEnvProjet[[#This Row],[Projet AzureDevOps]],TabAzureDevOps[ProjetAzureDevOps],TabAzureDevOps[PROJET])</f>
        <v>INETUM-INTERNE</v>
      </c>
      <c r="G904" t="str">
        <f>LOOKUP(TabVMAzureEnvProjet[[#This Row],[Projet]],TabProjets[NomProj],TabProjets[SYGES])</f>
        <v>INETUM/PROJET_INTERNE</v>
      </c>
      <c r="H904" t="str">
        <f>LOOKUP(TabVMAzureEnvProjet[[#This Row],[Projet]],TabProjets[NomProj],TabProjets[CP])</f>
        <v>Christophe ORLANDO</v>
      </c>
      <c r="I904">
        <f>LOOKUP(TabVMAzureEnvProjet[[#This Row],[Code SYGES]],TabCONTRATSDI[Contrat SYGES],TabCONTRATSDI[Cost Center])</f>
        <v>305704</v>
      </c>
      <c r="J904" s="22" t="str">
        <f>LOOKUP(TabVMAzureEnvProjet[[#This Row],[Code SYGES]],TabCONTRATSDI[Contrat SYGES],TabCONTRATSDI[Client])</f>
        <v>INETUM</v>
      </c>
      <c r="K904" t="s">
        <v>405</v>
      </c>
      <c r="L904" s="31">
        <v>3.3605857596746329</v>
      </c>
      <c r="M904" s="41" t="s">
        <v>427</v>
      </c>
    </row>
    <row r="905" spans="1:13" x14ac:dyDescent="0.25">
      <c r="A905" s="22" t="str">
        <f>TabVMAzureEnvProjet[[#This Row],[Client]] &amp; " .:. "  &amp; TabVMAzureEnvProjet[[#This Row],[Projet]]</f>
        <v>INETUM .:. INETUM-INTERNE</v>
      </c>
      <c r="B905" s="22" t="str">
        <f>IF(TabVMAzureEnvProjet[[#This Row],[Projet AzureDevOps]]&lt;&gt;"",TabVMAzureEnvProjet[[#This Row],[Projet AzureDevOps]],TabVMAzureEnvProjet[[#This Row],[VM]])</f>
        <v>INETUM-Docker-Devbox-Install</v>
      </c>
      <c r="C905" s="58" t="s">
        <v>419</v>
      </c>
      <c r="E905" t="s">
        <v>4</v>
      </c>
      <c r="F905" t="str">
        <f>LOOKUP(TabVMAzureEnvProjet[[#This Row],[Projet AzureDevOps]],TabAzureDevOps[ProjetAzureDevOps],TabAzureDevOps[PROJET])</f>
        <v>INETUM-INTERNE</v>
      </c>
      <c r="G905" t="str">
        <f>LOOKUP(TabVMAzureEnvProjet[[#This Row],[Projet]],TabProjets[NomProj],TabProjets[SYGES])</f>
        <v>INETUM/PROJET_INTERNE</v>
      </c>
      <c r="H905" t="str">
        <f>LOOKUP(TabVMAzureEnvProjet[[#This Row],[Projet]],TabProjets[NomProj],TabProjets[CP])</f>
        <v>Christophe ORLANDO</v>
      </c>
      <c r="I905">
        <f>LOOKUP(TabVMAzureEnvProjet[[#This Row],[Code SYGES]],TabCONTRATSDI[Contrat SYGES],TabCONTRATSDI[Cost Center])</f>
        <v>305704</v>
      </c>
      <c r="J905" s="22" t="str">
        <f>LOOKUP(TabVMAzureEnvProjet[[#This Row],[Code SYGES]],TabCONTRATSDI[Contrat SYGES],TabCONTRATSDI[Client])</f>
        <v>INETUM</v>
      </c>
      <c r="K905" t="s">
        <v>405</v>
      </c>
      <c r="L905" s="31">
        <v>7.8328242132238746</v>
      </c>
      <c r="M905" s="41" t="s">
        <v>427</v>
      </c>
    </row>
    <row r="906" spans="1:13" x14ac:dyDescent="0.25">
      <c r="A906" s="22" t="str">
        <f>TabVMAzureEnvProjet[[#This Row],[Client]] &amp; " .:. "  &amp; TabVMAzureEnvProjet[[#This Row],[Projet]]</f>
        <v>INETUM .:. INETUM-INTERNE</v>
      </c>
      <c r="B906" s="22" t="str">
        <f>IF(TabVMAzureEnvProjet[[#This Row],[Projet AzureDevOps]]&lt;&gt;"",TabVMAzureEnvProjet[[#This Row],[Projet AzureDevOps]],TabVMAzureEnvProjet[[#This Row],[VM]])</f>
        <v>INETUM-documentation</v>
      </c>
      <c r="C906" s="58" t="s">
        <v>114</v>
      </c>
      <c r="E906" t="s">
        <v>4</v>
      </c>
      <c r="F906" t="str">
        <f>LOOKUP(TabVMAzureEnvProjet[[#This Row],[Projet AzureDevOps]],TabAzureDevOps[ProjetAzureDevOps],TabAzureDevOps[PROJET])</f>
        <v>INETUM-INTERNE</v>
      </c>
      <c r="G906" t="str">
        <f>LOOKUP(TabVMAzureEnvProjet[[#This Row],[Projet]],TabProjets[NomProj],TabProjets[SYGES])</f>
        <v>INETUM/PROJET_INTERNE</v>
      </c>
      <c r="H906" t="str">
        <f>LOOKUP(TabVMAzureEnvProjet[[#This Row],[Projet]],TabProjets[NomProj],TabProjets[CP])</f>
        <v>Christophe ORLANDO</v>
      </c>
      <c r="I906">
        <f>LOOKUP(TabVMAzureEnvProjet[[#This Row],[Code SYGES]],TabCONTRATSDI[Contrat SYGES],TabCONTRATSDI[Cost Center])</f>
        <v>305704</v>
      </c>
      <c r="J906" s="22" t="str">
        <f>LOOKUP(TabVMAzureEnvProjet[[#This Row],[Code SYGES]],TabCONTRATSDI[Contrat SYGES],TabCONTRATSDI[Client])</f>
        <v>INETUM</v>
      </c>
      <c r="K906" t="s">
        <v>405</v>
      </c>
      <c r="L906" s="31">
        <v>0.97831395842809532</v>
      </c>
      <c r="M906" s="41" t="s">
        <v>427</v>
      </c>
    </row>
    <row r="907" spans="1:13" x14ac:dyDescent="0.25">
      <c r="A907" s="22" t="str">
        <f>TabVMAzureEnvProjet[[#This Row],[Client]] &amp; " .:. "  &amp; TabVMAzureEnvProjet[[#This Row],[Projet]]</f>
        <v>INETUM .:. INETUM-INTERNE</v>
      </c>
      <c r="B907" s="22" t="str">
        <f>IF(TabVMAzureEnvProjet[[#This Row],[Projet AzureDevOps]]&lt;&gt;"",TabVMAzureEnvProjet[[#This Row],[Projet AzureDevOps]],TabVMAzureEnvProjet[[#This Row],[VM]])</f>
        <v>INETUM-starterkit-drupal</v>
      </c>
      <c r="C907" s="58" t="s">
        <v>117</v>
      </c>
      <c r="E907" t="s">
        <v>4</v>
      </c>
      <c r="F907" t="str">
        <f>LOOKUP(TabVMAzureEnvProjet[[#This Row],[Projet AzureDevOps]],TabAzureDevOps[ProjetAzureDevOps],TabAzureDevOps[PROJET])</f>
        <v>INETUM-INTERNE</v>
      </c>
      <c r="G907" t="str">
        <f>LOOKUP(TabVMAzureEnvProjet[[#This Row],[Projet]],TabProjets[NomProj],TabProjets[SYGES])</f>
        <v>INETUM/PROJET_INTERNE</v>
      </c>
      <c r="H907" t="str">
        <f>LOOKUP(TabVMAzureEnvProjet[[#This Row],[Projet]],TabProjets[NomProj],TabProjets[CP])</f>
        <v>Christophe ORLANDO</v>
      </c>
      <c r="I907">
        <f>LOOKUP(TabVMAzureEnvProjet[[#This Row],[Code SYGES]],TabCONTRATSDI[Contrat SYGES],TabCONTRATSDI[Cost Center])</f>
        <v>305704</v>
      </c>
      <c r="J907" s="22" t="str">
        <f>LOOKUP(TabVMAzureEnvProjet[[#This Row],[Code SYGES]],TabCONTRATSDI[Contrat SYGES],TabCONTRATSDI[Client])</f>
        <v>INETUM</v>
      </c>
      <c r="K907" t="s">
        <v>405</v>
      </c>
      <c r="L907" s="31">
        <v>5.7714592471527491</v>
      </c>
      <c r="M907" s="41" t="s">
        <v>427</v>
      </c>
    </row>
    <row r="908" spans="1:13" x14ac:dyDescent="0.25">
      <c r="A908" s="22" t="str">
        <f>TabVMAzureEnvProjet[[#This Row],[Client]] &amp; " .:. "  &amp; TabVMAzureEnvProjet[[#This Row],[Projet]]</f>
        <v>INETUM .:. INETUM-INTERNE</v>
      </c>
      <c r="B908" s="22" t="str">
        <f>IF(TabVMAzureEnvProjet[[#This Row],[Projet AzureDevOps]]&lt;&gt;"",TabVMAzureEnvProjet[[#This Row],[Projet AzureDevOps]],TabVMAzureEnvProjet[[#This Row],[VM]])</f>
        <v>INETUM-starterkit-symfony</v>
      </c>
      <c r="C908" s="58" t="s">
        <v>115</v>
      </c>
      <c r="E908" t="s">
        <v>4</v>
      </c>
      <c r="F908" t="str">
        <f>LOOKUP(TabVMAzureEnvProjet[[#This Row],[Projet AzureDevOps]],TabAzureDevOps[ProjetAzureDevOps],TabAzureDevOps[PROJET])</f>
        <v>INETUM-INTERNE</v>
      </c>
      <c r="G908" t="str">
        <f>LOOKUP(TabVMAzureEnvProjet[[#This Row],[Projet]],TabProjets[NomProj],TabProjets[SYGES])</f>
        <v>INETUM/PROJET_INTERNE</v>
      </c>
      <c r="H908" t="str">
        <f>LOOKUP(TabVMAzureEnvProjet[[#This Row],[Projet]],TabProjets[NomProj],TabProjets[CP])</f>
        <v>Christophe ORLANDO</v>
      </c>
      <c r="I908">
        <f>LOOKUP(TabVMAzureEnvProjet[[#This Row],[Code SYGES]],TabCONTRATSDI[Contrat SYGES],TabCONTRATSDI[Cost Center])</f>
        <v>305704</v>
      </c>
      <c r="J908" s="22" t="str">
        <f>LOOKUP(TabVMAzureEnvProjet[[#This Row],[Code SYGES]],TabCONTRATSDI[Contrat SYGES],TabCONTRATSDI[Client])</f>
        <v>INETUM</v>
      </c>
      <c r="K908" t="s">
        <v>405</v>
      </c>
      <c r="L908" s="31">
        <v>0.34402852043433302</v>
      </c>
      <c r="M908" s="41" t="s">
        <v>427</v>
      </c>
    </row>
    <row r="909" spans="1:13" x14ac:dyDescent="0.25">
      <c r="A909" s="22" t="str">
        <f>TabVMAzureEnvProjet[[#This Row],[Client]] &amp; " .:. "  &amp; TabVMAzureEnvProjet[[#This Row],[Projet]]</f>
        <v>LAPOSTE .:. LAPOSTE-CDC</v>
      </c>
      <c r="B909" s="22" t="str">
        <f>IF(TabVMAzureEnvProjet[[#This Row],[Projet AzureDevOps]]&lt;&gt;"",TabVMAzureEnvProjet[[#This Row],[Projet AzureDevOps]],TabVMAzureEnvProjet[[#This Row],[VM]])</f>
        <v>LAPOSTE-F4N-Musee</v>
      </c>
      <c r="C909" s="58" t="s">
        <v>83</v>
      </c>
      <c r="E909" t="s">
        <v>4</v>
      </c>
      <c r="F909" t="str">
        <f>LOOKUP(TabVMAzureEnvProjet[[#This Row],[Projet AzureDevOps]],TabAzureDevOps[ProjetAzureDevOps],TabAzureDevOps[PROJET])</f>
        <v>LAPOSTE-CDC</v>
      </c>
      <c r="G909" t="str">
        <f>LOOKUP(TabVMAzureEnvProjet[[#This Row],[Projet]],TabProjets[NomProj],TabProjets[SYGES])</f>
        <v>LA-POSTE/CDC_DRUPAL</v>
      </c>
      <c r="H909" t="str">
        <f>LOOKUP(TabVMAzureEnvProjet[[#This Row],[Projet]],TabProjets[NomProj],TabProjets[CP])</f>
        <v>Rodolphe HABEGGER</v>
      </c>
      <c r="I909">
        <f>LOOKUP(TabVMAzureEnvProjet[[#This Row],[Code SYGES]],TabCONTRATSDI[Contrat SYGES],TabCONTRATSDI[Cost Center])</f>
        <v>305704</v>
      </c>
      <c r="J909" s="22" t="str">
        <f>LOOKUP(TabVMAzureEnvProjet[[#This Row],[Code SYGES]],TabCONTRATSDI[Contrat SYGES],TabCONTRATSDI[Client])</f>
        <v>LAPOSTE</v>
      </c>
      <c r="K909" t="s">
        <v>405</v>
      </c>
      <c r="L909" s="31">
        <v>3.3017104985726191</v>
      </c>
      <c r="M909" s="41" t="s">
        <v>427</v>
      </c>
    </row>
    <row r="910" spans="1:13" x14ac:dyDescent="0.25">
      <c r="A910" s="22" t="str">
        <f>TabVMAzureEnvProjet[[#This Row],[Client]] &amp; " .:. "  &amp; TabVMAzureEnvProjet[[#This Row],[Projet]]</f>
        <v>LAPOSTE .:. LAPOSTE-CDC</v>
      </c>
      <c r="B910" s="22" t="str">
        <f>IF(TabVMAzureEnvProjet[[#This Row],[Projet AzureDevOps]]&lt;&gt;"",TabVMAzureEnvProjet[[#This Row],[Projet AzureDevOps]],TabVMAzureEnvProjet[[#This Row],[VM]])</f>
        <v>LAPOSTE-L71-PDP</v>
      </c>
      <c r="C910" s="58" t="s">
        <v>86</v>
      </c>
      <c r="E910" t="s">
        <v>4</v>
      </c>
      <c r="F910" t="str">
        <f>LOOKUP(TabVMAzureEnvProjet[[#This Row],[Projet AzureDevOps]],TabAzureDevOps[ProjetAzureDevOps],TabAzureDevOps[PROJET])</f>
        <v>LAPOSTE-CDC</v>
      </c>
      <c r="G910" t="str">
        <f>LOOKUP(TabVMAzureEnvProjet[[#This Row],[Projet]],TabProjets[NomProj],TabProjets[SYGES])</f>
        <v>LA-POSTE/CDC_DRUPAL</v>
      </c>
      <c r="H910" t="str">
        <f>LOOKUP(TabVMAzureEnvProjet[[#This Row],[Projet]],TabProjets[NomProj],TabProjets[CP])</f>
        <v>Rodolphe HABEGGER</v>
      </c>
      <c r="I910">
        <f>LOOKUP(TabVMAzureEnvProjet[[#This Row],[Code SYGES]],TabCONTRATSDI[Contrat SYGES],TabCONTRATSDI[Cost Center])</f>
        <v>305704</v>
      </c>
      <c r="J910" s="22" t="str">
        <f>LOOKUP(TabVMAzureEnvProjet[[#This Row],[Code SYGES]],TabCONTRATSDI[Contrat SYGES],TabCONTRATSDI[Client])</f>
        <v>LAPOSTE</v>
      </c>
      <c r="K910" t="s">
        <v>405</v>
      </c>
      <c r="L910" s="31">
        <v>2.0629291619244197</v>
      </c>
      <c r="M910" s="41" t="s">
        <v>427</v>
      </c>
    </row>
    <row r="911" spans="1:13" x14ac:dyDescent="0.25">
      <c r="A911" s="22" t="str">
        <f>TabVMAzureEnvProjet[[#This Row],[Client]] &amp; " .:. "  &amp; TabVMAzureEnvProjet[[#This Row],[Projet]]</f>
        <v>LAPOSTE .:. LAPOSTE-CDC</v>
      </c>
      <c r="B911" s="22" t="str">
        <f>IF(TabVMAzureEnvProjet[[#This Row],[Projet AzureDevOps]]&lt;&gt;"",TabVMAzureEnvProjet[[#This Row],[Projet AzureDevOps]],TabVMAzureEnvProjet[[#This Row],[VM]])</f>
        <v>LAPOSTE-LCA-PariteUn-e</v>
      </c>
      <c r="C911" s="58" t="s">
        <v>87</v>
      </c>
      <c r="E911" t="s">
        <v>4</v>
      </c>
      <c r="F911" t="str">
        <f>LOOKUP(TabVMAzureEnvProjet[[#This Row],[Projet AzureDevOps]],TabAzureDevOps[ProjetAzureDevOps],TabAzureDevOps[PROJET])</f>
        <v>LAPOSTE-CDC</v>
      </c>
      <c r="G911" t="str">
        <f>LOOKUP(TabVMAzureEnvProjet[[#This Row],[Projet]],TabProjets[NomProj],TabProjets[SYGES])</f>
        <v>LA-POSTE/CDC_DRUPAL</v>
      </c>
      <c r="H911" t="str">
        <f>LOOKUP(TabVMAzureEnvProjet[[#This Row],[Projet]],TabProjets[NomProj],TabProjets[CP])</f>
        <v>Rodolphe HABEGGER</v>
      </c>
      <c r="I911">
        <f>LOOKUP(TabVMAzureEnvProjet[[#This Row],[Code SYGES]],TabCONTRATSDI[Contrat SYGES],TabCONTRATSDI[Cost Center])</f>
        <v>305704</v>
      </c>
      <c r="J911" s="22" t="str">
        <f>LOOKUP(TabVMAzureEnvProjet[[#This Row],[Code SYGES]],TabCONTRATSDI[Contrat SYGES],TabCONTRATSDI[Client])</f>
        <v>LAPOSTE</v>
      </c>
      <c r="K911" t="s">
        <v>405</v>
      </c>
      <c r="L911" s="31">
        <v>2.3014228611734184</v>
      </c>
      <c r="M911" s="41" t="s">
        <v>427</v>
      </c>
    </row>
    <row r="912" spans="1:13" x14ac:dyDescent="0.25">
      <c r="A912" s="22" t="str">
        <f>TabVMAzureEnvProjet[[#This Row],[Client]] &amp; " .:. "  &amp; TabVMAzureEnvProjet[[#This Row],[Projet]]</f>
        <v>LAPOSTE .:. LAPOSTE-CDC</v>
      </c>
      <c r="B912" s="22" t="str">
        <f>IF(TabVMAzureEnvProjet[[#This Row],[Projet AzureDevOps]]&lt;&gt;"",TabVMAzureEnvProjet[[#This Row],[Projet AzureDevOps]],TabVMAzureEnvProjet[[#This Row],[VM]])</f>
        <v>LAPOSTE-LPK-PortailVoyage</v>
      </c>
      <c r="C912" s="58" t="s">
        <v>84</v>
      </c>
      <c r="E912" t="s">
        <v>4</v>
      </c>
      <c r="F912" t="str">
        <f>LOOKUP(TabVMAzureEnvProjet[[#This Row],[Projet AzureDevOps]],TabAzureDevOps[ProjetAzureDevOps],TabAzureDevOps[PROJET])</f>
        <v>LAPOSTE-CDC</v>
      </c>
      <c r="G912" t="str">
        <f>LOOKUP(TabVMAzureEnvProjet[[#This Row],[Projet]],TabProjets[NomProj],TabProjets[SYGES])</f>
        <v>LA-POSTE/CDC_DRUPAL</v>
      </c>
      <c r="H912" t="str">
        <f>LOOKUP(TabVMAzureEnvProjet[[#This Row],[Projet]],TabProjets[NomProj],TabProjets[CP])</f>
        <v>Rodolphe HABEGGER</v>
      </c>
      <c r="I912">
        <f>LOOKUP(TabVMAzureEnvProjet[[#This Row],[Code SYGES]],TabCONTRATSDI[Contrat SYGES],TabCONTRATSDI[Cost Center])</f>
        <v>305704</v>
      </c>
      <c r="J912" s="22" t="str">
        <f>LOOKUP(TabVMAzureEnvProjet[[#This Row],[Code SYGES]],TabCONTRATSDI[Contrat SYGES],TabCONTRATSDI[Client])</f>
        <v>LAPOSTE</v>
      </c>
      <c r="K912" t="s">
        <v>405</v>
      </c>
      <c r="L912" s="31">
        <v>1.8723474178246968</v>
      </c>
      <c r="M912" s="41" t="s">
        <v>427</v>
      </c>
    </row>
    <row r="913" spans="1:13" x14ac:dyDescent="0.25">
      <c r="A913" s="22" t="str">
        <f>TabVMAzureEnvProjet[[#This Row],[Client]] &amp; " .:. "  &amp; TabVMAzureEnvProjet[[#This Row],[Projet]]</f>
        <v>LAPOSTE .:. LAPOSTE-CDC</v>
      </c>
      <c r="B913" s="22" t="str">
        <f>IF(TabVMAzureEnvProjet[[#This Row],[Projet AzureDevOps]]&lt;&gt;"",TabVMAzureEnvProjet[[#This Row],[Projet AzureDevOps]],TabVMAzureEnvProjet[[#This Row],[VM]])</f>
        <v>LAPOSTE-LPM-IntranetDHA</v>
      </c>
      <c r="C913" s="58" t="s">
        <v>85</v>
      </c>
      <c r="E913" t="s">
        <v>4</v>
      </c>
      <c r="F913" t="str">
        <f>LOOKUP(TabVMAzureEnvProjet[[#This Row],[Projet AzureDevOps]],TabAzureDevOps[ProjetAzureDevOps],TabAzureDevOps[PROJET])</f>
        <v>LAPOSTE-CDC</v>
      </c>
      <c r="G913" t="str">
        <f>LOOKUP(TabVMAzureEnvProjet[[#This Row],[Projet]],TabProjets[NomProj],TabProjets[SYGES])</f>
        <v>LA-POSTE/CDC_DRUPAL</v>
      </c>
      <c r="H913" t="str">
        <f>LOOKUP(TabVMAzureEnvProjet[[#This Row],[Projet]],TabProjets[NomProj],TabProjets[CP])</f>
        <v>Rodolphe HABEGGER</v>
      </c>
      <c r="I913">
        <f>LOOKUP(TabVMAzureEnvProjet[[#This Row],[Code SYGES]],TabCONTRATSDI[Contrat SYGES],TabCONTRATSDI[Cost Center])</f>
        <v>305704</v>
      </c>
      <c r="J913" s="22" t="str">
        <f>LOOKUP(TabVMAzureEnvProjet[[#This Row],[Code SYGES]],TabCONTRATSDI[Contrat SYGES],TabCONTRATSDI[Client])</f>
        <v>LAPOSTE</v>
      </c>
      <c r="K913" t="s">
        <v>405</v>
      </c>
      <c r="L913" s="31">
        <v>1.8723474178246968</v>
      </c>
      <c r="M913" s="41" t="s">
        <v>427</v>
      </c>
    </row>
    <row r="914" spans="1:13" x14ac:dyDescent="0.25">
      <c r="A914" s="22" t="str">
        <f>TabVMAzureEnvProjet[[#This Row],[Client]] &amp; " .:. "  &amp; TabVMAzureEnvProjet[[#This Row],[Projet]]</f>
        <v>LAPOSTE .:. LAPOSTE-CDC</v>
      </c>
      <c r="B914" s="22" t="str">
        <f>IF(TabVMAzureEnvProjet[[#This Row],[Projet AzureDevOps]]&lt;&gt;"",TabVMAzureEnvProjet[[#This Row],[Projet AzureDevOps]],TabVMAzureEnvProjet[[#This Row],[VM]])</f>
        <v>LAPOSTE-V7_-Galaxy</v>
      </c>
      <c r="C914" s="58" t="s">
        <v>89</v>
      </c>
      <c r="E914" t="s">
        <v>4</v>
      </c>
      <c r="F914" t="str">
        <f>LOOKUP(TabVMAzureEnvProjet[[#This Row],[Projet AzureDevOps]],TabAzureDevOps[ProjetAzureDevOps],TabAzureDevOps[PROJET])</f>
        <v>LAPOSTE-CDC</v>
      </c>
      <c r="G914" t="str">
        <f>LOOKUP(TabVMAzureEnvProjet[[#This Row],[Projet]],TabProjets[NomProj],TabProjets[SYGES])</f>
        <v>LA-POSTE/CDC_DRUPAL</v>
      </c>
      <c r="H914" t="str">
        <f>LOOKUP(TabVMAzureEnvProjet[[#This Row],[Projet]],TabProjets[NomProj],TabProjets[CP])</f>
        <v>Rodolphe HABEGGER</v>
      </c>
      <c r="I914">
        <f>LOOKUP(TabVMAzureEnvProjet[[#This Row],[Code SYGES]],TabCONTRATSDI[Contrat SYGES],TabCONTRATSDI[Cost Center])</f>
        <v>305704</v>
      </c>
      <c r="J914" s="22" t="str">
        <f>LOOKUP(TabVMAzureEnvProjet[[#This Row],[Code SYGES]],TabCONTRATSDI[Contrat SYGES],TabCONTRATSDI[Client])</f>
        <v>LAPOSTE</v>
      </c>
      <c r="K914" t="s">
        <v>405</v>
      </c>
      <c r="L914" s="31">
        <v>1.1810592035406453</v>
      </c>
      <c r="M914" s="41" t="s">
        <v>427</v>
      </c>
    </row>
    <row r="915" spans="1:13" x14ac:dyDescent="0.25">
      <c r="A915" s="22" t="str">
        <f>TabVMAzureEnvProjet[[#This Row],[Client]] &amp; " .:. "  &amp; TabVMAzureEnvProjet[[#This Row],[Projet]]</f>
        <v>LAPOSTE .:. LAPOSTE-CDC</v>
      </c>
      <c r="B915" s="22" t="str">
        <f>IF(TabVMAzureEnvProjet[[#This Row],[Projet AzureDevOps]]&lt;&gt;"",TabVMAzureEnvProjet[[#This Row],[Projet AzureDevOps]],TabVMAzureEnvProjet[[#This Row],[VM]])</f>
        <v>LAPOSTE-VW2-MEDIACOM</v>
      </c>
      <c r="C915" s="58" t="s">
        <v>90</v>
      </c>
      <c r="E915" t="s">
        <v>4</v>
      </c>
      <c r="F915" t="str">
        <f>LOOKUP(TabVMAzureEnvProjet[[#This Row],[Projet AzureDevOps]],TabAzureDevOps[ProjetAzureDevOps],TabAzureDevOps[PROJET])</f>
        <v>LAPOSTE-CDC</v>
      </c>
      <c r="G915" t="str">
        <f>LOOKUP(TabVMAzureEnvProjet[[#This Row],[Projet]],TabProjets[NomProj],TabProjets[SYGES])</f>
        <v>LA-POSTE/CDC_DRUPAL</v>
      </c>
      <c r="H915" t="str">
        <f>LOOKUP(TabVMAzureEnvProjet[[#This Row],[Projet]],TabProjets[NomProj],TabProjets[CP])</f>
        <v>Rodolphe HABEGGER</v>
      </c>
      <c r="I915">
        <f>LOOKUP(TabVMAzureEnvProjet[[#This Row],[Code SYGES]],TabCONTRATSDI[Contrat SYGES],TabCONTRATSDI[Cost Center])</f>
        <v>305704</v>
      </c>
      <c r="J915" s="22" t="str">
        <f>LOOKUP(TabVMAzureEnvProjet[[#This Row],[Code SYGES]],TabCONTRATSDI[Contrat SYGES],TabCONTRATSDI[Client])</f>
        <v>LAPOSTE</v>
      </c>
      <c r="K915" t="s">
        <v>405</v>
      </c>
      <c r="L915" s="31">
        <v>0.90342215196206077</v>
      </c>
      <c r="M915" s="41" t="s">
        <v>427</v>
      </c>
    </row>
    <row r="916" spans="1:13" x14ac:dyDescent="0.25">
      <c r="A916" s="22" t="str">
        <f>TabVMAzureEnvProjet[[#This Row],[Client]] &amp; " .:. "  &amp; TabVMAzureEnvProjet[[#This Row],[Projet]]</f>
        <v>LAPOSTE .:. LAPOSTE-CDC</v>
      </c>
      <c r="B916" s="22" t="str">
        <f>IF(TabVMAzureEnvProjet[[#This Row],[Projet AzureDevOps]]&lt;&gt;"",TabVMAzureEnvProjet[[#This Row],[Projet AzureDevOps]],TabVMAzureEnvProjet[[#This Row],[VM]])</f>
        <v>LAPOSTE-VW7-EvtExpres</v>
      </c>
      <c r="C916" s="58" t="s">
        <v>91</v>
      </c>
      <c r="E916" t="s">
        <v>4</v>
      </c>
      <c r="F916" t="str">
        <f>LOOKUP(TabVMAzureEnvProjet[[#This Row],[Projet AzureDevOps]],TabAzureDevOps[ProjetAzureDevOps],TabAzureDevOps[PROJET])</f>
        <v>LAPOSTE-CDC</v>
      </c>
      <c r="G916" t="str">
        <f>LOOKUP(TabVMAzureEnvProjet[[#This Row],[Projet]],TabProjets[NomProj],TabProjets[SYGES])</f>
        <v>LA-POSTE/CDC_DRUPAL</v>
      </c>
      <c r="H916" t="str">
        <f>LOOKUP(TabVMAzureEnvProjet[[#This Row],[Projet]],TabProjets[NomProj],TabProjets[CP])</f>
        <v>Rodolphe HABEGGER</v>
      </c>
      <c r="I916">
        <f>LOOKUP(TabVMAzureEnvProjet[[#This Row],[Code SYGES]],TabCONTRATSDI[Contrat SYGES],TabCONTRATSDI[Cost Center])</f>
        <v>305704</v>
      </c>
      <c r="J916" s="22" t="str">
        <f>LOOKUP(TabVMAzureEnvProjet[[#This Row],[Code SYGES]],TabCONTRATSDI[Contrat SYGES],TabCONTRATSDI[Client])</f>
        <v>LAPOSTE</v>
      </c>
      <c r="K916" t="s">
        <v>405</v>
      </c>
      <c r="L916" s="31">
        <v>1.4432719744759752</v>
      </c>
      <c r="M916" s="41" t="s">
        <v>427</v>
      </c>
    </row>
    <row r="917" spans="1:13" x14ac:dyDescent="0.25">
      <c r="A917" s="22" t="str">
        <f>TabVMAzureEnvProjet[[#This Row],[Client]] &amp; " .:. "  &amp; TabVMAzureEnvProjet[[#This Row],[Projet]]</f>
        <v>LAPOSTE .:. LAPOSTE-CDC</v>
      </c>
      <c r="B917" s="22" t="str">
        <f>IF(TabVMAzureEnvProjet[[#This Row],[Projet AzureDevOps]]&lt;&gt;"",TabVMAzureEnvProjet[[#This Row],[Projet AzureDevOps]],TabVMAzureEnvProjet[[#This Row],[VM]])</f>
        <v>LAPOSTE-VWA-Fondation</v>
      </c>
      <c r="C917" s="58" t="s">
        <v>88</v>
      </c>
      <c r="E917" t="s">
        <v>4</v>
      </c>
      <c r="F917" t="str">
        <f>LOOKUP(TabVMAzureEnvProjet[[#This Row],[Projet AzureDevOps]],TabAzureDevOps[ProjetAzureDevOps],TabAzureDevOps[PROJET])</f>
        <v>LAPOSTE-CDC</v>
      </c>
      <c r="G917" t="str">
        <f>LOOKUP(TabVMAzureEnvProjet[[#This Row],[Projet]],TabProjets[NomProj],TabProjets[SYGES])</f>
        <v>LA-POSTE/CDC_DRUPAL</v>
      </c>
      <c r="H917" t="str">
        <f>LOOKUP(TabVMAzureEnvProjet[[#This Row],[Projet]],TabProjets[NomProj],TabProjets[CP])</f>
        <v>Rodolphe HABEGGER</v>
      </c>
      <c r="I917">
        <f>LOOKUP(TabVMAzureEnvProjet[[#This Row],[Code SYGES]],TabCONTRATSDI[Contrat SYGES],TabCONTRATSDI[Cost Center])</f>
        <v>305704</v>
      </c>
      <c r="J917" s="22" t="str">
        <f>LOOKUP(TabVMAzureEnvProjet[[#This Row],[Code SYGES]],TabCONTRATSDI[Contrat SYGES],TabCONTRATSDI[Client])</f>
        <v>LAPOSTE</v>
      </c>
      <c r="K917" t="s">
        <v>405</v>
      </c>
      <c r="L917" s="31">
        <v>2.1582200339742812</v>
      </c>
      <c r="M917" s="41" t="s">
        <v>427</v>
      </c>
    </row>
    <row r="918" spans="1:13" x14ac:dyDescent="0.25">
      <c r="A918" s="22" t="str">
        <f>TabVMAzureEnvProjet[[#This Row],[Client]] &amp; " .:. "  &amp; TabVMAzureEnvProjet[[#This Row],[Projet]]</f>
        <v>LAPOSTE .:. LAPOSTE-CDC</v>
      </c>
      <c r="B918" s="22" t="str">
        <f>IF(TabVMAzureEnvProjet[[#This Row],[Projet AzureDevOps]]&lt;&gt;"",TabVMAzureEnvProjet[[#This Row],[Projet AzureDevOps]],TabVMAzureEnvProjet[[#This Row],[VM]])</f>
        <v>LAPOSTE-VYN-SARDA</v>
      </c>
      <c r="C918" s="58" t="s">
        <v>420</v>
      </c>
      <c r="E918" t="s">
        <v>4</v>
      </c>
      <c r="F918" t="str">
        <f>LOOKUP(TabVMAzureEnvProjet[[#This Row],[Projet AzureDevOps]],TabAzureDevOps[ProjetAzureDevOps],TabAzureDevOps[PROJET])</f>
        <v>LAPOSTE-CDC</v>
      </c>
      <c r="G918" t="str">
        <f>LOOKUP(TabVMAzureEnvProjet[[#This Row],[Projet]],TabProjets[NomProj],TabProjets[SYGES])</f>
        <v>LA-POSTE/CDC_DRUPAL</v>
      </c>
      <c r="H918" t="str">
        <f>LOOKUP(TabVMAzureEnvProjet[[#This Row],[Projet]],TabProjets[NomProj],TabProjets[CP])</f>
        <v>Rodolphe HABEGGER</v>
      </c>
      <c r="I918">
        <f>LOOKUP(TabVMAzureEnvProjet[[#This Row],[Code SYGES]],TabCONTRATSDI[Contrat SYGES],TabCONTRATSDI[Cost Center])</f>
        <v>305704</v>
      </c>
      <c r="J918" s="22" t="str">
        <f>LOOKUP(TabVMAzureEnvProjet[[#This Row],[Code SYGES]],TabCONTRATSDI[Contrat SYGES],TabCONTRATSDI[Client])</f>
        <v>LAPOSTE</v>
      </c>
      <c r="K918" t="s">
        <v>405</v>
      </c>
      <c r="L918" s="31">
        <v>2.4440926501238658</v>
      </c>
      <c r="M918" s="41" t="s">
        <v>427</v>
      </c>
    </row>
    <row r="919" spans="1:13" x14ac:dyDescent="0.25">
      <c r="A919" s="22" t="str">
        <f>TabVMAzureEnvProjet[[#This Row],[Client]] &amp; " .:. "  &amp; TabVMAzureEnvProjet[[#This Row],[Projet]]</f>
        <v>MENESR .:. MENJ-APAE</v>
      </c>
      <c r="B919" s="22" t="str">
        <f>IF(TabVMAzureEnvProjet[[#This Row],[Projet AzureDevOps]]&lt;&gt;"",TabVMAzureEnvProjet[[#This Row],[Projet AzureDevOps]],TabVMAzureEnvProjet[[#This Row],[VM]])</f>
        <v>MENJ-APAE</v>
      </c>
      <c r="C919" s="58" t="s">
        <v>44</v>
      </c>
      <c r="E919" t="s">
        <v>4</v>
      </c>
      <c r="F919" t="str">
        <f>LOOKUP(TabVMAzureEnvProjet[[#This Row],[Projet AzureDevOps]],TabAzureDevOps[ProjetAzureDevOps],TabAzureDevOps[PROJET])</f>
        <v>MENJ-APAE</v>
      </c>
      <c r="G919" t="str">
        <f>LOOKUP(TabVMAzureEnvProjet[[#This Row],[Projet]],TabProjets[NomProj],TabProjets[SYGES])</f>
        <v>MENESR/TMA</v>
      </c>
      <c r="H919" t="str">
        <f>LOOKUP(TabVMAzureEnvProjet[[#This Row],[Projet]],TabProjets[NomProj],TabProjets[CP])</f>
        <v>Pierre BOURLIEUX</v>
      </c>
      <c r="I919">
        <f>LOOKUP(TabVMAzureEnvProjet[[#This Row],[Code SYGES]],TabCONTRATSDI[Contrat SYGES],TabCONTRATSDI[Cost Center])</f>
        <v>305704</v>
      </c>
      <c r="J919" s="22" t="str">
        <f>LOOKUP(TabVMAzureEnvProjet[[#This Row],[Code SYGES]],TabCONTRATSDI[Contrat SYGES],TabCONTRATSDI[Client])</f>
        <v>MENESR</v>
      </c>
      <c r="K919" t="s">
        <v>405</v>
      </c>
      <c r="L919" s="31">
        <v>2.7039434588523017</v>
      </c>
      <c r="M919" s="41" t="s">
        <v>427</v>
      </c>
    </row>
    <row r="920" spans="1:13" x14ac:dyDescent="0.25">
      <c r="A920" s="22" t="str">
        <f>TabVMAzureEnvProjet[[#This Row],[Client]] &amp; " .:. "  &amp; TabVMAzureEnvProjet[[#This Row],[Projet]]</f>
        <v>MENESR .:. MENJ-BI</v>
      </c>
      <c r="B920" s="22" t="str">
        <f>IF(TabVMAzureEnvProjet[[#This Row],[Projet AzureDevOps]]&lt;&gt;"",TabVMAzureEnvProjet[[#This Row],[Projet AzureDevOps]],TabVMAzureEnvProjet[[#This Row],[VM]])</f>
        <v>MENJ-BI</v>
      </c>
      <c r="C920" s="58" t="s">
        <v>51</v>
      </c>
      <c r="E920" t="s">
        <v>4</v>
      </c>
      <c r="F920" t="str">
        <f>LOOKUP(TabVMAzureEnvProjet[[#This Row],[Projet AzureDevOps]],TabAzureDevOps[ProjetAzureDevOps],TabAzureDevOps[PROJET])</f>
        <v>MENJ-BI</v>
      </c>
      <c r="G920" t="str">
        <f>LOOKUP(TabVMAzureEnvProjet[[#This Row],[Projet]],TabProjets[NomProj],TabProjets[SYGES])</f>
        <v>MENESR/TMA</v>
      </c>
      <c r="H920" t="str">
        <f>LOOKUP(TabVMAzureEnvProjet[[#This Row],[Projet]],TabProjets[NomProj],TabProjets[CP])</f>
        <v>Eric PERROUD</v>
      </c>
      <c r="I920">
        <f>LOOKUP(TabVMAzureEnvProjet[[#This Row],[Code SYGES]],TabCONTRATSDI[Contrat SYGES],TabCONTRATSDI[Cost Center])</f>
        <v>305704</v>
      </c>
      <c r="J920" s="22" t="str">
        <f>LOOKUP(TabVMAzureEnvProjet[[#This Row],[Code SYGES]],TabCONTRATSDI[Contrat SYGES],TabCONTRATSDI[Client])</f>
        <v>MENESR</v>
      </c>
      <c r="K920" t="s">
        <v>405</v>
      </c>
      <c r="L920" s="31">
        <v>0.7866383128059895</v>
      </c>
      <c r="M920" s="41" t="s">
        <v>427</v>
      </c>
    </row>
    <row r="921" spans="1:13" x14ac:dyDescent="0.25">
      <c r="A921" s="22" t="str">
        <f>TabVMAzureEnvProjet[[#This Row],[Client]] &amp; " .:. "  &amp; TabVMAzureEnvProjet[[#This Row],[Projet]]</f>
        <v>MENESR .:. MENJ-BNIE</v>
      </c>
      <c r="B921" s="22" t="str">
        <f>IF(TabVMAzureEnvProjet[[#This Row],[Projet AzureDevOps]]&lt;&gt;"",TabVMAzureEnvProjet[[#This Row],[Projet AzureDevOps]],TabVMAzureEnvProjet[[#This Row],[VM]])</f>
        <v>MENJ-BNIE-BDD</v>
      </c>
      <c r="C921" s="58" t="s">
        <v>46</v>
      </c>
      <c r="E921" t="s">
        <v>4</v>
      </c>
      <c r="F921" t="str">
        <f>LOOKUP(TabVMAzureEnvProjet[[#This Row],[Projet AzureDevOps]],TabAzureDevOps[ProjetAzureDevOps],TabAzureDevOps[PROJET])</f>
        <v>MENJ-BNIE</v>
      </c>
      <c r="G921" t="str">
        <f>LOOKUP(TabVMAzureEnvProjet[[#This Row],[Projet]],TabProjets[NomProj],TabProjets[SYGES])</f>
        <v>MENESR/TMA</v>
      </c>
      <c r="H921" t="str">
        <f>LOOKUP(TabVMAzureEnvProjet[[#This Row],[Projet]],TabProjets[NomProj],TabProjets[CP])</f>
        <v>Pierre BOURLIEUX</v>
      </c>
      <c r="I921">
        <f>LOOKUP(TabVMAzureEnvProjet[[#This Row],[Code SYGES]],TabCONTRATSDI[Contrat SYGES],TabCONTRATSDI[Cost Center])</f>
        <v>305704</v>
      </c>
      <c r="J921" s="22" t="str">
        <f>LOOKUP(TabVMAzureEnvProjet[[#This Row],[Code SYGES]],TabCONTRATSDI[Contrat SYGES],TabCONTRATSDI[Client])</f>
        <v>MENESR</v>
      </c>
      <c r="K921" t="s">
        <v>405</v>
      </c>
      <c r="L921" s="31">
        <v>1.804928244216885</v>
      </c>
      <c r="M921" s="41" t="s">
        <v>427</v>
      </c>
    </row>
    <row r="922" spans="1:13" x14ac:dyDescent="0.25">
      <c r="A922" s="22" t="str">
        <f>TabVMAzureEnvProjet[[#This Row],[Client]] &amp; " .:. "  &amp; TabVMAzureEnvProjet[[#This Row],[Projet]]</f>
        <v>MENESR .:. MENJ-BNIE</v>
      </c>
      <c r="B922" s="22" t="str">
        <f>IF(TabVMAzureEnvProjet[[#This Row],[Projet AzureDevOps]]&lt;&gt;"",TabVMAzureEnvProjet[[#This Row],[Projet AzureDevOps]],TabVMAzureEnvProjet[[#This Row],[VM]])</f>
        <v>MENJ-BNIE-Webservices</v>
      </c>
      <c r="C922" s="58" t="s">
        <v>47</v>
      </c>
      <c r="E922" t="s">
        <v>4</v>
      </c>
      <c r="F922" t="str">
        <f>LOOKUP(TabVMAzureEnvProjet[[#This Row],[Projet AzureDevOps]],TabAzureDevOps[ProjetAzureDevOps],TabAzureDevOps[PROJET])</f>
        <v>MENJ-BNIE</v>
      </c>
      <c r="G922" t="str">
        <f>LOOKUP(TabVMAzureEnvProjet[[#This Row],[Projet]],TabProjets[NomProj],TabProjets[SYGES])</f>
        <v>MENESR/TMA</v>
      </c>
      <c r="H922" t="str">
        <f>LOOKUP(TabVMAzureEnvProjet[[#This Row],[Projet]],TabProjets[NomProj],TabProjets[CP])</f>
        <v>Pierre BOURLIEUX</v>
      </c>
      <c r="I922">
        <f>LOOKUP(TabVMAzureEnvProjet[[#This Row],[Code SYGES]],TabCONTRATSDI[Contrat SYGES],TabCONTRATSDI[Cost Center])</f>
        <v>305704</v>
      </c>
      <c r="J922" s="22" t="str">
        <f>LOOKUP(TabVMAzureEnvProjet[[#This Row],[Code SYGES]],TabCONTRATSDI[Contrat SYGES],TabCONTRATSDI[Client])</f>
        <v>MENESR</v>
      </c>
      <c r="K922" t="s">
        <v>405</v>
      </c>
      <c r="L922" s="31">
        <v>0.34402852043433302</v>
      </c>
      <c r="M922" s="41" t="s">
        <v>427</v>
      </c>
    </row>
    <row r="923" spans="1:13" x14ac:dyDescent="0.25">
      <c r="A923" s="22" t="str">
        <f>TabVMAzureEnvProjet[[#This Row],[Client]] &amp; " .:. "  &amp; TabVMAzureEnvProjet[[#This Row],[Projet]]</f>
        <v>MENESR .:. MENJ-INSERJEUNES</v>
      </c>
      <c r="B923" s="22" t="str">
        <f>IF(TabVMAzureEnvProjet[[#This Row],[Projet AzureDevOps]]&lt;&gt;"",TabVMAzureEnvProjet[[#This Row],[Projet AzureDevOps]],TabVMAzureEnvProjet[[#This Row],[VM]])</f>
        <v>MENJ-InserJeunes</v>
      </c>
      <c r="C923" s="58" t="s">
        <v>54</v>
      </c>
      <c r="E923" t="s">
        <v>4</v>
      </c>
      <c r="F923" t="str">
        <f>LOOKUP(TabVMAzureEnvProjet[[#This Row],[Projet AzureDevOps]],TabAzureDevOps[ProjetAzureDevOps],TabAzureDevOps[PROJET])</f>
        <v>MENJ-INSERJEUNES</v>
      </c>
      <c r="G923" t="str">
        <f>LOOKUP(TabVMAzureEnvProjet[[#This Row],[Projet]],TabProjets[NomProj],TabProjets[SYGES])</f>
        <v>MENESR - TMA - 23 - 1 - INSERJEUNES</v>
      </c>
      <c r="H923" t="str">
        <f>LOOKUP(TabVMAzureEnvProjet[[#This Row],[Projet]],TabProjets[NomProj],TabProjets[CP])</f>
        <v>Christophe ORLANDO</v>
      </c>
      <c r="I923">
        <f>LOOKUP(TabVMAzureEnvProjet[[#This Row],[Code SYGES]],TabCONTRATSDI[Contrat SYGES],TabCONTRATSDI[Cost Center])</f>
        <v>305704</v>
      </c>
      <c r="J923" s="22" t="str">
        <f>LOOKUP(TabVMAzureEnvProjet[[#This Row],[Code SYGES]],TabCONTRATSDI[Contrat SYGES],TabCONTRATSDI[Client])</f>
        <v>MENESR</v>
      </c>
      <c r="K923" t="s">
        <v>405</v>
      </c>
      <c r="L923" s="31">
        <v>2.4562777576570469</v>
      </c>
      <c r="M923" s="41" t="s">
        <v>427</v>
      </c>
    </row>
    <row r="924" spans="1:13" x14ac:dyDescent="0.25">
      <c r="A924" s="22" t="str">
        <f>TabVMAzureEnvProjet[[#This Row],[Client]] &amp; " .:. "  &amp; TabVMAzureEnvProjet[[#This Row],[Projet]]</f>
        <v>MENESR .:. MENJ-RNIE</v>
      </c>
      <c r="B924" s="22" t="str">
        <f>IF(TabVMAzureEnvProjet[[#This Row],[Projet AzureDevOps]]&lt;&gt;"",TabVMAzureEnvProjet[[#This Row],[Projet AzureDevOps]],TabVMAzureEnvProjet[[#This Row],[VM]])</f>
        <v>MENJ-RNIE-BDD</v>
      </c>
      <c r="C924" s="58" t="s">
        <v>49</v>
      </c>
      <c r="E924" t="s">
        <v>4</v>
      </c>
      <c r="F924" t="str">
        <f>LOOKUP(TabVMAzureEnvProjet[[#This Row],[Projet AzureDevOps]],TabAzureDevOps[ProjetAzureDevOps],TabAzureDevOps[PROJET])</f>
        <v>MENJ-RNIE</v>
      </c>
      <c r="G924" t="str">
        <f>LOOKUP(TabVMAzureEnvProjet[[#This Row],[Projet]],TabProjets[NomProj],TabProjets[SYGES])</f>
        <v>MENESR/TMA</v>
      </c>
      <c r="H924" t="str">
        <f>LOOKUP(TabVMAzureEnvProjet[[#This Row],[Projet]],TabProjets[NomProj],TabProjets[CP])</f>
        <v>Pierre BOURLIEUX</v>
      </c>
      <c r="I924">
        <f>LOOKUP(TabVMAzureEnvProjet[[#This Row],[Code SYGES]],TabCONTRATSDI[Contrat SYGES],TabCONTRATSDI[Cost Center])</f>
        <v>305704</v>
      </c>
      <c r="J924" s="22" t="str">
        <f>LOOKUP(TabVMAzureEnvProjet[[#This Row],[Code SYGES]],TabCONTRATSDI[Contrat SYGES],TabCONTRATSDI[Client])</f>
        <v>MENESR</v>
      </c>
      <c r="K924" t="s">
        <v>405</v>
      </c>
      <c r="L924" s="31">
        <v>1.1306668332403225</v>
      </c>
      <c r="M924" s="41" t="s">
        <v>427</v>
      </c>
    </row>
    <row r="925" spans="1:13" x14ac:dyDescent="0.25">
      <c r="A925" s="22" t="str">
        <f>TabVMAzureEnvProjet[[#This Row],[Client]] &amp; " .:. "  &amp; TabVMAzureEnvProjet[[#This Row],[Projet]]</f>
        <v>MENESR .:. MENJ-RNIE</v>
      </c>
      <c r="B925" s="22" t="str">
        <f>IF(TabVMAzureEnvProjet[[#This Row],[Projet AzureDevOps]]&lt;&gt;"",TabVMAzureEnvProjet[[#This Row],[Projet AzureDevOps]],TabVMAzureEnvProjet[[#This Row],[VM]])</f>
        <v>MENJ-RNIE-Webservices</v>
      </c>
      <c r="C925" s="58" t="s">
        <v>50</v>
      </c>
      <c r="E925" t="s">
        <v>4</v>
      </c>
      <c r="F925" t="str">
        <f>LOOKUP(TabVMAzureEnvProjet[[#This Row],[Projet AzureDevOps]],TabAzureDevOps[ProjetAzureDevOps],TabAzureDevOps[PROJET])</f>
        <v>MENJ-RNIE</v>
      </c>
      <c r="G925" t="str">
        <f>LOOKUP(TabVMAzureEnvProjet[[#This Row],[Projet]],TabProjets[NomProj],TabProjets[SYGES])</f>
        <v>MENESR/TMA</v>
      </c>
      <c r="H925" t="str">
        <f>LOOKUP(TabVMAzureEnvProjet[[#This Row],[Projet]],TabProjets[NomProj],TabProjets[CP])</f>
        <v>Pierre BOURLIEUX</v>
      </c>
      <c r="I925">
        <f>LOOKUP(TabVMAzureEnvProjet[[#This Row],[Code SYGES]],TabCONTRATSDI[Contrat SYGES],TabCONTRATSDI[Cost Center])</f>
        <v>305704</v>
      </c>
      <c r="J925" s="22" t="str">
        <f>LOOKUP(TabVMAzureEnvProjet[[#This Row],[Code SYGES]],TabCONTRATSDI[Contrat SYGES],TabCONTRATSDI[Client])</f>
        <v>MENESR</v>
      </c>
      <c r="K925" t="s">
        <v>405</v>
      </c>
      <c r="L925" s="31">
        <v>0.34402852043433302</v>
      </c>
      <c r="M925" s="41" t="s">
        <v>427</v>
      </c>
    </row>
    <row r="926" spans="1:13" x14ac:dyDescent="0.25">
      <c r="A926" s="22" t="str">
        <f>TabVMAzureEnvProjet[[#This Row],[Client]] &amp; " .:. "  &amp; TabVMAzureEnvProjet[[#This Row],[Projet]]</f>
        <v>AFB .:. OFB-CARTOTHEQUE</v>
      </c>
      <c r="B926" s="22" t="str">
        <f>IF(TabVMAzureEnvProjet[[#This Row],[Projet AzureDevOps]]&lt;&gt;"",TabVMAzureEnvProjet[[#This Row],[Projet AzureDevOps]],TabVMAzureEnvProjet[[#This Row],[VM]])</f>
        <v>OFB-CARTOTHEQUE</v>
      </c>
      <c r="C926" s="58" t="s">
        <v>15</v>
      </c>
      <c r="E926" t="s">
        <v>4</v>
      </c>
      <c r="F926" t="str">
        <f>LOOKUP(TabVMAzureEnvProjet[[#This Row],[Projet AzureDevOps]],TabAzureDevOps[ProjetAzureDevOps],TabAzureDevOps[PROJET])</f>
        <v>OFB-CARTOTHEQUE</v>
      </c>
      <c r="G926" t="str">
        <f>LOOKUP(TabVMAzureEnvProjet[[#This Row],[Projet]],TabProjets[NomProj],TabProjets[SYGES])</f>
        <v>AFB/OFB_LOT2</v>
      </c>
      <c r="H926" t="str">
        <f>LOOKUP(TabVMAzureEnvProjet[[#This Row],[Projet]],TabProjets[NomProj],TabProjets[CP])</f>
        <v>Pierre BOURLIEUX</v>
      </c>
      <c r="I926">
        <f>LOOKUP(TabVMAzureEnvProjet[[#This Row],[Code SYGES]],TabCONTRATSDI[Contrat SYGES],TabCONTRATSDI[Cost Center])</f>
        <v>305704</v>
      </c>
      <c r="J926" s="22" t="str">
        <f>LOOKUP(TabVMAzureEnvProjet[[#This Row],[Code SYGES]],TabCONTRATSDI[Contrat SYGES],TabCONTRATSDI[Client])</f>
        <v>AFB</v>
      </c>
      <c r="K926" t="s">
        <v>405</v>
      </c>
      <c r="L926" s="31">
        <v>1.7231124947178817</v>
      </c>
      <c r="M926" s="41" t="s">
        <v>427</v>
      </c>
    </row>
    <row r="927" spans="1:13" x14ac:dyDescent="0.25">
      <c r="A927" s="22" t="str">
        <f>TabVMAzureEnvProjet[[#This Row],[Client]] &amp; " .:. "  &amp; TabVMAzureEnvProjet[[#This Row],[Projet]]</f>
        <v>AFB .:. OFB-CMONSPOT</v>
      </c>
      <c r="B927" s="22" t="str">
        <f>IF(TabVMAzureEnvProjet[[#This Row],[Projet AzureDevOps]]&lt;&gt;"",TabVMAzureEnvProjet[[#This Row],[Projet AzureDevOps]],TabVMAzureEnvProjet[[#This Row],[VM]])</f>
        <v>OFB-CMONSPOT</v>
      </c>
      <c r="C927" s="58" t="s">
        <v>12</v>
      </c>
      <c r="E927" t="s">
        <v>4</v>
      </c>
      <c r="F927" t="str">
        <f>LOOKUP(TabVMAzureEnvProjet[[#This Row],[Projet AzureDevOps]],TabAzureDevOps[ProjetAzureDevOps],TabAzureDevOps[PROJET])</f>
        <v>OFB-CMONSPOT</v>
      </c>
      <c r="G927" t="str">
        <f>LOOKUP(TabVMAzureEnvProjet[[#This Row],[Projet]],TabProjets[NomProj],TabProjets[SYGES])</f>
        <v>AFB/OFB_LOT2</v>
      </c>
      <c r="H927" t="str">
        <f>LOOKUP(TabVMAzureEnvProjet[[#This Row],[Projet]],TabProjets[NomProj],TabProjets[CP])</f>
        <v>Pierre BOURLIEUX</v>
      </c>
      <c r="I927">
        <f>LOOKUP(TabVMAzureEnvProjet[[#This Row],[Code SYGES]],TabCONTRATSDI[Contrat SYGES],TabCONTRATSDI[Cost Center])</f>
        <v>305704</v>
      </c>
      <c r="J927" s="22" t="str">
        <f>LOOKUP(TabVMAzureEnvProjet[[#This Row],[Code SYGES]],TabCONTRATSDI[Contrat SYGES],TabCONTRATSDI[Client])</f>
        <v>AFB</v>
      </c>
      <c r="K927" t="s">
        <v>405</v>
      </c>
      <c r="L927" s="31">
        <v>1.3280906579841381</v>
      </c>
      <c r="M927" s="41" t="s">
        <v>427</v>
      </c>
    </row>
    <row r="928" spans="1:13" x14ac:dyDescent="0.25">
      <c r="A928" s="22" t="str">
        <f>TabVMAzureEnvProjet[[#This Row],[Client]] &amp; " .:. "  &amp; TabVMAzureEnvProjet[[#This Row],[Projet]]</f>
        <v>AFB .:. OFB-EAUFRANCE</v>
      </c>
      <c r="B928" s="22" t="str">
        <f>IF(TabVMAzureEnvProjet[[#This Row],[Projet AzureDevOps]]&lt;&gt;"",TabVMAzureEnvProjet[[#This Row],[Projet AzureDevOps]],TabVMAzureEnvProjet[[#This Row],[VM]])</f>
        <v>OFB-EAUFRANCE</v>
      </c>
      <c r="C928" s="58" t="s">
        <v>421</v>
      </c>
      <c r="E928" t="s">
        <v>4</v>
      </c>
      <c r="F928" t="str">
        <f>LOOKUP(TabVMAzureEnvProjet[[#This Row],[Projet AzureDevOps]],TabAzureDevOps[ProjetAzureDevOps],TabAzureDevOps[PROJET])</f>
        <v>OFB-EAUFRANCE</v>
      </c>
      <c r="G928" t="str">
        <f>LOOKUP(TabVMAzureEnvProjet[[#This Row],[Projet]],TabProjets[NomProj],TabProjets[SYGES])</f>
        <v>AFB/OFB_LOT1</v>
      </c>
      <c r="H928" t="str">
        <f>LOOKUP(TabVMAzureEnvProjet[[#This Row],[Projet]],TabProjets[NomProj],TabProjets[CP])</f>
        <v>Jean-Philippe STROIAZZO</v>
      </c>
      <c r="I928">
        <f>LOOKUP(TabVMAzureEnvProjet[[#This Row],[Code SYGES]],TabCONTRATSDI[Contrat SYGES],TabCONTRATSDI[Cost Center])</f>
        <v>305704</v>
      </c>
      <c r="J928" s="22" t="str">
        <f>LOOKUP(TabVMAzureEnvProjet[[#This Row],[Code SYGES]],TabCONTRATSDI[Contrat SYGES],TabCONTRATSDI[Client])</f>
        <v>AFB</v>
      </c>
      <c r="K928" t="s">
        <v>405</v>
      </c>
      <c r="L928" s="31">
        <v>0.9535009852193812</v>
      </c>
      <c r="M928" s="41" t="s">
        <v>427</v>
      </c>
    </row>
    <row r="929" spans="1:13" x14ac:dyDescent="0.25">
      <c r="A929" s="22" t="str">
        <f>TabVMAzureEnvProjet[[#This Row],[Client]] &amp; " .:. "  &amp; TabVMAzureEnvProjet[[#This Row],[Projet]]</f>
        <v>AFB .:. OFB-ESTAMP</v>
      </c>
      <c r="B929" s="22" t="str">
        <f>IF(TabVMAzureEnvProjet[[#This Row],[Projet AzureDevOps]]&lt;&gt;"",TabVMAzureEnvProjet[[#This Row],[Projet AzureDevOps]],TabVMAzureEnvProjet[[#This Row],[VM]])</f>
        <v>OFB-ESTAMP</v>
      </c>
      <c r="C929" s="58" t="s">
        <v>13</v>
      </c>
      <c r="E929" t="s">
        <v>4</v>
      </c>
      <c r="F929" t="str">
        <f>LOOKUP(TabVMAzureEnvProjet[[#This Row],[Projet AzureDevOps]],TabAzureDevOps[ProjetAzureDevOps],TabAzureDevOps[PROJET])</f>
        <v>OFB-ESTAMP</v>
      </c>
      <c r="G929" t="str">
        <f>LOOKUP(TabVMAzureEnvProjet[[#This Row],[Projet]],TabProjets[NomProj],TabProjets[SYGES])</f>
        <v>AFB/OFB_LOT1</v>
      </c>
      <c r="H929" t="str">
        <f>LOOKUP(TabVMAzureEnvProjet[[#This Row],[Projet]],TabProjets[NomProj],TabProjets[CP])</f>
        <v>Pierre BOURLIEUX</v>
      </c>
      <c r="I929">
        <f>LOOKUP(TabVMAzureEnvProjet[[#This Row],[Code SYGES]],TabCONTRATSDI[Contrat SYGES],TabCONTRATSDI[Cost Center])</f>
        <v>305704</v>
      </c>
      <c r="J929" s="22" t="str">
        <f>LOOKUP(TabVMAzureEnvProjet[[#This Row],[Code SYGES]],TabCONTRATSDI[Contrat SYGES],TabCONTRATSDI[Client])</f>
        <v>AFB</v>
      </c>
      <c r="K929" t="s">
        <v>405</v>
      </c>
      <c r="L929" s="31">
        <v>1.6099212675128791</v>
      </c>
      <c r="M929" s="41" t="s">
        <v>427</v>
      </c>
    </row>
    <row r="930" spans="1:13" x14ac:dyDescent="0.25">
      <c r="A930" s="22" t="str">
        <f>TabVMAzureEnvProjet[[#This Row],[Client]] &amp; " .:. "  &amp; TabVMAzureEnvProjet[[#This Row],[Projet]]</f>
        <v>OFB .:. OFB-NATUREFRANCE</v>
      </c>
      <c r="B930" s="22" t="str">
        <f>IF(TabVMAzureEnvProjet[[#This Row],[Projet AzureDevOps]]&lt;&gt;"",TabVMAzureEnvProjet[[#This Row],[Projet AzureDevOps]],TabVMAzureEnvProjet[[#This Row],[VM]])</f>
        <v>OFB-NatureFrance</v>
      </c>
      <c r="C930" s="58" t="s">
        <v>79</v>
      </c>
      <c r="E930" t="s">
        <v>4</v>
      </c>
      <c r="F930" t="str">
        <f>LOOKUP(TabVMAzureEnvProjet[[#This Row],[Projet AzureDevOps]],TabAzureDevOps[ProjetAzureDevOps],TabAzureDevOps[PROJET])</f>
        <v>OFB-NATUREFRANCE</v>
      </c>
      <c r="G930" t="str">
        <f>LOOKUP(TabVMAzureEnvProjet[[#This Row],[Projet]],TabProjets[NomProj],TabProjets[SYGES])</f>
        <v>AFB OFB_LOT2 -9-1 NATURE FRANCE</v>
      </c>
      <c r="H930" t="str">
        <f>LOOKUP(TabVMAzureEnvProjet[[#This Row],[Projet]],TabProjets[NomProj],TabProjets[CP])</f>
        <v>Rodolphe HABEGGER</v>
      </c>
      <c r="I930">
        <f>LOOKUP(TabVMAzureEnvProjet[[#This Row],[Code SYGES]],TabCONTRATSDI[Contrat SYGES],TabCONTRATSDI[Cost Center])</f>
        <v>305704</v>
      </c>
      <c r="J930" s="22" t="str">
        <f>LOOKUP(TabVMAzureEnvProjet[[#This Row],[Code SYGES]],TabCONTRATSDI[Contrat SYGES],TabCONTRATSDI[Client])</f>
        <v>OFB</v>
      </c>
      <c r="K930" t="s">
        <v>405</v>
      </c>
      <c r="L930" s="31">
        <v>4.2762867886379308</v>
      </c>
      <c r="M930" s="41" t="s">
        <v>427</v>
      </c>
    </row>
    <row r="931" spans="1:13" x14ac:dyDescent="0.25">
      <c r="A931" s="22" t="str">
        <f>TabVMAzureEnvProjet[[#This Row],[Client]] &amp; " .:. "  &amp; TabVMAzureEnvProjet[[#This Row],[Projet]]</f>
        <v>AFB .:. OFB-SISPEA</v>
      </c>
      <c r="B931" s="22" t="str">
        <f>IF(TabVMAzureEnvProjet[[#This Row],[Projet AzureDevOps]]&lt;&gt;"",TabVMAzureEnvProjet[[#This Row],[Projet AzureDevOps]],TabVMAzureEnvProjet[[#This Row],[VM]])</f>
        <v>OFB-SISPEA</v>
      </c>
      <c r="C931" s="58" t="s">
        <v>9</v>
      </c>
      <c r="E931" t="s">
        <v>4</v>
      </c>
      <c r="F931" t="str">
        <f>LOOKUP(TabVMAzureEnvProjet[[#This Row],[Projet AzureDevOps]],TabAzureDevOps[ProjetAzureDevOps],TabAzureDevOps[PROJET])</f>
        <v>OFB-SISPEA</v>
      </c>
      <c r="G931" t="str">
        <f>LOOKUP(TabVMAzureEnvProjet[[#This Row],[Projet]],TabProjets[NomProj],TabProjets[SYGES])</f>
        <v>AFB/OFB_LOT2</v>
      </c>
      <c r="H931" t="str">
        <f>LOOKUP(TabVMAzureEnvProjet[[#This Row],[Projet]],TabProjets[NomProj],TabProjets[CP])</f>
        <v>Pierre BOURLIEUX</v>
      </c>
      <c r="I931">
        <f>LOOKUP(TabVMAzureEnvProjet[[#This Row],[Code SYGES]],TabCONTRATSDI[Contrat SYGES],TabCONTRATSDI[Cost Center])</f>
        <v>305704</v>
      </c>
      <c r="J931" s="22" t="str">
        <f>LOOKUP(TabVMAzureEnvProjet[[#This Row],[Code SYGES]],TabCONTRATSDI[Contrat SYGES],TabCONTRATSDI[Client])</f>
        <v>AFB</v>
      </c>
      <c r="K931" t="s">
        <v>405</v>
      </c>
      <c r="L931" s="31">
        <v>2.3566097354229858</v>
      </c>
      <c r="M931" s="41" t="s">
        <v>427</v>
      </c>
    </row>
    <row r="932" spans="1:13" x14ac:dyDescent="0.25">
      <c r="A932" s="22" t="str">
        <f>TabVMAzureEnvProjet[[#This Row],[Client]] &amp; " .:. "  &amp; TabVMAzureEnvProjet[[#This Row],[Projet]]</f>
        <v>PCM .:. PCM-ALS</v>
      </c>
      <c r="B932" s="22" t="str">
        <f>IF(TabVMAzureEnvProjet[[#This Row],[Projet AzureDevOps]]&lt;&gt;"",TabVMAzureEnvProjet[[#This Row],[Projet AzureDevOps]],TabVMAzureEnvProjet[[#This Row],[VM]])</f>
        <v>PCM-ALS</v>
      </c>
      <c r="C932" s="58" t="s">
        <v>71</v>
      </c>
      <c r="E932" t="s">
        <v>4</v>
      </c>
      <c r="F932" t="str">
        <f>LOOKUP(TabVMAzureEnvProjet[[#This Row],[Projet AzureDevOps]],TabAzureDevOps[ProjetAzureDevOps],TabAzureDevOps[PROJET])</f>
        <v>PCM-ALS</v>
      </c>
      <c r="G932" t="str">
        <f>LOOKUP(TabVMAzureEnvProjet[[#This Row],[Projet]],TabProjets[NomProj],TabProjets[SYGES])</f>
        <v>PCM/WEB</v>
      </c>
      <c r="H932" t="str">
        <f>LOOKUP(TabVMAzureEnvProjet[[#This Row],[Projet]],TabProjets[NomProj],TabProjets[CP])</f>
        <v>Alice MARCHAL</v>
      </c>
      <c r="I932">
        <f>LOOKUP(TabVMAzureEnvProjet[[#This Row],[Code SYGES]],TabCONTRATSDI[Contrat SYGES],TabCONTRATSDI[Cost Center])</f>
        <v>305704</v>
      </c>
      <c r="J932" s="22" t="str">
        <f>LOOKUP(TabVMAzureEnvProjet[[#This Row],[Code SYGES]],TabCONTRATSDI[Contrat SYGES],TabCONTRATSDI[Client])</f>
        <v>PCM</v>
      </c>
      <c r="K932" t="s">
        <v>405</v>
      </c>
      <c r="L932" s="31">
        <v>3.4441486774621035</v>
      </c>
      <c r="M932" s="41" t="s">
        <v>427</v>
      </c>
    </row>
    <row r="933" spans="1:13" x14ac:dyDescent="0.25">
      <c r="A933" s="22" t="str">
        <f>TabVMAzureEnvProjet[[#This Row],[Client]] &amp; " .:. "  &amp; TabVMAzureEnvProjet[[#This Row],[Projet]]</f>
        <v>PCM .:. PCM-WEB</v>
      </c>
      <c r="B933" s="22" t="str">
        <f>IF(TabVMAzureEnvProjet[[#This Row],[Projet AzureDevOps]]&lt;&gt;"",TabVMAzureEnvProjet[[#This Row],[Projet AzureDevOps]],TabVMAzureEnvProjet[[#This Row],[VM]])</f>
        <v>PCM-Web</v>
      </c>
      <c r="C933" s="58" t="s">
        <v>73</v>
      </c>
      <c r="E933" t="s">
        <v>4</v>
      </c>
      <c r="F933" t="str">
        <f>LOOKUP(TabVMAzureEnvProjet[[#This Row],[Projet AzureDevOps]],TabAzureDevOps[ProjetAzureDevOps],TabAzureDevOps[PROJET])</f>
        <v>PCM-WEB</v>
      </c>
      <c r="G933" t="str">
        <f>LOOKUP(TabVMAzureEnvProjet[[#This Row],[Projet]],TabProjets[NomProj],TabProjets[SYGES])</f>
        <v>PCM/WEB</v>
      </c>
      <c r="H933" t="str">
        <f>LOOKUP(TabVMAzureEnvProjet[[#This Row],[Projet]],TabProjets[NomProj],TabProjets[CP])</f>
        <v>Rodolphe HABEGGER</v>
      </c>
      <c r="I933">
        <f>LOOKUP(TabVMAzureEnvProjet[[#This Row],[Code SYGES]],TabCONTRATSDI[Contrat SYGES],TabCONTRATSDI[Cost Center])</f>
        <v>305704</v>
      </c>
      <c r="J933" s="22" t="str">
        <f>LOOKUP(TabVMAzureEnvProjet[[#This Row],[Code SYGES]],TabCONTRATSDI[Contrat SYGES],TabCONTRATSDI[Client])</f>
        <v>PCM</v>
      </c>
      <c r="K933" t="s">
        <v>405</v>
      </c>
      <c r="L933" s="31">
        <v>2.0232249266623517</v>
      </c>
      <c r="M933" s="41" t="s">
        <v>427</v>
      </c>
    </row>
    <row r="934" spans="1:13" x14ac:dyDescent="0.25">
      <c r="A934" s="22" t="str">
        <f>TabVMAzureEnvProjet[[#This Row],[Client]] &amp; " .:. "  &amp; TabVMAzureEnvProjet[[#This Row],[Projet]]</f>
        <v>SAFT .:. SAFT-PDM</v>
      </c>
      <c r="B934" s="22" t="str">
        <f>IF(TabVMAzureEnvProjet[[#This Row],[Projet AzureDevOps]]&lt;&gt;"",TabVMAzureEnvProjet[[#This Row],[Projet AzureDevOps]],TabVMAzureEnvProjet[[#This Row],[VM]])</f>
        <v>SAFT-PDM</v>
      </c>
      <c r="C934" s="58" t="s">
        <v>94</v>
      </c>
      <c r="E934" t="s">
        <v>4</v>
      </c>
      <c r="F934" t="str">
        <f>LOOKUP(TabVMAzureEnvProjet[[#This Row],[Projet AzureDevOps]],TabAzureDevOps[ProjetAzureDevOps],TabAzureDevOps[PROJET])</f>
        <v>SAFT-PDM</v>
      </c>
      <c r="G934" t="str">
        <f>LOOKUP(TabVMAzureEnvProjet[[#This Row],[Projet]],TabProjets[NomProj],TabProjets[SYGES])</f>
        <v>SAFT/TMA</v>
      </c>
      <c r="H934" t="str">
        <f>LOOKUP(TabVMAzureEnvProjet[[#This Row],[Projet]],TabProjets[NomProj],TabProjets[CP])</f>
        <v>Pierre BOURLIEUX</v>
      </c>
      <c r="I934">
        <f>LOOKUP(TabVMAzureEnvProjet[[#This Row],[Code SYGES]],TabCONTRATSDI[Contrat SYGES],TabCONTRATSDI[Cost Center])</f>
        <v>305704</v>
      </c>
      <c r="J934" s="22" t="str">
        <f>LOOKUP(TabVMAzureEnvProjet[[#This Row],[Code SYGES]],TabCONTRATSDI[Contrat SYGES],TabCONTRATSDI[Client])</f>
        <v>SAFT</v>
      </c>
      <c r="K934" t="s">
        <v>405</v>
      </c>
      <c r="L934" s="31">
        <v>1.2438079816120677</v>
      </c>
      <c r="M934" s="41" t="s">
        <v>427</v>
      </c>
    </row>
    <row r="935" spans="1:13" x14ac:dyDescent="0.25">
      <c r="A935" s="22" t="str">
        <f>TabVMAzureEnvProjet[[#This Row],[Client]] &amp; " .:. "  &amp; TabVMAzureEnvProjet[[#This Row],[Projet]]</f>
        <v>SPC .:. SPC-BUILD</v>
      </c>
      <c r="B935" s="22" t="str">
        <f>IF(TabVMAzureEnvProjet[[#This Row],[Projet AzureDevOps]]&lt;&gt;"",TabVMAzureEnvProjet[[#This Row],[Projet AzureDevOps]],TabVMAzureEnvProjet[[#This Row],[VM]])</f>
        <v>SPC-BUILD</v>
      </c>
      <c r="C935" s="58" t="s">
        <v>67</v>
      </c>
      <c r="E935" t="s">
        <v>4</v>
      </c>
      <c r="F935" t="str">
        <f>LOOKUP(TabVMAzureEnvProjet[[#This Row],[Projet AzureDevOps]],TabAzureDevOps[ProjetAzureDevOps],TabAzureDevOps[PROJET])</f>
        <v>SPC-BUILD</v>
      </c>
      <c r="G935" t="str">
        <f>LOOKUP(TabVMAzureEnvProjet[[#This Row],[Projet]],TabProjets[NomProj],TabProjets[SYGES])</f>
        <v>SPC/BUILD</v>
      </c>
      <c r="H935" t="str">
        <f>LOOKUP(TabVMAzureEnvProjet[[#This Row],[Projet]],TabProjets[NomProj],TabProjets[CP])</f>
        <v>Nicolas DURFORT</v>
      </c>
      <c r="I935">
        <f>LOOKUP(TabVMAzureEnvProjet[[#This Row],[Code SYGES]],TabCONTRATSDI[Contrat SYGES],TabCONTRATSDI[Cost Center])</f>
        <v>305704</v>
      </c>
      <c r="J935" s="22" t="str">
        <f>LOOKUP(TabVMAzureEnvProjet[[#This Row],[Code SYGES]],TabCONTRATSDI[Contrat SYGES],TabCONTRATSDI[Client])</f>
        <v>SPC</v>
      </c>
      <c r="K935" t="s">
        <v>405</v>
      </c>
      <c r="L935" s="31">
        <v>47.742605506525805</v>
      </c>
      <c r="M935" s="41" t="s">
        <v>427</v>
      </c>
    </row>
    <row r="936" spans="1:13" x14ac:dyDescent="0.25">
      <c r="A936" s="22" t="str">
        <f>TabVMAzureEnvProjet[[#This Row],[Client]] &amp; " .:. "  &amp; TabVMAzureEnvProjet[[#This Row],[Projet]]</f>
        <v>SPC .:. SPC-WEB</v>
      </c>
      <c r="B936" s="22" t="str">
        <f>IF(TabVMAzureEnvProjet[[#This Row],[Projet AzureDevOps]]&lt;&gt;"",TabVMAzureEnvProjet[[#This Row],[Projet AzureDevOps]],TabVMAzureEnvProjet[[#This Row],[VM]])</f>
        <v>SPC-WEB</v>
      </c>
      <c r="C936" s="58" t="s">
        <v>69</v>
      </c>
      <c r="E936" t="s">
        <v>4</v>
      </c>
      <c r="F936" t="str">
        <f>LOOKUP(TabVMAzureEnvProjet[[#This Row],[Projet AzureDevOps]],TabAzureDevOps[ProjetAzureDevOps],TabAzureDevOps[PROJET])</f>
        <v>SPC-WEB</v>
      </c>
      <c r="G936" t="str">
        <f>LOOKUP(TabVMAzureEnvProjet[[#This Row],[Projet]],TabProjets[NomProj],TabProjets[SYGES])</f>
        <v>SPC/BUILD-0-1-SITE-WEB</v>
      </c>
      <c r="H936" t="str">
        <f>LOOKUP(TabVMAzureEnvProjet[[#This Row],[Projet]],TabProjets[NomProj],TabProjets[CP])</f>
        <v>Nicolas DURFORT</v>
      </c>
      <c r="I936">
        <f>LOOKUP(TabVMAzureEnvProjet[[#This Row],[Code SYGES]],TabCONTRATSDI[Contrat SYGES],TabCONTRATSDI[Cost Center])</f>
        <v>305704</v>
      </c>
      <c r="J936" s="22" t="str">
        <f>LOOKUP(TabVMAzureEnvProjet[[#This Row],[Code SYGES]],TabCONTRATSDI[Contrat SYGES],TabCONTRATSDI[Client])</f>
        <v>SPC</v>
      </c>
      <c r="K936" t="s">
        <v>405</v>
      </c>
      <c r="L936" s="31">
        <v>0.52442554187065971</v>
      </c>
      <c r="M936" s="41" t="s">
        <v>427</v>
      </c>
    </row>
    <row r="937" spans="1:13" x14ac:dyDescent="0.25">
      <c r="A937" s="22" t="str">
        <f>TabVMAzureEnvProjet[[#This Row],[Client]] &amp; " .:. "  &amp; TabVMAzureEnvProjet[[#This Row],[Projet]]</f>
        <v>STMICRO .:. STMICRO-DATAPACK</v>
      </c>
      <c r="B937" s="22" t="str">
        <f>IF(TabVMAzureEnvProjet[[#This Row],[Projet AzureDevOps]]&lt;&gt;"",TabVMAzureEnvProjet[[#This Row],[Projet AzureDevOps]],TabVMAzureEnvProjet[[#This Row],[VM]])</f>
        <v>STMICRO-DATAPACK</v>
      </c>
      <c r="C937" s="58" t="s">
        <v>96</v>
      </c>
      <c r="E937" t="s">
        <v>4</v>
      </c>
      <c r="F937" t="str">
        <f>LOOKUP(TabVMAzureEnvProjet[[#This Row],[Projet AzureDevOps]],TabAzureDevOps[ProjetAzureDevOps],TabAzureDevOps[PROJET])</f>
        <v>STMICRO-DATAPACK</v>
      </c>
      <c r="G937" t="str">
        <f>LOOKUP(TabVMAzureEnvProjet[[#This Row],[Projet]],TabProjets[NomProj],TabProjets[SYGES])</f>
        <v>STMICRO/TMASI</v>
      </c>
      <c r="H937" t="str">
        <f>LOOKUP(TabVMAzureEnvProjet[[#This Row],[Projet]],TabProjets[NomProj],TabProjets[CP])</f>
        <v>Jean-Philippe STROIAZZO</v>
      </c>
      <c r="I937">
        <f>LOOKUP(TabVMAzureEnvProjet[[#This Row],[Code SYGES]],TabCONTRATSDI[Contrat SYGES],TabCONTRATSDI[Cost Center])</f>
        <v>305704</v>
      </c>
      <c r="J937" s="22" t="str">
        <f>LOOKUP(TabVMAzureEnvProjet[[#This Row],[Code SYGES]],TabCONTRATSDI[Contrat SYGES],TabCONTRATSDI[Client])</f>
        <v>STMICRO</v>
      </c>
      <c r="K937" t="s">
        <v>405</v>
      </c>
      <c r="L937" s="31">
        <v>3.0580508888148139</v>
      </c>
      <c r="M937" s="41" t="s">
        <v>427</v>
      </c>
    </row>
    <row r="938" spans="1:13" x14ac:dyDescent="0.25">
      <c r="A938" s="22" t="str">
        <f>TabVMAzureEnvProjet[[#This Row],[Client]] &amp; " .:. "  &amp; TabVMAzureEnvProjet[[#This Row],[Projet]]</f>
        <v>STMICRO .:. STMICRO-ROCKET</v>
      </c>
      <c r="B938" s="22" t="str">
        <f>IF(TabVMAzureEnvProjet[[#This Row],[Projet AzureDevOps]]&lt;&gt;"",TabVMAzureEnvProjet[[#This Row],[Projet AzureDevOps]],TabVMAzureEnvProjet[[#This Row],[VM]])</f>
        <v>STMICRO-ROCKET</v>
      </c>
      <c r="C938" s="58" t="s">
        <v>98</v>
      </c>
      <c r="E938" t="s">
        <v>4</v>
      </c>
      <c r="F938" t="str">
        <f>LOOKUP(TabVMAzureEnvProjet[[#This Row],[Projet AzureDevOps]],TabAzureDevOps[ProjetAzureDevOps],TabAzureDevOps[PROJET])</f>
        <v>STMICRO-ROCKET</v>
      </c>
      <c r="G938" t="str">
        <f>LOOKUP(TabVMAzureEnvProjet[[#This Row],[Projet]],TabProjets[NomProj],TabProjets[SYGES])</f>
        <v>STMICRO/TMASI</v>
      </c>
      <c r="H938" t="str">
        <f>LOOKUP(TabVMAzureEnvProjet[[#This Row],[Projet]],TabProjets[NomProj],TabProjets[CP])</f>
        <v>Jean-Philippe STROIAZZO</v>
      </c>
      <c r="I938">
        <f>LOOKUP(TabVMAzureEnvProjet[[#This Row],[Code SYGES]],TabCONTRATSDI[Contrat SYGES],TabCONTRATSDI[Cost Center])</f>
        <v>305704</v>
      </c>
      <c r="J938" s="22" t="str">
        <f>LOOKUP(TabVMAzureEnvProjet[[#This Row],[Code SYGES]],TabCONTRATSDI[Contrat SYGES],TabCONTRATSDI[Client])</f>
        <v>STMICRO</v>
      </c>
      <c r="K938" t="s">
        <v>405</v>
      </c>
      <c r="L938" s="31">
        <v>4.1629201554377726</v>
      </c>
      <c r="M938" s="41" t="s">
        <v>427</v>
      </c>
    </row>
    <row r="939" spans="1:13" x14ac:dyDescent="0.25">
      <c r="A939" s="22" t="str">
        <f>TabVMAzureEnvProjet[[#This Row],[Client]] &amp; " .:. "  &amp; TabVMAzureEnvProjet[[#This Row],[Projet]]</f>
        <v>STMICRO .:. STMICRO-STARK</v>
      </c>
      <c r="B939" s="22" t="str">
        <f>IF(TabVMAzureEnvProjet[[#This Row],[Projet AzureDevOps]]&lt;&gt;"",TabVMAzureEnvProjet[[#This Row],[Projet AzureDevOps]],TabVMAzureEnvProjet[[#This Row],[VM]])</f>
        <v>STMICRO-STARK</v>
      </c>
      <c r="C939" s="58" t="s">
        <v>422</v>
      </c>
      <c r="E939" t="s">
        <v>4</v>
      </c>
      <c r="F939" t="str">
        <f>LOOKUP(TabVMAzureEnvProjet[[#This Row],[Projet AzureDevOps]],TabAzureDevOps[ProjetAzureDevOps],TabAzureDevOps[PROJET])</f>
        <v>STMICRO-STARK</v>
      </c>
      <c r="G939" t="str">
        <f>LOOKUP(TabVMAzureEnvProjet[[#This Row],[Projet]],TabProjets[NomProj],TabProjets[SYGES])</f>
        <v>STMICRO/TMASI</v>
      </c>
      <c r="H939" t="str">
        <f>LOOKUP(TabVMAzureEnvProjet[[#This Row],[Projet]],TabProjets[NomProj],TabProjets[CP])</f>
        <v>Estelle GUIGUE</v>
      </c>
      <c r="I939">
        <f>LOOKUP(TabVMAzureEnvProjet[[#This Row],[Code SYGES]],TabCONTRATSDI[Contrat SYGES],TabCONTRATSDI[Cost Center])</f>
        <v>305704</v>
      </c>
      <c r="J939" s="22" t="str">
        <f>LOOKUP(TabVMAzureEnvProjet[[#This Row],[Code SYGES]],TabCONTRATSDI[Contrat SYGES],TabCONTRATSDI[Client])</f>
        <v>STMICRO</v>
      </c>
      <c r="K939" t="s">
        <v>405</v>
      </c>
      <c r="L939" s="31">
        <v>3.4706547366610385</v>
      </c>
      <c r="M939" s="41" t="s">
        <v>427</v>
      </c>
    </row>
    <row r="940" spans="1:13" x14ac:dyDescent="0.25">
      <c r="A940" s="22" t="str">
        <f>TabVMAzureEnvProjet[[#This Row],[Client]] &amp; " .:. "  &amp; TabVMAzureEnvProjet[[#This Row],[Projet]]</f>
        <v>ALM .:. ALM-ATOUT</v>
      </c>
      <c r="B940" s="22" t="str">
        <f>IF(TabVMAzureEnvProjet[[#This Row],[Projet AzureDevOps]]&lt;&gt;"",TabVMAzureEnvProjet[[#This Row],[Projet AzureDevOps]],TabVMAzureEnvProjet[[#This Row],[VM]])</f>
        <v>ALM-ATOUT-VM</v>
      </c>
      <c r="D940" s="19" t="s">
        <v>18</v>
      </c>
      <c r="E940" t="s">
        <v>6</v>
      </c>
      <c r="F940" t="str">
        <f>LOOKUP(TabVMAzureEnvProjet[[#This Row],[VM]],TabVMAZURE[VM],TabVMAZURE[PROJET])</f>
        <v>ALM-ATOUT</v>
      </c>
      <c r="G940" t="str">
        <f>LOOKUP(TabVMAzureEnvProjet[[#This Row],[Projet]],TabProjets[NomProj],TabProjets[SYGES])</f>
        <v>ALM/TMA_ATOUT</v>
      </c>
      <c r="H940" t="str">
        <f>LOOKUP(TabVMAzureEnvProjet[[#This Row],[Projet]],TabProjets[NomProj],TabProjets[CP])</f>
        <v>Alice MARCHAL</v>
      </c>
      <c r="I940">
        <f>LOOKUP(TabVMAzureEnvProjet[[#This Row],[Code SYGES]],TabCONTRATSDI[Contrat SYGES],TabCONTRATSDI[Cost Center])</f>
        <v>305704</v>
      </c>
      <c r="J940" s="22" t="str">
        <f>LOOKUP(TabVMAzureEnvProjet[[#This Row],[Code SYGES]],TabCONTRATSDI[Contrat SYGES],TabCONTRATSDI[Client])</f>
        <v>ALM</v>
      </c>
      <c r="K940" t="s">
        <v>405</v>
      </c>
      <c r="L940" s="31">
        <v>23.781098630136984</v>
      </c>
      <c r="M940" s="40" t="s">
        <v>428</v>
      </c>
    </row>
    <row r="941" spans="1:13" x14ac:dyDescent="0.25">
      <c r="A941" s="22" t="str">
        <f>TabVMAzureEnvProjet[[#This Row],[Client]] &amp; " .:. "  &amp; TabVMAzureEnvProjet[[#This Row],[Projet]]</f>
        <v>BRGM .:. BRGM-ORRM</v>
      </c>
      <c r="B941" s="22" t="str">
        <f>IF(TabVMAzureEnvProjet[[#This Row],[Projet AzureDevOps]]&lt;&gt;"",TabVMAzureEnvProjet[[#This Row],[Projet AzureDevOps]],TabVMAzureEnvProjet[[#This Row],[VM]])</f>
        <v>BRGM-ORRM-VM</v>
      </c>
      <c r="D941" s="19" t="s">
        <v>22</v>
      </c>
      <c r="E941" t="s">
        <v>21</v>
      </c>
      <c r="F941" t="str">
        <f>LOOKUP(TabVMAzureEnvProjet[[#This Row],[VM]],TabVMAZURE[VM],TabVMAZURE[PROJET])</f>
        <v>BRGM-ORRM</v>
      </c>
      <c r="G941" t="str">
        <f>LOOKUP(TabVMAzureEnvProjet[[#This Row],[Projet]],TabProjets[NomProj],TabProjets[SYGES])</f>
        <v>BRGM/TMA-5-1-ORRM-LOT1</v>
      </c>
      <c r="H941" t="str">
        <f>LOOKUP(TabVMAzureEnvProjet[[#This Row],[Projet]],TabProjets[NomProj],TabProjets[CP])</f>
        <v>Alice MARCHAL</v>
      </c>
      <c r="I941">
        <f>LOOKUP(TabVMAzureEnvProjet[[#This Row],[Code SYGES]],TabCONTRATSDI[Contrat SYGES],TabCONTRATSDI[Cost Center])</f>
        <v>305704</v>
      </c>
      <c r="J941" s="22" t="str">
        <f>LOOKUP(TabVMAzureEnvProjet[[#This Row],[Code SYGES]],TabCONTRATSDI[Contrat SYGES],TabCONTRATSDI[Client])</f>
        <v>BRGM</v>
      </c>
      <c r="K941" t="s">
        <v>405</v>
      </c>
      <c r="L941" s="31">
        <v>3.8791863013698631</v>
      </c>
      <c r="M941" s="40" t="s">
        <v>428</v>
      </c>
    </row>
    <row r="942" spans="1:13" x14ac:dyDescent="0.25">
      <c r="A942" s="22" t="str">
        <f>TabVMAzureEnvProjet[[#This Row],[Client]] &amp; " .:. "  &amp; TabVMAzureEnvProjet[[#This Row],[Projet]]</f>
        <v>CA-TITRES .:. CATITRES-COMX</v>
      </c>
      <c r="B942" s="22" t="str">
        <f>IF(TabVMAzureEnvProjet[[#This Row],[Projet AzureDevOps]]&lt;&gt;"",TabVMAzureEnvProjet[[#This Row],[Projet AzureDevOps]],TabVMAzureEnvProjet[[#This Row],[VM]])</f>
        <v>CATITRES-COMX-VM</v>
      </c>
      <c r="D942" s="19" t="s">
        <v>25</v>
      </c>
      <c r="E942" t="s">
        <v>10</v>
      </c>
      <c r="F942" t="str">
        <f>LOOKUP(TabVMAzureEnvProjet[[#This Row],[VM]],TabVMAZURE[VM],TabVMAZURE[PROJET])</f>
        <v>CATITRES-COMX</v>
      </c>
      <c r="G942" t="str">
        <f>LOOKUP(TabVMAzureEnvProjet[[#This Row],[Projet]],TabProjets[NomProj],TabProjets[SYGES])</f>
        <v>CA-TITRES/TMA</v>
      </c>
      <c r="H942" t="str">
        <f>LOOKUP(TabVMAzureEnvProjet[[#This Row],[Projet]],TabProjets[NomProj],TabProjets[CP])</f>
        <v>Jean-Philippe STROIAZZO</v>
      </c>
      <c r="I942">
        <f>LOOKUP(TabVMAzureEnvProjet[[#This Row],[Code SYGES]],TabCONTRATSDI[Contrat SYGES],TabCONTRATSDI[Cost Center])</f>
        <v>305704</v>
      </c>
      <c r="J942" s="22" t="str">
        <f>LOOKUP(TabVMAzureEnvProjet[[#This Row],[Code SYGES]],TabCONTRATSDI[Contrat SYGES],TabCONTRATSDI[Client])</f>
        <v>CA-TITRES</v>
      </c>
      <c r="K942" t="s">
        <v>405</v>
      </c>
      <c r="L942" s="31">
        <v>23.180246404109589</v>
      </c>
      <c r="M942" s="40" t="s">
        <v>428</v>
      </c>
    </row>
    <row r="943" spans="1:13" x14ac:dyDescent="0.25">
      <c r="A943" s="22" t="str">
        <f>TabVMAzureEnvProjet[[#This Row],[Client]] &amp; " .:. "  &amp; TabVMAzureEnvProjet[[#This Row],[Projet]]</f>
        <v>EBR .:. EBR-LAPOSTE</v>
      </c>
      <c r="B943" s="22" t="str">
        <f>IF(TabVMAzureEnvProjet[[#This Row],[Projet AzureDevOps]]&lt;&gt;"",TabVMAzureEnvProjet[[#This Row],[Projet AzureDevOps]],TabVMAzureEnvProjet[[#This Row],[VM]])</f>
        <v>EBR-LAPOSTE-VM</v>
      </c>
      <c r="D943" s="19" t="s">
        <v>76</v>
      </c>
      <c r="E943" t="s">
        <v>10</v>
      </c>
      <c r="F943" t="str">
        <f>LOOKUP(TabVMAzureEnvProjet[[#This Row],[VM]],TabVMAZURE[VM],TabVMAZURE[PROJET])</f>
        <v>EBR-LAPOSTE</v>
      </c>
      <c r="G943" t="str">
        <f>LOOKUP(TabVMAzureEnvProjet[[#This Row],[Projet]],TabProjets[NomProj],TabProjets[SYGES])</f>
        <v>EBR/TMA</v>
      </c>
      <c r="H943" t="str">
        <f>LOOKUP(TabVMAzureEnvProjet[[#This Row],[Projet]],TabProjets[NomProj],TabProjets[CP])</f>
        <v>Valerie ASSELIN LOZACHMEUR</v>
      </c>
      <c r="I943">
        <f>LOOKUP(TabVMAzureEnvProjet[[#This Row],[Code SYGES]],TabCONTRATSDI[Contrat SYGES],TabCONTRATSDI[Cost Center])</f>
        <v>305704</v>
      </c>
      <c r="J943" s="22" t="str">
        <f>LOOKUP(TabVMAzureEnvProjet[[#This Row],[Code SYGES]],TabCONTRATSDI[Contrat SYGES],TabCONTRATSDI[Client])</f>
        <v>EBR</v>
      </c>
      <c r="K943" t="s">
        <v>405</v>
      </c>
      <c r="L943" s="31">
        <v>138.11168184931509</v>
      </c>
      <c r="M943" s="40" t="s">
        <v>428</v>
      </c>
    </row>
    <row r="944" spans="1:13" x14ac:dyDescent="0.25">
      <c r="A944" s="22" t="str">
        <f>TabVMAzureEnvProjet[[#This Row],[Client]] &amp; " .:. "  &amp; TabVMAzureEnvProjet[[#This Row],[Projet]]</f>
        <v>FRR .:. FRR-DIGIPAT</v>
      </c>
      <c r="B944" s="22" t="str">
        <f>IF(TabVMAzureEnvProjet[[#This Row],[Projet AzureDevOps]]&lt;&gt;"",TabVMAzureEnvProjet[[#This Row],[Projet AzureDevOps]],TabVMAzureEnvProjet[[#This Row],[VM]])</f>
        <v>FRR-DIGIPAT-VM</v>
      </c>
      <c r="D944" s="19" t="s">
        <v>31</v>
      </c>
      <c r="E944" t="s">
        <v>21</v>
      </c>
      <c r="F944" t="str">
        <f>LOOKUP(TabVMAzureEnvProjet[[#This Row],[VM]],TabVMAZURE[VM],TabVMAZURE[PROJET])</f>
        <v>FRR-DIGIPAT</v>
      </c>
      <c r="G944" t="str">
        <f>LOOKUP(TabVMAzureEnvProjet[[#This Row],[Projet]],TabProjets[NomProj],TabProjets[SYGES])</f>
        <v>FRR/TMASI</v>
      </c>
      <c r="H944" t="str">
        <f>LOOKUP(TabVMAzureEnvProjet[[#This Row],[Projet]],TabProjets[NomProj],TabProjets[CP])</f>
        <v>Alice MARCHAL</v>
      </c>
      <c r="I944">
        <f>LOOKUP(TabVMAzureEnvProjet[[#This Row],[Code SYGES]],TabCONTRATSDI[Contrat SYGES],TabCONTRATSDI[Cost Center])</f>
        <v>305704</v>
      </c>
      <c r="J944" s="22" t="str">
        <f>LOOKUP(TabVMAzureEnvProjet[[#This Row],[Code SYGES]],TabCONTRATSDI[Contrat SYGES],TabCONTRATSDI[Client])</f>
        <v>FRR</v>
      </c>
      <c r="K944" t="s">
        <v>405</v>
      </c>
      <c r="L944" s="31">
        <v>22.38965136986301</v>
      </c>
      <c r="M944" s="40" t="s">
        <v>428</v>
      </c>
    </row>
    <row r="945" spans="1:13" x14ac:dyDescent="0.25">
      <c r="A945" s="22" t="str">
        <f>TabVMAzureEnvProjet[[#This Row],[Client]] &amp; " .:. "  &amp; TabVMAzureEnvProjet[[#This Row],[Projet]]</f>
        <v>INETUM .:. INETUM-INTERNE</v>
      </c>
      <c r="B945" s="22" t="str">
        <f>IF(TabVMAzureEnvProjet[[#This Row],[Projet AzureDevOps]]&lt;&gt;"",TabVMAzureEnvProjet[[#This Row],[Projet AzureDevOps]],TabVMAzureEnvProjet[[#This Row],[VM]])</f>
        <v>GFI-PMT-VM</v>
      </c>
      <c r="D945" s="19" t="s">
        <v>121</v>
      </c>
      <c r="E945" t="s">
        <v>120</v>
      </c>
      <c r="F945" t="str">
        <f>LOOKUP(TabVMAzureEnvProjet[[#This Row],[VM]],TabVMAZURE[VM],TabVMAZURE[PROJET])</f>
        <v>INETUM-INTERNE</v>
      </c>
      <c r="G945" t="str">
        <f>LOOKUP(TabVMAzureEnvProjet[[#This Row],[Projet]],TabProjets[NomProj],TabProjets[SYGES])</f>
        <v>INETUM/PROJET_INTERNE</v>
      </c>
      <c r="H945" t="str">
        <f>LOOKUP(TabVMAzureEnvProjet[[#This Row],[Projet]],TabProjets[NomProj],TabProjets[CP])</f>
        <v>Christophe ORLANDO</v>
      </c>
      <c r="I945">
        <f>LOOKUP(TabVMAzureEnvProjet[[#This Row],[Code SYGES]],TabCONTRATSDI[Contrat SYGES],TabCONTRATSDI[Cost Center])</f>
        <v>305704</v>
      </c>
      <c r="J945" s="22" t="str">
        <f>LOOKUP(TabVMAzureEnvProjet[[#This Row],[Code SYGES]],TabCONTRATSDI[Contrat SYGES],TabCONTRATSDI[Client])</f>
        <v>INETUM</v>
      </c>
      <c r="K945" t="s">
        <v>405</v>
      </c>
      <c r="L945" s="31">
        <v>33.763678595890411</v>
      </c>
      <c r="M945" s="40" t="s">
        <v>428</v>
      </c>
    </row>
    <row r="946" spans="1:13" x14ac:dyDescent="0.25">
      <c r="A946" s="22" t="str">
        <f>TabVMAzureEnvProjet[[#This Row],[Client]] &amp; " .:. "  &amp; TabVMAzureEnvProjet[[#This Row],[Projet]]</f>
        <v>GFI .:. GFI-WAAC</v>
      </c>
      <c r="B946" s="22" t="str">
        <f>IF(TabVMAzureEnvProjet[[#This Row],[Projet AzureDevOps]]&lt;&gt;"",TabVMAzureEnvProjet[[#This Row],[Projet AzureDevOps]],TabVMAzureEnvProjet[[#This Row],[VM]])</f>
        <v>GFI-WAAC-VM</v>
      </c>
      <c r="D946" s="19" t="s">
        <v>39</v>
      </c>
      <c r="E946" t="s">
        <v>6</v>
      </c>
      <c r="F946" t="str">
        <f>LOOKUP(TabVMAzureEnvProjet[[#This Row],[VM]],TabVMAZURE[VM],TabVMAZURE[PROJET])</f>
        <v>GFI-WAAC</v>
      </c>
      <c r="G946" t="str">
        <f>LOOKUP(TabVMAzureEnvProjet[[#This Row],[Projet]],TabProjets[NomProj],TabProjets[SYGES])</f>
        <v>383928 - WAAC 1.0</v>
      </c>
      <c r="H946" t="str">
        <f>LOOKUP(TabVMAzureEnvProjet[[#This Row],[Projet]],TabProjets[NomProj],TabProjets[CP])</f>
        <v>Laurent MARCIANIAK</v>
      </c>
      <c r="I946">
        <f>LOOKUP(TabVMAzureEnvProjet[[#This Row],[Code SYGES]],TabCONTRATSDI[Contrat SYGES],TabCONTRATSDI[Cost Center])</f>
        <v>100973</v>
      </c>
      <c r="J946" s="22" t="str">
        <f>LOOKUP(TabVMAzureEnvProjet[[#This Row],[Code SYGES]],TabCONTRATSDI[Contrat SYGES],TabCONTRATSDI[Client])</f>
        <v>GFI</v>
      </c>
      <c r="K946" t="s">
        <v>405</v>
      </c>
      <c r="L946" s="31">
        <v>75.939288356164383</v>
      </c>
      <c r="M946" s="40" t="s">
        <v>428</v>
      </c>
    </row>
    <row r="947" spans="1:13" x14ac:dyDescent="0.25">
      <c r="A947" s="22" t="str">
        <f>TabVMAzureEnvProjet[[#This Row],[Client]] &amp; " .:. "  &amp; TabVMAzureEnvProjet[[#This Row],[Projet]]</f>
        <v>INETUM .:. INETUM-INTERNE</v>
      </c>
      <c r="B947" s="22" t="str">
        <f>IF(TabVMAzureEnvProjet[[#This Row],[Projet AzureDevOps]]&lt;&gt;"",TabVMAzureEnvProjet[[#This Row],[Projet AzureDevOps]],TabVMAzureEnvProjet[[#This Row],[VM]])</f>
        <v>INETUM-SONAR</v>
      </c>
      <c r="D947" s="19" t="s">
        <v>122</v>
      </c>
      <c r="E947" t="s">
        <v>120</v>
      </c>
      <c r="F947" t="str">
        <f>LOOKUP(TabVMAzureEnvProjet[[#This Row],[VM]],TabVMAZURE[VM],TabVMAZURE[PROJET])</f>
        <v>INETUM-INTERNE</v>
      </c>
      <c r="G947" t="str">
        <f>LOOKUP(TabVMAzureEnvProjet[[#This Row],[Projet]],TabProjets[NomProj],TabProjets[SYGES])</f>
        <v>INETUM/PROJET_INTERNE</v>
      </c>
      <c r="H947" t="str">
        <f>LOOKUP(TabVMAzureEnvProjet[[#This Row],[Projet]],TabProjets[NomProj],TabProjets[CP])</f>
        <v>Christophe ORLANDO</v>
      </c>
      <c r="I947">
        <f>LOOKUP(TabVMAzureEnvProjet[[#This Row],[Code SYGES]],TabCONTRATSDI[Contrat SYGES],TabCONTRATSDI[Cost Center])</f>
        <v>305704</v>
      </c>
      <c r="J947" s="22" t="str">
        <f>LOOKUP(TabVMAzureEnvProjet[[#This Row],[Code SYGES]],TabCONTRATSDI[Contrat SYGES],TabCONTRATSDI[Client])</f>
        <v>INETUM</v>
      </c>
      <c r="K947" t="s">
        <v>405</v>
      </c>
      <c r="L947" s="31">
        <v>68.686896575342459</v>
      </c>
      <c r="M947" s="40" t="s">
        <v>428</v>
      </c>
    </row>
    <row r="948" spans="1:13" x14ac:dyDescent="0.25">
      <c r="A948" s="22" t="str">
        <f>TabVMAzureEnvProjet[[#This Row],[Client]] &amp; " .:. "  &amp; TabVMAzureEnvProjet[[#This Row],[Projet]]</f>
        <v>INETUM .:. INETUM-INTERNE</v>
      </c>
      <c r="B948" s="22" t="str">
        <f>IF(TabVMAzureEnvProjet[[#This Row],[Projet AzureDevOps]]&lt;&gt;"",TabVMAzureEnvProjet[[#This Row],[Projet AzureDevOps]],TabVMAzureEnvProjet[[#This Row],[VM]])</f>
        <v>GFI-ORLEANS</v>
      </c>
      <c r="D948" s="19" t="s">
        <v>119</v>
      </c>
      <c r="E948" t="s">
        <v>10</v>
      </c>
      <c r="F948" t="str">
        <f>LOOKUP(TabVMAzureEnvProjet[[#This Row],[VM]],TabVMAZURE[VM],TabVMAZURE[PROJET])</f>
        <v>INETUM-INTERNE</v>
      </c>
      <c r="G948" t="str">
        <f>LOOKUP(TabVMAzureEnvProjet[[#This Row],[Projet]],TabProjets[NomProj],TabProjets[SYGES])</f>
        <v>INETUM/PROJET_INTERNE</v>
      </c>
      <c r="H948" t="str">
        <f>LOOKUP(TabVMAzureEnvProjet[[#This Row],[Projet]],TabProjets[NomProj],TabProjets[CP])</f>
        <v>Christophe ORLANDO</v>
      </c>
      <c r="I948">
        <f>LOOKUP(TabVMAzureEnvProjet[[#This Row],[Code SYGES]],TabCONTRATSDI[Contrat SYGES],TabCONTRATSDI[Cost Center])</f>
        <v>305704</v>
      </c>
      <c r="J948" s="22" t="str">
        <f>LOOKUP(TabVMAzureEnvProjet[[#This Row],[Code SYGES]],TabCONTRATSDI[Contrat SYGES],TabCONTRATSDI[Client])</f>
        <v>INETUM</v>
      </c>
      <c r="K948" t="s">
        <v>405</v>
      </c>
      <c r="L948" s="31">
        <v>6.6831633561643837</v>
      </c>
      <c r="M948" s="40" t="s">
        <v>428</v>
      </c>
    </row>
    <row r="949" spans="1:13" x14ac:dyDescent="0.25">
      <c r="A949" s="22" t="str">
        <f>TabVMAzureEnvProjet[[#This Row],[Client]] &amp; " .:. "  &amp; TabVMAzureEnvProjet[[#This Row],[Projet]]</f>
        <v>ITCE .:. ITCE-SIF</v>
      </c>
      <c r="B949" s="22" t="str">
        <f>IF(TabVMAzureEnvProjet[[#This Row],[Projet AzureDevOps]]&lt;&gt;"",TabVMAzureEnvProjet[[#This Row],[Projet AzureDevOps]],TabVMAzureEnvProjet[[#This Row],[VM]])</f>
        <v>ITCE-SIF2</v>
      </c>
      <c r="D949" s="19" t="s">
        <v>125</v>
      </c>
      <c r="E949" t="s">
        <v>10</v>
      </c>
      <c r="F949" t="str">
        <f>LOOKUP(TabVMAzureEnvProjet[[#This Row],[VM]],TabVMAZURE[VM],TabVMAZURE[PROJET])</f>
        <v>ITCE-SIF</v>
      </c>
      <c r="G949" t="str">
        <f>LOOKUP(TabVMAzureEnvProjet[[#This Row],[Projet]],TabProjets[NomProj],TabProjets[SYGES])</f>
        <v>ITCE/TMA</v>
      </c>
      <c r="H949" t="str">
        <f>LOOKUP(TabVMAzureEnvProjet[[#This Row],[Projet]],TabProjets[NomProj],TabProjets[CP])</f>
        <v>Frederic DELAIRE</v>
      </c>
      <c r="I949">
        <f>LOOKUP(TabVMAzureEnvProjet[[#This Row],[Code SYGES]],TabCONTRATSDI[Contrat SYGES],TabCONTRATSDI[Cost Center])</f>
        <v>305704</v>
      </c>
      <c r="J949" s="22" t="str">
        <f>LOOKUP(TabVMAzureEnvProjet[[#This Row],[Code SYGES]],TabCONTRATSDI[Contrat SYGES],TabCONTRATSDI[Client])</f>
        <v>ITCE</v>
      </c>
      <c r="K949" t="s">
        <v>405</v>
      </c>
      <c r="L949" s="31">
        <v>44.621183732876709</v>
      </c>
      <c r="M949" s="40" t="s">
        <v>428</v>
      </c>
    </row>
    <row r="950" spans="1:13" x14ac:dyDescent="0.25">
      <c r="A950" s="22" t="str">
        <f>TabVMAzureEnvProjet[[#This Row],[Client]] &amp; " .:. "  &amp; TabVMAzureEnvProjet[[#This Row],[Projet]]</f>
        <v>LAPOSTE .:. LAPOSTE-CDC</v>
      </c>
      <c r="B950" s="22" t="str">
        <f>IF(TabVMAzureEnvProjet[[#This Row],[Projet AzureDevOps]]&lt;&gt;"",TabVMAzureEnvProjet[[#This Row],[Projet AzureDevOps]],TabVMAzureEnvProjet[[#This Row],[VM]])</f>
        <v>LAPOSTE-CDC-VM</v>
      </c>
      <c r="D950" s="19" t="s">
        <v>92</v>
      </c>
      <c r="E950" t="s">
        <v>10</v>
      </c>
      <c r="F950" t="str">
        <f>LOOKUP(TabVMAzureEnvProjet[[#This Row],[VM]],TabVMAZURE[VM],TabVMAZURE[PROJET])</f>
        <v>LAPOSTE-CDC</v>
      </c>
      <c r="G950" t="str">
        <f>LOOKUP(TabVMAzureEnvProjet[[#This Row],[Projet]],TabProjets[NomProj],TabProjets[SYGES])</f>
        <v>LA-POSTE/CDC_DRUPAL</v>
      </c>
      <c r="H950" t="str">
        <f>LOOKUP(TabVMAzureEnvProjet[[#This Row],[Projet]],TabProjets[NomProj],TabProjets[CP])</f>
        <v>Rodolphe HABEGGER</v>
      </c>
      <c r="I950">
        <f>LOOKUP(TabVMAzureEnvProjet[[#This Row],[Code SYGES]],TabCONTRATSDI[Contrat SYGES],TabCONTRATSDI[Cost Center])</f>
        <v>305704</v>
      </c>
      <c r="J950" s="22" t="str">
        <f>LOOKUP(TabVMAzureEnvProjet[[#This Row],[Code SYGES]],TabCONTRATSDI[Contrat SYGES],TabCONTRATSDI[Client])</f>
        <v>LAPOSTE</v>
      </c>
      <c r="K950" t="s">
        <v>405</v>
      </c>
      <c r="L950" s="31">
        <v>4.0583878424657538</v>
      </c>
      <c r="M950" s="40" t="s">
        <v>428</v>
      </c>
    </row>
    <row r="951" spans="1:13" x14ac:dyDescent="0.25">
      <c r="A951" s="22" t="str">
        <f>TabVMAzureEnvProjet[[#This Row],[Client]] &amp; " .:. "  &amp; TabVMAzureEnvProjet[[#This Row],[Projet]]</f>
        <v>MENESR .:. MENJ-BI</v>
      </c>
      <c r="B951" s="22" t="str">
        <f>IF(TabVMAzureEnvProjet[[#This Row],[Projet AzureDevOps]]&lt;&gt;"",TabVMAzureEnvProjet[[#This Row],[Projet AzureDevOps]],TabVMAzureEnvProjet[[#This Row],[VM]])</f>
        <v>MENJ-BI-VM</v>
      </c>
      <c r="D951" s="19" t="s">
        <v>52</v>
      </c>
      <c r="E951" t="s">
        <v>6</v>
      </c>
      <c r="F951" t="str">
        <f>LOOKUP(TabVMAzureEnvProjet[[#This Row],[VM]],TabVMAZURE[VM],TabVMAZURE[PROJET])</f>
        <v>MENJ-BI</v>
      </c>
      <c r="G951" t="str">
        <f>LOOKUP(TabVMAzureEnvProjet[[#This Row],[Projet]],TabProjets[NomProj],TabProjets[SYGES])</f>
        <v>MENESR/TMA</v>
      </c>
      <c r="H951" t="str">
        <f>LOOKUP(TabVMAzureEnvProjet[[#This Row],[Projet]],TabProjets[NomProj],TabProjets[CP])</f>
        <v>Eric PERROUD</v>
      </c>
      <c r="I951">
        <f>LOOKUP(TabVMAzureEnvProjet[[#This Row],[Code SYGES]],TabCONTRATSDI[Contrat SYGES],TabCONTRATSDI[Cost Center])</f>
        <v>305704</v>
      </c>
      <c r="J951" s="22" t="str">
        <f>LOOKUP(TabVMAzureEnvProjet[[#This Row],[Code SYGES]],TabCONTRATSDI[Contrat SYGES],TabCONTRATSDI[Client])</f>
        <v>MENESR</v>
      </c>
      <c r="K951" t="s">
        <v>405</v>
      </c>
      <c r="L951" s="31">
        <v>4.848982876712328</v>
      </c>
      <c r="M951" s="40" t="s">
        <v>428</v>
      </c>
    </row>
    <row r="952" spans="1:13" x14ac:dyDescent="0.25">
      <c r="A952" s="22" t="str">
        <f>TabVMAzureEnvProjet[[#This Row],[Client]] &amp; " .:. "  &amp; TabVMAzureEnvProjet[[#This Row],[Projet]]</f>
        <v>MENESR .:. MENJ-INSERJEUNES</v>
      </c>
      <c r="B952" s="22" t="str">
        <f>IF(TabVMAzureEnvProjet[[#This Row],[Projet AzureDevOps]]&lt;&gt;"",TabVMAzureEnvProjet[[#This Row],[Projet AzureDevOps]],TabVMAzureEnvProjet[[#This Row],[VM]])</f>
        <v>MENJ-INERJEUNES</v>
      </c>
      <c r="D952" s="19" t="s">
        <v>55</v>
      </c>
      <c r="E952" t="s">
        <v>21</v>
      </c>
      <c r="F952" t="str">
        <f>LOOKUP(TabVMAzureEnvProjet[[#This Row],[VM]],TabVMAZURE[VM],TabVMAZURE[PROJET])</f>
        <v>MENJ-INSERJEUNES</v>
      </c>
      <c r="G952" t="str">
        <f>LOOKUP(TabVMAzureEnvProjet[[#This Row],[Projet]],TabProjets[NomProj],TabProjets[SYGES])</f>
        <v>MENESR - TMA - 23 - 1 - INSERJEUNES</v>
      </c>
      <c r="H952" t="str">
        <f>LOOKUP(TabVMAzureEnvProjet[[#This Row],[Projet]],TabProjets[NomProj],TabProjets[CP])</f>
        <v>Christophe ORLANDO</v>
      </c>
      <c r="I952">
        <f>LOOKUP(TabVMAzureEnvProjet[[#This Row],[Code SYGES]],TabCONTRATSDI[Contrat SYGES],TabCONTRATSDI[Cost Center])</f>
        <v>305704</v>
      </c>
      <c r="J952" s="22" t="str">
        <f>LOOKUP(TabVMAzureEnvProjet[[#This Row],[Code SYGES]],TabCONTRATSDI[Contrat SYGES],TabCONTRATSDI[Client])</f>
        <v>MENESR</v>
      </c>
      <c r="K952" t="s">
        <v>405</v>
      </c>
      <c r="L952" s="31">
        <v>6.1244761986301368</v>
      </c>
      <c r="M952" s="40" t="s">
        <v>428</v>
      </c>
    </row>
    <row r="953" spans="1:13" x14ac:dyDescent="0.25">
      <c r="A953" s="22" t="str">
        <f>TabVMAzureEnvProjet[[#This Row],[Client]] &amp; " .:. "  &amp; TabVMAzureEnvProjet[[#This Row],[Projet]]</f>
        <v>AFB .:. OFB-CMONSPOT</v>
      </c>
      <c r="B953" s="22" t="str">
        <f>IF(TabVMAzureEnvProjet[[#This Row],[Projet AzureDevOps]]&lt;&gt;"",TabVMAzureEnvProjet[[#This Row],[Projet AzureDevOps]],TabVMAzureEnvProjet[[#This Row],[VM]])</f>
        <v>OFB-CMONSPOT</v>
      </c>
      <c r="D953" s="19" t="s">
        <v>12</v>
      </c>
      <c r="E953" t="s">
        <v>10</v>
      </c>
      <c r="F953" t="str">
        <f>LOOKUP(TabVMAzureEnvProjet[[#This Row],[VM]],TabVMAZURE[VM],TabVMAZURE[PROJET])</f>
        <v>OFB-CMONSPOT</v>
      </c>
      <c r="G953" t="str">
        <f>LOOKUP(TabVMAzureEnvProjet[[#This Row],[Projet]],TabProjets[NomProj],TabProjets[SYGES])</f>
        <v>AFB/OFB_LOT2</v>
      </c>
      <c r="H953" t="str">
        <f>LOOKUP(TabVMAzureEnvProjet[[#This Row],[Projet]],TabProjets[NomProj],TabProjets[CP])</f>
        <v>Pierre BOURLIEUX</v>
      </c>
      <c r="I953">
        <f>LOOKUP(TabVMAzureEnvProjet[[#This Row],[Code SYGES]],TabCONTRATSDI[Contrat SYGES],TabCONTRATSDI[Cost Center])</f>
        <v>305704</v>
      </c>
      <c r="J953" s="22" t="str">
        <f>LOOKUP(TabVMAzureEnvProjet[[#This Row],[Code SYGES]],TabCONTRATSDI[Contrat SYGES],TabCONTRATSDI[Client])</f>
        <v>AFB</v>
      </c>
      <c r="K953" t="s">
        <v>405</v>
      </c>
      <c r="L953" s="31">
        <v>6.0401460616438358</v>
      </c>
      <c r="M953" s="40" t="s">
        <v>428</v>
      </c>
    </row>
    <row r="954" spans="1:13" x14ac:dyDescent="0.25">
      <c r="A954" s="22" t="str">
        <f>TabVMAzureEnvProjet[[#This Row],[Client]] &amp; " .:. "  &amp; TabVMAzureEnvProjet[[#This Row],[Projet]]</f>
        <v>AFB .:. OFB-ESTAMP</v>
      </c>
      <c r="B954" s="22" t="str">
        <f>IF(TabVMAzureEnvProjet[[#This Row],[Projet AzureDevOps]]&lt;&gt;"",TabVMAzureEnvProjet[[#This Row],[Projet AzureDevOps]],TabVMAzureEnvProjet[[#This Row],[VM]])</f>
        <v>OFB-ESTAMP-2</v>
      </c>
      <c r="D954" s="19" t="s">
        <v>14</v>
      </c>
      <c r="E954" t="s">
        <v>6</v>
      </c>
      <c r="F954" t="str">
        <f>LOOKUP(TabVMAzureEnvProjet[[#This Row],[VM]],TabVMAZURE[VM],TabVMAZURE[PROJET])</f>
        <v>OFB-ESTAMP</v>
      </c>
      <c r="G954" t="str">
        <f>LOOKUP(TabVMAzureEnvProjet[[#This Row],[Projet]],TabProjets[NomProj],TabProjets[SYGES])</f>
        <v>AFB/OFB_LOT1</v>
      </c>
      <c r="H954" t="str">
        <f>LOOKUP(TabVMAzureEnvProjet[[#This Row],[Projet]],TabProjets[NomProj],TabProjets[CP])</f>
        <v>Pierre BOURLIEUX</v>
      </c>
      <c r="I954">
        <f>LOOKUP(TabVMAzureEnvProjet[[#This Row],[Code SYGES]],TabCONTRATSDI[Contrat SYGES],TabCONTRATSDI[Cost Center])</f>
        <v>305704</v>
      </c>
      <c r="J954" s="22" t="str">
        <f>LOOKUP(TabVMAzureEnvProjet[[#This Row],[Code SYGES]],TabCONTRATSDI[Contrat SYGES],TabCONTRATSDI[Client])</f>
        <v>AFB</v>
      </c>
      <c r="K954" t="s">
        <v>405</v>
      </c>
      <c r="L954" s="31">
        <v>13.840683732876712</v>
      </c>
      <c r="M954" s="40" t="s">
        <v>428</v>
      </c>
    </row>
    <row r="955" spans="1:13" x14ac:dyDescent="0.25">
      <c r="A955" s="22" t="str">
        <f>TabVMAzureEnvProjet[[#This Row],[Client]] &amp; " .:. "  &amp; TabVMAzureEnvProjet[[#This Row],[Projet]]</f>
        <v>OFB .:. OFB-NATUREFRANCE</v>
      </c>
      <c r="B955" s="22" t="str">
        <f>IF(TabVMAzureEnvProjet[[#This Row],[Projet AzureDevOps]]&lt;&gt;"",TabVMAzureEnvProjet[[#This Row],[Projet AzureDevOps]],TabVMAzureEnvProjet[[#This Row],[VM]])</f>
        <v>OFB-FRANCENATURE-VM</v>
      </c>
      <c r="D955" s="19" t="s">
        <v>80</v>
      </c>
      <c r="E955" t="s">
        <v>6</v>
      </c>
      <c r="F955" t="str">
        <f>LOOKUP(TabVMAzureEnvProjet[[#This Row],[VM]],TabVMAZURE[VM],TabVMAZURE[PROJET])</f>
        <v>OFB-NATUREFRANCE</v>
      </c>
      <c r="G955" t="str">
        <f>LOOKUP(TabVMAzureEnvProjet[[#This Row],[Projet]],TabProjets[NomProj],TabProjets[SYGES])</f>
        <v>AFB OFB_LOT2 -9-1 NATURE FRANCE</v>
      </c>
      <c r="H955" t="str">
        <f>LOOKUP(TabVMAzureEnvProjet[[#This Row],[Projet]],TabProjets[NomProj],TabProjets[CP])</f>
        <v>Rodolphe HABEGGER</v>
      </c>
      <c r="I955">
        <f>LOOKUP(TabVMAzureEnvProjet[[#This Row],[Code SYGES]],TabCONTRATSDI[Contrat SYGES],TabCONTRATSDI[Cost Center])</f>
        <v>305704</v>
      </c>
      <c r="J955" s="22" t="str">
        <f>LOOKUP(TabVMAzureEnvProjet[[#This Row],[Code SYGES]],TabCONTRATSDI[Contrat SYGES],TabCONTRATSDI[Client])</f>
        <v>OFB</v>
      </c>
      <c r="K955" t="s">
        <v>405</v>
      </c>
      <c r="L955" s="31">
        <v>9.0654897260273994</v>
      </c>
      <c r="M955" s="40" t="s">
        <v>428</v>
      </c>
    </row>
    <row r="956" spans="1:13" x14ac:dyDescent="0.25">
      <c r="A956" s="22" t="str">
        <f>TabVMAzureEnvProjet[[#This Row],[Client]] &amp; " .:. "  &amp; TabVMAzureEnvProjet[[#This Row],[Projet]]</f>
        <v>AFB .:. AFB-PNM</v>
      </c>
      <c r="B956" s="22" t="str">
        <f>IF(TabVMAzureEnvProjet[[#This Row],[Projet AzureDevOps]]&lt;&gt;"",TabVMAzureEnvProjet[[#This Row],[Projet AzureDevOps]],TabVMAzureEnvProjet[[#This Row],[VM]])</f>
        <v>OFB-PNM</v>
      </c>
      <c r="D956" s="19" t="s">
        <v>7</v>
      </c>
      <c r="E956" t="s">
        <v>6</v>
      </c>
      <c r="F956" t="str">
        <f>LOOKUP(TabVMAzureEnvProjet[[#This Row],[VM]],TabVMAZURE[VM],TabVMAZURE[PROJET])</f>
        <v>AFB-PNM</v>
      </c>
      <c r="G956" t="str">
        <f>LOOKUP(TabVMAzureEnvProjet[[#This Row],[Projet]],TabProjets[NomProj],TabProjets[SYGES])</f>
        <v>AFB/OFB_LOT2</v>
      </c>
      <c r="H956" t="str">
        <f>LOOKUP(TabVMAzureEnvProjet[[#This Row],[Projet]],TabProjets[NomProj],TabProjets[CP])</f>
        <v>Eric RAUCOURT</v>
      </c>
      <c r="I956">
        <f>LOOKUP(TabVMAzureEnvProjet[[#This Row],[Code SYGES]],TabCONTRATSDI[Contrat SYGES],TabCONTRATSDI[Cost Center])</f>
        <v>305704</v>
      </c>
      <c r="J956" s="22" t="str">
        <f>LOOKUP(TabVMAzureEnvProjet[[#This Row],[Code SYGES]],TabCONTRATSDI[Contrat SYGES],TabCONTRATSDI[Client])</f>
        <v>AFB</v>
      </c>
      <c r="K956" t="s">
        <v>405</v>
      </c>
      <c r="L956" s="31">
        <v>4.3430020547945203</v>
      </c>
      <c r="M956" s="40" t="s">
        <v>428</v>
      </c>
    </row>
    <row r="957" spans="1:13" x14ac:dyDescent="0.25">
      <c r="A957" s="22" t="str">
        <f>TabVMAzureEnvProjet[[#This Row],[Client]] &amp; " .:. "  &amp; TabVMAzureEnvProjet[[#This Row],[Projet]]</f>
        <v>AFB .:. OFB-SISPEA</v>
      </c>
      <c r="B957" s="22" t="str">
        <f>IF(TabVMAzureEnvProjet[[#This Row],[Projet AzureDevOps]]&lt;&gt;"",TabVMAzureEnvProjet[[#This Row],[Projet AzureDevOps]],TabVMAzureEnvProjet[[#This Row],[VM]])</f>
        <v>OFB-SISPEA-VM</v>
      </c>
      <c r="D957" s="19" t="s">
        <v>11</v>
      </c>
      <c r="E957" t="s">
        <v>10</v>
      </c>
      <c r="F957" t="str">
        <f>LOOKUP(TabVMAzureEnvProjet[[#This Row],[VM]],TabVMAZURE[VM],TabVMAZURE[PROJET])</f>
        <v>OFB-SISPEA</v>
      </c>
      <c r="G957" t="str">
        <f>LOOKUP(TabVMAzureEnvProjet[[#This Row],[Projet]],TabProjets[NomProj],TabProjets[SYGES])</f>
        <v>AFB/OFB_LOT2</v>
      </c>
      <c r="H957" t="str">
        <f>LOOKUP(TabVMAzureEnvProjet[[#This Row],[Projet]],TabProjets[NomProj],TabProjets[CP])</f>
        <v>Pierre BOURLIEUX</v>
      </c>
      <c r="I957">
        <f>LOOKUP(TabVMAzureEnvProjet[[#This Row],[Code SYGES]],TabCONTRATSDI[Contrat SYGES],TabCONTRATSDI[Cost Center])</f>
        <v>305704</v>
      </c>
      <c r="J957" s="22" t="str">
        <f>LOOKUP(TabVMAzureEnvProjet[[#This Row],[Code SYGES]],TabCONTRATSDI[Contrat SYGES],TabCONTRATSDI[Client])</f>
        <v>AFB</v>
      </c>
      <c r="K957" t="s">
        <v>405</v>
      </c>
      <c r="L957" s="31">
        <v>8.7281691780821902</v>
      </c>
      <c r="M957" s="40" t="s">
        <v>428</v>
      </c>
    </row>
    <row r="958" spans="1:13" x14ac:dyDescent="0.25">
      <c r="A958" s="22" t="str">
        <f>TabVMAzureEnvProjet[[#This Row],[Client]] &amp; " .:. "  &amp; TabVMAzureEnvProjet[[#This Row],[Projet]]</f>
        <v>SPC .:. SPC-BUILD</v>
      </c>
      <c r="B958" s="22" t="str">
        <f>IF(TabVMAzureEnvProjet[[#This Row],[Projet AzureDevOps]]&lt;&gt;"",TabVMAzureEnvProjet[[#This Row],[Projet AzureDevOps]],TabVMAzureEnvProjet[[#This Row],[VM]])</f>
        <v>SPC-BUILDAS-VM</v>
      </c>
      <c r="D958" s="19" t="s">
        <v>68</v>
      </c>
      <c r="E958" t="s">
        <v>10</v>
      </c>
      <c r="F958" t="str">
        <f>LOOKUP(TabVMAzureEnvProjet[[#This Row],[VM]],TabVMAZURE[VM],TabVMAZURE[PROJET])</f>
        <v>SPC-BUILD</v>
      </c>
      <c r="G958" t="str">
        <f>LOOKUP(TabVMAzureEnvProjet[[#This Row],[Projet]],TabProjets[NomProj],TabProjets[SYGES])</f>
        <v>SPC/BUILD</v>
      </c>
      <c r="H958" t="str">
        <f>LOOKUP(TabVMAzureEnvProjet[[#This Row],[Projet]],TabProjets[NomProj],TabProjets[CP])</f>
        <v>Nicolas DURFORT</v>
      </c>
      <c r="I958">
        <f>LOOKUP(TabVMAzureEnvProjet[[#This Row],[Code SYGES]],TabCONTRATSDI[Contrat SYGES],TabCONTRATSDI[Cost Center])</f>
        <v>305704</v>
      </c>
      <c r="J958" s="22" t="str">
        <f>LOOKUP(TabVMAzureEnvProjet[[#This Row],[Code SYGES]],TabCONTRATSDI[Contrat SYGES],TabCONTRATSDI[Client])</f>
        <v>SPC</v>
      </c>
      <c r="K958" t="s">
        <v>405</v>
      </c>
      <c r="L958" s="31">
        <v>102.16596095890411</v>
      </c>
      <c r="M958" s="40" t="s">
        <v>428</v>
      </c>
    </row>
    <row r="959" spans="1:13" x14ac:dyDescent="0.25">
      <c r="A959" s="22" t="str">
        <f>TabVMAzureEnvProjet[[#This Row],[Client]] &amp; " .:. "  &amp; TabVMAzureEnvProjet[[#This Row],[Projet]]</f>
        <v>STMICRO .:. STMICRO-DATAPACK</v>
      </c>
      <c r="B959" s="22" t="str">
        <f>IF(TabVMAzureEnvProjet[[#This Row],[Projet AzureDevOps]]&lt;&gt;"",TabVMAzureEnvProjet[[#This Row],[Projet AzureDevOps]],TabVMAzureEnvProjet[[#This Row],[VM]])</f>
        <v>STMICRO-DATAPACK-VM</v>
      </c>
      <c r="D959" s="19" t="s">
        <v>97</v>
      </c>
      <c r="E959" t="s">
        <v>10</v>
      </c>
      <c r="F959" t="str">
        <f>LOOKUP(TabVMAzureEnvProjet[[#This Row],[VM]],TabVMAZURE[VM],TabVMAZURE[PROJET])</f>
        <v>STMICRO-DATAPACK</v>
      </c>
      <c r="G959" t="str">
        <f>LOOKUP(TabVMAzureEnvProjet[[#This Row],[Projet]],TabProjets[NomProj],TabProjets[SYGES])</f>
        <v>STMICRO/TMASI</v>
      </c>
      <c r="H959" t="str">
        <f>LOOKUP(TabVMAzureEnvProjet[[#This Row],[Projet]],TabProjets[NomProj],TabProjets[CP])</f>
        <v>Jean-Philippe STROIAZZO</v>
      </c>
      <c r="I959">
        <f>LOOKUP(TabVMAzureEnvProjet[[#This Row],[Code SYGES]],TabCONTRATSDI[Contrat SYGES],TabCONTRATSDI[Cost Center])</f>
        <v>305704</v>
      </c>
      <c r="J959" s="22" t="str">
        <f>LOOKUP(TabVMAzureEnvProjet[[#This Row],[Code SYGES]],TabCONTRATSDI[Contrat SYGES],TabCONTRATSDI[Client])</f>
        <v>STMICRO</v>
      </c>
      <c r="K959" t="s">
        <v>405</v>
      </c>
      <c r="L959" s="31">
        <v>15.358626198630137</v>
      </c>
      <c r="M959" s="40" t="s">
        <v>428</v>
      </c>
    </row>
  </sheetData>
  <phoneticPr fontId="5" type="noConversion"/>
  <dataValidations count="5">
    <dataValidation type="list" allowBlank="1" showInputMessage="1" showErrorMessage="1" sqref="D2:D959" xr:uid="{00000000-0002-0000-0100-000000000000}">
      <formula1>ListeVMAZURE</formula1>
    </dataValidation>
    <dataValidation type="list" allowBlank="1" showInputMessage="1" showErrorMessage="1" sqref="E2:E959" xr:uid="{00000000-0002-0000-0100-000001000000}">
      <formula1>ListeRefEnv</formula1>
    </dataValidation>
    <dataValidation type="list" allowBlank="1" showInputMessage="1" showErrorMessage="1" sqref="K2:K959" xr:uid="{00000000-0002-0000-0100-000002000000}">
      <formula1>ListeDates</formula1>
    </dataValidation>
    <dataValidation type="list" allowBlank="1" showInputMessage="1" showErrorMessage="1" sqref="C2:C788" xr:uid="{00000000-0002-0000-0100-000003000000}">
      <formula1>ListeAzureDevOps</formula1>
    </dataValidation>
    <dataValidation type="list" allowBlank="1" showInputMessage="1" showErrorMessage="1" sqref="F2:F959" xr:uid="{00000000-0002-0000-0100-000004000000}">
      <formula1>ListeProjets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3FB07-BCD8-476B-8C56-D8213F5BDB17}">
  <sheetPr codeName="Feuil1"/>
  <dimension ref="A1:D25"/>
  <sheetViews>
    <sheetView workbookViewId="0">
      <selection activeCell="D2" sqref="D2:D21"/>
    </sheetView>
  </sheetViews>
  <sheetFormatPr baseColWidth="10" defaultColWidth="11.42578125" defaultRowHeight="15" x14ac:dyDescent="0.25"/>
  <cols>
    <col min="1" max="1" width="8" bestFit="1" customWidth="1"/>
    <col min="2" max="2" width="6" bestFit="1" customWidth="1"/>
    <col min="3" max="3" width="12" bestFit="1" customWidth="1"/>
    <col min="4" max="4" width="12.42578125" bestFit="1" customWidth="1"/>
  </cols>
  <sheetData>
    <row r="1" spans="1:4" x14ac:dyDescent="0.25">
      <c r="A1" t="s">
        <v>182</v>
      </c>
      <c r="B1" t="s">
        <v>183</v>
      </c>
      <c r="C1" t="s">
        <v>184</v>
      </c>
      <c r="D1" t="s">
        <v>185</v>
      </c>
    </row>
    <row r="2" spans="1:4" x14ac:dyDescent="0.25">
      <c r="A2" s="55">
        <v>22.56</v>
      </c>
      <c r="B2" s="48">
        <f>A2/A23</f>
        <v>3.8630136986301362E-2</v>
      </c>
      <c r="C2" s="51">
        <f>B25*B2</f>
        <v>1.2210986301369859</v>
      </c>
      <c r="D2">
        <f>A2+C2</f>
        <v>23.781098630136984</v>
      </c>
    </row>
    <row r="3" spans="1:4" x14ac:dyDescent="0.25">
      <c r="A3" s="54">
        <v>3.68</v>
      </c>
      <c r="B3" s="48">
        <f>A3/A23</f>
        <v>6.3013698630136981E-3</v>
      </c>
      <c r="C3" s="51">
        <f>B25*B3</f>
        <v>0.19918630136986298</v>
      </c>
      <c r="D3">
        <f t="shared" ref="D3:D21" si="0">A3+C3</f>
        <v>3.8791863013698631</v>
      </c>
    </row>
    <row r="4" spans="1:4" x14ac:dyDescent="0.25">
      <c r="A4" s="55">
        <v>21.99</v>
      </c>
      <c r="B4" s="48">
        <f>A4/A23</f>
        <v>3.7654109589041085E-2</v>
      </c>
      <c r="C4" s="51">
        <f>B25*B4</f>
        <v>1.1902464041095886</v>
      </c>
      <c r="D4">
        <f t="shared" si="0"/>
        <v>23.180246404109589</v>
      </c>
    </row>
    <row r="5" spans="1:4" x14ac:dyDescent="0.25">
      <c r="A5" s="54">
        <v>131.02000000000001</v>
      </c>
      <c r="B5" s="48">
        <f>A5/A23</f>
        <v>0.22434931506849312</v>
      </c>
      <c r="C5" s="51">
        <f>B25*B5</f>
        <v>7.0916818493150675</v>
      </c>
      <c r="D5">
        <f t="shared" si="0"/>
        <v>138.11168184931509</v>
      </c>
    </row>
    <row r="6" spans="1:4" x14ac:dyDescent="0.25">
      <c r="A6" s="55">
        <v>21.24</v>
      </c>
      <c r="B6" s="48">
        <f>A6/A23</f>
        <v>3.6369863013698621E-2</v>
      </c>
      <c r="C6" s="51">
        <f>B25*B6</f>
        <v>1.1496513698630133</v>
      </c>
      <c r="D6">
        <f t="shared" si="0"/>
        <v>22.38965136986301</v>
      </c>
    </row>
    <row r="7" spans="1:4" x14ac:dyDescent="0.25">
      <c r="A7" s="54">
        <v>32.03</v>
      </c>
      <c r="B7" s="48">
        <f>A7/A23</f>
        <v>5.4845890410958893E-2</v>
      </c>
      <c r="C7" s="51">
        <f>B25*B7</f>
        <v>1.7336785958904106</v>
      </c>
      <c r="D7">
        <f t="shared" si="0"/>
        <v>33.763678595890411</v>
      </c>
    </row>
    <row r="8" spans="1:4" x14ac:dyDescent="0.25">
      <c r="A8" s="55">
        <f>67.01+5.03</f>
        <v>72.040000000000006</v>
      </c>
      <c r="B8" s="48">
        <f>A8/A23</f>
        <v>0.12335616438356163</v>
      </c>
      <c r="C8">
        <f>B25*B8</f>
        <v>3.8992883561643832</v>
      </c>
      <c r="D8">
        <f t="shared" si="0"/>
        <v>75.939288356164383</v>
      </c>
    </row>
    <row r="9" spans="1:4" x14ac:dyDescent="0.25">
      <c r="A9" s="54">
        <v>65.16</v>
      </c>
      <c r="B9" s="48">
        <f>A9/A23</f>
        <v>0.1115753424657534</v>
      </c>
      <c r="C9">
        <f>B25*B9</f>
        <v>3.526896575342465</v>
      </c>
      <c r="D9">
        <f t="shared" si="0"/>
        <v>68.686896575342459</v>
      </c>
    </row>
    <row r="10" spans="1:4" x14ac:dyDescent="0.25">
      <c r="A10" s="55">
        <v>6.34</v>
      </c>
      <c r="B10" s="48">
        <f>A10/A23</f>
        <v>1.0856164383561642E-2</v>
      </c>
      <c r="C10">
        <f>B25*B10</f>
        <v>0.34316335616438348</v>
      </c>
      <c r="D10">
        <f t="shared" si="0"/>
        <v>6.6831633561643837</v>
      </c>
    </row>
    <row r="11" spans="1:4" x14ac:dyDescent="0.25">
      <c r="A11" s="54">
        <v>42.33</v>
      </c>
      <c r="B11" s="48">
        <f>A11/A23</f>
        <v>7.2482876712328753E-2</v>
      </c>
      <c r="C11">
        <f>B25*B11</f>
        <v>2.291183732876712</v>
      </c>
      <c r="D11">
        <f t="shared" si="0"/>
        <v>44.621183732876709</v>
      </c>
    </row>
    <row r="12" spans="1:4" x14ac:dyDescent="0.25">
      <c r="A12" s="55">
        <v>3.85</v>
      </c>
      <c r="B12" s="48">
        <f>A12/A23</f>
        <v>6.5924657534246565E-3</v>
      </c>
      <c r="C12">
        <f>B25*B12</f>
        <v>0.2083878424657534</v>
      </c>
      <c r="D12">
        <f t="shared" si="0"/>
        <v>4.0583878424657538</v>
      </c>
    </row>
    <row r="13" spans="1:4" x14ac:dyDescent="0.25">
      <c r="A13" s="54">
        <v>4.5999999999999996</v>
      </c>
      <c r="B13" s="48">
        <f>A13/A23</f>
        <v>7.8767123287671204E-3</v>
      </c>
      <c r="C13">
        <f>B25*B13</f>
        <v>0.24898287671232866</v>
      </c>
      <c r="D13">
        <f t="shared" si="0"/>
        <v>4.848982876712328</v>
      </c>
    </row>
    <row r="14" spans="1:4" x14ac:dyDescent="0.25">
      <c r="A14" s="55">
        <v>5.81</v>
      </c>
      <c r="B14" s="48">
        <f>A14/A23</f>
        <v>9.948630136986299E-3</v>
      </c>
      <c r="C14">
        <f>B25*B14</f>
        <v>0.31447619863013693</v>
      </c>
      <c r="D14">
        <f t="shared" si="0"/>
        <v>6.1244761986301368</v>
      </c>
    </row>
    <row r="15" spans="1:4" x14ac:dyDescent="0.25">
      <c r="A15" s="54">
        <v>5.73</v>
      </c>
      <c r="B15" s="48">
        <f>A15/A23</f>
        <v>9.8116438356164373E-3</v>
      </c>
      <c r="C15">
        <f>B25*B15</f>
        <v>0.31014606164383557</v>
      </c>
      <c r="D15">
        <f t="shared" si="0"/>
        <v>6.0401460616438358</v>
      </c>
    </row>
    <row r="16" spans="1:4" x14ac:dyDescent="0.25">
      <c r="A16" s="55">
        <v>13.13</v>
      </c>
      <c r="B16" s="48">
        <f>A16/A23</f>
        <v>2.2482876712328764E-2</v>
      </c>
      <c r="C16">
        <f>B25*B16</f>
        <v>0.71068373287671227</v>
      </c>
      <c r="D16">
        <f t="shared" si="0"/>
        <v>13.840683732876712</v>
      </c>
    </row>
    <row r="17" spans="1:4" x14ac:dyDescent="0.25">
      <c r="A17" s="54">
        <f>3.74+4.86</f>
        <v>8.6000000000000014</v>
      </c>
      <c r="B17" s="48">
        <f>A17/A23</f>
        <v>1.4726027397260274E-2</v>
      </c>
      <c r="C17">
        <f>B25*B17</f>
        <v>0.46548972602739724</v>
      </c>
      <c r="D17">
        <f t="shared" si="0"/>
        <v>9.0654897260273994</v>
      </c>
    </row>
    <row r="18" spans="1:4" x14ac:dyDescent="0.25">
      <c r="A18" s="55">
        <v>4.12</v>
      </c>
      <c r="B18" s="48">
        <f>A18/A23</f>
        <v>7.0547945205479438E-3</v>
      </c>
      <c r="C18">
        <f>B25*B18</f>
        <v>0.22300205479452051</v>
      </c>
      <c r="D18">
        <f t="shared" si="0"/>
        <v>4.3430020547945203</v>
      </c>
    </row>
    <row r="19" spans="1:4" x14ac:dyDescent="0.25">
      <c r="A19" s="54">
        <v>8.2799999999999994</v>
      </c>
      <c r="B19" s="48">
        <f>A19/A23</f>
        <v>1.4178082191780818E-2</v>
      </c>
      <c r="C19">
        <f>B25*B19</f>
        <v>0.44816917808219164</v>
      </c>
      <c r="D19">
        <f t="shared" si="0"/>
        <v>8.7281691780821902</v>
      </c>
    </row>
    <row r="20" spans="1:4" x14ac:dyDescent="0.25">
      <c r="A20" s="55">
        <v>96.92</v>
      </c>
      <c r="B20" s="48">
        <f>A20/A23</f>
        <v>0.16595890410958902</v>
      </c>
      <c r="C20">
        <f>B25*B20</f>
        <v>5.2459609589041092</v>
      </c>
      <c r="D20">
        <f t="shared" si="0"/>
        <v>102.16596095890411</v>
      </c>
    </row>
    <row r="21" spans="1:4" x14ac:dyDescent="0.25">
      <c r="A21" s="54">
        <v>14.57</v>
      </c>
      <c r="B21" s="48">
        <f>A21/A23</f>
        <v>2.4948630136986297E-2</v>
      </c>
      <c r="C21">
        <f>B25*B21</f>
        <v>0.78862619863013683</v>
      </c>
      <c r="D21">
        <f t="shared" si="0"/>
        <v>15.358626198630137</v>
      </c>
    </row>
    <row r="22" spans="1:4" x14ac:dyDescent="0.25">
      <c r="A22" s="56"/>
    </row>
    <row r="23" spans="1:4" x14ac:dyDescent="0.25">
      <c r="A23" s="32">
        <f>SUM(A2:A21)</f>
        <v>584.00000000000011</v>
      </c>
      <c r="B23" s="49">
        <f>SUM(B2:B21)</f>
        <v>0.99999999999999978</v>
      </c>
      <c r="D23">
        <f>SUM(D2:D21)</f>
        <v>615.61</v>
      </c>
    </row>
    <row r="25" spans="1:4" x14ac:dyDescent="0.25">
      <c r="A25" s="50" t="s">
        <v>184</v>
      </c>
      <c r="B25" s="21">
        <v>31.61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>
    <tabColor theme="5"/>
  </sheetPr>
  <dimension ref="A1:B68"/>
  <sheetViews>
    <sheetView topLeftCell="A13" workbookViewId="0">
      <selection activeCell="E11" sqref="E11"/>
    </sheetView>
  </sheetViews>
  <sheetFormatPr baseColWidth="10" defaultColWidth="11.42578125" defaultRowHeight="15" x14ac:dyDescent="0.25"/>
  <cols>
    <col min="1" max="1" width="23" bestFit="1" customWidth="1"/>
    <col min="2" max="2" width="22.85546875" bestFit="1" customWidth="1"/>
    <col min="3" max="10" width="12.28515625" bestFit="1" customWidth="1"/>
  </cols>
  <sheetData>
    <row r="1" spans="1:2" x14ac:dyDescent="0.25">
      <c r="A1" s="2" t="s">
        <v>186</v>
      </c>
      <c r="B1" s="53" t="s">
        <v>187</v>
      </c>
    </row>
    <row r="2" spans="1:2" x14ac:dyDescent="0.25">
      <c r="A2" s="57" t="s">
        <v>58</v>
      </c>
      <c r="B2" s="52" t="s">
        <v>57</v>
      </c>
    </row>
    <row r="3" spans="1:2" x14ac:dyDescent="0.25">
      <c r="A3" s="57" t="s">
        <v>60</v>
      </c>
      <c r="B3" s="52" t="s">
        <v>59</v>
      </c>
    </row>
    <row r="4" spans="1:2" x14ac:dyDescent="0.25">
      <c r="A4" s="57" t="s">
        <v>61</v>
      </c>
      <c r="B4" s="52" t="s">
        <v>61</v>
      </c>
    </row>
    <row r="5" spans="1:2" x14ac:dyDescent="0.25">
      <c r="A5" s="57" t="s">
        <v>3</v>
      </c>
      <c r="B5" s="52" t="s">
        <v>3</v>
      </c>
    </row>
    <row r="6" spans="1:2" x14ac:dyDescent="0.25">
      <c r="A6" s="57" t="s">
        <v>62</v>
      </c>
      <c r="B6" s="52" t="s">
        <v>62</v>
      </c>
    </row>
    <row r="7" spans="1:2" x14ac:dyDescent="0.25">
      <c r="A7" s="57" t="s">
        <v>64</v>
      </c>
      <c r="B7" s="52" t="s">
        <v>63</v>
      </c>
    </row>
    <row r="8" spans="1:2" x14ac:dyDescent="0.25">
      <c r="A8" s="57" t="s">
        <v>5</v>
      </c>
      <c r="B8" s="52" t="s">
        <v>5</v>
      </c>
    </row>
    <row r="9" spans="1:2" x14ac:dyDescent="0.25">
      <c r="A9" s="57" t="s">
        <v>8</v>
      </c>
      <c r="B9" s="52" t="s">
        <v>8</v>
      </c>
    </row>
    <row r="10" spans="1:2" x14ac:dyDescent="0.25">
      <c r="A10" s="57" t="s">
        <v>65</v>
      </c>
      <c r="B10" s="52" t="s">
        <v>65</v>
      </c>
    </row>
    <row r="11" spans="1:2" x14ac:dyDescent="0.25">
      <c r="A11" s="57" t="s">
        <v>17</v>
      </c>
      <c r="B11" s="52" t="s">
        <v>17</v>
      </c>
    </row>
    <row r="12" spans="1:2" x14ac:dyDescent="0.25">
      <c r="A12" s="57" t="s">
        <v>20</v>
      </c>
      <c r="B12" s="52" t="s">
        <v>20</v>
      </c>
    </row>
    <row r="13" spans="1:2" x14ac:dyDescent="0.25">
      <c r="A13" s="57" t="s">
        <v>100</v>
      </c>
      <c r="B13" s="52" t="s">
        <v>100</v>
      </c>
    </row>
    <row r="14" spans="1:2" x14ac:dyDescent="0.25">
      <c r="A14" s="57" t="s">
        <v>27</v>
      </c>
      <c r="B14" s="52" t="s">
        <v>27</v>
      </c>
    </row>
    <row r="15" spans="1:2" x14ac:dyDescent="0.25">
      <c r="A15" s="57" t="s">
        <v>30</v>
      </c>
      <c r="B15" s="52" t="s">
        <v>29</v>
      </c>
    </row>
    <row r="16" spans="1:2" x14ac:dyDescent="0.25">
      <c r="A16" s="57" t="s">
        <v>32</v>
      </c>
      <c r="B16" s="52" t="s">
        <v>32</v>
      </c>
    </row>
    <row r="17" spans="1:2" x14ac:dyDescent="0.25">
      <c r="A17" s="57" t="s">
        <v>33</v>
      </c>
      <c r="B17" s="52" t="s">
        <v>33</v>
      </c>
    </row>
    <row r="18" spans="1:2" x14ac:dyDescent="0.25">
      <c r="A18" s="57" t="s">
        <v>35</v>
      </c>
      <c r="B18" s="52" t="s">
        <v>34</v>
      </c>
    </row>
    <row r="19" spans="1:2" x14ac:dyDescent="0.25">
      <c r="A19" s="57" t="s">
        <v>36</v>
      </c>
      <c r="B19" s="52" t="s">
        <v>36</v>
      </c>
    </row>
    <row r="20" spans="1:2" x14ac:dyDescent="0.25">
      <c r="A20" s="57" t="s">
        <v>112</v>
      </c>
      <c r="B20" s="52" t="s">
        <v>102</v>
      </c>
    </row>
    <row r="21" spans="1:2" x14ac:dyDescent="0.25">
      <c r="A21" s="57" t="s">
        <v>106</v>
      </c>
      <c r="B21" s="52" t="s">
        <v>102</v>
      </c>
    </row>
    <row r="22" spans="1:2" x14ac:dyDescent="0.25">
      <c r="A22" s="57" t="s">
        <v>107</v>
      </c>
      <c r="B22" s="52" t="s">
        <v>102</v>
      </c>
    </row>
    <row r="23" spans="1:2" x14ac:dyDescent="0.25">
      <c r="A23" s="57" t="s">
        <v>108</v>
      </c>
      <c r="B23" s="52" t="s">
        <v>102</v>
      </c>
    </row>
    <row r="24" spans="1:2" x14ac:dyDescent="0.25">
      <c r="A24" s="57" t="s">
        <v>103</v>
      </c>
      <c r="B24" s="52" t="s">
        <v>102</v>
      </c>
    </row>
    <row r="25" spans="1:2" x14ac:dyDescent="0.25">
      <c r="A25" s="57" t="s">
        <v>109</v>
      </c>
      <c r="B25" s="52" t="s">
        <v>102</v>
      </c>
    </row>
    <row r="26" spans="1:2" x14ac:dyDescent="0.25">
      <c r="A26" s="57" t="s">
        <v>104</v>
      </c>
      <c r="B26" s="52" t="s">
        <v>102</v>
      </c>
    </row>
    <row r="27" spans="1:2" x14ac:dyDescent="0.25">
      <c r="A27" s="57" t="s">
        <v>110</v>
      </c>
      <c r="B27" s="52" t="s">
        <v>102</v>
      </c>
    </row>
    <row r="28" spans="1:2" x14ac:dyDescent="0.25">
      <c r="A28" s="57" t="s">
        <v>105</v>
      </c>
      <c r="B28" s="52" t="s">
        <v>102</v>
      </c>
    </row>
    <row r="29" spans="1:2" x14ac:dyDescent="0.25">
      <c r="A29" s="57" t="s">
        <v>111</v>
      </c>
      <c r="B29" s="52" t="s">
        <v>102</v>
      </c>
    </row>
    <row r="30" spans="1:2" x14ac:dyDescent="0.25">
      <c r="A30" s="57" t="s">
        <v>38</v>
      </c>
      <c r="B30" s="52" t="s">
        <v>38</v>
      </c>
    </row>
    <row r="31" spans="1:2" x14ac:dyDescent="0.25">
      <c r="A31" s="57" t="s">
        <v>42</v>
      </c>
      <c r="B31" s="52" t="s">
        <v>41</v>
      </c>
    </row>
    <row r="32" spans="1:2" x14ac:dyDescent="0.25">
      <c r="A32" s="57" t="s">
        <v>116</v>
      </c>
      <c r="B32" s="52" t="s">
        <v>102</v>
      </c>
    </row>
    <row r="33" spans="1:2" x14ac:dyDescent="0.25">
      <c r="A33" s="57" t="s">
        <v>113</v>
      </c>
      <c r="B33" s="52" t="s">
        <v>102</v>
      </c>
    </row>
    <row r="34" spans="1:2" x14ac:dyDescent="0.25">
      <c r="A34" s="52" t="s">
        <v>118</v>
      </c>
      <c r="B34" s="52" t="s">
        <v>102</v>
      </c>
    </row>
    <row r="35" spans="1:2" x14ac:dyDescent="0.25">
      <c r="A35" s="57" t="s">
        <v>114</v>
      </c>
      <c r="B35" s="52" t="s">
        <v>102</v>
      </c>
    </row>
    <row r="36" spans="1:2" x14ac:dyDescent="0.25">
      <c r="A36" s="57" t="s">
        <v>117</v>
      </c>
      <c r="B36" s="52" t="s">
        <v>102</v>
      </c>
    </row>
    <row r="37" spans="1:2" x14ac:dyDescent="0.25">
      <c r="A37" s="57" t="s">
        <v>115</v>
      </c>
      <c r="B37" s="52" t="s">
        <v>102</v>
      </c>
    </row>
    <row r="38" spans="1:2" x14ac:dyDescent="0.25">
      <c r="A38" s="57" t="s">
        <v>83</v>
      </c>
      <c r="B38" s="52" t="s">
        <v>82</v>
      </c>
    </row>
    <row r="39" spans="1:2" x14ac:dyDescent="0.25">
      <c r="A39" s="57" t="s">
        <v>86</v>
      </c>
      <c r="B39" s="52" t="s">
        <v>82</v>
      </c>
    </row>
    <row r="40" spans="1:2" x14ac:dyDescent="0.25">
      <c r="A40" s="57" t="s">
        <v>87</v>
      </c>
      <c r="B40" s="52" t="s">
        <v>82</v>
      </c>
    </row>
    <row r="41" spans="1:2" x14ac:dyDescent="0.25">
      <c r="A41" s="57" t="s">
        <v>84</v>
      </c>
      <c r="B41" s="52" t="s">
        <v>82</v>
      </c>
    </row>
    <row r="42" spans="1:2" x14ac:dyDescent="0.25">
      <c r="A42" s="57" t="s">
        <v>85</v>
      </c>
      <c r="B42" s="52" t="s">
        <v>82</v>
      </c>
    </row>
    <row r="43" spans="1:2" x14ac:dyDescent="0.25">
      <c r="A43" s="57" t="s">
        <v>89</v>
      </c>
      <c r="B43" s="52" t="s">
        <v>82</v>
      </c>
    </row>
    <row r="44" spans="1:2" x14ac:dyDescent="0.25">
      <c r="A44" s="57" t="s">
        <v>90</v>
      </c>
      <c r="B44" s="52" t="s">
        <v>82</v>
      </c>
    </row>
    <row r="45" spans="1:2" x14ac:dyDescent="0.25">
      <c r="A45" s="57" t="s">
        <v>91</v>
      </c>
      <c r="B45" s="52" t="s">
        <v>82</v>
      </c>
    </row>
    <row r="46" spans="1:2" x14ac:dyDescent="0.25">
      <c r="A46" s="57" t="s">
        <v>88</v>
      </c>
      <c r="B46" s="52" t="s">
        <v>82</v>
      </c>
    </row>
    <row r="47" spans="1:2" x14ac:dyDescent="0.25">
      <c r="A47" s="59" t="s">
        <v>420</v>
      </c>
      <c r="B47" s="52" t="s">
        <v>82</v>
      </c>
    </row>
    <row r="48" spans="1:2" x14ac:dyDescent="0.25">
      <c r="A48" s="57" t="s">
        <v>44</v>
      </c>
      <c r="B48" s="52" t="s">
        <v>44</v>
      </c>
    </row>
    <row r="49" spans="1:2" x14ac:dyDescent="0.25">
      <c r="A49" s="57" t="s">
        <v>51</v>
      </c>
      <c r="B49" s="52" t="s">
        <v>51</v>
      </c>
    </row>
    <row r="50" spans="1:2" x14ac:dyDescent="0.25">
      <c r="A50" s="57" t="s">
        <v>46</v>
      </c>
      <c r="B50" s="52" t="s">
        <v>45</v>
      </c>
    </row>
    <row r="51" spans="1:2" x14ac:dyDescent="0.25">
      <c r="A51" s="57" t="s">
        <v>47</v>
      </c>
      <c r="B51" s="52" t="s">
        <v>45</v>
      </c>
    </row>
    <row r="52" spans="1:2" x14ac:dyDescent="0.25">
      <c r="A52" s="57" t="s">
        <v>54</v>
      </c>
      <c r="B52" s="52" t="s">
        <v>53</v>
      </c>
    </row>
    <row r="53" spans="1:2" x14ac:dyDescent="0.25">
      <c r="A53" s="57" t="s">
        <v>49</v>
      </c>
      <c r="B53" s="52" t="s">
        <v>48</v>
      </c>
    </row>
    <row r="54" spans="1:2" x14ac:dyDescent="0.25">
      <c r="A54" s="57" t="s">
        <v>50</v>
      </c>
      <c r="B54" s="52" t="s">
        <v>48</v>
      </c>
    </row>
    <row r="55" spans="1:2" x14ac:dyDescent="0.25">
      <c r="A55" s="57" t="s">
        <v>15</v>
      </c>
      <c r="B55" s="52" t="s">
        <v>15</v>
      </c>
    </row>
    <row r="56" spans="1:2" x14ac:dyDescent="0.25">
      <c r="A56" s="57" t="s">
        <v>12</v>
      </c>
      <c r="B56" s="52" t="s">
        <v>12</v>
      </c>
    </row>
    <row r="57" spans="1:2" x14ac:dyDescent="0.25">
      <c r="A57" s="59" t="s">
        <v>421</v>
      </c>
      <c r="B57" s="60" t="s">
        <v>421</v>
      </c>
    </row>
    <row r="58" spans="1:2" x14ac:dyDescent="0.25">
      <c r="A58" s="57" t="s">
        <v>13</v>
      </c>
      <c r="B58" s="52" t="s">
        <v>13</v>
      </c>
    </row>
    <row r="59" spans="1:2" x14ac:dyDescent="0.25">
      <c r="A59" s="57" t="s">
        <v>79</v>
      </c>
      <c r="B59" s="52" t="s">
        <v>78</v>
      </c>
    </row>
    <row r="60" spans="1:2" x14ac:dyDescent="0.25">
      <c r="A60" s="57" t="s">
        <v>9</v>
      </c>
      <c r="B60" s="52" t="s">
        <v>9</v>
      </c>
    </row>
    <row r="61" spans="1:2" x14ac:dyDescent="0.25">
      <c r="A61" s="57" t="s">
        <v>71</v>
      </c>
      <c r="B61" s="52" t="s">
        <v>71</v>
      </c>
    </row>
    <row r="62" spans="1:2" x14ac:dyDescent="0.25">
      <c r="A62" s="57" t="s">
        <v>73</v>
      </c>
      <c r="B62" s="52" t="s">
        <v>72</v>
      </c>
    </row>
    <row r="63" spans="1:2" x14ac:dyDescent="0.25">
      <c r="A63" s="57" t="s">
        <v>94</v>
      </c>
      <c r="B63" s="52" t="s">
        <v>94</v>
      </c>
    </row>
    <row r="64" spans="1:2" x14ac:dyDescent="0.25">
      <c r="A64" s="57" t="s">
        <v>67</v>
      </c>
      <c r="B64" s="52" t="s">
        <v>67</v>
      </c>
    </row>
    <row r="65" spans="1:2" x14ac:dyDescent="0.25">
      <c r="A65" s="57" t="s">
        <v>69</v>
      </c>
      <c r="B65" s="52" t="s">
        <v>69</v>
      </c>
    </row>
    <row r="66" spans="1:2" x14ac:dyDescent="0.25">
      <c r="A66" s="57" t="s">
        <v>96</v>
      </c>
      <c r="B66" s="52" t="s">
        <v>96</v>
      </c>
    </row>
    <row r="67" spans="1:2" x14ac:dyDescent="0.25">
      <c r="A67" s="57" t="s">
        <v>98</v>
      </c>
      <c r="B67" s="52" t="s">
        <v>98</v>
      </c>
    </row>
    <row r="68" spans="1:2" x14ac:dyDescent="0.25">
      <c r="A68" s="61" t="s">
        <v>422</v>
      </c>
      <c r="B68" s="62" t="s">
        <v>422</v>
      </c>
    </row>
  </sheetData>
  <dataValidations count="1">
    <dataValidation type="list" allowBlank="1" showInputMessage="1" showErrorMessage="1" sqref="B2:B68" xr:uid="{F2918399-C757-41FF-ADB2-7248D4D69D6E}">
      <formula1>ListeProjets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5"/>
  </sheetPr>
  <dimension ref="A1:AC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7" sqref="D27"/>
    </sheetView>
  </sheetViews>
  <sheetFormatPr baseColWidth="10" defaultColWidth="11.42578125" defaultRowHeight="15" x14ac:dyDescent="0.25"/>
  <cols>
    <col min="1" max="1" width="23.42578125" bestFit="1" customWidth="1"/>
    <col min="2" max="2" width="23.42578125" customWidth="1"/>
    <col min="3" max="3" width="18.28515625" bestFit="1" customWidth="1"/>
    <col min="4" max="4" width="15.140625" bestFit="1" customWidth="1"/>
    <col min="5" max="5" width="20.85546875" bestFit="1" customWidth="1"/>
    <col min="6" max="6" width="22" bestFit="1" customWidth="1"/>
    <col min="7" max="7" width="16.28515625" bestFit="1" customWidth="1"/>
    <col min="8" max="8" width="19.85546875" bestFit="1" customWidth="1"/>
    <col min="9" max="9" width="12.140625" bestFit="1" customWidth="1"/>
    <col min="10" max="10" width="12" bestFit="1" customWidth="1"/>
    <col min="11" max="11" width="11" bestFit="1" customWidth="1"/>
    <col min="12" max="12" width="9.140625" bestFit="1" customWidth="1"/>
    <col min="13" max="13" width="10.85546875" bestFit="1" customWidth="1"/>
    <col min="14" max="14" width="17.85546875" bestFit="1" customWidth="1"/>
    <col min="15" max="16" width="14" bestFit="1" customWidth="1"/>
    <col min="17" max="17" width="14" customWidth="1"/>
    <col min="18" max="18" width="14" bestFit="1" customWidth="1"/>
    <col min="19" max="19" width="14" customWidth="1"/>
    <col min="20" max="20" width="14" bestFit="1" customWidth="1"/>
    <col min="21" max="21" width="14" customWidth="1"/>
    <col min="22" max="22" width="14" bestFit="1" customWidth="1"/>
    <col min="23" max="23" width="14" customWidth="1"/>
    <col min="24" max="24" width="17.85546875" bestFit="1" customWidth="1"/>
    <col min="25" max="27" width="17.85546875" customWidth="1"/>
    <col min="28" max="29" width="14" bestFit="1" customWidth="1"/>
  </cols>
  <sheetData>
    <row r="1" spans="1:29" ht="60" x14ac:dyDescent="0.25">
      <c r="A1" s="2" t="s">
        <v>130</v>
      </c>
      <c r="B1" s="53" t="s">
        <v>187</v>
      </c>
      <c r="C1" s="3" t="s">
        <v>188</v>
      </c>
      <c r="D1" s="3" t="s">
        <v>189</v>
      </c>
      <c r="E1" s="3" t="s">
        <v>190</v>
      </c>
      <c r="F1" s="3" t="s">
        <v>191</v>
      </c>
      <c r="G1" s="3" t="s">
        <v>192</v>
      </c>
      <c r="H1" s="3" t="s">
        <v>193</v>
      </c>
      <c r="I1" s="2" t="s">
        <v>194</v>
      </c>
      <c r="J1" s="2" t="s">
        <v>195</v>
      </c>
      <c r="K1" s="28" t="s">
        <v>196</v>
      </c>
      <c r="L1" s="29" t="s">
        <v>197</v>
      </c>
      <c r="M1" s="28" t="s">
        <v>198</v>
      </c>
      <c r="N1" s="28" t="s">
        <v>199</v>
      </c>
      <c r="O1" s="28" t="s">
        <v>200</v>
      </c>
      <c r="P1" s="28" t="s">
        <v>201</v>
      </c>
      <c r="Q1" s="28" t="s">
        <v>202</v>
      </c>
      <c r="R1" s="28" t="s">
        <v>203</v>
      </c>
      <c r="S1" s="28" t="s">
        <v>204</v>
      </c>
      <c r="T1" s="28" t="s">
        <v>205</v>
      </c>
      <c r="U1" s="28" t="s">
        <v>206</v>
      </c>
      <c r="V1" s="28" t="s">
        <v>207</v>
      </c>
      <c r="W1" s="28" t="s">
        <v>208</v>
      </c>
      <c r="X1" s="28" t="s">
        <v>209</v>
      </c>
      <c r="Y1" s="28" t="s">
        <v>210</v>
      </c>
      <c r="Z1" s="28" t="s">
        <v>211</v>
      </c>
      <c r="AA1" s="28" t="s">
        <v>212</v>
      </c>
      <c r="AB1" s="43" t="s">
        <v>213</v>
      </c>
      <c r="AC1" s="28" t="s">
        <v>214</v>
      </c>
    </row>
    <row r="2" spans="1:29" x14ac:dyDescent="0.25">
      <c r="A2" s="44" t="s">
        <v>18</v>
      </c>
      <c r="B2" s="52" t="s">
        <v>17</v>
      </c>
      <c r="C2" t="s">
        <v>215</v>
      </c>
      <c r="D2" t="s">
        <v>216</v>
      </c>
      <c r="E2" t="s">
        <v>217</v>
      </c>
      <c r="F2" t="s">
        <v>218</v>
      </c>
      <c r="G2" t="s">
        <v>218</v>
      </c>
      <c r="H2" t="s">
        <v>218</v>
      </c>
      <c r="I2" s="17">
        <v>0.29166666666666669</v>
      </c>
      <c r="J2" s="17">
        <v>0.83333333333333337</v>
      </c>
      <c r="K2" s="22">
        <f>(((TabVMAZURE[[#This Row],[Auto Stop]]-INT(TabVMAZURE[[#This Row],[Auto Stop]]))*24)-((TabVMAZURE[[#This Row],[Auto Start]]-INT(TabVMAZURE[[#This Row],[Auto Start]]))*24))</f>
        <v>13</v>
      </c>
      <c r="L2" s="22">
        <v>20</v>
      </c>
      <c r="M2" s="22">
        <f>TabVMAZURE[[#This Row],[Activité 
par jours]]*TabVMAZURE[[#This Row],[Jours / Mois]]</f>
        <v>260</v>
      </c>
      <c r="N2" s="22">
        <f>INDEX(ListeVMAzureCoûts,MATCH(TabVMAZURE[[#This Row],[VMAzureSize]],ListeVMAzureSize,0),MATCH(TabVMAZURE[[#This Row],[Système]],ListeSystèmes,0))</f>
        <v>0.26319999999999999</v>
      </c>
      <c r="O2" s="22">
        <f>SUM((TabVMAZURE[[#This Row],[Activité 
par mois]]*TabVMAZURE[[#This Row],[Coût horaire VM]])+(TabVMAZURE[[#This Row],[Activité 
par mois]]*0.01717))</f>
        <v>72.896200000000007</v>
      </c>
      <c r="P2" s="22">
        <f>INDEX(TabVMAzureDisk[Coût / mois],MATCH(TabVMAZURE[[#This Row],[VMAzureDisk]],TabVMAzureDisk[VMAzureDisk],0))</f>
        <v>17.98</v>
      </c>
      <c r="Q2" s="22">
        <f>INDEX(TabVMAzureDisk[Coût / mois Sauvegarde],MATCH(TabVMAZURE[[#This Row],[VMAzureDisk]],TabVMAzureDisk[VMAzureDisk],0))</f>
        <v>34.534399999999998</v>
      </c>
      <c r="R2" s="22">
        <f>INDEX(TabVMAzureDisk[Coût / mois],MATCH(TabVMAZURE[[#This Row],[VMAzureDisk2]],TabVMAzureDisk[VMAzureDisk],0))</f>
        <v>0</v>
      </c>
      <c r="S2" s="22">
        <f>INDEX(TabVMAzureDisk[Coût / mois Sauvegarde],MATCH(TabVMAZURE[[#This Row],[VMAzureDisk2]],TabVMAzureDisk[VMAzureDisk],0))</f>
        <v>0</v>
      </c>
      <c r="T2" s="22">
        <f>INDEX(TabVMAzureDisk[Coût / mois],MATCH(TabVMAZURE[[#This Row],[VMAzureDisk3]],TabVMAzureDisk[VMAzureDisk],0))</f>
        <v>0</v>
      </c>
      <c r="U2" s="22">
        <f>INDEX(TabVMAzureDisk[Coût / mois Sauvegarde],MATCH(TabVMAZURE[[#This Row],[VMAzureDisk3]],TabVMAzureDisk[VMAzureDisk],0))</f>
        <v>0</v>
      </c>
      <c r="V2" s="22">
        <f>INDEX(TabVMAzureDisk[Coût / mois],MATCH(TabVMAZURE[[#This Row],[VMAzureDisk4]],TabVMAzureDisk[VMAzureDisk],0))</f>
        <v>0</v>
      </c>
      <c r="W2" s="22">
        <f>INDEX(TabVMAzureDisk[Coût / mois Sauvegarde],MATCH(TabVMAZURE[[#This Row],[VMAzureDisk4]],TabVMAzureDisk[VMAzureDisk],0))</f>
        <v>0</v>
      </c>
      <c r="X2" s="22">
        <f>SUM(TabVMAZURE[[#This Row],[Coût estimé 
Disk1 / mois]]+TabVMAZURE[[#This Row],[Coût estimé 
Disk2 / mois]]+TabVMAZURE[[#This Row],[Coût estimé 
Disk3 / mois]]+TabVMAZURE[[#This Row],[Coût estimé 
Disk4 / mois]])</f>
        <v>17.98</v>
      </c>
      <c r="Y2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34.534399999999998</v>
      </c>
      <c r="Z2" s="22">
        <f>SUM(TabVMAZURE[[#This Row],[Coût estimé 
Disk Total / mois]]+TabVMAZURE[[#This Row],[Coût estimé 
sauvegarde total / mois]])</f>
        <v>52.514399999999995</v>
      </c>
      <c r="AA2" s="22">
        <v>5</v>
      </c>
      <c r="AB2" s="22">
        <f>SUM(TabVMAZURE[[#This Row],[Coût estimé 
VM / mois]]+TabVMAZURE[[#This Row],[Coût estimé 
Disk Total / mois]]+TabVMAZURE[[#This Row],[ip/dns/CS …]])</f>
        <v>95.876200000000011</v>
      </c>
      <c r="AC2" s="22">
        <f>SUM(TabVMAZURE[[#This Row],[Coût estimé 
VM / mois]]+TabVMAZURE[[#This Row],[Coût estimé 
Disk + sauvegarde Total / mois]]+TabVMAZURE[[#This Row],[ip/dns/CS …]])</f>
        <v>130.41059999999999</v>
      </c>
    </row>
    <row r="3" spans="1:29" x14ac:dyDescent="0.25">
      <c r="A3" s="44" t="s">
        <v>22</v>
      </c>
      <c r="B3" s="52" t="s">
        <v>20</v>
      </c>
      <c r="C3" t="s">
        <v>215</v>
      </c>
      <c r="D3" t="s">
        <v>219</v>
      </c>
      <c r="E3" t="s">
        <v>220</v>
      </c>
      <c r="F3" t="s">
        <v>218</v>
      </c>
      <c r="G3" t="s">
        <v>218</v>
      </c>
      <c r="H3" t="s">
        <v>218</v>
      </c>
      <c r="I3" s="17">
        <v>0.33333333333333331</v>
      </c>
      <c r="J3" s="17">
        <v>0.79166666666666663</v>
      </c>
      <c r="K3" s="22">
        <f>(((TabVMAZURE[[#This Row],[Auto Stop]]-INT(TabVMAZURE[[#This Row],[Auto Stop]]))*24)-((TabVMAZURE[[#This Row],[Auto Start]]-INT(TabVMAZURE[[#This Row],[Auto Start]]))*24))</f>
        <v>11</v>
      </c>
      <c r="L3" s="22">
        <v>20</v>
      </c>
      <c r="M3" s="22">
        <f>TabVMAZURE[[#This Row],[Activité 
par jours]]*TabVMAZURE[[#This Row],[Jours / Mois]]</f>
        <v>220</v>
      </c>
      <c r="N3" s="22">
        <f>INDEX(ListeVMAzureCoûts,MATCH(TabVMAZURE[[#This Row],[VMAzureSize]],ListeVMAzureSize,0),MATCH(TabVMAZURE[[#This Row],[Système]],ListeSystèmes,0))</f>
        <v>0.02</v>
      </c>
      <c r="O3" s="22">
        <f>SUM((TabVMAZURE[[#This Row],[Activité 
par mois]]*TabVMAZURE[[#This Row],[Coût horaire VM]])+(TabVMAZURE[[#This Row],[Activité 
par mois]]*0.01717))</f>
        <v>8.1774000000000004</v>
      </c>
      <c r="P3" s="22">
        <f>INDEX(TabVMAzureDisk[Coût / mois],MATCH(TabVMAZURE[[#This Row],[VMAzureDisk]],TabVMAzureDisk[VMAzureDisk],0))</f>
        <v>1.425</v>
      </c>
      <c r="Q3" s="22">
        <f>INDEX(TabVMAzureDisk[Coût / mois Sauvegarde],MATCH(TabVMAZURE[[#This Row],[VMAzureDisk]],TabVMAzureDisk[VMAzureDisk],0))</f>
        <v>1.4303999999999999</v>
      </c>
      <c r="R3" s="22">
        <f>INDEX(TabVMAzureDisk[Coût / mois],MATCH(TabVMAZURE[[#This Row],[VMAzureDisk2]],TabVMAzureDisk[VMAzureDisk],0))</f>
        <v>0</v>
      </c>
      <c r="S3" s="22">
        <f>INDEX(TabVMAzureDisk[Coût / mois Sauvegarde],MATCH(TabVMAZURE[[#This Row],[VMAzureDisk2]],TabVMAzureDisk[VMAzureDisk],0))</f>
        <v>0</v>
      </c>
      <c r="T3" s="22">
        <f>INDEX(TabVMAzureDisk[Coût / mois],MATCH(TabVMAZURE[[#This Row],[VMAzureDisk3]],TabVMAzureDisk[VMAzureDisk],0))</f>
        <v>0</v>
      </c>
      <c r="U3" s="22">
        <f>INDEX(TabVMAzureDisk[Coût / mois Sauvegarde],MATCH(TabVMAZURE[[#This Row],[VMAzureDisk3]],TabVMAzureDisk[VMAzureDisk],0))</f>
        <v>0</v>
      </c>
      <c r="V3" s="22">
        <f>INDEX(TabVMAzureDisk[Coût / mois],MATCH(TabVMAZURE[[#This Row],[VMAzureDisk4]],TabVMAzureDisk[VMAzureDisk],0))</f>
        <v>0</v>
      </c>
      <c r="W3" s="22">
        <f>INDEX(TabVMAzureDisk[Coût / mois Sauvegarde],MATCH(TabVMAZURE[[#This Row],[VMAzureDisk4]],TabVMAzureDisk[VMAzureDisk],0))</f>
        <v>0</v>
      </c>
      <c r="X3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Y3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Z3" s="22">
        <f>SUM(TabVMAZURE[[#This Row],[Coût estimé 
Disk Total / mois]]+TabVMAZURE[[#This Row],[Coût estimé 
sauvegarde total / mois]])</f>
        <v>2.8553999999999999</v>
      </c>
      <c r="AA3" s="22">
        <v>5</v>
      </c>
      <c r="AB3" s="34">
        <f>SUM(TabVMAZURE[[#This Row],[Coût estimé 
VM / mois]]+TabVMAZURE[[#This Row],[Coût estimé 
Disk Total / mois]]+TabVMAZURE[[#This Row],[ip/dns/CS …]])</f>
        <v>14.602400000000001</v>
      </c>
      <c r="AC3" s="22">
        <f>SUM(TabVMAZURE[[#This Row],[Coût estimé 
VM / mois]]+TabVMAZURE[[#This Row],[Coût estimé 
Disk + sauvegarde Total / mois]]+TabVMAZURE[[#This Row],[ip/dns/CS …]])</f>
        <v>16.032800000000002</v>
      </c>
    </row>
    <row r="4" spans="1:29" x14ac:dyDescent="0.25">
      <c r="A4" s="44" t="s">
        <v>25</v>
      </c>
      <c r="B4" s="52" t="s">
        <v>24</v>
      </c>
      <c r="C4" t="s">
        <v>221</v>
      </c>
      <c r="D4" t="s">
        <v>222</v>
      </c>
      <c r="E4" t="s">
        <v>223</v>
      </c>
      <c r="F4" t="s">
        <v>224</v>
      </c>
      <c r="G4" t="s">
        <v>218</v>
      </c>
      <c r="H4" t="s">
        <v>218</v>
      </c>
      <c r="I4" s="17">
        <v>0.35416666666666669</v>
      </c>
      <c r="J4" s="17">
        <v>0.8125</v>
      </c>
      <c r="K4" s="22">
        <f>(((TabVMAZURE[[#This Row],[Auto Stop]]-INT(TabVMAZURE[[#This Row],[Auto Stop]]))*24)-((TabVMAZURE[[#This Row],[Auto Start]]-INT(TabVMAZURE[[#This Row],[Auto Start]]))*24))</f>
        <v>11</v>
      </c>
      <c r="L4" s="22">
        <v>20</v>
      </c>
      <c r="M4" s="22">
        <f>TabVMAZURE[[#This Row],[Activité 
par jours]]*TabVMAZURE[[#This Row],[Jours / Mois]]</f>
        <v>220</v>
      </c>
      <c r="N4" s="22">
        <f>INDEX(ListeVMAzureCoûts,MATCH(TabVMAZURE[[#This Row],[VMAzureSize]],ListeVMAzureSize,0),MATCH(TabVMAZURE[[#This Row],[Système]],ListeSystèmes,0))</f>
        <v>0.50009999999999999</v>
      </c>
      <c r="O4" s="22">
        <f>SUM((TabVMAZURE[[#This Row],[Activité 
par mois]]*TabVMAZURE[[#This Row],[Coût horaire VM]])+(TabVMAZURE[[#This Row],[Activité 
par mois]]*0.01717))</f>
        <v>113.79939999999999</v>
      </c>
      <c r="P4" s="22">
        <f>INDEX(TabVMAzureDisk[Coût / mois],MATCH(TabVMAZURE[[#This Row],[VMAzureDisk]],TabVMAzureDisk[VMAzureDisk],0))</f>
        <v>5.5010000000000003</v>
      </c>
      <c r="Q4" s="22">
        <f>INDEX(TabVMAzureDisk[Coût / mois Sauvegarde],MATCH(TabVMAZURE[[#This Row],[VMAzureDisk]],TabVMAzureDisk[VMAzureDisk],0))</f>
        <v>5.7215999999999996</v>
      </c>
      <c r="R4" s="22">
        <f>INDEX(TabVMAzureDisk[Coût / mois],MATCH(TabVMAZURE[[#This Row],[VMAzureDisk2]],TabVMAzureDisk[VMAzureDisk],0))</f>
        <v>5.3869999999999996</v>
      </c>
      <c r="S4" s="22">
        <f>INDEX(TabVMAzureDisk[Coût / mois Sauvegarde],MATCH(TabVMAZURE[[#This Row],[VMAzureDisk2]],TabVMAzureDisk[VMAzureDisk],0))</f>
        <v>4.3167999999999997</v>
      </c>
      <c r="T4" s="22">
        <f>INDEX(TabVMAzureDisk[Coût / mois],MATCH(TabVMAZURE[[#This Row],[VMAzureDisk3]],TabVMAzureDisk[VMAzureDisk],0))</f>
        <v>0</v>
      </c>
      <c r="U4" s="22">
        <f>INDEX(TabVMAzureDisk[Coût / mois Sauvegarde],MATCH(TabVMAZURE[[#This Row],[VMAzureDisk3]],TabVMAzureDisk[VMAzureDisk],0))</f>
        <v>0</v>
      </c>
      <c r="V4" s="22">
        <f>INDEX(TabVMAzureDisk[Coût / mois],MATCH(TabVMAZURE[[#This Row],[VMAzureDisk4]],TabVMAzureDisk[VMAzureDisk],0))</f>
        <v>0</v>
      </c>
      <c r="W4" s="22">
        <f>INDEX(TabVMAzureDisk[Coût / mois Sauvegarde],MATCH(TabVMAZURE[[#This Row],[VMAzureDisk4]],TabVMAzureDisk[VMAzureDisk],0))</f>
        <v>0</v>
      </c>
      <c r="X4" s="22">
        <f>SUM(TabVMAZURE[[#This Row],[Coût estimé 
Disk1 / mois]]+TabVMAZURE[[#This Row],[Coût estimé 
Disk2 / mois]]+TabVMAZURE[[#This Row],[Coût estimé 
Disk3 / mois]]+TabVMAZURE[[#This Row],[Coût estimé 
Disk4 / mois]])</f>
        <v>10.888</v>
      </c>
      <c r="Y4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10.038399999999999</v>
      </c>
      <c r="Z4" s="22">
        <f>SUM(TabVMAZURE[[#This Row],[Coût estimé 
Disk Total / mois]]+TabVMAZURE[[#This Row],[Coût estimé 
sauvegarde total / mois]])</f>
        <v>20.926400000000001</v>
      </c>
      <c r="AA4" s="22">
        <v>5</v>
      </c>
      <c r="AB4" s="22">
        <f>SUM(TabVMAZURE[[#This Row],[Coût estimé 
VM / mois]]+TabVMAZURE[[#This Row],[Coût estimé 
Disk Total / mois]]+TabVMAZURE[[#This Row],[ip/dns/CS …]])</f>
        <v>129.6874</v>
      </c>
      <c r="AC4" s="22">
        <f>SUM(TabVMAZURE[[#This Row],[Coût estimé 
VM / mois]]+TabVMAZURE[[#This Row],[Coût estimé 
Disk + sauvegarde Total / mois]]+TabVMAZURE[[#This Row],[ip/dns/CS …]])</f>
        <v>139.72579999999999</v>
      </c>
    </row>
    <row r="5" spans="1:29" x14ac:dyDescent="0.25">
      <c r="A5" s="44" t="s">
        <v>76</v>
      </c>
      <c r="B5" s="52" t="s">
        <v>75</v>
      </c>
      <c r="C5" t="s">
        <v>225</v>
      </c>
      <c r="D5" t="s">
        <v>226</v>
      </c>
      <c r="E5" t="s">
        <v>223</v>
      </c>
      <c r="F5" t="s">
        <v>227</v>
      </c>
      <c r="G5" t="s">
        <v>223</v>
      </c>
      <c r="H5" t="s">
        <v>218</v>
      </c>
      <c r="I5" s="17">
        <v>0.33333333333333331</v>
      </c>
      <c r="J5" s="17">
        <v>0.79166666666666663</v>
      </c>
      <c r="K5" s="22">
        <f>(((TabVMAZURE[[#This Row],[Auto Stop]]-INT(TabVMAZURE[[#This Row],[Auto Stop]]))*24)-((TabVMAZURE[[#This Row],[Auto Start]]-INT(TabVMAZURE[[#This Row],[Auto Start]]))*24))</f>
        <v>11</v>
      </c>
      <c r="L5" s="22">
        <v>10</v>
      </c>
      <c r="M5" s="22">
        <f>TabVMAZURE[[#This Row],[Activité 
par jours]]*TabVMAZURE[[#This Row],[Jours / Mois]]</f>
        <v>110</v>
      </c>
      <c r="N5" s="22">
        <f>INDEX(ListeVMAzureCoûts,MATCH(TabVMAZURE[[#This Row],[VMAzureSize]],ListeVMAzureSize,0),MATCH(TabVMAZURE[[#This Row],[Système]],ListeSystèmes,0))</f>
        <v>0.69069999999999998</v>
      </c>
      <c r="O5" s="22">
        <f>SUM((TabVMAZURE[[#This Row],[Activité 
par mois]]*TabVMAZURE[[#This Row],[Coût horaire VM]])+(TabVMAZURE[[#This Row],[Activité 
par mois]]*0.01717))</f>
        <v>77.865700000000004</v>
      </c>
      <c r="P5" s="22">
        <f>INDEX(TabVMAzureDisk[Coût / mois],MATCH(TabVMAZURE[[#This Row],[VMAzureDisk]],TabVMAzureDisk[VMAzureDisk],0))</f>
        <v>5.5010000000000003</v>
      </c>
      <c r="Q5" s="22">
        <f>INDEX(TabVMAzureDisk[Coût / mois Sauvegarde],MATCH(TabVMAZURE[[#This Row],[VMAzureDisk]],TabVMAzureDisk[VMAzureDisk],0))</f>
        <v>5.7215999999999996</v>
      </c>
      <c r="R5" s="22">
        <f>INDEX(TabVMAzureDisk[Coût / mois],MATCH(TabVMAZURE[[#This Row],[VMAzureDisk2]],TabVMAzureDisk[VMAzureDisk],0))</f>
        <v>74.709999999999994</v>
      </c>
      <c r="S5" s="22">
        <f>INDEX(TabVMAzureDisk[Coût / mois Sauvegarde],MATCH(TabVMAZURE[[#This Row],[VMAzureDisk2]],TabVMAzureDisk[VMAzureDisk],0))</f>
        <v>69.068799999999996</v>
      </c>
      <c r="T5" s="22">
        <f>INDEX(TabVMAzureDisk[Coût / mois],MATCH(TabVMAZURE[[#This Row],[VMAzureDisk3]],TabVMAzureDisk[VMAzureDisk],0))</f>
        <v>5.5010000000000003</v>
      </c>
      <c r="U5" s="22">
        <f>INDEX(TabVMAzureDisk[Coût / mois Sauvegarde],MATCH(TabVMAZURE[[#This Row],[VMAzureDisk3]],TabVMAzureDisk[VMAzureDisk],0))</f>
        <v>5.7215999999999996</v>
      </c>
      <c r="V5" s="22">
        <f>INDEX(TabVMAzureDisk[Coût / mois],MATCH(TabVMAZURE[[#This Row],[VMAzureDisk4]],TabVMAzureDisk[VMAzureDisk],0))</f>
        <v>0</v>
      </c>
      <c r="W5" s="22">
        <f>INDEX(TabVMAzureDisk[Coût / mois Sauvegarde],MATCH(TabVMAZURE[[#This Row],[VMAzureDisk4]],TabVMAzureDisk[VMAzureDisk],0))</f>
        <v>0</v>
      </c>
      <c r="X5" s="22">
        <f>SUM(TabVMAZURE[[#This Row],[Coût estimé 
Disk1 / mois]]+TabVMAZURE[[#This Row],[Coût estimé 
Disk2 / mois]]+TabVMAZURE[[#This Row],[Coût estimé 
Disk3 / mois]]+TabVMAZURE[[#This Row],[Coût estimé 
Disk4 / mois]])</f>
        <v>85.712000000000003</v>
      </c>
      <c r="Y5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80.511999999999986</v>
      </c>
      <c r="Z5" s="22">
        <f>SUM(TabVMAZURE[[#This Row],[Coût estimé 
Disk Total / mois]]+TabVMAZURE[[#This Row],[Coût estimé 
sauvegarde total / mois]])</f>
        <v>166.22399999999999</v>
      </c>
      <c r="AA5" s="22">
        <v>5</v>
      </c>
      <c r="AB5" s="34">
        <f>SUM(TabVMAZURE[[#This Row],[Coût estimé 
VM / mois]]+TabVMAZURE[[#This Row],[Coût estimé 
Disk Total / mois]]+TabVMAZURE[[#This Row],[ip/dns/CS …]])</f>
        <v>168.57769999999999</v>
      </c>
      <c r="AC5" s="22">
        <f>SUM(TabVMAZURE[[#This Row],[Coût estimé 
VM / mois]]+TabVMAZURE[[#This Row],[Coût estimé 
Disk + sauvegarde Total / mois]]+TabVMAZURE[[#This Row],[ip/dns/CS …]])</f>
        <v>249.08969999999999</v>
      </c>
    </row>
    <row r="6" spans="1:29" x14ac:dyDescent="0.25">
      <c r="A6" s="44" t="s">
        <v>31</v>
      </c>
      <c r="B6" s="52" t="s">
        <v>29</v>
      </c>
      <c r="C6" t="s">
        <v>215</v>
      </c>
      <c r="D6" t="s">
        <v>228</v>
      </c>
      <c r="E6" t="s">
        <v>220</v>
      </c>
      <c r="F6" t="s">
        <v>218</v>
      </c>
      <c r="G6" t="s">
        <v>218</v>
      </c>
      <c r="H6" t="s">
        <v>218</v>
      </c>
      <c r="I6" s="17">
        <v>0.33333333333333331</v>
      </c>
      <c r="J6" s="17">
        <v>0.79166666666666663</v>
      </c>
      <c r="K6" s="22">
        <f>(((TabVMAZURE[[#This Row],[Auto Stop]]-INT(TabVMAZURE[[#This Row],[Auto Stop]]))*24)-((TabVMAZURE[[#This Row],[Auto Start]]-INT(TabVMAZURE[[#This Row],[Auto Start]]))*24))</f>
        <v>11</v>
      </c>
      <c r="L6" s="22">
        <v>20</v>
      </c>
      <c r="M6" s="22">
        <f>TabVMAZURE[[#This Row],[Activité 
par jours]]*TabVMAZURE[[#This Row],[Jours / Mois]]</f>
        <v>220</v>
      </c>
      <c r="N6" s="22">
        <f>INDEX(ListeVMAzureCoûts,MATCH(TabVMAZURE[[#This Row],[VMAzureSize]],ListeVMAzureSize,0),MATCH(TabVMAZURE[[#This Row],[Système]],ListeSystèmes,0))</f>
        <v>3.9899999999999998E-2</v>
      </c>
      <c r="O6" s="22">
        <f>SUM((TabVMAZURE[[#This Row],[Activité 
par mois]]*TabVMAZURE[[#This Row],[Coût horaire VM]])+(TabVMAZURE[[#This Row],[Activité 
par mois]]*0.01717))</f>
        <v>12.555399999999999</v>
      </c>
      <c r="P6" s="22">
        <f>INDEX(TabVMAzureDisk[Coût / mois],MATCH(TabVMAZURE[[#This Row],[VMAzureDisk]],TabVMAzureDisk[VMAzureDisk],0))</f>
        <v>1.425</v>
      </c>
      <c r="Q6" s="22">
        <f>INDEX(TabVMAzureDisk[Coût / mois Sauvegarde],MATCH(TabVMAZURE[[#This Row],[VMAzureDisk]],TabVMAzureDisk[VMAzureDisk],0))</f>
        <v>1.4303999999999999</v>
      </c>
      <c r="R6" s="22">
        <f>INDEX(TabVMAzureDisk[Coût / mois],MATCH(TabVMAZURE[[#This Row],[VMAzureDisk2]],TabVMAzureDisk[VMAzureDisk],0))</f>
        <v>0</v>
      </c>
      <c r="S6" s="22">
        <f>INDEX(TabVMAzureDisk[Coût / mois Sauvegarde],MATCH(TabVMAZURE[[#This Row],[VMAzureDisk2]],TabVMAzureDisk[VMAzureDisk],0))</f>
        <v>0</v>
      </c>
      <c r="T6" s="22">
        <f>INDEX(TabVMAzureDisk[Coût / mois],MATCH(TabVMAZURE[[#This Row],[VMAzureDisk3]],TabVMAzureDisk[VMAzureDisk],0))</f>
        <v>0</v>
      </c>
      <c r="U6" s="22">
        <f>INDEX(TabVMAzureDisk[Coût / mois Sauvegarde],MATCH(TabVMAZURE[[#This Row],[VMAzureDisk3]],TabVMAzureDisk[VMAzureDisk],0))</f>
        <v>0</v>
      </c>
      <c r="V6" s="22">
        <f>INDEX(TabVMAzureDisk[Coût / mois],MATCH(TabVMAZURE[[#This Row],[VMAzureDisk4]],TabVMAzureDisk[VMAzureDisk],0))</f>
        <v>0</v>
      </c>
      <c r="W6" s="22">
        <f>INDEX(TabVMAzureDisk[Coût / mois Sauvegarde],MATCH(TabVMAZURE[[#This Row],[VMAzureDisk4]],TabVMAzureDisk[VMAzureDisk],0))</f>
        <v>0</v>
      </c>
      <c r="X6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Y6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Z6" s="22">
        <f>SUM(TabVMAZURE[[#This Row],[Coût estimé 
Disk Total / mois]]+TabVMAZURE[[#This Row],[Coût estimé 
sauvegarde total / mois]])</f>
        <v>2.8553999999999999</v>
      </c>
      <c r="AA6" s="22">
        <v>5</v>
      </c>
      <c r="AB6" s="22">
        <f>SUM(TabVMAZURE[[#This Row],[Coût estimé 
VM / mois]]+TabVMAZURE[[#This Row],[Coût estimé 
Disk Total / mois]]+TabVMAZURE[[#This Row],[ip/dns/CS …]])</f>
        <v>18.980399999999999</v>
      </c>
      <c r="AC6" s="22">
        <f>SUM(TabVMAZURE[[#This Row],[Coût estimé 
VM / mois]]+TabVMAZURE[[#This Row],[Coût estimé 
Disk + sauvegarde Total / mois]]+TabVMAZURE[[#This Row],[ip/dns/CS …]])</f>
        <v>20.410799999999998</v>
      </c>
    </row>
    <row r="7" spans="1:29" x14ac:dyDescent="0.25">
      <c r="A7" s="44" t="s">
        <v>119</v>
      </c>
      <c r="B7" s="52" t="s">
        <v>102</v>
      </c>
      <c r="I7" s="17"/>
      <c r="J7" s="17"/>
      <c r="K7" s="17">
        <f>(((TabVMAZURE[[#This Row],[Auto Stop]]-INT(TabVMAZURE[[#This Row],[Auto Stop]]))*24)-((TabVMAZURE[[#This Row],[Auto Start]]-INT(TabVMAZURE[[#This Row],[Auto Start]]))*24))</f>
        <v>0</v>
      </c>
      <c r="L7" s="22"/>
      <c r="M7" s="22">
        <f>TabVMAZURE[[#This Row],[Activité 
par jours]]*TabVMAZURE[[#This Row],[Jours / Mois]]</f>
        <v>0</v>
      </c>
      <c r="N7" s="22" t="e">
        <f>INDEX(ListeVMAzureCoûts,MATCH(TabVMAZURE[[#This Row],[VMAzureSize]],ListeVMAzureSize,0),MATCH(TabVMAZURE[[#This Row],[Système]],ListeSystèmes,0))</f>
        <v>#N/A</v>
      </c>
      <c r="O7" s="22" t="e">
        <f>SUM((TabVMAZURE[[#This Row],[Activité 
par mois]]*TabVMAZURE[[#This Row],[Coût horaire VM]])+(TabVMAZURE[[#This Row],[Activité 
par mois]]*0.01717))</f>
        <v>#N/A</v>
      </c>
      <c r="P7" s="22" t="e">
        <f>INDEX(TabVMAzureDisk[Coût / mois],MATCH(TabVMAZURE[[#This Row],[VMAzureDisk]],TabVMAzureDisk[VMAzureDisk],0))</f>
        <v>#N/A</v>
      </c>
      <c r="Q7" s="22" t="e">
        <f>INDEX(TabVMAzureDisk[Coût / mois Sauvegarde],MATCH(TabVMAZURE[[#This Row],[VMAzureDisk]],TabVMAzureDisk[VMAzureDisk],0))</f>
        <v>#N/A</v>
      </c>
      <c r="R7" s="22" t="e">
        <f>INDEX(TabVMAzureDisk[Coût / mois],MATCH(TabVMAZURE[[#This Row],[VMAzureDisk2]],TabVMAzureDisk[VMAzureDisk],0))</f>
        <v>#N/A</v>
      </c>
      <c r="S7" s="22" t="e">
        <f>INDEX(TabVMAzureDisk[Coût / mois Sauvegarde],MATCH(TabVMAZURE[[#This Row],[VMAzureDisk2]],TabVMAzureDisk[VMAzureDisk],0))</f>
        <v>#N/A</v>
      </c>
      <c r="T7" s="22" t="e">
        <f>INDEX(TabVMAzureDisk[Coût / mois],MATCH(TabVMAZURE[[#This Row],[VMAzureDisk3]],TabVMAzureDisk[VMAzureDisk],0))</f>
        <v>#N/A</v>
      </c>
      <c r="U7" s="22" t="e">
        <f>INDEX(TabVMAzureDisk[Coût / mois Sauvegarde],MATCH(TabVMAZURE[[#This Row],[VMAzureDisk3]],TabVMAzureDisk[VMAzureDisk],0))</f>
        <v>#N/A</v>
      </c>
      <c r="V7" s="22" t="e">
        <f>INDEX(TabVMAzureDisk[Coût / mois],MATCH(TabVMAZURE[[#This Row],[VMAzureDisk4]],TabVMAzureDisk[VMAzureDisk],0))</f>
        <v>#N/A</v>
      </c>
      <c r="W7" s="22" t="e">
        <f>INDEX(TabVMAzureDisk[Coût / mois Sauvegarde],MATCH(TabVMAZURE[[#This Row],[VMAzureDisk4]],TabVMAzureDisk[VMAzureDisk],0))</f>
        <v>#N/A</v>
      </c>
      <c r="X7" s="22" t="e">
        <f>SUM(TabVMAZURE[[#This Row],[Coût estimé 
Disk1 / mois]]+TabVMAZURE[[#This Row],[Coût estimé 
Disk2 / mois]]+TabVMAZURE[[#This Row],[Coût estimé 
Disk3 / mois]]+TabVMAZURE[[#This Row],[Coût estimé 
Disk4 / mois]])</f>
        <v>#N/A</v>
      </c>
      <c r="Y7" s="22" t="e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#N/A</v>
      </c>
      <c r="Z7" s="22" t="e">
        <f>SUM(TabVMAZURE[[#This Row],[Coût estimé 
Disk Total / mois]]+TabVMAZURE[[#This Row],[Coût estimé 
sauvegarde total / mois]])</f>
        <v>#N/A</v>
      </c>
      <c r="AA7" s="22"/>
      <c r="AB7" s="34" t="e">
        <f>SUM(TabVMAZURE[[#This Row],[Coût estimé 
VM / mois]]+TabVMAZURE[[#This Row],[Coût estimé 
Disk Total / mois]]+TabVMAZURE[[#This Row],[ip/dns/CS …]])</f>
        <v>#N/A</v>
      </c>
      <c r="AC7" s="22" t="e">
        <f>SUM(TabVMAZURE[[#This Row],[Coût estimé 
VM / mois]]+TabVMAZURE[[#This Row],[Coût estimé 
Disk + sauvegarde Total / mois]]+TabVMAZURE[[#This Row],[ip/dns/CS …]])</f>
        <v>#N/A</v>
      </c>
    </row>
    <row r="8" spans="1:29" x14ac:dyDescent="0.25">
      <c r="A8" s="44" t="s">
        <v>121</v>
      </c>
      <c r="B8" s="52" t="s">
        <v>102</v>
      </c>
      <c r="C8" t="s">
        <v>215</v>
      </c>
      <c r="D8" t="s">
        <v>228</v>
      </c>
      <c r="E8" t="s">
        <v>220</v>
      </c>
      <c r="F8" t="s">
        <v>218</v>
      </c>
      <c r="G8" t="s">
        <v>218</v>
      </c>
      <c r="H8" t="s">
        <v>218</v>
      </c>
      <c r="I8" s="17">
        <v>0.33333333333333331</v>
      </c>
      <c r="J8" s="17">
        <v>0.95833333333333337</v>
      </c>
      <c r="K8" s="22">
        <f>(((TabVMAZURE[[#This Row],[Auto Stop]]-INT(TabVMAZURE[[#This Row],[Auto Stop]]))*24)-((TabVMAZURE[[#This Row],[Auto Start]]-INT(TabVMAZURE[[#This Row],[Auto Start]]))*24))</f>
        <v>15</v>
      </c>
      <c r="L8" s="22">
        <v>20</v>
      </c>
      <c r="M8" s="22">
        <f>TabVMAZURE[[#This Row],[Activité 
par jours]]*TabVMAZURE[[#This Row],[Jours / Mois]]</f>
        <v>300</v>
      </c>
      <c r="N8" s="22">
        <f>INDEX(ListeVMAzureCoûts,MATCH(TabVMAZURE[[#This Row],[VMAzureSize]],ListeVMAzureSize,0),MATCH(TabVMAZURE[[#This Row],[Système]],ListeSystèmes,0))</f>
        <v>3.9899999999999998E-2</v>
      </c>
      <c r="O8" s="22">
        <f>SUM((TabVMAZURE[[#This Row],[Activité 
par mois]]*TabVMAZURE[[#This Row],[Coût horaire VM]])+(TabVMAZURE[[#This Row],[Activité 
par mois]]*0.01717))</f>
        <v>17.120999999999999</v>
      </c>
      <c r="P8" s="22">
        <f>INDEX(TabVMAzureDisk[Coût / mois],MATCH(TabVMAZURE[[#This Row],[VMAzureDisk]],TabVMAzureDisk[VMAzureDisk],0))</f>
        <v>1.425</v>
      </c>
      <c r="Q8" s="22">
        <f>INDEX(TabVMAzureDisk[Coût / mois Sauvegarde],MATCH(TabVMAZURE[[#This Row],[VMAzureDisk]],TabVMAzureDisk[VMAzureDisk],0))</f>
        <v>1.4303999999999999</v>
      </c>
      <c r="R8" s="22">
        <f>INDEX(TabVMAzureDisk[Coût / mois],MATCH(TabVMAZURE[[#This Row],[VMAzureDisk2]],TabVMAzureDisk[VMAzureDisk],0))</f>
        <v>0</v>
      </c>
      <c r="S8" s="22">
        <f>INDEX(TabVMAzureDisk[Coût / mois Sauvegarde],MATCH(TabVMAZURE[[#This Row],[VMAzureDisk2]],TabVMAzureDisk[VMAzureDisk],0))</f>
        <v>0</v>
      </c>
      <c r="T8" s="22">
        <f>INDEX(TabVMAzureDisk[Coût / mois],MATCH(TabVMAZURE[[#This Row],[VMAzureDisk3]],TabVMAzureDisk[VMAzureDisk],0))</f>
        <v>0</v>
      </c>
      <c r="U8" s="22">
        <f>INDEX(TabVMAzureDisk[Coût / mois Sauvegarde],MATCH(TabVMAZURE[[#This Row],[VMAzureDisk3]],TabVMAzureDisk[VMAzureDisk],0))</f>
        <v>0</v>
      </c>
      <c r="V8" s="22">
        <f>INDEX(TabVMAzureDisk[Coût / mois],MATCH(TabVMAZURE[[#This Row],[VMAzureDisk4]],TabVMAzureDisk[VMAzureDisk],0))</f>
        <v>0</v>
      </c>
      <c r="W8" s="22">
        <f>INDEX(TabVMAzureDisk[Coût / mois Sauvegarde],MATCH(TabVMAZURE[[#This Row],[VMAzureDisk4]],TabVMAzureDisk[VMAzureDisk],0))</f>
        <v>0</v>
      </c>
      <c r="X8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Y8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Z8" s="22">
        <f>SUM(TabVMAZURE[[#This Row],[Coût estimé 
Disk Total / mois]]+TabVMAZURE[[#This Row],[Coût estimé 
sauvegarde total / mois]])</f>
        <v>2.8553999999999999</v>
      </c>
      <c r="AA8" s="22">
        <v>5</v>
      </c>
      <c r="AB8" s="34">
        <f>SUM(TabVMAZURE[[#This Row],[Coût estimé 
VM / mois]]+TabVMAZURE[[#This Row],[Coût estimé 
Disk Total / mois]]+TabVMAZURE[[#This Row],[ip/dns/CS …]])</f>
        <v>23.545999999999999</v>
      </c>
      <c r="AC8" s="22">
        <f>SUM(TabVMAZURE[[#This Row],[Coût estimé 
VM / mois]]+TabVMAZURE[[#This Row],[Coût estimé 
Disk + sauvegarde Total / mois]]+TabVMAZURE[[#This Row],[ip/dns/CS …]])</f>
        <v>24.976399999999998</v>
      </c>
    </row>
    <row r="9" spans="1:29" x14ac:dyDescent="0.25">
      <c r="A9" s="44" t="s">
        <v>39</v>
      </c>
      <c r="B9" s="52" t="s">
        <v>38</v>
      </c>
      <c r="C9" t="s">
        <v>215</v>
      </c>
      <c r="D9" t="s">
        <v>229</v>
      </c>
      <c r="E9" t="s">
        <v>220</v>
      </c>
      <c r="F9" t="s">
        <v>218</v>
      </c>
      <c r="G9" t="s">
        <v>218</v>
      </c>
      <c r="H9" t="s">
        <v>218</v>
      </c>
      <c r="I9" s="17">
        <v>0.33333333333333331</v>
      </c>
      <c r="J9" s="17">
        <v>0.83333333333333337</v>
      </c>
      <c r="K9" s="22">
        <f>(((TabVMAZURE[[#This Row],[Auto Stop]]-INT(TabVMAZURE[[#This Row],[Auto Stop]]))*24)-((TabVMAZURE[[#This Row],[Auto Start]]-INT(TabVMAZURE[[#This Row],[Auto Start]]))*24))</f>
        <v>12</v>
      </c>
      <c r="L9" s="22">
        <v>20</v>
      </c>
      <c r="M9" s="22">
        <f>TabVMAZURE[[#This Row],[Activité 
par jours]]*TabVMAZURE[[#This Row],[Jours / Mois]]</f>
        <v>240</v>
      </c>
      <c r="N9" s="22">
        <f>INDEX(ListeVMAzureCoûts,MATCH(TabVMAZURE[[#This Row],[VMAzureSize]],ListeVMAzureSize,0),MATCH(TabVMAZURE[[#This Row],[Système]],ListeSystèmes,0))</f>
        <v>0.15939999999999999</v>
      </c>
      <c r="O9" s="22">
        <f>SUM((TabVMAZURE[[#This Row],[Activité 
par mois]]*TabVMAZURE[[#This Row],[Coût horaire VM]])+(TabVMAZURE[[#This Row],[Activité 
par mois]]*0.01717))</f>
        <v>42.376800000000003</v>
      </c>
      <c r="P9" s="22">
        <f>INDEX(TabVMAzureDisk[Coût / mois],MATCH(TabVMAZURE[[#This Row],[VMAzureDisk]],TabVMAzureDisk[VMAzureDisk],0))</f>
        <v>1.425</v>
      </c>
      <c r="Q9" s="22">
        <f>INDEX(TabVMAzureDisk[Coût / mois Sauvegarde],MATCH(TabVMAZURE[[#This Row],[VMAzureDisk]],TabVMAzureDisk[VMAzureDisk],0))</f>
        <v>1.4303999999999999</v>
      </c>
      <c r="R9" s="22">
        <f>INDEX(TabVMAzureDisk[Coût / mois],MATCH(TabVMAZURE[[#This Row],[VMAzureDisk2]],TabVMAzureDisk[VMAzureDisk],0))</f>
        <v>0</v>
      </c>
      <c r="S9" s="22">
        <f>INDEX(TabVMAzureDisk[Coût / mois Sauvegarde],MATCH(TabVMAZURE[[#This Row],[VMAzureDisk2]],TabVMAzureDisk[VMAzureDisk],0))</f>
        <v>0</v>
      </c>
      <c r="T9" s="22">
        <f>INDEX(TabVMAzureDisk[Coût / mois],MATCH(TabVMAZURE[[#This Row],[VMAzureDisk3]],TabVMAzureDisk[VMAzureDisk],0))</f>
        <v>0</v>
      </c>
      <c r="U9" s="22">
        <f>INDEX(TabVMAzureDisk[Coût / mois Sauvegarde],MATCH(TabVMAZURE[[#This Row],[VMAzureDisk3]],TabVMAzureDisk[VMAzureDisk],0))</f>
        <v>0</v>
      </c>
      <c r="V9" s="22">
        <f>INDEX(TabVMAzureDisk[Coût / mois],MATCH(TabVMAZURE[[#This Row],[VMAzureDisk4]],TabVMAzureDisk[VMAzureDisk],0))</f>
        <v>0</v>
      </c>
      <c r="W9" s="22">
        <f>INDEX(TabVMAzureDisk[Coût / mois Sauvegarde],MATCH(TabVMAZURE[[#This Row],[VMAzureDisk4]],TabVMAzureDisk[VMAzureDisk],0))</f>
        <v>0</v>
      </c>
      <c r="X9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Y9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Z9" s="22">
        <f>SUM(TabVMAZURE[[#This Row],[Coût estimé 
Disk Total / mois]]+TabVMAZURE[[#This Row],[Coût estimé 
sauvegarde total / mois]])</f>
        <v>2.8553999999999999</v>
      </c>
      <c r="AA9" s="22">
        <v>5</v>
      </c>
      <c r="AB9" s="34">
        <f>SUM(TabVMAZURE[[#This Row],[Coût estimé 
VM / mois]]+TabVMAZURE[[#This Row],[Coût estimé 
Disk Total / mois]]+TabVMAZURE[[#This Row],[ip/dns/CS …]])</f>
        <v>48.8018</v>
      </c>
      <c r="AC9" s="22">
        <f>SUM(TabVMAZURE[[#This Row],[Coût estimé 
VM / mois]]+TabVMAZURE[[#This Row],[Coût estimé 
Disk + sauvegarde Total / mois]]+TabVMAZURE[[#This Row],[ip/dns/CS …]])</f>
        <v>50.232200000000006</v>
      </c>
    </row>
    <row r="10" spans="1:29" x14ac:dyDescent="0.25">
      <c r="A10" s="44" t="s">
        <v>122</v>
      </c>
      <c r="B10" s="52" t="s">
        <v>102</v>
      </c>
      <c r="C10" t="s">
        <v>215</v>
      </c>
      <c r="D10" t="s">
        <v>229</v>
      </c>
      <c r="E10" t="s">
        <v>223</v>
      </c>
      <c r="F10" t="s">
        <v>218</v>
      </c>
      <c r="G10" t="s">
        <v>218</v>
      </c>
      <c r="H10" t="s">
        <v>218</v>
      </c>
      <c r="I10" s="17">
        <v>0.33333333333333331</v>
      </c>
      <c r="J10" s="17">
        <v>0.83333333333333304</v>
      </c>
      <c r="K10" s="22">
        <f>(((TabVMAZURE[[#This Row],[Auto Stop]]-INT(TabVMAZURE[[#This Row],[Auto Stop]]))*24)-((TabVMAZURE[[#This Row],[Auto Start]]-INT(TabVMAZURE[[#This Row],[Auto Start]]))*24))</f>
        <v>11.999999999999993</v>
      </c>
      <c r="L10" s="22">
        <v>20</v>
      </c>
      <c r="M10" s="22">
        <f>TabVMAZURE[[#This Row],[Activité 
par jours]]*TabVMAZURE[[#This Row],[Jours / Mois]]</f>
        <v>239.99999999999986</v>
      </c>
      <c r="N10" s="22">
        <f>INDEX(ListeVMAzureCoûts,MATCH(TabVMAZURE[[#This Row],[VMAzureSize]],ListeVMAzureSize,0),MATCH(TabVMAZURE[[#This Row],[Système]],ListeSystèmes,0))</f>
        <v>0.15939999999999999</v>
      </c>
      <c r="O10" s="22">
        <f>SUM((TabVMAZURE[[#This Row],[Activité 
par mois]]*TabVMAZURE[[#This Row],[Coût horaire VM]])+(TabVMAZURE[[#This Row],[Activité 
par mois]]*0.01717))</f>
        <v>42.376799999999967</v>
      </c>
      <c r="P10" s="22">
        <f>INDEX(TabVMAzureDisk[Coût / mois],MATCH(TabVMAZURE[[#This Row],[VMAzureDisk]],TabVMAzureDisk[VMAzureDisk],0))</f>
        <v>5.5010000000000003</v>
      </c>
      <c r="Q10" s="22">
        <f>INDEX(TabVMAzureDisk[Coût / mois Sauvegarde],MATCH(TabVMAZURE[[#This Row],[VMAzureDisk]],TabVMAzureDisk[VMAzureDisk],0))</f>
        <v>5.7215999999999996</v>
      </c>
      <c r="R10" s="22">
        <f>INDEX(TabVMAzureDisk[Coût / mois],MATCH(TabVMAZURE[[#This Row],[VMAzureDisk2]],TabVMAzureDisk[VMAzureDisk],0))</f>
        <v>0</v>
      </c>
      <c r="S10" s="22">
        <f>INDEX(TabVMAzureDisk[Coût / mois Sauvegarde],MATCH(TabVMAZURE[[#This Row],[VMAzureDisk2]],TabVMAzureDisk[VMAzureDisk],0))</f>
        <v>0</v>
      </c>
      <c r="T10" s="22">
        <f>INDEX(TabVMAzureDisk[Coût / mois],MATCH(TabVMAZURE[[#This Row],[VMAzureDisk3]],TabVMAzureDisk[VMAzureDisk],0))</f>
        <v>0</v>
      </c>
      <c r="U10" s="22">
        <f>INDEX(TabVMAzureDisk[Coût / mois Sauvegarde],MATCH(TabVMAZURE[[#This Row],[VMAzureDisk3]],TabVMAzureDisk[VMAzureDisk],0))</f>
        <v>0</v>
      </c>
      <c r="V10" s="22">
        <f>INDEX(TabVMAzureDisk[Coût / mois],MATCH(TabVMAZURE[[#This Row],[VMAzureDisk4]],TabVMAzureDisk[VMAzureDisk],0))</f>
        <v>0</v>
      </c>
      <c r="W10" s="22">
        <f>INDEX(TabVMAzureDisk[Coût / mois Sauvegarde],MATCH(TabVMAZURE[[#This Row],[VMAzureDisk4]],TabVMAzureDisk[VMAzureDisk],0))</f>
        <v>0</v>
      </c>
      <c r="X10" s="22">
        <f>SUM(TabVMAZURE[[#This Row],[Coût estimé 
Disk1 / mois]]+TabVMAZURE[[#This Row],[Coût estimé 
Disk2 / mois]]+TabVMAZURE[[#This Row],[Coût estimé 
Disk3 / mois]]+TabVMAZURE[[#This Row],[Coût estimé 
Disk4 / mois]])</f>
        <v>5.5010000000000003</v>
      </c>
      <c r="Y10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5.7215999999999996</v>
      </c>
      <c r="Z10" s="22">
        <f>SUM(TabVMAZURE[[#This Row],[Coût estimé 
Disk Total / mois]]+TabVMAZURE[[#This Row],[Coût estimé 
sauvegarde total / mois]])</f>
        <v>11.2226</v>
      </c>
      <c r="AA10" s="22">
        <v>5</v>
      </c>
      <c r="AB10" s="34">
        <f>SUM(TabVMAZURE[[#This Row],[Coût estimé 
VM / mois]]+TabVMAZURE[[#This Row],[Coût estimé 
Disk Total / mois]]+TabVMAZURE[[#This Row],[ip/dns/CS …]])</f>
        <v>52.877799999999965</v>
      </c>
      <c r="AC10" s="22">
        <f>SUM(TabVMAZURE[[#This Row],[Coût estimé 
VM / mois]]+TabVMAZURE[[#This Row],[Coût estimé 
Disk + sauvegarde Total / mois]]+TabVMAZURE[[#This Row],[ip/dns/CS …]])</f>
        <v>58.599399999999967</v>
      </c>
    </row>
    <row r="11" spans="1:29" x14ac:dyDescent="0.25">
      <c r="A11" t="s">
        <v>174</v>
      </c>
      <c r="B11" s="52" t="s">
        <v>102</v>
      </c>
      <c r="I11" s="17"/>
      <c r="J11" s="17"/>
      <c r="K11" s="17">
        <f>(((TabVMAZURE[[#This Row],[Auto Stop]]-INT(TabVMAZURE[[#This Row],[Auto Stop]]))*24)-((TabVMAZURE[[#This Row],[Auto Start]]-INT(TabVMAZURE[[#This Row],[Auto Start]]))*24))</f>
        <v>0</v>
      </c>
      <c r="L11" s="22"/>
      <c r="M11" s="22">
        <f>TabVMAZURE[[#This Row],[Activité 
par jours]]*TabVMAZURE[[#This Row],[Jours / Mois]]</f>
        <v>0</v>
      </c>
      <c r="N11" s="22" t="e">
        <f>INDEX(ListeVMAzureCoûts,MATCH(TabVMAZURE[[#This Row],[VMAzureSize]],ListeVMAzureSize,0),MATCH(TabVMAZURE[[#This Row],[Système]],ListeSystèmes,0))</f>
        <v>#N/A</v>
      </c>
      <c r="O11" s="22" t="e">
        <f>SUM((TabVMAZURE[[#This Row],[Activité 
par mois]]*TabVMAZURE[[#This Row],[Coût horaire VM]])+(TabVMAZURE[[#This Row],[Activité 
par mois]]*0.01717))</f>
        <v>#N/A</v>
      </c>
      <c r="P11" s="22" t="e">
        <f>INDEX(TabVMAzureDisk[Coût / mois],MATCH(TabVMAZURE[[#This Row],[VMAzureDisk]],TabVMAzureDisk[VMAzureDisk],0))</f>
        <v>#N/A</v>
      </c>
      <c r="Q11" s="22" t="e">
        <f>INDEX(TabVMAzureDisk[Coût / mois Sauvegarde],MATCH(TabVMAZURE[[#This Row],[VMAzureDisk]],TabVMAzureDisk[VMAzureDisk],0))</f>
        <v>#N/A</v>
      </c>
      <c r="R11" s="22" t="e">
        <f>INDEX(TabVMAzureDisk[Coût / mois],MATCH(TabVMAZURE[[#This Row],[VMAzureDisk2]],TabVMAzureDisk[VMAzureDisk],0))</f>
        <v>#N/A</v>
      </c>
      <c r="S11" s="22" t="e">
        <f>INDEX(TabVMAzureDisk[Coût / mois Sauvegarde],MATCH(TabVMAZURE[[#This Row],[VMAzureDisk2]],TabVMAzureDisk[VMAzureDisk],0))</f>
        <v>#N/A</v>
      </c>
      <c r="T11" s="22" t="e">
        <f>INDEX(TabVMAzureDisk[Coût / mois],MATCH(TabVMAZURE[[#This Row],[VMAzureDisk3]],TabVMAzureDisk[VMAzureDisk],0))</f>
        <v>#N/A</v>
      </c>
      <c r="U11" s="22" t="e">
        <f>INDEX(TabVMAzureDisk[Coût / mois Sauvegarde],MATCH(TabVMAZURE[[#This Row],[VMAzureDisk3]],TabVMAzureDisk[VMAzureDisk],0))</f>
        <v>#N/A</v>
      </c>
      <c r="V11" s="22" t="e">
        <f>INDEX(TabVMAzureDisk[Coût / mois],MATCH(TabVMAZURE[[#This Row],[VMAzureDisk4]],TabVMAzureDisk[VMAzureDisk],0))</f>
        <v>#N/A</v>
      </c>
      <c r="W11" s="22" t="e">
        <f>INDEX(TabVMAzureDisk[Coût / mois Sauvegarde],MATCH(TabVMAZURE[[#This Row],[VMAzureDisk4]],TabVMAzureDisk[VMAzureDisk],0))</f>
        <v>#N/A</v>
      </c>
      <c r="X11" s="22" t="e">
        <f>SUM(TabVMAZURE[[#This Row],[Coût estimé 
Disk1 / mois]]+TabVMAZURE[[#This Row],[Coût estimé 
Disk2 / mois]]+TabVMAZURE[[#This Row],[Coût estimé 
Disk3 / mois]]+TabVMAZURE[[#This Row],[Coût estimé 
Disk4 / mois]])</f>
        <v>#N/A</v>
      </c>
      <c r="Y11" s="22" t="e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#N/A</v>
      </c>
      <c r="Z11" s="22" t="e">
        <f>SUM(TabVMAZURE[[#This Row],[Coût estimé 
Disk Total / mois]]+TabVMAZURE[[#This Row],[Coût estimé 
sauvegarde total / mois]])</f>
        <v>#N/A</v>
      </c>
      <c r="AA11" s="22"/>
      <c r="AB11" s="34" t="e">
        <f>SUM(TabVMAZURE[[#This Row],[Coût estimé 
VM / mois]]+TabVMAZURE[[#This Row],[Coût estimé 
Disk Total / mois]]+TabVMAZURE[[#This Row],[ip/dns/CS …]])</f>
        <v>#N/A</v>
      </c>
      <c r="AC11" s="22" t="e">
        <f>SUM(TabVMAZURE[[#This Row],[Coût estimé 
VM / mois]]+TabVMAZURE[[#This Row],[Coût estimé 
Disk + sauvegarde Total / mois]]+TabVMAZURE[[#This Row],[ip/dns/CS …]])</f>
        <v>#N/A</v>
      </c>
    </row>
    <row r="12" spans="1:29" x14ac:dyDescent="0.25">
      <c r="A12" s="44" t="s">
        <v>125</v>
      </c>
      <c r="B12" s="52" t="s">
        <v>124</v>
      </c>
      <c r="C12" t="s">
        <v>225</v>
      </c>
      <c r="D12" t="s">
        <v>229</v>
      </c>
      <c r="E12" t="s">
        <v>223</v>
      </c>
      <c r="F12" t="s">
        <v>230</v>
      </c>
      <c r="G12" t="s">
        <v>223</v>
      </c>
      <c r="H12" t="s">
        <v>218</v>
      </c>
      <c r="I12" s="17">
        <v>0.33333333333333331</v>
      </c>
      <c r="J12" s="17">
        <v>0.79166666666666663</v>
      </c>
      <c r="K12" s="22">
        <f>(((TabVMAZURE[[#This Row],[Auto Stop]]-INT(TabVMAZURE[[#This Row],[Auto Stop]]))*24)-((TabVMAZURE[[#This Row],[Auto Start]]-INT(TabVMAZURE[[#This Row],[Auto Start]]))*24))</f>
        <v>11</v>
      </c>
      <c r="L12" s="22">
        <v>20</v>
      </c>
      <c r="M12" s="22">
        <f>TabVMAZURE[[#This Row],[Activité 
par jours]]*TabVMAZURE[[#This Row],[Jours / Mois]]</f>
        <v>220</v>
      </c>
      <c r="N12" s="22">
        <f>INDEX(ListeVMAzureCoûts,MATCH(TabVMAZURE[[#This Row],[VMAzureSize]],ListeVMAzureSize,0),MATCH(TabVMAZURE[[#This Row],[Système]],ListeSystèmes,0))</f>
        <v>0.18890000000000001</v>
      </c>
      <c r="O12" s="22">
        <f>SUM((TabVMAZURE[[#This Row],[Activité 
par mois]]*TabVMAZURE[[#This Row],[Coût horaire VM]])+(TabVMAZURE[[#This Row],[Activité 
par mois]]*0.01717))</f>
        <v>45.3354</v>
      </c>
      <c r="P12" s="22">
        <f>INDEX(TabVMAzureDisk[Coût / mois],MATCH(TabVMAZURE[[#This Row],[VMAzureDisk]],TabVMAzureDisk[VMAzureDisk],0))</f>
        <v>5.5010000000000003</v>
      </c>
      <c r="Q12" s="22">
        <f>INDEX(TabVMAzureDisk[Coût / mois Sauvegarde],MATCH(TabVMAZURE[[#This Row],[VMAzureDisk]],TabVMAzureDisk[VMAzureDisk],0))</f>
        <v>5.7215999999999996</v>
      </c>
      <c r="R12" s="22">
        <f>INDEX(TabVMAzureDisk[Coût / mois],MATCH(TabVMAZURE[[#This Row],[VMAzureDisk2]],TabVMAzureDisk[VMAzureDisk],0))</f>
        <v>20.12</v>
      </c>
      <c r="S12" s="22">
        <f>INDEX(TabVMAzureDisk[Coût / mois Sauvegarde],MATCH(TabVMAZURE[[#This Row],[VMAzureDisk2]],TabVMAzureDisk[VMAzureDisk],0))</f>
        <v>17.27</v>
      </c>
      <c r="T12" s="22">
        <f>INDEX(TabVMAzureDisk[Coût / mois],MATCH(TabVMAZURE[[#This Row],[VMAzureDisk3]],TabVMAzureDisk[VMAzureDisk],0))</f>
        <v>5.5010000000000003</v>
      </c>
      <c r="U12" s="22">
        <f>INDEX(TabVMAzureDisk[Coût / mois Sauvegarde],MATCH(TabVMAZURE[[#This Row],[VMAzureDisk3]],TabVMAzureDisk[VMAzureDisk],0))</f>
        <v>5.7215999999999996</v>
      </c>
      <c r="V12" s="22">
        <f>INDEX(TabVMAzureDisk[Coût / mois],MATCH(TabVMAZURE[[#This Row],[VMAzureDisk4]],TabVMAzureDisk[VMAzureDisk],0))</f>
        <v>0</v>
      </c>
      <c r="W12" s="22">
        <f>INDEX(TabVMAzureDisk[Coût / mois Sauvegarde],MATCH(TabVMAZURE[[#This Row],[VMAzureDisk4]],TabVMAzureDisk[VMAzureDisk],0))</f>
        <v>0</v>
      </c>
      <c r="X12" s="22">
        <f>SUM(TabVMAZURE[[#This Row],[Coût estimé 
Disk1 / mois]]+TabVMAZURE[[#This Row],[Coût estimé 
Disk2 / mois]]+TabVMAZURE[[#This Row],[Coût estimé 
Disk3 / mois]]+TabVMAZURE[[#This Row],[Coût estimé 
Disk4 / mois]])</f>
        <v>31.122000000000003</v>
      </c>
      <c r="Y12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28.713199999999997</v>
      </c>
      <c r="Z12" s="22">
        <f>SUM(TabVMAZURE[[#This Row],[Coût estimé 
Disk Total / mois]]+TabVMAZURE[[#This Row],[Coût estimé 
sauvegarde total / mois]])</f>
        <v>59.8352</v>
      </c>
      <c r="AA12" s="22">
        <v>5</v>
      </c>
      <c r="AB12" s="34">
        <f>SUM(TabVMAZURE[[#This Row],[Coût estimé 
VM / mois]]+TabVMAZURE[[#This Row],[Coût estimé 
Disk Total / mois]]+TabVMAZURE[[#This Row],[ip/dns/CS …]])</f>
        <v>81.457400000000007</v>
      </c>
      <c r="AC12" s="22">
        <f>SUM(TabVMAZURE[[#This Row],[Coût estimé 
VM / mois]]+TabVMAZURE[[#This Row],[Coût estimé 
Disk + sauvegarde Total / mois]]+TabVMAZURE[[#This Row],[ip/dns/CS …]])</f>
        <v>110.17060000000001</v>
      </c>
    </row>
    <row r="13" spans="1:29" x14ac:dyDescent="0.25">
      <c r="A13" s="44" t="s">
        <v>92</v>
      </c>
      <c r="B13" s="52" t="s">
        <v>82</v>
      </c>
      <c r="C13" t="s">
        <v>215</v>
      </c>
      <c r="D13" t="s">
        <v>219</v>
      </c>
      <c r="E13" t="s">
        <v>220</v>
      </c>
      <c r="F13" t="s">
        <v>218</v>
      </c>
      <c r="G13" t="s">
        <v>218</v>
      </c>
      <c r="H13" t="s">
        <v>218</v>
      </c>
      <c r="I13" s="17">
        <v>0.33333333333333331</v>
      </c>
      <c r="J13" s="17">
        <v>0.83333333333333304</v>
      </c>
      <c r="K13" s="22">
        <f>(((TabVMAZURE[[#This Row],[Auto Stop]]-INT(TabVMAZURE[[#This Row],[Auto Stop]]))*24)-((TabVMAZURE[[#This Row],[Auto Start]]-INT(TabVMAZURE[[#This Row],[Auto Start]]))*24))</f>
        <v>11.999999999999993</v>
      </c>
      <c r="L13" s="22">
        <v>28</v>
      </c>
      <c r="M13" s="22">
        <f>TabVMAZURE[[#This Row],[Activité 
par jours]]*TabVMAZURE[[#This Row],[Jours / Mois]]</f>
        <v>335.99999999999977</v>
      </c>
      <c r="N13" s="22">
        <f>INDEX(ListeVMAzureCoûts,MATCH(TabVMAZURE[[#This Row],[VMAzureSize]],ListeVMAzureSize,0),MATCH(TabVMAZURE[[#This Row],[Système]],ListeSystèmes,0))</f>
        <v>0.02</v>
      </c>
      <c r="O13" s="22">
        <f>SUM((TabVMAZURE[[#This Row],[Activité 
par mois]]*TabVMAZURE[[#This Row],[Coût horaire VM]])+(TabVMAZURE[[#This Row],[Activité 
par mois]]*0.01717))</f>
        <v>12.489119999999993</v>
      </c>
      <c r="P13" s="22">
        <f>INDEX(TabVMAzureDisk[Coût / mois],MATCH(TabVMAZURE[[#This Row],[VMAzureDisk]],TabVMAzureDisk[VMAzureDisk],0))</f>
        <v>1.425</v>
      </c>
      <c r="Q13" s="22">
        <f>INDEX(TabVMAzureDisk[Coût / mois Sauvegarde],MATCH(TabVMAZURE[[#This Row],[VMAzureDisk]],TabVMAzureDisk[VMAzureDisk],0))</f>
        <v>1.4303999999999999</v>
      </c>
      <c r="R13" s="22">
        <f>INDEX(TabVMAzureDisk[Coût / mois],MATCH(TabVMAZURE[[#This Row],[VMAzureDisk2]],TabVMAzureDisk[VMAzureDisk],0))</f>
        <v>0</v>
      </c>
      <c r="S13" s="22">
        <f>INDEX(TabVMAzureDisk[Coût / mois Sauvegarde],MATCH(TabVMAZURE[[#This Row],[VMAzureDisk2]],TabVMAzureDisk[VMAzureDisk],0))</f>
        <v>0</v>
      </c>
      <c r="T13" s="22">
        <f>INDEX(TabVMAzureDisk[Coût / mois],MATCH(TabVMAZURE[[#This Row],[VMAzureDisk3]],TabVMAzureDisk[VMAzureDisk],0))</f>
        <v>0</v>
      </c>
      <c r="U13" s="22">
        <f>INDEX(TabVMAzureDisk[Coût / mois Sauvegarde],MATCH(TabVMAZURE[[#This Row],[VMAzureDisk3]],TabVMAzureDisk[VMAzureDisk],0))</f>
        <v>0</v>
      </c>
      <c r="V13" s="22">
        <f>INDEX(TabVMAzureDisk[Coût / mois],MATCH(TabVMAZURE[[#This Row],[VMAzureDisk4]],TabVMAzureDisk[VMAzureDisk],0))</f>
        <v>0</v>
      </c>
      <c r="W13" s="22">
        <f>INDEX(TabVMAzureDisk[Coût / mois Sauvegarde],MATCH(TabVMAZURE[[#This Row],[VMAzureDisk4]],TabVMAzureDisk[VMAzureDisk],0))</f>
        <v>0</v>
      </c>
      <c r="X13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Y13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Z13" s="22">
        <f>SUM(TabVMAZURE[[#This Row],[Coût estimé 
Disk Total / mois]]+TabVMAZURE[[#This Row],[Coût estimé 
sauvegarde total / mois]])</f>
        <v>2.8553999999999999</v>
      </c>
      <c r="AA13" s="22">
        <v>5</v>
      </c>
      <c r="AB13" s="34">
        <f>SUM(TabVMAZURE[[#This Row],[Coût estimé 
VM / mois]]+TabVMAZURE[[#This Row],[Coût estimé 
Disk Total / mois]]+TabVMAZURE[[#This Row],[ip/dns/CS …]])</f>
        <v>18.914119999999993</v>
      </c>
      <c r="AC13" s="22">
        <f>SUM(TabVMAZURE[[#This Row],[Coût estimé 
VM / mois]]+TabVMAZURE[[#This Row],[Coût estimé 
Disk + sauvegarde Total / mois]]+TabVMAZURE[[#This Row],[ip/dns/CS …]])</f>
        <v>20.344519999999992</v>
      </c>
    </row>
    <row r="14" spans="1:29" x14ac:dyDescent="0.25">
      <c r="A14" s="44" t="s">
        <v>52</v>
      </c>
      <c r="B14" s="52" t="s">
        <v>51</v>
      </c>
      <c r="C14" t="s">
        <v>215</v>
      </c>
      <c r="D14" t="s">
        <v>229</v>
      </c>
      <c r="E14" t="s">
        <v>220</v>
      </c>
      <c r="F14" t="s">
        <v>218</v>
      </c>
      <c r="G14" t="s">
        <v>218</v>
      </c>
      <c r="H14" t="s">
        <v>218</v>
      </c>
      <c r="I14" s="17">
        <v>0.375</v>
      </c>
      <c r="J14" s="17">
        <v>0.70833333333333337</v>
      </c>
      <c r="K14" s="22">
        <f>(((TabVMAZURE[[#This Row],[Auto Stop]]-INT(TabVMAZURE[[#This Row],[Auto Stop]]))*24)-((TabVMAZURE[[#This Row],[Auto Start]]-INT(TabVMAZURE[[#This Row],[Auto Start]]))*24))</f>
        <v>8</v>
      </c>
      <c r="L14" s="22">
        <v>8</v>
      </c>
      <c r="M14" s="22">
        <f>TabVMAZURE[[#This Row],[Activité 
par jours]]*TabVMAZURE[[#This Row],[Jours / Mois]]</f>
        <v>64</v>
      </c>
      <c r="N14" s="22">
        <f>INDEX(ListeVMAzureCoûts,MATCH(TabVMAZURE[[#This Row],[VMAzureSize]],ListeVMAzureSize,0),MATCH(TabVMAZURE[[#This Row],[Système]],ListeSystèmes,0))</f>
        <v>0.15939999999999999</v>
      </c>
      <c r="O14" s="22">
        <f>SUM((TabVMAZURE[[#This Row],[Activité 
par mois]]*TabVMAZURE[[#This Row],[Coût horaire VM]])+(TabVMAZURE[[#This Row],[Activité 
par mois]]*0.01717))</f>
        <v>11.300479999999999</v>
      </c>
      <c r="P14" s="22">
        <f>INDEX(TabVMAzureDisk[Coût / mois],MATCH(TabVMAZURE[[#This Row],[VMAzureDisk]],TabVMAzureDisk[VMAzureDisk],0))</f>
        <v>1.425</v>
      </c>
      <c r="Q14" s="22">
        <f>INDEX(TabVMAzureDisk[Coût / mois Sauvegarde],MATCH(TabVMAZURE[[#This Row],[VMAzureDisk]],TabVMAzureDisk[VMAzureDisk],0))</f>
        <v>1.4303999999999999</v>
      </c>
      <c r="R14" s="22">
        <f>INDEX(TabVMAzureDisk[Coût / mois],MATCH(TabVMAZURE[[#This Row],[VMAzureDisk2]],TabVMAzureDisk[VMAzureDisk],0))</f>
        <v>0</v>
      </c>
      <c r="S14" s="22">
        <f>INDEX(TabVMAzureDisk[Coût / mois Sauvegarde],MATCH(TabVMAZURE[[#This Row],[VMAzureDisk2]],TabVMAzureDisk[VMAzureDisk],0))</f>
        <v>0</v>
      </c>
      <c r="T14" s="22">
        <f>INDEX(TabVMAzureDisk[Coût / mois],MATCH(TabVMAZURE[[#This Row],[VMAzureDisk3]],TabVMAzureDisk[VMAzureDisk],0))</f>
        <v>0</v>
      </c>
      <c r="U14" s="22">
        <f>INDEX(TabVMAzureDisk[Coût / mois Sauvegarde],MATCH(TabVMAZURE[[#This Row],[VMAzureDisk3]],TabVMAzureDisk[VMAzureDisk],0))</f>
        <v>0</v>
      </c>
      <c r="V14" s="22">
        <f>INDEX(TabVMAzureDisk[Coût / mois],MATCH(TabVMAZURE[[#This Row],[VMAzureDisk4]],TabVMAzureDisk[VMAzureDisk],0))</f>
        <v>0</v>
      </c>
      <c r="W14" s="22">
        <f>INDEX(TabVMAzureDisk[Coût / mois Sauvegarde],MATCH(TabVMAZURE[[#This Row],[VMAzureDisk4]],TabVMAzureDisk[VMAzureDisk],0))</f>
        <v>0</v>
      </c>
      <c r="X14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Y14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Z14" s="22">
        <f>SUM(TabVMAZURE[[#This Row],[Coût estimé 
Disk Total / mois]]+TabVMAZURE[[#This Row],[Coût estimé 
sauvegarde total / mois]])</f>
        <v>2.8553999999999999</v>
      </c>
      <c r="AA14" s="22">
        <v>5</v>
      </c>
      <c r="AB14" s="34">
        <f>SUM(TabVMAZURE[[#This Row],[Coût estimé 
VM / mois]]+TabVMAZURE[[#This Row],[Coût estimé 
Disk Total / mois]]+TabVMAZURE[[#This Row],[ip/dns/CS …]])</f>
        <v>17.725479999999997</v>
      </c>
      <c r="AC14" s="22">
        <f>SUM(TabVMAZURE[[#This Row],[Coût estimé 
VM / mois]]+TabVMAZURE[[#This Row],[Coût estimé 
Disk + sauvegarde Total / mois]]+TabVMAZURE[[#This Row],[ip/dns/CS …]])</f>
        <v>19.155879999999996</v>
      </c>
    </row>
    <row r="15" spans="1:29" x14ac:dyDescent="0.25">
      <c r="A15" s="44" t="s">
        <v>55</v>
      </c>
      <c r="B15" s="52" t="s">
        <v>53</v>
      </c>
      <c r="C15" t="s">
        <v>215</v>
      </c>
      <c r="D15" t="s">
        <v>231</v>
      </c>
      <c r="E15" t="s">
        <v>232</v>
      </c>
      <c r="F15" t="s">
        <v>218</v>
      </c>
      <c r="G15" t="s">
        <v>218</v>
      </c>
      <c r="H15" t="s">
        <v>218</v>
      </c>
      <c r="I15" s="17">
        <v>0.29166666666666669</v>
      </c>
      <c r="J15" s="17">
        <v>0.875</v>
      </c>
      <c r="K15" s="22">
        <f>(((TabVMAZURE[[#This Row],[Auto Stop]]-INT(TabVMAZURE[[#This Row],[Auto Stop]]))*24)-((TabVMAZURE[[#This Row],[Auto Start]]-INT(TabVMAZURE[[#This Row],[Auto Start]]))*24))</f>
        <v>14</v>
      </c>
      <c r="L15" s="22">
        <v>20</v>
      </c>
      <c r="M15" s="22">
        <f>TabVMAZURE[[#This Row],[Activité 
par jours]]*TabVMAZURE[[#This Row],[Jours / Mois]]</f>
        <v>280</v>
      </c>
      <c r="N15" s="22">
        <f>INDEX(ListeVMAzureCoûts,MATCH(TabVMAZURE[[#This Row],[VMAzureSize]],ListeVMAzureSize,0),MATCH(TabVMAZURE[[#This Row],[Système]],ListeSystèmes,0))</f>
        <v>7.9699999999999993E-2</v>
      </c>
      <c r="O15" s="22">
        <f>SUM((TabVMAZURE[[#This Row],[Activité 
par mois]]*TabVMAZURE[[#This Row],[Coût horaire VM]])+(TabVMAZURE[[#This Row],[Activité 
par mois]]*0.01717))</f>
        <v>27.1236</v>
      </c>
      <c r="P15" s="22">
        <f>INDEX(TabVMAzureDisk[Coût / mois],MATCH(TabVMAZURE[[#This Row],[VMAzureDisk]],TabVMAzureDisk[VMAzureDisk],0))</f>
        <v>2.79</v>
      </c>
      <c r="Q15" s="22">
        <f>INDEX(TabVMAzureDisk[Coût / mois Sauvegarde],MATCH(TabVMAZURE[[#This Row],[VMAzureDisk]],TabVMAzureDisk[VMAzureDisk],0))</f>
        <v>2.8607999999999998</v>
      </c>
      <c r="R15" s="22">
        <f>INDEX(TabVMAzureDisk[Coût / mois],MATCH(TabVMAZURE[[#This Row],[VMAzureDisk2]],TabVMAzureDisk[VMAzureDisk],0))</f>
        <v>0</v>
      </c>
      <c r="S15" s="22">
        <f>INDEX(TabVMAzureDisk[Coût / mois Sauvegarde],MATCH(TabVMAZURE[[#This Row],[VMAzureDisk2]],TabVMAzureDisk[VMAzureDisk],0))</f>
        <v>0</v>
      </c>
      <c r="T15" s="22">
        <f>INDEX(TabVMAzureDisk[Coût / mois],MATCH(TabVMAZURE[[#This Row],[VMAzureDisk3]],TabVMAzureDisk[VMAzureDisk],0))</f>
        <v>0</v>
      </c>
      <c r="U15" s="22">
        <f>INDEX(TabVMAzureDisk[Coût / mois Sauvegarde],MATCH(TabVMAZURE[[#This Row],[VMAzureDisk3]],TabVMAzureDisk[VMAzureDisk],0))</f>
        <v>0</v>
      </c>
      <c r="V15" s="22">
        <f>INDEX(TabVMAzureDisk[Coût / mois],MATCH(TabVMAZURE[[#This Row],[VMAzureDisk4]],TabVMAzureDisk[VMAzureDisk],0))</f>
        <v>0</v>
      </c>
      <c r="W15" s="22">
        <f>INDEX(TabVMAzureDisk[Coût / mois Sauvegarde],MATCH(TabVMAZURE[[#This Row],[VMAzureDisk4]],TabVMAzureDisk[VMAzureDisk],0))</f>
        <v>0</v>
      </c>
      <c r="X15" s="22">
        <f>SUM(TabVMAZURE[[#This Row],[Coût estimé 
Disk1 / mois]]+TabVMAZURE[[#This Row],[Coût estimé 
Disk2 / mois]]+TabVMAZURE[[#This Row],[Coût estimé 
Disk3 / mois]]+TabVMAZURE[[#This Row],[Coût estimé 
Disk4 / mois]])</f>
        <v>2.79</v>
      </c>
      <c r="Y15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2.8607999999999998</v>
      </c>
      <c r="Z15" s="22">
        <f>SUM(TabVMAZURE[[#This Row],[Coût estimé 
Disk Total / mois]]+TabVMAZURE[[#This Row],[Coût estimé 
sauvegarde total / mois]])</f>
        <v>5.6508000000000003</v>
      </c>
      <c r="AA15" s="22">
        <v>5</v>
      </c>
      <c r="AB15" s="34">
        <f>SUM(TabVMAZURE[[#This Row],[Coût estimé 
VM / mois]]+TabVMAZURE[[#This Row],[Coût estimé 
Disk Total / mois]]+TabVMAZURE[[#This Row],[ip/dns/CS …]])</f>
        <v>34.913600000000002</v>
      </c>
      <c r="AC15" s="22">
        <f>SUM(TabVMAZURE[[#This Row],[Coût estimé 
VM / mois]]+TabVMAZURE[[#This Row],[Coût estimé 
Disk + sauvegarde Total / mois]]+TabVMAZURE[[#This Row],[ip/dns/CS …]])</f>
        <v>37.7744</v>
      </c>
    </row>
    <row r="16" spans="1:29" x14ac:dyDescent="0.25">
      <c r="A16" s="44" t="s">
        <v>12</v>
      </c>
      <c r="B16" s="52" t="s">
        <v>12</v>
      </c>
      <c r="I16" s="17"/>
      <c r="J16" s="17"/>
      <c r="K16" s="17">
        <f>(((TabVMAZURE[[#This Row],[Auto Stop]]-INT(TabVMAZURE[[#This Row],[Auto Stop]]))*24)-((TabVMAZURE[[#This Row],[Auto Start]]-INT(TabVMAZURE[[#This Row],[Auto Start]]))*24))</f>
        <v>0</v>
      </c>
      <c r="L16" s="22"/>
      <c r="M16" s="22">
        <f>TabVMAZURE[[#This Row],[Activité 
par jours]]*TabVMAZURE[[#This Row],[Jours / Mois]]</f>
        <v>0</v>
      </c>
      <c r="N16" s="22" t="e">
        <f>INDEX(ListeVMAzureCoûts,MATCH(TabVMAZURE[[#This Row],[VMAzureSize]],ListeVMAzureSize,0),MATCH(TabVMAZURE[[#This Row],[Système]],ListeSystèmes,0))</f>
        <v>#N/A</v>
      </c>
      <c r="O16" s="22" t="e">
        <f>SUM((TabVMAZURE[[#This Row],[Activité 
par mois]]*TabVMAZURE[[#This Row],[Coût horaire VM]])+(TabVMAZURE[[#This Row],[Activité 
par mois]]*0.01717))</f>
        <v>#N/A</v>
      </c>
      <c r="P16" s="22" t="e">
        <f>INDEX(TabVMAzureDisk[Coût / mois],MATCH(TabVMAZURE[[#This Row],[VMAzureDisk]],TabVMAzureDisk[VMAzureDisk],0))</f>
        <v>#N/A</v>
      </c>
      <c r="Q16" s="22" t="e">
        <f>INDEX(TabVMAzureDisk[Coût / mois Sauvegarde],MATCH(TabVMAZURE[[#This Row],[VMAzureDisk]],TabVMAzureDisk[VMAzureDisk],0))</f>
        <v>#N/A</v>
      </c>
      <c r="R16" s="22" t="e">
        <f>INDEX(TabVMAzureDisk[Coût / mois],MATCH(TabVMAZURE[[#This Row],[VMAzureDisk2]],TabVMAzureDisk[VMAzureDisk],0))</f>
        <v>#N/A</v>
      </c>
      <c r="S16" s="22" t="e">
        <f>INDEX(TabVMAzureDisk[Coût / mois Sauvegarde],MATCH(TabVMAZURE[[#This Row],[VMAzureDisk2]],TabVMAzureDisk[VMAzureDisk],0))</f>
        <v>#N/A</v>
      </c>
      <c r="T16" s="22" t="e">
        <f>INDEX(TabVMAzureDisk[Coût / mois],MATCH(TabVMAZURE[[#This Row],[VMAzureDisk3]],TabVMAzureDisk[VMAzureDisk],0))</f>
        <v>#N/A</v>
      </c>
      <c r="U16" s="22" t="e">
        <f>INDEX(TabVMAzureDisk[Coût / mois Sauvegarde],MATCH(TabVMAZURE[[#This Row],[VMAzureDisk3]],TabVMAzureDisk[VMAzureDisk],0))</f>
        <v>#N/A</v>
      </c>
      <c r="V16" s="22" t="e">
        <f>INDEX(TabVMAzureDisk[Coût / mois],MATCH(TabVMAZURE[[#This Row],[VMAzureDisk4]],TabVMAzureDisk[VMAzureDisk],0))</f>
        <v>#N/A</v>
      </c>
      <c r="W16" s="22" t="e">
        <f>INDEX(TabVMAzureDisk[Coût / mois Sauvegarde],MATCH(TabVMAZURE[[#This Row],[VMAzureDisk4]],TabVMAzureDisk[VMAzureDisk],0))</f>
        <v>#N/A</v>
      </c>
      <c r="X16" s="22" t="e">
        <f>SUM(TabVMAZURE[[#This Row],[Coût estimé 
Disk1 / mois]]+TabVMAZURE[[#This Row],[Coût estimé 
Disk2 / mois]]+TabVMAZURE[[#This Row],[Coût estimé 
Disk3 / mois]]+TabVMAZURE[[#This Row],[Coût estimé 
Disk4 / mois]])</f>
        <v>#N/A</v>
      </c>
      <c r="Y16" s="22" t="e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#N/A</v>
      </c>
      <c r="Z16" s="22" t="e">
        <f>SUM(TabVMAZURE[[#This Row],[Coût estimé 
Disk Total / mois]]+TabVMAZURE[[#This Row],[Coût estimé 
sauvegarde total / mois]])</f>
        <v>#N/A</v>
      </c>
      <c r="AA16" s="22"/>
      <c r="AB16" s="34" t="e">
        <f>SUM(TabVMAZURE[[#This Row],[Coût estimé 
VM / mois]]+TabVMAZURE[[#This Row],[Coût estimé 
Disk Total / mois]]+TabVMAZURE[[#This Row],[ip/dns/CS …]])</f>
        <v>#N/A</v>
      </c>
      <c r="AC16" s="22" t="e">
        <f>SUM(TabVMAZURE[[#This Row],[Coût estimé 
VM / mois]]+TabVMAZURE[[#This Row],[Coût estimé 
Disk + sauvegarde Total / mois]]+TabVMAZURE[[#This Row],[ip/dns/CS …]])</f>
        <v>#N/A</v>
      </c>
    </row>
    <row r="17" spans="1:29" x14ac:dyDescent="0.25">
      <c r="A17" s="44" t="s">
        <v>14</v>
      </c>
      <c r="B17" s="52" t="s">
        <v>13</v>
      </c>
      <c r="C17" t="s">
        <v>215</v>
      </c>
      <c r="D17" t="s">
        <v>228</v>
      </c>
      <c r="E17" t="s">
        <v>223</v>
      </c>
      <c r="F17" t="s">
        <v>218</v>
      </c>
      <c r="G17" t="s">
        <v>218</v>
      </c>
      <c r="H17" t="s">
        <v>218</v>
      </c>
      <c r="I17" s="17">
        <v>0.33333333333333331</v>
      </c>
      <c r="J17" s="17">
        <v>0.83333333333333304</v>
      </c>
      <c r="K17" s="22">
        <f>(((TabVMAZURE[[#This Row],[Auto Stop]]-INT(TabVMAZURE[[#This Row],[Auto Stop]]))*24)-((TabVMAZURE[[#This Row],[Auto Start]]-INT(TabVMAZURE[[#This Row],[Auto Start]]))*24))</f>
        <v>11.999999999999993</v>
      </c>
      <c r="L17" s="22">
        <v>20</v>
      </c>
      <c r="M17" s="22">
        <f>TabVMAZURE[[#This Row],[Activité 
par jours]]*TabVMAZURE[[#This Row],[Jours / Mois]]</f>
        <v>239.99999999999986</v>
      </c>
      <c r="N17" s="22">
        <f>INDEX(ListeVMAzureCoûts,MATCH(TabVMAZURE[[#This Row],[VMAzureSize]],ListeVMAzureSize,0),MATCH(TabVMAZURE[[#This Row],[Système]],ListeSystèmes,0))</f>
        <v>3.9899999999999998E-2</v>
      </c>
      <c r="O17" s="22">
        <f>SUM((TabVMAZURE[[#This Row],[Activité 
par mois]]*TabVMAZURE[[#This Row],[Coût horaire VM]])+(TabVMAZURE[[#This Row],[Activité 
par mois]]*0.01717))</f>
        <v>13.696799999999993</v>
      </c>
      <c r="P17" s="22">
        <f>INDEX(TabVMAzureDisk[Coût / mois],MATCH(TabVMAZURE[[#This Row],[VMAzureDisk]],TabVMAzureDisk[VMAzureDisk],0))</f>
        <v>5.5010000000000003</v>
      </c>
      <c r="Q17" s="22">
        <f>INDEX(TabVMAzureDisk[Coût / mois Sauvegarde],MATCH(TabVMAZURE[[#This Row],[VMAzureDisk]],TabVMAzureDisk[VMAzureDisk],0))</f>
        <v>5.7215999999999996</v>
      </c>
      <c r="R17" s="22">
        <f>INDEX(TabVMAzureDisk[Coût / mois],MATCH(TabVMAZURE[[#This Row],[VMAzureDisk2]],TabVMAzureDisk[VMAzureDisk],0))</f>
        <v>0</v>
      </c>
      <c r="S17" s="22">
        <f>INDEX(TabVMAzureDisk[Coût / mois Sauvegarde],MATCH(TabVMAZURE[[#This Row],[VMAzureDisk2]],TabVMAzureDisk[VMAzureDisk],0))</f>
        <v>0</v>
      </c>
      <c r="T17" s="22">
        <f>INDEX(TabVMAzureDisk[Coût / mois],MATCH(TabVMAZURE[[#This Row],[VMAzureDisk3]],TabVMAzureDisk[VMAzureDisk],0))</f>
        <v>0</v>
      </c>
      <c r="U17" s="22">
        <f>INDEX(TabVMAzureDisk[Coût / mois Sauvegarde],MATCH(TabVMAZURE[[#This Row],[VMAzureDisk3]],TabVMAzureDisk[VMAzureDisk],0))</f>
        <v>0</v>
      </c>
      <c r="V17" s="22">
        <f>INDEX(TabVMAzureDisk[Coût / mois],MATCH(TabVMAZURE[[#This Row],[VMAzureDisk4]],TabVMAzureDisk[VMAzureDisk],0))</f>
        <v>0</v>
      </c>
      <c r="W17" s="22">
        <f>INDEX(TabVMAzureDisk[Coût / mois Sauvegarde],MATCH(TabVMAZURE[[#This Row],[VMAzureDisk4]],TabVMAzureDisk[VMAzureDisk],0))</f>
        <v>0</v>
      </c>
      <c r="X17" s="22">
        <f>SUM(TabVMAZURE[[#This Row],[Coût estimé 
Disk1 / mois]]+TabVMAZURE[[#This Row],[Coût estimé 
Disk2 / mois]]+TabVMAZURE[[#This Row],[Coût estimé 
Disk3 / mois]]+TabVMAZURE[[#This Row],[Coût estimé 
Disk4 / mois]])</f>
        <v>5.5010000000000003</v>
      </c>
      <c r="Y17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5.7215999999999996</v>
      </c>
      <c r="Z17" s="22">
        <f>SUM(TabVMAZURE[[#This Row],[Coût estimé 
Disk Total / mois]]+TabVMAZURE[[#This Row],[Coût estimé 
sauvegarde total / mois]])</f>
        <v>11.2226</v>
      </c>
      <c r="AA17" s="22">
        <v>5</v>
      </c>
      <c r="AB17" s="34">
        <f>SUM(TabVMAZURE[[#This Row],[Coût estimé 
VM / mois]]+TabVMAZURE[[#This Row],[Coût estimé 
Disk Total / mois]]+TabVMAZURE[[#This Row],[ip/dns/CS …]])</f>
        <v>24.197799999999994</v>
      </c>
      <c r="AC17" s="22">
        <f>SUM(TabVMAZURE[[#This Row],[Coût estimé 
VM / mois]]+TabVMAZURE[[#This Row],[Coût estimé 
Disk + sauvegarde Total / mois]]+TabVMAZURE[[#This Row],[ip/dns/CS …]])</f>
        <v>29.919399999999992</v>
      </c>
    </row>
    <row r="18" spans="1:29" x14ac:dyDescent="0.25">
      <c r="A18" s="44" t="s">
        <v>80</v>
      </c>
      <c r="B18" s="52" t="s">
        <v>78</v>
      </c>
      <c r="C18" t="s">
        <v>215</v>
      </c>
      <c r="D18" t="s">
        <v>219</v>
      </c>
      <c r="E18" t="s">
        <v>220</v>
      </c>
      <c r="F18" t="s">
        <v>218</v>
      </c>
      <c r="G18" t="s">
        <v>218</v>
      </c>
      <c r="H18" t="s">
        <v>218</v>
      </c>
      <c r="I18" s="17">
        <v>0.33333333333333331</v>
      </c>
      <c r="J18" s="17">
        <v>0.83333333333333304</v>
      </c>
      <c r="K18" s="22">
        <f>(((TabVMAZURE[[#This Row],[Auto Stop]]-INT(TabVMAZURE[[#This Row],[Auto Stop]]))*24)-((TabVMAZURE[[#This Row],[Auto Start]]-INT(TabVMAZURE[[#This Row],[Auto Start]]))*24))</f>
        <v>11.999999999999993</v>
      </c>
      <c r="L18" s="22">
        <v>28</v>
      </c>
      <c r="M18" s="22">
        <f>TabVMAZURE[[#This Row],[Activité 
par jours]]*TabVMAZURE[[#This Row],[Jours / Mois]]</f>
        <v>335.99999999999977</v>
      </c>
      <c r="N18" s="22">
        <f>INDEX(ListeVMAzureCoûts,MATCH(TabVMAZURE[[#This Row],[VMAzureSize]],ListeVMAzureSize,0),MATCH(TabVMAZURE[[#This Row],[Système]],ListeSystèmes,0))</f>
        <v>0.02</v>
      </c>
      <c r="O18" s="22">
        <f>SUM((TabVMAZURE[[#This Row],[Activité 
par mois]]*TabVMAZURE[[#This Row],[Coût horaire VM]])+(TabVMAZURE[[#This Row],[Activité 
par mois]]*0.01717))</f>
        <v>12.489119999999993</v>
      </c>
      <c r="P18" s="22">
        <f>INDEX(TabVMAzureDisk[Coût / mois],MATCH(TabVMAZURE[[#This Row],[VMAzureDisk]],TabVMAzureDisk[VMAzureDisk],0))</f>
        <v>1.425</v>
      </c>
      <c r="Q18" s="22">
        <f>INDEX(TabVMAzureDisk[Coût / mois Sauvegarde],MATCH(TabVMAZURE[[#This Row],[VMAzureDisk]],TabVMAzureDisk[VMAzureDisk],0))</f>
        <v>1.4303999999999999</v>
      </c>
      <c r="R18" s="22">
        <f>INDEX(TabVMAzureDisk[Coût / mois],MATCH(TabVMAZURE[[#This Row],[VMAzureDisk2]],TabVMAzureDisk[VMAzureDisk],0))</f>
        <v>0</v>
      </c>
      <c r="S18" s="22">
        <f>INDEX(TabVMAzureDisk[Coût / mois Sauvegarde],MATCH(TabVMAZURE[[#This Row],[VMAzureDisk2]],TabVMAzureDisk[VMAzureDisk],0))</f>
        <v>0</v>
      </c>
      <c r="T18" s="22">
        <f>INDEX(TabVMAzureDisk[Coût / mois],MATCH(TabVMAZURE[[#This Row],[VMAzureDisk3]],TabVMAzureDisk[VMAzureDisk],0))</f>
        <v>0</v>
      </c>
      <c r="U18" s="22">
        <f>INDEX(TabVMAzureDisk[Coût / mois Sauvegarde],MATCH(TabVMAZURE[[#This Row],[VMAzureDisk3]],TabVMAzureDisk[VMAzureDisk],0))</f>
        <v>0</v>
      </c>
      <c r="V18" s="22">
        <f>INDEX(TabVMAzureDisk[Coût / mois],MATCH(TabVMAZURE[[#This Row],[VMAzureDisk4]],TabVMAzureDisk[VMAzureDisk],0))</f>
        <v>0</v>
      </c>
      <c r="W18" s="22">
        <f>INDEX(TabVMAzureDisk[Coût / mois Sauvegarde],MATCH(TabVMAZURE[[#This Row],[VMAzureDisk4]],TabVMAzureDisk[VMAzureDisk],0))</f>
        <v>0</v>
      </c>
      <c r="X18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Y18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Z18" s="22">
        <f>SUM(TabVMAZURE[[#This Row],[Coût estimé 
Disk Total / mois]]+TabVMAZURE[[#This Row],[Coût estimé 
sauvegarde total / mois]])</f>
        <v>2.8553999999999999</v>
      </c>
      <c r="AA18" s="22">
        <v>5</v>
      </c>
      <c r="AB18" s="34">
        <f>SUM(TabVMAZURE[[#This Row],[Coût estimé 
VM / mois]]+TabVMAZURE[[#This Row],[Coût estimé 
Disk Total / mois]]+TabVMAZURE[[#This Row],[ip/dns/CS …]])</f>
        <v>18.914119999999993</v>
      </c>
      <c r="AC18" s="22">
        <f>SUM(TabVMAZURE[[#This Row],[Coût estimé 
VM / mois]]+TabVMAZURE[[#This Row],[Coût estimé 
Disk + sauvegarde Total / mois]]+TabVMAZURE[[#This Row],[ip/dns/CS …]])</f>
        <v>20.344519999999992</v>
      </c>
    </row>
    <row r="19" spans="1:29" x14ac:dyDescent="0.25">
      <c r="A19" t="s">
        <v>233</v>
      </c>
      <c r="B19" s="52"/>
      <c r="C19" t="s">
        <v>215</v>
      </c>
      <c r="D19" t="s">
        <v>219</v>
      </c>
      <c r="E19" t="s">
        <v>220</v>
      </c>
      <c r="F19" t="s">
        <v>218</v>
      </c>
      <c r="G19" t="s">
        <v>218</v>
      </c>
      <c r="H19" t="s">
        <v>218</v>
      </c>
      <c r="I19" s="17">
        <v>0.33333333333333331</v>
      </c>
      <c r="J19" s="17">
        <v>0.83333333333333304</v>
      </c>
      <c r="K19" s="22">
        <f>(((TabVMAZURE[[#This Row],[Auto Stop]]-INT(TabVMAZURE[[#This Row],[Auto Stop]]))*24)-((TabVMAZURE[[#This Row],[Auto Start]]-INT(TabVMAZURE[[#This Row],[Auto Start]]))*24))</f>
        <v>11.999999999999993</v>
      </c>
      <c r="L19" s="22">
        <v>20</v>
      </c>
      <c r="M19" s="22">
        <f>TabVMAZURE[[#This Row],[Activité 
par jours]]*TabVMAZURE[[#This Row],[Jours / Mois]]</f>
        <v>239.99999999999986</v>
      </c>
      <c r="N19" s="22">
        <f>INDEX(ListeVMAzureCoûts,MATCH(TabVMAZURE[[#This Row],[VMAzureSize]],ListeVMAzureSize,0),MATCH(TabVMAZURE[[#This Row],[Système]],ListeSystèmes,0))</f>
        <v>0.02</v>
      </c>
      <c r="O19" s="22">
        <f>SUM((TabVMAZURE[[#This Row],[Activité 
par mois]]*TabVMAZURE[[#This Row],[Coût horaire VM]])+(TabVMAZURE[[#This Row],[Activité 
par mois]]*0.01717))</f>
        <v>8.9207999999999963</v>
      </c>
      <c r="P19" s="22">
        <f>INDEX(TabVMAzureDisk[Coût / mois],MATCH(TabVMAZURE[[#This Row],[VMAzureDisk]],TabVMAzureDisk[VMAzureDisk],0))</f>
        <v>1.425</v>
      </c>
      <c r="Q19" s="22">
        <f>INDEX(TabVMAzureDisk[Coût / mois Sauvegarde],MATCH(TabVMAZURE[[#This Row],[VMAzureDisk]],TabVMAzureDisk[VMAzureDisk],0))</f>
        <v>1.4303999999999999</v>
      </c>
      <c r="R19" s="22">
        <f>INDEX(TabVMAzureDisk[Coût / mois],MATCH(TabVMAZURE[[#This Row],[VMAzureDisk2]],TabVMAzureDisk[VMAzureDisk],0))</f>
        <v>0</v>
      </c>
      <c r="S19" s="22">
        <f>INDEX(TabVMAzureDisk[Coût / mois Sauvegarde],MATCH(TabVMAZURE[[#This Row],[VMAzureDisk2]],TabVMAzureDisk[VMAzureDisk],0))</f>
        <v>0</v>
      </c>
      <c r="T19" s="22">
        <f>INDEX(TabVMAzureDisk[Coût / mois],MATCH(TabVMAZURE[[#This Row],[VMAzureDisk3]],TabVMAzureDisk[VMAzureDisk],0))</f>
        <v>0</v>
      </c>
      <c r="U19" s="22">
        <f>INDEX(TabVMAzureDisk[Coût / mois Sauvegarde],MATCH(TabVMAZURE[[#This Row],[VMAzureDisk3]],TabVMAzureDisk[VMAzureDisk],0))</f>
        <v>0</v>
      </c>
      <c r="V19" s="22">
        <f>INDEX(TabVMAzureDisk[Coût / mois],MATCH(TabVMAZURE[[#This Row],[VMAzureDisk4]],TabVMAzureDisk[VMAzureDisk],0))</f>
        <v>0</v>
      </c>
      <c r="W19" s="22">
        <f>INDEX(TabVMAzureDisk[Coût / mois Sauvegarde],MATCH(TabVMAZURE[[#This Row],[VMAzureDisk4]],TabVMAzureDisk[VMAzureDisk],0))</f>
        <v>0</v>
      </c>
      <c r="X19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Y19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Z19" s="22">
        <f>SUM(TabVMAZURE[[#This Row],[Coût estimé 
Disk Total / mois]]+TabVMAZURE[[#This Row],[Coût estimé 
sauvegarde total / mois]])</f>
        <v>2.8553999999999999</v>
      </c>
      <c r="AA19" s="22">
        <v>5</v>
      </c>
      <c r="AB19" s="34">
        <f>SUM(TabVMAZURE[[#This Row],[Coût estimé 
VM / mois]]+TabVMAZURE[[#This Row],[Coût estimé 
Disk Total / mois]]+TabVMAZURE[[#This Row],[ip/dns/CS …]])</f>
        <v>15.345799999999997</v>
      </c>
      <c r="AC19" s="22">
        <f>SUM(TabVMAZURE[[#This Row],[Coût estimé 
VM / mois]]+TabVMAZURE[[#This Row],[Coût estimé 
Disk + sauvegarde Total / mois]]+TabVMAZURE[[#This Row],[ip/dns/CS …]])</f>
        <v>16.776199999999996</v>
      </c>
    </row>
    <row r="20" spans="1:29" x14ac:dyDescent="0.25">
      <c r="A20" t="s">
        <v>7</v>
      </c>
      <c r="B20" s="19" t="s">
        <v>5</v>
      </c>
      <c r="I20" s="17"/>
      <c r="J20" s="17"/>
      <c r="K20" s="17">
        <f>(((TabVMAZURE[[#This Row],[Auto Stop]]-INT(TabVMAZURE[[#This Row],[Auto Stop]]))*24)-((TabVMAZURE[[#This Row],[Auto Start]]-INT(TabVMAZURE[[#This Row],[Auto Start]]))*24))</f>
        <v>0</v>
      </c>
      <c r="L20" s="22"/>
      <c r="M20" s="22">
        <f>TabVMAZURE[[#This Row],[Activité 
par jours]]*TabVMAZURE[[#This Row],[Jours / Mois]]</f>
        <v>0</v>
      </c>
      <c r="N20" s="22" t="e">
        <f>INDEX(ListeVMAzureCoûts,MATCH(TabVMAZURE[[#This Row],[VMAzureSize]],ListeVMAzureSize,0),MATCH(TabVMAZURE[[#This Row],[Système]],ListeSystèmes,0))</f>
        <v>#N/A</v>
      </c>
      <c r="O20" s="22" t="e">
        <f>SUM((TabVMAZURE[[#This Row],[Activité 
par mois]]*TabVMAZURE[[#This Row],[Coût horaire VM]])+(TabVMAZURE[[#This Row],[Activité 
par mois]]*0.01717))</f>
        <v>#N/A</v>
      </c>
      <c r="P20" s="22" t="e">
        <f>INDEX(TabVMAzureDisk[Coût / mois],MATCH(TabVMAZURE[[#This Row],[VMAzureDisk]],TabVMAzureDisk[VMAzureDisk],0))</f>
        <v>#N/A</v>
      </c>
      <c r="Q20" s="22" t="e">
        <f>INDEX(TabVMAzureDisk[Coût / mois Sauvegarde],MATCH(TabVMAZURE[[#This Row],[VMAzureDisk]],TabVMAzureDisk[VMAzureDisk],0))</f>
        <v>#N/A</v>
      </c>
      <c r="R20" s="22" t="e">
        <f>INDEX(TabVMAzureDisk[Coût / mois],MATCH(TabVMAZURE[[#This Row],[VMAzureDisk2]],TabVMAzureDisk[VMAzureDisk],0))</f>
        <v>#N/A</v>
      </c>
      <c r="S20" s="22" t="e">
        <f>INDEX(TabVMAzureDisk[Coût / mois Sauvegarde],MATCH(TabVMAZURE[[#This Row],[VMAzureDisk2]],TabVMAzureDisk[VMAzureDisk],0))</f>
        <v>#N/A</v>
      </c>
      <c r="T20" s="22" t="e">
        <f>INDEX(TabVMAzureDisk[Coût / mois],MATCH(TabVMAZURE[[#This Row],[VMAzureDisk3]],TabVMAzureDisk[VMAzureDisk],0))</f>
        <v>#N/A</v>
      </c>
      <c r="U20" s="22" t="e">
        <f>INDEX(TabVMAzureDisk[Coût / mois Sauvegarde],MATCH(TabVMAZURE[[#This Row],[VMAzureDisk3]],TabVMAzureDisk[VMAzureDisk],0))</f>
        <v>#N/A</v>
      </c>
      <c r="V20" s="22" t="e">
        <f>INDEX(TabVMAzureDisk[Coût / mois],MATCH(TabVMAZURE[[#This Row],[VMAzureDisk4]],TabVMAzureDisk[VMAzureDisk],0))</f>
        <v>#N/A</v>
      </c>
      <c r="W20" s="22" t="e">
        <f>INDEX(TabVMAzureDisk[Coût / mois Sauvegarde],MATCH(TabVMAZURE[[#This Row],[VMAzureDisk4]],TabVMAzureDisk[VMAzureDisk],0))</f>
        <v>#N/A</v>
      </c>
      <c r="X20" s="22" t="e">
        <f>SUM(TabVMAZURE[[#This Row],[Coût estimé 
Disk1 / mois]]+TabVMAZURE[[#This Row],[Coût estimé 
Disk2 / mois]]+TabVMAZURE[[#This Row],[Coût estimé 
Disk3 / mois]]+TabVMAZURE[[#This Row],[Coût estimé 
Disk4 / mois]])</f>
        <v>#N/A</v>
      </c>
      <c r="Y20" s="22" t="e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#N/A</v>
      </c>
      <c r="Z20" s="22" t="e">
        <f>SUM(TabVMAZURE[[#This Row],[Coût estimé 
Disk Total / mois]]+TabVMAZURE[[#This Row],[Coût estimé 
sauvegarde total / mois]])</f>
        <v>#N/A</v>
      </c>
      <c r="AA20" s="22"/>
      <c r="AB20" s="34" t="e">
        <f>SUM(TabVMAZURE[[#This Row],[Coût estimé 
VM / mois]]+TabVMAZURE[[#This Row],[Coût estimé 
Disk Total / mois]]+TabVMAZURE[[#This Row],[ip/dns/CS …]])</f>
        <v>#N/A</v>
      </c>
      <c r="AC20" s="22" t="e">
        <f>SUM(TabVMAZURE[[#This Row],[Coût estimé 
VM / mois]]+TabVMAZURE[[#This Row],[Coût estimé 
Disk + sauvegarde Total / mois]]+TabVMAZURE[[#This Row],[ip/dns/CS …]])</f>
        <v>#N/A</v>
      </c>
    </row>
    <row r="21" spans="1:29" x14ac:dyDescent="0.25">
      <c r="A21" s="44" t="s">
        <v>11</v>
      </c>
      <c r="B21" s="52" t="s">
        <v>9</v>
      </c>
      <c r="C21" t="s">
        <v>215</v>
      </c>
      <c r="D21" t="s">
        <v>231</v>
      </c>
      <c r="E21" t="s">
        <v>220</v>
      </c>
      <c r="F21" t="s">
        <v>220</v>
      </c>
      <c r="G21" t="s">
        <v>218</v>
      </c>
      <c r="H21" t="s">
        <v>218</v>
      </c>
      <c r="I21" s="17">
        <v>0.33333333333333331</v>
      </c>
      <c r="J21" s="17">
        <v>0.8125</v>
      </c>
      <c r="K21" s="22">
        <f>(((TabVMAZURE[[#This Row],[Auto Stop]]-INT(TabVMAZURE[[#This Row],[Auto Stop]]))*24)-((TabVMAZURE[[#This Row],[Auto Start]]-INT(TabVMAZURE[[#This Row],[Auto Start]]))*24))</f>
        <v>11.5</v>
      </c>
      <c r="L21" s="22">
        <v>20</v>
      </c>
      <c r="M21" s="22">
        <f>TabVMAZURE[[#This Row],[Activité 
par jours]]*TabVMAZURE[[#This Row],[Jours / Mois]]</f>
        <v>230</v>
      </c>
      <c r="N21" s="22">
        <f>INDEX(ListeVMAzureCoûts,MATCH(TabVMAZURE[[#This Row],[VMAzureSize]],ListeVMAzureSize,0),MATCH(TabVMAZURE[[#This Row],[Système]],ListeSystèmes,0))</f>
        <v>7.9699999999999993E-2</v>
      </c>
      <c r="O21" s="22">
        <f>SUM((TabVMAZURE[[#This Row],[Activité 
par mois]]*TabVMAZURE[[#This Row],[Coût horaire VM]])+(TabVMAZURE[[#This Row],[Activité 
par mois]]*0.01717))</f>
        <v>22.280100000000001</v>
      </c>
      <c r="P21" s="22">
        <f>INDEX(TabVMAzureDisk[Coût / mois],MATCH(TabVMAZURE[[#This Row],[VMAzureDisk]],TabVMAzureDisk[VMAzureDisk],0))</f>
        <v>1.425</v>
      </c>
      <c r="Q21" s="22">
        <f>INDEX(TabVMAzureDisk[Coût / mois Sauvegarde],MATCH(TabVMAZURE[[#This Row],[VMAzureDisk]],TabVMAzureDisk[VMAzureDisk],0))</f>
        <v>1.4303999999999999</v>
      </c>
      <c r="R21" s="22">
        <f>INDEX(TabVMAzureDisk[Coût / mois],MATCH(TabVMAZURE[[#This Row],[VMAzureDisk2]],TabVMAzureDisk[VMAzureDisk],0))</f>
        <v>1.425</v>
      </c>
      <c r="S21" s="22">
        <f>INDEX(TabVMAzureDisk[Coût / mois Sauvegarde],MATCH(TabVMAZURE[[#This Row],[VMAzureDisk2]],TabVMAzureDisk[VMAzureDisk],0))</f>
        <v>1.4303999999999999</v>
      </c>
      <c r="T21" s="22">
        <f>INDEX(TabVMAzureDisk[Coût / mois],MATCH(TabVMAZURE[[#This Row],[VMAzureDisk3]],TabVMAzureDisk[VMAzureDisk],0))</f>
        <v>0</v>
      </c>
      <c r="U21" s="22">
        <f>INDEX(TabVMAzureDisk[Coût / mois Sauvegarde],MATCH(TabVMAZURE[[#This Row],[VMAzureDisk3]],TabVMAzureDisk[VMAzureDisk],0))</f>
        <v>0</v>
      </c>
      <c r="V21" s="22">
        <f>INDEX(TabVMAzureDisk[Coût / mois],MATCH(TabVMAZURE[[#This Row],[VMAzureDisk4]],TabVMAzureDisk[VMAzureDisk],0))</f>
        <v>0</v>
      </c>
      <c r="W21" s="22">
        <f>INDEX(TabVMAzureDisk[Coût / mois Sauvegarde],MATCH(TabVMAZURE[[#This Row],[VMAzureDisk4]],TabVMAzureDisk[VMAzureDisk],0))</f>
        <v>0</v>
      </c>
      <c r="X21" s="22">
        <f>SUM(TabVMAZURE[[#This Row],[Coût estimé 
Disk1 / mois]]+TabVMAZURE[[#This Row],[Coût estimé 
Disk2 / mois]]+TabVMAZURE[[#This Row],[Coût estimé 
Disk3 / mois]]+TabVMAZURE[[#This Row],[Coût estimé 
Disk4 / mois]])</f>
        <v>2.85</v>
      </c>
      <c r="Y21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2.8607999999999998</v>
      </c>
      <c r="Z21" s="22">
        <f>SUM(TabVMAZURE[[#This Row],[Coût estimé 
Disk Total / mois]]+TabVMAZURE[[#This Row],[Coût estimé 
sauvegarde total / mois]])</f>
        <v>5.7107999999999999</v>
      </c>
      <c r="AA21" s="22">
        <v>5</v>
      </c>
      <c r="AB21" s="34">
        <f>SUM(TabVMAZURE[[#This Row],[Coût estimé 
VM / mois]]+TabVMAZURE[[#This Row],[Coût estimé 
Disk Total / mois]]+TabVMAZURE[[#This Row],[ip/dns/CS …]])</f>
        <v>30.130100000000002</v>
      </c>
      <c r="AC21" s="22">
        <f>SUM(TabVMAZURE[[#This Row],[Coût estimé 
VM / mois]]+TabVMAZURE[[#This Row],[Coût estimé 
Disk + sauvegarde Total / mois]]+TabVMAZURE[[#This Row],[ip/dns/CS …]])</f>
        <v>32.990899999999996</v>
      </c>
    </row>
    <row r="22" spans="1:29" x14ac:dyDescent="0.25">
      <c r="A22" s="44" t="s">
        <v>68</v>
      </c>
      <c r="B22" s="52" t="s">
        <v>67</v>
      </c>
      <c r="C22" t="s">
        <v>225</v>
      </c>
      <c r="D22" t="s">
        <v>234</v>
      </c>
      <c r="E22" t="s">
        <v>223</v>
      </c>
      <c r="F22" t="s">
        <v>235</v>
      </c>
      <c r="G22" t="s">
        <v>218</v>
      </c>
      <c r="H22" t="s">
        <v>218</v>
      </c>
      <c r="I22" s="17">
        <v>0.33333333333333331</v>
      </c>
      <c r="J22" s="17">
        <v>0.79166666666666663</v>
      </c>
      <c r="K22" s="22">
        <f>(((TabVMAZURE[[#This Row],[Auto Stop]]-INT(TabVMAZURE[[#This Row],[Auto Stop]]))*24)-((TabVMAZURE[[#This Row],[Auto Start]]-INT(TabVMAZURE[[#This Row],[Auto Start]]))*24))</f>
        <v>11</v>
      </c>
      <c r="L22" s="22">
        <v>20</v>
      </c>
      <c r="M22" s="22">
        <f>TabVMAZURE[[#This Row],[Activité 
par jours]]*TabVMAZURE[[#This Row],[Jours / Mois]]</f>
        <v>220</v>
      </c>
      <c r="N22" s="22">
        <f>INDEX(ListeVMAzureCoûts,MATCH(TabVMAZURE[[#This Row],[VMAzureSize]],ListeVMAzureSize,0),MATCH(TabVMAZURE[[#This Row],[Système]],ListeSystèmes,0))</f>
        <v>0.37780000000000002</v>
      </c>
      <c r="O22" s="22">
        <f>SUM((TabVMAZURE[[#This Row],[Activité 
par mois]]*TabVMAZURE[[#This Row],[Coût horaire VM]])+(TabVMAZURE[[#This Row],[Activité 
par mois]]*0.01717))</f>
        <v>86.8934</v>
      </c>
      <c r="P22" s="22">
        <f>INDEX(TabVMAzureDisk[Coût / mois],MATCH(TabVMAZURE[[#This Row],[VMAzureDisk]],TabVMAzureDisk[VMAzureDisk],0))</f>
        <v>5.5010000000000003</v>
      </c>
      <c r="Q22" s="22">
        <f>INDEX(TabVMAzureDisk[Coût / mois Sauvegarde],MATCH(TabVMAZURE[[#This Row],[VMAzureDisk]],TabVMAzureDisk[VMAzureDisk],0))</f>
        <v>5.7215999999999996</v>
      </c>
      <c r="R22" s="22">
        <f>INDEX(TabVMAzureDisk[Coût / mois],MATCH(TabVMAZURE[[#This Row],[VMAzureDisk2]],TabVMAzureDisk[VMAzureDisk],0))</f>
        <v>38.036000000000001</v>
      </c>
      <c r="S22" s="22">
        <f>INDEX(TabVMAzureDisk[Coût / mois Sauvegarde],MATCH(TabVMAZURE[[#This Row],[VMAzureDisk2]],TabVMAzureDisk[VMAzureDisk],0))</f>
        <v>45.772799999999997</v>
      </c>
      <c r="T22" s="22">
        <f>INDEX(TabVMAzureDisk[Coût / mois],MATCH(TabVMAZURE[[#This Row],[VMAzureDisk3]],TabVMAzureDisk[VMAzureDisk],0))</f>
        <v>0</v>
      </c>
      <c r="U22" s="22">
        <f>INDEX(TabVMAzureDisk[Coût / mois Sauvegarde],MATCH(TabVMAZURE[[#This Row],[VMAzureDisk3]],TabVMAzureDisk[VMAzureDisk],0))</f>
        <v>0</v>
      </c>
      <c r="V22" s="22">
        <f>INDEX(TabVMAzureDisk[Coût / mois],MATCH(TabVMAZURE[[#This Row],[VMAzureDisk4]],TabVMAzureDisk[VMAzureDisk],0))</f>
        <v>0</v>
      </c>
      <c r="W22" s="22">
        <f>INDEX(TabVMAzureDisk[Coût / mois Sauvegarde],MATCH(TabVMAZURE[[#This Row],[VMAzureDisk4]],TabVMAzureDisk[VMAzureDisk],0))</f>
        <v>0</v>
      </c>
      <c r="X22" s="22">
        <f>SUM(TabVMAZURE[[#This Row],[Coût estimé 
Disk1 / mois]]+TabVMAZURE[[#This Row],[Coût estimé 
Disk2 / mois]]+TabVMAZURE[[#This Row],[Coût estimé 
Disk3 / mois]]+TabVMAZURE[[#This Row],[Coût estimé 
Disk4 / mois]])</f>
        <v>43.536999999999999</v>
      </c>
      <c r="Y22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51.494399999999999</v>
      </c>
      <c r="Z22" s="22">
        <f>SUM(TabVMAZURE[[#This Row],[Coût estimé 
Disk Total / mois]]+TabVMAZURE[[#This Row],[Coût estimé 
sauvegarde total / mois]])</f>
        <v>95.031399999999991</v>
      </c>
      <c r="AA22" s="22">
        <v>5</v>
      </c>
      <c r="AB22" s="22">
        <f>SUM(TabVMAZURE[[#This Row],[Coût estimé 
VM / mois]]+TabVMAZURE[[#This Row],[Coût estimé 
Disk Total / mois]]+TabVMAZURE[[#This Row],[ip/dns/CS …]])</f>
        <v>135.43039999999999</v>
      </c>
      <c r="AC22" s="22">
        <f>SUM(TabVMAZURE[[#This Row],[Coût estimé 
VM / mois]]+TabVMAZURE[[#This Row],[Coût estimé 
Disk + sauvegarde Total / mois]]+TabVMAZURE[[#This Row],[ip/dns/CS …]])</f>
        <v>186.9248</v>
      </c>
    </row>
    <row r="23" spans="1:29" x14ac:dyDescent="0.25">
      <c r="A23" s="18" t="s">
        <v>140</v>
      </c>
      <c r="B23" s="52" t="s">
        <v>69</v>
      </c>
      <c r="C23" t="s">
        <v>215</v>
      </c>
      <c r="D23" t="s">
        <v>219</v>
      </c>
      <c r="E23" t="s">
        <v>220</v>
      </c>
      <c r="F23" t="s">
        <v>218</v>
      </c>
      <c r="G23" t="s">
        <v>218</v>
      </c>
      <c r="H23" t="s">
        <v>218</v>
      </c>
      <c r="I23" s="17">
        <v>0.33333333333333331</v>
      </c>
      <c r="J23" s="17">
        <v>0.79166666666666663</v>
      </c>
      <c r="K23" s="22">
        <f>(((TabVMAZURE[[#This Row],[Auto Stop]]-INT(TabVMAZURE[[#This Row],[Auto Stop]]))*24)-((TabVMAZURE[[#This Row],[Auto Start]]-INT(TabVMAZURE[[#This Row],[Auto Start]]))*24))</f>
        <v>11</v>
      </c>
      <c r="L23" s="22">
        <v>20</v>
      </c>
      <c r="M23" s="22">
        <f>TabVMAZURE[[#This Row],[Activité 
par jours]]*TabVMAZURE[[#This Row],[Jours / Mois]]</f>
        <v>220</v>
      </c>
      <c r="N23" s="22">
        <f>INDEX(ListeVMAzureCoûts,MATCH(TabVMAZURE[[#This Row],[VMAzureSize]],ListeVMAzureSize,0),MATCH(TabVMAZURE[[#This Row],[Système]],ListeSystèmes,0))</f>
        <v>0.02</v>
      </c>
      <c r="O23" s="22">
        <f>SUM((TabVMAZURE[[#This Row],[Activité 
par mois]]*TabVMAZURE[[#This Row],[Coût horaire VM]])+(TabVMAZURE[[#This Row],[Activité 
par mois]]*0.01717))</f>
        <v>8.1774000000000004</v>
      </c>
      <c r="P23" s="22">
        <f>INDEX(TabVMAzureDisk[Coût / mois],MATCH(TabVMAZURE[[#This Row],[VMAzureDisk]],TabVMAzureDisk[VMAzureDisk],0))</f>
        <v>1.425</v>
      </c>
      <c r="Q23" s="22">
        <f>INDEX(TabVMAzureDisk[Coût / mois Sauvegarde],MATCH(TabVMAZURE[[#This Row],[VMAzureDisk]],TabVMAzureDisk[VMAzureDisk],0))</f>
        <v>1.4303999999999999</v>
      </c>
      <c r="R23" s="22">
        <f>INDEX(TabVMAzureDisk[Coût / mois],MATCH(TabVMAZURE[[#This Row],[VMAzureDisk2]],TabVMAzureDisk[VMAzureDisk],0))</f>
        <v>0</v>
      </c>
      <c r="S23" s="22">
        <f>INDEX(TabVMAzureDisk[Coût / mois Sauvegarde],MATCH(TabVMAZURE[[#This Row],[VMAzureDisk2]],TabVMAzureDisk[VMAzureDisk],0))</f>
        <v>0</v>
      </c>
      <c r="T23" s="22">
        <f>INDEX(TabVMAzureDisk[Coût / mois],MATCH(TabVMAZURE[[#This Row],[VMAzureDisk3]],TabVMAzureDisk[VMAzureDisk],0))</f>
        <v>0</v>
      </c>
      <c r="U23" s="22">
        <f>INDEX(TabVMAzureDisk[Coût / mois Sauvegarde],MATCH(TabVMAZURE[[#This Row],[VMAzureDisk3]],TabVMAzureDisk[VMAzureDisk],0))</f>
        <v>0</v>
      </c>
      <c r="V23" s="22">
        <f>INDEX(TabVMAzureDisk[Coût / mois],MATCH(TabVMAZURE[[#This Row],[VMAzureDisk4]],TabVMAzureDisk[VMAzureDisk],0))</f>
        <v>0</v>
      </c>
      <c r="W23" s="22">
        <f>INDEX(TabVMAzureDisk[Coût / mois Sauvegarde],MATCH(TabVMAZURE[[#This Row],[VMAzureDisk4]],TabVMAzureDisk[VMAzureDisk],0))</f>
        <v>0</v>
      </c>
      <c r="X23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Y23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Z23" s="22">
        <f>SUM(TabVMAZURE[[#This Row],[Coût estimé 
Disk Total / mois]]+TabVMAZURE[[#This Row],[Coût estimé 
sauvegarde total / mois]])</f>
        <v>2.8553999999999999</v>
      </c>
      <c r="AA23" s="22">
        <v>5</v>
      </c>
      <c r="AB23" s="22">
        <f>SUM(TabVMAZURE[[#This Row],[Coût estimé 
VM / mois]]+TabVMAZURE[[#This Row],[Coût estimé 
Disk Total / mois]]+TabVMAZURE[[#This Row],[ip/dns/CS …]])</f>
        <v>14.602400000000001</v>
      </c>
      <c r="AC23" s="22">
        <f>SUM(TabVMAZURE[[#This Row],[Coût estimé 
VM / mois]]+TabVMAZURE[[#This Row],[Coût estimé 
Disk + sauvegarde Total / mois]]+TabVMAZURE[[#This Row],[ip/dns/CS …]])</f>
        <v>16.032800000000002</v>
      </c>
    </row>
    <row r="24" spans="1:29" x14ac:dyDescent="0.25">
      <c r="A24" s="44" t="s">
        <v>97</v>
      </c>
      <c r="B24" s="52" t="s">
        <v>96</v>
      </c>
      <c r="C24" t="s">
        <v>225</v>
      </c>
      <c r="D24" t="s">
        <v>219</v>
      </c>
      <c r="E24" t="s">
        <v>223</v>
      </c>
      <c r="F24" t="s">
        <v>218</v>
      </c>
      <c r="G24" t="s">
        <v>218</v>
      </c>
      <c r="H24" t="s">
        <v>218</v>
      </c>
      <c r="I24" s="17">
        <v>0.33333333333333331</v>
      </c>
      <c r="J24" s="17">
        <v>0.79166666666666663</v>
      </c>
      <c r="K24" s="22">
        <f>(((TabVMAZURE[[#This Row],[Auto Stop]]-INT(TabVMAZURE[[#This Row],[Auto Stop]]))*24)-((TabVMAZURE[[#This Row],[Auto Start]]-INT(TabVMAZURE[[#This Row],[Auto Start]]))*24))</f>
        <v>11</v>
      </c>
      <c r="L24" s="22">
        <v>20</v>
      </c>
      <c r="M24" s="22">
        <f>TabVMAZURE[[#This Row],[Activité 
par jours]]*TabVMAZURE[[#This Row],[Jours / Mois]]</f>
        <v>220</v>
      </c>
      <c r="N24" s="22">
        <f>INDEX(ListeVMAzureCoûts,MATCH(TabVMAZURE[[#This Row],[VMAzureSize]],ListeVMAzureSize,0),MATCH(TabVMAZURE[[#This Row],[Système]],ListeSystèmes,0))</f>
        <v>2.53E-2</v>
      </c>
      <c r="O24" s="22">
        <f>SUM((TabVMAZURE[[#This Row],[Activité 
par mois]]*TabVMAZURE[[#This Row],[Coût horaire VM]])+(TabVMAZURE[[#This Row],[Activité 
par mois]]*0.01717))</f>
        <v>9.343399999999999</v>
      </c>
      <c r="P24" s="22">
        <f>INDEX(TabVMAzureDisk[Coût / mois],MATCH(TabVMAZURE[[#This Row],[VMAzureDisk]],TabVMAzureDisk[VMAzureDisk],0))</f>
        <v>5.5010000000000003</v>
      </c>
      <c r="Q24" s="22">
        <f>INDEX(TabVMAzureDisk[Coût / mois Sauvegarde],MATCH(TabVMAZURE[[#This Row],[VMAzureDisk]],TabVMAzureDisk[VMAzureDisk],0))</f>
        <v>5.7215999999999996</v>
      </c>
      <c r="R24" s="22">
        <f>INDEX(TabVMAzureDisk[Coût / mois],MATCH(TabVMAZURE[[#This Row],[VMAzureDisk2]],TabVMAzureDisk[VMAzureDisk],0))</f>
        <v>0</v>
      </c>
      <c r="S24" s="22">
        <f>INDEX(TabVMAzureDisk[Coût / mois Sauvegarde],MATCH(TabVMAZURE[[#This Row],[VMAzureDisk2]],TabVMAzureDisk[VMAzureDisk],0))</f>
        <v>0</v>
      </c>
      <c r="T24" s="22">
        <f>INDEX(TabVMAzureDisk[Coût / mois],MATCH(TabVMAZURE[[#This Row],[VMAzureDisk3]],TabVMAzureDisk[VMAzureDisk],0))</f>
        <v>0</v>
      </c>
      <c r="U24" s="22">
        <f>INDEX(TabVMAzureDisk[Coût / mois Sauvegarde],MATCH(TabVMAZURE[[#This Row],[VMAzureDisk3]],TabVMAzureDisk[VMAzureDisk],0))</f>
        <v>0</v>
      </c>
      <c r="V24" s="22">
        <f>INDEX(TabVMAzureDisk[Coût / mois],MATCH(TabVMAZURE[[#This Row],[VMAzureDisk4]],TabVMAzureDisk[VMAzureDisk],0))</f>
        <v>0</v>
      </c>
      <c r="W24" s="22">
        <f>INDEX(TabVMAzureDisk[Coût / mois Sauvegarde],MATCH(TabVMAZURE[[#This Row],[VMAzureDisk4]],TabVMAzureDisk[VMAzureDisk],0))</f>
        <v>0</v>
      </c>
      <c r="X24" s="22">
        <f>SUM(TabVMAZURE[[#This Row],[Coût estimé 
Disk1 / mois]]+TabVMAZURE[[#This Row],[Coût estimé 
Disk2 / mois]]+TabVMAZURE[[#This Row],[Coût estimé 
Disk3 / mois]]+TabVMAZURE[[#This Row],[Coût estimé 
Disk4 / mois]])</f>
        <v>5.5010000000000003</v>
      </c>
      <c r="Y24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5.7215999999999996</v>
      </c>
      <c r="Z24" s="22">
        <f>SUM(TabVMAZURE[[#This Row],[Coût estimé 
Disk Total / mois]]+TabVMAZURE[[#This Row],[Coût estimé 
sauvegarde total / mois]])</f>
        <v>11.2226</v>
      </c>
      <c r="AA24" s="22">
        <v>5</v>
      </c>
      <c r="AB24" s="34">
        <f>SUM(TabVMAZURE[[#This Row],[Coût estimé 
VM / mois]]+TabVMAZURE[[#This Row],[Coût estimé 
Disk Total / mois]]+TabVMAZURE[[#This Row],[ip/dns/CS …]])</f>
        <v>19.8444</v>
      </c>
      <c r="AC24" s="22">
        <f>SUM(TabVMAZURE[[#This Row],[Coût estimé 
VM / mois]]+TabVMAZURE[[#This Row],[Coût estimé 
Disk + sauvegarde Total / mois]]+TabVMAZURE[[#This Row],[ip/dns/CS …]])</f>
        <v>25.565999999999999</v>
      </c>
    </row>
    <row r="25" spans="1:29" x14ac:dyDescent="0.25">
      <c r="A25" s="1" t="s">
        <v>98</v>
      </c>
      <c r="B25" s="52" t="s">
        <v>98</v>
      </c>
      <c r="C25" t="s">
        <v>215</v>
      </c>
      <c r="D25" t="s">
        <v>231</v>
      </c>
      <c r="E25" t="s">
        <v>220</v>
      </c>
      <c r="F25" t="s">
        <v>218</v>
      </c>
      <c r="G25" t="s">
        <v>218</v>
      </c>
      <c r="H25" t="s">
        <v>218</v>
      </c>
      <c r="I25" s="17">
        <v>0.33333333333333331</v>
      </c>
      <c r="J25" s="17">
        <v>0.79166666666666663</v>
      </c>
      <c r="K25" s="22">
        <f>(((TabVMAZURE[[#This Row],[Auto Stop]]-INT(TabVMAZURE[[#This Row],[Auto Stop]]))*24)-((TabVMAZURE[[#This Row],[Auto Start]]-INT(TabVMAZURE[[#This Row],[Auto Start]]))*24))</f>
        <v>11</v>
      </c>
      <c r="L25" s="22">
        <v>20</v>
      </c>
      <c r="M25" s="22">
        <f>TabVMAZURE[[#This Row],[Activité 
par jours]]*TabVMAZURE[[#This Row],[Jours / Mois]]</f>
        <v>220</v>
      </c>
      <c r="N25" s="22">
        <f>INDEX(ListeVMAzureCoûts,MATCH(TabVMAZURE[[#This Row],[VMAzureSize]],ListeVMAzureSize,0),MATCH(TabVMAZURE[[#This Row],[Système]],ListeSystèmes,0))</f>
        <v>7.9699999999999993E-2</v>
      </c>
      <c r="O25" s="22">
        <f>SUM((TabVMAZURE[[#This Row],[Activité 
par mois]]*TabVMAZURE[[#This Row],[Coût horaire VM]])+(TabVMAZURE[[#This Row],[Activité 
par mois]]*0.01717))</f>
        <v>21.311399999999999</v>
      </c>
      <c r="P25" s="22">
        <f>INDEX(TabVMAzureDisk[Coût / mois],MATCH(TabVMAZURE[[#This Row],[VMAzureDisk]],TabVMAzureDisk[VMAzureDisk],0))</f>
        <v>1.425</v>
      </c>
      <c r="Q25" s="22">
        <f>INDEX(TabVMAzureDisk[Coût / mois Sauvegarde],MATCH(TabVMAZURE[[#This Row],[VMAzureDisk]],TabVMAzureDisk[VMAzureDisk],0))</f>
        <v>1.4303999999999999</v>
      </c>
      <c r="R25" s="22">
        <f>INDEX(TabVMAzureDisk[Coût / mois],MATCH(TabVMAZURE[[#This Row],[VMAzureDisk2]],TabVMAzureDisk[VMAzureDisk],0))</f>
        <v>0</v>
      </c>
      <c r="S25" s="22">
        <f>INDEX(TabVMAzureDisk[Coût / mois Sauvegarde],MATCH(TabVMAZURE[[#This Row],[VMAzureDisk2]],TabVMAzureDisk[VMAzureDisk],0))</f>
        <v>0</v>
      </c>
      <c r="T25" s="22">
        <f>INDEX(TabVMAzureDisk[Coût / mois],MATCH(TabVMAZURE[[#This Row],[VMAzureDisk3]],TabVMAzureDisk[VMAzureDisk],0))</f>
        <v>0</v>
      </c>
      <c r="U25" s="22">
        <f>INDEX(TabVMAzureDisk[Coût / mois Sauvegarde],MATCH(TabVMAZURE[[#This Row],[VMAzureDisk3]],TabVMAzureDisk[VMAzureDisk],0))</f>
        <v>0</v>
      </c>
      <c r="V25" s="22">
        <f>INDEX(TabVMAzureDisk[Coût / mois],MATCH(TabVMAZURE[[#This Row],[VMAzureDisk4]],TabVMAzureDisk[VMAzureDisk],0))</f>
        <v>0</v>
      </c>
      <c r="W25" s="22">
        <f>INDEX(TabVMAzureDisk[Coût / mois Sauvegarde],MATCH(TabVMAZURE[[#This Row],[VMAzureDisk4]],TabVMAzureDisk[VMAzureDisk],0))</f>
        <v>0</v>
      </c>
      <c r="X25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Y25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Z25" s="22">
        <f>SUM(TabVMAZURE[[#This Row],[Coût estimé 
Disk Total / mois]]+TabVMAZURE[[#This Row],[Coût estimé 
sauvegarde total / mois]])</f>
        <v>2.8553999999999999</v>
      </c>
      <c r="AA25" s="22">
        <v>5</v>
      </c>
      <c r="AB25" s="34">
        <f>SUM(TabVMAZURE[[#This Row],[Coût estimé 
VM / mois]]+TabVMAZURE[[#This Row],[Coût estimé 
Disk Total / mois]]+TabVMAZURE[[#This Row],[ip/dns/CS …]])</f>
        <v>27.7364</v>
      </c>
      <c r="AC25" s="22">
        <f>SUM(TabVMAZURE[[#This Row],[Coût estimé 
VM / mois]]+TabVMAZURE[[#This Row],[Coût estimé 
Disk + sauvegarde Total / mois]]+TabVMAZURE[[#This Row],[ip/dns/CS …]])</f>
        <v>29.166799999999999</v>
      </c>
    </row>
    <row r="26" spans="1:29" x14ac:dyDescent="0.25">
      <c r="A26" t="s">
        <v>429</v>
      </c>
      <c r="B26" s="19"/>
      <c r="C26" t="s">
        <v>215</v>
      </c>
      <c r="D26" t="s">
        <v>229</v>
      </c>
      <c r="E26" t="s">
        <v>220</v>
      </c>
      <c r="F26" t="s">
        <v>218</v>
      </c>
      <c r="G26" t="s">
        <v>218</v>
      </c>
      <c r="H26" t="s">
        <v>218</v>
      </c>
      <c r="I26" s="17">
        <v>0.33333333333333331</v>
      </c>
      <c r="J26" s="17">
        <v>0.79166666666666663</v>
      </c>
      <c r="K26" s="22">
        <f>(((TabVMAZURE[[#This Row],[Auto Stop]]-INT(TabVMAZURE[[#This Row],[Auto Stop]]))*24)-((TabVMAZURE[[#This Row],[Auto Start]]-INT(TabVMAZURE[[#This Row],[Auto Start]]))*24))</f>
        <v>11</v>
      </c>
      <c r="L26" s="22">
        <v>20</v>
      </c>
      <c r="M26" s="22">
        <f>TabVMAZURE[[#This Row],[Activité 
par jours]]*TabVMAZURE[[#This Row],[Jours / Mois]]</f>
        <v>220</v>
      </c>
      <c r="N26" s="22">
        <f>INDEX(ListeVMAzureCoûts,MATCH(TabVMAZURE[[#This Row],[VMAzureSize]],ListeVMAzureSize,0),MATCH(TabVMAZURE[[#This Row],[Système]],ListeSystèmes,0))</f>
        <v>0.15939999999999999</v>
      </c>
      <c r="O26" s="22">
        <f>SUM((TabVMAZURE[[#This Row],[Activité 
par mois]]*TabVMAZURE[[#This Row],[Coût horaire VM]])+(TabVMAZURE[[#This Row],[Activité 
par mois]]*0.01717))</f>
        <v>38.845399999999998</v>
      </c>
      <c r="P26" s="22">
        <f>INDEX(TabVMAzureDisk[Coût / mois],MATCH(TabVMAZURE[[#This Row],[VMAzureDisk]],TabVMAzureDisk[VMAzureDisk],0))</f>
        <v>1.425</v>
      </c>
      <c r="Q26" s="22">
        <f>INDEX(TabVMAzureDisk[Coût / mois Sauvegarde],MATCH(TabVMAZURE[[#This Row],[VMAzureDisk]],TabVMAzureDisk[VMAzureDisk],0))</f>
        <v>1.4303999999999999</v>
      </c>
      <c r="R26" s="22">
        <f>INDEX(TabVMAzureDisk[Coût / mois],MATCH(TabVMAZURE[[#This Row],[VMAzureDisk2]],TabVMAzureDisk[VMAzureDisk],0))</f>
        <v>0</v>
      </c>
      <c r="S26" s="22">
        <f>INDEX(TabVMAzureDisk[Coût / mois Sauvegarde],MATCH(TabVMAZURE[[#This Row],[VMAzureDisk2]],TabVMAzureDisk[VMAzureDisk],0))</f>
        <v>0</v>
      </c>
      <c r="T26" s="22">
        <f>INDEX(TabVMAzureDisk[Coût / mois],MATCH(TabVMAZURE[[#This Row],[VMAzureDisk3]],TabVMAzureDisk[VMAzureDisk],0))</f>
        <v>0</v>
      </c>
      <c r="U26" s="22">
        <f>INDEX(TabVMAzureDisk[Coût / mois Sauvegarde],MATCH(TabVMAZURE[[#This Row],[VMAzureDisk3]],TabVMAzureDisk[VMAzureDisk],0))</f>
        <v>0</v>
      </c>
      <c r="V26" s="22">
        <f>INDEX(TabVMAzureDisk[Coût / mois],MATCH(TabVMAZURE[[#This Row],[VMAzureDisk4]],TabVMAzureDisk[VMAzureDisk],0))</f>
        <v>0</v>
      </c>
      <c r="W26" s="22">
        <f>INDEX(TabVMAzureDisk[Coût / mois Sauvegarde],MATCH(TabVMAZURE[[#This Row],[VMAzureDisk4]],TabVMAzureDisk[VMAzureDisk],0))</f>
        <v>0</v>
      </c>
      <c r="X26" s="22">
        <f>SUM(TabVMAZURE[[#This Row],[Coût estimé 
Disk1 / mois]]+TabVMAZURE[[#This Row],[Coût estimé 
Disk2 / mois]]+TabVMAZURE[[#This Row],[Coût estimé 
Disk3 / mois]]+TabVMAZURE[[#This Row],[Coût estimé 
Disk4 / mois]])</f>
        <v>1.425</v>
      </c>
      <c r="Y26" s="22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1.4303999999999999</v>
      </c>
      <c r="Z26" s="22">
        <f>SUM(TabVMAZURE[[#This Row],[Coût estimé 
Disk Total / mois]]+TabVMAZURE[[#This Row],[Coût estimé 
sauvegarde total / mois]])</f>
        <v>2.8553999999999999</v>
      </c>
      <c r="AA26" s="22">
        <v>5</v>
      </c>
      <c r="AB26" s="34">
        <f>SUM(TabVMAZURE[[#This Row],[Coût estimé 
VM / mois]]+TabVMAZURE[[#This Row],[Coût estimé 
Disk Total / mois]]+TabVMAZURE[[#This Row],[ip/dns/CS …]])</f>
        <v>45.270399999999995</v>
      </c>
      <c r="AC26" s="22">
        <f>SUM(TabVMAZURE[[#This Row],[Coût estimé 
VM / mois]]+TabVMAZURE[[#This Row],[Coût estimé 
Disk + sauvegarde Total / mois]]+TabVMAZURE[[#This Row],[ip/dns/CS …]])</f>
        <v>46.700800000000001</v>
      </c>
    </row>
    <row r="27" spans="1:29" x14ac:dyDescent="0.25">
      <c r="A27" t="s">
        <v>430</v>
      </c>
      <c r="B27" s="19"/>
      <c r="C27" t="s">
        <v>215</v>
      </c>
      <c r="I27" s="17"/>
      <c r="J27" s="17"/>
      <c r="K27" s="17">
        <f>(((TabVMAZURE[[#This Row],[Auto Stop]]-INT(TabVMAZURE[[#This Row],[Auto Stop]]))*24)-((TabVMAZURE[[#This Row],[Auto Start]]-INT(TabVMAZURE[[#This Row],[Auto Start]]))*24))</f>
        <v>0</v>
      </c>
      <c r="L27" s="22"/>
      <c r="M27" s="22">
        <f>TabVMAZURE[[#This Row],[Activité 
par jours]]*TabVMAZURE[[#This Row],[Jours / Mois]]</f>
        <v>0</v>
      </c>
      <c r="N27" s="22" t="e">
        <f>INDEX(ListeVMAzureCoûts,MATCH(TabVMAZURE[[#This Row],[VMAzureSize]],ListeVMAzureSize,0),MATCH(TabVMAZURE[[#This Row],[Système]],ListeSystèmes,0))</f>
        <v>#N/A</v>
      </c>
      <c r="O27" s="22" t="e">
        <f>SUM((TabVMAZURE[[#This Row],[Activité 
par mois]]*TabVMAZURE[[#This Row],[Coût horaire VM]])+(TabVMAZURE[[#This Row],[Activité 
par mois]]*0.01717))</f>
        <v>#N/A</v>
      </c>
      <c r="P27" s="22" t="e">
        <f>INDEX(TabVMAzureDisk[Coût / mois],MATCH(TabVMAZURE[[#This Row],[VMAzureDisk]],TabVMAzureDisk[VMAzureDisk],0))</f>
        <v>#N/A</v>
      </c>
      <c r="Q27" s="22" t="e">
        <f>INDEX(TabVMAzureDisk[Coût / mois Sauvegarde],MATCH(TabVMAZURE[[#This Row],[VMAzureDisk]],TabVMAzureDisk[VMAzureDisk],0))</f>
        <v>#N/A</v>
      </c>
      <c r="R27" s="22" t="e">
        <f>INDEX(TabVMAzureDisk[Coût / mois],MATCH(TabVMAZURE[[#This Row],[VMAzureDisk2]],TabVMAzureDisk[VMAzureDisk],0))</f>
        <v>#N/A</v>
      </c>
      <c r="S27" s="22" t="e">
        <f>INDEX(TabVMAzureDisk[Coût / mois Sauvegarde],MATCH(TabVMAZURE[[#This Row],[VMAzureDisk2]],TabVMAzureDisk[VMAzureDisk],0))</f>
        <v>#N/A</v>
      </c>
      <c r="T27" s="22" t="e">
        <f>INDEX(TabVMAzureDisk[Coût / mois],MATCH(TabVMAZURE[[#This Row],[VMAzureDisk3]],TabVMAzureDisk[VMAzureDisk],0))</f>
        <v>#N/A</v>
      </c>
      <c r="U27" s="22" t="e">
        <f>INDEX(TabVMAzureDisk[Coût / mois Sauvegarde],MATCH(TabVMAZURE[[#This Row],[VMAzureDisk3]],TabVMAzureDisk[VMAzureDisk],0))</f>
        <v>#N/A</v>
      </c>
      <c r="V27" s="22" t="e">
        <f>INDEX(TabVMAzureDisk[Coût / mois],MATCH(TabVMAZURE[[#This Row],[VMAzureDisk4]],TabVMAzureDisk[VMAzureDisk],0))</f>
        <v>#N/A</v>
      </c>
      <c r="W27" s="22" t="e">
        <f>INDEX(TabVMAzureDisk[Coût / mois Sauvegarde],MATCH(TabVMAZURE[[#This Row],[VMAzureDisk4]],TabVMAzureDisk[VMAzureDisk],0))</f>
        <v>#N/A</v>
      </c>
      <c r="X27" s="22" t="e">
        <f>SUM(TabVMAZURE[[#This Row],[Coût estimé 
Disk1 / mois]]+TabVMAZURE[[#This Row],[Coût estimé 
Disk2 / mois]]+TabVMAZURE[[#This Row],[Coût estimé 
Disk3 / mois]]+TabVMAZURE[[#This Row],[Coût estimé 
Disk4 / mois]])</f>
        <v>#N/A</v>
      </c>
      <c r="Y27" s="22" t="e">
        <f>SUM(TabVMAZURE[[#This Row],[Coût estimé 
sauvegarde
Disk1 / mois]]+TabVMAZURE[[#This Row],[Coût estimé 
sauvegarde
Disk2 / mois]]+TabVMAZURE[[#This Row],[Coût estimé 
sauvegarde
Disk3 / mois]]+TabVMAZURE[[#This Row],[Coût estimé 
sauvegarde
Disk4 / mois]])</f>
        <v>#N/A</v>
      </c>
      <c r="Z27" s="22" t="e">
        <f>SUM(TabVMAZURE[[#This Row],[Coût estimé 
Disk Total / mois]]+TabVMAZURE[[#This Row],[Coût estimé 
sauvegarde total / mois]])</f>
        <v>#N/A</v>
      </c>
      <c r="AA27" s="22"/>
      <c r="AB27" s="34" t="e">
        <f>SUM(TabVMAZURE[[#This Row],[Coût estimé 
VM / mois]]+TabVMAZURE[[#This Row],[Coût estimé 
Disk Total / mois]]+TabVMAZURE[[#This Row],[ip/dns/CS …]])</f>
        <v>#N/A</v>
      </c>
      <c r="AC27" s="22" t="e">
        <f>SUM(TabVMAZURE[[#This Row],[Coût estimé 
VM / mois]]+TabVMAZURE[[#This Row],[Coût estimé 
Disk + sauvegarde Total / mois]]+TabVMAZURE[[#This Row],[ip/dns/CS …]])</f>
        <v>#N/A</v>
      </c>
    </row>
  </sheetData>
  <phoneticPr fontId="5" type="noConversion"/>
  <dataValidations count="4">
    <dataValidation type="list" allowBlank="1" showInputMessage="1" showErrorMessage="1" sqref="E2:H7 F8:H18 E19:H21" xr:uid="{00000000-0002-0000-0300-000001000000}">
      <formula1>ListeVMAzureDisk</formula1>
    </dataValidation>
    <dataValidation type="list" allowBlank="1" showInputMessage="1" showErrorMessage="1" sqref="D2:D27" xr:uid="{00000000-0002-0000-0300-000000000000}">
      <formula1>ListeVMAzureSize</formula1>
    </dataValidation>
    <dataValidation type="list" allowBlank="1" showInputMessage="1" showErrorMessage="1" sqref="C2:C27" xr:uid="{00000000-0002-0000-0300-000002000000}">
      <formula1>ListeSystèmes</formula1>
    </dataValidation>
    <dataValidation type="list" allowBlank="1" showInputMessage="1" showErrorMessage="1" sqref="B2:B27" xr:uid="{0F6F2494-0665-439A-B3D0-4219DFC0F2BC}">
      <formula1>ListeProjets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3000000}">
          <x14:formula1>
            <xm:f>VMAzureDisk!$A:$A</xm:f>
          </x14:formula1>
          <xm:sqref>E8:E18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AB31"/>
  <sheetViews>
    <sheetView topLeftCell="E1" workbookViewId="0">
      <selection activeCell="AA2" sqref="AA2"/>
    </sheetView>
  </sheetViews>
  <sheetFormatPr baseColWidth="10" defaultColWidth="11.42578125" defaultRowHeight="15" x14ac:dyDescent="0.25"/>
  <cols>
    <col min="1" max="1" width="23.42578125" bestFit="1" customWidth="1"/>
    <col min="2" max="2" width="18.28515625" bestFit="1" customWidth="1"/>
    <col min="3" max="3" width="15.140625" bestFit="1" customWidth="1"/>
    <col min="4" max="4" width="20.85546875" bestFit="1" customWidth="1"/>
    <col min="5" max="5" width="22" bestFit="1" customWidth="1"/>
    <col min="6" max="6" width="16.28515625" bestFit="1" customWidth="1"/>
    <col min="7" max="7" width="19.85546875" bestFit="1" customWidth="1"/>
    <col min="8" max="8" width="12.140625" bestFit="1" customWidth="1"/>
    <col min="9" max="9" width="12" bestFit="1" customWidth="1"/>
    <col min="10" max="10" width="11" style="22" bestFit="1" customWidth="1"/>
    <col min="11" max="11" width="9.140625" bestFit="1" customWidth="1"/>
    <col min="12" max="12" width="10.85546875" bestFit="1" customWidth="1"/>
    <col min="13" max="13" width="17.85546875" bestFit="1" customWidth="1"/>
    <col min="14" max="15" width="14" bestFit="1" customWidth="1"/>
    <col min="16" max="16" width="14" customWidth="1"/>
    <col min="17" max="17" width="14" bestFit="1" customWidth="1"/>
    <col min="18" max="18" width="14" customWidth="1"/>
    <col min="19" max="19" width="14" bestFit="1" customWidth="1"/>
    <col min="20" max="20" width="14" customWidth="1"/>
    <col min="21" max="21" width="14" bestFit="1" customWidth="1"/>
    <col min="22" max="22" width="14" customWidth="1"/>
    <col min="23" max="23" width="17.85546875" bestFit="1" customWidth="1"/>
    <col min="24" max="24" width="17.85546875" customWidth="1"/>
    <col min="25" max="26" width="14" bestFit="1" customWidth="1"/>
    <col min="27" max="27" width="16.28515625" bestFit="1" customWidth="1"/>
    <col min="28" max="28" width="12.42578125" customWidth="1"/>
  </cols>
  <sheetData>
    <row r="1" spans="1:28" ht="60" x14ac:dyDescent="0.25">
      <c r="A1" s="2" t="s">
        <v>130</v>
      </c>
      <c r="B1" s="3" t="s">
        <v>188</v>
      </c>
      <c r="C1" s="3" t="s">
        <v>189</v>
      </c>
      <c r="D1" s="3" t="s">
        <v>190</v>
      </c>
      <c r="E1" s="3" t="s">
        <v>191</v>
      </c>
      <c r="F1" s="3" t="s">
        <v>192</v>
      </c>
      <c r="G1" s="3" t="s">
        <v>193</v>
      </c>
      <c r="H1" s="2" t="s">
        <v>194</v>
      </c>
      <c r="I1" s="2" t="s">
        <v>195</v>
      </c>
      <c r="J1" s="42" t="s">
        <v>196</v>
      </c>
      <c r="K1" s="29" t="s">
        <v>197</v>
      </c>
      <c r="L1" s="28" t="s">
        <v>198</v>
      </c>
      <c r="M1" s="28" t="s">
        <v>199</v>
      </c>
      <c r="N1" s="28" t="s">
        <v>200</v>
      </c>
      <c r="O1" s="28" t="s">
        <v>201</v>
      </c>
      <c r="P1" s="28" t="s">
        <v>202</v>
      </c>
      <c r="Q1" s="28" t="s">
        <v>203</v>
      </c>
      <c r="R1" s="28" t="s">
        <v>204</v>
      </c>
      <c r="S1" s="28" t="s">
        <v>205</v>
      </c>
      <c r="T1" s="28" t="s">
        <v>206</v>
      </c>
      <c r="U1" s="28" t="s">
        <v>207</v>
      </c>
      <c r="V1" s="28" t="s">
        <v>208</v>
      </c>
      <c r="W1" s="28" t="s">
        <v>209</v>
      </c>
      <c r="X1" s="28" t="s">
        <v>236</v>
      </c>
      <c r="Y1" s="28" t="s">
        <v>213</v>
      </c>
      <c r="Z1" s="28" t="s">
        <v>214</v>
      </c>
      <c r="AA1" s="15" t="s">
        <v>237</v>
      </c>
      <c r="AB1" s="28" t="s">
        <v>238</v>
      </c>
    </row>
    <row r="2" spans="1:28" x14ac:dyDescent="0.25">
      <c r="A2" t="s">
        <v>239</v>
      </c>
      <c r="B2" t="s">
        <v>225</v>
      </c>
      <c r="C2" t="s">
        <v>228</v>
      </c>
      <c r="D2" t="s">
        <v>223</v>
      </c>
      <c r="E2" t="s">
        <v>218</v>
      </c>
      <c r="F2" t="s">
        <v>218</v>
      </c>
      <c r="G2" t="s">
        <v>218</v>
      </c>
      <c r="H2" s="17">
        <v>0.33333333333333331</v>
      </c>
      <c r="I2" s="17">
        <v>0.79166666666666663</v>
      </c>
      <c r="J2" s="22">
        <f>(((TabVMAZURE11[[#This Row],[Auto Stop]]-INT(TabVMAZURE11[[#This Row],[Auto Stop]]))*24)-((TabVMAZURE11[[#This Row],[Auto Start]]-INT(TabVMAZURE11[[#This Row],[Auto Start]]))*24))</f>
        <v>11</v>
      </c>
      <c r="K2" s="22">
        <v>20</v>
      </c>
      <c r="L2" s="22">
        <f>TabVMAZURE11[[#This Row],[Activité 
par jours]]*TabVMAZURE11[[#This Row],[Jours / Mois]]</f>
        <v>220</v>
      </c>
      <c r="M2" s="22">
        <f>INDEX(ListeVMAzureCoûts,MATCH(TabVMAZURE11[[#This Row],[VMAzureSize]],ListeVMAzureSize,0),MATCH(TabVMAZURE11[[#This Row],[Système]],ListeSystèmes,0))</f>
        <v>5.0599999999999999E-2</v>
      </c>
      <c r="N2" s="22">
        <f>TabVMAZURE11[[#This Row],[Activité 
par mois]]*TabVMAZURE11[[#This Row],[Coût horaire VM]]</f>
        <v>11.132</v>
      </c>
      <c r="O2" s="22">
        <f>INDEX(TabVMAzureDisk[Coût / mois],MATCH(TabVMAZURE11[[#This Row],[VMAzureDisk]],TabVMAzureDisk[VMAzureDisk],0))</f>
        <v>5.5010000000000003</v>
      </c>
      <c r="P2" s="22">
        <f>INDEX(TabVMAzureDisk[Coût / mois Sauvegarde],MATCH(TabVMAZURE11[[#This Row],[VMAzureDisk]],TabVMAzureDisk[VMAzureDisk],0))</f>
        <v>5.7215999999999996</v>
      </c>
      <c r="Q2" s="22">
        <f>INDEX(TabVMAzureDisk[Coût / mois],MATCH(TabVMAZURE11[[#This Row],[VMAzureDisk2]],TabVMAzureDisk[VMAzureDisk],0))</f>
        <v>0</v>
      </c>
      <c r="R2" s="22">
        <f>INDEX(TabVMAzureDisk[Coût / mois Sauvegarde],MATCH(TabVMAZURE11[[#This Row],[VMAzureDisk2]],TabVMAzureDisk[VMAzureDisk],0))</f>
        <v>0</v>
      </c>
      <c r="S2" s="22">
        <f>INDEX(TabVMAzureDisk[Coût / mois],MATCH(TabVMAZURE11[[#This Row],[VMAzureDisk3]],TabVMAzureDisk[VMAzureDisk],0))</f>
        <v>0</v>
      </c>
      <c r="T2" s="22">
        <f>INDEX(TabVMAzureDisk[Coût / mois Sauvegarde],MATCH(TabVMAZURE11[[#This Row],[VMAzureDisk3]],TabVMAzureDisk[VMAzureDisk],0))</f>
        <v>0</v>
      </c>
      <c r="U2" s="22">
        <f>INDEX(TabVMAzureDisk[Coût / mois],MATCH(TabVMAZURE11[[#This Row],[VMAzureDisk4]],TabVMAzureDisk[VMAzureDisk],0))</f>
        <v>0</v>
      </c>
      <c r="V2" s="22">
        <f>INDEX(TabVMAzureDisk[Coût / mois Sauvegarde],MATCH(TabVMAZURE11[[#This Row],[VMAzureDisk4]],TabVMAzureDisk[VMAzureDisk],0))</f>
        <v>0</v>
      </c>
      <c r="W2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2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2" s="34">
        <f>SUM(TabVMAZURE11[[#This Row],[Coût estimé 
VM / mois]],TabVMAZURE11[[#This Row],[Coût estimé 
Disk Total / mois]])</f>
        <v>16.632999999999999</v>
      </c>
      <c r="Z2" s="34">
        <f>TabVMAZURE11[[#This Row],[Coût estimé 
total / mois
sans
sauvegarde]]+TabVMAZURE11[[#This Row],[Coût estimé 
sauvegarde
Disk Total / mois]]</f>
        <v>22.354599999999998</v>
      </c>
      <c r="AA2">
        <v>29.4</v>
      </c>
      <c r="AB2" s="34" t="str">
        <f>IF(TabVMAZURE11[[#This Row],[Coût estimé 
total / mois
avec 1 
sauvegarde]]&lt;TabVMAZURE11[[#This Row],[Coût OT]],"OUI","NON")</f>
        <v>OUI</v>
      </c>
    </row>
    <row r="3" spans="1:28" x14ac:dyDescent="0.25">
      <c r="A3" t="s">
        <v>240</v>
      </c>
      <c r="B3" t="s">
        <v>225</v>
      </c>
      <c r="C3" t="s">
        <v>219</v>
      </c>
      <c r="D3" t="s">
        <v>223</v>
      </c>
      <c r="E3" t="s">
        <v>218</v>
      </c>
      <c r="F3" t="s">
        <v>218</v>
      </c>
      <c r="G3" t="s">
        <v>218</v>
      </c>
      <c r="H3" s="17">
        <v>0.33333333333333331</v>
      </c>
      <c r="I3" s="17">
        <v>0.79166666666666663</v>
      </c>
      <c r="J3" s="22">
        <f>(((TabVMAZURE11[[#This Row],[Auto Stop]]-INT(TabVMAZURE11[[#This Row],[Auto Stop]]))*24)-((TabVMAZURE11[[#This Row],[Auto Start]]-INT(TabVMAZURE11[[#This Row],[Auto Start]]))*24))</f>
        <v>11</v>
      </c>
      <c r="K3" s="22">
        <v>20</v>
      </c>
      <c r="L3" s="22">
        <f>TabVMAZURE11[[#This Row],[Activité 
par jours]]*TabVMAZURE11[[#This Row],[Jours / Mois]]</f>
        <v>220</v>
      </c>
      <c r="M3" s="22">
        <f>INDEX(ListeVMAzureCoûts,MATCH(TabVMAZURE11[[#This Row],[VMAzureSize]],ListeVMAzureSize,0),MATCH(TabVMAZURE11[[#This Row],[Système]],ListeSystèmes,0))</f>
        <v>2.53E-2</v>
      </c>
      <c r="N3" s="22">
        <f>TabVMAZURE11[[#This Row],[Activité 
par mois]]*TabVMAZURE11[[#This Row],[Coût horaire VM]]</f>
        <v>5.5659999999999998</v>
      </c>
      <c r="O3" s="22">
        <f>INDEX(TabVMAzureDisk[Coût / mois],MATCH(TabVMAZURE11[[#This Row],[VMAzureDisk]],TabVMAzureDisk[VMAzureDisk],0))</f>
        <v>5.5010000000000003</v>
      </c>
      <c r="P3" s="22">
        <f>INDEX(TabVMAzureDisk[Coût / mois Sauvegarde],MATCH(TabVMAZURE11[[#This Row],[VMAzureDisk]],TabVMAzureDisk[VMAzureDisk],0))</f>
        <v>5.7215999999999996</v>
      </c>
      <c r="Q3" s="22">
        <f>INDEX(TabVMAzureDisk[Coût / mois],MATCH(TabVMAZURE11[[#This Row],[VMAzureDisk2]],TabVMAzureDisk[VMAzureDisk],0))</f>
        <v>0</v>
      </c>
      <c r="R3" s="22">
        <f>INDEX(TabVMAzureDisk[Coût / mois Sauvegarde],MATCH(TabVMAZURE11[[#This Row],[VMAzureDisk2]],TabVMAzureDisk[VMAzureDisk],0))</f>
        <v>0</v>
      </c>
      <c r="S3" s="22">
        <f>INDEX(TabVMAzureDisk[Coût / mois],MATCH(TabVMAZURE11[[#This Row],[VMAzureDisk3]],TabVMAzureDisk[VMAzureDisk],0))</f>
        <v>0</v>
      </c>
      <c r="T3" s="22">
        <f>INDEX(TabVMAzureDisk[Coût / mois Sauvegarde],MATCH(TabVMAZURE11[[#This Row],[VMAzureDisk3]],TabVMAzureDisk[VMAzureDisk],0))</f>
        <v>0</v>
      </c>
      <c r="U3" s="22">
        <f>INDEX(TabVMAzureDisk[Coût / mois],MATCH(TabVMAZURE11[[#This Row],[VMAzureDisk4]],TabVMAzureDisk[VMAzureDisk],0))</f>
        <v>0</v>
      </c>
      <c r="V3" s="22">
        <f>INDEX(TabVMAzureDisk[Coût / mois Sauvegarde],MATCH(TabVMAZURE11[[#This Row],[VMAzureDisk4]],TabVMAzureDisk[VMAzureDisk],0))</f>
        <v>0</v>
      </c>
      <c r="W3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3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3" s="34">
        <f>SUM(TabVMAZURE11[[#This Row],[Coût estimé 
VM / mois]],TabVMAZURE11[[#This Row],[Coût estimé 
Disk Total / mois]])</f>
        <v>11.067</v>
      </c>
      <c r="Z3" s="34">
        <f>TabVMAZURE11[[#This Row],[Coût estimé 
total / mois
sans
sauvegarde]]+TabVMAZURE11[[#This Row],[Coût estimé 
sauvegarde
Disk Total / mois]]</f>
        <v>16.788599999999999</v>
      </c>
      <c r="AA3">
        <v>12.400000000000002</v>
      </c>
      <c r="AB3" s="22" t="str">
        <f>IF(TabVMAZURE11[[#This Row],[Coût estimé 
total / mois
avec 1 
sauvegarde]]&lt;TabVMAZURE11[[#This Row],[Coût OT]],"OUI","NON")</f>
        <v>NON</v>
      </c>
    </row>
    <row r="4" spans="1:28" x14ac:dyDescent="0.25">
      <c r="A4" t="s">
        <v>241</v>
      </c>
      <c r="B4" t="s">
        <v>215</v>
      </c>
      <c r="C4" t="s">
        <v>228</v>
      </c>
      <c r="D4" t="s">
        <v>232</v>
      </c>
      <c r="E4" t="s">
        <v>218</v>
      </c>
      <c r="F4" t="s">
        <v>218</v>
      </c>
      <c r="G4" t="s">
        <v>218</v>
      </c>
      <c r="H4" s="17">
        <v>0.33333333333333331</v>
      </c>
      <c r="I4" s="17">
        <v>0.79166666666666663</v>
      </c>
      <c r="J4" s="22">
        <f>(((TabVMAZURE11[[#This Row],[Auto Stop]]-INT(TabVMAZURE11[[#This Row],[Auto Stop]]))*24)-((TabVMAZURE11[[#This Row],[Auto Start]]-INT(TabVMAZURE11[[#This Row],[Auto Start]]))*24))</f>
        <v>11</v>
      </c>
      <c r="K4" s="22">
        <v>20</v>
      </c>
      <c r="L4" s="22">
        <f>TabVMAZURE11[[#This Row],[Activité 
par jours]]*TabVMAZURE11[[#This Row],[Jours / Mois]]</f>
        <v>220</v>
      </c>
      <c r="M4" s="22">
        <f>INDEX(ListeVMAzureCoûts,MATCH(TabVMAZURE11[[#This Row],[VMAzureSize]],ListeVMAzureSize,0),MATCH(TabVMAZURE11[[#This Row],[Système]],ListeSystèmes,0))</f>
        <v>3.9899999999999998E-2</v>
      </c>
      <c r="N4" s="22">
        <f>TabVMAZURE11[[#This Row],[Activité 
par mois]]*TabVMAZURE11[[#This Row],[Coût horaire VM]]</f>
        <v>8.7779999999999987</v>
      </c>
      <c r="O4" s="22">
        <f>INDEX(TabVMAzureDisk[Coût / mois],MATCH(TabVMAZURE11[[#This Row],[VMAzureDisk]],TabVMAzureDisk[VMAzureDisk],0))</f>
        <v>2.79</v>
      </c>
      <c r="P4" s="22">
        <f>INDEX(TabVMAzureDisk[Coût / mois Sauvegarde],MATCH(TabVMAZURE11[[#This Row],[VMAzureDisk]],TabVMAzureDisk[VMAzureDisk],0))</f>
        <v>2.8607999999999998</v>
      </c>
      <c r="Q4" s="22">
        <f>INDEX(TabVMAzureDisk[Coût / mois],MATCH(TabVMAZURE11[[#This Row],[VMAzureDisk2]],TabVMAzureDisk[VMAzureDisk],0))</f>
        <v>0</v>
      </c>
      <c r="R4" s="22">
        <f>INDEX(TabVMAzureDisk[Coût / mois Sauvegarde],MATCH(TabVMAZURE11[[#This Row],[VMAzureDisk2]],TabVMAzureDisk[VMAzureDisk],0))</f>
        <v>0</v>
      </c>
      <c r="S4" s="22">
        <f>INDEX(TabVMAzureDisk[Coût / mois],MATCH(TabVMAZURE11[[#This Row],[VMAzureDisk3]],TabVMAzureDisk[VMAzureDisk],0))</f>
        <v>0</v>
      </c>
      <c r="T4" s="22">
        <f>INDEX(TabVMAzureDisk[Coût / mois Sauvegarde],MATCH(TabVMAZURE11[[#This Row],[VMAzureDisk3]],TabVMAzureDisk[VMAzureDisk],0))</f>
        <v>0</v>
      </c>
      <c r="U4" s="22">
        <f>INDEX(TabVMAzureDisk[Coût / mois],MATCH(TabVMAZURE11[[#This Row],[VMAzureDisk4]],TabVMAzureDisk[VMAzureDisk],0))</f>
        <v>0</v>
      </c>
      <c r="V4" s="22">
        <f>INDEX(TabVMAzureDisk[Coût / mois Sauvegarde],MATCH(TabVMAZURE11[[#This Row],[VMAzureDisk4]],TabVMAzureDisk[VMAzureDisk],0))</f>
        <v>0</v>
      </c>
      <c r="W4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4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4" s="34">
        <f>SUM(TabVMAZURE11[[#This Row],[Coût estimé 
VM / mois]],TabVMAZURE11[[#This Row],[Coût estimé 
Disk Total / mois]])</f>
        <v>11.567999999999998</v>
      </c>
      <c r="Z4" s="34">
        <f>TabVMAZURE11[[#This Row],[Coût estimé 
total / mois
sans
sauvegarde]]+TabVMAZURE11[[#This Row],[Coût estimé 
sauvegarde
Disk Total / mois]]</f>
        <v>14.428799999999997</v>
      </c>
      <c r="AA4">
        <v>12.400000000000002</v>
      </c>
      <c r="AB4" s="22" t="str">
        <f>IF(TabVMAZURE11[[#This Row],[Coût estimé 
total / mois
avec 1 
sauvegarde]]&lt;TabVMAZURE11[[#This Row],[Coût OT]],"OUI","NON")</f>
        <v>NON</v>
      </c>
    </row>
    <row r="5" spans="1:28" x14ac:dyDescent="0.25">
      <c r="A5" t="s">
        <v>242</v>
      </c>
      <c r="B5" t="s">
        <v>215</v>
      </c>
      <c r="C5" t="s">
        <v>219</v>
      </c>
      <c r="D5" t="s">
        <v>220</v>
      </c>
      <c r="E5" t="s">
        <v>218</v>
      </c>
      <c r="F5" t="s">
        <v>218</v>
      </c>
      <c r="G5" t="s">
        <v>218</v>
      </c>
      <c r="H5" s="17">
        <v>0.33333333333333331</v>
      </c>
      <c r="I5" s="17">
        <v>0.79166666666666663</v>
      </c>
      <c r="J5" s="22">
        <f>(((TabVMAZURE11[[#This Row],[Auto Stop]]-INT(TabVMAZURE11[[#This Row],[Auto Stop]]))*24)-((TabVMAZURE11[[#This Row],[Auto Start]]-INT(TabVMAZURE11[[#This Row],[Auto Start]]))*24))</f>
        <v>11</v>
      </c>
      <c r="K5" s="22">
        <v>20</v>
      </c>
      <c r="L5" s="22">
        <f>TabVMAZURE11[[#This Row],[Activité 
par jours]]*TabVMAZURE11[[#This Row],[Jours / Mois]]</f>
        <v>220</v>
      </c>
      <c r="M5" s="22">
        <f>INDEX(ListeVMAzureCoûts,MATCH(TabVMAZURE11[[#This Row],[VMAzureSize]],ListeVMAzureSize,0),MATCH(TabVMAZURE11[[#This Row],[Système]],ListeSystèmes,0))</f>
        <v>0.02</v>
      </c>
      <c r="N5" s="22">
        <f>TabVMAZURE11[[#This Row],[Activité 
par mois]]*TabVMAZURE11[[#This Row],[Coût horaire VM]]</f>
        <v>4.4000000000000004</v>
      </c>
      <c r="O5" s="22">
        <f>INDEX(TabVMAzureDisk[Coût / mois],MATCH(TabVMAZURE11[[#This Row],[VMAzureDisk]],TabVMAzureDisk[VMAzureDisk],0))</f>
        <v>1.425</v>
      </c>
      <c r="P5" s="22">
        <f>INDEX(TabVMAzureDisk[Coût / mois Sauvegarde],MATCH(TabVMAZURE11[[#This Row],[VMAzureDisk]],TabVMAzureDisk[VMAzureDisk],0))</f>
        <v>1.4303999999999999</v>
      </c>
      <c r="Q5" s="22">
        <f>INDEX(TabVMAzureDisk[Coût / mois],MATCH(TabVMAZURE11[[#This Row],[VMAzureDisk2]],TabVMAzureDisk[VMAzureDisk],0))</f>
        <v>0</v>
      </c>
      <c r="R5" s="22">
        <f>INDEX(TabVMAzureDisk[Coût / mois Sauvegarde],MATCH(TabVMAZURE11[[#This Row],[VMAzureDisk2]],TabVMAzureDisk[VMAzureDisk],0))</f>
        <v>0</v>
      </c>
      <c r="S5" s="22">
        <f>INDEX(TabVMAzureDisk[Coût / mois],MATCH(TabVMAZURE11[[#This Row],[VMAzureDisk3]],TabVMAzureDisk[VMAzureDisk],0))</f>
        <v>0</v>
      </c>
      <c r="T5" s="22">
        <f>INDEX(TabVMAzureDisk[Coût / mois Sauvegarde],MATCH(TabVMAZURE11[[#This Row],[VMAzureDisk3]],TabVMAzureDisk[VMAzureDisk],0))</f>
        <v>0</v>
      </c>
      <c r="U5" s="22">
        <f>INDEX(TabVMAzureDisk[Coût / mois],MATCH(TabVMAZURE11[[#This Row],[VMAzureDisk4]],TabVMAzureDisk[VMAzureDisk],0))</f>
        <v>0</v>
      </c>
      <c r="V5" s="22">
        <f>INDEX(TabVMAzureDisk[Coût / mois Sauvegarde],MATCH(TabVMAZURE11[[#This Row],[VMAzureDisk4]],TabVMAzureDisk[VMAzureDisk],0))</f>
        <v>0</v>
      </c>
      <c r="W5" s="22">
        <f>SUM(TabVMAZURE11[[#This Row],[Coût estimé 
Disk1 / mois]]+TabVMAZURE11[[#This Row],[Coût estimé 
Disk2 / mois]]+TabVMAZURE11[[#This Row],[Coût estimé 
Disk3 / mois]]+TabVMAZURE11[[#This Row],[Coût estimé 
Disk4 / mois]])</f>
        <v>1.425</v>
      </c>
      <c r="X5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1.4303999999999999</v>
      </c>
      <c r="Y5" s="34">
        <f>SUM(TabVMAZURE11[[#This Row],[Coût estimé 
VM / mois]],TabVMAZURE11[[#This Row],[Coût estimé 
Disk Total / mois]])</f>
        <v>5.8250000000000002</v>
      </c>
      <c r="Z5" s="34">
        <f>TabVMAZURE11[[#This Row],[Coût estimé 
total / mois
sans
sauvegarde]]+TabVMAZURE11[[#This Row],[Coût estimé 
sauvegarde
Disk Total / mois]]</f>
        <v>7.2553999999999998</v>
      </c>
      <c r="AA5">
        <v>7.8000000000000007</v>
      </c>
      <c r="AB5" s="22" t="str">
        <f>IF(TabVMAZURE11[[#This Row],[Coût estimé 
total / mois
avec 1 
sauvegarde]]&lt;TabVMAZURE11[[#This Row],[Coût OT]],"OUI","NON")</f>
        <v>OUI</v>
      </c>
    </row>
    <row r="6" spans="1:28" x14ac:dyDescent="0.25">
      <c r="A6" t="s">
        <v>243</v>
      </c>
      <c r="B6" t="s">
        <v>215</v>
      </c>
      <c r="C6" t="s">
        <v>228</v>
      </c>
      <c r="D6" t="s">
        <v>232</v>
      </c>
      <c r="E6" t="s">
        <v>218</v>
      </c>
      <c r="F6" t="s">
        <v>218</v>
      </c>
      <c r="G6" t="s">
        <v>218</v>
      </c>
      <c r="H6" s="17">
        <v>0.33333333333333331</v>
      </c>
      <c r="I6" s="17">
        <v>0.79166666666666663</v>
      </c>
      <c r="J6" s="22">
        <f>(((TabVMAZURE11[[#This Row],[Auto Stop]]-INT(TabVMAZURE11[[#This Row],[Auto Stop]]))*24)-((TabVMAZURE11[[#This Row],[Auto Start]]-INT(TabVMAZURE11[[#This Row],[Auto Start]]))*24))</f>
        <v>11</v>
      </c>
      <c r="K6" s="22">
        <v>20</v>
      </c>
      <c r="L6" s="22">
        <f>TabVMAZURE11[[#This Row],[Activité 
par jours]]*TabVMAZURE11[[#This Row],[Jours / Mois]]</f>
        <v>220</v>
      </c>
      <c r="M6" s="22">
        <f>INDEX(ListeVMAzureCoûts,MATCH(TabVMAZURE11[[#This Row],[VMAzureSize]],ListeVMAzureSize,0),MATCH(TabVMAZURE11[[#This Row],[Système]],ListeSystèmes,0))</f>
        <v>3.9899999999999998E-2</v>
      </c>
      <c r="N6" s="22">
        <f>TabVMAZURE11[[#This Row],[Activité 
par mois]]*TabVMAZURE11[[#This Row],[Coût horaire VM]]</f>
        <v>8.7779999999999987</v>
      </c>
      <c r="O6" s="22">
        <f>INDEX(TabVMAzureDisk[Coût / mois],MATCH(TabVMAZURE11[[#This Row],[VMAzureDisk]],TabVMAzureDisk[VMAzureDisk],0))</f>
        <v>2.79</v>
      </c>
      <c r="P6" s="22">
        <f>INDEX(TabVMAzureDisk[Coût / mois Sauvegarde],MATCH(TabVMAZURE11[[#This Row],[VMAzureDisk]],TabVMAzureDisk[VMAzureDisk],0))</f>
        <v>2.8607999999999998</v>
      </c>
      <c r="Q6" s="22">
        <f>INDEX(TabVMAzureDisk[Coût / mois],MATCH(TabVMAZURE11[[#This Row],[VMAzureDisk2]],TabVMAzureDisk[VMAzureDisk],0))</f>
        <v>0</v>
      </c>
      <c r="R6" s="22">
        <f>INDEX(TabVMAzureDisk[Coût / mois Sauvegarde],MATCH(TabVMAZURE11[[#This Row],[VMAzureDisk2]],TabVMAzureDisk[VMAzureDisk],0))</f>
        <v>0</v>
      </c>
      <c r="S6" s="22">
        <f>INDEX(TabVMAzureDisk[Coût / mois],MATCH(TabVMAZURE11[[#This Row],[VMAzureDisk3]],TabVMAzureDisk[VMAzureDisk],0))</f>
        <v>0</v>
      </c>
      <c r="T6" s="22">
        <f>INDEX(TabVMAzureDisk[Coût / mois Sauvegarde],MATCH(TabVMAZURE11[[#This Row],[VMAzureDisk3]],TabVMAzureDisk[VMAzureDisk],0))</f>
        <v>0</v>
      </c>
      <c r="U6" s="22">
        <f>INDEX(TabVMAzureDisk[Coût / mois],MATCH(TabVMAZURE11[[#This Row],[VMAzureDisk4]],TabVMAzureDisk[VMAzureDisk],0))</f>
        <v>0</v>
      </c>
      <c r="V6" s="22">
        <f>INDEX(TabVMAzureDisk[Coût / mois Sauvegarde],MATCH(TabVMAZURE11[[#This Row],[VMAzureDisk4]],TabVMAzureDisk[VMAzureDisk],0))</f>
        <v>0</v>
      </c>
      <c r="W6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6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6" s="34">
        <f>SUM(TabVMAZURE11[[#This Row],[Coût estimé 
VM / mois]],TabVMAZURE11[[#This Row],[Coût estimé 
Disk Total / mois]])</f>
        <v>11.567999999999998</v>
      </c>
      <c r="Z6" s="34">
        <f>TabVMAZURE11[[#This Row],[Coût estimé 
total / mois
sans
sauvegarde]]+TabVMAZURE11[[#This Row],[Coût estimé 
sauvegarde
Disk Total / mois]]</f>
        <v>14.428799999999997</v>
      </c>
      <c r="AA6">
        <v>15.600000000000001</v>
      </c>
      <c r="AB6" s="22" t="str">
        <f>IF(TabVMAZURE11[[#This Row],[Coût estimé 
total / mois
avec 1 
sauvegarde]]&lt;TabVMAZURE11[[#This Row],[Coût OT]],"OUI","NON")</f>
        <v>OUI</v>
      </c>
    </row>
    <row r="7" spans="1:28" x14ac:dyDescent="0.25">
      <c r="A7" t="s">
        <v>244</v>
      </c>
      <c r="B7" t="s">
        <v>215</v>
      </c>
      <c r="C7" t="s">
        <v>245</v>
      </c>
      <c r="D7" t="s">
        <v>246</v>
      </c>
      <c r="E7" t="s">
        <v>218</v>
      </c>
      <c r="F7" t="s">
        <v>218</v>
      </c>
      <c r="G7" t="s">
        <v>218</v>
      </c>
      <c r="H7" s="17">
        <v>0.33333333333333331</v>
      </c>
      <c r="I7" s="17">
        <v>0.79166666666666663</v>
      </c>
      <c r="J7" s="22">
        <f>(((TabVMAZURE11[[#This Row],[Auto Stop]]-INT(TabVMAZURE11[[#This Row],[Auto Stop]]))*24)-((TabVMAZURE11[[#This Row],[Auto Start]]-INT(TabVMAZURE11[[#This Row],[Auto Start]]))*24))</f>
        <v>11</v>
      </c>
      <c r="K7" s="22">
        <v>20</v>
      </c>
      <c r="L7" s="22">
        <f>TabVMAZURE11[[#This Row],[Activité 
par jours]]*TabVMAZURE11[[#This Row],[Jours / Mois]]</f>
        <v>220</v>
      </c>
      <c r="M7" s="22">
        <f>INDEX(ListeVMAzureCoûts,MATCH(TabVMAZURE11[[#This Row],[VMAzureSize]],ListeVMAzureSize,0),MATCH(TabVMAZURE11[[#This Row],[Système]],ListeSystèmes,0))</f>
        <v>0.13159999999999999</v>
      </c>
      <c r="N7" s="22">
        <f>TabVMAZURE11[[#This Row],[Activité 
par mois]]*TabVMAZURE11[[#This Row],[Coût horaire VM]]</f>
        <v>28.951999999999998</v>
      </c>
      <c r="O7" s="22">
        <f>INDEX(TabVMAzureDisk[Coût / mois],MATCH(TabVMAZURE11[[#This Row],[VMAzureDisk]],TabVMAzureDisk[VMAzureDisk],0))</f>
        <v>20.225000000000001</v>
      </c>
      <c r="P7" s="22">
        <f>INDEX(TabVMAzureDisk[Coût / mois Sauvegarde],MATCH(TabVMAZURE11[[#This Row],[VMAzureDisk]],TabVMAzureDisk[VMAzureDisk],0))</f>
        <v>22.886399999999998</v>
      </c>
      <c r="Q7" s="22">
        <f>INDEX(TabVMAzureDisk[Coût / mois],MATCH(TabVMAZURE11[[#This Row],[VMAzureDisk2]],TabVMAzureDisk[VMAzureDisk],0))</f>
        <v>0</v>
      </c>
      <c r="R7" s="22">
        <f>INDEX(TabVMAzureDisk[Coût / mois Sauvegarde],MATCH(TabVMAZURE11[[#This Row],[VMAzureDisk2]],TabVMAzureDisk[VMAzureDisk],0))</f>
        <v>0</v>
      </c>
      <c r="S7" s="22">
        <f>INDEX(TabVMAzureDisk[Coût / mois],MATCH(TabVMAZURE11[[#This Row],[VMAzureDisk3]],TabVMAzureDisk[VMAzureDisk],0))</f>
        <v>0</v>
      </c>
      <c r="T7" s="22">
        <f>INDEX(TabVMAzureDisk[Coût / mois Sauvegarde],MATCH(TabVMAZURE11[[#This Row],[VMAzureDisk3]],TabVMAzureDisk[VMAzureDisk],0))</f>
        <v>0</v>
      </c>
      <c r="U7" s="22">
        <f>INDEX(TabVMAzureDisk[Coût / mois],MATCH(TabVMAZURE11[[#This Row],[VMAzureDisk4]],TabVMAzureDisk[VMAzureDisk],0))</f>
        <v>0</v>
      </c>
      <c r="V7" s="22">
        <f>INDEX(TabVMAzureDisk[Coût / mois Sauvegarde],MATCH(TabVMAZURE11[[#This Row],[VMAzureDisk4]],TabVMAzureDisk[VMAzureDisk],0))</f>
        <v>0</v>
      </c>
      <c r="W7" s="22">
        <f>SUM(TabVMAZURE11[[#This Row],[Coût estimé 
Disk1 / mois]]+TabVMAZURE11[[#This Row],[Coût estimé 
Disk2 / mois]]+TabVMAZURE11[[#This Row],[Coût estimé 
Disk3 / mois]]+TabVMAZURE11[[#This Row],[Coût estimé 
Disk4 / mois]])</f>
        <v>20.225000000000001</v>
      </c>
      <c r="X7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22.886399999999998</v>
      </c>
      <c r="Y7" s="34">
        <f>SUM(TabVMAZURE11[[#This Row],[Coût estimé 
VM / mois]],TabVMAZURE11[[#This Row],[Coût estimé 
Disk Total / mois]])</f>
        <v>49.177</v>
      </c>
      <c r="Z7" s="34">
        <f>TabVMAZURE11[[#This Row],[Coût estimé 
total / mois
sans
sauvegarde]]+TabVMAZURE11[[#This Row],[Coût estimé 
sauvegarde
Disk Total / mois]]</f>
        <v>72.063400000000001</v>
      </c>
      <c r="AA7">
        <v>94.6</v>
      </c>
      <c r="AB7" s="22" t="str">
        <f>IF(TabVMAZURE11[[#This Row],[Coût estimé 
total / mois
avec 1 
sauvegarde]]&lt;TabVMAZURE11[[#This Row],[Coût OT]],"OUI","NON")</f>
        <v>OUI</v>
      </c>
    </row>
    <row r="8" spans="1:28" x14ac:dyDescent="0.25">
      <c r="A8" t="s">
        <v>247</v>
      </c>
      <c r="B8" t="s">
        <v>225</v>
      </c>
      <c r="C8" t="s">
        <v>228</v>
      </c>
      <c r="D8" t="s">
        <v>248</v>
      </c>
      <c r="E8" t="s">
        <v>218</v>
      </c>
      <c r="F8" t="s">
        <v>218</v>
      </c>
      <c r="G8" t="s">
        <v>218</v>
      </c>
      <c r="H8" s="17">
        <v>0.33333333333333331</v>
      </c>
      <c r="I8" s="17">
        <v>0.79166666666666663</v>
      </c>
      <c r="J8" s="22">
        <f>(((TabVMAZURE11[[#This Row],[Auto Stop]]-INT(TabVMAZURE11[[#This Row],[Auto Stop]]))*24)-((TabVMAZURE11[[#This Row],[Auto Start]]-INT(TabVMAZURE11[[#This Row],[Auto Start]]))*24))</f>
        <v>11</v>
      </c>
      <c r="K8" s="22">
        <v>20</v>
      </c>
      <c r="L8" s="22">
        <f>TabVMAZURE11[[#This Row],[Activité 
par jours]]*TabVMAZURE11[[#This Row],[Jours / Mois]]</f>
        <v>220</v>
      </c>
      <c r="M8" s="22">
        <f>INDEX(ListeVMAzureCoûts,MATCH(TabVMAZURE11[[#This Row],[VMAzureSize]],ListeVMAzureSize,0),MATCH(TabVMAZURE11[[#This Row],[Système]],ListeSystèmes,0))</f>
        <v>5.0599999999999999E-2</v>
      </c>
      <c r="N8" s="22">
        <f>TabVMAZURE11[[#This Row],[Activité 
par mois]]*TabVMAZURE11[[#This Row],[Coût horaire VM]]</f>
        <v>11.132</v>
      </c>
      <c r="O8" s="22">
        <f>INDEX(TabVMAzureDisk[Coût / mois],MATCH(TabVMAZURE11[[#This Row],[VMAzureDisk]],TabVMAzureDisk[VMAzureDisk],0))</f>
        <v>10.547000000000001</v>
      </c>
      <c r="P8" s="22">
        <f>INDEX(TabVMAzureDisk[Coût / mois Sauvegarde],MATCH(TabVMAZURE11[[#This Row],[VMAzureDisk]],TabVMAzureDisk[VMAzureDisk],0))</f>
        <v>11.443199999999999</v>
      </c>
      <c r="Q8" s="22">
        <f>INDEX(TabVMAzureDisk[Coût / mois],MATCH(TabVMAZURE11[[#This Row],[VMAzureDisk2]],TabVMAzureDisk[VMAzureDisk],0))</f>
        <v>0</v>
      </c>
      <c r="R8" s="22">
        <f>INDEX(TabVMAzureDisk[Coût / mois Sauvegarde],MATCH(TabVMAZURE11[[#This Row],[VMAzureDisk2]],TabVMAzureDisk[VMAzureDisk],0))</f>
        <v>0</v>
      </c>
      <c r="S8" s="22">
        <f>INDEX(TabVMAzureDisk[Coût / mois],MATCH(TabVMAZURE11[[#This Row],[VMAzureDisk3]],TabVMAzureDisk[VMAzureDisk],0))</f>
        <v>0</v>
      </c>
      <c r="T8" s="22">
        <f>INDEX(TabVMAzureDisk[Coût / mois Sauvegarde],MATCH(TabVMAZURE11[[#This Row],[VMAzureDisk3]],TabVMAzureDisk[VMAzureDisk],0))</f>
        <v>0</v>
      </c>
      <c r="U8" s="22">
        <f>INDEX(TabVMAzureDisk[Coût / mois],MATCH(TabVMAZURE11[[#This Row],[VMAzureDisk4]],TabVMAzureDisk[VMAzureDisk],0))</f>
        <v>0</v>
      </c>
      <c r="V8" s="22">
        <f>INDEX(TabVMAzureDisk[Coût / mois Sauvegarde],MATCH(TabVMAZURE11[[#This Row],[VMAzureDisk4]],TabVMAzureDisk[VMAzureDisk],0))</f>
        <v>0</v>
      </c>
      <c r="W8" s="22">
        <f>SUM(TabVMAZURE11[[#This Row],[Coût estimé 
Disk1 / mois]]+TabVMAZURE11[[#This Row],[Coût estimé 
Disk2 / mois]]+TabVMAZURE11[[#This Row],[Coût estimé 
Disk3 / mois]]+TabVMAZURE11[[#This Row],[Coût estimé 
Disk4 / mois]])</f>
        <v>10.547000000000001</v>
      </c>
      <c r="X8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11.443199999999999</v>
      </c>
      <c r="Y8" s="34">
        <f>SUM(TabVMAZURE11[[#This Row],[Coût estimé 
VM / mois]],TabVMAZURE11[[#This Row],[Coût estimé 
Disk Total / mois]])</f>
        <v>21.679000000000002</v>
      </c>
      <c r="Z8" s="34">
        <f>TabVMAZURE11[[#This Row],[Coût estimé 
total / mois
sans
sauvegarde]]+TabVMAZURE11[[#This Row],[Coût estimé 
sauvegarde
Disk Total / mois]]</f>
        <v>33.122199999999999</v>
      </c>
      <c r="AA8">
        <v>43.2</v>
      </c>
      <c r="AB8" s="22" t="str">
        <f>IF(TabVMAZURE11[[#This Row],[Coût estimé 
total / mois
avec 1 
sauvegarde]]&lt;TabVMAZURE11[[#This Row],[Coût OT]],"OUI","NON")</f>
        <v>OUI</v>
      </c>
    </row>
    <row r="9" spans="1:28" x14ac:dyDescent="0.25">
      <c r="A9" t="s">
        <v>249</v>
      </c>
      <c r="B9" t="s">
        <v>215</v>
      </c>
      <c r="C9" t="s">
        <v>231</v>
      </c>
      <c r="D9" t="s">
        <v>248</v>
      </c>
      <c r="E9" t="s">
        <v>218</v>
      </c>
      <c r="F9" t="s">
        <v>218</v>
      </c>
      <c r="G9" t="s">
        <v>218</v>
      </c>
      <c r="H9" s="17">
        <v>0.33333333333333331</v>
      </c>
      <c r="I9" s="17">
        <v>0.79166666666666663</v>
      </c>
      <c r="J9" s="22">
        <f>(((TabVMAZURE11[[#This Row],[Auto Stop]]-INT(TabVMAZURE11[[#This Row],[Auto Stop]]))*24)-((TabVMAZURE11[[#This Row],[Auto Start]]-INT(TabVMAZURE11[[#This Row],[Auto Start]]))*24))</f>
        <v>11</v>
      </c>
      <c r="K9" s="22">
        <v>20</v>
      </c>
      <c r="L9" s="22">
        <f>TabVMAZURE11[[#This Row],[Activité 
par jours]]*TabVMAZURE11[[#This Row],[Jours / Mois]]</f>
        <v>220</v>
      </c>
      <c r="M9" s="22">
        <f>INDEX(ListeVMAzureCoûts,MATCH(TabVMAZURE11[[#This Row],[VMAzureSize]],ListeVMAzureSize,0),MATCH(TabVMAZURE11[[#This Row],[Système]],ListeSystèmes,0))</f>
        <v>7.9699999999999993E-2</v>
      </c>
      <c r="N9" s="22">
        <f>TabVMAZURE11[[#This Row],[Activité 
par mois]]*TabVMAZURE11[[#This Row],[Coût horaire VM]]</f>
        <v>17.533999999999999</v>
      </c>
      <c r="O9" s="22">
        <f>INDEX(TabVMAzureDisk[Coût / mois],MATCH(TabVMAZURE11[[#This Row],[VMAzureDisk]],TabVMAzureDisk[VMAzureDisk],0))</f>
        <v>10.547000000000001</v>
      </c>
      <c r="P9" s="22">
        <f>INDEX(TabVMAzureDisk[Coût / mois Sauvegarde],MATCH(TabVMAZURE11[[#This Row],[VMAzureDisk]],TabVMAzureDisk[VMAzureDisk],0))</f>
        <v>11.443199999999999</v>
      </c>
      <c r="Q9" s="22">
        <f>INDEX(TabVMAzureDisk[Coût / mois],MATCH(TabVMAZURE11[[#This Row],[VMAzureDisk2]],TabVMAzureDisk[VMAzureDisk],0))</f>
        <v>0</v>
      </c>
      <c r="R9" s="22">
        <f>INDEX(TabVMAzureDisk[Coût / mois Sauvegarde],MATCH(TabVMAZURE11[[#This Row],[VMAzureDisk2]],TabVMAzureDisk[VMAzureDisk],0))</f>
        <v>0</v>
      </c>
      <c r="S9" s="22">
        <f>INDEX(TabVMAzureDisk[Coût / mois],MATCH(TabVMAZURE11[[#This Row],[VMAzureDisk3]],TabVMAzureDisk[VMAzureDisk],0))</f>
        <v>0</v>
      </c>
      <c r="T9" s="22">
        <f>INDEX(TabVMAzureDisk[Coût / mois Sauvegarde],MATCH(TabVMAZURE11[[#This Row],[VMAzureDisk3]],TabVMAzureDisk[VMAzureDisk],0))</f>
        <v>0</v>
      </c>
      <c r="U9" s="22">
        <f>INDEX(TabVMAzureDisk[Coût / mois],MATCH(TabVMAZURE11[[#This Row],[VMAzureDisk4]],TabVMAzureDisk[VMAzureDisk],0))</f>
        <v>0</v>
      </c>
      <c r="V9" s="22">
        <f>INDEX(TabVMAzureDisk[Coût / mois Sauvegarde],MATCH(TabVMAZURE11[[#This Row],[VMAzureDisk4]],TabVMAzureDisk[VMAzureDisk],0))</f>
        <v>0</v>
      </c>
      <c r="W9" s="22">
        <f>SUM(TabVMAZURE11[[#This Row],[Coût estimé 
Disk1 / mois]]+TabVMAZURE11[[#This Row],[Coût estimé 
Disk2 / mois]]+TabVMAZURE11[[#This Row],[Coût estimé 
Disk3 / mois]]+TabVMAZURE11[[#This Row],[Coût estimé 
Disk4 / mois]])</f>
        <v>10.547000000000001</v>
      </c>
      <c r="X9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11.443199999999999</v>
      </c>
      <c r="Y9" s="34">
        <f>SUM(TabVMAZURE11[[#This Row],[Coût estimé 
VM / mois]],TabVMAZURE11[[#This Row],[Coût estimé 
Disk Total / mois]])</f>
        <v>28.081</v>
      </c>
      <c r="Z9" s="34">
        <f>TabVMAZURE11[[#This Row],[Coût estimé 
total / mois
sans
sauvegarde]]+TabVMAZURE11[[#This Row],[Coût estimé 
sauvegarde
Disk Total / mois]]</f>
        <v>39.5242</v>
      </c>
      <c r="AA9">
        <v>67.099999999999994</v>
      </c>
      <c r="AB9" s="22" t="str">
        <f>IF(TabVMAZURE11[[#This Row],[Coût estimé 
total / mois
avec 1 
sauvegarde]]&lt;TabVMAZURE11[[#This Row],[Coût OT]],"OUI","NON")</f>
        <v>OUI</v>
      </c>
    </row>
    <row r="10" spans="1:28" x14ac:dyDescent="0.25">
      <c r="A10" t="s">
        <v>250</v>
      </c>
      <c r="B10" t="s">
        <v>225</v>
      </c>
      <c r="C10" t="s">
        <v>228</v>
      </c>
      <c r="D10" t="s">
        <v>223</v>
      </c>
      <c r="E10" t="s">
        <v>218</v>
      </c>
      <c r="F10" t="s">
        <v>218</v>
      </c>
      <c r="G10" t="s">
        <v>218</v>
      </c>
      <c r="H10" s="17">
        <v>0.33333333333333331</v>
      </c>
      <c r="I10" s="17">
        <v>0.79166666666666663</v>
      </c>
      <c r="J10" s="22">
        <f>(((TabVMAZURE11[[#This Row],[Auto Stop]]-INT(TabVMAZURE11[[#This Row],[Auto Stop]]))*24)-((TabVMAZURE11[[#This Row],[Auto Start]]-INT(TabVMAZURE11[[#This Row],[Auto Start]]))*24))</f>
        <v>11</v>
      </c>
      <c r="K10" s="22">
        <v>20</v>
      </c>
      <c r="L10" s="22">
        <f>TabVMAZURE11[[#This Row],[Activité 
par jours]]*TabVMAZURE11[[#This Row],[Jours / Mois]]</f>
        <v>220</v>
      </c>
      <c r="M10" s="22">
        <f>INDEX(ListeVMAzureCoûts,MATCH(TabVMAZURE11[[#This Row],[VMAzureSize]],ListeVMAzureSize,0),MATCH(TabVMAZURE11[[#This Row],[Système]],ListeSystèmes,0))</f>
        <v>5.0599999999999999E-2</v>
      </c>
      <c r="N10" s="22">
        <f>TabVMAZURE11[[#This Row],[Activité 
par mois]]*TabVMAZURE11[[#This Row],[Coût horaire VM]]</f>
        <v>11.132</v>
      </c>
      <c r="O10" s="22">
        <f>INDEX(TabVMAzureDisk[Coût / mois],MATCH(TabVMAZURE11[[#This Row],[VMAzureDisk]],TabVMAzureDisk[VMAzureDisk],0))</f>
        <v>5.5010000000000003</v>
      </c>
      <c r="P10" s="22">
        <f>INDEX(TabVMAzureDisk[Coût / mois Sauvegarde],MATCH(TabVMAZURE11[[#This Row],[VMAzureDisk]],TabVMAzureDisk[VMAzureDisk],0))</f>
        <v>5.7215999999999996</v>
      </c>
      <c r="Q10" s="22">
        <f>INDEX(TabVMAzureDisk[Coût / mois],MATCH(TabVMAZURE11[[#This Row],[VMAzureDisk2]],TabVMAzureDisk[VMAzureDisk],0))</f>
        <v>0</v>
      </c>
      <c r="R10" s="22">
        <f>INDEX(TabVMAzureDisk[Coût / mois Sauvegarde],MATCH(TabVMAZURE11[[#This Row],[VMAzureDisk2]],TabVMAzureDisk[VMAzureDisk],0))</f>
        <v>0</v>
      </c>
      <c r="S10" s="22">
        <f>INDEX(TabVMAzureDisk[Coût / mois],MATCH(TabVMAZURE11[[#This Row],[VMAzureDisk3]],TabVMAzureDisk[VMAzureDisk],0))</f>
        <v>0</v>
      </c>
      <c r="T10" s="22">
        <f>INDEX(TabVMAzureDisk[Coût / mois Sauvegarde],MATCH(TabVMAZURE11[[#This Row],[VMAzureDisk3]],TabVMAzureDisk[VMAzureDisk],0))</f>
        <v>0</v>
      </c>
      <c r="U10" s="22">
        <f>INDEX(TabVMAzureDisk[Coût / mois],MATCH(TabVMAZURE11[[#This Row],[VMAzureDisk4]],TabVMAzureDisk[VMAzureDisk],0))</f>
        <v>0</v>
      </c>
      <c r="V10" s="22">
        <f>INDEX(TabVMAzureDisk[Coût / mois Sauvegarde],MATCH(TabVMAZURE11[[#This Row],[VMAzureDisk4]],TabVMAzureDisk[VMAzureDisk],0))</f>
        <v>0</v>
      </c>
      <c r="W10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10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10" s="34">
        <f>SUM(TabVMAZURE11[[#This Row],[Coût estimé 
VM / mois]],TabVMAZURE11[[#This Row],[Coût estimé 
Disk Total / mois]])</f>
        <v>16.632999999999999</v>
      </c>
      <c r="Z10" s="34">
        <f>TabVMAZURE11[[#This Row],[Coût estimé 
total / mois
sans
sauvegarde]]+TabVMAZURE11[[#This Row],[Coût estimé 
sauvegarde
Disk Total / mois]]</f>
        <v>22.354599999999998</v>
      </c>
      <c r="AA10">
        <v>27.1</v>
      </c>
      <c r="AB10" s="22" t="str">
        <f>IF(TabVMAZURE11[[#This Row],[Coût estimé 
total / mois
avec 1 
sauvegarde]]&lt;TabVMAZURE11[[#This Row],[Coût OT]],"OUI","NON")</f>
        <v>OUI</v>
      </c>
    </row>
    <row r="11" spans="1:28" x14ac:dyDescent="0.25">
      <c r="A11" t="s">
        <v>251</v>
      </c>
      <c r="B11" t="s">
        <v>215</v>
      </c>
      <c r="C11" t="s">
        <v>252</v>
      </c>
      <c r="D11" t="s">
        <v>223</v>
      </c>
      <c r="E11" t="s">
        <v>218</v>
      </c>
      <c r="F11" t="s">
        <v>218</v>
      </c>
      <c r="G11" t="s">
        <v>218</v>
      </c>
      <c r="H11" s="17">
        <v>0.33333333333333331</v>
      </c>
      <c r="I11" s="17">
        <v>0.79166666666666663</v>
      </c>
      <c r="J11" s="22">
        <f>(((TabVMAZURE11[[#This Row],[Auto Stop]]-INT(TabVMAZURE11[[#This Row],[Auto Stop]]))*24)-((TabVMAZURE11[[#This Row],[Auto Start]]-INT(TabVMAZURE11[[#This Row],[Auto Start]]))*24))</f>
        <v>11</v>
      </c>
      <c r="K11" s="22">
        <v>20</v>
      </c>
      <c r="L11" s="22">
        <f>TabVMAZURE11[[#This Row],[Activité 
par jours]]*TabVMAZURE11[[#This Row],[Jours / Mois]]</f>
        <v>220</v>
      </c>
      <c r="M11" s="22">
        <f>INDEX(ListeVMAzureCoûts,MATCH(TabVMAZURE11[[#This Row],[VMAzureSize]],ListeVMAzureSize,0),MATCH(TabVMAZURE11[[#This Row],[Système]],ListeSystèmes,0))</f>
        <v>0.1704</v>
      </c>
      <c r="N11" s="22">
        <f>TabVMAZURE11[[#This Row],[Activité 
par mois]]*TabVMAZURE11[[#This Row],[Coût horaire VM]]</f>
        <v>37.488</v>
      </c>
      <c r="O11" s="22">
        <f>INDEX(TabVMAzureDisk[Coût / mois],MATCH(TabVMAZURE11[[#This Row],[VMAzureDisk]],TabVMAzureDisk[VMAzureDisk],0))</f>
        <v>5.5010000000000003</v>
      </c>
      <c r="P11" s="22">
        <f>INDEX(TabVMAzureDisk[Coût / mois Sauvegarde],MATCH(TabVMAZURE11[[#This Row],[VMAzureDisk]],TabVMAzureDisk[VMAzureDisk],0))</f>
        <v>5.7215999999999996</v>
      </c>
      <c r="Q11" s="22">
        <f>INDEX(TabVMAzureDisk[Coût / mois],MATCH(TabVMAZURE11[[#This Row],[VMAzureDisk2]],TabVMAzureDisk[VMAzureDisk],0))</f>
        <v>0</v>
      </c>
      <c r="R11" s="22">
        <f>INDEX(TabVMAzureDisk[Coût / mois Sauvegarde],MATCH(TabVMAZURE11[[#This Row],[VMAzureDisk2]],TabVMAzureDisk[VMAzureDisk],0))</f>
        <v>0</v>
      </c>
      <c r="S11" s="22">
        <f>INDEX(TabVMAzureDisk[Coût / mois],MATCH(TabVMAZURE11[[#This Row],[VMAzureDisk3]],TabVMAzureDisk[VMAzureDisk],0))</f>
        <v>0</v>
      </c>
      <c r="T11" s="22">
        <f>INDEX(TabVMAzureDisk[Coût / mois Sauvegarde],MATCH(TabVMAZURE11[[#This Row],[VMAzureDisk3]],TabVMAzureDisk[VMAzureDisk],0))</f>
        <v>0</v>
      </c>
      <c r="U11" s="22">
        <f>INDEX(TabVMAzureDisk[Coût / mois],MATCH(TabVMAZURE11[[#This Row],[VMAzureDisk4]],TabVMAzureDisk[VMAzureDisk],0))</f>
        <v>0</v>
      </c>
      <c r="V11" s="22">
        <f>INDEX(TabVMAzureDisk[Coût / mois Sauvegarde],MATCH(TabVMAZURE11[[#This Row],[VMAzureDisk4]],TabVMAzureDisk[VMAzureDisk],0))</f>
        <v>0</v>
      </c>
      <c r="W11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11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11" s="34">
        <f>SUM(TabVMAZURE11[[#This Row],[Coût estimé 
VM / mois]],TabVMAZURE11[[#This Row],[Coût estimé 
Disk Total / mois]])</f>
        <v>42.988999999999997</v>
      </c>
      <c r="Z11" s="34">
        <f>TabVMAZURE11[[#This Row],[Coût estimé 
total / mois
sans
sauvegarde]]+TabVMAZURE11[[#This Row],[Coût estimé 
sauvegarde
Disk Total / mois]]</f>
        <v>48.710599999999999</v>
      </c>
      <c r="AA11">
        <v>40.400000000000006</v>
      </c>
      <c r="AB11" s="22" t="str">
        <f>IF(TabVMAZURE11[[#This Row],[Coût estimé 
total / mois
avec 1 
sauvegarde]]&lt;TabVMAZURE11[[#This Row],[Coût OT]],"OUI","NON")</f>
        <v>NON</v>
      </c>
    </row>
    <row r="12" spans="1:28" x14ac:dyDescent="0.25">
      <c r="A12" t="s">
        <v>253</v>
      </c>
      <c r="B12" t="s">
        <v>225</v>
      </c>
      <c r="C12" t="s">
        <v>252</v>
      </c>
      <c r="D12" t="s">
        <v>232</v>
      </c>
      <c r="E12" t="s">
        <v>218</v>
      </c>
      <c r="F12" t="s">
        <v>218</v>
      </c>
      <c r="G12" t="s">
        <v>218</v>
      </c>
      <c r="H12" s="17">
        <v>0.33333333333333331</v>
      </c>
      <c r="I12" s="17">
        <v>0.79166666666666663</v>
      </c>
      <c r="J12" s="22">
        <f>(((TabVMAZURE11[[#This Row],[Auto Stop]]-INT(TabVMAZURE11[[#This Row],[Auto Stop]]))*24)-((TabVMAZURE11[[#This Row],[Auto Start]]-INT(TabVMAZURE11[[#This Row],[Auto Start]]))*24))</f>
        <v>11</v>
      </c>
      <c r="K12" s="22">
        <v>20</v>
      </c>
      <c r="L12" s="22">
        <f>TabVMAZURE11[[#This Row],[Activité 
par jours]]*TabVMAZURE11[[#This Row],[Jours / Mois]]</f>
        <v>220</v>
      </c>
      <c r="M12" s="22">
        <f>INDEX(ListeVMAzureCoûts,MATCH(TabVMAZURE11[[#This Row],[VMAzureSize]],ListeVMAzureSize,0),MATCH(TabVMAZURE11[[#This Row],[Système]],ListeSystèmes,0))</f>
        <v>0.3256</v>
      </c>
      <c r="N12" s="22">
        <f>TabVMAZURE11[[#This Row],[Activité 
par mois]]*TabVMAZURE11[[#This Row],[Coût horaire VM]]</f>
        <v>71.632000000000005</v>
      </c>
      <c r="O12" s="22">
        <f>INDEX(TabVMAzureDisk[Coût / mois],MATCH(TabVMAZURE11[[#This Row],[VMAzureDisk]],TabVMAzureDisk[VMAzureDisk],0))</f>
        <v>2.79</v>
      </c>
      <c r="P12" s="22">
        <f>INDEX(TabVMAzureDisk[Coût / mois Sauvegarde],MATCH(TabVMAZURE11[[#This Row],[VMAzureDisk]],TabVMAzureDisk[VMAzureDisk],0))</f>
        <v>2.8607999999999998</v>
      </c>
      <c r="Q12" s="22">
        <f>INDEX(TabVMAzureDisk[Coût / mois],MATCH(TabVMAZURE11[[#This Row],[VMAzureDisk2]],TabVMAzureDisk[VMAzureDisk],0))</f>
        <v>0</v>
      </c>
      <c r="R12" s="22">
        <f>INDEX(TabVMAzureDisk[Coût / mois Sauvegarde],MATCH(TabVMAZURE11[[#This Row],[VMAzureDisk2]],TabVMAzureDisk[VMAzureDisk],0))</f>
        <v>0</v>
      </c>
      <c r="S12" s="22">
        <f>INDEX(TabVMAzureDisk[Coût / mois],MATCH(TabVMAZURE11[[#This Row],[VMAzureDisk3]],TabVMAzureDisk[VMAzureDisk],0))</f>
        <v>0</v>
      </c>
      <c r="T12" s="22">
        <f>INDEX(TabVMAzureDisk[Coût / mois Sauvegarde],MATCH(TabVMAZURE11[[#This Row],[VMAzureDisk3]],TabVMAzureDisk[VMAzureDisk],0))</f>
        <v>0</v>
      </c>
      <c r="U12" s="22">
        <f>INDEX(TabVMAzureDisk[Coût / mois],MATCH(TabVMAZURE11[[#This Row],[VMAzureDisk4]],TabVMAzureDisk[VMAzureDisk],0))</f>
        <v>0</v>
      </c>
      <c r="V12" s="22">
        <f>INDEX(TabVMAzureDisk[Coût / mois Sauvegarde],MATCH(TabVMAZURE11[[#This Row],[VMAzureDisk4]],TabVMAzureDisk[VMAzureDisk],0))</f>
        <v>0</v>
      </c>
      <c r="W12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12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12" s="34">
        <f>SUM(TabVMAZURE11[[#This Row],[Coût estimé 
VM / mois]],TabVMAZURE11[[#This Row],[Coût estimé 
Disk Total / mois]])</f>
        <v>74.422000000000011</v>
      </c>
      <c r="Z12" s="34">
        <f>TabVMAZURE11[[#This Row],[Coût estimé 
total / mois
sans
sauvegarde]]+TabVMAZURE11[[#This Row],[Coût estimé 
sauvegarde
Disk Total / mois]]</f>
        <v>77.282800000000009</v>
      </c>
      <c r="AA12">
        <v>25.450000000000003</v>
      </c>
      <c r="AB12" s="22" t="str">
        <f>IF(TabVMAZURE11[[#This Row],[Coût estimé 
total / mois
avec 1 
sauvegarde]]&lt;TabVMAZURE11[[#This Row],[Coût OT]],"OUI","NON")</f>
        <v>NON</v>
      </c>
    </row>
    <row r="13" spans="1:28" x14ac:dyDescent="0.25">
      <c r="A13" t="s">
        <v>254</v>
      </c>
      <c r="B13" t="s">
        <v>215</v>
      </c>
      <c r="C13" t="s">
        <v>228</v>
      </c>
      <c r="D13" t="s">
        <v>220</v>
      </c>
      <c r="E13" t="s">
        <v>218</v>
      </c>
      <c r="F13" t="s">
        <v>218</v>
      </c>
      <c r="G13" t="s">
        <v>218</v>
      </c>
      <c r="H13" s="17">
        <v>0.33333333333333331</v>
      </c>
      <c r="I13" s="17">
        <v>0.79166666666666663</v>
      </c>
      <c r="J13" s="22">
        <f>(((TabVMAZURE11[[#This Row],[Auto Stop]]-INT(TabVMAZURE11[[#This Row],[Auto Stop]]))*24)-((TabVMAZURE11[[#This Row],[Auto Start]]-INT(TabVMAZURE11[[#This Row],[Auto Start]]))*24))</f>
        <v>11</v>
      </c>
      <c r="K13" s="22">
        <v>20</v>
      </c>
      <c r="L13" s="22">
        <f>TabVMAZURE11[[#This Row],[Activité 
par jours]]*TabVMAZURE11[[#This Row],[Jours / Mois]]</f>
        <v>220</v>
      </c>
      <c r="M13" s="22">
        <f>INDEX(ListeVMAzureCoûts,MATCH(TabVMAZURE11[[#This Row],[VMAzureSize]],ListeVMAzureSize,0),MATCH(TabVMAZURE11[[#This Row],[Système]],ListeSystèmes,0))</f>
        <v>3.9899999999999998E-2</v>
      </c>
      <c r="N13" s="22">
        <f>TabVMAZURE11[[#This Row],[Activité 
par mois]]*TabVMAZURE11[[#This Row],[Coût horaire VM]]</f>
        <v>8.7779999999999987</v>
      </c>
      <c r="O13" s="22">
        <f>INDEX(TabVMAzureDisk[Coût / mois],MATCH(TabVMAZURE11[[#This Row],[VMAzureDisk]],TabVMAzureDisk[VMAzureDisk],0))</f>
        <v>1.425</v>
      </c>
      <c r="P13" s="22">
        <f>INDEX(TabVMAzureDisk[Coût / mois Sauvegarde],MATCH(TabVMAZURE11[[#This Row],[VMAzureDisk]],TabVMAzureDisk[VMAzureDisk],0))</f>
        <v>1.4303999999999999</v>
      </c>
      <c r="Q13" s="22">
        <f>INDEX(TabVMAzureDisk[Coût / mois],MATCH(TabVMAZURE11[[#This Row],[VMAzureDisk2]],TabVMAzureDisk[VMAzureDisk],0))</f>
        <v>0</v>
      </c>
      <c r="R13" s="22">
        <f>INDEX(TabVMAzureDisk[Coût / mois Sauvegarde],MATCH(TabVMAZURE11[[#This Row],[VMAzureDisk2]],TabVMAzureDisk[VMAzureDisk],0))</f>
        <v>0</v>
      </c>
      <c r="S13" s="22">
        <f>INDEX(TabVMAzureDisk[Coût / mois],MATCH(TabVMAZURE11[[#This Row],[VMAzureDisk3]],TabVMAzureDisk[VMAzureDisk],0))</f>
        <v>0</v>
      </c>
      <c r="T13" s="22">
        <f>INDEX(TabVMAzureDisk[Coût / mois Sauvegarde],MATCH(TabVMAZURE11[[#This Row],[VMAzureDisk3]],TabVMAzureDisk[VMAzureDisk],0))</f>
        <v>0</v>
      </c>
      <c r="U13" s="22">
        <f>INDEX(TabVMAzureDisk[Coût / mois],MATCH(TabVMAZURE11[[#This Row],[VMAzureDisk4]],TabVMAzureDisk[VMAzureDisk],0))</f>
        <v>0</v>
      </c>
      <c r="V13" s="22">
        <f>INDEX(TabVMAzureDisk[Coût / mois Sauvegarde],MATCH(TabVMAZURE11[[#This Row],[VMAzureDisk4]],TabVMAzureDisk[VMAzureDisk],0))</f>
        <v>0</v>
      </c>
      <c r="W13" s="22">
        <f>SUM(TabVMAZURE11[[#This Row],[Coût estimé 
Disk1 / mois]]+TabVMAZURE11[[#This Row],[Coût estimé 
Disk2 / mois]]+TabVMAZURE11[[#This Row],[Coût estimé 
Disk3 / mois]]+TabVMAZURE11[[#This Row],[Coût estimé 
Disk4 / mois]])</f>
        <v>1.425</v>
      </c>
      <c r="X13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1.4303999999999999</v>
      </c>
      <c r="Y13" s="34">
        <f>SUM(TabVMAZURE11[[#This Row],[Coût estimé 
VM / mois]],TabVMAZURE11[[#This Row],[Coût estimé 
Disk Total / mois]])</f>
        <v>10.202999999999999</v>
      </c>
      <c r="Z13" s="34">
        <f>TabVMAZURE11[[#This Row],[Coût estimé 
total / mois
sans
sauvegarde]]+TabVMAZURE11[[#This Row],[Coût estimé 
sauvegarde
Disk Total / mois]]</f>
        <v>11.6334</v>
      </c>
      <c r="AA13">
        <v>14.450000000000001</v>
      </c>
      <c r="AB13" s="22" t="str">
        <f>IF(TabVMAZURE11[[#This Row],[Coût estimé 
total / mois
avec 1 
sauvegarde]]&lt;TabVMAZURE11[[#This Row],[Coût OT]],"OUI","NON")</f>
        <v>OUI</v>
      </c>
    </row>
    <row r="14" spans="1:28" x14ac:dyDescent="0.25">
      <c r="A14" t="s">
        <v>255</v>
      </c>
      <c r="B14" t="s">
        <v>215</v>
      </c>
      <c r="C14" t="s">
        <v>219</v>
      </c>
      <c r="D14" t="s">
        <v>232</v>
      </c>
      <c r="E14" t="s">
        <v>218</v>
      </c>
      <c r="F14" t="s">
        <v>218</v>
      </c>
      <c r="G14" t="s">
        <v>218</v>
      </c>
      <c r="H14" s="17">
        <v>0.33333333333333331</v>
      </c>
      <c r="I14" s="17">
        <v>0.79166666666666663</v>
      </c>
      <c r="J14" s="22">
        <f>(((TabVMAZURE11[[#This Row],[Auto Stop]]-INT(TabVMAZURE11[[#This Row],[Auto Stop]]))*24)-((TabVMAZURE11[[#This Row],[Auto Start]]-INT(TabVMAZURE11[[#This Row],[Auto Start]]))*24))</f>
        <v>11</v>
      </c>
      <c r="K14" s="22">
        <v>20</v>
      </c>
      <c r="L14" s="22">
        <f>TabVMAZURE11[[#This Row],[Activité 
par jours]]*TabVMAZURE11[[#This Row],[Jours / Mois]]</f>
        <v>220</v>
      </c>
      <c r="M14" s="22">
        <f>INDEX(ListeVMAzureCoûts,MATCH(TabVMAZURE11[[#This Row],[VMAzureSize]],ListeVMAzureSize,0),MATCH(TabVMAZURE11[[#This Row],[Système]],ListeSystèmes,0))</f>
        <v>0.02</v>
      </c>
      <c r="N14" s="22">
        <f>TabVMAZURE11[[#This Row],[Activité 
par mois]]*TabVMAZURE11[[#This Row],[Coût horaire VM]]</f>
        <v>4.4000000000000004</v>
      </c>
      <c r="O14" s="22">
        <f>INDEX(TabVMAzureDisk[Coût / mois],MATCH(TabVMAZURE11[[#This Row],[VMAzureDisk]],TabVMAzureDisk[VMAzureDisk],0))</f>
        <v>2.79</v>
      </c>
      <c r="P14" s="22">
        <f>INDEX(TabVMAzureDisk[Coût / mois Sauvegarde],MATCH(TabVMAZURE11[[#This Row],[VMAzureDisk]],TabVMAzureDisk[VMAzureDisk],0))</f>
        <v>2.8607999999999998</v>
      </c>
      <c r="Q14" s="22">
        <f>INDEX(TabVMAzureDisk[Coût / mois],MATCH(TabVMAZURE11[[#This Row],[VMAzureDisk2]],TabVMAzureDisk[VMAzureDisk],0))</f>
        <v>0</v>
      </c>
      <c r="R14" s="22">
        <f>INDEX(TabVMAzureDisk[Coût / mois Sauvegarde],MATCH(TabVMAZURE11[[#This Row],[VMAzureDisk2]],TabVMAzureDisk[VMAzureDisk],0))</f>
        <v>0</v>
      </c>
      <c r="S14" s="22">
        <f>INDEX(TabVMAzureDisk[Coût / mois],MATCH(TabVMAZURE11[[#This Row],[VMAzureDisk3]],TabVMAzureDisk[VMAzureDisk],0))</f>
        <v>0</v>
      </c>
      <c r="T14" s="22">
        <f>INDEX(TabVMAzureDisk[Coût / mois Sauvegarde],MATCH(TabVMAZURE11[[#This Row],[VMAzureDisk3]],TabVMAzureDisk[VMAzureDisk],0))</f>
        <v>0</v>
      </c>
      <c r="U14" s="22">
        <f>INDEX(TabVMAzureDisk[Coût / mois],MATCH(TabVMAZURE11[[#This Row],[VMAzureDisk4]],TabVMAzureDisk[VMAzureDisk],0))</f>
        <v>0</v>
      </c>
      <c r="V14" s="22">
        <f>INDEX(TabVMAzureDisk[Coût / mois Sauvegarde],MATCH(TabVMAZURE11[[#This Row],[VMAzureDisk4]],TabVMAzureDisk[VMAzureDisk],0))</f>
        <v>0</v>
      </c>
      <c r="W14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14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14" s="34">
        <f>SUM(TabVMAZURE11[[#This Row],[Coût estimé 
VM / mois]],TabVMAZURE11[[#This Row],[Coût estimé 
Disk Total / mois]])</f>
        <v>7.19</v>
      </c>
      <c r="Z14" s="34">
        <f>TabVMAZURE11[[#This Row],[Coût estimé 
total / mois
sans
sauvegarde]]+TabVMAZURE11[[#This Row],[Coût estimé 
sauvegarde
Disk Total / mois]]</f>
        <v>10.050800000000001</v>
      </c>
      <c r="AA14">
        <v>12.400000000000002</v>
      </c>
      <c r="AB14" s="22" t="str">
        <f>IF(TabVMAZURE11[[#This Row],[Coût estimé 
total / mois
avec 1 
sauvegarde]]&lt;TabVMAZURE11[[#This Row],[Coût OT]],"OUI","NON")</f>
        <v>OUI</v>
      </c>
    </row>
    <row r="15" spans="1:28" x14ac:dyDescent="0.25">
      <c r="A15" t="s">
        <v>256</v>
      </c>
      <c r="B15" t="s">
        <v>215</v>
      </c>
      <c r="C15" t="s">
        <v>219</v>
      </c>
      <c r="D15" t="s">
        <v>220</v>
      </c>
      <c r="E15" t="s">
        <v>218</v>
      </c>
      <c r="F15" t="s">
        <v>218</v>
      </c>
      <c r="G15" t="s">
        <v>218</v>
      </c>
      <c r="H15" s="17">
        <v>0.33333333333333331</v>
      </c>
      <c r="I15" s="17">
        <v>0.79166666666666663</v>
      </c>
      <c r="J15" s="22">
        <f>(((TabVMAZURE11[[#This Row],[Auto Stop]]-INT(TabVMAZURE11[[#This Row],[Auto Stop]]))*24)-((TabVMAZURE11[[#This Row],[Auto Start]]-INT(TabVMAZURE11[[#This Row],[Auto Start]]))*24))</f>
        <v>11</v>
      </c>
      <c r="K15" s="22">
        <v>20</v>
      </c>
      <c r="L15" s="22">
        <f>TabVMAZURE11[[#This Row],[Activité 
par jours]]*TabVMAZURE11[[#This Row],[Jours / Mois]]</f>
        <v>220</v>
      </c>
      <c r="M15" s="22">
        <f>INDEX(ListeVMAzureCoûts,MATCH(TabVMAZURE11[[#This Row],[VMAzureSize]],ListeVMAzureSize,0),MATCH(TabVMAZURE11[[#This Row],[Système]],ListeSystèmes,0))</f>
        <v>0.02</v>
      </c>
      <c r="N15" s="22">
        <f>TabVMAZURE11[[#This Row],[Activité 
par mois]]*TabVMAZURE11[[#This Row],[Coût horaire VM]]</f>
        <v>4.4000000000000004</v>
      </c>
      <c r="O15" s="22">
        <f>INDEX(TabVMAzureDisk[Coût / mois],MATCH(TabVMAZURE11[[#This Row],[VMAzureDisk]],TabVMAzureDisk[VMAzureDisk],0))</f>
        <v>1.425</v>
      </c>
      <c r="P15" s="22">
        <f>INDEX(TabVMAzureDisk[Coût / mois Sauvegarde],MATCH(TabVMAZURE11[[#This Row],[VMAzureDisk]],TabVMAzureDisk[VMAzureDisk],0))</f>
        <v>1.4303999999999999</v>
      </c>
      <c r="Q15" s="22">
        <f>INDEX(TabVMAzureDisk[Coût / mois],MATCH(TabVMAZURE11[[#This Row],[VMAzureDisk2]],TabVMAzureDisk[VMAzureDisk],0))</f>
        <v>0</v>
      </c>
      <c r="R15" s="22">
        <f>INDEX(TabVMAzureDisk[Coût / mois Sauvegarde],MATCH(TabVMAZURE11[[#This Row],[VMAzureDisk2]],TabVMAzureDisk[VMAzureDisk],0))</f>
        <v>0</v>
      </c>
      <c r="S15" s="22">
        <f>INDEX(TabVMAzureDisk[Coût / mois],MATCH(TabVMAZURE11[[#This Row],[VMAzureDisk3]],TabVMAzureDisk[VMAzureDisk],0))</f>
        <v>0</v>
      </c>
      <c r="T15" s="22">
        <f>INDEX(TabVMAzureDisk[Coût / mois Sauvegarde],MATCH(TabVMAZURE11[[#This Row],[VMAzureDisk3]],TabVMAzureDisk[VMAzureDisk],0))</f>
        <v>0</v>
      </c>
      <c r="U15" s="22">
        <f>INDEX(TabVMAzureDisk[Coût / mois],MATCH(TabVMAZURE11[[#This Row],[VMAzureDisk4]],TabVMAzureDisk[VMAzureDisk],0))</f>
        <v>0</v>
      </c>
      <c r="V15" s="22">
        <f>INDEX(TabVMAzureDisk[Coût / mois Sauvegarde],MATCH(TabVMAZURE11[[#This Row],[VMAzureDisk4]],TabVMAzureDisk[VMAzureDisk],0))</f>
        <v>0</v>
      </c>
      <c r="W15" s="22">
        <f>SUM(TabVMAZURE11[[#This Row],[Coût estimé 
Disk1 / mois]]+TabVMAZURE11[[#This Row],[Coût estimé 
Disk2 / mois]]+TabVMAZURE11[[#This Row],[Coût estimé 
Disk3 / mois]]+TabVMAZURE11[[#This Row],[Coût estimé 
Disk4 / mois]])</f>
        <v>1.425</v>
      </c>
      <c r="X15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1.4303999999999999</v>
      </c>
      <c r="Y15" s="34">
        <f>SUM(TabVMAZURE11[[#This Row],[Coût estimé 
VM / mois]],TabVMAZURE11[[#This Row],[Coût estimé 
Disk Total / mois]])</f>
        <v>5.8250000000000002</v>
      </c>
      <c r="Z15" s="34">
        <f>TabVMAZURE11[[#This Row],[Coût estimé 
total / mois
sans
sauvegarde]]+TabVMAZURE11[[#This Row],[Coût estimé 
sauvegarde
Disk Total / mois]]</f>
        <v>7.2553999999999998</v>
      </c>
      <c r="AA15">
        <v>7.8000000000000007</v>
      </c>
      <c r="AB15" s="22" t="str">
        <f>IF(TabVMAZURE11[[#This Row],[Coût estimé 
total / mois
avec 1 
sauvegarde]]&lt;TabVMAZURE11[[#This Row],[Coût OT]],"OUI","NON")</f>
        <v>OUI</v>
      </c>
    </row>
    <row r="16" spans="1:28" x14ac:dyDescent="0.25">
      <c r="A16" t="s">
        <v>257</v>
      </c>
      <c r="B16" t="s">
        <v>215</v>
      </c>
      <c r="C16" t="s">
        <v>252</v>
      </c>
      <c r="D16" t="s">
        <v>232</v>
      </c>
      <c r="E16" t="s">
        <v>218</v>
      </c>
      <c r="F16" t="s">
        <v>218</v>
      </c>
      <c r="G16" t="s">
        <v>218</v>
      </c>
      <c r="H16" s="17">
        <v>0.33333333333333331</v>
      </c>
      <c r="I16" s="17">
        <v>0.79166666666666663</v>
      </c>
      <c r="J16" s="22">
        <f>(((TabVMAZURE11[[#This Row],[Auto Stop]]-INT(TabVMAZURE11[[#This Row],[Auto Stop]]))*24)-((TabVMAZURE11[[#This Row],[Auto Start]]-INT(TabVMAZURE11[[#This Row],[Auto Start]]))*24))</f>
        <v>11</v>
      </c>
      <c r="K16" s="22">
        <v>20</v>
      </c>
      <c r="L16" s="22">
        <f>TabVMAZURE11[[#This Row],[Activité 
par jours]]*TabVMAZURE11[[#This Row],[Jours / Mois]]</f>
        <v>220</v>
      </c>
      <c r="M16" s="22">
        <f>INDEX(ListeVMAzureCoûts,MATCH(TabVMAZURE11[[#This Row],[VMAzureSize]],ListeVMAzureSize,0),MATCH(TabVMAZURE11[[#This Row],[Système]],ListeSystèmes,0))</f>
        <v>0.1704</v>
      </c>
      <c r="N16" s="22">
        <f>TabVMAZURE11[[#This Row],[Activité 
par mois]]*TabVMAZURE11[[#This Row],[Coût horaire VM]]</f>
        <v>37.488</v>
      </c>
      <c r="O16" s="22">
        <f>INDEX(TabVMAzureDisk[Coût / mois],MATCH(TabVMAZURE11[[#This Row],[VMAzureDisk]],TabVMAzureDisk[VMAzureDisk],0))</f>
        <v>2.79</v>
      </c>
      <c r="P16" s="22">
        <f>INDEX(TabVMAzureDisk[Coût / mois Sauvegarde],MATCH(TabVMAZURE11[[#This Row],[VMAzureDisk]],TabVMAzureDisk[VMAzureDisk],0))</f>
        <v>2.8607999999999998</v>
      </c>
      <c r="Q16" s="22">
        <f>INDEX(TabVMAzureDisk[Coût / mois],MATCH(TabVMAZURE11[[#This Row],[VMAzureDisk2]],TabVMAzureDisk[VMAzureDisk],0))</f>
        <v>0</v>
      </c>
      <c r="R16" s="22">
        <f>INDEX(TabVMAzureDisk[Coût / mois Sauvegarde],MATCH(TabVMAZURE11[[#This Row],[VMAzureDisk2]],TabVMAzureDisk[VMAzureDisk],0))</f>
        <v>0</v>
      </c>
      <c r="S16" s="22">
        <f>INDEX(TabVMAzureDisk[Coût / mois],MATCH(TabVMAZURE11[[#This Row],[VMAzureDisk3]],TabVMAzureDisk[VMAzureDisk],0))</f>
        <v>0</v>
      </c>
      <c r="T16" s="22">
        <f>INDEX(TabVMAzureDisk[Coût / mois Sauvegarde],MATCH(TabVMAZURE11[[#This Row],[VMAzureDisk3]],TabVMAzureDisk[VMAzureDisk],0))</f>
        <v>0</v>
      </c>
      <c r="U16" s="22">
        <f>INDEX(TabVMAzureDisk[Coût / mois],MATCH(TabVMAZURE11[[#This Row],[VMAzureDisk4]],TabVMAzureDisk[VMAzureDisk],0))</f>
        <v>0</v>
      </c>
      <c r="V16" s="22">
        <f>INDEX(TabVMAzureDisk[Coût / mois Sauvegarde],MATCH(TabVMAZURE11[[#This Row],[VMAzureDisk4]],TabVMAzureDisk[VMAzureDisk],0))</f>
        <v>0</v>
      </c>
      <c r="W16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16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16" s="34">
        <f>SUM(TabVMAZURE11[[#This Row],[Coût estimé 
VM / mois]],TabVMAZURE11[[#This Row],[Coût estimé 
Disk Total / mois]])</f>
        <v>40.277999999999999</v>
      </c>
      <c r="Z16" s="34">
        <f>TabVMAZURE11[[#This Row],[Coût estimé 
total / mois
sans
sauvegarde]]+TabVMAZURE11[[#This Row],[Coût estimé 
sauvegarde
Disk Total / mois]]</f>
        <v>43.138799999999996</v>
      </c>
      <c r="AA16">
        <v>19.260000000000002</v>
      </c>
      <c r="AB16" s="22" t="str">
        <f>IF(TabVMAZURE11[[#This Row],[Coût estimé 
total / mois
avec 1 
sauvegarde]]&lt;TabVMAZURE11[[#This Row],[Coût OT]],"OUI","NON")</f>
        <v>NON</v>
      </c>
    </row>
    <row r="17" spans="1:28" x14ac:dyDescent="0.25">
      <c r="A17" t="s">
        <v>258</v>
      </c>
      <c r="B17" t="s">
        <v>215</v>
      </c>
      <c r="C17" t="s">
        <v>228</v>
      </c>
      <c r="D17" t="s">
        <v>220</v>
      </c>
      <c r="E17" t="s">
        <v>218</v>
      </c>
      <c r="F17" t="s">
        <v>218</v>
      </c>
      <c r="G17" t="s">
        <v>218</v>
      </c>
      <c r="H17" s="17">
        <v>0.33333333333333331</v>
      </c>
      <c r="I17" s="17">
        <v>0.79166666666666663</v>
      </c>
      <c r="J17" s="22">
        <f>(((TabVMAZURE11[[#This Row],[Auto Stop]]-INT(TabVMAZURE11[[#This Row],[Auto Stop]]))*24)-((TabVMAZURE11[[#This Row],[Auto Start]]-INT(TabVMAZURE11[[#This Row],[Auto Start]]))*24))</f>
        <v>11</v>
      </c>
      <c r="K17" s="22">
        <v>20</v>
      </c>
      <c r="L17" s="22">
        <f>TabVMAZURE11[[#This Row],[Activité 
par jours]]*TabVMAZURE11[[#This Row],[Jours / Mois]]</f>
        <v>220</v>
      </c>
      <c r="M17" s="22">
        <f>INDEX(ListeVMAzureCoûts,MATCH(TabVMAZURE11[[#This Row],[VMAzureSize]],ListeVMAzureSize,0),MATCH(TabVMAZURE11[[#This Row],[Système]],ListeSystèmes,0))</f>
        <v>3.9899999999999998E-2</v>
      </c>
      <c r="N17" s="22">
        <f>TabVMAZURE11[[#This Row],[Activité 
par mois]]*TabVMAZURE11[[#This Row],[Coût horaire VM]]</f>
        <v>8.7779999999999987</v>
      </c>
      <c r="O17" s="22">
        <f>INDEX(TabVMAzureDisk[Coût / mois],MATCH(TabVMAZURE11[[#This Row],[VMAzureDisk]],TabVMAzureDisk[VMAzureDisk],0))</f>
        <v>1.425</v>
      </c>
      <c r="P17" s="22">
        <f>INDEX(TabVMAzureDisk[Coût / mois Sauvegarde],MATCH(TabVMAZURE11[[#This Row],[VMAzureDisk]],TabVMAzureDisk[VMAzureDisk],0))</f>
        <v>1.4303999999999999</v>
      </c>
      <c r="Q17" s="22">
        <f>INDEX(TabVMAzureDisk[Coût / mois],MATCH(TabVMAZURE11[[#This Row],[VMAzureDisk2]],TabVMAzureDisk[VMAzureDisk],0))</f>
        <v>0</v>
      </c>
      <c r="R17" s="22">
        <f>INDEX(TabVMAzureDisk[Coût / mois Sauvegarde],MATCH(TabVMAZURE11[[#This Row],[VMAzureDisk2]],TabVMAzureDisk[VMAzureDisk],0))</f>
        <v>0</v>
      </c>
      <c r="S17" s="22">
        <f>INDEX(TabVMAzureDisk[Coût / mois],MATCH(TabVMAZURE11[[#This Row],[VMAzureDisk3]],TabVMAzureDisk[VMAzureDisk],0))</f>
        <v>0</v>
      </c>
      <c r="T17" s="22">
        <f>INDEX(TabVMAzureDisk[Coût / mois Sauvegarde],MATCH(TabVMAZURE11[[#This Row],[VMAzureDisk3]],TabVMAzureDisk[VMAzureDisk],0))</f>
        <v>0</v>
      </c>
      <c r="U17" s="22">
        <f>INDEX(TabVMAzureDisk[Coût / mois],MATCH(TabVMAZURE11[[#This Row],[VMAzureDisk4]],TabVMAzureDisk[VMAzureDisk],0))</f>
        <v>0</v>
      </c>
      <c r="V17" s="22">
        <f>INDEX(TabVMAzureDisk[Coût / mois Sauvegarde],MATCH(TabVMAZURE11[[#This Row],[VMAzureDisk4]],TabVMAzureDisk[VMAzureDisk],0))</f>
        <v>0</v>
      </c>
      <c r="W17" s="22">
        <f>SUM(TabVMAZURE11[[#This Row],[Coût estimé 
Disk1 / mois]]+TabVMAZURE11[[#This Row],[Coût estimé 
Disk2 / mois]]+TabVMAZURE11[[#This Row],[Coût estimé 
Disk3 / mois]]+TabVMAZURE11[[#This Row],[Coût estimé 
Disk4 / mois]])</f>
        <v>1.425</v>
      </c>
      <c r="X17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1.4303999999999999</v>
      </c>
      <c r="Y17" s="34">
        <f>SUM(TabVMAZURE11[[#This Row],[Coût estimé 
VM / mois]],TabVMAZURE11[[#This Row],[Coût estimé 
Disk Total / mois]])</f>
        <v>10.202999999999999</v>
      </c>
      <c r="Z17" s="34">
        <f>TabVMAZURE11[[#This Row],[Coût estimé 
total / mois
sans
sauvegarde]]+TabVMAZURE11[[#This Row],[Coût estimé 
sauvegarde
Disk Total / mois]]</f>
        <v>11.6334</v>
      </c>
      <c r="AA17">
        <v>13.3</v>
      </c>
      <c r="AB17" s="22" t="str">
        <f>IF(TabVMAZURE11[[#This Row],[Coût estimé 
total / mois
avec 1 
sauvegarde]]&lt;TabVMAZURE11[[#This Row],[Coût OT]],"OUI","NON")</f>
        <v>OUI</v>
      </c>
    </row>
    <row r="18" spans="1:28" x14ac:dyDescent="0.25">
      <c r="A18" t="s">
        <v>259</v>
      </c>
      <c r="B18" t="s">
        <v>215</v>
      </c>
      <c r="C18" t="s">
        <v>228</v>
      </c>
      <c r="D18" t="s">
        <v>223</v>
      </c>
      <c r="E18" t="s">
        <v>218</v>
      </c>
      <c r="F18" t="s">
        <v>218</v>
      </c>
      <c r="G18" t="s">
        <v>218</v>
      </c>
      <c r="H18" s="17">
        <v>0.33333333333333331</v>
      </c>
      <c r="I18" s="17">
        <v>0.79166666666666663</v>
      </c>
      <c r="J18" s="22">
        <f>(((TabVMAZURE11[[#This Row],[Auto Stop]]-INT(TabVMAZURE11[[#This Row],[Auto Stop]]))*24)-((TabVMAZURE11[[#This Row],[Auto Start]]-INT(TabVMAZURE11[[#This Row],[Auto Start]]))*24))</f>
        <v>11</v>
      </c>
      <c r="K18" s="22">
        <v>20</v>
      </c>
      <c r="L18" s="22">
        <f>TabVMAZURE11[[#This Row],[Activité 
par jours]]*TabVMAZURE11[[#This Row],[Jours / Mois]]</f>
        <v>220</v>
      </c>
      <c r="M18" s="22">
        <f>INDEX(ListeVMAzureCoûts,MATCH(TabVMAZURE11[[#This Row],[VMAzureSize]],ListeVMAzureSize,0),MATCH(TabVMAZURE11[[#This Row],[Système]],ListeSystèmes,0))</f>
        <v>3.9899999999999998E-2</v>
      </c>
      <c r="N18" s="22">
        <f>TabVMAZURE11[[#This Row],[Activité 
par mois]]*TabVMAZURE11[[#This Row],[Coût horaire VM]]</f>
        <v>8.7779999999999987</v>
      </c>
      <c r="O18" s="22">
        <f>INDEX(TabVMAzureDisk[Coût / mois],MATCH(TabVMAZURE11[[#This Row],[VMAzureDisk]],TabVMAzureDisk[VMAzureDisk],0))</f>
        <v>5.5010000000000003</v>
      </c>
      <c r="P18" s="22">
        <f>INDEX(TabVMAzureDisk[Coût / mois Sauvegarde],MATCH(TabVMAZURE11[[#This Row],[VMAzureDisk]],TabVMAzureDisk[VMAzureDisk],0))</f>
        <v>5.7215999999999996</v>
      </c>
      <c r="Q18" s="22">
        <f>INDEX(TabVMAzureDisk[Coût / mois],MATCH(TabVMAZURE11[[#This Row],[VMAzureDisk2]],TabVMAzureDisk[VMAzureDisk],0))</f>
        <v>0</v>
      </c>
      <c r="R18" s="22">
        <f>INDEX(TabVMAzureDisk[Coût / mois Sauvegarde],MATCH(TabVMAZURE11[[#This Row],[VMAzureDisk2]],TabVMAzureDisk[VMAzureDisk],0))</f>
        <v>0</v>
      </c>
      <c r="S18" s="22">
        <f>INDEX(TabVMAzureDisk[Coût / mois],MATCH(TabVMAZURE11[[#This Row],[VMAzureDisk3]],TabVMAzureDisk[VMAzureDisk],0))</f>
        <v>0</v>
      </c>
      <c r="T18" s="22">
        <f>INDEX(TabVMAzureDisk[Coût / mois Sauvegarde],MATCH(TabVMAZURE11[[#This Row],[VMAzureDisk3]],TabVMAzureDisk[VMAzureDisk],0))</f>
        <v>0</v>
      </c>
      <c r="U18" s="22">
        <f>INDEX(TabVMAzureDisk[Coût / mois],MATCH(TabVMAZURE11[[#This Row],[VMAzureDisk4]],TabVMAzureDisk[VMAzureDisk],0))</f>
        <v>0</v>
      </c>
      <c r="V18" s="22">
        <f>INDEX(TabVMAzureDisk[Coût / mois Sauvegarde],MATCH(TabVMAZURE11[[#This Row],[VMAzureDisk4]],TabVMAzureDisk[VMAzureDisk],0))</f>
        <v>0</v>
      </c>
      <c r="W18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18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18" s="34">
        <f>SUM(TabVMAZURE11[[#This Row],[Coût estimé 
VM / mois]],TabVMAZURE11[[#This Row],[Coût estimé 
Disk Total / mois]])</f>
        <v>14.279</v>
      </c>
      <c r="Z18" s="34">
        <f>TabVMAZURE11[[#This Row],[Coût estimé 
total / mois
sans
sauvegarde]]+TabVMAZURE11[[#This Row],[Coût estimé 
sauvegarde
Disk Total / mois]]</f>
        <v>20.000599999999999</v>
      </c>
      <c r="AA18">
        <v>20.45</v>
      </c>
      <c r="AB18" s="22" t="str">
        <f>IF(TabVMAZURE11[[#This Row],[Coût estimé 
total / mois
avec 1 
sauvegarde]]&lt;TabVMAZURE11[[#This Row],[Coût OT]],"OUI","NON")</f>
        <v>OUI</v>
      </c>
    </row>
    <row r="19" spans="1:28" x14ac:dyDescent="0.25">
      <c r="A19" t="s">
        <v>260</v>
      </c>
      <c r="B19" t="s">
        <v>225</v>
      </c>
      <c r="C19" t="s">
        <v>228</v>
      </c>
      <c r="D19" t="s">
        <v>246</v>
      </c>
      <c r="E19" t="s">
        <v>218</v>
      </c>
      <c r="F19" t="s">
        <v>218</v>
      </c>
      <c r="G19" t="s">
        <v>218</v>
      </c>
      <c r="H19" s="17">
        <v>0.33333333333333331</v>
      </c>
      <c r="I19" s="17">
        <v>0.79166666666666663</v>
      </c>
      <c r="J19" s="22">
        <f>(((TabVMAZURE11[[#This Row],[Auto Stop]]-INT(TabVMAZURE11[[#This Row],[Auto Stop]]))*24)-((TabVMAZURE11[[#This Row],[Auto Start]]-INT(TabVMAZURE11[[#This Row],[Auto Start]]))*24))</f>
        <v>11</v>
      </c>
      <c r="K19" s="22">
        <v>20</v>
      </c>
      <c r="L19" s="22">
        <f>TabVMAZURE11[[#This Row],[Activité 
par jours]]*TabVMAZURE11[[#This Row],[Jours / Mois]]</f>
        <v>220</v>
      </c>
      <c r="M19" s="22">
        <f>INDEX(ListeVMAzureCoûts,MATCH(TabVMAZURE11[[#This Row],[VMAzureSize]],ListeVMAzureSize,0),MATCH(TabVMAZURE11[[#This Row],[Système]],ListeSystèmes,0))</f>
        <v>5.0599999999999999E-2</v>
      </c>
      <c r="N19" s="22">
        <f>TabVMAZURE11[[#This Row],[Activité 
par mois]]*TabVMAZURE11[[#This Row],[Coût horaire VM]]</f>
        <v>11.132</v>
      </c>
      <c r="O19" s="22">
        <f>INDEX(TabVMAzureDisk[Coût / mois],MATCH(TabVMAZURE11[[#This Row],[VMAzureDisk]],TabVMAzureDisk[VMAzureDisk],0))</f>
        <v>20.225000000000001</v>
      </c>
      <c r="P19" s="22">
        <f>INDEX(TabVMAzureDisk[Coût / mois Sauvegarde],MATCH(TabVMAZURE11[[#This Row],[VMAzureDisk]],TabVMAzureDisk[VMAzureDisk],0))</f>
        <v>22.886399999999998</v>
      </c>
      <c r="Q19" s="22">
        <f>INDEX(TabVMAzureDisk[Coût / mois],MATCH(TabVMAZURE11[[#This Row],[VMAzureDisk2]],TabVMAzureDisk[VMAzureDisk],0))</f>
        <v>0</v>
      </c>
      <c r="R19" s="22">
        <f>INDEX(TabVMAzureDisk[Coût / mois Sauvegarde],MATCH(TabVMAZURE11[[#This Row],[VMAzureDisk2]],TabVMAzureDisk[VMAzureDisk],0))</f>
        <v>0</v>
      </c>
      <c r="S19" s="22">
        <f>INDEX(TabVMAzureDisk[Coût / mois],MATCH(TabVMAZURE11[[#This Row],[VMAzureDisk3]],TabVMAzureDisk[VMAzureDisk],0))</f>
        <v>0</v>
      </c>
      <c r="T19" s="22">
        <f>INDEX(TabVMAzureDisk[Coût / mois Sauvegarde],MATCH(TabVMAZURE11[[#This Row],[VMAzureDisk3]],TabVMAzureDisk[VMAzureDisk],0))</f>
        <v>0</v>
      </c>
      <c r="U19" s="22">
        <f>INDEX(TabVMAzureDisk[Coût / mois],MATCH(TabVMAZURE11[[#This Row],[VMAzureDisk4]],TabVMAzureDisk[VMAzureDisk],0))</f>
        <v>0</v>
      </c>
      <c r="V19" s="22">
        <f>INDEX(TabVMAzureDisk[Coût / mois Sauvegarde],MATCH(TabVMAZURE11[[#This Row],[VMAzureDisk4]],TabVMAzureDisk[VMAzureDisk],0))</f>
        <v>0</v>
      </c>
      <c r="W19" s="22">
        <f>SUM(TabVMAZURE11[[#This Row],[Coût estimé 
Disk1 / mois]]+TabVMAZURE11[[#This Row],[Coût estimé 
Disk2 / mois]]+TabVMAZURE11[[#This Row],[Coût estimé 
Disk3 / mois]]+TabVMAZURE11[[#This Row],[Coût estimé 
Disk4 / mois]])</f>
        <v>20.225000000000001</v>
      </c>
      <c r="X19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22.886399999999998</v>
      </c>
      <c r="Y19" s="34">
        <f>SUM(TabVMAZURE11[[#This Row],[Coût estimé 
VM / mois]],TabVMAZURE11[[#This Row],[Coût estimé 
Disk Total / mois]])</f>
        <v>31.356999999999999</v>
      </c>
      <c r="Z19" s="34">
        <f>TabVMAZURE11[[#This Row],[Coût estimé 
total / mois
sans
sauvegarde]]+TabVMAZURE11[[#This Row],[Coût estimé 
sauvegarde
Disk Total / mois]]</f>
        <v>54.243399999999994</v>
      </c>
      <c r="AA19">
        <v>71.95</v>
      </c>
      <c r="AB19" s="22" t="str">
        <f>IF(TabVMAZURE11[[#This Row],[Coût estimé 
total / mois
avec 1 
sauvegarde]]&lt;TabVMAZURE11[[#This Row],[Coût OT]],"OUI","NON")</f>
        <v>OUI</v>
      </c>
    </row>
    <row r="20" spans="1:28" x14ac:dyDescent="0.25">
      <c r="A20" t="s">
        <v>261</v>
      </c>
      <c r="B20" t="s">
        <v>215</v>
      </c>
      <c r="C20" t="s">
        <v>219</v>
      </c>
      <c r="D20" t="s">
        <v>223</v>
      </c>
      <c r="E20" t="s">
        <v>218</v>
      </c>
      <c r="F20" t="s">
        <v>218</v>
      </c>
      <c r="G20" t="s">
        <v>218</v>
      </c>
      <c r="H20" s="17">
        <v>0.33333333333333331</v>
      </c>
      <c r="I20" s="17">
        <v>0.79166666666666663</v>
      </c>
      <c r="J20" s="22">
        <f>(((TabVMAZURE11[[#This Row],[Auto Stop]]-INT(TabVMAZURE11[[#This Row],[Auto Stop]]))*24)-((TabVMAZURE11[[#This Row],[Auto Start]]-INT(TabVMAZURE11[[#This Row],[Auto Start]]))*24))</f>
        <v>11</v>
      </c>
      <c r="K20" s="22">
        <v>20</v>
      </c>
      <c r="L20" s="22">
        <f>TabVMAZURE11[[#This Row],[Activité 
par jours]]*TabVMAZURE11[[#This Row],[Jours / Mois]]</f>
        <v>220</v>
      </c>
      <c r="M20" s="22">
        <f>INDEX(ListeVMAzureCoûts,MATCH(TabVMAZURE11[[#This Row],[VMAzureSize]],ListeVMAzureSize,0),MATCH(TabVMAZURE11[[#This Row],[Système]],ListeSystèmes,0))</f>
        <v>0.02</v>
      </c>
      <c r="N20" s="22">
        <f>TabVMAZURE11[[#This Row],[Activité 
par mois]]*TabVMAZURE11[[#This Row],[Coût horaire VM]]</f>
        <v>4.4000000000000004</v>
      </c>
      <c r="O20" s="22">
        <f>INDEX(TabVMAzureDisk[Coût / mois],MATCH(TabVMAZURE11[[#This Row],[VMAzureDisk]],TabVMAzureDisk[VMAzureDisk],0))</f>
        <v>5.5010000000000003</v>
      </c>
      <c r="P20" s="22">
        <f>INDEX(TabVMAzureDisk[Coût / mois Sauvegarde],MATCH(TabVMAZURE11[[#This Row],[VMAzureDisk]],TabVMAzureDisk[VMAzureDisk],0))</f>
        <v>5.7215999999999996</v>
      </c>
      <c r="Q20" s="22">
        <f>INDEX(TabVMAzureDisk[Coût / mois],MATCH(TabVMAZURE11[[#This Row],[VMAzureDisk2]],TabVMAzureDisk[VMAzureDisk],0))</f>
        <v>0</v>
      </c>
      <c r="R20" s="22">
        <f>INDEX(TabVMAzureDisk[Coût / mois Sauvegarde],MATCH(TabVMAZURE11[[#This Row],[VMAzureDisk2]],TabVMAzureDisk[VMAzureDisk],0))</f>
        <v>0</v>
      </c>
      <c r="S20" s="22">
        <f>INDEX(TabVMAzureDisk[Coût / mois],MATCH(TabVMAZURE11[[#This Row],[VMAzureDisk3]],TabVMAzureDisk[VMAzureDisk],0))</f>
        <v>0</v>
      </c>
      <c r="T20" s="22">
        <f>INDEX(TabVMAzureDisk[Coût / mois Sauvegarde],MATCH(TabVMAZURE11[[#This Row],[VMAzureDisk3]],TabVMAzureDisk[VMAzureDisk],0))</f>
        <v>0</v>
      </c>
      <c r="U20" s="22">
        <f>INDEX(TabVMAzureDisk[Coût / mois],MATCH(TabVMAZURE11[[#This Row],[VMAzureDisk4]],TabVMAzureDisk[VMAzureDisk],0))</f>
        <v>0</v>
      </c>
      <c r="V20" s="22">
        <f>INDEX(TabVMAzureDisk[Coût / mois Sauvegarde],MATCH(TabVMAZURE11[[#This Row],[VMAzureDisk4]],TabVMAzureDisk[VMAzureDisk],0))</f>
        <v>0</v>
      </c>
      <c r="W20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20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20" s="34">
        <f>SUM(TabVMAZURE11[[#This Row],[Coût estimé 
VM / mois]],TabVMAZURE11[[#This Row],[Coût estimé 
Disk Total / mois]])</f>
        <v>9.9009999999999998</v>
      </c>
      <c r="Z20" s="34">
        <f>TabVMAZURE11[[#This Row],[Coût estimé 
total / mois
sans
sauvegarde]]+TabVMAZURE11[[#This Row],[Coût estimé 
sauvegarde
Disk Total / mois]]</f>
        <v>15.622599999999998</v>
      </c>
      <c r="AA20">
        <v>29.650000000000002</v>
      </c>
      <c r="AB20" s="22" t="str">
        <f>IF(TabVMAZURE11[[#This Row],[Coût estimé 
total / mois
avec 1 
sauvegarde]]&lt;TabVMAZURE11[[#This Row],[Coût OT]],"OUI","NON")</f>
        <v>OUI</v>
      </c>
    </row>
    <row r="21" spans="1:28" x14ac:dyDescent="0.25">
      <c r="A21" t="s">
        <v>262</v>
      </c>
      <c r="B21" t="s">
        <v>215</v>
      </c>
      <c r="C21" t="s">
        <v>228</v>
      </c>
      <c r="D21" t="s">
        <v>220</v>
      </c>
      <c r="E21" t="s">
        <v>218</v>
      </c>
      <c r="F21" t="s">
        <v>218</v>
      </c>
      <c r="G21" t="s">
        <v>218</v>
      </c>
      <c r="H21" s="17">
        <v>0.33333333333333331</v>
      </c>
      <c r="I21" s="17">
        <v>0.79166666666666663</v>
      </c>
      <c r="J21" s="22">
        <f>(((TabVMAZURE11[[#This Row],[Auto Stop]]-INT(TabVMAZURE11[[#This Row],[Auto Stop]]))*24)-((TabVMAZURE11[[#This Row],[Auto Start]]-INT(TabVMAZURE11[[#This Row],[Auto Start]]))*24))</f>
        <v>11</v>
      </c>
      <c r="K21" s="22">
        <v>20</v>
      </c>
      <c r="L21" s="22">
        <f>TabVMAZURE11[[#This Row],[Activité 
par jours]]*TabVMAZURE11[[#This Row],[Jours / Mois]]</f>
        <v>220</v>
      </c>
      <c r="M21" s="22">
        <f>INDEX(ListeVMAzureCoûts,MATCH(TabVMAZURE11[[#This Row],[VMAzureSize]],ListeVMAzureSize,0),MATCH(TabVMAZURE11[[#This Row],[Système]],ListeSystèmes,0))</f>
        <v>3.9899999999999998E-2</v>
      </c>
      <c r="N21" s="22">
        <f>TabVMAZURE11[[#This Row],[Activité 
par mois]]*TabVMAZURE11[[#This Row],[Coût horaire VM]]</f>
        <v>8.7779999999999987</v>
      </c>
      <c r="O21" s="22">
        <f>INDEX(TabVMAzureDisk[Coût / mois],MATCH(TabVMAZURE11[[#This Row],[VMAzureDisk]],TabVMAzureDisk[VMAzureDisk],0))</f>
        <v>1.425</v>
      </c>
      <c r="P21" s="22">
        <f>INDEX(TabVMAzureDisk[Coût / mois Sauvegarde],MATCH(TabVMAZURE11[[#This Row],[VMAzureDisk]],TabVMAzureDisk[VMAzureDisk],0))</f>
        <v>1.4303999999999999</v>
      </c>
      <c r="Q21" s="22">
        <f>INDEX(TabVMAzureDisk[Coût / mois],MATCH(TabVMAZURE11[[#This Row],[VMAzureDisk2]],TabVMAzureDisk[VMAzureDisk],0))</f>
        <v>0</v>
      </c>
      <c r="R21" s="22">
        <f>INDEX(TabVMAzureDisk[Coût / mois Sauvegarde],MATCH(TabVMAZURE11[[#This Row],[VMAzureDisk2]],TabVMAzureDisk[VMAzureDisk],0))</f>
        <v>0</v>
      </c>
      <c r="S21" s="22">
        <f>INDEX(TabVMAzureDisk[Coût / mois],MATCH(TabVMAZURE11[[#This Row],[VMAzureDisk3]],TabVMAzureDisk[VMAzureDisk],0))</f>
        <v>0</v>
      </c>
      <c r="T21" s="22">
        <f>INDEX(TabVMAzureDisk[Coût / mois Sauvegarde],MATCH(TabVMAZURE11[[#This Row],[VMAzureDisk3]],TabVMAzureDisk[VMAzureDisk],0))</f>
        <v>0</v>
      </c>
      <c r="U21" s="22">
        <f>INDEX(TabVMAzureDisk[Coût / mois],MATCH(TabVMAZURE11[[#This Row],[VMAzureDisk4]],TabVMAzureDisk[VMAzureDisk],0))</f>
        <v>0</v>
      </c>
      <c r="V21" s="22">
        <f>INDEX(TabVMAzureDisk[Coût / mois Sauvegarde],MATCH(TabVMAZURE11[[#This Row],[VMAzureDisk4]],TabVMAzureDisk[VMAzureDisk],0))</f>
        <v>0</v>
      </c>
      <c r="W21" s="22">
        <f>SUM(TabVMAZURE11[[#This Row],[Coût estimé 
Disk1 / mois]]+TabVMAZURE11[[#This Row],[Coût estimé 
Disk2 / mois]]+TabVMAZURE11[[#This Row],[Coût estimé 
Disk3 / mois]]+TabVMAZURE11[[#This Row],[Coût estimé 
Disk4 / mois]])</f>
        <v>1.425</v>
      </c>
      <c r="X21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1.4303999999999999</v>
      </c>
      <c r="Y21" s="34">
        <f>SUM(TabVMAZURE11[[#This Row],[Coût estimé 
VM / mois]],TabVMAZURE11[[#This Row],[Coût estimé 
Disk Total / mois]])</f>
        <v>10.202999999999999</v>
      </c>
      <c r="Z21" s="34">
        <f>TabVMAZURE11[[#This Row],[Coût estimé 
total / mois
sans
sauvegarde]]+TabVMAZURE11[[#This Row],[Coût estimé 
sauvegarde
Disk Total / mois]]</f>
        <v>11.6334</v>
      </c>
      <c r="AA21">
        <v>11.690000000000001</v>
      </c>
      <c r="AB21" s="22" t="str">
        <f>IF(TabVMAZURE11[[#This Row],[Coût estimé 
total / mois
avec 1 
sauvegarde]]&lt;TabVMAZURE11[[#This Row],[Coût OT]],"OUI","NON")</f>
        <v>OUI</v>
      </c>
    </row>
    <row r="22" spans="1:28" x14ac:dyDescent="0.25">
      <c r="A22" t="s">
        <v>263</v>
      </c>
      <c r="B22" t="s">
        <v>215</v>
      </c>
      <c r="C22" t="s">
        <v>219</v>
      </c>
      <c r="D22" t="s">
        <v>220</v>
      </c>
      <c r="E22" t="s">
        <v>218</v>
      </c>
      <c r="F22" t="s">
        <v>218</v>
      </c>
      <c r="G22" t="s">
        <v>218</v>
      </c>
      <c r="H22" s="17">
        <v>0.33333333333333331</v>
      </c>
      <c r="I22" s="17">
        <v>0.79166666666666663</v>
      </c>
      <c r="J22" s="22">
        <f>(((TabVMAZURE11[[#This Row],[Auto Stop]]-INT(TabVMAZURE11[[#This Row],[Auto Stop]]))*24)-((TabVMAZURE11[[#This Row],[Auto Start]]-INT(TabVMAZURE11[[#This Row],[Auto Start]]))*24))</f>
        <v>11</v>
      </c>
      <c r="K22" s="22">
        <v>20</v>
      </c>
      <c r="L22" s="22">
        <f>TabVMAZURE11[[#This Row],[Activité 
par jours]]*TabVMAZURE11[[#This Row],[Jours / Mois]]</f>
        <v>220</v>
      </c>
      <c r="M22" s="22">
        <f>INDEX(ListeVMAzureCoûts,MATCH(TabVMAZURE11[[#This Row],[VMAzureSize]],ListeVMAzureSize,0),MATCH(TabVMAZURE11[[#This Row],[Système]],ListeSystèmes,0))</f>
        <v>0.02</v>
      </c>
      <c r="N22" s="22">
        <f>TabVMAZURE11[[#This Row],[Activité 
par mois]]*TabVMAZURE11[[#This Row],[Coût horaire VM]]</f>
        <v>4.4000000000000004</v>
      </c>
      <c r="O22" s="22">
        <f>INDEX(TabVMAzureDisk[Coût / mois],MATCH(TabVMAZURE11[[#This Row],[VMAzureDisk]],TabVMAzureDisk[VMAzureDisk],0))</f>
        <v>1.425</v>
      </c>
      <c r="P22" s="22">
        <f>INDEX(TabVMAzureDisk[Coût / mois Sauvegarde],MATCH(TabVMAZURE11[[#This Row],[VMAzureDisk]],TabVMAzureDisk[VMAzureDisk],0))</f>
        <v>1.4303999999999999</v>
      </c>
      <c r="Q22" s="22">
        <f>INDEX(TabVMAzureDisk[Coût / mois],MATCH(TabVMAZURE11[[#This Row],[VMAzureDisk2]],TabVMAzureDisk[VMAzureDisk],0))</f>
        <v>0</v>
      </c>
      <c r="R22" s="22">
        <f>INDEX(TabVMAzureDisk[Coût / mois Sauvegarde],MATCH(TabVMAZURE11[[#This Row],[VMAzureDisk2]],TabVMAzureDisk[VMAzureDisk],0))</f>
        <v>0</v>
      </c>
      <c r="S22" s="22">
        <f>INDEX(TabVMAzureDisk[Coût / mois],MATCH(TabVMAZURE11[[#This Row],[VMAzureDisk3]],TabVMAzureDisk[VMAzureDisk],0))</f>
        <v>0</v>
      </c>
      <c r="T22" s="22">
        <f>INDEX(TabVMAzureDisk[Coût / mois Sauvegarde],MATCH(TabVMAZURE11[[#This Row],[VMAzureDisk3]],TabVMAzureDisk[VMAzureDisk],0))</f>
        <v>0</v>
      </c>
      <c r="U22" s="22">
        <f>INDEX(TabVMAzureDisk[Coût / mois],MATCH(TabVMAZURE11[[#This Row],[VMAzureDisk4]],TabVMAzureDisk[VMAzureDisk],0))</f>
        <v>0</v>
      </c>
      <c r="V22" s="22">
        <f>INDEX(TabVMAzureDisk[Coût / mois Sauvegarde],MATCH(TabVMAZURE11[[#This Row],[VMAzureDisk4]],TabVMAzureDisk[VMAzureDisk],0))</f>
        <v>0</v>
      </c>
      <c r="W22" s="22">
        <f>SUM(TabVMAZURE11[[#This Row],[Coût estimé 
Disk1 / mois]]+TabVMAZURE11[[#This Row],[Coût estimé 
Disk2 / mois]]+TabVMAZURE11[[#This Row],[Coût estimé 
Disk3 / mois]]+TabVMAZURE11[[#This Row],[Coût estimé 
Disk4 / mois]])</f>
        <v>1.425</v>
      </c>
      <c r="X22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1.4303999999999999</v>
      </c>
      <c r="Y22" s="34">
        <f>SUM(TabVMAZURE11[[#This Row],[Coût estimé 
VM / mois]],TabVMAZURE11[[#This Row],[Coût estimé 
Disk Total / mois]])</f>
        <v>5.8250000000000002</v>
      </c>
      <c r="Z22" s="34">
        <f>TabVMAZURE11[[#This Row],[Coût estimé 
total / mois
sans
sauvegarde]]+TabVMAZURE11[[#This Row],[Coût estimé 
sauvegarde
Disk Total / mois]]</f>
        <v>7.2553999999999998</v>
      </c>
      <c r="AA22">
        <v>6.43</v>
      </c>
      <c r="AB22" s="22" t="str">
        <f>IF(TabVMAZURE11[[#This Row],[Coût estimé 
total / mois
avec 1 
sauvegarde]]&lt;TabVMAZURE11[[#This Row],[Coût OT]],"OUI","NON")</f>
        <v>NON</v>
      </c>
    </row>
    <row r="23" spans="1:28" x14ac:dyDescent="0.25">
      <c r="A23" t="s">
        <v>264</v>
      </c>
      <c r="B23" t="s">
        <v>215</v>
      </c>
      <c r="C23" t="s">
        <v>219</v>
      </c>
      <c r="D23" t="s">
        <v>220</v>
      </c>
      <c r="E23" t="s">
        <v>218</v>
      </c>
      <c r="F23" t="s">
        <v>218</v>
      </c>
      <c r="G23" t="s">
        <v>218</v>
      </c>
      <c r="H23" s="17">
        <v>0.33333333333333331</v>
      </c>
      <c r="I23" s="17">
        <v>0.79166666666666663</v>
      </c>
      <c r="J23" s="22">
        <f>(((TabVMAZURE11[[#This Row],[Auto Stop]]-INT(TabVMAZURE11[[#This Row],[Auto Stop]]))*24)-((TabVMAZURE11[[#This Row],[Auto Start]]-INT(TabVMAZURE11[[#This Row],[Auto Start]]))*24))</f>
        <v>11</v>
      </c>
      <c r="K23" s="22">
        <v>20</v>
      </c>
      <c r="L23" s="22">
        <f>TabVMAZURE11[[#This Row],[Activité 
par jours]]*TabVMAZURE11[[#This Row],[Jours / Mois]]</f>
        <v>220</v>
      </c>
      <c r="M23" s="22">
        <f>INDEX(ListeVMAzureCoûts,MATCH(TabVMAZURE11[[#This Row],[VMAzureSize]],ListeVMAzureSize,0),MATCH(TabVMAZURE11[[#This Row],[Système]],ListeSystèmes,0))</f>
        <v>0.02</v>
      </c>
      <c r="N23" s="22">
        <f>TabVMAZURE11[[#This Row],[Activité 
par mois]]*TabVMAZURE11[[#This Row],[Coût horaire VM]]</f>
        <v>4.4000000000000004</v>
      </c>
      <c r="O23" s="22">
        <f>INDEX(TabVMAzureDisk[Coût / mois],MATCH(TabVMAZURE11[[#This Row],[VMAzureDisk]],TabVMAzureDisk[VMAzureDisk],0))</f>
        <v>1.425</v>
      </c>
      <c r="P23" s="22">
        <f>INDEX(TabVMAzureDisk[Coût / mois Sauvegarde],MATCH(TabVMAZURE11[[#This Row],[VMAzureDisk]],TabVMAzureDisk[VMAzureDisk],0))</f>
        <v>1.4303999999999999</v>
      </c>
      <c r="Q23" s="22">
        <f>INDEX(TabVMAzureDisk[Coût / mois],MATCH(TabVMAZURE11[[#This Row],[VMAzureDisk2]],TabVMAzureDisk[VMAzureDisk],0))</f>
        <v>0</v>
      </c>
      <c r="R23" s="22">
        <f>INDEX(TabVMAzureDisk[Coût / mois Sauvegarde],MATCH(TabVMAZURE11[[#This Row],[VMAzureDisk2]],TabVMAzureDisk[VMAzureDisk],0))</f>
        <v>0</v>
      </c>
      <c r="S23" s="22">
        <f>INDEX(TabVMAzureDisk[Coût / mois],MATCH(TabVMAZURE11[[#This Row],[VMAzureDisk3]],TabVMAzureDisk[VMAzureDisk],0))</f>
        <v>0</v>
      </c>
      <c r="T23" s="22">
        <f>INDEX(TabVMAzureDisk[Coût / mois Sauvegarde],MATCH(TabVMAZURE11[[#This Row],[VMAzureDisk3]],TabVMAzureDisk[VMAzureDisk],0))</f>
        <v>0</v>
      </c>
      <c r="U23" s="22">
        <f>INDEX(TabVMAzureDisk[Coût / mois],MATCH(TabVMAZURE11[[#This Row],[VMAzureDisk4]],TabVMAzureDisk[VMAzureDisk],0))</f>
        <v>0</v>
      </c>
      <c r="V23" s="22">
        <f>INDEX(TabVMAzureDisk[Coût / mois Sauvegarde],MATCH(TabVMAZURE11[[#This Row],[VMAzureDisk4]],TabVMAzureDisk[VMAzureDisk],0))</f>
        <v>0</v>
      </c>
      <c r="W23" s="22">
        <f>SUM(TabVMAZURE11[[#This Row],[Coût estimé 
Disk1 / mois]]+TabVMAZURE11[[#This Row],[Coût estimé 
Disk2 / mois]]+TabVMAZURE11[[#This Row],[Coût estimé 
Disk3 / mois]]+TabVMAZURE11[[#This Row],[Coût estimé 
Disk4 / mois]])</f>
        <v>1.425</v>
      </c>
      <c r="X23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1.4303999999999999</v>
      </c>
      <c r="Y23" s="34">
        <f>SUM(TabVMAZURE11[[#This Row],[Coût estimé 
VM / mois]],TabVMAZURE11[[#This Row],[Coût estimé 
Disk Total / mois]])</f>
        <v>5.8250000000000002</v>
      </c>
      <c r="Z23" s="34">
        <f>TabVMAZURE11[[#This Row],[Coût estimé 
total / mois
sans
sauvegarde]]+TabVMAZURE11[[#This Row],[Coût estimé 
sauvegarde
Disk Total / mois]]</f>
        <v>7.2553999999999998</v>
      </c>
      <c r="AA23">
        <v>7.8000000000000007</v>
      </c>
      <c r="AB23" s="22" t="str">
        <f>IF(TabVMAZURE11[[#This Row],[Coût estimé 
total / mois
avec 1 
sauvegarde]]&lt;TabVMAZURE11[[#This Row],[Coût OT]],"OUI","NON")</f>
        <v>OUI</v>
      </c>
    </row>
    <row r="24" spans="1:28" x14ac:dyDescent="0.25">
      <c r="A24" t="s">
        <v>265</v>
      </c>
      <c r="B24" t="s">
        <v>225</v>
      </c>
      <c r="C24" t="s">
        <v>219</v>
      </c>
      <c r="D24" t="s">
        <v>248</v>
      </c>
      <c r="E24" t="s">
        <v>218</v>
      </c>
      <c r="F24" t="s">
        <v>218</v>
      </c>
      <c r="G24" t="s">
        <v>218</v>
      </c>
      <c r="H24" s="17">
        <v>0.33333333333333331</v>
      </c>
      <c r="I24" s="17">
        <v>0.79166666666666663</v>
      </c>
      <c r="J24" s="22">
        <f>(((TabVMAZURE11[[#This Row],[Auto Stop]]-INT(TabVMAZURE11[[#This Row],[Auto Stop]]))*24)-((TabVMAZURE11[[#This Row],[Auto Start]]-INT(TabVMAZURE11[[#This Row],[Auto Start]]))*24))</f>
        <v>11</v>
      </c>
      <c r="K24" s="22">
        <v>20</v>
      </c>
      <c r="L24" s="22">
        <f>TabVMAZURE11[[#This Row],[Activité 
par jours]]*TabVMAZURE11[[#This Row],[Jours / Mois]]</f>
        <v>220</v>
      </c>
      <c r="M24" s="22">
        <f>INDEX(ListeVMAzureCoûts,MATCH(TabVMAZURE11[[#This Row],[VMAzureSize]],ListeVMAzureSize,0),MATCH(TabVMAZURE11[[#This Row],[Système]],ListeSystèmes,0))</f>
        <v>2.53E-2</v>
      </c>
      <c r="N24" s="22">
        <f>TabVMAZURE11[[#This Row],[Activité 
par mois]]*TabVMAZURE11[[#This Row],[Coût horaire VM]]</f>
        <v>5.5659999999999998</v>
      </c>
      <c r="O24" s="22">
        <f>INDEX(TabVMAzureDisk[Coût / mois],MATCH(TabVMAZURE11[[#This Row],[VMAzureDisk]],TabVMAzureDisk[VMAzureDisk],0))</f>
        <v>10.547000000000001</v>
      </c>
      <c r="P24" s="22">
        <f>INDEX(TabVMAzureDisk[Coût / mois Sauvegarde],MATCH(TabVMAZURE11[[#This Row],[VMAzureDisk]],TabVMAzureDisk[VMAzureDisk],0))</f>
        <v>11.443199999999999</v>
      </c>
      <c r="Q24" s="22">
        <f>INDEX(TabVMAzureDisk[Coût / mois],MATCH(TabVMAZURE11[[#This Row],[VMAzureDisk2]],TabVMAzureDisk[VMAzureDisk],0))</f>
        <v>0</v>
      </c>
      <c r="R24" s="22">
        <f>INDEX(TabVMAzureDisk[Coût / mois Sauvegarde],MATCH(TabVMAZURE11[[#This Row],[VMAzureDisk2]],TabVMAzureDisk[VMAzureDisk],0))</f>
        <v>0</v>
      </c>
      <c r="S24" s="22">
        <f>INDEX(TabVMAzureDisk[Coût / mois],MATCH(TabVMAZURE11[[#This Row],[VMAzureDisk3]],TabVMAzureDisk[VMAzureDisk],0))</f>
        <v>0</v>
      </c>
      <c r="T24" s="22">
        <f>INDEX(TabVMAzureDisk[Coût / mois Sauvegarde],MATCH(TabVMAZURE11[[#This Row],[VMAzureDisk3]],TabVMAzureDisk[VMAzureDisk],0))</f>
        <v>0</v>
      </c>
      <c r="U24" s="22">
        <f>INDEX(TabVMAzureDisk[Coût / mois],MATCH(TabVMAZURE11[[#This Row],[VMAzureDisk4]],TabVMAzureDisk[VMAzureDisk],0))</f>
        <v>0</v>
      </c>
      <c r="V24" s="22">
        <f>INDEX(TabVMAzureDisk[Coût / mois Sauvegarde],MATCH(TabVMAZURE11[[#This Row],[VMAzureDisk4]],TabVMAzureDisk[VMAzureDisk],0))</f>
        <v>0</v>
      </c>
      <c r="W24" s="22">
        <f>SUM(TabVMAZURE11[[#This Row],[Coût estimé 
Disk1 / mois]]+TabVMAZURE11[[#This Row],[Coût estimé 
Disk2 / mois]]+TabVMAZURE11[[#This Row],[Coût estimé 
Disk3 / mois]]+TabVMAZURE11[[#This Row],[Coût estimé 
Disk4 / mois]])</f>
        <v>10.547000000000001</v>
      </c>
      <c r="X24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11.443199999999999</v>
      </c>
      <c r="Y24" s="34">
        <f>SUM(TabVMAZURE11[[#This Row],[Coût estimé 
VM / mois]],TabVMAZURE11[[#This Row],[Coût estimé 
Disk Total / mois]])</f>
        <v>16.113</v>
      </c>
      <c r="Z24" s="34">
        <f>TabVMAZURE11[[#This Row],[Coût estimé 
total / mois
sans
sauvegarde]]+TabVMAZURE11[[#This Row],[Coût estimé 
sauvegarde
Disk Total / mois]]</f>
        <v>27.556199999999997</v>
      </c>
      <c r="AA24">
        <v>60.2</v>
      </c>
      <c r="AB24" s="22" t="str">
        <f>IF(TabVMAZURE11[[#This Row],[Coût estimé 
total / mois
avec 1 
sauvegarde]]&lt;TabVMAZURE11[[#This Row],[Coût OT]],"OUI","NON")</f>
        <v>OUI</v>
      </c>
    </row>
    <row r="25" spans="1:28" x14ac:dyDescent="0.25">
      <c r="A25" t="s">
        <v>266</v>
      </c>
      <c r="B25" t="s">
        <v>215</v>
      </c>
      <c r="C25" t="s">
        <v>219</v>
      </c>
      <c r="D25" t="s">
        <v>232</v>
      </c>
      <c r="E25" t="s">
        <v>218</v>
      </c>
      <c r="F25" t="s">
        <v>218</v>
      </c>
      <c r="G25" t="s">
        <v>218</v>
      </c>
      <c r="H25" s="17">
        <v>0.33333333333333331</v>
      </c>
      <c r="I25" s="17">
        <v>0.79166666666666663</v>
      </c>
      <c r="J25" s="22">
        <f>(((TabVMAZURE11[[#This Row],[Auto Stop]]-INT(TabVMAZURE11[[#This Row],[Auto Stop]]))*24)-((TabVMAZURE11[[#This Row],[Auto Start]]-INT(TabVMAZURE11[[#This Row],[Auto Start]]))*24))</f>
        <v>11</v>
      </c>
      <c r="K25" s="22">
        <v>20</v>
      </c>
      <c r="L25" s="22">
        <f>TabVMAZURE11[[#This Row],[Activité 
par jours]]*TabVMAZURE11[[#This Row],[Jours / Mois]]</f>
        <v>220</v>
      </c>
      <c r="M25" s="22">
        <f>INDEX(ListeVMAzureCoûts,MATCH(TabVMAZURE11[[#This Row],[VMAzureSize]],ListeVMAzureSize,0),MATCH(TabVMAZURE11[[#This Row],[Système]],ListeSystèmes,0))</f>
        <v>0.02</v>
      </c>
      <c r="N25" s="22">
        <f>TabVMAZURE11[[#This Row],[Activité 
par mois]]*TabVMAZURE11[[#This Row],[Coût horaire VM]]</f>
        <v>4.4000000000000004</v>
      </c>
      <c r="O25" s="22">
        <f>INDEX(TabVMAzureDisk[Coût / mois],MATCH(TabVMAZURE11[[#This Row],[VMAzureDisk]],TabVMAzureDisk[VMAzureDisk],0))</f>
        <v>2.79</v>
      </c>
      <c r="P25" s="22">
        <f>INDEX(TabVMAzureDisk[Coût / mois Sauvegarde],MATCH(TabVMAZURE11[[#This Row],[VMAzureDisk]],TabVMAzureDisk[VMAzureDisk],0))</f>
        <v>2.8607999999999998</v>
      </c>
      <c r="Q25" s="22">
        <f>INDEX(TabVMAzureDisk[Coût / mois],MATCH(TabVMAZURE11[[#This Row],[VMAzureDisk2]],TabVMAzureDisk[VMAzureDisk],0))</f>
        <v>0</v>
      </c>
      <c r="R25" s="22">
        <f>INDEX(TabVMAzureDisk[Coût / mois Sauvegarde],MATCH(TabVMAZURE11[[#This Row],[VMAzureDisk2]],TabVMAzureDisk[VMAzureDisk],0))</f>
        <v>0</v>
      </c>
      <c r="S25" s="22">
        <f>INDEX(TabVMAzureDisk[Coût / mois],MATCH(TabVMAZURE11[[#This Row],[VMAzureDisk3]],TabVMAzureDisk[VMAzureDisk],0))</f>
        <v>0</v>
      </c>
      <c r="T25" s="22">
        <f>INDEX(TabVMAzureDisk[Coût / mois Sauvegarde],MATCH(TabVMAZURE11[[#This Row],[VMAzureDisk3]],TabVMAzureDisk[VMAzureDisk],0))</f>
        <v>0</v>
      </c>
      <c r="U25" s="22">
        <f>INDEX(TabVMAzureDisk[Coût / mois],MATCH(TabVMAZURE11[[#This Row],[VMAzureDisk4]],TabVMAzureDisk[VMAzureDisk],0))</f>
        <v>0</v>
      </c>
      <c r="V25" s="22">
        <f>INDEX(TabVMAzureDisk[Coût / mois Sauvegarde],MATCH(TabVMAZURE11[[#This Row],[VMAzureDisk4]],TabVMAzureDisk[VMAzureDisk],0))</f>
        <v>0</v>
      </c>
      <c r="W25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25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25" s="34">
        <f>SUM(TabVMAZURE11[[#This Row],[Coût estimé 
VM / mois]],TabVMAZURE11[[#This Row],[Coût estimé 
Disk Total / mois]])</f>
        <v>7.19</v>
      </c>
      <c r="Z25" s="34">
        <f>TabVMAZURE11[[#This Row],[Coût estimé 
total / mois
sans
sauvegarde]]+TabVMAZURE11[[#This Row],[Coût estimé 
sauvegarde
Disk Total / mois]]</f>
        <v>10.050800000000001</v>
      </c>
      <c r="AA25">
        <v>12.400000000000002</v>
      </c>
      <c r="AB25" s="22" t="str">
        <f>IF(TabVMAZURE11[[#This Row],[Coût estimé 
total / mois
avec 1 
sauvegarde]]&lt;TabVMAZURE11[[#This Row],[Coût OT]],"OUI","NON")</f>
        <v>OUI</v>
      </c>
    </row>
    <row r="26" spans="1:28" x14ac:dyDescent="0.25">
      <c r="A26" t="s">
        <v>267</v>
      </c>
      <c r="B26" t="s">
        <v>215</v>
      </c>
      <c r="C26" t="s">
        <v>219</v>
      </c>
      <c r="D26" t="s">
        <v>232</v>
      </c>
      <c r="E26" t="s">
        <v>218</v>
      </c>
      <c r="F26" t="s">
        <v>218</v>
      </c>
      <c r="G26" t="s">
        <v>218</v>
      </c>
      <c r="H26" s="17">
        <v>0.33333333333333331</v>
      </c>
      <c r="I26" s="17">
        <v>0.79166666666666663</v>
      </c>
      <c r="J26" s="22">
        <f>(((TabVMAZURE11[[#This Row],[Auto Stop]]-INT(TabVMAZURE11[[#This Row],[Auto Stop]]))*24)-((TabVMAZURE11[[#This Row],[Auto Start]]-INT(TabVMAZURE11[[#This Row],[Auto Start]]))*24))</f>
        <v>11</v>
      </c>
      <c r="K26" s="22">
        <v>20</v>
      </c>
      <c r="L26" s="22">
        <f>TabVMAZURE11[[#This Row],[Activité 
par jours]]*TabVMAZURE11[[#This Row],[Jours / Mois]]</f>
        <v>220</v>
      </c>
      <c r="M26" s="22">
        <f>INDEX(ListeVMAzureCoûts,MATCH(TabVMAZURE11[[#This Row],[VMAzureSize]],ListeVMAzureSize,0),MATCH(TabVMAZURE11[[#This Row],[Système]],ListeSystèmes,0))</f>
        <v>0.02</v>
      </c>
      <c r="N26" s="22">
        <f>TabVMAZURE11[[#This Row],[Activité 
par mois]]*TabVMAZURE11[[#This Row],[Coût horaire VM]]</f>
        <v>4.4000000000000004</v>
      </c>
      <c r="O26" s="22">
        <f>INDEX(TabVMAzureDisk[Coût / mois],MATCH(TabVMAZURE11[[#This Row],[VMAzureDisk]],TabVMAzureDisk[VMAzureDisk],0))</f>
        <v>2.79</v>
      </c>
      <c r="P26" s="22">
        <f>INDEX(TabVMAzureDisk[Coût / mois Sauvegarde],MATCH(TabVMAZURE11[[#This Row],[VMAzureDisk]],TabVMAzureDisk[VMAzureDisk],0))</f>
        <v>2.8607999999999998</v>
      </c>
      <c r="Q26" s="22">
        <f>INDEX(TabVMAzureDisk[Coût / mois],MATCH(TabVMAZURE11[[#This Row],[VMAzureDisk2]],TabVMAzureDisk[VMAzureDisk],0))</f>
        <v>0</v>
      </c>
      <c r="R26" s="22">
        <f>INDEX(TabVMAzureDisk[Coût / mois Sauvegarde],MATCH(TabVMAZURE11[[#This Row],[VMAzureDisk2]],TabVMAzureDisk[VMAzureDisk],0))</f>
        <v>0</v>
      </c>
      <c r="S26" s="22">
        <f>INDEX(TabVMAzureDisk[Coût / mois],MATCH(TabVMAZURE11[[#This Row],[VMAzureDisk3]],TabVMAzureDisk[VMAzureDisk],0))</f>
        <v>0</v>
      </c>
      <c r="T26" s="22">
        <f>INDEX(TabVMAzureDisk[Coût / mois Sauvegarde],MATCH(TabVMAZURE11[[#This Row],[VMAzureDisk3]],TabVMAzureDisk[VMAzureDisk],0))</f>
        <v>0</v>
      </c>
      <c r="U26" s="22">
        <f>INDEX(TabVMAzureDisk[Coût / mois],MATCH(TabVMAZURE11[[#This Row],[VMAzureDisk4]],TabVMAzureDisk[VMAzureDisk],0))</f>
        <v>0</v>
      </c>
      <c r="V26" s="22">
        <f>INDEX(TabVMAzureDisk[Coût / mois Sauvegarde],MATCH(TabVMAZURE11[[#This Row],[VMAzureDisk4]],TabVMAzureDisk[VMAzureDisk],0))</f>
        <v>0</v>
      </c>
      <c r="W26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26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26" s="34">
        <f>SUM(TabVMAZURE11[[#This Row],[Coût estimé 
VM / mois]],TabVMAZURE11[[#This Row],[Coût estimé 
Disk Total / mois]])</f>
        <v>7.19</v>
      </c>
      <c r="Z26" s="34">
        <f>TabVMAZURE11[[#This Row],[Coût estimé 
total / mois
sans
sauvegarde]]+TabVMAZURE11[[#This Row],[Coût estimé 
sauvegarde
Disk Total / mois]]</f>
        <v>10.050800000000001</v>
      </c>
      <c r="AA26">
        <v>14.7</v>
      </c>
      <c r="AB26" s="22" t="str">
        <f>IF(TabVMAZURE11[[#This Row],[Coût estimé 
total / mois
avec 1 
sauvegarde]]&lt;TabVMAZURE11[[#This Row],[Coût OT]],"OUI","NON")</f>
        <v>OUI</v>
      </c>
    </row>
    <row r="27" spans="1:28" x14ac:dyDescent="0.25">
      <c r="A27" t="s">
        <v>268</v>
      </c>
      <c r="B27" t="s">
        <v>215</v>
      </c>
      <c r="C27" t="s">
        <v>219</v>
      </c>
      <c r="D27" t="s">
        <v>232</v>
      </c>
      <c r="E27" t="s">
        <v>218</v>
      </c>
      <c r="F27" t="s">
        <v>218</v>
      </c>
      <c r="G27" t="s">
        <v>218</v>
      </c>
      <c r="H27" s="17">
        <v>0.33333333333333331</v>
      </c>
      <c r="I27" s="17">
        <v>0.79166666666666663</v>
      </c>
      <c r="J27" s="22">
        <f>(((TabVMAZURE11[[#This Row],[Auto Stop]]-INT(TabVMAZURE11[[#This Row],[Auto Stop]]))*24)-((TabVMAZURE11[[#This Row],[Auto Start]]-INT(TabVMAZURE11[[#This Row],[Auto Start]]))*24))</f>
        <v>11</v>
      </c>
      <c r="K27" s="22">
        <v>20</v>
      </c>
      <c r="L27" s="22">
        <f>TabVMAZURE11[[#This Row],[Activité 
par jours]]*TabVMAZURE11[[#This Row],[Jours / Mois]]</f>
        <v>220</v>
      </c>
      <c r="M27" s="22">
        <f>INDEX(ListeVMAzureCoûts,MATCH(TabVMAZURE11[[#This Row],[VMAzureSize]],ListeVMAzureSize,0),MATCH(TabVMAZURE11[[#This Row],[Système]],ListeSystèmes,0))</f>
        <v>0.02</v>
      </c>
      <c r="N27" s="22">
        <f>TabVMAZURE11[[#This Row],[Activité 
par mois]]*TabVMAZURE11[[#This Row],[Coût horaire VM]]</f>
        <v>4.4000000000000004</v>
      </c>
      <c r="O27" s="22">
        <f>INDEX(TabVMAzureDisk[Coût / mois],MATCH(TabVMAZURE11[[#This Row],[VMAzureDisk]],TabVMAzureDisk[VMAzureDisk],0))</f>
        <v>2.79</v>
      </c>
      <c r="P27" s="22">
        <f>INDEX(TabVMAzureDisk[Coût / mois Sauvegarde],MATCH(TabVMAZURE11[[#This Row],[VMAzureDisk]],TabVMAzureDisk[VMAzureDisk],0))</f>
        <v>2.8607999999999998</v>
      </c>
      <c r="Q27" s="22">
        <f>INDEX(TabVMAzureDisk[Coût / mois],MATCH(TabVMAZURE11[[#This Row],[VMAzureDisk2]],TabVMAzureDisk[VMAzureDisk],0))</f>
        <v>0</v>
      </c>
      <c r="R27" s="22">
        <f>INDEX(TabVMAzureDisk[Coût / mois Sauvegarde],MATCH(TabVMAZURE11[[#This Row],[VMAzureDisk2]],TabVMAzureDisk[VMAzureDisk],0))</f>
        <v>0</v>
      </c>
      <c r="S27" s="22">
        <f>INDEX(TabVMAzureDisk[Coût / mois],MATCH(TabVMAZURE11[[#This Row],[VMAzureDisk3]],TabVMAzureDisk[VMAzureDisk],0))</f>
        <v>0</v>
      </c>
      <c r="T27" s="22">
        <f>INDEX(TabVMAzureDisk[Coût / mois Sauvegarde],MATCH(TabVMAZURE11[[#This Row],[VMAzureDisk3]],TabVMAzureDisk[VMAzureDisk],0))</f>
        <v>0</v>
      </c>
      <c r="U27" s="22">
        <f>INDEX(TabVMAzureDisk[Coût / mois],MATCH(TabVMAZURE11[[#This Row],[VMAzureDisk4]],TabVMAzureDisk[VMAzureDisk],0))</f>
        <v>0</v>
      </c>
      <c r="V27" s="22">
        <f>INDEX(TabVMAzureDisk[Coût / mois Sauvegarde],MATCH(TabVMAZURE11[[#This Row],[VMAzureDisk4]],TabVMAzureDisk[VMAzureDisk],0))</f>
        <v>0</v>
      </c>
      <c r="W27" s="22">
        <f>SUM(TabVMAZURE11[[#This Row],[Coût estimé 
Disk1 / mois]]+TabVMAZURE11[[#This Row],[Coût estimé 
Disk2 / mois]]+TabVMAZURE11[[#This Row],[Coût estimé 
Disk3 / mois]]+TabVMAZURE11[[#This Row],[Coût estimé 
Disk4 / mois]])</f>
        <v>2.79</v>
      </c>
      <c r="X27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2.8607999999999998</v>
      </c>
      <c r="Y27" s="34">
        <f>SUM(TabVMAZURE11[[#This Row],[Coût estimé 
VM / mois]],TabVMAZURE11[[#This Row],[Coût estimé 
Disk Total / mois]])</f>
        <v>7.19</v>
      </c>
      <c r="Z27" s="34">
        <f>TabVMAZURE11[[#This Row],[Coût estimé 
total / mois
sans
sauvegarde]]+TabVMAZURE11[[#This Row],[Coût estimé 
sauvegarde
Disk Total / mois]]</f>
        <v>10.050800000000001</v>
      </c>
      <c r="AA27">
        <v>17</v>
      </c>
      <c r="AB27" s="22" t="str">
        <f>IF(TabVMAZURE11[[#This Row],[Coût estimé 
total / mois
avec 1 
sauvegarde]]&lt;TabVMAZURE11[[#This Row],[Coût OT]],"OUI","NON")</f>
        <v>OUI</v>
      </c>
    </row>
    <row r="28" spans="1:28" x14ac:dyDescent="0.25">
      <c r="A28" t="s">
        <v>269</v>
      </c>
      <c r="B28" t="s">
        <v>225</v>
      </c>
      <c r="C28" t="s">
        <v>231</v>
      </c>
      <c r="D28" t="s">
        <v>246</v>
      </c>
      <c r="E28" t="s">
        <v>218</v>
      </c>
      <c r="F28" t="s">
        <v>218</v>
      </c>
      <c r="G28" t="s">
        <v>218</v>
      </c>
      <c r="H28" s="17">
        <v>0.33333333333333331</v>
      </c>
      <c r="I28" s="17">
        <v>0.79166666666666663</v>
      </c>
      <c r="J28" s="22">
        <f>(((TabVMAZURE11[[#This Row],[Auto Stop]]-INT(TabVMAZURE11[[#This Row],[Auto Stop]]))*24)-((TabVMAZURE11[[#This Row],[Auto Start]]-INT(TabVMAZURE11[[#This Row],[Auto Start]]))*24))</f>
        <v>11</v>
      </c>
      <c r="K28" s="22">
        <v>20</v>
      </c>
      <c r="L28" s="22">
        <f>TabVMAZURE11[[#This Row],[Activité 
par jours]]*TabVMAZURE11[[#This Row],[Jours / Mois]]</f>
        <v>220</v>
      </c>
      <c r="M28" s="22">
        <f>INDEX(ListeVMAzureCoûts,MATCH(TabVMAZURE11[[#This Row],[VMAzureSize]],ListeVMAzureSize,0),MATCH(TabVMAZURE11[[#This Row],[Système]],ListeSystèmes,0))</f>
        <v>9.4500000000000001E-2</v>
      </c>
      <c r="N28" s="22">
        <f>TabVMAZURE11[[#This Row],[Activité 
par mois]]*TabVMAZURE11[[#This Row],[Coût horaire VM]]</f>
        <v>20.79</v>
      </c>
      <c r="O28" s="22">
        <f>INDEX(TabVMAzureDisk[Coût / mois],MATCH(TabVMAZURE11[[#This Row],[VMAzureDisk]],TabVMAzureDisk[VMAzureDisk],0))</f>
        <v>20.225000000000001</v>
      </c>
      <c r="P28" s="22">
        <f>INDEX(TabVMAzureDisk[Coût / mois Sauvegarde],MATCH(TabVMAZURE11[[#This Row],[VMAzureDisk]],TabVMAzureDisk[VMAzureDisk],0))</f>
        <v>22.886399999999998</v>
      </c>
      <c r="Q28" s="22">
        <f>INDEX(TabVMAzureDisk[Coût / mois],MATCH(TabVMAZURE11[[#This Row],[VMAzureDisk2]],TabVMAzureDisk[VMAzureDisk],0))</f>
        <v>0</v>
      </c>
      <c r="R28" s="22">
        <f>INDEX(TabVMAzureDisk[Coût / mois Sauvegarde],MATCH(TabVMAZURE11[[#This Row],[VMAzureDisk2]],TabVMAzureDisk[VMAzureDisk],0))</f>
        <v>0</v>
      </c>
      <c r="S28" s="22">
        <f>INDEX(TabVMAzureDisk[Coût / mois],MATCH(TabVMAZURE11[[#This Row],[VMAzureDisk3]],TabVMAzureDisk[VMAzureDisk],0))</f>
        <v>0</v>
      </c>
      <c r="T28" s="22">
        <f>INDEX(TabVMAzureDisk[Coût / mois Sauvegarde],MATCH(TabVMAZURE11[[#This Row],[VMAzureDisk3]],TabVMAzureDisk[VMAzureDisk],0))</f>
        <v>0</v>
      </c>
      <c r="U28" s="22">
        <f>INDEX(TabVMAzureDisk[Coût / mois],MATCH(TabVMAZURE11[[#This Row],[VMAzureDisk4]],TabVMAzureDisk[VMAzureDisk],0))</f>
        <v>0</v>
      </c>
      <c r="V28" s="22">
        <f>INDEX(TabVMAzureDisk[Coût / mois Sauvegarde],MATCH(TabVMAZURE11[[#This Row],[VMAzureDisk4]],TabVMAzureDisk[VMAzureDisk],0))</f>
        <v>0</v>
      </c>
      <c r="W28" s="22">
        <f>SUM(TabVMAZURE11[[#This Row],[Coût estimé 
Disk1 / mois]]+TabVMAZURE11[[#This Row],[Coût estimé 
Disk2 / mois]]+TabVMAZURE11[[#This Row],[Coût estimé 
Disk3 / mois]]+TabVMAZURE11[[#This Row],[Coût estimé 
Disk4 / mois]])</f>
        <v>20.225000000000001</v>
      </c>
      <c r="X28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22.886399999999998</v>
      </c>
      <c r="Y28" s="34">
        <f>SUM(TabVMAZURE11[[#This Row],[Coût estimé 
VM / mois]],TabVMAZURE11[[#This Row],[Coût estimé 
Disk Total / mois]])</f>
        <v>41.015000000000001</v>
      </c>
      <c r="Z28" s="34">
        <f>TabVMAZURE11[[#This Row],[Coût estimé 
total / mois
sans
sauvegarde]]+TabVMAZURE11[[#This Row],[Coût estimé 
sauvegarde
Disk Total / mois]]</f>
        <v>63.901399999999995</v>
      </c>
      <c r="AA28">
        <v>74.900000000000006</v>
      </c>
      <c r="AB28" s="22" t="str">
        <f>IF(TabVMAZURE11[[#This Row],[Coût estimé 
total / mois
avec 1 
sauvegarde]]&lt;TabVMAZURE11[[#This Row],[Coût OT]],"OUI","NON")</f>
        <v>OUI</v>
      </c>
    </row>
    <row r="29" spans="1:28" x14ac:dyDescent="0.25">
      <c r="A29" t="s">
        <v>270</v>
      </c>
      <c r="B29" t="s">
        <v>225</v>
      </c>
      <c r="C29" t="s">
        <v>219</v>
      </c>
      <c r="D29" t="s">
        <v>223</v>
      </c>
      <c r="E29" t="s">
        <v>218</v>
      </c>
      <c r="F29" t="s">
        <v>218</v>
      </c>
      <c r="G29" t="s">
        <v>218</v>
      </c>
      <c r="H29" s="17">
        <v>0.33333333333333331</v>
      </c>
      <c r="I29" s="17">
        <v>0.79166666666666663</v>
      </c>
      <c r="J29" s="22">
        <f>(((TabVMAZURE11[[#This Row],[Auto Stop]]-INT(TabVMAZURE11[[#This Row],[Auto Stop]]))*24)-((TabVMAZURE11[[#This Row],[Auto Start]]-INT(TabVMAZURE11[[#This Row],[Auto Start]]))*24))</f>
        <v>11</v>
      </c>
      <c r="K29" s="22">
        <v>20</v>
      </c>
      <c r="L29" s="22">
        <f>TabVMAZURE11[[#This Row],[Activité 
par jours]]*TabVMAZURE11[[#This Row],[Jours / Mois]]</f>
        <v>220</v>
      </c>
      <c r="M29" s="22">
        <f>INDEX(ListeVMAzureCoûts,MATCH(TabVMAZURE11[[#This Row],[VMAzureSize]],ListeVMAzureSize,0),MATCH(TabVMAZURE11[[#This Row],[Système]],ListeSystèmes,0))</f>
        <v>2.53E-2</v>
      </c>
      <c r="N29" s="22">
        <f>TabVMAZURE11[[#This Row],[Activité 
par mois]]*TabVMAZURE11[[#This Row],[Coût horaire VM]]</f>
        <v>5.5659999999999998</v>
      </c>
      <c r="O29" s="22">
        <f>INDEX(TabVMAzureDisk[Coût / mois],MATCH(TabVMAZURE11[[#This Row],[VMAzureDisk]],TabVMAzureDisk[VMAzureDisk],0))</f>
        <v>5.5010000000000003</v>
      </c>
      <c r="P29" s="22">
        <f>INDEX(TabVMAzureDisk[Coût / mois Sauvegarde],MATCH(TabVMAZURE11[[#This Row],[VMAzureDisk]],TabVMAzureDisk[VMAzureDisk],0))</f>
        <v>5.7215999999999996</v>
      </c>
      <c r="Q29" s="22">
        <f>INDEX(TabVMAzureDisk[Coût / mois],MATCH(TabVMAZURE11[[#This Row],[VMAzureDisk2]],TabVMAzureDisk[VMAzureDisk],0))</f>
        <v>0</v>
      </c>
      <c r="R29" s="22">
        <f>INDEX(TabVMAzureDisk[Coût / mois Sauvegarde],MATCH(TabVMAZURE11[[#This Row],[VMAzureDisk2]],TabVMAzureDisk[VMAzureDisk],0))</f>
        <v>0</v>
      </c>
      <c r="S29" s="22">
        <f>INDEX(TabVMAzureDisk[Coût / mois],MATCH(TabVMAZURE11[[#This Row],[VMAzureDisk3]],TabVMAzureDisk[VMAzureDisk],0))</f>
        <v>0</v>
      </c>
      <c r="T29" s="22">
        <f>INDEX(TabVMAzureDisk[Coût / mois Sauvegarde],MATCH(TabVMAZURE11[[#This Row],[VMAzureDisk3]],TabVMAzureDisk[VMAzureDisk],0))</f>
        <v>0</v>
      </c>
      <c r="U29" s="22">
        <f>INDEX(TabVMAzureDisk[Coût / mois],MATCH(TabVMAZURE11[[#This Row],[VMAzureDisk4]],TabVMAzureDisk[VMAzureDisk],0))</f>
        <v>0</v>
      </c>
      <c r="V29" s="22">
        <f>INDEX(TabVMAzureDisk[Coût / mois Sauvegarde],MATCH(TabVMAZURE11[[#This Row],[VMAzureDisk4]],TabVMAzureDisk[VMAzureDisk],0))</f>
        <v>0</v>
      </c>
      <c r="W29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29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29" s="34">
        <f>SUM(TabVMAZURE11[[#This Row],[Coût estimé 
VM / mois]],TabVMAZURE11[[#This Row],[Coût estimé 
Disk Total / mois]])</f>
        <v>11.067</v>
      </c>
      <c r="Z29" s="34">
        <f>TabVMAZURE11[[#This Row],[Coût estimé 
total / mois
sans
sauvegarde]]+TabVMAZURE11[[#This Row],[Coût estimé 
sauvegarde
Disk Total / mois]]</f>
        <v>16.788599999999999</v>
      </c>
      <c r="AA29">
        <v>21.6</v>
      </c>
      <c r="AB29" s="22" t="str">
        <f>IF(TabVMAZURE11[[#This Row],[Coût estimé 
total / mois
avec 1 
sauvegarde]]&lt;TabVMAZURE11[[#This Row],[Coût OT]],"OUI","NON")</f>
        <v>OUI</v>
      </c>
    </row>
    <row r="30" spans="1:28" x14ac:dyDescent="0.25">
      <c r="A30" t="s">
        <v>271</v>
      </c>
      <c r="B30" t="s">
        <v>225</v>
      </c>
      <c r="C30" t="s">
        <v>231</v>
      </c>
      <c r="D30" t="s">
        <v>246</v>
      </c>
      <c r="E30" t="s">
        <v>218</v>
      </c>
      <c r="F30" t="s">
        <v>218</v>
      </c>
      <c r="G30" t="s">
        <v>218</v>
      </c>
      <c r="H30" s="17">
        <v>0.33333333333333331</v>
      </c>
      <c r="I30" s="17">
        <v>0.79166666666666663</v>
      </c>
      <c r="J30" s="22">
        <f>(((TabVMAZURE11[[#This Row],[Auto Stop]]-INT(TabVMAZURE11[[#This Row],[Auto Stop]]))*24)-((TabVMAZURE11[[#This Row],[Auto Start]]-INT(TabVMAZURE11[[#This Row],[Auto Start]]))*24))</f>
        <v>11</v>
      </c>
      <c r="K30" s="22">
        <v>20</v>
      </c>
      <c r="L30" s="22">
        <f>TabVMAZURE11[[#This Row],[Activité 
par jours]]*TabVMAZURE11[[#This Row],[Jours / Mois]]</f>
        <v>220</v>
      </c>
      <c r="M30" s="22">
        <f>INDEX(ListeVMAzureCoûts,MATCH(TabVMAZURE11[[#This Row],[VMAzureSize]],ListeVMAzureSize,0),MATCH(TabVMAZURE11[[#This Row],[Système]],ListeSystèmes,0))</f>
        <v>9.4500000000000001E-2</v>
      </c>
      <c r="N30" s="22">
        <f>TabVMAZURE11[[#This Row],[Activité 
par mois]]*TabVMAZURE11[[#This Row],[Coût horaire VM]]</f>
        <v>20.79</v>
      </c>
      <c r="O30" s="22">
        <f>INDEX(TabVMAzureDisk[Coût / mois],MATCH(TabVMAZURE11[[#This Row],[VMAzureDisk]],TabVMAzureDisk[VMAzureDisk],0))</f>
        <v>20.225000000000001</v>
      </c>
      <c r="P30" s="22">
        <f>INDEX(TabVMAzureDisk[Coût / mois Sauvegarde],MATCH(TabVMAZURE11[[#This Row],[VMAzureDisk]],TabVMAzureDisk[VMAzureDisk],0))</f>
        <v>22.886399999999998</v>
      </c>
      <c r="Q30" s="22">
        <f>INDEX(TabVMAzureDisk[Coût / mois],MATCH(TabVMAZURE11[[#This Row],[VMAzureDisk2]],TabVMAzureDisk[VMAzureDisk],0))</f>
        <v>0</v>
      </c>
      <c r="R30" s="22">
        <f>INDEX(TabVMAzureDisk[Coût / mois Sauvegarde],MATCH(TabVMAZURE11[[#This Row],[VMAzureDisk2]],TabVMAzureDisk[VMAzureDisk],0))</f>
        <v>0</v>
      </c>
      <c r="S30" s="22">
        <f>INDEX(TabVMAzureDisk[Coût / mois],MATCH(TabVMAZURE11[[#This Row],[VMAzureDisk3]],TabVMAzureDisk[VMAzureDisk],0))</f>
        <v>0</v>
      </c>
      <c r="T30" s="22">
        <f>INDEX(TabVMAzureDisk[Coût / mois Sauvegarde],MATCH(TabVMAZURE11[[#This Row],[VMAzureDisk3]],TabVMAzureDisk[VMAzureDisk],0))</f>
        <v>0</v>
      </c>
      <c r="U30" s="22">
        <f>INDEX(TabVMAzureDisk[Coût / mois],MATCH(TabVMAZURE11[[#This Row],[VMAzureDisk4]],TabVMAzureDisk[VMAzureDisk],0))</f>
        <v>0</v>
      </c>
      <c r="V30" s="22">
        <f>INDEX(TabVMAzureDisk[Coût / mois Sauvegarde],MATCH(TabVMAZURE11[[#This Row],[VMAzureDisk4]],TabVMAzureDisk[VMAzureDisk],0))</f>
        <v>0</v>
      </c>
      <c r="W30" s="22">
        <f>SUM(TabVMAZURE11[[#This Row],[Coût estimé 
Disk1 / mois]]+TabVMAZURE11[[#This Row],[Coût estimé 
Disk2 / mois]]+TabVMAZURE11[[#This Row],[Coût estimé 
Disk3 / mois]]+TabVMAZURE11[[#This Row],[Coût estimé 
Disk4 / mois]])</f>
        <v>20.225000000000001</v>
      </c>
      <c r="X30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22.886399999999998</v>
      </c>
      <c r="Y30" s="34">
        <f>SUM(TabVMAZURE11[[#This Row],[Coût estimé 
VM / mois]],TabVMAZURE11[[#This Row],[Coût estimé 
Disk Total / mois]])</f>
        <v>41.015000000000001</v>
      </c>
      <c r="Z30" s="34">
        <f>TabVMAZURE11[[#This Row],[Coût estimé 
total / mois
sans
sauvegarde]]+TabVMAZURE11[[#This Row],[Coût estimé 
sauvegarde
Disk Total / mois]]</f>
        <v>63.901399999999995</v>
      </c>
      <c r="AA30">
        <v>87.800000000000011</v>
      </c>
      <c r="AB30" s="22" t="str">
        <f>IF(TabVMAZURE11[[#This Row],[Coût estimé 
total / mois
avec 1 
sauvegarde]]&lt;TabVMAZURE11[[#This Row],[Coût OT]],"OUI","NON")</f>
        <v>OUI</v>
      </c>
    </row>
    <row r="31" spans="1:28" x14ac:dyDescent="0.25">
      <c r="A31" t="s">
        <v>272</v>
      </c>
      <c r="B31" t="s">
        <v>225</v>
      </c>
      <c r="C31" t="s">
        <v>228</v>
      </c>
      <c r="D31" t="s">
        <v>223</v>
      </c>
      <c r="E31" t="s">
        <v>218</v>
      </c>
      <c r="F31" t="s">
        <v>218</v>
      </c>
      <c r="G31" t="s">
        <v>218</v>
      </c>
      <c r="H31" s="17">
        <v>0.33333333333333331</v>
      </c>
      <c r="I31" s="17">
        <v>0.79166666666666663</v>
      </c>
      <c r="J31" s="22">
        <f>(((TabVMAZURE11[[#This Row],[Auto Stop]]-INT(TabVMAZURE11[[#This Row],[Auto Stop]]))*24)-((TabVMAZURE11[[#This Row],[Auto Start]]-INT(TabVMAZURE11[[#This Row],[Auto Start]]))*24))</f>
        <v>11</v>
      </c>
      <c r="K31" s="22">
        <v>20</v>
      </c>
      <c r="L31" s="22">
        <f>TabVMAZURE11[[#This Row],[Activité 
par jours]]*TabVMAZURE11[[#This Row],[Jours / Mois]]</f>
        <v>220</v>
      </c>
      <c r="M31" s="22">
        <f>INDEX(ListeVMAzureCoûts,MATCH(TabVMAZURE11[[#This Row],[VMAzureSize]],ListeVMAzureSize,0),MATCH(TabVMAZURE11[[#This Row],[Système]],ListeSystèmes,0))</f>
        <v>5.0599999999999999E-2</v>
      </c>
      <c r="N31" s="22">
        <f>TabVMAZURE11[[#This Row],[Activité 
par mois]]*TabVMAZURE11[[#This Row],[Coût horaire VM]]</f>
        <v>11.132</v>
      </c>
      <c r="O31" s="22">
        <f>INDEX(TabVMAzureDisk[Coût / mois],MATCH(TabVMAZURE11[[#This Row],[VMAzureDisk]],TabVMAzureDisk[VMAzureDisk],0))</f>
        <v>5.5010000000000003</v>
      </c>
      <c r="P31" s="22">
        <f>INDEX(TabVMAzureDisk[Coût / mois Sauvegarde],MATCH(TabVMAZURE11[[#This Row],[VMAzureDisk]],TabVMAzureDisk[VMAzureDisk],0))</f>
        <v>5.7215999999999996</v>
      </c>
      <c r="Q31" s="22">
        <f>INDEX(TabVMAzureDisk[Coût / mois],MATCH(TabVMAZURE11[[#This Row],[VMAzureDisk2]],TabVMAzureDisk[VMAzureDisk],0))</f>
        <v>0</v>
      </c>
      <c r="R31" s="22">
        <f>INDEX(TabVMAzureDisk[Coût / mois Sauvegarde],MATCH(TabVMAZURE11[[#This Row],[VMAzureDisk2]],TabVMAzureDisk[VMAzureDisk],0))</f>
        <v>0</v>
      </c>
      <c r="S31" s="22">
        <f>INDEX(TabVMAzureDisk[Coût / mois],MATCH(TabVMAZURE11[[#This Row],[VMAzureDisk3]],TabVMAzureDisk[VMAzureDisk],0))</f>
        <v>0</v>
      </c>
      <c r="T31" s="22">
        <f>INDEX(TabVMAzureDisk[Coût / mois Sauvegarde],MATCH(TabVMAZURE11[[#This Row],[VMAzureDisk3]],TabVMAzureDisk[VMAzureDisk],0))</f>
        <v>0</v>
      </c>
      <c r="U31" s="22">
        <f>INDEX(TabVMAzureDisk[Coût / mois],MATCH(TabVMAZURE11[[#This Row],[VMAzureDisk4]],TabVMAzureDisk[VMAzureDisk],0))</f>
        <v>0</v>
      </c>
      <c r="V31" s="22">
        <f>INDEX(TabVMAzureDisk[Coût / mois Sauvegarde],MATCH(TabVMAZURE11[[#This Row],[VMAzureDisk4]],TabVMAzureDisk[VMAzureDisk],0))</f>
        <v>0</v>
      </c>
      <c r="W31" s="22">
        <f>SUM(TabVMAZURE11[[#This Row],[Coût estimé 
Disk1 / mois]]+TabVMAZURE11[[#This Row],[Coût estimé 
Disk2 / mois]]+TabVMAZURE11[[#This Row],[Coût estimé 
Disk3 / mois]]+TabVMAZURE11[[#This Row],[Coût estimé 
Disk4 / mois]])</f>
        <v>5.5010000000000003</v>
      </c>
      <c r="X31" s="22">
        <f>SUM(TabVMAZURE11[[#This Row],[Coût estimé 
sauvegarde
Disk1 / mois]]+TabVMAZURE11[[#This Row],[Coût estimé 
sauvegarde
Disk2 / mois]]+TabVMAZURE11[[#This Row],[Coût estimé 
sauvegarde
Disk3 / mois]]+TabVMAZURE11[[#This Row],[Coût estimé 
sauvegarde
Disk4 / mois]])</f>
        <v>5.7215999999999996</v>
      </c>
      <c r="Y31" s="34">
        <f>SUM(TabVMAZURE11[[#This Row],[Coût estimé 
VM / mois]],TabVMAZURE11[[#This Row],[Coût estimé 
Disk Total / mois]])</f>
        <v>16.632999999999999</v>
      </c>
      <c r="Z31" s="34">
        <f>TabVMAZURE11[[#This Row],[Coût estimé 
total / mois
sans
sauvegarde]]+TabVMAZURE11[[#This Row],[Coût estimé 
sauvegarde
Disk Total / mois]]</f>
        <v>22.354599999999998</v>
      </c>
      <c r="AA31">
        <v>30.8</v>
      </c>
      <c r="AB31" s="22" t="str">
        <f>IF(TabVMAZURE11[[#This Row],[Coût estimé 
total / mois
avec 1 
sauvegarde]]&lt;TabVMAZURE11[[#This Row],[Coût OT]],"OUI","NON")</f>
        <v>OUI</v>
      </c>
    </row>
  </sheetData>
  <dataValidations count="3">
    <dataValidation type="list" allowBlank="1" showInputMessage="1" showErrorMessage="1" sqref="D2:G31" xr:uid="{00000000-0002-0000-0400-000000000000}">
      <formula1>ListeVMAzureDisk</formula1>
    </dataValidation>
    <dataValidation type="list" allowBlank="1" showInputMessage="1" showErrorMessage="1" sqref="B2:B31" xr:uid="{00000000-0002-0000-0400-000001000000}">
      <formula1>ListeSystèmes</formula1>
    </dataValidation>
    <dataValidation type="list" allowBlank="1" showInputMessage="1" showErrorMessage="1" sqref="C2:C31" xr:uid="{00000000-0002-0000-0400-000002000000}">
      <formula1>ListeVMAzureSize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>
    <tabColor rgb="FF00B050"/>
  </sheetPr>
  <dimension ref="A1:F42"/>
  <sheetViews>
    <sheetView workbookViewId="0">
      <pane ySplit="1" topLeftCell="A11" activePane="bottomLeft" state="frozen"/>
      <selection pane="bottomLeft" activeCell="F61" sqref="F61"/>
    </sheetView>
  </sheetViews>
  <sheetFormatPr baseColWidth="10" defaultColWidth="18.5703125" defaultRowHeight="15" x14ac:dyDescent="0.25"/>
  <cols>
    <col min="1" max="1" width="36.140625" bestFit="1" customWidth="1"/>
    <col min="2" max="2" width="17.140625" bestFit="1" customWidth="1"/>
    <col min="3" max="3" width="13.5703125" bestFit="1" customWidth="1"/>
    <col min="4" max="4" width="18.140625" bestFit="1" customWidth="1"/>
    <col min="5" max="5" width="22.85546875" bestFit="1" customWidth="1"/>
    <col min="6" max="6" width="22.42578125" bestFit="1" customWidth="1"/>
  </cols>
  <sheetData>
    <row r="1" spans="1:6" x14ac:dyDescent="0.25">
      <c r="A1" s="2" t="s">
        <v>273</v>
      </c>
      <c r="B1" s="2" t="s">
        <v>135</v>
      </c>
      <c r="C1" s="3" t="s">
        <v>134</v>
      </c>
      <c r="D1" s="2" t="s">
        <v>274</v>
      </c>
      <c r="E1" s="2" t="s">
        <v>275</v>
      </c>
      <c r="F1" s="2" t="s">
        <v>276</v>
      </c>
    </row>
    <row r="2" spans="1:6" x14ac:dyDescent="0.25">
      <c r="A2" s="4" t="s">
        <v>277</v>
      </c>
      <c r="B2" s="5" t="s">
        <v>37</v>
      </c>
      <c r="C2" s="6">
        <v>100973</v>
      </c>
      <c r="D2" s="6"/>
      <c r="E2" s="6"/>
      <c r="F2" s="6"/>
    </row>
    <row r="3" spans="1:6" x14ac:dyDescent="0.25">
      <c r="A3" s="4" t="s">
        <v>278</v>
      </c>
      <c r="B3" s="5" t="s">
        <v>77</v>
      </c>
      <c r="C3" s="6">
        <v>305704</v>
      </c>
      <c r="D3" s="6"/>
      <c r="E3" s="6"/>
      <c r="F3" s="6"/>
    </row>
    <row r="4" spans="1:6" x14ac:dyDescent="0.25">
      <c r="A4" s="4" t="s">
        <v>279</v>
      </c>
      <c r="B4" s="5" t="s">
        <v>2</v>
      </c>
      <c r="C4" s="6">
        <v>305704</v>
      </c>
      <c r="D4" s="6"/>
      <c r="E4" s="6"/>
      <c r="F4" s="6"/>
    </row>
    <row r="5" spans="1:6" x14ac:dyDescent="0.25">
      <c r="A5" s="4" t="s">
        <v>280</v>
      </c>
      <c r="B5" s="5" t="s">
        <v>2</v>
      </c>
      <c r="C5" s="6">
        <v>305704</v>
      </c>
      <c r="D5" s="6"/>
      <c r="E5" s="6"/>
      <c r="F5" s="6"/>
    </row>
    <row r="6" spans="1:6" x14ac:dyDescent="0.25">
      <c r="A6" s="10" t="s">
        <v>281</v>
      </c>
      <c r="B6" s="5" t="s">
        <v>16</v>
      </c>
      <c r="C6" s="6">
        <v>305704</v>
      </c>
      <c r="D6" s="11"/>
      <c r="E6" s="11"/>
      <c r="F6" s="11"/>
    </row>
    <row r="7" spans="1:6" x14ac:dyDescent="0.25">
      <c r="A7" s="4" t="s">
        <v>282</v>
      </c>
      <c r="B7" s="5" t="s">
        <v>19</v>
      </c>
      <c r="C7" s="6">
        <v>305704</v>
      </c>
      <c r="D7" s="6"/>
      <c r="E7" s="6"/>
      <c r="F7" s="6"/>
    </row>
    <row r="8" spans="1:6" x14ac:dyDescent="0.25">
      <c r="A8" s="4" t="s">
        <v>283</v>
      </c>
      <c r="B8" s="5" t="s">
        <v>19</v>
      </c>
      <c r="C8" s="6">
        <v>305704</v>
      </c>
      <c r="D8" s="6"/>
      <c r="E8" s="6"/>
      <c r="F8" s="6"/>
    </row>
    <row r="9" spans="1:6" x14ac:dyDescent="0.25">
      <c r="A9" s="10" t="s">
        <v>284</v>
      </c>
      <c r="B9" s="5" t="s">
        <v>19</v>
      </c>
      <c r="C9" s="6">
        <v>305704</v>
      </c>
      <c r="D9" s="11"/>
      <c r="E9" s="11"/>
      <c r="F9" s="11"/>
    </row>
    <row r="10" spans="1:6" x14ac:dyDescent="0.25">
      <c r="A10" s="4" t="s">
        <v>285</v>
      </c>
      <c r="B10" s="5" t="s">
        <v>23</v>
      </c>
      <c r="C10" s="6">
        <v>305704</v>
      </c>
      <c r="D10" s="6"/>
      <c r="E10" s="6"/>
      <c r="F10" s="6"/>
    </row>
    <row r="11" spans="1:6" x14ac:dyDescent="0.25">
      <c r="A11" s="10" t="s">
        <v>285</v>
      </c>
      <c r="B11" s="5" t="s">
        <v>23</v>
      </c>
      <c r="C11" s="6">
        <v>305704</v>
      </c>
      <c r="D11" s="11"/>
      <c r="E11" s="11"/>
      <c r="F11" s="11"/>
    </row>
    <row r="12" spans="1:6" x14ac:dyDescent="0.25">
      <c r="A12" s="4" t="s">
        <v>286</v>
      </c>
      <c r="B12" s="5" t="s">
        <v>99</v>
      </c>
      <c r="C12" s="6">
        <v>305704</v>
      </c>
      <c r="D12" s="6"/>
      <c r="E12" s="6"/>
      <c r="F12" s="6"/>
    </row>
    <row r="13" spans="1:6" x14ac:dyDescent="0.25">
      <c r="A13" s="4" t="s">
        <v>287</v>
      </c>
      <c r="B13" s="5" t="s">
        <v>26</v>
      </c>
      <c r="C13" s="6">
        <v>305704</v>
      </c>
      <c r="D13" s="6"/>
      <c r="E13" s="6"/>
      <c r="F13" s="6"/>
    </row>
    <row r="14" spans="1:6" x14ac:dyDescent="0.25">
      <c r="A14" s="4" t="s">
        <v>288</v>
      </c>
      <c r="B14" s="5" t="s">
        <v>74</v>
      </c>
      <c r="C14" s="6">
        <v>305704</v>
      </c>
      <c r="D14" s="6"/>
      <c r="E14" s="6"/>
      <c r="F14" s="6"/>
    </row>
    <row r="15" spans="1:6" x14ac:dyDescent="0.25">
      <c r="A15" s="4" t="s">
        <v>289</v>
      </c>
      <c r="B15" s="5" t="s">
        <v>28</v>
      </c>
      <c r="C15" s="6">
        <v>305704</v>
      </c>
      <c r="D15" s="6"/>
      <c r="E15" s="6"/>
      <c r="F15" s="6"/>
    </row>
    <row r="16" spans="1:6" x14ac:dyDescent="0.25">
      <c r="A16" s="4" t="s">
        <v>290</v>
      </c>
      <c r="B16" s="5" t="s">
        <v>290</v>
      </c>
      <c r="C16" s="6">
        <v>305704</v>
      </c>
      <c r="D16" s="6"/>
      <c r="E16" s="6"/>
      <c r="F16" s="6"/>
    </row>
    <row r="17" spans="1:6" x14ac:dyDescent="0.25">
      <c r="A17" s="4" t="s">
        <v>291</v>
      </c>
      <c r="B17" s="5" t="s">
        <v>37</v>
      </c>
      <c r="C17" s="6">
        <v>305704</v>
      </c>
      <c r="D17" s="6"/>
      <c r="E17" s="6"/>
      <c r="F17" s="6"/>
    </row>
    <row r="18" spans="1:6" x14ac:dyDescent="0.25">
      <c r="A18" s="4" t="s">
        <v>292</v>
      </c>
      <c r="B18" s="5" t="s">
        <v>37</v>
      </c>
      <c r="C18" s="6">
        <v>305704</v>
      </c>
      <c r="D18" s="6"/>
      <c r="E18" s="6"/>
      <c r="F18" s="6"/>
    </row>
    <row r="19" spans="1:6" x14ac:dyDescent="0.25">
      <c r="A19" s="4" t="s">
        <v>293</v>
      </c>
      <c r="B19" s="5" t="s">
        <v>37</v>
      </c>
      <c r="C19" s="6">
        <v>305704</v>
      </c>
      <c r="D19" s="6"/>
      <c r="E19" s="6"/>
      <c r="F19" s="6"/>
    </row>
    <row r="20" spans="1:6" x14ac:dyDescent="0.25">
      <c r="A20" s="4" t="s">
        <v>294</v>
      </c>
      <c r="B20" s="5" t="s">
        <v>295</v>
      </c>
      <c r="C20" s="6">
        <v>305704</v>
      </c>
      <c r="D20" s="6"/>
      <c r="E20" s="6"/>
      <c r="F20" s="6"/>
    </row>
    <row r="21" spans="1:6" x14ac:dyDescent="0.25">
      <c r="A21" s="4" t="s">
        <v>296</v>
      </c>
      <c r="B21" s="5" t="s">
        <v>37</v>
      </c>
      <c r="C21" s="6">
        <v>305704</v>
      </c>
      <c r="D21" s="6"/>
      <c r="E21" s="6"/>
      <c r="F21" s="6"/>
    </row>
    <row r="22" spans="1:6" x14ac:dyDescent="0.25">
      <c r="A22" s="12" t="s">
        <v>297</v>
      </c>
      <c r="B22" s="5" t="s">
        <v>40</v>
      </c>
      <c r="C22" s="6">
        <v>305704</v>
      </c>
      <c r="D22" s="11"/>
      <c r="E22" s="11"/>
      <c r="F22" s="11"/>
    </row>
    <row r="23" spans="1:6" x14ac:dyDescent="0.25">
      <c r="A23" s="10" t="s">
        <v>298</v>
      </c>
      <c r="B23" s="5" t="s">
        <v>101</v>
      </c>
      <c r="C23" s="6">
        <v>305704</v>
      </c>
      <c r="D23" s="11"/>
      <c r="E23" s="11"/>
      <c r="F23" s="11"/>
    </row>
    <row r="24" spans="1:6" x14ac:dyDescent="0.25">
      <c r="A24" s="4" t="s">
        <v>299</v>
      </c>
      <c r="B24" s="5" t="s">
        <v>300</v>
      </c>
      <c r="C24" s="6">
        <v>305704</v>
      </c>
      <c r="D24" s="6"/>
      <c r="E24" s="6"/>
      <c r="F24" s="6"/>
    </row>
    <row r="25" spans="1:6" x14ac:dyDescent="0.25">
      <c r="A25" s="4" t="s">
        <v>301</v>
      </c>
      <c r="B25" s="5" t="s">
        <v>123</v>
      </c>
      <c r="C25" s="6">
        <v>305704</v>
      </c>
      <c r="D25" s="6"/>
      <c r="E25" s="6"/>
      <c r="F25" s="6"/>
    </row>
    <row r="26" spans="1:6" x14ac:dyDescent="0.25">
      <c r="A26" s="4" t="s">
        <v>302</v>
      </c>
      <c r="B26" s="5" t="s">
        <v>81</v>
      </c>
      <c r="C26" s="6">
        <v>305704</v>
      </c>
      <c r="D26" s="6"/>
      <c r="E26" s="6"/>
      <c r="F26" s="6"/>
    </row>
    <row r="27" spans="1:6" x14ac:dyDescent="0.25">
      <c r="A27" s="4" t="s">
        <v>303</v>
      </c>
      <c r="B27" s="5" t="s">
        <v>43</v>
      </c>
      <c r="C27" s="6">
        <v>305704</v>
      </c>
      <c r="D27" s="6"/>
      <c r="E27" s="6"/>
      <c r="F27" s="6"/>
    </row>
    <row r="28" spans="1:6" x14ac:dyDescent="0.25">
      <c r="A28" s="4" t="s">
        <v>304</v>
      </c>
      <c r="B28" s="5" t="s">
        <v>43</v>
      </c>
      <c r="C28" s="6">
        <v>305704</v>
      </c>
      <c r="D28" s="6"/>
      <c r="E28" s="6"/>
      <c r="F28" s="6"/>
    </row>
    <row r="29" spans="1:6" x14ac:dyDescent="0.25">
      <c r="A29" s="4" t="s">
        <v>305</v>
      </c>
      <c r="B29" s="5" t="s">
        <v>56</v>
      </c>
      <c r="C29" s="6">
        <v>305704</v>
      </c>
      <c r="D29" s="6"/>
      <c r="E29" s="6"/>
      <c r="F29" s="6"/>
    </row>
    <row r="30" spans="1:6" x14ac:dyDescent="0.25">
      <c r="A30" s="4" t="s">
        <v>306</v>
      </c>
      <c r="B30" s="5" t="s">
        <v>56</v>
      </c>
      <c r="C30" s="6">
        <v>305704</v>
      </c>
      <c r="D30" s="6"/>
      <c r="E30" s="6"/>
      <c r="F30" s="6"/>
    </row>
    <row r="31" spans="1:6" x14ac:dyDescent="0.25">
      <c r="A31" s="4" t="s">
        <v>307</v>
      </c>
      <c r="B31" s="5" t="s">
        <v>56</v>
      </c>
      <c r="C31" s="6">
        <v>305704</v>
      </c>
      <c r="D31" s="6"/>
      <c r="E31" s="6"/>
      <c r="F31" s="6"/>
    </row>
    <row r="32" spans="1:6" x14ac:dyDescent="0.25">
      <c r="A32" s="4" t="s">
        <v>308</v>
      </c>
      <c r="B32" s="5" t="s">
        <v>70</v>
      </c>
      <c r="C32" s="6">
        <v>305704</v>
      </c>
      <c r="D32" s="6"/>
      <c r="E32" s="6"/>
      <c r="F32" s="6"/>
    </row>
    <row r="33" spans="1:6" x14ac:dyDescent="0.25">
      <c r="A33" s="23" t="s">
        <v>71</v>
      </c>
      <c r="B33" s="24" t="s">
        <v>70</v>
      </c>
      <c r="C33" s="6">
        <v>305704</v>
      </c>
      <c r="D33" s="25"/>
      <c r="E33" s="25"/>
      <c r="F33" s="25"/>
    </row>
    <row r="34" spans="1:6" x14ac:dyDescent="0.25">
      <c r="A34" s="23" t="s">
        <v>309</v>
      </c>
      <c r="B34" s="5" t="s">
        <v>70</v>
      </c>
      <c r="C34" s="6">
        <v>305704</v>
      </c>
      <c r="D34" s="6"/>
      <c r="E34" s="6"/>
      <c r="F34" s="6"/>
    </row>
    <row r="35" spans="1:6" x14ac:dyDescent="0.25">
      <c r="A35" s="23" t="s">
        <v>310</v>
      </c>
      <c r="B35" s="24" t="s">
        <v>311</v>
      </c>
      <c r="C35" s="25">
        <v>305704</v>
      </c>
      <c r="D35" s="25"/>
      <c r="E35" s="25"/>
      <c r="F35" s="25"/>
    </row>
    <row r="36" spans="1:6" x14ac:dyDescent="0.25">
      <c r="A36" s="23" t="s">
        <v>312</v>
      </c>
      <c r="B36" s="24" t="s">
        <v>37</v>
      </c>
      <c r="C36" s="25">
        <v>305704</v>
      </c>
      <c r="D36" s="25"/>
      <c r="E36" s="25"/>
      <c r="F36" s="25"/>
    </row>
    <row r="37" spans="1:6" x14ac:dyDescent="0.25">
      <c r="A37" s="23" t="s">
        <v>313</v>
      </c>
      <c r="B37" s="24" t="s">
        <v>314</v>
      </c>
      <c r="C37" s="25">
        <v>305704</v>
      </c>
      <c r="D37" s="25"/>
      <c r="E37" s="25"/>
      <c r="F37" s="25"/>
    </row>
    <row r="38" spans="1:6" x14ac:dyDescent="0.25">
      <c r="A38" s="23" t="s">
        <v>315</v>
      </c>
      <c r="B38" s="24" t="s">
        <v>93</v>
      </c>
      <c r="C38" s="25">
        <v>305704</v>
      </c>
      <c r="D38" s="25"/>
      <c r="E38" s="25"/>
      <c r="F38" s="25"/>
    </row>
    <row r="39" spans="1:6" x14ac:dyDescent="0.25">
      <c r="A39" s="45" t="s">
        <v>316</v>
      </c>
      <c r="B39" s="24" t="s">
        <v>66</v>
      </c>
      <c r="C39" s="25">
        <v>305704</v>
      </c>
      <c r="D39" s="37"/>
      <c r="E39" s="37"/>
      <c r="F39" s="37"/>
    </row>
    <row r="40" spans="1:6" x14ac:dyDescent="0.25">
      <c r="A40" s="36" t="s">
        <v>317</v>
      </c>
      <c r="B40" s="24" t="s">
        <v>66</v>
      </c>
      <c r="C40" s="25">
        <v>305704</v>
      </c>
      <c r="D40" s="37"/>
      <c r="E40" s="37"/>
      <c r="F40" s="37"/>
    </row>
    <row r="41" spans="1:6" x14ac:dyDescent="0.25">
      <c r="A41" s="23" t="s">
        <v>318</v>
      </c>
      <c r="B41" s="24" t="s">
        <v>95</v>
      </c>
      <c r="C41" s="25">
        <v>305704</v>
      </c>
      <c r="D41" s="25"/>
      <c r="E41" s="25"/>
      <c r="F41" s="25"/>
    </row>
    <row r="42" spans="1:6" x14ac:dyDescent="0.25">
      <c r="A42" s="23" t="s">
        <v>319</v>
      </c>
      <c r="B42" s="24" t="s">
        <v>95</v>
      </c>
      <c r="C42" s="25">
        <v>305704</v>
      </c>
      <c r="D42" s="25"/>
      <c r="E42" s="25"/>
      <c r="F42" s="25"/>
    </row>
  </sheetData>
  <dataValidations count="1">
    <dataValidation type="list" allowBlank="1" showInputMessage="1" showErrorMessage="1" sqref="C2:C42" xr:uid="{00000000-0002-0000-0500-000000000000}">
      <formula1>ListeCostCenters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>
    <tabColor rgb="FF00B050"/>
  </sheetPr>
  <dimension ref="A1:I47"/>
  <sheetViews>
    <sheetView workbookViewId="0">
      <pane ySplit="1" topLeftCell="A17" activePane="bottomLeft" state="frozen"/>
      <selection pane="bottomLeft" activeCell="H47" sqref="H47"/>
    </sheetView>
  </sheetViews>
  <sheetFormatPr baseColWidth="10" defaultColWidth="16.140625" defaultRowHeight="15" x14ac:dyDescent="0.25"/>
  <cols>
    <col min="1" max="1" width="22.85546875" bestFit="1" customWidth="1"/>
    <col min="2" max="2" width="9.140625" bestFit="1" customWidth="1"/>
    <col min="3" max="3" width="17.28515625" bestFit="1" customWidth="1"/>
    <col min="4" max="4" width="11" bestFit="1" customWidth="1"/>
    <col min="5" max="5" width="10.140625" bestFit="1" customWidth="1"/>
    <col min="6" max="6" width="28" bestFit="1" customWidth="1"/>
    <col min="7" max="7" width="20.7109375" bestFit="1" customWidth="1"/>
    <col min="8" max="8" width="33.140625" bestFit="1" customWidth="1"/>
    <col min="9" max="9" width="15.42578125" bestFit="1" customWidth="1"/>
  </cols>
  <sheetData>
    <row r="1" spans="1:9" x14ac:dyDescent="0.25">
      <c r="A1" s="1" t="s">
        <v>320</v>
      </c>
      <c r="B1" s="2" t="s">
        <v>135</v>
      </c>
      <c r="C1" s="2" t="s">
        <v>132</v>
      </c>
      <c r="D1" s="2" t="s">
        <v>321</v>
      </c>
      <c r="E1" s="2" t="s">
        <v>322</v>
      </c>
      <c r="F1" s="2" t="s">
        <v>323</v>
      </c>
      <c r="G1" s="2" t="s">
        <v>324</v>
      </c>
      <c r="H1" s="3" t="s">
        <v>325</v>
      </c>
      <c r="I1" s="2" t="s">
        <v>138</v>
      </c>
    </row>
    <row r="2" spans="1:9" x14ac:dyDescent="0.25">
      <c r="A2" t="str">
        <f t="shared" ref="A2:A46" si="0">B2 &amp; "-" &amp; C2</f>
        <v>AFB-BASEINDICATEURS</v>
      </c>
      <c r="B2" t="s">
        <v>2</v>
      </c>
      <c r="C2" t="s">
        <v>326</v>
      </c>
      <c r="F2" s="8" t="s">
        <v>327</v>
      </c>
      <c r="H2" t="s">
        <v>306</v>
      </c>
    </row>
    <row r="3" spans="1:9" x14ac:dyDescent="0.25">
      <c r="A3" t="str">
        <f t="shared" si="0"/>
        <v>AFB-CATALOGUE</v>
      </c>
      <c r="B3" t="s">
        <v>2</v>
      </c>
      <c r="C3" t="s">
        <v>328</v>
      </c>
      <c r="F3" s="8" t="s">
        <v>327</v>
      </c>
      <c r="H3" t="s">
        <v>306</v>
      </c>
    </row>
    <row r="4" spans="1:9" x14ac:dyDescent="0.25">
      <c r="A4" t="str">
        <f t="shared" si="0"/>
        <v>AFB-CDR</v>
      </c>
      <c r="B4" t="s">
        <v>2</v>
      </c>
      <c r="C4" t="s">
        <v>329</v>
      </c>
      <c r="F4" s="8" t="s">
        <v>327</v>
      </c>
      <c r="H4" t="s">
        <v>307</v>
      </c>
    </row>
    <row r="5" spans="1:9" x14ac:dyDescent="0.25">
      <c r="A5" t="str">
        <f t="shared" si="0"/>
        <v>AFB-CESMIA</v>
      </c>
      <c r="B5" t="s">
        <v>2</v>
      </c>
      <c r="C5" t="s">
        <v>330</v>
      </c>
      <c r="F5" s="8" t="s">
        <v>331</v>
      </c>
      <c r="H5" t="s">
        <v>279</v>
      </c>
    </row>
    <row r="6" spans="1:9" x14ac:dyDescent="0.25">
      <c r="A6" t="str">
        <f t="shared" si="0"/>
        <v>AFB-CMONSPOT</v>
      </c>
      <c r="B6" t="s">
        <v>2</v>
      </c>
      <c r="C6" t="s">
        <v>332</v>
      </c>
      <c r="F6" s="8" t="s">
        <v>331</v>
      </c>
      <c r="H6" t="s">
        <v>280</v>
      </c>
    </row>
    <row r="7" spans="1:9" x14ac:dyDescent="0.25">
      <c r="A7" t="str">
        <f t="shared" si="0"/>
        <v>AFB-NatureFrance</v>
      </c>
      <c r="B7" t="s">
        <v>2</v>
      </c>
      <c r="C7" t="s">
        <v>333</v>
      </c>
      <c r="F7" s="35" t="s">
        <v>334</v>
      </c>
      <c r="H7" t="s">
        <v>280</v>
      </c>
    </row>
    <row r="8" spans="1:9" x14ac:dyDescent="0.25">
      <c r="A8" t="str">
        <f t="shared" si="0"/>
        <v>AFB-OISON</v>
      </c>
      <c r="B8" t="s">
        <v>2</v>
      </c>
      <c r="C8" t="s">
        <v>335</v>
      </c>
      <c r="F8" s="8" t="s">
        <v>331</v>
      </c>
      <c r="H8" t="s">
        <v>306</v>
      </c>
    </row>
    <row r="9" spans="1:9" x14ac:dyDescent="0.25">
      <c r="A9" t="str">
        <f t="shared" si="0"/>
        <v>AFB-PATBIODIV</v>
      </c>
      <c r="B9" t="s">
        <v>2</v>
      </c>
      <c r="C9" t="s">
        <v>336</v>
      </c>
      <c r="F9" s="9" t="s">
        <v>334</v>
      </c>
      <c r="H9" t="s">
        <v>306</v>
      </c>
    </row>
    <row r="10" spans="1:9" x14ac:dyDescent="0.25">
      <c r="A10" t="str">
        <f t="shared" si="0"/>
        <v>AFB-PNM</v>
      </c>
      <c r="B10" t="s">
        <v>2</v>
      </c>
      <c r="C10" t="s">
        <v>337</v>
      </c>
      <c r="F10" s="8" t="s">
        <v>338</v>
      </c>
      <c r="H10" t="s">
        <v>280</v>
      </c>
    </row>
    <row r="11" spans="1:9" x14ac:dyDescent="0.25">
      <c r="A11" t="str">
        <f t="shared" si="0"/>
        <v>AFB-PNX</v>
      </c>
      <c r="B11" t="s">
        <v>2</v>
      </c>
      <c r="C11" t="s">
        <v>339</v>
      </c>
      <c r="F11" s="8" t="s">
        <v>327</v>
      </c>
      <c r="H11" t="s">
        <v>280</v>
      </c>
    </row>
    <row r="12" spans="1:9" x14ac:dyDescent="0.25">
      <c r="A12" t="str">
        <f t="shared" si="0"/>
        <v>AFB-RAA</v>
      </c>
      <c r="B12" t="s">
        <v>2</v>
      </c>
      <c r="C12" t="s">
        <v>340</v>
      </c>
      <c r="F12" s="8" t="s">
        <v>327</v>
      </c>
      <c r="G12" t="s">
        <v>341</v>
      </c>
      <c r="H12" t="s">
        <v>307</v>
      </c>
    </row>
    <row r="13" spans="1:9" x14ac:dyDescent="0.25">
      <c r="A13" t="str">
        <f t="shared" si="0"/>
        <v>ALM-ATOUT</v>
      </c>
      <c r="B13" t="s">
        <v>16</v>
      </c>
      <c r="C13" t="s">
        <v>342</v>
      </c>
      <c r="F13" s="8" t="s">
        <v>343</v>
      </c>
      <c r="H13" t="s">
        <v>281</v>
      </c>
    </row>
    <row r="14" spans="1:9" x14ac:dyDescent="0.25">
      <c r="A14" t="str">
        <f t="shared" si="0"/>
        <v>BRGM-ORRM</v>
      </c>
      <c r="B14" t="s">
        <v>19</v>
      </c>
      <c r="C14" t="s">
        <v>344</v>
      </c>
      <c r="F14" s="8" t="s">
        <v>343</v>
      </c>
      <c r="H14" t="s">
        <v>284</v>
      </c>
    </row>
    <row r="15" spans="1:9" x14ac:dyDescent="0.25">
      <c r="A15" t="str">
        <f t="shared" si="0"/>
        <v>CATITRES-COMX</v>
      </c>
      <c r="B15" t="s">
        <v>345</v>
      </c>
      <c r="C15" t="s">
        <v>346</v>
      </c>
      <c r="F15" s="8" t="s">
        <v>331</v>
      </c>
      <c r="H15" t="s">
        <v>285</v>
      </c>
    </row>
    <row r="16" spans="1:9" x14ac:dyDescent="0.25">
      <c r="A16" t="str">
        <f t="shared" si="0"/>
        <v>CGOS-BI</v>
      </c>
      <c r="B16" t="s">
        <v>99</v>
      </c>
      <c r="C16" t="s">
        <v>347</v>
      </c>
      <c r="F16" s="35" t="s">
        <v>348</v>
      </c>
      <c r="G16" t="s">
        <v>349</v>
      </c>
      <c r="H16" t="s">
        <v>286</v>
      </c>
    </row>
    <row r="17" spans="1:8" x14ac:dyDescent="0.25">
      <c r="A17" t="str">
        <f t="shared" si="0"/>
        <v>CNAV-BI-RGCU</v>
      </c>
      <c r="B17" t="s">
        <v>26</v>
      </c>
      <c r="C17" t="s">
        <v>350</v>
      </c>
      <c r="F17" s="8" t="s">
        <v>348</v>
      </c>
      <c r="H17" t="s">
        <v>287</v>
      </c>
    </row>
    <row r="18" spans="1:8" x14ac:dyDescent="0.25">
      <c r="A18" t="str">
        <f t="shared" si="0"/>
        <v>EBR-LAPOSTE</v>
      </c>
      <c r="B18" t="s">
        <v>74</v>
      </c>
      <c r="C18" t="s">
        <v>81</v>
      </c>
      <c r="F18" s="35" t="s">
        <v>348</v>
      </c>
      <c r="G18" t="s">
        <v>351</v>
      </c>
      <c r="H18" t="s">
        <v>288</v>
      </c>
    </row>
    <row r="19" spans="1:8" x14ac:dyDescent="0.25">
      <c r="A19" t="str">
        <f t="shared" si="0"/>
        <v>FRR-APPLIFRR</v>
      </c>
      <c r="B19" t="s">
        <v>28</v>
      </c>
      <c r="C19" t="s">
        <v>352</v>
      </c>
      <c r="F19" s="8" t="s">
        <v>331</v>
      </c>
      <c r="H19" t="s">
        <v>289</v>
      </c>
    </row>
    <row r="20" spans="1:8" x14ac:dyDescent="0.25">
      <c r="A20" t="str">
        <f t="shared" si="0"/>
        <v>FRR-CADENCIER</v>
      </c>
      <c r="B20" t="s">
        <v>28</v>
      </c>
      <c r="C20" t="s">
        <v>353</v>
      </c>
      <c r="F20" s="8" t="s">
        <v>331</v>
      </c>
      <c r="H20" t="s">
        <v>289</v>
      </c>
    </row>
    <row r="21" spans="1:8" x14ac:dyDescent="0.25">
      <c r="A21" t="str">
        <f t="shared" si="0"/>
        <v>FRR-DIGIPAT</v>
      </c>
      <c r="B21" t="s">
        <v>28</v>
      </c>
      <c r="C21" t="s">
        <v>354</v>
      </c>
      <c r="F21" t="s">
        <v>343</v>
      </c>
      <c r="G21" t="s">
        <v>334</v>
      </c>
      <c r="H21" t="s">
        <v>289</v>
      </c>
    </row>
    <row r="22" spans="1:8" x14ac:dyDescent="0.25">
      <c r="A22" t="str">
        <f t="shared" si="0"/>
        <v>FRR-PATAPAIN</v>
      </c>
      <c r="B22" t="s">
        <v>28</v>
      </c>
      <c r="C22" t="s">
        <v>355</v>
      </c>
      <c r="F22" s="9" t="s">
        <v>356</v>
      </c>
      <c r="H22" t="s">
        <v>289</v>
      </c>
    </row>
    <row r="23" spans="1:8" x14ac:dyDescent="0.25">
      <c r="A23" t="str">
        <f t="shared" si="0"/>
        <v>FRR-PATAPAINANDROID</v>
      </c>
      <c r="B23" t="s">
        <v>28</v>
      </c>
      <c r="C23" t="s">
        <v>357</v>
      </c>
      <c r="F23" s="8" t="s">
        <v>331</v>
      </c>
      <c r="H23" t="s">
        <v>289</v>
      </c>
    </row>
    <row r="24" spans="1:8" x14ac:dyDescent="0.25">
      <c r="A24" t="str">
        <f t="shared" si="0"/>
        <v>GFI-WAAC</v>
      </c>
      <c r="B24" t="s">
        <v>37</v>
      </c>
      <c r="C24" t="s">
        <v>358</v>
      </c>
      <c r="F24" s="35" t="s">
        <v>359</v>
      </c>
      <c r="G24" t="s">
        <v>341</v>
      </c>
      <c r="H24" t="s">
        <v>277</v>
      </c>
    </row>
    <row r="25" spans="1:8" x14ac:dyDescent="0.25">
      <c r="A25" t="str">
        <f t="shared" si="0"/>
        <v>GLI-APIBIOMETRIE</v>
      </c>
      <c r="B25" t="s">
        <v>40</v>
      </c>
      <c r="C25" t="s">
        <v>360</v>
      </c>
      <c r="F25" s="9" t="s">
        <v>334</v>
      </c>
      <c r="H25" t="s">
        <v>297</v>
      </c>
    </row>
    <row r="26" spans="1:8" x14ac:dyDescent="0.25">
      <c r="A26" t="str">
        <f t="shared" si="0"/>
        <v>INETUM-INTERNE</v>
      </c>
      <c r="B26" t="s">
        <v>101</v>
      </c>
      <c r="C26" t="s">
        <v>361</v>
      </c>
      <c r="F26" s="9" t="s">
        <v>356</v>
      </c>
      <c r="H26" t="s">
        <v>298</v>
      </c>
    </row>
    <row r="27" spans="1:8" x14ac:dyDescent="0.25">
      <c r="A27" t="str">
        <f t="shared" si="0"/>
        <v>ITCE-SIF</v>
      </c>
      <c r="B27" t="s">
        <v>123</v>
      </c>
      <c r="C27" t="s">
        <v>362</v>
      </c>
      <c r="F27" s="35" t="s">
        <v>363</v>
      </c>
      <c r="H27" t="s">
        <v>301</v>
      </c>
    </row>
    <row r="28" spans="1:8" x14ac:dyDescent="0.25">
      <c r="A28" t="str">
        <f t="shared" si="0"/>
        <v>LAPOSTE-CDC</v>
      </c>
      <c r="B28" t="s">
        <v>81</v>
      </c>
      <c r="C28" t="s">
        <v>364</v>
      </c>
      <c r="F28" s="35" t="s">
        <v>334</v>
      </c>
      <c r="G28" t="s">
        <v>365</v>
      </c>
      <c r="H28" t="s">
        <v>302</v>
      </c>
    </row>
    <row r="29" spans="1:8" x14ac:dyDescent="0.25">
      <c r="A29" t="str">
        <f t="shared" si="0"/>
        <v>MENJ-APAE</v>
      </c>
      <c r="B29" t="s">
        <v>366</v>
      </c>
      <c r="C29" t="s">
        <v>367</v>
      </c>
      <c r="F29" s="8" t="s">
        <v>327</v>
      </c>
      <c r="H29" t="s">
        <v>304</v>
      </c>
    </row>
    <row r="30" spans="1:8" x14ac:dyDescent="0.25">
      <c r="A30" t="str">
        <f t="shared" si="0"/>
        <v>MENJ-BI</v>
      </c>
      <c r="B30" t="s">
        <v>366</v>
      </c>
      <c r="C30" t="s">
        <v>347</v>
      </c>
      <c r="F30" s="35" t="s">
        <v>368</v>
      </c>
      <c r="G30" t="s">
        <v>369</v>
      </c>
      <c r="H30" t="s">
        <v>304</v>
      </c>
    </row>
    <row r="31" spans="1:8" x14ac:dyDescent="0.25">
      <c r="A31" t="str">
        <f t="shared" si="0"/>
        <v>MENJ-BNIE</v>
      </c>
      <c r="B31" t="s">
        <v>366</v>
      </c>
      <c r="C31" t="s">
        <v>370</v>
      </c>
      <c r="F31" s="8" t="s">
        <v>327</v>
      </c>
      <c r="H31" t="s">
        <v>304</v>
      </c>
    </row>
    <row r="32" spans="1:8" x14ac:dyDescent="0.25">
      <c r="A32" t="str">
        <f t="shared" si="0"/>
        <v>MENJ-INSERJEUNES</v>
      </c>
      <c r="B32" t="s">
        <v>366</v>
      </c>
      <c r="C32" t="s">
        <v>371</v>
      </c>
      <c r="F32" s="9" t="s">
        <v>356</v>
      </c>
      <c r="G32" t="s">
        <v>372</v>
      </c>
      <c r="H32" t="s">
        <v>303</v>
      </c>
    </row>
    <row r="33" spans="1:8" x14ac:dyDescent="0.25">
      <c r="A33" t="str">
        <f t="shared" si="0"/>
        <v>MENJ-RNIE</v>
      </c>
      <c r="B33" t="s">
        <v>366</v>
      </c>
      <c r="C33" t="s">
        <v>373</v>
      </c>
      <c r="F33" s="8" t="s">
        <v>327</v>
      </c>
      <c r="H33" t="s">
        <v>304</v>
      </c>
    </row>
    <row r="34" spans="1:8" x14ac:dyDescent="0.25">
      <c r="A34" t="str">
        <f t="shared" si="0"/>
        <v>OFB-CARTOTHEQUE</v>
      </c>
      <c r="B34" t="s">
        <v>77</v>
      </c>
      <c r="C34" t="s">
        <v>374</v>
      </c>
      <c r="F34" s="8" t="s">
        <v>327</v>
      </c>
      <c r="G34" t="s">
        <v>375</v>
      </c>
      <c r="H34" t="s">
        <v>280</v>
      </c>
    </row>
    <row r="35" spans="1:8" x14ac:dyDescent="0.25">
      <c r="A35" t="str">
        <f t="shared" si="0"/>
        <v>OFB-CMONSPOT</v>
      </c>
      <c r="B35" t="s">
        <v>77</v>
      </c>
      <c r="C35" t="s">
        <v>332</v>
      </c>
      <c r="F35" s="8" t="s">
        <v>327</v>
      </c>
      <c r="H35" t="s">
        <v>280</v>
      </c>
    </row>
    <row r="36" spans="1:8" x14ac:dyDescent="0.25">
      <c r="A36" t="str">
        <f>B36 &amp; "-" &amp; C36</f>
        <v>OFB-EAUFRANCE</v>
      </c>
      <c r="B36" t="s">
        <v>77</v>
      </c>
      <c r="C36" t="s">
        <v>423</v>
      </c>
      <c r="F36" s="8" t="s">
        <v>331</v>
      </c>
      <c r="G36" t="s">
        <v>424</v>
      </c>
      <c r="H36" t="s">
        <v>279</v>
      </c>
    </row>
    <row r="37" spans="1:8" x14ac:dyDescent="0.25">
      <c r="A37" t="str">
        <f t="shared" si="0"/>
        <v>OFB-ESTAMP</v>
      </c>
      <c r="B37" t="s">
        <v>77</v>
      </c>
      <c r="C37" t="s">
        <v>376</v>
      </c>
      <c r="F37" s="8" t="s">
        <v>327</v>
      </c>
      <c r="G37" t="s">
        <v>377</v>
      </c>
      <c r="H37" t="s">
        <v>279</v>
      </c>
    </row>
    <row r="38" spans="1:8" x14ac:dyDescent="0.25">
      <c r="A38" t="str">
        <f t="shared" si="0"/>
        <v>OFB-NATUREFRANCE</v>
      </c>
      <c r="B38" t="s">
        <v>77</v>
      </c>
      <c r="C38" t="s">
        <v>378</v>
      </c>
      <c r="F38" s="9" t="s">
        <v>334</v>
      </c>
      <c r="H38" t="s">
        <v>278</v>
      </c>
    </row>
    <row r="39" spans="1:8" x14ac:dyDescent="0.25">
      <c r="A39" t="str">
        <f t="shared" si="0"/>
        <v>OFB-SISPEA</v>
      </c>
      <c r="B39" t="s">
        <v>77</v>
      </c>
      <c r="C39" t="s">
        <v>379</v>
      </c>
      <c r="F39" s="35" t="s">
        <v>327</v>
      </c>
      <c r="G39" t="s">
        <v>380</v>
      </c>
      <c r="H39" t="s">
        <v>280</v>
      </c>
    </row>
    <row r="40" spans="1:8" x14ac:dyDescent="0.25">
      <c r="A40" t="str">
        <f t="shared" si="0"/>
        <v>PCM-ALS</v>
      </c>
      <c r="B40" t="s">
        <v>70</v>
      </c>
      <c r="C40" t="s">
        <v>381</v>
      </c>
      <c r="F40" s="8" t="s">
        <v>343</v>
      </c>
      <c r="H40" t="s">
        <v>308</v>
      </c>
    </row>
    <row r="41" spans="1:8" x14ac:dyDescent="0.25">
      <c r="A41" t="str">
        <f t="shared" si="0"/>
        <v>PCM-WEB</v>
      </c>
      <c r="B41" t="s">
        <v>70</v>
      </c>
      <c r="C41" t="s">
        <v>382</v>
      </c>
      <c r="F41" s="9" t="s">
        <v>334</v>
      </c>
      <c r="H41" t="s">
        <v>308</v>
      </c>
    </row>
    <row r="42" spans="1:8" x14ac:dyDescent="0.25">
      <c r="A42" t="str">
        <f t="shared" si="0"/>
        <v>SAFT-PDM</v>
      </c>
      <c r="B42" t="s">
        <v>93</v>
      </c>
      <c r="C42" t="s">
        <v>383</v>
      </c>
      <c r="F42" s="8" t="s">
        <v>327</v>
      </c>
      <c r="G42" t="s">
        <v>384</v>
      </c>
      <c r="H42" t="s">
        <v>315</v>
      </c>
    </row>
    <row r="43" spans="1:8" x14ac:dyDescent="0.25">
      <c r="A43" t="str">
        <f t="shared" si="0"/>
        <v>SPC-BUILD</v>
      </c>
      <c r="B43" t="s">
        <v>66</v>
      </c>
      <c r="C43" t="s">
        <v>385</v>
      </c>
      <c r="F43" s="9" t="s">
        <v>386</v>
      </c>
      <c r="H43" t="s">
        <v>316</v>
      </c>
    </row>
    <row r="44" spans="1:8" x14ac:dyDescent="0.25">
      <c r="A44" t="str">
        <f t="shared" si="0"/>
        <v>SPC-WEB</v>
      </c>
      <c r="B44" t="s">
        <v>66</v>
      </c>
      <c r="C44" t="s">
        <v>382</v>
      </c>
      <c r="F44" s="9" t="s">
        <v>386</v>
      </c>
      <c r="H44" t="s">
        <v>317</v>
      </c>
    </row>
    <row r="45" spans="1:8" x14ac:dyDescent="0.25">
      <c r="A45" t="str">
        <f t="shared" si="0"/>
        <v>STMICRO-DATAPACK</v>
      </c>
      <c r="B45" t="s">
        <v>95</v>
      </c>
      <c r="C45" t="s">
        <v>387</v>
      </c>
      <c r="F45" s="8" t="s">
        <v>331</v>
      </c>
      <c r="H45" t="s">
        <v>319</v>
      </c>
    </row>
    <row r="46" spans="1:8" x14ac:dyDescent="0.25">
      <c r="A46" t="str">
        <f t="shared" si="0"/>
        <v>STMICRO-ROCKET</v>
      </c>
      <c r="B46" t="s">
        <v>95</v>
      </c>
      <c r="C46" t="s">
        <v>388</v>
      </c>
      <c r="F46" s="8" t="s">
        <v>331</v>
      </c>
      <c r="G46" t="s">
        <v>372</v>
      </c>
      <c r="H46" t="s">
        <v>319</v>
      </c>
    </row>
    <row r="47" spans="1:8" x14ac:dyDescent="0.25">
      <c r="A47" t="str">
        <f>B47 &amp; "-" &amp; C47</f>
        <v>STMICRO-STARK</v>
      </c>
      <c r="B47" t="s">
        <v>95</v>
      </c>
      <c r="C47" t="s">
        <v>425</v>
      </c>
      <c r="F47" s="35" t="s">
        <v>426</v>
      </c>
      <c r="G47" t="s">
        <v>372</v>
      </c>
      <c r="H47" t="s">
        <v>319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'CONTRATS DI'!$A:$A</xm:f>
          </x14:formula1>
          <xm:sqref>H2:H47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0">
    <tabColor rgb="FF00B050"/>
  </sheetPr>
  <dimension ref="A1:C7"/>
  <sheetViews>
    <sheetView workbookViewId="0">
      <pane ySplit="1" topLeftCell="A2" activePane="bottomLeft" state="frozen"/>
      <selection pane="bottomLeft" activeCell="C12" sqref="C12"/>
    </sheetView>
  </sheetViews>
  <sheetFormatPr baseColWidth="10" defaultColWidth="17.5703125" defaultRowHeight="15" x14ac:dyDescent="0.25"/>
  <cols>
    <col min="3" max="3" width="26.140625" customWidth="1"/>
  </cols>
  <sheetData>
    <row r="1" spans="1:3" x14ac:dyDescent="0.25">
      <c r="A1" s="2" t="s">
        <v>389</v>
      </c>
      <c r="B1" s="2" t="s">
        <v>390</v>
      </c>
      <c r="C1" s="2" t="s">
        <v>138</v>
      </c>
    </row>
    <row r="2" spans="1:3" x14ac:dyDescent="0.25">
      <c r="A2" t="s">
        <v>4</v>
      </c>
    </row>
    <row r="3" spans="1:3" x14ac:dyDescent="0.25">
      <c r="A3" t="s">
        <v>10</v>
      </c>
    </row>
    <row r="4" spans="1:3" x14ac:dyDescent="0.25">
      <c r="A4" t="s">
        <v>144</v>
      </c>
      <c r="C4" t="s">
        <v>391</v>
      </c>
    </row>
    <row r="5" spans="1:3" x14ac:dyDescent="0.25">
      <c r="A5" t="s">
        <v>120</v>
      </c>
    </row>
    <row r="6" spans="1:3" x14ac:dyDescent="0.25">
      <c r="A6" t="s">
        <v>6</v>
      </c>
    </row>
    <row r="7" spans="1:3" x14ac:dyDescent="0.25">
      <c r="A7" t="s">
        <v>21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>
    <tabColor rgb="FF00B050"/>
  </sheetPr>
  <dimension ref="A1:G11"/>
  <sheetViews>
    <sheetView workbookViewId="0">
      <pane ySplit="1" topLeftCell="A3" activePane="bottomLeft" state="frozen"/>
      <selection pane="bottomLeft" activeCell="C7" sqref="C7"/>
    </sheetView>
  </sheetViews>
  <sheetFormatPr baseColWidth="10" defaultColWidth="16.42578125" defaultRowHeight="15" x14ac:dyDescent="0.25"/>
  <cols>
    <col min="1" max="1" width="15" bestFit="1" customWidth="1"/>
    <col min="2" max="2" width="6.85546875" bestFit="1" customWidth="1"/>
    <col min="3" max="3" width="7.42578125" bestFit="1" customWidth="1"/>
    <col min="4" max="4" width="21.7109375" bestFit="1" customWidth="1"/>
    <col min="5" max="5" width="21.28515625" bestFit="1" customWidth="1"/>
    <col min="6" max="6" width="25" bestFit="1" customWidth="1"/>
    <col min="7" max="7" width="34.140625" bestFit="1" customWidth="1"/>
  </cols>
  <sheetData>
    <row r="1" spans="1:7" x14ac:dyDescent="0.25">
      <c r="A1" s="2" t="s">
        <v>189</v>
      </c>
      <c r="B1" s="2" t="s">
        <v>392</v>
      </c>
      <c r="C1" s="2" t="s">
        <v>393</v>
      </c>
      <c r="D1" s="2" t="s">
        <v>394</v>
      </c>
      <c r="E1" s="2" t="s">
        <v>215</v>
      </c>
      <c r="F1" s="2" t="s">
        <v>225</v>
      </c>
      <c r="G1" s="2" t="s">
        <v>221</v>
      </c>
    </row>
    <row r="2" spans="1:7" x14ac:dyDescent="0.25">
      <c r="A2" t="s">
        <v>219</v>
      </c>
      <c r="B2">
        <v>1</v>
      </c>
      <c r="C2">
        <v>2</v>
      </c>
      <c r="D2">
        <v>4</v>
      </c>
      <c r="E2" s="7">
        <v>0.02</v>
      </c>
      <c r="F2" s="7">
        <v>2.53E-2</v>
      </c>
      <c r="G2" s="7">
        <v>0.36270000000000002</v>
      </c>
    </row>
    <row r="3" spans="1:7" x14ac:dyDescent="0.25">
      <c r="A3" t="s">
        <v>228</v>
      </c>
      <c r="B3">
        <v>2</v>
      </c>
      <c r="C3">
        <v>4</v>
      </c>
      <c r="D3">
        <v>8</v>
      </c>
      <c r="E3" s="7">
        <v>3.9899999999999998E-2</v>
      </c>
      <c r="F3" s="7">
        <v>5.0599999999999999E-2</v>
      </c>
      <c r="G3" s="7">
        <v>0.38800000000000001</v>
      </c>
    </row>
    <row r="4" spans="1:7" x14ac:dyDescent="0.25">
      <c r="A4" t="s">
        <v>231</v>
      </c>
      <c r="B4">
        <v>2</v>
      </c>
      <c r="C4">
        <v>8</v>
      </c>
      <c r="D4">
        <v>16</v>
      </c>
      <c r="E4" s="7">
        <v>7.9699999999999993E-2</v>
      </c>
      <c r="F4" s="7">
        <v>9.4500000000000001E-2</v>
      </c>
      <c r="G4" s="7">
        <v>0.43180000000000002</v>
      </c>
    </row>
    <row r="5" spans="1:7" x14ac:dyDescent="0.25">
      <c r="A5" t="s">
        <v>222</v>
      </c>
      <c r="B5">
        <v>2</v>
      </c>
      <c r="C5">
        <v>4</v>
      </c>
      <c r="D5">
        <v>8</v>
      </c>
      <c r="E5" s="7">
        <v>8.5199999999999998E-2</v>
      </c>
      <c r="F5" s="7">
        <v>0.1628</v>
      </c>
      <c r="G5" s="7">
        <v>0.50009999999999999</v>
      </c>
    </row>
    <row r="6" spans="1:7" x14ac:dyDescent="0.25">
      <c r="A6" t="s">
        <v>245</v>
      </c>
      <c r="B6">
        <v>2</v>
      </c>
      <c r="C6">
        <v>16</v>
      </c>
      <c r="D6">
        <v>50</v>
      </c>
      <c r="E6" s="7">
        <v>0.13159999999999999</v>
      </c>
      <c r="F6" s="7">
        <v>0.2092</v>
      </c>
      <c r="G6" s="7">
        <v>0.54649999999999999</v>
      </c>
    </row>
    <row r="7" spans="1:7" x14ac:dyDescent="0.25">
      <c r="A7" t="s">
        <v>229</v>
      </c>
      <c r="B7">
        <v>4</v>
      </c>
      <c r="C7">
        <v>16</v>
      </c>
      <c r="D7">
        <v>32</v>
      </c>
      <c r="E7" s="7">
        <v>0.15939999999999999</v>
      </c>
      <c r="F7" s="7">
        <v>0.18890000000000001</v>
      </c>
      <c r="G7" s="7">
        <v>0.52629999999999999</v>
      </c>
    </row>
    <row r="8" spans="1:7" x14ac:dyDescent="0.25">
      <c r="A8" t="s">
        <v>252</v>
      </c>
      <c r="B8">
        <v>4</v>
      </c>
      <c r="C8">
        <v>8</v>
      </c>
      <c r="D8">
        <v>64</v>
      </c>
      <c r="E8" s="7">
        <v>0.1704</v>
      </c>
      <c r="F8" s="7">
        <v>0.3256</v>
      </c>
      <c r="G8" s="7">
        <v>0.66290000000000004</v>
      </c>
    </row>
    <row r="9" spans="1:7" x14ac:dyDescent="0.25">
      <c r="A9" t="s">
        <v>216</v>
      </c>
      <c r="B9">
        <v>4</v>
      </c>
      <c r="C9">
        <v>32</v>
      </c>
      <c r="D9">
        <v>100</v>
      </c>
      <c r="E9" s="7">
        <v>0.26319999999999999</v>
      </c>
      <c r="F9" s="7">
        <v>0.41830000000000001</v>
      </c>
      <c r="G9" s="7">
        <v>0.75560000000000005</v>
      </c>
    </row>
    <row r="10" spans="1:7" x14ac:dyDescent="0.25">
      <c r="A10" t="s">
        <v>234</v>
      </c>
      <c r="B10">
        <v>8</v>
      </c>
      <c r="C10">
        <v>32</v>
      </c>
      <c r="D10">
        <v>64</v>
      </c>
      <c r="E10" s="7">
        <v>0.31879999999999997</v>
      </c>
      <c r="F10" s="7">
        <v>0.37780000000000002</v>
      </c>
      <c r="G10" s="7">
        <v>0.43180000000000002</v>
      </c>
    </row>
    <row r="11" spans="1:7" x14ac:dyDescent="0.25">
      <c r="A11" t="s">
        <v>226</v>
      </c>
      <c r="B11">
        <v>16</v>
      </c>
      <c r="C11">
        <v>64</v>
      </c>
      <c r="D11">
        <v>128</v>
      </c>
      <c r="E11" s="7">
        <v>0.63670000000000004</v>
      </c>
      <c r="F11" s="7">
        <v>0.69069999999999998</v>
      </c>
      <c r="G11" s="7">
        <v>2.04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2">
    <tabColor rgb="FF00B050"/>
  </sheetPr>
  <dimension ref="A1:F12"/>
  <sheetViews>
    <sheetView workbookViewId="0">
      <pane ySplit="1" topLeftCell="A2" activePane="bottomLeft" state="frozen"/>
      <selection pane="bottomLeft" activeCell="I19" sqref="I19"/>
    </sheetView>
  </sheetViews>
  <sheetFormatPr baseColWidth="10" defaultColWidth="19.42578125" defaultRowHeight="15" x14ac:dyDescent="0.25"/>
  <cols>
    <col min="1" max="1" width="22.5703125" bestFit="1" customWidth="1"/>
    <col min="3" max="3" width="6.85546875" bestFit="1" customWidth="1"/>
    <col min="4" max="4" width="13.42578125" bestFit="1" customWidth="1"/>
    <col min="5" max="5" width="13.5703125" bestFit="1" customWidth="1"/>
    <col min="6" max="6" width="17.85546875" bestFit="1" customWidth="1"/>
  </cols>
  <sheetData>
    <row r="1" spans="1:6" ht="30" x14ac:dyDescent="0.25">
      <c r="A1" s="1" t="s">
        <v>190</v>
      </c>
      <c r="B1" s="3" t="s">
        <v>395</v>
      </c>
      <c r="C1" s="3" t="s">
        <v>396</v>
      </c>
      <c r="D1" s="2" t="s">
        <v>397</v>
      </c>
      <c r="E1" s="29" t="s">
        <v>398</v>
      </c>
      <c r="F1" s="28" t="s">
        <v>399</v>
      </c>
    </row>
    <row r="2" spans="1:6" x14ac:dyDescent="0.25">
      <c r="A2" t="str">
        <f>TabVMAzureDisk[[#This Row],[Type]] &amp; " \ " &amp; TabVMAzureDisk[[#This Row],[Size]] &amp; " Go"</f>
        <v>NA \ NA Go</v>
      </c>
      <c r="B2" t="s">
        <v>400</v>
      </c>
      <c r="C2" t="s">
        <v>400</v>
      </c>
      <c r="D2" s="31">
        <v>0</v>
      </c>
      <c r="E2" s="32">
        <v>0</v>
      </c>
      <c r="F2" s="32">
        <f>TabVMAzureDisk[[#This Row],[Coût / mois]]+TabVMAzureDisk[[#This Row],[Coût / mois Sauvegarde]]</f>
        <v>0</v>
      </c>
    </row>
    <row r="3" spans="1:6" x14ac:dyDescent="0.25">
      <c r="A3" t="str">
        <f>TabVMAzureDisk[[#This Row],[Type]] &amp; " \ " &amp; TabVMAzureDisk[[#This Row],[Size]] &amp; " Go"</f>
        <v>Premium SSD \ 32 Go</v>
      </c>
      <c r="B3" t="s">
        <v>401</v>
      </c>
      <c r="C3">
        <v>32</v>
      </c>
      <c r="D3" s="31">
        <v>5.3869999999999996</v>
      </c>
      <c r="E3" s="32">
        <v>4.3167999999999997</v>
      </c>
      <c r="F3" s="32">
        <f>TabVMAzureDisk[[#This Row],[Coût / mois]]+TabVMAzureDisk[[#This Row],[Coût / mois Sauvegarde]]</f>
        <v>9.7037999999999993</v>
      </c>
    </row>
    <row r="4" spans="1:6" x14ac:dyDescent="0.25">
      <c r="A4" s="22" t="str">
        <f>TabVMAzureDisk[[#This Row],[Type]] &amp; " \ " &amp; TabVMAzureDisk[[#This Row],[Size]] &amp; " Go"</f>
        <v>Premium SSD \ 128 Go</v>
      </c>
      <c r="B4" t="s">
        <v>401</v>
      </c>
      <c r="C4">
        <v>128</v>
      </c>
      <c r="D4" s="31">
        <v>20.12</v>
      </c>
      <c r="E4" s="32">
        <v>17.27</v>
      </c>
      <c r="F4" s="32">
        <f>TabVMAzureDisk[[#This Row],[Coût / mois]]+TabVMAzureDisk[[#This Row],[Coût / mois Sauvegarde]]</f>
        <v>37.39</v>
      </c>
    </row>
    <row r="5" spans="1:6" x14ac:dyDescent="0.25">
      <c r="A5" t="str">
        <f>TabVMAzureDisk[[#This Row],[Type]] &amp; " \ " &amp; TabVMAzureDisk[[#This Row],[Size]] &amp; " Go"</f>
        <v>Premium SSD \ 512 Go</v>
      </c>
      <c r="B5" t="s">
        <v>401</v>
      </c>
      <c r="C5">
        <v>512</v>
      </c>
      <c r="D5" s="31">
        <v>74.709999999999994</v>
      </c>
      <c r="E5" s="32">
        <v>69.068799999999996</v>
      </c>
      <c r="F5" s="32">
        <f>TabVMAzureDisk[[#This Row],[Coût / mois]]+TabVMAzureDisk[[#This Row],[Coût / mois Sauvegarde]]</f>
        <v>143.77879999999999</v>
      </c>
    </row>
    <row r="6" spans="1:6" x14ac:dyDescent="0.25">
      <c r="A6" t="str">
        <f>TabVMAzureDisk[[#This Row],[Type]] &amp; " \ " &amp; TabVMAzureDisk[[#This Row],[Size]] &amp; " Go"</f>
        <v>SSD Standard \ 256 Go</v>
      </c>
      <c r="B6" t="s">
        <v>402</v>
      </c>
      <c r="C6">
        <v>256</v>
      </c>
      <c r="D6" s="31">
        <v>17.98</v>
      </c>
      <c r="E6" s="32">
        <v>34.534399999999998</v>
      </c>
      <c r="F6" s="32">
        <f>TabVMAzureDisk[[#This Row],[Coût / mois]]+TabVMAzureDisk[[#This Row],[Coût / mois Sauvegarde]]</f>
        <v>52.514399999999995</v>
      </c>
    </row>
    <row r="7" spans="1:6" x14ac:dyDescent="0.25">
      <c r="A7" t="str">
        <f>TabVMAzureDisk[[#This Row],[Type]] &amp; " \ " &amp; TabVMAzureDisk[[#This Row],[Size]] &amp; " Go"</f>
        <v>Standard HDD \ 1024 Go</v>
      </c>
      <c r="B7" t="s">
        <v>403</v>
      </c>
      <c r="C7">
        <v>1024</v>
      </c>
      <c r="D7" s="31">
        <v>38.036000000000001</v>
      </c>
      <c r="E7" s="32">
        <v>45.772799999999997</v>
      </c>
      <c r="F7" s="32">
        <f>TabVMAzureDisk[[#This Row],[Coût / mois]]+TabVMAzureDisk[[#This Row],[Coût / mois Sauvegarde]]</f>
        <v>83.808799999999991</v>
      </c>
    </row>
    <row r="8" spans="1:6" x14ac:dyDescent="0.25">
      <c r="A8" t="str">
        <f>TabVMAzureDisk[[#This Row],[Type]] &amp; " \ " &amp; TabVMAzureDisk[[#This Row],[Size]] &amp; " Go"</f>
        <v>Standard HDD \ 128 Go</v>
      </c>
      <c r="B8" t="s">
        <v>403</v>
      </c>
      <c r="C8">
        <v>128</v>
      </c>
      <c r="D8" s="31">
        <v>5.5010000000000003</v>
      </c>
      <c r="E8" s="32">
        <v>5.7215999999999996</v>
      </c>
      <c r="F8" s="32">
        <f>TabVMAzureDisk[[#This Row],[Coût / mois]]+TabVMAzureDisk[[#This Row],[Coût / mois Sauvegarde]]</f>
        <v>11.2226</v>
      </c>
    </row>
    <row r="9" spans="1:6" x14ac:dyDescent="0.25">
      <c r="A9" s="22" t="str">
        <f>TabVMAzureDisk[[#This Row],[Type]] &amp; " \ " &amp; TabVMAzureDisk[[#This Row],[Size]] &amp; " Go"</f>
        <v>Standard HDD \ 256 Go</v>
      </c>
      <c r="B9" t="s">
        <v>403</v>
      </c>
      <c r="C9">
        <v>256</v>
      </c>
      <c r="D9" s="31">
        <v>10.547000000000001</v>
      </c>
      <c r="E9" s="32">
        <v>11.443199999999999</v>
      </c>
      <c r="F9" s="32">
        <f>TabVMAzureDisk[[#This Row],[Coût / mois]]+TabVMAzureDisk[[#This Row],[Coût / mois Sauvegarde]]</f>
        <v>21.990200000000002</v>
      </c>
    </row>
    <row r="10" spans="1:6" x14ac:dyDescent="0.25">
      <c r="A10" t="str">
        <f>TabVMAzureDisk[[#This Row],[Type]] &amp; " \ " &amp; TabVMAzureDisk[[#This Row],[Size]] &amp; " Go"</f>
        <v>Standard HDD \ 32 Go</v>
      </c>
      <c r="B10" t="s">
        <v>403</v>
      </c>
      <c r="C10">
        <v>32</v>
      </c>
      <c r="D10" s="31">
        <v>1.425</v>
      </c>
      <c r="E10" s="32">
        <v>1.4303999999999999</v>
      </c>
      <c r="F10" s="32">
        <f>TabVMAzureDisk[[#This Row],[Coût / mois]]+TabVMAzureDisk[[#This Row],[Coût / mois Sauvegarde]]</f>
        <v>2.8553999999999999</v>
      </c>
    </row>
    <row r="11" spans="1:6" x14ac:dyDescent="0.25">
      <c r="A11" s="22" t="str">
        <f>TabVMAzureDisk[[#This Row],[Type]] &amp; " \ " &amp; TabVMAzureDisk[[#This Row],[Size]] &amp; " Go"</f>
        <v>Standard HDD \ 512 Go</v>
      </c>
      <c r="B11" t="s">
        <v>403</v>
      </c>
      <c r="C11">
        <v>512</v>
      </c>
      <c r="D11" s="31">
        <v>20.225000000000001</v>
      </c>
      <c r="E11" s="32">
        <v>22.886399999999998</v>
      </c>
      <c r="F11" s="32">
        <f>TabVMAzureDisk[[#This Row],[Coût / mois]]+TabVMAzureDisk[[#This Row],[Coût / mois Sauvegarde]]</f>
        <v>43.111400000000003</v>
      </c>
    </row>
    <row r="12" spans="1:6" x14ac:dyDescent="0.25">
      <c r="A12" s="22" t="str">
        <f>TabVMAzureDisk[[#This Row],[Type]] &amp; " \ " &amp; TabVMAzureDisk[[#This Row],[Size]] &amp; " Go"</f>
        <v>Standard HDD \ 64 Go</v>
      </c>
      <c r="B12" t="s">
        <v>403</v>
      </c>
      <c r="C12">
        <v>64</v>
      </c>
      <c r="D12" s="31">
        <v>2.79</v>
      </c>
      <c r="E12" s="32">
        <v>2.8607999999999998</v>
      </c>
      <c r="F12" s="32">
        <f>TabVMAzureDisk[[#This Row],[Coût / mois]]+TabVMAzureDisk[[#This Row],[Coût / mois Sauvegarde]]</f>
        <v>5.6508000000000003</v>
      </c>
    </row>
  </sheetData>
  <dataValidations count="2">
    <dataValidation type="list" allowBlank="1" showInputMessage="1" showErrorMessage="1" sqref="C2:C39" xr:uid="{00000000-0002-0000-0900-000000000000}">
      <formula1>"4,8,16,32,64,128,256,512,1024,2048,NA"</formula1>
    </dataValidation>
    <dataValidation type="list" allowBlank="1" showInputMessage="1" showErrorMessage="1" sqref="B2:B39" xr:uid="{00000000-0002-0000-0900-000001000000}">
      <formula1>"Standard HDD,SSD Standard,Premium SSD,NA"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3">
    <tabColor rgb="FF00B050"/>
  </sheetPr>
  <dimension ref="A1:A25"/>
  <sheetViews>
    <sheetView workbookViewId="0">
      <pane ySplit="1" topLeftCell="A2" activePane="bottomLeft" state="frozen"/>
      <selection pane="bottomLeft" activeCell="J17" sqref="J17"/>
    </sheetView>
  </sheetViews>
  <sheetFormatPr baseColWidth="10" defaultColWidth="11.42578125" defaultRowHeight="15" x14ac:dyDescent="0.25"/>
  <sheetData>
    <row r="1" spans="1:1" x14ac:dyDescent="0.25">
      <c r="A1" t="s">
        <v>404</v>
      </c>
    </row>
    <row r="2" spans="1:1" x14ac:dyDescent="0.25">
      <c r="A2" s="30" t="s">
        <v>139</v>
      </c>
    </row>
    <row r="3" spans="1:1" x14ac:dyDescent="0.25">
      <c r="A3" s="30" t="s">
        <v>143</v>
      </c>
    </row>
    <row r="4" spans="1:1" x14ac:dyDescent="0.25">
      <c r="A4" s="30" t="s">
        <v>145</v>
      </c>
    </row>
    <row r="5" spans="1:1" x14ac:dyDescent="0.25">
      <c r="A5" s="30" t="s">
        <v>148</v>
      </c>
    </row>
    <row r="6" spans="1:1" x14ac:dyDescent="0.25">
      <c r="A6" s="30" t="s">
        <v>149</v>
      </c>
    </row>
    <row r="7" spans="1:1" x14ac:dyDescent="0.25">
      <c r="A7" s="30" t="s">
        <v>151</v>
      </c>
    </row>
    <row r="8" spans="1:1" x14ac:dyDescent="0.25">
      <c r="A8" s="30" t="s">
        <v>152</v>
      </c>
    </row>
    <row r="9" spans="1:1" x14ac:dyDescent="0.25">
      <c r="A9" s="30" t="s">
        <v>155</v>
      </c>
    </row>
    <row r="10" spans="1:1" x14ac:dyDescent="0.25">
      <c r="A10" s="30" t="s">
        <v>158</v>
      </c>
    </row>
    <row r="11" spans="1:1" x14ac:dyDescent="0.25">
      <c r="A11" s="30" t="s">
        <v>161</v>
      </c>
    </row>
    <row r="12" spans="1:1" x14ac:dyDescent="0.25">
      <c r="A12" s="30" t="s">
        <v>164</v>
      </c>
    </row>
    <row r="13" spans="1:1" x14ac:dyDescent="0.25">
      <c r="A13" s="30" t="s">
        <v>168</v>
      </c>
    </row>
    <row r="14" spans="1:1" x14ac:dyDescent="0.25">
      <c r="A14" s="30" t="s">
        <v>171</v>
      </c>
    </row>
    <row r="15" spans="1:1" x14ac:dyDescent="0.25">
      <c r="A15" s="30" t="s">
        <v>175</v>
      </c>
    </row>
    <row r="16" spans="1:1" x14ac:dyDescent="0.25">
      <c r="A16" s="30" t="s">
        <v>179</v>
      </c>
    </row>
    <row r="17" spans="1:1" x14ac:dyDescent="0.25">
      <c r="A17" s="30" t="s">
        <v>405</v>
      </c>
    </row>
    <row r="18" spans="1:1" x14ac:dyDescent="0.25">
      <c r="A18" s="30" t="s">
        <v>406</v>
      </c>
    </row>
    <row r="19" spans="1:1" x14ac:dyDescent="0.25">
      <c r="A19" s="30" t="s">
        <v>407</v>
      </c>
    </row>
    <row r="20" spans="1:1" x14ac:dyDescent="0.25">
      <c r="A20" s="30" t="s">
        <v>408</v>
      </c>
    </row>
    <row r="21" spans="1:1" x14ac:dyDescent="0.25">
      <c r="A21" s="30" t="s">
        <v>409</v>
      </c>
    </row>
    <row r="22" spans="1:1" x14ac:dyDescent="0.25">
      <c r="A22" s="30" t="s">
        <v>410</v>
      </c>
    </row>
    <row r="23" spans="1:1" x14ac:dyDescent="0.25">
      <c r="A23" s="30" t="s">
        <v>411</v>
      </c>
    </row>
    <row r="24" spans="1:1" x14ac:dyDescent="0.25">
      <c r="A24" s="30" t="s">
        <v>412</v>
      </c>
    </row>
    <row r="25" spans="1:1" x14ac:dyDescent="0.25">
      <c r="A25" s="30" t="s">
        <v>413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4">
    <tabColor rgb="FF00B050"/>
  </sheetPr>
  <dimension ref="A1:A3"/>
  <sheetViews>
    <sheetView workbookViewId="0">
      <pane ySplit="1" topLeftCell="A2" activePane="bottomLeft" state="frozen"/>
      <selection pane="bottomLeft" activeCell="E8" sqref="E8"/>
    </sheetView>
  </sheetViews>
  <sheetFormatPr baseColWidth="10" defaultColWidth="11.42578125" defaultRowHeight="15" x14ac:dyDescent="0.25"/>
  <cols>
    <col min="1" max="1" width="13" customWidth="1"/>
  </cols>
  <sheetData>
    <row r="1" spans="1:1" x14ac:dyDescent="0.25">
      <c r="A1" t="s">
        <v>414</v>
      </c>
    </row>
    <row r="2" spans="1:1" x14ac:dyDescent="0.25">
      <c r="A2">
        <v>305704</v>
      </c>
    </row>
    <row r="3" spans="1:1" x14ac:dyDescent="0.25">
      <c r="A3">
        <v>100973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5"/>
  <dimension ref="A1:I2"/>
  <sheetViews>
    <sheetView workbookViewId="0">
      <pane ySplit="1" topLeftCell="A2" activePane="bottomLeft" state="frozen"/>
      <selection pane="bottomLeft" activeCell="J45" sqref="J45"/>
    </sheetView>
  </sheetViews>
  <sheetFormatPr baseColWidth="10" defaultColWidth="11.42578125" defaultRowHeight="15" x14ac:dyDescent="0.25"/>
  <cols>
    <col min="1" max="1" width="17.28515625" bestFit="1" customWidth="1"/>
    <col min="2" max="2" width="17.28515625" customWidth="1"/>
    <col min="3" max="3" width="19.85546875" bestFit="1" customWidth="1"/>
    <col min="4" max="7" width="18.42578125" bestFit="1" customWidth="1"/>
    <col min="8" max="8" width="21.85546875" bestFit="1" customWidth="1"/>
    <col min="9" max="9" width="10.28515625" bestFit="1" customWidth="1"/>
  </cols>
  <sheetData>
    <row r="1" spans="1:9" ht="30" x14ac:dyDescent="0.25">
      <c r="A1" s="14" t="s">
        <v>189</v>
      </c>
      <c r="B1" s="3" t="s">
        <v>188</v>
      </c>
      <c r="C1" s="14" t="s">
        <v>190</v>
      </c>
      <c r="D1" s="14" t="s">
        <v>191</v>
      </c>
      <c r="E1" s="14" t="s">
        <v>192</v>
      </c>
      <c r="F1" s="14" t="s">
        <v>193</v>
      </c>
      <c r="G1" s="14" t="s">
        <v>415</v>
      </c>
      <c r="H1" s="15" t="s">
        <v>416</v>
      </c>
      <c r="I1" s="16" t="s">
        <v>417</v>
      </c>
    </row>
    <row r="2" spans="1:9" x14ac:dyDescent="0.25">
      <c r="A2" t="s">
        <v>229</v>
      </c>
      <c r="B2" t="s">
        <v>215</v>
      </c>
      <c r="C2" t="s">
        <v>220</v>
      </c>
      <c r="D2" t="s">
        <v>418</v>
      </c>
      <c r="E2" t="s">
        <v>418</v>
      </c>
      <c r="F2" t="s">
        <v>418</v>
      </c>
      <c r="G2" t="s">
        <v>418</v>
      </c>
      <c r="H2">
        <v>64</v>
      </c>
      <c r="I2" s="18">
        <f>LOOKUP(A:A,VMAzureSize!A:A,VMAzureSize!E:E)</f>
        <v>7.9699999999999993E-2</v>
      </c>
    </row>
  </sheetData>
  <autoFilter ref="A1:I1" xr:uid="{00000000-0009-0000-0000-00000C000000}"/>
  <dataValidations count="2">
    <dataValidation type="list" allowBlank="1" showInputMessage="1" showErrorMessage="1" sqref="B2" xr:uid="{00000000-0002-0000-0C00-000000000000}">
      <formula1>"Linux, Windows, Windows + SQL"</formula1>
    </dataValidation>
    <dataValidation type="list" allowBlank="1" showInputMessage="1" showErrorMessage="1" sqref="C2" xr:uid="{00000000-0002-0000-0C00-000001000000}">
      <formula1>ListeVMAzureDisk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3000000}">
          <x14:formula1>
            <xm:f>VMAzureSize!$A:$A</xm:f>
          </x14:formula1>
          <xm:sqref>A2</xm:sqref>
        </x14:dataValidation>
        <x14:dataValidation type="list" allowBlank="1" showInputMessage="1" showErrorMessage="1" xr:uid="{00000000-0002-0000-0C00-000002000000}">
          <x14:formula1>
            <xm:f>VMAzureDisk!$A:$A</xm:f>
          </x14:formula1>
          <xm:sqref>D2:G2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F25F71713F5D4F834F32A35165A00B" ma:contentTypeVersion="6" ma:contentTypeDescription="Crée un document." ma:contentTypeScope="" ma:versionID="2e57f1f69214bae302f34732889af6bb">
  <xsd:schema xmlns:xsd="http://www.w3.org/2001/XMLSchema" xmlns:xs="http://www.w3.org/2001/XMLSchema" xmlns:p="http://schemas.microsoft.com/office/2006/metadata/properties" xmlns:ns2="7a8f9d80-1a09-4d53-b5d2-6a0ab3b00fb6" targetNamespace="http://schemas.microsoft.com/office/2006/metadata/properties" ma:root="true" ma:fieldsID="1d980c84048433116051f892581ab49b" ns2:_="">
    <xsd:import namespace="7a8f9d80-1a09-4d53-b5d2-6a0ab3b00f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8f9d80-1a09-4d53-b5d2-6a0ab3b00f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A7365917-9993-4DFE-A376-C8A8AE6EEE6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7C1F28-0FF7-4866-8B7A-37E9DFFC07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8f9d80-1a09-4d53-b5d2-6a0ab3b00f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197305-1598-44AC-B2D0-24A98F13B191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7a8f9d80-1a09-4d53-b5d2-6a0ab3b00fb6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01735779-F6EC-4A10-AA61-315B13436F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16</vt:i4>
      </vt:variant>
    </vt:vector>
  </HeadingPairs>
  <TitlesOfParts>
    <vt:vector size="30" baseType="lpstr">
      <vt:lpstr>Synthèse globale</vt:lpstr>
      <vt:lpstr>VMAzure-Env-Projet</vt:lpstr>
      <vt:lpstr>split cout vm infra</vt:lpstr>
      <vt:lpstr>AzureDevOps</vt:lpstr>
      <vt:lpstr>VMAZURE</vt:lpstr>
      <vt:lpstr>Devis OT vers Azure</vt:lpstr>
      <vt:lpstr>CONTRATS DI</vt:lpstr>
      <vt:lpstr>Projets</vt:lpstr>
      <vt:lpstr>Env</vt:lpstr>
      <vt:lpstr>VMAzureSize</vt:lpstr>
      <vt:lpstr>VMAzureDisk</vt:lpstr>
      <vt:lpstr>Date</vt:lpstr>
      <vt:lpstr>CostCenter</vt:lpstr>
      <vt:lpstr>Devis</vt:lpstr>
      <vt:lpstr>'Synthèse globale'!Impression_des_titres</vt:lpstr>
      <vt:lpstr>ListeAzureDevOps</vt:lpstr>
      <vt:lpstr>ListeCostCenters</vt:lpstr>
      <vt:lpstr>ListeDates</vt:lpstr>
      <vt:lpstr>ListeProjets</vt:lpstr>
      <vt:lpstr>ListeRefEnv</vt:lpstr>
      <vt:lpstr>ListeSystèmes</vt:lpstr>
      <vt:lpstr>ListeVMAZURE</vt:lpstr>
      <vt:lpstr>ListeVMAzureCoûts</vt:lpstr>
      <vt:lpstr>ListeVMAzureDisk</vt:lpstr>
      <vt:lpstr>ListeVMAzureDiskCout</vt:lpstr>
      <vt:lpstr>ListeVMAzureSize</vt:lpstr>
      <vt:lpstr>ListeVMAzureSizeCoûtLinux</vt:lpstr>
      <vt:lpstr>ListeVMAzureSizeCoûtWindows</vt:lpstr>
      <vt:lpstr>ListeVMAzureSizeCoûtWindowsSQLSTD</vt:lpstr>
      <vt:lpstr>'Synthèse globale'!Zone_d_impression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Giavarina Ugo</dc:creator>
  <cp:keywords/>
  <dc:description/>
  <cp:lastModifiedBy>Giavarina Ugo</cp:lastModifiedBy>
  <cp:revision/>
  <cp:lastPrinted>2021-04-26T09:49:47Z</cp:lastPrinted>
  <dcterms:created xsi:type="dcterms:W3CDTF">2020-02-24T13:10:48Z</dcterms:created>
  <dcterms:modified xsi:type="dcterms:W3CDTF">2021-04-30T10:17:52Z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0x01010024F25F71713F5D4F834F32A35165A00B</vt:lpwstr>
  </property>
</Properties>
</file>