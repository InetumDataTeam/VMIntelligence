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fi1.sharepoint.com/sites/CloudASCO/Documents partages/General/Activités/Infrastructures &amp; services/Microsoft Azure/Remonté coûts projets/"/>
    </mc:Choice>
  </mc:AlternateContent>
  <bookViews>
    <workbookView xWindow="-120" yWindow="-120" windowWidth="38640" windowHeight="21240" tabRatio="773"/>
  </bookViews>
  <sheets>
    <sheet name="Synthèse globale" sheetId="26" r:id="rId1"/>
    <sheet name="VMAzure-Env-Projet" sheetId="4" r:id="rId2"/>
    <sheet name="AzureDevOps" sheetId="7" r:id="rId3"/>
    <sheet name="VMAZURE" sheetId="9" r:id="rId4"/>
    <sheet name="Devis OT vers Azure" sheetId="27" r:id="rId5"/>
    <sheet name="CONTRATS DI" sheetId="1" r:id="rId6"/>
    <sheet name="Projets" sheetId="2" r:id="rId7"/>
    <sheet name="Env" sheetId="5" r:id="rId8"/>
    <sheet name="VMAzureSize" sheetId="11" r:id="rId9"/>
    <sheet name="VMAzureDisk" sheetId="14" r:id="rId10"/>
    <sheet name="Date" sheetId="20" r:id="rId11"/>
    <sheet name="CostCenter" sheetId="22" r:id="rId12"/>
    <sheet name="Devis" sheetId="15" r:id="rId13"/>
  </sheets>
  <definedNames>
    <definedName name="_xlnm._FilterDatabase" localSheetId="2" hidden="1">AzureDevOps!$A$1:$A$1</definedName>
    <definedName name="_xlnm._FilterDatabase" localSheetId="5" hidden="1">'CONTRATS DI'!$A$1:$F$26</definedName>
    <definedName name="_xlnm._FilterDatabase" localSheetId="12" hidden="1">Devis!$A$1:$I$1</definedName>
    <definedName name="_xlnm._FilterDatabase" localSheetId="7" hidden="1">Env!$A$1:$C$1</definedName>
    <definedName name="_xlnm._FilterDatabase" localSheetId="6" hidden="1">Projets!$A$1:$I$1</definedName>
    <definedName name="_xlnm._FilterDatabase" localSheetId="3" hidden="1">VMAZURE!$A$1:$Z$1</definedName>
    <definedName name="_xlnm._FilterDatabase" localSheetId="9" hidden="1">VMAzureDisk!$A$1:$D$1</definedName>
    <definedName name="_xlnm._FilterDatabase" localSheetId="8" hidden="1">VMAzureSize!$A$1:$G$1</definedName>
    <definedName name="_xlcn.WorksheetConnection_InventaireAzurev1.0.xlsxTablAzureDevOpsProjet1" hidden="1">TablAzureDevOpsProjet</definedName>
    <definedName name="_xlcn.WorksheetConnection_InventaireAzurev1.0.xlsxTabVMAzureEnvProjet1" hidden="1">TabVMAzureEnvProjet[]</definedName>
    <definedName name="_xlnm.Print_Titles" localSheetId="0">'Synthèse globale'!$6:$6</definedName>
    <definedName name="ListeAzureDevOps">TabAzureDevOps[ProjetAzureDevOps]</definedName>
    <definedName name="ListeCostCenters">TabCostCenters[CostCenter]</definedName>
    <definedName name="ListeDates">TabDates[Date]</definedName>
    <definedName name="ListeProjets">TabProjets[NomProj]</definedName>
    <definedName name="ListeRefEnv">TabEnv[RefEnv]</definedName>
    <definedName name="ListeSystèmes">TabVMAzureSize[[#Headers],[Linux]:[Windows + SQL STD]]</definedName>
    <definedName name="ListeVMAZURE">TabVMAZURE[VM]</definedName>
    <definedName name="ListeVMAzureCoûts">TabVMAzureSize[[Linux]:[Windows + SQL STD]]</definedName>
    <definedName name="ListeVMAzureDisk">TabVMAzureDisk[VMAzureDisk]</definedName>
    <definedName name="ListeVMAzureDiskCout">TabVMAzureDisk[Coût / mois]</definedName>
    <definedName name="ListeVMAzureSize">TabVMAzureSize[VMAzureSize]</definedName>
    <definedName name="ListeVMAzureSizeCoûtLinux">TabVMAzureSize[Linux]</definedName>
    <definedName name="ListeVMAzureSizeCoûtWindows">TabVMAzureSize[Windows]</definedName>
    <definedName name="ListeVMAzureSizeCoûtWindowsSQLSTD">TabVMAzureSize[Windows + SQL STD]</definedName>
    <definedName name="Segment_Client">#N/A</definedName>
    <definedName name="Segment_Code_SYGES">#N/A</definedName>
    <definedName name="Segment_Cost_Center">#N/A</definedName>
    <definedName name="Segment_Env">#N/A</definedName>
    <definedName name="Segment_Mois">#N/A</definedName>
    <definedName name="Segment_Projet">#N/A</definedName>
    <definedName name="_xlnm.Print_Area" localSheetId="0">'Synthèse globale'!$A$4:$B$14</definedName>
  </definedNames>
  <calcPr calcId="171027"/>
  <pivotCaches>
    <pivotCache cacheId="5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VMAzureEnvProjet" name="TabVMAzureEnvProjet" connection="WorksheetConnection_Inventaire Azure v1.0.xlsx!TabVMAzureEnvProjet"/>
          <x15:modelTable id="TablAzureDevOpsProjet" name="TablAzureDevOpsProjet" connection="WorksheetConnection_Inventaire Azure v1.0.xlsx!TablAzureDevOpsProj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0" i="2" l="1"/>
  <c r="B628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G617" i="4"/>
  <c r="I617" i="4" s="1"/>
  <c r="A617" i="4" s="1"/>
  <c r="G618" i="4"/>
  <c r="H618" i="4" s="1"/>
  <c r="G619" i="4"/>
  <c r="H619" i="4" s="1"/>
  <c r="G621" i="4"/>
  <c r="I621" i="4" s="1"/>
  <c r="A621" i="4" s="1"/>
  <c r="G622" i="4"/>
  <c r="H622" i="4" s="1"/>
  <c r="G623" i="4"/>
  <c r="H623" i="4" s="1"/>
  <c r="G624" i="4"/>
  <c r="I624" i="4" s="1"/>
  <c r="A624" i="4" s="1"/>
  <c r="G625" i="4"/>
  <c r="I625" i="4" s="1"/>
  <c r="A625" i="4" s="1"/>
  <c r="G626" i="4"/>
  <c r="H626" i="4" s="1"/>
  <c r="G627" i="4"/>
  <c r="H627" i="4" s="1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G567" i="4"/>
  <c r="I567" i="4" s="1"/>
  <c r="A567" i="4" s="1"/>
  <c r="G568" i="4"/>
  <c r="H568" i="4" s="1"/>
  <c r="G569" i="4"/>
  <c r="H569" i="4" s="1"/>
  <c r="G570" i="4"/>
  <c r="H570" i="4" s="1"/>
  <c r="G571" i="4"/>
  <c r="H571" i="4" s="1"/>
  <c r="G572" i="4"/>
  <c r="G573" i="4"/>
  <c r="I573" i="4" s="1"/>
  <c r="A573" i="4" s="1"/>
  <c r="G574" i="4"/>
  <c r="H574" i="4" s="1"/>
  <c r="G575" i="4"/>
  <c r="H575" i="4" s="1"/>
  <c r="G576" i="4"/>
  <c r="H576" i="4" s="1"/>
  <c r="G577" i="4"/>
  <c r="H577" i="4" s="1"/>
  <c r="G578" i="4"/>
  <c r="H578" i="4" s="1"/>
  <c r="G579" i="4"/>
  <c r="I579" i="4" s="1"/>
  <c r="A579" i="4" s="1"/>
  <c r="G580" i="4"/>
  <c r="I580" i="4" s="1"/>
  <c r="A580" i="4" s="1"/>
  <c r="G581" i="4"/>
  <c r="H581" i="4" s="1"/>
  <c r="G582" i="4"/>
  <c r="H582" i="4" s="1"/>
  <c r="G583" i="4"/>
  <c r="H583" i="4" s="1"/>
  <c r="G584" i="4"/>
  <c r="I584" i="4" s="1"/>
  <c r="A584" i="4" s="1"/>
  <c r="G585" i="4"/>
  <c r="H585" i="4" s="1"/>
  <c r="G586" i="4"/>
  <c r="H586" i="4" s="1"/>
  <c r="G587" i="4"/>
  <c r="H587" i="4" s="1"/>
  <c r="G588" i="4"/>
  <c r="H588" i="4" s="1"/>
  <c r="G589" i="4"/>
  <c r="H589" i="4" s="1"/>
  <c r="G590" i="4"/>
  <c r="H590" i="4" s="1"/>
  <c r="G591" i="4"/>
  <c r="I591" i="4" s="1"/>
  <c r="A591" i="4" s="1"/>
  <c r="G592" i="4"/>
  <c r="I592" i="4" s="1"/>
  <c r="A592" i="4" s="1"/>
  <c r="G593" i="4"/>
  <c r="I593" i="4" s="1"/>
  <c r="A593" i="4" s="1"/>
  <c r="G594" i="4"/>
  <c r="H594" i="4" s="1"/>
  <c r="G595" i="4"/>
  <c r="H595" i="4" s="1"/>
  <c r="G596" i="4"/>
  <c r="H596" i="4" s="1"/>
  <c r="G597" i="4"/>
  <c r="I597" i="4" s="1"/>
  <c r="A597" i="4" s="1"/>
  <c r="G598" i="4"/>
  <c r="H598" i="4" s="1"/>
  <c r="G599" i="4"/>
  <c r="H599" i="4" s="1"/>
  <c r="G600" i="4"/>
  <c r="H600" i="4" s="1"/>
  <c r="G601" i="4"/>
  <c r="H601" i="4" s="1"/>
  <c r="G602" i="4"/>
  <c r="H602" i="4" s="1"/>
  <c r="G603" i="4"/>
  <c r="H603" i="4" s="1"/>
  <c r="G604" i="4"/>
  <c r="H604" i="4" s="1"/>
  <c r="G605" i="4"/>
  <c r="I605" i="4" s="1"/>
  <c r="A605" i="4" s="1"/>
  <c r="G606" i="4"/>
  <c r="H606" i="4" s="1"/>
  <c r="G607" i="4"/>
  <c r="I607" i="4" s="1"/>
  <c r="A607" i="4" s="1"/>
  <c r="G608" i="4"/>
  <c r="I608" i="4" s="1"/>
  <c r="A608" i="4" s="1"/>
  <c r="G609" i="4"/>
  <c r="H609" i="4" s="1"/>
  <c r="G610" i="4"/>
  <c r="H610" i="4" s="1"/>
  <c r="G611" i="4"/>
  <c r="H611" i="4" s="1"/>
  <c r="G612" i="4"/>
  <c r="H612" i="4" s="1"/>
  <c r="G613" i="4"/>
  <c r="H613" i="4" s="1"/>
  <c r="H572" i="4"/>
  <c r="H584" i="4"/>
  <c r="I572" i="4"/>
  <c r="A572" i="4" s="1"/>
  <c r="I588" i="4"/>
  <c r="A588" i="4" s="1"/>
  <c r="I600" i="4"/>
  <c r="A600" i="4" s="1"/>
  <c r="I604" i="4"/>
  <c r="A604" i="4" s="1"/>
  <c r="I612" i="4"/>
  <c r="A612" i="4" s="1"/>
  <c r="B556" i="4"/>
  <c r="I587" i="4" l="1"/>
  <c r="A587" i="4" s="1"/>
  <c r="I627" i="4"/>
  <c r="A627" i="4" s="1"/>
  <c r="I622" i="4"/>
  <c r="A622" i="4" s="1"/>
  <c r="I569" i="4"/>
  <c r="A569" i="4" s="1"/>
  <c r="H579" i="4"/>
  <c r="H621" i="4"/>
  <c r="I613" i="4"/>
  <c r="A613" i="4" s="1"/>
  <c r="I603" i="4"/>
  <c r="A603" i="4" s="1"/>
  <c r="I571" i="4"/>
  <c r="A571" i="4" s="1"/>
  <c r="I601" i="4"/>
  <c r="A601" i="4" s="1"/>
  <c r="H591" i="4"/>
  <c r="I596" i="4"/>
  <c r="A596" i="4" s="1"/>
  <c r="I583" i="4"/>
  <c r="A583" i="4" s="1"/>
  <c r="H607" i="4"/>
  <c r="I582" i="4"/>
  <c r="A582" i="4" s="1"/>
  <c r="H580" i="4"/>
  <c r="I599" i="4"/>
  <c r="A599" i="4" s="1"/>
  <c r="I598" i="4"/>
  <c r="A598" i="4" s="1"/>
  <c r="I575" i="4"/>
  <c r="A575" i="4" s="1"/>
  <c r="I626" i="4"/>
  <c r="A626" i="4" s="1"/>
  <c r="I611" i="4"/>
  <c r="A611" i="4" s="1"/>
  <c r="I623" i="4"/>
  <c r="A623" i="4" s="1"/>
  <c r="I595" i="4"/>
  <c r="A595" i="4" s="1"/>
  <c r="I590" i="4"/>
  <c r="A590" i="4" s="1"/>
  <c r="I574" i="4"/>
  <c r="A574" i="4" s="1"/>
  <c r="I619" i="4"/>
  <c r="A619" i="4" s="1"/>
  <c r="I618" i="4"/>
  <c r="A618" i="4" s="1"/>
  <c r="I609" i="4"/>
  <c r="A609" i="4" s="1"/>
  <c r="I577" i="4"/>
  <c r="A577" i="4" s="1"/>
  <c r="H593" i="4"/>
  <c r="H625" i="4"/>
  <c r="H617" i="4"/>
  <c r="I576" i="4"/>
  <c r="A576" i="4" s="1"/>
  <c r="H608" i="4"/>
  <c r="H592" i="4"/>
  <c r="H624" i="4"/>
  <c r="I585" i="4"/>
  <c r="A585" i="4" s="1"/>
  <c r="I606" i="4"/>
  <c r="A606" i="4" s="1"/>
  <c r="H597" i="4"/>
  <c r="I581" i="4"/>
  <c r="A581" i="4" s="1"/>
  <c r="H605" i="4"/>
  <c r="H573" i="4"/>
  <c r="I589" i="4"/>
  <c r="A589" i="4" s="1"/>
  <c r="I568" i="4"/>
  <c r="A568" i="4" s="1"/>
  <c r="H567" i="4"/>
  <c r="I610" i="4"/>
  <c r="A610" i="4" s="1"/>
  <c r="I602" i="4"/>
  <c r="A602" i="4" s="1"/>
  <c r="I594" i="4"/>
  <c r="A594" i="4" s="1"/>
  <c r="I586" i="4"/>
  <c r="A586" i="4" s="1"/>
  <c r="I578" i="4"/>
  <c r="A578" i="4" s="1"/>
  <c r="I570" i="4"/>
  <c r="A570" i="4" s="1"/>
  <c r="AA2" i="9"/>
  <c r="AA3" i="9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Z2" i="9"/>
  <c r="Z3" i="9"/>
  <c r="Z4" i="9"/>
  <c r="Z5" i="9"/>
  <c r="Z6" i="9"/>
  <c r="Z7" i="9"/>
  <c r="Z8" i="9"/>
  <c r="Z9" i="9"/>
  <c r="Z10" i="9"/>
  <c r="Z11" i="9"/>
  <c r="Z12" i="9"/>
  <c r="Z13" i="9"/>
  <c r="Z14" i="9"/>
  <c r="Z15" i="9"/>
  <c r="Z16" i="9"/>
  <c r="Z17" i="9"/>
  <c r="Z18" i="9"/>
  <c r="J18" i="9"/>
  <c r="L18" i="9"/>
  <c r="M18" i="9"/>
  <c r="O18" i="9"/>
  <c r="P18" i="9"/>
  <c r="Q18" i="9"/>
  <c r="R18" i="9"/>
  <c r="S18" i="9"/>
  <c r="T18" i="9"/>
  <c r="U18" i="9"/>
  <c r="V18" i="9"/>
  <c r="X18" i="9" l="1"/>
  <c r="W18" i="9"/>
  <c r="N18" i="9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G545" i="4"/>
  <c r="I545" i="4" s="1"/>
  <c r="A545" i="4" s="1"/>
  <c r="G546" i="4"/>
  <c r="I546" i="4" s="1"/>
  <c r="A546" i="4" s="1"/>
  <c r="G547" i="4"/>
  <c r="H547" i="4" s="1"/>
  <c r="G549" i="4"/>
  <c r="H549" i="4" s="1"/>
  <c r="G550" i="4"/>
  <c r="H550" i="4" s="1"/>
  <c r="G551" i="4"/>
  <c r="H551" i="4" s="1"/>
  <c r="G552" i="4"/>
  <c r="I552" i="4" s="1"/>
  <c r="A552" i="4" s="1"/>
  <c r="G553" i="4"/>
  <c r="I553" i="4" s="1"/>
  <c r="A553" i="4" s="1"/>
  <c r="G554" i="4"/>
  <c r="I554" i="4" s="1"/>
  <c r="A554" i="4" s="1"/>
  <c r="G555" i="4"/>
  <c r="I555" i="4" s="1"/>
  <c r="A555" i="4" s="1"/>
  <c r="A42" i="2"/>
  <c r="G523" i="4" s="1"/>
  <c r="H523" i="4" s="1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G495" i="4"/>
  <c r="H495" i="4" s="1"/>
  <c r="G496" i="4"/>
  <c r="H496" i="4" s="1"/>
  <c r="G497" i="4"/>
  <c r="H497" i="4" s="1"/>
  <c r="G498" i="4"/>
  <c r="H498" i="4" s="1"/>
  <c r="G499" i="4"/>
  <c r="H499" i="4" s="1"/>
  <c r="G500" i="4"/>
  <c r="I500" i="4" s="1"/>
  <c r="A500" i="4" s="1"/>
  <c r="G501" i="4"/>
  <c r="I501" i="4" s="1"/>
  <c r="A501" i="4" s="1"/>
  <c r="G502" i="4"/>
  <c r="H502" i="4" s="1"/>
  <c r="G503" i="4"/>
  <c r="H503" i="4" s="1"/>
  <c r="G504" i="4"/>
  <c r="H504" i="4" s="1"/>
  <c r="G505" i="4"/>
  <c r="H505" i="4" s="1"/>
  <c r="G506" i="4"/>
  <c r="I506" i="4" s="1"/>
  <c r="A506" i="4" s="1"/>
  <c r="G507" i="4"/>
  <c r="H507" i="4" s="1"/>
  <c r="G508" i="4"/>
  <c r="H508" i="4" s="1"/>
  <c r="G509" i="4"/>
  <c r="H509" i="4" s="1"/>
  <c r="G510" i="4"/>
  <c r="H510" i="4" s="1"/>
  <c r="G511" i="4"/>
  <c r="H511" i="4" s="1"/>
  <c r="G512" i="4"/>
  <c r="H512" i="4" s="1"/>
  <c r="G513" i="4"/>
  <c r="I513" i="4" s="1"/>
  <c r="A513" i="4" s="1"/>
  <c r="G514" i="4"/>
  <c r="I514" i="4" s="1"/>
  <c r="A514" i="4" s="1"/>
  <c r="G515" i="4"/>
  <c r="I515" i="4" s="1"/>
  <c r="A515" i="4" s="1"/>
  <c r="G516" i="4"/>
  <c r="I516" i="4" s="1"/>
  <c r="A516" i="4" s="1"/>
  <c r="G517" i="4"/>
  <c r="I517" i="4" s="1"/>
  <c r="A517" i="4" s="1"/>
  <c r="G518" i="4"/>
  <c r="H518" i="4" s="1"/>
  <c r="G519" i="4"/>
  <c r="H519" i="4" s="1"/>
  <c r="G520" i="4"/>
  <c r="H520" i="4" s="1"/>
  <c r="G521" i="4"/>
  <c r="H521" i="4" s="1"/>
  <c r="G530" i="4"/>
  <c r="I530" i="4" s="1"/>
  <c r="A530" i="4" s="1"/>
  <c r="H555" i="4" l="1"/>
  <c r="I547" i="4"/>
  <c r="A547" i="4" s="1"/>
  <c r="H554" i="4"/>
  <c r="H546" i="4"/>
  <c r="Y18" i="9"/>
  <c r="I551" i="4"/>
  <c r="A551" i="4" s="1"/>
  <c r="I549" i="4"/>
  <c r="A549" i="4" s="1"/>
  <c r="I550" i="4"/>
  <c r="A550" i="4" s="1"/>
  <c r="H553" i="4"/>
  <c r="H545" i="4"/>
  <c r="H552" i="4"/>
  <c r="G538" i="4"/>
  <c r="I538" i="4" s="1"/>
  <c r="A538" i="4" s="1"/>
  <c r="G537" i="4"/>
  <c r="I537" i="4" s="1"/>
  <c r="A537" i="4" s="1"/>
  <c r="G529" i="4"/>
  <c r="I529" i="4" s="1"/>
  <c r="A529" i="4" s="1"/>
  <c r="G522" i="4"/>
  <c r="H522" i="4" s="1"/>
  <c r="H530" i="4"/>
  <c r="G536" i="4"/>
  <c r="G528" i="4"/>
  <c r="G535" i="4"/>
  <c r="H535" i="4" s="1"/>
  <c r="G527" i="4"/>
  <c r="H527" i="4" s="1"/>
  <c r="G534" i="4"/>
  <c r="H534" i="4" s="1"/>
  <c r="G526" i="4"/>
  <c r="H526" i="4" s="1"/>
  <c r="G541" i="4"/>
  <c r="G533" i="4"/>
  <c r="G525" i="4"/>
  <c r="G540" i="4"/>
  <c r="G532" i="4"/>
  <c r="G524" i="4"/>
  <c r="G539" i="4"/>
  <c r="G531" i="4"/>
  <c r="I523" i="4"/>
  <c r="A523" i="4" s="1"/>
  <c r="I521" i="4"/>
  <c r="A521" i="4" s="1"/>
  <c r="I520" i="4"/>
  <c r="A520" i="4" s="1"/>
  <c r="H517" i="4"/>
  <c r="H516" i="4"/>
  <c r="H515" i="4"/>
  <c r="H514" i="4"/>
  <c r="H513" i="4"/>
  <c r="I512" i="4"/>
  <c r="A512" i="4" s="1"/>
  <c r="I509" i="4"/>
  <c r="A509" i="4" s="1"/>
  <c r="I508" i="4"/>
  <c r="A508" i="4" s="1"/>
  <c r="I507" i="4"/>
  <c r="A507" i="4" s="1"/>
  <c r="H506" i="4"/>
  <c r="I505" i="4"/>
  <c r="A505" i="4" s="1"/>
  <c r="I504" i="4"/>
  <c r="A504" i="4" s="1"/>
  <c r="H501" i="4"/>
  <c r="H500" i="4"/>
  <c r="I499" i="4"/>
  <c r="A499" i="4" s="1"/>
  <c r="I498" i="4"/>
  <c r="A498" i="4" s="1"/>
  <c r="I497" i="4"/>
  <c r="A497" i="4" s="1"/>
  <c r="I496" i="4"/>
  <c r="A496" i="4" s="1"/>
  <c r="I519" i="4"/>
  <c r="A519" i="4" s="1"/>
  <c r="I511" i="4"/>
  <c r="A511" i="4" s="1"/>
  <c r="I503" i="4"/>
  <c r="A503" i="4" s="1"/>
  <c r="I495" i="4"/>
  <c r="A495" i="4" s="1"/>
  <c r="I518" i="4"/>
  <c r="A518" i="4" s="1"/>
  <c r="I510" i="4"/>
  <c r="A510" i="4" s="1"/>
  <c r="I502" i="4"/>
  <c r="A502" i="4" s="1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A41" i="2"/>
  <c r="A15" i="2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H538" i="4" l="1"/>
  <c r="I534" i="4"/>
  <c r="A534" i="4" s="1"/>
  <c r="H529" i="4"/>
  <c r="I527" i="4"/>
  <c r="A527" i="4" s="1"/>
  <c r="H537" i="4"/>
  <c r="I526" i="4"/>
  <c r="A526" i="4" s="1"/>
  <c r="I522" i="4"/>
  <c r="A522" i="4" s="1"/>
  <c r="I535" i="4"/>
  <c r="A535" i="4" s="1"/>
  <c r="H532" i="4"/>
  <c r="I532" i="4"/>
  <c r="A532" i="4" s="1"/>
  <c r="I540" i="4"/>
  <c r="A540" i="4" s="1"/>
  <c r="H540" i="4"/>
  <c r="H524" i="4"/>
  <c r="I524" i="4"/>
  <c r="A524" i="4" s="1"/>
  <c r="I525" i="4"/>
  <c r="A525" i="4" s="1"/>
  <c r="H525" i="4"/>
  <c r="H533" i="4"/>
  <c r="I533" i="4"/>
  <c r="A533" i="4" s="1"/>
  <c r="I528" i="4"/>
  <c r="A528" i="4" s="1"/>
  <c r="H528" i="4"/>
  <c r="I541" i="4"/>
  <c r="A541" i="4" s="1"/>
  <c r="H541" i="4"/>
  <c r="H536" i="4"/>
  <c r="I536" i="4"/>
  <c r="A536" i="4" s="1"/>
  <c r="I539" i="4"/>
  <c r="A539" i="4" s="1"/>
  <c r="H539" i="4"/>
  <c r="I531" i="4"/>
  <c r="A531" i="4" s="1"/>
  <c r="H531" i="4"/>
  <c r="B413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A43" i="2"/>
  <c r="A38" i="2"/>
  <c r="A37" i="2"/>
  <c r="A47" i="2"/>
  <c r="A59" i="2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J17" i="9" l="1"/>
  <c r="L17" i="9" s="1"/>
  <c r="M17" i="9" l="1"/>
  <c r="N17" i="9" l="1"/>
  <c r="A35" i="2"/>
  <c r="M16" i="9"/>
  <c r="J16" i="9"/>
  <c r="L16" i="9" s="1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N16" i="9" l="1"/>
  <c r="B276" i="4"/>
  <c r="B277" i="4"/>
  <c r="B278" i="4"/>
  <c r="B279" i="4"/>
  <c r="B280" i="4"/>
  <c r="B281" i="4"/>
  <c r="B282" i="4"/>
  <c r="B283" i="4"/>
  <c r="B284" i="4"/>
  <c r="B285" i="4"/>
  <c r="B286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J15" i="9" l="1"/>
  <c r="L15" i="9" s="1"/>
  <c r="M15" i="9"/>
  <c r="N15" i="9" l="1"/>
  <c r="B228" i="4"/>
  <c r="A58" i="2" l="1"/>
  <c r="B227" i="4"/>
  <c r="B224" i="4"/>
  <c r="B223" i="4"/>
  <c r="B222" i="4"/>
  <c r="B221" i="4"/>
  <c r="B220" i="4"/>
  <c r="B219" i="4"/>
  <c r="B218" i="4"/>
  <c r="B226" i="4"/>
  <c r="B225" i="4"/>
  <c r="A55" i="2"/>
  <c r="A49" i="2"/>
  <c r="A40" i="2"/>
  <c r="A39" i="2"/>
  <c r="A36" i="2"/>
  <c r="A33" i="2"/>
  <c r="A32" i="2"/>
  <c r="A31" i="2"/>
  <c r="A30" i="2"/>
  <c r="A29" i="2"/>
  <c r="A27" i="2"/>
  <c r="A26" i="2"/>
  <c r="A25" i="2"/>
  <c r="A24" i="2"/>
  <c r="A23" i="2"/>
  <c r="A22" i="2"/>
  <c r="A21" i="2"/>
  <c r="A19" i="2"/>
  <c r="A18" i="2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G437" i="4" l="1"/>
  <c r="G430" i="4"/>
  <c r="G438" i="4"/>
  <c r="G440" i="4"/>
  <c r="G433" i="4"/>
  <c r="G435" i="4"/>
  <c r="G436" i="4"/>
  <c r="J14" i="9"/>
  <c r="L14" i="9" s="1"/>
  <c r="M14" i="9"/>
  <c r="I430" i="4" l="1"/>
  <c r="A430" i="4" s="1"/>
  <c r="H430" i="4"/>
  <c r="I433" i="4"/>
  <c r="A433" i="4" s="1"/>
  <c r="H433" i="4"/>
  <c r="I435" i="4"/>
  <c r="A435" i="4" s="1"/>
  <c r="H435" i="4"/>
  <c r="H437" i="4"/>
  <c r="I437" i="4"/>
  <c r="A437" i="4" s="1"/>
  <c r="H436" i="4"/>
  <c r="I436" i="4"/>
  <c r="A436" i="4" s="1"/>
  <c r="I440" i="4"/>
  <c r="A440" i="4" s="1"/>
  <c r="H440" i="4"/>
  <c r="I438" i="4"/>
  <c r="A438" i="4" s="1"/>
  <c r="H438" i="4"/>
  <c r="N14" i="9"/>
  <c r="J13" i="9"/>
  <c r="L13" i="9" s="1"/>
  <c r="M13" i="9"/>
  <c r="N13" i="9" l="1"/>
  <c r="J12" i="9"/>
  <c r="L12" i="9" s="1"/>
  <c r="M12" i="9"/>
  <c r="F2" i="14"/>
  <c r="F3" i="14"/>
  <c r="F4" i="14"/>
  <c r="F5" i="14"/>
  <c r="F6" i="14"/>
  <c r="F7" i="14"/>
  <c r="F8" i="14"/>
  <c r="F9" i="14"/>
  <c r="F10" i="14"/>
  <c r="F11" i="14"/>
  <c r="N12" i="9" l="1"/>
  <c r="A10" i="14" l="1"/>
  <c r="A8" i="14"/>
  <c r="J29" i="27" l="1"/>
  <c r="L29" i="27" s="1"/>
  <c r="J30" i="27"/>
  <c r="L30" i="27" s="1"/>
  <c r="J31" i="27"/>
  <c r="L31" i="27" s="1"/>
  <c r="M29" i="27"/>
  <c r="M30" i="27"/>
  <c r="M31" i="27"/>
  <c r="J7" i="27"/>
  <c r="L7" i="27" s="1"/>
  <c r="J8" i="27"/>
  <c r="L8" i="27" s="1"/>
  <c r="J9" i="27"/>
  <c r="L9" i="27" s="1"/>
  <c r="J10" i="27"/>
  <c r="L10" i="27" s="1"/>
  <c r="J11" i="27"/>
  <c r="L11" i="27" s="1"/>
  <c r="J12" i="27"/>
  <c r="L12" i="27" s="1"/>
  <c r="J13" i="27"/>
  <c r="L13" i="27" s="1"/>
  <c r="J14" i="27"/>
  <c r="L14" i="27" s="1"/>
  <c r="J15" i="27"/>
  <c r="L15" i="27" s="1"/>
  <c r="J16" i="27"/>
  <c r="L16" i="27" s="1"/>
  <c r="J17" i="27"/>
  <c r="L17" i="27" s="1"/>
  <c r="J18" i="27"/>
  <c r="L18" i="27" s="1"/>
  <c r="J19" i="27"/>
  <c r="J20" i="27"/>
  <c r="L20" i="27" s="1"/>
  <c r="J21" i="27"/>
  <c r="L21" i="27" s="1"/>
  <c r="J22" i="27"/>
  <c r="L22" i="27" s="1"/>
  <c r="J23" i="27"/>
  <c r="L23" i="27" s="1"/>
  <c r="J24" i="27"/>
  <c r="L24" i="27" s="1"/>
  <c r="J25" i="27"/>
  <c r="L25" i="27" s="1"/>
  <c r="J26" i="27"/>
  <c r="L26" i="27" s="1"/>
  <c r="J27" i="27"/>
  <c r="L27" i="27" s="1"/>
  <c r="J28" i="27"/>
  <c r="L28" i="27" s="1"/>
  <c r="L19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J2" i="27"/>
  <c r="L2" i="27" s="1"/>
  <c r="J3" i="27"/>
  <c r="L3" i="27" s="1"/>
  <c r="J4" i="27"/>
  <c r="L4" i="27" s="1"/>
  <c r="J5" i="27"/>
  <c r="L5" i="27" s="1"/>
  <c r="J6" i="27"/>
  <c r="L6" i="27" s="1"/>
  <c r="M2" i="27"/>
  <c r="M3" i="27"/>
  <c r="M4" i="27"/>
  <c r="M5" i="27"/>
  <c r="M6" i="27"/>
  <c r="J6" i="9"/>
  <c r="J5" i="9"/>
  <c r="N17" i="27" l="1"/>
  <c r="N16" i="27"/>
  <c r="N26" i="27"/>
  <c r="N25" i="27"/>
  <c r="N28" i="27"/>
  <c r="N20" i="27"/>
  <c r="N12" i="27"/>
  <c r="N14" i="27"/>
  <c r="N19" i="27"/>
  <c r="N11" i="27"/>
  <c r="N22" i="27"/>
  <c r="N10" i="27"/>
  <c r="N8" i="27"/>
  <c r="N31" i="27"/>
  <c r="N30" i="27"/>
  <c r="N29" i="27"/>
  <c r="N27" i="27"/>
  <c r="N23" i="27"/>
  <c r="N18" i="27"/>
  <c r="N15" i="27"/>
  <c r="N7" i="27"/>
  <c r="N21" i="27"/>
  <c r="N13" i="27"/>
  <c r="N9" i="27"/>
  <c r="N24" i="27"/>
  <c r="N6" i="27"/>
  <c r="N5" i="27"/>
  <c r="N4" i="27"/>
  <c r="N3" i="27"/>
  <c r="N2" i="27"/>
  <c r="A11" i="2"/>
  <c r="A11" i="14"/>
  <c r="J11" i="9"/>
  <c r="L11" i="9" s="1"/>
  <c r="M11" i="9"/>
  <c r="N11" i="9" l="1"/>
  <c r="J2" i="9" l="1"/>
  <c r="B170" i="4" l="1"/>
  <c r="B169" i="4"/>
  <c r="B168" i="4"/>
  <c r="B167" i="4"/>
  <c r="B166" i="4"/>
  <c r="B165" i="4"/>
  <c r="B164" i="4"/>
  <c r="B163" i="4"/>
  <c r="A52" i="2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5" i="4" l="1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4" i="4"/>
  <c r="B3" i="4"/>
  <c r="B2" i="4"/>
  <c r="B128" i="4" l="1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9" i="4"/>
  <c r="B130" i="4"/>
  <c r="B102" i="4" l="1"/>
  <c r="B101" i="4"/>
  <c r="B100" i="4"/>
  <c r="B99" i="4"/>
  <c r="B98" i="4"/>
  <c r="B97" i="4"/>
  <c r="B96" i="4"/>
  <c r="A45" i="2"/>
  <c r="B95" i="4"/>
  <c r="J7" i="9" l="1"/>
  <c r="L7" i="9" s="1"/>
  <c r="M7" i="9"/>
  <c r="N7" i="9" l="1"/>
  <c r="A51" i="2"/>
  <c r="B94" i="4"/>
  <c r="J8" i="9"/>
  <c r="L8" i="9" s="1"/>
  <c r="M8" i="9"/>
  <c r="N8" i="9" l="1"/>
  <c r="B91" i="4"/>
  <c r="B92" i="4"/>
  <c r="B93" i="4"/>
  <c r="B87" i="4"/>
  <c r="B88" i="4"/>
  <c r="B89" i="4"/>
  <c r="B90" i="4"/>
  <c r="A6" i="2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60" i="4"/>
  <c r="B61" i="4"/>
  <c r="B62" i="4"/>
  <c r="B63" i="4"/>
  <c r="B64" i="4"/>
  <c r="A4" i="14"/>
  <c r="A17" i="2" l="1"/>
  <c r="B59" i="4"/>
  <c r="L5" i="9"/>
  <c r="M5" i="9"/>
  <c r="N5" i="9" l="1"/>
  <c r="B58" i="4"/>
  <c r="J3" i="9"/>
  <c r="L3" i="9" s="1"/>
  <c r="M3" i="9"/>
  <c r="N3" i="9" l="1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28" i="4"/>
  <c r="B57" i="4"/>
  <c r="B29" i="4"/>
  <c r="B30" i="4"/>
  <c r="B31" i="4"/>
  <c r="B32" i="4"/>
  <c r="B33" i="4"/>
  <c r="B34" i="4"/>
  <c r="B35" i="4"/>
  <c r="A2" i="14" l="1"/>
  <c r="Q17" i="9" l="1"/>
  <c r="R17" i="9"/>
  <c r="S17" i="9"/>
  <c r="T17" i="9"/>
  <c r="U17" i="9"/>
  <c r="V17" i="9"/>
  <c r="V16" i="9"/>
  <c r="U16" i="9"/>
  <c r="T16" i="9"/>
  <c r="S16" i="9"/>
  <c r="R16" i="9"/>
  <c r="Q16" i="9"/>
  <c r="T15" i="9"/>
  <c r="V15" i="9"/>
  <c r="Q15" i="9"/>
  <c r="U15" i="9"/>
  <c r="S15" i="9"/>
  <c r="R15" i="9"/>
  <c r="T14" i="9"/>
  <c r="U14" i="9"/>
  <c r="Q14" i="9"/>
  <c r="V14" i="9"/>
  <c r="R14" i="9"/>
  <c r="S14" i="9"/>
  <c r="R13" i="9"/>
  <c r="T13" i="9"/>
  <c r="S13" i="9"/>
  <c r="U13" i="9"/>
  <c r="Q13" i="9"/>
  <c r="V13" i="9"/>
  <c r="V6" i="9"/>
  <c r="T3" i="9"/>
  <c r="T11" i="9"/>
  <c r="R8" i="9"/>
  <c r="V5" i="27"/>
  <c r="V13" i="27"/>
  <c r="V21" i="27"/>
  <c r="V29" i="27"/>
  <c r="T7" i="27"/>
  <c r="T15" i="27"/>
  <c r="T23" i="27"/>
  <c r="T31" i="27"/>
  <c r="R9" i="27"/>
  <c r="R17" i="27"/>
  <c r="R25" i="27"/>
  <c r="V12" i="27"/>
  <c r="T30" i="27"/>
  <c r="V7" i="9"/>
  <c r="T4" i="9"/>
  <c r="T12" i="9"/>
  <c r="V6" i="27"/>
  <c r="V14" i="27"/>
  <c r="V22" i="27"/>
  <c r="V30" i="27"/>
  <c r="T8" i="27"/>
  <c r="T16" i="27"/>
  <c r="T24" i="27"/>
  <c r="R2" i="27"/>
  <c r="R10" i="27"/>
  <c r="R18" i="27"/>
  <c r="R26" i="27"/>
  <c r="T22" i="27"/>
  <c r="V8" i="9"/>
  <c r="R2" i="9"/>
  <c r="R10" i="9"/>
  <c r="V7" i="27"/>
  <c r="V15" i="27"/>
  <c r="V23" i="27"/>
  <c r="V31" i="27"/>
  <c r="T9" i="27"/>
  <c r="T17" i="27"/>
  <c r="T25" i="27"/>
  <c r="R3" i="27"/>
  <c r="R11" i="27"/>
  <c r="R19" i="27"/>
  <c r="R27" i="27"/>
  <c r="T6" i="27"/>
  <c r="V9" i="9"/>
  <c r="T6" i="9"/>
  <c r="R3" i="9"/>
  <c r="Q12" i="9"/>
  <c r="V8" i="27"/>
  <c r="V16" i="27"/>
  <c r="V24" i="27"/>
  <c r="T2" i="27"/>
  <c r="T10" i="27"/>
  <c r="T18" i="27"/>
  <c r="T26" i="27"/>
  <c r="R4" i="27"/>
  <c r="R12" i="27"/>
  <c r="R20" i="27"/>
  <c r="R28" i="27"/>
  <c r="R7" i="9"/>
  <c r="V28" i="27"/>
  <c r="R24" i="27"/>
  <c r="V2" i="9"/>
  <c r="V10" i="9"/>
  <c r="T7" i="9"/>
  <c r="R12" i="9"/>
  <c r="S12" i="9"/>
  <c r="V9" i="27"/>
  <c r="V17" i="27"/>
  <c r="V25" i="27"/>
  <c r="T3" i="27"/>
  <c r="T11" i="27"/>
  <c r="T19" i="27"/>
  <c r="T27" i="27"/>
  <c r="R5" i="27"/>
  <c r="R13" i="27"/>
  <c r="R21" i="27"/>
  <c r="R29" i="27"/>
  <c r="T10" i="9"/>
  <c r="T14" i="27"/>
  <c r="V3" i="9"/>
  <c r="V11" i="9"/>
  <c r="T8" i="9"/>
  <c r="U12" i="9"/>
  <c r="V2" i="27"/>
  <c r="V10" i="27"/>
  <c r="V18" i="27"/>
  <c r="V26" i="27"/>
  <c r="T4" i="27"/>
  <c r="T12" i="27"/>
  <c r="T20" i="27"/>
  <c r="T28" i="27"/>
  <c r="R6" i="27"/>
  <c r="R14" i="27"/>
  <c r="R22" i="27"/>
  <c r="R30" i="27"/>
  <c r="T2" i="9"/>
  <c r="V20" i="27"/>
  <c r="R16" i="27"/>
  <c r="V4" i="9"/>
  <c r="V12" i="9"/>
  <c r="T9" i="9"/>
  <c r="R6" i="9"/>
  <c r="V3" i="27"/>
  <c r="V11" i="27"/>
  <c r="V19" i="27"/>
  <c r="V27" i="27"/>
  <c r="T5" i="27"/>
  <c r="T13" i="27"/>
  <c r="T21" i="27"/>
  <c r="T29" i="27"/>
  <c r="R7" i="27"/>
  <c r="R15" i="27"/>
  <c r="R23" i="27"/>
  <c r="R31" i="27"/>
  <c r="V5" i="9"/>
  <c r="V4" i="27"/>
  <c r="R8" i="27"/>
  <c r="S11" i="9"/>
  <c r="Q7" i="9"/>
  <c r="S7" i="9"/>
  <c r="U7" i="9"/>
  <c r="Q8" i="9"/>
  <c r="S8" i="9"/>
  <c r="U8" i="9"/>
  <c r="U3" i="9"/>
  <c r="Q3" i="9"/>
  <c r="S3" i="9"/>
  <c r="Q10" i="9"/>
  <c r="S2" i="9"/>
  <c r="Q2" i="9"/>
  <c r="Q6" i="9"/>
  <c r="A3" i="14"/>
  <c r="A5" i="14"/>
  <c r="A6" i="14"/>
  <c r="A7" i="14"/>
  <c r="A9" i="14"/>
  <c r="M2" i="9"/>
  <c r="M4" i="9"/>
  <c r="M6" i="9"/>
  <c r="M9" i="9"/>
  <c r="M10" i="9"/>
  <c r="J4" i="9"/>
  <c r="L4" i="9" s="1"/>
  <c r="L6" i="9"/>
  <c r="J9" i="9"/>
  <c r="L9" i="9" s="1"/>
  <c r="J10" i="9"/>
  <c r="L10" i="9" s="1"/>
  <c r="L2" i="9"/>
  <c r="O17" i="9" l="1"/>
  <c r="W17" i="9" s="1"/>
  <c r="P17" i="9"/>
  <c r="X17" i="9" s="1"/>
  <c r="P16" i="9"/>
  <c r="X16" i="9" s="1"/>
  <c r="O15" i="9"/>
  <c r="W15" i="9" s="1"/>
  <c r="P15" i="9"/>
  <c r="X15" i="9" s="1"/>
  <c r="Y15" i="9" s="1"/>
  <c r="P3" i="27"/>
  <c r="O16" i="9"/>
  <c r="W16" i="9" s="1"/>
  <c r="P7" i="27"/>
  <c r="X7" i="27" s="1"/>
  <c r="P14" i="27"/>
  <c r="X14" i="27" s="1"/>
  <c r="P5" i="27"/>
  <c r="X5" i="27" s="1"/>
  <c r="P10" i="27"/>
  <c r="X10" i="27" s="1"/>
  <c r="P18" i="27"/>
  <c r="X18" i="27" s="1"/>
  <c r="P4" i="27"/>
  <c r="X4" i="27" s="1"/>
  <c r="P11" i="9"/>
  <c r="P2" i="27"/>
  <c r="X2" i="27" s="1"/>
  <c r="P26" i="27"/>
  <c r="X26" i="27" s="1"/>
  <c r="P20" i="27"/>
  <c r="X20" i="27" s="1"/>
  <c r="P5" i="9"/>
  <c r="O13" i="9"/>
  <c r="W13" i="9" s="1"/>
  <c r="P25" i="27"/>
  <c r="X25" i="27" s="1"/>
  <c r="P3" i="9"/>
  <c r="X3" i="9" s="1"/>
  <c r="P24" i="27"/>
  <c r="X24" i="27" s="1"/>
  <c r="P10" i="9"/>
  <c r="X10" i="9" s="1"/>
  <c r="P6" i="9"/>
  <c r="X6" i="9" s="1"/>
  <c r="P27" i="27"/>
  <c r="X27" i="27" s="1"/>
  <c r="P14" i="9"/>
  <c r="X14" i="9" s="1"/>
  <c r="P17" i="27"/>
  <c r="X17" i="27" s="1"/>
  <c r="P16" i="27"/>
  <c r="X16" i="27" s="1"/>
  <c r="P2" i="9"/>
  <c r="X2" i="9" s="1"/>
  <c r="P31" i="27"/>
  <c r="X31" i="27" s="1"/>
  <c r="P9" i="9"/>
  <c r="P4" i="9"/>
  <c r="X3" i="27"/>
  <c r="O12" i="9"/>
  <c r="W12" i="9" s="1"/>
  <c r="P12" i="9"/>
  <c r="X12" i="9" s="1"/>
  <c r="R9" i="9"/>
  <c r="P19" i="27"/>
  <c r="X19" i="27" s="1"/>
  <c r="O14" i="9"/>
  <c r="W14" i="9" s="1"/>
  <c r="P13" i="27"/>
  <c r="X13" i="27" s="1"/>
  <c r="P6" i="27"/>
  <c r="X6" i="27" s="1"/>
  <c r="T5" i="9"/>
  <c r="P13" i="9"/>
  <c r="X13" i="9" s="1"/>
  <c r="P9" i="27"/>
  <c r="X9" i="27" s="1"/>
  <c r="P8" i="27"/>
  <c r="X8" i="27" s="1"/>
  <c r="R5" i="9"/>
  <c r="P23" i="27"/>
  <c r="X23" i="27" s="1"/>
  <c r="P30" i="27"/>
  <c r="X30" i="27" s="1"/>
  <c r="P8" i="9"/>
  <c r="X8" i="9" s="1"/>
  <c r="P29" i="27"/>
  <c r="X29" i="27" s="1"/>
  <c r="P7" i="9"/>
  <c r="X7" i="9" s="1"/>
  <c r="P28" i="27"/>
  <c r="X28" i="27" s="1"/>
  <c r="P11" i="27"/>
  <c r="X11" i="27" s="1"/>
  <c r="Q11" i="9"/>
  <c r="P15" i="27"/>
  <c r="X15" i="27" s="1"/>
  <c r="R4" i="9"/>
  <c r="P22" i="27"/>
  <c r="X22" i="27" s="1"/>
  <c r="R11" i="9"/>
  <c r="P21" i="27"/>
  <c r="X21" i="27" s="1"/>
  <c r="P12" i="27"/>
  <c r="X12" i="27" s="1"/>
  <c r="Q30" i="27"/>
  <c r="O7" i="27"/>
  <c r="O15" i="27"/>
  <c r="O23" i="27"/>
  <c r="Q9" i="27"/>
  <c r="Q17" i="27"/>
  <c r="Q25" i="27"/>
  <c r="S11" i="27"/>
  <c r="S19" i="27"/>
  <c r="S27" i="27"/>
  <c r="U13" i="27"/>
  <c r="U21" i="27"/>
  <c r="O2" i="27"/>
  <c r="U4" i="27"/>
  <c r="U5" i="27"/>
  <c r="Q31" i="27"/>
  <c r="O8" i="27"/>
  <c r="O16" i="27"/>
  <c r="O24" i="27"/>
  <c r="Q10" i="27"/>
  <c r="Q18" i="27"/>
  <c r="Q26" i="27"/>
  <c r="S12" i="27"/>
  <c r="S20" i="27"/>
  <c r="S28" i="27"/>
  <c r="U14" i="27"/>
  <c r="U22" i="27"/>
  <c r="O3" i="27"/>
  <c r="S29" i="27"/>
  <c r="O9" i="27"/>
  <c r="O17" i="27"/>
  <c r="O25" i="27"/>
  <c r="Q11" i="27"/>
  <c r="Q19" i="27"/>
  <c r="Q27" i="27"/>
  <c r="S13" i="27"/>
  <c r="S21" i="27"/>
  <c r="U7" i="27"/>
  <c r="U15" i="27"/>
  <c r="U23" i="27"/>
  <c r="O4" i="27"/>
  <c r="S30" i="27"/>
  <c r="O10" i="27"/>
  <c r="O18" i="27"/>
  <c r="O26" i="27"/>
  <c r="Q12" i="27"/>
  <c r="Q20" i="27"/>
  <c r="Q28" i="27"/>
  <c r="S14" i="27"/>
  <c r="S22" i="27"/>
  <c r="U8" i="27"/>
  <c r="U16" i="27"/>
  <c r="U24" i="27"/>
  <c r="O5" i="27"/>
  <c r="S3" i="27"/>
  <c r="U6" i="27"/>
  <c r="S4" i="27"/>
  <c r="O29" i="27"/>
  <c r="S31" i="27"/>
  <c r="O11" i="27"/>
  <c r="O19" i="27"/>
  <c r="O27" i="27"/>
  <c r="Q13" i="27"/>
  <c r="Q21" i="27"/>
  <c r="S7" i="27"/>
  <c r="S15" i="27"/>
  <c r="S23" i="27"/>
  <c r="U9" i="27"/>
  <c r="U17" i="27"/>
  <c r="U25" i="27"/>
  <c r="O6" i="27"/>
  <c r="S5" i="27"/>
  <c r="O30" i="27"/>
  <c r="U29" i="27"/>
  <c r="O12" i="27"/>
  <c r="O20" i="27"/>
  <c r="O28" i="27"/>
  <c r="Q14" i="27"/>
  <c r="Q22" i="27"/>
  <c r="S8" i="27"/>
  <c r="S16" i="27"/>
  <c r="S24" i="27"/>
  <c r="U10" i="27"/>
  <c r="U18" i="27"/>
  <c r="U26" i="27"/>
  <c r="Q2" i="27"/>
  <c r="O31" i="27"/>
  <c r="U30" i="27"/>
  <c r="O13" i="27"/>
  <c r="W13" i="27" s="1"/>
  <c r="O21" i="27"/>
  <c r="Q7" i="27"/>
  <c r="Q15" i="27"/>
  <c r="Q23" i="27"/>
  <c r="S9" i="27"/>
  <c r="S17" i="27"/>
  <c r="S25" i="27"/>
  <c r="U11" i="27"/>
  <c r="U19" i="27"/>
  <c r="U27" i="27"/>
  <c r="Q3" i="27"/>
  <c r="S6" i="27"/>
  <c r="Q29" i="27"/>
  <c r="U31" i="27"/>
  <c r="O14" i="27"/>
  <c r="O22" i="27"/>
  <c r="W22" i="27" s="1"/>
  <c r="Q8" i="27"/>
  <c r="Q16" i="27"/>
  <c r="Q24" i="27"/>
  <c r="S10" i="27"/>
  <c r="S18" i="27"/>
  <c r="S26" i="27"/>
  <c r="U12" i="27"/>
  <c r="U20" i="27"/>
  <c r="U28" i="27"/>
  <c r="Q4" i="27"/>
  <c r="U2" i="27"/>
  <c r="Q5" i="27"/>
  <c r="U3" i="27"/>
  <c r="Q6" i="27"/>
  <c r="S2" i="27"/>
  <c r="O11" i="9"/>
  <c r="U11" i="9"/>
  <c r="O7" i="9"/>
  <c r="O8" i="9"/>
  <c r="Q5" i="9"/>
  <c r="S5" i="9"/>
  <c r="U5" i="9"/>
  <c r="O3" i="9"/>
  <c r="O5" i="9"/>
  <c r="O2" i="9"/>
  <c r="U2" i="9"/>
  <c r="Q4" i="9"/>
  <c r="O9" i="9"/>
  <c r="O6" i="9"/>
  <c r="O4" i="9"/>
  <c r="Q9" i="9"/>
  <c r="O10" i="9"/>
  <c r="S9" i="9"/>
  <c r="U4" i="9"/>
  <c r="S10" i="9"/>
  <c r="U6" i="9"/>
  <c r="S6" i="9"/>
  <c r="U9" i="9"/>
  <c r="U10" i="9"/>
  <c r="S4" i="9"/>
  <c r="N2" i="9"/>
  <c r="N9" i="9"/>
  <c r="N10" i="9"/>
  <c r="N6" i="9"/>
  <c r="N4" i="9"/>
  <c r="Y17" i="9" l="1"/>
  <c r="W30" i="27"/>
  <c r="Y16" i="9"/>
  <c r="X11" i="9"/>
  <c r="Y12" i="9"/>
  <c r="Y13" i="9"/>
  <c r="X5" i="9"/>
  <c r="X4" i="9"/>
  <c r="W14" i="27"/>
  <c r="X9" i="9"/>
  <c r="Y14" i="9"/>
  <c r="W21" i="27"/>
  <c r="W4" i="9"/>
  <c r="W11" i="9"/>
  <c r="W3" i="9"/>
  <c r="Y3" i="9" s="1"/>
  <c r="W6" i="9"/>
  <c r="Y6" i="9" s="1"/>
  <c r="W8" i="9"/>
  <c r="W9" i="9"/>
  <c r="W7" i="9"/>
  <c r="W2" i="9"/>
  <c r="Y2" i="9" s="1"/>
  <c r="W10" i="9"/>
  <c r="Y10" i="9" s="1"/>
  <c r="W5" i="9"/>
  <c r="Y5" i="9" s="1"/>
  <c r="W25" i="27"/>
  <c r="Y25" i="27" s="1"/>
  <c r="Z25" i="27" s="1"/>
  <c r="AB25" i="27" s="1"/>
  <c r="W31" i="27"/>
  <c r="W6" i="27"/>
  <c r="W17" i="27"/>
  <c r="W27" i="27"/>
  <c r="Y27" i="27" s="1"/>
  <c r="Z27" i="27" s="1"/>
  <c r="AB27" i="27" s="1"/>
  <c r="W5" i="27"/>
  <c r="W9" i="27"/>
  <c r="Y9" i="27" s="1"/>
  <c r="Z9" i="27" s="1"/>
  <c r="AB9" i="27" s="1"/>
  <c r="W28" i="27"/>
  <c r="W19" i="27"/>
  <c r="W26" i="27"/>
  <c r="Y26" i="27" s="1"/>
  <c r="Z26" i="27" s="1"/>
  <c r="AB26" i="27" s="1"/>
  <c r="W2" i="27"/>
  <c r="W20" i="27"/>
  <c r="Y20" i="27" s="1"/>
  <c r="Z20" i="27" s="1"/>
  <c r="AB20" i="27" s="1"/>
  <c r="W11" i="27"/>
  <c r="Y11" i="27" s="1"/>
  <c r="Z11" i="27" s="1"/>
  <c r="AB11" i="27" s="1"/>
  <c r="W18" i="27"/>
  <c r="W3" i="27"/>
  <c r="W23" i="27"/>
  <c r="W12" i="27"/>
  <c r="W10" i="27"/>
  <c r="W24" i="27"/>
  <c r="Y24" i="27" s="1"/>
  <c r="Z24" i="27" s="1"/>
  <c r="AB24" i="27" s="1"/>
  <c r="W15" i="27"/>
  <c r="W29" i="27"/>
  <c r="W16" i="27"/>
  <c r="Y16" i="27" s="1"/>
  <c r="Z16" i="27" s="1"/>
  <c r="AB16" i="27" s="1"/>
  <c r="W7" i="27"/>
  <c r="Y7" i="27" s="1"/>
  <c r="Z7" i="27" s="1"/>
  <c r="AB7" i="27" s="1"/>
  <c r="W4" i="27"/>
  <c r="W8" i="27"/>
  <c r="Y8" i="27" s="1"/>
  <c r="Z8" i="27" s="1"/>
  <c r="AB8" i="27" s="1"/>
  <c r="Y21" i="27"/>
  <c r="Z21" i="27" s="1"/>
  <c r="AB21" i="27" s="1"/>
  <c r="Y14" i="27"/>
  <c r="Z14" i="27" s="1"/>
  <c r="AB14" i="27" s="1"/>
  <c r="Y17" i="27"/>
  <c r="Z17" i="27" s="1"/>
  <c r="AB17" i="27" s="1"/>
  <c r="Y28" i="27"/>
  <c r="Z28" i="27" s="1"/>
  <c r="AB28" i="27" s="1"/>
  <c r="Y19" i="27"/>
  <c r="Z19" i="27" s="1"/>
  <c r="AB19" i="27" s="1"/>
  <c r="Y18" i="27"/>
  <c r="Z18" i="27" s="1"/>
  <c r="AB18" i="27" s="1"/>
  <c r="Y23" i="27"/>
  <c r="Z23" i="27" s="1"/>
  <c r="AB23" i="27" s="1"/>
  <c r="Y12" i="27"/>
  <c r="Z12" i="27" s="1"/>
  <c r="AB12" i="27" s="1"/>
  <c r="Y10" i="27"/>
  <c r="Z10" i="27" s="1"/>
  <c r="AB10" i="27" s="1"/>
  <c r="Y15" i="27"/>
  <c r="Z15" i="27" s="1"/>
  <c r="AB15" i="27" s="1"/>
  <c r="Y29" i="27"/>
  <c r="Z29" i="27" s="1"/>
  <c r="AB29" i="27" s="1"/>
  <c r="Y31" i="27"/>
  <c r="Z31" i="27" s="1"/>
  <c r="AB31" i="27" s="1"/>
  <c r="Y22" i="27"/>
  <c r="Z22" i="27" s="1"/>
  <c r="AB22" i="27" s="1"/>
  <c r="Y13" i="27"/>
  <c r="Z13" i="27" s="1"/>
  <c r="AB13" i="27" s="1"/>
  <c r="Y30" i="27"/>
  <c r="Z30" i="27" s="1"/>
  <c r="AB30" i="27" s="1"/>
  <c r="Y6" i="27"/>
  <c r="Z6" i="27" s="1"/>
  <c r="AB6" i="27" s="1"/>
  <c r="Y5" i="27"/>
  <c r="Z5" i="27" s="1"/>
  <c r="AB5" i="27" s="1"/>
  <c r="Y2" i="27"/>
  <c r="Z2" i="27" s="1"/>
  <c r="AB2" i="27" s="1"/>
  <c r="Y3" i="27"/>
  <c r="Z3" i="27" s="1"/>
  <c r="AB3" i="27" s="1"/>
  <c r="Y4" i="27"/>
  <c r="Z4" i="27" s="1"/>
  <c r="AB4" i="27" s="1"/>
  <c r="I2" i="15"/>
  <c r="Y11" i="9" l="1"/>
  <c r="Y4" i="9"/>
  <c r="Y9" i="9"/>
  <c r="Y7" i="9"/>
  <c r="Y8" i="9"/>
  <c r="A5" i="2"/>
  <c r="A53" i="2"/>
  <c r="A44" i="2"/>
  <c r="A2" i="2"/>
  <c r="A34" i="2"/>
  <c r="A54" i="2"/>
  <c r="A48" i="2"/>
  <c r="A28" i="2"/>
  <c r="A9" i="2"/>
  <c r="A46" i="2"/>
  <c r="A4" i="2"/>
  <c r="A13" i="2"/>
  <c r="A10" i="2"/>
  <c r="A7" i="2"/>
  <c r="A16" i="2"/>
  <c r="G473" i="4" s="1"/>
  <c r="A3" i="2"/>
  <c r="A8" i="2"/>
  <c r="G614" i="4" l="1"/>
  <c r="G564" i="4"/>
  <c r="G562" i="4"/>
  <c r="G563" i="4"/>
  <c r="G615" i="4"/>
  <c r="G557" i="4"/>
  <c r="G565" i="4"/>
  <c r="G620" i="4"/>
  <c r="G616" i="4"/>
  <c r="G558" i="4"/>
  <c r="G566" i="4"/>
  <c r="G559" i="4"/>
  <c r="G560" i="4"/>
  <c r="G556" i="4"/>
  <c r="G561" i="4"/>
  <c r="G628" i="4"/>
  <c r="G490" i="4"/>
  <c r="G542" i="4"/>
  <c r="G491" i="4"/>
  <c r="G494" i="4"/>
  <c r="G543" i="4"/>
  <c r="G484" i="4"/>
  <c r="G492" i="4"/>
  <c r="G544" i="4"/>
  <c r="G485" i="4"/>
  <c r="G493" i="4"/>
  <c r="G486" i="4"/>
  <c r="G488" i="4"/>
  <c r="G487" i="4"/>
  <c r="G548" i="4"/>
  <c r="G489" i="4"/>
  <c r="G476" i="4"/>
  <c r="H473" i="4"/>
  <c r="I473" i="4"/>
  <c r="A473" i="4" s="1"/>
  <c r="G474" i="4"/>
  <c r="G475" i="4"/>
  <c r="G477" i="4"/>
  <c r="G481" i="4"/>
  <c r="G482" i="4"/>
  <c r="G483" i="4"/>
  <c r="G426" i="4"/>
  <c r="G403" i="4"/>
  <c r="G446" i="4"/>
  <c r="G448" i="4"/>
  <c r="G405" i="4"/>
  <c r="G455" i="4"/>
  <c r="G457" i="4"/>
  <c r="G444" i="4"/>
  <c r="G445" i="4"/>
  <c r="G450" i="4"/>
  <c r="G443" i="4"/>
  <c r="G453" i="4"/>
  <c r="G413" i="4"/>
  <c r="G407" i="4"/>
  <c r="G454" i="4"/>
  <c r="G447" i="4"/>
  <c r="G452" i="4"/>
  <c r="G462" i="4"/>
  <c r="G442" i="4"/>
  <c r="G441" i="4"/>
  <c r="G460" i="4"/>
  <c r="G411" i="4"/>
  <c r="G456" i="4"/>
  <c r="G459" i="4"/>
  <c r="G449" i="4"/>
  <c r="G404" i="4"/>
  <c r="G461" i="4"/>
  <c r="G458" i="4"/>
  <c r="G412" i="4"/>
  <c r="G420" i="4"/>
  <c r="G418" i="4"/>
  <c r="G416" i="4"/>
  <c r="G414" i="4"/>
  <c r="G417" i="4"/>
  <c r="G406" i="4"/>
  <c r="G415" i="4"/>
  <c r="G421" i="4"/>
  <c r="G419" i="4"/>
  <c r="G428" i="4"/>
  <c r="G427" i="4"/>
  <c r="G434" i="4"/>
  <c r="G439" i="4"/>
  <c r="G372" i="4"/>
  <c r="G380" i="4"/>
  <c r="G388" i="4"/>
  <c r="G384" i="4"/>
  <c r="G385" i="4"/>
  <c r="G373" i="4"/>
  <c r="G381" i="4"/>
  <c r="G389" i="4"/>
  <c r="G374" i="4"/>
  <c r="G390" i="4"/>
  <c r="G377" i="4"/>
  <c r="G359" i="4"/>
  <c r="G375" i="4"/>
  <c r="G383" i="4"/>
  <c r="G391" i="4"/>
  <c r="G376" i="4"/>
  <c r="G362" i="4"/>
  <c r="G386" i="4"/>
  <c r="G371" i="4"/>
  <c r="G392" i="4"/>
  <c r="G338" i="4"/>
  <c r="G299" i="4"/>
  <c r="G324" i="4"/>
  <c r="G311" i="4"/>
  <c r="G322" i="4"/>
  <c r="G320" i="4"/>
  <c r="G339" i="4"/>
  <c r="G259" i="4"/>
  <c r="G254" i="4"/>
  <c r="G256" i="4"/>
  <c r="G257" i="4"/>
  <c r="G264" i="4"/>
  <c r="G345" i="4"/>
  <c r="G346" i="4"/>
  <c r="G255" i="4"/>
  <c r="G263" i="4"/>
  <c r="G314" i="4"/>
  <c r="G326" i="4"/>
  <c r="G341" i="4"/>
  <c r="G316" i="4"/>
  <c r="G266" i="4"/>
  <c r="G267" i="4"/>
  <c r="G270" i="4"/>
  <c r="G280" i="4"/>
  <c r="G265" i="4"/>
  <c r="G260" i="4"/>
  <c r="G318" i="4"/>
  <c r="G325" i="4"/>
  <c r="G312" i="4"/>
  <c r="G261" i="4"/>
  <c r="G258" i="4"/>
  <c r="G317" i="4"/>
  <c r="G321" i="4"/>
  <c r="G327" i="4"/>
  <c r="G319" i="4"/>
  <c r="G283" i="4"/>
  <c r="G315" i="4"/>
  <c r="G269" i="4"/>
  <c r="G313" i="4"/>
  <c r="G323" i="4"/>
  <c r="G262" i="4"/>
  <c r="G253" i="4"/>
  <c r="G281" i="4"/>
  <c r="G328" i="4"/>
  <c r="G268" i="4"/>
  <c r="G241" i="4"/>
  <c r="G230" i="4"/>
  <c r="G223" i="4"/>
  <c r="G225" i="4"/>
  <c r="G222" i="4"/>
  <c r="G184" i="4"/>
  <c r="G168" i="4"/>
  <c r="G167" i="4"/>
  <c r="G153" i="4"/>
  <c r="G22" i="4"/>
  <c r="G130" i="4"/>
  <c r="G128" i="4"/>
  <c r="G158" i="4"/>
  <c r="G154" i="4"/>
  <c r="G157" i="4"/>
  <c r="G23" i="4"/>
  <c r="G129" i="4"/>
  <c r="G122" i="4"/>
  <c r="G156" i="4"/>
  <c r="G20" i="4"/>
  <c r="G19" i="4"/>
  <c r="G115" i="4"/>
  <c r="G147" i="4"/>
  <c r="G121" i="4"/>
  <c r="G143" i="4"/>
  <c r="G125" i="4"/>
  <c r="G152" i="4"/>
  <c r="G149" i="4"/>
  <c r="G155" i="4"/>
  <c r="G151" i="4"/>
  <c r="G142" i="4"/>
  <c r="G102" i="4"/>
  <c r="G21" i="4"/>
  <c r="G118" i="4"/>
  <c r="G7" i="4"/>
  <c r="G127" i="4"/>
  <c r="G123" i="4"/>
  <c r="G103" i="4"/>
  <c r="G8" i="4"/>
  <c r="G110" i="4"/>
  <c r="G9" i="4"/>
  <c r="G108" i="4"/>
  <c r="G94" i="4"/>
  <c r="A57" i="2"/>
  <c r="A56" i="2"/>
  <c r="A12" i="2"/>
  <c r="A14" i="2"/>
  <c r="A20" i="2"/>
  <c r="G480" i="4" s="1"/>
  <c r="I544" i="4" l="1"/>
  <c r="A544" i="4" s="1"/>
  <c r="H544" i="4"/>
  <c r="H628" i="4"/>
  <c r="I628" i="4"/>
  <c r="A628" i="4" s="1"/>
  <c r="I620" i="4"/>
  <c r="A620" i="4" s="1"/>
  <c r="H620" i="4"/>
  <c r="H489" i="4"/>
  <c r="I489" i="4"/>
  <c r="A489" i="4" s="1"/>
  <c r="I492" i="4"/>
  <c r="A492" i="4" s="1"/>
  <c r="H492" i="4"/>
  <c r="H561" i="4"/>
  <c r="I561" i="4"/>
  <c r="A561" i="4" s="1"/>
  <c r="I565" i="4"/>
  <c r="A565" i="4" s="1"/>
  <c r="H565" i="4"/>
  <c r="H548" i="4"/>
  <c r="I548" i="4"/>
  <c r="A548" i="4" s="1"/>
  <c r="H484" i="4"/>
  <c r="I484" i="4"/>
  <c r="A484" i="4" s="1"/>
  <c r="H556" i="4"/>
  <c r="I556" i="4"/>
  <c r="A556" i="4" s="1"/>
  <c r="I557" i="4"/>
  <c r="A557" i="4" s="1"/>
  <c r="H557" i="4"/>
  <c r="H487" i="4"/>
  <c r="I487" i="4"/>
  <c r="A487" i="4" s="1"/>
  <c r="I543" i="4"/>
  <c r="A543" i="4" s="1"/>
  <c r="H543" i="4"/>
  <c r="H560" i="4"/>
  <c r="I560" i="4"/>
  <c r="A560" i="4" s="1"/>
  <c r="H615" i="4"/>
  <c r="I615" i="4"/>
  <c r="A615" i="4" s="1"/>
  <c r="H488" i="4"/>
  <c r="I488" i="4"/>
  <c r="A488" i="4" s="1"/>
  <c r="H494" i="4"/>
  <c r="I494" i="4"/>
  <c r="A494" i="4" s="1"/>
  <c r="I559" i="4"/>
  <c r="A559" i="4" s="1"/>
  <c r="H559" i="4"/>
  <c r="I563" i="4"/>
  <c r="A563" i="4" s="1"/>
  <c r="H563" i="4"/>
  <c r="H486" i="4"/>
  <c r="I486" i="4"/>
  <c r="A486" i="4" s="1"/>
  <c r="H491" i="4"/>
  <c r="I491" i="4"/>
  <c r="A491" i="4" s="1"/>
  <c r="I566" i="4"/>
  <c r="A566" i="4" s="1"/>
  <c r="H566" i="4"/>
  <c r="H562" i="4"/>
  <c r="I562" i="4"/>
  <c r="A562" i="4" s="1"/>
  <c r="I493" i="4"/>
  <c r="A493" i="4" s="1"/>
  <c r="H493" i="4"/>
  <c r="I542" i="4"/>
  <c r="A542" i="4" s="1"/>
  <c r="H542" i="4"/>
  <c r="H558" i="4"/>
  <c r="I558" i="4"/>
  <c r="A558" i="4" s="1"/>
  <c r="H564" i="4"/>
  <c r="I564" i="4"/>
  <c r="A564" i="4" s="1"/>
  <c r="H485" i="4"/>
  <c r="I485" i="4"/>
  <c r="A485" i="4" s="1"/>
  <c r="H490" i="4"/>
  <c r="I490" i="4"/>
  <c r="A490" i="4" s="1"/>
  <c r="I616" i="4"/>
  <c r="A616" i="4" s="1"/>
  <c r="H616" i="4"/>
  <c r="H614" i="4"/>
  <c r="I614" i="4"/>
  <c r="A614" i="4" s="1"/>
  <c r="I480" i="4"/>
  <c r="A480" i="4" s="1"/>
  <c r="H480" i="4"/>
  <c r="G348" i="4"/>
  <c r="G471" i="4"/>
  <c r="G472" i="4"/>
  <c r="G87" i="4"/>
  <c r="H87" i="4" s="1"/>
  <c r="G470" i="4"/>
  <c r="G227" i="4"/>
  <c r="I227" i="4" s="1"/>
  <c r="A227" i="4" s="1"/>
  <c r="G478" i="4"/>
  <c r="G479" i="4"/>
  <c r="H483" i="4"/>
  <c r="I483" i="4"/>
  <c r="A483" i="4" s="1"/>
  <c r="H482" i="4"/>
  <c r="I482" i="4"/>
  <c r="A482" i="4" s="1"/>
  <c r="H481" i="4"/>
  <c r="I481" i="4"/>
  <c r="A481" i="4" s="1"/>
  <c r="H477" i="4"/>
  <c r="I477" i="4"/>
  <c r="A477" i="4" s="1"/>
  <c r="H475" i="4"/>
  <c r="I475" i="4"/>
  <c r="A475" i="4" s="1"/>
  <c r="H474" i="4"/>
  <c r="I474" i="4"/>
  <c r="A474" i="4" s="1"/>
  <c r="H476" i="4"/>
  <c r="I476" i="4"/>
  <c r="A476" i="4" s="1"/>
  <c r="I428" i="4"/>
  <c r="A428" i="4" s="1"/>
  <c r="H428" i="4"/>
  <c r="H417" i="4"/>
  <c r="I417" i="4"/>
  <c r="A417" i="4" s="1"/>
  <c r="G451" i="4"/>
  <c r="I459" i="4"/>
  <c r="A459" i="4" s="1"/>
  <c r="H459" i="4"/>
  <c r="I442" i="4"/>
  <c r="A442" i="4" s="1"/>
  <c r="H442" i="4"/>
  <c r="H453" i="4"/>
  <c r="I453" i="4"/>
  <c r="A453" i="4" s="1"/>
  <c r="I455" i="4"/>
  <c r="A455" i="4" s="1"/>
  <c r="H455" i="4"/>
  <c r="I419" i="4"/>
  <c r="A419" i="4" s="1"/>
  <c r="H419" i="4"/>
  <c r="G424" i="4"/>
  <c r="G425" i="4"/>
  <c r="I456" i="4"/>
  <c r="A456" i="4" s="1"/>
  <c r="H456" i="4"/>
  <c r="I462" i="4"/>
  <c r="A462" i="4" s="1"/>
  <c r="H462" i="4"/>
  <c r="H443" i="4"/>
  <c r="I443" i="4"/>
  <c r="A443" i="4" s="1"/>
  <c r="H405" i="4"/>
  <c r="I405" i="4"/>
  <c r="A405" i="4" s="1"/>
  <c r="G329" i="4"/>
  <c r="I329" i="4" s="1"/>
  <c r="A329" i="4" s="1"/>
  <c r="G355" i="4"/>
  <c r="H355" i="4" s="1"/>
  <c r="G422" i="4"/>
  <c r="I414" i="4"/>
  <c r="A414" i="4" s="1"/>
  <c r="H414" i="4"/>
  <c r="I412" i="4"/>
  <c r="A412" i="4" s="1"/>
  <c r="H412" i="4"/>
  <c r="I411" i="4"/>
  <c r="A411" i="4" s="1"/>
  <c r="H411" i="4"/>
  <c r="H452" i="4"/>
  <c r="I452" i="4"/>
  <c r="A452" i="4" s="1"/>
  <c r="I450" i="4"/>
  <c r="A450" i="4" s="1"/>
  <c r="H450" i="4"/>
  <c r="H448" i="4"/>
  <c r="I448" i="4"/>
  <c r="A448" i="4" s="1"/>
  <c r="G423" i="4"/>
  <c r="G401" i="4"/>
  <c r="I458" i="4"/>
  <c r="A458" i="4" s="1"/>
  <c r="H458" i="4"/>
  <c r="G408" i="4"/>
  <c r="I447" i="4"/>
  <c r="A447" i="4" s="1"/>
  <c r="H447" i="4"/>
  <c r="G465" i="4"/>
  <c r="I446" i="4"/>
  <c r="A446" i="4" s="1"/>
  <c r="H446" i="4"/>
  <c r="G271" i="4"/>
  <c r="I271" i="4" s="1"/>
  <c r="A271" i="4" s="1"/>
  <c r="I421" i="4"/>
  <c r="A421" i="4" s="1"/>
  <c r="H421" i="4"/>
  <c r="H416" i="4"/>
  <c r="I416" i="4"/>
  <c r="A416" i="4" s="1"/>
  <c r="H461" i="4"/>
  <c r="I461" i="4"/>
  <c r="A461" i="4" s="1"/>
  <c r="G464" i="4"/>
  <c r="I454" i="4"/>
  <c r="A454" i="4" s="1"/>
  <c r="H454" i="4"/>
  <c r="H445" i="4"/>
  <c r="I445" i="4"/>
  <c r="A445" i="4" s="1"/>
  <c r="G466" i="4"/>
  <c r="G144" i="4"/>
  <c r="H144" i="4" s="1"/>
  <c r="G410" i="4"/>
  <c r="G429" i="4"/>
  <c r="G431" i="4"/>
  <c r="G432" i="4"/>
  <c r="G24" i="4"/>
  <c r="H24" i="4" s="1"/>
  <c r="H439" i="4"/>
  <c r="I439" i="4"/>
  <c r="A439" i="4" s="1"/>
  <c r="H415" i="4"/>
  <c r="I415" i="4"/>
  <c r="A415" i="4" s="1"/>
  <c r="G400" i="4"/>
  <c r="H404" i="4"/>
  <c r="I404" i="4"/>
  <c r="A404" i="4" s="1"/>
  <c r="H460" i="4"/>
  <c r="I460" i="4"/>
  <c r="A460" i="4" s="1"/>
  <c r="H407" i="4"/>
  <c r="I407" i="4"/>
  <c r="A407" i="4" s="1"/>
  <c r="G409" i="4"/>
  <c r="G463" i="4"/>
  <c r="G159" i="4"/>
  <c r="H159" i="4" s="1"/>
  <c r="I434" i="4"/>
  <c r="A434" i="4" s="1"/>
  <c r="H434" i="4"/>
  <c r="G402" i="4"/>
  <c r="H418" i="4"/>
  <c r="I418" i="4"/>
  <c r="A418" i="4" s="1"/>
  <c r="G468" i="4"/>
  <c r="G469" i="4"/>
  <c r="G467" i="4"/>
  <c r="H444" i="4"/>
  <c r="I444" i="4"/>
  <c r="A444" i="4" s="1"/>
  <c r="I403" i="4"/>
  <c r="A403" i="4" s="1"/>
  <c r="H403" i="4"/>
  <c r="G126" i="4"/>
  <c r="H126" i="4" s="1"/>
  <c r="G393" i="4"/>
  <c r="H393" i="4" s="1"/>
  <c r="I427" i="4"/>
  <c r="A427" i="4" s="1"/>
  <c r="H427" i="4"/>
  <c r="I406" i="4"/>
  <c r="A406" i="4" s="1"/>
  <c r="H406" i="4"/>
  <c r="I420" i="4"/>
  <c r="A420" i="4" s="1"/>
  <c r="H420" i="4"/>
  <c r="I449" i="4"/>
  <c r="A449" i="4" s="1"/>
  <c r="H449" i="4"/>
  <c r="H441" i="4"/>
  <c r="I441" i="4"/>
  <c r="A441" i="4" s="1"/>
  <c r="H413" i="4"/>
  <c r="I413" i="4"/>
  <c r="A413" i="4" s="1"/>
  <c r="H457" i="4"/>
  <c r="I457" i="4"/>
  <c r="A457" i="4" s="1"/>
  <c r="H426" i="4"/>
  <c r="I426" i="4"/>
  <c r="A426" i="4" s="1"/>
  <c r="G135" i="4"/>
  <c r="I135" i="4" s="1"/>
  <c r="A135" i="4" s="1"/>
  <c r="G120" i="4"/>
  <c r="I120" i="4" s="1"/>
  <c r="A120" i="4" s="1"/>
  <c r="G174" i="4"/>
  <c r="G289" i="4"/>
  <c r="H289" i="4" s="1"/>
  <c r="G347" i="4"/>
  <c r="I347" i="4" s="1"/>
  <c r="A347" i="4" s="1"/>
  <c r="G367" i="4"/>
  <c r="H367" i="4" s="1"/>
  <c r="G15" i="4"/>
  <c r="H15" i="4" s="1"/>
  <c r="G330" i="4"/>
  <c r="H330" i="4" s="1"/>
  <c r="G354" i="4"/>
  <c r="H354" i="4" s="1"/>
  <c r="G360" i="4"/>
  <c r="I360" i="4" s="1"/>
  <c r="A360" i="4" s="1"/>
  <c r="G5" i="4"/>
  <c r="G233" i="4"/>
  <c r="I233" i="4" s="1"/>
  <c r="A233" i="4" s="1"/>
  <c r="G300" i="4"/>
  <c r="I300" i="4" s="1"/>
  <c r="A300" i="4" s="1"/>
  <c r="G293" i="4"/>
  <c r="H293" i="4" s="1"/>
  <c r="G114" i="4"/>
  <c r="I114" i="4" s="1"/>
  <c r="A114" i="4" s="1"/>
  <c r="G124" i="4"/>
  <c r="I124" i="4" s="1"/>
  <c r="A124" i="4" s="1"/>
  <c r="G183" i="4"/>
  <c r="I183" i="4" s="1"/>
  <c r="A183" i="4" s="1"/>
  <c r="G231" i="4"/>
  <c r="I231" i="4" s="1"/>
  <c r="A231" i="4" s="1"/>
  <c r="G242" i="4"/>
  <c r="H242" i="4" s="1"/>
  <c r="G366" i="4"/>
  <c r="H366" i="4" s="1"/>
  <c r="I348" i="4"/>
  <c r="A348" i="4" s="1"/>
  <c r="H348" i="4"/>
  <c r="G136" i="4"/>
  <c r="H136" i="4" s="1"/>
  <c r="G175" i="4"/>
  <c r="H175" i="4" s="1"/>
  <c r="G234" i="4"/>
  <c r="H234" i="4" s="1"/>
  <c r="G291" i="4"/>
  <c r="I291" i="4" s="1"/>
  <c r="A291" i="4" s="1"/>
  <c r="I371" i="4"/>
  <c r="A371" i="4" s="1"/>
  <c r="H371" i="4"/>
  <c r="G378" i="4"/>
  <c r="H383" i="4"/>
  <c r="I383" i="4"/>
  <c r="A383" i="4" s="1"/>
  <c r="H390" i="4"/>
  <c r="I390" i="4"/>
  <c r="A390" i="4" s="1"/>
  <c r="G397" i="4"/>
  <c r="I384" i="4"/>
  <c r="A384" i="4" s="1"/>
  <c r="H384" i="4"/>
  <c r="I393" i="4"/>
  <c r="A393" i="4" s="1"/>
  <c r="G177" i="4"/>
  <c r="I177" i="4" s="1"/>
  <c r="A177" i="4" s="1"/>
  <c r="G340" i="4"/>
  <c r="I340" i="4" s="1"/>
  <c r="A340" i="4" s="1"/>
  <c r="G287" i="4"/>
  <c r="H287" i="4" s="1"/>
  <c r="G363" i="4"/>
  <c r="G370" i="4"/>
  <c r="H375" i="4"/>
  <c r="I375" i="4"/>
  <c r="A375" i="4" s="1"/>
  <c r="G382" i="4"/>
  <c r="H389" i="4"/>
  <c r="I389" i="4"/>
  <c r="A389" i="4" s="1"/>
  <c r="G396" i="4"/>
  <c r="I355" i="4"/>
  <c r="A355" i="4" s="1"/>
  <c r="I388" i="4"/>
  <c r="A388" i="4" s="1"/>
  <c r="H388" i="4"/>
  <c r="I359" i="4"/>
  <c r="A359" i="4" s="1"/>
  <c r="H359" i="4"/>
  <c r="H380" i="4"/>
  <c r="I380" i="4"/>
  <c r="A380" i="4" s="1"/>
  <c r="G133" i="4"/>
  <c r="I133" i="4" s="1"/>
  <c r="A133" i="4" s="1"/>
  <c r="G131" i="4"/>
  <c r="I131" i="4" s="1"/>
  <c r="A131" i="4" s="1"/>
  <c r="G173" i="4"/>
  <c r="I173" i="4" s="1"/>
  <c r="A173" i="4" s="1"/>
  <c r="G292" i="4"/>
  <c r="I292" i="4" s="1"/>
  <c r="A292" i="4" s="1"/>
  <c r="G229" i="4"/>
  <c r="I229" i="4" s="1"/>
  <c r="A229" i="4" s="1"/>
  <c r="G288" i="4"/>
  <c r="H288" i="4" s="1"/>
  <c r="I392" i="4"/>
  <c r="A392" i="4" s="1"/>
  <c r="H392" i="4"/>
  <c r="G353" i="4"/>
  <c r="G361" i="4"/>
  <c r="G351" i="4"/>
  <c r="G358" i="4"/>
  <c r="G365" i="4"/>
  <c r="H372" i="4"/>
  <c r="I372" i="4"/>
  <c r="A372" i="4" s="1"/>
  <c r="I362" i="4"/>
  <c r="A362" i="4" s="1"/>
  <c r="H362" i="4"/>
  <c r="H373" i="4"/>
  <c r="I373" i="4"/>
  <c r="A373" i="4" s="1"/>
  <c r="G6" i="4"/>
  <c r="H6" i="4" s="1"/>
  <c r="G104" i="4"/>
  <c r="H104" i="4" s="1"/>
  <c r="G171" i="4"/>
  <c r="I171" i="4" s="1"/>
  <c r="A171" i="4" s="1"/>
  <c r="G176" i="4"/>
  <c r="H176" i="4" s="1"/>
  <c r="G294" i="4"/>
  <c r="I294" i="4" s="1"/>
  <c r="A294" i="4" s="1"/>
  <c r="G232" i="4"/>
  <c r="I232" i="4" s="1"/>
  <c r="A232" i="4" s="1"/>
  <c r="G252" i="4"/>
  <c r="I252" i="4" s="1"/>
  <c r="A252" i="4" s="1"/>
  <c r="G395" i="4"/>
  <c r="G368" i="4"/>
  <c r="H376" i="4"/>
  <c r="I376" i="4"/>
  <c r="A376" i="4" s="1"/>
  <c r="I377" i="4"/>
  <c r="A377" i="4" s="1"/>
  <c r="H377" i="4"/>
  <c r="G350" i="4"/>
  <c r="G357" i="4"/>
  <c r="G364" i="4"/>
  <c r="H381" i="4"/>
  <c r="I381" i="4"/>
  <c r="A381" i="4" s="1"/>
  <c r="I354" i="4"/>
  <c r="A354" i="4" s="1"/>
  <c r="G178" i="4"/>
  <c r="I178" i="4" s="1"/>
  <c r="A178" i="4" s="1"/>
  <c r="G172" i="4"/>
  <c r="H172" i="4" s="1"/>
  <c r="G282" i="4"/>
  <c r="I282" i="4" s="1"/>
  <c r="A282" i="4" s="1"/>
  <c r="G235" i="4"/>
  <c r="H235" i="4" s="1"/>
  <c r="G310" i="4"/>
  <c r="I310" i="4" s="1"/>
  <c r="A310" i="4" s="1"/>
  <c r="G272" i="4"/>
  <c r="H272" i="4" s="1"/>
  <c r="G387" i="4"/>
  <c r="G394" i="4"/>
  <c r="G399" i="4"/>
  <c r="G369" i="4"/>
  <c r="G349" i="4"/>
  <c r="G356" i="4"/>
  <c r="I374" i="4"/>
  <c r="A374" i="4" s="1"/>
  <c r="H374" i="4"/>
  <c r="G217" i="4"/>
  <c r="H217" i="4" s="1"/>
  <c r="G134" i="4"/>
  <c r="H134" i="4" s="1"/>
  <c r="G132" i="4"/>
  <c r="I132" i="4" s="1"/>
  <c r="A132" i="4" s="1"/>
  <c r="G224" i="4"/>
  <c r="I224" i="4" s="1"/>
  <c r="A224" i="4" s="1"/>
  <c r="G290" i="4"/>
  <c r="H290" i="4" s="1"/>
  <c r="G236" i="4"/>
  <c r="H236" i="4" s="1"/>
  <c r="G379" i="4"/>
  <c r="H386" i="4"/>
  <c r="I386" i="4"/>
  <c r="A386" i="4" s="1"/>
  <c r="I391" i="4"/>
  <c r="A391" i="4" s="1"/>
  <c r="H391" i="4"/>
  <c r="G398" i="4"/>
  <c r="G352" i="4"/>
  <c r="I385" i="4"/>
  <c r="A385" i="4" s="1"/>
  <c r="H385" i="4"/>
  <c r="G166" i="4"/>
  <c r="I166" i="4" s="1"/>
  <c r="A166" i="4" s="1"/>
  <c r="G298" i="4"/>
  <c r="H298" i="4" s="1"/>
  <c r="G248" i="4"/>
  <c r="H248" i="4" s="1"/>
  <c r="G273" i="4"/>
  <c r="I273" i="4" s="1"/>
  <c r="A273" i="4" s="1"/>
  <c r="G331" i="4"/>
  <c r="I331" i="4" s="1"/>
  <c r="A331" i="4" s="1"/>
  <c r="G304" i="4"/>
  <c r="I304" i="4" s="1"/>
  <c r="A304" i="4" s="1"/>
  <c r="G275" i="4"/>
  <c r="I275" i="4" s="1"/>
  <c r="A275" i="4" s="1"/>
  <c r="G286" i="4"/>
  <c r="I286" i="4" s="1"/>
  <c r="A286" i="4" s="1"/>
  <c r="G250" i="4"/>
  <c r="H250" i="4" s="1"/>
  <c r="H264" i="4"/>
  <c r="I264" i="4"/>
  <c r="A264" i="4" s="1"/>
  <c r="H322" i="4"/>
  <c r="I322" i="4"/>
  <c r="A322" i="4" s="1"/>
  <c r="G336" i="4"/>
  <c r="G245" i="4"/>
  <c r="G295" i="4"/>
  <c r="G335" i="4"/>
  <c r="G246" i="4"/>
  <c r="G278" i="4"/>
  <c r="I241" i="4"/>
  <c r="A241" i="4" s="1"/>
  <c r="H241" i="4"/>
  <c r="I262" i="4"/>
  <c r="A262" i="4" s="1"/>
  <c r="H262" i="4"/>
  <c r="G343" i="4"/>
  <c r="I312" i="4"/>
  <c r="A312" i="4" s="1"/>
  <c r="H312" i="4"/>
  <c r="I265" i="4"/>
  <c r="A265" i="4" s="1"/>
  <c r="H265" i="4"/>
  <c r="G333" i="4"/>
  <c r="H257" i="4"/>
  <c r="I257" i="4"/>
  <c r="A257" i="4" s="1"/>
  <c r="G239" i="4"/>
  <c r="G309" i="4"/>
  <c r="G247" i="4"/>
  <c r="G303" i="4"/>
  <c r="G277" i="4"/>
  <c r="G279" i="4"/>
  <c r="I268" i="4"/>
  <c r="A268" i="4" s="1"/>
  <c r="H268" i="4"/>
  <c r="G284" i="4"/>
  <c r="I327" i="4"/>
  <c r="A327" i="4" s="1"/>
  <c r="H327" i="4"/>
  <c r="H329" i="4"/>
  <c r="H280" i="4"/>
  <c r="I280" i="4"/>
  <c r="A280" i="4" s="1"/>
  <c r="I326" i="4"/>
  <c r="A326" i="4" s="1"/>
  <c r="H326" i="4"/>
  <c r="H256" i="4"/>
  <c r="I256" i="4"/>
  <c r="A256" i="4" s="1"/>
  <c r="I311" i="4"/>
  <c r="A311" i="4" s="1"/>
  <c r="H311" i="4"/>
  <c r="I316" i="4"/>
  <c r="A316" i="4" s="1"/>
  <c r="H316" i="4"/>
  <c r="H319" i="4"/>
  <c r="I319" i="4"/>
  <c r="A319" i="4" s="1"/>
  <c r="G302" i="4"/>
  <c r="G244" i="4"/>
  <c r="G237" i="4"/>
  <c r="G240" i="4"/>
  <c r="G251" i="4"/>
  <c r="I328" i="4"/>
  <c r="A328" i="4" s="1"/>
  <c r="H328" i="4"/>
  <c r="I323" i="4"/>
  <c r="A323" i="4" s="1"/>
  <c r="H323" i="4"/>
  <c r="H321" i="4"/>
  <c r="I321" i="4"/>
  <c r="A321" i="4" s="1"/>
  <c r="I325" i="4"/>
  <c r="A325" i="4" s="1"/>
  <c r="H325" i="4"/>
  <c r="H270" i="4"/>
  <c r="I270" i="4"/>
  <c r="A270" i="4" s="1"/>
  <c r="H314" i="4"/>
  <c r="I314" i="4"/>
  <c r="A314" i="4" s="1"/>
  <c r="I254" i="4"/>
  <c r="A254" i="4" s="1"/>
  <c r="H254" i="4"/>
  <c r="I324" i="4"/>
  <c r="A324" i="4" s="1"/>
  <c r="H324" i="4"/>
  <c r="I230" i="4"/>
  <c r="A230" i="4" s="1"/>
  <c r="H230" i="4"/>
  <c r="G301" i="4"/>
  <c r="G238" i="4"/>
  <c r="G306" i="4"/>
  <c r="G297" i="4"/>
  <c r="I287" i="4"/>
  <c r="A287" i="4" s="1"/>
  <c r="G344" i="4"/>
  <c r="G332" i="4"/>
  <c r="H313" i="4"/>
  <c r="I313" i="4"/>
  <c r="A313" i="4" s="1"/>
  <c r="I317" i="4"/>
  <c r="A317" i="4" s="1"/>
  <c r="H317" i="4"/>
  <c r="I318" i="4"/>
  <c r="A318" i="4" s="1"/>
  <c r="H318" i="4"/>
  <c r="G285" i="4"/>
  <c r="I263" i="4"/>
  <c r="A263" i="4" s="1"/>
  <c r="H263" i="4"/>
  <c r="I259" i="4"/>
  <c r="A259" i="4" s="1"/>
  <c r="H259" i="4"/>
  <c r="I299" i="4"/>
  <c r="A299" i="4" s="1"/>
  <c r="H299" i="4"/>
  <c r="I283" i="4"/>
  <c r="A283" i="4" s="1"/>
  <c r="H283" i="4"/>
  <c r="G296" i="4"/>
  <c r="G276" i="4"/>
  <c r="G249" i="4"/>
  <c r="G337" i="4"/>
  <c r="G274" i="4"/>
  <c r="I269" i="4"/>
  <c r="A269" i="4" s="1"/>
  <c r="H269" i="4"/>
  <c r="H258" i="4"/>
  <c r="I258" i="4"/>
  <c r="A258" i="4" s="1"/>
  <c r="G342" i="4"/>
  <c r="H267" i="4"/>
  <c r="I267" i="4"/>
  <c r="A267" i="4" s="1"/>
  <c r="I255" i="4"/>
  <c r="A255" i="4" s="1"/>
  <c r="H255" i="4"/>
  <c r="I339" i="4"/>
  <c r="A339" i="4" s="1"/>
  <c r="H339" i="4"/>
  <c r="H338" i="4"/>
  <c r="I338" i="4"/>
  <c r="A338" i="4" s="1"/>
  <c r="I253" i="4"/>
  <c r="A253" i="4" s="1"/>
  <c r="H253" i="4"/>
  <c r="H345" i="4"/>
  <c r="I345" i="4"/>
  <c r="A345" i="4" s="1"/>
  <c r="H341" i="4"/>
  <c r="I341" i="4"/>
  <c r="A341" i="4" s="1"/>
  <c r="G307" i="4"/>
  <c r="G305" i="4"/>
  <c r="G308" i="4"/>
  <c r="G243" i="4"/>
  <c r="G334" i="4"/>
  <c r="H281" i="4"/>
  <c r="I281" i="4"/>
  <c r="A281" i="4" s="1"/>
  <c r="I315" i="4"/>
  <c r="A315" i="4" s="1"/>
  <c r="H315" i="4"/>
  <c r="I261" i="4"/>
  <c r="A261" i="4" s="1"/>
  <c r="H261" i="4"/>
  <c r="I260" i="4"/>
  <c r="A260" i="4" s="1"/>
  <c r="H260" i="4"/>
  <c r="H266" i="4"/>
  <c r="I266" i="4"/>
  <c r="A266" i="4" s="1"/>
  <c r="H346" i="4"/>
  <c r="I346" i="4"/>
  <c r="A346" i="4" s="1"/>
  <c r="I320" i="4"/>
  <c r="A320" i="4" s="1"/>
  <c r="H320" i="4"/>
  <c r="G228" i="4"/>
  <c r="G219" i="4"/>
  <c r="G221" i="4"/>
  <c r="H222" i="4"/>
  <c r="I222" i="4"/>
  <c r="A222" i="4" s="1"/>
  <c r="H225" i="4"/>
  <c r="I225" i="4"/>
  <c r="A225" i="4" s="1"/>
  <c r="H223" i="4"/>
  <c r="I223" i="4"/>
  <c r="A223" i="4" s="1"/>
  <c r="G220" i="4"/>
  <c r="G226" i="4"/>
  <c r="G218" i="4"/>
  <c r="G182" i="4"/>
  <c r="H182" i="4" s="1"/>
  <c r="G194" i="4"/>
  <c r="G199" i="4"/>
  <c r="G214" i="4"/>
  <c r="G200" i="4"/>
  <c r="G185" i="4"/>
  <c r="G91" i="4"/>
  <c r="H91" i="4" s="1"/>
  <c r="G17" i="4"/>
  <c r="H17" i="4" s="1"/>
  <c r="G203" i="4"/>
  <c r="G186" i="4"/>
  <c r="G191" i="4"/>
  <c r="G206" i="4"/>
  <c r="G213" i="4"/>
  <c r="G205" i="4"/>
  <c r="G190" i="4"/>
  <c r="G204" i="4"/>
  <c r="G179" i="4"/>
  <c r="G193" i="4"/>
  <c r="G209" i="4"/>
  <c r="G189" i="4"/>
  <c r="G196" i="4"/>
  <c r="G195" i="4"/>
  <c r="G187" i="4"/>
  <c r="G197" i="4"/>
  <c r="G192" i="4"/>
  <c r="H174" i="4"/>
  <c r="I174" i="4"/>
  <c r="A174" i="4" s="1"/>
  <c r="G181" i="4"/>
  <c r="G188" i="4"/>
  <c r="G212" i="4"/>
  <c r="G210" i="4"/>
  <c r="G215" i="4"/>
  <c r="G208" i="4"/>
  <c r="G201" i="4"/>
  <c r="G180" i="4"/>
  <c r="G198" i="4"/>
  <c r="G202" i="4"/>
  <c r="G207" i="4"/>
  <c r="H184" i="4"/>
  <c r="I184" i="4"/>
  <c r="A184" i="4" s="1"/>
  <c r="G216" i="4"/>
  <c r="G211" i="4"/>
  <c r="I167" i="4"/>
  <c r="A167" i="4" s="1"/>
  <c r="H167" i="4"/>
  <c r="G164" i="4"/>
  <c r="G169" i="4"/>
  <c r="G163" i="4"/>
  <c r="G165" i="4"/>
  <c r="G170" i="4"/>
  <c r="I168" i="4"/>
  <c r="A168" i="4" s="1"/>
  <c r="H168" i="4"/>
  <c r="H142" i="4"/>
  <c r="I142" i="4"/>
  <c r="A142" i="4" s="1"/>
  <c r="G162" i="4"/>
  <c r="G113" i="4"/>
  <c r="I147" i="4"/>
  <c r="A147" i="4" s="1"/>
  <c r="H147" i="4"/>
  <c r="G90" i="4"/>
  <c r="I90" i="4" s="1"/>
  <c r="A90" i="4" s="1"/>
  <c r="G14" i="4"/>
  <c r="I21" i="4"/>
  <c r="A21" i="4" s="1"/>
  <c r="H21" i="4"/>
  <c r="H152" i="4"/>
  <c r="I152" i="4"/>
  <c r="A152" i="4" s="1"/>
  <c r="H115" i="4"/>
  <c r="I115" i="4"/>
  <c r="A115" i="4" s="1"/>
  <c r="I129" i="4"/>
  <c r="A129" i="4" s="1"/>
  <c r="H129" i="4"/>
  <c r="G18" i="4"/>
  <c r="G3" i="4"/>
  <c r="H103" i="4"/>
  <c r="I103" i="4"/>
  <c r="A103" i="4" s="1"/>
  <c r="H143" i="4"/>
  <c r="I143" i="4"/>
  <c r="A143" i="4" s="1"/>
  <c r="I8" i="4"/>
  <c r="A8" i="4" s="1"/>
  <c r="H8" i="4"/>
  <c r="H121" i="4"/>
  <c r="I121" i="4"/>
  <c r="A121" i="4" s="1"/>
  <c r="G11" i="4"/>
  <c r="I122" i="4"/>
  <c r="A122" i="4" s="1"/>
  <c r="H122" i="4"/>
  <c r="G109" i="4"/>
  <c r="G112" i="4"/>
  <c r="I102" i="4"/>
  <c r="A102" i="4" s="1"/>
  <c r="H102" i="4"/>
  <c r="G119" i="4"/>
  <c r="H125" i="4"/>
  <c r="I125" i="4"/>
  <c r="A125" i="4" s="1"/>
  <c r="H19" i="4"/>
  <c r="I19" i="4"/>
  <c r="A19" i="4" s="1"/>
  <c r="H23" i="4"/>
  <c r="I23" i="4"/>
  <c r="A23" i="4" s="1"/>
  <c r="I154" i="4"/>
  <c r="A154" i="4" s="1"/>
  <c r="H154" i="4"/>
  <c r="I155" i="4"/>
  <c r="A155" i="4" s="1"/>
  <c r="H155" i="4"/>
  <c r="I130" i="4"/>
  <c r="A130" i="4" s="1"/>
  <c r="H130" i="4"/>
  <c r="G140" i="4"/>
  <c r="G12" i="4"/>
  <c r="G107" i="4"/>
  <c r="G141" i="4"/>
  <c r="G92" i="4"/>
  <c r="H92" i="4" s="1"/>
  <c r="G96" i="4"/>
  <c r="I127" i="4"/>
  <c r="A127" i="4" s="1"/>
  <c r="H127" i="4"/>
  <c r="G25" i="4"/>
  <c r="G4" i="4"/>
  <c r="G117" i="4"/>
  <c r="G27" i="4"/>
  <c r="G2" i="4"/>
  <c r="I158" i="4"/>
  <c r="A158" i="4" s="1"/>
  <c r="H158" i="4"/>
  <c r="G160" i="4"/>
  <c r="G10" i="4"/>
  <c r="G139" i="4"/>
  <c r="H9" i="4"/>
  <c r="I9" i="4"/>
  <c r="A9" i="4" s="1"/>
  <c r="H149" i="4"/>
  <c r="I149" i="4"/>
  <c r="A149" i="4" s="1"/>
  <c r="H110" i="4"/>
  <c r="I110" i="4"/>
  <c r="A110" i="4" s="1"/>
  <c r="G99" i="4"/>
  <c r="H22" i="4"/>
  <c r="I22" i="4"/>
  <c r="A22" i="4" s="1"/>
  <c r="G137" i="4"/>
  <c r="I108" i="4"/>
  <c r="A108" i="4" s="1"/>
  <c r="H108" i="4"/>
  <c r="H5" i="4"/>
  <c r="I5" i="4"/>
  <c r="A5" i="4" s="1"/>
  <c r="G116" i="4"/>
  <c r="G97" i="4"/>
  <c r="G145" i="4"/>
  <c r="H151" i="4"/>
  <c r="I151" i="4"/>
  <c r="A151" i="4" s="1"/>
  <c r="G111" i="4"/>
  <c r="H20" i="4"/>
  <c r="I20" i="4"/>
  <c r="A20" i="4" s="1"/>
  <c r="G16" i="4"/>
  <c r="G98" i="4"/>
  <c r="H7" i="4"/>
  <c r="I7" i="4"/>
  <c r="A7" i="4" s="1"/>
  <c r="H157" i="4"/>
  <c r="I157" i="4"/>
  <c r="A157" i="4" s="1"/>
  <c r="H123" i="4"/>
  <c r="I123" i="4"/>
  <c r="A123" i="4" s="1"/>
  <c r="H118" i="4"/>
  <c r="I118" i="4"/>
  <c r="A118" i="4" s="1"/>
  <c r="G26" i="4"/>
  <c r="G93" i="4"/>
  <c r="H93" i="4" s="1"/>
  <c r="G101" i="4"/>
  <c r="G148" i="4"/>
  <c r="G150" i="4"/>
  <c r="G88" i="4"/>
  <c r="I88" i="4" s="1"/>
  <c r="A88" i="4" s="1"/>
  <c r="G106" i="4"/>
  <c r="G138" i="4"/>
  <c r="G13" i="4"/>
  <c r="G100" i="4"/>
  <c r="G105" i="4"/>
  <c r="G146" i="4"/>
  <c r="I24" i="4"/>
  <c r="A24" i="4" s="1"/>
  <c r="I156" i="4"/>
  <c r="A156" i="4" s="1"/>
  <c r="H156" i="4"/>
  <c r="G161" i="4"/>
  <c r="H128" i="4"/>
  <c r="I128" i="4"/>
  <c r="A128" i="4" s="1"/>
  <c r="H153" i="4"/>
  <c r="I153" i="4"/>
  <c r="A153" i="4" s="1"/>
  <c r="G89" i="4"/>
  <c r="I89" i="4" s="1"/>
  <c r="A89" i="4" s="1"/>
  <c r="G95" i="4"/>
  <c r="H94" i="4"/>
  <c r="I94" i="4"/>
  <c r="A94" i="4" s="1"/>
  <c r="G66" i="4"/>
  <c r="G74" i="4"/>
  <c r="G82" i="4"/>
  <c r="G64" i="4"/>
  <c r="G67" i="4"/>
  <c r="G75" i="4"/>
  <c r="G83" i="4"/>
  <c r="G68" i="4"/>
  <c r="G76" i="4"/>
  <c r="G84" i="4"/>
  <c r="G69" i="4"/>
  <c r="G77" i="4"/>
  <c r="G85" i="4"/>
  <c r="G70" i="4"/>
  <c r="G78" i="4"/>
  <c r="G86" i="4"/>
  <c r="G60" i="4"/>
  <c r="G71" i="4"/>
  <c r="G79" i="4"/>
  <c r="G61" i="4"/>
  <c r="G72" i="4"/>
  <c r="G80" i="4"/>
  <c r="G62" i="4"/>
  <c r="G65" i="4"/>
  <c r="G73" i="4"/>
  <c r="G81" i="4"/>
  <c r="G63" i="4"/>
  <c r="G59" i="4"/>
  <c r="G58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31" i="4"/>
  <c r="G32" i="4"/>
  <c r="G33" i="4"/>
  <c r="G34" i="4"/>
  <c r="G35" i="4"/>
  <c r="G28" i="4"/>
  <c r="G57" i="4"/>
  <c r="G56" i="4"/>
  <c r="G30" i="4"/>
  <c r="G29" i="4"/>
  <c r="H131" i="4" l="1"/>
  <c r="H183" i="4"/>
  <c r="H135" i="4"/>
  <c r="H178" i="4"/>
  <c r="H132" i="4"/>
  <c r="H294" i="4"/>
  <c r="H120" i="4"/>
  <c r="I159" i="4"/>
  <c r="A159" i="4" s="1"/>
  <c r="H271" i="4"/>
  <c r="H231" i="4"/>
  <c r="I242" i="4"/>
  <c r="A242" i="4" s="1"/>
  <c r="H360" i="4"/>
  <c r="H227" i="4"/>
  <c r="I288" i="4"/>
  <c r="A288" i="4" s="1"/>
  <c r="H171" i="4"/>
  <c r="I289" i="4"/>
  <c r="A289" i="4" s="1"/>
  <c r="H310" i="4"/>
  <c r="I144" i="4"/>
  <c r="A144" i="4" s="1"/>
  <c r="H300" i="4"/>
  <c r="H347" i="4"/>
  <c r="I126" i="4"/>
  <c r="A126" i="4" s="1"/>
  <c r="I298" i="4"/>
  <c r="A298" i="4" s="1"/>
  <c r="I366" i="4"/>
  <c r="A366" i="4" s="1"/>
  <c r="I87" i="4"/>
  <c r="A87" i="4" s="1"/>
  <c r="I136" i="4"/>
  <c r="A136" i="4" s="1"/>
  <c r="H233" i="4"/>
  <c r="I6" i="4"/>
  <c r="A6" i="4" s="1"/>
  <c r="I479" i="4"/>
  <c r="A479" i="4" s="1"/>
  <c r="H479" i="4"/>
  <c r="I478" i="4"/>
  <c r="A478" i="4" s="1"/>
  <c r="H478" i="4"/>
  <c r="I470" i="4"/>
  <c r="A470" i="4" s="1"/>
  <c r="H470" i="4"/>
  <c r="I472" i="4"/>
  <c r="A472" i="4" s="1"/>
  <c r="H472" i="4"/>
  <c r="I471" i="4"/>
  <c r="A471" i="4" s="1"/>
  <c r="H471" i="4"/>
  <c r="H177" i="4"/>
  <c r="I465" i="4"/>
  <c r="A465" i="4" s="1"/>
  <c r="H465" i="4"/>
  <c r="I424" i="4"/>
  <c r="A424" i="4" s="1"/>
  <c r="H424" i="4"/>
  <c r="I466" i="4"/>
  <c r="A466" i="4" s="1"/>
  <c r="H466" i="4"/>
  <c r="H402" i="4"/>
  <c r="I402" i="4"/>
  <c r="A402" i="4" s="1"/>
  <c r="I408" i="4"/>
  <c r="A408" i="4" s="1"/>
  <c r="H408" i="4"/>
  <c r="I451" i="4"/>
  <c r="A451" i="4" s="1"/>
  <c r="H451" i="4"/>
  <c r="H432" i="4"/>
  <c r="I432" i="4"/>
  <c r="A432" i="4" s="1"/>
  <c r="I422" i="4"/>
  <c r="A422" i="4" s="1"/>
  <c r="H422" i="4"/>
  <c r="H467" i="4"/>
  <c r="I467" i="4"/>
  <c r="A467" i="4" s="1"/>
  <c r="H431" i="4"/>
  <c r="I431" i="4"/>
  <c r="A431" i="4" s="1"/>
  <c r="H469" i="4"/>
  <c r="I469" i="4"/>
  <c r="A469" i="4" s="1"/>
  <c r="I463" i="4"/>
  <c r="A463" i="4" s="1"/>
  <c r="H463" i="4"/>
  <c r="I400" i="4"/>
  <c r="A400" i="4" s="1"/>
  <c r="H400" i="4"/>
  <c r="H429" i="4"/>
  <c r="I429" i="4"/>
  <c r="A429" i="4" s="1"/>
  <c r="H464" i="4"/>
  <c r="I464" i="4"/>
  <c r="A464" i="4" s="1"/>
  <c r="H401" i="4"/>
  <c r="I401" i="4"/>
  <c r="A401" i="4" s="1"/>
  <c r="H468" i="4"/>
  <c r="I468" i="4"/>
  <c r="A468" i="4" s="1"/>
  <c r="H409" i="4"/>
  <c r="I409" i="4"/>
  <c r="A409" i="4" s="1"/>
  <c r="H410" i="4"/>
  <c r="I410" i="4"/>
  <c r="A410" i="4" s="1"/>
  <c r="H423" i="4"/>
  <c r="I423" i="4"/>
  <c r="A423" i="4" s="1"/>
  <c r="H425" i="4"/>
  <c r="I425" i="4"/>
  <c r="A425" i="4" s="1"/>
  <c r="I293" i="4"/>
  <c r="A293" i="4" s="1"/>
  <c r="I367" i="4"/>
  <c r="A367" i="4" s="1"/>
  <c r="H232" i="4"/>
  <c r="H173" i="4"/>
  <c r="I15" i="4"/>
  <c r="A15" i="4" s="1"/>
  <c r="H229" i="4"/>
  <c r="H114" i="4"/>
  <c r="I134" i="4"/>
  <c r="A134" i="4" s="1"/>
  <c r="I217" i="4"/>
  <c r="A217" i="4" s="1"/>
  <c r="I330" i="4"/>
  <c r="A330" i="4" s="1"/>
  <c r="H252" i="4"/>
  <c r="H166" i="4"/>
  <c r="H282" i="4"/>
  <c r="H124" i="4"/>
  <c r="H292" i="4"/>
  <c r="I172" i="4"/>
  <c r="A172" i="4" s="1"/>
  <c r="I235" i="4"/>
  <c r="A235" i="4" s="1"/>
  <c r="I250" i="4"/>
  <c r="A250" i="4" s="1"/>
  <c r="I248" i="4"/>
  <c r="A248" i="4" s="1"/>
  <c r="H224" i="4"/>
  <c r="H331" i="4"/>
  <c r="H273" i="4"/>
  <c r="H133" i="4"/>
  <c r="H291" i="4"/>
  <c r="I176" i="4"/>
  <c r="A176" i="4" s="1"/>
  <c r="I290" i="4"/>
  <c r="A290" i="4" s="1"/>
  <c r="I234" i="4"/>
  <c r="A234" i="4" s="1"/>
  <c r="I398" i="4"/>
  <c r="A398" i="4" s="1"/>
  <c r="H398" i="4"/>
  <c r="I104" i="4"/>
  <c r="A104" i="4" s="1"/>
  <c r="I394" i="4"/>
  <c r="A394" i="4" s="1"/>
  <c r="H394" i="4"/>
  <c r="I353" i="4"/>
  <c r="A353" i="4" s="1"/>
  <c r="H353" i="4"/>
  <c r="H363" i="4"/>
  <c r="I363" i="4"/>
  <c r="A363" i="4" s="1"/>
  <c r="H397" i="4"/>
  <c r="I397" i="4"/>
  <c r="A397" i="4" s="1"/>
  <c r="H356" i="4"/>
  <c r="I356" i="4"/>
  <c r="A356" i="4" s="1"/>
  <c r="H352" i="4"/>
  <c r="I352" i="4"/>
  <c r="A352" i="4" s="1"/>
  <c r="I387" i="4"/>
  <c r="A387" i="4" s="1"/>
  <c r="H387" i="4"/>
  <c r="I396" i="4"/>
  <c r="A396" i="4" s="1"/>
  <c r="H396" i="4"/>
  <c r="I175" i="4"/>
  <c r="A175" i="4" s="1"/>
  <c r="I272" i="4"/>
  <c r="A272" i="4" s="1"/>
  <c r="H349" i="4"/>
  <c r="I349" i="4"/>
  <c r="A349" i="4" s="1"/>
  <c r="I368" i="4"/>
  <c r="A368" i="4" s="1"/>
  <c r="H368" i="4"/>
  <c r="H340" i="4"/>
  <c r="I369" i="4"/>
  <c r="A369" i="4" s="1"/>
  <c r="H369" i="4"/>
  <c r="H364" i="4"/>
  <c r="I364" i="4"/>
  <c r="A364" i="4" s="1"/>
  <c r="I395" i="4"/>
  <c r="A395" i="4" s="1"/>
  <c r="H395" i="4"/>
  <c r="H365" i="4"/>
  <c r="I365" i="4"/>
  <c r="A365" i="4" s="1"/>
  <c r="I382" i="4"/>
  <c r="A382" i="4" s="1"/>
  <c r="H382" i="4"/>
  <c r="I236" i="4"/>
  <c r="A236" i="4" s="1"/>
  <c r="H357" i="4"/>
  <c r="I357" i="4"/>
  <c r="A357" i="4" s="1"/>
  <c r="I358" i="4"/>
  <c r="A358" i="4" s="1"/>
  <c r="H358" i="4"/>
  <c r="H378" i="4"/>
  <c r="I378" i="4"/>
  <c r="A378" i="4" s="1"/>
  <c r="H350" i="4"/>
  <c r="I350" i="4"/>
  <c r="A350" i="4" s="1"/>
  <c r="H351" i="4"/>
  <c r="I351" i="4"/>
  <c r="A351" i="4" s="1"/>
  <c r="I379" i="4"/>
  <c r="A379" i="4" s="1"/>
  <c r="H379" i="4"/>
  <c r="H399" i="4"/>
  <c r="I399" i="4"/>
  <c r="A399" i="4" s="1"/>
  <c r="I361" i="4"/>
  <c r="A361" i="4" s="1"/>
  <c r="H361" i="4"/>
  <c r="I370" i="4"/>
  <c r="A370" i="4" s="1"/>
  <c r="H370" i="4"/>
  <c r="H304" i="4"/>
  <c r="H286" i="4"/>
  <c r="H275" i="4"/>
  <c r="H305" i="4"/>
  <c r="I305" i="4"/>
  <c r="A305" i="4" s="1"/>
  <c r="I307" i="4"/>
  <c r="A307" i="4" s="1"/>
  <c r="H307" i="4"/>
  <c r="I249" i="4"/>
  <c r="A249" i="4" s="1"/>
  <c r="H249" i="4"/>
  <c r="H297" i="4"/>
  <c r="I297" i="4"/>
  <c r="A297" i="4" s="1"/>
  <c r="I237" i="4"/>
  <c r="A237" i="4" s="1"/>
  <c r="H237" i="4"/>
  <c r="I303" i="4"/>
  <c r="A303" i="4" s="1"/>
  <c r="H303" i="4"/>
  <c r="I333" i="4"/>
  <c r="A333" i="4" s="1"/>
  <c r="H333" i="4"/>
  <c r="H276" i="4"/>
  <c r="I276" i="4"/>
  <c r="A276" i="4" s="1"/>
  <c r="H306" i="4"/>
  <c r="I306" i="4"/>
  <c r="A306" i="4" s="1"/>
  <c r="I244" i="4"/>
  <c r="A244" i="4" s="1"/>
  <c r="H244" i="4"/>
  <c r="I336" i="4"/>
  <c r="A336" i="4" s="1"/>
  <c r="H336" i="4"/>
  <c r="I334" i="4"/>
  <c r="A334" i="4" s="1"/>
  <c r="H334" i="4"/>
  <c r="H274" i="4"/>
  <c r="I274" i="4"/>
  <c r="A274" i="4" s="1"/>
  <c r="I296" i="4"/>
  <c r="A296" i="4" s="1"/>
  <c r="H296" i="4"/>
  <c r="I238" i="4"/>
  <c r="A238" i="4" s="1"/>
  <c r="H238" i="4"/>
  <c r="H302" i="4"/>
  <c r="I302" i="4"/>
  <c r="A302" i="4" s="1"/>
  <c r="H278" i="4"/>
  <c r="I278" i="4"/>
  <c r="A278" i="4" s="1"/>
  <c r="H279" i="4"/>
  <c r="I279" i="4"/>
  <c r="A279" i="4" s="1"/>
  <c r="H284" i="4"/>
  <c r="I284" i="4"/>
  <c r="A284" i="4" s="1"/>
  <c r="I247" i="4"/>
  <c r="A247" i="4" s="1"/>
  <c r="H247" i="4"/>
  <c r="H246" i="4"/>
  <c r="I246" i="4"/>
  <c r="A246" i="4" s="1"/>
  <c r="I240" i="4"/>
  <c r="A240" i="4" s="1"/>
  <c r="H240" i="4"/>
  <c r="H277" i="4"/>
  <c r="I277" i="4"/>
  <c r="A277" i="4" s="1"/>
  <c r="I332" i="4"/>
  <c r="A332" i="4" s="1"/>
  <c r="H332" i="4"/>
  <c r="H251" i="4"/>
  <c r="I251" i="4"/>
  <c r="A251" i="4" s="1"/>
  <c r="I309" i="4"/>
  <c r="A309" i="4" s="1"/>
  <c r="H309" i="4"/>
  <c r="H335" i="4"/>
  <c r="I335" i="4"/>
  <c r="A335" i="4" s="1"/>
  <c r="I308" i="4"/>
  <c r="A308" i="4" s="1"/>
  <c r="H308" i="4"/>
  <c r="I245" i="4"/>
  <c r="A245" i="4" s="1"/>
  <c r="H245" i="4"/>
  <c r="H243" i="4"/>
  <c r="I243" i="4"/>
  <c r="A243" i="4" s="1"/>
  <c r="I342" i="4"/>
  <c r="A342" i="4" s="1"/>
  <c r="H342" i="4"/>
  <c r="I337" i="4"/>
  <c r="A337" i="4" s="1"/>
  <c r="H337" i="4"/>
  <c r="I285" i="4"/>
  <c r="A285" i="4" s="1"/>
  <c r="H285" i="4"/>
  <c r="I344" i="4"/>
  <c r="A344" i="4" s="1"/>
  <c r="H344" i="4"/>
  <c r="I301" i="4"/>
  <c r="A301" i="4" s="1"/>
  <c r="H301" i="4"/>
  <c r="H239" i="4"/>
  <c r="I239" i="4"/>
  <c r="A239" i="4" s="1"/>
  <c r="I343" i="4"/>
  <c r="A343" i="4" s="1"/>
  <c r="H343" i="4"/>
  <c r="H295" i="4"/>
  <c r="I295" i="4"/>
  <c r="A295" i="4" s="1"/>
  <c r="H228" i="4"/>
  <c r="I228" i="4"/>
  <c r="A228" i="4" s="1"/>
  <c r="H218" i="4"/>
  <c r="I218" i="4"/>
  <c r="A218" i="4" s="1"/>
  <c r="H226" i="4"/>
  <c r="I226" i="4"/>
  <c r="A226" i="4" s="1"/>
  <c r="H221" i="4"/>
  <c r="I221" i="4"/>
  <c r="A221" i="4" s="1"/>
  <c r="H220" i="4"/>
  <c r="I220" i="4"/>
  <c r="A220" i="4" s="1"/>
  <c r="H219" i="4"/>
  <c r="I219" i="4"/>
  <c r="A219" i="4" s="1"/>
  <c r="H90" i="4"/>
  <c r="I182" i="4"/>
  <c r="A182" i="4" s="1"/>
  <c r="I91" i="4"/>
  <c r="A91" i="4" s="1"/>
  <c r="I17" i="4"/>
  <c r="A17" i="4" s="1"/>
  <c r="H208" i="4"/>
  <c r="I208" i="4"/>
  <c r="A208" i="4" s="1"/>
  <c r="H188" i="4"/>
  <c r="I188" i="4"/>
  <c r="A188" i="4" s="1"/>
  <c r="I209" i="4"/>
  <c r="A209" i="4" s="1"/>
  <c r="H209" i="4"/>
  <c r="I207" i="4"/>
  <c r="A207" i="4" s="1"/>
  <c r="H207" i="4"/>
  <c r="I215" i="4"/>
  <c r="A215" i="4" s="1"/>
  <c r="H215" i="4"/>
  <c r="H181" i="4"/>
  <c r="I181" i="4"/>
  <c r="A181" i="4" s="1"/>
  <c r="H197" i="4"/>
  <c r="I197" i="4"/>
  <c r="A197" i="4" s="1"/>
  <c r="I193" i="4"/>
  <c r="A193" i="4" s="1"/>
  <c r="H193" i="4"/>
  <c r="I185" i="4"/>
  <c r="A185" i="4" s="1"/>
  <c r="H185" i="4"/>
  <c r="H187" i="4"/>
  <c r="I187" i="4"/>
  <c r="A187" i="4" s="1"/>
  <c r="H195" i="4"/>
  <c r="I195" i="4"/>
  <c r="A195" i="4" s="1"/>
  <c r="H180" i="4"/>
  <c r="I180" i="4"/>
  <c r="A180" i="4" s="1"/>
  <c r="H196" i="4"/>
  <c r="I196" i="4"/>
  <c r="A196" i="4" s="1"/>
  <c r="H190" i="4"/>
  <c r="I190" i="4"/>
  <c r="A190" i="4" s="1"/>
  <c r="H191" i="4"/>
  <c r="I191" i="4"/>
  <c r="A191" i="4" s="1"/>
  <c r="I199" i="4"/>
  <c r="A199" i="4" s="1"/>
  <c r="H199" i="4"/>
  <c r="H202" i="4"/>
  <c r="I202" i="4"/>
  <c r="A202" i="4" s="1"/>
  <c r="I210" i="4"/>
  <c r="A210" i="4" s="1"/>
  <c r="H210" i="4"/>
  <c r="H213" i="4"/>
  <c r="I213" i="4"/>
  <c r="A213" i="4" s="1"/>
  <c r="H198" i="4"/>
  <c r="I198" i="4"/>
  <c r="A198" i="4" s="1"/>
  <c r="H204" i="4"/>
  <c r="I204" i="4"/>
  <c r="A204" i="4" s="1"/>
  <c r="H211" i="4"/>
  <c r="I211" i="4"/>
  <c r="A211" i="4" s="1"/>
  <c r="H212" i="4"/>
  <c r="I212" i="4"/>
  <c r="A212" i="4" s="1"/>
  <c r="I189" i="4"/>
  <c r="A189" i="4" s="1"/>
  <c r="H189" i="4"/>
  <c r="H205" i="4"/>
  <c r="I205" i="4"/>
  <c r="A205" i="4" s="1"/>
  <c r="H186" i="4"/>
  <c r="I186" i="4"/>
  <c r="A186" i="4" s="1"/>
  <c r="I194" i="4"/>
  <c r="A194" i="4" s="1"/>
  <c r="H194" i="4"/>
  <c r="H179" i="4"/>
  <c r="I179" i="4"/>
  <c r="A179" i="4" s="1"/>
  <c r="H206" i="4"/>
  <c r="I206" i="4"/>
  <c r="A206" i="4" s="1"/>
  <c r="H216" i="4"/>
  <c r="I216" i="4"/>
  <c r="A216" i="4" s="1"/>
  <c r="H192" i="4"/>
  <c r="I192" i="4"/>
  <c r="A192" i="4" s="1"/>
  <c r="I203" i="4"/>
  <c r="A203" i="4" s="1"/>
  <c r="H203" i="4"/>
  <c r="I200" i="4"/>
  <c r="A200" i="4" s="1"/>
  <c r="H200" i="4"/>
  <c r="H214" i="4"/>
  <c r="I214" i="4"/>
  <c r="A214" i="4" s="1"/>
  <c r="I201" i="4"/>
  <c r="A201" i="4" s="1"/>
  <c r="H201" i="4"/>
  <c r="H165" i="4"/>
  <c r="I165" i="4"/>
  <c r="A165" i="4" s="1"/>
  <c r="H164" i="4"/>
  <c r="I164" i="4"/>
  <c r="A164" i="4" s="1"/>
  <c r="H163" i="4"/>
  <c r="I163" i="4"/>
  <c r="A163" i="4" s="1"/>
  <c r="H169" i="4"/>
  <c r="I169" i="4"/>
  <c r="A169" i="4" s="1"/>
  <c r="H88" i="4"/>
  <c r="H170" i="4"/>
  <c r="I170" i="4"/>
  <c r="A170" i="4" s="1"/>
  <c r="H89" i="4"/>
  <c r="H4" i="4"/>
  <c r="I4" i="4"/>
  <c r="A4" i="4" s="1"/>
  <c r="H119" i="4"/>
  <c r="I119" i="4"/>
  <c r="A119" i="4" s="1"/>
  <c r="I113" i="4"/>
  <c r="A113" i="4" s="1"/>
  <c r="H113" i="4"/>
  <c r="I93" i="4"/>
  <c r="A93" i="4" s="1"/>
  <c r="I106" i="4"/>
  <c r="A106" i="4" s="1"/>
  <c r="H106" i="4"/>
  <c r="H145" i="4"/>
  <c r="I145" i="4"/>
  <c r="A145" i="4" s="1"/>
  <c r="H18" i="4"/>
  <c r="I18" i="4"/>
  <c r="A18" i="4" s="1"/>
  <c r="H139" i="4"/>
  <c r="I139" i="4"/>
  <c r="A139" i="4" s="1"/>
  <c r="H25" i="4"/>
  <c r="I25" i="4"/>
  <c r="A25" i="4" s="1"/>
  <c r="H11" i="4"/>
  <c r="I11" i="4"/>
  <c r="A11" i="4" s="1"/>
  <c r="H138" i="4"/>
  <c r="I138" i="4"/>
  <c r="A138" i="4" s="1"/>
  <c r="H14" i="4"/>
  <c r="I14" i="4"/>
  <c r="A14" i="4" s="1"/>
  <c r="I92" i="4"/>
  <c r="A92" i="4" s="1"/>
  <c r="H146" i="4"/>
  <c r="I146" i="4"/>
  <c r="A146" i="4" s="1"/>
  <c r="I98" i="4"/>
  <c r="A98" i="4" s="1"/>
  <c r="H98" i="4"/>
  <c r="I97" i="4"/>
  <c r="A97" i="4" s="1"/>
  <c r="H97" i="4"/>
  <c r="H137" i="4"/>
  <c r="I137" i="4"/>
  <c r="A137" i="4" s="1"/>
  <c r="H141" i="4"/>
  <c r="I141" i="4"/>
  <c r="A141" i="4" s="1"/>
  <c r="H160" i="4"/>
  <c r="I160" i="4"/>
  <c r="A160" i="4" s="1"/>
  <c r="H105" i="4"/>
  <c r="I105" i="4"/>
  <c r="A105" i="4" s="1"/>
  <c r="H150" i="4"/>
  <c r="I150" i="4"/>
  <c r="A150" i="4" s="1"/>
  <c r="H16" i="4"/>
  <c r="I16" i="4"/>
  <c r="A16" i="4" s="1"/>
  <c r="H2" i="4"/>
  <c r="I2" i="4"/>
  <c r="A2" i="4" s="1"/>
  <c r="H107" i="4"/>
  <c r="I107" i="4"/>
  <c r="A107" i="4" s="1"/>
  <c r="I112" i="4"/>
  <c r="A112" i="4" s="1"/>
  <c r="H112" i="4"/>
  <c r="H26" i="4"/>
  <c r="I26" i="4"/>
  <c r="A26" i="4" s="1"/>
  <c r="H10" i="4"/>
  <c r="I10" i="4"/>
  <c r="A10" i="4" s="1"/>
  <c r="H162" i="4"/>
  <c r="I162" i="4"/>
  <c r="A162" i="4" s="1"/>
  <c r="H3" i="4"/>
  <c r="I3" i="4"/>
  <c r="A3" i="4" s="1"/>
  <c r="I100" i="4"/>
  <c r="A100" i="4" s="1"/>
  <c r="H100" i="4"/>
  <c r="I148" i="4"/>
  <c r="A148" i="4" s="1"/>
  <c r="H148" i="4"/>
  <c r="H27" i="4"/>
  <c r="I27" i="4"/>
  <c r="A27" i="4" s="1"/>
  <c r="H96" i="4"/>
  <c r="I96" i="4"/>
  <c r="A96" i="4" s="1"/>
  <c r="H12" i="4"/>
  <c r="I12" i="4"/>
  <c r="A12" i="4" s="1"/>
  <c r="H109" i="4"/>
  <c r="I109" i="4"/>
  <c r="A109" i="4" s="1"/>
  <c r="I111" i="4"/>
  <c r="A111" i="4" s="1"/>
  <c r="H111" i="4"/>
  <c r="H161" i="4"/>
  <c r="I161" i="4"/>
  <c r="A161" i="4" s="1"/>
  <c r="H13" i="4"/>
  <c r="I13" i="4"/>
  <c r="A13" i="4" s="1"/>
  <c r="I101" i="4"/>
  <c r="A101" i="4" s="1"/>
  <c r="H101" i="4"/>
  <c r="H116" i="4"/>
  <c r="I116" i="4"/>
  <c r="A116" i="4" s="1"/>
  <c r="I99" i="4"/>
  <c r="A99" i="4" s="1"/>
  <c r="H99" i="4"/>
  <c r="I117" i="4"/>
  <c r="A117" i="4" s="1"/>
  <c r="H117" i="4"/>
  <c r="I140" i="4"/>
  <c r="A140" i="4" s="1"/>
  <c r="H140" i="4"/>
  <c r="H95" i="4"/>
  <c r="I95" i="4"/>
  <c r="A95" i="4" s="1"/>
  <c r="I65" i="4"/>
  <c r="A65" i="4" s="1"/>
  <c r="H65" i="4"/>
  <c r="I86" i="4"/>
  <c r="A86" i="4" s="1"/>
  <c r="H86" i="4"/>
  <c r="H68" i="4"/>
  <c r="I68" i="4"/>
  <c r="A68" i="4" s="1"/>
  <c r="H62" i="4"/>
  <c r="I62" i="4"/>
  <c r="A62" i="4" s="1"/>
  <c r="I78" i="4"/>
  <c r="A78" i="4" s="1"/>
  <c r="H78" i="4"/>
  <c r="I83" i="4"/>
  <c r="A83" i="4" s="1"/>
  <c r="H83" i="4"/>
  <c r="I80" i="4"/>
  <c r="A80" i="4" s="1"/>
  <c r="H80" i="4"/>
  <c r="I70" i="4"/>
  <c r="A70" i="4" s="1"/>
  <c r="H70" i="4"/>
  <c r="I75" i="4"/>
  <c r="A75" i="4" s="1"/>
  <c r="H75" i="4"/>
  <c r="H58" i="4"/>
  <c r="I58" i="4"/>
  <c r="A58" i="4" s="1"/>
  <c r="I72" i="4"/>
  <c r="A72" i="4" s="1"/>
  <c r="H72" i="4"/>
  <c r="H85" i="4"/>
  <c r="I85" i="4"/>
  <c r="A85" i="4" s="1"/>
  <c r="I67" i="4"/>
  <c r="A67" i="4" s="1"/>
  <c r="H67" i="4"/>
  <c r="H59" i="4"/>
  <c r="I59" i="4"/>
  <c r="A59" i="4" s="1"/>
  <c r="H61" i="4"/>
  <c r="I61" i="4"/>
  <c r="A61" i="4" s="1"/>
  <c r="I77" i="4"/>
  <c r="A77" i="4" s="1"/>
  <c r="H77" i="4"/>
  <c r="I64" i="4"/>
  <c r="A64" i="4" s="1"/>
  <c r="H64" i="4"/>
  <c r="H63" i="4"/>
  <c r="I63" i="4"/>
  <c r="A63" i="4" s="1"/>
  <c r="H79" i="4"/>
  <c r="I79" i="4"/>
  <c r="A79" i="4" s="1"/>
  <c r="H69" i="4"/>
  <c r="I69" i="4"/>
  <c r="A69" i="4" s="1"/>
  <c r="I82" i="4"/>
  <c r="A82" i="4" s="1"/>
  <c r="H82" i="4"/>
  <c r="H81" i="4"/>
  <c r="I81" i="4"/>
  <c r="A81" i="4" s="1"/>
  <c r="I71" i="4"/>
  <c r="A71" i="4" s="1"/>
  <c r="H71" i="4"/>
  <c r="I84" i="4"/>
  <c r="A84" i="4" s="1"/>
  <c r="H84" i="4"/>
  <c r="H74" i="4"/>
  <c r="I74" i="4"/>
  <c r="A74" i="4" s="1"/>
  <c r="I73" i="4"/>
  <c r="A73" i="4" s="1"/>
  <c r="H73" i="4"/>
  <c r="H60" i="4"/>
  <c r="I60" i="4"/>
  <c r="A60" i="4" s="1"/>
  <c r="H76" i="4"/>
  <c r="I76" i="4"/>
  <c r="A76" i="4" s="1"/>
  <c r="I66" i="4"/>
  <c r="A66" i="4" s="1"/>
  <c r="H66" i="4"/>
  <c r="H29" i="4"/>
  <c r="I29" i="4"/>
  <c r="A29" i="4" s="1"/>
  <c r="H30" i="4"/>
  <c r="I30" i="4"/>
  <c r="A30" i="4" s="1"/>
  <c r="H56" i="4"/>
  <c r="I56" i="4"/>
  <c r="A56" i="4" s="1"/>
  <c r="H57" i="4"/>
  <c r="I57" i="4"/>
  <c r="A57" i="4" s="1"/>
  <c r="H28" i="4"/>
  <c r="I28" i="4"/>
  <c r="A28" i="4" s="1"/>
  <c r="I35" i="4"/>
  <c r="A35" i="4" s="1"/>
  <c r="H35" i="4"/>
  <c r="I34" i="4"/>
  <c r="A34" i="4" s="1"/>
  <c r="H34" i="4"/>
  <c r="H33" i="4"/>
  <c r="I33" i="4"/>
  <c r="A33" i="4" s="1"/>
  <c r="I32" i="4"/>
  <c r="A32" i="4" s="1"/>
  <c r="H32" i="4"/>
  <c r="H31" i="4"/>
  <c r="I31" i="4"/>
  <c r="A31" i="4" s="1"/>
  <c r="H55" i="4"/>
  <c r="I55" i="4"/>
  <c r="A55" i="4" s="1"/>
  <c r="H54" i="4"/>
  <c r="I54" i="4"/>
  <c r="A54" i="4" s="1"/>
  <c r="H53" i="4"/>
  <c r="I53" i="4"/>
  <c r="A53" i="4" s="1"/>
  <c r="H52" i="4"/>
  <c r="I52" i="4"/>
  <c r="A52" i="4" s="1"/>
  <c r="H51" i="4"/>
  <c r="I51" i="4"/>
  <c r="A51" i="4" s="1"/>
  <c r="H50" i="4"/>
  <c r="I50" i="4"/>
  <c r="A50" i="4" s="1"/>
  <c r="H49" i="4"/>
  <c r="I49" i="4"/>
  <c r="A49" i="4" s="1"/>
  <c r="H48" i="4"/>
  <c r="I48" i="4"/>
  <c r="A48" i="4" s="1"/>
  <c r="H47" i="4"/>
  <c r="I47" i="4"/>
  <c r="A47" i="4" s="1"/>
  <c r="H46" i="4"/>
  <c r="I46" i="4"/>
  <c r="A46" i="4" s="1"/>
  <c r="H45" i="4"/>
  <c r="I45" i="4"/>
  <c r="A45" i="4" s="1"/>
  <c r="H44" i="4"/>
  <c r="I44" i="4"/>
  <c r="A44" i="4" s="1"/>
  <c r="H43" i="4"/>
  <c r="I43" i="4"/>
  <c r="A43" i="4" s="1"/>
  <c r="H42" i="4"/>
  <c r="I42" i="4"/>
  <c r="A42" i="4" s="1"/>
  <c r="H41" i="4"/>
  <c r="I41" i="4"/>
  <c r="A41" i="4" s="1"/>
  <c r="H40" i="4"/>
  <c r="I40" i="4"/>
  <c r="A40" i="4" s="1"/>
  <c r="H39" i="4"/>
  <c r="I39" i="4"/>
  <c r="A39" i="4" s="1"/>
  <c r="H38" i="4"/>
  <c r="I38" i="4"/>
  <c r="A38" i="4" s="1"/>
  <c r="I37" i="4"/>
  <c r="A37" i="4" s="1"/>
  <c r="H37" i="4"/>
  <c r="H36" i="4"/>
  <c r="I36" i="4"/>
  <c r="A36" i="4" s="1"/>
</calcChain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Inventaire Azure v1.0.xlsx!TablAzureDevOpsProjet" type="102" refreshedVersion="6" minRefreshableVersion="5">
    <extLst>
      <ext xmlns:x15="http://schemas.microsoft.com/office/spreadsheetml/2010/11/main" uri="{DE250136-89BD-433C-8126-D09CA5730AF9}">
        <x15:connection id="TablAzureDevOpsProjet">
          <x15:rangePr sourceName="_xlcn.WorksheetConnection_InventaireAzurev1.0.xlsxTablAzureDevOpsProjet1"/>
        </x15:connection>
      </ext>
    </extLst>
  </connection>
  <connection id="3" name="WorksheetConnection_Inventaire Azure v1.0.xlsx!TabVMAzureEnvProjet" type="102" refreshedVersion="6" minRefreshableVersion="5">
    <extLst>
      <ext xmlns:x15="http://schemas.microsoft.com/office/spreadsheetml/2010/11/main" uri="{DE250136-89BD-433C-8126-D09CA5730AF9}">
        <x15:connection id="TabVMAzureEnvProjet">
          <x15:rangePr sourceName="_xlcn.WorksheetConnection_InventaireAzurev1.0.xlsxTabVMAzureEnvProjet1"/>
        </x15:connection>
      </ext>
    </extLst>
  </connection>
</connections>
</file>

<file path=xl/sharedStrings.xml><?xml version="1.0" encoding="utf-8"?>
<sst xmlns="http://schemas.openxmlformats.org/spreadsheetml/2006/main" count="4024" uniqueCount="399">
  <si>
    <t>Client/Projet/Environnement</t>
  </si>
  <si>
    <t>Somme de Coût</t>
  </si>
  <si>
    <t>AFB</t>
  </si>
  <si>
    <t>AFB-CESMIA</t>
  </si>
  <si>
    <t>AzureDevOps</t>
  </si>
  <si>
    <t>AFB-PNM</t>
  </si>
  <si>
    <t>AFB-PNX</t>
  </si>
  <si>
    <t>AFB-NatureFrance</t>
  </si>
  <si>
    <t>QUAL_INT</t>
  </si>
  <si>
    <t>OFB-FRANCENATURE-VM</t>
  </si>
  <si>
    <t>OFB-SISPEA</t>
  </si>
  <si>
    <t>DEV</t>
  </si>
  <si>
    <t>OFB-SISPEA-VM</t>
  </si>
  <si>
    <t>OFB-CMONSPOT</t>
  </si>
  <si>
    <t>ALM</t>
  </si>
  <si>
    <t>ALM-ATOUT</t>
  </si>
  <si>
    <t>ALM-ATOUT-VM</t>
  </si>
  <si>
    <t>BRGM</t>
  </si>
  <si>
    <t>BRGM-ORRM</t>
  </si>
  <si>
    <t>QUAL_PUB</t>
  </si>
  <si>
    <t>BRGM-ORRM-VM</t>
  </si>
  <si>
    <t>CA-TITRES</t>
  </si>
  <si>
    <t>CATITRES-COMX</t>
  </si>
  <si>
    <t>CATITRES-COMX-VM</t>
  </si>
  <si>
    <t>CNAV</t>
  </si>
  <si>
    <t>CNAV-BI-RGCU</t>
  </si>
  <si>
    <t>FRR</t>
  </si>
  <si>
    <t>FRR-DIGIPAT</t>
  </si>
  <si>
    <t>FRR DIGIPAT</t>
  </si>
  <si>
    <t>FRR-DIGIPAT-VM</t>
  </si>
  <si>
    <t>FRR-APPLIFRR</t>
  </si>
  <si>
    <t>FRR-CADENCIER</t>
  </si>
  <si>
    <t>FRR-PATAPAIN</t>
  </si>
  <si>
    <t>FRR-Patapain</t>
  </si>
  <si>
    <t>FRR-PATAPAINANDROID</t>
  </si>
  <si>
    <t>GFI</t>
  </si>
  <si>
    <t>GFI-INTERNE</t>
  </si>
  <si>
    <t>d8-qa</t>
  </si>
  <si>
    <t>drupal-qa</t>
  </si>
  <si>
    <t>GFI-BaseDocumentaire</t>
  </si>
  <si>
    <t>GFI-CMIS</t>
  </si>
  <si>
    <t>GFI-COFFEE</t>
  </si>
  <si>
    <t>GFI-CRALENIUM</t>
  </si>
  <si>
    <t>GFI-D8-BS4-THEME</t>
  </si>
  <si>
    <t>GFI-Docker Devbox Install</t>
  </si>
  <si>
    <t>GFI-MINEREPORT</t>
  </si>
  <si>
    <t>GFI-MineReport</t>
  </si>
  <si>
    <t>GFI-PMT</t>
  </si>
  <si>
    <t>GFI-PMT-VM</t>
  </si>
  <si>
    <t>GFI-REDMINEDOCKER</t>
  </si>
  <si>
    <t>GFI-RedmineDocker</t>
  </si>
  <si>
    <t>GFI-TENDER</t>
  </si>
  <si>
    <t>GFI-WAAC</t>
  </si>
  <si>
    <t>GFI-WAAC-VM</t>
  </si>
  <si>
    <t>GLI</t>
  </si>
  <si>
    <t>GLI-APIBIOMETRIE</t>
  </si>
  <si>
    <t>GLI-APIBiometrie</t>
  </si>
  <si>
    <t>MENESR</t>
  </si>
  <si>
    <t>MENJ-APAE</t>
  </si>
  <si>
    <t>MENJ-BNIE</t>
  </si>
  <si>
    <t>MENJ-BNIE-BDD</t>
  </si>
  <si>
    <t>MENJ-BNIE-Webservices</t>
  </si>
  <si>
    <t>MENJ-RNIE</t>
  </si>
  <si>
    <t>MENJ-RNIE-BDD</t>
  </si>
  <si>
    <t>MENJ-RNIE-Webservices</t>
  </si>
  <si>
    <t>MENJ-BI</t>
  </si>
  <si>
    <t>MENJ-BI-VM</t>
  </si>
  <si>
    <t>MENJ-INSERJEUNES</t>
  </si>
  <si>
    <t>MENJ-InserJeunes</t>
  </si>
  <si>
    <t>MENJ-INERJEUNES</t>
  </si>
  <si>
    <t>ONEMA</t>
  </si>
  <si>
    <t>AFB-BASEINDICATEURS</t>
  </si>
  <si>
    <t>AFB-BaseIndicateurs</t>
  </si>
  <si>
    <t>AFB-CATALOGUE</t>
  </si>
  <si>
    <t>AFB-Catalogue</t>
  </si>
  <si>
    <t>AFB-CDR</t>
  </si>
  <si>
    <t>AFB-OISON</t>
  </si>
  <si>
    <t>AFB-PATBIODIV</t>
  </si>
  <si>
    <t>AFB-PATBiodiv</t>
  </si>
  <si>
    <t>AFB-RAA</t>
  </si>
  <si>
    <t>SPC</t>
  </si>
  <si>
    <t>SPC-BUILD</t>
  </si>
  <si>
    <t>SPC-BUILDAS-VM</t>
  </si>
  <si>
    <t>SPC-WEB</t>
  </si>
  <si>
    <t>PCM</t>
  </si>
  <si>
    <t>PCM-ALS</t>
  </si>
  <si>
    <t>PCM-WEB</t>
  </si>
  <si>
    <t>PCM-Web</t>
  </si>
  <si>
    <t>EBR</t>
  </si>
  <si>
    <t>EBR-LAPOSTE</t>
  </si>
  <si>
    <t>EBR-LAPOSTE-VM</t>
  </si>
  <si>
    <t>OFB</t>
  </si>
  <si>
    <t>OFB-NATUREFRANCE</t>
  </si>
  <si>
    <t>OFB-NatureFrance</t>
  </si>
  <si>
    <t>LAPOSTE</t>
  </si>
  <si>
    <t>LAPOSTE-F4N-MUSEE</t>
  </si>
  <si>
    <t>LAPOSTE-F4N-Musee</t>
  </si>
  <si>
    <t>LAPOSTE-LPK-PortailVoyage</t>
  </si>
  <si>
    <t>LAPOSTE-LPM-IntranetDHA</t>
  </si>
  <si>
    <t>LAPOSTE-CDC</t>
  </si>
  <si>
    <t>LAPOSTE-CDC-VM</t>
  </si>
  <si>
    <t>LAPOSTE-L71-PDP</t>
  </si>
  <si>
    <t>LAPOSTE-LCA-PariteUn-e</t>
  </si>
  <si>
    <t>LAPOSTE-VWA-Fondation</t>
  </si>
  <si>
    <t>LAPOSTE-V7_-Galaxy</t>
  </si>
  <si>
    <t>SAFT</t>
  </si>
  <si>
    <t>SAFT-PDM</t>
  </si>
  <si>
    <t>STMICRO</t>
  </si>
  <si>
    <t>STMICRO-DATAPACK</t>
  </si>
  <si>
    <t>STMICRO-DATAPACK-VM</t>
  </si>
  <si>
    <t>STMICRO-ROCKET</t>
  </si>
  <si>
    <t>CGOS</t>
  </si>
  <si>
    <t>CGOS-BI</t>
  </si>
  <si>
    <t>Total général</t>
  </si>
  <si>
    <t>ID</t>
  </si>
  <si>
    <t>Nature</t>
  </si>
  <si>
    <t>Projet AzureDevOps</t>
  </si>
  <si>
    <t>VM</t>
  </si>
  <si>
    <t>Env</t>
  </si>
  <si>
    <t>Projet</t>
  </si>
  <si>
    <t>Code SYGES</t>
  </si>
  <si>
    <t>Cost Center</t>
  </si>
  <si>
    <t>Client</t>
  </si>
  <si>
    <t>Mois</t>
  </si>
  <si>
    <t>Coût</t>
  </si>
  <si>
    <t>Commentaire</t>
  </si>
  <si>
    <t>2020-01</t>
  </si>
  <si>
    <t>SPC-WEB-VM</t>
  </si>
  <si>
    <t>2020-02</t>
  </si>
  <si>
    <t>INSTALLATION</t>
  </si>
  <si>
    <t>2020-03</t>
  </si>
  <si>
    <t>0.5 J</t>
  </si>
  <si>
    <t>2020-04</t>
  </si>
  <si>
    <t>2020-05</t>
  </si>
  <si>
    <t>LAPOSTE-Musee</t>
  </si>
  <si>
    <t>2020-06</t>
  </si>
  <si>
    <t>2020-07</t>
  </si>
  <si>
    <t>23/07 (29/06 - 22/07)</t>
  </si>
  <si>
    <t>(29/06 - 22/07)</t>
  </si>
  <si>
    <t>2020-08</t>
  </si>
  <si>
    <t>24/08 (23/07 - 23/08)</t>
  </si>
  <si>
    <t>(23/07 - 23/08)</t>
  </si>
  <si>
    <t>2020-09</t>
  </si>
  <si>
    <t>25/09 (24/08 - 24/08)</t>
  </si>
  <si>
    <t>(24/08 - 24/09)</t>
  </si>
  <si>
    <t>2020-10</t>
  </si>
  <si>
    <t>26/10 (25/09 - 25/10)</t>
  </si>
  <si>
    <t>(25/09 - 25/10)</t>
  </si>
  <si>
    <t>ProjetAzureDevOps</t>
  </si>
  <si>
    <t>Système</t>
  </si>
  <si>
    <t>VMAzureSize</t>
  </si>
  <si>
    <t>VMAzureDisk</t>
  </si>
  <si>
    <t>VMAzureDisk2</t>
  </si>
  <si>
    <t>VMAzureDisk3</t>
  </si>
  <si>
    <t>VMAzureDisk4</t>
  </si>
  <si>
    <t>Auto Start</t>
  </si>
  <si>
    <t>Auto Stop</t>
  </si>
  <si>
    <t>Activité 
par jours</t>
  </si>
  <si>
    <t>Jours / Mois</t>
  </si>
  <si>
    <t>Activité 
par mois</t>
  </si>
  <si>
    <t>Coût horaire VM</t>
  </si>
  <si>
    <t>Coût estimé 
VM / mois</t>
  </si>
  <si>
    <t>Coût estimé 
Disk1 / mois</t>
  </si>
  <si>
    <t>Coût estimé 
sauvegarde
Disk1 / mois</t>
  </si>
  <si>
    <t>Coût estimé 
Disk2 / mois</t>
  </si>
  <si>
    <t>Coût estimé 
sauvegarde
Disk2 / mois</t>
  </si>
  <si>
    <t>Coût estimé 
Disk3 / mois</t>
  </si>
  <si>
    <t>Coût estimé 
sauvegarde
Disk3 / mois</t>
  </si>
  <si>
    <t>Coût estimé 
Disk4 / mois</t>
  </si>
  <si>
    <t>Coût estimé 
sauvegarde
Disk4 / mois</t>
  </si>
  <si>
    <t>Coût estimé 
Disk Total / mois</t>
  </si>
  <si>
    <t>Coût estimé 
sauvegarde total / mois</t>
  </si>
  <si>
    <t>Coût estimé 
Disk + sauvegarde Total / mois</t>
  </si>
  <si>
    <t>Coût estimé 
total / mois
sans
sauvegarde</t>
  </si>
  <si>
    <t>Coût estimé 
total / mois
avec 1 
sauvegarde</t>
  </si>
  <si>
    <t>Linux</t>
  </si>
  <si>
    <t>Standard_E4_v3</t>
  </si>
  <si>
    <t>SSD Standard \ 256 Go</t>
  </si>
  <si>
    <t>NA \ NA Go</t>
  </si>
  <si>
    <t>Standard_B1ms</t>
  </si>
  <si>
    <t>Standard HDD \ 32 Go</t>
  </si>
  <si>
    <t>Windows + SQL STD</t>
  </si>
  <si>
    <t>Standard_F2s</t>
  </si>
  <si>
    <t>Standard HDD \ 128 Go</t>
  </si>
  <si>
    <t>Premium SSD \ 32 Go</t>
  </si>
  <si>
    <t>Windows</t>
  </si>
  <si>
    <t>Standard_B16ms</t>
  </si>
  <si>
    <t>Premium SSD \ 512 Go</t>
  </si>
  <si>
    <t>Standard_B2s</t>
  </si>
  <si>
    <t>Standard_B4ms</t>
  </si>
  <si>
    <t>Standard_B8ms</t>
  </si>
  <si>
    <t>Standard HDD \ 1024 Go</t>
  </si>
  <si>
    <t>Standard_B2ms</t>
  </si>
  <si>
    <t>Standard HDD \ 64 Go</t>
  </si>
  <si>
    <t>Coût estimé 
sauvegarde
Disk Total / mois</t>
  </si>
  <si>
    <t>Coût OT</t>
  </si>
  <si>
    <t>Migration OT vers Azure rentable ?</t>
  </si>
  <si>
    <t>FRORDVAD002</t>
  </si>
  <si>
    <t>FRORDVAP001</t>
  </si>
  <si>
    <t>FRORDVAP003</t>
  </si>
  <si>
    <t>FRORDVAP006</t>
  </si>
  <si>
    <t>FRORDVAP007</t>
  </si>
  <si>
    <t>FRORDVAP014</t>
  </si>
  <si>
    <t>Standard_E2_v3</t>
  </si>
  <si>
    <t>Standard HDD \ 512 Go</t>
  </si>
  <si>
    <t>FRORDVAP020</t>
  </si>
  <si>
    <t>Standard HDD \ 256 Go</t>
  </si>
  <si>
    <t>FRORDVAP024</t>
  </si>
  <si>
    <t>FRORDVAP032</t>
  </si>
  <si>
    <t>FRORDVAP039</t>
  </si>
  <si>
    <t>Standard_F4</t>
  </si>
  <si>
    <t>FRORDVAP040</t>
  </si>
  <si>
    <t>FRORDVAP043</t>
  </si>
  <si>
    <t>FRORDVAP045</t>
  </si>
  <si>
    <t>FRORDVAP047</t>
  </si>
  <si>
    <t>FRORDVAP048</t>
  </si>
  <si>
    <t>FRORDVAP049</t>
  </si>
  <si>
    <t>FRORDVDB013</t>
  </si>
  <si>
    <t>FRORDVDB014</t>
  </si>
  <si>
    <t>FRORDVDB016</t>
  </si>
  <si>
    <t>FRORDVDB018</t>
  </si>
  <si>
    <t>FRORDVIM001</t>
  </si>
  <si>
    <t>FRORDVSV001</t>
  </si>
  <si>
    <t>FRORDVUS001</t>
  </si>
  <si>
    <t>FRORLVAP005</t>
  </si>
  <si>
    <t>FRORLVAP006</t>
  </si>
  <si>
    <t>FRORLVAP009</t>
  </si>
  <si>
    <t>FRORLVDB006</t>
  </si>
  <si>
    <t>W3XXD4504</t>
  </si>
  <si>
    <t>W3XXV45103</t>
  </si>
  <si>
    <t>W3XXV4598</t>
  </si>
  <si>
    <t>Contrat SYGES</t>
  </si>
  <si>
    <t>Status du contrat</t>
  </si>
  <si>
    <t>Type du contrat SYGES</t>
  </si>
  <si>
    <t>Type contrat REFPROJ</t>
  </si>
  <si>
    <t>383928 - WAAC 1.0</t>
  </si>
  <si>
    <t>AFB OFB_LOT2 -9-1 NATURE FRANCE</t>
  </si>
  <si>
    <t>AFB/OFB_LOT1</t>
  </si>
  <si>
    <t>AFB/OFB_LOT2</t>
  </si>
  <si>
    <t>ALM/TMA_ATOUT</t>
  </si>
  <si>
    <t>BRGM/BDLISA-18</t>
  </si>
  <si>
    <t>BRGM/DEGAT-16</t>
  </si>
  <si>
    <t>BRGM/TMA-5-1-ORRM-LOT1</t>
  </si>
  <si>
    <t>CA-TITRES/TMA</t>
  </si>
  <si>
    <t>CGOS-BUILDBI-18</t>
  </si>
  <si>
    <t>CNAV/BI-SIRRGCU</t>
  </si>
  <si>
    <t>EBR/TMA</t>
  </si>
  <si>
    <t>FRR/TMASI</t>
  </si>
  <si>
    <t>Gest'ea / OUGC</t>
  </si>
  <si>
    <t>GFI Oceanet Infra Réseau Orléans</t>
  </si>
  <si>
    <t>GFI Oceanet Orléans PIC</t>
  </si>
  <si>
    <t>GFI Redmine Orléans</t>
  </si>
  <si>
    <t>GFI/PROJET_INTERNE</t>
  </si>
  <si>
    <t>GIP RECIA-Plateformes CLOUD / Edition</t>
  </si>
  <si>
    <t>GIP RECIA</t>
  </si>
  <si>
    <t>GitLab Orléans</t>
  </si>
  <si>
    <t>GLI/BIOMETRIE</t>
  </si>
  <si>
    <t>IT-CE/DFA</t>
  </si>
  <si>
    <t>IT-CE</t>
  </si>
  <si>
    <t>LA-POSTE/CDC_DRUPAL</t>
  </si>
  <si>
    <t>MENESR - TMA - 23 - 1 - INSERJEUNES</t>
  </si>
  <si>
    <t>MENESR/TMA</t>
  </si>
  <si>
    <t>ONEMA/TMADCIE-15</t>
  </si>
  <si>
    <t>ONEMA/TMADCUA-15</t>
  </si>
  <si>
    <t>ONEMA/TMAWEB-16</t>
  </si>
  <si>
    <t>PCM/WEB</t>
  </si>
  <si>
    <t>PCM-SWEB/S262752A</t>
  </si>
  <si>
    <t>PRIZER-TMA</t>
  </si>
  <si>
    <t>PRIZER</t>
  </si>
  <si>
    <t>projet interne Orléans</t>
  </si>
  <si>
    <t>RECIA/AC-18</t>
  </si>
  <si>
    <t>RECIA</t>
  </si>
  <si>
    <t>SAFT/TMA</t>
  </si>
  <si>
    <t>SPC/BUILD</t>
  </si>
  <si>
    <t>SPC/BUILD-0-1-SITE-WEB</t>
  </si>
  <si>
    <t>STMICRO/TMA-R2R-17</t>
  </si>
  <si>
    <t>STMICRO/TMASI</t>
  </si>
  <si>
    <t>NomProj</t>
  </si>
  <si>
    <t>DateDeb</t>
  </si>
  <si>
    <t>DateFin</t>
  </si>
  <si>
    <t>CP</t>
  </si>
  <si>
    <t>Référent technique</t>
  </si>
  <si>
    <t>SYGES</t>
  </si>
  <si>
    <t>BASEINDICATEURS</t>
  </si>
  <si>
    <t>Pierre BOURLIEUX</t>
  </si>
  <si>
    <t>CATALOGUE</t>
  </si>
  <si>
    <t>CDR</t>
  </si>
  <si>
    <t>CESMIA</t>
  </si>
  <si>
    <t>Jean-Philippe STROIAZZO</t>
  </si>
  <si>
    <t>NatureFrance</t>
  </si>
  <si>
    <t>Rodolphe HABEGGER</t>
  </si>
  <si>
    <t>OISON</t>
  </si>
  <si>
    <t>PATBIODIV</t>
  </si>
  <si>
    <t>PNM</t>
  </si>
  <si>
    <t>Eric RAUCOURT</t>
  </si>
  <si>
    <t>PNX</t>
  </si>
  <si>
    <t>RAA</t>
  </si>
  <si>
    <t>Laurent LE-LARDEUX</t>
  </si>
  <si>
    <t>ATOUT</t>
  </si>
  <si>
    <t>Alice MARCHAL</t>
  </si>
  <si>
    <t>ORRM</t>
  </si>
  <si>
    <t>CATITRES</t>
  </si>
  <si>
    <t>COMX</t>
  </si>
  <si>
    <t>BI</t>
  </si>
  <si>
    <t>Valerie ASSELIN LOZACHMEUR</t>
  </si>
  <si>
    <t>Arthur LETORT</t>
  </si>
  <si>
    <t>BI-RGCU</t>
  </si>
  <si>
    <t>Frédéric FONDRAS</t>
  </si>
  <si>
    <t>APPLIFRR</t>
  </si>
  <si>
    <t>CADENCIER</t>
  </si>
  <si>
    <t>DIGIPAT</t>
  </si>
  <si>
    <t>PATAPAIN</t>
  </si>
  <si>
    <t>PATAPAINANDROID</t>
  </si>
  <si>
    <t>CMIS</t>
  </si>
  <si>
    <t>COFFEE</t>
  </si>
  <si>
    <t>CRALENIUM</t>
  </si>
  <si>
    <t>D8-BS4-THEME</t>
  </si>
  <si>
    <t>Docker Devbox Install</t>
  </si>
  <si>
    <t>INTERNE</t>
  </si>
  <si>
    <t>Christophe ORLANDO</t>
  </si>
  <si>
    <t>MINEREPORT</t>
  </si>
  <si>
    <t>PMT</t>
  </si>
  <si>
    <t>REDMINEDOCKER</t>
  </si>
  <si>
    <t>TENDER</t>
  </si>
  <si>
    <t>WAAC</t>
  </si>
  <si>
    <t>APIBIOMETRIE</t>
  </si>
  <si>
    <t>CDC</t>
  </si>
  <si>
    <t>Pierre LEJEUNE</t>
  </si>
  <si>
    <t>F4N-MUSEE</t>
  </si>
  <si>
    <t>L71-PDP</t>
  </si>
  <si>
    <t>LCA-PariteUn-e</t>
  </si>
  <si>
    <t>LPK-PortailVoyage</t>
  </si>
  <si>
    <t>LPM-IntranetDHA</t>
  </si>
  <si>
    <t>V7_-Galaxy</t>
  </si>
  <si>
    <t>VWA-Fondation</t>
  </si>
  <si>
    <t>MENJ</t>
  </si>
  <si>
    <t>APAE</t>
  </si>
  <si>
    <t>Eric PERROUD</t>
  </si>
  <si>
    <t>Sébatien LOUCHART</t>
  </si>
  <si>
    <t>BNIE</t>
  </si>
  <si>
    <t>INSERJEUNES</t>
  </si>
  <si>
    <t>Rémi ALVERGNAT</t>
  </si>
  <si>
    <t>RNIE</t>
  </si>
  <si>
    <t>CMONSPOT</t>
  </si>
  <si>
    <t>NATUREFRANCE</t>
  </si>
  <si>
    <t>SISPEA</t>
  </si>
  <si>
    <t>Séverine MOINET</t>
  </si>
  <si>
    <t>ALS</t>
  </si>
  <si>
    <t>WEB</t>
  </si>
  <si>
    <t>PDM</t>
  </si>
  <si>
    <t>BUILD</t>
  </si>
  <si>
    <t>Nicolas DURFORT</t>
  </si>
  <si>
    <t>DATAPACK</t>
  </si>
  <si>
    <t>ROCKET</t>
  </si>
  <si>
    <t>RefEnv</t>
  </si>
  <si>
    <t>Nom</t>
  </si>
  <si>
    <t>Installation de l'environnement</t>
  </si>
  <si>
    <t>CPU</t>
  </si>
  <si>
    <t>RAM</t>
  </si>
  <si>
    <t>Stockage temporaire</t>
  </si>
  <si>
    <t>Type</t>
  </si>
  <si>
    <t>Size</t>
  </si>
  <si>
    <t>Coût / mois</t>
  </si>
  <si>
    <t>Coût / mois Sauvegarde</t>
  </si>
  <si>
    <t>Coût / mois avec sauvegarde</t>
  </si>
  <si>
    <t>NA</t>
  </si>
  <si>
    <t>Premium SSD</t>
  </si>
  <si>
    <t>SSD Standard</t>
  </si>
  <si>
    <t>Standard HDD</t>
  </si>
  <si>
    <t>Date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</si>
  <si>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</si>
  <si>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</si>
  <si>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</si>
  <si>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</si>
  <si>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</si>
  <si>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</si>
  <si>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</si>
  <si>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</si>
  <si>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</si>
  <si>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</si>
  <si>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</si>
  <si>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</si>
  <si>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</si>
  <si>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</si>
  <si>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CostCenter</t>
  </si>
  <si>
    <t>VMAzureDisk5</t>
  </si>
  <si>
    <t>Nombre d'heure 
d'activité par mois</t>
  </si>
  <si>
    <t>Tarif 
Linux</t>
  </si>
  <si>
    <t>-</t>
  </si>
  <si>
    <t>GFI-POC</t>
  </si>
  <si>
    <t>LAPOSTE-VW2-MEDIACOM</t>
  </si>
  <si>
    <t>VW2-MEDIACOM</t>
  </si>
  <si>
    <t>(26/10 - 29/11)</t>
  </si>
  <si>
    <t>30/11 (26/10 - 29/11)</t>
  </si>
  <si>
    <t>OFB-ESTAMP</t>
  </si>
  <si>
    <t>16/12 (30/11 - 15/12)</t>
  </si>
  <si>
    <t>(30/11 - 15/12)</t>
  </si>
  <si>
    <t>ESTAMP</t>
  </si>
  <si>
    <t>Nicolas FAUVET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</si>
</sst>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_-* #,##0.0000\ &quot;€&quot;_-;\-* #,##0.0000\ &quot;€&quot;_-;_-* &quot;-&quot;??\ &quot;€&quot;_-;_-@_-"/>
    <numFmt numFmtId="165" formatCode="[$-F400]h:mm:ss\ AM/PM"/>
    <numFmt numFmtId="166" formatCode="#,##0.00\ &quot;€&quot;"/>
  </numFmts>
  <fonts count="7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/>
    <xf numFmtId="0" fontId="5" fillId="0" borderId="1" xfId="0" applyFont="1" applyFill="1" applyBorder="1"/>
    <xf numFmtId="164" fontId="0" fillId="0" borderId="0" xfId="1" applyNumberFormat="1" applyFont="1"/>
    <xf numFmtId="0" fontId="4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1" xfId="0" applyNumberFormat="1" applyFont="1" applyFill="1" applyBorder="1" applyProtection="1"/>
    <xf numFmtId="0" fontId="0" fillId="0" borderId="1" xfId="0" applyBorder="1"/>
    <xf numFmtId="0" fontId="4" fillId="0" borderId="1" xfId="0" applyNumberFormat="1" applyFont="1" applyFill="1" applyBorder="1" applyProtection="1"/>
    <xf numFmtId="49" fontId="4" fillId="0" borderId="0" xfId="0" applyNumberFormat="1" applyFont="1" applyFill="1" applyBorder="1" applyProtection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0" fillId="2" borderId="0" xfId="0" applyFill="1" applyAlignment="1">
      <alignment horizontal="center" wrapText="1"/>
    </xf>
    <xf numFmtId="165" fontId="0" fillId="0" borderId="0" xfId="0" applyNumberFormat="1"/>
    <xf numFmtId="0" fontId="0" fillId="5" borderId="0" xfId="0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2" xfId="0" applyFont="1" applyFill="1" applyBorder="1" applyAlignment="1">
      <alignment horizontal="left"/>
    </xf>
    <xf numFmtId="0" fontId="5" fillId="0" borderId="2" xfId="0" applyFont="1" applyFill="1" applyBorder="1" applyAlignment="1"/>
    <xf numFmtId="0" fontId="5" fillId="0" borderId="2" xfId="0" applyFont="1" applyFill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1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NumberFormat="1" applyFill="1"/>
    <xf numFmtId="0" fontId="0" fillId="0" borderId="0" xfId="0" applyNumberFormat="1" applyFont="1" applyFill="1" applyProtection="1"/>
    <xf numFmtId="0" fontId="0" fillId="0" borderId="2" xfId="0" applyNumberFormat="1" applyFont="1" applyFill="1" applyBorder="1" applyProtection="1"/>
    <xf numFmtId="0" fontId="0" fillId="0" borderId="2" xfId="0" applyBorder="1"/>
    <xf numFmtId="166" fontId="0" fillId="0" borderId="0" xfId="1" applyNumberFormat="1" applyFont="1" applyFill="1"/>
    <xf numFmtId="0" fontId="0" fillId="0" borderId="0" xfId="1" applyNumberFormat="1" applyFont="1" applyAlignment="1">
      <alignment horizontal="left" indent="1"/>
    </xf>
    <xf numFmtId="0" fontId="0" fillId="0" borderId="0" xfId="1" applyNumberFormat="1" applyFont="1" applyAlignment="1">
      <alignment horizontal="left" indent="2"/>
    </xf>
    <xf numFmtId="0" fontId="0" fillId="0" borderId="0" xfId="1" applyNumberFormat="1" applyFont="1" applyAlignment="1">
      <alignment horizontal="left" indent="3"/>
    </xf>
    <xf numFmtId="0" fontId="0" fillId="2" borderId="0" xfId="0" applyNumberFormat="1" applyFill="1" applyAlignment="1">
      <alignment wrapText="1"/>
    </xf>
    <xf numFmtId="0" fontId="0" fillId="2" borderId="0" xfId="0" applyFont="1" applyFill="1" applyAlignment="1">
      <alignment wrapText="1"/>
    </xf>
    <xf numFmtId="0" fontId="0" fillId="6" borderId="0" xfId="0" applyFill="1"/>
    <xf numFmtId="0" fontId="4" fillId="0" borderId="2" xfId="0" applyNumberFormat="1" applyFont="1" applyFill="1" applyBorder="1" applyProtection="1"/>
    <xf numFmtId="44" fontId="0" fillId="0" borderId="0" xfId="1" applyFont="1"/>
    <xf numFmtId="49" fontId="3" fillId="0" borderId="0" xfId="0" applyNumberFormat="1" applyFont="1"/>
    <xf numFmtId="49" fontId="2" fillId="0" borderId="0" xfId="0" applyNumberFormat="1" applyFont="1"/>
    <xf numFmtId="0" fontId="0" fillId="0" borderId="0" xfId="1" applyNumberFormat="1" applyFont="1" applyAlignment="1">
      <alignment horizontal="right"/>
    </xf>
    <xf numFmtId="49" fontId="1" fillId="0" borderId="0" xfId="0" applyNumberFormat="1" applyFont="1"/>
  </cellXfs>
  <cellStyles count="2">
    <cellStyle name="Monétaire" xfId="1" builtinId="4"/>
    <cellStyle name="Normal" xfId="0" builtinId="0"/>
  </cellStyles>
  <dxfs count="71">
    <dxf>
      <numFmt numFmtId="19" formatCode="dd/mm/yyyy"/>
    </dxf>
    <dxf>
      <numFmt numFmtId="166" formatCode="#,##0.00\ &quot;€&quot;"/>
    </dxf>
    <dxf>
      <numFmt numFmtId="166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#,##0.00\ &quot;€&quot;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.0000\ &quot;€&quot;_-;\-* #,##0.00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.0000\ &quot;€&quot;_-;\-* #,##0.00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.0000\ &quot;€&quot;_-;\-* #,##0.00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ill>
        <patternFill patternType="solid">
          <fgColor indexed="64"/>
          <bgColor theme="5"/>
        </patternFill>
      </fill>
    </dxf>
    <dxf>
      <numFmt numFmtId="0" formatCode="General"/>
      <alignment horizontal="left" vertical="bottom" textRotation="0" wrapText="0" relativeIndent="1" justifyLastLine="0" shrinkToFit="0" readingOrder="0"/>
    </dxf>
    <dxf>
      <numFmt numFmtId="166" formatCode="#,##0.00\ &quot;€&quot;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microsoft.com/office/2007/relationships/slicerCache" Target="slicerCaches/slicerCache6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3</xdr:row>
      <xdr:rowOff>85725</xdr:rowOff>
    </xdr:from>
    <xdr:to>
      <xdr:col>11</xdr:col>
      <xdr:colOff>685800</xdr:colOff>
      <xdr:row>16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nv">
              <a:extLst>
                <a:ext uri="{FF2B5EF4-FFF2-40B4-BE49-F238E27FC236}">
                  <a16:creationId xmlns:a16="http://schemas.microsoft.com/office/drawing/2014/main" id="{9E03819F-6C7F-4476-A22D-5BDAA8D76B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53475" y="6572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200025</xdr:colOff>
      <xdr:row>3</xdr:row>
      <xdr:rowOff>9525</xdr:rowOff>
    </xdr:from>
    <xdr:to>
      <xdr:col>4</xdr:col>
      <xdr:colOff>504825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jet">
              <a:extLst>
                <a:ext uri="{FF2B5EF4-FFF2-40B4-BE49-F238E27FC236}">
                  <a16:creationId xmlns:a16="http://schemas.microsoft.com/office/drawing/2014/main" id="{F2BA7742-E22C-451D-AA61-7E1FCFA349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5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571500</xdr:colOff>
      <xdr:row>2</xdr:row>
      <xdr:rowOff>171450</xdr:rowOff>
    </xdr:from>
    <xdr:to>
      <xdr:col>7</xdr:col>
      <xdr:colOff>114300</xdr:colOff>
      <xdr:row>16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de SYGES">
              <a:extLst>
                <a:ext uri="{FF2B5EF4-FFF2-40B4-BE49-F238E27FC236}">
                  <a16:creationId xmlns:a16="http://schemas.microsoft.com/office/drawing/2014/main" id="{486081EA-B5D7-4EDD-98A9-E4837CB9EE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e 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33975" y="5524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752475</xdr:colOff>
      <xdr:row>3</xdr:row>
      <xdr:rowOff>9525</xdr:rowOff>
    </xdr:from>
    <xdr:to>
      <xdr:col>14</xdr:col>
      <xdr:colOff>295275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st Center">
              <a:extLst>
                <a:ext uri="{FF2B5EF4-FFF2-40B4-BE49-F238E27FC236}">
                  <a16:creationId xmlns:a16="http://schemas.microsoft.com/office/drawing/2014/main" id="{47511D48-CDFD-4637-AEC3-CF25FF43CE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 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489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9525</xdr:colOff>
      <xdr:row>3</xdr:row>
      <xdr:rowOff>0</xdr:rowOff>
    </xdr:from>
    <xdr:to>
      <xdr:col>9</xdr:col>
      <xdr:colOff>314325</xdr:colOff>
      <xdr:row>16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lient">
              <a:extLst>
                <a:ext uri="{FF2B5EF4-FFF2-40B4-BE49-F238E27FC236}">
                  <a16:creationId xmlns:a16="http://schemas.microsoft.com/office/drawing/2014/main" id="{57F27C83-9CC0-48D6-B0E4-15EEDC81E0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00" y="571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352425</xdr:colOff>
      <xdr:row>3</xdr:row>
      <xdr:rowOff>19050</xdr:rowOff>
    </xdr:from>
    <xdr:to>
      <xdr:col>16</xdr:col>
      <xdr:colOff>657225</xdr:colOff>
      <xdr:row>16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is">
              <a:extLst>
                <a:ext uri="{FF2B5EF4-FFF2-40B4-BE49-F238E27FC236}">
                  <a16:creationId xmlns:a16="http://schemas.microsoft.com/office/drawing/2014/main" id="{B118376C-7592-4DC2-8733-4A489EE53E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34900" y="590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104775</xdr:colOff>
      <xdr:row>0</xdr:row>
      <xdr:rowOff>114300</xdr:rowOff>
    </xdr:from>
    <xdr:to>
      <xdr:col>1</xdr:col>
      <xdr:colOff>209550</xdr:colOff>
      <xdr:row>2</xdr:row>
      <xdr:rowOff>133350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A844DF25-1AD5-4240-A0FE-816405584E7B}"/>
            </a:ext>
          </a:extLst>
        </xdr:cNvPr>
        <xdr:cNvSpPr/>
      </xdr:nvSpPr>
      <xdr:spPr>
        <a:xfrm>
          <a:off x="104775" y="114300"/>
          <a:ext cx="2143125" cy="400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 code SYGES</a:t>
          </a:r>
        </a:p>
      </xdr:txBody>
    </xdr:sp>
    <xdr:clientData/>
  </xdr:twoCellAnchor>
  <xdr:twoCellAnchor>
    <xdr:from>
      <xdr:col>1</xdr:col>
      <xdr:colOff>276225</xdr:colOff>
      <xdr:row>0</xdr:row>
      <xdr:rowOff>114300</xdr:rowOff>
    </xdr:from>
    <xdr:to>
      <xdr:col>3</xdr:col>
      <xdr:colOff>276225</xdr:colOff>
      <xdr:row>2</xdr:row>
      <xdr:rowOff>133350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DDBE0509-8533-4011-A565-2440D7FAD78B}"/>
            </a:ext>
          </a:extLst>
        </xdr:cNvPr>
        <xdr:cNvSpPr/>
      </xdr:nvSpPr>
      <xdr:spPr>
        <a:xfrm>
          <a:off x="2314575" y="114300"/>
          <a:ext cx="1762125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 </a:t>
          </a:r>
          <a:r>
            <a:rPr lang="fr-FR" sz="1100" baseline="0"/>
            <a:t> Cost Center</a:t>
          </a:r>
          <a:endParaRPr lang="fr-F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avarina Ugo" refreshedDate="44181.639567013888" createdVersion="6" refreshedVersion="6" minRefreshableVersion="3" recordCount="627">
  <cacheSource type="worksheet">
    <worksheetSource name="TabVMAzureEnvProjet"/>
  </cacheSource>
  <cacheFields count="12">
    <cacheField name="ID" numFmtId="0">
      <sharedItems/>
    </cacheField>
    <cacheField name="Nature" numFmtId="0">
      <sharedItems count="76">
        <s v="FRR-DIGIPAT-VM"/>
        <s v="SPC-BUILDAS-VM"/>
        <s v="SPC-WEB-VM"/>
        <s v="AFB-BaseIndicateurs"/>
        <s v="AFB-CDR"/>
        <s v="AFB-CESMIA"/>
        <s v="AFB-OISON"/>
        <s v="AFB-PATBiodiv"/>
        <s v="AFB-PNM"/>
        <s v="AFB-PNX"/>
        <s v="ALM-ATOUT"/>
        <s v="BRGM-ORRM"/>
        <s v="CNAV-BI-RGCU"/>
        <s v="d8-qa"/>
        <s v="drupal-qa"/>
        <s v="FRR DIGIPAT"/>
        <s v="GFI-D8-BS4-THEME"/>
        <s v="GLI-APIBiometrie"/>
        <s v="MENJ-APAE"/>
        <s v="MENJ-BNIE-BDD"/>
        <s v="MENJ-RNIE-BDD"/>
        <s v="MENJ-RNIE-Webservices"/>
        <s v="PCM-ALS"/>
        <s v="PCM-Web"/>
        <s v="SPC-BUILD"/>
        <s v="SPC-WEB"/>
        <s v="AFB-Catalogue"/>
        <s v="GFI-MineReport"/>
        <s v="CATITRES-COMX-VM"/>
        <s v="ALM-ATOUT-VM"/>
        <s v="BRGM-ORRM-VM"/>
        <s v="EBR-LAPOSTE-VM"/>
        <s v="OFB-NatureFrance"/>
        <s v="MENJ-BNIE-Webservices"/>
        <s v="OFB-FRANCENATURE-VM"/>
        <s v="MENJ-BI-VM"/>
        <s v="MENJ-BI"/>
        <s v="GFI-RedmineDocker"/>
        <s v="GFI-WAAC"/>
        <s v="LAPOSTE-Musee"/>
        <s v="OFB-SISPEA"/>
        <s v="AFB-RAA"/>
        <s v="FRR-APPLIFRR"/>
        <s v="FRR-CADENCIER"/>
        <s v="FRR-Patapain"/>
        <s v="FRR-PATAPAINANDROID"/>
        <s v="GFI-CMIS"/>
        <s v="GFI-COFFEE"/>
        <s v="GFI-CRALENIUM"/>
        <s v="GFI-Docker Devbox Install"/>
        <s v="GFI-PMT"/>
        <s v="GFI-TENDER"/>
        <s v="LAPOSTE-F4N-Musee"/>
        <s v="LAPOSTE-LPK-PortailVoyage"/>
        <s v="LAPOSTE-LPM-IntranetDHA"/>
        <s v="OFB-CMONSPOT"/>
        <s v="SAFT-PDM"/>
        <s v="GFI-PMT-VM"/>
        <s v="OFB-SISPEA-VM"/>
        <s v="STMICRO-DATAPACK-VM"/>
        <s v="GFI-WAAC-VM"/>
        <s v="LAPOSTE-CDC-VM"/>
        <s v="LAPOSTE-L71-PDP"/>
        <s v="LAPOSTE-LCA-PariteUn-e"/>
        <s v="LAPOSTE-VWA-Fondation"/>
        <s v="MENJ-InserJeunes"/>
        <s v="STMICRO-DATAPACK"/>
        <s v="STMICRO-ROCKET"/>
        <s v="MENJ-INERJEUNES"/>
        <s v="CGOS-BI"/>
        <s v="GFI-BaseDocumentaire"/>
        <s v="LAPOSTE-V7_-Galaxy"/>
        <s v="GFI-POC"/>
        <s v="LAPOSTE-VW2-MEDIACOM"/>
        <s v="OFB-ESTAMP"/>
        <s v="LAPOSTE-CDC" u="1"/>
      </sharedItems>
    </cacheField>
    <cacheField name="Projet AzureDevOps" numFmtId="0">
      <sharedItems containsBlank="1"/>
    </cacheField>
    <cacheField name="VM" numFmtId="0">
      <sharedItems containsBlank="1"/>
    </cacheField>
    <cacheField name="Env" numFmtId="0">
      <sharedItems containsBlank="1" count="7">
        <s v="QUAL_PUB"/>
        <s v="DEV"/>
        <s v="QUAL_INT"/>
        <s v="AzureDevOps"/>
        <s v="INSTALLATION"/>
        <m u="1"/>
        <s v="Repo_Devops" u="1"/>
      </sharedItems>
    </cacheField>
    <cacheField name="Projet" numFmtId="0">
      <sharedItems count="58">
        <s v="FRR-DIGIPAT"/>
        <s v="SPC-BUILD"/>
        <s v="SPC-WEB"/>
        <s v="AFB-BASEINDICATEURS"/>
        <s v="AFB-CDR"/>
        <s v="AFB-CESMIA"/>
        <s v="AFB-OISON"/>
        <s v="AFB-PATBIODIV"/>
        <s v="AFB-PNM"/>
        <s v="AFB-PNX"/>
        <s v="ALM-ATOUT"/>
        <s v="BRGM-ORRM"/>
        <s v="CNAV-BI-RGCU"/>
        <s v="GFI-INTERNE"/>
        <s v="GLI-APIBIOMETRIE"/>
        <s v="MENJ-APAE"/>
        <s v="MENJ-BNIE"/>
        <s v="MENJ-RNIE"/>
        <s v="PCM-ALS"/>
        <s v="PCM-WEB"/>
        <s v="AFB-CATALOGUE"/>
        <s v="CATITRES-COMX"/>
        <s v="EBR-LAPOSTE"/>
        <s v="AFB-NatureFrance"/>
        <s v="OFB-NATUREFRANCE"/>
        <s v="MENJ-BI"/>
        <s v="OFB-SISPEA"/>
        <s v="AFB-RAA"/>
        <s v="FRR-APPLIFRR"/>
        <s v="FRR-CADENCIER"/>
        <s v="FRR-PATAPAIN"/>
        <s v="FRR-PATAPAINANDROID"/>
        <s v="GFI-CMIS"/>
        <s v="GFI-COFFEE"/>
        <s v="GFI-CRALENIUM"/>
        <s v="GFI-D8-BS4-THEME"/>
        <s v="GFI-Docker Devbox Install"/>
        <s v="GFI-MINEREPORT"/>
        <s v="GFI-PMT"/>
        <s v="GFI-REDMINEDOCKER"/>
        <s v="GFI-TENDER"/>
        <s v="GFI-WAAC"/>
        <s v="LAPOSTE-F4N-MUSEE"/>
        <s v="LAPOSTE-LPK-PortailVoyage"/>
        <s v="LAPOSTE-LPM-IntranetDHA"/>
        <s v="OFB-CMONSPOT"/>
        <s v="SAFT-PDM"/>
        <s v="STMICRO-DATAPACK"/>
        <s v="LAPOSTE-CDC"/>
        <s v="LAPOSTE-L71-PDP"/>
        <s v="LAPOSTE-LCA-PariteUn-e"/>
        <s v="LAPOSTE-VWA-Fondation"/>
        <s v="MENJ-INSERJEUNES"/>
        <s v="STMICRO-ROCKET"/>
        <s v="CGOS-BI"/>
        <s v="LAPOSTE-V7_-Galaxy"/>
        <s v="LAPOSTE-VW2-MEDIACOM"/>
        <s v="OFB-ESTAMP"/>
      </sharedItems>
    </cacheField>
    <cacheField name="Code SYGES" numFmtId="0">
      <sharedItems count="24">
        <s v="FRR/TMASI"/>
        <s v="SPC/BUILD"/>
        <s v="SPC/BUILD-0-1-SITE-WEB"/>
        <s v="ONEMA/TMADCUA-15"/>
        <s v="ONEMA/TMAWEB-16"/>
        <s v="AFB/OFB_LOT1"/>
        <s v="AFB/OFB_LOT2"/>
        <s v="ALM/TMA_ATOUT"/>
        <s v="BRGM/TMA-5-1-ORRM-LOT1"/>
        <s v="CNAV/BI-SIRRGCU"/>
        <s v="GFI/PROJET_INTERNE"/>
        <s v="GLI/BIOMETRIE"/>
        <s v="MENESR/TMA"/>
        <s v="PCM/WEB"/>
        <s v="CA-TITRES/TMA"/>
        <s v="EBR/TMA"/>
        <s v="AFB OFB_LOT2 -9-1 NATURE FRANCE"/>
        <s v="383928 - WAAC 1.0"/>
        <s v="LA-POSTE/CDC_DRUPAL"/>
        <s v="SAFT/TMA"/>
        <s v="STMICRO/TMASI"/>
        <s v="MENESR - TMA - 23 - 1 - INSERJEUNES"/>
        <s v="CGOS-BUILDBI-18"/>
        <s v="BRGM/TMA" u="1"/>
      </sharedItems>
    </cacheField>
    <cacheField name="Cost Center" numFmtId="0">
      <sharedItems containsSemiMixedTypes="0" containsString="0" containsNumber="1" containsInteger="1" minValue="100973" maxValue="305704" count="3">
        <n v="305704"/>
        <n v="100973"/>
        <n v="305703" u="1"/>
      </sharedItems>
    </cacheField>
    <cacheField name="Client" numFmtId="0">
      <sharedItems count="18">
        <s v="FRR"/>
        <s v="SPC"/>
        <s v="ONEMA"/>
        <s v="AFB"/>
        <s v="ALM"/>
        <s v="BRGM"/>
        <s v="CNAV"/>
        <s v="GFI"/>
        <s v="GLI"/>
        <s v="MENESR"/>
        <s v="PCM"/>
        <s v="CA-TITRES"/>
        <s v="EBR"/>
        <s v="OFB"/>
        <s v="LAPOSTE"/>
        <s v="SAFT"/>
        <s v="STMICRO"/>
        <s v="CGOS"/>
      </sharedItems>
    </cacheField>
    <cacheField name="Mois" numFmtId="0">
      <sharedItems containsBlank="1" count="13">
        <s v="2020-01"/>
        <s v="2020-02"/>
        <s v="2020-03"/>
        <s v="2020-04"/>
        <s v="2020-05"/>
        <s v="2020-06"/>
        <s v="2020-07"/>
        <s v="2020-08"/>
        <s v="2020-09"/>
        <s v="2020-10"/>
        <s v="2020-11"/>
        <s v="2020-12"/>
        <m u="1"/>
      </sharedItems>
    </cacheField>
    <cacheField name="Coût" numFmtId="0">
      <sharedItems containsSemiMixedTypes="0" containsString="0" containsNumber="1" minValue="0" maxValue="269.59129032927143"/>
    </cacheField>
    <cacheField name="Commentaire" numFmtId="0">
      <sharedItems containsBlank="1"/>
    </cacheField>
  </cacheFields>
  <extLst>
    <ext xmlns:x14="http://schemas.microsoft.com/office/spreadsheetml/2009/9/main" uri="{725AE2AE-9491-48be-B2B4-4EB974FC3084}">
      <x14:pivotCacheDefinition pivotCacheId="10863483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7">
  <r>
    <s v="FRR .:. FRR-DIGIPAT"/>
    <x v="0"/>
    <m/>
    <s v="FRR-DIGIPAT-VM"/>
    <x v="0"/>
    <x v="0"/>
    <x v="0"/>
    <x v="0"/>
    <x v="0"/>
    <x v="0"/>
    <n v="21.41"/>
    <m/>
  </r>
  <r>
    <s v="SPC .:. SPC-BUILD"/>
    <x v="1"/>
    <m/>
    <s v="SPC-BUILDAS-VM"/>
    <x v="1"/>
    <x v="1"/>
    <x v="1"/>
    <x v="0"/>
    <x v="1"/>
    <x v="0"/>
    <n v="44.93"/>
    <m/>
  </r>
  <r>
    <s v="SPC .:. SPC-WEB"/>
    <x v="2"/>
    <m/>
    <s v="SPC-WEB-VM"/>
    <x v="2"/>
    <x v="2"/>
    <x v="2"/>
    <x v="0"/>
    <x v="1"/>
    <x v="0"/>
    <n v="7.6"/>
    <m/>
  </r>
  <r>
    <s v="ONEMA .:. AFB-BASEINDICATEURS"/>
    <x v="3"/>
    <s v="AFB-BaseIndicateurs"/>
    <m/>
    <x v="3"/>
    <x v="3"/>
    <x v="3"/>
    <x v="0"/>
    <x v="2"/>
    <x v="0"/>
    <n v="1.43"/>
    <m/>
  </r>
  <r>
    <s v="ONEMA .:. AFB-CDR"/>
    <x v="4"/>
    <s v="AFB-CDR"/>
    <m/>
    <x v="3"/>
    <x v="4"/>
    <x v="4"/>
    <x v="0"/>
    <x v="2"/>
    <x v="0"/>
    <n v="3.3"/>
    <m/>
  </r>
  <r>
    <s v="AFB .:. AFB-CESMIA"/>
    <x v="5"/>
    <s v="AFB-CESMIA"/>
    <m/>
    <x v="3"/>
    <x v="5"/>
    <x v="5"/>
    <x v="0"/>
    <x v="3"/>
    <x v="0"/>
    <n v="12.31"/>
    <m/>
  </r>
  <r>
    <s v="ONEMA .:. AFB-OISON"/>
    <x v="6"/>
    <s v="AFB-OISON"/>
    <m/>
    <x v="3"/>
    <x v="6"/>
    <x v="3"/>
    <x v="0"/>
    <x v="2"/>
    <x v="0"/>
    <n v="14.79"/>
    <m/>
  </r>
  <r>
    <s v="ONEMA .:. AFB-PATBIODIV"/>
    <x v="7"/>
    <s v="AFB-PATBiodiv"/>
    <m/>
    <x v="3"/>
    <x v="7"/>
    <x v="3"/>
    <x v="0"/>
    <x v="2"/>
    <x v="0"/>
    <n v="8.19"/>
    <m/>
  </r>
  <r>
    <s v="AFB .:. AFB-PNM"/>
    <x v="8"/>
    <s v="AFB-PNM"/>
    <m/>
    <x v="3"/>
    <x v="8"/>
    <x v="6"/>
    <x v="0"/>
    <x v="3"/>
    <x v="0"/>
    <n v="20.71"/>
    <m/>
  </r>
  <r>
    <s v="AFB .:. AFB-PNX"/>
    <x v="9"/>
    <s v="AFB-PNX"/>
    <m/>
    <x v="3"/>
    <x v="9"/>
    <x v="6"/>
    <x v="0"/>
    <x v="3"/>
    <x v="0"/>
    <n v="2.89"/>
    <m/>
  </r>
  <r>
    <s v="ALM .:. ALM-ATOUT"/>
    <x v="10"/>
    <s v="ALM-ATOUT"/>
    <m/>
    <x v="3"/>
    <x v="10"/>
    <x v="7"/>
    <x v="0"/>
    <x v="4"/>
    <x v="0"/>
    <n v="4.25"/>
    <m/>
  </r>
  <r>
    <s v="BRGM .:. BRGM-ORRM"/>
    <x v="11"/>
    <s v="BRGM-ORRM"/>
    <m/>
    <x v="3"/>
    <x v="11"/>
    <x v="8"/>
    <x v="0"/>
    <x v="5"/>
    <x v="0"/>
    <n v="7.53"/>
    <m/>
  </r>
  <r>
    <s v="CNAV .:. CNAV-BI-RGCU"/>
    <x v="12"/>
    <s v="CNAV-BI-RGCU"/>
    <m/>
    <x v="3"/>
    <x v="12"/>
    <x v="9"/>
    <x v="0"/>
    <x v="6"/>
    <x v="0"/>
    <n v="27.15"/>
    <m/>
  </r>
  <r>
    <s v="GFI .:. GFI-INTERNE"/>
    <x v="13"/>
    <s v="d8-qa"/>
    <m/>
    <x v="3"/>
    <x v="13"/>
    <x v="10"/>
    <x v="0"/>
    <x v="7"/>
    <x v="0"/>
    <n v="0.96"/>
    <m/>
  </r>
  <r>
    <s v="GFI .:. GFI-INTERNE"/>
    <x v="14"/>
    <s v="drupal-qa"/>
    <m/>
    <x v="3"/>
    <x v="13"/>
    <x v="10"/>
    <x v="0"/>
    <x v="7"/>
    <x v="0"/>
    <n v="0.96"/>
    <m/>
  </r>
  <r>
    <s v="FRR .:. FRR-DIGIPAT"/>
    <x v="15"/>
    <s v="FRR DIGIPAT"/>
    <m/>
    <x v="3"/>
    <x v="0"/>
    <x v="0"/>
    <x v="0"/>
    <x v="0"/>
    <x v="0"/>
    <n v="22.6"/>
    <m/>
  </r>
  <r>
    <s v="GFI .:. GFI-INTERNE"/>
    <x v="16"/>
    <s v="GFI-D8-BS4-THEME"/>
    <m/>
    <x v="3"/>
    <x v="13"/>
    <x v="10"/>
    <x v="0"/>
    <x v="7"/>
    <x v="0"/>
    <n v="0.96"/>
    <m/>
  </r>
  <r>
    <s v="GLI .:. GLI-APIBIOMETRIE"/>
    <x v="17"/>
    <s v="GLI-APIBiometrie"/>
    <m/>
    <x v="3"/>
    <x v="14"/>
    <x v="11"/>
    <x v="0"/>
    <x v="8"/>
    <x v="0"/>
    <n v="5.52"/>
    <m/>
  </r>
  <r>
    <s v="MENESR .:. MENJ-APAE"/>
    <x v="18"/>
    <s v="MENJ-APAE"/>
    <m/>
    <x v="3"/>
    <x v="15"/>
    <x v="12"/>
    <x v="0"/>
    <x v="9"/>
    <x v="0"/>
    <n v="1.61"/>
    <m/>
  </r>
  <r>
    <s v="MENESR .:. MENJ-BNIE"/>
    <x v="19"/>
    <s v="MENJ-BNIE-BDD"/>
    <m/>
    <x v="3"/>
    <x v="16"/>
    <x v="12"/>
    <x v="0"/>
    <x v="9"/>
    <x v="0"/>
    <n v="1.61"/>
    <m/>
  </r>
  <r>
    <s v="MENESR .:. MENJ-RNIE"/>
    <x v="20"/>
    <s v="MENJ-RNIE-BDD"/>
    <m/>
    <x v="3"/>
    <x v="17"/>
    <x v="12"/>
    <x v="0"/>
    <x v="9"/>
    <x v="0"/>
    <n v="1.61"/>
    <m/>
  </r>
  <r>
    <s v="MENESR .:. MENJ-RNIE"/>
    <x v="21"/>
    <s v="MENJ-RNIE-Webservices"/>
    <m/>
    <x v="3"/>
    <x v="17"/>
    <x v="12"/>
    <x v="0"/>
    <x v="9"/>
    <x v="0"/>
    <n v="1.61"/>
    <m/>
  </r>
  <r>
    <s v="PCM .:. PCM-ALS"/>
    <x v="22"/>
    <s v="PCM-ALS"/>
    <m/>
    <x v="3"/>
    <x v="18"/>
    <x v="13"/>
    <x v="0"/>
    <x v="10"/>
    <x v="0"/>
    <n v="11.41"/>
    <m/>
  </r>
  <r>
    <s v="PCM .:. PCM-WEB"/>
    <x v="23"/>
    <s v="PCM-Web"/>
    <m/>
    <x v="3"/>
    <x v="19"/>
    <x v="13"/>
    <x v="0"/>
    <x v="10"/>
    <x v="0"/>
    <n v="2.6"/>
    <m/>
  </r>
  <r>
    <s v="SPC .:. SPC-BUILD"/>
    <x v="24"/>
    <s v="SPC-BUILD"/>
    <m/>
    <x v="3"/>
    <x v="1"/>
    <x v="1"/>
    <x v="0"/>
    <x v="1"/>
    <x v="0"/>
    <n v="15.11"/>
    <m/>
  </r>
  <r>
    <s v="SPC .:. SPC-WEB"/>
    <x v="25"/>
    <s v="SPC-WEB"/>
    <m/>
    <x v="3"/>
    <x v="2"/>
    <x v="2"/>
    <x v="0"/>
    <x v="1"/>
    <x v="0"/>
    <n v="5.45"/>
    <m/>
  </r>
  <r>
    <s v="SPC .:. SPC-BUILD"/>
    <x v="1"/>
    <m/>
    <s v="SPC-BUILDAS-VM"/>
    <x v="1"/>
    <x v="1"/>
    <x v="1"/>
    <x v="0"/>
    <x v="1"/>
    <x v="1"/>
    <n v="119.93"/>
    <m/>
  </r>
  <r>
    <s v="SPC .:. SPC-WEB"/>
    <x v="2"/>
    <m/>
    <s v="SPC-WEB-VM"/>
    <x v="2"/>
    <x v="2"/>
    <x v="2"/>
    <x v="0"/>
    <x v="1"/>
    <x v="1"/>
    <n v="6.45"/>
    <m/>
  </r>
  <r>
    <s v="FRR .:. FRR-DIGIPAT"/>
    <x v="0"/>
    <m/>
    <s v="FRR-DIGIPAT-VM"/>
    <x v="0"/>
    <x v="0"/>
    <x v="0"/>
    <x v="0"/>
    <x v="0"/>
    <x v="1"/>
    <n v="18.5"/>
    <m/>
  </r>
  <r>
    <s v="ONEMA .:. AFB-BASEINDICATEURS"/>
    <x v="3"/>
    <s v="AFB-BaseIndicateurs"/>
    <m/>
    <x v="3"/>
    <x v="3"/>
    <x v="3"/>
    <x v="0"/>
    <x v="2"/>
    <x v="1"/>
    <n v="1.06"/>
    <m/>
  </r>
  <r>
    <s v="ONEMA .:. AFB-CATALOGUE"/>
    <x v="26"/>
    <s v="AFB-Catalogue"/>
    <m/>
    <x v="3"/>
    <x v="20"/>
    <x v="3"/>
    <x v="0"/>
    <x v="2"/>
    <x v="1"/>
    <n v="1.61"/>
    <m/>
  </r>
  <r>
    <s v="ONEMA .:. AFB-CDR"/>
    <x v="4"/>
    <s v="AFB-CDR"/>
    <m/>
    <x v="3"/>
    <x v="4"/>
    <x v="4"/>
    <x v="0"/>
    <x v="2"/>
    <x v="1"/>
    <n v="12.6"/>
    <m/>
  </r>
  <r>
    <s v="AFB .:. AFB-CESMIA"/>
    <x v="5"/>
    <s v="AFB-CESMIA"/>
    <m/>
    <x v="3"/>
    <x v="5"/>
    <x v="5"/>
    <x v="0"/>
    <x v="3"/>
    <x v="1"/>
    <n v="6.21"/>
    <m/>
  </r>
  <r>
    <s v="ONEMA .:. AFB-OISON"/>
    <x v="6"/>
    <s v="AFB-OISON"/>
    <m/>
    <x v="3"/>
    <x v="6"/>
    <x v="3"/>
    <x v="0"/>
    <x v="2"/>
    <x v="1"/>
    <n v="2.93"/>
    <m/>
  </r>
  <r>
    <s v="ONEMA .:. AFB-PATBIODIV"/>
    <x v="7"/>
    <s v="AFB-PATBiodiv"/>
    <m/>
    <x v="3"/>
    <x v="7"/>
    <x v="3"/>
    <x v="0"/>
    <x v="2"/>
    <x v="1"/>
    <n v="7.73"/>
    <m/>
  </r>
  <r>
    <s v="AFB .:. AFB-PNM"/>
    <x v="8"/>
    <s v="AFB-PNM"/>
    <m/>
    <x v="3"/>
    <x v="8"/>
    <x v="6"/>
    <x v="0"/>
    <x v="3"/>
    <x v="1"/>
    <n v="24.98"/>
    <m/>
  </r>
  <r>
    <s v="AFB .:. AFB-PNX"/>
    <x v="9"/>
    <s v="AFB-PNX"/>
    <m/>
    <x v="3"/>
    <x v="9"/>
    <x v="6"/>
    <x v="0"/>
    <x v="3"/>
    <x v="1"/>
    <n v="4.0999999999999996"/>
    <m/>
  </r>
  <r>
    <s v="ALM .:. ALM-ATOUT"/>
    <x v="10"/>
    <s v="ALM-ATOUT"/>
    <m/>
    <x v="3"/>
    <x v="10"/>
    <x v="7"/>
    <x v="0"/>
    <x v="4"/>
    <x v="1"/>
    <n v="4.43"/>
    <m/>
  </r>
  <r>
    <s v="BRGM .:. BRGM-ORRM"/>
    <x v="11"/>
    <s v="BRGM-ORRM"/>
    <m/>
    <x v="3"/>
    <x v="11"/>
    <x v="8"/>
    <x v="0"/>
    <x v="5"/>
    <x v="1"/>
    <n v="5.37"/>
    <m/>
  </r>
  <r>
    <s v="CNAV .:. CNAV-BI-RGCU"/>
    <x v="12"/>
    <s v="CNAV-BI-RGCU"/>
    <m/>
    <x v="3"/>
    <x v="12"/>
    <x v="9"/>
    <x v="0"/>
    <x v="6"/>
    <x v="1"/>
    <n v="27.55"/>
    <m/>
  </r>
  <r>
    <s v="GFI .:. GFI-INTERNE"/>
    <x v="13"/>
    <s v="d8-qa"/>
    <m/>
    <x v="3"/>
    <x v="13"/>
    <x v="10"/>
    <x v="0"/>
    <x v="7"/>
    <x v="1"/>
    <n v="0.87"/>
    <m/>
  </r>
  <r>
    <s v="GFI .:. GFI-INTERNE"/>
    <x v="14"/>
    <s v="drupal-qa"/>
    <m/>
    <x v="3"/>
    <x v="13"/>
    <x v="10"/>
    <x v="0"/>
    <x v="7"/>
    <x v="1"/>
    <n v="0.87"/>
    <m/>
  </r>
  <r>
    <s v="FRR .:. FRR-DIGIPAT"/>
    <x v="15"/>
    <s v="FRR DIGIPAT"/>
    <m/>
    <x v="3"/>
    <x v="0"/>
    <x v="0"/>
    <x v="0"/>
    <x v="0"/>
    <x v="1"/>
    <n v="9.19"/>
    <m/>
  </r>
  <r>
    <s v="GFI .:. GFI-INTERNE"/>
    <x v="16"/>
    <s v="GFI-D8-BS4-THEME"/>
    <m/>
    <x v="3"/>
    <x v="13"/>
    <x v="10"/>
    <x v="0"/>
    <x v="7"/>
    <x v="1"/>
    <n v="0.87"/>
    <m/>
  </r>
  <r>
    <s v="GFI .:. GFI-INTERNE"/>
    <x v="27"/>
    <s v="GFI-MineReport"/>
    <m/>
    <x v="3"/>
    <x v="13"/>
    <x v="10"/>
    <x v="0"/>
    <x v="7"/>
    <x v="1"/>
    <n v="1.44"/>
    <m/>
  </r>
  <r>
    <s v="GLI .:. GLI-APIBIOMETRIE"/>
    <x v="17"/>
    <s v="GLI-APIBiometrie"/>
    <m/>
    <x v="3"/>
    <x v="14"/>
    <x v="11"/>
    <x v="0"/>
    <x v="8"/>
    <x v="1"/>
    <n v="19.850000000000001"/>
    <m/>
  </r>
  <r>
    <s v="MENESR .:. MENJ-APAE"/>
    <x v="18"/>
    <s v="MENJ-APAE"/>
    <m/>
    <x v="3"/>
    <x v="15"/>
    <x v="12"/>
    <x v="0"/>
    <x v="9"/>
    <x v="1"/>
    <n v="1.52"/>
    <m/>
  </r>
  <r>
    <s v="MENESR .:. MENJ-BNIE"/>
    <x v="19"/>
    <s v="MENJ-BNIE-BDD"/>
    <m/>
    <x v="3"/>
    <x v="16"/>
    <x v="12"/>
    <x v="0"/>
    <x v="9"/>
    <x v="1"/>
    <n v="1.52"/>
    <m/>
  </r>
  <r>
    <s v="MENESR .:. MENJ-RNIE"/>
    <x v="20"/>
    <s v="MENJ-RNIE-BDD"/>
    <m/>
    <x v="3"/>
    <x v="17"/>
    <x v="12"/>
    <x v="0"/>
    <x v="9"/>
    <x v="1"/>
    <n v="1.52"/>
    <m/>
  </r>
  <r>
    <s v="MENESR .:. MENJ-RNIE"/>
    <x v="21"/>
    <s v="MENJ-RNIE-Webservices"/>
    <m/>
    <x v="3"/>
    <x v="17"/>
    <x v="12"/>
    <x v="0"/>
    <x v="9"/>
    <x v="1"/>
    <n v="1.52"/>
    <m/>
  </r>
  <r>
    <s v="PCM .:. PCM-ALS"/>
    <x v="22"/>
    <s v="PCM-ALS"/>
    <m/>
    <x v="3"/>
    <x v="18"/>
    <x v="13"/>
    <x v="0"/>
    <x v="10"/>
    <x v="1"/>
    <n v="10.31"/>
    <m/>
  </r>
  <r>
    <s v="PCM .:. PCM-WEB"/>
    <x v="23"/>
    <s v="PCM-Web"/>
    <m/>
    <x v="3"/>
    <x v="19"/>
    <x v="13"/>
    <x v="0"/>
    <x v="10"/>
    <x v="1"/>
    <n v="3.81"/>
    <m/>
  </r>
  <r>
    <s v="SPC .:. SPC-BUILD"/>
    <x v="24"/>
    <s v="SPC-BUILD"/>
    <m/>
    <x v="3"/>
    <x v="1"/>
    <x v="1"/>
    <x v="0"/>
    <x v="1"/>
    <x v="1"/>
    <n v="24.22"/>
    <m/>
  </r>
  <r>
    <s v="SPC .:. SPC-WEB"/>
    <x v="25"/>
    <s v="SPC-WEB"/>
    <m/>
    <x v="3"/>
    <x v="2"/>
    <x v="2"/>
    <x v="0"/>
    <x v="1"/>
    <x v="1"/>
    <n v="3.46"/>
    <m/>
  </r>
  <r>
    <s v="CA-TITRES .:. CATITRES-COMX"/>
    <x v="28"/>
    <m/>
    <s v="CATITRES-COMX-VM"/>
    <x v="4"/>
    <x v="21"/>
    <x v="14"/>
    <x v="0"/>
    <x v="11"/>
    <x v="2"/>
    <n v="0"/>
    <s v="0.5 J"/>
  </r>
  <r>
    <s v="ALM .:. ALM-ATOUT"/>
    <x v="29"/>
    <m/>
    <s v="ALM-ATOUT-VM"/>
    <x v="4"/>
    <x v="10"/>
    <x v="7"/>
    <x v="0"/>
    <x v="4"/>
    <x v="2"/>
    <n v="0"/>
    <s v="0.5 J"/>
  </r>
  <r>
    <s v="BRGM .:. BRGM-ORRM"/>
    <x v="30"/>
    <m/>
    <s v="BRGM-ORRM-VM"/>
    <x v="4"/>
    <x v="11"/>
    <x v="8"/>
    <x v="0"/>
    <x v="5"/>
    <x v="2"/>
    <n v="0"/>
    <s v="0.5 J"/>
  </r>
  <r>
    <s v="EBR .:. EBR-LAPOSTE"/>
    <x v="31"/>
    <m/>
    <s v="EBR-LAPOSTE-VM"/>
    <x v="4"/>
    <x v="22"/>
    <x v="15"/>
    <x v="0"/>
    <x v="12"/>
    <x v="2"/>
    <n v="0"/>
    <s v="0.5 J"/>
  </r>
  <r>
    <s v="ONEMA .:. AFB-PATBIODIV"/>
    <x v="7"/>
    <s v="AFB-PATBiodiv"/>
    <m/>
    <x v="3"/>
    <x v="7"/>
    <x v="3"/>
    <x v="0"/>
    <x v="2"/>
    <x v="2"/>
    <n v="7.1631351389652504"/>
    <m/>
  </r>
  <r>
    <s v="ONEMA .:. AFB-CATALOGUE"/>
    <x v="26"/>
    <s v="AFB-Catalogue"/>
    <m/>
    <x v="3"/>
    <x v="20"/>
    <x v="3"/>
    <x v="0"/>
    <x v="2"/>
    <x v="2"/>
    <n v="1.6207390336679537"/>
    <m/>
  </r>
  <r>
    <s v="SPC .:. SPC-WEB"/>
    <x v="25"/>
    <s v="SPC-WEB"/>
    <m/>
    <x v="3"/>
    <x v="2"/>
    <x v="2"/>
    <x v="0"/>
    <x v="1"/>
    <x v="2"/>
    <n v="4.4105357309652504"/>
    <m/>
  </r>
  <r>
    <s v="CNAV .:. CNAV-BI-RGCU"/>
    <x v="12"/>
    <s v="CNAV-BI-RGCU"/>
    <m/>
    <x v="3"/>
    <x v="12"/>
    <x v="9"/>
    <x v="0"/>
    <x v="6"/>
    <x v="2"/>
    <n v="27.52599408"/>
    <m/>
  </r>
  <r>
    <s v="SPC .:. SPC-BUILD"/>
    <x v="24"/>
    <s v="SPC-BUILD"/>
    <m/>
    <x v="3"/>
    <x v="1"/>
    <x v="1"/>
    <x v="0"/>
    <x v="1"/>
    <x v="2"/>
    <n v="28.567518180324324"/>
    <m/>
  </r>
  <r>
    <s v="ONEMA .:. AFB-OISON"/>
    <x v="6"/>
    <s v="AFB-OISON"/>
    <m/>
    <x v="3"/>
    <x v="6"/>
    <x v="3"/>
    <x v="0"/>
    <x v="2"/>
    <x v="2"/>
    <n v="11.991218699223328"/>
    <m/>
  </r>
  <r>
    <s v="AFB .:. AFB-PNX"/>
    <x v="9"/>
    <s v="AFB-PNX"/>
    <m/>
    <x v="3"/>
    <x v="9"/>
    <x v="6"/>
    <x v="0"/>
    <x v="3"/>
    <x v="2"/>
    <n v="3.0735213731523059"/>
    <m/>
  </r>
  <r>
    <s v="AFB .:. AFB-NatureFrance"/>
    <x v="32"/>
    <s v="OFB-NatureFrance"/>
    <m/>
    <x v="3"/>
    <x v="23"/>
    <x v="6"/>
    <x v="0"/>
    <x v="3"/>
    <x v="2"/>
    <n v="7.5138524380540543"/>
    <m/>
  </r>
  <r>
    <s v="FRR .:. FRR-DIGIPAT"/>
    <x v="15"/>
    <s v="FRR DIGIPAT"/>
    <m/>
    <x v="3"/>
    <x v="0"/>
    <x v="0"/>
    <x v="0"/>
    <x v="0"/>
    <x v="2"/>
    <n v="9.5225060601081069"/>
    <m/>
  </r>
  <r>
    <s v="ALM .:. ALM-ATOUT"/>
    <x v="10"/>
    <s v="ALM-ATOUT"/>
    <m/>
    <x v="3"/>
    <x v="10"/>
    <x v="7"/>
    <x v="0"/>
    <x v="4"/>
    <x v="2"/>
    <n v="12.90834132157727"/>
    <m/>
  </r>
  <r>
    <s v="BRGM .:. BRGM-ORRM"/>
    <x v="11"/>
    <s v="BRGM-ORRM"/>
    <m/>
    <x v="3"/>
    <x v="11"/>
    <x v="8"/>
    <x v="0"/>
    <x v="5"/>
    <x v="2"/>
    <n v="7.6759326962867291"/>
    <m/>
  </r>
  <r>
    <s v="ONEMA .:. AFB-CDR"/>
    <x v="4"/>
    <s v="AFB-CDR"/>
    <m/>
    <x v="3"/>
    <x v="4"/>
    <x v="4"/>
    <x v="0"/>
    <x v="2"/>
    <x v="2"/>
    <n v="7.5398061599401789"/>
    <m/>
  </r>
  <r>
    <s v="MENESR .:. MENJ-BNIE"/>
    <x v="19"/>
    <s v="MENJ-BNIE-BDD"/>
    <m/>
    <x v="3"/>
    <x v="16"/>
    <x v="12"/>
    <x v="0"/>
    <x v="9"/>
    <x v="2"/>
    <n v="1.4506942825945943"/>
    <m/>
  </r>
  <r>
    <s v="AFB .:. AFB-PNM"/>
    <x v="8"/>
    <s v="AFB-PNM"/>
    <m/>
    <x v="3"/>
    <x v="8"/>
    <x v="6"/>
    <x v="0"/>
    <x v="3"/>
    <x v="2"/>
    <n v="14.10427755982745"/>
    <m/>
  </r>
  <r>
    <s v="GFI .:. GFI-INTERNE"/>
    <x v="27"/>
    <s v="GFI-MineReport"/>
    <m/>
    <x v="3"/>
    <x v="13"/>
    <x v="10"/>
    <x v="0"/>
    <x v="7"/>
    <x v="2"/>
    <n v="1.4506942825945943"/>
    <m/>
  </r>
  <r>
    <s v="MENESR .:. MENJ-RNIE"/>
    <x v="21"/>
    <s v="MENJ-RNIE-Webservices"/>
    <m/>
    <x v="3"/>
    <x v="17"/>
    <x v="12"/>
    <x v="0"/>
    <x v="9"/>
    <x v="2"/>
    <n v="2.1673610494695943"/>
    <m/>
  </r>
  <r>
    <s v="PCM .:. PCM-WEB"/>
    <x v="23"/>
    <s v="PCM-Web"/>
    <m/>
    <x v="3"/>
    <x v="19"/>
    <x v="13"/>
    <x v="0"/>
    <x v="10"/>
    <x v="2"/>
    <n v="3.682531640432432"/>
    <m/>
  </r>
  <r>
    <s v="GFI .:. GFI-INTERNE"/>
    <x v="14"/>
    <s v="drupal-qa"/>
    <m/>
    <x v="3"/>
    <x v="13"/>
    <x v="10"/>
    <x v="0"/>
    <x v="7"/>
    <x v="2"/>
    <n v="0.87679324772200773"/>
    <m/>
  </r>
  <r>
    <s v="MENESR .:. MENJ-RNIE"/>
    <x v="20"/>
    <s v="MENJ-RNIE-BDD"/>
    <m/>
    <x v="3"/>
    <x v="17"/>
    <x v="12"/>
    <x v="0"/>
    <x v="9"/>
    <x v="2"/>
    <n v="1.4506942825945943"/>
    <m/>
  </r>
  <r>
    <s v="GLI .:. GLI-APIBIOMETRIE"/>
    <x v="17"/>
    <s v="GLI-APIBiometrie"/>
    <m/>
    <x v="3"/>
    <x v="14"/>
    <x v="11"/>
    <x v="0"/>
    <x v="8"/>
    <x v="2"/>
    <n v="9.3871549931982567"/>
    <m/>
  </r>
  <r>
    <s v="ONEMA .:. AFB-BASEINDICATEURS"/>
    <x v="3"/>
    <s v="AFB-BaseIndicateurs"/>
    <m/>
    <x v="3"/>
    <x v="3"/>
    <x v="3"/>
    <x v="0"/>
    <x v="2"/>
    <x v="2"/>
    <n v="1.0627796942084942"/>
    <m/>
  </r>
  <r>
    <s v="GFI .:. GFI-INTERNE"/>
    <x v="16"/>
    <s v="GFI-D8-BS4-THEME"/>
    <m/>
    <x v="3"/>
    <x v="13"/>
    <x v="10"/>
    <x v="0"/>
    <x v="7"/>
    <x v="2"/>
    <n v="0.87679324772200773"/>
    <m/>
  </r>
  <r>
    <s v="MENESR .:. MENJ-APAE"/>
    <x v="18"/>
    <s v="MENJ-APAE"/>
    <m/>
    <x v="3"/>
    <x v="15"/>
    <x v="12"/>
    <x v="0"/>
    <x v="9"/>
    <x v="2"/>
    <n v="1.4506942825945943"/>
    <m/>
  </r>
  <r>
    <s v="PCM .:. PCM-ALS"/>
    <x v="22"/>
    <s v="PCM-ALS"/>
    <m/>
    <x v="3"/>
    <x v="18"/>
    <x v="13"/>
    <x v="0"/>
    <x v="10"/>
    <x v="2"/>
    <n v="11.107613847146084"/>
    <m/>
  </r>
  <r>
    <s v="AFB .:. AFB-CESMIA"/>
    <x v="5"/>
    <s v="AFB-CESMIA"/>
    <m/>
    <x v="3"/>
    <x v="5"/>
    <x v="5"/>
    <x v="0"/>
    <x v="3"/>
    <x v="2"/>
    <n v="14.208814683819448"/>
    <m/>
  </r>
  <r>
    <s v="MENESR .:. MENJ-BNIE"/>
    <x v="33"/>
    <s v="MENJ-BNIE-Webservices"/>
    <m/>
    <x v="3"/>
    <x v="16"/>
    <x v="12"/>
    <x v="0"/>
    <x v="9"/>
    <x v="2"/>
    <n v="5.8891780360890813"/>
    <m/>
  </r>
  <r>
    <s v="GFI .:. GFI-INTERNE"/>
    <x v="13"/>
    <s v="d8-qa"/>
    <m/>
    <x v="3"/>
    <x v="13"/>
    <x v="10"/>
    <x v="0"/>
    <x v="7"/>
    <x v="2"/>
    <n v="0.87679324772200773"/>
    <m/>
  </r>
  <r>
    <s v="ALM .:. ALM-ATOUT"/>
    <x v="29"/>
    <m/>
    <s v="ALM-ATOUT-VM"/>
    <x v="2"/>
    <x v="10"/>
    <x v="7"/>
    <x v="0"/>
    <x v="4"/>
    <x v="2"/>
    <n v="86.412000000000006"/>
    <m/>
  </r>
  <r>
    <s v="CA-TITRES .:. CATITRES-COMX"/>
    <x v="28"/>
    <m/>
    <s v="CATITRES-COMX-VM"/>
    <x v="1"/>
    <x v="21"/>
    <x v="14"/>
    <x v="0"/>
    <x v="11"/>
    <x v="2"/>
    <n v="120.91"/>
    <m/>
  </r>
  <r>
    <s v="FRR .:. FRR-DIGIPAT"/>
    <x v="0"/>
    <m/>
    <s v="FRR-DIGIPAT-VM"/>
    <x v="0"/>
    <x v="0"/>
    <x v="0"/>
    <x v="0"/>
    <x v="0"/>
    <x v="2"/>
    <n v="20.94"/>
    <m/>
  </r>
  <r>
    <s v="SPC .:. SPC-BUILD"/>
    <x v="1"/>
    <m/>
    <s v="SPC-BUILDAS-VM"/>
    <x v="1"/>
    <x v="1"/>
    <x v="1"/>
    <x v="0"/>
    <x v="1"/>
    <x v="2"/>
    <n v="126.65299999999999"/>
    <m/>
  </r>
  <r>
    <s v="SPC .:. SPC-WEB"/>
    <x v="2"/>
    <m/>
    <s v="SPC-WEB-VM"/>
    <x v="2"/>
    <x v="2"/>
    <x v="2"/>
    <x v="0"/>
    <x v="1"/>
    <x v="2"/>
    <n v="6.7960000000000003"/>
    <m/>
  </r>
  <r>
    <s v="BRGM .:. BRGM-ORRM"/>
    <x v="30"/>
    <m/>
    <s v="BRGM-ORRM-VM"/>
    <x v="0"/>
    <x v="11"/>
    <x v="8"/>
    <x v="0"/>
    <x v="5"/>
    <x v="2"/>
    <n v="6.7960000000000003"/>
    <m/>
  </r>
  <r>
    <s v="EBR .:. EBR-LAPOSTE"/>
    <x v="31"/>
    <m/>
    <s v="EBR-LAPOSTE-VM"/>
    <x v="1"/>
    <x v="22"/>
    <x v="15"/>
    <x v="0"/>
    <x v="12"/>
    <x v="2"/>
    <n v="161.68900000000002"/>
    <m/>
  </r>
  <r>
    <s v="OFB .:. OFB-NATUREFRANCE"/>
    <x v="34"/>
    <m/>
    <s v="OFB-FRANCENATURE-VM"/>
    <x v="4"/>
    <x v="24"/>
    <x v="16"/>
    <x v="0"/>
    <x v="13"/>
    <x v="3"/>
    <n v="0"/>
    <s v="0.5 J"/>
  </r>
  <r>
    <s v="MENESR .:. MENJ-BI"/>
    <x v="35"/>
    <m/>
    <s v="MENJ-BI-VM"/>
    <x v="4"/>
    <x v="25"/>
    <x v="12"/>
    <x v="0"/>
    <x v="9"/>
    <x v="3"/>
    <n v="0"/>
    <s v="0.5 J"/>
  </r>
  <r>
    <s v="ALM .:. ALM-ATOUT"/>
    <x v="29"/>
    <m/>
    <s v="ALM-ATOUT-VM"/>
    <x v="2"/>
    <x v="10"/>
    <x v="7"/>
    <x v="0"/>
    <x v="4"/>
    <x v="3"/>
    <n v="86.412000000000006"/>
    <m/>
  </r>
  <r>
    <s v="CA-TITRES .:. CATITRES-COMX"/>
    <x v="28"/>
    <m/>
    <s v="CATITRES-COMX-VM"/>
    <x v="1"/>
    <x v="21"/>
    <x v="14"/>
    <x v="0"/>
    <x v="11"/>
    <x v="3"/>
    <n v="120.91"/>
    <m/>
  </r>
  <r>
    <s v="FRR .:. FRR-DIGIPAT"/>
    <x v="0"/>
    <m/>
    <s v="FRR-DIGIPAT-VM"/>
    <x v="0"/>
    <x v="0"/>
    <x v="0"/>
    <x v="0"/>
    <x v="0"/>
    <x v="3"/>
    <n v="20.94"/>
    <m/>
  </r>
  <r>
    <s v="SPC .:. SPC-BUILD"/>
    <x v="1"/>
    <m/>
    <s v="SPC-BUILDAS-VM"/>
    <x v="1"/>
    <x v="1"/>
    <x v="1"/>
    <x v="0"/>
    <x v="1"/>
    <x v="3"/>
    <n v="126.65299999999999"/>
    <m/>
  </r>
  <r>
    <s v="BRGM .:. BRGM-ORRM"/>
    <x v="30"/>
    <m/>
    <s v="BRGM-ORRM-VM"/>
    <x v="0"/>
    <x v="11"/>
    <x v="8"/>
    <x v="0"/>
    <x v="5"/>
    <x v="3"/>
    <n v="6.7960000000000003"/>
    <m/>
  </r>
  <r>
    <s v="EBR .:. EBR-LAPOSTE"/>
    <x v="31"/>
    <m/>
    <s v="EBR-LAPOSTE-VM"/>
    <x v="1"/>
    <x v="22"/>
    <x v="15"/>
    <x v="0"/>
    <x v="12"/>
    <x v="3"/>
    <n v="161.68900000000002"/>
    <m/>
  </r>
  <r>
    <s v="OFB .:. OFB-NATUREFRANCE"/>
    <x v="34"/>
    <m/>
    <s v="OFB-FRANCENATURE-VM"/>
    <x v="2"/>
    <x v="24"/>
    <x v="16"/>
    <x v="0"/>
    <x v="13"/>
    <x v="3"/>
    <n v="7.1959999999999997"/>
    <m/>
  </r>
  <r>
    <s v="ONEMA .:. AFB-PATBIODIV"/>
    <x v="7"/>
    <s v="AFB-PATBiodiv"/>
    <m/>
    <x v="3"/>
    <x v="7"/>
    <x v="3"/>
    <x v="0"/>
    <x v="2"/>
    <x v="3"/>
    <n v="7.085873851984962"/>
    <m/>
  </r>
  <r>
    <s v="ONEMA .:. AFB-CATALOGUE"/>
    <x v="26"/>
    <s v="AFB-Catalogue"/>
    <m/>
    <x v="3"/>
    <x v="20"/>
    <x v="3"/>
    <x v="0"/>
    <x v="2"/>
    <x v="3"/>
    <n v="1.627403256668233"/>
    <m/>
  </r>
  <r>
    <s v="SPC .:. SPC-WEB"/>
    <x v="25"/>
    <s v="SPC-WEB"/>
    <m/>
    <x v="3"/>
    <x v="2"/>
    <x v="2"/>
    <x v="0"/>
    <x v="1"/>
    <x v="3"/>
    <n v="2.710560178319549"/>
    <m/>
  </r>
  <r>
    <s v="CNAV .:. CNAV-BI-RGCU"/>
    <x v="12"/>
    <s v="CNAV-BI-RGCU"/>
    <m/>
    <x v="3"/>
    <x v="12"/>
    <x v="9"/>
    <x v="0"/>
    <x v="6"/>
    <x v="3"/>
    <n v="25.398162300789473"/>
    <m/>
  </r>
  <r>
    <s v="SPC .:. SPC-BUILD"/>
    <x v="24"/>
    <s v="SPC-BUILD"/>
    <m/>
    <x v="3"/>
    <x v="1"/>
    <x v="1"/>
    <x v="0"/>
    <x v="1"/>
    <x v="3"/>
    <n v="26.443968983763156"/>
    <m/>
  </r>
  <r>
    <s v="ONEMA .:. AFB-OISON"/>
    <x v="6"/>
    <s v="AFB-OISON"/>
    <m/>
    <x v="3"/>
    <x v="6"/>
    <x v="3"/>
    <x v="0"/>
    <x v="2"/>
    <x v="3"/>
    <n v="5.0095102969466616"/>
    <m/>
  </r>
  <r>
    <s v="AFB .:. AFB-PNX"/>
    <x v="9"/>
    <s v="AFB-PNX"/>
    <m/>
    <x v="3"/>
    <x v="9"/>
    <x v="6"/>
    <x v="0"/>
    <x v="3"/>
    <x v="3"/>
    <n v="3.0393269394218496"/>
    <m/>
  </r>
  <r>
    <s v="AFB .:. AFB-NatureFrance"/>
    <x v="32"/>
    <s v="OFB-NatureFrance"/>
    <m/>
    <x v="3"/>
    <x v="23"/>
    <x v="6"/>
    <x v="0"/>
    <x v="3"/>
    <x v="3"/>
    <n v="8.4994573095890811"/>
    <m/>
  </r>
  <r>
    <s v="FRR .:. FRR-DIGIPAT"/>
    <x v="15"/>
    <s v="FRR DIGIPAT"/>
    <m/>
    <x v="3"/>
    <x v="0"/>
    <x v="0"/>
    <x v="0"/>
    <x v="0"/>
    <x v="3"/>
    <n v="8.409139450849624"/>
    <m/>
  </r>
  <r>
    <s v="ALM .:. ALM-ATOUT"/>
    <x v="10"/>
    <s v="ALM-ATOUT"/>
    <m/>
    <x v="3"/>
    <x v="10"/>
    <x v="7"/>
    <x v="0"/>
    <x v="4"/>
    <x v="3"/>
    <n v="18.157908438323219"/>
    <m/>
  </r>
  <r>
    <s v="BRGM .:. BRGM-ORRM"/>
    <x v="11"/>
    <s v="BRGM-ORRM"/>
    <m/>
    <x v="3"/>
    <x v="11"/>
    <x v="8"/>
    <x v="0"/>
    <x v="5"/>
    <x v="3"/>
    <n v="5.978522277374748"/>
    <m/>
  </r>
  <r>
    <s v="ONEMA .:. AFB-CDR"/>
    <x v="4"/>
    <s v="AFB-CDR"/>
    <m/>
    <x v="3"/>
    <x v="4"/>
    <x v="4"/>
    <x v="0"/>
    <x v="2"/>
    <x v="3"/>
    <n v="7.1232240906625943"/>
    <m/>
  </r>
  <r>
    <s v="MENESR .:. MENJ-BNIE"/>
    <x v="19"/>
    <s v="MENJ-BNIE-BDD"/>
    <m/>
    <x v="3"/>
    <x v="16"/>
    <x v="12"/>
    <x v="0"/>
    <x v="9"/>
    <x v="3"/>
    <n v="5.2265716192029599"/>
    <m/>
  </r>
  <r>
    <s v="AFB .:. AFB-PNM"/>
    <x v="8"/>
    <s v="AFB-PNM"/>
    <m/>
    <x v="3"/>
    <x v="8"/>
    <x v="6"/>
    <x v="0"/>
    <x v="3"/>
    <x v="3"/>
    <n v="10.844747095520127"/>
    <m/>
  </r>
  <r>
    <s v="GFI .:. GFI-INTERNE"/>
    <x v="27"/>
    <s v="GFI-MineReport"/>
    <m/>
    <x v="3"/>
    <x v="13"/>
    <x v="10"/>
    <x v="0"/>
    <x v="7"/>
    <x v="3"/>
    <n v="3.5482726743750002"/>
    <m/>
  </r>
  <r>
    <s v="MENESR .:. MENJ-RNIE"/>
    <x v="21"/>
    <s v="MENJ-RNIE-Webservices"/>
    <m/>
    <x v="3"/>
    <x v="17"/>
    <x v="12"/>
    <x v="0"/>
    <x v="9"/>
    <x v="3"/>
    <n v="3.2359699020483212"/>
    <m/>
  </r>
  <r>
    <s v="PCM .:. PCM-WEB"/>
    <x v="23"/>
    <s v="PCM-Web"/>
    <m/>
    <x v="3"/>
    <x v="19"/>
    <x v="13"/>
    <x v="0"/>
    <x v="10"/>
    <x v="3"/>
    <n v="3.6976736290855268"/>
    <m/>
  </r>
  <r>
    <s v="GFI .:. GFI-INTERNE"/>
    <x v="14"/>
    <s v="drupal-qa"/>
    <m/>
    <x v="3"/>
    <x v="13"/>
    <x v="10"/>
    <x v="0"/>
    <x v="7"/>
    <x v="3"/>
    <n v="0.88039848311560154"/>
    <m/>
  </r>
  <r>
    <s v="MENESR .:. MENJ-RNIE"/>
    <x v="20"/>
    <s v="MENJ-RNIE-BDD"/>
    <m/>
    <x v="3"/>
    <x v="17"/>
    <x v="12"/>
    <x v="0"/>
    <x v="9"/>
    <x v="3"/>
    <n v="1.4915477514398019"/>
    <m/>
  </r>
  <r>
    <s v="GLI .:. GLI-APIBIOMETRIE"/>
    <x v="17"/>
    <s v="GLI-APIBiometrie"/>
    <m/>
    <x v="3"/>
    <x v="14"/>
    <x v="11"/>
    <x v="0"/>
    <x v="8"/>
    <x v="3"/>
    <n v="7.8805550837933698"/>
    <m/>
  </r>
  <r>
    <s v="ONEMA .:. AFB-BASEINDICATEURS"/>
    <x v="3"/>
    <s v="AFB-BaseIndicateurs"/>
    <m/>
    <x v="3"/>
    <x v="3"/>
    <x v="3"/>
    <x v="0"/>
    <x v="2"/>
    <x v="3"/>
    <n v="1.0671496765037594"/>
    <m/>
  </r>
  <r>
    <s v="GFI .:. GFI-INTERNE"/>
    <x v="16"/>
    <s v="GFI-D8-BS4-THEME"/>
    <m/>
    <x v="3"/>
    <x v="13"/>
    <x v="10"/>
    <x v="0"/>
    <x v="7"/>
    <x v="3"/>
    <n v="1.7768042113787594"/>
    <m/>
  </r>
  <r>
    <s v="MENESR .:. MENJ-APAE"/>
    <x v="18"/>
    <s v="MENJ-APAE"/>
    <m/>
    <x v="3"/>
    <x v="15"/>
    <x v="12"/>
    <x v="0"/>
    <x v="9"/>
    <x v="3"/>
    <n v="1.4566593084276316"/>
    <m/>
  </r>
  <r>
    <s v="PCM .:. PCM-ALS"/>
    <x v="22"/>
    <s v="PCM-ALS"/>
    <m/>
    <x v="3"/>
    <x v="18"/>
    <x v="13"/>
    <x v="0"/>
    <x v="10"/>
    <x v="3"/>
    <n v="8.4579855003954858"/>
    <m/>
  </r>
  <r>
    <s v="AFB .:. AFB-CESMIA"/>
    <x v="5"/>
    <s v="AFB-CESMIA"/>
    <m/>
    <x v="3"/>
    <x v="5"/>
    <x v="5"/>
    <x v="0"/>
    <x v="3"/>
    <x v="3"/>
    <n v="12.986532155321083"/>
    <m/>
  </r>
  <r>
    <s v="MENESR .:. MENJ-BI"/>
    <x v="36"/>
    <s v="MENJ-BI"/>
    <m/>
    <x v="3"/>
    <x v="25"/>
    <x v="12"/>
    <x v="0"/>
    <x v="9"/>
    <x v="3"/>
    <n v="6.7230429619736842"/>
    <m/>
  </r>
  <r>
    <s v="MENESR .:. MENJ-BNIE"/>
    <x v="33"/>
    <s v="MENJ-BNIE-Webservices"/>
    <m/>
    <x v="3"/>
    <x v="16"/>
    <x v="12"/>
    <x v="0"/>
    <x v="9"/>
    <x v="3"/>
    <n v="6.1156699869785545"/>
    <m/>
  </r>
  <r>
    <s v="GFI .:. GFI-INTERNE"/>
    <x v="13"/>
    <s v="d8-qa"/>
    <m/>
    <x v="3"/>
    <x v="13"/>
    <x v="10"/>
    <x v="0"/>
    <x v="7"/>
    <x v="3"/>
    <n v="0.88039848311560154"/>
    <m/>
  </r>
  <r>
    <s v="ONEMA .:. AFB-BASEINDICATEURS"/>
    <x v="3"/>
    <s v="AFB-BaseIndicateurs"/>
    <m/>
    <x v="3"/>
    <x v="3"/>
    <x v="3"/>
    <x v="0"/>
    <x v="2"/>
    <x v="4"/>
    <n v="0.85182438277083339"/>
    <m/>
  </r>
  <r>
    <s v="ONEMA .:. AFB-CATALOGUE"/>
    <x v="26"/>
    <s v="AFB-Catalogue"/>
    <m/>
    <x v="3"/>
    <x v="20"/>
    <x v="3"/>
    <x v="0"/>
    <x v="2"/>
    <x v="4"/>
    <n v="1.3456356191597223"/>
    <m/>
  </r>
  <r>
    <s v="ONEMA .:. AFB-CDR"/>
    <x v="4"/>
    <s v="AFB-CDR"/>
    <m/>
    <x v="3"/>
    <x v="4"/>
    <x v="4"/>
    <x v="0"/>
    <x v="2"/>
    <x v="4"/>
    <n v="6.9803745486686513"/>
    <m/>
  </r>
  <r>
    <s v="AFB .:. AFB-CESMIA"/>
    <x v="5"/>
    <s v="AFB-CESMIA"/>
    <m/>
    <x v="3"/>
    <x v="5"/>
    <x v="5"/>
    <x v="0"/>
    <x v="3"/>
    <x v="4"/>
    <n v="12.380881407715851"/>
    <m/>
  </r>
  <r>
    <s v="ONEMA .:. AFB-OISON"/>
    <x v="6"/>
    <s v="AFB-OISON"/>
    <m/>
    <x v="3"/>
    <x v="6"/>
    <x v="3"/>
    <x v="0"/>
    <x v="2"/>
    <x v="4"/>
    <n v="2.9369542479850628"/>
    <m/>
  </r>
  <r>
    <s v="ONEMA .:. AFB-PATBIODIV"/>
    <x v="7"/>
    <s v="AFB-PATBiodiv"/>
    <m/>
    <x v="3"/>
    <x v="7"/>
    <x v="3"/>
    <x v="0"/>
    <x v="2"/>
    <x v="4"/>
    <n v="6.3560560569484128"/>
    <m/>
  </r>
  <r>
    <s v="AFB .:. AFB-PNM"/>
    <x v="8"/>
    <s v="AFB-PNM"/>
    <m/>
    <x v="3"/>
    <x v="8"/>
    <x v="6"/>
    <x v="0"/>
    <x v="3"/>
    <x v="4"/>
    <n v="9.7601690001668295"/>
    <m/>
  </r>
  <r>
    <s v="AFB .:. AFB-PNX"/>
    <x v="9"/>
    <s v="AFB-PNX"/>
    <m/>
    <x v="3"/>
    <x v="9"/>
    <x v="6"/>
    <x v="0"/>
    <x v="3"/>
    <x v="4"/>
    <n v="2.703616519229167"/>
    <m/>
  </r>
  <r>
    <s v="ALM .:. ALM-ATOUT"/>
    <x v="10"/>
    <s v="ALM-ATOUT"/>
    <m/>
    <x v="3"/>
    <x v="10"/>
    <x v="7"/>
    <x v="0"/>
    <x v="4"/>
    <x v="4"/>
    <n v="23.390253757797531"/>
    <m/>
  </r>
  <r>
    <s v="BRGM .:. BRGM-ORRM"/>
    <x v="11"/>
    <s v="BRGM-ORRM"/>
    <m/>
    <x v="3"/>
    <x v="11"/>
    <x v="8"/>
    <x v="0"/>
    <x v="5"/>
    <x v="4"/>
    <n v="7.4485250827897964"/>
    <m/>
  </r>
  <r>
    <s v="CNAV .:. CNAV-BI-RGCU"/>
    <x v="12"/>
    <s v="CNAV-BI-RGCU"/>
    <m/>
    <x v="3"/>
    <x v="12"/>
    <x v="9"/>
    <x v="0"/>
    <x v="6"/>
    <x v="4"/>
    <n v="11.110752818750001"/>
    <m/>
  </r>
  <r>
    <s v="GFI .:. GFI-INTERNE"/>
    <x v="13"/>
    <s v="d8-qa"/>
    <m/>
    <x v="3"/>
    <x v="13"/>
    <x v="10"/>
    <x v="0"/>
    <x v="7"/>
    <x v="4"/>
    <n v="0.85182438277083339"/>
    <m/>
  </r>
  <r>
    <s v="GFI .:. GFI-INTERNE"/>
    <x v="14"/>
    <s v="drupal-qa"/>
    <m/>
    <x v="3"/>
    <x v="13"/>
    <x v="10"/>
    <x v="0"/>
    <x v="7"/>
    <x v="4"/>
    <n v="0.85182438277083339"/>
    <m/>
  </r>
  <r>
    <s v="FRR .:. FRR-DIGIPAT"/>
    <x v="15"/>
    <s v="FRR DIGIPAT"/>
    <m/>
    <x v="3"/>
    <x v="0"/>
    <x v="0"/>
    <x v="0"/>
    <x v="0"/>
    <x v="4"/>
    <n v="7.6893463951984131"/>
    <m/>
  </r>
  <r>
    <s v="GFI .:. GFI-INTERNE"/>
    <x v="16"/>
    <s v="GFI-D8-BS4-THEME"/>
    <m/>
    <x v="3"/>
    <x v="13"/>
    <x v="10"/>
    <x v="0"/>
    <x v="7"/>
    <x v="4"/>
    <n v="1.6789582037222224"/>
    <m/>
  </r>
  <r>
    <s v="GFI .:. GFI-INTERNE"/>
    <x v="27"/>
    <s v="GFI-MineReport"/>
    <m/>
    <x v="3"/>
    <x v="13"/>
    <x v="10"/>
    <x v="0"/>
    <x v="7"/>
    <x v="4"/>
    <n v="3.5184050592708336"/>
    <m/>
  </r>
  <r>
    <s v="GFI .:. GFI-INTERNE"/>
    <x v="37"/>
    <s v="GFI-RedmineDocker"/>
    <m/>
    <x v="3"/>
    <x v="13"/>
    <x v="10"/>
    <x v="0"/>
    <x v="7"/>
    <x v="4"/>
    <n v="1.1287113974603176"/>
    <m/>
  </r>
  <r>
    <s v="GFI .:. GFI-INTERNE"/>
    <x v="38"/>
    <s v="GFI-WAAC"/>
    <m/>
    <x v="3"/>
    <x v="13"/>
    <x v="10"/>
    <x v="0"/>
    <x v="7"/>
    <x v="4"/>
    <n v="0.29628674183333337"/>
    <m/>
  </r>
  <r>
    <s v="GLI .:. GLI-APIBIOMETRIE"/>
    <x v="17"/>
    <s v="GLI-APIBiometrie"/>
    <m/>
    <x v="3"/>
    <x v="14"/>
    <x v="11"/>
    <x v="0"/>
    <x v="8"/>
    <x v="4"/>
    <n v="4.2523199357005685"/>
    <m/>
  </r>
  <r>
    <s v="GFI .:. GFI-INTERNE"/>
    <x v="39"/>
    <s v="LAPOSTE-Musee"/>
    <m/>
    <x v="3"/>
    <x v="13"/>
    <x v="10"/>
    <x v="0"/>
    <x v="7"/>
    <x v="4"/>
    <n v="2.7459431966339287"/>
    <m/>
  </r>
  <r>
    <s v="MENESR .:. MENJ-APAE"/>
    <x v="18"/>
    <s v="MENJ-APAE"/>
    <m/>
    <x v="3"/>
    <x v="15"/>
    <x v="12"/>
    <x v="0"/>
    <x v="9"/>
    <x v="4"/>
    <n v="1.3332903382499999"/>
    <m/>
  </r>
  <r>
    <s v="MENESR .:. MENJ-BI"/>
    <x v="36"/>
    <s v="MENJ-BI"/>
    <m/>
    <x v="3"/>
    <x v="25"/>
    <x v="12"/>
    <x v="0"/>
    <x v="9"/>
    <x v="4"/>
    <n v="5.9257348366666669"/>
    <m/>
  </r>
  <r>
    <s v="MENESR .:. MENJ-BNIE"/>
    <x v="19"/>
    <s v="MENJ-BNIE-BDD"/>
    <m/>
    <x v="3"/>
    <x v="16"/>
    <x v="12"/>
    <x v="0"/>
    <x v="9"/>
    <x v="4"/>
    <n v="5.0368746111666667"/>
    <m/>
  </r>
  <r>
    <s v="MENESR .:. MENJ-BNIE"/>
    <x v="33"/>
    <s v="MENJ-BNIE-Webservices"/>
    <m/>
    <x v="3"/>
    <x v="16"/>
    <x v="12"/>
    <x v="0"/>
    <x v="9"/>
    <x v="4"/>
    <n v="1.9258638219166668"/>
    <m/>
  </r>
  <r>
    <s v="MENESR .:. MENJ-RNIE"/>
    <x v="20"/>
    <s v="MENJ-RNIE-BDD"/>
    <m/>
    <x v="3"/>
    <x v="17"/>
    <x v="12"/>
    <x v="0"/>
    <x v="9"/>
    <x v="4"/>
    <n v="1.3332903382499999"/>
    <m/>
  </r>
  <r>
    <s v="MENESR .:. MENJ-RNIE"/>
    <x v="21"/>
    <s v="MENJ-RNIE-Webservices"/>
    <m/>
    <x v="3"/>
    <x v="17"/>
    <x v="12"/>
    <x v="0"/>
    <x v="9"/>
    <x v="4"/>
    <n v="1.9895702392356913"/>
    <m/>
  </r>
  <r>
    <s v="OFB .:. OFB-NATUREFRANCE"/>
    <x v="32"/>
    <s v="OFB-NatureFrance"/>
    <m/>
    <x v="3"/>
    <x v="24"/>
    <x v="16"/>
    <x v="0"/>
    <x v="13"/>
    <x v="4"/>
    <n v="8.5752564674797007"/>
    <m/>
  </r>
  <r>
    <s v="AFB .:. OFB-SISPEA"/>
    <x v="40"/>
    <s v="OFB-SISPEA"/>
    <m/>
    <x v="3"/>
    <x v="26"/>
    <x v="6"/>
    <x v="0"/>
    <x v="3"/>
    <x v="4"/>
    <n v="6.4812724776041666"/>
    <m/>
  </r>
  <r>
    <s v="PCM .:. PCM-ALS"/>
    <x v="22"/>
    <s v="PCM-ALS"/>
    <m/>
    <x v="3"/>
    <x v="18"/>
    <x v="13"/>
    <x v="0"/>
    <x v="10"/>
    <x v="4"/>
    <n v="7.9803423023561511"/>
    <m/>
  </r>
  <r>
    <s v="PCM .:. PCM-WEB"/>
    <x v="23"/>
    <s v="PCM-Web"/>
    <m/>
    <x v="3"/>
    <x v="19"/>
    <x v="13"/>
    <x v="0"/>
    <x v="10"/>
    <x v="4"/>
    <n v="3.3138261184811508"/>
    <m/>
  </r>
  <r>
    <s v="PCM .:. PCM-WEB"/>
    <x v="24"/>
    <s v="SPC-BUILD"/>
    <m/>
    <x v="3"/>
    <x v="19"/>
    <x v="13"/>
    <x v="0"/>
    <x v="10"/>
    <x v="4"/>
    <n v="26.221376652250004"/>
    <m/>
  </r>
  <r>
    <s v="SPC .:. SPC-WEB"/>
    <x v="25"/>
    <s v="SPC-WEB"/>
    <m/>
    <x v="3"/>
    <x v="2"/>
    <x v="2"/>
    <x v="0"/>
    <x v="1"/>
    <x v="4"/>
    <n v="2.6665806765000002"/>
    <m/>
  </r>
  <r>
    <s v="EBR .:. EBR-LAPOSTE"/>
    <x v="31"/>
    <m/>
    <s v="EBR-LAPOSTE-VM"/>
    <x v="1"/>
    <x v="22"/>
    <x v="15"/>
    <x v="0"/>
    <x v="12"/>
    <x v="4"/>
    <n v="59.65"/>
    <m/>
  </r>
  <r>
    <s v="ALM .:. ALM-ATOUT"/>
    <x v="29"/>
    <m/>
    <s v="ALM-ATOUT-VM"/>
    <x v="2"/>
    <x v="10"/>
    <x v="7"/>
    <x v="0"/>
    <x v="4"/>
    <x v="4"/>
    <n v="71.290000000000006"/>
    <m/>
  </r>
  <r>
    <s v="BRGM .:. BRGM-ORRM"/>
    <x v="30"/>
    <m/>
    <s v="BRGM-ORRM-VM"/>
    <x v="0"/>
    <x v="11"/>
    <x v="8"/>
    <x v="0"/>
    <x v="5"/>
    <x v="4"/>
    <n v="5.79"/>
    <m/>
  </r>
  <r>
    <s v="CA-TITRES .:. CATITRES-COMX"/>
    <x v="28"/>
    <m/>
    <s v="CATITRES-COMX-VM"/>
    <x v="1"/>
    <x v="21"/>
    <x v="14"/>
    <x v="0"/>
    <x v="11"/>
    <x v="4"/>
    <n v="99.45"/>
    <m/>
  </r>
  <r>
    <s v="MENESR .:. MENJ-BI"/>
    <x v="35"/>
    <m/>
    <s v="MENJ-BI-VM"/>
    <x v="4"/>
    <x v="25"/>
    <x v="12"/>
    <x v="0"/>
    <x v="9"/>
    <x v="4"/>
    <n v="2.64"/>
    <m/>
  </r>
  <r>
    <s v="OFB .:. OFB-NATUREFRANCE"/>
    <x v="34"/>
    <m/>
    <s v="OFB-FRANCENATURE-VM"/>
    <x v="2"/>
    <x v="24"/>
    <x v="16"/>
    <x v="0"/>
    <x v="13"/>
    <x v="4"/>
    <n v="7.86"/>
    <m/>
  </r>
  <r>
    <s v="SPC .:. SPC-BUILD"/>
    <x v="1"/>
    <m/>
    <s v="SPC-BUILDAS-VM"/>
    <x v="1"/>
    <x v="1"/>
    <x v="1"/>
    <x v="0"/>
    <x v="1"/>
    <x v="4"/>
    <n v="85.76"/>
    <m/>
  </r>
  <r>
    <s v="FRR .:. FRR-DIGIPAT"/>
    <x v="0"/>
    <m/>
    <s v="FRR-DIGIPAT-VM"/>
    <x v="0"/>
    <x v="0"/>
    <x v="0"/>
    <x v="0"/>
    <x v="0"/>
    <x v="4"/>
    <n v="21.22"/>
    <m/>
  </r>
  <r>
    <s v="ONEMA .:. AFB-BASEINDICATEURS"/>
    <x v="3"/>
    <s v="AFB-BaseIndicateurs"/>
    <m/>
    <x v="3"/>
    <x v="3"/>
    <x v="3"/>
    <x v="0"/>
    <x v="2"/>
    <x v="5"/>
    <n v="0.68675683610526317"/>
    <m/>
  </r>
  <r>
    <s v="ONEMA .:. AFB-CATALOGUE"/>
    <x v="26"/>
    <s v="AFB-Catalogue"/>
    <m/>
    <x v="3"/>
    <x v="20"/>
    <x v="3"/>
    <x v="0"/>
    <x v="2"/>
    <x v="5"/>
    <n v="1.7151045220511962"/>
    <m/>
  </r>
  <r>
    <s v="ONEMA .:. AFB-CDR"/>
    <x v="4"/>
    <s v="AFB-CDR"/>
    <m/>
    <x v="3"/>
    <x v="4"/>
    <x v="4"/>
    <x v="0"/>
    <x v="2"/>
    <x v="5"/>
    <n v="7.2108507301940534"/>
    <m/>
  </r>
  <r>
    <s v="AFB .:. AFB-CESMIA"/>
    <x v="5"/>
    <s v="AFB-CESMIA"/>
    <m/>
    <x v="3"/>
    <x v="5"/>
    <x v="5"/>
    <x v="0"/>
    <x v="3"/>
    <x v="5"/>
    <n v="12.255714358527801"/>
    <m/>
  </r>
  <r>
    <s v="ONEMA .:. AFB-OISON"/>
    <x v="6"/>
    <s v="AFB-OISON"/>
    <m/>
    <x v="3"/>
    <x v="6"/>
    <x v="3"/>
    <x v="0"/>
    <x v="2"/>
    <x v="5"/>
    <n v="5.7252775179069904"/>
    <m/>
  </r>
  <r>
    <s v="ONEMA .:. AFB-PATBIODIV"/>
    <x v="7"/>
    <s v="AFB-PATBiodiv"/>
    <m/>
    <x v="3"/>
    <x v="7"/>
    <x v="3"/>
    <x v="0"/>
    <x v="2"/>
    <x v="5"/>
    <n v="5.6861361027719299"/>
    <m/>
  </r>
  <r>
    <s v="AFB .:. AFB-PNM"/>
    <x v="8"/>
    <s v="AFB-PNM"/>
    <m/>
    <x v="3"/>
    <x v="8"/>
    <x v="6"/>
    <x v="0"/>
    <x v="3"/>
    <x v="5"/>
    <n v="14.352832561463577"/>
    <m/>
  </r>
  <r>
    <s v="AFB .:. AFB-PNX"/>
    <x v="9"/>
    <s v="AFB-PNX"/>
    <m/>
    <x v="3"/>
    <x v="9"/>
    <x v="6"/>
    <x v="0"/>
    <x v="3"/>
    <x v="5"/>
    <n v="2.4543945053909773"/>
    <m/>
  </r>
  <r>
    <s v="ONEMA .:. AFB-RAA"/>
    <x v="41"/>
    <s v="AFB-RAA"/>
    <m/>
    <x v="3"/>
    <x v="27"/>
    <x v="4"/>
    <x v="0"/>
    <x v="2"/>
    <x v="5"/>
    <n v="0.23681270210526315"/>
    <m/>
  </r>
  <r>
    <s v="ALM .:. ALM-ATOUT"/>
    <x v="10"/>
    <s v="ALM-ATOUT"/>
    <m/>
    <x v="3"/>
    <x v="10"/>
    <x v="7"/>
    <x v="0"/>
    <x v="4"/>
    <x v="5"/>
    <n v="11.506087884854869"/>
    <m/>
  </r>
  <r>
    <s v="BRGM .:. BRGM-ORRM"/>
    <x v="11"/>
    <s v="BRGM-ORRM"/>
    <m/>
    <x v="3"/>
    <x v="11"/>
    <x v="8"/>
    <x v="0"/>
    <x v="5"/>
    <x v="5"/>
    <n v="6.2898275603641114"/>
    <m/>
  </r>
  <r>
    <s v="CNAV .:. CNAV-BI-RGCU"/>
    <x v="12"/>
    <s v="CNAV-BI-RGCU"/>
    <m/>
    <x v="3"/>
    <x v="12"/>
    <x v="9"/>
    <x v="0"/>
    <x v="6"/>
    <x v="5"/>
    <n v="11.24860335"/>
    <m/>
  </r>
  <r>
    <s v="GFI .:. GFI-INTERNE"/>
    <x v="13"/>
    <s v="d8-qa"/>
    <m/>
    <x v="3"/>
    <x v="13"/>
    <x v="10"/>
    <x v="0"/>
    <x v="7"/>
    <x v="5"/>
    <n v="0.79924286960526314"/>
    <m/>
  </r>
  <r>
    <s v="GFI .:. GFI-INTERNE"/>
    <x v="14"/>
    <s v="drupal-qa"/>
    <m/>
    <x v="3"/>
    <x v="13"/>
    <x v="10"/>
    <x v="0"/>
    <x v="7"/>
    <x v="5"/>
    <n v="0.79924286960526314"/>
    <m/>
  </r>
  <r>
    <s v="FRR .:. FRR-DIGIPAT"/>
    <x v="15"/>
    <s v="FRR DIGIPAT"/>
    <m/>
    <x v="3"/>
    <x v="0"/>
    <x v="0"/>
    <x v="0"/>
    <x v="0"/>
    <x v="5"/>
    <n v="7.5952108089743593"/>
    <m/>
  </r>
  <r>
    <s v="FRR .:. FRR-APPLIFRR"/>
    <x v="42"/>
    <s v="FRR-APPLIFRR"/>
    <m/>
    <x v="3"/>
    <x v="28"/>
    <x v="0"/>
    <x v="0"/>
    <x v="0"/>
    <x v="5"/>
    <n v="3.0048716641258739"/>
    <m/>
  </r>
  <r>
    <s v="FRR .:. FRR-CADENCIER"/>
    <x v="43"/>
    <s v="FRR-CADENCIER"/>
    <m/>
    <x v="3"/>
    <x v="29"/>
    <x v="0"/>
    <x v="0"/>
    <x v="0"/>
    <x v="5"/>
    <n v="3.0048716641258739"/>
    <m/>
  </r>
  <r>
    <s v="FRR .:. FRR-PATAPAIN"/>
    <x v="44"/>
    <s v="FRR-Patapain"/>
    <m/>
    <x v="3"/>
    <x v="30"/>
    <x v="0"/>
    <x v="0"/>
    <x v="0"/>
    <x v="5"/>
    <n v="2.5944830583896099"/>
    <m/>
  </r>
  <r>
    <s v="FRR .:. FRR-PATAPAINANDROID"/>
    <x v="45"/>
    <s v="FRR-PATAPAINANDROID"/>
    <m/>
    <x v="3"/>
    <x v="31"/>
    <x v="0"/>
    <x v="0"/>
    <x v="0"/>
    <x v="5"/>
    <n v="3.0048716641258739"/>
    <m/>
  </r>
  <r>
    <s v="GFI .:. GFI-CMIS"/>
    <x v="46"/>
    <s v="GFI-CMIS"/>
    <m/>
    <x v="3"/>
    <x v="32"/>
    <x v="10"/>
    <x v="0"/>
    <x v="7"/>
    <x v="5"/>
    <n v="0.23681270210526315"/>
    <m/>
  </r>
  <r>
    <s v="GFI .:. GFI-COFFEE"/>
    <x v="47"/>
    <s v="GFI-COFFEE"/>
    <m/>
    <x v="3"/>
    <x v="33"/>
    <x v="10"/>
    <x v="0"/>
    <x v="7"/>
    <x v="5"/>
    <n v="1.3979283284115882"/>
    <m/>
  </r>
  <r>
    <s v="GFI .:. GFI-CRALENIUM"/>
    <x v="48"/>
    <s v="GFI-CRALENIUM"/>
    <m/>
    <x v="3"/>
    <x v="34"/>
    <x v="10"/>
    <x v="0"/>
    <x v="7"/>
    <x v="5"/>
    <n v="3.0048716641258739"/>
    <m/>
  </r>
  <r>
    <s v="GFI .:. GFI-D8-BS4-THEME"/>
    <x v="16"/>
    <s v="GFI-D8-BS4-THEME"/>
    <m/>
    <x v="3"/>
    <x v="35"/>
    <x v="10"/>
    <x v="0"/>
    <x v="7"/>
    <x v="5"/>
    <n v="1.6366388967719296"/>
    <m/>
  </r>
  <r>
    <s v="GFI .:. GFI-Docker Devbox Install"/>
    <x v="49"/>
    <s v="GFI-Docker Devbox Install"/>
    <m/>
    <x v="3"/>
    <x v="36"/>
    <x v="10"/>
    <x v="0"/>
    <x v="7"/>
    <x v="5"/>
    <n v="0.23681270210526315"/>
    <m/>
  </r>
  <r>
    <s v="GFI .:. GFI-MINEREPORT"/>
    <x v="27"/>
    <s v="GFI-MineReport"/>
    <m/>
    <x v="3"/>
    <x v="37"/>
    <x v="10"/>
    <x v="0"/>
    <x v="7"/>
    <x v="5"/>
    <n v="7.657703049807691"/>
    <m/>
  </r>
  <r>
    <s v="GFI .:. GFI-PMT"/>
    <x v="50"/>
    <s v="GFI-PMT"/>
    <m/>
    <x v="3"/>
    <x v="38"/>
    <x v="10"/>
    <x v="0"/>
    <x v="7"/>
    <x v="5"/>
    <n v="1.4600046738931081"/>
    <m/>
  </r>
  <r>
    <s v="GFI .:. GFI-REDMINEDOCKER"/>
    <x v="37"/>
    <s v="GFI-RedmineDocker"/>
    <m/>
    <x v="3"/>
    <x v="39"/>
    <x v="10"/>
    <x v="0"/>
    <x v="7"/>
    <x v="5"/>
    <n v="1.3589221824848483"/>
    <m/>
  </r>
  <r>
    <s v="GFI .:. GFI-TENDER"/>
    <x v="51"/>
    <s v="GFI-TENDER"/>
    <m/>
    <x v="3"/>
    <x v="40"/>
    <x v="10"/>
    <x v="0"/>
    <x v="7"/>
    <x v="5"/>
    <n v="3.0048716641258739"/>
    <m/>
  </r>
  <r>
    <s v="GFI .:. GFI-WAAC"/>
    <x v="38"/>
    <s v="GFI-WAAC"/>
    <m/>
    <x v="3"/>
    <x v="41"/>
    <x v="17"/>
    <x v="1"/>
    <x v="7"/>
    <x v="5"/>
    <n v="0.23681270210526315"/>
    <m/>
  </r>
  <r>
    <s v="GLI .:. GLI-APIBIOMETRIE"/>
    <x v="17"/>
    <s v="GLI-APIBiometrie"/>
    <m/>
    <x v="3"/>
    <x v="14"/>
    <x v="11"/>
    <x v="0"/>
    <x v="8"/>
    <x v="5"/>
    <n v="4.4816507566476407"/>
    <m/>
  </r>
  <r>
    <s v="LAPOSTE .:. LAPOSTE-F4N-MUSEE"/>
    <x v="52"/>
    <s v="LAPOSTE-F4N-Musee"/>
    <m/>
    <x v="3"/>
    <x v="42"/>
    <x v="18"/>
    <x v="0"/>
    <x v="14"/>
    <x v="5"/>
    <n v="2.9889146044285715"/>
    <m/>
  </r>
  <r>
    <s v="LAPOSTE .:. LAPOSTE-LPK-PortailVoyage"/>
    <x v="53"/>
    <s v="LAPOSTE-LPK-PortailVoyage"/>
    <m/>
    <x v="3"/>
    <x v="43"/>
    <x v="18"/>
    <x v="0"/>
    <x v="14"/>
    <x v="5"/>
    <n v="1.1803729229610389"/>
    <m/>
  </r>
  <r>
    <s v="LAPOSTE .:. LAPOSTE-LPM-IntranetDHA"/>
    <x v="54"/>
    <s v="LAPOSTE-LPM-IntranetDHA"/>
    <m/>
    <x v="3"/>
    <x v="44"/>
    <x v="18"/>
    <x v="0"/>
    <x v="14"/>
    <x v="5"/>
    <n v="1.1803729229610389"/>
    <m/>
  </r>
  <r>
    <s v="MENESR .:. MENJ-APAE"/>
    <x v="18"/>
    <s v="MENJ-APAE"/>
    <m/>
    <x v="3"/>
    <x v="15"/>
    <x v="12"/>
    <x v="0"/>
    <x v="9"/>
    <x v="5"/>
    <n v="1.2212769351428572"/>
    <m/>
  </r>
  <r>
    <s v="MENESR .:. MENJ-BI"/>
    <x v="36"/>
    <s v="MENJ-BI"/>
    <m/>
    <x v="3"/>
    <x v="25"/>
    <x v="12"/>
    <x v="0"/>
    <x v="9"/>
    <x v="5"/>
    <n v="4.4994413399999997"/>
    <m/>
  </r>
  <r>
    <s v="MENESR .:. MENJ-BNIE"/>
    <x v="19"/>
    <s v="MENJ-BNIE-BDD"/>
    <m/>
    <x v="3"/>
    <x v="16"/>
    <x v="12"/>
    <x v="0"/>
    <x v="9"/>
    <x v="5"/>
    <n v="4.9708113851428575"/>
    <m/>
  </r>
  <r>
    <s v="MENESR .:. MENJ-BNIE"/>
    <x v="33"/>
    <s v="MENJ-BNIE-Webservices"/>
    <m/>
    <x v="3"/>
    <x v="16"/>
    <x v="12"/>
    <x v="0"/>
    <x v="9"/>
    <x v="5"/>
    <n v="0.32138866714285713"/>
    <m/>
  </r>
  <r>
    <s v="MENESR .:. MENJ-RNIE"/>
    <x v="20"/>
    <s v="MENJ-RNIE-BDD"/>
    <m/>
    <x v="3"/>
    <x v="17"/>
    <x v="12"/>
    <x v="0"/>
    <x v="9"/>
    <x v="5"/>
    <n v="1.2557804504989254"/>
    <m/>
  </r>
  <r>
    <s v="MENESR .:. MENJ-RNIE"/>
    <x v="21"/>
    <s v="MENJ-RNIE-Webservices"/>
    <m/>
    <x v="3"/>
    <x v="17"/>
    <x v="12"/>
    <x v="0"/>
    <x v="9"/>
    <x v="5"/>
    <n v="3.8435441022040404"/>
    <m/>
  </r>
  <r>
    <s v="AFB .:. OFB-CMONSPOT"/>
    <x v="55"/>
    <s v="OFB-CMONSPOT"/>
    <m/>
    <x v="3"/>
    <x v="45"/>
    <x v="6"/>
    <x v="0"/>
    <x v="3"/>
    <x v="5"/>
    <n v="0.449944134"/>
    <m/>
  </r>
  <r>
    <s v="OFB .:. OFB-NATUREFRANCE"/>
    <x v="32"/>
    <s v="OFB-NatureFrance"/>
    <m/>
    <x v="3"/>
    <x v="24"/>
    <x v="16"/>
    <x v="0"/>
    <x v="13"/>
    <x v="5"/>
    <n v="14.177147375861301"/>
    <m/>
  </r>
  <r>
    <s v="AFB .:. OFB-SISPEA"/>
    <x v="40"/>
    <s v="OFB-SISPEA"/>
    <m/>
    <x v="3"/>
    <x v="26"/>
    <x v="6"/>
    <x v="0"/>
    <x v="3"/>
    <x v="5"/>
    <n v="4.9493854739999996"/>
    <m/>
  </r>
  <r>
    <s v="PCM .:. PCM-ALS"/>
    <x v="22"/>
    <s v="PCM-ALS"/>
    <m/>
    <x v="3"/>
    <x v="18"/>
    <x v="13"/>
    <x v="0"/>
    <x v="10"/>
    <x v="5"/>
    <n v="8.4393656846290721"/>
    <m/>
  </r>
  <r>
    <s v="PCM .:. PCM-WEB"/>
    <x v="23"/>
    <s v="PCM-Web"/>
    <m/>
    <x v="3"/>
    <x v="19"/>
    <x v="13"/>
    <x v="0"/>
    <x v="10"/>
    <x v="5"/>
    <n v="3.5852691312380949"/>
    <m/>
  </r>
  <r>
    <s v="SAFT .:. SAFT-PDM"/>
    <x v="56"/>
    <s v="SAFT-PDM"/>
    <m/>
    <x v="3"/>
    <x v="46"/>
    <x v="19"/>
    <x v="0"/>
    <x v="15"/>
    <x v="5"/>
    <n v="3.0048716641258739"/>
    <m/>
  </r>
  <r>
    <s v="SPC .:. SPC-BUILD"/>
    <x v="24"/>
    <s v="SPC-BUILD"/>
    <m/>
    <x v="3"/>
    <x v="1"/>
    <x v="1"/>
    <x v="0"/>
    <x v="1"/>
    <x v="5"/>
    <n v="26.289592972285714"/>
    <m/>
  </r>
  <r>
    <s v="SPC .:. SPC-WEB"/>
    <x v="25"/>
    <s v="SPC-WEB"/>
    <m/>
    <x v="3"/>
    <x v="2"/>
    <x v="2"/>
    <x v="0"/>
    <x v="1"/>
    <x v="5"/>
    <n v="2.6365147501052633"/>
    <m/>
  </r>
  <r>
    <s v="ALM .:. ALM-ATOUT"/>
    <x v="29"/>
    <m/>
    <s v="ALM-ATOUT-VM"/>
    <x v="2"/>
    <x v="10"/>
    <x v="7"/>
    <x v="0"/>
    <x v="4"/>
    <x v="5"/>
    <n v="109.36"/>
    <m/>
  </r>
  <r>
    <s v="BRGM .:. BRGM-ORRM"/>
    <x v="30"/>
    <m/>
    <s v="BRGM-ORRM-VM"/>
    <x v="0"/>
    <x v="11"/>
    <x v="8"/>
    <x v="0"/>
    <x v="5"/>
    <x v="5"/>
    <n v="10.199999999999999"/>
    <m/>
  </r>
  <r>
    <s v="CA-TITRES .:. CATITRES-COMX"/>
    <x v="28"/>
    <m/>
    <s v="CATITRES-COMX-VM"/>
    <x v="1"/>
    <x v="21"/>
    <x v="14"/>
    <x v="0"/>
    <x v="11"/>
    <x v="5"/>
    <n v="168.71"/>
    <m/>
  </r>
  <r>
    <s v="EBR .:. EBR-LAPOSTE"/>
    <x v="31"/>
    <m/>
    <s v="EBR-LAPOSTE-VM"/>
    <x v="1"/>
    <x v="22"/>
    <x v="15"/>
    <x v="0"/>
    <x v="12"/>
    <x v="5"/>
    <n v="118.1"/>
    <m/>
  </r>
  <r>
    <s v="GFI .:. GFI-PMT"/>
    <x v="57"/>
    <m/>
    <s v="GFI-PMT-VM"/>
    <x v="1"/>
    <x v="38"/>
    <x v="10"/>
    <x v="0"/>
    <x v="7"/>
    <x v="5"/>
    <n v="2.4700000000000002"/>
    <m/>
  </r>
  <r>
    <s v="MENESR .:. MENJ-BI"/>
    <x v="35"/>
    <m/>
    <s v="MENJ-BI-VM"/>
    <x v="2"/>
    <x v="25"/>
    <x v="12"/>
    <x v="0"/>
    <x v="9"/>
    <x v="5"/>
    <n v="4.54"/>
    <m/>
  </r>
  <r>
    <s v="AFB .:. AFB-NatureFrance"/>
    <x v="34"/>
    <m/>
    <s v="OFB-FRANCENATURE-VM"/>
    <x v="2"/>
    <x v="23"/>
    <x v="6"/>
    <x v="0"/>
    <x v="3"/>
    <x v="5"/>
    <n v="13.59"/>
    <m/>
  </r>
  <r>
    <s v="AFB .:. OFB-SISPEA"/>
    <x v="58"/>
    <m/>
    <s v="OFB-SISPEA-VM"/>
    <x v="1"/>
    <x v="26"/>
    <x v="6"/>
    <x v="0"/>
    <x v="3"/>
    <x v="5"/>
    <n v="7.45"/>
    <m/>
  </r>
  <r>
    <s v="SPC .:. SPC-BUILD"/>
    <x v="1"/>
    <m/>
    <s v="SPC-BUILDAS-VM"/>
    <x v="1"/>
    <x v="1"/>
    <x v="1"/>
    <x v="0"/>
    <x v="1"/>
    <x v="5"/>
    <n v="144.77000000000001"/>
    <m/>
  </r>
  <r>
    <s v="STMICRO .:. STMICRO-DATAPACK"/>
    <x v="59"/>
    <m/>
    <s v="STMICRO-DATAPACK-VM"/>
    <x v="1"/>
    <x v="47"/>
    <x v="20"/>
    <x v="0"/>
    <x v="16"/>
    <x v="5"/>
    <n v="1.27"/>
    <m/>
  </r>
  <r>
    <s v="FRR .:. FRR-DIGIPAT"/>
    <x v="0"/>
    <m/>
    <s v="FRR-DIGIPAT-VM"/>
    <x v="0"/>
    <x v="0"/>
    <x v="0"/>
    <x v="0"/>
    <x v="0"/>
    <x v="5"/>
    <n v="24.59"/>
    <m/>
  </r>
  <r>
    <s v="ONEMA .:. AFB-BASEINDICATEURS"/>
    <x v="3"/>
    <s v="AFB-BaseIndicateurs"/>
    <m/>
    <x v="3"/>
    <x v="3"/>
    <x v="3"/>
    <x v="0"/>
    <x v="2"/>
    <x v="6"/>
    <n v="0.70212543537871841"/>
    <s v="23/07 (29/06 - 22/07)"/>
  </r>
  <r>
    <s v="ONEMA .:. AFB-CATALOGUE"/>
    <x v="26"/>
    <s v="AFB-Catalogue"/>
    <m/>
    <x v="3"/>
    <x v="20"/>
    <x v="3"/>
    <x v="0"/>
    <x v="2"/>
    <x v="6"/>
    <n v="2.3697134644167948"/>
    <s v="23/07 (29/06 - 22/07)"/>
  </r>
  <r>
    <s v="ONEMA .:. AFB-CDR"/>
    <x v="4"/>
    <s v="AFB-CDR"/>
    <m/>
    <x v="3"/>
    <x v="4"/>
    <x v="4"/>
    <x v="0"/>
    <x v="2"/>
    <x v="6"/>
    <n v="8.2477403569440337"/>
    <s v="23/07 (29/06 - 22/07)"/>
  </r>
  <r>
    <s v="AFB .:. AFB-CESMIA"/>
    <x v="5"/>
    <s v="AFB-CESMIA"/>
    <m/>
    <x v="3"/>
    <x v="5"/>
    <x v="5"/>
    <x v="0"/>
    <x v="3"/>
    <x v="6"/>
    <n v="13.169821098442615"/>
    <s v="23/07 (29/06 - 22/07)"/>
  </r>
  <r>
    <s v="ONEMA .:. AFB-OISON"/>
    <x v="6"/>
    <s v="AFB-OISON"/>
    <m/>
    <x v="3"/>
    <x v="6"/>
    <x v="3"/>
    <x v="0"/>
    <x v="2"/>
    <x v="6"/>
    <n v="2.0536304298330741"/>
    <s v="23/07 (29/06 - 22/07)"/>
  </r>
  <r>
    <s v="ONEMA .:. AFB-PATBIODIV"/>
    <x v="7"/>
    <s v="AFB-PATBiodiv"/>
    <m/>
    <x v="3"/>
    <x v="7"/>
    <x v="3"/>
    <x v="0"/>
    <x v="2"/>
    <x v="6"/>
    <n v="5.731238176881047"/>
    <s v="23/07 (29/06 - 22/07)"/>
  </r>
  <r>
    <s v="AFB .:. AFB-PNM"/>
    <x v="8"/>
    <s v="AFB-PNM"/>
    <m/>
    <x v="3"/>
    <x v="8"/>
    <x v="6"/>
    <x v="0"/>
    <x v="3"/>
    <x v="6"/>
    <n v="12.742523040070225"/>
    <s v="23/07 (29/06 - 22/07)"/>
  </r>
  <r>
    <s v="AFB .:. AFB-PNX"/>
    <x v="9"/>
    <s v="AFB-PNX"/>
    <m/>
    <x v="3"/>
    <x v="9"/>
    <x v="6"/>
    <x v="0"/>
    <x v="3"/>
    <x v="6"/>
    <n v="2.509320213631824"/>
    <s v="23/07 (29/06 - 22/07)"/>
  </r>
  <r>
    <s v="ONEMA .:. AFB-RAA"/>
    <x v="41"/>
    <s v="AFB-RAA"/>
    <m/>
    <x v="3"/>
    <x v="27"/>
    <x v="4"/>
    <x v="0"/>
    <x v="2"/>
    <x v="6"/>
    <n v="0.2421122190961098"/>
    <s v="23/07 (29/06 - 22/07)"/>
  </r>
  <r>
    <s v="ALM .:. ALM-ATOUT"/>
    <x v="10"/>
    <s v="ALM-ATOUT"/>
    <m/>
    <x v="3"/>
    <x v="10"/>
    <x v="7"/>
    <x v="0"/>
    <x v="4"/>
    <x v="6"/>
    <n v="6.4039036999823331"/>
    <s v="23/07 (29/06 - 22/07)"/>
  </r>
  <r>
    <s v="BRGM .:. BRGM-ORRM"/>
    <x v="11"/>
    <s v="BRGM-ORRM"/>
    <m/>
    <x v="3"/>
    <x v="11"/>
    <x v="8"/>
    <x v="0"/>
    <x v="5"/>
    <x v="6"/>
    <n v="5.5596459454105496"/>
    <s v="23/07 (29/06 - 22/07)"/>
  </r>
  <r>
    <s v="CNAV .:. CNAV-BI-RGCU"/>
    <x v="12"/>
    <s v="CNAV-BI-RGCU"/>
    <m/>
    <x v="3"/>
    <x v="12"/>
    <x v="9"/>
    <x v="0"/>
    <x v="6"/>
    <x v="6"/>
    <n v="11.500330407065217"/>
    <s v="23/07 (29/06 - 22/07)"/>
  </r>
  <r>
    <s v="GFI .:. GFI-INTERNE"/>
    <x v="13"/>
    <s v="d8-qa"/>
    <m/>
    <x v="3"/>
    <x v="13"/>
    <x v="10"/>
    <x v="0"/>
    <x v="7"/>
    <x v="6"/>
    <n v="0.81712873944937059"/>
    <s v="23/07 (29/06 - 22/07)"/>
  </r>
  <r>
    <s v="GFI .:. GFI-INTERNE"/>
    <x v="14"/>
    <s v="drupal-qa"/>
    <m/>
    <x v="3"/>
    <x v="13"/>
    <x v="10"/>
    <x v="0"/>
    <x v="7"/>
    <x v="6"/>
    <n v="0.81712873944937059"/>
    <s v="23/07 (29/06 - 22/07)"/>
  </r>
  <r>
    <s v="FRR .:. FRR-DIGIPAT"/>
    <x v="15"/>
    <s v="FRR DIGIPAT"/>
    <m/>
    <x v="3"/>
    <x v="0"/>
    <x v="0"/>
    <x v="0"/>
    <x v="0"/>
    <x v="6"/>
    <n v="7.4222767357344717"/>
    <s v="23/07 (29/06 - 22/07)"/>
  </r>
  <r>
    <s v="FRR .:. FRR-APPLIFRR"/>
    <x v="42"/>
    <s v="FRR-APPLIFRR"/>
    <m/>
    <x v="3"/>
    <x v="28"/>
    <x v="0"/>
    <x v="0"/>
    <x v="0"/>
    <x v="6"/>
    <n v="3.0468407831705249"/>
    <s v="23/07 (29/06 - 22/07)"/>
  </r>
  <r>
    <s v="FRR .:. FRR-CADENCIER"/>
    <x v="43"/>
    <s v="FRR-CADENCIER"/>
    <m/>
    <x v="3"/>
    <x v="29"/>
    <x v="0"/>
    <x v="0"/>
    <x v="0"/>
    <x v="6"/>
    <n v="3.0468407831705249"/>
    <s v="23/07 (29/06 - 22/07)"/>
  </r>
  <r>
    <s v="FRR .:. FRR-PATAPAIN"/>
    <x v="44"/>
    <s v="FRR-Patapain"/>
    <m/>
    <x v="3"/>
    <x v="30"/>
    <x v="0"/>
    <x v="0"/>
    <x v="0"/>
    <x v="6"/>
    <n v="2.6525437406425745"/>
    <s v="23/07 (29/06 - 22/07)"/>
  </r>
  <r>
    <s v="FRR .:. FRR-PATAPAINANDROID"/>
    <x v="45"/>
    <s v="FRR-PATAPAINANDROID"/>
    <m/>
    <x v="3"/>
    <x v="31"/>
    <x v="0"/>
    <x v="0"/>
    <x v="0"/>
    <x v="6"/>
    <n v="3.0468407831705249"/>
    <s v="23/07 (29/06 - 22/07)"/>
  </r>
  <r>
    <s v="GFI .:. GFI-CMIS"/>
    <x v="46"/>
    <s v="GFI-CMIS"/>
    <m/>
    <x v="3"/>
    <x v="32"/>
    <x v="10"/>
    <x v="0"/>
    <x v="7"/>
    <x v="6"/>
    <n v="0.2421122190961098"/>
    <s v="23/07 (29/06 - 22/07)"/>
  </r>
  <r>
    <s v="GFI .:. GFI-COFFEE"/>
    <x v="47"/>
    <s v="GFI-COFFEE"/>
    <m/>
    <x v="3"/>
    <x v="33"/>
    <x v="10"/>
    <x v="0"/>
    <x v="7"/>
    <x v="6"/>
    <n v="1.4039364393040652"/>
    <s v="23/07 (29/06 - 22/07)"/>
  </r>
  <r>
    <s v="GFI .:. GFI-CRALENIUM"/>
    <x v="48"/>
    <s v="GFI-CRALENIUM"/>
    <m/>
    <x v="3"/>
    <x v="34"/>
    <x v="10"/>
    <x v="0"/>
    <x v="7"/>
    <x v="6"/>
    <n v="3.0468407831705249"/>
    <s v="23/07 (29/06 - 22/07)"/>
  </r>
  <r>
    <s v="GFI .:. GFI-D8-BS4-THEME"/>
    <x v="16"/>
    <s v="GFI-D8-BS4-THEME"/>
    <m/>
    <x v="3"/>
    <x v="35"/>
    <x v="10"/>
    <x v="0"/>
    <x v="7"/>
    <x v="6"/>
    <n v="1.6732644475308922"/>
    <s v="23/07 (29/06 - 22/07)"/>
  </r>
  <r>
    <s v="GFI .:. GFI-Docker Devbox Install"/>
    <x v="49"/>
    <s v="GFI-Docker Devbox Install"/>
    <m/>
    <x v="3"/>
    <x v="36"/>
    <x v="10"/>
    <x v="0"/>
    <x v="7"/>
    <x v="6"/>
    <n v="0.2421122190961098"/>
    <s v="23/07 (29/06 - 22/07)"/>
  </r>
  <r>
    <s v="GFI .:. GFI-MINEREPORT"/>
    <x v="27"/>
    <s v="GFI-MineReport"/>
    <m/>
    <x v="3"/>
    <x v="37"/>
    <x v="10"/>
    <x v="0"/>
    <x v="7"/>
    <x v="6"/>
    <n v="5.503729551952639"/>
    <s v="23/07 (29/06 - 22/07)"/>
  </r>
  <r>
    <s v="GFI .:. GFI-PMT"/>
    <x v="50"/>
    <s v="GFI-PMT"/>
    <m/>
    <x v="3"/>
    <x v="38"/>
    <x v="10"/>
    <x v="0"/>
    <x v="7"/>
    <x v="6"/>
    <n v="5.957679673734722"/>
    <s v="23/07 (29/06 - 22/07)"/>
  </r>
  <r>
    <s v="GFI .:. GFI-REDMINEDOCKER"/>
    <x v="37"/>
    <s v="GFI-RedmineDocker"/>
    <m/>
    <x v="3"/>
    <x v="39"/>
    <x v="10"/>
    <x v="0"/>
    <x v="7"/>
    <x v="6"/>
    <n v="1.3893328451363636"/>
    <s v="23/07 (29/06 - 22/07)"/>
  </r>
  <r>
    <s v="GFI .:. GFI-TENDER"/>
    <x v="51"/>
    <s v="GFI-TENDER"/>
    <m/>
    <x v="3"/>
    <x v="40"/>
    <x v="10"/>
    <x v="0"/>
    <x v="7"/>
    <x v="6"/>
    <n v="3.0468407831705249"/>
    <s v="23/07 (29/06 - 22/07)"/>
  </r>
  <r>
    <s v="GFI .:. GFI-WAAC"/>
    <x v="38"/>
    <s v="GFI-WAAC"/>
    <m/>
    <x v="3"/>
    <x v="41"/>
    <x v="17"/>
    <x v="1"/>
    <x v="7"/>
    <x v="6"/>
    <n v="29.930346557412129"/>
    <s v="23/07 (29/06 - 22/07)"/>
  </r>
  <r>
    <s v="GLI .:. GLI-APIBIOMETRIE"/>
    <x v="17"/>
    <s v="GLI-APIBiometrie"/>
    <m/>
    <x v="3"/>
    <x v="14"/>
    <x v="11"/>
    <x v="0"/>
    <x v="8"/>
    <x v="6"/>
    <n v="8.5590075737964888"/>
    <s v="23/07 (29/06 - 22/07)"/>
  </r>
  <r>
    <s v="LAPOSTE .:. LAPOSTE-F4N-MUSEE"/>
    <x v="52"/>
    <s v="LAPOSTE-F4N-Musee"/>
    <m/>
    <x v="3"/>
    <x v="42"/>
    <x v="18"/>
    <x v="0"/>
    <x v="14"/>
    <x v="6"/>
    <n v="2.9736568623982915"/>
    <s v="23/07 (29/06 - 22/07)"/>
  </r>
  <r>
    <s v="LAPOSTE .:. LAPOSTE-LPK-PortailVoyage"/>
    <x v="53"/>
    <s v="LAPOSTE-LPK-PortailVoyage"/>
    <m/>
    <x v="3"/>
    <x v="43"/>
    <x v="18"/>
    <x v="0"/>
    <x v="14"/>
    <x v="6"/>
    <n v="1.20678791804009"/>
    <s v="23/07 (29/06 - 22/07)"/>
  </r>
  <r>
    <s v="LAPOSTE .:. LAPOSTE-LPM-IntranetDHA"/>
    <x v="54"/>
    <s v="LAPOSTE-LPM-IntranetDHA"/>
    <m/>
    <x v="3"/>
    <x v="44"/>
    <x v="18"/>
    <x v="0"/>
    <x v="14"/>
    <x v="6"/>
    <n v="1.20678791804009"/>
    <s v="23/07 (29/06 - 22/07)"/>
  </r>
  <r>
    <s v="MENESR .:. MENJ-APAE"/>
    <x v="18"/>
    <s v="MENJ-APAE"/>
    <m/>
    <x v="3"/>
    <x v="15"/>
    <x v="12"/>
    <x v="0"/>
    <x v="9"/>
    <x v="6"/>
    <n v="1.2486073013385091"/>
    <s v="23/07 (29/06 - 22/07)"/>
  </r>
  <r>
    <s v="MENESR .:. MENJ-BI"/>
    <x v="36"/>
    <s v="MENJ-BI"/>
    <m/>
    <x v="3"/>
    <x v="25"/>
    <x v="12"/>
    <x v="0"/>
    <x v="9"/>
    <x v="6"/>
    <n v="4.6001321628260863"/>
    <s v="23/07 (29/06 - 22/07)"/>
  </r>
  <r>
    <s v="MENESR .:. MENJ-BNIE"/>
    <x v="19"/>
    <s v="MENJ-BNIE-BDD"/>
    <m/>
    <x v="3"/>
    <x v="16"/>
    <x v="12"/>
    <x v="0"/>
    <x v="9"/>
    <x v="6"/>
    <n v="4.2058351202981363"/>
    <s v="23/07 (29/06 - 22/07)"/>
  </r>
  <r>
    <s v="MENESR .:. MENJ-BNIE"/>
    <x v="33"/>
    <s v="MENJ-BNIE-Webservices"/>
    <m/>
    <x v="3"/>
    <x v="16"/>
    <x v="12"/>
    <x v="0"/>
    <x v="9"/>
    <x v="6"/>
    <n v="0.3285808687732919"/>
    <s v="23/07 (29/06 - 22/07)"/>
  </r>
  <r>
    <s v="MENESR .:. MENJ-RNIE"/>
    <x v="20"/>
    <s v="MENJ-RNIE-BDD"/>
    <m/>
    <x v="3"/>
    <x v="17"/>
    <x v="12"/>
    <x v="0"/>
    <x v="9"/>
    <x v="6"/>
    <n v="1.2486073013385091"/>
    <s v="23/07 (29/06 - 22/07)"/>
  </r>
  <r>
    <s v="MENESR .:. MENJ-RNIE"/>
    <x v="21"/>
    <s v="MENJ-RNIE-Webservices"/>
    <m/>
    <x v="3"/>
    <x v="17"/>
    <x v="12"/>
    <x v="0"/>
    <x v="9"/>
    <x v="6"/>
    <n v="2.0595255288695267"/>
    <s v="23/07 (29/06 - 22/07)"/>
  </r>
  <r>
    <s v="AFB .:. OFB-CMONSPOT"/>
    <x v="55"/>
    <s v="OFB-CMONSPOT"/>
    <m/>
    <x v="3"/>
    <x v="45"/>
    <x v="6"/>
    <x v="0"/>
    <x v="3"/>
    <x v="6"/>
    <n v="1.1171749538291924"/>
    <s v="23/07 (29/06 - 22/07)"/>
  </r>
  <r>
    <s v="OFB .:. OFB-NATUREFRANCE"/>
    <x v="32"/>
    <s v="OFB-NatureFrance"/>
    <m/>
    <x v="3"/>
    <x v="24"/>
    <x v="16"/>
    <x v="0"/>
    <x v="13"/>
    <x v="6"/>
    <n v="8.8536741727016874"/>
    <s v="23/07 (29/06 - 22/07)"/>
  </r>
  <r>
    <s v="AFB .:. OFB-SISPEA"/>
    <x v="40"/>
    <s v="OFB-SISPEA"/>
    <m/>
    <x v="3"/>
    <x v="26"/>
    <x v="6"/>
    <x v="0"/>
    <x v="3"/>
    <x v="6"/>
    <n v="5.7173071166552791"/>
    <s v="23/07 (29/06 - 22/07)"/>
  </r>
  <r>
    <s v="PCM .:. PCM-ALS"/>
    <x v="22"/>
    <s v="PCM-ALS"/>
    <m/>
    <x v="3"/>
    <x v="18"/>
    <x v="13"/>
    <x v="0"/>
    <x v="10"/>
    <x v="6"/>
    <n v="8.3532779034635478"/>
    <s v="23/07 (29/06 - 22/07)"/>
  </r>
  <r>
    <s v="PCM .:. PCM-WEB"/>
    <x v="23"/>
    <s v="PCM-Web"/>
    <m/>
    <x v="3"/>
    <x v="19"/>
    <x v="13"/>
    <x v="0"/>
    <x v="10"/>
    <x v="6"/>
    <n v="3.5833569188998444"/>
    <s v="23/07 (29/06 - 22/07)"/>
  </r>
  <r>
    <s v="SAFT .:. SAFT-PDM"/>
    <x v="56"/>
    <s v="SAFT-PDM"/>
    <m/>
    <x v="3"/>
    <x v="46"/>
    <x v="19"/>
    <x v="0"/>
    <x v="15"/>
    <x v="6"/>
    <n v="3.0468407831705249"/>
    <s v="23/07 (29/06 - 22/07)"/>
  </r>
  <r>
    <s v="SPC .:. SPC-BUILD"/>
    <x v="24"/>
    <s v="SPC-BUILD"/>
    <m/>
    <x v="3"/>
    <x v="1"/>
    <x v="1"/>
    <x v="0"/>
    <x v="1"/>
    <x v="6"/>
    <n v="40.483507544746864"/>
    <s v="23/07 (29/06 - 22/07)"/>
  </r>
  <r>
    <s v="SPC .:. SPC-WEB"/>
    <x v="25"/>
    <s v="SPC-WEB"/>
    <m/>
    <x v="3"/>
    <x v="2"/>
    <x v="2"/>
    <x v="0"/>
    <x v="1"/>
    <x v="6"/>
    <n v="2.6955160392700224"/>
    <s v="23/07 (29/06 - 22/07)"/>
  </r>
  <r>
    <s v="ALM .:. ALM-ATOUT"/>
    <x v="29"/>
    <m/>
    <s v="ALM-ATOUT-VM"/>
    <x v="2"/>
    <x v="10"/>
    <x v="7"/>
    <x v="0"/>
    <x v="4"/>
    <x v="6"/>
    <n v="69.62"/>
    <s v="(29/06 - 22/07)"/>
  </r>
  <r>
    <s v="BRGM .:. BRGM-ORRM"/>
    <x v="30"/>
    <m/>
    <s v="BRGM-ORRM-VM"/>
    <x v="0"/>
    <x v="11"/>
    <x v="8"/>
    <x v="0"/>
    <x v="5"/>
    <x v="6"/>
    <n v="6.69"/>
    <s v="(29/06 - 22/07)"/>
  </r>
  <r>
    <s v="CA-TITRES .:. CATITRES-COMX"/>
    <x v="28"/>
    <m/>
    <s v="CATITRES-COMX-VM"/>
    <x v="1"/>
    <x v="21"/>
    <x v="14"/>
    <x v="0"/>
    <x v="11"/>
    <x v="6"/>
    <n v="118.25"/>
    <s v="(29/06 - 22/07)"/>
  </r>
  <r>
    <s v="EBR .:. EBR-LAPOSTE"/>
    <x v="31"/>
    <m/>
    <s v="EBR-LAPOSTE-VM"/>
    <x v="1"/>
    <x v="22"/>
    <x v="15"/>
    <x v="0"/>
    <x v="12"/>
    <x v="6"/>
    <n v="79.11"/>
    <s v="(29/06 - 22/07)"/>
  </r>
  <r>
    <s v="GFI .:. GFI-PMT"/>
    <x v="57"/>
    <m/>
    <s v="GFI-PMT-VM"/>
    <x v="1"/>
    <x v="38"/>
    <x v="10"/>
    <x v="0"/>
    <x v="7"/>
    <x v="6"/>
    <n v="15.69"/>
    <s v="(29/06 - 22/07)"/>
  </r>
  <r>
    <s v="MENESR .:. MENJ-BI"/>
    <x v="35"/>
    <m/>
    <s v="MENJ-BI-VM"/>
    <x v="2"/>
    <x v="25"/>
    <x v="12"/>
    <x v="0"/>
    <x v="9"/>
    <x v="6"/>
    <n v="3.03"/>
    <s v="(29/06 - 22/07)"/>
  </r>
  <r>
    <s v="AFB .:. AFB-NatureFrance"/>
    <x v="34"/>
    <m/>
    <s v="OFB-FRANCENATURE-VM"/>
    <x v="2"/>
    <x v="23"/>
    <x v="6"/>
    <x v="0"/>
    <x v="3"/>
    <x v="6"/>
    <n v="8.9"/>
    <s v="(29/06 - 22/07)"/>
  </r>
  <r>
    <s v="AFB .:. OFB-SISPEA"/>
    <x v="58"/>
    <m/>
    <s v="OFB-SISPEA-VM"/>
    <x v="1"/>
    <x v="26"/>
    <x v="6"/>
    <x v="0"/>
    <x v="3"/>
    <x v="6"/>
    <n v="21.82"/>
    <s v="(29/06 - 22/07)"/>
  </r>
  <r>
    <s v="SPC .:. SPC-BUILD"/>
    <x v="1"/>
    <m/>
    <s v="SPC-BUILDAS-VM"/>
    <x v="1"/>
    <x v="1"/>
    <x v="1"/>
    <x v="0"/>
    <x v="1"/>
    <x v="6"/>
    <n v="102.45"/>
    <s v="(29/06 - 22/07)"/>
  </r>
  <r>
    <s v="STMICRO .:. STMICRO-DATAPACK"/>
    <x v="59"/>
    <m/>
    <s v="STMICRO-DATAPACK-VM"/>
    <x v="1"/>
    <x v="47"/>
    <x v="20"/>
    <x v="0"/>
    <x v="16"/>
    <x v="6"/>
    <n v="28.32"/>
    <s v="(29/06 - 22/07)"/>
  </r>
  <r>
    <s v="FRR .:. FRR-DIGIPAT"/>
    <x v="0"/>
    <m/>
    <s v="FRR-DIGIPAT-VM"/>
    <x v="0"/>
    <x v="0"/>
    <x v="0"/>
    <x v="0"/>
    <x v="0"/>
    <x v="6"/>
    <n v="20.8"/>
    <s v="(29/06 - 22/07)"/>
  </r>
  <r>
    <s v="ONEMA .:. AFB-BASEINDICATEURS"/>
    <x v="3"/>
    <s v="AFB-BaseIndicateurs"/>
    <m/>
    <x v="3"/>
    <x v="3"/>
    <x v="3"/>
    <x v="0"/>
    <x v="2"/>
    <x v="7"/>
    <n v="0.66523616197636937"/>
    <s v="24/08 (23/07 - 23/08)"/>
  </r>
  <r>
    <s v="ONEMA .:. AFB-CATALOGUE"/>
    <x v="26"/>
    <s v="AFB-Catalogue"/>
    <m/>
    <x v="3"/>
    <x v="20"/>
    <x v="3"/>
    <x v="0"/>
    <x v="2"/>
    <x v="7"/>
    <n v="2.1512118385011503"/>
    <s v="24/08 (23/07 - 23/08)"/>
  </r>
  <r>
    <s v="ONEMA .:. AFB-CDR"/>
    <x v="4"/>
    <s v="AFB-CDR"/>
    <m/>
    <x v="3"/>
    <x v="4"/>
    <x v="4"/>
    <x v="0"/>
    <x v="2"/>
    <x v="7"/>
    <n v="7.6914142209152647"/>
    <s v="24/08 (23/07 - 23/08)"/>
  </r>
  <r>
    <s v="AFB .:. AFB-CESMIA"/>
    <x v="5"/>
    <s v="AFB-CESMIA"/>
    <m/>
    <x v="3"/>
    <x v="5"/>
    <x v="5"/>
    <x v="0"/>
    <x v="3"/>
    <x v="7"/>
    <n v="12.024478946515805"/>
    <s v="24/08 (23/07 - 23/08)"/>
  </r>
  <r>
    <s v="ONEMA .:. AFB-OISON"/>
    <x v="6"/>
    <s v="AFB-OISON"/>
    <m/>
    <x v="3"/>
    <x v="6"/>
    <x v="3"/>
    <x v="0"/>
    <x v="2"/>
    <x v="7"/>
    <n v="5.6574630958543519"/>
    <s v="24/08 (23/07 - 23/08)"/>
  </r>
  <r>
    <s v="ONEMA .:. AFB-PATBIODIV"/>
    <x v="7"/>
    <s v="AFB-PATBiodiv"/>
    <m/>
    <x v="3"/>
    <x v="7"/>
    <x v="3"/>
    <x v="0"/>
    <x v="2"/>
    <x v="7"/>
    <n v="5.6344271000580015"/>
    <s v="24/08 (23/07 - 23/08)"/>
  </r>
  <r>
    <s v="AFB .:. AFB-PNM"/>
    <x v="8"/>
    <s v="AFB-PNM"/>
    <m/>
    <x v="3"/>
    <x v="8"/>
    <x v="6"/>
    <x v="0"/>
    <x v="3"/>
    <x v="7"/>
    <n v="8.5358770953017196"/>
    <s v="24/08 (23/07 - 23/08)"/>
  </r>
  <r>
    <s v="AFB .:. AFB-PNX"/>
    <x v="9"/>
    <s v="AFB-PNX"/>
    <m/>
    <x v="3"/>
    <x v="9"/>
    <x v="6"/>
    <x v="0"/>
    <x v="3"/>
    <x v="7"/>
    <n v="2.6348895648947366"/>
    <s v="24/08 (23/07 - 23/08)"/>
  </r>
  <r>
    <s v="ONEMA .:. AFB-RAA"/>
    <x v="41"/>
    <s v="AFB-RAA"/>
    <m/>
    <x v="3"/>
    <x v="27"/>
    <x v="4"/>
    <x v="0"/>
    <x v="2"/>
    <x v="7"/>
    <n v="0.24391992605800211"/>
    <s v="24/08 (23/07 - 23/08)"/>
  </r>
  <r>
    <s v="ALM .:. ALM-ATOUT"/>
    <x v="10"/>
    <s v="ALM-ATOUT"/>
    <m/>
    <x v="3"/>
    <x v="10"/>
    <x v="7"/>
    <x v="0"/>
    <x v="4"/>
    <x v="7"/>
    <n v="11.810314365685436"/>
    <s v="24/08 (23/07 - 23/08)"/>
  </r>
  <r>
    <s v="BRGM .:. BRGM-ORRM"/>
    <x v="11"/>
    <s v="BRGM-ORRM"/>
    <m/>
    <x v="3"/>
    <x v="11"/>
    <x v="8"/>
    <x v="0"/>
    <x v="5"/>
    <x v="7"/>
    <n v="4.7836859625696624"/>
    <s v="24/08 (23/07 - 23/08)"/>
  </r>
  <r>
    <s v="CNAV .:. CNAV-BI-RGCU"/>
    <x v="12"/>
    <s v="CNAV-BI-RGCU"/>
    <m/>
    <x v="3"/>
    <x v="12"/>
    <x v="9"/>
    <x v="0"/>
    <x v="6"/>
    <x v="7"/>
    <n v="11.5861964877551"/>
    <s v="24/08 (23/07 - 23/08)"/>
  </r>
  <r>
    <s v="GFI .:. GFI-INTERNE"/>
    <x v="13"/>
    <s v="d8-qa"/>
    <m/>
    <x v="3"/>
    <x v="13"/>
    <x v="10"/>
    <x v="0"/>
    <x v="7"/>
    <x v="7"/>
    <n v="0.57495411142243358"/>
    <s v="24/08 (23/07 - 23/08)"/>
  </r>
  <r>
    <s v="GFI .:. GFI-INTERNE"/>
    <x v="14"/>
    <s v="drupal-qa"/>
    <m/>
    <x v="3"/>
    <x v="13"/>
    <x v="10"/>
    <x v="0"/>
    <x v="7"/>
    <x v="7"/>
    <n v="0.57495411142243358"/>
    <s v="24/08 (23/07 - 23/08)"/>
  </r>
  <r>
    <s v="FRR .:. FRR-DIGIPAT"/>
    <x v="15"/>
    <s v="FRR DIGIPAT"/>
    <m/>
    <x v="3"/>
    <x v="0"/>
    <x v="0"/>
    <x v="0"/>
    <x v="0"/>
    <x v="7"/>
    <n v="6.3808511118819231"/>
    <s v="24/08 (23/07 - 23/08)"/>
  </r>
  <r>
    <s v="FRR .:. FRR-APPLIFRR"/>
    <x v="42"/>
    <s v="FRR-APPLIFRR"/>
    <m/>
    <x v="3"/>
    <x v="28"/>
    <x v="0"/>
    <x v="0"/>
    <x v="0"/>
    <x v="7"/>
    <n v="3.028210445663265"/>
    <s v="24/08 (23/07 - 23/08)"/>
  </r>
  <r>
    <s v="FRR .:. FRR-CADENCIER"/>
    <x v="43"/>
    <s v="FRR-CADENCIER"/>
    <m/>
    <x v="3"/>
    <x v="29"/>
    <x v="0"/>
    <x v="0"/>
    <x v="0"/>
    <x v="7"/>
    <n v="3.028210445663265"/>
    <s v="24/08 (23/07 - 23/08)"/>
  </r>
  <r>
    <s v="FRR .:. FRR-PATAPAIN"/>
    <x v="44"/>
    <s v="FRR-Patapain"/>
    <m/>
    <x v="3"/>
    <x v="30"/>
    <x v="0"/>
    <x v="0"/>
    <x v="0"/>
    <x v="7"/>
    <n v="2.4225683565306122"/>
    <s v="24/08 (23/07 - 23/08)"/>
  </r>
  <r>
    <s v="FRR .:. FRR-PATAPAINANDROID"/>
    <x v="45"/>
    <s v="FRR-PATAPAINANDROID"/>
    <m/>
    <x v="3"/>
    <x v="31"/>
    <x v="0"/>
    <x v="0"/>
    <x v="0"/>
    <x v="7"/>
    <n v="3.028210445663265"/>
    <s v="24/08 (23/07 - 23/08)"/>
  </r>
  <r>
    <s v="GFI .:. GFI-CMIS"/>
    <x v="46"/>
    <s v="GFI-CMIS"/>
    <m/>
    <x v="3"/>
    <x v="32"/>
    <x v="10"/>
    <x v="0"/>
    <x v="7"/>
    <x v="7"/>
    <n v="0.24391992605800211"/>
    <s v="24/08 (23/07 - 23/08)"/>
  </r>
  <r>
    <s v="GFI .:. GFI-COFFEE"/>
    <x v="47"/>
    <s v="GFI-COFFEE"/>
    <m/>
    <x v="3"/>
    <x v="33"/>
    <x v="10"/>
    <x v="0"/>
    <x v="7"/>
    <x v="7"/>
    <n v="1.2902809724999997"/>
    <s v="24/08 (23/07 - 23/08)"/>
  </r>
  <r>
    <s v="GFI .:. GFI-CRALENIUM"/>
    <x v="48"/>
    <s v="GFI-CRALENIUM"/>
    <m/>
    <x v="3"/>
    <x v="34"/>
    <x v="10"/>
    <x v="0"/>
    <x v="7"/>
    <x v="7"/>
    <n v="3.028210445663265"/>
    <s v="24/08 (23/07 - 23/08)"/>
  </r>
  <r>
    <s v="GFI .:. GFI-D8-BS4-THEME"/>
    <x v="16"/>
    <s v="GFI-D8-BS4-THEME"/>
    <m/>
    <x v="3"/>
    <x v="35"/>
    <x v="10"/>
    <x v="0"/>
    <x v="7"/>
    <x v="7"/>
    <n v="1.5312750913641244"/>
    <s v="24/08 (23/07 - 23/08)"/>
  </r>
  <r>
    <s v="GFI .:. GFI-Docker Devbox Install"/>
    <x v="49"/>
    <s v="GFI-Docker Devbox Install"/>
    <m/>
    <x v="3"/>
    <x v="36"/>
    <x v="10"/>
    <x v="0"/>
    <x v="7"/>
    <x v="7"/>
    <n v="10.685624234059457"/>
    <s v="24/08 (23/07 - 23/08)"/>
  </r>
  <r>
    <s v="GFI .:. GFI-MINEREPORT"/>
    <x v="27"/>
    <s v="GFI-MineReport"/>
    <m/>
    <x v="3"/>
    <x v="37"/>
    <x v="10"/>
    <x v="0"/>
    <x v="7"/>
    <x v="7"/>
    <n v="5.2551676926603488"/>
    <s v="24/08 (23/07 - 23/08)"/>
  </r>
  <r>
    <s v="GFI .:. GFI-PMT"/>
    <x v="50"/>
    <s v="GFI-PMT"/>
    <m/>
    <x v="3"/>
    <x v="38"/>
    <x v="10"/>
    <x v="0"/>
    <x v="7"/>
    <x v="7"/>
    <n v="5.7312878769536439"/>
    <s v="24/08 (23/07 - 23/08)"/>
  </r>
  <r>
    <s v="GFI .:. GFI-REDMINEDOCKER"/>
    <x v="37"/>
    <s v="GFI-RedmineDocker"/>
    <m/>
    <x v="3"/>
    <x v="39"/>
    <x v="10"/>
    <x v="0"/>
    <x v="7"/>
    <x v="7"/>
    <n v="1.3575745379591835"/>
    <s v="24/08 (23/07 - 23/08)"/>
  </r>
  <r>
    <s v="GFI .:. GFI-TENDER"/>
    <x v="51"/>
    <s v="GFI-TENDER"/>
    <m/>
    <x v="3"/>
    <x v="40"/>
    <x v="10"/>
    <x v="0"/>
    <x v="7"/>
    <x v="7"/>
    <n v="3.028210445663265"/>
    <s v="24/08 (23/07 - 23/08)"/>
  </r>
  <r>
    <s v="GFI .:. GFI-WAAC"/>
    <x v="38"/>
    <s v="GFI-WAAC"/>
    <m/>
    <x v="3"/>
    <x v="41"/>
    <x v="17"/>
    <x v="1"/>
    <x v="7"/>
    <x v="7"/>
    <n v="41.698142482602471"/>
    <s v="24/08 (23/07 - 23/08)"/>
  </r>
  <r>
    <s v="GLI .:. GLI-APIBIOMETRIE"/>
    <x v="17"/>
    <s v="GLI-APIBiometrie"/>
    <m/>
    <x v="3"/>
    <x v="14"/>
    <x v="11"/>
    <x v="0"/>
    <x v="8"/>
    <x v="7"/>
    <n v="7.3543251483909149"/>
    <s v="24/08 (23/07 - 23/08)"/>
  </r>
  <r>
    <s v="LAPOSTE .:. LAPOSTE-F4N-MUSEE"/>
    <x v="52"/>
    <s v="LAPOSTE-F4N-Musee"/>
    <m/>
    <x v="3"/>
    <x v="42"/>
    <x v="18"/>
    <x v="0"/>
    <x v="14"/>
    <x v="7"/>
    <n v="2.3874586702040812"/>
    <s v="24/08 (23/07 - 23/08)"/>
  </r>
  <r>
    <s v="LAPOSTE .:. LAPOSTE-LPK-PortailVoyage"/>
    <x v="53"/>
    <s v="LAPOSTE-LPK-PortailVoyage"/>
    <m/>
    <x v="3"/>
    <x v="43"/>
    <x v="18"/>
    <x v="0"/>
    <x v="14"/>
    <x v="7"/>
    <n v="1.1515977115102038"/>
    <s v="24/08 (23/07 - 23/08)"/>
  </r>
  <r>
    <s v="LAPOSTE .:. LAPOSTE-LPM-IntranetDHA"/>
    <x v="54"/>
    <s v="LAPOSTE-LPM-IntranetDHA"/>
    <m/>
    <x v="3"/>
    <x v="44"/>
    <x v="18"/>
    <x v="0"/>
    <x v="14"/>
    <x v="7"/>
    <n v="1.9240108106938774"/>
    <s v="24/08 (23/07 - 23/08)"/>
  </r>
  <r>
    <s v="MENESR .:. MENJ-APAE"/>
    <x v="18"/>
    <s v="MENJ-APAE"/>
    <m/>
    <x v="3"/>
    <x v="15"/>
    <x v="12"/>
    <x v="0"/>
    <x v="9"/>
    <x v="7"/>
    <n v="1.5668951440583088"/>
    <s v="24/08 (23/07 - 23/08)"/>
  </r>
  <r>
    <s v="MENESR .:. MENJ-BI"/>
    <x v="36"/>
    <s v="MENJ-BI"/>
    <m/>
    <x v="3"/>
    <x v="25"/>
    <x v="12"/>
    <x v="0"/>
    <x v="9"/>
    <x v="7"/>
    <n v="4.6344785951020402"/>
    <s v="24/08 (23/07 - 23/08)"/>
  </r>
  <r>
    <s v="MENESR .:. MENJ-BNIE"/>
    <x v="19"/>
    <s v="MENJ-BNIE-BDD"/>
    <m/>
    <x v="3"/>
    <x v="16"/>
    <x v="12"/>
    <x v="0"/>
    <x v="9"/>
    <x v="7"/>
    <n v="4.5462028123381923"/>
    <s v="24/08 (23/07 - 23/08)"/>
  </r>
  <r>
    <s v="MENESR .:. MENJ-BNIE"/>
    <x v="33"/>
    <s v="MENJ-BNIE-Webservices"/>
    <m/>
    <x v="3"/>
    <x v="16"/>
    <x v="12"/>
    <x v="0"/>
    <x v="9"/>
    <x v="7"/>
    <n v="0.63999942503790086"/>
    <s v="24/08 (23/07 - 23/08)"/>
  </r>
  <r>
    <s v="MENESR .:. MENJ-RNIE"/>
    <x v="20"/>
    <s v="MENJ-RNIE-BDD"/>
    <m/>
    <x v="3"/>
    <x v="17"/>
    <x v="12"/>
    <x v="0"/>
    <x v="9"/>
    <x v="7"/>
    <n v="1.5668951440583088"/>
    <s v="24/08 (23/07 - 23/08)"/>
  </r>
  <r>
    <s v="MENESR .:. MENJ-RNIE"/>
    <x v="21"/>
    <s v="MENJ-RNIE-Webservices"/>
    <m/>
    <x v="3"/>
    <x v="17"/>
    <x v="12"/>
    <x v="0"/>
    <x v="9"/>
    <x v="7"/>
    <n v="2.5700937791570855"/>
    <s v="24/08 (23/07 - 23/08)"/>
  </r>
  <r>
    <s v="AFB .:. OFB-CMONSPOT"/>
    <x v="55"/>
    <s v="OFB-CMONSPOT"/>
    <m/>
    <x v="3"/>
    <x v="45"/>
    <x v="6"/>
    <x v="0"/>
    <x v="3"/>
    <x v="7"/>
    <n v="1.0833846066472304"/>
    <s v="24/08 (23/07 - 23/08)"/>
  </r>
  <r>
    <s v="OFB .:. OFB-NATUREFRANCE"/>
    <x v="32"/>
    <s v="OFB-NatureFrance"/>
    <m/>
    <x v="3"/>
    <x v="24"/>
    <x v="16"/>
    <x v="0"/>
    <x v="13"/>
    <x v="7"/>
    <n v="6.4849029377652991"/>
    <s v="24/08 (23/07 - 23/08)"/>
  </r>
  <r>
    <s v="AFB .:. OFB-SISPEA"/>
    <x v="40"/>
    <s v="OFB-SISPEA"/>
    <m/>
    <x v="3"/>
    <x v="26"/>
    <x v="6"/>
    <x v="0"/>
    <x v="3"/>
    <x v="7"/>
    <n v="5.717863201749271"/>
    <s v="24/08 (23/07 - 23/08)"/>
  </r>
  <r>
    <s v="PCM .:. PCM-ALS"/>
    <x v="22"/>
    <s v="PCM-ALS"/>
    <m/>
    <x v="3"/>
    <x v="18"/>
    <x v="13"/>
    <x v="0"/>
    <x v="10"/>
    <x v="7"/>
    <n v="7.5709770844399253"/>
    <s v="24/08 (23/07 - 23/08)"/>
  </r>
  <r>
    <s v="PCM .:. PCM-WEB"/>
    <x v="23"/>
    <s v="PCM-Web"/>
    <m/>
    <x v="3"/>
    <x v="19"/>
    <x v="13"/>
    <x v="0"/>
    <x v="10"/>
    <x v="7"/>
    <n v="3.3272279408775507"/>
    <s v="24/08 (23/07 - 23/08)"/>
  </r>
  <r>
    <s v="SAFT .:. SAFT-PDM"/>
    <x v="56"/>
    <s v="SAFT-PDM"/>
    <m/>
    <x v="3"/>
    <x v="46"/>
    <x v="19"/>
    <x v="0"/>
    <x v="15"/>
    <x v="7"/>
    <n v="3.028210445663265"/>
    <s v="24/08 (23/07 - 23/08)"/>
  </r>
  <r>
    <s v="SPC .:. SPC-BUILD"/>
    <x v="24"/>
    <s v="SPC-BUILD"/>
    <m/>
    <x v="3"/>
    <x v="1"/>
    <x v="1"/>
    <x v="0"/>
    <x v="1"/>
    <x v="7"/>
    <n v="37.06700578888092"/>
    <s v="24/08 (23/07 - 23/08)"/>
  </r>
  <r>
    <s v="SPC .:. SPC-WEB"/>
    <x v="25"/>
    <s v="SPC-WEB"/>
    <m/>
    <x v="3"/>
    <x v="2"/>
    <x v="2"/>
    <x v="0"/>
    <x v="1"/>
    <x v="7"/>
    <n v="2.5611592236090224"/>
    <s v="24/08 (23/07 - 23/08)"/>
  </r>
  <r>
    <s v="ALM .:. ALM-ATOUT"/>
    <x v="29"/>
    <m/>
    <s v="ALM-ATOUT-VM"/>
    <x v="2"/>
    <x v="10"/>
    <x v="7"/>
    <x v="0"/>
    <x v="4"/>
    <x v="7"/>
    <n v="83.47"/>
    <s v="(23/07 - 23/08)"/>
  </r>
  <r>
    <s v="BRGM .:. BRGM-ORRM"/>
    <x v="30"/>
    <m/>
    <s v="BRGM-ORRM-VM"/>
    <x v="0"/>
    <x v="11"/>
    <x v="8"/>
    <x v="0"/>
    <x v="5"/>
    <x v="7"/>
    <n v="8.31"/>
    <s v="(23/07 - 23/08)"/>
  </r>
  <r>
    <s v="CA-TITRES .:. CATITRES-COMX"/>
    <x v="28"/>
    <m/>
    <s v="CATITRES-COMX-VM"/>
    <x v="1"/>
    <x v="21"/>
    <x v="14"/>
    <x v="0"/>
    <x v="11"/>
    <x v="7"/>
    <n v="139.36000000000001"/>
    <s v="(23/07 - 23/08)"/>
  </r>
  <r>
    <s v="EBR .:. EBR-LAPOSTE"/>
    <x v="31"/>
    <m/>
    <s v="EBR-LAPOSTE-VM"/>
    <x v="1"/>
    <x v="22"/>
    <x v="15"/>
    <x v="0"/>
    <x v="12"/>
    <x v="7"/>
    <n v="112.1"/>
    <s v="(23/07 - 23/08)"/>
  </r>
  <r>
    <s v="GFI .:. GFI-PMT"/>
    <x v="57"/>
    <m/>
    <s v="GFI-PMT-VM"/>
    <x v="1"/>
    <x v="38"/>
    <x v="10"/>
    <x v="0"/>
    <x v="7"/>
    <x v="7"/>
    <n v="19.84"/>
    <s v="(23/07 - 23/08)"/>
  </r>
  <r>
    <s v="MENESR .:. MENJ-BI"/>
    <x v="35"/>
    <m/>
    <s v="MENJ-BI-VM"/>
    <x v="2"/>
    <x v="25"/>
    <x v="12"/>
    <x v="0"/>
    <x v="9"/>
    <x v="7"/>
    <n v="3.92"/>
    <s v="(23/07 - 23/08)"/>
  </r>
  <r>
    <s v="AFB .:. AFB-NatureFrance"/>
    <x v="34"/>
    <m/>
    <s v="OFB-FRANCENATURE-VM"/>
    <x v="2"/>
    <x v="23"/>
    <x v="6"/>
    <x v="0"/>
    <x v="3"/>
    <x v="7"/>
    <n v="11.46"/>
    <s v="(23/07 - 23/08)"/>
  </r>
  <r>
    <s v="AFB .:. OFB-SISPEA"/>
    <x v="58"/>
    <m/>
    <s v="OFB-SISPEA-VM"/>
    <x v="1"/>
    <x v="26"/>
    <x v="6"/>
    <x v="0"/>
    <x v="3"/>
    <x v="7"/>
    <n v="27.06"/>
    <s v="(23/07 - 23/08)"/>
  </r>
  <r>
    <s v="SPC .:. SPC-BUILD"/>
    <x v="1"/>
    <m/>
    <s v="SPC-BUILDAS-VM"/>
    <x v="1"/>
    <x v="1"/>
    <x v="1"/>
    <x v="0"/>
    <x v="1"/>
    <x v="7"/>
    <n v="69.48"/>
    <s v="(23/07 - 23/08)"/>
  </r>
  <r>
    <s v="STMICRO .:. STMICRO-DATAPACK"/>
    <x v="59"/>
    <m/>
    <s v="STMICRO-DATAPACK-VM"/>
    <x v="1"/>
    <x v="47"/>
    <x v="20"/>
    <x v="0"/>
    <x v="16"/>
    <x v="7"/>
    <n v="37.06"/>
    <s v="(23/07 - 23/08)"/>
  </r>
  <r>
    <s v="FRR .:. FRR-DIGIPAT"/>
    <x v="0"/>
    <m/>
    <s v="FRR-DIGIPAT-VM"/>
    <x v="0"/>
    <x v="0"/>
    <x v="0"/>
    <x v="0"/>
    <x v="0"/>
    <x v="7"/>
    <n v="21.64"/>
    <s v="(23/07 - 23/08)"/>
  </r>
  <r>
    <s v="GFI .:. GFI-WAAC"/>
    <x v="60"/>
    <m/>
    <s v="GFI-WAAC-VM"/>
    <x v="2"/>
    <x v="41"/>
    <x v="17"/>
    <x v="1"/>
    <x v="7"/>
    <x v="7"/>
    <n v="3.84"/>
    <s v="(23/07 - 23/08)"/>
  </r>
  <r>
    <s v="LAPOSTE .:. LAPOSTE-CDC"/>
    <x v="61"/>
    <m/>
    <s v="LAPOSTE-CDC-VM"/>
    <x v="1"/>
    <x v="48"/>
    <x v="18"/>
    <x v="0"/>
    <x v="14"/>
    <x v="7"/>
    <n v="4.03"/>
    <s v="(23/07 - 23/08)"/>
  </r>
  <r>
    <s v="ONEMA .:. AFB-BASEINDICATEURS"/>
    <x v="3"/>
    <s v="AFB-BaseIndicateurs"/>
    <m/>
    <x v="3"/>
    <x v="3"/>
    <x v="3"/>
    <x v="0"/>
    <x v="2"/>
    <x v="8"/>
    <n v="0.54191800844999993"/>
    <s v="25/09 (24/08 - 24/08)"/>
  </r>
  <r>
    <s v="ONEMA .:. AFB-CATALOGUE"/>
    <x v="26"/>
    <s v="AFB-Catalogue"/>
    <m/>
    <x v="3"/>
    <x v="20"/>
    <x v="3"/>
    <x v="0"/>
    <x v="2"/>
    <x v="8"/>
    <n v="1.9538540440714285"/>
    <s v="25/09 (24/08 - 24/08)"/>
  </r>
  <r>
    <s v="ONEMA .:. AFB-CDR"/>
    <x v="4"/>
    <s v="AFB-CDR"/>
    <m/>
    <x v="3"/>
    <x v="4"/>
    <x v="4"/>
    <x v="0"/>
    <x v="2"/>
    <x v="8"/>
    <n v="8.353320436652405"/>
    <s v="25/09 (24/08 - 24/08)"/>
  </r>
  <r>
    <s v="AFB .:. AFB-CESMIA"/>
    <x v="5"/>
    <s v="AFB-CESMIA"/>
    <m/>
    <x v="3"/>
    <x v="5"/>
    <x v="5"/>
    <x v="0"/>
    <x v="3"/>
    <x v="8"/>
    <n v="10.506672025636158"/>
    <s v="25/09 (24/08 - 24/08)"/>
  </r>
  <r>
    <s v="ONEMA .:. AFB-OISON"/>
    <x v="6"/>
    <s v="AFB-OISON"/>
    <m/>
    <x v="3"/>
    <x v="6"/>
    <x v="3"/>
    <x v="0"/>
    <x v="2"/>
    <x v="8"/>
    <n v="1.4467125603733746"/>
    <s v="25/09 (24/08 - 24/08)"/>
  </r>
  <r>
    <s v="ONEMA .:. AFB-PATBIODIV"/>
    <x v="7"/>
    <s v="AFB-PATBiodiv"/>
    <m/>
    <x v="3"/>
    <x v="7"/>
    <x v="3"/>
    <x v="0"/>
    <x v="2"/>
    <x v="8"/>
    <n v="5.129788494953571"/>
    <s v="25/09 (24/08 - 24/08)"/>
  </r>
  <r>
    <s v="AFB .:. AFB-PNM"/>
    <x v="8"/>
    <s v="AFB-PNM"/>
    <m/>
    <x v="3"/>
    <x v="8"/>
    <x v="6"/>
    <x v="0"/>
    <x v="3"/>
    <x v="8"/>
    <n v="7.2929497215806531"/>
    <s v="25/09 (24/08 - 24/08)"/>
  </r>
  <r>
    <s v="AFB .:. AFB-PNX"/>
    <x v="9"/>
    <s v="AFB-PNX"/>
    <m/>
    <x v="3"/>
    <x v="9"/>
    <x v="6"/>
    <x v="0"/>
    <x v="3"/>
    <x v="8"/>
    <n v="2.5428600591263639"/>
    <s v="25/09 (24/08 - 24/08)"/>
  </r>
  <r>
    <s v="ONEMA .:. AFB-RAA"/>
    <x v="41"/>
    <s v="AFB-RAA"/>
    <m/>
    <x v="3"/>
    <x v="27"/>
    <x v="4"/>
    <x v="0"/>
    <x v="2"/>
    <x v="8"/>
    <n v="0.23225057504999999"/>
    <s v="25/09 (24/08 - 24/08)"/>
  </r>
  <r>
    <s v="ALM .:. ALM-ATOUT"/>
    <x v="10"/>
    <s v="ALM-ATOUT"/>
    <m/>
    <x v="3"/>
    <x v="10"/>
    <x v="7"/>
    <x v="0"/>
    <x v="4"/>
    <x v="8"/>
    <n v="8.3333622967462198"/>
    <s v="25/09 (24/08 - 24/08)"/>
  </r>
  <r>
    <s v="BRGM .:. BRGM-ORRM"/>
    <x v="11"/>
    <s v="BRGM-ORRM"/>
    <m/>
    <x v="3"/>
    <x v="11"/>
    <x v="8"/>
    <x v="0"/>
    <x v="5"/>
    <x v="8"/>
    <n v="4.7102867055675963"/>
    <s v="25/09 (24/08 - 24/08)"/>
  </r>
  <r>
    <s v="CNAV .:. CNAV-BI-RGCU"/>
    <x v="12"/>
    <s v="CNAV-BI-RGCU"/>
    <m/>
    <x v="3"/>
    <x v="12"/>
    <x v="9"/>
    <x v="0"/>
    <x v="6"/>
    <x v="8"/>
    <n v="11.612528752500001"/>
    <s v="25/09 (24/08 - 24/08)"/>
  </r>
  <r>
    <s v="GFI .:. GFI-INTERNE"/>
    <x v="13"/>
    <s v="d8-qa"/>
    <m/>
    <x v="3"/>
    <x v="13"/>
    <x v="10"/>
    <x v="0"/>
    <x v="7"/>
    <x v="8"/>
    <n v="0.50548654569705886"/>
    <s v="25/09 (24/08 - 24/08)"/>
  </r>
  <r>
    <s v="GFI .:. GFI-INTERNE"/>
    <x v="14"/>
    <s v="drupal-qa"/>
    <m/>
    <x v="3"/>
    <x v="13"/>
    <x v="10"/>
    <x v="0"/>
    <x v="7"/>
    <x v="8"/>
    <n v="0.50548654569705886"/>
    <s v="25/09 (24/08 - 24/08)"/>
  </r>
  <r>
    <s v="FRR .:. FRR-DIGIPAT"/>
    <x v="15"/>
    <s v="FRR DIGIPAT"/>
    <m/>
    <x v="3"/>
    <x v="0"/>
    <x v="0"/>
    <x v="0"/>
    <x v="0"/>
    <x v="8"/>
    <n v="6.0710145096298875"/>
    <s v="25/09 (24/08 - 24/08)"/>
  </r>
  <r>
    <s v="FRR .:. FRR-APPLIFRR"/>
    <x v="42"/>
    <s v="FRR-APPLIFRR"/>
    <m/>
    <x v="3"/>
    <x v="28"/>
    <x v="0"/>
    <x v="0"/>
    <x v="0"/>
    <x v="8"/>
    <n v="2.8572932588388156"/>
    <s v="25/09 (24/08 - 24/08)"/>
  </r>
  <r>
    <s v="FRR .:. FRR-CADENCIER"/>
    <x v="43"/>
    <s v="FRR-CADENCIER"/>
    <m/>
    <x v="3"/>
    <x v="29"/>
    <x v="0"/>
    <x v="0"/>
    <x v="0"/>
    <x v="8"/>
    <n v="2.8572932588388156"/>
    <s v="25/09 (24/08 - 24/08)"/>
  </r>
  <r>
    <s v="FRR .:. FRR-PATAPAIN"/>
    <x v="44"/>
    <s v="FRR-Patapain"/>
    <m/>
    <x v="3"/>
    <x v="30"/>
    <x v="0"/>
    <x v="0"/>
    <x v="0"/>
    <x v="8"/>
    <n v="1.9768947757232143"/>
    <s v="25/09 (24/08 - 24/08)"/>
  </r>
  <r>
    <s v="FRR .:. FRR-PATAPAINANDROID"/>
    <x v="45"/>
    <s v="FRR-PATAPAINANDROID"/>
    <m/>
    <x v="3"/>
    <x v="31"/>
    <x v="0"/>
    <x v="0"/>
    <x v="0"/>
    <x v="8"/>
    <n v="2.8572932588388156"/>
    <s v="25/09 (24/08 - 24/08)"/>
  </r>
  <r>
    <s v="GFI .:. GFI-CMIS"/>
    <x v="46"/>
    <s v="GFI-CMIS"/>
    <m/>
    <x v="3"/>
    <x v="32"/>
    <x v="10"/>
    <x v="0"/>
    <x v="7"/>
    <x v="8"/>
    <n v="0.23225057504999999"/>
    <s v="25/09 (24/08 - 24/08)"/>
  </r>
  <r>
    <s v="GFI .:. GFI-COFFEE"/>
    <x v="47"/>
    <s v="GFI-COFFEE"/>
    <m/>
    <x v="3"/>
    <x v="33"/>
    <x v="10"/>
    <x v="0"/>
    <x v="7"/>
    <x v="8"/>
    <n v="0.99928865843881576"/>
    <s v="25/09 (24/08 - 24/08)"/>
  </r>
  <r>
    <s v="GFI .:. GFI-CRALENIUM"/>
    <x v="48"/>
    <s v="GFI-CRALENIUM"/>
    <m/>
    <x v="3"/>
    <x v="34"/>
    <x v="10"/>
    <x v="0"/>
    <x v="7"/>
    <x v="8"/>
    <n v="2.8572932588388156"/>
    <s v="25/09 (24/08 - 24/08)"/>
  </r>
  <r>
    <s v="GFI .:. GFI-D8-BS4-THEME"/>
    <x v="16"/>
    <s v="GFI-D8-BS4-THEME"/>
    <m/>
    <x v="3"/>
    <x v="35"/>
    <x v="10"/>
    <x v="0"/>
    <x v="7"/>
    <x v="8"/>
    <n v="1.4119360356214286"/>
    <s v="25/09 (24/08 - 24/08)"/>
  </r>
  <r>
    <s v="GFI .:. GFI-Docker Devbox Install"/>
    <x v="49"/>
    <s v="GFI-Docker Devbox Install"/>
    <m/>
    <x v="3"/>
    <x v="36"/>
    <x v="10"/>
    <x v="0"/>
    <x v="7"/>
    <x v="8"/>
    <n v="11.247318175776945"/>
    <s v="25/09 (24/08 - 24/08)"/>
  </r>
  <r>
    <s v="GFI .:. GFI-MINEREPORT"/>
    <x v="27"/>
    <s v="GFI-MineReport"/>
    <m/>
    <x v="3"/>
    <x v="37"/>
    <x v="10"/>
    <x v="0"/>
    <x v="7"/>
    <x v="8"/>
    <n v="4.0014688859233747"/>
    <s v="25/09 (24/08 - 24/08)"/>
  </r>
  <r>
    <s v="GFI .:. GFI-PMT"/>
    <x v="50"/>
    <s v="GFI-PMT"/>
    <m/>
    <x v="3"/>
    <x v="38"/>
    <x v="10"/>
    <x v="0"/>
    <x v="7"/>
    <x v="8"/>
    <n v="8.5189156644436572"/>
    <s v="25/09 (24/08 - 24/08)"/>
  </r>
  <r>
    <s v="GFI .:. GFI-REDMINEDOCKER"/>
    <x v="37"/>
    <s v="GFI-RedmineDocker"/>
    <m/>
    <x v="3"/>
    <x v="39"/>
    <x v="10"/>
    <x v="0"/>
    <x v="7"/>
    <x v="8"/>
    <n v="1.1382121435982144"/>
    <s v="25/09 (24/08 - 24/08)"/>
  </r>
  <r>
    <s v="GFI .:. GFI-TENDER"/>
    <x v="51"/>
    <s v="GFI-TENDER"/>
    <m/>
    <x v="3"/>
    <x v="40"/>
    <x v="10"/>
    <x v="0"/>
    <x v="7"/>
    <x v="8"/>
    <n v="2.8572932588388156"/>
    <s v="25/09 (24/08 - 24/08)"/>
  </r>
  <r>
    <s v="GFI .:. GFI-WAAC"/>
    <x v="38"/>
    <s v="GFI-WAAC"/>
    <m/>
    <x v="3"/>
    <x v="41"/>
    <x v="17"/>
    <x v="1"/>
    <x v="7"/>
    <x v="8"/>
    <n v="269.59129032927143"/>
    <s v="25/09 (24/08 - 24/08)"/>
  </r>
  <r>
    <s v="GLI .:. GLI-APIBIOMETRIE"/>
    <x v="17"/>
    <s v="GLI-APIBiometrie"/>
    <m/>
    <x v="3"/>
    <x v="14"/>
    <x v="11"/>
    <x v="0"/>
    <x v="8"/>
    <x v="8"/>
    <n v="9.4846120816269703"/>
    <s v="25/09 (24/08 - 24/08)"/>
  </r>
  <r>
    <s v="LAPOSTE .:. LAPOSTE-F4N-MUSEE"/>
    <x v="52"/>
    <s v="LAPOSTE-F4N-Musee"/>
    <m/>
    <x v="3"/>
    <x v="42"/>
    <x v="18"/>
    <x v="0"/>
    <x v="14"/>
    <x v="8"/>
    <n v="2.0017787659071429"/>
    <s v="25/09 (24/08 - 24/08)"/>
  </r>
  <r>
    <s v="LAPOSTE .:. LAPOSTE-L71-PDP"/>
    <x v="62"/>
    <s v="LAPOSTE-L71-PDP"/>
    <m/>
    <x v="3"/>
    <x v="49"/>
    <x v="18"/>
    <x v="0"/>
    <x v="14"/>
    <x v="8"/>
    <n v="1.1640177630482142"/>
    <s v="25/09 (24/08 - 24/08)"/>
  </r>
  <r>
    <s v="LAPOSTE .:. LAPOSTE-LCA-PariteUn-e"/>
    <x v="63"/>
    <s v="LAPOSTE-LCA-PariteUn-e"/>
    <m/>
    <x v="3"/>
    <x v="50"/>
    <x v="18"/>
    <x v="0"/>
    <x v="14"/>
    <x v="8"/>
    <n v="1.1640177630482142"/>
    <s v="25/09 (24/08 - 24/08)"/>
  </r>
  <r>
    <s v="LAPOSTE .:. LAPOSTE-LPK-PortailVoyage"/>
    <x v="53"/>
    <s v="LAPOSTE-LPK-PortailVoyage"/>
    <m/>
    <x v="3"/>
    <x v="43"/>
    <x v="18"/>
    <x v="0"/>
    <x v="14"/>
    <x v="8"/>
    <n v="1.1640177630482142"/>
    <s v="25/09 (24/08 - 24/08)"/>
  </r>
  <r>
    <s v="LAPOSTE .:. LAPOSTE-LPM-IntranetDHA"/>
    <x v="54"/>
    <s v="LAPOSTE-LPM-IntranetDHA"/>
    <m/>
    <x v="3"/>
    <x v="44"/>
    <x v="18"/>
    <x v="0"/>
    <x v="14"/>
    <x v="8"/>
    <n v="1.5179234012196425"/>
    <s v="25/09 (24/08 - 24/08)"/>
  </r>
  <r>
    <s v="LAPOSTE .:. LAPOSTE-VWA-Fondation"/>
    <x v="64"/>
    <s v="LAPOSTE-VWA-Fondation"/>
    <m/>
    <x v="3"/>
    <x v="51"/>
    <x v="18"/>
    <x v="0"/>
    <x v="14"/>
    <x v="8"/>
    <n v="1.1640177630482142"/>
    <s v="25/09 (24/08 - 24/08)"/>
  </r>
  <r>
    <s v="MENESR .:. MENJ-APAE"/>
    <x v="18"/>
    <s v="MENJ-APAE"/>
    <m/>
    <x v="3"/>
    <x v="15"/>
    <x v="12"/>
    <x v="0"/>
    <x v="9"/>
    <x v="8"/>
    <n v="1.4344888458970588"/>
    <s v="25/09 (24/08 - 24/08)"/>
  </r>
  <r>
    <s v="MENESR .:. MENJ-BI"/>
    <x v="36"/>
    <s v="MENJ-BI"/>
    <m/>
    <x v="3"/>
    <x v="25"/>
    <x v="12"/>
    <x v="0"/>
    <x v="9"/>
    <x v="8"/>
    <n v="3.4837586257500002"/>
    <s v="25/09 (24/08 - 24/08)"/>
  </r>
  <r>
    <s v="MENESR .:. MENJ-BNIE"/>
    <x v="19"/>
    <s v="MENJ-BNIE-BDD"/>
    <m/>
    <x v="3"/>
    <x v="16"/>
    <x v="12"/>
    <x v="0"/>
    <x v="9"/>
    <x v="8"/>
    <n v="3.2861269554698511"/>
    <s v="25/09 (24/08 - 24/08)"/>
  </r>
  <r>
    <s v="MENESR .:. MENJ-BNIE"/>
    <x v="33"/>
    <s v="MENJ-BNIE-Webservices"/>
    <m/>
    <x v="3"/>
    <x v="16"/>
    <x v="12"/>
    <x v="0"/>
    <x v="9"/>
    <x v="8"/>
    <n v="0.50548654569705886"/>
    <s v="25/09 (24/08 - 24/08)"/>
  </r>
  <r>
    <s v="MENESR .:. MENJ-INSERJEUNES"/>
    <x v="65"/>
    <s v="MENJ-InserJeunes"/>
    <m/>
    <x v="3"/>
    <x v="52"/>
    <x v="21"/>
    <x v="0"/>
    <x v="9"/>
    <x v="8"/>
    <n v="5.291509603259378"/>
    <s v="25/09 (24/08 - 24/08)"/>
  </r>
  <r>
    <s v="MENESR .:. MENJ-RNIE"/>
    <x v="20"/>
    <s v="MENJ-RNIE-BDD"/>
    <m/>
    <x v="3"/>
    <x v="17"/>
    <x v="12"/>
    <x v="0"/>
    <x v="9"/>
    <x v="8"/>
    <n v="1.4344888458970588"/>
    <s v="25/09 (24/08 - 24/08)"/>
  </r>
  <r>
    <s v="MENESR .:. MENJ-RNIE"/>
    <x v="21"/>
    <s v="MENJ-RNIE-Webservices"/>
    <m/>
    <x v="3"/>
    <x v="17"/>
    <x v="12"/>
    <x v="0"/>
    <x v="9"/>
    <x v="8"/>
    <n v="1.4344888458970588"/>
    <s v="25/09 (24/08 - 24/08)"/>
  </r>
  <r>
    <s v="AFB .:. OFB-CMONSPOT"/>
    <x v="55"/>
    <s v="OFB-CMONSPOT"/>
    <m/>
    <x v="3"/>
    <x v="45"/>
    <x v="6"/>
    <x v="0"/>
    <x v="3"/>
    <x v="8"/>
    <n v="0.97324050497142855"/>
    <s v="25/09 (24/08 - 24/08)"/>
  </r>
  <r>
    <s v="OFB .:. OFB-NATUREFRANCE"/>
    <x v="32"/>
    <s v="OFB-NatureFrance"/>
    <m/>
    <x v="3"/>
    <x v="24"/>
    <x v="16"/>
    <x v="0"/>
    <x v="13"/>
    <x v="8"/>
    <n v="7.2261328477339992"/>
    <s v="25/09 (24/08 - 24/08)"/>
  </r>
  <r>
    <s v="AFB .:. OFB-SISPEA"/>
    <x v="40"/>
    <s v="OFB-SISPEA"/>
    <m/>
    <x v="3"/>
    <x v="26"/>
    <x v="6"/>
    <x v="0"/>
    <x v="3"/>
    <x v="8"/>
    <n v="3.2957462554714287"/>
    <s v="25/09 (24/08 - 24/08)"/>
  </r>
  <r>
    <s v="PCM .:. PCM-ALS"/>
    <x v="22"/>
    <s v="PCM-ALS"/>
    <m/>
    <x v="3"/>
    <x v="18"/>
    <x v="13"/>
    <x v="0"/>
    <x v="10"/>
    <x v="8"/>
    <n v="7.3527582847178561"/>
    <s v="25/09 (24/08 - 24/08)"/>
  </r>
  <r>
    <s v="PCM .:. PCM-WEB"/>
    <x v="23"/>
    <s v="PCM-Web"/>
    <m/>
    <x v="3"/>
    <x v="19"/>
    <x v="13"/>
    <x v="0"/>
    <x v="10"/>
    <x v="8"/>
    <n v="3.1316962461107138"/>
    <s v="25/09 (24/08 - 24/08)"/>
  </r>
  <r>
    <s v="SAFT .:. SAFT-PDM"/>
    <x v="56"/>
    <s v="SAFT-PDM"/>
    <m/>
    <x v="3"/>
    <x v="46"/>
    <x v="19"/>
    <x v="0"/>
    <x v="15"/>
    <x v="8"/>
    <n v="2.8572932588388156"/>
    <s v="25/09 (24/08 - 24/08)"/>
  </r>
  <r>
    <s v="SPC .:. SPC-BUILD"/>
    <x v="24"/>
    <s v="SPC-BUILD"/>
    <m/>
    <x v="3"/>
    <x v="1"/>
    <x v="1"/>
    <x v="0"/>
    <x v="1"/>
    <x v="8"/>
    <n v="43.435231610975563"/>
    <s v="25/09 (24/08 - 24/08)"/>
  </r>
  <r>
    <s v="SPC .:. SPC-WEB"/>
    <x v="25"/>
    <s v="SPC-WEB"/>
    <m/>
    <x v="3"/>
    <x v="2"/>
    <x v="2"/>
    <x v="0"/>
    <x v="1"/>
    <x v="8"/>
    <n v="2.4441608136214286"/>
    <s v="25/09 (24/08 - 24/08)"/>
  </r>
  <r>
    <s v="STMICRO .:. STMICRO-DATAPACK"/>
    <x v="66"/>
    <s v="STMICRO-DATAPACK"/>
    <m/>
    <x v="3"/>
    <x v="47"/>
    <x v="20"/>
    <x v="0"/>
    <x v="16"/>
    <x v="8"/>
    <n v="1.9692763542358747"/>
    <s v="25/09 (24/08 - 24/08)"/>
  </r>
  <r>
    <s v="STMICRO .:. STMICRO-ROCKET"/>
    <x v="67"/>
    <s v="STMICRO-ROCKET"/>
    <m/>
    <x v="3"/>
    <x v="53"/>
    <x v="20"/>
    <x v="0"/>
    <x v="16"/>
    <x v="8"/>
    <n v="4.2917821047358746"/>
    <s v="25/09 (24/08 - 24/08)"/>
  </r>
  <r>
    <s v="ALM .:. ALM-ATOUT"/>
    <x v="29"/>
    <m/>
    <s v="ALM-ATOUT-VM"/>
    <x v="2"/>
    <x v="10"/>
    <x v="7"/>
    <x v="0"/>
    <x v="4"/>
    <x v="8"/>
    <n v="80.239999999999995"/>
    <s v="(24/08 - 24/09)"/>
  </r>
  <r>
    <s v="BRGM .:. BRGM-ORRM"/>
    <x v="30"/>
    <m/>
    <s v="BRGM-ORRM-VM"/>
    <x v="0"/>
    <x v="11"/>
    <x v="8"/>
    <x v="0"/>
    <x v="5"/>
    <x v="8"/>
    <n v="9.19"/>
    <s v="(24/08 - 24/09)"/>
  </r>
  <r>
    <s v="CA-TITRES .:. CATITRES-COMX"/>
    <x v="28"/>
    <m/>
    <s v="CATITRES-COMX-VM"/>
    <x v="1"/>
    <x v="21"/>
    <x v="14"/>
    <x v="0"/>
    <x v="11"/>
    <x v="8"/>
    <n v="144.04"/>
    <s v="(24/08 - 24/09)"/>
  </r>
  <r>
    <s v="EBR .:. EBR-LAPOSTE"/>
    <x v="31"/>
    <m/>
    <s v="EBR-LAPOSTE-VM"/>
    <x v="1"/>
    <x v="22"/>
    <x v="15"/>
    <x v="0"/>
    <x v="12"/>
    <x v="8"/>
    <n v="100.47"/>
    <s v="(24/08 - 24/09)"/>
  </r>
  <r>
    <s v="GFI .:. GFI-PMT"/>
    <x v="57"/>
    <m/>
    <s v="GFI-PMT-VM"/>
    <x v="1"/>
    <x v="38"/>
    <x v="10"/>
    <x v="0"/>
    <x v="7"/>
    <x v="8"/>
    <n v="22.43"/>
    <s v="(24/08 - 24/09)"/>
  </r>
  <r>
    <s v="MENESR .:. MENJ-BI"/>
    <x v="35"/>
    <m/>
    <s v="MENJ-BI-VM"/>
    <x v="2"/>
    <x v="25"/>
    <x v="12"/>
    <x v="0"/>
    <x v="9"/>
    <x v="8"/>
    <n v="3.78"/>
    <s v="(24/08 - 24/09)"/>
  </r>
  <r>
    <s v="AFB .:. AFB-NatureFrance"/>
    <x v="34"/>
    <m/>
    <s v="OFB-FRANCENATURE-VM"/>
    <x v="2"/>
    <x v="23"/>
    <x v="6"/>
    <x v="0"/>
    <x v="3"/>
    <x v="8"/>
    <n v="10.59"/>
    <s v="(24/08 - 24/09)"/>
  </r>
  <r>
    <s v="AFB .:. OFB-SISPEA"/>
    <x v="58"/>
    <m/>
    <s v="OFB-SISPEA-VM"/>
    <x v="1"/>
    <x v="26"/>
    <x v="6"/>
    <x v="0"/>
    <x v="3"/>
    <x v="8"/>
    <n v="27.32"/>
    <s v="(24/08 - 24/09)"/>
  </r>
  <r>
    <s v="SPC .:. SPC-BUILD"/>
    <x v="1"/>
    <m/>
    <s v="SPC-BUILDAS-VM"/>
    <x v="1"/>
    <x v="1"/>
    <x v="1"/>
    <x v="0"/>
    <x v="1"/>
    <x v="8"/>
    <n v="141.30000000000001"/>
    <s v="(24/08 - 24/09)"/>
  </r>
  <r>
    <s v="STMICRO .:. STMICRO-DATAPACK"/>
    <x v="59"/>
    <m/>
    <s v="STMICRO-DATAPACK-VM"/>
    <x v="1"/>
    <x v="47"/>
    <x v="20"/>
    <x v="0"/>
    <x v="16"/>
    <x v="8"/>
    <n v="38.4"/>
    <s v="(24/08 - 24/09)"/>
  </r>
  <r>
    <s v="FRR .:. FRR-DIGIPAT"/>
    <x v="0"/>
    <m/>
    <s v="FRR-DIGIPAT-VM"/>
    <x v="0"/>
    <x v="0"/>
    <x v="0"/>
    <x v="0"/>
    <x v="0"/>
    <x v="8"/>
    <n v="21.65"/>
    <s v="(24/08 - 24/09)"/>
  </r>
  <r>
    <s v="GFI .:. GFI-WAAC"/>
    <x v="60"/>
    <m/>
    <s v="GFI-WAAC-VM"/>
    <x v="2"/>
    <x v="41"/>
    <x v="17"/>
    <x v="1"/>
    <x v="7"/>
    <x v="8"/>
    <n v="15.03"/>
    <s v="(24/08 - 24/09)"/>
  </r>
  <r>
    <s v="LAPOSTE .:. LAPOSTE-CDC"/>
    <x v="61"/>
    <m/>
    <s v="LAPOSTE-CDC-VM"/>
    <x v="1"/>
    <x v="48"/>
    <x v="18"/>
    <x v="0"/>
    <x v="14"/>
    <x v="8"/>
    <n v="9.43"/>
    <s v="(24/08 - 24/09)"/>
  </r>
  <r>
    <s v="MENESR .:. MENJ-INSERJEUNES"/>
    <x v="68"/>
    <m/>
    <s v="MENJ-INERJEUNES"/>
    <x v="0"/>
    <x v="52"/>
    <x v="21"/>
    <x v="0"/>
    <x v="9"/>
    <x v="8"/>
    <n v="0.87"/>
    <s v="(24/08 - 24/09)"/>
  </r>
  <r>
    <s v="ONEMA .:. AFB-BASEINDICATEURS"/>
    <x v="3"/>
    <s v="AFB-BaseIndicateurs"/>
    <m/>
    <x v="3"/>
    <x v="3"/>
    <x v="3"/>
    <x v="0"/>
    <x v="2"/>
    <x v="9"/>
    <n v="0.48803683080208327"/>
    <s v="26/10 (25/09 - 25/10)"/>
  </r>
  <r>
    <s v="ONEMA .:. AFB-CATALOGUE"/>
    <x v="26"/>
    <s v="AFB-Catalogue"/>
    <m/>
    <x v="3"/>
    <x v="20"/>
    <x v="3"/>
    <x v="0"/>
    <x v="2"/>
    <x v="9"/>
    <n v="1.8724201854354703"/>
    <s v="26/10 (25/09 - 25/10)"/>
  </r>
  <r>
    <s v="ONEMA .:. AFB-CDR"/>
    <x v="4"/>
    <s v="AFB-CDR"/>
    <m/>
    <x v="3"/>
    <x v="4"/>
    <x v="4"/>
    <x v="0"/>
    <x v="2"/>
    <x v="9"/>
    <n v="8.5200006208381094"/>
    <s v="26/10 (25/09 - 25/10)"/>
  </r>
  <r>
    <s v="AFB .:. AFB-CESMIA"/>
    <x v="5"/>
    <s v="AFB-CESMIA"/>
    <m/>
    <x v="3"/>
    <x v="5"/>
    <x v="5"/>
    <x v="0"/>
    <x v="3"/>
    <x v="9"/>
    <n v="8.3242972598595628"/>
    <s v="26/10 (25/09 - 25/10)"/>
  </r>
  <r>
    <s v="ONEMA .:. AFB-OISON"/>
    <x v="6"/>
    <s v="AFB-OISON"/>
    <m/>
    <x v="3"/>
    <x v="6"/>
    <x v="3"/>
    <x v="0"/>
    <x v="2"/>
    <x v="9"/>
    <n v="5.3654356422009251"/>
    <s v="26/10 (25/09 - 25/10)"/>
  </r>
  <r>
    <s v="ONEMA .:. AFB-PATBIODIV"/>
    <x v="7"/>
    <s v="AFB-PATBiodiv"/>
    <m/>
    <x v="3"/>
    <x v="7"/>
    <x v="3"/>
    <x v="0"/>
    <x v="2"/>
    <x v="9"/>
    <n v="5.8899122897217104"/>
    <s v="26/10 (25/09 - 25/10)"/>
  </r>
  <r>
    <s v="AFB .:. AFB-PNM"/>
    <x v="8"/>
    <s v="AFB-PNM"/>
    <m/>
    <x v="3"/>
    <x v="8"/>
    <x v="6"/>
    <x v="0"/>
    <x v="3"/>
    <x v="9"/>
    <n v="8.1899604416767993"/>
    <s v="26/10 (25/09 - 25/10)"/>
  </r>
  <r>
    <s v="AFB .:. AFB-PNX"/>
    <x v="9"/>
    <s v="AFB-PNX"/>
    <m/>
    <x v="3"/>
    <x v="9"/>
    <x v="6"/>
    <x v="0"/>
    <x v="3"/>
    <x v="9"/>
    <n v="2.0319578575688242"/>
    <s v="26/10 (25/09 - 25/10)"/>
  </r>
  <r>
    <s v="ONEMA .:. AFB-RAA"/>
    <x v="41"/>
    <s v="AFB-RAA"/>
    <m/>
    <x v="3"/>
    <x v="27"/>
    <x v="4"/>
    <x v="0"/>
    <x v="2"/>
    <x v="9"/>
    <n v="0.23117534090624997"/>
    <s v="26/10 (25/09 - 25/10)"/>
  </r>
  <r>
    <s v="ALM .:. ALM-ATOUT"/>
    <x v="10"/>
    <s v="ALM-ATOUT"/>
    <m/>
    <x v="3"/>
    <x v="10"/>
    <x v="7"/>
    <x v="0"/>
    <x v="4"/>
    <x v="9"/>
    <n v="6.750258549395399"/>
    <s v="26/10 (25/09 - 25/10)"/>
  </r>
  <r>
    <s v="BRGM .:. BRGM-ORRM"/>
    <x v="11"/>
    <s v="BRGM-ORRM"/>
    <m/>
    <x v="3"/>
    <x v="11"/>
    <x v="8"/>
    <x v="0"/>
    <x v="5"/>
    <x v="9"/>
    <n v="8.9045395465594517"/>
    <s v="26/10 (25/09 - 25/10)"/>
  </r>
  <r>
    <s v="CGOS .:. CGOS-BI"/>
    <x v="69"/>
    <s v="CGOS-BI"/>
    <m/>
    <x v="3"/>
    <x v="54"/>
    <x v="22"/>
    <x v="0"/>
    <x v="17"/>
    <x v="9"/>
    <n v="4.6235068181249996"/>
    <s v="26/10 (25/09 - 25/10)"/>
  </r>
  <r>
    <s v="CNAV .:. CNAV-BI-RGCU"/>
    <x v="12"/>
    <s v="CNAV-BI-RGCU"/>
    <m/>
    <x v="3"/>
    <x v="12"/>
    <x v="9"/>
    <x v="0"/>
    <x v="6"/>
    <x v="9"/>
    <n v="11.5587670453125"/>
    <s v="26/10 (25/09 - 25/10)"/>
  </r>
  <r>
    <s v="GFI .:. GFI-INTERNE"/>
    <x v="13"/>
    <s v="d8-qa"/>
    <m/>
    <x v="3"/>
    <x v="13"/>
    <x v="10"/>
    <x v="0"/>
    <x v="7"/>
    <x v="9"/>
    <n v="0.50314633020772059"/>
    <s v="26/10 (25/09 - 25/10)"/>
  </r>
  <r>
    <s v="GFI .:. GFI-INTERNE"/>
    <x v="14"/>
    <s v="drupal-qa"/>
    <m/>
    <x v="3"/>
    <x v="13"/>
    <x v="10"/>
    <x v="0"/>
    <x v="7"/>
    <x v="9"/>
    <n v="0.50314633020772059"/>
    <s v="26/10 (25/09 - 25/10)"/>
  </r>
  <r>
    <s v="FRR .:. FRR-DIGIPAT"/>
    <x v="15"/>
    <s v="FRR DIGIPAT"/>
    <m/>
    <x v="3"/>
    <x v="0"/>
    <x v="0"/>
    <x v="0"/>
    <x v="0"/>
    <x v="9"/>
    <n v="5.415682225420114"/>
    <s v="26/10 (25/09 - 25/10)"/>
  </r>
  <r>
    <s v="FRR .:. FRR-APPLIFRR"/>
    <x v="42"/>
    <s v="FRR-APPLIFRR"/>
    <m/>
    <x v="3"/>
    <x v="28"/>
    <x v="0"/>
    <x v="0"/>
    <x v="0"/>
    <x v="9"/>
    <n v="2.8486518616267227"/>
    <s v="26/10 (25/09 - 25/10)"/>
  </r>
  <r>
    <s v="FRR .:. FRR-CADENCIER"/>
    <x v="43"/>
    <s v="FRR-CADENCIER"/>
    <m/>
    <x v="3"/>
    <x v="29"/>
    <x v="0"/>
    <x v="0"/>
    <x v="0"/>
    <x v="9"/>
    <n v="2.8486518616267227"/>
    <s v="26/10 (25/09 - 25/10)"/>
  </r>
  <r>
    <s v="FRR .:. FRR-PATAPAIN"/>
    <x v="44"/>
    <s v="FRR-Patapain"/>
    <m/>
    <x v="3"/>
    <x v="30"/>
    <x v="0"/>
    <x v="0"/>
    <x v="0"/>
    <x v="9"/>
    <n v="1.3576964465922619"/>
    <s v="26/10 (25/09 - 25/10)"/>
  </r>
  <r>
    <s v="FRR .:. FRR-PATAPAINANDROID"/>
    <x v="45"/>
    <s v="FRR-PATAPAINANDROID"/>
    <m/>
    <x v="3"/>
    <x v="31"/>
    <x v="0"/>
    <x v="0"/>
    <x v="0"/>
    <x v="9"/>
    <n v="2.8486518616267227"/>
    <s v="26/10 (25/09 - 25/10)"/>
  </r>
  <r>
    <s v="GFI .:. GFI-INTERNE"/>
    <x v="70"/>
    <s v="GFI-BaseDocumentaire"/>
    <m/>
    <x v="3"/>
    <x v="13"/>
    <x v="10"/>
    <x v="0"/>
    <x v="7"/>
    <x v="9"/>
    <n v="1.8347249278273807"/>
    <s v="26/10 (25/09 - 25/10)"/>
  </r>
  <r>
    <s v="GFI .:. GFI-CMIS"/>
    <x v="46"/>
    <s v="GFI-CMIS"/>
    <m/>
    <x v="3"/>
    <x v="32"/>
    <x v="10"/>
    <x v="0"/>
    <x v="7"/>
    <x v="9"/>
    <n v="0.23117534090624997"/>
    <s v="26/10 (25/09 - 25/10)"/>
  </r>
  <r>
    <s v="GFI .:. GFI-COFFEE"/>
    <x v="47"/>
    <s v="GFI-COFFEE"/>
    <m/>
    <x v="3"/>
    <x v="33"/>
    <x v="10"/>
    <x v="0"/>
    <x v="7"/>
    <x v="9"/>
    <n v="0.70569314592434207"/>
    <s v="26/10 (25/09 - 25/10)"/>
  </r>
  <r>
    <s v="GFI .:. GFI-CRALENIUM"/>
    <x v="48"/>
    <s v="GFI-CRALENIUM"/>
    <m/>
    <x v="3"/>
    <x v="34"/>
    <x v="10"/>
    <x v="0"/>
    <x v="7"/>
    <x v="9"/>
    <n v="2.8486518616267227"/>
    <s v="26/10 (25/09 - 25/10)"/>
  </r>
  <r>
    <s v="GFI .:. GFI-D8-BS4-THEME"/>
    <x v="16"/>
    <s v="GFI-D8-BS4-THEME"/>
    <m/>
    <x v="3"/>
    <x v="35"/>
    <x v="10"/>
    <x v="0"/>
    <x v="7"/>
    <x v="9"/>
    <n v="1.4053992947157736"/>
    <s v="26/10 (25/09 - 25/10)"/>
  </r>
  <r>
    <s v="GFI .:. GFI-Docker Devbox Install"/>
    <x v="49"/>
    <s v="GFI-Docker Devbox Install"/>
    <m/>
    <x v="3"/>
    <x v="36"/>
    <x v="10"/>
    <x v="0"/>
    <x v="7"/>
    <x v="9"/>
    <n v="12.340365803023669"/>
    <s v="26/10 (25/09 - 25/10)"/>
  </r>
  <r>
    <s v="GFI .:. GFI-MINEREPORT"/>
    <x v="27"/>
    <s v="GFI-MineReport"/>
    <m/>
    <x v="3"/>
    <x v="37"/>
    <x v="10"/>
    <x v="0"/>
    <x v="7"/>
    <x v="9"/>
    <n v="3.9829435670070623"/>
    <s v="26/10 (25/09 - 25/10)"/>
  </r>
  <r>
    <s v="GFI .:. GFI-PMT"/>
    <x v="50"/>
    <s v="GFI-PMT"/>
    <m/>
    <x v="3"/>
    <x v="38"/>
    <x v="10"/>
    <x v="0"/>
    <x v="7"/>
    <x v="9"/>
    <n v="4.8960061890957052"/>
    <s v="26/10 (25/09 - 25/10)"/>
  </r>
  <r>
    <s v="GFI .:. GFI-REDMINEDOCKER"/>
    <x v="37"/>
    <s v="GFI-RedmineDocker"/>
    <m/>
    <x v="3"/>
    <x v="39"/>
    <x v="10"/>
    <x v="0"/>
    <x v="7"/>
    <x v="9"/>
    <n v="0.82195676766666659"/>
    <s v="26/10 (25/09 - 25/10)"/>
  </r>
  <r>
    <s v="GFI .:. GFI-TENDER"/>
    <x v="51"/>
    <s v="GFI-TENDER"/>
    <m/>
    <x v="3"/>
    <x v="40"/>
    <x v="10"/>
    <x v="0"/>
    <x v="7"/>
    <x v="9"/>
    <n v="2.8486518616267227"/>
    <s v="26/10 (25/09 - 25/10)"/>
  </r>
  <r>
    <s v="GFI .:. GFI-WAAC"/>
    <x v="38"/>
    <s v="GFI-WAAC"/>
    <m/>
    <x v="3"/>
    <x v="41"/>
    <x v="17"/>
    <x v="1"/>
    <x v="7"/>
    <x v="9"/>
    <n v="208.64268324964121"/>
    <s v="26/10 (25/09 - 25/10)"/>
  </r>
  <r>
    <s v="GLI .:. GLI-APIBIOMETRIE"/>
    <x v="17"/>
    <s v="GLI-APIBiometrie"/>
    <m/>
    <x v="3"/>
    <x v="14"/>
    <x v="11"/>
    <x v="0"/>
    <x v="8"/>
    <x v="9"/>
    <n v="4.4771271007949025"/>
    <s v="26/10 (25/09 - 25/10)"/>
  </r>
  <r>
    <s v="LAPOSTE .:. LAPOSTE-F4N-MUSEE"/>
    <x v="52"/>
    <s v="LAPOSTE-F4N-Musee"/>
    <m/>
    <x v="3"/>
    <x v="42"/>
    <x v="18"/>
    <x v="0"/>
    <x v="14"/>
    <x v="9"/>
    <n v="1.8147931433841649"/>
    <s v="26/10 (25/09 - 25/10)"/>
  </r>
  <r>
    <s v="LAPOSTE .:. LAPOSTE-L71-PDP"/>
    <x v="62"/>
    <s v="LAPOSTE-L71-PDP"/>
    <m/>
    <x v="3"/>
    <x v="49"/>
    <x v="18"/>
    <x v="0"/>
    <x v="14"/>
    <x v="9"/>
    <n v="1.8147931433841649"/>
    <s v="26/10 (25/09 - 25/10)"/>
  </r>
  <r>
    <s v="LAPOSTE .:. LAPOSTE-LCA-PariteUn-e"/>
    <x v="63"/>
    <s v="LAPOSTE-LCA-PariteUn-e"/>
    <m/>
    <x v="3"/>
    <x v="50"/>
    <x v="18"/>
    <x v="0"/>
    <x v="14"/>
    <x v="9"/>
    <n v="1.8147931433841649"/>
    <s v="26/10 (25/09 - 25/10)"/>
  </r>
  <r>
    <s v="LAPOSTE .:. LAPOSTE-LPK-PortailVoyage"/>
    <x v="53"/>
    <s v="LAPOSTE-LPK-PortailVoyage"/>
    <m/>
    <x v="3"/>
    <x v="43"/>
    <x v="18"/>
    <x v="0"/>
    <x v="14"/>
    <x v="9"/>
    <n v="1.8147931433841649"/>
    <s v="26/10 (25/09 - 25/10)"/>
  </r>
  <r>
    <s v="LAPOSTE .:. LAPOSTE-LPM-IntranetDHA"/>
    <x v="54"/>
    <s v="LAPOSTE-LPM-IntranetDHA"/>
    <m/>
    <x v="3"/>
    <x v="44"/>
    <x v="18"/>
    <x v="0"/>
    <x v="14"/>
    <x v="9"/>
    <n v="1.8147931433841649"/>
    <s v="26/10 (25/09 - 25/10)"/>
  </r>
  <r>
    <s v="LAPOSTE .:. LAPOSTE-V7_-Galaxy"/>
    <x v="71"/>
    <s v="LAPOSTE-V7_-Galaxy"/>
    <m/>
    <x v="3"/>
    <x v="55"/>
    <x v="18"/>
    <x v="0"/>
    <x v="14"/>
    <x v="9"/>
    <n v="0.77525467859469699"/>
    <s v="26/10 (25/09 - 25/10)"/>
  </r>
  <r>
    <s v="LAPOSTE .:. LAPOSTE-VWA-Fondation"/>
    <x v="64"/>
    <s v="LAPOSTE-VWA-Fondation"/>
    <m/>
    <x v="3"/>
    <x v="51"/>
    <x v="18"/>
    <x v="0"/>
    <x v="14"/>
    <x v="9"/>
    <n v="1.8147931433841649"/>
    <s v="26/10 (25/09 - 25/10)"/>
  </r>
  <r>
    <s v="MENESR .:. MENJ-APAE"/>
    <x v="18"/>
    <s v="MENJ-APAE"/>
    <m/>
    <x v="3"/>
    <x v="15"/>
    <x v="12"/>
    <x v="0"/>
    <x v="9"/>
    <x v="9"/>
    <n v="1.4068317537503341"/>
    <s v="26/10 (25/09 - 25/10)"/>
  </r>
  <r>
    <s v="MENESR .:. MENJ-BI"/>
    <x v="36"/>
    <s v="MENJ-BI"/>
    <m/>
    <x v="3"/>
    <x v="25"/>
    <x v="12"/>
    <x v="0"/>
    <x v="9"/>
    <x v="9"/>
    <n v="3.4676301135937497"/>
    <s v="26/10 (25/09 - 25/10)"/>
  </r>
  <r>
    <s v="MENESR .:. MENJ-BNIE"/>
    <x v="19"/>
    <s v="MENJ-BNIE-BDD"/>
    <m/>
    <x v="3"/>
    <x v="16"/>
    <x v="12"/>
    <x v="0"/>
    <x v="9"/>
    <x v="9"/>
    <n v="3.2232094322994409"/>
    <s v="26/10 (25/09 - 25/10)"/>
  </r>
  <r>
    <s v="MENESR .:. MENJ-BNIE"/>
    <x v="33"/>
    <s v="MENJ-BNIE-Webservices"/>
    <m/>
    <x v="3"/>
    <x v="16"/>
    <x v="12"/>
    <x v="0"/>
    <x v="9"/>
    <x v="9"/>
    <n v="0.48213039012533421"/>
    <s v="26/10 (25/09 - 25/10)"/>
  </r>
  <r>
    <s v="MENESR .:. MENJ-INSERJEUNES"/>
    <x v="65"/>
    <s v="MENJ-InserJeunes"/>
    <m/>
    <x v="3"/>
    <x v="52"/>
    <x v="21"/>
    <x v="0"/>
    <x v="9"/>
    <x v="9"/>
    <n v="12.055836278606039"/>
    <s v="26/10 (25/09 - 25/10)"/>
  </r>
  <r>
    <s v="MENESR .:. MENJ-RNIE"/>
    <x v="20"/>
    <s v="MENJ-RNIE-BDD"/>
    <m/>
    <x v="3"/>
    <x v="17"/>
    <x v="12"/>
    <x v="0"/>
    <x v="9"/>
    <x v="9"/>
    <n v="1.4068317537503341"/>
    <s v="26/10 (25/09 - 25/10)"/>
  </r>
  <r>
    <s v="MENESR .:. MENJ-RNIE"/>
    <x v="21"/>
    <s v="MENJ-RNIE-Webservices"/>
    <m/>
    <x v="3"/>
    <x v="17"/>
    <x v="12"/>
    <x v="0"/>
    <x v="9"/>
    <x v="9"/>
    <n v="1.630431785015334"/>
    <s v="26/10 (25/09 - 25/10)"/>
  </r>
  <r>
    <s v="AFB .:. OFB-CMONSPOT"/>
    <x v="55"/>
    <s v="OFB-CMONSPOT"/>
    <m/>
    <x v="3"/>
    <x v="45"/>
    <x v="6"/>
    <x v="0"/>
    <x v="3"/>
    <x v="9"/>
    <n v="0.91736246391369036"/>
    <s v="26/10 (25/09 - 25/10)"/>
  </r>
  <r>
    <s v="OFB .:. OFB-NATUREFRANCE"/>
    <x v="32"/>
    <s v="OFB-NatureFrance"/>
    <m/>
    <x v="3"/>
    <x v="24"/>
    <x v="16"/>
    <x v="0"/>
    <x v="13"/>
    <x v="9"/>
    <n v="5.9959585861046474"/>
    <s v="26/10 (25/09 - 25/10)"/>
  </r>
  <r>
    <s v="AFB .:. OFB-SISPEA"/>
    <x v="40"/>
    <s v="OFB-SISPEA"/>
    <m/>
    <x v="3"/>
    <x v="26"/>
    <x v="6"/>
    <x v="0"/>
    <x v="3"/>
    <x v="9"/>
    <n v="3.2291158729761906"/>
    <s v="26/10 (25/09 - 25/10)"/>
  </r>
  <r>
    <s v="PCM .:. PCM-ALS"/>
    <x v="22"/>
    <s v="PCM-ALS"/>
    <m/>
    <x v="3"/>
    <x v="18"/>
    <x v="13"/>
    <x v="0"/>
    <x v="10"/>
    <x v="9"/>
    <n v="4.2606888760603718"/>
    <s v="26/10 (25/09 - 25/10)"/>
  </r>
  <r>
    <s v="PCM .:. PCM-WEB"/>
    <x v="23"/>
    <s v="PCM-Web"/>
    <m/>
    <x v="3"/>
    <x v="19"/>
    <x v="13"/>
    <x v="0"/>
    <x v="10"/>
    <x v="9"/>
    <n v="2.468622390391741"/>
    <s v="26/10 (25/09 - 25/10)"/>
  </r>
  <r>
    <s v="SAFT .:. SAFT-PDM"/>
    <x v="56"/>
    <s v="SAFT-PDM"/>
    <m/>
    <x v="3"/>
    <x v="46"/>
    <x v="19"/>
    <x v="0"/>
    <x v="15"/>
    <x v="9"/>
    <n v="2.8486518616267227"/>
    <s v="26/10 (25/09 - 25/10)"/>
  </r>
  <r>
    <s v="SPC .:. SPC-BUILD"/>
    <x v="24"/>
    <s v="SPC-BUILD"/>
    <m/>
    <x v="3"/>
    <x v="1"/>
    <x v="1"/>
    <x v="0"/>
    <x v="1"/>
    <x v="9"/>
    <n v="41.409077385933756"/>
    <s v="26/10 (25/09 - 25/10)"/>
  </r>
  <r>
    <s v="SPC .:. SPC-WEB"/>
    <x v="25"/>
    <s v="SPC-WEB"/>
    <m/>
    <x v="3"/>
    <x v="2"/>
    <x v="2"/>
    <x v="0"/>
    <x v="1"/>
    <x v="9"/>
    <n v="3.203429723986607"/>
    <s v="26/10 (25/09 - 25/10)"/>
  </r>
  <r>
    <s v="STMICRO .:. STMICRO-DATAPACK"/>
    <x v="66"/>
    <s v="STMICRO-DATAPACK"/>
    <m/>
    <x v="3"/>
    <x v="47"/>
    <x v="20"/>
    <x v="0"/>
    <x v="16"/>
    <x v="9"/>
    <n v="3.3407898422674789"/>
    <s v="26/10 (25/09 - 25/10)"/>
  </r>
  <r>
    <s v="STMICRO .:. STMICRO-ROCKET"/>
    <x v="67"/>
    <s v="STMICRO-ROCKET"/>
    <m/>
    <x v="3"/>
    <x v="53"/>
    <x v="20"/>
    <x v="0"/>
    <x v="16"/>
    <x v="9"/>
    <n v="3.9829435670070623"/>
    <s v="26/10 (25/09 - 25/10)"/>
  </r>
  <r>
    <s v="ALM .:. ALM-ATOUT"/>
    <x v="29"/>
    <m/>
    <s v="ALM-ATOUT-VM"/>
    <x v="2"/>
    <x v="10"/>
    <x v="7"/>
    <x v="0"/>
    <x v="4"/>
    <x v="9"/>
    <n v="18.8"/>
    <s v="(25/09 - 25/10)"/>
  </r>
  <r>
    <s v="BRGM .:. BRGM-ORRM"/>
    <x v="30"/>
    <m/>
    <s v="BRGM-ORRM-VM"/>
    <x v="0"/>
    <x v="11"/>
    <x v="8"/>
    <x v="0"/>
    <x v="5"/>
    <x v="9"/>
    <n v="4.5199999999999996"/>
    <s v="(25/09 - 25/10)"/>
  </r>
  <r>
    <s v="CA-TITRES .:. CATITRES-COMX"/>
    <x v="28"/>
    <m/>
    <s v="CATITRES-COMX-VM"/>
    <x v="1"/>
    <x v="21"/>
    <x v="14"/>
    <x v="0"/>
    <x v="11"/>
    <x v="9"/>
    <n v="30.56"/>
    <s v="(25/09 - 25/10)"/>
  </r>
  <r>
    <s v="EBR .:. EBR-LAPOSTE"/>
    <x v="31"/>
    <m/>
    <s v="EBR-LAPOSTE-VM"/>
    <x v="1"/>
    <x v="22"/>
    <x v="15"/>
    <x v="0"/>
    <x v="12"/>
    <x v="9"/>
    <n v="107.89"/>
    <s v="(25/09 - 25/10)"/>
  </r>
  <r>
    <s v="GFI .:. GFI-PMT"/>
    <x v="57"/>
    <m/>
    <s v="GFI-PMT-VM"/>
    <x v="1"/>
    <x v="38"/>
    <x v="10"/>
    <x v="0"/>
    <x v="7"/>
    <x v="9"/>
    <n v="25.79"/>
    <s v="(25/09 - 25/10)"/>
  </r>
  <r>
    <s v="MENESR .:. MENJ-BI"/>
    <x v="35"/>
    <m/>
    <s v="MENJ-BI-VM"/>
    <x v="2"/>
    <x v="25"/>
    <x v="12"/>
    <x v="0"/>
    <x v="9"/>
    <x v="9"/>
    <n v="3.75"/>
    <s v="(25/09 - 25/10)"/>
  </r>
  <r>
    <s v="AFB .:. AFB-NatureFrance"/>
    <x v="34"/>
    <m/>
    <s v="OFB-FRANCENATURE-VM"/>
    <x v="2"/>
    <x v="23"/>
    <x v="6"/>
    <x v="0"/>
    <x v="3"/>
    <x v="9"/>
    <n v="3.71"/>
    <s v="(25/09 - 25/10)"/>
  </r>
  <r>
    <s v="AFB .:. OFB-SISPEA"/>
    <x v="58"/>
    <m/>
    <s v="OFB-SISPEA-VM"/>
    <x v="1"/>
    <x v="26"/>
    <x v="6"/>
    <x v="0"/>
    <x v="3"/>
    <x v="9"/>
    <n v="8.0399999999999991"/>
    <s v="(25/09 - 25/10)"/>
  </r>
  <r>
    <s v="SPC .:. SPC-BUILD"/>
    <x v="1"/>
    <m/>
    <s v="SPC-BUILDAS-VM"/>
    <x v="1"/>
    <x v="1"/>
    <x v="1"/>
    <x v="0"/>
    <x v="1"/>
    <x v="9"/>
    <n v="108.01"/>
    <s v="(25/09 - 25/10)"/>
  </r>
  <r>
    <s v="STMICRO .:. STMICRO-DATAPACK"/>
    <x v="59"/>
    <m/>
    <s v="STMICRO-DATAPACK-VM"/>
    <x v="1"/>
    <x v="47"/>
    <x v="20"/>
    <x v="0"/>
    <x v="16"/>
    <x v="9"/>
    <n v="13.91"/>
    <s v="(25/09 - 25/10)"/>
  </r>
  <r>
    <s v="FRR .:. FRR-DIGIPAT"/>
    <x v="0"/>
    <m/>
    <s v="FRR-DIGIPAT-VM"/>
    <x v="0"/>
    <x v="0"/>
    <x v="0"/>
    <x v="0"/>
    <x v="0"/>
    <x v="9"/>
    <n v="11.56"/>
    <s v="(25/09 - 25/10)"/>
  </r>
  <r>
    <s v="GFI .:. GFI-WAAC"/>
    <x v="60"/>
    <m/>
    <s v="GFI-WAAC-VM"/>
    <x v="2"/>
    <x v="41"/>
    <x v="17"/>
    <x v="1"/>
    <x v="7"/>
    <x v="9"/>
    <n v="16.37"/>
    <s v="(25/09 - 25/10)"/>
  </r>
  <r>
    <s v="LAPOSTE .:. LAPOSTE-CDC"/>
    <x v="61"/>
    <m/>
    <s v="LAPOSTE-CDC-VM"/>
    <x v="1"/>
    <x v="48"/>
    <x v="18"/>
    <x v="0"/>
    <x v="14"/>
    <x v="9"/>
    <n v="3.75"/>
    <s v="(25/09 - 25/10)"/>
  </r>
  <r>
    <s v="MENESR .:. MENJ-INSERJEUNES"/>
    <x v="68"/>
    <m/>
    <s v="MENJ-INERJEUNES"/>
    <x v="0"/>
    <x v="52"/>
    <x v="21"/>
    <x v="0"/>
    <x v="9"/>
    <x v="9"/>
    <n v="29.07"/>
    <s v="(25/09 - 25/10)"/>
  </r>
  <r>
    <s v="ONEMA .:. AFB-BASEINDICATEURS"/>
    <x v="3"/>
    <s v="AFB-BaseIndicateurs"/>
    <m/>
    <x v="3"/>
    <x v="3"/>
    <x v="3"/>
    <x v="0"/>
    <x v="2"/>
    <x v="10"/>
    <n v="0.47776348083900921"/>
    <s v="30/11 (26/10 - 29/11)"/>
  </r>
  <r>
    <s v="ONEMA .:. AFB-CATALOGUE"/>
    <x v="26"/>
    <s v="AFB-Catalogue"/>
    <m/>
    <x v="3"/>
    <x v="20"/>
    <x v="3"/>
    <x v="0"/>
    <x v="2"/>
    <x v="10"/>
    <n v="1.8022591868768243"/>
    <s v="30/11 (26/10 - 29/11)"/>
  </r>
  <r>
    <s v="ONEMA .:. AFB-CDR"/>
    <x v="4"/>
    <s v="AFB-CDR"/>
    <m/>
    <x v="3"/>
    <x v="4"/>
    <x v="4"/>
    <x v="0"/>
    <x v="2"/>
    <x v="10"/>
    <n v="8.4695767636990968"/>
    <s v="30/11 (26/10 - 29/11)"/>
  </r>
  <r>
    <s v="AFB .:. AFB-CESMIA"/>
    <x v="5"/>
    <s v="AFB-CESMIA"/>
    <m/>
    <x v="3"/>
    <x v="5"/>
    <x v="5"/>
    <x v="0"/>
    <x v="3"/>
    <x v="10"/>
    <n v="7.5841293448123794"/>
    <s v="30/11 (26/10 - 29/11)"/>
  </r>
  <r>
    <s v="ONEMA .:. AFB-OISON"/>
    <x v="6"/>
    <s v="AFB-OISON"/>
    <m/>
    <x v="3"/>
    <x v="6"/>
    <x v="3"/>
    <x v="0"/>
    <x v="2"/>
    <x v="10"/>
    <n v="4.5914059585910412"/>
    <s v="30/11 (26/10 - 29/11)"/>
  </r>
  <r>
    <s v="ONEMA .:. AFB-PATBIODIV"/>
    <x v="7"/>
    <s v="AFB-PATBiodiv"/>
    <m/>
    <x v="3"/>
    <x v="7"/>
    <x v="3"/>
    <x v="0"/>
    <x v="2"/>
    <x v="10"/>
    <n v="4.4345500014565182"/>
    <s v="30/11 (26/10 - 29/11)"/>
  </r>
  <r>
    <s v="AFB .:. AFB-PNM"/>
    <x v="8"/>
    <s v="AFB-PNM"/>
    <m/>
    <x v="3"/>
    <x v="8"/>
    <x v="6"/>
    <x v="0"/>
    <x v="3"/>
    <x v="10"/>
    <n v="8.0052626343829392"/>
    <s v="30/11 (26/10 - 29/11)"/>
  </r>
  <r>
    <s v="AFB .:. AFB-PNX"/>
    <x v="9"/>
    <s v="AFB-PNX"/>
    <m/>
    <x v="3"/>
    <x v="9"/>
    <x v="6"/>
    <x v="0"/>
    <x v="3"/>
    <x v="10"/>
    <n v="2.0322448429461519"/>
    <s v="30/11 (26/10 - 29/11)"/>
  </r>
  <r>
    <s v="ONEMA .:. AFB-RAA"/>
    <x v="41"/>
    <s v="AFB-RAA"/>
    <m/>
    <x v="3"/>
    <x v="27"/>
    <x v="4"/>
    <x v="0"/>
    <x v="2"/>
    <x v="10"/>
    <n v="0.23275656758823526"/>
    <s v="30/11 (26/10 - 29/11)"/>
  </r>
  <r>
    <s v="ALM .:. ALM-ATOUT"/>
    <x v="10"/>
    <s v="ALM-ATOUT"/>
    <m/>
    <x v="3"/>
    <x v="10"/>
    <x v="7"/>
    <x v="0"/>
    <x v="4"/>
    <x v="10"/>
    <n v="5.2988461311500963"/>
    <s v="30/11 (26/10 - 29/11)"/>
  </r>
  <r>
    <s v="BRGM .:. BRGM-ORRM"/>
    <x v="11"/>
    <s v="BRGM-ORRM"/>
    <m/>
    <x v="3"/>
    <x v="11"/>
    <x v="8"/>
    <x v="0"/>
    <x v="5"/>
    <x v="10"/>
    <n v="9.1257165263106224"/>
    <s v="30/11 (26/10 - 29/11)"/>
  </r>
  <r>
    <s v="CGOS .:. CGOS-BI"/>
    <x v="69"/>
    <s v="CGOS-BI"/>
    <m/>
    <x v="3"/>
    <x v="54"/>
    <x v="22"/>
    <x v="0"/>
    <x v="17"/>
    <x v="10"/>
    <n v="6.9826970276470579"/>
    <s v="30/11 (26/10 - 29/11)"/>
  </r>
  <r>
    <s v="CNAV .:. CNAV-BI-RGCU"/>
    <x v="12"/>
    <s v="CNAV-BI-RGCU"/>
    <m/>
    <x v="3"/>
    <x v="12"/>
    <x v="9"/>
    <x v="0"/>
    <x v="6"/>
    <x v="10"/>
    <n v="9.3102627035294105"/>
    <s v="30/11 (26/10 - 29/11)"/>
  </r>
  <r>
    <s v="GFI .:. GFI-INTERNE"/>
    <x v="13"/>
    <s v="d8-qa"/>
    <m/>
    <x v="3"/>
    <x v="13"/>
    <x v="10"/>
    <x v="0"/>
    <x v="7"/>
    <x v="10"/>
    <n v="0.50658782357439436"/>
    <s v="30/11 (26/10 - 29/11)"/>
  </r>
  <r>
    <s v="GFI .:. GFI-INTERNE"/>
    <x v="14"/>
    <s v="drupal-qa"/>
    <m/>
    <x v="3"/>
    <x v="13"/>
    <x v="10"/>
    <x v="0"/>
    <x v="7"/>
    <x v="10"/>
    <n v="0.50658782357439436"/>
    <s v="30/11 (26/10 - 29/11)"/>
  </r>
  <r>
    <s v="FRR .:. FRR-DIGIPAT"/>
    <x v="15"/>
    <s v="FRR DIGIPAT"/>
    <m/>
    <x v="3"/>
    <x v="0"/>
    <x v="0"/>
    <x v="0"/>
    <x v="0"/>
    <x v="10"/>
    <n v="5.1312154922892255"/>
    <s v="30/11 (26/10 - 29/11)"/>
  </r>
  <r>
    <s v="FRR .:. FRR-APPLIFRR"/>
    <x v="42"/>
    <s v="FRR-APPLIFRR"/>
    <m/>
    <x v="3"/>
    <x v="28"/>
    <x v="0"/>
    <x v="0"/>
    <x v="0"/>
    <x v="10"/>
    <n v="2.7332854572297656"/>
    <s v="30/11 (26/10 - 29/11)"/>
  </r>
  <r>
    <s v="FRR .:. FRR-CADENCIER"/>
    <x v="43"/>
    <s v="FRR-CADENCIER"/>
    <m/>
    <x v="3"/>
    <x v="29"/>
    <x v="0"/>
    <x v="0"/>
    <x v="0"/>
    <x v="10"/>
    <n v="2.7332854572297656"/>
    <s v="30/11 (26/10 - 29/11)"/>
  </r>
  <r>
    <s v="FRR .:. FRR-PATAPAIN"/>
    <x v="44"/>
    <s v="FRR-Patapain"/>
    <m/>
    <x v="3"/>
    <x v="30"/>
    <x v="0"/>
    <x v="0"/>
    <x v="0"/>
    <x v="10"/>
    <n v="1.3339751401814461"/>
    <s v="30/11 (26/10 - 29/11)"/>
  </r>
  <r>
    <s v="FRR .:. FRR-PATAPAINANDROID"/>
    <x v="45"/>
    <s v="FRR-PATAPAINANDROID"/>
    <m/>
    <x v="3"/>
    <x v="31"/>
    <x v="0"/>
    <x v="0"/>
    <x v="0"/>
    <x v="10"/>
    <n v="7.38841680899447"/>
    <s v="30/11 (26/10 - 29/11)"/>
  </r>
  <r>
    <s v="GFI .:. GFI-INTERNE"/>
    <x v="70"/>
    <s v="GFI-BaseDocumentaire"/>
    <m/>
    <x v="3"/>
    <x v="13"/>
    <x v="10"/>
    <x v="0"/>
    <x v="7"/>
    <x v="10"/>
    <n v="1.7124233186848739"/>
    <s v="30/11 (26/10 - 29/11)"/>
  </r>
  <r>
    <s v="GFI .:. GFI-CMIS"/>
    <x v="46"/>
    <s v="GFI-CMIS"/>
    <m/>
    <x v="3"/>
    <x v="32"/>
    <x v="10"/>
    <x v="0"/>
    <x v="7"/>
    <x v="10"/>
    <n v="0.23275656758823526"/>
    <s v="30/11 (26/10 - 29/11)"/>
  </r>
  <r>
    <s v="GFI .:. GFI-COFFEE"/>
    <x v="47"/>
    <s v="GFI-COFFEE"/>
    <m/>
    <x v="3"/>
    <x v="33"/>
    <x v="10"/>
    <x v="0"/>
    <x v="7"/>
    <x v="10"/>
    <n v="0.71052004842724448"/>
    <s v="30/11 (26/10 - 29/11)"/>
  </r>
  <r>
    <s v="GFI .:. GFI-CRALENIUM"/>
    <x v="48"/>
    <s v="GFI-CRALENIUM"/>
    <m/>
    <x v="3"/>
    <x v="34"/>
    <x v="10"/>
    <x v="0"/>
    <x v="7"/>
    <x v="10"/>
    <n v="2.7332854572297656"/>
    <s v="30/11 (26/10 - 29/11)"/>
  </r>
  <r>
    <s v="GFI .:. GFI-INTERNE"/>
    <x v="16"/>
    <s v="GFI-D8-BS4-THEME"/>
    <m/>
    <x v="3"/>
    <x v="13"/>
    <x v="10"/>
    <x v="0"/>
    <x v="7"/>
    <x v="10"/>
    <n v="1.2801611217352939"/>
    <s v="30/11 (26/10 - 29/11)"/>
  </r>
  <r>
    <s v="GFI .:. GFI-Docker Devbox Install"/>
    <x v="49"/>
    <s v="GFI-Docker Devbox Install"/>
    <m/>
    <x v="3"/>
    <x v="36"/>
    <x v="10"/>
    <x v="0"/>
    <x v="7"/>
    <x v="10"/>
    <n v="12.438786882849689"/>
    <s v="30/11 (26/10 - 29/11)"/>
  </r>
  <r>
    <s v="GFI .:. GFI-MINEREPORT"/>
    <x v="27"/>
    <s v="GFI-MineReport"/>
    <m/>
    <x v="3"/>
    <x v="37"/>
    <x v="10"/>
    <x v="0"/>
    <x v="7"/>
    <x v="10"/>
    <n v="1.6826210071781094"/>
    <s v="30/11 (26/10 - 29/11)"/>
  </r>
  <r>
    <s v="GFI .:. GFI-PMT"/>
    <x v="50"/>
    <s v="GFI-PMT"/>
    <m/>
    <x v="3"/>
    <x v="38"/>
    <x v="10"/>
    <x v="0"/>
    <x v="7"/>
    <x v="10"/>
    <n v="4.7623100036418"/>
    <s v="30/11 (26/10 - 29/11)"/>
  </r>
  <r>
    <s v="GFI .:. GFI-INTERNE"/>
    <x v="72"/>
    <s v="GFI-POC"/>
    <m/>
    <x v="3"/>
    <x v="13"/>
    <x v="10"/>
    <x v="0"/>
    <x v="7"/>
    <x v="10"/>
    <n v="4.8490951580882342"/>
    <s v="30/11 (26/10 - 29/11)"/>
  </r>
  <r>
    <s v="GFI .:. GFI-REDMINEDOCKER"/>
    <x v="37"/>
    <s v="GFI-RedmineDocker"/>
    <m/>
    <x v="3"/>
    <x v="39"/>
    <x v="10"/>
    <x v="0"/>
    <x v="7"/>
    <x v="10"/>
    <n v="0.75645884466176461"/>
    <s v="30/11 (26/10 - 29/11)"/>
  </r>
  <r>
    <s v="GFI .:. GFI-TENDER"/>
    <x v="51"/>
    <s v="GFI-TENDER"/>
    <m/>
    <x v="3"/>
    <x v="40"/>
    <x v="10"/>
    <x v="0"/>
    <x v="7"/>
    <x v="10"/>
    <n v="2.7332854572297656"/>
    <s v="30/11 (26/10 - 29/11)"/>
  </r>
  <r>
    <s v="GFI .:. GFI-WAAC"/>
    <x v="38"/>
    <s v="GFI-WAAC"/>
    <m/>
    <x v="3"/>
    <x v="41"/>
    <x v="17"/>
    <x v="1"/>
    <x v="7"/>
    <x v="10"/>
    <n v="217.86693174744465"/>
    <s v="30/11 (26/10 - 29/11)"/>
  </r>
  <r>
    <s v="GLI .:. GLI-APIBIOMETRIE"/>
    <x v="17"/>
    <s v="GLI-APIBiometrie"/>
    <m/>
    <x v="3"/>
    <x v="14"/>
    <x v="11"/>
    <x v="0"/>
    <x v="8"/>
    <x v="10"/>
    <n v="3.701887247239827"/>
    <s v="30/11 (26/10 - 29/11)"/>
  </r>
  <r>
    <s v="LAPOSTE .:. LAPOSTE-F4N-MUSEE"/>
    <x v="52"/>
    <s v="LAPOSTE-F4N-Musee"/>
    <m/>
    <x v="3"/>
    <x v="42"/>
    <x v="18"/>
    <x v="0"/>
    <x v="14"/>
    <x v="10"/>
    <n v="1.9824884342522815"/>
    <s v="30/11 (26/10 - 29/11)"/>
  </r>
  <r>
    <s v="LAPOSTE .:. LAPOSTE-L71-PDP"/>
    <x v="62"/>
    <s v="LAPOSTE-L71-PDP"/>
    <m/>
    <x v="3"/>
    <x v="49"/>
    <x v="18"/>
    <x v="0"/>
    <x v="14"/>
    <x v="10"/>
    <n v="1.9391361912655141"/>
    <s v="30/11 (26/10 - 29/11)"/>
  </r>
  <r>
    <s v="LAPOSTE .:. LAPOSTE-LCA-PariteUn-e"/>
    <x v="63"/>
    <s v="LAPOSTE-LCA-PariteUn-e"/>
    <m/>
    <x v="3"/>
    <x v="50"/>
    <x v="18"/>
    <x v="0"/>
    <x v="14"/>
    <x v="10"/>
    <n v="1.9499742520122059"/>
    <s v="30/11 (26/10 - 29/11)"/>
  </r>
  <r>
    <s v="LAPOSTE .:. LAPOSTE-LPK-PortailVoyage"/>
    <x v="53"/>
    <s v="LAPOSTE-LPK-PortailVoyage"/>
    <m/>
    <x v="3"/>
    <x v="43"/>
    <x v="18"/>
    <x v="0"/>
    <x v="14"/>
    <x v="10"/>
    <n v="2.4268489248666483"/>
    <s v="30/11 (26/10 - 29/11)"/>
  </r>
  <r>
    <s v="LAPOSTE .:. LAPOSTE-LPM-IntranetDHA"/>
    <x v="54"/>
    <s v="LAPOSTE-LPM-IntranetDHA"/>
    <m/>
    <x v="3"/>
    <x v="44"/>
    <x v="18"/>
    <x v="0"/>
    <x v="14"/>
    <x v="10"/>
    <n v="1.9391361912655141"/>
    <s v="30/11 (26/10 - 29/11)"/>
  </r>
  <r>
    <s v="LAPOSTE .:. LAPOSTE-V7_-Galaxy"/>
    <x v="71"/>
    <s v="LAPOSTE-V7_-Galaxy"/>
    <m/>
    <x v="3"/>
    <x v="55"/>
    <x v="18"/>
    <x v="0"/>
    <x v="14"/>
    <x v="10"/>
    <n v="1.0225440692202779"/>
    <s v="30/11 (26/10 - 29/11)"/>
  </r>
  <r>
    <s v="LAPOSTE .:. LAPOSTE-VW2-MEDIACOM"/>
    <x v="73"/>
    <s v="LAPOSTE-VW2-MEDIACOM"/>
    <m/>
    <x v="3"/>
    <x v="56"/>
    <x v="18"/>
    <x v="0"/>
    <x v="14"/>
    <x v="10"/>
    <n v="1.3043336486342665"/>
    <s v="30/11 (26/10 - 29/11)"/>
  </r>
  <r>
    <s v="LAPOSTE .:. LAPOSTE-VWA-Fondation"/>
    <x v="64"/>
    <s v="LAPOSTE-VWA-Fondation"/>
    <m/>
    <x v="3"/>
    <x v="51"/>
    <x v="18"/>
    <x v="0"/>
    <x v="14"/>
    <x v="10"/>
    <n v="1.8957839482787464"/>
    <s v="30/11 (26/10 - 29/11)"/>
  </r>
  <r>
    <s v="MENESR .:. MENJ-APAE"/>
    <x v="18"/>
    <s v="MENJ-APAE"/>
    <m/>
    <x v="3"/>
    <x v="15"/>
    <x v="12"/>
    <x v="0"/>
    <x v="9"/>
    <x v="10"/>
    <n v="2.7953607381920413"/>
    <s v="30/11 (26/10 - 29/11)"/>
  </r>
  <r>
    <s v="MENESR .:. MENJ-BI"/>
    <x v="36"/>
    <s v="MENJ-BI"/>
    <m/>
    <x v="3"/>
    <x v="25"/>
    <x v="12"/>
    <x v="0"/>
    <x v="9"/>
    <x v="10"/>
    <n v="3.2585919462352937"/>
    <s v="30/11 (26/10 - 29/11)"/>
  </r>
  <r>
    <s v="MENESR .:. MENJ-BNIE"/>
    <x v="19"/>
    <s v="MENJ-BNIE-BDD"/>
    <m/>
    <x v="3"/>
    <x v="16"/>
    <x v="12"/>
    <x v="0"/>
    <x v="9"/>
    <x v="10"/>
    <n v="2.0638400972004449"/>
    <s v="30/11 (26/10 - 29/11)"/>
  </r>
  <r>
    <s v="MENESR .:. MENJ-BNIE"/>
    <x v="33"/>
    <s v="MENJ-BNIE-Webservices"/>
    <m/>
    <x v="3"/>
    <x v="16"/>
    <x v="12"/>
    <x v="0"/>
    <x v="9"/>
    <x v="10"/>
    <n v="0.46779506230968854"/>
    <s v="30/11 (26/10 - 29/11)"/>
  </r>
  <r>
    <s v="MENESR .:. MENJ-INSERJEUNES"/>
    <x v="65"/>
    <s v="MENJ-InserJeunes"/>
    <m/>
    <x v="3"/>
    <x v="52"/>
    <x v="21"/>
    <x v="0"/>
    <x v="9"/>
    <x v="10"/>
    <n v="14.276433508033136"/>
    <s v="30/11 (26/10 - 29/11)"/>
  </r>
  <r>
    <s v="MENESR .:. MENJ-RNIE"/>
    <x v="20"/>
    <s v="MENJ-RNIE-BDD"/>
    <m/>
    <x v="3"/>
    <x v="17"/>
    <x v="12"/>
    <x v="0"/>
    <x v="9"/>
    <x v="10"/>
    <n v="1.3988213326626295"/>
    <s v="30/11 (26/10 - 29/11)"/>
  </r>
  <r>
    <s v="MENESR .:. MENJ-RNIE"/>
    <x v="21"/>
    <s v="MENJ-RNIE-Webservices"/>
    <m/>
    <x v="3"/>
    <x v="17"/>
    <x v="12"/>
    <x v="0"/>
    <x v="9"/>
    <x v="10"/>
    <n v="0.58701373052329908"/>
    <s v="30/11 (26/10 - 29/11)"/>
  </r>
  <r>
    <s v="AFB .:. OFB-CMONSPOT"/>
    <x v="55"/>
    <s v="OFB-CMONSPOT"/>
    <m/>
    <x v="3"/>
    <x v="45"/>
    <x v="6"/>
    <x v="0"/>
    <x v="3"/>
    <x v="10"/>
    <n v="0.910025677788589"/>
    <s v="30/11 (26/10 - 29/11)"/>
  </r>
  <r>
    <s v="OFB .:. OFB-NATUREFRANCE"/>
    <x v="32"/>
    <s v="OFB-NatureFrance"/>
    <m/>
    <x v="3"/>
    <x v="24"/>
    <x v="16"/>
    <x v="0"/>
    <x v="13"/>
    <x v="10"/>
    <n v="6.2196371624623614"/>
    <s v="30/11 (26/10 - 29/11)"/>
  </r>
  <r>
    <s v="AFB .:. OFB-SISPEA"/>
    <x v="40"/>
    <s v="OFB-SISPEA"/>
    <m/>
    <x v="3"/>
    <x v="26"/>
    <x v="6"/>
    <x v="0"/>
    <x v="3"/>
    <x v="10"/>
    <n v="3.2375913536709415"/>
    <s v="30/11 (26/10 - 29/11)"/>
  </r>
  <r>
    <s v="PCM .:. PCM-ALS"/>
    <x v="22"/>
    <s v="PCM-ALS"/>
    <m/>
    <x v="3"/>
    <x v="18"/>
    <x v="13"/>
    <x v="0"/>
    <x v="10"/>
    <x v="10"/>
    <n v="4.1067339334349473"/>
    <s v="30/11 (26/10 - 29/11)"/>
  </r>
  <r>
    <s v="PCM .:. PCM-WEB"/>
    <x v="23"/>
    <s v="PCM-Web"/>
    <m/>
    <x v="3"/>
    <x v="19"/>
    <x v="13"/>
    <x v="0"/>
    <x v="10"/>
    <x v="10"/>
    <n v="2.4007760749608575"/>
    <s v="30/11 (26/10 - 29/11)"/>
  </r>
  <r>
    <s v="SAFT .:. SAFT-PDM"/>
    <x v="56"/>
    <s v="SAFT-PDM"/>
    <m/>
    <x v="3"/>
    <x v="46"/>
    <x v="19"/>
    <x v="0"/>
    <x v="15"/>
    <x v="10"/>
    <n v="2.7332854572297656"/>
    <s v="30/11 (26/10 - 29/11)"/>
  </r>
  <r>
    <s v="SPC .:. SPC-BUILD"/>
    <x v="24"/>
    <s v="SPC-BUILD"/>
    <m/>
    <x v="3"/>
    <x v="1"/>
    <x v="1"/>
    <x v="0"/>
    <x v="1"/>
    <x v="10"/>
    <n v="40.856329288536301"/>
    <s v="30/11 (26/10 - 29/11)"/>
  </r>
  <r>
    <s v="SPC .:. SPC-WEB"/>
    <x v="25"/>
    <s v="SPC-WEB"/>
    <m/>
    <x v="3"/>
    <x v="2"/>
    <x v="2"/>
    <x v="0"/>
    <x v="1"/>
    <x v="10"/>
    <n v="3.1422136624411761"/>
    <s v="30/11 (26/10 - 29/11)"/>
  </r>
  <r>
    <s v="STMICRO .:. STMICRO-DATAPACK"/>
    <x v="66"/>
    <s v="STMICRO-DATAPACK"/>
    <m/>
    <x v="3"/>
    <x v="47"/>
    <x v="20"/>
    <x v="0"/>
    <x v="16"/>
    <x v="10"/>
    <n v="3.8938083992663444"/>
    <s v="30/11 (26/10 - 29/11)"/>
  </r>
  <r>
    <s v="STMICRO .:. STMICRO-ROCKET"/>
    <x v="67"/>
    <s v="STMICRO-ROCKET"/>
    <m/>
    <x v="3"/>
    <x v="53"/>
    <x v="20"/>
    <x v="0"/>
    <x v="16"/>
    <x v="10"/>
    <n v="5.4067260885898731"/>
    <s v="30/11 (26/10 - 29/11)"/>
  </r>
  <r>
    <s v="ALM .:. ALM-ATOUT"/>
    <x v="29"/>
    <m/>
    <s v="ALM-ATOUT-VM"/>
    <x v="2"/>
    <x v="10"/>
    <x v="7"/>
    <x v="0"/>
    <x v="4"/>
    <x v="10"/>
    <n v="26.15"/>
    <s v="(26/10 - 29/11)"/>
  </r>
  <r>
    <s v="BRGM .:. BRGM-ORRM"/>
    <x v="30"/>
    <m/>
    <s v="BRGM-ORRM-VM"/>
    <x v="0"/>
    <x v="11"/>
    <x v="8"/>
    <x v="0"/>
    <x v="5"/>
    <x v="10"/>
    <n v="4.83"/>
    <s v="(26/10 - 29/11)"/>
  </r>
  <r>
    <s v="CA-TITRES .:. CATITRES-COMX"/>
    <x v="28"/>
    <m/>
    <s v="CATITRES-COMX-VM"/>
    <x v="1"/>
    <x v="21"/>
    <x v="14"/>
    <x v="0"/>
    <x v="11"/>
    <x v="10"/>
    <n v="14.32"/>
    <s v="(26/10 - 29/11)"/>
  </r>
  <r>
    <s v="EBR .:. EBR-LAPOSTE"/>
    <x v="31"/>
    <m/>
    <s v="EBR-LAPOSTE-VM"/>
    <x v="1"/>
    <x v="22"/>
    <x v="15"/>
    <x v="0"/>
    <x v="12"/>
    <x v="10"/>
    <n v="113.25"/>
    <s v="(26/10 - 29/11)"/>
  </r>
  <r>
    <s v="GFI .:. GFI-PMT"/>
    <x v="57"/>
    <m/>
    <s v="GFI-PMT-VM"/>
    <x v="1"/>
    <x v="38"/>
    <x v="10"/>
    <x v="0"/>
    <x v="7"/>
    <x v="10"/>
    <n v="30.24"/>
    <s v="(26/10 - 29/11)"/>
  </r>
  <r>
    <s v="MENESR .:. MENJ-BI"/>
    <x v="35"/>
    <m/>
    <s v="MENJ-BI-VM"/>
    <x v="2"/>
    <x v="25"/>
    <x v="12"/>
    <x v="0"/>
    <x v="9"/>
    <x v="10"/>
    <n v="4.2300000000000004"/>
    <s v="(26/10 - 29/11)"/>
  </r>
  <r>
    <s v="AFB .:. AFB-NatureFrance"/>
    <x v="34"/>
    <m/>
    <s v="OFB-FRANCENATURE-VM"/>
    <x v="2"/>
    <x v="23"/>
    <x v="6"/>
    <x v="0"/>
    <x v="3"/>
    <x v="10"/>
    <n v="4.09"/>
    <s v="(26/10 - 29/11)"/>
  </r>
  <r>
    <s v="AFB .:. OFB-SISPEA"/>
    <x v="58"/>
    <m/>
    <s v="OFB-SISPEA-VM"/>
    <x v="1"/>
    <x v="26"/>
    <x v="6"/>
    <x v="0"/>
    <x v="3"/>
    <x v="10"/>
    <n v="8.58"/>
    <s v="(26/10 - 29/11)"/>
  </r>
  <r>
    <s v="SPC .:. SPC-BUILD"/>
    <x v="1"/>
    <m/>
    <s v="SPC-BUILDAS-VM"/>
    <x v="1"/>
    <x v="1"/>
    <x v="1"/>
    <x v="0"/>
    <x v="1"/>
    <x v="10"/>
    <n v="176.82"/>
    <s v="(26/10 - 29/11)"/>
  </r>
  <r>
    <s v="STMICRO .:. STMICRO-DATAPACK"/>
    <x v="59"/>
    <m/>
    <s v="STMICRO-DATAPACK-VM"/>
    <x v="1"/>
    <x v="47"/>
    <x v="20"/>
    <x v="0"/>
    <x v="16"/>
    <x v="10"/>
    <n v="14.78"/>
    <s v="(26/10 - 29/11)"/>
  </r>
  <r>
    <s v="FRR .:. FRR-DIGIPAT"/>
    <x v="0"/>
    <m/>
    <s v="FRR-DIGIPAT-VM"/>
    <x v="0"/>
    <x v="0"/>
    <x v="0"/>
    <x v="0"/>
    <x v="0"/>
    <x v="10"/>
    <n v="13.04"/>
    <s v="(26/10 - 29/11)"/>
  </r>
  <r>
    <s v="GFI .:. GFI-WAAC"/>
    <x v="60"/>
    <m/>
    <s v="GFI-WAAC-VM"/>
    <x v="2"/>
    <x v="41"/>
    <x v="17"/>
    <x v="1"/>
    <x v="7"/>
    <x v="10"/>
    <n v="27.19"/>
    <s v="(26/10 - 29/11)"/>
  </r>
  <r>
    <s v="LAPOSTE .:. LAPOSTE-CDC"/>
    <x v="61"/>
    <m/>
    <s v="LAPOSTE-CDC-VM"/>
    <x v="1"/>
    <x v="48"/>
    <x v="18"/>
    <x v="0"/>
    <x v="14"/>
    <x v="10"/>
    <n v="4.29"/>
    <s v="(26/10 - 29/11)"/>
  </r>
  <r>
    <s v="MENESR .:. MENJ-INSERJEUNES"/>
    <x v="68"/>
    <m/>
    <s v="MENJ-INERJEUNES"/>
    <x v="0"/>
    <x v="52"/>
    <x v="21"/>
    <x v="0"/>
    <x v="9"/>
    <x v="10"/>
    <n v="37.67"/>
    <s v="(26/10 - 29/11)"/>
  </r>
  <r>
    <s v="ONEMA .:. AFB-BASEINDICATEURS"/>
    <x v="3"/>
    <s v="AFB-BaseIndicateurs"/>
    <m/>
    <x v="3"/>
    <x v="3"/>
    <x v="3"/>
    <x v="0"/>
    <x v="2"/>
    <x v="11"/>
    <n v="0.47451780501809204"/>
    <s v="16/12 (30/11 - 15/12)"/>
  </r>
  <r>
    <s v="ONEMA .:. AFB-CATALOGUE"/>
    <x v="26"/>
    <s v="AFB-Catalogue"/>
    <m/>
    <x v="3"/>
    <x v="20"/>
    <x v="3"/>
    <x v="0"/>
    <x v="2"/>
    <x v="11"/>
    <n v="1.7823097335734492"/>
    <s v="16/12 (30/11 - 15/12)"/>
  </r>
  <r>
    <s v="ONEMA .:. AFB-CDR"/>
    <x v="4"/>
    <s v="AFB-CDR"/>
    <m/>
    <x v="3"/>
    <x v="4"/>
    <x v="4"/>
    <x v="0"/>
    <x v="2"/>
    <x v="11"/>
    <n v="8.5834899484370109"/>
    <s v="16/12 (30/11 - 15/12)"/>
  </r>
  <r>
    <s v="AFB .:. AFB-CESMIA"/>
    <x v="5"/>
    <s v="AFB-CESMIA"/>
    <m/>
    <x v="3"/>
    <x v="5"/>
    <x v="5"/>
    <x v="0"/>
    <x v="3"/>
    <x v="11"/>
    <n v="7.7033115450041949"/>
    <s v="16/12 (30/11 - 15/12)"/>
  </r>
  <r>
    <s v="ONEMA .:. AFB-OISON"/>
    <x v="6"/>
    <s v="AFB-OISON"/>
    <m/>
    <x v="3"/>
    <x v="6"/>
    <x v="3"/>
    <x v="0"/>
    <x v="2"/>
    <x v="11"/>
    <n v="5.4631399788822836"/>
    <s v="16/12 (30/11 - 15/12)"/>
  </r>
  <r>
    <s v="ONEMA .:. AFB-PATBIODIV"/>
    <x v="7"/>
    <s v="AFB-PATBiodiv"/>
    <m/>
    <x v="3"/>
    <x v="7"/>
    <x v="3"/>
    <x v="0"/>
    <x v="2"/>
    <x v="11"/>
    <n v="4.9550203381399944"/>
    <s v="16/12 (30/11 - 15/12)"/>
  </r>
  <r>
    <s v="AFB .:. AFB-PNM"/>
    <x v="8"/>
    <s v="AFB-PNM"/>
    <m/>
    <x v="3"/>
    <x v="8"/>
    <x v="6"/>
    <x v="0"/>
    <x v="3"/>
    <x v="11"/>
    <n v="4.3650520144760527"/>
    <s v="16/12 (30/11 - 15/12)"/>
  </r>
  <r>
    <s v="AFB .:. AFB-PNX"/>
    <x v="9"/>
    <s v="AFB-PNX"/>
    <m/>
    <x v="3"/>
    <x v="9"/>
    <x v="6"/>
    <x v="0"/>
    <x v="3"/>
    <x v="11"/>
    <n v="2.0184388317848332"/>
    <s v="16/12 (30/11 - 15/12)"/>
  </r>
  <r>
    <s v="ONEMA .:. AFB-RAA"/>
    <x v="41"/>
    <s v="AFB-RAA"/>
    <m/>
    <x v="3"/>
    <x v="27"/>
    <x v="4"/>
    <x v="0"/>
    <x v="2"/>
    <x v="11"/>
    <n v="0.23117534090624997"/>
    <s v="16/12 (30/11 - 15/12)"/>
  </r>
  <r>
    <s v="ALM .:. ALM-ATOUT"/>
    <x v="10"/>
    <s v="ALM-ATOUT"/>
    <m/>
    <x v="3"/>
    <x v="10"/>
    <x v="7"/>
    <x v="0"/>
    <x v="4"/>
    <x v="11"/>
    <n v="7.2021260246712249"/>
    <s v="16/12 (30/11 - 15/12)"/>
  </r>
  <r>
    <s v="ALM .:. ALM-ATOUT"/>
    <x v="11"/>
    <s v="BRGM-ORRM"/>
    <m/>
    <x v="3"/>
    <x v="10"/>
    <x v="7"/>
    <x v="0"/>
    <x v="4"/>
    <x v="11"/>
    <n v="6.30130942926733"/>
    <s v="16/12 (30/11 - 15/12)"/>
  </r>
  <r>
    <s v="CGOS .:. CGOS-BI"/>
    <x v="69"/>
    <s v="CGOS-BI"/>
    <m/>
    <x v="3"/>
    <x v="54"/>
    <x v="22"/>
    <x v="0"/>
    <x v="17"/>
    <x v="11"/>
    <n v="4.6235068181249996"/>
    <s v="16/12 (30/11 - 15/12)"/>
  </r>
  <r>
    <s v="CNAV .:. CNAV-BI-RGCU"/>
    <x v="12"/>
    <s v="CNAV-BI-RGCU"/>
    <m/>
    <x v="3"/>
    <x v="12"/>
    <x v="9"/>
    <x v="0"/>
    <x v="6"/>
    <x v="11"/>
    <n v="0"/>
    <s v="16/12 (30/11 - 15/12)"/>
  </r>
  <r>
    <s v="GFI .:. GFI-INTERNE"/>
    <x v="13"/>
    <s v="d8-qa"/>
    <m/>
    <x v="3"/>
    <x v="13"/>
    <x v="10"/>
    <x v="0"/>
    <x v="7"/>
    <x v="11"/>
    <n v="0.50314633020772059"/>
    <s v="16/12 (30/11 - 15/12)"/>
  </r>
  <r>
    <s v="GFI .:. GFI-INTERNE"/>
    <x v="14"/>
    <s v="drupal-qa"/>
    <m/>
    <x v="3"/>
    <x v="13"/>
    <x v="10"/>
    <x v="0"/>
    <x v="7"/>
    <x v="11"/>
    <n v="0.50314633020772059"/>
    <s v="16/12 (30/11 - 15/12)"/>
  </r>
  <r>
    <s v="FRR .:. FRR-DIGIPAT"/>
    <x v="15"/>
    <s v="FRR DIGIPAT"/>
    <m/>
    <x v="3"/>
    <x v="0"/>
    <x v="0"/>
    <x v="0"/>
    <x v="0"/>
    <x v="11"/>
    <n v="4.2355037552539141"/>
    <s v="16/12 (30/11 - 15/12)"/>
  </r>
  <r>
    <s v="FRR .:. FRR-APPLIFRR"/>
    <x v="42"/>
    <s v="FRR-APPLIFRR"/>
    <m/>
    <x v="3"/>
    <x v="28"/>
    <x v="0"/>
    <x v="0"/>
    <x v="0"/>
    <x v="11"/>
    <n v="1.9441324722078241"/>
    <s v="16/12 (30/11 - 15/12)"/>
  </r>
  <r>
    <s v="FRR .:. FRR-CADENCIER"/>
    <x v="43"/>
    <s v="FRR-CADENCIER"/>
    <m/>
    <x v="3"/>
    <x v="29"/>
    <x v="0"/>
    <x v="0"/>
    <x v="0"/>
    <x v="11"/>
    <n v="2.5220708244734489"/>
    <s v="16/12 (30/11 - 15/12)"/>
  </r>
  <r>
    <s v="FRR .:. FRR-PATAPAIN"/>
    <x v="44"/>
    <s v="FRR-Patapain"/>
    <m/>
    <x v="3"/>
    <x v="30"/>
    <x v="0"/>
    <x v="0"/>
    <x v="0"/>
    <x v="11"/>
    <n v="1.3249128090660829"/>
    <s v="16/12 (30/11 - 15/12)"/>
  </r>
  <r>
    <s v="FRR .:. FRR-PATAPAINANDROID"/>
    <x v="45"/>
    <s v="FRR-PATAPAINANDROID"/>
    <m/>
    <x v="3"/>
    <x v="31"/>
    <x v="0"/>
    <x v="0"/>
    <x v="0"/>
    <x v="11"/>
    <n v="6.5676392903328233"/>
    <s v="16/12 (30/11 - 15/12)"/>
  </r>
  <r>
    <s v="GFI .:. GFI-INTERNE"/>
    <x v="70"/>
    <s v="GFI-BaseDocumentaire"/>
    <m/>
    <x v="3"/>
    <x v="13"/>
    <x v="10"/>
    <x v="0"/>
    <x v="7"/>
    <x v="11"/>
    <n v="1.7007900080959821"/>
    <s v="16/12 (30/11 - 15/12)"/>
  </r>
  <r>
    <s v="GFI .:. GFI-CMIS"/>
    <x v="46"/>
    <s v="GFI-CMIS"/>
    <m/>
    <x v="3"/>
    <x v="32"/>
    <x v="10"/>
    <x v="0"/>
    <x v="7"/>
    <x v="11"/>
    <n v="0.23117534090624997"/>
    <s v="16/12 (30/11 - 15/12)"/>
  </r>
  <r>
    <s v="GFI .:. GFI-COFFEE"/>
    <x v="47"/>
    <s v="GFI-COFFEE"/>
    <m/>
    <x v="3"/>
    <x v="33"/>
    <x v="10"/>
    <x v="0"/>
    <x v="7"/>
    <x v="11"/>
    <n v="0.70569314592434207"/>
    <s v="16/12 (30/11 - 15/12)"/>
  </r>
  <r>
    <s v="GFI .:. GFI-CRALENIUM"/>
    <x v="48"/>
    <s v="GFI-CRALENIUM"/>
    <m/>
    <x v="3"/>
    <x v="34"/>
    <x v="10"/>
    <x v="0"/>
    <x v="7"/>
    <x v="11"/>
    <n v="1.9441324722078241"/>
    <s v="16/12 (30/11 - 15/12)"/>
  </r>
  <r>
    <s v="GFI .:. GFI-INTERNE"/>
    <x v="16"/>
    <s v="GFI-D8-BS4-THEME"/>
    <m/>
    <x v="3"/>
    <x v="13"/>
    <x v="10"/>
    <x v="0"/>
    <x v="7"/>
    <x v="11"/>
    <n v="1.271464374984375"/>
    <s v="16/12 (30/11 - 15/12)"/>
  </r>
  <r>
    <s v="GFI .:. GFI-Docker Devbox Install"/>
    <x v="49"/>
    <s v="GFI-Docker Devbox Install"/>
    <m/>
    <x v="3"/>
    <x v="36"/>
    <x v="10"/>
    <x v="0"/>
    <x v="7"/>
    <x v="11"/>
    <n v="13.997830844917225"/>
    <s v="16/12 (30/11 - 15/12)"/>
  </r>
  <r>
    <s v="GFI .:. GFI-MINEREPORT"/>
    <x v="27"/>
    <s v="GFI-MineReport"/>
    <m/>
    <x v="3"/>
    <x v="37"/>
    <x v="10"/>
    <x v="0"/>
    <x v="7"/>
    <x v="11"/>
    <n v="1.6711901579445625"/>
    <s v="16/12 (30/11 - 15/12)"/>
  </r>
  <r>
    <s v="GFI .:. GFI-PMT"/>
    <x v="50"/>
    <s v="GFI-PMT"/>
    <m/>
    <x v="3"/>
    <x v="38"/>
    <x v="10"/>
    <x v="0"/>
    <x v="7"/>
    <x v="11"/>
    <n v="8.267342120948733"/>
    <s v="16/12 (30/11 - 15/12)"/>
  </r>
  <r>
    <s v="GFI .:. GFI-INTERNE"/>
    <x v="72"/>
    <s v="GFI-POC"/>
    <m/>
    <x v="3"/>
    <x v="13"/>
    <x v="10"/>
    <x v="0"/>
    <x v="7"/>
    <x v="11"/>
    <n v="4.8084470908499997"/>
    <s v="16/12 (30/11 - 15/12)"/>
  </r>
  <r>
    <s v="GFI .:. GFI-REDMINEDOCKER"/>
    <x v="37"/>
    <s v="GFI-RedmineDocker"/>
    <m/>
    <x v="3"/>
    <x v="39"/>
    <x v="10"/>
    <x v="0"/>
    <x v="7"/>
    <x v="11"/>
    <n v="0.75131985794531242"/>
    <s v="16/12 (30/11 - 15/12)"/>
  </r>
  <r>
    <s v="GFI .:. GFI-TENDER"/>
    <x v="51"/>
    <s v="GFI-TENDER"/>
    <m/>
    <x v="3"/>
    <x v="40"/>
    <x v="10"/>
    <x v="0"/>
    <x v="7"/>
    <x v="11"/>
    <n v="1.9441324722078241"/>
    <s v="16/12 (30/11 - 15/12)"/>
  </r>
  <r>
    <s v="GFI .:. GFI-WAAC"/>
    <x v="38"/>
    <s v="GFI-WAAC"/>
    <m/>
    <x v="3"/>
    <x v="41"/>
    <x v="17"/>
    <x v="1"/>
    <x v="7"/>
    <x v="11"/>
    <n v="228.56274382908697"/>
    <s v="16/12 (30/11 - 15/12)"/>
  </r>
  <r>
    <s v="GLI .:. GLI-APIBIOMETRIE"/>
    <x v="17"/>
    <s v="GLI-APIBiometrie"/>
    <m/>
    <x v="3"/>
    <x v="14"/>
    <x v="11"/>
    <x v="0"/>
    <x v="8"/>
    <x v="11"/>
    <n v="2.3342430675438521"/>
    <s v="16/12 (30/11 - 15/12)"/>
  </r>
  <r>
    <s v="LAPOSTE .:. LAPOSTE-F4N-MUSEE"/>
    <x v="52"/>
    <s v="LAPOSTE-F4N-Musee"/>
    <m/>
    <x v="3"/>
    <x v="42"/>
    <x v="18"/>
    <x v="0"/>
    <x v="14"/>
    <x v="11"/>
    <n v="2.9592874248003209"/>
    <s v="16/12 (30/11 - 15/12)"/>
  </r>
  <r>
    <s v="LAPOSTE .:. LAPOSTE-L71-PDP"/>
    <x v="62"/>
    <s v="LAPOSTE-L71-PDP"/>
    <m/>
    <x v="3"/>
    <x v="49"/>
    <x v="18"/>
    <x v="0"/>
    <x v="14"/>
    <x v="11"/>
    <n v="1.8856293470849654"/>
    <s v="16/12 (30/11 - 15/12)"/>
  </r>
  <r>
    <s v="LAPOSTE .:. LAPOSTE-LCA-PariteUn-e"/>
    <x v="63"/>
    <s v="LAPOSTE-LCA-PariteUn-e"/>
    <m/>
    <x v="3"/>
    <x v="50"/>
    <x v="18"/>
    <x v="0"/>
    <x v="14"/>
    <x v="11"/>
    <n v="2.6586631630400217"/>
    <s v="16/12 (30/11 - 15/12)"/>
  </r>
  <r>
    <s v="LAPOSTE .:. LAPOSTE-LPK-PortailVoyage"/>
    <x v="53"/>
    <s v="LAPOSTE-LPK-PortailVoyage"/>
    <m/>
    <x v="3"/>
    <x v="43"/>
    <x v="18"/>
    <x v="0"/>
    <x v="14"/>
    <x v="11"/>
    <n v="3.4746433021036918"/>
    <s v="16/12 (30/11 - 15/12)"/>
  </r>
  <r>
    <s v="LAPOSTE .:. LAPOSTE-LPM-IntranetDHA"/>
    <x v="54"/>
    <s v="LAPOSTE-LPM-IntranetDHA"/>
    <m/>
    <x v="3"/>
    <x v="44"/>
    <x v="18"/>
    <x v="0"/>
    <x v="14"/>
    <x v="11"/>
    <n v="1.9285756701935797"/>
    <s v="16/12 (30/11 - 15/12)"/>
  </r>
  <r>
    <s v="LAPOSTE .:. LAPOSTE-V7_-Galaxy"/>
    <x v="71"/>
    <s v="LAPOSTE-V7_-Galaxy"/>
    <m/>
    <x v="3"/>
    <x v="55"/>
    <x v="18"/>
    <x v="0"/>
    <x v="14"/>
    <x v="11"/>
    <n v="2.0915342524453102"/>
    <s v="16/12 (30/11 - 15/12)"/>
  </r>
  <r>
    <s v="LAPOSTE .:. LAPOSTE-VW2-MEDIACOM"/>
    <x v="73"/>
    <s v="LAPOSTE-VW2-MEDIACOM"/>
    <m/>
    <x v="3"/>
    <x v="56"/>
    <x v="18"/>
    <x v="0"/>
    <x v="14"/>
    <x v="11"/>
    <n v="1.1896614671644112"/>
    <s v="16/12 (30/11 - 15/12)"/>
  </r>
  <r>
    <s v="LAPOSTE .:. LAPOSTE-VWA-Fondation"/>
    <x v="64"/>
    <s v="LAPOSTE-VWA-Fondation"/>
    <m/>
    <x v="3"/>
    <x v="51"/>
    <x v="18"/>
    <x v="0"/>
    <x v="14"/>
    <x v="11"/>
    <n v="2.0144683164108081"/>
    <s v="16/12 (30/11 - 15/12)"/>
  </r>
  <r>
    <s v="MENESR .:. MENJ-APAE"/>
    <x v="18"/>
    <s v="MENJ-APAE"/>
    <m/>
    <x v="3"/>
    <x v="15"/>
    <x v="12"/>
    <x v="0"/>
    <x v="9"/>
    <x v="11"/>
    <n v="2.7686646710889704"/>
    <s v="16/12 (30/11 - 15/12)"/>
  </r>
  <r>
    <s v="MENESR .:. MENJ-BI"/>
    <x v="36"/>
    <s v="MENJ-BI"/>
    <m/>
    <x v="3"/>
    <x v="25"/>
    <x v="12"/>
    <x v="0"/>
    <x v="9"/>
    <x v="11"/>
    <n v="0.92470136362499988"/>
    <s v="16/12 (30/11 - 15/12)"/>
  </r>
  <r>
    <s v="MENESR .:. MENJ-BNIE"/>
    <x v="19"/>
    <s v="MENJ-BNIE-BDD"/>
    <m/>
    <x v="3"/>
    <x v="16"/>
    <x v="12"/>
    <x v="0"/>
    <x v="9"/>
    <x v="11"/>
    <n v="2.0421135996693276"/>
    <s v="16/12 (30/11 - 15/12)"/>
  </r>
  <r>
    <s v="MENESR .:. MENJ-BNIE"/>
    <x v="33"/>
    <s v="MENJ-BNIE-Webservices"/>
    <m/>
    <x v="3"/>
    <x v="16"/>
    <x v="12"/>
    <x v="0"/>
    <x v="9"/>
    <x v="11"/>
    <n v="0.45691126202647059"/>
    <s v="16/12 (30/11 - 15/12)"/>
  </r>
  <r>
    <s v="MENESR .:. MENJ-INSERJEUNES"/>
    <x v="65"/>
    <s v="MENJ-InserJeunes"/>
    <m/>
    <x v="3"/>
    <x v="52"/>
    <x v="21"/>
    <x v="0"/>
    <x v="9"/>
    <x v="11"/>
    <n v="3.3698397804684599"/>
    <s v="16/12 (30/11 - 15/12)"/>
  </r>
  <r>
    <s v="MENESR .:. MENJ-RNIE"/>
    <x v="20"/>
    <s v="MENJ-RNIE-BDD"/>
    <m/>
    <x v="3"/>
    <x v="17"/>
    <x v="12"/>
    <x v="0"/>
    <x v="9"/>
    <x v="11"/>
    <n v="1.3816126256514705"/>
    <s v="16/12 (30/11 - 15/12)"/>
  </r>
  <r>
    <s v="MENESR .:. MENJ-RNIE"/>
    <x v="21"/>
    <s v="MENJ-RNIE-Webservices"/>
    <m/>
    <x v="3"/>
    <x v="17"/>
    <x v="12"/>
    <x v="0"/>
    <x v="9"/>
    <x v="11"/>
    <n v="0.45691126202647059"/>
    <s v="16/12 (30/11 - 15/12)"/>
  </r>
  <r>
    <s v="AFB .:. OFB-CMONSPOT"/>
    <x v="55"/>
    <s v="OFB-CMONSPOT"/>
    <m/>
    <x v="3"/>
    <x v="45"/>
    <x v="6"/>
    <x v="0"/>
    <x v="3"/>
    <x v="11"/>
    <n v="0.90384343812969925"/>
    <s v="16/12 (30/11 - 15/12)"/>
  </r>
  <r>
    <s v="OFB .:. OFB-NATUREFRANCE"/>
    <x v="32"/>
    <s v="OFB-NatureFrance"/>
    <m/>
    <x v="3"/>
    <x v="24"/>
    <x v="16"/>
    <x v="0"/>
    <x v="13"/>
    <x v="11"/>
    <n v="4.7233737928807402"/>
    <s v="16/12 (30/11 - 15/12)"/>
  </r>
  <r>
    <s v="AFB .:. OFB-SISPEA"/>
    <x v="40"/>
    <s v="OFB-SISPEA"/>
    <m/>
    <x v="3"/>
    <x v="26"/>
    <x v="6"/>
    <x v="0"/>
    <x v="3"/>
    <x v="11"/>
    <n v="3.2155968471921992"/>
    <s v="16/12 (30/11 - 15/12)"/>
  </r>
  <r>
    <s v="PCM .:. PCM-ALS"/>
    <x v="22"/>
    <s v="PCM-ALS"/>
    <m/>
    <x v="3"/>
    <x v="18"/>
    <x v="13"/>
    <x v="0"/>
    <x v="10"/>
    <x v="11"/>
    <n v="3.3545268036210922"/>
    <s v="16/12 (30/11 - 15/12)"/>
  </r>
  <r>
    <s v="PCM .:. PCM-WEB"/>
    <x v="23"/>
    <s v="PCM-Web"/>
    <m/>
    <x v="3"/>
    <x v="19"/>
    <x v="13"/>
    <x v="0"/>
    <x v="10"/>
    <x v="11"/>
    <n v="2.1918203374645207"/>
    <s v="16/12 (30/11 - 15/12)"/>
  </r>
  <r>
    <s v="SAFT .:. SAFT-PDM"/>
    <x v="56"/>
    <s v="SAFT-PDM"/>
    <m/>
    <x v="3"/>
    <x v="46"/>
    <x v="19"/>
    <x v="0"/>
    <x v="15"/>
    <x v="11"/>
    <n v="1.9441324722078241"/>
    <s v="16/12 (30/11 - 15/12)"/>
  </r>
  <r>
    <s v="SPC .:. SPC-BUILD"/>
    <x v="24"/>
    <s v="SPC-BUILD"/>
    <m/>
    <x v="3"/>
    <x v="1"/>
    <x v="1"/>
    <x v="0"/>
    <x v="1"/>
    <x v="11"/>
    <n v="44.568472804638468"/>
    <s v="16/12 (30/11 - 15/12)"/>
  </r>
  <r>
    <s v="SPC .:. SPC-WEB"/>
    <x v="25"/>
    <s v="SPC-WEB"/>
    <m/>
    <x v="3"/>
    <x v="2"/>
    <x v="2"/>
    <x v="0"/>
    <x v="1"/>
    <x v="11"/>
    <n v="5.4326205112968751"/>
    <s v="16/12 (30/11 - 15/12)"/>
  </r>
  <r>
    <s v="STMICRO .:. STMICRO-DATAPACK"/>
    <x v="66"/>
    <s v="STMICRO-DATAPACK"/>
    <m/>
    <x v="3"/>
    <x v="47"/>
    <x v="20"/>
    <x v="0"/>
    <x v="16"/>
    <x v="11"/>
    <n v="3.8673558965539376"/>
    <s v="16/12 (30/11 - 15/12)"/>
  </r>
  <r>
    <s v="STMICRO .:. STMICRO-ROCKET"/>
    <x v="67"/>
    <s v="STMICRO-ROCKET"/>
    <m/>
    <x v="3"/>
    <x v="53"/>
    <x v="20"/>
    <x v="0"/>
    <x v="16"/>
    <x v="11"/>
    <n v="5.3699956124445629"/>
    <s v="16/12 (30/11 - 15/12)"/>
  </r>
  <r>
    <s v="ALM .:. ALM-ATOUT"/>
    <x v="29"/>
    <m/>
    <s v="ALM-ATOUT-VM"/>
    <x v="2"/>
    <x v="10"/>
    <x v="7"/>
    <x v="0"/>
    <x v="4"/>
    <x v="11"/>
    <n v="11.029620224204988"/>
    <s v="(30/11 - 15/12)"/>
  </r>
  <r>
    <s v="BRGM .:. BRGM-ORRM"/>
    <x v="30"/>
    <m/>
    <s v="BRGM-ORRM-VM"/>
    <x v="0"/>
    <x v="11"/>
    <x v="8"/>
    <x v="0"/>
    <x v="5"/>
    <x v="11"/>
    <n v="2.0860619232822391"/>
    <s v="(30/11 - 15/12)"/>
  </r>
  <r>
    <s v="CA-TITRES .:. CATITRES-COMX"/>
    <x v="28"/>
    <m/>
    <s v="CATITRES-COMX-VM"/>
    <x v="1"/>
    <x v="21"/>
    <x v="14"/>
    <x v="0"/>
    <x v="11"/>
    <x v="11"/>
    <n v="7.1341012735453369"/>
    <s v="(30/11 - 15/12)"/>
  </r>
  <r>
    <s v="EBR .:. EBR-LAPOSTE"/>
    <x v="31"/>
    <m/>
    <s v="EBR-LAPOSTE-VM"/>
    <x v="1"/>
    <x v="22"/>
    <x v="15"/>
    <x v="0"/>
    <x v="12"/>
    <x v="11"/>
    <n v="85.309559978647144"/>
    <s v="(30/11 - 15/12)"/>
  </r>
  <r>
    <s v="GFI .:. GFI-PMT"/>
    <x v="57"/>
    <m/>
    <s v="GFI-PMT-VM"/>
    <x v="1"/>
    <x v="38"/>
    <x v="10"/>
    <x v="0"/>
    <x v="7"/>
    <x v="11"/>
    <n v="16.746121406238082"/>
    <s v="(30/11 - 15/12)"/>
  </r>
  <r>
    <s v="MENESR .:. MENJ-BI"/>
    <x v="35"/>
    <m/>
    <s v="MENJ-BI-VM"/>
    <x v="2"/>
    <x v="25"/>
    <x v="12"/>
    <x v="0"/>
    <x v="9"/>
    <x v="11"/>
    <n v="2.1782635552505147"/>
    <s v="(30/11 - 15/12)"/>
  </r>
  <r>
    <s v="AFB .:. AFB-NatureFrance"/>
    <x v="34"/>
    <m/>
    <s v="OFB-FRANCENATURE-VM"/>
    <x v="2"/>
    <x v="23"/>
    <x v="6"/>
    <x v="0"/>
    <x v="3"/>
    <x v="11"/>
    <n v="2.1321627392663771"/>
    <s v="(30/11 - 15/12)"/>
  </r>
  <r>
    <s v="AFB .:. OFB-SISPEA"/>
    <x v="58"/>
    <m/>
    <s v="OFB-SISPEA-VM"/>
    <x v="1"/>
    <x v="26"/>
    <x v="6"/>
    <x v="0"/>
    <x v="3"/>
    <x v="11"/>
    <n v="6.7422443376801642"/>
    <s v="(30/11 - 15/12)"/>
  </r>
  <r>
    <s v="SPC .:. SPC-BUILD"/>
    <x v="1"/>
    <m/>
    <s v="SPC-BUILDAS-VM"/>
    <x v="1"/>
    <x v="1"/>
    <x v="1"/>
    <x v="0"/>
    <x v="1"/>
    <x v="11"/>
    <n v="87.441722717913521"/>
    <s v="(30/11 - 15/12)"/>
  </r>
  <r>
    <s v="STMICRO .:. STMICRO-DATAPACK"/>
    <x v="59"/>
    <m/>
    <s v="STMICRO-DATAPACK-VM"/>
    <x v="1"/>
    <x v="47"/>
    <x v="20"/>
    <x v="0"/>
    <x v="16"/>
    <x v="11"/>
    <n v="7.5720590253946467"/>
    <s v="(30/11 - 15/12)"/>
  </r>
  <r>
    <s v="FRR .:. FRR-DIGIPAT"/>
    <x v="0"/>
    <m/>
    <s v="FRR-DIGIPAT-VM"/>
    <x v="0"/>
    <x v="0"/>
    <x v="0"/>
    <x v="0"/>
    <x v="0"/>
    <x v="11"/>
    <n v="6.650042705711888"/>
    <s v="(30/11 - 15/12)"/>
  </r>
  <r>
    <s v="GFI .:. GFI-WAAC"/>
    <x v="60"/>
    <m/>
    <s v="GFI-WAAC-VM"/>
    <x v="2"/>
    <x v="41"/>
    <x v="17"/>
    <x v="1"/>
    <x v="7"/>
    <x v="11"/>
    <n v="39.934831846259435"/>
    <s v="(30/11 - 15/12)"/>
  </r>
  <r>
    <s v="LAPOSTE .:. LAPOSTE-CDC"/>
    <x v="61"/>
    <m/>
    <s v="LAPOSTE-CDC-VM"/>
    <x v="1"/>
    <x v="48"/>
    <x v="18"/>
    <x v="0"/>
    <x v="14"/>
    <x v="11"/>
    <n v="2.1782635552505147"/>
    <s v="(30/11 - 15/12)"/>
  </r>
  <r>
    <s v="MENESR .:. MENJ-INSERJEUNES"/>
    <x v="68"/>
    <m/>
    <s v="MENJ-INERJEUNES"/>
    <x v="0"/>
    <x v="52"/>
    <x v="21"/>
    <x v="0"/>
    <x v="9"/>
    <x v="11"/>
    <n v="20.457237092961183"/>
    <s v="(30/11 - 15/12)"/>
  </r>
  <r>
    <s v="AFB .:. OFB-ESTAMP"/>
    <x v="74"/>
    <m/>
    <s v="OFB-ESTAMP"/>
    <x v="2"/>
    <x v="57"/>
    <x v="5"/>
    <x v="0"/>
    <x v="3"/>
    <x v="11"/>
    <n v="4.6677076183939601"/>
    <s v="(30/11 - 15/12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lient/Projet/Environnement">
  <location ref="A4:B247" firstHeaderRow="1" firstDataRow="1" firstDataCol="1"/>
  <pivotFields count="12">
    <pivotField showAll="0"/>
    <pivotField axis="axisRow" showAll="0">
      <items count="77">
        <item x="3"/>
        <item x="26"/>
        <item x="4"/>
        <item x="5"/>
        <item x="6"/>
        <item x="7"/>
        <item x="8"/>
        <item x="9"/>
        <item x="10"/>
        <item x="29"/>
        <item x="11"/>
        <item x="30"/>
        <item x="28"/>
        <item x="12"/>
        <item x="13"/>
        <item x="14"/>
        <item x="15"/>
        <item x="0"/>
        <item x="16"/>
        <item x="27"/>
        <item x="17"/>
        <item x="18"/>
        <item x="19"/>
        <item x="20"/>
        <item x="21"/>
        <item x="22"/>
        <item x="23"/>
        <item x="24"/>
        <item x="1"/>
        <item x="25"/>
        <item x="2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m="1"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</pivotField>
    <pivotField showAll="0"/>
    <pivotField showAll="0"/>
    <pivotField axis="axisRow" showAll="0">
      <items count="8">
        <item x="3"/>
        <item x="1"/>
        <item x="4"/>
        <item x="2"/>
        <item x="0"/>
        <item m="1" x="6"/>
        <item m="1" x="5"/>
        <item t="default"/>
      </items>
    </pivotField>
    <pivotField axis="axisRow" showAll="0">
      <items count="59">
        <item x="3"/>
        <item x="20"/>
        <item x="4"/>
        <item x="5"/>
        <item x="6"/>
        <item x="7"/>
        <item x="8"/>
        <item x="9"/>
        <item x="10"/>
        <item x="11"/>
        <item x="21"/>
        <item x="12"/>
        <item x="0"/>
        <item x="13"/>
        <item x="14"/>
        <item x="15"/>
        <item x="16"/>
        <item x="17"/>
        <item x="18"/>
        <item x="19"/>
        <item x="1"/>
        <item x="2"/>
        <item x="22"/>
        <item x="24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showAll="0">
      <items count="25">
        <item x="17"/>
        <item x="16"/>
        <item x="5"/>
        <item x="6"/>
        <item x="7"/>
        <item m="1" x="23"/>
        <item x="8"/>
        <item x="14"/>
        <item x="22"/>
        <item x="9"/>
        <item x="15"/>
        <item x="0"/>
        <item x="10"/>
        <item x="11"/>
        <item x="18"/>
        <item x="21"/>
        <item x="12"/>
        <item x="3"/>
        <item x="4"/>
        <item x="13"/>
        <item x="19"/>
        <item x="1"/>
        <item x="2"/>
        <item x="20"/>
        <item t="default"/>
      </items>
    </pivotField>
    <pivotField showAll="0">
      <items count="4">
        <item x="1"/>
        <item m="1" x="2"/>
        <item x="0"/>
        <item t="default"/>
      </items>
    </pivotField>
    <pivotField axis="axisRow" showAll="0">
      <items count="19">
        <item x="3"/>
        <item x="4"/>
        <item x="5"/>
        <item x="11"/>
        <item x="6"/>
        <item x="0"/>
        <item x="7"/>
        <item x="8"/>
        <item x="9"/>
        <item x="2"/>
        <item x="1"/>
        <item x="10"/>
        <item x="12"/>
        <item x="13"/>
        <item x="14"/>
        <item x="15"/>
        <item x="16"/>
        <item x="17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dataField="1" numFmtId="166" showAll="0"/>
    <pivotField showAll="0"/>
  </pivotFields>
  <rowFields count="4">
    <field x="8"/>
    <field x="5"/>
    <field x="4"/>
    <field x="1"/>
  </rowFields>
  <rowItems count="243">
    <i>
      <x/>
    </i>
    <i r="1">
      <x v="3"/>
    </i>
    <i r="2">
      <x/>
    </i>
    <i r="3">
      <x v="3"/>
    </i>
    <i r="1">
      <x v="6"/>
    </i>
    <i r="2">
      <x/>
    </i>
    <i r="3">
      <x v="6"/>
    </i>
    <i r="1">
      <x v="7"/>
    </i>
    <i r="2">
      <x/>
    </i>
    <i r="3">
      <x v="7"/>
    </i>
    <i r="1">
      <x v="24"/>
    </i>
    <i r="2">
      <x/>
    </i>
    <i r="3">
      <x v="32"/>
    </i>
    <i r="2">
      <x v="3"/>
    </i>
    <i r="3">
      <x v="34"/>
    </i>
    <i r="1">
      <x v="26"/>
    </i>
    <i r="2">
      <x/>
    </i>
    <i r="3">
      <x v="40"/>
    </i>
    <i r="2">
      <x v="1"/>
    </i>
    <i r="3">
      <x v="58"/>
    </i>
    <i r="1">
      <x v="45"/>
    </i>
    <i r="2">
      <x/>
    </i>
    <i r="3">
      <x v="55"/>
    </i>
    <i r="1">
      <x v="57"/>
    </i>
    <i r="2">
      <x v="3"/>
    </i>
    <i r="3">
      <x v="75"/>
    </i>
    <i>
      <x v="1"/>
    </i>
    <i r="1">
      <x v="8"/>
    </i>
    <i r="2">
      <x/>
    </i>
    <i r="3">
      <x v="8"/>
    </i>
    <i r="3">
      <x v="10"/>
    </i>
    <i r="2">
      <x v="2"/>
    </i>
    <i r="3">
      <x v="9"/>
    </i>
    <i r="2">
      <x v="3"/>
    </i>
    <i r="3">
      <x v="9"/>
    </i>
    <i>
      <x v="2"/>
    </i>
    <i r="1">
      <x v="9"/>
    </i>
    <i r="2">
      <x/>
    </i>
    <i r="3">
      <x v="10"/>
    </i>
    <i r="2">
      <x v="2"/>
    </i>
    <i r="3">
      <x v="11"/>
    </i>
    <i r="2">
      <x v="4"/>
    </i>
    <i r="3">
      <x v="11"/>
    </i>
    <i>
      <x v="3"/>
    </i>
    <i r="1">
      <x v="10"/>
    </i>
    <i r="2">
      <x v="1"/>
    </i>
    <i r="3">
      <x v="12"/>
    </i>
    <i r="2">
      <x v="2"/>
    </i>
    <i r="3">
      <x v="12"/>
    </i>
    <i>
      <x v="4"/>
    </i>
    <i r="1">
      <x v="11"/>
    </i>
    <i r="2">
      <x/>
    </i>
    <i r="3">
      <x v="13"/>
    </i>
    <i>
      <x v="5"/>
    </i>
    <i r="1">
      <x v="12"/>
    </i>
    <i r="2">
      <x/>
    </i>
    <i r="3">
      <x v="16"/>
    </i>
    <i r="2">
      <x v="4"/>
    </i>
    <i r="3">
      <x v="17"/>
    </i>
    <i r="1">
      <x v="28"/>
    </i>
    <i r="2">
      <x/>
    </i>
    <i r="3">
      <x v="42"/>
    </i>
    <i r="1">
      <x v="29"/>
    </i>
    <i r="2">
      <x/>
    </i>
    <i r="3">
      <x v="43"/>
    </i>
    <i r="1">
      <x v="30"/>
    </i>
    <i r="2">
      <x/>
    </i>
    <i r="3">
      <x v="44"/>
    </i>
    <i r="1">
      <x v="31"/>
    </i>
    <i r="2">
      <x/>
    </i>
    <i r="3">
      <x v="45"/>
    </i>
    <i>
      <x v="6"/>
    </i>
    <i r="1">
      <x v="13"/>
    </i>
    <i r="2">
      <x/>
    </i>
    <i r="3">
      <x v="14"/>
    </i>
    <i r="3">
      <x v="15"/>
    </i>
    <i r="3">
      <x v="18"/>
    </i>
    <i r="3">
      <x v="19"/>
    </i>
    <i r="3">
      <x v="37"/>
    </i>
    <i r="3">
      <x v="38"/>
    </i>
    <i r="3">
      <x v="39"/>
    </i>
    <i r="3">
      <x v="71"/>
    </i>
    <i r="3">
      <x v="73"/>
    </i>
    <i r="1">
      <x v="32"/>
    </i>
    <i r="2">
      <x/>
    </i>
    <i r="3">
      <x v="46"/>
    </i>
    <i r="1">
      <x v="33"/>
    </i>
    <i r="2">
      <x/>
    </i>
    <i r="3">
      <x v="47"/>
    </i>
    <i r="1">
      <x v="34"/>
    </i>
    <i r="2">
      <x/>
    </i>
    <i r="3">
      <x v="48"/>
    </i>
    <i r="1">
      <x v="35"/>
    </i>
    <i r="2">
      <x/>
    </i>
    <i r="3">
      <x v="18"/>
    </i>
    <i r="1">
      <x v="36"/>
    </i>
    <i r="2">
      <x/>
    </i>
    <i r="3">
      <x v="49"/>
    </i>
    <i r="1">
      <x v="37"/>
    </i>
    <i r="2">
      <x/>
    </i>
    <i r="3">
      <x v="19"/>
    </i>
    <i r="1">
      <x v="38"/>
    </i>
    <i r="2">
      <x/>
    </i>
    <i r="3">
      <x v="50"/>
    </i>
    <i r="2">
      <x v="1"/>
    </i>
    <i r="3">
      <x v="57"/>
    </i>
    <i r="1">
      <x v="39"/>
    </i>
    <i r="2">
      <x/>
    </i>
    <i r="3">
      <x v="37"/>
    </i>
    <i r="1">
      <x v="40"/>
    </i>
    <i r="2">
      <x/>
    </i>
    <i r="3">
      <x v="51"/>
    </i>
    <i r="1">
      <x v="41"/>
    </i>
    <i r="2">
      <x/>
    </i>
    <i r="3">
      <x v="38"/>
    </i>
    <i r="2">
      <x v="3"/>
    </i>
    <i r="3">
      <x v="61"/>
    </i>
    <i>
      <x v="7"/>
    </i>
    <i r="1">
      <x v="14"/>
    </i>
    <i r="2">
      <x/>
    </i>
    <i r="3">
      <x v="20"/>
    </i>
    <i>
      <x v="8"/>
    </i>
    <i r="1">
      <x v="15"/>
    </i>
    <i r="2">
      <x/>
    </i>
    <i r="3">
      <x v="21"/>
    </i>
    <i r="1">
      <x v="16"/>
    </i>
    <i r="2">
      <x/>
    </i>
    <i r="3">
      <x v="22"/>
    </i>
    <i r="3">
      <x v="33"/>
    </i>
    <i r="1">
      <x v="17"/>
    </i>
    <i r="2">
      <x/>
    </i>
    <i r="3">
      <x v="23"/>
    </i>
    <i r="3">
      <x v="24"/>
    </i>
    <i r="1">
      <x v="25"/>
    </i>
    <i r="2">
      <x/>
    </i>
    <i r="3">
      <x v="36"/>
    </i>
    <i r="2">
      <x v="2"/>
    </i>
    <i r="3">
      <x v="35"/>
    </i>
    <i r="2">
      <x v="3"/>
    </i>
    <i r="3">
      <x v="35"/>
    </i>
    <i r="1">
      <x v="52"/>
    </i>
    <i r="2">
      <x/>
    </i>
    <i r="3">
      <x v="66"/>
    </i>
    <i r="2">
      <x v="4"/>
    </i>
    <i r="3">
      <x v="69"/>
    </i>
    <i>
      <x v="9"/>
    </i>
    <i r="1">
      <x/>
    </i>
    <i r="2">
      <x/>
    </i>
    <i r="3">
      <x/>
    </i>
    <i r="1">
      <x v="1"/>
    </i>
    <i r="2">
      <x/>
    </i>
    <i r="3">
      <x v="1"/>
    </i>
    <i r="1">
      <x v="2"/>
    </i>
    <i r="2">
      <x/>
    </i>
    <i r="3">
      <x v="2"/>
    </i>
    <i r="1">
      <x v="4"/>
    </i>
    <i r="2">
      <x/>
    </i>
    <i r="3">
      <x v="4"/>
    </i>
    <i r="1">
      <x v="5"/>
    </i>
    <i r="2">
      <x/>
    </i>
    <i r="3">
      <x v="5"/>
    </i>
    <i r="1">
      <x v="27"/>
    </i>
    <i r="2">
      <x/>
    </i>
    <i r="3">
      <x v="41"/>
    </i>
    <i>
      <x v="10"/>
    </i>
    <i r="1">
      <x v="20"/>
    </i>
    <i r="2">
      <x/>
    </i>
    <i r="3">
      <x v="27"/>
    </i>
    <i r="2">
      <x v="1"/>
    </i>
    <i r="3">
      <x v="28"/>
    </i>
    <i r="1">
      <x v="21"/>
    </i>
    <i r="2">
      <x/>
    </i>
    <i r="3">
      <x v="29"/>
    </i>
    <i r="2">
      <x v="3"/>
    </i>
    <i r="3">
      <x v="30"/>
    </i>
    <i>
      <x v="11"/>
    </i>
    <i r="1">
      <x v="18"/>
    </i>
    <i r="2">
      <x/>
    </i>
    <i r="3">
      <x v="25"/>
    </i>
    <i r="1">
      <x v="19"/>
    </i>
    <i r="2">
      <x/>
    </i>
    <i r="3">
      <x v="26"/>
    </i>
    <i r="3">
      <x v="27"/>
    </i>
    <i>
      <x v="12"/>
    </i>
    <i r="1">
      <x v="22"/>
    </i>
    <i r="2">
      <x v="1"/>
    </i>
    <i r="3">
      <x v="31"/>
    </i>
    <i r="2">
      <x v="2"/>
    </i>
    <i r="3">
      <x v="31"/>
    </i>
    <i>
      <x v="13"/>
    </i>
    <i r="1">
      <x v="23"/>
    </i>
    <i r="2">
      <x/>
    </i>
    <i r="3">
      <x v="32"/>
    </i>
    <i r="2">
      <x v="2"/>
    </i>
    <i r="3">
      <x v="34"/>
    </i>
    <i r="2">
      <x v="3"/>
    </i>
    <i r="3">
      <x v="34"/>
    </i>
    <i>
      <x v="14"/>
    </i>
    <i r="1">
      <x v="42"/>
    </i>
    <i r="2">
      <x/>
    </i>
    <i r="3">
      <x v="52"/>
    </i>
    <i r="1">
      <x v="43"/>
    </i>
    <i r="2">
      <x/>
    </i>
    <i r="3">
      <x v="53"/>
    </i>
    <i r="1">
      <x v="44"/>
    </i>
    <i r="2">
      <x/>
    </i>
    <i r="3">
      <x v="54"/>
    </i>
    <i r="1">
      <x v="48"/>
    </i>
    <i r="2">
      <x v="1"/>
    </i>
    <i r="3">
      <x v="62"/>
    </i>
    <i r="1">
      <x v="49"/>
    </i>
    <i r="2">
      <x/>
    </i>
    <i r="3">
      <x v="63"/>
    </i>
    <i r="1">
      <x v="50"/>
    </i>
    <i r="2">
      <x/>
    </i>
    <i r="3">
      <x v="64"/>
    </i>
    <i r="1">
      <x v="51"/>
    </i>
    <i r="2">
      <x/>
    </i>
    <i r="3">
      <x v="65"/>
    </i>
    <i r="1">
      <x v="55"/>
    </i>
    <i r="2">
      <x/>
    </i>
    <i r="3">
      <x v="72"/>
    </i>
    <i r="1">
      <x v="56"/>
    </i>
    <i r="2">
      <x/>
    </i>
    <i r="3">
      <x v="74"/>
    </i>
    <i>
      <x v="15"/>
    </i>
    <i r="1">
      <x v="46"/>
    </i>
    <i r="2">
      <x/>
    </i>
    <i r="3">
      <x v="56"/>
    </i>
    <i>
      <x v="16"/>
    </i>
    <i r="1">
      <x v="47"/>
    </i>
    <i r="2">
      <x/>
    </i>
    <i r="3">
      <x v="67"/>
    </i>
    <i r="2">
      <x v="1"/>
    </i>
    <i r="3">
      <x v="59"/>
    </i>
    <i r="1">
      <x v="53"/>
    </i>
    <i r="2">
      <x/>
    </i>
    <i r="3">
      <x v="68"/>
    </i>
    <i>
      <x v="17"/>
    </i>
    <i r="1">
      <x v="54"/>
    </i>
    <i r="2">
      <x/>
    </i>
    <i r="3">
      <x v="70"/>
    </i>
    <i t="grand">
      <x/>
    </i>
  </rowItems>
  <colItems count="1">
    <i/>
  </colItems>
  <dataFields count="1">
    <dataField name="Somme de Coût" fld="10" baseField="8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Env" sourceName="Env">
  <pivotTables>
    <pivotTable tabId="26" name="Tableau croisé dynamique1"/>
  </pivotTables>
  <data>
    <tabular pivotCacheId="1086348310">
      <items count="7">
        <i x="3" s="1"/>
        <i x="1" s="1"/>
        <i x="4" s="1"/>
        <i x="2" s="1"/>
        <i x="0" s="1"/>
        <i x="6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Projet" sourceName="Projet">
  <pivotTables>
    <pivotTable tabId="26" name="Tableau croisé dynamique1"/>
  </pivotTables>
  <data>
    <tabular pivotCacheId="1086348310">
      <items count="58">
        <i x="3" s="1"/>
        <i x="20" s="1"/>
        <i x="4" s="1"/>
        <i x="5" s="1"/>
        <i x="23" s="1"/>
        <i x="6" s="1"/>
        <i x="7" s="1"/>
        <i x="8" s="1"/>
        <i x="9" s="1"/>
        <i x="27" s="1"/>
        <i x="10" s="1"/>
        <i x="11" s="1"/>
        <i x="21" s="1"/>
        <i x="54" s="1"/>
        <i x="12" s="1"/>
        <i x="22" s="1"/>
        <i x="28" s="1"/>
        <i x="29" s="1"/>
        <i x="0" s="1"/>
        <i x="30" s="1"/>
        <i x="31" s="1"/>
        <i x="32" s="1"/>
        <i x="33" s="1"/>
        <i x="34" s="1"/>
        <i x="35" s="1"/>
        <i x="36" s="1"/>
        <i x="13" s="1"/>
        <i x="37" s="1"/>
        <i x="38" s="1"/>
        <i x="39" s="1"/>
        <i x="40" s="1"/>
        <i x="41" s="1"/>
        <i x="14" s="1"/>
        <i x="48" s="1"/>
        <i x="42" s="1"/>
        <i x="49" s="1"/>
        <i x="50" s="1"/>
        <i x="43" s="1"/>
        <i x="44" s="1"/>
        <i x="55" s="1"/>
        <i x="56" s="1"/>
        <i x="51" s="1"/>
        <i x="15" s="1"/>
        <i x="25" s="1"/>
        <i x="16" s="1"/>
        <i x="52" s="1"/>
        <i x="17" s="1"/>
        <i x="45" s="1"/>
        <i x="57" s="1"/>
        <i x="24" s="1"/>
        <i x="26" s="1"/>
        <i x="18" s="1"/>
        <i x="19" s="1"/>
        <i x="46" s="1"/>
        <i x="1" s="1"/>
        <i x="2" s="1"/>
        <i x="47" s="1"/>
        <i x="5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ode_SYGES" sourceName="Code SYGES">
  <pivotTables>
    <pivotTable tabId="26" name="Tableau croisé dynamique1"/>
  </pivotTables>
  <data>
    <tabular pivotCacheId="1086348310">
      <items count="24">
        <i x="17" s="1"/>
        <i x="16" s="1"/>
        <i x="5" s="1"/>
        <i x="6" s="1"/>
        <i x="7" s="1"/>
        <i x="8" s="1"/>
        <i x="14" s="1"/>
        <i x="22" s="1"/>
        <i x="9" s="1"/>
        <i x="15" s="1"/>
        <i x="0" s="1"/>
        <i x="10" s="1"/>
        <i x="11" s="1"/>
        <i x="18" s="1"/>
        <i x="21" s="1"/>
        <i x="12" s="1"/>
        <i x="3" s="1"/>
        <i x="4" s="1"/>
        <i x="13" s="1"/>
        <i x="19" s="1"/>
        <i x="1" s="1"/>
        <i x="2" s="1"/>
        <i x="20" s="1"/>
        <i x="2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ost_Center" sourceName="Cost Center">
  <pivotTables>
    <pivotTable tabId="26" name="Tableau croisé dynamique1"/>
  </pivotTables>
  <data>
    <tabular pivotCacheId="1086348310">
      <items count="3">
        <i x="1" s="1"/>
        <i x="0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lient" sourceName="Client">
  <pivotTables>
    <pivotTable tabId="26" name="Tableau croisé dynamique1"/>
  </pivotTables>
  <data>
    <tabular pivotCacheId="1086348310">
      <items count="18">
        <i x="3" s="1"/>
        <i x="4" s="1"/>
        <i x="5" s="1"/>
        <i x="11" s="1"/>
        <i x="17" s="1"/>
        <i x="6" s="1"/>
        <i x="12" s="1"/>
        <i x="0" s="1"/>
        <i x="7" s="1"/>
        <i x="8" s="1"/>
        <i x="14" s="1"/>
        <i x="9" s="1"/>
        <i x="13" s="1"/>
        <i x="2" s="1"/>
        <i x="10" s="1"/>
        <i x="15" s="1"/>
        <i x="1" s="1"/>
        <i x="16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ois" sourceName="Mois">
  <pivotTables>
    <pivotTable tabId="26" name="Tableau croisé dynamique1"/>
  </pivotTables>
  <data>
    <tabular pivotCacheId="1086348310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nv" cache="Segment_Env" caption="Env" rowHeight="241300"/>
  <slicer name="Projet" cache="Segment_Projet" caption="Projet" startItem="9" rowHeight="241300"/>
  <slicer name="Code SYGES" cache="Segment_Code_SYGES" caption="Code SYGES" rowHeight="241300"/>
  <slicer name="Cost Center" cache="Segment_Cost_Center" caption="Cost Center" rowHeight="241300"/>
  <slicer name="Client" cache="Segment_Client" caption="Client" startItem="1" rowHeight="241300"/>
  <slicer name="Mois" cache="Segment_Mois" caption="Mois" startItem="5" rowHeight="241300"/>
</slicers>
</file>

<file path=xl/tables/table1.xml><?xml version="1.0" encoding="utf-8"?>
<table xmlns="http://schemas.openxmlformats.org/spreadsheetml/2006/main" id="2" name="TabVMAzureEnvProjet" displayName="TabVMAzureEnvProjet" ref="A1:L628" totalsRowShown="0">
  <autoFilter ref="A1:L628"/>
  <tableColumns count="12">
    <tableColumn id="9" name="ID" dataDxfId="70">
      <calculatedColumnFormula>TabVMAzureEnvProjet[[#This Row],[Client]] &amp; " .:. "  &amp; TabVMAzureEnvProjet[[#This Row],[Projet]]</calculatedColumnFormula>
    </tableColumn>
    <tableColumn id="11" name="Nature" dataDxfId="69">
      <calculatedColumnFormula>IF(TabVMAzureEnvProjet[[#This Row],[Projet AzureDevOps]]&lt;&gt;"",TabVMAzureEnvProjet[[#This Row],[Projet AzureDevOps]],TabVMAzureEnvProjet[[#This Row],[VM]])</calculatedColumnFormula>
    </tableColumn>
    <tableColumn id="10" name="Projet AzureDevOps"/>
    <tableColumn id="1" name="VM"/>
    <tableColumn id="2" name="Env"/>
    <tableColumn id="3" name="Projet"/>
    <tableColumn id="4" name="Code SYGES">
      <calculatedColumnFormula>LOOKUP(TabVMAzureEnvProjet[[#This Row],[Projet]],TabProjets[NomProj],TabProjets[SYGES])</calculatedColumnFormula>
    </tableColumn>
    <tableColumn id="7" name="Cost Center">
      <calculatedColumnFormula>LOOKUP(TabVMAzureEnvProjet[[#This Row],[Code SYGES]],TabCONTRATSDI[Contrat SYGES],TabCONTRATSDI[Cost Center])</calculatedColumnFormula>
    </tableColumn>
    <tableColumn id="8" name="Client" dataDxfId="68">
      <calculatedColumnFormula>LOOKUP(TabVMAzureEnvProjet[[#This Row],[Code SYGES]],TabCONTRATSDI[Contrat SYGES],TabCONTRATSDI[Client])</calculatedColumnFormula>
    </tableColumn>
    <tableColumn id="5" name="Mois"/>
    <tableColumn id="6" name="Coût" dataDxfId="67" dataCellStyle="Monétaire"/>
    <tableColumn id="12" name="Commentaire" dataDxfId="66" dataCellStyle="Monétair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8" name="TabAzureDevOps" displayName="TabAzureDevOps" ref="A1:A59" totalsRowShown="0" headerRowDxfId="65" dataDxfId="64">
  <autoFilter ref="A1:A59"/>
  <sortState ref="A2:A36">
    <sortCondition ref="A1:A36"/>
  </sortState>
  <tableColumns count="1">
    <tableColumn id="1" name="ProjetAzureDevOps" dataDxfId="63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" name="TabVMAZURE" displayName="TabVMAZURE" ref="A1:AA18" totalsRowShown="0">
  <autoFilter ref="A1:AA18"/>
  <sortState ref="A2:Z10">
    <sortCondition ref="A1:A10"/>
  </sortState>
  <tableColumns count="27">
    <tableColumn id="1" name="VM"/>
    <tableColumn id="2" name="Système"/>
    <tableColumn id="3" name="VMAzureSize"/>
    <tableColumn id="4" name="VMAzureDisk"/>
    <tableColumn id="5" name="VMAzureDisk2"/>
    <tableColumn id="6" name="VMAzureDisk3"/>
    <tableColumn id="7" name="VMAzureDisk4"/>
    <tableColumn id="8" name="Auto Start" dataDxfId="62"/>
    <tableColumn id="9" name="Auto Stop" dataDxfId="61"/>
    <tableColumn id="12" name="Activité _x000a_par jours" dataDxfId="60">
      <calculatedColumnFormula>(((TabVMAZURE[[#This Row],[Auto Stop]]-INT(TabVMAZURE[[#This Row],[Auto Stop]]))*24)-((TabVMAZURE[[#This Row],[Auto Start]]-INT(TabVMAZURE[[#This Row],[Auto Start]]))*24))</calculatedColumnFormula>
    </tableColumn>
    <tableColumn id="14" name="Jours / Mois" dataDxfId="59"/>
    <tableColumn id="13" name="Activité _x000a_par mois" dataDxfId="58">
      <calculatedColumnFormula>TabVMAZURE[[#This Row],[Activité 
par jours]]*TabVMAZURE[[#This Row],[Jours / Mois]]</calculatedColumnFormula>
    </tableColumn>
    <tableColumn id="20" name="Coût horaire VM" dataDxfId="57">
      <calculatedColumnFormula>INDEX(ListeVMAzureCoûts,MATCH(TabVMAZURE[[#This Row],[VMAzureSize]],ListeVMAzureSize,0),MATCH(TabVMAZURE[[#This Row],[Système]],ListeSystèmes,0))</calculatedColumnFormula>
    </tableColumn>
    <tableColumn id="19" name="Coût estimé _x000a_VM / mois" dataDxfId="56">
      <calculatedColumnFormula>TabVMAZURE[[#This Row],[Activité 
par mois]]*TabVMAZURE[[#This Row],[Coût horaire VM]]</calculatedColumnFormula>
    </tableColumn>
    <tableColumn id="18" name="Coût estimé _x000a_Disk1 / mois" dataDxfId="55">
      <calculatedColumnFormula>INDEX(TabVMAzureDisk[Coût / mois],MATCH(TabVMAZURE[[#This Row],[VMAzureDisk]],TabVMAzureDisk[VMAzureDisk],0))</calculatedColumnFormula>
    </tableColumn>
    <tableColumn id="23" name="Coût estimé _x000a_sauvegarde_x000a_Disk1 / mois" dataDxfId="54">
      <calculatedColumnFormula>INDEX(TabVMAzureDisk[Coût / mois Sauvegarde],MATCH(TabVMAZURE[[#This Row],[VMAzureDisk]],TabVMAzureDisk[VMAzureDisk],0))</calculatedColumnFormula>
    </tableColumn>
    <tableColumn id="17" name="Coût estimé _x000a_Disk2 / mois" dataDxfId="53">
      <calculatedColumnFormula>INDEX(TabVMAzureDisk[Coût / mois],MATCH(TabVMAZURE[[#This Row],[VMAzureDisk2]],TabVMAzureDisk[VMAzureDisk],0))</calculatedColumnFormula>
    </tableColumn>
    <tableColumn id="24" name="Coût estimé _x000a_sauvegarde_x000a_Disk2 / mois" dataDxfId="52">
      <calculatedColumnFormula>INDEX(TabVMAzureDisk[Coût / mois Sauvegarde],MATCH(TabVMAZURE[[#This Row],[VMAzureDisk2]],TabVMAzureDisk[VMAzureDisk],0))</calculatedColumnFormula>
    </tableColumn>
    <tableColumn id="16" name="Coût estimé _x000a_Disk3 / mois" dataDxfId="51">
      <calculatedColumnFormula>INDEX(TabVMAzureDisk[Coût / mois],MATCH(TabVMAZURE[[#This Row],[VMAzureDisk3]],TabVMAzureDisk[VMAzureDisk],0))</calculatedColumnFormula>
    </tableColumn>
    <tableColumn id="25" name="Coût estimé _x000a_sauvegarde_x000a_Disk3 / mois" dataDxfId="50">
      <calculatedColumnFormula>INDEX(TabVMAzureDisk[Coût / mois Sauvegarde],MATCH(TabVMAZURE[[#This Row],[VMAzureDisk3]],TabVMAzureDisk[VMAzureDisk],0))</calculatedColumnFormula>
    </tableColumn>
    <tableColumn id="15" name="Coût estimé _x000a_Disk4 / mois" dataDxfId="49">
      <calculatedColumnFormula>INDEX(TabVMAzureDisk[Coût / mois],MATCH(TabVMAZURE[[#This Row],[VMAzureDisk4]],TabVMAzureDisk[VMAzureDisk],0))</calculatedColumnFormula>
    </tableColumn>
    <tableColumn id="26" name="Coût estimé _x000a_sauvegarde_x000a_Disk4 / mois" dataDxfId="48">
      <calculatedColumnFormula>INDEX(TabVMAzureDisk[Coût / mois Sauvegarde],MATCH(TabVMAZURE[[#This Row],[VMAzureDisk4]],TabVMAzureDisk[VMAzureDisk],0))</calculatedColumnFormula>
    </tableColumn>
    <tableColumn id="21" name="Coût estimé _x000a_Disk Total / mois" dataDxfId="47">
      <calculatedColumnFormula>SUM(TabVMAZURE[[#This Row],[Coût estimé 
Disk1 / mois]]+TabVMAZURE[[#This Row],[Coût estimé 
Disk2 / mois]]+TabVMAZURE[[#This Row],[Coût estimé 
Disk3 / mois]]+TabVMAZURE[[#This Row],[Coût estimé 
Disk4 / mois]])</calculatedColumnFormula>
    </tableColumn>
    <tableColumn id="11" name="Coût estimé _x000a_sauvegarde total / mois" dataDxfId="46">
      <calculatedColumnFormula>SUM(TabVMAZURE[[#This Row],[Coût estimé 
sauvegarde
Disk1 / mois]]+TabVMAZURE[[#This Row],[Coût estimé 
sauvegarde
Disk2 / mois]]+TabVMAZURE[[#This Row],[Coût estimé 
sauvegarde
Disk3 / mois]]+TabVMAZURE[[#This Row],[Coût estimé 
sauvegarde
Disk4 / mois]])</calculatedColumnFormula>
    </tableColumn>
    <tableColumn id="27" name="Coût estimé _x000a_Disk + sauvegarde Total / mois" dataDxfId="45">
      <calculatedColumnFormula>SUM(TabVMAZURE[[#This Row],[Coût estimé 
Disk Total / mois]]+TabVMAZURE[[#This Row],[Coût estimé 
sauvegarde total / mois]])</calculatedColumnFormula>
    </tableColumn>
    <tableColumn id="10" name="Coût estimé _x000a_total / mois_x000a_sans_x000a_sauvegarde" dataDxfId="44">
      <calculatedColumnFormula>SUM(TabVMAZURE[[#This Row],[Coût estimé 
VM / mois]],TabVMAZURE[[#This Row],[Coût estimé 
Disk Total / mois]])+(TabVMAZURE[[#This Row],[Activité 
par mois]]*0.01717)</calculatedColumnFormula>
    </tableColumn>
    <tableColumn id="22" name="Coût estimé _x000a_total / mois_x000a_avec 1 _x000a_sauvegarde" dataDxfId="43">
      <calculatedColumnFormula>SUM(TabVMAZURE[[#This Row],[Coût estimé 
sauvegarde total / mois]]+TabVMAZURE[[#This Row],[Coût estimé 
total / mois
sans
sauvegarde]])+(TabVMAZURE[[#This Row],[Activité 
par mois]]*0.01717)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10" name="TabVMAZURE11" displayName="TabVMAZURE11" ref="A1:AB31" totalsRowShown="0">
  <autoFilter ref="A1:AB31"/>
  <tableColumns count="28">
    <tableColumn id="1" name="VM"/>
    <tableColumn id="2" name="Système"/>
    <tableColumn id="3" name="VMAzureSize"/>
    <tableColumn id="4" name="VMAzureDisk"/>
    <tableColumn id="5" name="VMAzureDisk2"/>
    <tableColumn id="6" name="VMAzureDisk3"/>
    <tableColumn id="7" name="VMAzureDisk4"/>
    <tableColumn id="8" name="Auto Start" dataDxfId="42"/>
    <tableColumn id="9" name="Auto Stop" dataDxfId="41"/>
    <tableColumn id="12" name="Activité _x000a_par jours" dataDxfId="40">
      <calculatedColumnFormula>(((TabVMAZURE11[[#This Row],[Auto Stop]]-INT(TabVMAZURE11[[#This Row],[Auto Stop]]))*24)-((TabVMAZURE11[[#This Row],[Auto Start]]-INT(TabVMAZURE11[[#This Row],[Auto Start]]))*24))</calculatedColumnFormula>
    </tableColumn>
    <tableColumn id="14" name="Jours / Mois" dataDxfId="39"/>
    <tableColumn id="13" name="Activité _x000a_par mois" dataDxfId="38">
      <calculatedColumnFormula>TabVMAZURE11[[#This Row],[Activité 
par jours]]*TabVMAZURE11[[#This Row],[Jours / Mois]]</calculatedColumnFormula>
    </tableColumn>
    <tableColumn id="20" name="Coût horaire VM" dataDxfId="37">
      <calculatedColumnFormula>INDEX(ListeVMAzureCoûts,MATCH(TabVMAZURE11[[#This Row],[VMAzureSize]],ListeVMAzureSize,0),MATCH(TabVMAZURE11[[#This Row],[Système]],ListeSystèmes,0))</calculatedColumnFormula>
    </tableColumn>
    <tableColumn id="19" name="Coût estimé _x000a_VM / mois" dataDxfId="36">
      <calculatedColumnFormula>TabVMAZURE11[[#This Row],[Activité 
par mois]]*TabVMAZURE11[[#This Row],[Coût horaire VM]]</calculatedColumnFormula>
    </tableColumn>
    <tableColumn id="18" name="Coût estimé _x000a_Disk1 / mois" dataDxfId="35">
      <calculatedColumnFormula>INDEX(TabVMAzureDisk[Coût / mois],MATCH(TabVMAZURE11[[#This Row],[VMAzureDisk]],TabVMAzureDisk[VMAzureDisk],0))</calculatedColumnFormula>
    </tableColumn>
    <tableColumn id="23" name="Coût estimé _x000a_sauvegarde_x000a_Disk1 / mois" dataDxfId="34">
      <calculatedColumnFormula>INDEX(TabVMAzureDisk[Coût / mois Sauvegarde],MATCH(TabVMAZURE11[[#This Row],[VMAzureDisk]],TabVMAzureDisk[VMAzureDisk],0))</calculatedColumnFormula>
    </tableColumn>
    <tableColumn id="17" name="Coût estimé _x000a_Disk2 / mois" dataDxfId="33">
      <calculatedColumnFormula>INDEX(TabVMAzureDisk[Coût / mois],MATCH(TabVMAZURE11[[#This Row],[VMAzureDisk2]],TabVMAzureDisk[VMAzureDisk],0))</calculatedColumnFormula>
    </tableColumn>
    <tableColumn id="24" name="Coût estimé _x000a_sauvegarde_x000a_Disk2 / mois" dataDxfId="32">
      <calculatedColumnFormula>INDEX(TabVMAzureDisk[Coût / mois Sauvegarde],MATCH(TabVMAZURE11[[#This Row],[VMAzureDisk2]],TabVMAzureDisk[VMAzureDisk],0))</calculatedColumnFormula>
    </tableColumn>
    <tableColumn id="16" name="Coût estimé _x000a_Disk3 / mois" dataDxfId="31">
      <calculatedColumnFormula>INDEX(TabVMAzureDisk[Coût / mois],MATCH(TabVMAZURE11[[#This Row],[VMAzureDisk3]],TabVMAzureDisk[VMAzureDisk],0))</calculatedColumnFormula>
    </tableColumn>
    <tableColumn id="25" name="Coût estimé _x000a_sauvegarde_x000a_Disk3 / mois" dataDxfId="30">
      <calculatedColumnFormula>INDEX(TabVMAzureDisk[Coût / mois Sauvegarde],MATCH(TabVMAZURE11[[#This Row],[VMAzureDisk3]],TabVMAzureDisk[VMAzureDisk],0))</calculatedColumnFormula>
    </tableColumn>
    <tableColumn id="15" name="Coût estimé _x000a_Disk4 / mois" dataDxfId="29">
      <calculatedColumnFormula>INDEX(TabVMAzureDisk[Coût / mois],MATCH(TabVMAZURE11[[#This Row],[VMAzureDisk4]],TabVMAzureDisk[VMAzureDisk],0))</calculatedColumnFormula>
    </tableColumn>
    <tableColumn id="26" name="Coût estimé _x000a_sauvegarde_x000a_Disk4 / mois" dataDxfId="28">
      <calculatedColumnFormula>INDEX(TabVMAzureDisk[Coût / mois Sauvegarde],MATCH(TabVMAZURE11[[#This Row],[VMAzureDisk4]],TabVMAzureDisk[VMAzureDisk],0))</calculatedColumnFormula>
    </tableColumn>
    <tableColumn id="21" name="Coût estimé _x000a_Disk Total / mois" dataDxfId="27">
      <calculatedColumnFormula>SUM(TabVMAZURE11[[#This Row],[Coût estimé 
Disk1 / mois]]+TabVMAZURE11[[#This Row],[Coût estimé 
Disk2 / mois]]+TabVMAZURE11[[#This Row],[Coût estimé 
Disk3 / mois]]+TabVMAZURE11[[#This Row],[Coût estimé 
Disk4 / mois]])</calculatedColumnFormula>
    </tableColumn>
    <tableColumn id="27" name="Coût estimé _x000a_sauvegarde_x000a_Disk Total / mois" dataDxfId="26">
      <calculatedColumnFormula>SUM(TabVMAZURE11[[#This Row],[Coût estimé 
sauvegarde
Disk1 / mois]]+TabVMAZURE11[[#This Row],[Coût estimé 
sauvegarde
Disk2 / mois]]+TabVMAZURE11[[#This Row],[Coût estimé 
sauvegarde
Disk3 / mois]]+TabVMAZURE11[[#This Row],[Coût estimé 
sauvegarde
Disk4 / mois]])</calculatedColumnFormula>
    </tableColumn>
    <tableColumn id="10" name="Coût estimé _x000a_total / mois_x000a_sans_x000a_sauvegarde" dataDxfId="25">
      <calculatedColumnFormula>SUM(TabVMAZURE11[[#This Row],[Coût estimé 
VM / mois]],TabVMAZURE11[[#This Row],[Coût estimé 
Disk Total / mois]])</calculatedColumnFormula>
    </tableColumn>
    <tableColumn id="22" name="Coût estimé _x000a_total / mois_x000a_avec 1 _x000a_sauvegarde" dataDxfId="24">
      <calculatedColumnFormula>TabVMAZURE11[[#This Row],[Coût estimé 
total / mois
sans
sauvegarde]]+TabVMAZURE11[[#This Row],[Coût estimé 
sauvegarde
Disk Total / mois]]</calculatedColumnFormula>
    </tableColumn>
    <tableColumn id="11" name="Coût OT" dataDxfId="23"/>
    <tableColumn id="28" name="Migration OT vers Azure rentable ?" dataDxfId="22">
      <calculatedColumnFormula>IF(TabVMAZURE11[[#This Row],[Coût estimé 
total / mois
avec 1 
sauvegarde]]&lt;TabVMAZURE11[[#This Row],[Coût OT]],"OUI","NON")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7" name="TabCONTRATSDI" displayName="TabCONTRATSDI" ref="A1:F41" totalsRowShown="0" headerRowDxfId="21" dataDxfId="20" tableBorderDxfId="19">
  <autoFilter ref="A1:F41"/>
  <sortState ref="A2:F41">
    <sortCondition ref="A1:A41"/>
  </sortState>
  <tableColumns count="6">
    <tableColumn id="1" name="Contrat SYGES" dataDxfId="18"/>
    <tableColumn id="2" name="Client" dataDxfId="17"/>
    <tableColumn id="3" name="Cost Center" dataDxfId="16"/>
    <tableColumn id="4" name="Status du contrat" dataDxfId="15"/>
    <tableColumn id="5" name="Type du contrat SYGES" dataDxfId="14"/>
    <tableColumn id="6" name="Type contrat REFPROJ" dataDxfId="13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6" name="TabProjets" displayName="TabProjets" ref="A1:I59" totalsRowShown="0" headerRowDxfId="12">
  <autoFilter ref="A1:I59"/>
  <sortState ref="A2:I59">
    <sortCondition ref="A1:A59"/>
  </sortState>
  <tableColumns count="9">
    <tableColumn id="1" name="NomProj">
      <calculatedColumnFormula>B2 &amp; "-" &amp; C2</calculatedColumnFormula>
    </tableColumn>
    <tableColumn id="2" name="Client"/>
    <tableColumn id="3" name="Projet"/>
    <tableColumn id="4" name="DateDeb"/>
    <tableColumn id="5" name="DateFin"/>
    <tableColumn id="6" name="CP" dataDxfId="11"/>
    <tableColumn id="7" name="Référent technique"/>
    <tableColumn id="8" name="SYGES"/>
    <tableColumn id="9" name="Commentair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" name="TabEnv" displayName="TabEnv" ref="A1:C6" totalsRowShown="0" headerRowDxfId="10">
  <autoFilter ref="A1:C6"/>
  <tableColumns count="3">
    <tableColumn id="1" name="RefEnv"/>
    <tableColumn id="2" name="Nom"/>
    <tableColumn id="3" name="Commentaire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4" name="TabVMAzureSize" displayName="TabVMAzureSize" ref="A1:G11" totalsRowShown="0" headerRowDxfId="9" dataDxfId="8" dataCellStyle="Monétaire">
  <autoFilter ref="A1:G11"/>
  <sortState ref="A2:G9">
    <sortCondition ref="A1:A9"/>
  </sortState>
  <tableColumns count="7">
    <tableColumn id="1" name="VMAzureSize"/>
    <tableColumn id="2" name="CPU"/>
    <tableColumn id="3" name="RAM"/>
    <tableColumn id="4" name="Stockage temporaire"/>
    <tableColumn id="5" name="Linux" dataDxfId="7" dataCellStyle="Monétaire"/>
    <tableColumn id="6" name="Windows" dataDxfId="6" dataCellStyle="Monétaire"/>
    <tableColumn id="7" name="Windows + SQL STD" dataDxfId="5" dataCellStyle="Monétaire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3" name="TabVMAzureDisk" displayName="TabVMAzureDisk" ref="A1:F11" totalsRowShown="0">
  <autoFilter ref="A1:F11"/>
  <sortState ref="A2:D11">
    <sortCondition ref="A1:A11"/>
  </sortState>
  <tableColumns count="6">
    <tableColumn id="1" name="VMAzureDisk" dataDxfId="4">
      <calculatedColumnFormula>TabVMAzureDisk[[#This Row],[Type]] &amp; " \ " &amp; TabVMAzureDisk[[#This Row],[Size]] &amp; " Go"</calculatedColumnFormula>
    </tableColumn>
    <tableColumn id="2" name="Type"/>
    <tableColumn id="3" name="Size"/>
    <tableColumn id="4" name="Coût / mois" dataDxfId="3" dataCellStyle="Monétaire"/>
    <tableColumn id="5" name="Coût / mois Sauvegarde" dataDxfId="2"/>
    <tableColumn id="6" name="Coût / mois avec sauvegarde" dataDxfId="1">
      <calculatedColumnFormula>TabVMAzureDisk[[#This Row],[Coût / mois]]+TabVMAzureDisk[[#This Row],[Coût / mois Sauvegarde]]</calculatedColumnFormula>
    </tableColumn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9" name="TabDates" displayName="TabDates" ref="A1:A25" totalsRowShown="0">
  <autoFilter ref="A1:A25"/>
  <tableColumns count="1">
    <tableColumn id="1" name="Date" dataDxfId="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11" name="TabCostCenters" displayName="TabCostCenters" ref="A1:A3" totalsRowShown="0">
  <autoFilter ref="A1:A3"/>
  <tableColumns count="1">
    <tableColumn id="1" name="CostCenter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4:B247"/>
  <sheetViews>
    <sheetView tabSelected="1" topLeftCell="A13" workbookViewId="0">
      <selection activeCell="B11" sqref="B11"/>
    </sheetView>
  </sheetViews>
  <sheetFormatPr baseColWidth="10" defaultColWidth="11.44140625" defaultRowHeight="14.4" x14ac:dyDescent="0.3"/>
  <cols>
    <col min="1" max="1" width="32.109375" bestFit="1" customWidth="1"/>
    <col min="2" max="2" width="14.44140625" customWidth="1"/>
  </cols>
  <sheetData>
    <row r="4" spans="1:2" x14ac:dyDescent="0.3">
      <c r="A4" s="20" t="s">
        <v>0</v>
      </c>
      <c r="B4" t="s">
        <v>1</v>
      </c>
    </row>
    <row r="5" spans="1:2" x14ac:dyDescent="0.3">
      <c r="A5" s="21" t="s">
        <v>2</v>
      </c>
      <c r="B5" s="32">
        <v>529.94315351885109</v>
      </c>
    </row>
    <row r="6" spans="1:2" x14ac:dyDescent="0.3">
      <c r="A6" s="26" t="s">
        <v>3</v>
      </c>
      <c r="B6" s="32">
        <v>129.66465282565488</v>
      </c>
    </row>
    <row r="7" spans="1:2" x14ac:dyDescent="0.3">
      <c r="A7" s="27" t="s">
        <v>4</v>
      </c>
      <c r="B7" s="32">
        <v>129.66465282565488</v>
      </c>
    </row>
    <row r="8" spans="1:2" x14ac:dyDescent="0.3">
      <c r="A8" s="33" t="s">
        <v>3</v>
      </c>
      <c r="B8" s="32">
        <v>129.66465282565488</v>
      </c>
    </row>
    <row r="9" spans="1:2" x14ac:dyDescent="0.3">
      <c r="A9" s="26" t="s">
        <v>5</v>
      </c>
      <c r="B9" s="32">
        <v>143.88365116446636</v>
      </c>
    </row>
    <row r="10" spans="1:2" x14ac:dyDescent="0.3">
      <c r="A10" s="27" t="s">
        <v>4</v>
      </c>
      <c r="B10" s="32">
        <v>143.88365116446636</v>
      </c>
    </row>
    <row r="11" spans="1:2" x14ac:dyDescent="0.3">
      <c r="A11" s="33" t="s">
        <v>5</v>
      </c>
      <c r="B11" s="32">
        <v>143.88365116446636</v>
      </c>
    </row>
    <row r="12" spans="1:2" x14ac:dyDescent="0.3">
      <c r="A12" s="26" t="s">
        <v>6</v>
      </c>
      <c r="B12" s="32">
        <v>32.030570707147028</v>
      </c>
    </row>
    <row r="13" spans="1:2" x14ac:dyDescent="0.3">
      <c r="A13" s="27" t="s">
        <v>4</v>
      </c>
      <c r="B13" s="32">
        <v>32.030570707147028</v>
      </c>
    </row>
    <row r="14" spans="1:2" x14ac:dyDescent="0.3">
      <c r="A14" s="33" t="s">
        <v>6</v>
      </c>
      <c r="B14" s="32">
        <v>32.030570707147028</v>
      </c>
    </row>
    <row r="15" spans="1:2" x14ac:dyDescent="0.3">
      <c r="A15" s="26" t="s">
        <v>7</v>
      </c>
      <c r="B15" s="32">
        <v>70.485472486909515</v>
      </c>
    </row>
    <row r="16" spans="1:2" x14ac:dyDescent="0.3">
      <c r="A16" s="27" t="s">
        <v>4</v>
      </c>
      <c r="B16" s="32">
        <v>16.013309747643135</v>
      </c>
    </row>
    <row r="17" spans="1:2" x14ac:dyDescent="0.3">
      <c r="A17" s="33" t="s">
        <v>93</v>
      </c>
      <c r="B17" s="32">
        <v>16.013309747643135</v>
      </c>
    </row>
    <row r="18" spans="1:2" x14ac:dyDescent="0.3">
      <c r="A18" s="27" t="s">
        <v>8</v>
      </c>
      <c r="B18" s="32">
        <v>54.472162739266381</v>
      </c>
    </row>
    <row r="19" spans="1:2" x14ac:dyDescent="0.3">
      <c r="A19" s="33" t="s">
        <v>9</v>
      </c>
      <c r="B19" s="32">
        <v>54.472162739266381</v>
      </c>
    </row>
    <row r="20" spans="1:2" x14ac:dyDescent="0.3">
      <c r="A20" s="26" t="s">
        <v>10</v>
      </c>
      <c r="B20" s="32">
        <v>142.85612293699964</v>
      </c>
    </row>
    <row r="21" spans="1:2" x14ac:dyDescent="0.3">
      <c r="A21" s="27" t="s">
        <v>4</v>
      </c>
      <c r="B21" s="32">
        <v>35.843878599319481</v>
      </c>
    </row>
    <row r="22" spans="1:2" x14ac:dyDescent="0.3">
      <c r="A22" s="33" t="s">
        <v>10</v>
      </c>
      <c r="B22" s="32">
        <v>35.843878599319481</v>
      </c>
    </row>
    <row r="23" spans="1:2" x14ac:dyDescent="0.3">
      <c r="A23" s="27" t="s">
        <v>11</v>
      </c>
      <c r="B23" s="32">
        <v>107.01224433768016</v>
      </c>
    </row>
    <row r="24" spans="1:2" x14ac:dyDescent="0.3">
      <c r="A24" s="33" t="s">
        <v>12</v>
      </c>
      <c r="B24" s="32">
        <v>107.01224433768016</v>
      </c>
    </row>
    <row r="25" spans="1:2" x14ac:dyDescent="0.3">
      <c r="A25" s="26" t="s">
        <v>13</v>
      </c>
      <c r="B25" s="32">
        <v>6.3549757792798296</v>
      </c>
    </row>
    <row r="26" spans="1:2" x14ac:dyDescent="0.3">
      <c r="A26" s="27" t="s">
        <v>4</v>
      </c>
      <c r="B26" s="32">
        <v>6.3549757792798296</v>
      </c>
    </row>
    <row r="27" spans="1:2" x14ac:dyDescent="0.3">
      <c r="A27" s="33" t="s">
        <v>13</v>
      </c>
      <c r="B27" s="32">
        <v>6.3549757792798296</v>
      </c>
    </row>
    <row r="28" spans="1:2" x14ac:dyDescent="0.3">
      <c r="A28" s="26" t="s">
        <v>394</v>
      </c>
      <c r="B28" s="32">
        <v>4.6677076183939601</v>
      </c>
    </row>
    <row r="29" spans="1:2" x14ac:dyDescent="0.3">
      <c r="A29" s="27" t="s">
        <v>8</v>
      </c>
      <c r="B29" s="32">
        <v>4.6677076183939601</v>
      </c>
    </row>
    <row r="30" spans="1:2" x14ac:dyDescent="0.3">
      <c r="A30" s="33" t="s">
        <v>394</v>
      </c>
      <c r="B30" s="32">
        <v>4.6677076183939601</v>
      </c>
    </row>
    <row r="31" spans="1:2" x14ac:dyDescent="0.3">
      <c r="A31" s="21" t="s">
        <v>14</v>
      </c>
      <c r="B31" s="32">
        <v>769.52633212365595</v>
      </c>
    </row>
    <row r="32" spans="1:2" x14ac:dyDescent="0.3">
      <c r="A32" s="26" t="s">
        <v>15</v>
      </c>
      <c r="B32" s="32">
        <v>769.52633212365595</v>
      </c>
    </row>
    <row r="33" spans="1:2" x14ac:dyDescent="0.3">
      <c r="A33" s="27" t="s">
        <v>4</v>
      </c>
      <c r="B33" s="32">
        <v>126.74271189945094</v>
      </c>
    </row>
    <row r="34" spans="1:2" x14ac:dyDescent="0.3">
      <c r="A34" s="33" t="s">
        <v>15</v>
      </c>
      <c r="B34" s="32">
        <v>120.4414024701836</v>
      </c>
    </row>
    <row r="35" spans="1:2" x14ac:dyDescent="0.3">
      <c r="A35" s="33" t="s">
        <v>18</v>
      </c>
      <c r="B35" s="32">
        <v>6.30130942926733</v>
      </c>
    </row>
    <row r="36" spans="1:2" x14ac:dyDescent="0.3">
      <c r="A36" s="27" t="s">
        <v>129</v>
      </c>
      <c r="B36" s="32">
        <v>0</v>
      </c>
    </row>
    <row r="37" spans="1:2" x14ac:dyDescent="0.3">
      <c r="A37" s="33" t="s">
        <v>16</v>
      </c>
      <c r="B37" s="32">
        <v>0</v>
      </c>
    </row>
    <row r="38" spans="1:2" x14ac:dyDescent="0.3">
      <c r="A38" s="27" t="s">
        <v>8</v>
      </c>
      <c r="B38" s="32">
        <v>642.78362022420504</v>
      </c>
    </row>
    <row r="39" spans="1:2" x14ac:dyDescent="0.3">
      <c r="A39" s="33" t="s">
        <v>16</v>
      </c>
      <c r="B39" s="32">
        <v>642.78362022420504</v>
      </c>
    </row>
    <row r="40" spans="1:2" x14ac:dyDescent="0.3">
      <c r="A40" s="21" t="s">
        <v>17</v>
      </c>
      <c r="B40" s="32">
        <v>138.58474422651551</v>
      </c>
    </row>
    <row r="41" spans="1:2" x14ac:dyDescent="0.3">
      <c r="A41" s="26" t="s">
        <v>18</v>
      </c>
      <c r="B41" s="32">
        <v>138.58474422651551</v>
      </c>
    </row>
    <row r="42" spans="1:2" x14ac:dyDescent="0.3">
      <c r="A42" s="27" t="s">
        <v>4</v>
      </c>
      <c r="B42" s="32">
        <v>73.376682303233267</v>
      </c>
    </row>
    <row r="43" spans="1:2" x14ac:dyDescent="0.3">
      <c r="A43" s="33" t="s">
        <v>18</v>
      </c>
      <c r="B43" s="32">
        <v>73.376682303233267</v>
      </c>
    </row>
    <row r="44" spans="1:2" x14ac:dyDescent="0.3">
      <c r="A44" s="27" t="s">
        <v>129</v>
      </c>
      <c r="B44" s="32">
        <v>0</v>
      </c>
    </row>
    <row r="45" spans="1:2" x14ac:dyDescent="0.3">
      <c r="A45" s="33" t="s">
        <v>20</v>
      </c>
      <c r="B45" s="32">
        <v>0</v>
      </c>
    </row>
    <row r="46" spans="1:2" x14ac:dyDescent="0.3">
      <c r="A46" s="27" t="s">
        <v>19</v>
      </c>
      <c r="B46" s="32">
        <v>65.208061923282244</v>
      </c>
    </row>
    <row r="47" spans="1:2" x14ac:dyDescent="0.3">
      <c r="A47" s="33" t="s">
        <v>20</v>
      </c>
      <c r="B47" s="32">
        <v>65.208061923282244</v>
      </c>
    </row>
    <row r="48" spans="1:2" x14ac:dyDescent="0.3">
      <c r="A48" s="21" t="s">
        <v>21</v>
      </c>
      <c r="B48" s="32">
        <v>963.64410127354529</v>
      </c>
    </row>
    <row r="49" spans="1:2" x14ac:dyDescent="0.3">
      <c r="A49" s="26" t="s">
        <v>22</v>
      </c>
      <c r="B49" s="32">
        <v>963.64410127354529</v>
      </c>
    </row>
    <row r="50" spans="1:2" x14ac:dyDescent="0.3">
      <c r="A50" s="27" t="s">
        <v>11</v>
      </c>
      <c r="B50" s="32">
        <v>963.64410127354529</v>
      </c>
    </row>
    <row r="51" spans="1:2" x14ac:dyDescent="0.3">
      <c r="A51" s="33" t="s">
        <v>23</v>
      </c>
      <c r="B51" s="32">
        <v>963.64410127354529</v>
      </c>
    </row>
    <row r="52" spans="1:2" x14ac:dyDescent="0.3">
      <c r="A52" s="27" t="s">
        <v>129</v>
      </c>
      <c r="B52" s="32">
        <v>0</v>
      </c>
    </row>
    <row r="53" spans="1:2" x14ac:dyDescent="0.3">
      <c r="A53" s="33" t="s">
        <v>23</v>
      </c>
      <c r="B53" s="32">
        <v>0</v>
      </c>
    </row>
    <row r="54" spans="1:2" x14ac:dyDescent="0.3">
      <c r="A54" s="21" t="s">
        <v>24</v>
      </c>
      <c r="B54" s="32">
        <v>185.5515979457017</v>
      </c>
    </row>
    <row r="55" spans="1:2" x14ac:dyDescent="0.3">
      <c r="A55" s="26" t="s">
        <v>25</v>
      </c>
      <c r="B55" s="32">
        <v>185.5515979457017</v>
      </c>
    </row>
    <row r="56" spans="1:2" x14ac:dyDescent="0.3">
      <c r="A56" s="27" t="s">
        <v>4</v>
      </c>
      <c r="B56" s="32">
        <v>185.5515979457017</v>
      </c>
    </row>
    <row r="57" spans="1:2" x14ac:dyDescent="0.3">
      <c r="A57" s="33" t="s">
        <v>25</v>
      </c>
      <c r="B57" s="32">
        <v>185.5515979457017</v>
      </c>
    </row>
    <row r="58" spans="1:2" x14ac:dyDescent="0.3">
      <c r="A58" s="21" t="s">
        <v>26</v>
      </c>
      <c r="B58" s="32">
        <v>404.51229792892144</v>
      </c>
    </row>
    <row r="59" spans="1:2" x14ac:dyDescent="0.3">
      <c r="A59" s="26" t="s">
        <v>27</v>
      </c>
      <c r="B59" s="32">
        <v>322.60278925105195</v>
      </c>
    </row>
    <row r="60" spans="1:2" x14ac:dyDescent="0.3">
      <c r="A60" s="27" t="s">
        <v>4</v>
      </c>
      <c r="B60" s="32">
        <v>99.662746545340042</v>
      </c>
    </row>
    <row r="61" spans="1:2" x14ac:dyDescent="0.3">
      <c r="A61" s="33" t="s">
        <v>28</v>
      </c>
      <c r="B61" s="32">
        <v>99.662746545340042</v>
      </c>
    </row>
    <row r="62" spans="1:2" x14ac:dyDescent="0.3">
      <c r="A62" s="27" t="s">
        <v>19</v>
      </c>
      <c r="B62" s="32">
        <v>222.9400427057119</v>
      </c>
    </row>
    <row r="63" spans="1:2" x14ac:dyDescent="0.3">
      <c r="A63" s="33" t="s">
        <v>29</v>
      </c>
      <c r="B63" s="32">
        <v>222.9400427057119</v>
      </c>
    </row>
    <row r="64" spans="1:2" x14ac:dyDescent="0.3">
      <c r="A64" s="26" t="s">
        <v>30</v>
      </c>
      <c r="B64" s="32">
        <v>19.463285942862793</v>
      </c>
    </row>
    <row r="65" spans="1:2" x14ac:dyDescent="0.3">
      <c r="A65" s="27" t="s">
        <v>4</v>
      </c>
      <c r="B65" s="32">
        <v>19.463285942862793</v>
      </c>
    </row>
    <row r="66" spans="1:2" x14ac:dyDescent="0.3">
      <c r="A66" s="33" t="s">
        <v>30</v>
      </c>
      <c r="B66" s="32">
        <v>19.463285942862793</v>
      </c>
    </row>
    <row r="67" spans="1:2" x14ac:dyDescent="0.3">
      <c r="A67" s="26" t="s">
        <v>31</v>
      </c>
      <c r="B67" s="32">
        <v>20.041224295128419</v>
      </c>
    </row>
    <row r="68" spans="1:2" x14ac:dyDescent="0.3">
      <c r="A68" s="27" t="s">
        <v>4</v>
      </c>
      <c r="B68" s="32">
        <v>20.041224295128419</v>
      </c>
    </row>
    <row r="69" spans="1:2" x14ac:dyDescent="0.3">
      <c r="A69" s="33" t="s">
        <v>31</v>
      </c>
      <c r="B69" s="32">
        <v>20.041224295128419</v>
      </c>
    </row>
    <row r="70" spans="1:2" x14ac:dyDescent="0.3">
      <c r="A70" s="26" t="s">
        <v>32</v>
      </c>
      <c r="B70" s="32">
        <v>13.663074327125802</v>
      </c>
    </row>
    <row r="71" spans="1:2" x14ac:dyDescent="0.3">
      <c r="A71" s="27" t="s">
        <v>4</v>
      </c>
      <c r="B71" s="32">
        <v>13.663074327125802</v>
      </c>
    </row>
    <row r="72" spans="1:2" x14ac:dyDescent="0.3">
      <c r="A72" s="33" t="s">
        <v>33</v>
      </c>
      <c r="B72" s="32">
        <v>13.663074327125802</v>
      </c>
    </row>
    <row r="73" spans="1:2" x14ac:dyDescent="0.3">
      <c r="A73" s="26" t="s">
        <v>34</v>
      </c>
      <c r="B73" s="32">
        <v>28.741924112752496</v>
      </c>
    </row>
    <row r="74" spans="1:2" x14ac:dyDescent="0.3">
      <c r="A74" s="27" t="s">
        <v>4</v>
      </c>
      <c r="B74" s="32">
        <v>28.741924112752496</v>
      </c>
    </row>
    <row r="75" spans="1:2" x14ac:dyDescent="0.3">
      <c r="A75" s="33" t="s">
        <v>34</v>
      </c>
      <c r="B75" s="32">
        <v>28.741924112752496</v>
      </c>
    </row>
    <row r="76" spans="1:2" x14ac:dyDescent="0.3">
      <c r="A76" s="21" t="s">
        <v>35</v>
      </c>
      <c r="B76" s="32">
        <v>1480.7049241116997</v>
      </c>
    </row>
    <row r="77" spans="1:2" x14ac:dyDescent="0.3">
      <c r="A77" s="26" t="s">
        <v>36</v>
      </c>
      <c r="B77" s="32">
        <v>55.045392742801944</v>
      </c>
    </row>
    <row r="78" spans="1:2" x14ac:dyDescent="0.3">
      <c r="A78" s="27" t="s">
        <v>4</v>
      </c>
      <c r="B78" s="32">
        <v>55.045392742801944</v>
      </c>
    </row>
    <row r="79" spans="1:2" x14ac:dyDescent="0.3">
      <c r="A79" s="33" t="s">
        <v>37</v>
      </c>
      <c r="B79" s="32">
        <v>8.6487088637724039</v>
      </c>
    </row>
    <row r="80" spans="1:2" x14ac:dyDescent="0.3">
      <c r="A80" s="33" t="s">
        <v>38</v>
      </c>
      <c r="B80" s="32">
        <v>8.6487088637724039</v>
      </c>
    </row>
    <row r="81" spans="1:2" x14ac:dyDescent="0.3">
      <c r="A81" s="33" t="s">
        <v>43</v>
      </c>
      <c r="B81" s="32">
        <v>8.7141811595426582</v>
      </c>
    </row>
    <row r="82" spans="1:2" x14ac:dyDescent="0.3">
      <c r="A82" s="33" t="s">
        <v>46</v>
      </c>
      <c r="B82" s="32">
        <v>9.9573720162404271</v>
      </c>
    </row>
    <row r="83" spans="1:2" x14ac:dyDescent="0.3">
      <c r="A83" s="33" t="s">
        <v>50</v>
      </c>
      <c r="B83" s="32">
        <v>1.1287113974603176</v>
      </c>
    </row>
    <row r="84" spans="1:2" x14ac:dyDescent="0.3">
      <c r="A84" s="33" t="s">
        <v>52</v>
      </c>
      <c r="B84" s="32">
        <v>0.29628674183333337</v>
      </c>
    </row>
    <row r="85" spans="1:2" x14ac:dyDescent="0.3">
      <c r="A85" s="33" t="s">
        <v>134</v>
      </c>
      <c r="B85" s="32">
        <v>2.7459431966339287</v>
      </c>
    </row>
    <row r="86" spans="1:2" x14ac:dyDescent="0.3">
      <c r="A86" s="33" t="s">
        <v>39</v>
      </c>
      <c r="B86" s="32">
        <v>5.2479382546082363</v>
      </c>
    </row>
    <row r="87" spans="1:2" x14ac:dyDescent="0.3">
      <c r="A87" s="33" t="s">
        <v>389</v>
      </c>
      <c r="B87" s="32">
        <v>9.6575422489382348</v>
      </c>
    </row>
    <row r="88" spans="1:2" x14ac:dyDescent="0.3">
      <c r="A88" s="26" t="s">
        <v>40</v>
      </c>
      <c r="B88" s="32">
        <v>1.6502026717101104</v>
      </c>
    </row>
    <row r="89" spans="1:2" x14ac:dyDescent="0.3">
      <c r="A89" s="27" t="s">
        <v>4</v>
      </c>
      <c r="B89" s="32">
        <v>1.6502026717101104</v>
      </c>
    </row>
    <row r="90" spans="1:2" x14ac:dyDescent="0.3">
      <c r="A90" s="33" t="s">
        <v>40</v>
      </c>
      <c r="B90" s="32">
        <v>1.6502026717101104</v>
      </c>
    </row>
    <row r="91" spans="1:2" x14ac:dyDescent="0.3">
      <c r="A91" s="26" t="s">
        <v>41</v>
      </c>
      <c r="B91" s="32">
        <v>7.2133407389303965</v>
      </c>
    </row>
    <row r="92" spans="1:2" x14ac:dyDescent="0.3">
      <c r="A92" s="27" t="s">
        <v>4</v>
      </c>
      <c r="B92" s="32">
        <v>7.2133407389303965</v>
      </c>
    </row>
    <row r="93" spans="1:2" x14ac:dyDescent="0.3">
      <c r="A93" s="33" t="s">
        <v>41</v>
      </c>
      <c r="B93" s="32">
        <v>7.2133407389303965</v>
      </c>
    </row>
    <row r="94" spans="1:2" x14ac:dyDescent="0.3">
      <c r="A94" s="26" t="s">
        <v>42</v>
      </c>
      <c r="B94" s="32">
        <v>19.463285942862793</v>
      </c>
    </row>
    <row r="95" spans="1:2" x14ac:dyDescent="0.3">
      <c r="A95" s="27" t="s">
        <v>4</v>
      </c>
      <c r="B95" s="32">
        <v>19.463285942862793</v>
      </c>
    </row>
    <row r="96" spans="1:2" x14ac:dyDescent="0.3">
      <c r="A96" s="33" t="s">
        <v>42</v>
      </c>
      <c r="B96" s="32">
        <v>19.463285942862793</v>
      </c>
    </row>
    <row r="97" spans="1:2" x14ac:dyDescent="0.3">
      <c r="A97" s="26" t="s">
        <v>43</v>
      </c>
      <c r="B97" s="32">
        <v>7.6585137660041482</v>
      </c>
    </row>
    <row r="98" spans="1:2" x14ac:dyDescent="0.3">
      <c r="A98" s="27" t="s">
        <v>4</v>
      </c>
      <c r="B98" s="32">
        <v>7.6585137660041482</v>
      </c>
    </row>
    <row r="99" spans="1:2" x14ac:dyDescent="0.3">
      <c r="A99" s="33" t="s">
        <v>43</v>
      </c>
      <c r="B99" s="32">
        <v>7.6585137660041482</v>
      </c>
    </row>
    <row r="100" spans="1:2" x14ac:dyDescent="0.3">
      <c r="A100" s="26" t="s">
        <v>44</v>
      </c>
      <c r="B100" s="32">
        <v>61.188850861828357</v>
      </c>
    </row>
    <row r="101" spans="1:2" x14ac:dyDescent="0.3">
      <c r="A101" s="27" t="s">
        <v>4</v>
      </c>
      <c r="B101" s="32">
        <v>61.188850861828357</v>
      </c>
    </row>
    <row r="102" spans="1:2" x14ac:dyDescent="0.3">
      <c r="A102" s="33" t="s">
        <v>44</v>
      </c>
      <c r="B102" s="32">
        <v>61.188850861828357</v>
      </c>
    </row>
    <row r="103" spans="1:2" x14ac:dyDescent="0.3">
      <c r="A103" s="26" t="s">
        <v>45</v>
      </c>
      <c r="B103" s="32">
        <v>29.754823912473789</v>
      </c>
    </row>
    <row r="104" spans="1:2" x14ac:dyDescent="0.3">
      <c r="A104" s="27" t="s">
        <v>4</v>
      </c>
      <c r="B104" s="32">
        <v>29.754823912473789</v>
      </c>
    </row>
    <row r="105" spans="1:2" x14ac:dyDescent="0.3">
      <c r="A105" s="33" t="s">
        <v>46</v>
      </c>
      <c r="B105" s="32">
        <v>29.754823912473789</v>
      </c>
    </row>
    <row r="106" spans="1:2" x14ac:dyDescent="0.3">
      <c r="A106" s="26" t="s">
        <v>47</v>
      </c>
      <c r="B106" s="32">
        <v>172.79966760894945</v>
      </c>
    </row>
    <row r="107" spans="1:2" x14ac:dyDescent="0.3">
      <c r="A107" s="27" t="s">
        <v>4</v>
      </c>
      <c r="B107" s="32">
        <v>39.593546202711366</v>
      </c>
    </row>
    <row r="108" spans="1:2" x14ac:dyDescent="0.3">
      <c r="A108" s="33" t="s">
        <v>47</v>
      </c>
      <c r="B108" s="32">
        <v>39.593546202711366</v>
      </c>
    </row>
    <row r="109" spans="1:2" x14ac:dyDescent="0.3">
      <c r="A109" s="27" t="s">
        <v>11</v>
      </c>
      <c r="B109" s="32">
        <v>133.20612140623808</v>
      </c>
    </row>
    <row r="110" spans="1:2" x14ac:dyDescent="0.3">
      <c r="A110" s="33" t="s">
        <v>48</v>
      </c>
      <c r="B110" s="32">
        <v>133.20612140623808</v>
      </c>
    </row>
    <row r="111" spans="1:2" x14ac:dyDescent="0.3">
      <c r="A111" s="26" t="s">
        <v>49</v>
      </c>
      <c r="B111" s="32">
        <v>7.5737771794523532</v>
      </c>
    </row>
    <row r="112" spans="1:2" x14ac:dyDescent="0.3">
      <c r="A112" s="27" t="s">
        <v>4</v>
      </c>
      <c r="B112" s="32">
        <v>7.5737771794523532</v>
      </c>
    </row>
    <row r="113" spans="1:2" x14ac:dyDescent="0.3">
      <c r="A113" s="33" t="s">
        <v>50</v>
      </c>
      <c r="B113" s="32">
        <v>7.5737771794523532</v>
      </c>
    </row>
    <row r="114" spans="1:2" x14ac:dyDescent="0.3">
      <c r="A114" s="26" t="s">
        <v>51</v>
      </c>
      <c r="B114" s="32">
        <v>19.463285942862793</v>
      </c>
    </row>
    <row r="115" spans="1:2" x14ac:dyDescent="0.3">
      <c r="A115" s="27" t="s">
        <v>4</v>
      </c>
      <c r="B115" s="32">
        <v>19.463285942862793</v>
      </c>
    </row>
    <row r="116" spans="1:2" x14ac:dyDescent="0.3">
      <c r="A116" s="33" t="s">
        <v>51</v>
      </c>
      <c r="B116" s="32">
        <v>19.463285942862793</v>
      </c>
    </row>
    <row r="117" spans="1:2" x14ac:dyDescent="0.3">
      <c r="A117" s="26" t="s">
        <v>52</v>
      </c>
      <c r="B117" s="32">
        <v>1098.8937827438235</v>
      </c>
    </row>
    <row r="118" spans="1:2" x14ac:dyDescent="0.3">
      <c r="A118" s="27" t="s">
        <v>4</v>
      </c>
      <c r="B118" s="32">
        <v>996.52895089756407</v>
      </c>
    </row>
    <row r="119" spans="1:2" x14ac:dyDescent="0.3">
      <c r="A119" s="33" t="s">
        <v>52</v>
      </c>
      <c r="B119" s="32">
        <v>996.52895089756407</v>
      </c>
    </row>
    <row r="120" spans="1:2" x14ac:dyDescent="0.3">
      <c r="A120" s="27" t="s">
        <v>8</v>
      </c>
      <c r="B120" s="32">
        <v>102.36483184625942</v>
      </c>
    </row>
    <row r="121" spans="1:2" x14ac:dyDescent="0.3">
      <c r="A121" s="33" t="s">
        <v>53</v>
      </c>
      <c r="B121" s="32">
        <v>102.36483184625942</v>
      </c>
    </row>
    <row r="122" spans="1:2" x14ac:dyDescent="0.3">
      <c r="A122" s="21" t="s">
        <v>54</v>
      </c>
      <c r="B122" s="32">
        <v>87.28288298873278</v>
      </c>
    </row>
    <row r="123" spans="1:2" x14ac:dyDescent="0.3">
      <c r="A123" s="26" t="s">
        <v>55</v>
      </c>
      <c r="B123" s="32">
        <v>87.28288298873278</v>
      </c>
    </row>
    <row r="124" spans="1:2" x14ac:dyDescent="0.3">
      <c r="A124" s="27" t="s">
        <v>4</v>
      </c>
      <c r="B124" s="32">
        <v>87.28288298873278</v>
      </c>
    </row>
    <row r="125" spans="1:2" x14ac:dyDescent="0.3">
      <c r="A125" s="33" t="s">
        <v>56</v>
      </c>
      <c r="B125" s="32">
        <v>87.28288298873278</v>
      </c>
    </row>
    <row r="126" spans="1:2" x14ac:dyDescent="0.3">
      <c r="A126" s="21" t="s">
        <v>57</v>
      </c>
      <c r="B126" s="32">
        <v>304.97816511515896</v>
      </c>
    </row>
    <row r="127" spans="1:2" x14ac:dyDescent="0.3">
      <c r="A127" s="26" t="s">
        <v>58</v>
      </c>
      <c r="B127" s="32">
        <v>19.812769318740308</v>
      </c>
    </row>
    <row r="128" spans="1:2" x14ac:dyDescent="0.3">
      <c r="A128" s="27" t="s">
        <v>4</v>
      </c>
      <c r="B128" s="32">
        <v>19.812769318740308</v>
      </c>
    </row>
    <row r="129" spans="1:2" x14ac:dyDescent="0.3">
      <c r="A129" s="33" t="s">
        <v>58</v>
      </c>
      <c r="B129" s="32">
        <v>19.812769318740308</v>
      </c>
    </row>
    <row r="130" spans="1:2" x14ac:dyDescent="0.3">
      <c r="A130" s="26" t="s">
        <v>59</v>
      </c>
      <c r="B130" s="32">
        <v>56.315283981479368</v>
      </c>
    </row>
    <row r="131" spans="1:2" x14ac:dyDescent="0.3">
      <c r="A131" s="27" t="s">
        <v>4</v>
      </c>
      <c r="B131" s="32">
        <v>56.315283981479368</v>
      </c>
    </row>
    <row r="132" spans="1:2" x14ac:dyDescent="0.3">
      <c r="A132" s="33" t="s">
        <v>60</v>
      </c>
      <c r="B132" s="32">
        <v>39.182279915382466</v>
      </c>
    </row>
    <row r="133" spans="1:2" x14ac:dyDescent="0.3">
      <c r="A133" s="33" t="s">
        <v>61</v>
      </c>
      <c r="B133" s="32">
        <v>17.133004066096902</v>
      </c>
    </row>
    <row r="134" spans="1:2" x14ac:dyDescent="0.3">
      <c r="A134" s="26" t="s">
        <v>62</v>
      </c>
      <c r="B134" s="32">
        <v>40.203480050588041</v>
      </c>
    </row>
    <row r="135" spans="1:2" x14ac:dyDescent="0.3">
      <c r="A135" s="27" t="s">
        <v>4</v>
      </c>
      <c r="B135" s="32">
        <v>40.203480050588041</v>
      </c>
    </row>
    <row r="136" spans="1:2" x14ac:dyDescent="0.3">
      <c r="A136" s="33" t="s">
        <v>63</v>
      </c>
      <c r="B136" s="32">
        <v>17.098569826141631</v>
      </c>
    </row>
    <row r="137" spans="1:2" x14ac:dyDescent="0.3">
      <c r="A137" s="33" t="s">
        <v>64</v>
      </c>
      <c r="B137" s="32">
        <v>23.104910224446414</v>
      </c>
    </row>
    <row r="138" spans="1:2" x14ac:dyDescent="0.3">
      <c r="A138" s="26" t="s">
        <v>65</v>
      </c>
      <c r="B138" s="32">
        <v>65.585775501023022</v>
      </c>
    </row>
    <row r="139" spans="1:2" x14ac:dyDescent="0.3">
      <c r="A139" s="27" t="s">
        <v>4</v>
      </c>
      <c r="B139" s="32">
        <v>37.517511945772512</v>
      </c>
    </row>
    <row r="140" spans="1:2" x14ac:dyDescent="0.3">
      <c r="A140" s="33" t="s">
        <v>65</v>
      </c>
      <c r="B140" s="32">
        <v>37.517511945772512</v>
      </c>
    </row>
    <row r="141" spans="1:2" x14ac:dyDescent="0.3">
      <c r="A141" s="27" t="s">
        <v>129</v>
      </c>
      <c r="B141" s="32">
        <v>2.64</v>
      </c>
    </row>
    <row r="142" spans="1:2" x14ac:dyDescent="0.3">
      <c r="A142" s="33" t="s">
        <v>66</v>
      </c>
      <c r="B142" s="32">
        <v>2.64</v>
      </c>
    </row>
    <row r="143" spans="1:2" x14ac:dyDescent="0.3">
      <c r="A143" s="27" t="s">
        <v>8</v>
      </c>
      <c r="B143" s="32">
        <v>25.428263555250513</v>
      </c>
    </row>
    <row r="144" spans="1:2" x14ac:dyDescent="0.3">
      <c r="A144" s="33" t="s">
        <v>66</v>
      </c>
      <c r="B144" s="32">
        <v>25.428263555250513</v>
      </c>
    </row>
    <row r="145" spans="1:2" x14ac:dyDescent="0.3">
      <c r="A145" s="26" t="s">
        <v>67</v>
      </c>
      <c r="B145" s="32">
        <v>123.06085626332819</v>
      </c>
    </row>
    <row r="146" spans="1:2" x14ac:dyDescent="0.3">
      <c r="A146" s="27" t="s">
        <v>4</v>
      </c>
      <c r="B146" s="32">
        <v>34.993619170367012</v>
      </c>
    </row>
    <row r="147" spans="1:2" x14ac:dyDescent="0.3">
      <c r="A147" s="33" t="s">
        <v>68</v>
      </c>
      <c r="B147" s="32">
        <v>34.993619170367012</v>
      </c>
    </row>
    <row r="148" spans="1:2" x14ac:dyDescent="0.3">
      <c r="A148" s="27" t="s">
        <v>19</v>
      </c>
      <c r="B148" s="32">
        <v>88.067237092961179</v>
      </c>
    </row>
    <row r="149" spans="1:2" x14ac:dyDescent="0.3">
      <c r="A149" s="33" t="s">
        <v>69</v>
      </c>
      <c r="B149" s="32">
        <v>88.067237092961179</v>
      </c>
    </row>
    <row r="150" spans="1:2" x14ac:dyDescent="0.3">
      <c r="A150" s="21" t="s">
        <v>70</v>
      </c>
      <c r="B150" s="32">
        <v>267.57564572481482</v>
      </c>
    </row>
    <row r="151" spans="1:2" x14ac:dyDescent="0.3">
      <c r="A151" s="26" t="s">
        <v>71</v>
      </c>
      <c r="B151" s="32">
        <v>9.5081083120526237</v>
      </c>
    </row>
    <row r="152" spans="1:2" x14ac:dyDescent="0.3">
      <c r="A152" s="27" t="s">
        <v>4</v>
      </c>
      <c r="B152" s="32">
        <v>9.5081083120526237</v>
      </c>
    </row>
    <row r="153" spans="1:2" x14ac:dyDescent="0.3">
      <c r="A153" s="33" t="s">
        <v>72</v>
      </c>
      <c r="B153" s="32">
        <v>9.5081083120526237</v>
      </c>
    </row>
    <row r="154" spans="1:2" x14ac:dyDescent="0.3">
      <c r="A154" s="26" t="s">
        <v>73</v>
      </c>
      <c r="B154" s="32">
        <v>19.850650884422222</v>
      </c>
    </row>
    <row r="155" spans="1:2" x14ac:dyDescent="0.3">
      <c r="A155" s="27" t="s">
        <v>4</v>
      </c>
      <c r="B155" s="32">
        <v>19.850650884422222</v>
      </c>
    </row>
    <row r="156" spans="1:2" x14ac:dyDescent="0.3">
      <c r="A156" s="33" t="s">
        <v>74</v>
      </c>
      <c r="B156" s="32">
        <v>19.850650884422222</v>
      </c>
    </row>
    <row r="157" spans="1:2" x14ac:dyDescent="0.3">
      <c r="A157" s="26" t="s">
        <v>75</v>
      </c>
      <c r="B157" s="32">
        <v>94.619797876951381</v>
      </c>
    </row>
    <row r="158" spans="1:2" x14ac:dyDescent="0.3">
      <c r="A158" s="27" t="s">
        <v>4</v>
      </c>
      <c r="B158" s="32">
        <v>94.619797876951381</v>
      </c>
    </row>
    <row r="159" spans="1:2" x14ac:dyDescent="0.3">
      <c r="A159" s="33" t="s">
        <v>75</v>
      </c>
      <c r="B159" s="32">
        <v>94.619797876951381</v>
      </c>
    </row>
    <row r="160" spans="1:2" x14ac:dyDescent="0.3">
      <c r="A160" s="26" t="s">
        <v>76</v>
      </c>
      <c r="B160" s="32">
        <v>67.9607484277971</v>
      </c>
    </row>
    <row r="161" spans="1:2" x14ac:dyDescent="0.3">
      <c r="A161" s="27" t="s">
        <v>4</v>
      </c>
      <c r="B161" s="32">
        <v>67.9607484277971</v>
      </c>
    </row>
    <row r="162" spans="1:2" x14ac:dyDescent="0.3">
      <c r="A162" s="33" t="s">
        <v>76</v>
      </c>
      <c r="B162" s="32">
        <v>67.9607484277971</v>
      </c>
    </row>
    <row r="163" spans="1:2" x14ac:dyDescent="0.3">
      <c r="A163" s="26" t="s">
        <v>77</v>
      </c>
      <c r="B163" s="32">
        <v>73.986137551881384</v>
      </c>
    </row>
    <row r="164" spans="1:2" x14ac:dyDescent="0.3">
      <c r="A164" s="27" t="s">
        <v>4</v>
      </c>
      <c r="B164" s="32">
        <v>73.986137551881384</v>
      </c>
    </row>
    <row r="165" spans="1:2" x14ac:dyDescent="0.3">
      <c r="A165" s="33" t="s">
        <v>78</v>
      </c>
      <c r="B165" s="32">
        <v>73.986137551881384</v>
      </c>
    </row>
    <row r="166" spans="1:2" x14ac:dyDescent="0.3">
      <c r="A166" s="26" t="s">
        <v>79</v>
      </c>
      <c r="B166" s="32">
        <v>1.6502026717101104</v>
      </c>
    </row>
    <row r="167" spans="1:2" x14ac:dyDescent="0.3">
      <c r="A167" s="27" t="s">
        <v>4</v>
      </c>
      <c r="B167" s="32">
        <v>1.6502026717101104</v>
      </c>
    </row>
    <row r="168" spans="1:2" x14ac:dyDescent="0.3">
      <c r="A168" s="33" t="s">
        <v>79</v>
      </c>
      <c r="B168" s="32">
        <v>1.6502026717101104</v>
      </c>
    </row>
    <row r="169" spans="1:2" x14ac:dyDescent="0.3">
      <c r="A169" s="21" t="s">
        <v>80</v>
      </c>
      <c r="B169" s="32">
        <v>1764.3077185881139</v>
      </c>
    </row>
    <row r="170" spans="1:2" x14ac:dyDescent="0.3">
      <c r="A170" s="26" t="s">
        <v>81</v>
      </c>
      <c r="B170" s="32">
        <v>1702.6484272779987</v>
      </c>
    </row>
    <row r="171" spans="1:2" x14ac:dyDescent="0.3">
      <c r="A171" s="27" t="s">
        <v>4</v>
      </c>
      <c r="B171" s="32">
        <v>368.45070456008511</v>
      </c>
    </row>
    <row r="172" spans="1:2" x14ac:dyDescent="0.3">
      <c r="A172" s="33" t="s">
        <v>81</v>
      </c>
      <c r="B172" s="32">
        <v>368.45070456008511</v>
      </c>
    </row>
    <row r="173" spans="1:2" x14ac:dyDescent="0.3">
      <c r="A173" s="27" t="s">
        <v>11</v>
      </c>
      <c r="B173" s="32">
        <v>1334.1977227179136</v>
      </c>
    </row>
    <row r="174" spans="1:2" x14ac:dyDescent="0.3">
      <c r="A174" s="33" t="s">
        <v>82</v>
      </c>
      <c r="B174" s="32">
        <v>1334.1977227179136</v>
      </c>
    </row>
    <row r="175" spans="1:2" x14ac:dyDescent="0.3">
      <c r="A175" s="26" t="s">
        <v>83</v>
      </c>
      <c r="B175" s="32">
        <v>61.659291310115194</v>
      </c>
    </row>
    <row r="176" spans="1:2" x14ac:dyDescent="0.3">
      <c r="A176" s="27" t="s">
        <v>4</v>
      </c>
      <c r="B176" s="32">
        <v>40.813291310115197</v>
      </c>
    </row>
    <row r="177" spans="1:2" x14ac:dyDescent="0.3">
      <c r="A177" s="33" t="s">
        <v>83</v>
      </c>
      <c r="B177" s="32">
        <v>40.813291310115197</v>
      </c>
    </row>
    <row r="178" spans="1:2" x14ac:dyDescent="0.3">
      <c r="A178" s="27" t="s">
        <v>8</v>
      </c>
      <c r="B178" s="32">
        <v>20.846</v>
      </c>
    </row>
    <row r="179" spans="1:2" x14ac:dyDescent="0.3">
      <c r="A179" s="33" t="s">
        <v>127</v>
      </c>
      <c r="B179" s="32">
        <v>20.846</v>
      </c>
    </row>
    <row r="180" spans="1:2" x14ac:dyDescent="0.3">
      <c r="A180" s="21" t="s">
        <v>84</v>
      </c>
      <c r="B180" s="32">
        <v>156.718447300457</v>
      </c>
    </row>
    <row r="181" spans="1:2" x14ac:dyDescent="0.3">
      <c r="A181" s="26" t="s">
        <v>85</v>
      </c>
      <c r="B181" s="32">
        <v>92.704270220264547</v>
      </c>
    </row>
    <row r="182" spans="1:2" x14ac:dyDescent="0.3">
      <c r="A182" s="27" t="s">
        <v>4</v>
      </c>
      <c r="B182" s="32">
        <v>92.704270220264547</v>
      </c>
    </row>
    <row r="183" spans="1:2" x14ac:dyDescent="0.3">
      <c r="A183" s="33" t="s">
        <v>85</v>
      </c>
      <c r="B183" s="32">
        <v>92.704270220264547</v>
      </c>
    </row>
    <row r="184" spans="1:2" x14ac:dyDescent="0.3">
      <c r="A184" s="26" t="s">
        <v>86</v>
      </c>
      <c r="B184" s="32">
        <v>64.014177080192439</v>
      </c>
    </row>
    <row r="185" spans="1:2" x14ac:dyDescent="0.3">
      <c r="A185" s="27" t="s">
        <v>4</v>
      </c>
      <c r="B185" s="32">
        <v>64.014177080192439</v>
      </c>
    </row>
    <row r="186" spans="1:2" x14ac:dyDescent="0.3">
      <c r="A186" s="33" t="s">
        <v>87</v>
      </c>
      <c r="B186" s="32">
        <v>37.792800427942439</v>
      </c>
    </row>
    <row r="187" spans="1:2" x14ac:dyDescent="0.3">
      <c r="A187" s="33" t="s">
        <v>81</v>
      </c>
      <c r="B187" s="32">
        <v>26.221376652250004</v>
      </c>
    </row>
    <row r="188" spans="1:2" x14ac:dyDescent="0.3">
      <c r="A188" s="21" t="s">
        <v>88</v>
      </c>
      <c r="B188" s="32">
        <v>1099.2575599786474</v>
      </c>
    </row>
    <row r="189" spans="1:2" x14ac:dyDescent="0.3">
      <c r="A189" s="26" t="s">
        <v>89</v>
      </c>
      <c r="B189" s="32">
        <v>1099.2575599786474</v>
      </c>
    </row>
    <row r="190" spans="1:2" x14ac:dyDescent="0.3">
      <c r="A190" s="27" t="s">
        <v>11</v>
      </c>
      <c r="B190" s="32">
        <v>1099.2575599786474</v>
      </c>
    </row>
    <row r="191" spans="1:2" x14ac:dyDescent="0.3">
      <c r="A191" s="33" t="s">
        <v>90</v>
      </c>
      <c r="B191" s="32">
        <v>1099.2575599786474</v>
      </c>
    </row>
    <row r="192" spans="1:2" x14ac:dyDescent="0.3">
      <c r="A192" s="27" t="s">
        <v>129</v>
      </c>
      <c r="B192" s="32">
        <v>0</v>
      </c>
    </row>
    <row r="193" spans="1:2" x14ac:dyDescent="0.3">
      <c r="A193" s="33" t="s">
        <v>90</v>
      </c>
      <c r="B193" s="32">
        <v>0</v>
      </c>
    </row>
    <row r="194" spans="1:2" x14ac:dyDescent="0.3">
      <c r="A194" s="21" t="s">
        <v>91</v>
      </c>
      <c r="B194" s="32">
        <v>77.312083342989737</v>
      </c>
    </row>
    <row r="195" spans="1:2" x14ac:dyDescent="0.3">
      <c r="A195" s="26" t="s">
        <v>92</v>
      </c>
      <c r="B195" s="32">
        <v>77.312083342989737</v>
      </c>
    </row>
    <row r="196" spans="1:2" x14ac:dyDescent="0.3">
      <c r="A196" s="27" t="s">
        <v>4</v>
      </c>
      <c r="B196" s="32">
        <v>62.25608334298974</v>
      </c>
    </row>
    <row r="197" spans="1:2" x14ac:dyDescent="0.3">
      <c r="A197" s="33" t="s">
        <v>93</v>
      </c>
      <c r="B197" s="32">
        <v>62.25608334298974</v>
      </c>
    </row>
    <row r="198" spans="1:2" x14ac:dyDescent="0.3">
      <c r="A198" s="27" t="s">
        <v>129</v>
      </c>
      <c r="B198" s="32">
        <v>0</v>
      </c>
    </row>
    <row r="199" spans="1:2" x14ac:dyDescent="0.3">
      <c r="A199" s="33" t="s">
        <v>9</v>
      </c>
      <c r="B199" s="32">
        <v>0</v>
      </c>
    </row>
    <row r="200" spans="1:2" x14ac:dyDescent="0.3">
      <c r="A200" s="27" t="s">
        <v>8</v>
      </c>
      <c r="B200" s="32">
        <v>15.056000000000001</v>
      </c>
    </row>
    <row r="201" spans="1:2" x14ac:dyDescent="0.3">
      <c r="A201" s="33" t="s">
        <v>9</v>
      </c>
      <c r="B201" s="32">
        <v>15.056000000000001</v>
      </c>
    </row>
    <row r="202" spans="1:2" x14ac:dyDescent="0.3">
      <c r="A202" s="21" t="s">
        <v>94</v>
      </c>
      <c r="B202" s="32">
        <v>92.380719257745696</v>
      </c>
    </row>
    <row r="203" spans="1:2" x14ac:dyDescent="0.3">
      <c r="A203" s="26" t="s">
        <v>95</v>
      </c>
      <c r="B203" s="32">
        <v>17.108377905374859</v>
      </c>
    </row>
    <row r="204" spans="1:2" x14ac:dyDescent="0.3">
      <c r="A204" s="27" t="s">
        <v>4</v>
      </c>
      <c r="B204" s="32">
        <v>17.108377905374859</v>
      </c>
    </row>
    <row r="205" spans="1:2" x14ac:dyDescent="0.3">
      <c r="A205" s="33" t="s">
        <v>96</v>
      </c>
      <c r="B205" s="32">
        <v>17.108377905374859</v>
      </c>
    </row>
    <row r="206" spans="1:2" x14ac:dyDescent="0.3">
      <c r="A206" s="26" t="s">
        <v>97</v>
      </c>
      <c r="B206" s="32">
        <v>12.419061685914052</v>
      </c>
    </row>
    <row r="207" spans="1:2" x14ac:dyDescent="0.3">
      <c r="A207" s="27" t="s">
        <v>4</v>
      </c>
      <c r="B207" s="32">
        <v>12.419061685914052</v>
      </c>
    </row>
    <row r="208" spans="1:2" x14ac:dyDescent="0.3">
      <c r="A208" s="33" t="s">
        <v>97</v>
      </c>
      <c r="B208" s="32">
        <v>12.419061685914052</v>
      </c>
    </row>
    <row r="209" spans="1:2" x14ac:dyDescent="0.3">
      <c r="A209" s="26" t="s">
        <v>98</v>
      </c>
      <c r="B209" s="32">
        <v>11.511600057757908</v>
      </c>
    </row>
    <row r="210" spans="1:2" x14ac:dyDescent="0.3">
      <c r="A210" s="27" t="s">
        <v>4</v>
      </c>
      <c r="B210" s="32">
        <v>11.511600057757908</v>
      </c>
    </row>
    <row r="211" spans="1:2" x14ac:dyDescent="0.3">
      <c r="A211" s="33" t="s">
        <v>98</v>
      </c>
      <c r="B211" s="32">
        <v>11.511600057757908</v>
      </c>
    </row>
    <row r="212" spans="1:2" x14ac:dyDescent="0.3">
      <c r="A212" s="26" t="s">
        <v>99</v>
      </c>
      <c r="B212" s="32">
        <v>23.678263555250513</v>
      </c>
    </row>
    <row r="213" spans="1:2" x14ac:dyDescent="0.3">
      <c r="A213" s="27" t="s">
        <v>11</v>
      </c>
      <c r="B213" s="32">
        <v>23.678263555250513</v>
      </c>
    </row>
    <row r="214" spans="1:2" x14ac:dyDescent="0.3">
      <c r="A214" s="33" t="s">
        <v>100</v>
      </c>
      <c r="B214" s="32">
        <v>23.678263555250513</v>
      </c>
    </row>
    <row r="215" spans="1:2" x14ac:dyDescent="0.3">
      <c r="A215" s="26" t="s">
        <v>101</v>
      </c>
      <c r="B215" s="32">
        <v>6.8035764447828591</v>
      </c>
    </row>
    <row r="216" spans="1:2" x14ac:dyDescent="0.3">
      <c r="A216" s="27" t="s">
        <v>4</v>
      </c>
      <c r="B216" s="32">
        <v>6.8035764447828591</v>
      </c>
    </row>
    <row r="217" spans="1:2" x14ac:dyDescent="0.3">
      <c r="A217" s="33" t="s">
        <v>101</v>
      </c>
      <c r="B217" s="32">
        <v>6.8035764447828591</v>
      </c>
    </row>
    <row r="218" spans="1:2" x14ac:dyDescent="0.3">
      <c r="A218" s="26" t="s">
        <v>102</v>
      </c>
      <c r="B218" s="32">
        <v>7.5874483214846062</v>
      </c>
    </row>
    <row r="219" spans="1:2" x14ac:dyDescent="0.3">
      <c r="A219" s="27" t="s">
        <v>4</v>
      </c>
      <c r="B219" s="32">
        <v>7.5874483214846062</v>
      </c>
    </row>
    <row r="220" spans="1:2" x14ac:dyDescent="0.3">
      <c r="A220" s="33" t="s">
        <v>102</v>
      </c>
      <c r="B220" s="32">
        <v>7.5874483214846062</v>
      </c>
    </row>
    <row r="221" spans="1:2" x14ac:dyDescent="0.3">
      <c r="A221" s="26" t="s">
        <v>103</v>
      </c>
      <c r="B221" s="32">
        <v>6.8890631711219328</v>
      </c>
    </row>
    <row r="222" spans="1:2" x14ac:dyDescent="0.3">
      <c r="A222" s="27" t="s">
        <v>4</v>
      </c>
      <c r="B222" s="32">
        <v>6.8890631711219328</v>
      </c>
    </row>
    <row r="223" spans="1:2" x14ac:dyDescent="0.3">
      <c r="A223" s="33" t="s">
        <v>103</v>
      </c>
      <c r="B223" s="32">
        <v>6.8890631711219328</v>
      </c>
    </row>
    <row r="224" spans="1:2" x14ac:dyDescent="0.3">
      <c r="A224" s="26" t="s">
        <v>104</v>
      </c>
      <c r="B224" s="32">
        <v>3.8893330002602848</v>
      </c>
    </row>
    <row r="225" spans="1:2" x14ac:dyDescent="0.3">
      <c r="A225" s="27" t="s">
        <v>4</v>
      </c>
      <c r="B225" s="32">
        <v>3.8893330002602848</v>
      </c>
    </row>
    <row r="226" spans="1:2" x14ac:dyDescent="0.3">
      <c r="A226" s="33" t="s">
        <v>104</v>
      </c>
      <c r="B226" s="32">
        <v>3.8893330002602848</v>
      </c>
    </row>
    <row r="227" spans="1:2" x14ac:dyDescent="0.3">
      <c r="A227" s="26" t="s">
        <v>390</v>
      </c>
      <c r="B227" s="32">
        <v>2.4939951157986777</v>
      </c>
    </row>
    <row r="228" spans="1:2" x14ac:dyDescent="0.3">
      <c r="A228" s="27" t="s">
        <v>4</v>
      </c>
      <c r="B228" s="32">
        <v>2.4939951157986777</v>
      </c>
    </row>
    <row r="229" spans="1:2" x14ac:dyDescent="0.3">
      <c r="A229" s="33" t="s">
        <v>390</v>
      </c>
      <c r="B229" s="32">
        <v>2.4939951157986777</v>
      </c>
    </row>
    <row r="230" spans="1:2" x14ac:dyDescent="0.3">
      <c r="A230" s="21" t="s">
        <v>105</v>
      </c>
      <c r="B230" s="32">
        <v>19.463285942862793</v>
      </c>
    </row>
    <row r="231" spans="1:2" x14ac:dyDescent="0.3">
      <c r="A231" s="26" t="s">
        <v>106</v>
      </c>
      <c r="B231" s="32">
        <v>19.463285942862793</v>
      </c>
    </row>
    <row r="232" spans="1:2" x14ac:dyDescent="0.3">
      <c r="A232" s="27" t="s">
        <v>4</v>
      </c>
      <c r="B232" s="32">
        <v>19.463285942862793</v>
      </c>
    </row>
    <row r="233" spans="1:2" x14ac:dyDescent="0.3">
      <c r="A233" s="33" t="s">
        <v>106</v>
      </c>
      <c r="B233" s="32">
        <v>19.463285942862793</v>
      </c>
    </row>
    <row r="234" spans="1:2" x14ac:dyDescent="0.3">
      <c r="A234" s="21" t="s">
        <v>107</v>
      </c>
      <c r="B234" s="32">
        <v>173.43473689049569</v>
      </c>
    </row>
    <row r="235" spans="1:2" x14ac:dyDescent="0.3">
      <c r="A235" s="26" t="s">
        <v>108</v>
      </c>
      <c r="B235" s="32">
        <v>154.38328951771831</v>
      </c>
    </row>
    <row r="236" spans="1:2" x14ac:dyDescent="0.3">
      <c r="A236" s="27" t="s">
        <v>4</v>
      </c>
      <c r="B236" s="32">
        <v>13.071230492323636</v>
      </c>
    </row>
    <row r="237" spans="1:2" x14ac:dyDescent="0.3">
      <c r="A237" s="33" t="s">
        <v>108</v>
      </c>
      <c r="B237" s="32">
        <v>13.071230492323636</v>
      </c>
    </row>
    <row r="238" spans="1:2" x14ac:dyDescent="0.3">
      <c r="A238" s="27" t="s">
        <v>11</v>
      </c>
      <c r="B238" s="32">
        <v>141.31205902539466</v>
      </c>
    </row>
    <row r="239" spans="1:2" x14ac:dyDescent="0.3">
      <c r="A239" s="33" t="s">
        <v>109</v>
      </c>
      <c r="B239" s="32">
        <v>141.31205902539466</v>
      </c>
    </row>
    <row r="240" spans="1:2" x14ac:dyDescent="0.3">
      <c r="A240" s="26" t="s">
        <v>110</v>
      </c>
      <c r="B240" s="32">
        <v>19.051447372777371</v>
      </c>
    </row>
    <row r="241" spans="1:2" x14ac:dyDescent="0.3">
      <c r="A241" s="27" t="s">
        <v>4</v>
      </c>
      <c r="B241" s="32">
        <v>19.051447372777371</v>
      </c>
    </row>
    <row r="242" spans="1:2" x14ac:dyDescent="0.3">
      <c r="A242" s="33" t="s">
        <v>110</v>
      </c>
      <c r="B242" s="32">
        <v>19.051447372777371</v>
      </c>
    </row>
    <row r="243" spans="1:2" x14ac:dyDescent="0.3">
      <c r="A243" s="21" t="s">
        <v>111</v>
      </c>
      <c r="B243" s="32">
        <v>16.229710663897059</v>
      </c>
    </row>
    <row r="244" spans="1:2" x14ac:dyDescent="0.3">
      <c r="A244" s="26" t="s">
        <v>112</v>
      </c>
      <c r="B244" s="32">
        <v>16.229710663897059</v>
      </c>
    </row>
    <row r="245" spans="1:2" x14ac:dyDescent="0.3">
      <c r="A245" s="27" t="s">
        <v>4</v>
      </c>
      <c r="B245" s="32">
        <v>16.229710663897059</v>
      </c>
    </row>
    <row r="246" spans="1:2" x14ac:dyDescent="0.3">
      <c r="A246" s="33" t="s">
        <v>112</v>
      </c>
      <c r="B246" s="32">
        <v>16.229710663897059</v>
      </c>
    </row>
    <row r="247" spans="1:2" x14ac:dyDescent="0.3">
      <c r="A247" s="21" t="s">
        <v>113</v>
      </c>
      <c r="B247" s="32">
        <v>8531.4081069228087</v>
      </c>
    </row>
  </sheetData>
  <pageMargins left="0.7" right="0.7" top="0.75" bottom="0.75" header="0.3" footer="0.3"/>
  <pageSetup paperSize="9" fitToHeight="0" orientation="portrait" r:id="rId2"/>
  <headerFooter>
    <oddHeader>&amp;C2020-12 STMICRO/TMASI - Azure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7"/>
  </sheetPr>
  <dimension ref="A1:L628"/>
  <sheetViews>
    <sheetView workbookViewId="0">
      <pane ySplit="1" topLeftCell="A593" activePane="bottomLeft" state="frozen"/>
      <selection pane="bottomLeft" activeCell="D625" sqref="D625"/>
    </sheetView>
  </sheetViews>
  <sheetFormatPr baseColWidth="10" defaultColWidth="11.44140625" defaultRowHeight="14.4" x14ac:dyDescent="0.3"/>
  <cols>
    <col min="1" max="1" width="27.109375" bestFit="1" customWidth="1"/>
    <col min="2" max="3" width="27.109375" customWidth="1"/>
    <col min="4" max="4" width="20.6640625" customWidth="1"/>
    <col min="5" max="5" width="13.88671875" customWidth="1"/>
    <col min="6" max="6" width="26" bestFit="1" customWidth="1"/>
    <col min="7" max="7" width="33.6640625" bestFit="1" customWidth="1"/>
    <col min="8" max="8" width="13.5546875" bestFit="1" customWidth="1"/>
    <col min="9" max="9" width="13.5546875" customWidth="1"/>
    <col min="10" max="10" width="9.6640625" customWidth="1"/>
    <col min="11" max="11" width="10.33203125" customWidth="1"/>
    <col min="12" max="12" width="22.33203125" style="39" bestFit="1" customWidth="1"/>
    <col min="13" max="15" width="14.5546875" bestFit="1" customWidth="1"/>
    <col min="16" max="17" width="21" bestFit="1" customWidth="1"/>
    <col min="18" max="18" width="23.88671875" bestFit="1" customWidth="1"/>
    <col min="19" max="20" width="12.5546875" bestFit="1" customWidth="1"/>
    <col min="21" max="22" width="14.5546875" bestFit="1" customWidth="1"/>
  </cols>
  <sheetData>
    <row r="1" spans="1:12" x14ac:dyDescent="0.3">
      <c r="A1" s="1" t="s">
        <v>114</v>
      </c>
      <c r="B1" s="1" t="s">
        <v>115</v>
      </c>
      <c r="C1" s="3" t="s">
        <v>116</v>
      </c>
      <c r="D1" s="3" t="s">
        <v>117</v>
      </c>
      <c r="E1" s="3" t="s">
        <v>118</v>
      </c>
      <c r="F1" s="3" t="s">
        <v>119</v>
      </c>
      <c r="G1" s="1" t="s">
        <v>120</v>
      </c>
      <c r="H1" s="1" t="s">
        <v>121</v>
      </c>
      <c r="I1" s="1" t="s">
        <v>122</v>
      </c>
      <c r="J1" s="3" t="s">
        <v>123</v>
      </c>
      <c r="K1" s="2" t="s">
        <v>124</v>
      </c>
      <c r="L1" s="39" t="s">
        <v>125</v>
      </c>
    </row>
    <row r="2" spans="1:12" x14ac:dyDescent="0.3">
      <c r="A2" s="34" t="str">
        <f>TabVMAzureEnvProjet[[#This Row],[Client]] &amp; " .:. "  &amp; TabVMAzureEnvProjet[[#This Row],[Projet]]</f>
        <v>FRR .:. FRR-DIGIPAT</v>
      </c>
      <c r="B2" s="34" t="str">
        <f>IF(TabVMAzureEnvProjet[[#This Row],[Projet AzureDevOps]]&lt;&gt;"",TabVMAzureEnvProjet[[#This Row],[Projet AzureDevOps]],TabVMAzureEnvProjet[[#This Row],[VM]])</f>
        <v>FRR-DIGIPAT-VM</v>
      </c>
      <c r="C2" s="19"/>
      <c r="D2" t="s">
        <v>29</v>
      </c>
      <c r="E2" t="s">
        <v>19</v>
      </c>
      <c r="F2" t="s">
        <v>27</v>
      </c>
      <c r="G2" s="19" t="str">
        <f>LOOKUP(TabVMAzureEnvProjet[[#This Row],[Projet]],TabProjets[NomProj],TabProjets[SYGES])</f>
        <v>FRR/TMASI</v>
      </c>
      <c r="H2" s="19">
        <f>LOOKUP(TabVMAzureEnvProjet[[#This Row],[Code SYGES]],TabCONTRATSDI[Contrat SYGES],TabCONTRATSDI[Cost Center])</f>
        <v>305704</v>
      </c>
      <c r="I2" s="34" t="str">
        <f>LOOKUP(TabVMAzureEnvProjet[[#This Row],[Code SYGES]],TabCONTRATSDI[Contrat SYGES],TabCONTRATSDI[Client])</f>
        <v>FRR</v>
      </c>
      <c r="J2" s="19" t="s">
        <v>126</v>
      </c>
      <c r="K2" s="38">
        <v>21.41</v>
      </c>
    </row>
    <row r="3" spans="1:12" x14ac:dyDescent="0.3">
      <c r="A3" s="34" t="str">
        <f>TabVMAzureEnvProjet[[#This Row],[Client]] &amp; " .:. "  &amp; TabVMAzureEnvProjet[[#This Row],[Projet]]</f>
        <v>SPC .:. SPC-BUILD</v>
      </c>
      <c r="B3" s="34" t="str">
        <f>IF(TabVMAzureEnvProjet[[#This Row],[Projet AzureDevOps]]&lt;&gt;"",TabVMAzureEnvProjet[[#This Row],[Projet AzureDevOps]],TabVMAzureEnvProjet[[#This Row],[VM]])</f>
        <v>SPC-BUILDAS-VM</v>
      </c>
      <c r="C3" s="19"/>
      <c r="D3" t="s">
        <v>82</v>
      </c>
      <c r="E3" t="s">
        <v>11</v>
      </c>
      <c r="F3" t="s">
        <v>81</v>
      </c>
      <c r="G3" s="19" t="str">
        <f>LOOKUP(TabVMAzureEnvProjet[[#This Row],[Projet]],TabProjets[NomProj],TabProjets[SYGES])</f>
        <v>SPC/BUILD</v>
      </c>
      <c r="H3" s="19">
        <f>LOOKUP(TabVMAzureEnvProjet[[#This Row],[Code SYGES]],TabCONTRATSDI[Contrat SYGES],TabCONTRATSDI[Cost Center])</f>
        <v>305704</v>
      </c>
      <c r="I3" s="34" t="str">
        <f>LOOKUP(TabVMAzureEnvProjet[[#This Row],[Code SYGES]],TabCONTRATSDI[Contrat SYGES],TabCONTRATSDI[Client])</f>
        <v>SPC</v>
      </c>
      <c r="J3" s="19" t="s">
        <v>126</v>
      </c>
      <c r="K3" s="38">
        <v>44.93</v>
      </c>
    </row>
    <row r="4" spans="1:12" x14ac:dyDescent="0.3">
      <c r="A4" s="34" t="str">
        <f>TabVMAzureEnvProjet[[#This Row],[Client]] &amp; " .:. "  &amp; TabVMAzureEnvProjet[[#This Row],[Projet]]</f>
        <v>SPC .:. SPC-WEB</v>
      </c>
      <c r="B4" s="34" t="str">
        <f>IF(TabVMAzureEnvProjet[[#This Row],[Projet AzureDevOps]]&lt;&gt;"",TabVMAzureEnvProjet[[#This Row],[Projet AzureDevOps]],TabVMAzureEnvProjet[[#This Row],[VM]])</f>
        <v>SPC-WEB-VM</v>
      </c>
      <c r="C4" s="19"/>
      <c r="D4" t="s">
        <v>127</v>
      </c>
      <c r="E4" t="s">
        <v>8</v>
      </c>
      <c r="F4" t="s">
        <v>83</v>
      </c>
      <c r="G4" s="19" t="str">
        <f>LOOKUP(TabVMAzureEnvProjet[[#This Row],[Projet]],TabProjets[NomProj],TabProjets[SYGES])</f>
        <v>SPC/BUILD-0-1-SITE-WEB</v>
      </c>
      <c r="H4" s="19">
        <f>LOOKUP(TabVMAzureEnvProjet[[#This Row],[Code SYGES]],TabCONTRATSDI[Contrat SYGES],TabCONTRATSDI[Cost Center])</f>
        <v>305704</v>
      </c>
      <c r="I4" s="34" t="str">
        <f>LOOKUP(TabVMAzureEnvProjet[[#This Row],[Code SYGES]],TabCONTRATSDI[Contrat SYGES],TabCONTRATSDI[Client])</f>
        <v>SPC</v>
      </c>
      <c r="J4" s="19" t="s">
        <v>126</v>
      </c>
      <c r="K4" s="38">
        <v>7.6</v>
      </c>
    </row>
    <row r="5" spans="1:12" x14ac:dyDescent="0.3">
      <c r="A5" s="34" t="str">
        <f>TabVMAzureEnvProjet[[#This Row],[Client]] &amp; " .:. "  &amp; TabVMAzureEnvProjet[[#This Row],[Projet]]</f>
        <v>ONEMA .:. AFB-BASEINDICATEURS</v>
      </c>
      <c r="B5" s="34" t="str">
        <f>IF(TabVMAzureEnvProjet[[#This Row],[Projet AzureDevOps]]&lt;&gt;"",TabVMAzureEnvProjet[[#This Row],[Projet AzureDevOps]],TabVMAzureEnvProjet[[#This Row],[VM]])</f>
        <v>AFB-BaseIndicateurs</v>
      </c>
      <c r="C5" t="s">
        <v>72</v>
      </c>
      <c r="E5" t="s">
        <v>4</v>
      </c>
      <c r="F5" t="s">
        <v>71</v>
      </c>
      <c r="G5" s="19" t="str">
        <f>LOOKUP(TabVMAzureEnvProjet[[#This Row],[Projet]],TabProjets[NomProj],TabProjets[SYGES])</f>
        <v>ONEMA/TMADCUA-15</v>
      </c>
      <c r="H5" s="19">
        <f>LOOKUP(TabVMAzureEnvProjet[[#This Row],[Code SYGES]],TabCONTRATSDI[Contrat SYGES],TabCONTRATSDI[Cost Center])</f>
        <v>305704</v>
      </c>
      <c r="I5" s="34" t="str">
        <f>LOOKUP(TabVMAzureEnvProjet[[#This Row],[Code SYGES]],TabCONTRATSDI[Contrat SYGES],TabCONTRATSDI[Client])</f>
        <v>ONEMA</v>
      </c>
      <c r="J5" s="19" t="s">
        <v>126</v>
      </c>
      <c r="K5" s="38">
        <v>1.43</v>
      </c>
    </row>
    <row r="6" spans="1:12" x14ac:dyDescent="0.3">
      <c r="A6" s="34" t="str">
        <f>TabVMAzureEnvProjet[[#This Row],[Client]] &amp; " .:. "  &amp; TabVMAzureEnvProjet[[#This Row],[Projet]]</f>
        <v>ONEMA .:. AFB-CDR</v>
      </c>
      <c r="B6" s="34" t="str">
        <f>IF(TabVMAzureEnvProjet[[#This Row],[Projet AzureDevOps]]&lt;&gt;"",TabVMAzureEnvProjet[[#This Row],[Projet AzureDevOps]],TabVMAzureEnvProjet[[#This Row],[VM]])</f>
        <v>AFB-CDR</v>
      </c>
      <c r="C6" t="s">
        <v>75</v>
      </c>
      <c r="E6" t="s">
        <v>4</v>
      </c>
      <c r="F6" t="s">
        <v>75</v>
      </c>
      <c r="G6" s="19" t="str">
        <f>LOOKUP(TabVMAzureEnvProjet[[#This Row],[Projet]],TabProjets[NomProj],TabProjets[SYGES])</f>
        <v>ONEMA/TMAWEB-16</v>
      </c>
      <c r="H6" s="19">
        <f>LOOKUP(TabVMAzureEnvProjet[[#This Row],[Code SYGES]],TabCONTRATSDI[Contrat SYGES],TabCONTRATSDI[Cost Center])</f>
        <v>305704</v>
      </c>
      <c r="I6" s="34" t="str">
        <f>LOOKUP(TabVMAzureEnvProjet[[#This Row],[Code SYGES]],TabCONTRATSDI[Contrat SYGES],TabCONTRATSDI[Client])</f>
        <v>ONEMA</v>
      </c>
      <c r="J6" s="19" t="s">
        <v>126</v>
      </c>
      <c r="K6" s="38">
        <v>3.3</v>
      </c>
    </row>
    <row r="7" spans="1:12" x14ac:dyDescent="0.3">
      <c r="A7" s="34" t="str">
        <f>TabVMAzureEnvProjet[[#This Row],[Client]] &amp; " .:. "  &amp; TabVMAzureEnvProjet[[#This Row],[Projet]]</f>
        <v>AFB .:. AFB-CESMIA</v>
      </c>
      <c r="B7" s="34" t="str">
        <f>IF(TabVMAzureEnvProjet[[#This Row],[Projet AzureDevOps]]&lt;&gt;"",TabVMAzureEnvProjet[[#This Row],[Projet AzureDevOps]],TabVMAzureEnvProjet[[#This Row],[VM]])</f>
        <v>AFB-CESMIA</v>
      </c>
      <c r="C7" t="s">
        <v>3</v>
      </c>
      <c r="E7" t="s">
        <v>4</v>
      </c>
      <c r="F7" t="s">
        <v>3</v>
      </c>
      <c r="G7" s="19" t="str">
        <f>LOOKUP(TabVMAzureEnvProjet[[#This Row],[Projet]],TabProjets[NomProj],TabProjets[SYGES])</f>
        <v>AFB/OFB_LOT1</v>
      </c>
      <c r="H7" s="19">
        <f>LOOKUP(TabVMAzureEnvProjet[[#This Row],[Code SYGES]],TabCONTRATSDI[Contrat SYGES],TabCONTRATSDI[Cost Center])</f>
        <v>305704</v>
      </c>
      <c r="I7" s="34" t="str">
        <f>LOOKUP(TabVMAzureEnvProjet[[#This Row],[Code SYGES]],TabCONTRATSDI[Contrat SYGES],TabCONTRATSDI[Client])</f>
        <v>AFB</v>
      </c>
      <c r="J7" s="19" t="s">
        <v>126</v>
      </c>
      <c r="K7" s="38">
        <v>12.31</v>
      </c>
    </row>
    <row r="8" spans="1:12" x14ac:dyDescent="0.3">
      <c r="A8" s="34" t="str">
        <f>TabVMAzureEnvProjet[[#This Row],[Client]] &amp; " .:. "  &amp; TabVMAzureEnvProjet[[#This Row],[Projet]]</f>
        <v>ONEMA .:. AFB-OISON</v>
      </c>
      <c r="B8" s="34" t="str">
        <f>IF(TabVMAzureEnvProjet[[#This Row],[Projet AzureDevOps]]&lt;&gt;"",TabVMAzureEnvProjet[[#This Row],[Projet AzureDevOps]],TabVMAzureEnvProjet[[#This Row],[VM]])</f>
        <v>AFB-OISON</v>
      </c>
      <c r="C8" t="s">
        <v>76</v>
      </c>
      <c r="E8" t="s">
        <v>4</v>
      </c>
      <c r="F8" t="s">
        <v>76</v>
      </c>
      <c r="G8" s="19" t="str">
        <f>LOOKUP(TabVMAzureEnvProjet[[#This Row],[Projet]],TabProjets[NomProj],TabProjets[SYGES])</f>
        <v>ONEMA/TMADCUA-15</v>
      </c>
      <c r="H8" s="19">
        <f>LOOKUP(TabVMAzureEnvProjet[[#This Row],[Code SYGES]],TabCONTRATSDI[Contrat SYGES],TabCONTRATSDI[Cost Center])</f>
        <v>305704</v>
      </c>
      <c r="I8" s="34" t="str">
        <f>LOOKUP(TabVMAzureEnvProjet[[#This Row],[Code SYGES]],TabCONTRATSDI[Contrat SYGES],TabCONTRATSDI[Client])</f>
        <v>ONEMA</v>
      </c>
      <c r="J8" s="19" t="s">
        <v>126</v>
      </c>
      <c r="K8" s="38">
        <v>14.79</v>
      </c>
    </row>
    <row r="9" spans="1:12" x14ac:dyDescent="0.3">
      <c r="A9" s="34" t="str">
        <f>TabVMAzureEnvProjet[[#This Row],[Client]] &amp; " .:. "  &amp; TabVMAzureEnvProjet[[#This Row],[Projet]]</f>
        <v>ONEMA .:. AFB-PATBIODIV</v>
      </c>
      <c r="B9" s="34" t="str">
        <f>IF(TabVMAzureEnvProjet[[#This Row],[Projet AzureDevOps]]&lt;&gt;"",TabVMAzureEnvProjet[[#This Row],[Projet AzureDevOps]],TabVMAzureEnvProjet[[#This Row],[VM]])</f>
        <v>AFB-PATBiodiv</v>
      </c>
      <c r="C9" t="s">
        <v>78</v>
      </c>
      <c r="E9" t="s">
        <v>4</v>
      </c>
      <c r="F9" t="s">
        <v>77</v>
      </c>
      <c r="G9" s="19" t="str">
        <f>LOOKUP(TabVMAzureEnvProjet[[#This Row],[Projet]],TabProjets[NomProj],TabProjets[SYGES])</f>
        <v>ONEMA/TMADCUA-15</v>
      </c>
      <c r="H9" s="19">
        <f>LOOKUP(TabVMAzureEnvProjet[[#This Row],[Code SYGES]],TabCONTRATSDI[Contrat SYGES],TabCONTRATSDI[Cost Center])</f>
        <v>305704</v>
      </c>
      <c r="I9" s="34" t="str">
        <f>LOOKUP(TabVMAzureEnvProjet[[#This Row],[Code SYGES]],TabCONTRATSDI[Contrat SYGES],TabCONTRATSDI[Client])</f>
        <v>ONEMA</v>
      </c>
      <c r="J9" s="19" t="s">
        <v>126</v>
      </c>
      <c r="K9" s="38">
        <v>8.19</v>
      </c>
    </row>
    <row r="10" spans="1:12" x14ac:dyDescent="0.3">
      <c r="A10" s="34" t="str">
        <f>TabVMAzureEnvProjet[[#This Row],[Client]] &amp; " .:. "  &amp; TabVMAzureEnvProjet[[#This Row],[Projet]]</f>
        <v>AFB .:. AFB-PNM</v>
      </c>
      <c r="B10" s="34" t="str">
        <f>IF(TabVMAzureEnvProjet[[#This Row],[Projet AzureDevOps]]&lt;&gt;"",TabVMAzureEnvProjet[[#This Row],[Projet AzureDevOps]],TabVMAzureEnvProjet[[#This Row],[VM]])</f>
        <v>AFB-PNM</v>
      </c>
      <c r="C10" t="s">
        <v>5</v>
      </c>
      <c r="E10" t="s">
        <v>4</v>
      </c>
      <c r="F10" t="s">
        <v>5</v>
      </c>
      <c r="G10" s="19" t="str">
        <f>LOOKUP(TabVMAzureEnvProjet[[#This Row],[Projet]],TabProjets[NomProj],TabProjets[SYGES])</f>
        <v>AFB/OFB_LOT2</v>
      </c>
      <c r="H10" s="19">
        <f>LOOKUP(TabVMAzureEnvProjet[[#This Row],[Code SYGES]],TabCONTRATSDI[Contrat SYGES],TabCONTRATSDI[Cost Center])</f>
        <v>305704</v>
      </c>
      <c r="I10" s="34" t="str">
        <f>LOOKUP(TabVMAzureEnvProjet[[#This Row],[Code SYGES]],TabCONTRATSDI[Contrat SYGES],TabCONTRATSDI[Client])</f>
        <v>AFB</v>
      </c>
      <c r="J10" s="19" t="s">
        <v>126</v>
      </c>
      <c r="K10" s="38">
        <v>20.71</v>
      </c>
    </row>
    <row r="11" spans="1:12" x14ac:dyDescent="0.3">
      <c r="A11" s="34" t="str">
        <f>TabVMAzureEnvProjet[[#This Row],[Client]] &amp; " .:. "  &amp; TabVMAzureEnvProjet[[#This Row],[Projet]]</f>
        <v>AFB .:. AFB-PNX</v>
      </c>
      <c r="B11" s="34" t="str">
        <f>IF(TabVMAzureEnvProjet[[#This Row],[Projet AzureDevOps]]&lt;&gt;"",TabVMAzureEnvProjet[[#This Row],[Projet AzureDevOps]],TabVMAzureEnvProjet[[#This Row],[VM]])</f>
        <v>AFB-PNX</v>
      </c>
      <c r="C11" t="s">
        <v>6</v>
      </c>
      <c r="E11" t="s">
        <v>4</v>
      </c>
      <c r="F11" t="s">
        <v>6</v>
      </c>
      <c r="G11" s="19" t="str">
        <f>LOOKUP(TabVMAzureEnvProjet[[#This Row],[Projet]],TabProjets[NomProj],TabProjets[SYGES])</f>
        <v>AFB/OFB_LOT2</v>
      </c>
      <c r="H11" s="19">
        <f>LOOKUP(TabVMAzureEnvProjet[[#This Row],[Code SYGES]],TabCONTRATSDI[Contrat SYGES],TabCONTRATSDI[Cost Center])</f>
        <v>305704</v>
      </c>
      <c r="I11" s="34" t="str">
        <f>LOOKUP(TabVMAzureEnvProjet[[#This Row],[Code SYGES]],TabCONTRATSDI[Contrat SYGES],TabCONTRATSDI[Client])</f>
        <v>AFB</v>
      </c>
      <c r="J11" s="19" t="s">
        <v>126</v>
      </c>
      <c r="K11" s="38">
        <v>2.89</v>
      </c>
    </row>
    <row r="12" spans="1:12" x14ac:dyDescent="0.3">
      <c r="A12" s="34" t="str">
        <f>TabVMAzureEnvProjet[[#This Row],[Client]] &amp; " .:. "  &amp; TabVMAzureEnvProjet[[#This Row],[Projet]]</f>
        <v>ALM .:. ALM-ATOUT</v>
      </c>
      <c r="B12" s="34" t="str">
        <f>IF(TabVMAzureEnvProjet[[#This Row],[Projet AzureDevOps]]&lt;&gt;"",TabVMAzureEnvProjet[[#This Row],[Projet AzureDevOps]],TabVMAzureEnvProjet[[#This Row],[VM]])</f>
        <v>ALM-ATOUT</v>
      </c>
      <c r="C12" t="s">
        <v>15</v>
      </c>
      <c r="E12" t="s">
        <v>4</v>
      </c>
      <c r="F12" t="s">
        <v>15</v>
      </c>
      <c r="G12" s="19" t="str">
        <f>LOOKUP(TabVMAzureEnvProjet[[#This Row],[Projet]],TabProjets[NomProj],TabProjets[SYGES])</f>
        <v>ALM/TMA_ATOUT</v>
      </c>
      <c r="H12" s="19">
        <f>LOOKUP(TabVMAzureEnvProjet[[#This Row],[Code SYGES]],TabCONTRATSDI[Contrat SYGES],TabCONTRATSDI[Cost Center])</f>
        <v>305704</v>
      </c>
      <c r="I12" s="34" t="str">
        <f>LOOKUP(TabVMAzureEnvProjet[[#This Row],[Code SYGES]],TabCONTRATSDI[Contrat SYGES],TabCONTRATSDI[Client])</f>
        <v>ALM</v>
      </c>
      <c r="J12" s="19" t="s">
        <v>126</v>
      </c>
      <c r="K12" s="38">
        <v>4.25</v>
      </c>
    </row>
    <row r="13" spans="1:12" x14ac:dyDescent="0.3">
      <c r="A13" s="34" t="str">
        <f>TabVMAzureEnvProjet[[#This Row],[Client]] &amp; " .:. "  &amp; TabVMAzureEnvProjet[[#This Row],[Projet]]</f>
        <v>BRGM .:. BRGM-ORRM</v>
      </c>
      <c r="B13" s="34" t="str">
        <f>IF(TabVMAzureEnvProjet[[#This Row],[Projet AzureDevOps]]&lt;&gt;"",TabVMAzureEnvProjet[[#This Row],[Projet AzureDevOps]],TabVMAzureEnvProjet[[#This Row],[VM]])</f>
        <v>BRGM-ORRM</v>
      </c>
      <c r="C13" t="s">
        <v>18</v>
      </c>
      <c r="E13" t="s">
        <v>4</v>
      </c>
      <c r="F13" t="s">
        <v>18</v>
      </c>
      <c r="G13" s="19" t="str">
        <f>LOOKUP(TabVMAzureEnvProjet[[#This Row],[Projet]],TabProjets[NomProj],TabProjets[SYGES])</f>
        <v>BRGM/TMA-5-1-ORRM-LOT1</v>
      </c>
      <c r="H13" s="19">
        <f>LOOKUP(TabVMAzureEnvProjet[[#This Row],[Code SYGES]],TabCONTRATSDI[Contrat SYGES],TabCONTRATSDI[Cost Center])</f>
        <v>305704</v>
      </c>
      <c r="I13" s="34" t="str">
        <f>LOOKUP(TabVMAzureEnvProjet[[#This Row],[Code SYGES]],TabCONTRATSDI[Contrat SYGES],TabCONTRATSDI[Client])</f>
        <v>BRGM</v>
      </c>
      <c r="J13" s="19" t="s">
        <v>126</v>
      </c>
      <c r="K13" s="38">
        <v>7.53</v>
      </c>
    </row>
    <row r="14" spans="1:12" x14ac:dyDescent="0.3">
      <c r="A14" s="34" t="str">
        <f>TabVMAzureEnvProjet[[#This Row],[Client]] &amp; " .:. "  &amp; TabVMAzureEnvProjet[[#This Row],[Projet]]</f>
        <v>CNAV .:. CNAV-BI-RGCU</v>
      </c>
      <c r="B14" s="34" t="str">
        <f>IF(TabVMAzureEnvProjet[[#This Row],[Projet AzureDevOps]]&lt;&gt;"",TabVMAzureEnvProjet[[#This Row],[Projet AzureDevOps]],TabVMAzureEnvProjet[[#This Row],[VM]])</f>
        <v>CNAV-BI-RGCU</v>
      </c>
      <c r="C14" t="s">
        <v>25</v>
      </c>
      <c r="E14" t="s">
        <v>4</v>
      </c>
      <c r="F14" t="s">
        <v>25</v>
      </c>
      <c r="G14" s="19" t="str">
        <f>LOOKUP(TabVMAzureEnvProjet[[#This Row],[Projet]],TabProjets[NomProj],TabProjets[SYGES])</f>
        <v>CNAV/BI-SIRRGCU</v>
      </c>
      <c r="H14" s="19">
        <f>LOOKUP(TabVMAzureEnvProjet[[#This Row],[Code SYGES]],TabCONTRATSDI[Contrat SYGES],TabCONTRATSDI[Cost Center])</f>
        <v>305704</v>
      </c>
      <c r="I14" s="34" t="str">
        <f>LOOKUP(TabVMAzureEnvProjet[[#This Row],[Code SYGES]],TabCONTRATSDI[Contrat SYGES],TabCONTRATSDI[Client])</f>
        <v>CNAV</v>
      </c>
      <c r="J14" s="19" t="s">
        <v>126</v>
      </c>
      <c r="K14" s="38">
        <v>27.15</v>
      </c>
    </row>
    <row r="15" spans="1:12" x14ac:dyDescent="0.3">
      <c r="A15" s="34" t="str">
        <f>TabVMAzureEnvProjet[[#This Row],[Client]] &amp; " .:. "  &amp; TabVMAzureEnvProjet[[#This Row],[Projet]]</f>
        <v>GFI .:. GFI-INTERNE</v>
      </c>
      <c r="B15" s="34" t="str">
        <f>IF(TabVMAzureEnvProjet[[#This Row],[Projet AzureDevOps]]&lt;&gt;"",TabVMAzureEnvProjet[[#This Row],[Projet AzureDevOps]],TabVMAzureEnvProjet[[#This Row],[VM]])</f>
        <v>d8-qa</v>
      </c>
      <c r="C15" t="s">
        <v>37</v>
      </c>
      <c r="E15" t="s">
        <v>4</v>
      </c>
      <c r="F15" t="s">
        <v>36</v>
      </c>
      <c r="G15" s="19" t="str">
        <f>LOOKUP(TabVMAzureEnvProjet[[#This Row],[Projet]],TabProjets[NomProj],TabProjets[SYGES])</f>
        <v>GFI/PROJET_INTERNE</v>
      </c>
      <c r="H15" s="19">
        <f>LOOKUP(TabVMAzureEnvProjet[[#This Row],[Code SYGES]],TabCONTRATSDI[Contrat SYGES],TabCONTRATSDI[Cost Center])</f>
        <v>305704</v>
      </c>
      <c r="I15" s="34" t="str">
        <f>LOOKUP(TabVMAzureEnvProjet[[#This Row],[Code SYGES]],TabCONTRATSDI[Contrat SYGES],TabCONTRATSDI[Client])</f>
        <v>GFI</v>
      </c>
      <c r="J15" s="19" t="s">
        <v>126</v>
      </c>
      <c r="K15" s="38">
        <v>0.96</v>
      </c>
    </row>
    <row r="16" spans="1:12" x14ac:dyDescent="0.3">
      <c r="A16" s="34" t="str">
        <f>TabVMAzureEnvProjet[[#This Row],[Client]] &amp; " .:. "  &amp; TabVMAzureEnvProjet[[#This Row],[Projet]]</f>
        <v>GFI .:. GFI-INTERNE</v>
      </c>
      <c r="B16" s="34" t="str">
        <f>IF(TabVMAzureEnvProjet[[#This Row],[Projet AzureDevOps]]&lt;&gt;"",TabVMAzureEnvProjet[[#This Row],[Projet AzureDevOps]],TabVMAzureEnvProjet[[#This Row],[VM]])</f>
        <v>drupal-qa</v>
      </c>
      <c r="C16" t="s">
        <v>38</v>
      </c>
      <c r="E16" t="s">
        <v>4</v>
      </c>
      <c r="F16" t="s">
        <v>36</v>
      </c>
      <c r="G16" s="19" t="str">
        <f>LOOKUP(TabVMAzureEnvProjet[[#This Row],[Projet]],TabProjets[NomProj],TabProjets[SYGES])</f>
        <v>GFI/PROJET_INTERNE</v>
      </c>
      <c r="H16" s="19">
        <f>LOOKUP(TabVMAzureEnvProjet[[#This Row],[Code SYGES]],TabCONTRATSDI[Contrat SYGES],TabCONTRATSDI[Cost Center])</f>
        <v>305704</v>
      </c>
      <c r="I16" s="34" t="str">
        <f>LOOKUP(TabVMAzureEnvProjet[[#This Row],[Code SYGES]],TabCONTRATSDI[Contrat SYGES],TabCONTRATSDI[Client])</f>
        <v>GFI</v>
      </c>
      <c r="J16" s="19" t="s">
        <v>126</v>
      </c>
      <c r="K16" s="38">
        <v>0.96</v>
      </c>
    </row>
    <row r="17" spans="1:11" x14ac:dyDescent="0.3">
      <c r="A17" s="34" t="str">
        <f>TabVMAzureEnvProjet[[#This Row],[Client]] &amp; " .:. "  &amp; TabVMAzureEnvProjet[[#This Row],[Projet]]</f>
        <v>FRR .:. FRR-DIGIPAT</v>
      </c>
      <c r="B17" s="34" t="str">
        <f>IF(TabVMAzureEnvProjet[[#This Row],[Projet AzureDevOps]]&lt;&gt;"",TabVMAzureEnvProjet[[#This Row],[Projet AzureDevOps]],TabVMAzureEnvProjet[[#This Row],[VM]])</f>
        <v>FRR DIGIPAT</v>
      </c>
      <c r="C17" t="s">
        <v>28</v>
      </c>
      <c r="E17" t="s">
        <v>4</v>
      </c>
      <c r="F17" t="s">
        <v>27</v>
      </c>
      <c r="G17" s="19" t="str">
        <f>LOOKUP(TabVMAzureEnvProjet[[#This Row],[Projet]],TabProjets[NomProj],TabProjets[SYGES])</f>
        <v>FRR/TMASI</v>
      </c>
      <c r="H17" s="19">
        <f>LOOKUP(TabVMAzureEnvProjet[[#This Row],[Code SYGES]],TabCONTRATSDI[Contrat SYGES],TabCONTRATSDI[Cost Center])</f>
        <v>305704</v>
      </c>
      <c r="I17" s="34" t="str">
        <f>LOOKUP(TabVMAzureEnvProjet[[#This Row],[Code SYGES]],TabCONTRATSDI[Contrat SYGES],TabCONTRATSDI[Client])</f>
        <v>FRR</v>
      </c>
      <c r="J17" s="19" t="s">
        <v>126</v>
      </c>
      <c r="K17" s="38">
        <v>22.6</v>
      </c>
    </row>
    <row r="18" spans="1:11" x14ac:dyDescent="0.3">
      <c r="A18" s="34" t="str">
        <f>TabVMAzureEnvProjet[[#This Row],[Client]] &amp; " .:. "  &amp; TabVMAzureEnvProjet[[#This Row],[Projet]]</f>
        <v>GFI .:. GFI-INTERNE</v>
      </c>
      <c r="B18" s="34" t="str">
        <f>IF(TabVMAzureEnvProjet[[#This Row],[Projet AzureDevOps]]&lt;&gt;"",TabVMAzureEnvProjet[[#This Row],[Projet AzureDevOps]],TabVMAzureEnvProjet[[#This Row],[VM]])</f>
        <v>GFI-D8-BS4-THEME</v>
      </c>
      <c r="C18" t="s">
        <v>43</v>
      </c>
      <c r="E18" t="s">
        <v>4</v>
      </c>
      <c r="F18" t="s">
        <v>36</v>
      </c>
      <c r="G18" s="19" t="str">
        <f>LOOKUP(TabVMAzureEnvProjet[[#This Row],[Projet]],TabProjets[NomProj],TabProjets[SYGES])</f>
        <v>GFI/PROJET_INTERNE</v>
      </c>
      <c r="H18" s="19">
        <f>LOOKUP(TabVMAzureEnvProjet[[#This Row],[Code SYGES]],TabCONTRATSDI[Contrat SYGES],TabCONTRATSDI[Cost Center])</f>
        <v>305704</v>
      </c>
      <c r="I18" s="34" t="str">
        <f>LOOKUP(TabVMAzureEnvProjet[[#This Row],[Code SYGES]],TabCONTRATSDI[Contrat SYGES],TabCONTRATSDI[Client])</f>
        <v>GFI</v>
      </c>
      <c r="J18" s="19" t="s">
        <v>126</v>
      </c>
      <c r="K18" s="38">
        <v>0.96</v>
      </c>
    </row>
    <row r="19" spans="1:11" x14ac:dyDescent="0.3">
      <c r="A19" s="34" t="str">
        <f>TabVMAzureEnvProjet[[#This Row],[Client]] &amp; " .:. "  &amp; TabVMAzureEnvProjet[[#This Row],[Projet]]</f>
        <v>GLI .:. GLI-APIBIOMETRIE</v>
      </c>
      <c r="B19" s="34" t="str">
        <f>IF(TabVMAzureEnvProjet[[#This Row],[Projet AzureDevOps]]&lt;&gt;"",TabVMAzureEnvProjet[[#This Row],[Projet AzureDevOps]],TabVMAzureEnvProjet[[#This Row],[VM]])</f>
        <v>GLI-APIBiometrie</v>
      </c>
      <c r="C19" t="s">
        <v>56</v>
      </c>
      <c r="E19" t="s">
        <v>4</v>
      </c>
      <c r="F19" t="s">
        <v>55</v>
      </c>
      <c r="G19" s="19" t="str">
        <f>LOOKUP(TabVMAzureEnvProjet[[#This Row],[Projet]],TabProjets[NomProj],TabProjets[SYGES])</f>
        <v>GLI/BIOMETRIE</v>
      </c>
      <c r="H19" s="19">
        <f>LOOKUP(TabVMAzureEnvProjet[[#This Row],[Code SYGES]],TabCONTRATSDI[Contrat SYGES],TabCONTRATSDI[Cost Center])</f>
        <v>305704</v>
      </c>
      <c r="I19" s="34" t="str">
        <f>LOOKUP(TabVMAzureEnvProjet[[#This Row],[Code SYGES]],TabCONTRATSDI[Contrat SYGES],TabCONTRATSDI[Client])</f>
        <v>GLI</v>
      </c>
      <c r="J19" s="19" t="s">
        <v>126</v>
      </c>
      <c r="K19" s="38">
        <v>5.52</v>
      </c>
    </row>
    <row r="20" spans="1:11" x14ac:dyDescent="0.3">
      <c r="A20" s="34" t="str">
        <f>TabVMAzureEnvProjet[[#This Row],[Client]] &amp; " .:. "  &amp; TabVMAzureEnvProjet[[#This Row],[Projet]]</f>
        <v>MENESR .:. MENJ-APAE</v>
      </c>
      <c r="B20" s="34" t="str">
        <f>IF(TabVMAzureEnvProjet[[#This Row],[Projet AzureDevOps]]&lt;&gt;"",TabVMAzureEnvProjet[[#This Row],[Projet AzureDevOps]],TabVMAzureEnvProjet[[#This Row],[VM]])</f>
        <v>MENJ-APAE</v>
      </c>
      <c r="C20" t="s">
        <v>58</v>
      </c>
      <c r="E20" t="s">
        <v>4</v>
      </c>
      <c r="F20" t="s">
        <v>58</v>
      </c>
      <c r="G20" s="19" t="str">
        <f>LOOKUP(TabVMAzureEnvProjet[[#This Row],[Projet]],TabProjets[NomProj],TabProjets[SYGES])</f>
        <v>MENESR/TMA</v>
      </c>
      <c r="H20" s="19">
        <f>LOOKUP(TabVMAzureEnvProjet[[#This Row],[Code SYGES]],TabCONTRATSDI[Contrat SYGES],TabCONTRATSDI[Cost Center])</f>
        <v>305704</v>
      </c>
      <c r="I20" s="34" t="str">
        <f>LOOKUP(TabVMAzureEnvProjet[[#This Row],[Code SYGES]],TabCONTRATSDI[Contrat SYGES],TabCONTRATSDI[Client])</f>
        <v>MENESR</v>
      </c>
      <c r="J20" s="19" t="s">
        <v>126</v>
      </c>
      <c r="K20" s="38">
        <v>1.61</v>
      </c>
    </row>
    <row r="21" spans="1:11" x14ac:dyDescent="0.3">
      <c r="A21" s="34" t="str">
        <f>TabVMAzureEnvProjet[[#This Row],[Client]] &amp; " .:. "  &amp; TabVMAzureEnvProjet[[#This Row],[Projet]]</f>
        <v>MENESR .:. MENJ-BNIE</v>
      </c>
      <c r="B21" s="34" t="str">
        <f>IF(TabVMAzureEnvProjet[[#This Row],[Projet AzureDevOps]]&lt;&gt;"",TabVMAzureEnvProjet[[#This Row],[Projet AzureDevOps]],TabVMAzureEnvProjet[[#This Row],[VM]])</f>
        <v>MENJ-BNIE-BDD</v>
      </c>
      <c r="C21" t="s">
        <v>60</v>
      </c>
      <c r="E21" t="s">
        <v>4</v>
      </c>
      <c r="F21" t="s">
        <v>59</v>
      </c>
      <c r="G21" s="19" t="str">
        <f>LOOKUP(TabVMAzureEnvProjet[[#This Row],[Projet]],TabProjets[NomProj],TabProjets[SYGES])</f>
        <v>MENESR/TMA</v>
      </c>
      <c r="H21" s="19">
        <f>LOOKUP(TabVMAzureEnvProjet[[#This Row],[Code SYGES]],TabCONTRATSDI[Contrat SYGES],TabCONTRATSDI[Cost Center])</f>
        <v>305704</v>
      </c>
      <c r="I21" s="34" t="str">
        <f>LOOKUP(TabVMAzureEnvProjet[[#This Row],[Code SYGES]],TabCONTRATSDI[Contrat SYGES],TabCONTRATSDI[Client])</f>
        <v>MENESR</v>
      </c>
      <c r="J21" s="19" t="s">
        <v>126</v>
      </c>
      <c r="K21" s="38">
        <v>1.61</v>
      </c>
    </row>
    <row r="22" spans="1:11" x14ac:dyDescent="0.3">
      <c r="A22" s="34" t="str">
        <f>TabVMAzureEnvProjet[[#This Row],[Client]] &amp; " .:. "  &amp; TabVMAzureEnvProjet[[#This Row],[Projet]]</f>
        <v>MENESR .:. MENJ-RNIE</v>
      </c>
      <c r="B22" s="34" t="str">
        <f>IF(TabVMAzureEnvProjet[[#This Row],[Projet AzureDevOps]]&lt;&gt;"",TabVMAzureEnvProjet[[#This Row],[Projet AzureDevOps]],TabVMAzureEnvProjet[[#This Row],[VM]])</f>
        <v>MENJ-RNIE-BDD</v>
      </c>
      <c r="C22" t="s">
        <v>63</v>
      </c>
      <c r="E22" t="s">
        <v>4</v>
      </c>
      <c r="F22" t="s">
        <v>62</v>
      </c>
      <c r="G22" s="19" t="str">
        <f>LOOKUP(TabVMAzureEnvProjet[[#This Row],[Projet]],TabProjets[NomProj],TabProjets[SYGES])</f>
        <v>MENESR/TMA</v>
      </c>
      <c r="H22" s="19">
        <f>LOOKUP(TabVMAzureEnvProjet[[#This Row],[Code SYGES]],TabCONTRATSDI[Contrat SYGES],TabCONTRATSDI[Cost Center])</f>
        <v>305704</v>
      </c>
      <c r="I22" s="34" t="str">
        <f>LOOKUP(TabVMAzureEnvProjet[[#This Row],[Code SYGES]],TabCONTRATSDI[Contrat SYGES],TabCONTRATSDI[Client])</f>
        <v>MENESR</v>
      </c>
      <c r="J22" s="19" t="s">
        <v>126</v>
      </c>
      <c r="K22" s="38">
        <v>1.61</v>
      </c>
    </row>
    <row r="23" spans="1:11" x14ac:dyDescent="0.3">
      <c r="A23" s="34" t="str">
        <f>TabVMAzureEnvProjet[[#This Row],[Client]] &amp; " .:. "  &amp; TabVMAzureEnvProjet[[#This Row],[Projet]]</f>
        <v>MENESR .:. MENJ-RNIE</v>
      </c>
      <c r="B23" s="34" t="str">
        <f>IF(TabVMAzureEnvProjet[[#This Row],[Projet AzureDevOps]]&lt;&gt;"",TabVMAzureEnvProjet[[#This Row],[Projet AzureDevOps]],TabVMAzureEnvProjet[[#This Row],[VM]])</f>
        <v>MENJ-RNIE-Webservices</v>
      </c>
      <c r="C23" t="s">
        <v>64</v>
      </c>
      <c r="E23" t="s">
        <v>4</v>
      </c>
      <c r="F23" t="s">
        <v>62</v>
      </c>
      <c r="G23" s="19" t="str">
        <f>LOOKUP(TabVMAzureEnvProjet[[#This Row],[Projet]],TabProjets[NomProj],TabProjets[SYGES])</f>
        <v>MENESR/TMA</v>
      </c>
      <c r="H23" s="19">
        <f>LOOKUP(TabVMAzureEnvProjet[[#This Row],[Code SYGES]],TabCONTRATSDI[Contrat SYGES],TabCONTRATSDI[Cost Center])</f>
        <v>305704</v>
      </c>
      <c r="I23" s="34" t="str">
        <f>LOOKUP(TabVMAzureEnvProjet[[#This Row],[Code SYGES]],TabCONTRATSDI[Contrat SYGES],TabCONTRATSDI[Client])</f>
        <v>MENESR</v>
      </c>
      <c r="J23" s="19" t="s">
        <v>126</v>
      </c>
      <c r="K23" s="38">
        <v>1.61</v>
      </c>
    </row>
    <row r="24" spans="1:11" x14ac:dyDescent="0.3">
      <c r="A24" s="34" t="str">
        <f>TabVMAzureEnvProjet[[#This Row],[Client]] &amp; " .:. "  &amp; TabVMAzureEnvProjet[[#This Row],[Projet]]</f>
        <v>PCM .:. PCM-ALS</v>
      </c>
      <c r="B24" s="34" t="str">
        <f>IF(TabVMAzureEnvProjet[[#This Row],[Projet AzureDevOps]]&lt;&gt;"",TabVMAzureEnvProjet[[#This Row],[Projet AzureDevOps]],TabVMAzureEnvProjet[[#This Row],[VM]])</f>
        <v>PCM-ALS</v>
      </c>
      <c r="C24" t="s">
        <v>85</v>
      </c>
      <c r="E24" t="s">
        <v>4</v>
      </c>
      <c r="F24" t="s">
        <v>85</v>
      </c>
      <c r="G24" s="19" t="str">
        <f>LOOKUP(TabVMAzureEnvProjet[[#This Row],[Projet]],TabProjets[NomProj],TabProjets[SYGES])</f>
        <v>PCM/WEB</v>
      </c>
      <c r="H24" s="19">
        <f>LOOKUP(TabVMAzureEnvProjet[[#This Row],[Code SYGES]],TabCONTRATSDI[Contrat SYGES],TabCONTRATSDI[Cost Center])</f>
        <v>305704</v>
      </c>
      <c r="I24" s="34" t="str">
        <f>LOOKUP(TabVMAzureEnvProjet[[#This Row],[Code SYGES]],TabCONTRATSDI[Contrat SYGES],TabCONTRATSDI[Client])</f>
        <v>PCM</v>
      </c>
      <c r="J24" s="19" t="s">
        <v>126</v>
      </c>
      <c r="K24" s="38">
        <v>11.41</v>
      </c>
    </row>
    <row r="25" spans="1:11" x14ac:dyDescent="0.3">
      <c r="A25" s="34" t="str">
        <f>TabVMAzureEnvProjet[[#This Row],[Client]] &amp; " .:. "  &amp; TabVMAzureEnvProjet[[#This Row],[Projet]]</f>
        <v>PCM .:. PCM-WEB</v>
      </c>
      <c r="B25" s="34" t="str">
        <f>IF(TabVMAzureEnvProjet[[#This Row],[Projet AzureDevOps]]&lt;&gt;"",TabVMAzureEnvProjet[[#This Row],[Projet AzureDevOps]],TabVMAzureEnvProjet[[#This Row],[VM]])</f>
        <v>PCM-Web</v>
      </c>
      <c r="C25" t="s">
        <v>87</v>
      </c>
      <c r="E25" t="s">
        <v>4</v>
      </c>
      <c r="F25" t="s">
        <v>86</v>
      </c>
      <c r="G25" s="19" t="str">
        <f>LOOKUP(TabVMAzureEnvProjet[[#This Row],[Projet]],TabProjets[NomProj],TabProjets[SYGES])</f>
        <v>PCM/WEB</v>
      </c>
      <c r="H25" s="19">
        <f>LOOKUP(TabVMAzureEnvProjet[[#This Row],[Code SYGES]],TabCONTRATSDI[Contrat SYGES],TabCONTRATSDI[Cost Center])</f>
        <v>305704</v>
      </c>
      <c r="I25" s="34" t="str">
        <f>LOOKUP(TabVMAzureEnvProjet[[#This Row],[Code SYGES]],TabCONTRATSDI[Contrat SYGES],TabCONTRATSDI[Client])</f>
        <v>PCM</v>
      </c>
      <c r="J25" s="19" t="s">
        <v>126</v>
      </c>
      <c r="K25" s="38">
        <v>2.6</v>
      </c>
    </row>
    <row r="26" spans="1:11" x14ac:dyDescent="0.3">
      <c r="A26" s="34" t="str">
        <f>TabVMAzureEnvProjet[[#This Row],[Client]] &amp; " .:. "  &amp; TabVMAzureEnvProjet[[#This Row],[Projet]]</f>
        <v>SPC .:. SPC-BUILD</v>
      </c>
      <c r="B26" s="34" t="str">
        <f>IF(TabVMAzureEnvProjet[[#This Row],[Projet AzureDevOps]]&lt;&gt;"",TabVMAzureEnvProjet[[#This Row],[Projet AzureDevOps]],TabVMAzureEnvProjet[[#This Row],[VM]])</f>
        <v>SPC-BUILD</v>
      </c>
      <c r="C26" t="s">
        <v>81</v>
      </c>
      <c r="E26" t="s">
        <v>4</v>
      </c>
      <c r="F26" t="s">
        <v>81</v>
      </c>
      <c r="G26" s="19" t="str">
        <f>LOOKUP(TabVMAzureEnvProjet[[#This Row],[Projet]],TabProjets[NomProj],TabProjets[SYGES])</f>
        <v>SPC/BUILD</v>
      </c>
      <c r="H26" s="19">
        <f>LOOKUP(TabVMAzureEnvProjet[[#This Row],[Code SYGES]],TabCONTRATSDI[Contrat SYGES],TabCONTRATSDI[Cost Center])</f>
        <v>305704</v>
      </c>
      <c r="I26" s="34" t="str">
        <f>LOOKUP(TabVMAzureEnvProjet[[#This Row],[Code SYGES]],TabCONTRATSDI[Contrat SYGES],TabCONTRATSDI[Client])</f>
        <v>SPC</v>
      </c>
      <c r="J26" s="19" t="s">
        <v>126</v>
      </c>
      <c r="K26" s="38">
        <v>15.11</v>
      </c>
    </row>
    <row r="27" spans="1:11" x14ac:dyDescent="0.3">
      <c r="A27" s="34" t="str">
        <f>TabVMAzureEnvProjet[[#This Row],[Client]] &amp; " .:. "  &amp; TabVMAzureEnvProjet[[#This Row],[Projet]]</f>
        <v>SPC .:. SPC-WEB</v>
      </c>
      <c r="B27" s="34" t="str">
        <f>IF(TabVMAzureEnvProjet[[#This Row],[Projet AzureDevOps]]&lt;&gt;"",TabVMAzureEnvProjet[[#This Row],[Projet AzureDevOps]],TabVMAzureEnvProjet[[#This Row],[VM]])</f>
        <v>SPC-WEB</v>
      </c>
      <c r="C27" t="s">
        <v>83</v>
      </c>
      <c r="E27" t="s">
        <v>4</v>
      </c>
      <c r="F27" t="s">
        <v>83</v>
      </c>
      <c r="G27" s="19" t="str">
        <f>LOOKUP(TabVMAzureEnvProjet[[#This Row],[Projet]],TabProjets[NomProj],TabProjets[SYGES])</f>
        <v>SPC/BUILD-0-1-SITE-WEB</v>
      </c>
      <c r="H27" s="19">
        <f>LOOKUP(TabVMAzureEnvProjet[[#This Row],[Code SYGES]],TabCONTRATSDI[Contrat SYGES],TabCONTRATSDI[Cost Center])</f>
        <v>305704</v>
      </c>
      <c r="I27" s="34" t="str">
        <f>LOOKUP(TabVMAzureEnvProjet[[#This Row],[Code SYGES]],TabCONTRATSDI[Contrat SYGES],TabCONTRATSDI[Client])</f>
        <v>SPC</v>
      </c>
      <c r="J27" s="19" t="s">
        <v>126</v>
      </c>
      <c r="K27" s="38">
        <v>5.45</v>
      </c>
    </row>
    <row r="28" spans="1:11" x14ac:dyDescent="0.3">
      <c r="A28" t="str">
        <f>TabVMAzureEnvProjet[[#This Row],[Client]] &amp; " .:. "  &amp; TabVMAzureEnvProjet[[#This Row],[Projet]]</f>
        <v>SPC .:. SPC-BUILD</v>
      </c>
      <c r="B28" t="str">
        <f>IF(TabVMAzureEnvProjet[[#This Row],[Projet AzureDevOps]]&lt;&gt;"",TabVMAzureEnvProjet[[#This Row],[Projet AzureDevOps]],TabVMAzureEnvProjet[[#This Row],[VM]])</f>
        <v>SPC-BUILDAS-VM</v>
      </c>
      <c r="D28" t="s">
        <v>82</v>
      </c>
      <c r="E28" t="s">
        <v>11</v>
      </c>
      <c r="F28" t="s">
        <v>81</v>
      </c>
      <c r="G28" t="str">
        <f>LOOKUP(TabVMAzureEnvProjet[[#This Row],[Projet]],TabProjets[NomProj],TabProjets[SYGES])</f>
        <v>SPC/BUILD</v>
      </c>
      <c r="H28">
        <f>LOOKUP(TabVMAzureEnvProjet[[#This Row],[Code SYGES]],TabCONTRATSDI[Contrat SYGES],TabCONTRATSDI[Cost Center])</f>
        <v>305704</v>
      </c>
      <c r="I28" t="str">
        <f>LOOKUP(TabVMAzureEnvProjet[[#This Row],[Code SYGES]],TabCONTRATSDI[Contrat SYGES],TabCONTRATSDI[Client])</f>
        <v>SPC</v>
      </c>
      <c r="J28" t="s">
        <v>128</v>
      </c>
      <c r="K28" s="31">
        <v>119.93</v>
      </c>
    </row>
    <row r="29" spans="1:11" x14ac:dyDescent="0.3">
      <c r="A29" t="str">
        <f>TabVMAzureEnvProjet[[#This Row],[Client]] &amp; " .:. "  &amp; TabVMAzureEnvProjet[[#This Row],[Projet]]</f>
        <v>SPC .:. SPC-WEB</v>
      </c>
      <c r="B29" t="str">
        <f>IF(TabVMAzureEnvProjet[[#This Row],[Projet AzureDevOps]]&lt;&gt;"",TabVMAzureEnvProjet[[#This Row],[Projet AzureDevOps]],TabVMAzureEnvProjet[[#This Row],[VM]])</f>
        <v>SPC-WEB-VM</v>
      </c>
      <c r="D29" t="s">
        <v>127</v>
      </c>
      <c r="E29" t="s">
        <v>8</v>
      </c>
      <c r="F29" t="s">
        <v>83</v>
      </c>
      <c r="G29" t="str">
        <f>LOOKUP(TabVMAzureEnvProjet[[#This Row],[Projet]],TabProjets[NomProj],TabProjets[SYGES])</f>
        <v>SPC/BUILD-0-1-SITE-WEB</v>
      </c>
      <c r="H29">
        <f>LOOKUP(TabVMAzureEnvProjet[[#This Row],[Code SYGES]],TabCONTRATSDI[Contrat SYGES],TabCONTRATSDI[Cost Center])</f>
        <v>305704</v>
      </c>
      <c r="I29" t="str">
        <f>LOOKUP(TabVMAzureEnvProjet[[#This Row],[Code SYGES]],TabCONTRATSDI[Contrat SYGES],TabCONTRATSDI[Client])</f>
        <v>SPC</v>
      </c>
      <c r="J29" t="s">
        <v>128</v>
      </c>
      <c r="K29" s="31">
        <v>6.45</v>
      </c>
    </row>
    <row r="30" spans="1:11" x14ac:dyDescent="0.3">
      <c r="A30" t="str">
        <f>TabVMAzureEnvProjet[[#This Row],[Client]] &amp; " .:. "  &amp; TabVMAzureEnvProjet[[#This Row],[Projet]]</f>
        <v>FRR .:. FRR-DIGIPAT</v>
      </c>
      <c r="B30" t="str">
        <f>IF(TabVMAzureEnvProjet[[#This Row],[Projet AzureDevOps]]&lt;&gt;"",TabVMAzureEnvProjet[[#This Row],[Projet AzureDevOps]],TabVMAzureEnvProjet[[#This Row],[VM]])</f>
        <v>FRR-DIGIPAT-VM</v>
      </c>
      <c r="D30" t="s">
        <v>29</v>
      </c>
      <c r="E30" t="s">
        <v>19</v>
      </c>
      <c r="F30" t="s">
        <v>27</v>
      </c>
      <c r="G30" t="str">
        <f>LOOKUP(TabVMAzureEnvProjet[[#This Row],[Projet]],TabProjets[NomProj],TabProjets[SYGES])</f>
        <v>FRR/TMASI</v>
      </c>
      <c r="H30">
        <f>LOOKUP(TabVMAzureEnvProjet[[#This Row],[Code SYGES]],TabCONTRATSDI[Contrat SYGES],TabCONTRATSDI[Cost Center])</f>
        <v>305704</v>
      </c>
      <c r="I30" t="str">
        <f>LOOKUP(TabVMAzureEnvProjet[[#This Row],[Code SYGES]],TabCONTRATSDI[Contrat SYGES],TabCONTRATSDI[Client])</f>
        <v>FRR</v>
      </c>
      <c r="J30" t="s">
        <v>128</v>
      </c>
      <c r="K30" s="31">
        <v>18.5</v>
      </c>
    </row>
    <row r="31" spans="1:11" x14ac:dyDescent="0.3">
      <c r="A31" t="str">
        <f>TabVMAzureEnvProjet[[#This Row],[Client]] &amp; " .:. "  &amp; TabVMAzureEnvProjet[[#This Row],[Projet]]</f>
        <v>ONEMA .:. AFB-BASEINDICATEURS</v>
      </c>
      <c r="B31" t="str">
        <f>IF(TabVMAzureEnvProjet[[#This Row],[Projet AzureDevOps]]&lt;&gt;"",TabVMAzureEnvProjet[[#This Row],[Projet AzureDevOps]],TabVMAzureEnvProjet[[#This Row],[VM]])</f>
        <v>AFB-BaseIndicateurs</v>
      </c>
      <c r="C31" t="s">
        <v>72</v>
      </c>
      <c r="E31" t="s">
        <v>4</v>
      </c>
      <c r="F31" t="s">
        <v>71</v>
      </c>
      <c r="G31" t="str">
        <f>LOOKUP(TabVMAzureEnvProjet[[#This Row],[Projet]],TabProjets[NomProj],TabProjets[SYGES])</f>
        <v>ONEMA/TMADCUA-15</v>
      </c>
      <c r="H31">
        <f>LOOKUP(TabVMAzureEnvProjet[[#This Row],[Code SYGES]],TabCONTRATSDI[Contrat SYGES],TabCONTRATSDI[Cost Center])</f>
        <v>305704</v>
      </c>
      <c r="I31" s="22" t="str">
        <f>LOOKUP(TabVMAzureEnvProjet[[#This Row],[Code SYGES]],TabCONTRATSDI[Contrat SYGES],TabCONTRATSDI[Client])</f>
        <v>ONEMA</v>
      </c>
      <c r="J31" t="s">
        <v>128</v>
      </c>
      <c r="K31" s="32">
        <v>1.06</v>
      </c>
    </row>
    <row r="32" spans="1:11" x14ac:dyDescent="0.3">
      <c r="A32" t="str">
        <f>TabVMAzureEnvProjet[[#This Row],[Client]] &amp; " .:. "  &amp; TabVMAzureEnvProjet[[#This Row],[Projet]]</f>
        <v>ONEMA .:. AFB-CATALOGUE</v>
      </c>
      <c r="B32" t="str">
        <f>IF(TabVMAzureEnvProjet[[#This Row],[Projet AzureDevOps]]&lt;&gt;"",TabVMAzureEnvProjet[[#This Row],[Projet AzureDevOps]],TabVMAzureEnvProjet[[#This Row],[VM]])</f>
        <v>AFB-Catalogue</v>
      </c>
      <c r="C32" t="s">
        <v>74</v>
      </c>
      <c r="E32" t="s">
        <v>4</v>
      </c>
      <c r="F32" t="s">
        <v>73</v>
      </c>
      <c r="G32" t="str">
        <f>LOOKUP(TabVMAzureEnvProjet[[#This Row],[Projet]],TabProjets[NomProj],TabProjets[SYGES])</f>
        <v>ONEMA/TMADCUA-15</v>
      </c>
      <c r="H32">
        <f>LOOKUP(TabVMAzureEnvProjet[[#This Row],[Code SYGES]],TabCONTRATSDI[Contrat SYGES],TabCONTRATSDI[Cost Center])</f>
        <v>305704</v>
      </c>
      <c r="I32" s="22" t="str">
        <f>LOOKUP(TabVMAzureEnvProjet[[#This Row],[Code SYGES]],TabCONTRATSDI[Contrat SYGES],TabCONTRATSDI[Client])</f>
        <v>ONEMA</v>
      </c>
      <c r="J32" t="s">
        <v>128</v>
      </c>
      <c r="K32" s="32">
        <v>1.61</v>
      </c>
    </row>
    <row r="33" spans="1:11" x14ac:dyDescent="0.3">
      <c r="A33" t="str">
        <f>TabVMAzureEnvProjet[[#This Row],[Client]] &amp; " .:. "  &amp; TabVMAzureEnvProjet[[#This Row],[Projet]]</f>
        <v>ONEMA .:. AFB-CDR</v>
      </c>
      <c r="B33" t="str">
        <f>IF(TabVMAzureEnvProjet[[#This Row],[Projet AzureDevOps]]&lt;&gt;"",TabVMAzureEnvProjet[[#This Row],[Projet AzureDevOps]],TabVMAzureEnvProjet[[#This Row],[VM]])</f>
        <v>AFB-CDR</v>
      </c>
      <c r="C33" t="s">
        <v>75</v>
      </c>
      <c r="E33" t="s">
        <v>4</v>
      </c>
      <c r="F33" t="s">
        <v>75</v>
      </c>
      <c r="G33" t="str">
        <f>LOOKUP(TabVMAzureEnvProjet[[#This Row],[Projet]],TabProjets[NomProj],TabProjets[SYGES])</f>
        <v>ONEMA/TMAWEB-16</v>
      </c>
      <c r="H33">
        <f>LOOKUP(TabVMAzureEnvProjet[[#This Row],[Code SYGES]],TabCONTRATSDI[Contrat SYGES],TabCONTRATSDI[Cost Center])</f>
        <v>305704</v>
      </c>
      <c r="I33" s="22" t="str">
        <f>LOOKUP(TabVMAzureEnvProjet[[#This Row],[Code SYGES]],TabCONTRATSDI[Contrat SYGES],TabCONTRATSDI[Client])</f>
        <v>ONEMA</v>
      </c>
      <c r="J33" t="s">
        <v>128</v>
      </c>
      <c r="K33" s="32">
        <v>12.6</v>
      </c>
    </row>
    <row r="34" spans="1:11" x14ac:dyDescent="0.3">
      <c r="A34" t="str">
        <f>TabVMAzureEnvProjet[[#This Row],[Client]] &amp; " .:. "  &amp; TabVMAzureEnvProjet[[#This Row],[Projet]]</f>
        <v>AFB .:. AFB-CESMIA</v>
      </c>
      <c r="B34" t="str">
        <f>IF(TabVMAzureEnvProjet[[#This Row],[Projet AzureDevOps]]&lt;&gt;"",TabVMAzureEnvProjet[[#This Row],[Projet AzureDevOps]],TabVMAzureEnvProjet[[#This Row],[VM]])</f>
        <v>AFB-CESMIA</v>
      </c>
      <c r="C34" t="s">
        <v>3</v>
      </c>
      <c r="E34" t="s">
        <v>4</v>
      </c>
      <c r="F34" t="s">
        <v>3</v>
      </c>
      <c r="G34" t="str">
        <f>LOOKUP(TabVMAzureEnvProjet[[#This Row],[Projet]],TabProjets[NomProj],TabProjets[SYGES])</f>
        <v>AFB/OFB_LOT1</v>
      </c>
      <c r="H34">
        <f>LOOKUP(TabVMAzureEnvProjet[[#This Row],[Code SYGES]],TabCONTRATSDI[Contrat SYGES],TabCONTRATSDI[Cost Center])</f>
        <v>305704</v>
      </c>
      <c r="I34" s="22" t="str">
        <f>LOOKUP(TabVMAzureEnvProjet[[#This Row],[Code SYGES]],TabCONTRATSDI[Contrat SYGES],TabCONTRATSDI[Client])</f>
        <v>AFB</v>
      </c>
      <c r="J34" t="s">
        <v>128</v>
      </c>
      <c r="K34" s="32">
        <v>6.21</v>
      </c>
    </row>
    <row r="35" spans="1:11" x14ac:dyDescent="0.3">
      <c r="A35" t="str">
        <f>TabVMAzureEnvProjet[[#This Row],[Client]] &amp; " .:. "  &amp; TabVMAzureEnvProjet[[#This Row],[Projet]]</f>
        <v>ONEMA .:. AFB-OISON</v>
      </c>
      <c r="B35" t="str">
        <f>IF(TabVMAzureEnvProjet[[#This Row],[Projet AzureDevOps]]&lt;&gt;"",TabVMAzureEnvProjet[[#This Row],[Projet AzureDevOps]],TabVMAzureEnvProjet[[#This Row],[VM]])</f>
        <v>AFB-OISON</v>
      </c>
      <c r="C35" t="s">
        <v>76</v>
      </c>
      <c r="E35" t="s">
        <v>4</v>
      </c>
      <c r="F35" t="s">
        <v>76</v>
      </c>
      <c r="G35" t="str">
        <f>LOOKUP(TabVMAzureEnvProjet[[#This Row],[Projet]],TabProjets[NomProj],TabProjets[SYGES])</f>
        <v>ONEMA/TMADCUA-15</v>
      </c>
      <c r="H35">
        <f>LOOKUP(TabVMAzureEnvProjet[[#This Row],[Code SYGES]],TabCONTRATSDI[Contrat SYGES],TabCONTRATSDI[Cost Center])</f>
        <v>305704</v>
      </c>
      <c r="I35" s="22" t="str">
        <f>LOOKUP(TabVMAzureEnvProjet[[#This Row],[Code SYGES]],TabCONTRATSDI[Contrat SYGES],TabCONTRATSDI[Client])</f>
        <v>ONEMA</v>
      </c>
      <c r="J35" t="s">
        <v>128</v>
      </c>
      <c r="K35" s="32">
        <v>2.93</v>
      </c>
    </row>
    <row r="36" spans="1:11" x14ac:dyDescent="0.3">
      <c r="A36" s="22" t="str">
        <f>TabVMAzureEnvProjet[[#This Row],[Client]] &amp; " .:. "  &amp; TabVMAzureEnvProjet[[#This Row],[Projet]]</f>
        <v>ONEMA .:. AFB-PATBIODIV</v>
      </c>
      <c r="B36" t="str">
        <f>IF(TabVMAzureEnvProjet[[#This Row],[Projet AzureDevOps]]&lt;&gt;"",TabVMAzureEnvProjet[[#This Row],[Projet AzureDevOps]],TabVMAzureEnvProjet[[#This Row],[VM]])</f>
        <v>AFB-PATBiodiv</v>
      </c>
      <c r="C36" t="s">
        <v>78</v>
      </c>
      <c r="E36" t="s">
        <v>4</v>
      </c>
      <c r="F36" t="s">
        <v>77</v>
      </c>
      <c r="G36" t="str">
        <f>LOOKUP(TabVMAzureEnvProjet[[#This Row],[Projet]],TabProjets[NomProj],TabProjets[SYGES])</f>
        <v>ONEMA/TMADCUA-15</v>
      </c>
      <c r="H36">
        <f>LOOKUP(TabVMAzureEnvProjet[[#This Row],[Code SYGES]],TabCONTRATSDI[Contrat SYGES],TabCONTRATSDI[Cost Center])</f>
        <v>305704</v>
      </c>
      <c r="I36" s="22" t="str">
        <f>LOOKUP(TabVMAzureEnvProjet[[#This Row],[Code SYGES]],TabCONTRATSDI[Contrat SYGES],TabCONTRATSDI[Client])</f>
        <v>ONEMA</v>
      </c>
      <c r="J36" t="s">
        <v>128</v>
      </c>
      <c r="K36" s="32">
        <v>7.73</v>
      </c>
    </row>
    <row r="37" spans="1:11" x14ac:dyDescent="0.3">
      <c r="A37" s="22" t="str">
        <f>TabVMAzureEnvProjet[[#This Row],[Client]] &amp; " .:. "  &amp; TabVMAzureEnvProjet[[#This Row],[Projet]]</f>
        <v>AFB .:. AFB-PNM</v>
      </c>
      <c r="B37" t="str">
        <f>IF(TabVMAzureEnvProjet[[#This Row],[Projet AzureDevOps]]&lt;&gt;"",TabVMAzureEnvProjet[[#This Row],[Projet AzureDevOps]],TabVMAzureEnvProjet[[#This Row],[VM]])</f>
        <v>AFB-PNM</v>
      </c>
      <c r="C37" t="s">
        <v>5</v>
      </c>
      <c r="E37" t="s">
        <v>4</v>
      </c>
      <c r="F37" t="s">
        <v>5</v>
      </c>
      <c r="G37" t="str">
        <f>LOOKUP(TabVMAzureEnvProjet[[#This Row],[Projet]],TabProjets[NomProj],TabProjets[SYGES])</f>
        <v>AFB/OFB_LOT2</v>
      </c>
      <c r="H37">
        <f>LOOKUP(TabVMAzureEnvProjet[[#This Row],[Code SYGES]],TabCONTRATSDI[Contrat SYGES],TabCONTRATSDI[Cost Center])</f>
        <v>305704</v>
      </c>
      <c r="I37" s="22" t="str">
        <f>LOOKUP(TabVMAzureEnvProjet[[#This Row],[Code SYGES]],TabCONTRATSDI[Contrat SYGES],TabCONTRATSDI[Client])</f>
        <v>AFB</v>
      </c>
      <c r="J37" t="s">
        <v>128</v>
      </c>
      <c r="K37" s="32">
        <v>24.98</v>
      </c>
    </row>
    <row r="38" spans="1:11" x14ac:dyDescent="0.3">
      <c r="A38" s="22" t="str">
        <f>TabVMAzureEnvProjet[[#This Row],[Client]] &amp; " .:. "  &amp; TabVMAzureEnvProjet[[#This Row],[Projet]]</f>
        <v>AFB .:. AFB-PNX</v>
      </c>
      <c r="B38" t="str">
        <f>IF(TabVMAzureEnvProjet[[#This Row],[Projet AzureDevOps]]&lt;&gt;"",TabVMAzureEnvProjet[[#This Row],[Projet AzureDevOps]],TabVMAzureEnvProjet[[#This Row],[VM]])</f>
        <v>AFB-PNX</v>
      </c>
      <c r="C38" t="s">
        <v>6</v>
      </c>
      <c r="E38" t="s">
        <v>4</v>
      </c>
      <c r="F38" t="s">
        <v>6</v>
      </c>
      <c r="G38" t="str">
        <f>LOOKUP(TabVMAzureEnvProjet[[#This Row],[Projet]],TabProjets[NomProj],TabProjets[SYGES])</f>
        <v>AFB/OFB_LOT2</v>
      </c>
      <c r="H38">
        <f>LOOKUP(TabVMAzureEnvProjet[[#This Row],[Code SYGES]],TabCONTRATSDI[Contrat SYGES],TabCONTRATSDI[Cost Center])</f>
        <v>305704</v>
      </c>
      <c r="I38" s="22" t="str">
        <f>LOOKUP(TabVMAzureEnvProjet[[#This Row],[Code SYGES]],TabCONTRATSDI[Contrat SYGES],TabCONTRATSDI[Client])</f>
        <v>AFB</v>
      </c>
      <c r="J38" t="s">
        <v>128</v>
      </c>
      <c r="K38" s="32">
        <v>4.0999999999999996</v>
      </c>
    </row>
    <row r="39" spans="1:11" x14ac:dyDescent="0.3">
      <c r="A39" s="22" t="str">
        <f>TabVMAzureEnvProjet[[#This Row],[Client]] &amp; " .:. "  &amp; TabVMAzureEnvProjet[[#This Row],[Projet]]</f>
        <v>ALM .:. ALM-ATOUT</v>
      </c>
      <c r="B39" t="str">
        <f>IF(TabVMAzureEnvProjet[[#This Row],[Projet AzureDevOps]]&lt;&gt;"",TabVMAzureEnvProjet[[#This Row],[Projet AzureDevOps]],TabVMAzureEnvProjet[[#This Row],[VM]])</f>
        <v>ALM-ATOUT</v>
      </c>
      <c r="C39" t="s">
        <v>15</v>
      </c>
      <c r="E39" t="s">
        <v>4</v>
      </c>
      <c r="F39" t="s">
        <v>15</v>
      </c>
      <c r="G39" t="str">
        <f>LOOKUP(TabVMAzureEnvProjet[[#This Row],[Projet]],TabProjets[NomProj],TabProjets[SYGES])</f>
        <v>ALM/TMA_ATOUT</v>
      </c>
      <c r="H39">
        <f>LOOKUP(TabVMAzureEnvProjet[[#This Row],[Code SYGES]],TabCONTRATSDI[Contrat SYGES],TabCONTRATSDI[Cost Center])</f>
        <v>305704</v>
      </c>
      <c r="I39" s="22" t="str">
        <f>LOOKUP(TabVMAzureEnvProjet[[#This Row],[Code SYGES]],TabCONTRATSDI[Contrat SYGES],TabCONTRATSDI[Client])</f>
        <v>ALM</v>
      </c>
      <c r="J39" t="s">
        <v>128</v>
      </c>
      <c r="K39" s="32">
        <v>4.43</v>
      </c>
    </row>
    <row r="40" spans="1:11" x14ac:dyDescent="0.3">
      <c r="A40" s="22" t="str">
        <f>TabVMAzureEnvProjet[[#This Row],[Client]] &amp; " .:. "  &amp; TabVMAzureEnvProjet[[#This Row],[Projet]]</f>
        <v>BRGM .:. BRGM-ORRM</v>
      </c>
      <c r="B40" t="str">
        <f>IF(TabVMAzureEnvProjet[[#This Row],[Projet AzureDevOps]]&lt;&gt;"",TabVMAzureEnvProjet[[#This Row],[Projet AzureDevOps]],TabVMAzureEnvProjet[[#This Row],[VM]])</f>
        <v>BRGM-ORRM</v>
      </c>
      <c r="C40" t="s">
        <v>18</v>
      </c>
      <c r="E40" t="s">
        <v>4</v>
      </c>
      <c r="F40" t="s">
        <v>18</v>
      </c>
      <c r="G40" t="str">
        <f>LOOKUP(TabVMAzureEnvProjet[[#This Row],[Projet]],TabProjets[NomProj],TabProjets[SYGES])</f>
        <v>BRGM/TMA-5-1-ORRM-LOT1</v>
      </c>
      <c r="H40">
        <f>LOOKUP(TabVMAzureEnvProjet[[#This Row],[Code SYGES]],TabCONTRATSDI[Contrat SYGES],TabCONTRATSDI[Cost Center])</f>
        <v>305704</v>
      </c>
      <c r="I40" s="22" t="str">
        <f>LOOKUP(TabVMAzureEnvProjet[[#This Row],[Code SYGES]],TabCONTRATSDI[Contrat SYGES],TabCONTRATSDI[Client])</f>
        <v>BRGM</v>
      </c>
      <c r="J40" t="s">
        <v>128</v>
      </c>
      <c r="K40" s="32">
        <v>5.37</v>
      </c>
    </row>
    <row r="41" spans="1:11" x14ac:dyDescent="0.3">
      <c r="A41" s="22" t="str">
        <f>TabVMAzureEnvProjet[[#This Row],[Client]] &amp; " .:. "  &amp; TabVMAzureEnvProjet[[#This Row],[Projet]]</f>
        <v>CNAV .:. CNAV-BI-RGCU</v>
      </c>
      <c r="B41" t="str">
        <f>IF(TabVMAzureEnvProjet[[#This Row],[Projet AzureDevOps]]&lt;&gt;"",TabVMAzureEnvProjet[[#This Row],[Projet AzureDevOps]],TabVMAzureEnvProjet[[#This Row],[VM]])</f>
        <v>CNAV-BI-RGCU</v>
      </c>
      <c r="C41" t="s">
        <v>25</v>
      </c>
      <c r="E41" t="s">
        <v>4</v>
      </c>
      <c r="F41" t="s">
        <v>25</v>
      </c>
      <c r="G41" t="str">
        <f>LOOKUP(TabVMAzureEnvProjet[[#This Row],[Projet]],TabProjets[NomProj],TabProjets[SYGES])</f>
        <v>CNAV/BI-SIRRGCU</v>
      </c>
      <c r="H41">
        <f>LOOKUP(TabVMAzureEnvProjet[[#This Row],[Code SYGES]],TabCONTRATSDI[Contrat SYGES],TabCONTRATSDI[Cost Center])</f>
        <v>305704</v>
      </c>
      <c r="I41" s="22" t="str">
        <f>LOOKUP(TabVMAzureEnvProjet[[#This Row],[Code SYGES]],TabCONTRATSDI[Contrat SYGES],TabCONTRATSDI[Client])</f>
        <v>CNAV</v>
      </c>
      <c r="J41" t="s">
        <v>128</v>
      </c>
      <c r="K41" s="32">
        <v>27.55</v>
      </c>
    </row>
    <row r="42" spans="1:11" x14ac:dyDescent="0.3">
      <c r="A42" s="22" t="str">
        <f>TabVMAzureEnvProjet[[#This Row],[Client]] &amp; " .:. "  &amp; TabVMAzureEnvProjet[[#This Row],[Projet]]</f>
        <v>GFI .:. GFI-INTERNE</v>
      </c>
      <c r="B42" t="str">
        <f>IF(TabVMAzureEnvProjet[[#This Row],[Projet AzureDevOps]]&lt;&gt;"",TabVMAzureEnvProjet[[#This Row],[Projet AzureDevOps]],TabVMAzureEnvProjet[[#This Row],[VM]])</f>
        <v>d8-qa</v>
      </c>
      <c r="C42" t="s">
        <v>37</v>
      </c>
      <c r="E42" t="s">
        <v>4</v>
      </c>
      <c r="F42" t="s">
        <v>36</v>
      </c>
      <c r="G42" t="str">
        <f>LOOKUP(TabVMAzureEnvProjet[[#This Row],[Projet]],TabProjets[NomProj],TabProjets[SYGES])</f>
        <v>GFI/PROJET_INTERNE</v>
      </c>
      <c r="H42">
        <f>LOOKUP(TabVMAzureEnvProjet[[#This Row],[Code SYGES]],TabCONTRATSDI[Contrat SYGES],TabCONTRATSDI[Cost Center])</f>
        <v>305704</v>
      </c>
      <c r="I42" s="22" t="str">
        <f>LOOKUP(TabVMAzureEnvProjet[[#This Row],[Code SYGES]],TabCONTRATSDI[Contrat SYGES],TabCONTRATSDI[Client])</f>
        <v>GFI</v>
      </c>
      <c r="J42" t="s">
        <v>128</v>
      </c>
      <c r="K42" s="32">
        <v>0.87</v>
      </c>
    </row>
    <row r="43" spans="1:11" x14ac:dyDescent="0.3">
      <c r="A43" s="22" t="str">
        <f>TabVMAzureEnvProjet[[#This Row],[Client]] &amp; " .:. "  &amp; TabVMAzureEnvProjet[[#This Row],[Projet]]</f>
        <v>GFI .:. GFI-INTERNE</v>
      </c>
      <c r="B43" t="str">
        <f>IF(TabVMAzureEnvProjet[[#This Row],[Projet AzureDevOps]]&lt;&gt;"",TabVMAzureEnvProjet[[#This Row],[Projet AzureDevOps]],TabVMAzureEnvProjet[[#This Row],[VM]])</f>
        <v>drupal-qa</v>
      </c>
      <c r="C43" t="s">
        <v>38</v>
      </c>
      <c r="E43" t="s">
        <v>4</v>
      </c>
      <c r="F43" t="s">
        <v>36</v>
      </c>
      <c r="G43" t="str">
        <f>LOOKUP(TabVMAzureEnvProjet[[#This Row],[Projet]],TabProjets[NomProj],TabProjets[SYGES])</f>
        <v>GFI/PROJET_INTERNE</v>
      </c>
      <c r="H43">
        <f>LOOKUP(TabVMAzureEnvProjet[[#This Row],[Code SYGES]],TabCONTRATSDI[Contrat SYGES],TabCONTRATSDI[Cost Center])</f>
        <v>305704</v>
      </c>
      <c r="I43" s="22" t="str">
        <f>LOOKUP(TabVMAzureEnvProjet[[#This Row],[Code SYGES]],TabCONTRATSDI[Contrat SYGES],TabCONTRATSDI[Client])</f>
        <v>GFI</v>
      </c>
      <c r="J43" t="s">
        <v>128</v>
      </c>
      <c r="K43" s="32">
        <v>0.87</v>
      </c>
    </row>
    <row r="44" spans="1:11" x14ac:dyDescent="0.3">
      <c r="A44" s="22" t="str">
        <f>TabVMAzureEnvProjet[[#This Row],[Client]] &amp; " .:. "  &amp; TabVMAzureEnvProjet[[#This Row],[Projet]]</f>
        <v>FRR .:. FRR-DIGIPAT</v>
      </c>
      <c r="B44" t="str">
        <f>IF(TabVMAzureEnvProjet[[#This Row],[Projet AzureDevOps]]&lt;&gt;"",TabVMAzureEnvProjet[[#This Row],[Projet AzureDevOps]],TabVMAzureEnvProjet[[#This Row],[VM]])</f>
        <v>FRR DIGIPAT</v>
      </c>
      <c r="C44" t="s">
        <v>28</v>
      </c>
      <c r="E44" t="s">
        <v>4</v>
      </c>
      <c r="F44" t="s">
        <v>27</v>
      </c>
      <c r="G44" t="str">
        <f>LOOKUP(TabVMAzureEnvProjet[[#This Row],[Projet]],TabProjets[NomProj],TabProjets[SYGES])</f>
        <v>FRR/TMASI</v>
      </c>
      <c r="H44">
        <f>LOOKUP(TabVMAzureEnvProjet[[#This Row],[Code SYGES]],TabCONTRATSDI[Contrat SYGES],TabCONTRATSDI[Cost Center])</f>
        <v>305704</v>
      </c>
      <c r="I44" s="22" t="str">
        <f>LOOKUP(TabVMAzureEnvProjet[[#This Row],[Code SYGES]],TabCONTRATSDI[Contrat SYGES],TabCONTRATSDI[Client])</f>
        <v>FRR</v>
      </c>
      <c r="J44" t="s">
        <v>128</v>
      </c>
      <c r="K44" s="32">
        <v>9.19</v>
      </c>
    </row>
    <row r="45" spans="1:11" x14ac:dyDescent="0.3">
      <c r="A45" s="22" t="str">
        <f>TabVMAzureEnvProjet[[#This Row],[Client]] &amp; " .:. "  &amp; TabVMAzureEnvProjet[[#This Row],[Projet]]</f>
        <v>GFI .:. GFI-INTERNE</v>
      </c>
      <c r="B45" t="str">
        <f>IF(TabVMAzureEnvProjet[[#This Row],[Projet AzureDevOps]]&lt;&gt;"",TabVMAzureEnvProjet[[#This Row],[Projet AzureDevOps]],TabVMAzureEnvProjet[[#This Row],[VM]])</f>
        <v>GFI-D8-BS4-THEME</v>
      </c>
      <c r="C45" t="s">
        <v>43</v>
      </c>
      <c r="E45" t="s">
        <v>4</v>
      </c>
      <c r="F45" t="s">
        <v>36</v>
      </c>
      <c r="G45" t="str">
        <f>LOOKUP(TabVMAzureEnvProjet[[#This Row],[Projet]],TabProjets[NomProj],TabProjets[SYGES])</f>
        <v>GFI/PROJET_INTERNE</v>
      </c>
      <c r="H45">
        <f>LOOKUP(TabVMAzureEnvProjet[[#This Row],[Code SYGES]],TabCONTRATSDI[Contrat SYGES],TabCONTRATSDI[Cost Center])</f>
        <v>305704</v>
      </c>
      <c r="I45" s="22" t="str">
        <f>LOOKUP(TabVMAzureEnvProjet[[#This Row],[Code SYGES]],TabCONTRATSDI[Contrat SYGES],TabCONTRATSDI[Client])</f>
        <v>GFI</v>
      </c>
      <c r="J45" t="s">
        <v>128</v>
      </c>
      <c r="K45" s="32">
        <v>0.87</v>
      </c>
    </row>
    <row r="46" spans="1:11" x14ac:dyDescent="0.3">
      <c r="A46" s="22" t="str">
        <f>TabVMAzureEnvProjet[[#This Row],[Client]] &amp; " .:. "  &amp; TabVMAzureEnvProjet[[#This Row],[Projet]]</f>
        <v>GFI .:. GFI-INTERNE</v>
      </c>
      <c r="B46" t="str">
        <f>IF(TabVMAzureEnvProjet[[#This Row],[Projet AzureDevOps]]&lt;&gt;"",TabVMAzureEnvProjet[[#This Row],[Projet AzureDevOps]],TabVMAzureEnvProjet[[#This Row],[VM]])</f>
        <v>GFI-MineReport</v>
      </c>
      <c r="C46" t="s">
        <v>46</v>
      </c>
      <c r="E46" t="s">
        <v>4</v>
      </c>
      <c r="F46" t="s">
        <v>36</v>
      </c>
      <c r="G46" t="str">
        <f>LOOKUP(TabVMAzureEnvProjet[[#This Row],[Projet]],TabProjets[NomProj],TabProjets[SYGES])</f>
        <v>GFI/PROJET_INTERNE</v>
      </c>
      <c r="H46">
        <f>LOOKUP(TabVMAzureEnvProjet[[#This Row],[Code SYGES]],TabCONTRATSDI[Contrat SYGES],TabCONTRATSDI[Cost Center])</f>
        <v>305704</v>
      </c>
      <c r="I46" s="22" t="str">
        <f>LOOKUP(TabVMAzureEnvProjet[[#This Row],[Code SYGES]],TabCONTRATSDI[Contrat SYGES],TabCONTRATSDI[Client])</f>
        <v>GFI</v>
      </c>
      <c r="J46" t="s">
        <v>128</v>
      </c>
      <c r="K46" s="32">
        <v>1.44</v>
      </c>
    </row>
    <row r="47" spans="1:11" x14ac:dyDescent="0.3">
      <c r="A47" s="22" t="str">
        <f>TabVMAzureEnvProjet[[#This Row],[Client]] &amp; " .:. "  &amp; TabVMAzureEnvProjet[[#This Row],[Projet]]</f>
        <v>GLI .:. GLI-APIBIOMETRIE</v>
      </c>
      <c r="B47" t="str">
        <f>IF(TabVMAzureEnvProjet[[#This Row],[Projet AzureDevOps]]&lt;&gt;"",TabVMAzureEnvProjet[[#This Row],[Projet AzureDevOps]],TabVMAzureEnvProjet[[#This Row],[VM]])</f>
        <v>GLI-APIBiometrie</v>
      </c>
      <c r="C47" t="s">
        <v>56</v>
      </c>
      <c r="E47" t="s">
        <v>4</v>
      </c>
      <c r="F47" t="s">
        <v>55</v>
      </c>
      <c r="G47" t="str">
        <f>LOOKUP(TabVMAzureEnvProjet[[#This Row],[Projet]],TabProjets[NomProj],TabProjets[SYGES])</f>
        <v>GLI/BIOMETRIE</v>
      </c>
      <c r="H47">
        <f>LOOKUP(TabVMAzureEnvProjet[[#This Row],[Code SYGES]],TabCONTRATSDI[Contrat SYGES],TabCONTRATSDI[Cost Center])</f>
        <v>305704</v>
      </c>
      <c r="I47" s="22" t="str">
        <f>LOOKUP(TabVMAzureEnvProjet[[#This Row],[Code SYGES]],TabCONTRATSDI[Contrat SYGES],TabCONTRATSDI[Client])</f>
        <v>GLI</v>
      </c>
      <c r="J47" t="s">
        <v>128</v>
      </c>
      <c r="K47" s="32">
        <v>19.850000000000001</v>
      </c>
    </row>
    <row r="48" spans="1:11" x14ac:dyDescent="0.3">
      <c r="A48" s="22" t="str">
        <f>TabVMAzureEnvProjet[[#This Row],[Client]] &amp; " .:. "  &amp; TabVMAzureEnvProjet[[#This Row],[Projet]]</f>
        <v>MENESR .:. MENJ-APAE</v>
      </c>
      <c r="B48" t="str">
        <f>IF(TabVMAzureEnvProjet[[#This Row],[Projet AzureDevOps]]&lt;&gt;"",TabVMAzureEnvProjet[[#This Row],[Projet AzureDevOps]],TabVMAzureEnvProjet[[#This Row],[VM]])</f>
        <v>MENJ-APAE</v>
      </c>
      <c r="C48" t="s">
        <v>58</v>
      </c>
      <c r="E48" t="s">
        <v>4</v>
      </c>
      <c r="F48" t="s">
        <v>58</v>
      </c>
      <c r="G48" t="str">
        <f>LOOKUP(TabVMAzureEnvProjet[[#This Row],[Projet]],TabProjets[NomProj],TabProjets[SYGES])</f>
        <v>MENESR/TMA</v>
      </c>
      <c r="H48">
        <f>LOOKUP(TabVMAzureEnvProjet[[#This Row],[Code SYGES]],TabCONTRATSDI[Contrat SYGES],TabCONTRATSDI[Cost Center])</f>
        <v>305704</v>
      </c>
      <c r="I48" s="22" t="str">
        <f>LOOKUP(TabVMAzureEnvProjet[[#This Row],[Code SYGES]],TabCONTRATSDI[Contrat SYGES],TabCONTRATSDI[Client])</f>
        <v>MENESR</v>
      </c>
      <c r="J48" t="s">
        <v>128</v>
      </c>
      <c r="K48" s="32">
        <v>1.52</v>
      </c>
    </row>
    <row r="49" spans="1:12" x14ac:dyDescent="0.3">
      <c r="A49" s="22" t="str">
        <f>TabVMAzureEnvProjet[[#This Row],[Client]] &amp; " .:. "  &amp; TabVMAzureEnvProjet[[#This Row],[Projet]]</f>
        <v>MENESR .:. MENJ-BNIE</v>
      </c>
      <c r="B49" t="str">
        <f>IF(TabVMAzureEnvProjet[[#This Row],[Projet AzureDevOps]]&lt;&gt;"",TabVMAzureEnvProjet[[#This Row],[Projet AzureDevOps]],TabVMAzureEnvProjet[[#This Row],[VM]])</f>
        <v>MENJ-BNIE-BDD</v>
      </c>
      <c r="C49" t="s">
        <v>60</v>
      </c>
      <c r="E49" t="s">
        <v>4</v>
      </c>
      <c r="F49" t="s">
        <v>59</v>
      </c>
      <c r="G49" t="str">
        <f>LOOKUP(TabVMAzureEnvProjet[[#This Row],[Projet]],TabProjets[NomProj],TabProjets[SYGES])</f>
        <v>MENESR/TMA</v>
      </c>
      <c r="H49">
        <f>LOOKUP(TabVMAzureEnvProjet[[#This Row],[Code SYGES]],TabCONTRATSDI[Contrat SYGES],TabCONTRATSDI[Cost Center])</f>
        <v>305704</v>
      </c>
      <c r="I49" s="22" t="str">
        <f>LOOKUP(TabVMAzureEnvProjet[[#This Row],[Code SYGES]],TabCONTRATSDI[Contrat SYGES],TabCONTRATSDI[Client])</f>
        <v>MENESR</v>
      </c>
      <c r="J49" t="s">
        <v>128</v>
      </c>
      <c r="K49" s="32">
        <v>1.52</v>
      </c>
    </row>
    <row r="50" spans="1:12" x14ac:dyDescent="0.3">
      <c r="A50" s="22" t="str">
        <f>TabVMAzureEnvProjet[[#This Row],[Client]] &amp; " .:. "  &amp; TabVMAzureEnvProjet[[#This Row],[Projet]]</f>
        <v>MENESR .:. MENJ-RNIE</v>
      </c>
      <c r="B50" t="str">
        <f>IF(TabVMAzureEnvProjet[[#This Row],[Projet AzureDevOps]]&lt;&gt;"",TabVMAzureEnvProjet[[#This Row],[Projet AzureDevOps]],TabVMAzureEnvProjet[[#This Row],[VM]])</f>
        <v>MENJ-RNIE-BDD</v>
      </c>
      <c r="C50" t="s">
        <v>63</v>
      </c>
      <c r="E50" t="s">
        <v>4</v>
      </c>
      <c r="F50" t="s">
        <v>62</v>
      </c>
      <c r="G50" t="str">
        <f>LOOKUP(TabVMAzureEnvProjet[[#This Row],[Projet]],TabProjets[NomProj],TabProjets[SYGES])</f>
        <v>MENESR/TMA</v>
      </c>
      <c r="H50">
        <f>LOOKUP(TabVMAzureEnvProjet[[#This Row],[Code SYGES]],TabCONTRATSDI[Contrat SYGES],TabCONTRATSDI[Cost Center])</f>
        <v>305704</v>
      </c>
      <c r="I50" s="22" t="str">
        <f>LOOKUP(TabVMAzureEnvProjet[[#This Row],[Code SYGES]],TabCONTRATSDI[Contrat SYGES],TabCONTRATSDI[Client])</f>
        <v>MENESR</v>
      </c>
      <c r="J50" t="s">
        <v>128</v>
      </c>
      <c r="K50" s="32">
        <v>1.52</v>
      </c>
    </row>
    <row r="51" spans="1:12" x14ac:dyDescent="0.3">
      <c r="A51" s="22" t="str">
        <f>TabVMAzureEnvProjet[[#This Row],[Client]] &amp; " .:. "  &amp; TabVMAzureEnvProjet[[#This Row],[Projet]]</f>
        <v>MENESR .:. MENJ-RNIE</v>
      </c>
      <c r="B51" t="str">
        <f>IF(TabVMAzureEnvProjet[[#This Row],[Projet AzureDevOps]]&lt;&gt;"",TabVMAzureEnvProjet[[#This Row],[Projet AzureDevOps]],TabVMAzureEnvProjet[[#This Row],[VM]])</f>
        <v>MENJ-RNIE-Webservices</v>
      </c>
      <c r="C51" t="s">
        <v>64</v>
      </c>
      <c r="E51" t="s">
        <v>4</v>
      </c>
      <c r="F51" t="s">
        <v>62</v>
      </c>
      <c r="G51" t="str">
        <f>LOOKUP(TabVMAzureEnvProjet[[#This Row],[Projet]],TabProjets[NomProj],TabProjets[SYGES])</f>
        <v>MENESR/TMA</v>
      </c>
      <c r="H51">
        <f>LOOKUP(TabVMAzureEnvProjet[[#This Row],[Code SYGES]],TabCONTRATSDI[Contrat SYGES],TabCONTRATSDI[Cost Center])</f>
        <v>305704</v>
      </c>
      <c r="I51" s="22" t="str">
        <f>LOOKUP(TabVMAzureEnvProjet[[#This Row],[Code SYGES]],TabCONTRATSDI[Contrat SYGES],TabCONTRATSDI[Client])</f>
        <v>MENESR</v>
      </c>
      <c r="J51" t="s">
        <v>128</v>
      </c>
      <c r="K51" s="32">
        <v>1.52</v>
      </c>
    </row>
    <row r="52" spans="1:12" x14ac:dyDescent="0.3">
      <c r="A52" s="22" t="str">
        <f>TabVMAzureEnvProjet[[#This Row],[Client]] &amp; " .:. "  &amp; TabVMAzureEnvProjet[[#This Row],[Projet]]</f>
        <v>PCM .:. PCM-ALS</v>
      </c>
      <c r="B52" t="str">
        <f>IF(TabVMAzureEnvProjet[[#This Row],[Projet AzureDevOps]]&lt;&gt;"",TabVMAzureEnvProjet[[#This Row],[Projet AzureDevOps]],TabVMAzureEnvProjet[[#This Row],[VM]])</f>
        <v>PCM-ALS</v>
      </c>
      <c r="C52" t="s">
        <v>85</v>
      </c>
      <c r="E52" t="s">
        <v>4</v>
      </c>
      <c r="F52" t="s">
        <v>85</v>
      </c>
      <c r="G52" t="str">
        <f>LOOKUP(TabVMAzureEnvProjet[[#This Row],[Projet]],TabProjets[NomProj],TabProjets[SYGES])</f>
        <v>PCM/WEB</v>
      </c>
      <c r="H52">
        <f>LOOKUP(TabVMAzureEnvProjet[[#This Row],[Code SYGES]],TabCONTRATSDI[Contrat SYGES],TabCONTRATSDI[Cost Center])</f>
        <v>305704</v>
      </c>
      <c r="I52" s="22" t="str">
        <f>LOOKUP(TabVMAzureEnvProjet[[#This Row],[Code SYGES]],TabCONTRATSDI[Contrat SYGES],TabCONTRATSDI[Client])</f>
        <v>PCM</v>
      </c>
      <c r="J52" t="s">
        <v>128</v>
      </c>
      <c r="K52" s="32">
        <v>10.31</v>
      </c>
    </row>
    <row r="53" spans="1:12" x14ac:dyDescent="0.3">
      <c r="A53" s="22" t="str">
        <f>TabVMAzureEnvProjet[[#This Row],[Client]] &amp; " .:. "  &amp; TabVMAzureEnvProjet[[#This Row],[Projet]]</f>
        <v>PCM .:. PCM-WEB</v>
      </c>
      <c r="B53" t="str">
        <f>IF(TabVMAzureEnvProjet[[#This Row],[Projet AzureDevOps]]&lt;&gt;"",TabVMAzureEnvProjet[[#This Row],[Projet AzureDevOps]],TabVMAzureEnvProjet[[#This Row],[VM]])</f>
        <v>PCM-Web</v>
      </c>
      <c r="C53" t="s">
        <v>87</v>
      </c>
      <c r="E53" t="s">
        <v>4</v>
      </c>
      <c r="F53" t="s">
        <v>86</v>
      </c>
      <c r="G53" t="str">
        <f>LOOKUP(TabVMAzureEnvProjet[[#This Row],[Projet]],TabProjets[NomProj],TabProjets[SYGES])</f>
        <v>PCM/WEB</v>
      </c>
      <c r="H53">
        <f>LOOKUP(TabVMAzureEnvProjet[[#This Row],[Code SYGES]],TabCONTRATSDI[Contrat SYGES],TabCONTRATSDI[Cost Center])</f>
        <v>305704</v>
      </c>
      <c r="I53" s="22" t="str">
        <f>LOOKUP(TabVMAzureEnvProjet[[#This Row],[Code SYGES]],TabCONTRATSDI[Contrat SYGES],TabCONTRATSDI[Client])</f>
        <v>PCM</v>
      </c>
      <c r="J53" t="s">
        <v>128</v>
      </c>
      <c r="K53" s="32">
        <v>3.81</v>
      </c>
    </row>
    <row r="54" spans="1:12" x14ac:dyDescent="0.3">
      <c r="A54" s="22" t="str">
        <f>TabVMAzureEnvProjet[[#This Row],[Client]] &amp; " .:. "  &amp; TabVMAzureEnvProjet[[#This Row],[Projet]]</f>
        <v>SPC .:. SPC-BUILD</v>
      </c>
      <c r="B54" t="str">
        <f>IF(TabVMAzureEnvProjet[[#This Row],[Projet AzureDevOps]]&lt;&gt;"",TabVMAzureEnvProjet[[#This Row],[Projet AzureDevOps]],TabVMAzureEnvProjet[[#This Row],[VM]])</f>
        <v>SPC-BUILD</v>
      </c>
      <c r="C54" t="s">
        <v>81</v>
      </c>
      <c r="E54" t="s">
        <v>4</v>
      </c>
      <c r="F54" t="s">
        <v>81</v>
      </c>
      <c r="G54" t="str">
        <f>LOOKUP(TabVMAzureEnvProjet[[#This Row],[Projet]],TabProjets[NomProj],TabProjets[SYGES])</f>
        <v>SPC/BUILD</v>
      </c>
      <c r="H54">
        <f>LOOKUP(TabVMAzureEnvProjet[[#This Row],[Code SYGES]],TabCONTRATSDI[Contrat SYGES],TabCONTRATSDI[Cost Center])</f>
        <v>305704</v>
      </c>
      <c r="I54" s="22" t="str">
        <f>LOOKUP(TabVMAzureEnvProjet[[#This Row],[Code SYGES]],TabCONTRATSDI[Contrat SYGES],TabCONTRATSDI[Client])</f>
        <v>SPC</v>
      </c>
      <c r="J54" t="s">
        <v>128</v>
      </c>
      <c r="K54" s="32">
        <v>24.22</v>
      </c>
    </row>
    <row r="55" spans="1:12" x14ac:dyDescent="0.3">
      <c r="A55" s="22" t="str">
        <f>TabVMAzureEnvProjet[[#This Row],[Client]] &amp; " .:. "  &amp; TabVMAzureEnvProjet[[#This Row],[Projet]]</f>
        <v>SPC .:. SPC-WEB</v>
      </c>
      <c r="B55" t="str">
        <f>IF(TabVMAzureEnvProjet[[#This Row],[Projet AzureDevOps]]&lt;&gt;"",TabVMAzureEnvProjet[[#This Row],[Projet AzureDevOps]],TabVMAzureEnvProjet[[#This Row],[VM]])</f>
        <v>SPC-WEB</v>
      </c>
      <c r="C55" t="s">
        <v>83</v>
      </c>
      <c r="E55" t="s">
        <v>4</v>
      </c>
      <c r="F55" t="s">
        <v>83</v>
      </c>
      <c r="G55" t="str">
        <f>LOOKUP(TabVMAzureEnvProjet[[#This Row],[Projet]],TabProjets[NomProj],TabProjets[SYGES])</f>
        <v>SPC/BUILD-0-1-SITE-WEB</v>
      </c>
      <c r="H55">
        <f>LOOKUP(TabVMAzureEnvProjet[[#This Row],[Code SYGES]],TabCONTRATSDI[Contrat SYGES],TabCONTRATSDI[Cost Center])</f>
        <v>305704</v>
      </c>
      <c r="I55" s="22" t="str">
        <f>LOOKUP(TabVMAzureEnvProjet[[#This Row],[Code SYGES]],TabCONTRATSDI[Contrat SYGES],TabCONTRATSDI[Client])</f>
        <v>SPC</v>
      </c>
      <c r="J55" t="s">
        <v>128</v>
      </c>
      <c r="K55" s="32">
        <v>3.46</v>
      </c>
    </row>
    <row r="56" spans="1:12" x14ac:dyDescent="0.3">
      <c r="A56" t="str">
        <f>TabVMAzureEnvProjet[[#This Row],[Client]] &amp; " .:. "  &amp; TabVMAzureEnvProjet[[#This Row],[Projet]]</f>
        <v>CA-TITRES .:. CATITRES-COMX</v>
      </c>
      <c r="B56" t="str">
        <f>IF(TabVMAzureEnvProjet[[#This Row],[Projet AzureDevOps]]&lt;&gt;"",TabVMAzureEnvProjet[[#This Row],[Projet AzureDevOps]],TabVMAzureEnvProjet[[#This Row],[VM]])</f>
        <v>CATITRES-COMX-VM</v>
      </c>
      <c r="D56" t="s">
        <v>23</v>
      </c>
      <c r="E56" t="s">
        <v>129</v>
      </c>
      <c r="F56" t="s">
        <v>22</v>
      </c>
      <c r="G56" t="str">
        <f>LOOKUP(TabVMAzureEnvProjet[[#This Row],[Projet]],TabProjets[NomProj],TabProjets[SYGES])</f>
        <v>CA-TITRES/TMA</v>
      </c>
      <c r="H56">
        <f>LOOKUP(TabVMAzureEnvProjet[[#This Row],[Code SYGES]],TabCONTRATSDI[Contrat SYGES],TabCONTRATSDI[Cost Center])</f>
        <v>305704</v>
      </c>
      <c r="I56" t="str">
        <f>LOOKUP(TabVMAzureEnvProjet[[#This Row],[Code SYGES]],TabCONTRATSDI[Contrat SYGES],TabCONTRATSDI[Client])</f>
        <v>CA-TITRES</v>
      </c>
      <c r="J56" t="s">
        <v>130</v>
      </c>
      <c r="K56" s="31">
        <v>0</v>
      </c>
      <c r="L56" s="39" t="s">
        <v>131</v>
      </c>
    </row>
    <row r="57" spans="1:12" x14ac:dyDescent="0.3">
      <c r="A57" t="str">
        <f>TabVMAzureEnvProjet[[#This Row],[Client]] &amp; " .:. "  &amp; TabVMAzureEnvProjet[[#This Row],[Projet]]</f>
        <v>ALM .:. ALM-ATOUT</v>
      </c>
      <c r="B57" t="str">
        <f>IF(TabVMAzureEnvProjet[[#This Row],[Projet AzureDevOps]]&lt;&gt;"",TabVMAzureEnvProjet[[#This Row],[Projet AzureDevOps]],TabVMAzureEnvProjet[[#This Row],[VM]])</f>
        <v>ALM-ATOUT-VM</v>
      </c>
      <c r="D57" t="s">
        <v>16</v>
      </c>
      <c r="E57" t="s">
        <v>129</v>
      </c>
      <c r="F57" t="s">
        <v>15</v>
      </c>
      <c r="G57" t="str">
        <f>LOOKUP(TabVMAzureEnvProjet[[#This Row],[Projet]],TabProjets[NomProj],TabProjets[SYGES])</f>
        <v>ALM/TMA_ATOUT</v>
      </c>
      <c r="H57">
        <f>LOOKUP(TabVMAzureEnvProjet[[#This Row],[Code SYGES]],TabCONTRATSDI[Contrat SYGES],TabCONTRATSDI[Cost Center])</f>
        <v>305704</v>
      </c>
      <c r="I57" t="str">
        <f>LOOKUP(TabVMAzureEnvProjet[[#This Row],[Code SYGES]],TabCONTRATSDI[Contrat SYGES],TabCONTRATSDI[Client])</f>
        <v>ALM</v>
      </c>
      <c r="J57" t="s">
        <v>130</v>
      </c>
      <c r="K57" s="31">
        <v>0</v>
      </c>
      <c r="L57" s="39" t="s">
        <v>131</v>
      </c>
    </row>
    <row r="58" spans="1:12" x14ac:dyDescent="0.3">
      <c r="A58" s="22" t="str">
        <f>TabVMAzureEnvProjet[[#This Row],[Client]] &amp; " .:. "  &amp; TabVMAzureEnvProjet[[#This Row],[Projet]]</f>
        <v>BRGM .:. BRGM-ORRM</v>
      </c>
      <c r="B58" s="22" t="str">
        <f>IF(TabVMAzureEnvProjet[[#This Row],[Projet AzureDevOps]]&lt;&gt;"",TabVMAzureEnvProjet[[#This Row],[Projet AzureDevOps]],TabVMAzureEnvProjet[[#This Row],[VM]])</f>
        <v>BRGM-ORRM-VM</v>
      </c>
      <c r="D58" t="s">
        <v>20</v>
      </c>
      <c r="E58" t="s">
        <v>129</v>
      </c>
      <c r="F58" t="s">
        <v>18</v>
      </c>
      <c r="G58" t="str">
        <f>LOOKUP(TabVMAzureEnvProjet[[#This Row],[Projet]],TabProjets[NomProj],TabProjets[SYGES])</f>
        <v>BRGM/TMA-5-1-ORRM-LOT1</v>
      </c>
      <c r="H58">
        <f>LOOKUP(TabVMAzureEnvProjet[[#This Row],[Code SYGES]],TabCONTRATSDI[Contrat SYGES],TabCONTRATSDI[Cost Center])</f>
        <v>305704</v>
      </c>
      <c r="I58" s="22" t="str">
        <f>LOOKUP(TabVMAzureEnvProjet[[#This Row],[Code SYGES]],TabCONTRATSDI[Contrat SYGES],TabCONTRATSDI[Client])</f>
        <v>BRGM</v>
      </c>
      <c r="J58" t="s">
        <v>130</v>
      </c>
      <c r="K58" s="31">
        <v>0</v>
      </c>
      <c r="L58" s="39" t="s">
        <v>131</v>
      </c>
    </row>
    <row r="59" spans="1:12" x14ac:dyDescent="0.3">
      <c r="A59" s="22" t="str">
        <f>TabVMAzureEnvProjet[[#This Row],[Client]] &amp; " .:. "  &amp; TabVMAzureEnvProjet[[#This Row],[Projet]]</f>
        <v>EBR .:. EBR-LAPOSTE</v>
      </c>
      <c r="B59" s="22" t="str">
        <f>IF(TabVMAzureEnvProjet[[#This Row],[Projet AzureDevOps]]&lt;&gt;"",TabVMAzureEnvProjet[[#This Row],[Projet AzureDevOps]],TabVMAzureEnvProjet[[#This Row],[VM]])</f>
        <v>EBR-LAPOSTE-VM</v>
      </c>
      <c r="D59" t="s">
        <v>90</v>
      </c>
      <c r="E59" t="s">
        <v>129</v>
      </c>
      <c r="F59" t="s">
        <v>89</v>
      </c>
      <c r="G59" t="str">
        <f>LOOKUP(TabVMAzureEnvProjet[[#This Row],[Projet]],TabProjets[NomProj],TabProjets[SYGES])</f>
        <v>EBR/TMA</v>
      </c>
      <c r="H59">
        <f>LOOKUP(TabVMAzureEnvProjet[[#This Row],[Code SYGES]],TabCONTRATSDI[Contrat SYGES],TabCONTRATSDI[Cost Center])</f>
        <v>305704</v>
      </c>
      <c r="I59" s="22" t="str">
        <f>LOOKUP(TabVMAzureEnvProjet[[#This Row],[Code SYGES]],TabCONTRATSDI[Contrat SYGES],TabCONTRATSDI[Client])</f>
        <v>EBR</v>
      </c>
      <c r="J59" t="s">
        <v>130</v>
      </c>
      <c r="K59" s="31">
        <v>0</v>
      </c>
      <c r="L59" s="39" t="s">
        <v>131</v>
      </c>
    </row>
    <row r="60" spans="1:12" x14ac:dyDescent="0.3">
      <c r="A60" s="22" t="str">
        <f>TabVMAzureEnvProjet[[#This Row],[Client]] &amp; " .:. "  &amp; TabVMAzureEnvProjet[[#This Row],[Projet]]</f>
        <v>ONEMA .:. AFB-PATBIODIV</v>
      </c>
      <c r="B60" s="22" t="str">
        <f>IF(TabVMAzureEnvProjet[[#This Row],[Projet AzureDevOps]]&lt;&gt;"",TabVMAzureEnvProjet[[#This Row],[Projet AzureDevOps]],TabVMAzureEnvProjet[[#This Row],[VM]])</f>
        <v>AFB-PATBiodiv</v>
      </c>
      <c r="C60" t="s">
        <v>78</v>
      </c>
      <c r="E60" t="s">
        <v>4</v>
      </c>
      <c r="F60" t="s">
        <v>77</v>
      </c>
      <c r="G60" t="str">
        <f>LOOKUP(TabVMAzureEnvProjet[[#This Row],[Projet]],TabProjets[NomProj],TabProjets[SYGES])</f>
        <v>ONEMA/TMADCUA-15</v>
      </c>
      <c r="H60">
        <f>LOOKUP(TabVMAzureEnvProjet[[#This Row],[Code SYGES]],TabCONTRATSDI[Contrat SYGES],TabCONTRATSDI[Cost Center])</f>
        <v>305704</v>
      </c>
      <c r="I60" s="22" t="str">
        <f>LOOKUP(TabVMAzureEnvProjet[[#This Row],[Code SYGES]],TabCONTRATSDI[Contrat SYGES],TabCONTRATSDI[Client])</f>
        <v>ONEMA</v>
      </c>
      <c r="J60" t="s">
        <v>130</v>
      </c>
      <c r="K60" s="31">
        <v>7.1631351389652504</v>
      </c>
    </row>
    <row r="61" spans="1:12" x14ac:dyDescent="0.3">
      <c r="A61" s="22" t="str">
        <f>TabVMAzureEnvProjet[[#This Row],[Client]] &amp; " .:. "  &amp; TabVMAzureEnvProjet[[#This Row],[Projet]]</f>
        <v>ONEMA .:. AFB-CATALOGUE</v>
      </c>
      <c r="B61" s="22" t="str">
        <f>IF(TabVMAzureEnvProjet[[#This Row],[Projet AzureDevOps]]&lt;&gt;"",TabVMAzureEnvProjet[[#This Row],[Projet AzureDevOps]],TabVMAzureEnvProjet[[#This Row],[VM]])</f>
        <v>AFB-Catalogue</v>
      </c>
      <c r="C61" t="s">
        <v>74</v>
      </c>
      <c r="E61" t="s">
        <v>4</v>
      </c>
      <c r="F61" t="s">
        <v>73</v>
      </c>
      <c r="G61" t="str">
        <f>LOOKUP(TabVMAzureEnvProjet[[#This Row],[Projet]],TabProjets[NomProj],TabProjets[SYGES])</f>
        <v>ONEMA/TMADCUA-15</v>
      </c>
      <c r="H61">
        <f>LOOKUP(TabVMAzureEnvProjet[[#This Row],[Code SYGES]],TabCONTRATSDI[Contrat SYGES],TabCONTRATSDI[Cost Center])</f>
        <v>305704</v>
      </c>
      <c r="I61" s="22" t="str">
        <f>LOOKUP(TabVMAzureEnvProjet[[#This Row],[Code SYGES]],TabCONTRATSDI[Contrat SYGES],TabCONTRATSDI[Client])</f>
        <v>ONEMA</v>
      </c>
      <c r="J61" t="s">
        <v>130</v>
      </c>
      <c r="K61" s="31">
        <v>1.6207390336679537</v>
      </c>
    </row>
    <row r="62" spans="1:12" x14ac:dyDescent="0.3">
      <c r="A62" s="22" t="str">
        <f>TabVMAzureEnvProjet[[#This Row],[Client]] &amp; " .:. "  &amp; TabVMAzureEnvProjet[[#This Row],[Projet]]</f>
        <v>SPC .:. SPC-WEB</v>
      </c>
      <c r="B62" s="22" t="str">
        <f>IF(TabVMAzureEnvProjet[[#This Row],[Projet AzureDevOps]]&lt;&gt;"",TabVMAzureEnvProjet[[#This Row],[Projet AzureDevOps]],TabVMAzureEnvProjet[[#This Row],[VM]])</f>
        <v>SPC-WEB</v>
      </c>
      <c r="C62" t="s">
        <v>83</v>
      </c>
      <c r="E62" t="s">
        <v>4</v>
      </c>
      <c r="F62" t="s">
        <v>83</v>
      </c>
      <c r="G62" t="str">
        <f>LOOKUP(TabVMAzureEnvProjet[[#This Row],[Projet]],TabProjets[NomProj],TabProjets[SYGES])</f>
        <v>SPC/BUILD-0-1-SITE-WEB</v>
      </c>
      <c r="H62">
        <f>LOOKUP(TabVMAzureEnvProjet[[#This Row],[Code SYGES]],TabCONTRATSDI[Contrat SYGES],TabCONTRATSDI[Cost Center])</f>
        <v>305704</v>
      </c>
      <c r="I62" s="22" t="str">
        <f>LOOKUP(TabVMAzureEnvProjet[[#This Row],[Code SYGES]],TabCONTRATSDI[Contrat SYGES],TabCONTRATSDI[Client])</f>
        <v>SPC</v>
      </c>
      <c r="J62" t="s">
        <v>130</v>
      </c>
      <c r="K62" s="31">
        <v>4.4105357309652504</v>
      </c>
    </row>
    <row r="63" spans="1:12" x14ac:dyDescent="0.3">
      <c r="A63" s="22" t="str">
        <f>TabVMAzureEnvProjet[[#This Row],[Client]] &amp; " .:. "  &amp; TabVMAzureEnvProjet[[#This Row],[Projet]]</f>
        <v>CNAV .:. CNAV-BI-RGCU</v>
      </c>
      <c r="B63" s="22" t="str">
        <f>IF(TabVMAzureEnvProjet[[#This Row],[Projet AzureDevOps]]&lt;&gt;"",TabVMAzureEnvProjet[[#This Row],[Projet AzureDevOps]],TabVMAzureEnvProjet[[#This Row],[VM]])</f>
        <v>CNAV-BI-RGCU</v>
      </c>
      <c r="C63" t="s">
        <v>25</v>
      </c>
      <c r="E63" t="s">
        <v>4</v>
      </c>
      <c r="F63" t="s">
        <v>25</v>
      </c>
      <c r="G63" t="str">
        <f>LOOKUP(TabVMAzureEnvProjet[[#This Row],[Projet]],TabProjets[NomProj],TabProjets[SYGES])</f>
        <v>CNAV/BI-SIRRGCU</v>
      </c>
      <c r="H63">
        <f>LOOKUP(TabVMAzureEnvProjet[[#This Row],[Code SYGES]],TabCONTRATSDI[Contrat SYGES],TabCONTRATSDI[Cost Center])</f>
        <v>305704</v>
      </c>
      <c r="I63" s="22" t="str">
        <f>LOOKUP(TabVMAzureEnvProjet[[#This Row],[Code SYGES]],TabCONTRATSDI[Contrat SYGES],TabCONTRATSDI[Client])</f>
        <v>CNAV</v>
      </c>
      <c r="J63" t="s">
        <v>130</v>
      </c>
      <c r="K63" s="31">
        <v>27.52599408</v>
      </c>
    </row>
    <row r="64" spans="1:12" x14ac:dyDescent="0.3">
      <c r="A64" s="22" t="str">
        <f>TabVMAzureEnvProjet[[#This Row],[Client]] &amp; " .:. "  &amp; TabVMAzureEnvProjet[[#This Row],[Projet]]</f>
        <v>SPC .:. SPC-BUILD</v>
      </c>
      <c r="B64" s="22" t="str">
        <f>IF(TabVMAzureEnvProjet[[#This Row],[Projet AzureDevOps]]&lt;&gt;"",TabVMAzureEnvProjet[[#This Row],[Projet AzureDevOps]],TabVMAzureEnvProjet[[#This Row],[VM]])</f>
        <v>SPC-BUILD</v>
      </c>
      <c r="C64" t="s">
        <v>81</v>
      </c>
      <c r="E64" t="s">
        <v>4</v>
      </c>
      <c r="F64" t="s">
        <v>81</v>
      </c>
      <c r="G64" t="str">
        <f>LOOKUP(TabVMAzureEnvProjet[[#This Row],[Projet]],TabProjets[NomProj],TabProjets[SYGES])</f>
        <v>SPC/BUILD</v>
      </c>
      <c r="H64">
        <f>LOOKUP(TabVMAzureEnvProjet[[#This Row],[Code SYGES]],TabCONTRATSDI[Contrat SYGES],TabCONTRATSDI[Cost Center])</f>
        <v>305704</v>
      </c>
      <c r="I64" s="22" t="str">
        <f>LOOKUP(TabVMAzureEnvProjet[[#This Row],[Code SYGES]],TabCONTRATSDI[Contrat SYGES],TabCONTRATSDI[Client])</f>
        <v>SPC</v>
      </c>
      <c r="J64" t="s">
        <v>130</v>
      </c>
      <c r="K64" s="31">
        <v>28.567518180324324</v>
      </c>
    </row>
    <row r="65" spans="1:11" x14ac:dyDescent="0.3">
      <c r="A65" s="22" t="str">
        <f>TabVMAzureEnvProjet[[#This Row],[Client]] &amp; " .:. "  &amp; TabVMAzureEnvProjet[[#This Row],[Projet]]</f>
        <v>ONEMA .:. AFB-OISON</v>
      </c>
      <c r="B65" s="22" t="str">
        <f>IF(TabVMAzureEnvProjet[[#This Row],[Projet AzureDevOps]]&lt;&gt;"",TabVMAzureEnvProjet[[#This Row],[Projet AzureDevOps]],TabVMAzureEnvProjet[[#This Row],[VM]])</f>
        <v>AFB-OISON</v>
      </c>
      <c r="C65" t="s">
        <v>76</v>
      </c>
      <c r="E65" t="s">
        <v>4</v>
      </c>
      <c r="F65" t="s">
        <v>76</v>
      </c>
      <c r="G65" t="str">
        <f>LOOKUP(TabVMAzureEnvProjet[[#This Row],[Projet]],TabProjets[NomProj],TabProjets[SYGES])</f>
        <v>ONEMA/TMADCUA-15</v>
      </c>
      <c r="H65">
        <f>LOOKUP(TabVMAzureEnvProjet[[#This Row],[Code SYGES]],TabCONTRATSDI[Contrat SYGES],TabCONTRATSDI[Cost Center])</f>
        <v>305704</v>
      </c>
      <c r="I65" s="22" t="str">
        <f>LOOKUP(TabVMAzureEnvProjet[[#This Row],[Code SYGES]],TabCONTRATSDI[Contrat SYGES],TabCONTRATSDI[Client])</f>
        <v>ONEMA</v>
      </c>
      <c r="J65" t="s">
        <v>130</v>
      </c>
      <c r="K65" s="31">
        <v>11.991218699223328</v>
      </c>
    </row>
    <row r="66" spans="1:11" x14ac:dyDescent="0.3">
      <c r="A66" s="22" t="str">
        <f>TabVMAzureEnvProjet[[#This Row],[Client]] &amp; " .:. "  &amp; TabVMAzureEnvProjet[[#This Row],[Projet]]</f>
        <v>AFB .:. AFB-PNX</v>
      </c>
      <c r="B66" s="22" t="str">
        <f>IF(TabVMAzureEnvProjet[[#This Row],[Projet AzureDevOps]]&lt;&gt;"",TabVMAzureEnvProjet[[#This Row],[Projet AzureDevOps]],TabVMAzureEnvProjet[[#This Row],[VM]])</f>
        <v>AFB-PNX</v>
      </c>
      <c r="C66" t="s">
        <v>6</v>
      </c>
      <c r="E66" t="s">
        <v>4</v>
      </c>
      <c r="F66" t="s">
        <v>6</v>
      </c>
      <c r="G66" t="str">
        <f>LOOKUP(TabVMAzureEnvProjet[[#This Row],[Projet]],TabProjets[NomProj],TabProjets[SYGES])</f>
        <v>AFB/OFB_LOT2</v>
      </c>
      <c r="H66">
        <f>LOOKUP(TabVMAzureEnvProjet[[#This Row],[Code SYGES]],TabCONTRATSDI[Contrat SYGES],TabCONTRATSDI[Cost Center])</f>
        <v>305704</v>
      </c>
      <c r="I66" s="22" t="str">
        <f>LOOKUP(TabVMAzureEnvProjet[[#This Row],[Code SYGES]],TabCONTRATSDI[Contrat SYGES],TabCONTRATSDI[Client])</f>
        <v>AFB</v>
      </c>
      <c r="J66" t="s">
        <v>130</v>
      </c>
      <c r="K66" s="31">
        <v>3.0735213731523059</v>
      </c>
    </row>
    <row r="67" spans="1:11" x14ac:dyDescent="0.3">
      <c r="A67" s="22" t="str">
        <f>TabVMAzureEnvProjet[[#This Row],[Client]] &amp; " .:. "  &amp; TabVMAzureEnvProjet[[#This Row],[Projet]]</f>
        <v>AFB .:. AFB-NatureFrance</v>
      </c>
      <c r="B67" s="22" t="str">
        <f>IF(TabVMAzureEnvProjet[[#This Row],[Projet AzureDevOps]]&lt;&gt;"",TabVMAzureEnvProjet[[#This Row],[Projet AzureDevOps]],TabVMAzureEnvProjet[[#This Row],[VM]])</f>
        <v>OFB-NatureFrance</v>
      </c>
      <c r="C67" t="s">
        <v>93</v>
      </c>
      <c r="E67" t="s">
        <v>4</v>
      </c>
      <c r="F67" t="s">
        <v>7</v>
      </c>
      <c r="G67" t="str">
        <f>LOOKUP(TabVMAzureEnvProjet[[#This Row],[Projet]],TabProjets[NomProj],TabProjets[SYGES])</f>
        <v>AFB/OFB_LOT2</v>
      </c>
      <c r="H67">
        <f>LOOKUP(TabVMAzureEnvProjet[[#This Row],[Code SYGES]],TabCONTRATSDI[Contrat SYGES],TabCONTRATSDI[Cost Center])</f>
        <v>305704</v>
      </c>
      <c r="I67" s="22" t="str">
        <f>LOOKUP(TabVMAzureEnvProjet[[#This Row],[Code SYGES]],TabCONTRATSDI[Contrat SYGES],TabCONTRATSDI[Client])</f>
        <v>AFB</v>
      </c>
      <c r="J67" t="s">
        <v>130</v>
      </c>
      <c r="K67" s="31">
        <v>7.5138524380540543</v>
      </c>
    </row>
    <row r="68" spans="1:11" x14ac:dyDescent="0.3">
      <c r="A68" s="22" t="str">
        <f>TabVMAzureEnvProjet[[#This Row],[Client]] &amp; " .:. "  &amp; TabVMAzureEnvProjet[[#This Row],[Projet]]</f>
        <v>FRR .:. FRR-DIGIPAT</v>
      </c>
      <c r="B68" s="22" t="str">
        <f>IF(TabVMAzureEnvProjet[[#This Row],[Projet AzureDevOps]]&lt;&gt;"",TabVMAzureEnvProjet[[#This Row],[Projet AzureDevOps]],TabVMAzureEnvProjet[[#This Row],[VM]])</f>
        <v>FRR DIGIPAT</v>
      </c>
      <c r="C68" t="s">
        <v>28</v>
      </c>
      <c r="E68" t="s">
        <v>4</v>
      </c>
      <c r="F68" t="s">
        <v>27</v>
      </c>
      <c r="G68" t="str">
        <f>LOOKUP(TabVMAzureEnvProjet[[#This Row],[Projet]],TabProjets[NomProj],TabProjets[SYGES])</f>
        <v>FRR/TMASI</v>
      </c>
      <c r="H68">
        <f>LOOKUP(TabVMAzureEnvProjet[[#This Row],[Code SYGES]],TabCONTRATSDI[Contrat SYGES],TabCONTRATSDI[Cost Center])</f>
        <v>305704</v>
      </c>
      <c r="I68" s="22" t="str">
        <f>LOOKUP(TabVMAzureEnvProjet[[#This Row],[Code SYGES]],TabCONTRATSDI[Contrat SYGES],TabCONTRATSDI[Client])</f>
        <v>FRR</v>
      </c>
      <c r="J68" t="s">
        <v>130</v>
      </c>
      <c r="K68" s="31">
        <v>9.5225060601081069</v>
      </c>
    </row>
    <row r="69" spans="1:11" x14ac:dyDescent="0.3">
      <c r="A69" s="22" t="str">
        <f>TabVMAzureEnvProjet[[#This Row],[Client]] &amp; " .:. "  &amp; TabVMAzureEnvProjet[[#This Row],[Projet]]</f>
        <v>ALM .:. ALM-ATOUT</v>
      </c>
      <c r="B69" s="22" t="str">
        <f>IF(TabVMAzureEnvProjet[[#This Row],[Projet AzureDevOps]]&lt;&gt;"",TabVMAzureEnvProjet[[#This Row],[Projet AzureDevOps]],TabVMAzureEnvProjet[[#This Row],[VM]])</f>
        <v>ALM-ATOUT</v>
      </c>
      <c r="C69" t="s">
        <v>15</v>
      </c>
      <c r="E69" t="s">
        <v>4</v>
      </c>
      <c r="F69" t="s">
        <v>15</v>
      </c>
      <c r="G69" t="str">
        <f>LOOKUP(TabVMAzureEnvProjet[[#This Row],[Projet]],TabProjets[NomProj],TabProjets[SYGES])</f>
        <v>ALM/TMA_ATOUT</v>
      </c>
      <c r="H69">
        <f>LOOKUP(TabVMAzureEnvProjet[[#This Row],[Code SYGES]],TabCONTRATSDI[Contrat SYGES],TabCONTRATSDI[Cost Center])</f>
        <v>305704</v>
      </c>
      <c r="I69" s="22" t="str">
        <f>LOOKUP(TabVMAzureEnvProjet[[#This Row],[Code SYGES]],TabCONTRATSDI[Contrat SYGES],TabCONTRATSDI[Client])</f>
        <v>ALM</v>
      </c>
      <c r="J69" t="s">
        <v>130</v>
      </c>
      <c r="K69" s="31">
        <v>12.90834132157727</v>
      </c>
    </row>
    <row r="70" spans="1:11" x14ac:dyDescent="0.3">
      <c r="A70" s="22" t="str">
        <f>TabVMAzureEnvProjet[[#This Row],[Client]] &amp; " .:. "  &amp; TabVMAzureEnvProjet[[#This Row],[Projet]]</f>
        <v>BRGM .:. BRGM-ORRM</v>
      </c>
      <c r="B70" s="22" t="str">
        <f>IF(TabVMAzureEnvProjet[[#This Row],[Projet AzureDevOps]]&lt;&gt;"",TabVMAzureEnvProjet[[#This Row],[Projet AzureDevOps]],TabVMAzureEnvProjet[[#This Row],[VM]])</f>
        <v>BRGM-ORRM</v>
      </c>
      <c r="C70" t="s">
        <v>18</v>
      </c>
      <c r="E70" t="s">
        <v>4</v>
      </c>
      <c r="F70" t="s">
        <v>18</v>
      </c>
      <c r="G70" t="str">
        <f>LOOKUP(TabVMAzureEnvProjet[[#This Row],[Projet]],TabProjets[NomProj],TabProjets[SYGES])</f>
        <v>BRGM/TMA-5-1-ORRM-LOT1</v>
      </c>
      <c r="H70">
        <f>LOOKUP(TabVMAzureEnvProjet[[#This Row],[Code SYGES]],TabCONTRATSDI[Contrat SYGES],TabCONTRATSDI[Cost Center])</f>
        <v>305704</v>
      </c>
      <c r="I70" s="22" t="str">
        <f>LOOKUP(TabVMAzureEnvProjet[[#This Row],[Code SYGES]],TabCONTRATSDI[Contrat SYGES],TabCONTRATSDI[Client])</f>
        <v>BRGM</v>
      </c>
      <c r="J70" t="s">
        <v>130</v>
      </c>
      <c r="K70" s="31">
        <v>7.6759326962867291</v>
      </c>
    </row>
    <row r="71" spans="1:11" x14ac:dyDescent="0.3">
      <c r="A71" s="22" t="str">
        <f>TabVMAzureEnvProjet[[#This Row],[Client]] &amp; " .:. "  &amp; TabVMAzureEnvProjet[[#This Row],[Projet]]</f>
        <v>ONEMA .:. AFB-CDR</v>
      </c>
      <c r="B71" s="22" t="str">
        <f>IF(TabVMAzureEnvProjet[[#This Row],[Projet AzureDevOps]]&lt;&gt;"",TabVMAzureEnvProjet[[#This Row],[Projet AzureDevOps]],TabVMAzureEnvProjet[[#This Row],[VM]])</f>
        <v>AFB-CDR</v>
      </c>
      <c r="C71" t="s">
        <v>75</v>
      </c>
      <c r="E71" t="s">
        <v>4</v>
      </c>
      <c r="F71" t="s">
        <v>75</v>
      </c>
      <c r="G71" t="str">
        <f>LOOKUP(TabVMAzureEnvProjet[[#This Row],[Projet]],TabProjets[NomProj],TabProjets[SYGES])</f>
        <v>ONEMA/TMAWEB-16</v>
      </c>
      <c r="H71">
        <f>LOOKUP(TabVMAzureEnvProjet[[#This Row],[Code SYGES]],TabCONTRATSDI[Contrat SYGES],TabCONTRATSDI[Cost Center])</f>
        <v>305704</v>
      </c>
      <c r="I71" s="22" t="str">
        <f>LOOKUP(TabVMAzureEnvProjet[[#This Row],[Code SYGES]],TabCONTRATSDI[Contrat SYGES],TabCONTRATSDI[Client])</f>
        <v>ONEMA</v>
      </c>
      <c r="J71" t="s">
        <v>130</v>
      </c>
      <c r="K71" s="31">
        <v>7.5398061599401789</v>
      </c>
    </row>
    <row r="72" spans="1:11" x14ac:dyDescent="0.3">
      <c r="A72" s="22" t="str">
        <f>TabVMAzureEnvProjet[[#This Row],[Client]] &amp; " .:. "  &amp; TabVMAzureEnvProjet[[#This Row],[Projet]]</f>
        <v>MENESR .:. MENJ-BNIE</v>
      </c>
      <c r="B72" s="22" t="str">
        <f>IF(TabVMAzureEnvProjet[[#This Row],[Projet AzureDevOps]]&lt;&gt;"",TabVMAzureEnvProjet[[#This Row],[Projet AzureDevOps]],TabVMAzureEnvProjet[[#This Row],[VM]])</f>
        <v>MENJ-BNIE-BDD</v>
      </c>
      <c r="C72" t="s">
        <v>60</v>
      </c>
      <c r="E72" t="s">
        <v>4</v>
      </c>
      <c r="F72" t="s">
        <v>59</v>
      </c>
      <c r="G72" t="str">
        <f>LOOKUP(TabVMAzureEnvProjet[[#This Row],[Projet]],TabProjets[NomProj],TabProjets[SYGES])</f>
        <v>MENESR/TMA</v>
      </c>
      <c r="H72">
        <f>LOOKUP(TabVMAzureEnvProjet[[#This Row],[Code SYGES]],TabCONTRATSDI[Contrat SYGES],TabCONTRATSDI[Cost Center])</f>
        <v>305704</v>
      </c>
      <c r="I72" s="22" t="str">
        <f>LOOKUP(TabVMAzureEnvProjet[[#This Row],[Code SYGES]],TabCONTRATSDI[Contrat SYGES],TabCONTRATSDI[Client])</f>
        <v>MENESR</v>
      </c>
      <c r="J72" t="s">
        <v>130</v>
      </c>
      <c r="K72" s="31">
        <v>1.4506942825945943</v>
      </c>
    </row>
    <row r="73" spans="1:11" x14ac:dyDescent="0.3">
      <c r="A73" s="22" t="str">
        <f>TabVMAzureEnvProjet[[#This Row],[Client]] &amp; " .:. "  &amp; TabVMAzureEnvProjet[[#This Row],[Projet]]</f>
        <v>AFB .:. AFB-PNM</v>
      </c>
      <c r="B73" s="22" t="str">
        <f>IF(TabVMAzureEnvProjet[[#This Row],[Projet AzureDevOps]]&lt;&gt;"",TabVMAzureEnvProjet[[#This Row],[Projet AzureDevOps]],TabVMAzureEnvProjet[[#This Row],[VM]])</f>
        <v>AFB-PNM</v>
      </c>
      <c r="C73" t="s">
        <v>5</v>
      </c>
      <c r="E73" t="s">
        <v>4</v>
      </c>
      <c r="F73" t="s">
        <v>5</v>
      </c>
      <c r="G73" t="str">
        <f>LOOKUP(TabVMAzureEnvProjet[[#This Row],[Projet]],TabProjets[NomProj],TabProjets[SYGES])</f>
        <v>AFB/OFB_LOT2</v>
      </c>
      <c r="H73">
        <f>LOOKUP(TabVMAzureEnvProjet[[#This Row],[Code SYGES]],TabCONTRATSDI[Contrat SYGES],TabCONTRATSDI[Cost Center])</f>
        <v>305704</v>
      </c>
      <c r="I73" s="22" t="str">
        <f>LOOKUP(TabVMAzureEnvProjet[[#This Row],[Code SYGES]],TabCONTRATSDI[Contrat SYGES],TabCONTRATSDI[Client])</f>
        <v>AFB</v>
      </c>
      <c r="J73" t="s">
        <v>130</v>
      </c>
      <c r="K73" s="31">
        <v>14.10427755982745</v>
      </c>
    </row>
    <row r="74" spans="1:11" x14ac:dyDescent="0.3">
      <c r="A74" s="22" t="str">
        <f>TabVMAzureEnvProjet[[#This Row],[Client]] &amp; " .:. "  &amp; TabVMAzureEnvProjet[[#This Row],[Projet]]</f>
        <v>GFI .:. GFI-INTERNE</v>
      </c>
      <c r="B74" s="22" t="str">
        <f>IF(TabVMAzureEnvProjet[[#This Row],[Projet AzureDevOps]]&lt;&gt;"",TabVMAzureEnvProjet[[#This Row],[Projet AzureDevOps]],TabVMAzureEnvProjet[[#This Row],[VM]])</f>
        <v>GFI-MineReport</v>
      </c>
      <c r="C74" t="s">
        <v>46</v>
      </c>
      <c r="E74" t="s">
        <v>4</v>
      </c>
      <c r="F74" t="s">
        <v>36</v>
      </c>
      <c r="G74" t="str">
        <f>LOOKUP(TabVMAzureEnvProjet[[#This Row],[Projet]],TabProjets[NomProj],TabProjets[SYGES])</f>
        <v>GFI/PROJET_INTERNE</v>
      </c>
      <c r="H74">
        <f>LOOKUP(TabVMAzureEnvProjet[[#This Row],[Code SYGES]],TabCONTRATSDI[Contrat SYGES],TabCONTRATSDI[Cost Center])</f>
        <v>305704</v>
      </c>
      <c r="I74" s="22" t="str">
        <f>LOOKUP(TabVMAzureEnvProjet[[#This Row],[Code SYGES]],TabCONTRATSDI[Contrat SYGES],TabCONTRATSDI[Client])</f>
        <v>GFI</v>
      </c>
      <c r="J74" t="s">
        <v>130</v>
      </c>
      <c r="K74" s="31">
        <v>1.4506942825945943</v>
      </c>
    </row>
    <row r="75" spans="1:11" x14ac:dyDescent="0.3">
      <c r="A75" s="22" t="str">
        <f>TabVMAzureEnvProjet[[#This Row],[Client]] &amp; " .:. "  &amp; TabVMAzureEnvProjet[[#This Row],[Projet]]</f>
        <v>MENESR .:. MENJ-RNIE</v>
      </c>
      <c r="B75" s="22" t="str">
        <f>IF(TabVMAzureEnvProjet[[#This Row],[Projet AzureDevOps]]&lt;&gt;"",TabVMAzureEnvProjet[[#This Row],[Projet AzureDevOps]],TabVMAzureEnvProjet[[#This Row],[VM]])</f>
        <v>MENJ-RNIE-Webservices</v>
      </c>
      <c r="C75" t="s">
        <v>64</v>
      </c>
      <c r="E75" t="s">
        <v>4</v>
      </c>
      <c r="F75" t="s">
        <v>62</v>
      </c>
      <c r="G75" t="str">
        <f>LOOKUP(TabVMAzureEnvProjet[[#This Row],[Projet]],TabProjets[NomProj],TabProjets[SYGES])</f>
        <v>MENESR/TMA</v>
      </c>
      <c r="H75">
        <f>LOOKUP(TabVMAzureEnvProjet[[#This Row],[Code SYGES]],TabCONTRATSDI[Contrat SYGES],TabCONTRATSDI[Cost Center])</f>
        <v>305704</v>
      </c>
      <c r="I75" s="22" t="str">
        <f>LOOKUP(TabVMAzureEnvProjet[[#This Row],[Code SYGES]],TabCONTRATSDI[Contrat SYGES],TabCONTRATSDI[Client])</f>
        <v>MENESR</v>
      </c>
      <c r="J75" t="s">
        <v>130</v>
      </c>
      <c r="K75" s="31">
        <v>2.1673610494695943</v>
      </c>
    </row>
    <row r="76" spans="1:11" x14ac:dyDescent="0.3">
      <c r="A76" s="22" t="str">
        <f>TabVMAzureEnvProjet[[#This Row],[Client]] &amp; " .:. "  &amp; TabVMAzureEnvProjet[[#This Row],[Projet]]</f>
        <v>PCM .:. PCM-WEB</v>
      </c>
      <c r="B76" s="22" t="str">
        <f>IF(TabVMAzureEnvProjet[[#This Row],[Projet AzureDevOps]]&lt;&gt;"",TabVMAzureEnvProjet[[#This Row],[Projet AzureDevOps]],TabVMAzureEnvProjet[[#This Row],[VM]])</f>
        <v>PCM-Web</v>
      </c>
      <c r="C76" t="s">
        <v>87</v>
      </c>
      <c r="E76" t="s">
        <v>4</v>
      </c>
      <c r="F76" t="s">
        <v>86</v>
      </c>
      <c r="G76" t="str">
        <f>LOOKUP(TabVMAzureEnvProjet[[#This Row],[Projet]],TabProjets[NomProj],TabProjets[SYGES])</f>
        <v>PCM/WEB</v>
      </c>
      <c r="H76">
        <f>LOOKUP(TabVMAzureEnvProjet[[#This Row],[Code SYGES]],TabCONTRATSDI[Contrat SYGES],TabCONTRATSDI[Cost Center])</f>
        <v>305704</v>
      </c>
      <c r="I76" s="22" t="str">
        <f>LOOKUP(TabVMAzureEnvProjet[[#This Row],[Code SYGES]],TabCONTRATSDI[Contrat SYGES],TabCONTRATSDI[Client])</f>
        <v>PCM</v>
      </c>
      <c r="J76" t="s">
        <v>130</v>
      </c>
      <c r="K76" s="31">
        <v>3.682531640432432</v>
      </c>
    </row>
    <row r="77" spans="1:11" x14ac:dyDescent="0.3">
      <c r="A77" s="22" t="str">
        <f>TabVMAzureEnvProjet[[#This Row],[Client]] &amp; " .:. "  &amp; TabVMAzureEnvProjet[[#This Row],[Projet]]</f>
        <v>GFI .:. GFI-INTERNE</v>
      </c>
      <c r="B77" s="22" t="str">
        <f>IF(TabVMAzureEnvProjet[[#This Row],[Projet AzureDevOps]]&lt;&gt;"",TabVMAzureEnvProjet[[#This Row],[Projet AzureDevOps]],TabVMAzureEnvProjet[[#This Row],[VM]])</f>
        <v>drupal-qa</v>
      </c>
      <c r="C77" t="s">
        <v>38</v>
      </c>
      <c r="E77" t="s">
        <v>4</v>
      </c>
      <c r="F77" t="s">
        <v>36</v>
      </c>
      <c r="G77" t="str">
        <f>LOOKUP(TabVMAzureEnvProjet[[#This Row],[Projet]],TabProjets[NomProj],TabProjets[SYGES])</f>
        <v>GFI/PROJET_INTERNE</v>
      </c>
      <c r="H77">
        <f>LOOKUP(TabVMAzureEnvProjet[[#This Row],[Code SYGES]],TabCONTRATSDI[Contrat SYGES],TabCONTRATSDI[Cost Center])</f>
        <v>305704</v>
      </c>
      <c r="I77" s="22" t="str">
        <f>LOOKUP(TabVMAzureEnvProjet[[#This Row],[Code SYGES]],TabCONTRATSDI[Contrat SYGES],TabCONTRATSDI[Client])</f>
        <v>GFI</v>
      </c>
      <c r="J77" t="s">
        <v>130</v>
      </c>
      <c r="K77" s="31">
        <v>0.87679324772200773</v>
      </c>
    </row>
    <row r="78" spans="1:11" x14ac:dyDescent="0.3">
      <c r="A78" s="22" t="str">
        <f>TabVMAzureEnvProjet[[#This Row],[Client]] &amp; " .:. "  &amp; TabVMAzureEnvProjet[[#This Row],[Projet]]</f>
        <v>MENESR .:. MENJ-RNIE</v>
      </c>
      <c r="B78" s="22" t="str">
        <f>IF(TabVMAzureEnvProjet[[#This Row],[Projet AzureDevOps]]&lt;&gt;"",TabVMAzureEnvProjet[[#This Row],[Projet AzureDevOps]],TabVMAzureEnvProjet[[#This Row],[VM]])</f>
        <v>MENJ-RNIE-BDD</v>
      </c>
      <c r="C78" t="s">
        <v>63</v>
      </c>
      <c r="E78" t="s">
        <v>4</v>
      </c>
      <c r="F78" t="s">
        <v>62</v>
      </c>
      <c r="G78" t="str">
        <f>LOOKUP(TabVMAzureEnvProjet[[#This Row],[Projet]],TabProjets[NomProj],TabProjets[SYGES])</f>
        <v>MENESR/TMA</v>
      </c>
      <c r="H78">
        <f>LOOKUP(TabVMAzureEnvProjet[[#This Row],[Code SYGES]],TabCONTRATSDI[Contrat SYGES],TabCONTRATSDI[Cost Center])</f>
        <v>305704</v>
      </c>
      <c r="I78" s="22" t="str">
        <f>LOOKUP(TabVMAzureEnvProjet[[#This Row],[Code SYGES]],TabCONTRATSDI[Contrat SYGES],TabCONTRATSDI[Client])</f>
        <v>MENESR</v>
      </c>
      <c r="J78" t="s">
        <v>130</v>
      </c>
      <c r="K78" s="31">
        <v>1.4506942825945943</v>
      </c>
    </row>
    <row r="79" spans="1:11" x14ac:dyDescent="0.3">
      <c r="A79" s="22" t="str">
        <f>TabVMAzureEnvProjet[[#This Row],[Client]] &amp; " .:. "  &amp; TabVMAzureEnvProjet[[#This Row],[Projet]]</f>
        <v>GLI .:. GLI-APIBIOMETRIE</v>
      </c>
      <c r="B79" s="22" t="str">
        <f>IF(TabVMAzureEnvProjet[[#This Row],[Projet AzureDevOps]]&lt;&gt;"",TabVMAzureEnvProjet[[#This Row],[Projet AzureDevOps]],TabVMAzureEnvProjet[[#This Row],[VM]])</f>
        <v>GLI-APIBiometrie</v>
      </c>
      <c r="C79" t="s">
        <v>56</v>
      </c>
      <c r="E79" t="s">
        <v>4</v>
      </c>
      <c r="F79" t="s">
        <v>55</v>
      </c>
      <c r="G79" t="str">
        <f>LOOKUP(TabVMAzureEnvProjet[[#This Row],[Projet]],TabProjets[NomProj],TabProjets[SYGES])</f>
        <v>GLI/BIOMETRIE</v>
      </c>
      <c r="H79">
        <f>LOOKUP(TabVMAzureEnvProjet[[#This Row],[Code SYGES]],TabCONTRATSDI[Contrat SYGES],TabCONTRATSDI[Cost Center])</f>
        <v>305704</v>
      </c>
      <c r="I79" s="22" t="str">
        <f>LOOKUP(TabVMAzureEnvProjet[[#This Row],[Code SYGES]],TabCONTRATSDI[Contrat SYGES],TabCONTRATSDI[Client])</f>
        <v>GLI</v>
      </c>
      <c r="J79" t="s">
        <v>130</v>
      </c>
      <c r="K79" s="31">
        <v>9.3871549931982567</v>
      </c>
    </row>
    <row r="80" spans="1:11" x14ac:dyDescent="0.3">
      <c r="A80" s="22" t="str">
        <f>TabVMAzureEnvProjet[[#This Row],[Client]] &amp; " .:. "  &amp; TabVMAzureEnvProjet[[#This Row],[Projet]]</f>
        <v>ONEMA .:. AFB-BASEINDICATEURS</v>
      </c>
      <c r="B80" s="22" t="str">
        <f>IF(TabVMAzureEnvProjet[[#This Row],[Projet AzureDevOps]]&lt;&gt;"",TabVMAzureEnvProjet[[#This Row],[Projet AzureDevOps]],TabVMAzureEnvProjet[[#This Row],[VM]])</f>
        <v>AFB-BaseIndicateurs</v>
      </c>
      <c r="C80" t="s">
        <v>72</v>
      </c>
      <c r="E80" t="s">
        <v>4</v>
      </c>
      <c r="F80" t="s">
        <v>71</v>
      </c>
      <c r="G80" t="str">
        <f>LOOKUP(TabVMAzureEnvProjet[[#This Row],[Projet]],TabProjets[NomProj],TabProjets[SYGES])</f>
        <v>ONEMA/TMADCUA-15</v>
      </c>
      <c r="H80">
        <f>LOOKUP(TabVMAzureEnvProjet[[#This Row],[Code SYGES]],TabCONTRATSDI[Contrat SYGES],TabCONTRATSDI[Cost Center])</f>
        <v>305704</v>
      </c>
      <c r="I80" s="22" t="str">
        <f>LOOKUP(TabVMAzureEnvProjet[[#This Row],[Code SYGES]],TabCONTRATSDI[Contrat SYGES],TabCONTRATSDI[Client])</f>
        <v>ONEMA</v>
      </c>
      <c r="J80" t="s">
        <v>130</v>
      </c>
      <c r="K80" s="31">
        <v>1.0627796942084942</v>
      </c>
    </row>
    <row r="81" spans="1:12" x14ac:dyDescent="0.3">
      <c r="A81" s="22" t="str">
        <f>TabVMAzureEnvProjet[[#This Row],[Client]] &amp; " .:. "  &amp; TabVMAzureEnvProjet[[#This Row],[Projet]]</f>
        <v>GFI .:. GFI-INTERNE</v>
      </c>
      <c r="B81" s="22" t="str">
        <f>IF(TabVMAzureEnvProjet[[#This Row],[Projet AzureDevOps]]&lt;&gt;"",TabVMAzureEnvProjet[[#This Row],[Projet AzureDevOps]],TabVMAzureEnvProjet[[#This Row],[VM]])</f>
        <v>GFI-D8-BS4-THEME</v>
      </c>
      <c r="C81" t="s">
        <v>43</v>
      </c>
      <c r="E81" t="s">
        <v>4</v>
      </c>
      <c r="F81" t="s">
        <v>36</v>
      </c>
      <c r="G81" t="str">
        <f>LOOKUP(TabVMAzureEnvProjet[[#This Row],[Projet]],TabProjets[NomProj],TabProjets[SYGES])</f>
        <v>GFI/PROJET_INTERNE</v>
      </c>
      <c r="H81">
        <f>LOOKUP(TabVMAzureEnvProjet[[#This Row],[Code SYGES]],TabCONTRATSDI[Contrat SYGES],TabCONTRATSDI[Cost Center])</f>
        <v>305704</v>
      </c>
      <c r="I81" s="22" t="str">
        <f>LOOKUP(TabVMAzureEnvProjet[[#This Row],[Code SYGES]],TabCONTRATSDI[Contrat SYGES],TabCONTRATSDI[Client])</f>
        <v>GFI</v>
      </c>
      <c r="J81" t="s">
        <v>130</v>
      </c>
      <c r="K81" s="31">
        <v>0.87679324772200773</v>
      </c>
    </row>
    <row r="82" spans="1:12" x14ac:dyDescent="0.3">
      <c r="A82" s="22" t="str">
        <f>TabVMAzureEnvProjet[[#This Row],[Client]] &amp; " .:. "  &amp; TabVMAzureEnvProjet[[#This Row],[Projet]]</f>
        <v>MENESR .:. MENJ-APAE</v>
      </c>
      <c r="B82" s="22" t="str">
        <f>IF(TabVMAzureEnvProjet[[#This Row],[Projet AzureDevOps]]&lt;&gt;"",TabVMAzureEnvProjet[[#This Row],[Projet AzureDevOps]],TabVMAzureEnvProjet[[#This Row],[VM]])</f>
        <v>MENJ-APAE</v>
      </c>
      <c r="C82" t="s">
        <v>58</v>
      </c>
      <c r="E82" t="s">
        <v>4</v>
      </c>
      <c r="F82" t="s">
        <v>58</v>
      </c>
      <c r="G82" t="str">
        <f>LOOKUP(TabVMAzureEnvProjet[[#This Row],[Projet]],TabProjets[NomProj],TabProjets[SYGES])</f>
        <v>MENESR/TMA</v>
      </c>
      <c r="H82">
        <f>LOOKUP(TabVMAzureEnvProjet[[#This Row],[Code SYGES]],TabCONTRATSDI[Contrat SYGES],TabCONTRATSDI[Cost Center])</f>
        <v>305704</v>
      </c>
      <c r="I82" s="22" t="str">
        <f>LOOKUP(TabVMAzureEnvProjet[[#This Row],[Code SYGES]],TabCONTRATSDI[Contrat SYGES],TabCONTRATSDI[Client])</f>
        <v>MENESR</v>
      </c>
      <c r="J82" t="s">
        <v>130</v>
      </c>
      <c r="K82" s="31">
        <v>1.4506942825945943</v>
      </c>
    </row>
    <row r="83" spans="1:12" x14ac:dyDescent="0.3">
      <c r="A83" s="22" t="str">
        <f>TabVMAzureEnvProjet[[#This Row],[Client]] &amp; " .:. "  &amp; TabVMAzureEnvProjet[[#This Row],[Projet]]</f>
        <v>PCM .:. PCM-ALS</v>
      </c>
      <c r="B83" s="22" t="str">
        <f>IF(TabVMAzureEnvProjet[[#This Row],[Projet AzureDevOps]]&lt;&gt;"",TabVMAzureEnvProjet[[#This Row],[Projet AzureDevOps]],TabVMAzureEnvProjet[[#This Row],[VM]])</f>
        <v>PCM-ALS</v>
      </c>
      <c r="C83" t="s">
        <v>85</v>
      </c>
      <c r="E83" t="s">
        <v>4</v>
      </c>
      <c r="F83" t="s">
        <v>85</v>
      </c>
      <c r="G83" t="str">
        <f>LOOKUP(TabVMAzureEnvProjet[[#This Row],[Projet]],TabProjets[NomProj],TabProjets[SYGES])</f>
        <v>PCM/WEB</v>
      </c>
      <c r="H83">
        <f>LOOKUP(TabVMAzureEnvProjet[[#This Row],[Code SYGES]],TabCONTRATSDI[Contrat SYGES],TabCONTRATSDI[Cost Center])</f>
        <v>305704</v>
      </c>
      <c r="I83" s="22" t="str">
        <f>LOOKUP(TabVMAzureEnvProjet[[#This Row],[Code SYGES]],TabCONTRATSDI[Contrat SYGES],TabCONTRATSDI[Client])</f>
        <v>PCM</v>
      </c>
      <c r="J83" t="s">
        <v>130</v>
      </c>
      <c r="K83" s="31">
        <v>11.107613847146084</v>
      </c>
    </row>
    <row r="84" spans="1:12" x14ac:dyDescent="0.3">
      <c r="A84" s="22" t="str">
        <f>TabVMAzureEnvProjet[[#This Row],[Client]] &amp; " .:. "  &amp; TabVMAzureEnvProjet[[#This Row],[Projet]]</f>
        <v>AFB .:. AFB-CESMIA</v>
      </c>
      <c r="B84" s="22" t="str">
        <f>IF(TabVMAzureEnvProjet[[#This Row],[Projet AzureDevOps]]&lt;&gt;"",TabVMAzureEnvProjet[[#This Row],[Projet AzureDevOps]],TabVMAzureEnvProjet[[#This Row],[VM]])</f>
        <v>AFB-CESMIA</v>
      </c>
      <c r="C84" t="s">
        <v>3</v>
      </c>
      <c r="E84" t="s">
        <v>4</v>
      </c>
      <c r="F84" t="s">
        <v>3</v>
      </c>
      <c r="G84" t="str">
        <f>LOOKUP(TabVMAzureEnvProjet[[#This Row],[Projet]],TabProjets[NomProj],TabProjets[SYGES])</f>
        <v>AFB/OFB_LOT1</v>
      </c>
      <c r="H84">
        <f>LOOKUP(TabVMAzureEnvProjet[[#This Row],[Code SYGES]],TabCONTRATSDI[Contrat SYGES],TabCONTRATSDI[Cost Center])</f>
        <v>305704</v>
      </c>
      <c r="I84" s="22" t="str">
        <f>LOOKUP(TabVMAzureEnvProjet[[#This Row],[Code SYGES]],TabCONTRATSDI[Contrat SYGES],TabCONTRATSDI[Client])</f>
        <v>AFB</v>
      </c>
      <c r="J84" t="s">
        <v>130</v>
      </c>
      <c r="K84" s="31">
        <v>14.208814683819448</v>
      </c>
    </row>
    <row r="85" spans="1:12" x14ac:dyDescent="0.3">
      <c r="A85" s="22" t="str">
        <f>TabVMAzureEnvProjet[[#This Row],[Client]] &amp; " .:. "  &amp; TabVMAzureEnvProjet[[#This Row],[Projet]]</f>
        <v>MENESR .:. MENJ-BNIE</v>
      </c>
      <c r="B85" s="22" t="str">
        <f>IF(TabVMAzureEnvProjet[[#This Row],[Projet AzureDevOps]]&lt;&gt;"",TabVMAzureEnvProjet[[#This Row],[Projet AzureDevOps]],TabVMAzureEnvProjet[[#This Row],[VM]])</f>
        <v>MENJ-BNIE-Webservices</v>
      </c>
      <c r="C85" t="s">
        <v>61</v>
      </c>
      <c r="E85" t="s">
        <v>4</v>
      </c>
      <c r="F85" t="s">
        <v>59</v>
      </c>
      <c r="G85" t="str">
        <f>LOOKUP(TabVMAzureEnvProjet[[#This Row],[Projet]],TabProjets[NomProj],TabProjets[SYGES])</f>
        <v>MENESR/TMA</v>
      </c>
      <c r="H85">
        <f>LOOKUP(TabVMAzureEnvProjet[[#This Row],[Code SYGES]],TabCONTRATSDI[Contrat SYGES],TabCONTRATSDI[Cost Center])</f>
        <v>305704</v>
      </c>
      <c r="I85" s="22" t="str">
        <f>LOOKUP(TabVMAzureEnvProjet[[#This Row],[Code SYGES]],TabCONTRATSDI[Contrat SYGES],TabCONTRATSDI[Client])</f>
        <v>MENESR</v>
      </c>
      <c r="J85" t="s">
        <v>130</v>
      </c>
      <c r="K85" s="31">
        <v>5.8891780360890813</v>
      </c>
    </row>
    <row r="86" spans="1:12" x14ac:dyDescent="0.3">
      <c r="A86" s="22" t="str">
        <f>TabVMAzureEnvProjet[[#This Row],[Client]] &amp; " .:. "  &amp; TabVMAzureEnvProjet[[#This Row],[Projet]]</f>
        <v>GFI .:. GFI-INTERNE</v>
      </c>
      <c r="B86" s="22" t="str">
        <f>IF(TabVMAzureEnvProjet[[#This Row],[Projet AzureDevOps]]&lt;&gt;"",TabVMAzureEnvProjet[[#This Row],[Projet AzureDevOps]],TabVMAzureEnvProjet[[#This Row],[VM]])</f>
        <v>d8-qa</v>
      </c>
      <c r="C86" t="s">
        <v>37</v>
      </c>
      <c r="E86" t="s">
        <v>4</v>
      </c>
      <c r="F86" t="s">
        <v>36</v>
      </c>
      <c r="G86" t="str">
        <f>LOOKUP(TabVMAzureEnvProjet[[#This Row],[Projet]],TabProjets[NomProj],TabProjets[SYGES])</f>
        <v>GFI/PROJET_INTERNE</v>
      </c>
      <c r="H86">
        <f>LOOKUP(TabVMAzureEnvProjet[[#This Row],[Code SYGES]],TabCONTRATSDI[Contrat SYGES],TabCONTRATSDI[Cost Center])</f>
        <v>305704</v>
      </c>
      <c r="I86" s="22" t="str">
        <f>LOOKUP(TabVMAzureEnvProjet[[#This Row],[Code SYGES]],TabCONTRATSDI[Contrat SYGES],TabCONTRATSDI[Client])</f>
        <v>GFI</v>
      </c>
      <c r="J86" t="s">
        <v>130</v>
      </c>
      <c r="K86" s="31">
        <v>0.87679324772200773</v>
      </c>
    </row>
    <row r="87" spans="1:12" x14ac:dyDescent="0.3">
      <c r="A87" s="22" t="str">
        <f>TabVMAzureEnvProjet[[#This Row],[Client]] &amp; " .:. "  &amp; TabVMAzureEnvProjet[[#This Row],[Projet]]</f>
        <v>ALM .:. ALM-ATOUT</v>
      </c>
      <c r="B87" s="22" t="str">
        <f>IF(TabVMAzureEnvProjet[[#This Row],[Projet AzureDevOps]]&lt;&gt;"",TabVMAzureEnvProjet[[#This Row],[Projet AzureDevOps]],TabVMAzureEnvProjet[[#This Row],[VM]])</f>
        <v>ALM-ATOUT-VM</v>
      </c>
      <c r="D87" t="s">
        <v>16</v>
      </c>
      <c r="E87" t="s">
        <v>8</v>
      </c>
      <c r="F87" t="s">
        <v>15</v>
      </c>
      <c r="G87" t="str">
        <f>LOOKUP(TabVMAzureEnvProjet[[#This Row],[Projet]],TabProjets[NomProj],TabProjets[SYGES])</f>
        <v>ALM/TMA_ATOUT</v>
      </c>
      <c r="H87">
        <f>LOOKUP(TabVMAzureEnvProjet[[#This Row],[Code SYGES]],TabCONTRATSDI[Contrat SYGES],TabCONTRATSDI[Cost Center])</f>
        <v>305704</v>
      </c>
      <c r="I87" s="22" t="str">
        <f>LOOKUP(TabVMAzureEnvProjet[[#This Row],[Code SYGES]],TabCONTRATSDI[Contrat SYGES],TabCONTRATSDI[Client])</f>
        <v>ALM</v>
      </c>
      <c r="J87" t="s">
        <v>130</v>
      </c>
      <c r="K87" s="31">
        <v>86.412000000000006</v>
      </c>
    </row>
    <row r="88" spans="1:12" x14ac:dyDescent="0.3">
      <c r="A88" s="22" t="str">
        <f>TabVMAzureEnvProjet[[#This Row],[Client]] &amp; " .:. "  &amp; TabVMAzureEnvProjet[[#This Row],[Projet]]</f>
        <v>CA-TITRES .:. CATITRES-COMX</v>
      </c>
      <c r="B88" s="22" t="str">
        <f>IF(TabVMAzureEnvProjet[[#This Row],[Projet AzureDevOps]]&lt;&gt;"",TabVMAzureEnvProjet[[#This Row],[Projet AzureDevOps]],TabVMAzureEnvProjet[[#This Row],[VM]])</f>
        <v>CATITRES-COMX-VM</v>
      </c>
      <c r="D88" t="s">
        <v>23</v>
      </c>
      <c r="E88" t="s">
        <v>11</v>
      </c>
      <c r="F88" t="s">
        <v>22</v>
      </c>
      <c r="G88" t="str">
        <f>LOOKUP(TabVMAzureEnvProjet[[#This Row],[Projet]],TabProjets[NomProj],TabProjets[SYGES])</f>
        <v>CA-TITRES/TMA</v>
      </c>
      <c r="H88">
        <f>LOOKUP(TabVMAzureEnvProjet[[#This Row],[Code SYGES]],TabCONTRATSDI[Contrat SYGES],TabCONTRATSDI[Cost Center])</f>
        <v>305704</v>
      </c>
      <c r="I88" s="22" t="str">
        <f>LOOKUP(TabVMAzureEnvProjet[[#This Row],[Code SYGES]],TabCONTRATSDI[Contrat SYGES],TabCONTRATSDI[Client])</f>
        <v>CA-TITRES</v>
      </c>
      <c r="J88" t="s">
        <v>130</v>
      </c>
      <c r="K88" s="31">
        <v>120.91</v>
      </c>
    </row>
    <row r="89" spans="1:12" x14ac:dyDescent="0.3">
      <c r="A89" s="22" t="str">
        <f>TabVMAzureEnvProjet[[#This Row],[Client]] &amp; " .:. "  &amp; TabVMAzureEnvProjet[[#This Row],[Projet]]</f>
        <v>FRR .:. FRR-DIGIPAT</v>
      </c>
      <c r="B89" s="22" t="str">
        <f>IF(TabVMAzureEnvProjet[[#This Row],[Projet AzureDevOps]]&lt;&gt;"",TabVMAzureEnvProjet[[#This Row],[Projet AzureDevOps]],TabVMAzureEnvProjet[[#This Row],[VM]])</f>
        <v>FRR-DIGIPAT-VM</v>
      </c>
      <c r="D89" t="s">
        <v>29</v>
      </c>
      <c r="E89" t="s">
        <v>19</v>
      </c>
      <c r="F89" t="s">
        <v>27</v>
      </c>
      <c r="G89" t="str">
        <f>LOOKUP(TabVMAzureEnvProjet[[#This Row],[Projet]],TabProjets[NomProj],TabProjets[SYGES])</f>
        <v>FRR/TMASI</v>
      </c>
      <c r="H89">
        <f>LOOKUP(TabVMAzureEnvProjet[[#This Row],[Code SYGES]],TabCONTRATSDI[Contrat SYGES],TabCONTRATSDI[Cost Center])</f>
        <v>305704</v>
      </c>
      <c r="I89" s="22" t="str">
        <f>LOOKUP(TabVMAzureEnvProjet[[#This Row],[Code SYGES]],TabCONTRATSDI[Contrat SYGES],TabCONTRATSDI[Client])</f>
        <v>FRR</v>
      </c>
      <c r="J89" t="s">
        <v>130</v>
      </c>
      <c r="K89" s="31">
        <v>20.94</v>
      </c>
    </row>
    <row r="90" spans="1:12" x14ac:dyDescent="0.3">
      <c r="A90" s="22" t="str">
        <f>TabVMAzureEnvProjet[[#This Row],[Client]] &amp; " .:. "  &amp; TabVMAzureEnvProjet[[#This Row],[Projet]]</f>
        <v>SPC .:. SPC-BUILD</v>
      </c>
      <c r="B90" s="22" t="str">
        <f>IF(TabVMAzureEnvProjet[[#This Row],[Projet AzureDevOps]]&lt;&gt;"",TabVMAzureEnvProjet[[#This Row],[Projet AzureDevOps]],TabVMAzureEnvProjet[[#This Row],[VM]])</f>
        <v>SPC-BUILDAS-VM</v>
      </c>
      <c r="D90" t="s">
        <v>82</v>
      </c>
      <c r="E90" t="s">
        <v>11</v>
      </c>
      <c r="F90" t="s">
        <v>81</v>
      </c>
      <c r="G90" t="str">
        <f>LOOKUP(TabVMAzureEnvProjet[[#This Row],[Projet]],TabProjets[NomProj],TabProjets[SYGES])</f>
        <v>SPC/BUILD</v>
      </c>
      <c r="H90">
        <f>LOOKUP(TabVMAzureEnvProjet[[#This Row],[Code SYGES]],TabCONTRATSDI[Contrat SYGES],TabCONTRATSDI[Cost Center])</f>
        <v>305704</v>
      </c>
      <c r="I90" s="22" t="str">
        <f>LOOKUP(TabVMAzureEnvProjet[[#This Row],[Code SYGES]],TabCONTRATSDI[Contrat SYGES],TabCONTRATSDI[Client])</f>
        <v>SPC</v>
      </c>
      <c r="J90" t="s">
        <v>130</v>
      </c>
      <c r="K90" s="31">
        <v>126.65299999999999</v>
      </c>
    </row>
    <row r="91" spans="1:12" x14ac:dyDescent="0.3">
      <c r="A91" s="22" t="str">
        <f>TabVMAzureEnvProjet[[#This Row],[Client]] &amp; " .:. "  &amp; TabVMAzureEnvProjet[[#This Row],[Projet]]</f>
        <v>SPC .:. SPC-WEB</v>
      </c>
      <c r="B91" s="22" t="str">
        <f>IF(TabVMAzureEnvProjet[[#This Row],[Projet AzureDevOps]]&lt;&gt;"",TabVMAzureEnvProjet[[#This Row],[Projet AzureDevOps]],TabVMAzureEnvProjet[[#This Row],[VM]])</f>
        <v>SPC-WEB-VM</v>
      </c>
      <c r="D91" t="s">
        <v>127</v>
      </c>
      <c r="E91" t="s">
        <v>8</v>
      </c>
      <c r="F91" t="s">
        <v>83</v>
      </c>
      <c r="G91" t="str">
        <f>LOOKUP(TabVMAzureEnvProjet[[#This Row],[Projet]],TabProjets[NomProj],TabProjets[SYGES])</f>
        <v>SPC/BUILD-0-1-SITE-WEB</v>
      </c>
      <c r="H91">
        <f>LOOKUP(TabVMAzureEnvProjet[[#This Row],[Code SYGES]],TabCONTRATSDI[Contrat SYGES],TabCONTRATSDI[Cost Center])</f>
        <v>305704</v>
      </c>
      <c r="I91" s="22" t="str">
        <f>LOOKUP(TabVMAzureEnvProjet[[#This Row],[Code SYGES]],TabCONTRATSDI[Contrat SYGES],TabCONTRATSDI[Client])</f>
        <v>SPC</v>
      </c>
      <c r="J91" t="s">
        <v>130</v>
      </c>
      <c r="K91" s="31">
        <v>6.7960000000000003</v>
      </c>
    </row>
    <row r="92" spans="1:12" x14ac:dyDescent="0.3">
      <c r="A92" s="22" t="str">
        <f>TabVMAzureEnvProjet[[#This Row],[Client]] &amp; " .:. "  &amp; TabVMAzureEnvProjet[[#This Row],[Projet]]</f>
        <v>BRGM .:. BRGM-ORRM</v>
      </c>
      <c r="B92" s="22" t="str">
        <f>IF(TabVMAzureEnvProjet[[#This Row],[Projet AzureDevOps]]&lt;&gt;"",TabVMAzureEnvProjet[[#This Row],[Projet AzureDevOps]],TabVMAzureEnvProjet[[#This Row],[VM]])</f>
        <v>BRGM-ORRM-VM</v>
      </c>
      <c r="D92" t="s">
        <v>20</v>
      </c>
      <c r="E92" t="s">
        <v>19</v>
      </c>
      <c r="F92" t="s">
        <v>18</v>
      </c>
      <c r="G92" t="str">
        <f>LOOKUP(TabVMAzureEnvProjet[[#This Row],[Projet]],TabProjets[NomProj],TabProjets[SYGES])</f>
        <v>BRGM/TMA-5-1-ORRM-LOT1</v>
      </c>
      <c r="H92">
        <f>LOOKUP(TabVMAzureEnvProjet[[#This Row],[Code SYGES]],TabCONTRATSDI[Contrat SYGES],TabCONTRATSDI[Cost Center])</f>
        <v>305704</v>
      </c>
      <c r="I92" s="22" t="str">
        <f>LOOKUP(TabVMAzureEnvProjet[[#This Row],[Code SYGES]],TabCONTRATSDI[Contrat SYGES],TabCONTRATSDI[Client])</f>
        <v>BRGM</v>
      </c>
      <c r="J92" t="s">
        <v>130</v>
      </c>
      <c r="K92" s="31">
        <v>6.7960000000000003</v>
      </c>
    </row>
    <row r="93" spans="1:12" x14ac:dyDescent="0.3">
      <c r="A93" s="22" t="str">
        <f>TabVMAzureEnvProjet[[#This Row],[Client]] &amp; " .:. "  &amp; TabVMAzureEnvProjet[[#This Row],[Projet]]</f>
        <v>EBR .:. EBR-LAPOSTE</v>
      </c>
      <c r="B93" s="22" t="str">
        <f>IF(TabVMAzureEnvProjet[[#This Row],[Projet AzureDevOps]]&lt;&gt;"",TabVMAzureEnvProjet[[#This Row],[Projet AzureDevOps]],TabVMAzureEnvProjet[[#This Row],[VM]])</f>
        <v>EBR-LAPOSTE-VM</v>
      </c>
      <c r="D93" t="s">
        <v>90</v>
      </c>
      <c r="E93" t="s">
        <v>11</v>
      </c>
      <c r="F93" t="s">
        <v>89</v>
      </c>
      <c r="G93" t="str">
        <f>LOOKUP(TabVMAzureEnvProjet[[#This Row],[Projet]],TabProjets[NomProj],TabProjets[SYGES])</f>
        <v>EBR/TMA</v>
      </c>
      <c r="H93">
        <f>LOOKUP(TabVMAzureEnvProjet[[#This Row],[Code SYGES]],TabCONTRATSDI[Contrat SYGES],TabCONTRATSDI[Cost Center])</f>
        <v>305704</v>
      </c>
      <c r="I93" s="34" t="str">
        <f>LOOKUP(TabVMAzureEnvProjet[[#This Row],[Code SYGES]],TabCONTRATSDI[Contrat SYGES],TabCONTRATSDI[Client])</f>
        <v>EBR</v>
      </c>
      <c r="J93" t="s">
        <v>130</v>
      </c>
      <c r="K93" s="31">
        <v>161.68900000000002</v>
      </c>
    </row>
    <row r="94" spans="1:12" x14ac:dyDescent="0.3">
      <c r="A94" s="22" t="str">
        <f>TabVMAzureEnvProjet[[#This Row],[Client]] &amp; " .:. "  &amp; TabVMAzureEnvProjet[[#This Row],[Projet]]</f>
        <v>OFB .:. OFB-NATUREFRANCE</v>
      </c>
      <c r="B94" s="22" t="str">
        <f>IF(TabVMAzureEnvProjet[[#This Row],[Projet AzureDevOps]]&lt;&gt;"",TabVMAzureEnvProjet[[#This Row],[Projet AzureDevOps]],TabVMAzureEnvProjet[[#This Row],[VM]])</f>
        <v>OFB-FRANCENATURE-VM</v>
      </c>
      <c r="D94" t="s">
        <v>9</v>
      </c>
      <c r="E94" t="s">
        <v>129</v>
      </c>
      <c r="F94" t="s">
        <v>92</v>
      </c>
      <c r="G94" t="str">
        <f>LOOKUP(TabVMAzureEnvProjet[[#This Row],[Projet]],TabProjets[NomProj],TabProjets[SYGES])</f>
        <v>AFB OFB_LOT2 -9-1 NATURE FRANCE</v>
      </c>
      <c r="H94">
        <f>LOOKUP(TabVMAzureEnvProjet[[#This Row],[Code SYGES]],TabCONTRATSDI[Contrat SYGES],TabCONTRATSDI[Cost Center])</f>
        <v>305704</v>
      </c>
      <c r="I94" s="22" t="str">
        <f>LOOKUP(TabVMAzureEnvProjet[[#This Row],[Code SYGES]],TabCONTRATSDI[Contrat SYGES],TabCONTRATSDI[Client])</f>
        <v>OFB</v>
      </c>
      <c r="J94" t="s">
        <v>132</v>
      </c>
      <c r="K94" s="31">
        <v>0</v>
      </c>
      <c r="L94" s="39" t="s">
        <v>131</v>
      </c>
    </row>
    <row r="95" spans="1:12" x14ac:dyDescent="0.3">
      <c r="A95" s="22" t="str">
        <f>TabVMAzureEnvProjet[[#This Row],[Client]] &amp; " .:. "  &amp; TabVMAzureEnvProjet[[#This Row],[Projet]]</f>
        <v>MENESR .:. MENJ-BI</v>
      </c>
      <c r="B95" s="22" t="str">
        <f>IF(TabVMAzureEnvProjet[[#This Row],[Projet AzureDevOps]]&lt;&gt;"",TabVMAzureEnvProjet[[#This Row],[Projet AzureDevOps]],TabVMAzureEnvProjet[[#This Row],[VM]])</f>
        <v>MENJ-BI-VM</v>
      </c>
      <c r="D95" t="s">
        <v>66</v>
      </c>
      <c r="E95" t="s">
        <v>129</v>
      </c>
      <c r="F95" t="s">
        <v>65</v>
      </c>
      <c r="G95" t="str">
        <f>LOOKUP(TabVMAzureEnvProjet[[#This Row],[Projet]],TabProjets[NomProj],TabProjets[SYGES])</f>
        <v>MENESR/TMA</v>
      </c>
      <c r="H95">
        <f>LOOKUP(TabVMAzureEnvProjet[[#This Row],[Code SYGES]],TabCONTRATSDI[Contrat SYGES],TabCONTRATSDI[Cost Center])</f>
        <v>305704</v>
      </c>
      <c r="I95" s="22" t="str">
        <f>LOOKUP(TabVMAzureEnvProjet[[#This Row],[Code SYGES]],TabCONTRATSDI[Contrat SYGES],TabCONTRATSDI[Client])</f>
        <v>MENESR</v>
      </c>
      <c r="J95" t="s">
        <v>132</v>
      </c>
      <c r="K95" s="31">
        <v>0</v>
      </c>
      <c r="L95" s="39" t="s">
        <v>131</v>
      </c>
    </row>
    <row r="96" spans="1:12" x14ac:dyDescent="0.3">
      <c r="A96" s="22" t="str">
        <f>TabVMAzureEnvProjet[[#This Row],[Client]] &amp; " .:. "  &amp; TabVMAzureEnvProjet[[#This Row],[Projet]]</f>
        <v>ALM .:. ALM-ATOUT</v>
      </c>
      <c r="B96" s="22" t="str">
        <f>IF(TabVMAzureEnvProjet[[#This Row],[Projet AzureDevOps]]&lt;&gt;"",TabVMAzureEnvProjet[[#This Row],[Projet AzureDevOps]],TabVMAzureEnvProjet[[#This Row],[VM]])</f>
        <v>ALM-ATOUT-VM</v>
      </c>
      <c r="D96" t="s">
        <v>16</v>
      </c>
      <c r="E96" t="s">
        <v>8</v>
      </c>
      <c r="F96" t="s">
        <v>15</v>
      </c>
      <c r="G96" t="str">
        <f>LOOKUP(TabVMAzureEnvProjet[[#This Row],[Projet]],TabProjets[NomProj],TabProjets[SYGES])</f>
        <v>ALM/TMA_ATOUT</v>
      </c>
      <c r="H96">
        <f>LOOKUP(TabVMAzureEnvProjet[[#This Row],[Code SYGES]],TabCONTRATSDI[Contrat SYGES],TabCONTRATSDI[Cost Center])</f>
        <v>305704</v>
      </c>
      <c r="I96" s="22" t="str">
        <f>LOOKUP(TabVMAzureEnvProjet[[#This Row],[Code SYGES]],TabCONTRATSDI[Contrat SYGES],TabCONTRATSDI[Client])</f>
        <v>ALM</v>
      </c>
      <c r="J96" t="s">
        <v>132</v>
      </c>
      <c r="K96" s="31">
        <v>86.412000000000006</v>
      </c>
    </row>
    <row r="97" spans="1:11" x14ac:dyDescent="0.3">
      <c r="A97" s="22" t="str">
        <f>TabVMAzureEnvProjet[[#This Row],[Client]] &amp; " .:. "  &amp; TabVMAzureEnvProjet[[#This Row],[Projet]]</f>
        <v>CA-TITRES .:. CATITRES-COMX</v>
      </c>
      <c r="B97" s="22" t="str">
        <f>IF(TabVMAzureEnvProjet[[#This Row],[Projet AzureDevOps]]&lt;&gt;"",TabVMAzureEnvProjet[[#This Row],[Projet AzureDevOps]],TabVMAzureEnvProjet[[#This Row],[VM]])</f>
        <v>CATITRES-COMX-VM</v>
      </c>
      <c r="D97" t="s">
        <v>23</v>
      </c>
      <c r="E97" t="s">
        <v>11</v>
      </c>
      <c r="F97" t="s">
        <v>22</v>
      </c>
      <c r="G97" t="str">
        <f>LOOKUP(TabVMAzureEnvProjet[[#This Row],[Projet]],TabProjets[NomProj],TabProjets[SYGES])</f>
        <v>CA-TITRES/TMA</v>
      </c>
      <c r="H97">
        <f>LOOKUP(TabVMAzureEnvProjet[[#This Row],[Code SYGES]],TabCONTRATSDI[Contrat SYGES],TabCONTRATSDI[Cost Center])</f>
        <v>305704</v>
      </c>
      <c r="I97" s="22" t="str">
        <f>LOOKUP(TabVMAzureEnvProjet[[#This Row],[Code SYGES]],TabCONTRATSDI[Contrat SYGES],TabCONTRATSDI[Client])</f>
        <v>CA-TITRES</v>
      </c>
      <c r="J97" t="s">
        <v>132</v>
      </c>
      <c r="K97" s="31">
        <v>120.91</v>
      </c>
    </row>
    <row r="98" spans="1:11" x14ac:dyDescent="0.3">
      <c r="A98" s="22" t="str">
        <f>TabVMAzureEnvProjet[[#This Row],[Client]] &amp; " .:. "  &amp; TabVMAzureEnvProjet[[#This Row],[Projet]]</f>
        <v>FRR .:. FRR-DIGIPAT</v>
      </c>
      <c r="B98" s="22" t="str">
        <f>IF(TabVMAzureEnvProjet[[#This Row],[Projet AzureDevOps]]&lt;&gt;"",TabVMAzureEnvProjet[[#This Row],[Projet AzureDevOps]],TabVMAzureEnvProjet[[#This Row],[VM]])</f>
        <v>FRR-DIGIPAT-VM</v>
      </c>
      <c r="D98" t="s">
        <v>29</v>
      </c>
      <c r="E98" t="s">
        <v>19</v>
      </c>
      <c r="F98" t="s">
        <v>27</v>
      </c>
      <c r="G98" t="str">
        <f>LOOKUP(TabVMAzureEnvProjet[[#This Row],[Projet]],TabProjets[NomProj],TabProjets[SYGES])</f>
        <v>FRR/TMASI</v>
      </c>
      <c r="H98">
        <f>LOOKUP(TabVMAzureEnvProjet[[#This Row],[Code SYGES]],TabCONTRATSDI[Contrat SYGES],TabCONTRATSDI[Cost Center])</f>
        <v>305704</v>
      </c>
      <c r="I98" s="22" t="str">
        <f>LOOKUP(TabVMAzureEnvProjet[[#This Row],[Code SYGES]],TabCONTRATSDI[Contrat SYGES],TabCONTRATSDI[Client])</f>
        <v>FRR</v>
      </c>
      <c r="J98" t="s">
        <v>132</v>
      </c>
      <c r="K98" s="31">
        <v>20.94</v>
      </c>
    </row>
    <row r="99" spans="1:11" x14ac:dyDescent="0.3">
      <c r="A99" s="22" t="str">
        <f>TabVMAzureEnvProjet[[#This Row],[Client]] &amp; " .:. "  &amp; TabVMAzureEnvProjet[[#This Row],[Projet]]</f>
        <v>SPC .:. SPC-BUILD</v>
      </c>
      <c r="B99" s="22" t="str">
        <f>IF(TabVMAzureEnvProjet[[#This Row],[Projet AzureDevOps]]&lt;&gt;"",TabVMAzureEnvProjet[[#This Row],[Projet AzureDevOps]],TabVMAzureEnvProjet[[#This Row],[VM]])</f>
        <v>SPC-BUILDAS-VM</v>
      </c>
      <c r="D99" t="s">
        <v>82</v>
      </c>
      <c r="E99" t="s">
        <v>11</v>
      </c>
      <c r="F99" t="s">
        <v>81</v>
      </c>
      <c r="G99" t="str">
        <f>LOOKUP(TabVMAzureEnvProjet[[#This Row],[Projet]],TabProjets[NomProj],TabProjets[SYGES])</f>
        <v>SPC/BUILD</v>
      </c>
      <c r="H99">
        <f>LOOKUP(TabVMAzureEnvProjet[[#This Row],[Code SYGES]],TabCONTRATSDI[Contrat SYGES],TabCONTRATSDI[Cost Center])</f>
        <v>305704</v>
      </c>
      <c r="I99" s="22" t="str">
        <f>LOOKUP(TabVMAzureEnvProjet[[#This Row],[Code SYGES]],TabCONTRATSDI[Contrat SYGES],TabCONTRATSDI[Client])</f>
        <v>SPC</v>
      </c>
      <c r="J99" t="s">
        <v>132</v>
      </c>
      <c r="K99" s="31">
        <v>126.65299999999999</v>
      </c>
    </row>
    <row r="100" spans="1:11" x14ac:dyDescent="0.3">
      <c r="A100" s="22" t="str">
        <f>TabVMAzureEnvProjet[[#This Row],[Client]] &amp; " .:. "  &amp; TabVMAzureEnvProjet[[#This Row],[Projet]]</f>
        <v>BRGM .:. BRGM-ORRM</v>
      </c>
      <c r="B100" s="22" t="str">
        <f>IF(TabVMAzureEnvProjet[[#This Row],[Projet AzureDevOps]]&lt;&gt;"",TabVMAzureEnvProjet[[#This Row],[Projet AzureDevOps]],TabVMAzureEnvProjet[[#This Row],[VM]])</f>
        <v>BRGM-ORRM-VM</v>
      </c>
      <c r="D100" t="s">
        <v>20</v>
      </c>
      <c r="E100" t="s">
        <v>19</v>
      </c>
      <c r="F100" t="s">
        <v>18</v>
      </c>
      <c r="G100" t="str">
        <f>LOOKUP(TabVMAzureEnvProjet[[#This Row],[Projet]],TabProjets[NomProj],TabProjets[SYGES])</f>
        <v>BRGM/TMA-5-1-ORRM-LOT1</v>
      </c>
      <c r="H100">
        <f>LOOKUP(TabVMAzureEnvProjet[[#This Row],[Code SYGES]],TabCONTRATSDI[Contrat SYGES],TabCONTRATSDI[Cost Center])</f>
        <v>305704</v>
      </c>
      <c r="I100" s="22" t="str">
        <f>LOOKUP(TabVMAzureEnvProjet[[#This Row],[Code SYGES]],TabCONTRATSDI[Contrat SYGES],TabCONTRATSDI[Client])</f>
        <v>BRGM</v>
      </c>
      <c r="J100" t="s">
        <v>132</v>
      </c>
      <c r="K100" s="31">
        <v>6.7960000000000003</v>
      </c>
    </row>
    <row r="101" spans="1:11" x14ac:dyDescent="0.3">
      <c r="A101" s="22" t="str">
        <f>TabVMAzureEnvProjet[[#This Row],[Client]] &amp; " .:. "  &amp; TabVMAzureEnvProjet[[#This Row],[Projet]]</f>
        <v>EBR .:. EBR-LAPOSTE</v>
      </c>
      <c r="B101" s="22" t="str">
        <f>IF(TabVMAzureEnvProjet[[#This Row],[Projet AzureDevOps]]&lt;&gt;"",TabVMAzureEnvProjet[[#This Row],[Projet AzureDevOps]],TabVMAzureEnvProjet[[#This Row],[VM]])</f>
        <v>EBR-LAPOSTE-VM</v>
      </c>
      <c r="D101" t="s">
        <v>90</v>
      </c>
      <c r="E101" t="s">
        <v>11</v>
      </c>
      <c r="F101" t="s">
        <v>89</v>
      </c>
      <c r="G101" t="str">
        <f>LOOKUP(TabVMAzureEnvProjet[[#This Row],[Projet]],TabProjets[NomProj],TabProjets[SYGES])</f>
        <v>EBR/TMA</v>
      </c>
      <c r="H101">
        <f>LOOKUP(TabVMAzureEnvProjet[[#This Row],[Code SYGES]],TabCONTRATSDI[Contrat SYGES],TabCONTRATSDI[Cost Center])</f>
        <v>305704</v>
      </c>
      <c r="I101" s="34" t="str">
        <f>LOOKUP(TabVMAzureEnvProjet[[#This Row],[Code SYGES]],TabCONTRATSDI[Contrat SYGES],TabCONTRATSDI[Client])</f>
        <v>EBR</v>
      </c>
      <c r="J101" t="s">
        <v>132</v>
      </c>
      <c r="K101" s="31">
        <v>161.68900000000002</v>
      </c>
    </row>
    <row r="102" spans="1:11" x14ac:dyDescent="0.3">
      <c r="A102" s="22" t="str">
        <f>TabVMAzureEnvProjet[[#This Row],[Client]] &amp; " .:. "  &amp; TabVMAzureEnvProjet[[#This Row],[Projet]]</f>
        <v>OFB .:. OFB-NATUREFRANCE</v>
      </c>
      <c r="B102" s="22" t="str">
        <f>IF(TabVMAzureEnvProjet[[#This Row],[Projet AzureDevOps]]&lt;&gt;"",TabVMAzureEnvProjet[[#This Row],[Projet AzureDevOps]],TabVMAzureEnvProjet[[#This Row],[VM]])</f>
        <v>OFB-FRANCENATURE-VM</v>
      </c>
      <c r="D102" t="s">
        <v>9</v>
      </c>
      <c r="E102" t="s">
        <v>8</v>
      </c>
      <c r="F102" t="s">
        <v>92</v>
      </c>
      <c r="G102" t="str">
        <f>LOOKUP(TabVMAzureEnvProjet[[#This Row],[Projet]],TabProjets[NomProj],TabProjets[SYGES])</f>
        <v>AFB OFB_LOT2 -9-1 NATURE FRANCE</v>
      </c>
      <c r="H102">
        <f>LOOKUP(TabVMAzureEnvProjet[[#This Row],[Code SYGES]],TabCONTRATSDI[Contrat SYGES],TabCONTRATSDI[Cost Center])</f>
        <v>305704</v>
      </c>
      <c r="I102" s="22" t="str">
        <f>LOOKUP(TabVMAzureEnvProjet[[#This Row],[Code SYGES]],TabCONTRATSDI[Contrat SYGES],TabCONTRATSDI[Client])</f>
        <v>OFB</v>
      </c>
      <c r="J102" t="s">
        <v>132</v>
      </c>
      <c r="K102" s="31">
        <v>7.1959999999999997</v>
      </c>
    </row>
    <row r="103" spans="1:11" x14ac:dyDescent="0.3">
      <c r="A103" s="22" t="str">
        <f>TabVMAzureEnvProjet[[#This Row],[Client]] &amp; " .:. "  &amp; TabVMAzureEnvProjet[[#This Row],[Projet]]</f>
        <v>ONEMA .:. AFB-PATBIODIV</v>
      </c>
      <c r="B103" s="22" t="str">
        <f>IF(TabVMAzureEnvProjet[[#This Row],[Projet AzureDevOps]]&lt;&gt;"",TabVMAzureEnvProjet[[#This Row],[Projet AzureDevOps]],TabVMAzureEnvProjet[[#This Row],[VM]])</f>
        <v>AFB-PATBiodiv</v>
      </c>
      <c r="C103" t="s">
        <v>78</v>
      </c>
      <c r="E103" t="s">
        <v>4</v>
      </c>
      <c r="F103" t="s">
        <v>77</v>
      </c>
      <c r="G103" t="str">
        <f>LOOKUP(TabVMAzureEnvProjet[[#This Row],[Projet]],TabProjets[NomProj],TabProjets[SYGES])</f>
        <v>ONEMA/TMADCUA-15</v>
      </c>
      <c r="H103">
        <f>LOOKUP(TabVMAzureEnvProjet[[#This Row],[Code SYGES]],TabCONTRATSDI[Contrat SYGES],TabCONTRATSDI[Cost Center])</f>
        <v>305704</v>
      </c>
      <c r="I103" s="22" t="str">
        <f>LOOKUP(TabVMAzureEnvProjet[[#This Row],[Code SYGES]],TabCONTRATSDI[Contrat SYGES],TabCONTRATSDI[Client])</f>
        <v>ONEMA</v>
      </c>
      <c r="J103" t="s">
        <v>132</v>
      </c>
      <c r="K103" s="31">
        <v>7.085873851984962</v>
      </c>
    </row>
    <row r="104" spans="1:11" x14ac:dyDescent="0.3">
      <c r="A104" s="22" t="str">
        <f>TabVMAzureEnvProjet[[#This Row],[Client]] &amp; " .:. "  &amp; TabVMAzureEnvProjet[[#This Row],[Projet]]</f>
        <v>ONEMA .:. AFB-CATALOGUE</v>
      </c>
      <c r="B104" s="22" t="str">
        <f>IF(TabVMAzureEnvProjet[[#This Row],[Projet AzureDevOps]]&lt;&gt;"",TabVMAzureEnvProjet[[#This Row],[Projet AzureDevOps]],TabVMAzureEnvProjet[[#This Row],[VM]])</f>
        <v>AFB-Catalogue</v>
      </c>
      <c r="C104" t="s">
        <v>74</v>
      </c>
      <c r="E104" t="s">
        <v>4</v>
      </c>
      <c r="F104" t="s">
        <v>73</v>
      </c>
      <c r="G104" t="str">
        <f>LOOKUP(TabVMAzureEnvProjet[[#This Row],[Projet]],TabProjets[NomProj],TabProjets[SYGES])</f>
        <v>ONEMA/TMADCUA-15</v>
      </c>
      <c r="H104">
        <f>LOOKUP(TabVMAzureEnvProjet[[#This Row],[Code SYGES]],TabCONTRATSDI[Contrat SYGES],TabCONTRATSDI[Cost Center])</f>
        <v>305704</v>
      </c>
      <c r="I104" s="22" t="str">
        <f>LOOKUP(TabVMAzureEnvProjet[[#This Row],[Code SYGES]],TabCONTRATSDI[Contrat SYGES],TabCONTRATSDI[Client])</f>
        <v>ONEMA</v>
      </c>
      <c r="J104" t="s">
        <v>132</v>
      </c>
      <c r="K104" s="31">
        <v>1.627403256668233</v>
      </c>
    </row>
    <row r="105" spans="1:11" x14ac:dyDescent="0.3">
      <c r="A105" s="22" t="str">
        <f>TabVMAzureEnvProjet[[#This Row],[Client]] &amp; " .:. "  &amp; TabVMAzureEnvProjet[[#This Row],[Projet]]</f>
        <v>SPC .:. SPC-WEB</v>
      </c>
      <c r="B105" s="22" t="str">
        <f>IF(TabVMAzureEnvProjet[[#This Row],[Projet AzureDevOps]]&lt;&gt;"",TabVMAzureEnvProjet[[#This Row],[Projet AzureDevOps]],TabVMAzureEnvProjet[[#This Row],[VM]])</f>
        <v>SPC-WEB</v>
      </c>
      <c r="C105" t="s">
        <v>83</v>
      </c>
      <c r="E105" t="s">
        <v>4</v>
      </c>
      <c r="F105" t="s">
        <v>83</v>
      </c>
      <c r="G105" t="str">
        <f>LOOKUP(TabVMAzureEnvProjet[[#This Row],[Projet]],TabProjets[NomProj],TabProjets[SYGES])</f>
        <v>SPC/BUILD-0-1-SITE-WEB</v>
      </c>
      <c r="H105">
        <f>LOOKUP(TabVMAzureEnvProjet[[#This Row],[Code SYGES]],TabCONTRATSDI[Contrat SYGES],TabCONTRATSDI[Cost Center])</f>
        <v>305704</v>
      </c>
      <c r="I105" s="22" t="str">
        <f>LOOKUP(TabVMAzureEnvProjet[[#This Row],[Code SYGES]],TabCONTRATSDI[Contrat SYGES],TabCONTRATSDI[Client])</f>
        <v>SPC</v>
      </c>
      <c r="J105" t="s">
        <v>132</v>
      </c>
      <c r="K105" s="31">
        <v>2.710560178319549</v>
      </c>
    </row>
    <row r="106" spans="1:11" x14ac:dyDescent="0.3">
      <c r="A106" s="22" t="str">
        <f>TabVMAzureEnvProjet[[#This Row],[Client]] &amp; " .:. "  &amp; TabVMAzureEnvProjet[[#This Row],[Projet]]</f>
        <v>CNAV .:. CNAV-BI-RGCU</v>
      </c>
      <c r="B106" s="22" t="str">
        <f>IF(TabVMAzureEnvProjet[[#This Row],[Projet AzureDevOps]]&lt;&gt;"",TabVMAzureEnvProjet[[#This Row],[Projet AzureDevOps]],TabVMAzureEnvProjet[[#This Row],[VM]])</f>
        <v>CNAV-BI-RGCU</v>
      </c>
      <c r="C106" t="s">
        <v>25</v>
      </c>
      <c r="E106" t="s">
        <v>4</v>
      </c>
      <c r="F106" t="s">
        <v>25</v>
      </c>
      <c r="G106" t="str">
        <f>LOOKUP(TabVMAzureEnvProjet[[#This Row],[Projet]],TabProjets[NomProj],TabProjets[SYGES])</f>
        <v>CNAV/BI-SIRRGCU</v>
      </c>
      <c r="H106">
        <f>LOOKUP(TabVMAzureEnvProjet[[#This Row],[Code SYGES]],TabCONTRATSDI[Contrat SYGES],TabCONTRATSDI[Cost Center])</f>
        <v>305704</v>
      </c>
      <c r="I106" s="22" t="str">
        <f>LOOKUP(TabVMAzureEnvProjet[[#This Row],[Code SYGES]],TabCONTRATSDI[Contrat SYGES],TabCONTRATSDI[Client])</f>
        <v>CNAV</v>
      </c>
      <c r="J106" t="s">
        <v>132</v>
      </c>
      <c r="K106" s="31">
        <v>25.398162300789473</v>
      </c>
    </row>
    <row r="107" spans="1:11" x14ac:dyDescent="0.3">
      <c r="A107" s="22" t="str">
        <f>TabVMAzureEnvProjet[[#This Row],[Client]] &amp; " .:. "  &amp; TabVMAzureEnvProjet[[#This Row],[Projet]]</f>
        <v>SPC .:. SPC-BUILD</v>
      </c>
      <c r="B107" s="22" t="str">
        <f>IF(TabVMAzureEnvProjet[[#This Row],[Projet AzureDevOps]]&lt;&gt;"",TabVMAzureEnvProjet[[#This Row],[Projet AzureDevOps]],TabVMAzureEnvProjet[[#This Row],[VM]])</f>
        <v>SPC-BUILD</v>
      </c>
      <c r="C107" t="s">
        <v>81</v>
      </c>
      <c r="E107" t="s">
        <v>4</v>
      </c>
      <c r="F107" t="s">
        <v>81</v>
      </c>
      <c r="G107" t="str">
        <f>LOOKUP(TabVMAzureEnvProjet[[#This Row],[Projet]],TabProjets[NomProj],TabProjets[SYGES])</f>
        <v>SPC/BUILD</v>
      </c>
      <c r="H107">
        <f>LOOKUP(TabVMAzureEnvProjet[[#This Row],[Code SYGES]],TabCONTRATSDI[Contrat SYGES],TabCONTRATSDI[Cost Center])</f>
        <v>305704</v>
      </c>
      <c r="I107" s="22" t="str">
        <f>LOOKUP(TabVMAzureEnvProjet[[#This Row],[Code SYGES]],TabCONTRATSDI[Contrat SYGES],TabCONTRATSDI[Client])</f>
        <v>SPC</v>
      </c>
      <c r="J107" t="s">
        <v>132</v>
      </c>
      <c r="K107" s="31">
        <v>26.443968983763156</v>
      </c>
    </row>
    <row r="108" spans="1:11" x14ac:dyDescent="0.3">
      <c r="A108" s="22" t="str">
        <f>TabVMAzureEnvProjet[[#This Row],[Client]] &amp; " .:. "  &amp; TabVMAzureEnvProjet[[#This Row],[Projet]]</f>
        <v>ONEMA .:. AFB-OISON</v>
      </c>
      <c r="B108" s="22" t="str">
        <f>IF(TabVMAzureEnvProjet[[#This Row],[Projet AzureDevOps]]&lt;&gt;"",TabVMAzureEnvProjet[[#This Row],[Projet AzureDevOps]],TabVMAzureEnvProjet[[#This Row],[VM]])</f>
        <v>AFB-OISON</v>
      </c>
      <c r="C108" t="s">
        <v>76</v>
      </c>
      <c r="E108" t="s">
        <v>4</v>
      </c>
      <c r="F108" t="s">
        <v>76</v>
      </c>
      <c r="G108" t="str">
        <f>LOOKUP(TabVMAzureEnvProjet[[#This Row],[Projet]],TabProjets[NomProj],TabProjets[SYGES])</f>
        <v>ONEMA/TMADCUA-15</v>
      </c>
      <c r="H108">
        <f>LOOKUP(TabVMAzureEnvProjet[[#This Row],[Code SYGES]],TabCONTRATSDI[Contrat SYGES],TabCONTRATSDI[Cost Center])</f>
        <v>305704</v>
      </c>
      <c r="I108" s="22" t="str">
        <f>LOOKUP(TabVMAzureEnvProjet[[#This Row],[Code SYGES]],TabCONTRATSDI[Contrat SYGES],TabCONTRATSDI[Client])</f>
        <v>ONEMA</v>
      </c>
      <c r="J108" t="s">
        <v>132</v>
      </c>
      <c r="K108" s="31">
        <v>5.0095102969466616</v>
      </c>
    </row>
    <row r="109" spans="1:11" x14ac:dyDescent="0.3">
      <c r="A109" s="22" t="str">
        <f>TabVMAzureEnvProjet[[#This Row],[Client]] &amp; " .:. "  &amp; TabVMAzureEnvProjet[[#This Row],[Projet]]</f>
        <v>AFB .:. AFB-PNX</v>
      </c>
      <c r="B109" s="22" t="str">
        <f>IF(TabVMAzureEnvProjet[[#This Row],[Projet AzureDevOps]]&lt;&gt;"",TabVMAzureEnvProjet[[#This Row],[Projet AzureDevOps]],TabVMAzureEnvProjet[[#This Row],[VM]])</f>
        <v>AFB-PNX</v>
      </c>
      <c r="C109" t="s">
        <v>6</v>
      </c>
      <c r="E109" t="s">
        <v>4</v>
      </c>
      <c r="F109" t="s">
        <v>6</v>
      </c>
      <c r="G109" t="str">
        <f>LOOKUP(TabVMAzureEnvProjet[[#This Row],[Projet]],TabProjets[NomProj],TabProjets[SYGES])</f>
        <v>AFB/OFB_LOT2</v>
      </c>
      <c r="H109">
        <f>LOOKUP(TabVMAzureEnvProjet[[#This Row],[Code SYGES]],TabCONTRATSDI[Contrat SYGES],TabCONTRATSDI[Cost Center])</f>
        <v>305704</v>
      </c>
      <c r="I109" s="22" t="str">
        <f>LOOKUP(TabVMAzureEnvProjet[[#This Row],[Code SYGES]],TabCONTRATSDI[Contrat SYGES],TabCONTRATSDI[Client])</f>
        <v>AFB</v>
      </c>
      <c r="J109" t="s">
        <v>132</v>
      </c>
      <c r="K109" s="31">
        <v>3.0393269394218496</v>
      </c>
    </row>
    <row r="110" spans="1:11" x14ac:dyDescent="0.3">
      <c r="A110" s="22" t="str">
        <f>TabVMAzureEnvProjet[[#This Row],[Client]] &amp; " .:. "  &amp; TabVMAzureEnvProjet[[#This Row],[Projet]]</f>
        <v>AFB .:. AFB-NatureFrance</v>
      </c>
      <c r="B110" s="22" t="str">
        <f>IF(TabVMAzureEnvProjet[[#This Row],[Projet AzureDevOps]]&lt;&gt;"",TabVMAzureEnvProjet[[#This Row],[Projet AzureDevOps]],TabVMAzureEnvProjet[[#This Row],[VM]])</f>
        <v>OFB-NatureFrance</v>
      </c>
      <c r="C110" t="s">
        <v>93</v>
      </c>
      <c r="E110" t="s">
        <v>4</v>
      </c>
      <c r="F110" t="s">
        <v>7</v>
      </c>
      <c r="G110" t="str">
        <f>LOOKUP(TabVMAzureEnvProjet[[#This Row],[Projet]],TabProjets[NomProj],TabProjets[SYGES])</f>
        <v>AFB/OFB_LOT2</v>
      </c>
      <c r="H110">
        <f>LOOKUP(TabVMAzureEnvProjet[[#This Row],[Code SYGES]],TabCONTRATSDI[Contrat SYGES],TabCONTRATSDI[Cost Center])</f>
        <v>305704</v>
      </c>
      <c r="I110" s="22" t="str">
        <f>LOOKUP(TabVMAzureEnvProjet[[#This Row],[Code SYGES]],TabCONTRATSDI[Contrat SYGES],TabCONTRATSDI[Client])</f>
        <v>AFB</v>
      </c>
      <c r="J110" t="s">
        <v>132</v>
      </c>
      <c r="K110" s="31">
        <v>8.4994573095890811</v>
      </c>
    </row>
    <row r="111" spans="1:11" x14ac:dyDescent="0.3">
      <c r="A111" s="22" t="str">
        <f>TabVMAzureEnvProjet[[#This Row],[Client]] &amp; " .:. "  &amp; TabVMAzureEnvProjet[[#This Row],[Projet]]</f>
        <v>FRR .:. FRR-DIGIPAT</v>
      </c>
      <c r="B111" s="22" t="str">
        <f>IF(TabVMAzureEnvProjet[[#This Row],[Projet AzureDevOps]]&lt;&gt;"",TabVMAzureEnvProjet[[#This Row],[Projet AzureDevOps]],TabVMAzureEnvProjet[[#This Row],[VM]])</f>
        <v>FRR DIGIPAT</v>
      </c>
      <c r="C111" t="s">
        <v>28</v>
      </c>
      <c r="E111" t="s">
        <v>4</v>
      </c>
      <c r="F111" t="s">
        <v>27</v>
      </c>
      <c r="G111" t="str">
        <f>LOOKUP(TabVMAzureEnvProjet[[#This Row],[Projet]],TabProjets[NomProj],TabProjets[SYGES])</f>
        <v>FRR/TMASI</v>
      </c>
      <c r="H111">
        <f>LOOKUP(TabVMAzureEnvProjet[[#This Row],[Code SYGES]],TabCONTRATSDI[Contrat SYGES],TabCONTRATSDI[Cost Center])</f>
        <v>305704</v>
      </c>
      <c r="I111" s="22" t="str">
        <f>LOOKUP(TabVMAzureEnvProjet[[#This Row],[Code SYGES]],TabCONTRATSDI[Contrat SYGES],TabCONTRATSDI[Client])</f>
        <v>FRR</v>
      </c>
      <c r="J111" t="s">
        <v>132</v>
      </c>
      <c r="K111" s="31">
        <v>8.409139450849624</v>
      </c>
    </row>
    <row r="112" spans="1:11" x14ac:dyDescent="0.3">
      <c r="A112" s="22" t="str">
        <f>TabVMAzureEnvProjet[[#This Row],[Client]] &amp; " .:. "  &amp; TabVMAzureEnvProjet[[#This Row],[Projet]]</f>
        <v>ALM .:. ALM-ATOUT</v>
      </c>
      <c r="B112" s="22" t="str">
        <f>IF(TabVMAzureEnvProjet[[#This Row],[Projet AzureDevOps]]&lt;&gt;"",TabVMAzureEnvProjet[[#This Row],[Projet AzureDevOps]],TabVMAzureEnvProjet[[#This Row],[VM]])</f>
        <v>ALM-ATOUT</v>
      </c>
      <c r="C112" t="s">
        <v>15</v>
      </c>
      <c r="E112" t="s">
        <v>4</v>
      </c>
      <c r="F112" t="s">
        <v>15</v>
      </c>
      <c r="G112" t="str">
        <f>LOOKUP(TabVMAzureEnvProjet[[#This Row],[Projet]],TabProjets[NomProj],TabProjets[SYGES])</f>
        <v>ALM/TMA_ATOUT</v>
      </c>
      <c r="H112">
        <f>LOOKUP(TabVMAzureEnvProjet[[#This Row],[Code SYGES]],TabCONTRATSDI[Contrat SYGES],TabCONTRATSDI[Cost Center])</f>
        <v>305704</v>
      </c>
      <c r="I112" s="22" t="str">
        <f>LOOKUP(TabVMAzureEnvProjet[[#This Row],[Code SYGES]],TabCONTRATSDI[Contrat SYGES],TabCONTRATSDI[Client])</f>
        <v>ALM</v>
      </c>
      <c r="J112" t="s">
        <v>132</v>
      </c>
      <c r="K112" s="31">
        <v>18.157908438323219</v>
      </c>
    </row>
    <row r="113" spans="1:11" x14ac:dyDescent="0.3">
      <c r="A113" s="22" t="str">
        <f>TabVMAzureEnvProjet[[#This Row],[Client]] &amp; " .:. "  &amp; TabVMAzureEnvProjet[[#This Row],[Projet]]</f>
        <v>BRGM .:. BRGM-ORRM</v>
      </c>
      <c r="B113" s="22" t="str">
        <f>IF(TabVMAzureEnvProjet[[#This Row],[Projet AzureDevOps]]&lt;&gt;"",TabVMAzureEnvProjet[[#This Row],[Projet AzureDevOps]],TabVMAzureEnvProjet[[#This Row],[VM]])</f>
        <v>BRGM-ORRM</v>
      </c>
      <c r="C113" t="s">
        <v>18</v>
      </c>
      <c r="E113" t="s">
        <v>4</v>
      </c>
      <c r="F113" t="s">
        <v>18</v>
      </c>
      <c r="G113" t="str">
        <f>LOOKUP(TabVMAzureEnvProjet[[#This Row],[Projet]],TabProjets[NomProj],TabProjets[SYGES])</f>
        <v>BRGM/TMA-5-1-ORRM-LOT1</v>
      </c>
      <c r="H113">
        <f>LOOKUP(TabVMAzureEnvProjet[[#This Row],[Code SYGES]],TabCONTRATSDI[Contrat SYGES],TabCONTRATSDI[Cost Center])</f>
        <v>305704</v>
      </c>
      <c r="I113" s="22" t="str">
        <f>LOOKUP(TabVMAzureEnvProjet[[#This Row],[Code SYGES]],TabCONTRATSDI[Contrat SYGES],TabCONTRATSDI[Client])</f>
        <v>BRGM</v>
      </c>
      <c r="J113" t="s">
        <v>132</v>
      </c>
      <c r="K113" s="31">
        <v>5.978522277374748</v>
      </c>
    </row>
    <row r="114" spans="1:11" x14ac:dyDescent="0.3">
      <c r="A114" s="22" t="str">
        <f>TabVMAzureEnvProjet[[#This Row],[Client]] &amp; " .:. "  &amp; TabVMAzureEnvProjet[[#This Row],[Projet]]</f>
        <v>ONEMA .:. AFB-CDR</v>
      </c>
      <c r="B114" s="22" t="str">
        <f>IF(TabVMAzureEnvProjet[[#This Row],[Projet AzureDevOps]]&lt;&gt;"",TabVMAzureEnvProjet[[#This Row],[Projet AzureDevOps]],TabVMAzureEnvProjet[[#This Row],[VM]])</f>
        <v>AFB-CDR</v>
      </c>
      <c r="C114" t="s">
        <v>75</v>
      </c>
      <c r="E114" t="s">
        <v>4</v>
      </c>
      <c r="F114" t="s">
        <v>75</v>
      </c>
      <c r="G114" t="str">
        <f>LOOKUP(TabVMAzureEnvProjet[[#This Row],[Projet]],TabProjets[NomProj],TabProjets[SYGES])</f>
        <v>ONEMA/TMAWEB-16</v>
      </c>
      <c r="H114">
        <f>LOOKUP(TabVMAzureEnvProjet[[#This Row],[Code SYGES]],TabCONTRATSDI[Contrat SYGES],TabCONTRATSDI[Cost Center])</f>
        <v>305704</v>
      </c>
      <c r="I114" s="22" t="str">
        <f>LOOKUP(TabVMAzureEnvProjet[[#This Row],[Code SYGES]],TabCONTRATSDI[Contrat SYGES],TabCONTRATSDI[Client])</f>
        <v>ONEMA</v>
      </c>
      <c r="J114" t="s">
        <v>132</v>
      </c>
      <c r="K114" s="31">
        <v>7.1232240906625943</v>
      </c>
    </row>
    <row r="115" spans="1:11" x14ac:dyDescent="0.3">
      <c r="A115" s="22" t="str">
        <f>TabVMAzureEnvProjet[[#This Row],[Client]] &amp; " .:. "  &amp; TabVMAzureEnvProjet[[#This Row],[Projet]]</f>
        <v>MENESR .:. MENJ-BNIE</v>
      </c>
      <c r="B115" s="22" t="str">
        <f>IF(TabVMAzureEnvProjet[[#This Row],[Projet AzureDevOps]]&lt;&gt;"",TabVMAzureEnvProjet[[#This Row],[Projet AzureDevOps]],TabVMAzureEnvProjet[[#This Row],[VM]])</f>
        <v>MENJ-BNIE-BDD</v>
      </c>
      <c r="C115" t="s">
        <v>60</v>
      </c>
      <c r="E115" t="s">
        <v>4</v>
      </c>
      <c r="F115" t="s">
        <v>59</v>
      </c>
      <c r="G115" t="str">
        <f>LOOKUP(TabVMAzureEnvProjet[[#This Row],[Projet]],TabProjets[NomProj],TabProjets[SYGES])</f>
        <v>MENESR/TMA</v>
      </c>
      <c r="H115">
        <f>LOOKUP(TabVMAzureEnvProjet[[#This Row],[Code SYGES]],TabCONTRATSDI[Contrat SYGES],TabCONTRATSDI[Cost Center])</f>
        <v>305704</v>
      </c>
      <c r="I115" s="22" t="str">
        <f>LOOKUP(TabVMAzureEnvProjet[[#This Row],[Code SYGES]],TabCONTRATSDI[Contrat SYGES],TabCONTRATSDI[Client])</f>
        <v>MENESR</v>
      </c>
      <c r="J115" t="s">
        <v>132</v>
      </c>
      <c r="K115" s="31">
        <v>5.2265716192029599</v>
      </c>
    </row>
    <row r="116" spans="1:11" x14ac:dyDescent="0.3">
      <c r="A116" s="22" t="str">
        <f>TabVMAzureEnvProjet[[#This Row],[Client]] &amp; " .:. "  &amp; TabVMAzureEnvProjet[[#This Row],[Projet]]</f>
        <v>AFB .:. AFB-PNM</v>
      </c>
      <c r="B116" s="22" t="str">
        <f>IF(TabVMAzureEnvProjet[[#This Row],[Projet AzureDevOps]]&lt;&gt;"",TabVMAzureEnvProjet[[#This Row],[Projet AzureDevOps]],TabVMAzureEnvProjet[[#This Row],[VM]])</f>
        <v>AFB-PNM</v>
      </c>
      <c r="C116" t="s">
        <v>5</v>
      </c>
      <c r="E116" t="s">
        <v>4</v>
      </c>
      <c r="F116" t="s">
        <v>5</v>
      </c>
      <c r="G116" t="str">
        <f>LOOKUP(TabVMAzureEnvProjet[[#This Row],[Projet]],TabProjets[NomProj],TabProjets[SYGES])</f>
        <v>AFB/OFB_LOT2</v>
      </c>
      <c r="H116">
        <f>LOOKUP(TabVMAzureEnvProjet[[#This Row],[Code SYGES]],TabCONTRATSDI[Contrat SYGES],TabCONTRATSDI[Cost Center])</f>
        <v>305704</v>
      </c>
      <c r="I116" s="22" t="str">
        <f>LOOKUP(TabVMAzureEnvProjet[[#This Row],[Code SYGES]],TabCONTRATSDI[Contrat SYGES],TabCONTRATSDI[Client])</f>
        <v>AFB</v>
      </c>
      <c r="J116" t="s">
        <v>132</v>
      </c>
      <c r="K116" s="31">
        <v>10.844747095520127</v>
      </c>
    </row>
    <row r="117" spans="1:11" x14ac:dyDescent="0.3">
      <c r="A117" s="22" t="str">
        <f>TabVMAzureEnvProjet[[#This Row],[Client]] &amp; " .:. "  &amp; TabVMAzureEnvProjet[[#This Row],[Projet]]</f>
        <v>GFI .:. GFI-INTERNE</v>
      </c>
      <c r="B117" s="22" t="str">
        <f>IF(TabVMAzureEnvProjet[[#This Row],[Projet AzureDevOps]]&lt;&gt;"",TabVMAzureEnvProjet[[#This Row],[Projet AzureDevOps]],TabVMAzureEnvProjet[[#This Row],[VM]])</f>
        <v>GFI-MineReport</v>
      </c>
      <c r="C117" t="s">
        <v>46</v>
      </c>
      <c r="E117" t="s">
        <v>4</v>
      </c>
      <c r="F117" t="s">
        <v>36</v>
      </c>
      <c r="G117" t="str">
        <f>LOOKUP(TabVMAzureEnvProjet[[#This Row],[Projet]],TabProjets[NomProj],TabProjets[SYGES])</f>
        <v>GFI/PROJET_INTERNE</v>
      </c>
      <c r="H117">
        <f>LOOKUP(TabVMAzureEnvProjet[[#This Row],[Code SYGES]],TabCONTRATSDI[Contrat SYGES],TabCONTRATSDI[Cost Center])</f>
        <v>305704</v>
      </c>
      <c r="I117" s="22" t="str">
        <f>LOOKUP(TabVMAzureEnvProjet[[#This Row],[Code SYGES]],TabCONTRATSDI[Contrat SYGES],TabCONTRATSDI[Client])</f>
        <v>GFI</v>
      </c>
      <c r="J117" t="s">
        <v>132</v>
      </c>
      <c r="K117" s="31">
        <v>3.5482726743750002</v>
      </c>
    </row>
    <row r="118" spans="1:11" x14ac:dyDescent="0.3">
      <c r="A118" s="22" t="str">
        <f>TabVMAzureEnvProjet[[#This Row],[Client]] &amp; " .:. "  &amp; TabVMAzureEnvProjet[[#This Row],[Projet]]</f>
        <v>MENESR .:. MENJ-RNIE</v>
      </c>
      <c r="B118" s="22" t="str">
        <f>IF(TabVMAzureEnvProjet[[#This Row],[Projet AzureDevOps]]&lt;&gt;"",TabVMAzureEnvProjet[[#This Row],[Projet AzureDevOps]],TabVMAzureEnvProjet[[#This Row],[VM]])</f>
        <v>MENJ-RNIE-Webservices</v>
      </c>
      <c r="C118" t="s">
        <v>64</v>
      </c>
      <c r="E118" t="s">
        <v>4</v>
      </c>
      <c r="F118" t="s">
        <v>62</v>
      </c>
      <c r="G118" t="str">
        <f>LOOKUP(TabVMAzureEnvProjet[[#This Row],[Projet]],TabProjets[NomProj],TabProjets[SYGES])</f>
        <v>MENESR/TMA</v>
      </c>
      <c r="H118">
        <f>LOOKUP(TabVMAzureEnvProjet[[#This Row],[Code SYGES]],TabCONTRATSDI[Contrat SYGES],TabCONTRATSDI[Cost Center])</f>
        <v>305704</v>
      </c>
      <c r="I118" s="22" t="str">
        <f>LOOKUP(TabVMAzureEnvProjet[[#This Row],[Code SYGES]],TabCONTRATSDI[Contrat SYGES],TabCONTRATSDI[Client])</f>
        <v>MENESR</v>
      </c>
      <c r="J118" t="s">
        <v>132</v>
      </c>
      <c r="K118" s="31">
        <v>3.2359699020483212</v>
      </c>
    </row>
    <row r="119" spans="1:11" x14ac:dyDescent="0.3">
      <c r="A119" s="22" t="str">
        <f>TabVMAzureEnvProjet[[#This Row],[Client]] &amp; " .:. "  &amp; TabVMAzureEnvProjet[[#This Row],[Projet]]</f>
        <v>PCM .:. PCM-WEB</v>
      </c>
      <c r="B119" s="22" t="str">
        <f>IF(TabVMAzureEnvProjet[[#This Row],[Projet AzureDevOps]]&lt;&gt;"",TabVMAzureEnvProjet[[#This Row],[Projet AzureDevOps]],TabVMAzureEnvProjet[[#This Row],[VM]])</f>
        <v>PCM-Web</v>
      </c>
      <c r="C119" t="s">
        <v>87</v>
      </c>
      <c r="E119" t="s">
        <v>4</v>
      </c>
      <c r="F119" t="s">
        <v>86</v>
      </c>
      <c r="G119" t="str">
        <f>LOOKUP(TabVMAzureEnvProjet[[#This Row],[Projet]],TabProjets[NomProj],TabProjets[SYGES])</f>
        <v>PCM/WEB</v>
      </c>
      <c r="H119">
        <f>LOOKUP(TabVMAzureEnvProjet[[#This Row],[Code SYGES]],TabCONTRATSDI[Contrat SYGES],TabCONTRATSDI[Cost Center])</f>
        <v>305704</v>
      </c>
      <c r="I119" s="22" t="str">
        <f>LOOKUP(TabVMAzureEnvProjet[[#This Row],[Code SYGES]],TabCONTRATSDI[Contrat SYGES],TabCONTRATSDI[Client])</f>
        <v>PCM</v>
      </c>
      <c r="J119" t="s">
        <v>132</v>
      </c>
      <c r="K119" s="31">
        <v>3.6976736290855268</v>
      </c>
    </row>
    <row r="120" spans="1:11" x14ac:dyDescent="0.3">
      <c r="A120" s="22" t="str">
        <f>TabVMAzureEnvProjet[[#This Row],[Client]] &amp; " .:. "  &amp; TabVMAzureEnvProjet[[#This Row],[Projet]]</f>
        <v>GFI .:. GFI-INTERNE</v>
      </c>
      <c r="B120" s="22" t="str">
        <f>IF(TabVMAzureEnvProjet[[#This Row],[Projet AzureDevOps]]&lt;&gt;"",TabVMAzureEnvProjet[[#This Row],[Projet AzureDevOps]],TabVMAzureEnvProjet[[#This Row],[VM]])</f>
        <v>drupal-qa</v>
      </c>
      <c r="C120" t="s">
        <v>38</v>
      </c>
      <c r="E120" t="s">
        <v>4</v>
      </c>
      <c r="F120" t="s">
        <v>36</v>
      </c>
      <c r="G120" t="str">
        <f>LOOKUP(TabVMAzureEnvProjet[[#This Row],[Projet]],TabProjets[NomProj],TabProjets[SYGES])</f>
        <v>GFI/PROJET_INTERNE</v>
      </c>
      <c r="H120">
        <f>LOOKUP(TabVMAzureEnvProjet[[#This Row],[Code SYGES]],TabCONTRATSDI[Contrat SYGES],TabCONTRATSDI[Cost Center])</f>
        <v>305704</v>
      </c>
      <c r="I120" s="22" t="str">
        <f>LOOKUP(TabVMAzureEnvProjet[[#This Row],[Code SYGES]],TabCONTRATSDI[Contrat SYGES],TabCONTRATSDI[Client])</f>
        <v>GFI</v>
      </c>
      <c r="J120" t="s">
        <v>132</v>
      </c>
      <c r="K120" s="31">
        <v>0.88039848311560154</v>
      </c>
    </row>
    <row r="121" spans="1:11" x14ac:dyDescent="0.3">
      <c r="A121" s="22" t="str">
        <f>TabVMAzureEnvProjet[[#This Row],[Client]] &amp; " .:. "  &amp; TabVMAzureEnvProjet[[#This Row],[Projet]]</f>
        <v>MENESR .:. MENJ-RNIE</v>
      </c>
      <c r="B121" s="22" t="str">
        <f>IF(TabVMAzureEnvProjet[[#This Row],[Projet AzureDevOps]]&lt;&gt;"",TabVMAzureEnvProjet[[#This Row],[Projet AzureDevOps]],TabVMAzureEnvProjet[[#This Row],[VM]])</f>
        <v>MENJ-RNIE-BDD</v>
      </c>
      <c r="C121" t="s">
        <v>63</v>
      </c>
      <c r="E121" t="s">
        <v>4</v>
      </c>
      <c r="F121" t="s">
        <v>62</v>
      </c>
      <c r="G121" t="str">
        <f>LOOKUP(TabVMAzureEnvProjet[[#This Row],[Projet]],TabProjets[NomProj],TabProjets[SYGES])</f>
        <v>MENESR/TMA</v>
      </c>
      <c r="H121">
        <f>LOOKUP(TabVMAzureEnvProjet[[#This Row],[Code SYGES]],TabCONTRATSDI[Contrat SYGES],TabCONTRATSDI[Cost Center])</f>
        <v>305704</v>
      </c>
      <c r="I121" s="22" t="str">
        <f>LOOKUP(TabVMAzureEnvProjet[[#This Row],[Code SYGES]],TabCONTRATSDI[Contrat SYGES],TabCONTRATSDI[Client])</f>
        <v>MENESR</v>
      </c>
      <c r="J121" t="s">
        <v>132</v>
      </c>
      <c r="K121" s="31">
        <v>1.4915477514398019</v>
      </c>
    </row>
    <row r="122" spans="1:11" x14ac:dyDescent="0.3">
      <c r="A122" s="22" t="str">
        <f>TabVMAzureEnvProjet[[#This Row],[Client]] &amp; " .:. "  &amp; TabVMAzureEnvProjet[[#This Row],[Projet]]</f>
        <v>GLI .:. GLI-APIBIOMETRIE</v>
      </c>
      <c r="B122" s="22" t="str">
        <f>IF(TabVMAzureEnvProjet[[#This Row],[Projet AzureDevOps]]&lt;&gt;"",TabVMAzureEnvProjet[[#This Row],[Projet AzureDevOps]],TabVMAzureEnvProjet[[#This Row],[VM]])</f>
        <v>GLI-APIBiometrie</v>
      </c>
      <c r="C122" t="s">
        <v>56</v>
      </c>
      <c r="E122" t="s">
        <v>4</v>
      </c>
      <c r="F122" t="s">
        <v>55</v>
      </c>
      <c r="G122" t="str">
        <f>LOOKUP(TabVMAzureEnvProjet[[#This Row],[Projet]],TabProjets[NomProj],TabProjets[SYGES])</f>
        <v>GLI/BIOMETRIE</v>
      </c>
      <c r="H122">
        <f>LOOKUP(TabVMAzureEnvProjet[[#This Row],[Code SYGES]],TabCONTRATSDI[Contrat SYGES],TabCONTRATSDI[Cost Center])</f>
        <v>305704</v>
      </c>
      <c r="I122" s="22" t="str">
        <f>LOOKUP(TabVMAzureEnvProjet[[#This Row],[Code SYGES]],TabCONTRATSDI[Contrat SYGES],TabCONTRATSDI[Client])</f>
        <v>GLI</v>
      </c>
      <c r="J122" t="s">
        <v>132</v>
      </c>
      <c r="K122" s="31">
        <v>7.8805550837933698</v>
      </c>
    </row>
    <row r="123" spans="1:11" x14ac:dyDescent="0.3">
      <c r="A123" s="22" t="str">
        <f>TabVMAzureEnvProjet[[#This Row],[Client]] &amp; " .:. "  &amp; TabVMAzureEnvProjet[[#This Row],[Projet]]</f>
        <v>ONEMA .:. AFB-BASEINDICATEURS</v>
      </c>
      <c r="B123" s="22" t="str">
        <f>IF(TabVMAzureEnvProjet[[#This Row],[Projet AzureDevOps]]&lt;&gt;"",TabVMAzureEnvProjet[[#This Row],[Projet AzureDevOps]],TabVMAzureEnvProjet[[#This Row],[VM]])</f>
        <v>AFB-BaseIndicateurs</v>
      </c>
      <c r="C123" t="s">
        <v>72</v>
      </c>
      <c r="E123" t="s">
        <v>4</v>
      </c>
      <c r="F123" t="s">
        <v>71</v>
      </c>
      <c r="G123" t="str">
        <f>LOOKUP(TabVMAzureEnvProjet[[#This Row],[Projet]],TabProjets[NomProj],TabProjets[SYGES])</f>
        <v>ONEMA/TMADCUA-15</v>
      </c>
      <c r="H123">
        <f>LOOKUP(TabVMAzureEnvProjet[[#This Row],[Code SYGES]],TabCONTRATSDI[Contrat SYGES],TabCONTRATSDI[Cost Center])</f>
        <v>305704</v>
      </c>
      <c r="I123" s="22" t="str">
        <f>LOOKUP(TabVMAzureEnvProjet[[#This Row],[Code SYGES]],TabCONTRATSDI[Contrat SYGES],TabCONTRATSDI[Client])</f>
        <v>ONEMA</v>
      </c>
      <c r="J123" t="s">
        <v>132</v>
      </c>
      <c r="K123" s="31">
        <v>1.0671496765037594</v>
      </c>
    </row>
    <row r="124" spans="1:11" x14ac:dyDescent="0.3">
      <c r="A124" s="22" t="str">
        <f>TabVMAzureEnvProjet[[#This Row],[Client]] &amp; " .:. "  &amp; TabVMAzureEnvProjet[[#This Row],[Projet]]</f>
        <v>GFI .:. GFI-INTERNE</v>
      </c>
      <c r="B124" s="22" t="str">
        <f>IF(TabVMAzureEnvProjet[[#This Row],[Projet AzureDevOps]]&lt;&gt;"",TabVMAzureEnvProjet[[#This Row],[Projet AzureDevOps]],TabVMAzureEnvProjet[[#This Row],[VM]])</f>
        <v>GFI-D8-BS4-THEME</v>
      </c>
      <c r="C124" t="s">
        <v>43</v>
      </c>
      <c r="E124" t="s">
        <v>4</v>
      </c>
      <c r="F124" t="s">
        <v>36</v>
      </c>
      <c r="G124" t="str">
        <f>LOOKUP(TabVMAzureEnvProjet[[#This Row],[Projet]],TabProjets[NomProj],TabProjets[SYGES])</f>
        <v>GFI/PROJET_INTERNE</v>
      </c>
      <c r="H124">
        <f>LOOKUP(TabVMAzureEnvProjet[[#This Row],[Code SYGES]],TabCONTRATSDI[Contrat SYGES],TabCONTRATSDI[Cost Center])</f>
        <v>305704</v>
      </c>
      <c r="I124" s="22" t="str">
        <f>LOOKUP(TabVMAzureEnvProjet[[#This Row],[Code SYGES]],TabCONTRATSDI[Contrat SYGES],TabCONTRATSDI[Client])</f>
        <v>GFI</v>
      </c>
      <c r="J124" t="s">
        <v>132</v>
      </c>
      <c r="K124" s="31">
        <v>1.7768042113787594</v>
      </c>
    </row>
    <row r="125" spans="1:11" x14ac:dyDescent="0.3">
      <c r="A125" s="22" t="str">
        <f>TabVMAzureEnvProjet[[#This Row],[Client]] &amp; " .:. "  &amp; TabVMAzureEnvProjet[[#This Row],[Projet]]</f>
        <v>MENESR .:. MENJ-APAE</v>
      </c>
      <c r="B125" s="22" t="str">
        <f>IF(TabVMAzureEnvProjet[[#This Row],[Projet AzureDevOps]]&lt;&gt;"",TabVMAzureEnvProjet[[#This Row],[Projet AzureDevOps]],TabVMAzureEnvProjet[[#This Row],[VM]])</f>
        <v>MENJ-APAE</v>
      </c>
      <c r="C125" t="s">
        <v>58</v>
      </c>
      <c r="E125" t="s">
        <v>4</v>
      </c>
      <c r="F125" t="s">
        <v>58</v>
      </c>
      <c r="G125" t="str">
        <f>LOOKUP(TabVMAzureEnvProjet[[#This Row],[Projet]],TabProjets[NomProj],TabProjets[SYGES])</f>
        <v>MENESR/TMA</v>
      </c>
      <c r="H125">
        <f>LOOKUP(TabVMAzureEnvProjet[[#This Row],[Code SYGES]],TabCONTRATSDI[Contrat SYGES],TabCONTRATSDI[Cost Center])</f>
        <v>305704</v>
      </c>
      <c r="I125" s="22" t="str">
        <f>LOOKUP(TabVMAzureEnvProjet[[#This Row],[Code SYGES]],TabCONTRATSDI[Contrat SYGES],TabCONTRATSDI[Client])</f>
        <v>MENESR</v>
      </c>
      <c r="J125" t="s">
        <v>132</v>
      </c>
      <c r="K125" s="31">
        <v>1.4566593084276316</v>
      </c>
    </row>
    <row r="126" spans="1:11" x14ac:dyDescent="0.3">
      <c r="A126" s="22" t="str">
        <f>TabVMAzureEnvProjet[[#This Row],[Client]] &amp; " .:. "  &amp; TabVMAzureEnvProjet[[#This Row],[Projet]]</f>
        <v>PCM .:. PCM-ALS</v>
      </c>
      <c r="B126" s="22" t="str">
        <f>IF(TabVMAzureEnvProjet[[#This Row],[Projet AzureDevOps]]&lt;&gt;"",TabVMAzureEnvProjet[[#This Row],[Projet AzureDevOps]],TabVMAzureEnvProjet[[#This Row],[VM]])</f>
        <v>PCM-ALS</v>
      </c>
      <c r="C126" t="s">
        <v>85</v>
      </c>
      <c r="E126" t="s">
        <v>4</v>
      </c>
      <c r="F126" t="s">
        <v>85</v>
      </c>
      <c r="G126" t="str">
        <f>LOOKUP(TabVMAzureEnvProjet[[#This Row],[Projet]],TabProjets[NomProj],TabProjets[SYGES])</f>
        <v>PCM/WEB</v>
      </c>
      <c r="H126">
        <f>LOOKUP(TabVMAzureEnvProjet[[#This Row],[Code SYGES]],TabCONTRATSDI[Contrat SYGES],TabCONTRATSDI[Cost Center])</f>
        <v>305704</v>
      </c>
      <c r="I126" s="22" t="str">
        <f>LOOKUP(TabVMAzureEnvProjet[[#This Row],[Code SYGES]],TabCONTRATSDI[Contrat SYGES],TabCONTRATSDI[Client])</f>
        <v>PCM</v>
      </c>
      <c r="J126" t="s">
        <v>132</v>
      </c>
      <c r="K126" s="31">
        <v>8.4579855003954858</v>
      </c>
    </row>
    <row r="127" spans="1:11" x14ac:dyDescent="0.3">
      <c r="A127" s="22" t="str">
        <f>TabVMAzureEnvProjet[[#This Row],[Client]] &amp; " .:. "  &amp; TabVMAzureEnvProjet[[#This Row],[Projet]]</f>
        <v>AFB .:. AFB-CESMIA</v>
      </c>
      <c r="B127" s="22" t="str">
        <f>IF(TabVMAzureEnvProjet[[#This Row],[Projet AzureDevOps]]&lt;&gt;"",TabVMAzureEnvProjet[[#This Row],[Projet AzureDevOps]],TabVMAzureEnvProjet[[#This Row],[VM]])</f>
        <v>AFB-CESMIA</v>
      </c>
      <c r="C127" t="s">
        <v>3</v>
      </c>
      <c r="E127" t="s">
        <v>4</v>
      </c>
      <c r="F127" t="s">
        <v>3</v>
      </c>
      <c r="G127" t="str">
        <f>LOOKUP(TabVMAzureEnvProjet[[#This Row],[Projet]],TabProjets[NomProj],TabProjets[SYGES])</f>
        <v>AFB/OFB_LOT1</v>
      </c>
      <c r="H127">
        <f>LOOKUP(TabVMAzureEnvProjet[[#This Row],[Code SYGES]],TabCONTRATSDI[Contrat SYGES],TabCONTRATSDI[Cost Center])</f>
        <v>305704</v>
      </c>
      <c r="I127" s="22" t="str">
        <f>LOOKUP(TabVMAzureEnvProjet[[#This Row],[Code SYGES]],TabCONTRATSDI[Contrat SYGES],TabCONTRATSDI[Client])</f>
        <v>AFB</v>
      </c>
      <c r="J127" t="s">
        <v>132</v>
      </c>
      <c r="K127" s="31">
        <v>12.986532155321083</v>
      </c>
    </row>
    <row r="128" spans="1:11" x14ac:dyDescent="0.3">
      <c r="A128" s="22" t="str">
        <f>TabVMAzureEnvProjet[[#This Row],[Client]] &amp; " .:. "  &amp; TabVMAzureEnvProjet[[#This Row],[Projet]]</f>
        <v>MENESR .:. MENJ-BI</v>
      </c>
      <c r="B128" s="22" t="str">
        <f>IF(TabVMAzureEnvProjet[[#This Row],[Projet AzureDevOps]]&lt;&gt;"",TabVMAzureEnvProjet[[#This Row],[Projet AzureDevOps]],TabVMAzureEnvProjet[[#This Row],[VM]])</f>
        <v>MENJ-BI</v>
      </c>
      <c r="C128" t="s">
        <v>65</v>
      </c>
      <c r="E128" t="s">
        <v>4</v>
      </c>
      <c r="F128" t="s">
        <v>65</v>
      </c>
      <c r="G128" t="str">
        <f>LOOKUP(TabVMAzureEnvProjet[[#This Row],[Projet]],TabProjets[NomProj],TabProjets[SYGES])</f>
        <v>MENESR/TMA</v>
      </c>
      <c r="H128">
        <f>LOOKUP(TabVMAzureEnvProjet[[#This Row],[Code SYGES]],TabCONTRATSDI[Contrat SYGES],TabCONTRATSDI[Cost Center])</f>
        <v>305704</v>
      </c>
      <c r="I128" s="22" t="str">
        <f>LOOKUP(TabVMAzureEnvProjet[[#This Row],[Code SYGES]],TabCONTRATSDI[Contrat SYGES],TabCONTRATSDI[Client])</f>
        <v>MENESR</v>
      </c>
      <c r="J128" t="s">
        <v>132</v>
      </c>
      <c r="K128" s="31">
        <v>6.7230429619736842</v>
      </c>
    </row>
    <row r="129" spans="1:12" x14ac:dyDescent="0.3">
      <c r="A129" s="22" t="str">
        <f>TabVMAzureEnvProjet[[#This Row],[Client]] &amp; " .:. "  &amp; TabVMAzureEnvProjet[[#This Row],[Projet]]</f>
        <v>MENESR .:. MENJ-BNIE</v>
      </c>
      <c r="B129" s="22" t="str">
        <f>IF(TabVMAzureEnvProjet[[#This Row],[Projet AzureDevOps]]&lt;&gt;"",TabVMAzureEnvProjet[[#This Row],[Projet AzureDevOps]],TabVMAzureEnvProjet[[#This Row],[VM]])</f>
        <v>MENJ-BNIE-Webservices</v>
      </c>
      <c r="C129" t="s">
        <v>61</v>
      </c>
      <c r="E129" t="s">
        <v>4</v>
      </c>
      <c r="F129" t="s">
        <v>59</v>
      </c>
      <c r="G129" t="str">
        <f>LOOKUP(TabVMAzureEnvProjet[[#This Row],[Projet]],TabProjets[NomProj],TabProjets[SYGES])</f>
        <v>MENESR/TMA</v>
      </c>
      <c r="H129">
        <f>LOOKUP(TabVMAzureEnvProjet[[#This Row],[Code SYGES]],TabCONTRATSDI[Contrat SYGES],TabCONTRATSDI[Cost Center])</f>
        <v>305704</v>
      </c>
      <c r="I129" s="22" t="str">
        <f>LOOKUP(TabVMAzureEnvProjet[[#This Row],[Code SYGES]],TabCONTRATSDI[Contrat SYGES],TabCONTRATSDI[Client])</f>
        <v>MENESR</v>
      </c>
      <c r="J129" t="s">
        <v>132</v>
      </c>
      <c r="K129" s="31">
        <v>6.1156699869785545</v>
      </c>
    </row>
    <row r="130" spans="1:12" x14ac:dyDescent="0.3">
      <c r="A130" s="22" t="str">
        <f>TabVMAzureEnvProjet[[#This Row],[Client]] &amp; " .:. "  &amp; TabVMAzureEnvProjet[[#This Row],[Projet]]</f>
        <v>GFI .:. GFI-INTERNE</v>
      </c>
      <c r="B130" s="22" t="str">
        <f>IF(TabVMAzureEnvProjet[[#This Row],[Projet AzureDevOps]]&lt;&gt;"",TabVMAzureEnvProjet[[#This Row],[Projet AzureDevOps]],TabVMAzureEnvProjet[[#This Row],[VM]])</f>
        <v>d8-qa</v>
      </c>
      <c r="C130" t="s">
        <v>37</v>
      </c>
      <c r="E130" t="s">
        <v>4</v>
      </c>
      <c r="F130" t="s">
        <v>36</v>
      </c>
      <c r="G130" t="str">
        <f>LOOKUP(TabVMAzureEnvProjet[[#This Row],[Projet]],TabProjets[NomProj],TabProjets[SYGES])</f>
        <v>GFI/PROJET_INTERNE</v>
      </c>
      <c r="H130">
        <f>LOOKUP(TabVMAzureEnvProjet[[#This Row],[Code SYGES]],TabCONTRATSDI[Contrat SYGES],TabCONTRATSDI[Cost Center])</f>
        <v>305704</v>
      </c>
      <c r="I130" s="22" t="str">
        <f>LOOKUP(TabVMAzureEnvProjet[[#This Row],[Code SYGES]],TabCONTRATSDI[Contrat SYGES],TabCONTRATSDI[Client])</f>
        <v>GFI</v>
      </c>
      <c r="J130" t="s">
        <v>132</v>
      </c>
      <c r="K130" s="31">
        <v>0.88039848311560154</v>
      </c>
    </row>
    <row r="131" spans="1:12" x14ac:dyDescent="0.3">
      <c r="A131" s="22" t="str">
        <f>TabVMAzureEnvProjet[[#This Row],[Client]] &amp; " .:. "  &amp; TabVMAzureEnvProjet[[#This Row],[Projet]]</f>
        <v>ONEMA .:. AFB-BASEINDICATEURS</v>
      </c>
      <c r="B131" s="22" t="str">
        <f>IF(TabVMAzureEnvProjet[[#This Row],[Projet AzureDevOps]]&lt;&gt;"",TabVMAzureEnvProjet[[#This Row],[Projet AzureDevOps]],TabVMAzureEnvProjet[[#This Row],[VM]])</f>
        <v>AFB-BaseIndicateurs</v>
      </c>
      <c r="C131" s="13" t="s">
        <v>72</v>
      </c>
      <c r="E131" t="s">
        <v>4</v>
      </c>
      <c r="F131" t="s">
        <v>71</v>
      </c>
      <c r="G131" t="str">
        <f>LOOKUP(TabVMAzureEnvProjet[[#This Row],[Projet]],TabProjets[NomProj],TabProjets[SYGES])</f>
        <v>ONEMA/TMADCUA-15</v>
      </c>
      <c r="H131">
        <f>LOOKUP(TabVMAzureEnvProjet[[#This Row],[Code SYGES]],TabCONTRATSDI[Contrat SYGES],TabCONTRATSDI[Cost Center])</f>
        <v>305704</v>
      </c>
      <c r="I131" s="22" t="str">
        <f>LOOKUP(TabVMAzureEnvProjet[[#This Row],[Code SYGES]],TabCONTRATSDI[Contrat SYGES],TabCONTRATSDI[Client])</f>
        <v>ONEMA</v>
      </c>
      <c r="J131" t="s">
        <v>133</v>
      </c>
      <c r="K131" s="31">
        <v>0.85182438277083339</v>
      </c>
      <c r="L131" s="40"/>
    </row>
    <row r="132" spans="1:12" x14ac:dyDescent="0.3">
      <c r="A132" s="22" t="str">
        <f>TabVMAzureEnvProjet[[#This Row],[Client]] &amp; " .:. "  &amp; TabVMAzureEnvProjet[[#This Row],[Projet]]</f>
        <v>ONEMA .:. AFB-CATALOGUE</v>
      </c>
      <c r="B132" s="22" t="str">
        <f>IF(TabVMAzureEnvProjet[[#This Row],[Projet AzureDevOps]]&lt;&gt;"",TabVMAzureEnvProjet[[#This Row],[Projet AzureDevOps]],TabVMAzureEnvProjet[[#This Row],[VM]])</f>
        <v>AFB-Catalogue</v>
      </c>
      <c r="C132" s="13" t="s">
        <v>74</v>
      </c>
      <c r="E132" t="s">
        <v>4</v>
      </c>
      <c r="F132" t="s">
        <v>73</v>
      </c>
      <c r="G132" t="str">
        <f>LOOKUP(TabVMAzureEnvProjet[[#This Row],[Projet]],TabProjets[NomProj],TabProjets[SYGES])</f>
        <v>ONEMA/TMADCUA-15</v>
      </c>
      <c r="H132">
        <f>LOOKUP(TabVMAzureEnvProjet[[#This Row],[Code SYGES]],TabCONTRATSDI[Contrat SYGES],TabCONTRATSDI[Cost Center])</f>
        <v>305704</v>
      </c>
      <c r="I132" s="22" t="str">
        <f>LOOKUP(TabVMAzureEnvProjet[[#This Row],[Code SYGES]],TabCONTRATSDI[Contrat SYGES],TabCONTRATSDI[Client])</f>
        <v>ONEMA</v>
      </c>
      <c r="J132" t="s">
        <v>133</v>
      </c>
      <c r="K132" s="31">
        <v>1.3456356191597223</v>
      </c>
      <c r="L132" s="40"/>
    </row>
    <row r="133" spans="1:12" x14ac:dyDescent="0.3">
      <c r="A133" s="22" t="str">
        <f>TabVMAzureEnvProjet[[#This Row],[Client]] &amp; " .:. "  &amp; TabVMAzureEnvProjet[[#This Row],[Projet]]</f>
        <v>ONEMA .:. AFB-CDR</v>
      </c>
      <c r="B133" s="22" t="str">
        <f>IF(TabVMAzureEnvProjet[[#This Row],[Projet AzureDevOps]]&lt;&gt;"",TabVMAzureEnvProjet[[#This Row],[Projet AzureDevOps]],TabVMAzureEnvProjet[[#This Row],[VM]])</f>
        <v>AFB-CDR</v>
      </c>
      <c r="C133" s="13" t="s">
        <v>75</v>
      </c>
      <c r="E133" t="s">
        <v>4</v>
      </c>
      <c r="F133" t="s">
        <v>75</v>
      </c>
      <c r="G133" t="str">
        <f>LOOKUP(TabVMAzureEnvProjet[[#This Row],[Projet]],TabProjets[NomProj],TabProjets[SYGES])</f>
        <v>ONEMA/TMAWEB-16</v>
      </c>
      <c r="H133">
        <f>LOOKUP(TabVMAzureEnvProjet[[#This Row],[Code SYGES]],TabCONTRATSDI[Contrat SYGES],TabCONTRATSDI[Cost Center])</f>
        <v>305704</v>
      </c>
      <c r="I133" s="22" t="str">
        <f>LOOKUP(TabVMAzureEnvProjet[[#This Row],[Code SYGES]],TabCONTRATSDI[Contrat SYGES],TabCONTRATSDI[Client])</f>
        <v>ONEMA</v>
      </c>
      <c r="J133" t="s">
        <v>133</v>
      </c>
      <c r="K133" s="31">
        <v>6.9803745486686513</v>
      </c>
      <c r="L133" s="40"/>
    </row>
    <row r="134" spans="1:12" x14ac:dyDescent="0.3">
      <c r="A134" s="22" t="str">
        <f>TabVMAzureEnvProjet[[#This Row],[Client]] &amp; " .:. "  &amp; TabVMAzureEnvProjet[[#This Row],[Projet]]</f>
        <v>AFB .:. AFB-CESMIA</v>
      </c>
      <c r="B134" s="22" t="str">
        <f>IF(TabVMAzureEnvProjet[[#This Row],[Projet AzureDevOps]]&lt;&gt;"",TabVMAzureEnvProjet[[#This Row],[Projet AzureDevOps]],TabVMAzureEnvProjet[[#This Row],[VM]])</f>
        <v>AFB-CESMIA</v>
      </c>
      <c r="C134" s="13" t="s">
        <v>3</v>
      </c>
      <c r="E134" t="s">
        <v>4</v>
      </c>
      <c r="F134" t="s">
        <v>3</v>
      </c>
      <c r="G134" t="str">
        <f>LOOKUP(TabVMAzureEnvProjet[[#This Row],[Projet]],TabProjets[NomProj],TabProjets[SYGES])</f>
        <v>AFB/OFB_LOT1</v>
      </c>
      <c r="H134">
        <f>LOOKUP(TabVMAzureEnvProjet[[#This Row],[Code SYGES]],TabCONTRATSDI[Contrat SYGES],TabCONTRATSDI[Cost Center])</f>
        <v>305704</v>
      </c>
      <c r="I134" s="22" t="str">
        <f>LOOKUP(TabVMAzureEnvProjet[[#This Row],[Code SYGES]],TabCONTRATSDI[Contrat SYGES],TabCONTRATSDI[Client])</f>
        <v>AFB</v>
      </c>
      <c r="J134" t="s">
        <v>133</v>
      </c>
      <c r="K134" s="31">
        <v>12.380881407715851</v>
      </c>
      <c r="L134" s="40"/>
    </row>
    <row r="135" spans="1:12" x14ac:dyDescent="0.3">
      <c r="A135" s="22" t="str">
        <f>TabVMAzureEnvProjet[[#This Row],[Client]] &amp; " .:. "  &amp; TabVMAzureEnvProjet[[#This Row],[Projet]]</f>
        <v>ONEMA .:. AFB-OISON</v>
      </c>
      <c r="B135" s="22" t="str">
        <f>IF(TabVMAzureEnvProjet[[#This Row],[Projet AzureDevOps]]&lt;&gt;"",TabVMAzureEnvProjet[[#This Row],[Projet AzureDevOps]],TabVMAzureEnvProjet[[#This Row],[VM]])</f>
        <v>AFB-OISON</v>
      </c>
      <c r="C135" s="13" t="s">
        <v>76</v>
      </c>
      <c r="E135" t="s">
        <v>4</v>
      </c>
      <c r="F135" t="s">
        <v>76</v>
      </c>
      <c r="G135" t="str">
        <f>LOOKUP(TabVMAzureEnvProjet[[#This Row],[Projet]],TabProjets[NomProj],TabProjets[SYGES])</f>
        <v>ONEMA/TMADCUA-15</v>
      </c>
      <c r="H135">
        <f>LOOKUP(TabVMAzureEnvProjet[[#This Row],[Code SYGES]],TabCONTRATSDI[Contrat SYGES],TabCONTRATSDI[Cost Center])</f>
        <v>305704</v>
      </c>
      <c r="I135" s="22" t="str">
        <f>LOOKUP(TabVMAzureEnvProjet[[#This Row],[Code SYGES]],TabCONTRATSDI[Contrat SYGES],TabCONTRATSDI[Client])</f>
        <v>ONEMA</v>
      </c>
      <c r="J135" t="s">
        <v>133</v>
      </c>
      <c r="K135" s="31">
        <v>2.9369542479850628</v>
      </c>
      <c r="L135" s="40"/>
    </row>
    <row r="136" spans="1:12" x14ac:dyDescent="0.3">
      <c r="A136" s="22" t="str">
        <f>TabVMAzureEnvProjet[[#This Row],[Client]] &amp; " .:. "  &amp; TabVMAzureEnvProjet[[#This Row],[Projet]]</f>
        <v>ONEMA .:. AFB-PATBIODIV</v>
      </c>
      <c r="B136" s="22" t="str">
        <f>IF(TabVMAzureEnvProjet[[#This Row],[Projet AzureDevOps]]&lt;&gt;"",TabVMAzureEnvProjet[[#This Row],[Projet AzureDevOps]],TabVMAzureEnvProjet[[#This Row],[VM]])</f>
        <v>AFB-PATBiodiv</v>
      </c>
      <c r="C136" s="13" t="s">
        <v>78</v>
      </c>
      <c r="E136" t="s">
        <v>4</v>
      </c>
      <c r="F136" t="s">
        <v>77</v>
      </c>
      <c r="G136" t="str">
        <f>LOOKUP(TabVMAzureEnvProjet[[#This Row],[Projet]],TabProjets[NomProj],TabProjets[SYGES])</f>
        <v>ONEMA/TMADCUA-15</v>
      </c>
      <c r="H136">
        <f>LOOKUP(TabVMAzureEnvProjet[[#This Row],[Code SYGES]],TabCONTRATSDI[Contrat SYGES],TabCONTRATSDI[Cost Center])</f>
        <v>305704</v>
      </c>
      <c r="I136" s="22" t="str">
        <f>LOOKUP(TabVMAzureEnvProjet[[#This Row],[Code SYGES]],TabCONTRATSDI[Contrat SYGES],TabCONTRATSDI[Client])</f>
        <v>ONEMA</v>
      </c>
      <c r="J136" t="s">
        <v>133</v>
      </c>
      <c r="K136" s="31">
        <v>6.3560560569484128</v>
      </c>
      <c r="L136" s="40"/>
    </row>
    <row r="137" spans="1:12" x14ac:dyDescent="0.3">
      <c r="A137" s="22" t="str">
        <f>TabVMAzureEnvProjet[[#This Row],[Client]] &amp; " .:. "  &amp; TabVMAzureEnvProjet[[#This Row],[Projet]]</f>
        <v>AFB .:. AFB-PNM</v>
      </c>
      <c r="B137" s="22" t="str">
        <f>IF(TabVMAzureEnvProjet[[#This Row],[Projet AzureDevOps]]&lt;&gt;"",TabVMAzureEnvProjet[[#This Row],[Projet AzureDevOps]],TabVMAzureEnvProjet[[#This Row],[VM]])</f>
        <v>AFB-PNM</v>
      </c>
      <c r="C137" s="13" t="s">
        <v>5</v>
      </c>
      <c r="E137" t="s">
        <v>4</v>
      </c>
      <c r="F137" t="s">
        <v>5</v>
      </c>
      <c r="G137" t="str">
        <f>LOOKUP(TabVMAzureEnvProjet[[#This Row],[Projet]],TabProjets[NomProj],TabProjets[SYGES])</f>
        <v>AFB/OFB_LOT2</v>
      </c>
      <c r="H137">
        <f>LOOKUP(TabVMAzureEnvProjet[[#This Row],[Code SYGES]],TabCONTRATSDI[Contrat SYGES],TabCONTRATSDI[Cost Center])</f>
        <v>305704</v>
      </c>
      <c r="I137" s="22" t="str">
        <f>LOOKUP(TabVMAzureEnvProjet[[#This Row],[Code SYGES]],TabCONTRATSDI[Contrat SYGES],TabCONTRATSDI[Client])</f>
        <v>AFB</v>
      </c>
      <c r="J137" t="s">
        <v>133</v>
      </c>
      <c r="K137" s="31">
        <v>9.7601690001668295</v>
      </c>
      <c r="L137" s="40"/>
    </row>
    <row r="138" spans="1:12" x14ac:dyDescent="0.3">
      <c r="A138" s="22" t="str">
        <f>TabVMAzureEnvProjet[[#This Row],[Client]] &amp; " .:. "  &amp; TabVMAzureEnvProjet[[#This Row],[Projet]]</f>
        <v>AFB .:. AFB-PNX</v>
      </c>
      <c r="B138" s="22" t="str">
        <f>IF(TabVMAzureEnvProjet[[#This Row],[Projet AzureDevOps]]&lt;&gt;"",TabVMAzureEnvProjet[[#This Row],[Projet AzureDevOps]],TabVMAzureEnvProjet[[#This Row],[VM]])</f>
        <v>AFB-PNX</v>
      </c>
      <c r="C138" s="13" t="s">
        <v>6</v>
      </c>
      <c r="E138" t="s">
        <v>4</v>
      </c>
      <c r="F138" t="s">
        <v>6</v>
      </c>
      <c r="G138" t="str">
        <f>LOOKUP(TabVMAzureEnvProjet[[#This Row],[Projet]],TabProjets[NomProj],TabProjets[SYGES])</f>
        <v>AFB/OFB_LOT2</v>
      </c>
      <c r="H138">
        <f>LOOKUP(TabVMAzureEnvProjet[[#This Row],[Code SYGES]],TabCONTRATSDI[Contrat SYGES],TabCONTRATSDI[Cost Center])</f>
        <v>305704</v>
      </c>
      <c r="I138" s="22" t="str">
        <f>LOOKUP(TabVMAzureEnvProjet[[#This Row],[Code SYGES]],TabCONTRATSDI[Contrat SYGES],TabCONTRATSDI[Client])</f>
        <v>AFB</v>
      </c>
      <c r="J138" t="s">
        <v>133</v>
      </c>
      <c r="K138" s="31">
        <v>2.703616519229167</v>
      </c>
      <c r="L138" s="40"/>
    </row>
    <row r="139" spans="1:12" x14ac:dyDescent="0.3">
      <c r="A139" s="22" t="str">
        <f>TabVMAzureEnvProjet[[#This Row],[Client]] &amp; " .:. "  &amp; TabVMAzureEnvProjet[[#This Row],[Projet]]</f>
        <v>ALM .:. ALM-ATOUT</v>
      </c>
      <c r="B139" s="22" t="str">
        <f>IF(TabVMAzureEnvProjet[[#This Row],[Projet AzureDevOps]]&lt;&gt;"",TabVMAzureEnvProjet[[#This Row],[Projet AzureDevOps]],TabVMAzureEnvProjet[[#This Row],[VM]])</f>
        <v>ALM-ATOUT</v>
      </c>
      <c r="C139" s="13" t="s">
        <v>15</v>
      </c>
      <c r="E139" t="s">
        <v>4</v>
      </c>
      <c r="F139" t="s">
        <v>15</v>
      </c>
      <c r="G139" t="str">
        <f>LOOKUP(TabVMAzureEnvProjet[[#This Row],[Projet]],TabProjets[NomProj],TabProjets[SYGES])</f>
        <v>ALM/TMA_ATOUT</v>
      </c>
      <c r="H139">
        <f>LOOKUP(TabVMAzureEnvProjet[[#This Row],[Code SYGES]],TabCONTRATSDI[Contrat SYGES],TabCONTRATSDI[Cost Center])</f>
        <v>305704</v>
      </c>
      <c r="I139" s="22" t="str">
        <f>LOOKUP(TabVMAzureEnvProjet[[#This Row],[Code SYGES]],TabCONTRATSDI[Contrat SYGES],TabCONTRATSDI[Client])</f>
        <v>ALM</v>
      </c>
      <c r="J139" t="s">
        <v>133</v>
      </c>
      <c r="K139" s="31">
        <v>23.390253757797531</v>
      </c>
      <c r="L139" s="40"/>
    </row>
    <row r="140" spans="1:12" x14ac:dyDescent="0.3">
      <c r="A140" s="22" t="str">
        <f>TabVMAzureEnvProjet[[#This Row],[Client]] &amp; " .:. "  &amp; TabVMAzureEnvProjet[[#This Row],[Projet]]</f>
        <v>BRGM .:. BRGM-ORRM</v>
      </c>
      <c r="B140" s="22" t="str">
        <f>IF(TabVMAzureEnvProjet[[#This Row],[Projet AzureDevOps]]&lt;&gt;"",TabVMAzureEnvProjet[[#This Row],[Projet AzureDevOps]],TabVMAzureEnvProjet[[#This Row],[VM]])</f>
        <v>BRGM-ORRM</v>
      </c>
      <c r="C140" s="13" t="s">
        <v>18</v>
      </c>
      <c r="E140" t="s">
        <v>4</v>
      </c>
      <c r="F140" t="s">
        <v>18</v>
      </c>
      <c r="G140" t="str">
        <f>LOOKUP(TabVMAzureEnvProjet[[#This Row],[Projet]],TabProjets[NomProj],TabProjets[SYGES])</f>
        <v>BRGM/TMA-5-1-ORRM-LOT1</v>
      </c>
      <c r="H140">
        <f>LOOKUP(TabVMAzureEnvProjet[[#This Row],[Code SYGES]],TabCONTRATSDI[Contrat SYGES],TabCONTRATSDI[Cost Center])</f>
        <v>305704</v>
      </c>
      <c r="I140" s="22" t="str">
        <f>LOOKUP(TabVMAzureEnvProjet[[#This Row],[Code SYGES]],TabCONTRATSDI[Contrat SYGES],TabCONTRATSDI[Client])</f>
        <v>BRGM</v>
      </c>
      <c r="J140" t="s">
        <v>133</v>
      </c>
      <c r="K140" s="31">
        <v>7.4485250827897964</v>
      </c>
      <c r="L140" s="40"/>
    </row>
    <row r="141" spans="1:12" x14ac:dyDescent="0.3">
      <c r="A141" s="22" t="str">
        <f>TabVMAzureEnvProjet[[#This Row],[Client]] &amp; " .:. "  &amp; TabVMAzureEnvProjet[[#This Row],[Projet]]</f>
        <v>CNAV .:. CNAV-BI-RGCU</v>
      </c>
      <c r="B141" s="22" t="str">
        <f>IF(TabVMAzureEnvProjet[[#This Row],[Projet AzureDevOps]]&lt;&gt;"",TabVMAzureEnvProjet[[#This Row],[Projet AzureDevOps]],TabVMAzureEnvProjet[[#This Row],[VM]])</f>
        <v>CNAV-BI-RGCU</v>
      </c>
      <c r="C141" s="13" t="s">
        <v>25</v>
      </c>
      <c r="E141" t="s">
        <v>4</v>
      </c>
      <c r="F141" t="s">
        <v>25</v>
      </c>
      <c r="G141" t="str">
        <f>LOOKUP(TabVMAzureEnvProjet[[#This Row],[Projet]],TabProjets[NomProj],TabProjets[SYGES])</f>
        <v>CNAV/BI-SIRRGCU</v>
      </c>
      <c r="H141">
        <f>LOOKUP(TabVMAzureEnvProjet[[#This Row],[Code SYGES]],TabCONTRATSDI[Contrat SYGES],TabCONTRATSDI[Cost Center])</f>
        <v>305704</v>
      </c>
      <c r="I141" s="22" t="str">
        <f>LOOKUP(TabVMAzureEnvProjet[[#This Row],[Code SYGES]],TabCONTRATSDI[Contrat SYGES],TabCONTRATSDI[Client])</f>
        <v>CNAV</v>
      </c>
      <c r="J141" t="s">
        <v>133</v>
      </c>
      <c r="K141" s="31">
        <v>11.110752818750001</v>
      </c>
      <c r="L141" s="40"/>
    </row>
    <row r="142" spans="1:12" x14ac:dyDescent="0.3">
      <c r="A142" s="22" t="str">
        <f>TabVMAzureEnvProjet[[#This Row],[Client]] &amp; " .:. "  &amp; TabVMAzureEnvProjet[[#This Row],[Projet]]</f>
        <v>GFI .:. GFI-INTERNE</v>
      </c>
      <c r="B142" s="22" t="str">
        <f>IF(TabVMAzureEnvProjet[[#This Row],[Projet AzureDevOps]]&lt;&gt;"",TabVMAzureEnvProjet[[#This Row],[Projet AzureDevOps]],TabVMAzureEnvProjet[[#This Row],[VM]])</f>
        <v>d8-qa</v>
      </c>
      <c r="C142" s="13" t="s">
        <v>37</v>
      </c>
      <c r="E142" t="s">
        <v>4</v>
      </c>
      <c r="F142" t="s">
        <v>36</v>
      </c>
      <c r="G142" t="str">
        <f>LOOKUP(TabVMAzureEnvProjet[[#This Row],[Projet]],TabProjets[NomProj],TabProjets[SYGES])</f>
        <v>GFI/PROJET_INTERNE</v>
      </c>
      <c r="H142">
        <f>LOOKUP(TabVMAzureEnvProjet[[#This Row],[Code SYGES]],TabCONTRATSDI[Contrat SYGES],TabCONTRATSDI[Cost Center])</f>
        <v>305704</v>
      </c>
      <c r="I142" s="22" t="str">
        <f>LOOKUP(TabVMAzureEnvProjet[[#This Row],[Code SYGES]],TabCONTRATSDI[Contrat SYGES],TabCONTRATSDI[Client])</f>
        <v>GFI</v>
      </c>
      <c r="J142" t="s">
        <v>133</v>
      </c>
      <c r="K142" s="31">
        <v>0.85182438277083339</v>
      </c>
      <c r="L142" s="40"/>
    </row>
    <row r="143" spans="1:12" x14ac:dyDescent="0.3">
      <c r="A143" s="22" t="str">
        <f>TabVMAzureEnvProjet[[#This Row],[Client]] &amp; " .:. "  &amp; TabVMAzureEnvProjet[[#This Row],[Projet]]</f>
        <v>GFI .:. GFI-INTERNE</v>
      </c>
      <c r="B143" s="22" t="str">
        <f>IF(TabVMAzureEnvProjet[[#This Row],[Projet AzureDevOps]]&lt;&gt;"",TabVMAzureEnvProjet[[#This Row],[Projet AzureDevOps]],TabVMAzureEnvProjet[[#This Row],[VM]])</f>
        <v>drupal-qa</v>
      </c>
      <c r="C143" s="13" t="s">
        <v>38</v>
      </c>
      <c r="E143" t="s">
        <v>4</v>
      </c>
      <c r="F143" t="s">
        <v>36</v>
      </c>
      <c r="G143" t="str">
        <f>LOOKUP(TabVMAzureEnvProjet[[#This Row],[Projet]],TabProjets[NomProj],TabProjets[SYGES])</f>
        <v>GFI/PROJET_INTERNE</v>
      </c>
      <c r="H143">
        <f>LOOKUP(TabVMAzureEnvProjet[[#This Row],[Code SYGES]],TabCONTRATSDI[Contrat SYGES],TabCONTRATSDI[Cost Center])</f>
        <v>305704</v>
      </c>
      <c r="I143" s="22" t="str">
        <f>LOOKUP(TabVMAzureEnvProjet[[#This Row],[Code SYGES]],TabCONTRATSDI[Contrat SYGES],TabCONTRATSDI[Client])</f>
        <v>GFI</v>
      </c>
      <c r="J143" t="s">
        <v>133</v>
      </c>
      <c r="K143" s="31">
        <v>0.85182438277083339</v>
      </c>
      <c r="L143" s="40"/>
    </row>
    <row r="144" spans="1:12" x14ac:dyDescent="0.3">
      <c r="A144" s="22" t="str">
        <f>TabVMAzureEnvProjet[[#This Row],[Client]] &amp; " .:. "  &amp; TabVMAzureEnvProjet[[#This Row],[Projet]]</f>
        <v>FRR .:. FRR-DIGIPAT</v>
      </c>
      <c r="B144" s="22" t="str">
        <f>IF(TabVMAzureEnvProjet[[#This Row],[Projet AzureDevOps]]&lt;&gt;"",TabVMAzureEnvProjet[[#This Row],[Projet AzureDevOps]],TabVMAzureEnvProjet[[#This Row],[VM]])</f>
        <v>FRR DIGIPAT</v>
      </c>
      <c r="C144" s="13" t="s">
        <v>28</v>
      </c>
      <c r="E144" t="s">
        <v>4</v>
      </c>
      <c r="F144" t="s">
        <v>27</v>
      </c>
      <c r="G144" t="str">
        <f>LOOKUP(TabVMAzureEnvProjet[[#This Row],[Projet]],TabProjets[NomProj],TabProjets[SYGES])</f>
        <v>FRR/TMASI</v>
      </c>
      <c r="H144">
        <f>LOOKUP(TabVMAzureEnvProjet[[#This Row],[Code SYGES]],TabCONTRATSDI[Contrat SYGES],TabCONTRATSDI[Cost Center])</f>
        <v>305704</v>
      </c>
      <c r="I144" s="22" t="str">
        <f>LOOKUP(TabVMAzureEnvProjet[[#This Row],[Code SYGES]],TabCONTRATSDI[Contrat SYGES],TabCONTRATSDI[Client])</f>
        <v>FRR</v>
      </c>
      <c r="J144" t="s">
        <v>133</v>
      </c>
      <c r="K144" s="31">
        <v>7.6893463951984131</v>
      </c>
      <c r="L144" s="40"/>
    </row>
    <row r="145" spans="1:12" x14ac:dyDescent="0.3">
      <c r="A145" s="22" t="str">
        <f>TabVMAzureEnvProjet[[#This Row],[Client]] &amp; " .:. "  &amp; TabVMAzureEnvProjet[[#This Row],[Projet]]</f>
        <v>GFI .:. GFI-INTERNE</v>
      </c>
      <c r="B145" s="22" t="str">
        <f>IF(TabVMAzureEnvProjet[[#This Row],[Projet AzureDevOps]]&lt;&gt;"",TabVMAzureEnvProjet[[#This Row],[Projet AzureDevOps]],TabVMAzureEnvProjet[[#This Row],[VM]])</f>
        <v>GFI-D8-BS4-THEME</v>
      </c>
      <c r="C145" s="13" t="s">
        <v>43</v>
      </c>
      <c r="E145" t="s">
        <v>4</v>
      </c>
      <c r="F145" t="s">
        <v>36</v>
      </c>
      <c r="G145" t="str">
        <f>LOOKUP(TabVMAzureEnvProjet[[#This Row],[Projet]],TabProjets[NomProj],TabProjets[SYGES])</f>
        <v>GFI/PROJET_INTERNE</v>
      </c>
      <c r="H145">
        <f>LOOKUP(TabVMAzureEnvProjet[[#This Row],[Code SYGES]],TabCONTRATSDI[Contrat SYGES],TabCONTRATSDI[Cost Center])</f>
        <v>305704</v>
      </c>
      <c r="I145" s="22" t="str">
        <f>LOOKUP(TabVMAzureEnvProjet[[#This Row],[Code SYGES]],TabCONTRATSDI[Contrat SYGES],TabCONTRATSDI[Client])</f>
        <v>GFI</v>
      </c>
      <c r="J145" t="s">
        <v>133</v>
      </c>
      <c r="K145" s="31">
        <v>1.6789582037222224</v>
      </c>
      <c r="L145" s="40"/>
    </row>
    <row r="146" spans="1:12" x14ac:dyDescent="0.3">
      <c r="A146" s="22" t="str">
        <f>TabVMAzureEnvProjet[[#This Row],[Client]] &amp; " .:. "  &amp; TabVMAzureEnvProjet[[#This Row],[Projet]]</f>
        <v>GFI .:. GFI-INTERNE</v>
      </c>
      <c r="B146" s="22" t="str">
        <f>IF(TabVMAzureEnvProjet[[#This Row],[Projet AzureDevOps]]&lt;&gt;"",TabVMAzureEnvProjet[[#This Row],[Projet AzureDevOps]],TabVMAzureEnvProjet[[#This Row],[VM]])</f>
        <v>GFI-MineReport</v>
      </c>
      <c r="C146" s="13" t="s">
        <v>46</v>
      </c>
      <c r="E146" t="s">
        <v>4</v>
      </c>
      <c r="F146" t="s">
        <v>36</v>
      </c>
      <c r="G146" t="str">
        <f>LOOKUP(TabVMAzureEnvProjet[[#This Row],[Projet]],TabProjets[NomProj],TabProjets[SYGES])</f>
        <v>GFI/PROJET_INTERNE</v>
      </c>
      <c r="H146">
        <f>LOOKUP(TabVMAzureEnvProjet[[#This Row],[Code SYGES]],TabCONTRATSDI[Contrat SYGES],TabCONTRATSDI[Cost Center])</f>
        <v>305704</v>
      </c>
      <c r="I146" s="22" t="str">
        <f>LOOKUP(TabVMAzureEnvProjet[[#This Row],[Code SYGES]],TabCONTRATSDI[Contrat SYGES],TabCONTRATSDI[Client])</f>
        <v>GFI</v>
      </c>
      <c r="J146" t="s">
        <v>133</v>
      </c>
      <c r="K146" s="31">
        <v>3.5184050592708336</v>
      </c>
      <c r="L146" s="40"/>
    </row>
    <row r="147" spans="1:12" x14ac:dyDescent="0.3">
      <c r="A147" s="22" t="str">
        <f>TabVMAzureEnvProjet[[#This Row],[Client]] &amp; " .:. "  &amp; TabVMAzureEnvProjet[[#This Row],[Projet]]</f>
        <v>GFI .:. GFI-INTERNE</v>
      </c>
      <c r="B147" s="22" t="str">
        <f>IF(TabVMAzureEnvProjet[[#This Row],[Projet AzureDevOps]]&lt;&gt;"",TabVMAzureEnvProjet[[#This Row],[Projet AzureDevOps]],TabVMAzureEnvProjet[[#This Row],[VM]])</f>
        <v>GFI-RedmineDocker</v>
      </c>
      <c r="C147" s="13" t="s">
        <v>50</v>
      </c>
      <c r="E147" t="s">
        <v>4</v>
      </c>
      <c r="F147" t="s">
        <v>36</v>
      </c>
      <c r="G147" t="str">
        <f>LOOKUP(TabVMAzureEnvProjet[[#This Row],[Projet]],TabProjets[NomProj],TabProjets[SYGES])</f>
        <v>GFI/PROJET_INTERNE</v>
      </c>
      <c r="H147">
        <f>LOOKUP(TabVMAzureEnvProjet[[#This Row],[Code SYGES]],TabCONTRATSDI[Contrat SYGES],TabCONTRATSDI[Cost Center])</f>
        <v>305704</v>
      </c>
      <c r="I147" s="22" t="str">
        <f>LOOKUP(TabVMAzureEnvProjet[[#This Row],[Code SYGES]],TabCONTRATSDI[Contrat SYGES],TabCONTRATSDI[Client])</f>
        <v>GFI</v>
      </c>
      <c r="J147" t="s">
        <v>133</v>
      </c>
      <c r="K147" s="31">
        <v>1.1287113974603176</v>
      </c>
      <c r="L147" s="40"/>
    </row>
    <row r="148" spans="1:12" x14ac:dyDescent="0.3">
      <c r="A148" s="22" t="str">
        <f>TabVMAzureEnvProjet[[#This Row],[Client]] &amp; " .:. "  &amp; TabVMAzureEnvProjet[[#This Row],[Projet]]</f>
        <v>GFI .:. GFI-INTERNE</v>
      </c>
      <c r="B148" s="22" t="str">
        <f>IF(TabVMAzureEnvProjet[[#This Row],[Projet AzureDevOps]]&lt;&gt;"",TabVMAzureEnvProjet[[#This Row],[Projet AzureDevOps]],TabVMAzureEnvProjet[[#This Row],[VM]])</f>
        <v>GFI-WAAC</v>
      </c>
      <c r="C148" s="13" t="s">
        <v>52</v>
      </c>
      <c r="E148" t="s">
        <v>4</v>
      </c>
      <c r="F148" t="s">
        <v>36</v>
      </c>
      <c r="G148" t="str">
        <f>LOOKUP(TabVMAzureEnvProjet[[#This Row],[Projet]],TabProjets[NomProj],TabProjets[SYGES])</f>
        <v>GFI/PROJET_INTERNE</v>
      </c>
      <c r="H148">
        <f>LOOKUP(TabVMAzureEnvProjet[[#This Row],[Code SYGES]],TabCONTRATSDI[Contrat SYGES],TabCONTRATSDI[Cost Center])</f>
        <v>305704</v>
      </c>
      <c r="I148" s="22" t="str">
        <f>LOOKUP(TabVMAzureEnvProjet[[#This Row],[Code SYGES]],TabCONTRATSDI[Contrat SYGES],TabCONTRATSDI[Client])</f>
        <v>GFI</v>
      </c>
      <c r="J148" t="s">
        <v>133</v>
      </c>
      <c r="K148" s="31">
        <v>0.29628674183333337</v>
      </c>
      <c r="L148" s="40"/>
    </row>
    <row r="149" spans="1:12" x14ac:dyDescent="0.3">
      <c r="A149" s="22" t="str">
        <f>TabVMAzureEnvProjet[[#This Row],[Client]] &amp; " .:. "  &amp; TabVMAzureEnvProjet[[#This Row],[Projet]]</f>
        <v>GLI .:. GLI-APIBIOMETRIE</v>
      </c>
      <c r="B149" s="22" t="str">
        <f>IF(TabVMAzureEnvProjet[[#This Row],[Projet AzureDevOps]]&lt;&gt;"",TabVMAzureEnvProjet[[#This Row],[Projet AzureDevOps]],TabVMAzureEnvProjet[[#This Row],[VM]])</f>
        <v>GLI-APIBiometrie</v>
      </c>
      <c r="C149" s="13" t="s">
        <v>56</v>
      </c>
      <c r="E149" t="s">
        <v>4</v>
      </c>
      <c r="F149" t="s">
        <v>55</v>
      </c>
      <c r="G149" t="str">
        <f>LOOKUP(TabVMAzureEnvProjet[[#This Row],[Projet]],TabProjets[NomProj],TabProjets[SYGES])</f>
        <v>GLI/BIOMETRIE</v>
      </c>
      <c r="H149">
        <f>LOOKUP(TabVMAzureEnvProjet[[#This Row],[Code SYGES]],TabCONTRATSDI[Contrat SYGES],TabCONTRATSDI[Cost Center])</f>
        <v>305704</v>
      </c>
      <c r="I149" s="22" t="str">
        <f>LOOKUP(TabVMAzureEnvProjet[[#This Row],[Code SYGES]],TabCONTRATSDI[Contrat SYGES],TabCONTRATSDI[Client])</f>
        <v>GLI</v>
      </c>
      <c r="J149" t="s">
        <v>133</v>
      </c>
      <c r="K149" s="31">
        <v>4.2523199357005685</v>
      </c>
      <c r="L149" s="40"/>
    </row>
    <row r="150" spans="1:12" x14ac:dyDescent="0.3">
      <c r="A150" s="22" t="str">
        <f>TabVMAzureEnvProjet[[#This Row],[Client]] &amp; " .:. "  &amp; TabVMAzureEnvProjet[[#This Row],[Projet]]</f>
        <v>GFI .:. GFI-INTERNE</v>
      </c>
      <c r="B150" s="22" t="str">
        <f>IF(TabVMAzureEnvProjet[[#This Row],[Projet AzureDevOps]]&lt;&gt;"",TabVMAzureEnvProjet[[#This Row],[Projet AzureDevOps]],TabVMAzureEnvProjet[[#This Row],[VM]])</f>
        <v>LAPOSTE-Musee</v>
      </c>
      <c r="C150" s="13" t="s">
        <v>134</v>
      </c>
      <c r="E150" t="s">
        <v>4</v>
      </c>
      <c r="F150" t="s">
        <v>36</v>
      </c>
      <c r="G150" t="str">
        <f>LOOKUP(TabVMAzureEnvProjet[[#This Row],[Projet]],TabProjets[NomProj],TabProjets[SYGES])</f>
        <v>GFI/PROJET_INTERNE</v>
      </c>
      <c r="H150">
        <f>LOOKUP(TabVMAzureEnvProjet[[#This Row],[Code SYGES]],TabCONTRATSDI[Contrat SYGES],TabCONTRATSDI[Cost Center])</f>
        <v>305704</v>
      </c>
      <c r="I150" s="22" t="str">
        <f>LOOKUP(TabVMAzureEnvProjet[[#This Row],[Code SYGES]],TabCONTRATSDI[Contrat SYGES],TabCONTRATSDI[Client])</f>
        <v>GFI</v>
      </c>
      <c r="J150" t="s">
        <v>133</v>
      </c>
      <c r="K150" s="31">
        <v>2.7459431966339287</v>
      </c>
      <c r="L150" s="40"/>
    </row>
    <row r="151" spans="1:12" x14ac:dyDescent="0.3">
      <c r="A151" s="22" t="str">
        <f>TabVMAzureEnvProjet[[#This Row],[Client]] &amp; " .:. "  &amp; TabVMAzureEnvProjet[[#This Row],[Projet]]</f>
        <v>MENESR .:. MENJ-APAE</v>
      </c>
      <c r="B151" s="22" t="str">
        <f>IF(TabVMAzureEnvProjet[[#This Row],[Projet AzureDevOps]]&lt;&gt;"",TabVMAzureEnvProjet[[#This Row],[Projet AzureDevOps]],TabVMAzureEnvProjet[[#This Row],[VM]])</f>
        <v>MENJ-APAE</v>
      </c>
      <c r="C151" s="13" t="s">
        <v>58</v>
      </c>
      <c r="E151" t="s">
        <v>4</v>
      </c>
      <c r="F151" t="s">
        <v>58</v>
      </c>
      <c r="G151" t="str">
        <f>LOOKUP(TabVMAzureEnvProjet[[#This Row],[Projet]],TabProjets[NomProj],TabProjets[SYGES])</f>
        <v>MENESR/TMA</v>
      </c>
      <c r="H151">
        <f>LOOKUP(TabVMAzureEnvProjet[[#This Row],[Code SYGES]],TabCONTRATSDI[Contrat SYGES],TabCONTRATSDI[Cost Center])</f>
        <v>305704</v>
      </c>
      <c r="I151" s="22" t="str">
        <f>LOOKUP(TabVMAzureEnvProjet[[#This Row],[Code SYGES]],TabCONTRATSDI[Contrat SYGES],TabCONTRATSDI[Client])</f>
        <v>MENESR</v>
      </c>
      <c r="J151" t="s">
        <v>133</v>
      </c>
      <c r="K151" s="31">
        <v>1.3332903382499999</v>
      </c>
      <c r="L151" s="40"/>
    </row>
    <row r="152" spans="1:12" x14ac:dyDescent="0.3">
      <c r="A152" s="22" t="str">
        <f>TabVMAzureEnvProjet[[#This Row],[Client]] &amp; " .:. "  &amp; TabVMAzureEnvProjet[[#This Row],[Projet]]</f>
        <v>MENESR .:. MENJ-BI</v>
      </c>
      <c r="B152" s="22" t="str">
        <f>IF(TabVMAzureEnvProjet[[#This Row],[Projet AzureDevOps]]&lt;&gt;"",TabVMAzureEnvProjet[[#This Row],[Projet AzureDevOps]],TabVMAzureEnvProjet[[#This Row],[VM]])</f>
        <v>MENJ-BI</v>
      </c>
      <c r="C152" s="13" t="s">
        <v>65</v>
      </c>
      <c r="E152" t="s">
        <v>4</v>
      </c>
      <c r="F152" t="s">
        <v>65</v>
      </c>
      <c r="G152" t="str">
        <f>LOOKUP(TabVMAzureEnvProjet[[#This Row],[Projet]],TabProjets[NomProj],TabProjets[SYGES])</f>
        <v>MENESR/TMA</v>
      </c>
      <c r="H152">
        <f>LOOKUP(TabVMAzureEnvProjet[[#This Row],[Code SYGES]],TabCONTRATSDI[Contrat SYGES],TabCONTRATSDI[Cost Center])</f>
        <v>305704</v>
      </c>
      <c r="I152" s="22" t="str">
        <f>LOOKUP(TabVMAzureEnvProjet[[#This Row],[Code SYGES]],TabCONTRATSDI[Contrat SYGES],TabCONTRATSDI[Client])</f>
        <v>MENESR</v>
      </c>
      <c r="J152" t="s">
        <v>133</v>
      </c>
      <c r="K152" s="31">
        <v>5.9257348366666669</v>
      </c>
      <c r="L152" s="40"/>
    </row>
    <row r="153" spans="1:12" x14ac:dyDescent="0.3">
      <c r="A153" s="22" t="str">
        <f>TabVMAzureEnvProjet[[#This Row],[Client]] &amp; " .:. "  &amp; TabVMAzureEnvProjet[[#This Row],[Projet]]</f>
        <v>MENESR .:. MENJ-BNIE</v>
      </c>
      <c r="B153" s="22" t="str">
        <f>IF(TabVMAzureEnvProjet[[#This Row],[Projet AzureDevOps]]&lt;&gt;"",TabVMAzureEnvProjet[[#This Row],[Projet AzureDevOps]],TabVMAzureEnvProjet[[#This Row],[VM]])</f>
        <v>MENJ-BNIE-BDD</v>
      </c>
      <c r="C153" s="13" t="s">
        <v>60</v>
      </c>
      <c r="E153" t="s">
        <v>4</v>
      </c>
      <c r="F153" t="s">
        <v>59</v>
      </c>
      <c r="G153" t="str">
        <f>LOOKUP(TabVMAzureEnvProjet[[#This Row],[Projet]],TabProjets[NomProj],TabProjets[SYGES])</f>
        <v>MENESR/TMA</v>
      </c>
      <c r="H153">
        <f>LOOKUP(TabVMAzureEnvProjet[[#This Row],[Code SYGES]],TabCONTRATSDI[Contrat SYGES],TabCONTRATSDI[Cost Center])</f>
        <v>305704</v>
      </c>
      <c r="I153" s="22" t="str">
        <f>LOOKUP(TabVMAzureEnvProjet[[#This Row],[Code SYGES]],TabCONTRATSDI[Contrat SYGES],TabCONTRATSDI[Client])</f>
        <v>MENESR</v>
      </c>
      <c r="J153" t="s">
        <v>133</v>
      </c>
      <c r="K153" s="31">
        <v>5.0368746111666667</v>
      </c>
      <c r="L153" s="40"/>
    </row>
    <row r="154" spans="1:12" x14ac:dyDescent="0.3">
      <c r="A154" s="22" t="str">
        <f>TabVMAzureEnvProjet[[#This Row],[Client]] &amp; " .:. "  &amp; TabVMAzureEnvProjet[[#This Row],[Projet]]</f>
        <v>MENESR .:. MENJ-BNIE</v>
      </c>
      <c r="B154" s="22" t="str">
        <f>IF(TabVMAzureEnvProjet[[#This Row],[Projet AzureDevOps]]&lt;&gt;"",TabVMAzureEnvProjet[[#This Row],[Projet AzureDevOps]],TabVMAzureEnvProjet[[#This Row],[VM]])</f>
        <v>MENJ-BNIE-Webservices</v>
      </c>
      <c r="C154" s="13" t="s">
        <v>61</v>
      </c>
      <c r="E154" t="s">
        <v>4</v>
      </c>
      <c r="F154" t="s">
        <v>59</v>
      </c>
      <c r="G154" t="str">
        <f>LOOKUP(TabVMAzureEnvProjet[[#This Row],[Projet]],TabProjets[NomProj],TabProjets[SYGES])</f>
        <v>MENESR/TMA</v>
      </c>
      <c r="H154">
        <f>LOOKUP(TabVMAzureEnvProjet[[#This Row],[Code SYGES]],TabCONTRATSDI[Contrat SYGES],TabCONTRATSDI[Cost Center])</f>
        <v>305704</v>
      </c>
      <c r="I154" s="22" t="str">
        <f>LOOKUP(TabVMAzureEnvProjet[[#This Row],[Code SYGES]],TabCONTRATSDI[Contrat SYGES],TabCONTRATSDI[Client])</f>
        <v>MENESR</v>
      </c>
      <c r="J154" t="s">
        <v>133</v>
      </c>
      <c r="K154" s="31">
        <v>1.9258638219166668</v>
      </c>
      <c r="L154" s="40"/>
    </row>
    <row r="155" spans="1:12" x14ac:dyDescent="0.3">
      <c r="A155" s="22" t="str">
        <f>TabVMAzureEnvProjet[[#This Row],[Client]] &amp; " .:. "  &amp; TabVMAzureEnvProjet[[#This Row],[Projet]]</f>
        <v>MENESR .:. MENJ-RNIE</v>
      </c>
      <c r="B155" s="22" t="str">
        <f>IF(TabVMAzureEnvProjet[[#This Row],[Projet AzureDevOps]]&lt;&gt;"",TabVMAzureEnvProjet[[#This Row],[Projet AzureDevOps]],TabVMAzureEnvProjet[[#This Row],[VM]])</f>
        <v>MENJ-RNIE-BDD</v>
      </c>
      <c r="C155" s="13" t="s">
        <v>63</v>
      </c>
      <c r="E155" t="s">
        <v>4</v>
      </c>
      <c r="F155" t="s">
        <v>62</v>
      </c>
      <c r="G155" t="str">
        <f>LOOKUP(TabVMAzureEnvProjet[[#This Row],[Projet]],TabProjets[NomProj],TabProjets[SYGES])</f>
        <v>MENESR/TMA</v>
      </c>
      <c r="H155">
        <f>LOOKUP(TabVMAzureEnvProjet[[#This Row],[Code SYGES]],TabCONTRATSDI[Contrat SYGES],TabCONTRATSDI[Cost Center])</f>
        <v>305704</v>
      </c>
      <c r="I155" s="22" t="str">
        <f>LOOKUP(TabVMAzureEnvProjet[[#This Row],[Code SYGES]],TabCONTRATSDI[Contrat SYGES],TabCONTRATSDI[Client])</f>
        <v>MENESR</v>
      </c>
      <c r="J155" t="s">
        <v>133</v>
      </c>
      <c r="K155" s="31">
        <v>1.3332903382499999</v>
      </c>
      <c r="L155" s="40"/>
    </row>
    <row r="156" spans="1:12" x14ac:dyDescent="0.3">
      <c r="A156" s="22" t="str">
        <f>TabVMAzureEnvProjet[[#This Row],[Client]] &amp; " .:. "  &amp; TabVMAzureEnvProjet[[#This Row],[Projet]]</f>
        <v>MENESR .:. MENJ-RNIE</v>
      </c>
      <c r="B156" s="22" t="str">
        <f>IF(TabVMAzureEnvProjet[[#This Row],[Projet AzureDevOps]]&lt;&gt;"",TabVMAzureEnvProjet[[#This Row],[Projet AzureDevOps]],TabVMAzureEnvProjet[[#This Row],[VM]])</f>
        <v>MENJ-RNIE-Webservices</v>
      </c>
      <c r="C156" s="13" t="s">
        <v>64</v>
      </c>
      <c r="E156" t="s">
        <v>4</v>
      </c>
      <c r="F156" t="s">
        <v>62</v>
      </c>
      <c r="G156" t="str">
        <f>LOOKUP(TabVMAzureEnvProjet[[#This Row],[Projet]],TabProjets[NomProj],TabProjets[SYGES])</f>
        <v>MENESR/TMA</v>
      </c>
      <c r="H156">
        <f>LOOKUP(TabVMAzureEnvProjet[[#This Row],[Code SYGES]],TabCONTRATSDI[Contrat SYGES],TabCONTRATSDI[Cost Center])</f>
        <v>305704</v>
      </c>
      <c r="I156" s="22" t="str">
        <f>LOOKUP(TabVMAzureEnvProjet[[#This Row],[Code SYGES]],TabCONTRATSDI[Contrat SYGES],TabCONTRATSDI[Client])</f>
        <v>MENESR</v>
      </c>
      <c r="J156" t="s">
        <v>133</v>
      </c>
      <c r="K156" s="31">
        <v>1.9895702392356913</v>
      </c>
      <c r="L156" s="40"/>
    </row>
    <row r="157" spans="1:12" x14ac:dyDescent="0.3">
      <c r="A157" s="22" t="str">
        <f>TabVMAzureEnvProjet[[#This Row],[Client]] &amp; " .:. "  &amp; TabVMAzureEnvProjet[[#This Row],[Projet]]</f>
        <v>OFB .:. OFB-NATUREFRANCE</v>
      </c>
      <c r="B157" s="22" t="str">
        <f>IF(TabVMAzureEnvProjet[[#This Row],[Projet AzureDevOps]]&lt;&gt;"",TabVMAzureEnvProjet[[#This Row],[Projet AzureDevOps]],TabVMAzureEnvProjet[[#This Row],[VM]])</f>
        <v>OFB-NatureFrance</v>
      </c>
      <c r="C157" s="13" t="s">
        <v>93</v>
      </c>
      <c r="E157" t="s">
        <v>4</v>
      </c>
      <c r="F157" t="s">
        <v>92</v>
      </c>
      <c r="G157" t="str">
        <f>LOOKUP(TabVMAzureEnvProjet[[#This Row],[Projet]],TabProjets[NomProj],TabProjets[SYGES])</f>
        <v>AFB OFB_LOT2 -9-1 NATURE FRANCE</v>
      </c>
      <c r="H157">
        <f>LOOKUP(TabVMAzureEnvProjet[[#This Row],[Code SYGES]],TabCONTRATSDI[Contrat SYGES],TabCONTRATSDI[Cost Center])</f>
        <v>305704</v>
      </c>
      <c r="I157" s="22" t="str">
        <f>LOOKUP(TabVMAzureEnvProjet[[#This Row],[Code SYGES]],TabCONTRATSDI[Contrat SYGES],TabCONTRATSDI[Client])</f>
        <v>OFB</v>
      </c>
      <c r="J157" t="s">
        <v>133</v>
      </c>
      <c r="K157" s="31">
        <v>8.5752564674797007</v>
      </c>
      <c r="L157" s="40"/>
    </row>
    <row r="158" spans="1:12" x14ac:dyDescent="0.3">
      <c r="A158" s="22" t="str">
        <f>TabVMAzureEnvProjet[[#This Row],[Client]] &amp; " .:. "  &amp; TabVMAzureEnvProjet[[#This Row],[Projet]]</f>
        <v>AFB .:. OFB-SISPEA</v>
      </c>
      <c r="B158" s="22" t="str">
        <f>IF(TabVMAzureEnvProjet[[#This Row],[Projet AzureDevOps]]&lt;&gt;"",TabVMAzureEnvProjet[[#This Row],[Projet AzureDevOps]],TabVMAzureEnvProjet[[#This Row],[VM]])</f>
        <v>OFB-SISPEA</v>
      </c>
      <c r="C158" s="13" t="s">
        <v>10</v>
      </c>
      <c r="E158" t="s">
        <v>4</v>
      </c>
      <c r="F158" t="s">
        <v>10</v>
      </c>
      <c r="G158" t="str">
        <f>LOOKUP(TabVMAzureEnvProjet[[#This Row],[Projet]],TabProjets[NomProj],TabProjets[SYGES])</f>
        <v>AFB/OFB_LOT2</v>
      </c>
      <c r="H158">
        <f>LOOKUP(TabVMAzureEnvProjet[[#This Row],[Code SYGES]],TabCONTRATSDI[Contrat SYGES],TabCONTRATSDI[Cost Center])</f>
        <v>305704</v>
      </c>
      <c r="I158" s="22" t="str">
        <f>LOOKUP(TabVMAzureEnvProjet[[#This Row],[Code SYGES]],TabCONTRATSDI[Contrat SYGES],TabCONTRATSDI[Client])</f>
        <v>AFB</v>
      </c>
      <c r="J158" t="s">
        <v>133</v>
      </c>
      <c r="K158" s="31">
        <v>6.4812724776041666</v>
      </c>
      <c r="L158" s="40"/>
    </row>
    <row r="159" spans="1:12" x14ac:dyDescent="0.3">
      <c r="A159" s="22" t="str">
        <f>TabVMAzureEnvProjet[[#This Row],[Client]] &amp; " .:. "  &amp; TabVMAzureEnvProjet[[#This Row],[Projet]]</f>
        <v>PCM .:. PCM-ALS</v>
      </c>
      <c r="B159" s="22" t="str">
        <f>IF(TabVMAzureEnvProjet[[#This Row],[Projet AzureDevOps]]&lt;&gt;"",TabVMAzureEnvProjet[[#This Row],[Projet AzureDevOps]],TabVMAzureEnvProjet[[#This Row],[VM]])</f>
        <v>PCM-ALS</v>
      </c>
      <c r="C159" s="13" t="s">
        <v>85</v>
      </c>
      <c r="E159" t="s">
        <v>4</v>
      </c>
      <c r="F159" t="s">
        <v>85</v>
      </c>
      <c r="G159" t="str">
        <f>LOOKUP(TabVMAzureEnvProjet[[#This Row],[Projet]],TabProjets[NomProj],TabProjets[SYGES])</f>
        <v>PCM/WEB</v>
      </c>
      <c r="H159">
        <f>LOOKUP(TabVMAzureEnvProjet[[#This Row],[Code SYGES]],TabCONTRATSDI[Contrat SYGES],TabCONTRATSDI[Cost Center])</f>
        <v>305704</v>
      </c>
      <c r="I159" s="22" t="str">
        <f>LOOKUP(TabVMAzureEnvProjet[[#This Row],[Code SYGES]],TabCONTRATSDI[Contrat SYGES],TabCONTRATSDI[Client])</f>
        <v>PCM</v>
      </c>
      <c r="J159" t="s">
        <v>133</v>
      </c>
      <c r="K159" s="31">
        <v>7.9803423023561511</v>
      </c>
      <c r="L159" s="40"/>
    </row>
    <row r="160" spans="1:12" x14ac:dyDescent="0.3">
      <c r="A160" s="22" t="str">
        <f>TabVMAzureEnvProjet[[#This Row],[Client]] &amp; " .:. "  &amp; TabVMAzureEnvProjet[[#This Row],[Projet]]</f>
        <v>PCM .:. PCM-WEB</v>
      </c>
      <c r="B160" s="22" t="str">
        <f>IF(TabVMAzureEnvProjet[[#This Row],[Projet AzureDevOps]]&lt;&gt;"",TabVMAzureEnvProjet[[#This Row],[Projet AzureDevOps]],TabVMAzureEnvProjet[[#This Row],[VM]])</f>
        <v>PCM-Web</v>
      </c>
      <c r="C160" s="13" t="s">
        <v>87</v>
      </c>
      <c r="E160" t="s">
        <v>4</v>
      </c>
      <c r="F160" t="s">
        <v>86</v>
      </c>
      <c r="G160" t="str">
        <f>LOOKUP(TabVMAzureEnvProjet[[#This Row],[Projet]],TabProjets[NomProj],TabProjets[SYGES])</f>
        <v>PCM/WEB</v>
      </c>
      <c r="H160">
        <f>LOOKUP(TabVMAzureEnvProjet[[#This Row],[Code SYGES]],TabCONTRATSDI[Contrat SYGES],TabCONTRATSDI[Cost Center])</f>
        <v>305704</v>
      </c>
      <c r="I160" s="22" t="str">
        <f>LOOKUP(TabVMAzureEnvProjet[[#This Row],[Code SYGES]],TabCONTRATSDI[Contrat SYGES],TabCONTRATSDI[Client])</f>
        <v>PCM</v>
      </c>
      <c r="J160" t="s">
        <v>133</v>
      </c>
      <c r="K160" s="31">
        <v>3.3138261184811508</v>
      </c>
      <c r="L160" s="40"/>
    </row>
    <row r="161" spans="1:12" x14ac:dyDescent="0.3">
      <c r="A161" s="22" t="str">
        <f>TabVMAzureEnvProjet[[#This Row],[Client]] &amp; " .:. "  &amp; TabVMAzureEnvProjet[[#This Row],[Projet]]</f>
        <v>PCM .:. PCM-WEB</v>
      </c>
      <c r="B161" s="22" t="str">
        <f>IF(TabVMAzureEnvProjet[[#This Row],[Projet AzureDevOps]]&lt;&gt;"",TabVMAzureEnvProjet[[#This Row],[Projet AzureDevOps]],TabVMAzureEnvProjet[[#This Row],[VM]])</f>
        <v>SPC-BUILD</v>
      </c>
      <c r="C161" s="13" t="s">
        <v>81</v>
      </c>
      <c r="E161" t="s">
        <v>4</v>
      </c>
      <c r="F161" t="s">
        <v>86</v>
      </c>
      <c r="G161" t="str">
        <f>LOOKUP(TabVMAzureEnvProjet[[#This Row],[Projet]],TabProjets[NomProj],TabProjets[SYGES])</f>
        <v>PCM/WEB</v>
      </c>
      <c r="H161">
        <f>LOOKUP(TabVMAzureEnvProjet[[#This Row],[Code SYGES]],TabCONTRATSDI[Contrat SYGES],TabCONTRATSDI[Cost Center])</f>
        <v>305704</v>
      </c>
      <c r="I161" s="22" t="str">
        <f>LOOKUP(TabVMAzureEnvProjet[[#This Row],[Code SYGES]],TabCONTRATSDI[Contrat SYGES],TabCONTRATSDI[Client])</f>
        <v>PCM</v>
      </c>
      <c r="J161" t="s">
        <v>133</v>
      </c>
      <c r="K161" s="31">
        <v>26.221376652250004</v>
      </c>
      <c r="L161" s="40"/>
    </row>
    <row r="162" spans="1:12" x14ac:dyDescent="0.3">
      <c r="A162" s="22" t="str">
        <f>TabVMAzureEnvProjet[[#This Row],[Client]] &amp; " .:. "  &amp; TabVMAzureEnvProjet[[#This Row],[Projet]]</f>
        <v>SPC .:. SPC-WEB</v>
      </c>
      <c r="B162" s="22" t="str">
        <f>IF(TabVMAzureEnvProjet[[#This Row],[Projet AzureDevOps]]&lt;&gt;"",TabVMAzureEnvProjet[[#This Row],[Projet AzureDevOps]],TabVMAzureEnvProjet[[#This Row],[VM]])</f>
        <v>SPC-WEB</v>
      </c>
      <c r="C162" s="13" t="s">
        <v>83</v>
      </c>
      <c r="E162" t="s">
        <v>4</v>
      </c>
      <c r="F162" t="s">
        <v>83</v>
      </c>
      <c r="G162" t="str">
        <f>LOOKUP(TabVMAzureEnvProjet[[#This Row],[Projet]],TabProjets[NomProj],TabProjets[SYGES])</f>
        <v>SPC/BUILD-0-1-SITE-WEB</v>
      </c>
      <c r="H162">
        <f>LOOKUP(TabVMAzureEnvProjet[[#This Row],[Code SYGES]],TabCONTRATSDI[Contrat SYGES],TabCONTRATSDI[Cost Center])</f>
        <v>305704</v>
      </c>
      <c r="I162" s="22" t="str">
        <f>LOOKUP(TabVMAzureEnvProjet[[#This Row],[Code SYGES]],TabCONTRATSDI[Contrat SYGES],TabCONTRATSDI[Client])</f>
        <v>SPC</v>
      </c>
      <c r="J162" t="s">
        <v>133</v>
      </c>
      <c r="K162" s="31">
        <v>2.6665806765000002</v>
      </c>
      <c r="L162" s="40"/>
    </row>
    <row r="163" spans="1:12" x14ac:dyDescent="0.3">
      <c r="A163" s="22" t="str">
        <f>TabVMAzureEnvProjet[[#This Row],[Client]] &amp; " .:. "  &amp; TabVMAzureEnvProjet[[#This Row],[Projet]]</f>
        <v>EBR .:. EBR-LAPOSTE</v>
      </c>
      <c r="B163" s="22" t="str">
        <f>IF(TabVMAzureEnvProjet[[#This Row],[Projet AzureDevOps]]&lt;&gt;"",TabVMAzureEnvProjet[[#This Row],[Projet AzureDevOps]],TabVMAzureEnvProjet[[#This Row],[VM]])</f>
        <v>EBR-LAPOSTE-VM</v>
      </c>
      <c r="D163" t="s">
        <v>90</v>
      </c>
      <c r="E163" t="s">
        <v>11</v>
      </c>
      <c r="F163" t="s">
        <v>89</v>
      </c>
      <c r="G163" t="str">
        <f>LOOKUP(TabVMAzureEnvProjet[[#This Row],[Projet]],TabProjets[NomProj],TabProjets[SYGES])</f>
        <v>EBR/TMA</v>
      </c>
      <c r="H163">
        <f>LOOKUP(TabVMAzureEnvProjet[[#This Row],[Code SYGES]],TabCONTRATSDI[Contrat SYGES],TabCONTRATSDI[Cost Center])</f>
        <v>305704</v>
      </c>
      <c r="I163" s="22" t="str">
        <f>LOOKUP(TabVMAzureEnvProjet[[#This Row],[Code SYGES]],TabCONTRATSDI[Contrat SYGES],TabCONTRATSDI[Client])</f>
        <v>EBR</v>
      </c>
      <c r="J163" t="s">
        <v>133</v>
      </c>
      <c r="K163" s="31">
        <v>59.65</v>
      </c>
      <c r="L163" s="41"/>
    </row>
    <row r="164" spans="1:12" x14ac:dyDescent="0.3">
      <c r="A164" s="22" t="str">
        <f>TabVMAzureEnvProjet[[#This Row],[Client]] &amp; " .:. "  &amp; TabVMAzureEnvProjet[[#This Row],[Projet]]</f>
        <v>ALM .:. ALM-ATOUT</v>
      </c>
      <c r="B164" s="22" t="str">
        <f>IF(TabVMAzureEnvProjet[[#This Row],[Projet AzureDevOps]]&lt;&gt;"",TabVMAzureEnvProjet[[#This Row],[Projet AzureDevOps]],TabVMAzureEnvProjet[[#This Row],[VM]])</f>
        <v>ALM-ATOUT-VM</v>
      </c>
      <c r="D164" t="s">
        <v>16</v>
      </c>
      <c r="E164" t="s">
        <v>8</v>
      </c>
      <c r="F164" t="s">
        <v>15</v>
      </c>
      <c r="G164" t="str">
        <f>LOOKUP(TabVMAzureEnvProjet[[#This Row],[Projet]],TabProjets[NomProj],TabProjets[SYGES])</f>
        <v>ALM/TMA_ATOUT</v>
      </c>
      <c r="H164">
        <f>LOOKUP(TabVMAzureEnvProjet[[#This Row],[Code SYGES]],TabCONTRATSDI[Contrat SYGES],TabCONTRATSDI[Cost Center])</f>
        <v>305704</v>
      </c>
      <c r="I164" s="22" t="str">
        <f>LOOKUP(TabVMAzureEnvProjet[[#This Row],[Code SYGES]],TabCONTRATSDI[Contrat SYGES],TabCONTRATSDI[Client])</f>
        <v>ALM</v>
      </c>
      <c r="J164" t="s">
        <v>133</v>
      </c>
      <c r="K164" s="31">
        <v>71.290000000000006</v>
      </c>
      <c r="L164" s="41"/>
    </row>
    <row r="165" spans="1:12" x14ac:dyDescent="0.3">
      <c r="A165" s="22" t="str">
        <f>TabVMAzureEnvProjet[[#This Row],[Client]] &amp; " .:. "  &amp; TabVMAzureEnvProjet[[#This Row],[Projet]]</f>
        <v>BRGM .:. BRGM-ORRM</v>
      </c>
      <c r="B165" s="22" t="str">
        <f>IF(TabVMAzureEnvProjet[[#This Row],[Projet AzureDevOps]]&lt;&gt;"",TabVMAzureEnvProjet[[#This Row],[Projet AzureDevOps]],TabVMAzureEnvProjet[[#This Row],[VM]])</f>
        <v>BRGM-ORRM-VM</v>
      </c>
      <c r="D165" t="s">
        <v>20</v>
      </c>
      <c r="E165" t="s">
        <v>19</v>
      </c>
      <c r="F165" t="s">
        <v>18</v>
      </c>
      <c r="G165" t="str">
        <f>LOOKUP(TabVMAzureEnvProjet[[#This Row],[Projet]],TabProjets[NomProj],TabProjets[SYGES])</f>
        <v>BRGM/TMA-5-1-ORRM-LOT1</v>
      </c>
      <c r="H165">
        <f>LOOKUP(TabVMAzureEnvProjet[[#This Row],[Code SYGES]],TabCONTRATSDI[Contrat SYGES],TabCONTRATSDI[Cost Center])</f>
        <v>305704</v>
      </c>
      <c r="I165" s="22" t="str">
        <f>LOOKUP(TabVMAzureEnvProjet[[#This Row],[Code SYGES]],TabCONTRATSDI[Contrat SYGES],TabCONTRATSDI[Client])</f>
        <v>BRGM</v>
      </c>
      <c r="J165" t="s">
        <v>133</v>
      </c>
      <c r="K165" s="31">
        <v>5.79</v>
      </c>
      <c r="L165" s="41"/>
    </row>
    <row r="166" spans="1:12" x14ac:dyDescent="0.3">
      <c r="A166" s="22" t="str">
        <f>TabVMAzureEnvProjet[[#This Row],[Client]] &amp; " .:. "  &amp; TabVMAzureEnvProjet[[#This Row],[Projet]]</f>
        <v>CA-TITRES .:. CATITRES-COMX</v>
      </c>
      <c r="B166" s="22" t="str">
        <f>IF(TabVMAzureEnvProjet[[#This Row],[Projet AzureDevOps]]&lt;&gt;"",TabVMAzureEnvProjet[[#This Row],[Projet AzureDevOps]],TabVMAzureEnvProjet[[#This Row],[VM]])</f>
        <v>CATITRES-COMX-VM</v>
      </c>
      <c r="D166" t="s">
        <v>23</v>
      </c>
      <c r="E166" t="s">
        <v>11</v>
      </c>
      <c r="F166" t="s">
        <v>22</v>
      </c>
      <c r="G166" t="str">
        <f>LOOKUP(TabVMAzureEnvProjet[[#This Row],[Projet]],TabProjets[NomProj],TabProjets[SYGES])</f>
        <v>CA-TITRES/TMA</v>
      </c>
      <c r="H166">
        <f>LOOKUP(TabVMAzureEnvProjet[[#This Row],[Code SYGES]],TabCONTRATSDI[Contrat SYGES],TabCONTRATSDI[Cost Center])</f>
        <v>305704</v>
      </c>
      <c r="I166" s="22" t="str">
        <f>LOOKUP(TabVMAzureEnvProjet[[#This Row],[Code SYGES]],TabCONTRATSDI[Contrat SYGES],TabCONTRATSDI[Client])</f>
        <v>CA-TITRES</v>
      </c>
      <c r="J166" t="s">
        <v>133</v>
      </c>
      <c r="K166" s="31">
        <v>99.45</v>
      </c>
      <c r="L166" s="41"/>
    </row>
    <row r="167" spans="1:12" x14ac:dyDescent="0.3">
      <c r="A167" s="22" t="str">
        <f>TabVMAzureEnvProjet[[#This Row],[Client]] &amp; " .:. "  &amp; TabVMAzureEnvProjet[[#This Row],[Projet]]</f>
        <v>MENESR .:. MENJ-BI</v>
      </c>
      <c r="B167" s="22" t="str">
        <f>IF(TabVMAzureEnvProjet[[#This Row],[Projet AzureDevOps]]&lt;&gt;"",TabVMAzureEnvProjet[[#This Row],[Projet AzureDevOps]],TabVMAzureEnvProjet[[#This Row],[VM]])</f>
        <v>MENJ-BI-VM</v>
      </c>
      <c r="D167" t="s">
        <v>66</v>
      </c>
      <c r="E167" t="s">
        <v>129</v>
      </c>
      <c r="F167" t="s">
        <v>65</v>
      </c>
      <c r="G167" t="str">
        <f>LOOKUP(TabVMAzureEnvProjet[[#This Row],[Projet]],TabProjets[NomProj],TabProjets[SYGES])</f>
        <v>MENESR/TMA</v>
      </c>
      <c r="H167">
        <f>LOOKUP(TabVMAzureEnvProjet[[#This Row],[Code SYGES]],TabCONTRATSDI[Contrat SYGES],TabCONTRATSDI[Cost Center])</f>
        <v>305704</v>
      </c>
      <c r="I167" s="22" t="str">
        <f>LOOKUP(TabVMAzureEnvProjet[[#This Row],[Code SYGES]],TabCONTRATSDI[Contrat SYGES],TabCONTRATSDI[Client])</f>
        <v>MENESR</v>
      </c>
      <c r="J167" t="s">
        <v>133</v>
      </c>
      <c r="K167" s="31">
        <v>2.64</v>
      </c>
      <c r="L167" s="41"/>
    </row>
    <row r="168" spans="1:12" x14ac:dyDescent="0.3">
      <c r="A168" s="22" t="str">
        <f>TabVMAzureEnvProjet[[#This Row],[Client]] &amp; " .:. "  &amp; TabVMAzureEnvProjet[[#This Row],[Projet]]</f>
        <v>OFB .:. OFB-NATUREFRANCE</v>
      </c>
      <c r="B168" s="22" t="str">
        <f>IF(TabVMAzureEnvProjet[[#This Row],[Projet AzureDevOps]]&lt;&gt;"",TabVMAzureEnvProjet[[#This Row],[Projet AzureDevOps]],TabVMAzureEnvProjet[[#This Row],[VM]])</f>
        <v>OFB-FRANCENATURE-VM</v>
      </c>
      <c r="D168" t="s">
        <v>9</v>
      </c>
      <c r="E168" t="s">
        <v>8</v>
      </c>
      <c r="F168" t="s">
        <v>92</v>
      </c>
      <c r="G168" t="str">
        <f>LOOKUP(TabVMAzureEnvProjet[[#This Row],[Projet]],TabProjets[NomProj],TabProjets[SYGES])</f>
        <v>AFB OFB_LOT2 -9-1 NATURE FRANCE</v>
      </c>
      <c r="H168">
        <f>LOOKUP(TabVMAzureEnvProjet[[#This Row],[Code SYGES]],TabCONTRATSDI[Contrat SYGES],TabCONTRATSDI[Cost Center])</f>
        <v>305704</v>
      </c>
      <c r="I168" s="22" t="str">
        <f>LOOKUP(TabVMAzureEnvProjet[[#This Row],[Code SYGES]],TabCONTRATSDI[Contrat SYGES],TabCONTRATSDI[Client])</f>
        <v>OFB</v>
      </c>
      <c r="J168" t="s">
        <v>133</v>
      </c>
      <c r="K168" s="31">
        <v>7.86</v>
      </c>
      <c r="L168" s="41"/>
    </row>
    <row r="169" spans="1:12" x14ac:dyDescent="0.3">
      <c r="A169" s="22" t="str">
        <f>TabVMAzureEnvProjet[[#This Row],[Client]] &amp; " .:. "  &amp; TabVMAzureEnvProjet[[#This Row],[Projet]]</f>
        <v>SPC .:. SPC-BUILD</v>
      </c>
      <c r="B169" s="22" t="str">
        <f>IF(TabVMAzureEnvProjet[[#This Row],[Projet AzureDevOps]]&lt;&gt;"",TabVMAzureEnvProjet[[#This Row],[Projet AzureDevOps]],TabVMAzureEnvProjet[[#This Row],[VM]])</f>
        <v>SPC-BUILDAS-VM</v>
      </c>
      <c r="D169" t="s">
        <v>82</v>
      </c>
      <c r="E169" t="s">
        <v>11</v>
      </c>
      <c r="F169" t="s">
        <v>81</v>
      </c>
      <c r="G169" t="str">
        <f>LOOKUP(TabVMAzureEnvProjet[[#This Row],[Projet]],TabProjets[NomProj],TabProjets[SYGES])</f>
        <v>SPC/BUILD</v>
      </c>
      <c r="H169">
        <f>LOOKUP(TabVMAzureEnvProjet[[#This Row],[Code SYGES]],TabCONTRATSDI[Contrat SYGES],TabCONTRATSDI[Cost Center])</f>
        <v>305704</v>
      </c>
      <c r="I169" s="22" t="str">
        <f>LOOKUP(TabVMAzureEnvProjet[[#This Row],[Code SYGES]],TabCONTRATSDI[Contrat SYGES],TabCONTRATSDI[Client])</f>
        <v>SPC</v>
      </c>
      <c r="J169" t="s">
        <v>133</v>
      </c>
      <c r="K169" s="31">
        <v>85.76</v>
      </c>
      <c r="L169" s="41"/>
    </row>
    <row r="170" spans="1:12" x14ac:dyDescent="0.3">
      <c r="A170" s="22" t="str">
        <f>TabVMAzureEnvProjet[[#This Row],[Client]] &amp; " .:. "  &amp; TabVMAzureEnvProjet[[#This Row],[Projet]]</f>
        <v>FRR .:. FRR-DIGIPAT</v>
      </c>
      <c r="B170" s="22" t="str">
        <f>IF(TabVMAzureEnvProjet[[#This Row],[Projet AzureDevOps]]&lt;&gt;"",TabVMAzureEnvProjet[[#This Row],[Projet AzureDevOps]],TabVMAzureEnvProjet[[#This Row],[VM]])</f>
        <v>FRR-DIGIPAT-VM</v>
      </c>
      <c r="D170" t="s">
        <v>29</v>
      </c>
      <c r="E170" t="s">
        <v>19</v>
      </c>
      <c r="F170" t="s">
        <v>27</v>
      </c>
      <c r="G170" t="str">
        <f>LOOKUP(TabVMAzureEnvProjet[[#This Row],[Projet]],TabProjets[NomProj],TabProjets[SYGES])</f>
        <v>FRR/TMASI</v>
      </c>
      <c r="H170">
        <f>LOOKUP(TabVMAzureEnvProjet[[#This Row],[Code SYGES]],TabCONTRATSDI[Contrat SYGES],TabCONTRATSDI[Cost Center])</f>
        <v>305704</v>
      </c>
      <c r="I170" s="22" t="str">
        <f>LOOKUP(TabVMAzureEnvProjet[[#This Row],[Code SYGES]],TabCONTRATSDI[Contrat SYGES],TabCONTRATSDI[Client])</f>
        <v>FRR</v>
      </c>
      <c r="J170" t="s">
        <v>133</v>
      </c>
      <c r="K170" s="31">
        <v>21.22</v>
      </c>
      <c r="L170" s="40"/>
    </row>
    <row r="171" spans="1:12" x14ac:dyDescent="0.3">
      <c r="A171" s="22" t="str">
        <f>TabVMAzureEnvProjet[[#This Row],[Client]] &amp; " .:. "  &amp; TabVMAzureEnvProjet[[#This Row],[Projet]]</f>
        <v>ONEMA .:. AFB-BASEINDICATEURS</v>
      </c>
      <c r="B171" s="22" t="str">
        <f>IF(TabVMAzureEnvProjet[[#This Row],[Projet AzureDevOps]]&lt;&gt;"",TabVMAzureEnvProjet[[#This Row],[Projet AzureDevOps]],TabVMAzureEnvProjet[[#This Row],[VM]])</f>
        <v>AFB-BaseIndicateurs</v>
      </c>
      <c r="C171" s="13" t="s">
        <v>72</v>
      </c>
      <c r="E171" t="s">
        <v>4</v>
      </c>
      <c r="F171" t="s">
        <v>71</v>
      </c>
      <c r="G171" t="str">
        <f>LOOKUP(TabVMAzureEnvProjet[[#This Row],[Projet]],TabProjets[NomProj],TabProjets[SYGES])</f>
        <v>ONEMA/TMADCUA-15</v>
      </c>
      <c r="H171">
        <f>LOOKUP(TabVMAzureEnvProjet[[#This Row],[Code SYGES]],TabCONTRATSDI[Contrat SYGES],TabCONTRATSDI[Cost Center])</f>
        <v>305704</v>
      </c>
      <c r="I171" s="22" t="str">
        <f>LOOKUP(TabVMAzureEnvProjet[[#This Row],[Code SYGES]],TabCONTRATSDI[Contrat SYGES],TabCONTRATSDI[Client])</f>
        <v>ONEMA</v>
      </c>
      <c r="J171" t="s">
        <v>135</v>
      </c>
      <c r="K171" s="31">
        <v>0.68675683610526317</v>
      </c>
      <c r="L171" s="40"/>
    </row>
    <row r="172" spans="1:12" x14ac:dyDescent="0.3">
      <c r="A172" s="22" t="str">
        <f>TabVMAzureEnvProjet[[#This Row],[Client]] &amp; " .:. "  &amp; TabVMAzureEnvProjet[[#This Row],[Projet]]</f>
        <v>ONEMA .:. AFB-CATALOGUE</v>
      </c>
      <c r="B172" s="22" t="str">
        <f>IF(TabVMAzureEnvProjet[[#This Row],[Projet AzureDevOps]]&lt;&gt;"",TabVMAzureEnvProjet[[#This Row],[Projet AzureDevOps]],TabVMAzureEnvProjet[[#This Row],[VM]])</f>
        <v>AFB-Catalogue</v>
      </c>
      <c r="C172" s="13" t="s">
        <v>74</v>
      </c>
      <c r="E172" t="s">
        <v>4</v>
      </c>
      <c r="F172" t="s">
        <v>73</v>
      </c>
      <c r="G172" t="str">
        <f>LOOKUP(TabVMAzureEnvProjet[[#This Row],[Projet]],TabProjets[NomProj],TabProjets[SYGES])</f>
        <v>ONEMA/TMADCUA-15</v>
      </c>
      <c r="H172">
        <f>LOOKUP(TabVMAzureEnvProjet[[#This Row],[Code SYGES]],TabCONTRATSDI[Contrat SYGES],TabCONTRATSDI[Cost Center])</f>
        <v>305704</v>
      </c>
      <c r="I172" s="22" t="str">
        <f>LOOKUP(TabVMAzureEnvProjet[[#This Row],[Code SYGES]],TabCONTRATSDI[Contrat SYGES],TabCONTRATSDI[Client])</f>
        <v>ONEMA</v>
      </c>
      <c r="J172" t="s">
        <v>135</v>
      </c>
      <c r="K172" s="31">
        <v>1.7151045220511962</v>
      </c>
      <c r="L172" s="40"/>
    </row>
    <row r="173" spans="1:12" x14ac:dyDescent="0.3">
      <c r="A173" s="22" t="str">
        <f>TabVMAzureEnvProjet[[#This Row],[Client]] &amp; " .:. "  &amp; TabVMAzureEnvProjet[[#This Row],[Projet]]</f>
        <v>ONEMA .:. AFB-CDR</v>
      </c>
      <c r="B173" s="22" t="str">
        <f>IF(TabVMAzureEnvProjet[[#This Row],[Projet AzureDevOps]]&lt;&gt;"",TabVMAzureEnvProjet[[#This Row],[Projet AzureDevOps]],TabVMAzureEnvProjet[[#This Row],[VM]])</f>
        <v>AFB-CDR</v>
      </c>
      <c r="C173" s="13" t="s">
        <v>75</v>
      </c>
      <c r="E173" t="s">
        <v>4</v>
      </c>
      <c r="F173" t="s">
        <v>75</v>
      </c>
      <c r="G173" t="str">
        <f>LOOKUP(TabVMAzureEnvProjet[[#This Row],[Projet]],TabProjets[NomProj],TabProjets[SYGES])</f>
        <v>ONEMA/TMAWEB-16</v>
      </c>
      <c r="H173">
        <f>LOOKUP(TabVMAzureEnvProjet[[#This Row],[Code SYGES]],TabCONTRATSDI[Contrat SYGES],TabCONTRATSDI[Cost Center])</f>
        <v>305704</v>
      </c>
      <c r="I173" s="22" t="str">
        <f>LOOKUP(TabVMAzureEnvProjet[[#This Row],[Code SYGES]],TabCONTRATSDI[Contrat SYGES],TabCONTRATSDI[Client])</f>
        <v>ONEMA</v>
      </c>
      <c r="J173" t="s">
        <v>135</v>
      </c>
      <c r="K173" s="31">
        <v>7.2108507301940534</v>
      </c>
      <c r="L173" s="40"/>
    </row>
    <row r="174" spans="1:12" x14ac:dyDescent="0.3">
      <c r="A174" s="22" t="str">
        <f>TabVMAzureEnvProjet[[#This Row],[Client]] &amp; " .:. "  &amp; TabVMAzureEnvProjet[[#This Row],[Projet]]</f>
        <v>AFB .:. AFB-CESMIA</v>
      </c>
      <c r="B174" s="22" t="str">
        <f>IF(TabVMAzureEnvProjet[[#This Row],[Projet AzureDevOps]]&lt;&gt;"",TabVMAzureEnvProjet[[#This Row],[Projet AzureDevOps]],TabVMAzureEnvProjet[[#This Row],[VM]])</f>
        <v>AFB-CESMIA</v>
      </c>
      <c r="C174" s="13" t="s">
        <v>3</v>
      </c>
      <c r="E174" t="s">
        <v>4</v>
      </c>
      <c r="F174" t="s">
        <v>3</v>
      </c>
      <c r="G174" t="str">
        <f>LOOKUP(TabVMAzureEnvProjet[[#This Row],[Projet]],TabProjets[NomProj],TabProjets[SYGES])</f>
        <v>AFB/OFB_LOT1</v>
      </c>
      <c r="H174">
        <f>LOOKUP(TabVMAzureEnvProjet[[#This Row],[Code SYGES]],TabCONTRATSDI[Contrat SYGES],TabCONTRATSDI[Cost Center])</f>
        <v>305704</v>
      </c>
      <c r="I174" s="22" t="str">
        <f>LOOKUP(TabVMAzureEnvProjet[[#This Row],[Code SYGES]],TabCONTRATSDI[Contrat SYGES],TabCONTRATSDI[Client])</f>
        <v>AFB</v>
      </c>
      <c r="J174" t="s">
        <v>135</v>
      </c>
      <c r="K174" s="31">
        <v>12.255714358527801</v>
      </c>
      <c r="L174" s="40"/>
    </row>
    <row r="175" spans="1:12" x14ac:dyDescent="0.3">
      <c r="A175" s="22" t="str">
        <f>TabVMAzureEnvProjet[[#This Row],[Client]] &amp; " .:. "  &amp; TabVMAzureEnvProjet[[#This Row],[Projet]]</f>
        <v>ONEMA .:. AFB-OISON</v>
      </c>
      <c r="B175" s="22" t="str">
        <f>IF(TabVMAzureEnvProjet[[#This Row],[Projet AzureDevOps]]&lt;&gt;"",TabVMAzureEnvProjet[[#This Row],[Projet AzureDevOps]],TabVMAzureEnvProjet[[#This Row],[VM]])</f>
        <v>AFB-OISON</v>
      </c>
      <c r="C175" s="13" t="s">
        <v>76</v>
      </c>
      <c r="E175" t="s">
        <v>4</v>
      </c>
      <c r="F175" t="s">
        <v>76</v>
      </c>
      <c r="G175" t="str">
        <f>LOOKUP(TabVMAzureEnvProjet[[#This Row],[Projet]],TabProjets[NomProj],TabProjets[SYGES])</f>
        <v>ONEMA/TMADCUA-15</v>
      </c>
      <c r="H175">
        <f>LOOKUP(TabVMAzureEnvProjet[[#This Row],[Code SYGES]],TabCONTRATSDI[Contrat SYGES],TabCONTRATSDI[Cost Center])</f>
        <v>305704</v>
      </c>
      <c r="I175" s="22" t="str">
        <f>LOOKUP(TabVMAzureEnvProjet[[#This Row],[Code SYGES]],TabCONTRATSDI[Contrat SYGES],TabCONTRATSDI[Client])</f>
        <v>ONEMA</v>
      </c>
      <c r="J175" t="s">
        <v>135</v>
      </c>
      <c r="K175" s="31">
        <v>5.7252775179069904</v>
      </c>
      <c r="L175" s="40"/>
    </row>
    <row r="176" spans="1:12" x14ac:dyDescent="0.3">
      <c r="A176" s="22" t="str">
        <f>TabVMAzureEnvProjet[[#This Row],[Client]] &amp; " .:. "  &amp; TabVMAzureEnvProjet[[#This Row],[Projet]]</f>
        <v>ONEMA .:. AFB-PATBIODIV</v>
      </c>
      <c r="B176" s="22" t="str">
        <f>IF(TabVMAzureEnvProjet[[#This Row],[Projet AzureDevOps]]&lt;&gt;"",TabVMAzureEnvProjet[[#This Row],[Projet AzureDevOps]],TabVMAzureEnvProjet[[#This Row],[VM]])</f>
        <v>AFB-PATBiodiv</v>
      </c>
      <c r="C176" s="13" t="s">
        <v>78</v>
      </c>
      <c r="E176" t="s">
        <v>4</v>
      </c>
      <c r="F176" t="s">
        <v>77</v>
      </c>
      <c r="G176" t="str">
        <f>LOOKUP(TabVMAzureEnvProjet[[#This Row],[Projet]],TabProjets[NomProj],TabProjets[SYGES])</f>
        <v>ONEMA/TMADCUA-15</v>
      </c>
      <c r="H176">
        <f>LOOKUP(TabVMAzureEnvProjet[[#This Row],[Code SYGES]],TabCONTRATSDI[Contrat SYGES],TabCONTRATSDI[Cost Center])</f>
        <v>305704</v>
      </c>
      <c r="I176" s="22" t="str">
        <f>LOOKUP(TabVMAzureEnvProjet[[#This Row],[Code SYGES]],TabCONTRATSDI[Contrat SYGES],TabCONTRATSDI[Client])</f>
        <v>ONEMA</v>
      </c>
      <c r="J176" t="s">
        <v>135</v>
      </c>
      <c r="K176" s="31">
        <v>5.6861361027719299</v>
      </c>
      <c r="L176" s="40"/>
    </row>
    <row r="177" spans="1:12" x14ac:dyDescent="0.3">
      <c r="A177" s="22" t="str">
        <f>TabVMAzureEnvProjet[[#This Row],[Client]] &amp; " .:. "  &amp; TabVMAzureEnvProjet[[#This Row],[Projet]]</f>
        <v>AFB .:. AFB-PNM</v>
      </c>
      <c r="B177" s="22" t="str">
        <f>IF(TabVMAzureEnvProjet[[#This Row],[Projet AzureDevOps]]&lt;&gt;"",TabVMAzureEnvProjet[[#This Row],[Projet AzureDevOps]],TabVMAzureEnvProjet[[#This Row],[VM]])</f>
        <v>AFB-PNM</v>
      </c>
      <c r="C177" s="13" t="s">
        <v>5</v>
      </c>
      <c r="E177" t="s">
        <v>4</v>
      </c>
      <c r="F177" t="s">
        <v>5</v>
      </c>
      <c r="G177" t="str">
        <f>LOOKUP(TabVMAzureEnvProjet[[#This Row],[Projet]],TabProjets[NomProj],TabProjets[SYGES])</f>
        <v>AFB/OFB_LOT2</v>
      </c>
      <c r="H177">
        <f>LOOKUP(TabVMAzureEnvProjet[[#This Row],[Code SYGES]],TabCONTRATSDI[Contrat SYGES],TabCONTRATSDI[Cost Center])</f>
        <v>305704</v>
      </c>
      <c r="I177" s="22" t="str">
        <f>LOOKUP(TabVMAzureEnvProjet[[#This Row],[Code SYGES]],TabCONTRATSDI[Contrat SYGES],TabCONTRATSDI[Client])</f>
        <v>AFB</v>
      </c>
      <c r="J177" t="s">
        <v>135</v>
      </c>
      <c r="K177" s="31">
        <v>14.352832561463577</v>
      </c>
      <c r="L177" s="40"/>
    </row>
    <row r="178" spans="1:12" x14ac:dyDescent="0.3">
      <c r="A178" s="22" t="str">
        <f>TabVMAzureEnvProjet[[#This Row],[Client]] &amp; " .:. "  &amp; TabVMAzureEnvProjet[[#This Row],[Projet]]</f>
        <v>AFB .:. AFB-PNX</v>
      </c>
      <c r="B178" s="22" t="str">
        <f>IF(TabVMAzureEnvProjet[[#This Row],[Projet AzureDevOps]]&lt;&gt;"",TabVMAzureEnvProjet[[#This Row],[Projet AzureDevOps]],TabVMAzureEnvProjet[[#This Row],[VM]])</f>
        <v>AFB-PNX</v>
      </c>
      <c r="C178" s="13" t="s">
        <v>6</v>
      </c>
      <c r="E178" t="s">
        <v>4</v>
      </c>
      <c r="F178" t="s">
        <v>6</v>
      </c>
      <c r="G178" t="str">
        <f>LOOKUP(TabVMAzureEnvProjet[[#This Row],[Projet]],TabProjets[NomProj],TabProjets[SYGES])</f>
        <v>AFB/OFB_LOT2</v>
      </c>
      <c r="H178">
        <f>LOOKUP(TabVMAzureEnvProjet[[#This Row],[Code SYGES]],TabCONTRATSDI[Contrat SYGES],TabCONTRATSDI[Cost Center])</f>
        <v>305704</v>
      </c>
      <c r="I178" s="22" t="str">
        <f>LOOKUP(TabVMAzureEnvProjet[[#This Row],[Code SYGES]],TabCONTRATSDI[Contrat SYGES],TabCONTRATSDI[Client])</f>
        <v>AFB</v>
      </c>
      <c r="J178" t="s">
        <v>135</v>
      </c>
      <c r="K178" s="31">
        <v>2.4543945053909773</v>
      </c>
      <c r="L178" s="40"/>
    </row>
    <row r="179" spans="1:12" x14ac:dyDescent="0.3">
      <c r="A179" s="22" t="str">
        <f>TabVMAzureEnvProjet[[#This Row],[Client]] &amp; " .:. "  &amp; TabVMAzureEnvProjet[[#This Row],[Projet]]</f>
        <v>ONEMA .:. AFB-RAA</v>
      </c>
      <c r="B179" s="22" t="str">
        <f>IF(TabVMAzureEnvProjet[[#This Row],[Projet AzureDevOps]]&lt;&gt;"",TabVMAzureEnvProjet[[#This Row],[Projet AzureDevOps]],TabVMAzureEnvProjet[[#This Row],[VM]])</f>
        <v>AFB-RAA</v>
      </c>
      <c r="C179" s="13" t="s">
        <v>79</v>
      </c>
      <c r="E179" t="s">
        <v>4</v>
      </c>
      <c r="F179" t="s">
        <v>79</v>
      </c>
      <c r="G179" t="str">
        <f>LOOKUP(TabVMAzureEnvProjet[[#This Row],[Projet]],TabProjets[NomProj],TabProjets[SYGES])</f>
        <v>ONEMA/TMAWEB-16</v>
      </c>
      <c r="H179">
        <f>LOOKUP(TabVMAzureEnvProjet[[#This Row],[Code SYGES]],TabCONTRATSDI[Contrat SYGES],TabCONTRATSDI[Cost Center])</f>
        <v>305704</v>
      </c>
      <c r="I179" s="22" t="str">
        <f>LOOKUP(TabVMAzureEnvProjet[[#This Row],[Code SYGES]],TabCONTRATSDI[Contrat SYGES],TabCONTRATSDI[Client])</f>
        <v>ONEMA</v>
      </c>
      <c r="J179" t="s">
        <v>135</v>
      </c>
      <c r="K179" s="31">
        <v>0.23681270210526315</v>
      </c>
      <c r="L179" s="40"/>
    </row>
    <row r="180" spans="1:12" x14ac:dyDescent="0.3">
      <c r="A180" s="22" t="str">
        <f>TabVMAzureEnvProjet[[#This Row],[Client]] &amp; " .:. "  &amp; TabVMAzureEnvProjet[[#This Row],[Projet]]</f>
        <v>ALM .:. ALM-ATOUT</v>
      </c>
      <c r="B180" s="22" t="str">
        <f>IF(TabVMAzureEnvProjet[[#This Row],[Projet AzureDevOps]]&lt;&gt;"",TabVMAzureEnvProjet[[#This Row],[Projet AzureDevOps]],TabVMAzureEnvProjet[[#This Row],[VM]])</f>
        <v>ALM-ATOUT</v>
      </c>
      <c r="C180" s="13" t="s">
        <v>15</v>
      </c>
      <c r="E180" t="s">
        <v>4</v>
      </c>
      <c r="F180" t="s">
        <v>15</v>
      </c>
      <c r="G180" t="str">
        <f>LOOKUP(TabVMAzureEnvProjet[[#This Row],[Projet]],TabProjets[NomProj],TabProjets[SYGES])</f>
        <v>ALM/TMA_ATOUT</v>
      </c>
      <c r="H180">
        <f>LOOKUP(TabVMAzureEnvProjet[[#This Row],[Code SYGES]],TabCONTRATSDI[Contrat SYGES],TabCONTRATSDI[Cost Center])</f>
        <v>305704</v>
      </c>
      <c r="I180" s="22" t="str">
        <f>LOOKUP(TabVMAzureEnvProjet[[#This Row],[Code SYGES]],TabCONTRATSDI[Contrat SYGES],TabCONTRATSDI[Client])</f>
        <v>ALM</v>
      </c>
      <c r="J180" t="s">
        <v>135</v>
      </c>
      <c r="K180" s="31">
        <v>11.506087884854869</v>
      </c>
      <c r="L180" s="40"/>
    </row>
    <row r="181" spans="1:12" x14ac:dyDescent="0.3">
      <c r="A181" s="22" t="str">
        <f>TabVMAzureEnvProjet[[#This Row],[Client]] &amp; " .:. "  &amp; TabVMAzureEnvProjet[[#This Row],[Projet]]</f>
        <v>BRGM .:. BRGM-ORRM</v>
      </c>
      <c r="B181" s="22" t="str">
        <f>IF(TabVMAzureEnvProjet[[#This Row],[Projet AzureDevOps]]&lt;&gt;"",TabVMAzureEnvProjet[[#This Row],[Projet AzureDevOps]],TabVMAzureEnvProjet[[#This Row],[VM]])</f>
        <v>BRGM-ORRM</v>
      </c>
      <c r="C181" s="13" t="s">
        <v>18</v>
      </c>
      <c r="E181" t="s">
        <v>4</v>
      </c>
      <c r="F181" t="s">
        <v>18</v>
      </c>
      <c r="G181" t="str">
        <f>LOOKUP(TabVMAzureEnvProjet[[#This Row],[Projet]],TabProjets[NomProj],TabProjets[SYGES])</f>
        <v>BRGM/TMA-5-1-ORRM-LOT1</v>
      </c>
      <c r="H181">
        <f>LOOKUP(TabVMAzureEnvProjet[[#This Row],[Code SYGES]],TabCONTRATSDI[Contrat SYGES],TabCONTRATSDI[Cost Center])</f>
        <v>305704</v>
      </c>
      <c r="I181" s="22" t="str">
        <f>LOOKUP(TabVMAzureEnvProjet[[#This Row],[Code SYGES]],TabCONTRATSDI[Contrat SYGES],TabCONTRATSDI[Client])</f>
        <v>BRGM</v>
      </c>
      <c r="J181" t="s">
        <v>135</v>
      </c>
      <c r="K181" s="31">
        <v>6.2898275603641114</v>
      </c>
      <c r="L181" s="40"/>
    </row>
    <row r="182" spans="1:12" x14ac:dyDescent="0.3">
      <c r="A182" s="22" t="str">
        <f>TabVMAzureEnvProjet[[#This Row],[Client]] &amp; " .:. "  &amp; TabVMAzureEnvProjet[[#This Row],[Projet]]</f>
        <v>CNAV .:. CNAV-BI-RGCU</v>
      </c>
      <c r="B182" s="22" t="str">
        <f>IF(TabVMAzureEnvProjet[[#This Row],[Projet AzureDevOps]]&lt;&gt;"",TabVMAzureEnvProjet[[#This Row],[Projet AzureDevOps]],TabVMAzureEnvProjet[[#This Row],[VM]])</f>
        <v>CNAV-BI-RGCU</v>
      </c>
      <c r="C182" s="13" t="s">
        <v>25</v>
      </c>
      <c r="E182" t="s">
        <v>4</v>
      </c>
      <c r="F182" t="s">
        <v>25</v>
      </c>
      <c r="G182" t="str">
        <f>LOOKUP(TabVMAzureEnvProjet[[#This Row],[Projet]],TabProjets[NomProj],TabProjets[SYGES])</f>
        <v>CNAV/BI-SIRRGCU</v>
      </c>
      <c r="H182">
        <f>LOOKUP(TabVMAzureEnvProjet[[#This Row],[Code SYGES]],TabCONTRATSDI[Contrat SYGES],TabCONTRATSDI[Cost Center])</f>
        <v>305704</v>
      </c>
      <c r="I182" s="22" t="str">
        <f>LOOKUP(TabVMAzureEnvProjet[[#This Row],[Code SYGES]],TabCONTRATSDI[Contrat SYGES],TabCONTRATSDI[Client])</f>
        <v>CNAV</v>
      </c>
      <c r="J182" t="s">
        <v>135</v>
      </c>
      <c r="K182" s="31">
        <v>11.24860335</v>
      </c>
      <c r="L182" s="40"/>
    </row>
    <row r="183" spans="1:12" x14ac:dyDescent="0.3">
      <c r="A183" s="22" t="str">
        <f>TabVMAzureEnvProjet[[#This Row],[Client]] &amp; " .:. "  &amp; TabVMAzureEnvProjet[[#This Row],[Projet]]</f>
        <v>GFI .:. GFI-INTERNE</v>
      </c>
      <c r="B183" s="22" t="str">
        <f>IF(TabVMAzureEnvProjet[[#This Row],[Projet AzureDevOps]]&lt;&gt;"",TabVMAzureEnvProjet[[#This Row],[Projet AzureDevOps]],TabVMAzureEnvProjet[[#This Row],[VM]])</f>
        <v>d8-qa</v>
      </c>
      <c r="C183" s="13" t="s">
        <v>37</v>
      </c>
      <c r="E183" t="s">
        <v>4</v>
      </c>
      <c r="F183" t="s">
        <v>36</v>
      </c>
      <c r="G183" t="str">
        <f>LOOKUP(TabVMAzureEnvProjet[[#This Row],[Projet]],TabProjets[NomProj],TabProjets[SYGES])</f>
        <v>GFI/PROJET_INTERNE</v>
      </c>
      <c r="H183">
        <f>LOOKUP(TabVMAzureEnvProjet[[#This Row],[Code SYGES]],TabCONTRATSDI[Contrat SYGES],TabCONTRATSDI[Cost Center])</f>
        <v>305704</v>
      </c>
      <c r="I183" s="22" t="str">
        <f>LOOKUP(TabVMAzureEnvProjet[[#This Row],[Code SYGES]],TabCONTRATSDI[Contrat SYGES],TabCONTRATSDI[Client])</f>
        <v>GFI</v>
      </c>
      <c r="J183" t="s">
        <v>135</v>
      </c>
      <c r="K183" s="31">
        <v>0.79924286960526314</v>
      </c>
      <c r="L183" s="40"/>
    </row>
    <row r="184" spans="1:12" x14ac:dyDescent="0.3">
      <c r="A184" s="22" t="str">
        <f>TabVMAzureEnvProjet[[#This Row],[Client]] &amp; " .:. "  &amp; TabVMAzureEnvProjet[[#This Row],[Projet]]</f>
        <v>GFI .:. GFI-INTERNE</v>
      </c>
      <c r="B184" s="22" t="str">
        <f>IF(TabVMAzureEnvProjet[[#This Row],[Projet AzureDevOps]]&lt;&gt;"",TabVMAzureEnvProjet[[#This Row],[Projet AzureDevOps]],TabVMAzureEnvProjet[[#This Row],[VM]])</f>
        <v>drupal-qa</v>
      </c>
      <c r="C184" s="13" t="s">
        <v>38</v>
      </c>
      <c r="E184" t="s">
        <v>4</v>
      </c>
      <c r="F184" t="s">
        <v>36</v>
      </c>
      <c r="G184" t="str">
        <f>LOOKUP(TabVMAzureEnvProjet[[#This Row],[Projet]],TabProjets[NomProj],TabProjets[SYGES])</f>
        <v>GFI/PROJET_INTERNE</v>
      </c>
      <c r="H184">
        <f>LOOKUP(TabVMAzureEnvProjet[[#This Row],[Code SYGES]],TabCONTRATSDI[Contrat SYGES],TabCONTRATSDI[Cost Center])</f>
        <v>305704</v>
      </c>
      <c r="I184" s="22" t="str">
        <f>LOOKUP(TabVMAzureEnvProjet[[#This Row],[Code SYGES]],TabCONTRATSDI[Contrat SYGES],TabCONTRATSDI[Client])</f>
        <v>GFI</v>
      </c>
      <c r="J184" t="s">
        <v>135</v>
      </c>
      <c r="K184" s="31">
        <v>0.79924286960526314</v>
      </c>
      <c r="L184" s="40"/>
    </row>
    <row r="185" spans="1:12" x14ac:dyDescent="0.3">
      <c r="A185" s="22" t="str">
        <f>TabVMAzureEnvProjet[[#This Row],[Client]] &amp; " .:. "  &amp; TabVMAzureEnvProjet[[#This Row],[Projet]]</f>
        <v>FRR .:. FRR-DIGIPAT</v>
      </c>
      <c r="B185" s="22" t="str">
        <f>IF(TabVMAzureEnvProjet[[#This Row],[Projet AzureDevOps]]&lt;&gt;"",TabVMAzureEnvProjet[[#This Row],[Projet AzureDevOps]],TabVMAzureEnvProjet[[#This Row],[VM]])</f>
        <v>FRR DIGIPAT</v>
      </c>
      <c r="C185" s="13" t="s">
        <v>28</v>
      </c>
      <c r="E185" t="s">
        <v>4</v>
      </c>
      <c r="F185" t="s">
        <v>27</v>
      </c>
      <c r="G185" t="str">
        <f>LOOKUP(TabVMAzureEnvProjet[[#This Row],[Projet]],TabProjets[NomProj],TabProjets[SYGES])</f>
        <v>FRR/TMASI</v>
      </c>
      <c r="H185">
        <f>LOOKUP(TabVMAzureEnvProjet[[#This Row],[Code SYGES]],TabCONTRATSDI[Contrat SYGES],TabCONTRATSDI[Cost Center])</f>
        <v>305704</v>
      </c>
      <c r="I185" s="22" t="str">
        <f>LOOKUP(TabVMAzureEnvProjet[[#This Row],[Code SYGES]],TabCONTRATSDI[Contrat SYGES],TabCONTRATSDI[Client])</f>
        <v>FRR</v>
      </c>
      <c r="J185" t="s">
        <v>135</v>
      </c>
      <c r="K185" s="31">
        <v>7.5952108089743593</v>
      </c>
      <c r="L185" s="40"/>
    </row>
    <row r="186" spans="1:12" x14ac:dyDescent="0.3">
      <c r="A186" s="22" t="str">
        <f>TabVMAzureEnvProjet[[#This Row],[Client]] &amp; " .:. "  &amp; TabVMAzureEnvProjet[[#This Row],[Projet]]</f>
        <v>FRR .:. FRR-APPLIFRR</v>
      </c>
      <c r="B186" s="22" t="str">
        <f>IF(TabVMAzureEnvProjet[[#This Row],[Projet AzureDevOps]]&lt;&gt;"",TabVMAzureEnvProjet[[#This Row],[Projet AzureDevOps]],TabVMAzureEnvProjet[[#This Row],[VM]])</f>
        <v>FRR-APPLIFRR</v>
      </c>
      <c r="C186" s="13" t="s">
        <v>30</v>
      </c>
      <c r="E186" t="s">
        <v>4</v>
      </c>
      <c r="F186" t="s">
        <v>30</v>
      </c>
      <c r="G186" t="str">
        <f>LOOKUP(TabVMAzureEnvProjet[[#This Row],[Projet]],TabProjets[NomProj],TabProjets[SYGES])</f>
        <v>FRR/TMASI</v>
      </c>
      <c r="H186">
        <f>LOOKUP(TabVMAzureEnvProjet[[#This Row],[Code SYGES]],TabCONTRATSDI[Contrat SYGES],TabCONTRATSDI[Cost Center])</f>
        <v>305704</v>
      </c>
      <c r="I186" s="22" t="str">
        <f>LOOKUP(TabVMAzureEnvProjet[[#This Row],[Code SYGES]],TabCONTRATSDI[Contrat SYGES],TabCONTRATSDI[Client])</f>
        <v>FRR</v>
      </c>
      <c r="J186" t="s">
        <v>135</v>
      </c>
      <c r="K186" s="31">
        <v>3.0048716641258739</v>
      </c>
      <c r="L186" s="40"/>
    </row>
    <row r="187" spans="1:12" x14ac:dyDescent="0.3">
      <c r="A187" s="22" t="str">
        <f>TabVMAzureEnvProjet[[#This Row],[Client]] &amp; " .:. "  &amp; TabVMAzureEnvProjet[[#This Row],[Projet]]</f>
        <v>FRR .:. FRR-CADENCIER</v>
      </c>
      <c r="B187" s="22" t="str">
        <f>IF(TabVMAzureEnvProjet[[#This Row],[Projet AzureDevOps]]&lt;&gt;"",TabVMAzureEnvProjet[[#This Row],[Projet AzureDevOps]],TabVMAzureEnvProjet[[#This Row],[VM]])</f>
        <v>FRR-CADENCIER</v>
      </c>
      <c r="C187" s="13" t="s">
        <v>31</v>
      </c>
      <c r="E187" t="s">
        <v>4</v>
      </c>
      <c r="F187" t="s">
        <v>31</v>
      </c>
      <c r="G187" t="str">
        <f>LOOKUP(TabVMAzureEnvProjet[[#This Row],[Projet]],TabProjets[NomProj],TabProjets[SYGES])</f>
        <v>FRR/TMASI</v>
      </c>
      <c r="H187">
        <f>LOOKUP(TabVMAzureEnvProjet[[#This Row],[Code SYGES]],TabCONTRATSDI[Contrat SYGES],TabCONTRATSDI[Cost Center])</f>
        <v>305704</v>
      </c>
      <c r="I187" s="22" t="str">
        <f>LOOKUP(TabVMAzureEnvProjet[[#This Row],[Code SYGES]],TabCONTRATSDI[Contrat SYGES],TabCONTRATSDI[Client])</f>
        <v>FRR</v>
      </c>
      <c r="J187" t="s">
        <v>135</v>
      </c>
      <c r="K187" s="31">
        <v>3.0048716641258739</v>
      </c>
      <c r="L187" s="40"/>
    </row>
    <row r="188" spans="1:12" x14ac:dyDescent="0.3">
      <c r="A188" s="22" t="str">
        <f>TabVMAzureEnvProjet[[#This Row],[Client]] &amp; " .:. "  &amp; TabVMAzureEnvProjet[[#This Row],[Projet]]</f>
        <v>FRR .:. FRR-PATAPAIN</v>
      </c>
      <c r="B188" s="22" t="str">
        <f>IF(TabVMAzureEnvProjet[[#This Row],[Projet AzureDevOps]]&lt;&gt;"",TabVMAzureEnvProjet[[#This Row],[Projet AzureDevOps]],TabVMAzureEnvProjet[[#This Row],[VM]])</f>
        <v>FRR-Patapain</v>
      </c>
      <c r="C188" s="13" t="s">
        <v>33</v>
      </c>
      <c r="E188" t="s">
        <v>4</v>
      </c>
      <c r="F188" t="s">
        <v>32</v>
      </c>
      <c r="G188" t="str">
        <f>LOOKUP(TabVMAzureEnvProjet[[#This Row],[Projet]],TabProjets[NomProj],TabProjets[SYGES])</f>
        <v>FRR/TMASI</v>
      </c>
      <c r="H188">
        <f>LOOKUP(TabVMAzureEnvProjet[[#This Row],[Code SYGES]],TabCONTRATSDI[Contrat SYGES],TabCONTRATSDI[Cost Center])</f>
        <v>305704</v>
      </c>
      <c r="I188" s="22" t="str">
        <f>LOOKUP(TabVMAzureEnvProjet[[#This Row],[Code SYGES]],TabCONTRATSDI[Contrat SYGES],TabCONTRATSDI[Client])</f>
        <v>FRR</v>
      </c>
      <c r="J188" t="s">
        <v>135</v>
      </c>
      <c r="K188" s="31">
        <v>2.5944830583896099</v>
      </c>
      <c r="L188" s="40"/>
    </row>
    <row r="189" spans="1:12" x14ac:dyDescent="0.3">
      <c r="A189" s="22" t="str">
        <f>TabVMAzureEnvProjet[[#This Row],[Client]] &amp; " .:. "  &amp; TabVMAzureEnvProjet[[#This Row],[Projet]]</f>
        <v>FRR .:. FRR-PATAPAINANDROID</v>
      </c>
      <c r="B189" s="22" t="str">
        <f>IF(TabVMAzureEnvProjet[[#This Row],[Projet AzureDevOps]]&lt;&gt;"",TabVMAzureEnvProjet[[#This Row],[Projet AzureDevOps]],TabVMAzureEnvProjet[[#This Row],[VM]])</f>
        <v>FRR-PATAPAINANDROID</v>
      </c>
      <c r="C189" s="13" t="s">
        <v>34</v>
      </c>
      <c r="E189" t="s">
        <v>4</v>
      </c>
      <c r="F189" t="s">
        <v>34</v>
      </c>
      <c r="G189" t="str">
        <f>LOOKUP(TabVMAzureEnvProjet[[#This Row],[Projet]],TabProjets[NomProj],TabProjets[SYGES])</f>
        <v>FRR/TMASI</v>
      </c>
      <c r="H189">
        <f>LOOKUP(TabVMAzureEnvProjet[[#This Row],[Code SYGES]],TabCONTRATSDI[Contrat SYGES],TabCONTRATSDI[Cost Center])</f>
        <v>305704</v>
      </c>
      <c r="I189" s="22" t="str">
        <f>LOOKUP(TabVMAzureEnvProjet[[#This Row],[Code SYGES]],TabCONTRATSDI[Contrat SYGES],TabCONTRATSDI[Client])</f>
        <v>FRR</v>
      </c>
      <c r="J189" t="s">
        <v>135</v>
      </c>
      <c r="K189" s="31">
        <v>3.0048716641258739</v>
      </c>
      <c r="L189" s="40"/>
    </row>
    <row r="190" spans="1:12" x14ac:dyDescent="0.3">
      <c r="A190" s="22" t="str">
        <f>TabVMAzureEnvProjet[[#This Row],[Client]] &amp; " .:. "  &amp; TabVMAzureEnvProjet[[#This Row],[Projet]]</f>
        <v>GFI .:. GFI-CMIS</v>
      </c>
      <c r="B190" s="22" t="str">
        <f>IF(TabVMAzureEnvProjet[[#This Row],[Projet AzureDevOps]]&lt;&gt;"",TabVMAzureEnvProjet[[#This Row],[Projet AzureDevOps]],TabVMAzureEnvProjet[[#This Row],[VM]])</f>
        <v>GFI-CMIS</v>
      </c>
      <c r="C190" s="13" t="s">
        <v>40</v>
      </c>
      <c r="E190" t="s">
        <v>4</v>
      </c>
      <c r="F190" t="s">
        <v>40</v>
      </c>
      <c r="G190" t="str">
        <f>LOOKUP(TabVMAzureEnvProjet[[#This Row],[Projet]],TabProjets[NomProj],TabProjets[SYGES])</f>
        <v>GFI/PROJET_INTERNE</v>
      </c>
      <c r="H190">
        <f>LOOKUP(TabVMAzureEnvProjet[[#This Row],[Code SYGES]],TabCONTRATSDI[Contrat SYGES],TabCONTRATSDI[Cost Center])</f>
        <v>305704</v>
      </c>
      <c r="I190" s="22" t="str">
        <f>LOOKUP(TabVMAzureEnvProjet[[#This Row],[Code SYGES]],TabCONTRATSDI[Contrat SYGES],TabCONTRATSDI[Client])</f>
        <v>GFI</v>
      </c>
      <c r="J190" t="s">
        <v>135</v>
      </c>
      <c r="K190" s="31">
        <v>0.23681270210526315</v>
      </c>
      <c r="L190" s="40"/>
    </row>
    <row r="191" spans="1:12" x14ac:dyDescent="0.3">
      <c r="A191" s="22" t="str">
        <f>TabVMAzureEnvProjet[[#This Row],[Client]] &amp; " .:. "  &amp; TabVMAzureEnvProjet[[#This Row],[Projet]]</f>
        <v>GFI .:. GFI-COFFEE</v>
      </c>
      <c r="B191" s="22" t="str">
        <f>IF(TabVMAzureEnvProjet[[#This Row],[Projet AzureDevOps]]&lt;&gt;"",TabVMAzureEnvProjet[[#This Row],[Projet AzureDevOps]],TabVMAzureEnvProjet[[#This Row],[VM]])</f>
        <v>GFI-COFFEE</v>
      </c>
      <c r="C191" s="13" t="s">
        <v>41</v>
      </c>
      <c r="E191" t="s">
        <v>4</v>
      </c>
      <c r="F191" t="s">
        <v>41</v>
      </c>
      <c r="G191" t="str">
        <f>LOOKUP(TabVMAzureEnvProjet[[#This Row],[Projet]],TabProjets[NomProj],TabProjets[SYGES])</f>
        <v>GFI/PROJET_INTERNE</v>
      </c>
      <c r="H191">
        <f>LOOKUP(TabVMAzureEnvProjet[[#This Row],[Code SYGES]],TabCONTRATSDI[Contrat SYGES],TabCONTRATSDI[Cost Center])</f>
        <v>305704</v>
      </c>
      <c r="I191" s="22" t="str">
        <f>LOOKUP(TabVMAzureEnvProjet[[#This Row],[Code SYGES]],TabCONTRATSDI[Contrat SYGES],TabCONTRATSDI[Client])</f>
        <v>GFI</v>
      </c>
      <c r="J191" t="s">
        <v>135</v>
      </c>
      <c r="K191" s="31">
        <v>1.3979283284115882</v>
      </c>
      <c r="L191" s="40"/>
    </row>
    <row r="192" spans="1:12" x14ac:dyDescent="0.3">
      <c r="A192" s="22" t="str">
        <f>TabVMAzureEnvProjet[[#This Row],[Client]] &amp; " .:. "  &amp; TabVMAzureEnvProjet[[#This Row],[Projet]]</f>
        <v>GFI .:. GFI-CRALENIUM</v>
      </c>
      <c r="B192" s="22" t="str">
        <f>IF(TabVMAzureEnvProjet[[#This Row],[Projet AzureDevOps]]&lt;&gt;"",TabVMAzureEnvProjet[[#This Row],[Projet AzureDevOps]],TabVMAzureEnvProjet[[#This Row],[VM]])</f>
        <v>GFI-CRALENIUM</v>
      </c>
      <c r="C192" s="13" t="s">
        <v>42</v>
      </c>
      <c r="E192" t="s">
        <v>4</v>
      </c>
      <c r="F192" t="s">
        <v>42</v>
      </c>
      <c r="G192" t="str">
        <f>LOOKUP(TabVMAzureEnvProjet[[#This Row],[Projet]],TabProjets[NomProj],TabProjets[SYGES])</f>
        <v>GFI/PROJET_INTERNE</v>
      </c>
      <c r="H192">
        <f>LOOKUP(TabVMAzureEnvProjet[[#This Row],[Code SYGES]],TabCONTRATSDI[Contrat SYGES],TabCONTRATSDI[Cost Center])</f>
        <v>305704</v>
      </c>
      <c r="I192" s="22" t="str">
        <f>LOOKUP(TabVMAzureEnvProjet[[#This Row],[Code SYGES]],TabCONTRATSDI[Contrat SYGES],TabCONTRATSDI[Client])</f>
        <v>GFI</v>
      </c>
      <c r="J192" t="s">
        <v>135</v>
      </c>
      <c r="K192" s="31">
        <v>3.0048716641258739</v>
      </c>
      <c r="L192" s="40"/>
    </row>
    <row r="193" spans="1:12" x14ac:dyDescent="0.3">
      <c r="A193" s="22" t="str">
        <f>TabVMAzureEnvProjet[[#This Row],[Client]] &amp; " .:. "  &amp; TabVMAzureEnvProjet[[#This Row],[Projet]]</f>
        <v>GFI .:. GFI-D8-BS4-THEME</v>
      </c>
      <c r="B193" s="22" t="str">
        <f>IF(TabVMAzureEnvProjet[[#This Row],[Projet AzureDevOps]]&lt;&gt;"",TabVMAzureEnvProjet[[#This Row],[Projet AzureDevOps]],TabVMAzureEnvProjet[[#This Row],[VM]])</f>
        <v>GFI-D8-BS4-THEME</v>
      </c>
      <c r="C193" s="13" t="s">
        <v>43</v>
      </c>
      <c r="E193" t="s">
        <v>4</v>
      </c>
      <c r="F193" t="s">
        <v>43</v>
      </c>
      <c r="G193" t="str">
        <f>LOOKUP(TabVMAzureEnvProjet[[#This Row],[Projet]],TabProjets[NomProj],TabProjets[SYGES])</f>
        <v>GFI/PROJET_INTERNE</v>
      </c>
      <c r="H193">
        <f>LOOKUP(TabVMAzureEnvProjet[[#This Row],[Code SYGES]],TabCONTRATSDI[Contrat SYGES],TabCONTRATSDI[Cost Center])</f>
        <v>305704</v>
      </c>
      <c r="I193" s="22" t="str">
        <f>LOOKUP(TabVMAzureEnvProjet[[#This Row],[Code SYGES]],TabCONTRATSDI[Contrat SYGES],TabCONTRATSDI[Client])</f>
        <v>GFI</v>
      </c>
      <c r="J193" t="s">
        <v>135</v>
      </c>
      <c r="K193" s="31">
        <v>1.6366388967719296</v>
      </c>
      <c r="L193" s="40"/>
    </row>
    <row r="194" spans="1:12" x14ac:dyDescent="0.3">
      <c r="A194" s="22" t="str">
        <f>TabVMAzureEnvProjet[[#This Row],[Client]] &amp; " .:. "  &amp; TabVMAzureEnvProjet[[#This Row],[Projet]]</f>
        <v>GFI .:. GFI-Docker Devbox Install</v>
      </c>
      <c r="B194" s="22" t="str">
        <f>IF(TabVMAzureEnvProjet[[#This Row],[Projet AzureDevOps]]&lt;&gt;"",TabVMAzureEnvProjet[[#This Row],[Projet AzureDevOps]],TabVMAzureEnvProjet[[#This Row],[VM]])</f>
        <v>GFI-Docker Devbox Install</v>
      </c>
      <c r="C194" s="13" t="s">
        <v>44</v>
      </c>
      <c r="E194" t="s">
        <v>4</v>
      </c>
      <c r="F194" t="s">
        <v>44</v>
      </c>
      <c r="G194" t="str">
        <f>LOOKUP(TabVMAzureEnvProjet[[#This Row],[Projet]],TabProjets[NomProj],TabProjets[SYGES])</f>
        <v>GFI/PROJET_INTERNE</v>
      </c>
      <c r="H194">
        <f>LOOKUP(TabVMAzureEnvProjet[[#This Row],[Code SYGES]],TabCONTRATSDI[Contrat SYGES],TabCONTRATSDI[Cost Center])</f>
        <v>305704</v>
      </c>
      <c r="I194" s="22" t="str">
        <f>LOOKUP(TabVMAzureEnvProjet[[#This Row],[Code SYGES]],TabCONTRATSDI[Contrat SYGES],TabCONTRATSDI[Client])</f>
        <v>GFI</v>
      </c>
      <c r="J194" t="s">
        <v>135</v>
      </c>
      <c r="K194" s="31">
        <v>0.23681270210526315</v>
      </c>
      <c r="L194" s="40"/>
    </row>
    <row r="195" spans="1:12" x14ac:dyDescent="0.3">
      <c r="A195" s="22" t="str">
        <f>TabVMAzureEnvProjet[[#This Row],[Client]] &amp; " .:. "  &amp; TabVMAzureEnvProjet[[#This Row],[Projet]]</f>
        <v>GFI .:. GFI-MINEREPORT</v>
      </c>
      <c r="B195" s="22" t="str">
        <f>IF(TabVMAzureEnvProjet[[#This Row],[Projet AzureDevOps]]&lt;&gt;"",TabVMAzureEnvProjet[[#This Row],[Projet AzureDevOps]],TabVMAzureEnvProjet[[#This Row],[VM]])</f>
        <v>GFI-MineReport</v>
      </c>
      <c r="C195" s="13" t="s">
        <v>46</v>
      </c>
      <c r="E195" t="s">
        <v>4</v>
      </c>
      <c r="F195" t="s">
        <v>45</v>
      </c>
      <c r="G195" t="str">
        <f>LOOKUP(TabVMAzureEnvProjet[[#This Row],[Projet]],TabProjets[NomProj],TabProjets[SYGES])</f>
        <v>GFI/PROJET_INTERNE</v>
      </c>
      <c r="H195">
        <f>LOOKUP(TabVMAzureEnvProjet[[#This Row],[Code SYGES]],TabCONTRATSDI[Contrat SYGES],TabCONTRATSDI[Cost Center])</f>
        <v>305704</v>
      </c>
      <c r="I195" s="22" t="str">
        <f>LOOKUP(TabVMAzureEnvProjet[[#This Row],[Code SYGES]],TabCONTRATSDI[Contrat SYGES],TabCONTRATSDI[Client])</f>
        <v>GFI</v>
      </c>
      <c r="J195" t="s">
        <v>135</v>
      </c>
      <c r="K195" s="31">
        <v>7.657703049807691</v>
      </c>
      <c r="L195" s="40"/>
    </row>
    <row r="196" spans="1:12" x14ac:dyDescent="0.3">
      <c r="A196" s="22" t="str">
        <f>TabVMAzureEnvProjet[[#This Row],[Client]] &amp; " .:. "  &amp; TabVMAzureEnvProjet[[#This Row],[Projet]]</f>
        <v>GFI .:. GFI-PMT</v>
      </c>
      <c r="B196" s="22" t="str">
        <f>IF(TabVMAzureEnvProjet[[#This Row],[Projet AzureDevOps]]&lt;&gt;"",TabVMAzureEnvProjet[[#This Row],[Projet AzureDevOps]],TabVMAzureEnvProjet[[#This Row],[VM]])</f>
        <v>GFI-PMT</v>
      </c>
      <c r="C196" s="13" t="s">
        <v>47</v>
      </c>
      <c r="E196" t="s">
        <v>4</v>
      </c>
      <c r="F196" t="s">
        <v>47</v>
      </c>
      <c r="G196" t="str">
        <f>LOOKUP(TabVMAzureEnvProjet[[#This Row],[Projet]],TabProjets[NomProj],TabProjets[SYGES])</f>
        <v>GFI/PROJET_INTERNE</v>
      </c>
      <c r="H196">
        <f>LOOKUP(TabVMAzureEnvProjet[[#This Row],[Code SYGES]],TabCONTRATSDI[Contrat SYGES],TabCONTRATSDI[Cost Center])</f>
        <v>305704</v>
      </c>
      <c r="I196" s="22" t="str">
        <f>LOOKUP(TabVMAzureEnvProjet[[#This Row],[Code SYGES]],TabCONTRATSDI[Contrat SYGES],TabCONTRATSDI[Client])</f>
        <v>GFI</v>
      </c>
      <c r="J196" t="s">
        <v>135</v>
      </c>
      <c r="K196" s="31">
        <v>1.4600046738931081</v>
      </c>
      <c r="L196" s="40"/>
    </row>
    <row r="197" spans="1:12" x14ac:dyDescent="0.3">
      <c r="A197" s="22" t="str">
        <f>TabVMAzureEnvProjet[[#This Row],[Client]] &amp; " .:. "  &amp; TabVMAzureEnvProjet[[#This Row],[Projet]]</f>
        <v>GFI .:. GFI-REDMINEDOCKER</v>
      </c>
      <c r="B197" s="22" t="str">
        <f>IF(TabVMAzureEnvProjet[[#This Row],[Projet AzureDevOps]]&lt;&gt;"",TabVMAzureEnvProjet[[#This Row],[Projet AzureDevOps]],TabVMAzureEnvProjet[[#This Row],[VM]])</f>
        <v>GFI-RedmineDocker</v>
      </c>
      <c r="C197" s="13" t="s">
        <v>50</v>
      </c>
      <c r="E197" t="s">
        <v>4</v>
      </c>
      <c r="F197" t="s">
        <v>49</v>
      </c>
      <c r="G197" t="str">
        <f>LOOKUP(TabVMAzureEnvProjet[[#This Row],[Projet]],TabProjets[NomProj],TabProjets[SYGES])</f>
        <v>GFI/PROJET_INTERNE</v>
      </c>
      <c r="H197">
        <f>LOOKUP(TabVMAzureEnvProjet[[#This Row],[Code SYGES]],TabCONTRATSDI[Contrat SYGES],TabCONTRATSDI[Cost Center])</f>
        <v>305704</v>
      </c>
      <c r="I197" s="22" t="str">
        <f>LOOKUP(TabVMAzureEnvProjet[[#This Row],[Code SYGES]],TabCONTRATSDI[Contrat SYGES],TabCONTRATSDI[Client])</f>
        <v>GFI</v>
      </c>
      <c r="J197" t="s">
        <v>135</v>
      </c>
      <c r="K197" s="31">
        <v>1.3589221824848483</v>
      </c>
      <c r="L197" s="40"/>
    </row>
    <row r="198" spans="1:12" x14ac:dyDescent="0.3">
      <c r="A198" s="22" t="str">
        <f>TabVMAzureEnvProjet[[#This Row],[Client]] &amp; " .:. "  &amp; TabVMAzureEnvProjet[[#This Row],[Projet]]</f>
        <v>GFI .:. GFI-TENDER</v>
      </c>
      <c r="B198" s="22" t="str">
        <f>IF(TabVMAzureEnvProjet[[#This Row],[Projet AzureDevOps]]&lt;&gt;"",TabVMAzureEnvProjet[[#This Row],[Projet AzureDevOps]],TabVMAzureEnvProjet[[#This Row],[VM]])</f>
        <v>GFI-TENDER</v>
      </c>
      <c r="C198" s="13" t="s">
        <v>51</v>
      </c>
      <c r="E198" t="s">
        <v>4</v>
      </c>
      <c r="F198" t="s">
        <v>51</v>
      </c>
      <c r="G198" t="str">
        <f>LOOKUP(TabVMAzureEnvProjet[[#This Row],[Projet]],TabProjets[NomProj],TabProjets[SYGES])</f>
        <v>GFI/PROJET_INTERNE</v>
      </c>
      <c r="H198">
        <f>LOOKUP(TabVMAzureEnvProjet[[#This Row],[Code SYGES]],TabCONTRATSDI[Contrat SYGES],TabCONTRATSDI[Cost Center])</f>
        <v>305704</v>
      </c>
      <c r="I198" s="22" t="str">
        <f>LOOKUP(TabVMAzureEnvProjet[[#This Row],[Code SYGES]],TabCONTRATSDI[Contrat SYGES],TabCONTRATSDI[Client])</f>
        <v>GFI</v>
      </c>
      <c r="J198" t="s">
        <v>135</v>
      </c>
      <c r="K198" s="31">
        <v>3.0048716641258739</v>
      </c>
      <c r="L198" s="40"/>
    </row>
    <row r="199" spans="1:12" x14ac:dyDescent="0.3">
      <c r="A199" s="22" t="str">
        <f>TabVMAzureEnvProjet[[#This Row],[Client]] &amp; " .:. "  &amp; TabVMAzureEnvProjet[[#This Row],[Projet]]</f>
        <v>GFI .:. GFI-WAAC</v>
      </c>
      <c r="B199" s="22" t="str">
        <f>IF(TabVMAzureEnvProjet[[#This Row],[Projet AzureDevOps]]&lt;&gt;"",TabVMAzureEnvProjet[[#This Row],[Projet AzureDevOps]],TabVMAzureEnvProjet[[#This Row],[VM]])</f>
        <v>GFI-WAAC</v>
      </c>
      <c r="C199" s="13" t="s">
        <v>52</v>
      </c>
      <c r="E199" t="s">
        <v>4</v>
      </c>
      <c r="F199" t="s">
        <v>52</v>
      </c>
      <c r="G199" t="str">
        <f>LOOKUP(TabVMAzureEnvProjet[[#This Row],[Projet]],TabProjets[NomProj],TabProjets[SYGES])</f>
        <v>383928 - WAAC 1.0</v>
      </c>
      <c r="H199">
        <f>LOOKUP(TabVMAzureEnvProjet[[#This Row],[Code SYGES]],TabCONTRATSDI[Contrat SYGES],TabCONTRATSDI[Cost Center])</f>
        <v>100973</v>
      </c>
      <c r="I199" s="22" t="str">
        <f>LOOKUP(TabVMAzureEnvProjet[[#This Row],[Code SYGES]],TabCONTRATSDI[Contrat SYGES],TabCONTRATSDI[Client])</f>
        <v>GFI</v>
      </c>
      <c r="J199" t="s">
        <v>135</v>
      </c>
      <c r="K199" s="31">
        <v>0.23681270210526315</v>
      </c>
      <c r="L199" s="40"/>
    </row>
    <row r="200" spans="1:12" x14ac:dyDescent="0.3">
      <c r="A200" s="22" t="str">
        <f>TabVMAzureEnvProjet[[#This Row],[Client]] &amp; " .:. "  &amp; TabVMAzureEnvProjet[[#This Row],[Projet]]</f>
        <v>GLI .:. GLI-APIBIOMETRIE</v>
      </c>
      <c r="B200" s="22" t="str">
        <f>IF(TabVMAzureEnvProjet[[#This Row],[Projet AzureDevOps]]&lt;&gt;"",TabVMAzureEnvProjet[[#This Row],[Projet AzureDevOps]],TabVMAzureEnvProjet[[#This Row],[VM]])</f>
        <v>GLI-APIBiometrie</v>
      </c>
      <c r="C200" s="13" t="s">
        <v>56</v>
      </c>
      <c r="E200" t="s">
        <v>4</v>
      </c>
      <c r="F200" t="s">
        <v>55</v>
      </c>
      <c r="G200" t="str">
        <f>LOOKUP(TabVMAzureEnvProjet[[#This Row],[Projet]],TabProjets[NomProj],TabProjets[SYGES])</f>
        <v>GLI/BIOMETRIE</v>
      </c>
      <c r="H200">
        <f>LOOKUP(TabVMAzureEnvProjet[[#This Row],[Code SYGES]],TabCONTRATSDI[Contrat SYGES],TabCONTRATSDI[Cost Center])</f>
        <v>305704</v>
      </c>
      <c r="I200" s="22" t="str">
        <f>LOOKUP(TabVMAzureEnvProjet[[#This Row],[Code SYGES]],TabCONTRATSDI[Contrat SYGES],TabCONTRATSDI[Client])</f>
        <v>GLI</v>
      </c>
      <c r="J200" t="s">
        <v>135</v>
      </c>
      <c r="K200" s="31">
        <v>4.4816507566476407</v>
      </c>
      <c r="L200" s="40"/>
    </row>
    <row r="201" spans="1:12" x14ac:dyDescent="0.3">
      <c r="A201" s="22" t="str">
        <f>TabVMAzureEnvProjet[[#This Row],[Client]] &amp; " .:. "  &amp; TabVMAzureEnvProjet[[#This Row],[Projet]]</f>
        <v>LAPOSTE .:. LAPOSTE-F4N-MUSEE</v>
      </c>
      <c r="B201" s="22" t="str">
        <f>IF(TabVMAzureEnvProjet[[#This Row],[Projet AzureDevOps]]&lt;&gt;"",TabVMAzureEnvProjet[[#This Row],[Projet AzureDevOps]],TabVMAzureEnvProjet[[#This Row],[VM]])</f>
        <v>LAPOSTE-F4N-Musee</v>
      </c>
      <c r="C201" s="13" t="s">
        <v>96</v>
      </c>
      <c r="E201" t="s">
        <v>4</v>
      </c>
      <c r="F201" t="s">
        <v>95</v>
      </c>
      <c r="G201" t="str">
        <f>LOOKUP(TabVMAzureEnvProjet[[#This Row],[Projet]],TabProjets[NomProj],TabProjets[SYGES])</f>
        <v>LA-POSTE/CDC_DRUPAL</v>
      </c>
      <c r="H201">
        <f>LOOKUP(TabVMAzureEnvProjet[[#This Row],[Code SYGES]],TabCONTRATSDI[Contrat SYGES],TabCONTRATSDI[Cost Center])</f>
        <v>305704</v>
      </c>
      <c r="I201" s="22" t="str">
        <f>LOOKUP(TabVMAzureEnvProjet[[#This Row],[Code SYGES]],TabCONTRATSDI[Contrat SYGES],TabCONTRATSDI[Client])</f>
        <v>LAPOSTE</v>
      </c>
      <c r="J201" t="s">
        <v>135</v>
      </c>
      <c r="K201" s="31">
        <v>2.9889146044285715</v>
      </c>
      <c r="L201" s="40"/>
    </row>
    <row r="202" spans="1:12" x14ac:dyDescent="0.3">
      <c r="A202" s="22" t="str">
        <f>TabVMAzureEnvProjet[[#This Row],[Client]] &amp; " .:. "  &amp; TabVMAzureEnvProjet[[#This Row],[Projet]]</f>
        <v>LAPOSTE .:. LAPOSTE-LPK-PortailVoyage</v>
      </c>
      <c r="B202" s="22" t="str">
        <f>IF(TabVMAzureEnvProjet[[#This Row],[Projet AzureDevOps]]&lt;&gt;"",TabVMAzureEnvProjet[[#This Row],[Projet AzureDevOps]],TabVMAzureEnvProjet[[#This Row],[VM]])</f>
        <v>LAPOSTE-LPK-PortailVoyage</v>
      </c>
      <c r="C202" s="13" t="s">
        <v>97</v>
      </c>
      <c r="E202" t="s">
        <v>4</v>
      </c>
      <c r="F202" t="s">
        <v>97</v>
      </c>
      <c r="G202" t="str">
        <f>LOOKUP(TabVMAzureEnvProjet[[#This Row],[Projet]],TabProjets[NomProj],TabProjets[SYGES])</f>
        <v>LA-POSTE/CDC_DRUPAL</v>
      </c>
      <c r="H202">
        <f>LOOKUP(TabVMAzureEnvProjet[[#This Row],[Code SYGES]],TabCONTRATSDI[Contrat SYGES],TabCONTRATSDI[Cost Center])</f>
        <v>305704</v>
      </c>
      <c r="I202" s="22" t="str">
        <f>LOOKUP(TabVMAzureEnvProjet[[#This Row],[Code SYGES]],TabCONTRATSDI[Contrat SYGES],TabCONTRATSDI[Client])</f>
        <v>LAPOSTE</v>
      </c>
      <c r="J202" t="s">
        <v>135</v>
      </c>
      <c r="K202" s="31">
        <v>1.1803729229610389</v>
      </c>
      <c r="L202" s="40"/>
    </row>
    <row r="203" spans="1:12" x14ac:dyDescent="0.3">
      <c r="A203" s="22" t="str">
        <f>TabVMAzureEnvProjet[[#This Row],[Client]] &amp; " .:. "  &amp; TabVMAzureEnvProjet[[#This Row],[Projet]]</f>
        <v>LAPOSTE .:. LAPOSTE-LPM-IntranetDHA</v>
      </c>
      <c r="B203" s="22" t="str">
        <f>IF(TabVMAzureEnvProjet[[#This Row],[Projet AzureDevOps]]&lt;&gt;"",TabVMAzureEnvProjet[[#This Row],[Projet AzureDevOps]],TabVMAzureEnvProjet[[#This Row],[VM]])</f>
        <v>LAPOSTE-LPM-IntranetDHA</v>
      </c>
      <c r="C203" s="13" t="s">
        <v>98</v>
      </c>
      <c r="E203" t="s">
        <v>4</v>
      </c>
      <c r="F203" t="s">
        <v>98</v>
      </c>
      <c r="G203" t="str">
        <f>LOOKUP(TabVMAzureEnvProjet[[#This Row],[Projet]],TabProjets[NomProj],TabProjets[SYGES])</f>
        <v>LA-POSTE/CDC_DRUPAL</v>
      </c>
      <c r="H203">
        <f>LOOKUP(TabVMAzureEnvProjet[[#This Row],[Code SYGES]],TabCONTRATSDI[Contrat SYGES],TabCONTRATSDI[Cost Center])</f>
        <v>305704</v>
      </c>
      <c r="I203" s="22" t="str">
        <f>LOOKUP(TabVMAzureEnvProjet[[#This Row],[Code SYGES]],TabCONTRATSDI[Contrat SYGES],TabCONTRATSDI[Client])</f>
        <v>LAPOSTE</v>
      </c>
      <c r="J203" t="s">
        <v>135</v>
      </c>
      <c r="K203" s="31">
        <v>1.1803729229610389</v>
      </c>
      <c r="L203" s="40"/>
    </row>
    <row r="204" spans="1:12" x14ac:dyDescent="0.3">
      <c r="A204" s="22" t="str">
        <f>TabVMAzureEnvProjet[[#This Row],[Client]] &amp; " .:. "  &amp; TabVMAzureEnvProjet[[#This Row],[Projet]]</f>
        <v>MENESR .:. MENJ-APAE</v>
      </c>
      <c r="B204" s="22" t="str">
        <f>IF(TabVMAzureEnvProjet[[#This Row],[Projet AzureDevOps]]&lt;&gt;"",TabVMAzureEnvProjet[[#This Row],[Projet AzureDevOps]],TabVMAzureEnvProjet[[#This Row],[VM]])</f>
        <v>MENJ-APAE</v>
      </c>
      <c r="C204" s="13" t="s">
        <v>58</v>
      </c>
      <c r="E204" t="s">
        <v>4</v>
      </c>
      <c r="F204" t="s">
        <v>58</v>
      </c>
      <c r="G204" t="str">
        <f>LOOKUP(TabVMAzureEnvProjet[[#This Row],[Projet]],TabProjets[NomProj],TabProjets[SYGES])</f>
        <v>MENESR/TMA</v>
      </c>
      <c r="H204">
        <f>LOOKUP(TabVMAzureEnvProjet[[#This Row],[Code SYGES]],TabCONTRATSDI[Contrat SYGES],TabCONTRATSDI[Cost Center])</f>
        <v>305704</v>
      </c>
      <c r="I204" s="22" t="str">
        <f>LOOKUP(TabVMAzureEnvProjet[[#This Row],[Code SYGES]],TabCONTRATSDI[Contrat SYGES],TabCONTRATSDI[Client])</f>
        <v>MENESR</v>
      </c>
      <c r="J204" t="s">
        <v>135</v>
      </c>
      <c r="K204" s="31">
        <v>1.2212769351428572</v>
      </c>
      <c r="L204" s="40"/>
    </row>
    <row r="205" spans="1:12" x14ac:dyDescent="0.3">
      <c r="A205" s="22" t="str">
        <f>TabVMAzureEnvProjet[[#This Row],[Client]] &amp; " .:. "  &amp; TabVMAzureEnvProjet[[#This Row],[Projet]]</f>
        <v>MENESR .:. MENJ-BI</v>
      </c>
      <c r="B205" s="22" t="str">
        <f>IF(TabVMAzureEnvProjet[[#This Row],[Projet AzureDevOps]]&lt;&gt;"",TabVMAzureEnvProjet[[#This Row],[Projet AzureDevOps]],TabVMAzureEnvProjet[[#This Row],[VM]])</f>
        <v>MENJ-BI</v>
      </c>
      <c r="C205" s="13" t="s">
        <v>65</v>
      </c>
      <c r="E205" t="s">
        <v>4</v>
      </c>
      <c r="F205" t="s">
        <v>65</v>
      </c>
      <c r="G205" t="str">
        <f>LOOKUP(TabVMAzureEnvProjet[[#This Row],[Projet]],TabProjets[NomProj],TabProjets[SYGES])</f>
        <v>MENESR/TMA</v>
      </c>
      <c r="H205">
        <f>LOOKUP(TabVMAzureEnvProjet[[#This Row],[Code SYGES]],TabCONTRATSDI[Contrat SYGES],TabCONTRATSDI[Cost Center])</f>
        <v>305704</v>
      </c>
      <c r="I205" s="22" t="str">
        <f>LOOKUP(TabVMAzureEnvProjet[[#This Row],[Code SYGES]],TabCONTRATSDI[Contrat SYGES],TabCONTRATSDI[Client])</f>
        <v>MENESR</v>
      </c>
      <c r="J205" t="s">
        <v>135</v>
      </c>
      <c r="K205" s="31">
        <v>4.4994413399999997</v>
      </c>
      <c r="L205" s="40"/>
    </row>
    <row r="206" spans="1:12" x14ac:dyDescent="0.3">
      <c r="A206" s="22" t="str">
        <f>TabVMAzureEnvProjet[[#This Row],[Client]] &amp; " .:. "  &amp; TabVMAzureEnvProjet[[#This Row],[Projet]]</f>
        <v>MENESR .:. MENJ-BNIE</v>
      </c>
      <c r="B206" s="22" t="str">
        <f>IF(TabVMAzureEnvProjet[[#This Row],[Projet AzureDevOps]]&lt;&gt;"",TabVMAzureEnvProjet[[#This Row],[Projet AzureDevOps]],TabVMAzureEnvProjet[[#This Row],[VM]])</f>
        <v>MENJ-BNIE-BDD</v>
      </c>
      <c r="C206" s="13" t="s">
        <v>60</v>
      </c>
      <c r="E206" t="s">
        <v>4</v>
      </c>
      <c r="F206" t="s">
        <v>59</v>
      </c>
      <c r="G206" t="str">
        <f>LOOKUP(TabVMAzureEnvProjet[[#This Row],[Projet]],TabProjets[NomProj],TabProjets[SYGES])</f>
        <v>MENESR/TMA</v>
      </c>
      <c r="H206">
        <f>LOOKUP(TabVMAzureEnvProjet[[#This Row],[Code SYGES]],TabCONTRATSDI[Contrat SYGES],TabCONTRATSDI[Cost Center])</f>
        <v>305704</v>
      </c>
      <c r="I206" s="22" t="str">
        <f>LOOKUP(TabVMAzureEnvProjet[[#This Row],[Code SYGES]],TabCONTRATSDI[Contrat SYGES],TabCONTRATSDI[Client])</f>
        <v>MENESR</v>
      </c>
      <c r="J206" t="s">
        <v>135</v>
      </c>
      <c r="K206" s="31">
        <v>4.9708113851428575</v>
      </c>
      <c r="L206" s="40"/>
    </row>
    <row r="207" spans="1:12" x14ac:dyDescent="0.3">
      <c r="A207" s="22" t="str">
        <f>TabVMAzureEnvProjet[[#This Row],[Client]] &amp; " .:. "  &amp; TabVMAzureEnvProjet[[#This Row],[Projet]]</f>
        <v>MENESR .:. MENJ-BNIE</v>
      </c>
      <c r="B207" s="22" t="str">
        <f>IF(TabVMAzureEnvProjet[[#This Row],[Projet AzureDevOps]]&lt;&gt;"",TabVMAzureEnvProjet[[#This Row],[Projet AzureDevOps]],TabVMAzureEnvProjet[[#This Row],[VM]])</f>
        <v>MENJ-BNIE-Webservices</v>
      </c>
      <c r="C207" s="13" t="s">
        <v>61</v>
      </c>
      <c r="E207" t="s">
        <v>4</v>
      </c>
      <c r="F207" t="s">
        <v>59</v>
      </c>
      <c r="G207" t="str">
        <f>LOOKUP(TabVMAzureEnvProjet[[#This Row],[Projet]],TabProjets[NomProj],TabProjets[SYGES])</f>
        <v>MENESR/TMA</v>
      </c>
      <c r="H207">
        <f>LOOKUP(TabVMAzureEnvProjet[[#This Row],[Code SYGES]],TabCONTRATSDI[Contrat SYGES],TabCONTRATSDI[Cost Center])</f>
        <v>305704</v>
      </c>
      <c r="I207" s="22" t="str">
        <f>LOOKUP(TabVMAzureEnvProjet[[#This Row],[Code SYGES]],TabCONTRATSDI[Contrat SYGES],TabCONTRATSDI[Client])</f>
        <v>MENESR</v>
      </c>
      <c r="J207" t="s">
        <v>135</v>
      </c>
      <c r="K207" s="31">
        <v>0.32138866714285713</v>
      </c>
      <c r="L207" s="40"/>
    </row>
    <row r="208" spans="1:12" x14ac:dyDescent="0.3">
      <c r="A208" s="22" t="str">
        <f>TabVMAzureEnvProjet[[#This Row],[Client]] &amp; " .:. "  &amp; TabVMAzureEnvProjet[[#This Row],[Projet]]</f>
        <v>MENESR .:. MENJ-RNIE</v>
      </c>
      <c r="B208" s="22" t="str">
        <f>IF(TabVMAzureEnvProjet[[#This Row],[Projet AzureDevOps]]&lt;&gt;"",TabVMAzureEnvProjet[[#This Row],[Projet AzureDevOps]],TabVMAzureEnvProjet[[#This Row],[VM]])</f>
        <v>MENJ-RNIE-BDD</v>
      </c>
      <c r="C208" s="13" t="s">
        <v>63</v>
      </c>
      <c r="E208" t="s">
        <v>4</v>
      </c>
      <c r="F208" t="s">
        <v>62</v>
      </c>
      <c r="G208" t="str">
        <f>LOOKUP(TabVMAzureEnvProjet[[#This Row],[Projet]],TabProjets[NomProj],TabProjets[SYGES])</f>
        <v>MENESR/TMA</v>
      </c>
      <c r="H208">
        <f>LOOKUP(TabVMAzureEnvProjet[[#This Row],[Code SYGES]],TabCONTRATSDI[Contrat SYGES],TabCONTRATSDI[Cost Center])</f>
        <v>305704</v>
      </c>
      <c r="I208" s="22" t="str">
        <f>LOOKUP(TabVMAzureEnvProjet[[#This Row],[Code SYGES]],TabCONTRATSDI[Contrat SYGES],TabCONTRATSDI[Client])</f>
        <v>MENESR</v>
      </c>
      <c r="J208" t="s">
        <v>135</v>
      </c>
      <c r="K208" s="31">
        <v>1.2557804504989254</v>
      </c>
      <c r="L208" s="40"/>
    </row>
    <row r="209" spans="1:12" x14ac:dyDescent="0.3">
      <c r="A209" s="22" t="str">
        <f>TabVMAzureEnvProjet[[#This Row],[Client]] &amp; " .:. "  &amp; TabVMAzureEnvProjet[[#This Row],[Projet]]</f>
        <v>MENESR .:. MENJ-RNIE</v>
      </c>
      <c r="B209" s="22" t="str">
        <f>IF(TabVMAzureEnvProjet[[#This Row],[Projet AzureDevOps]]&lt;&gt;"",TabVMAzureEnvProjet[[#This Row],[Projet AzureDevOps]],TabVMAzureEnvProjet[[#This Row],[VM]])</f>
        <v>MENJ-RNIE-Webservices</v>
      </c>
      <c r="C209" s="13" t="s">
        <v>64</v>
      </c>
      <c r="E209" t="s">
        <v>4</v>
      </c>
      <c r="F209" t="s">
        <v>62</v>
      </c>
      <c r="G209" t="str">
        <f>LOOKUP(TabVMAzureEnvProjet[[#This Row],[Projet]],TabProjets[NomProj],TabProjets[SYGES])</f>
        <v>MENESR/TMA</v>
      </c>
      <c r="H209">
        <f>LOOKUP(TabVMAzureEnvProjet[[#This Row],[Code SYGES]],TabCONTRATSDI[Contrat SYGES],TabCONTRATSDI[Cost Center])</f>
        <v>305704</v>
      </c>
      <c r="I209" s="22" t="str">
        <f>LOOKUP(TabVMAzureEnvProjet[[#This Row],[Code SYGES]],TabCONTRATSDI[Contrat SYGES],TabCONTRATSDI[Client])</f>
        <v>MENESR</v>
      </c>
      <c r="J209" t="s">
        <v>135</v>
      </c>
      <c r="K209" s="31">
        <v>3.8435441022040404</v>
      </c>
      <c r="L209" s="40"/>
    </row>
    <row r="210" spans="1:12" x14ac:dyDescent="0.3">
      <c r="A210" s="22" t="str">
        <f>TabVMAzureEnvProjet[[#This Row],[Client]] &amp; " .:. "  &amp; TabVMAzureEnvProjet[[#This Row],[Projet]]</f>
        <v>AFB .:. OFB-CMONSPOT</v>
      </c>
      <c r="B210" s="22" t="str">
        <f>IF(TabVMAzureEnvProjet[[#This Row],[Projet AzureDevOps]]&lt;&gt;"",TabVMAzureEnvProjet[[#This Row],[Projet AzureDevOps]],TabVMAzureEnvProjet[[#This Row],[VM]])</f>
        <v>OFB-CMONSPOT</v>
      </c>
      <c r="C210" s="13" t="s">
        <v>13</v>
      </c>
      <c r="E210" t="s">
        <v>4</v>
      </c>
      <c r="F210" t="s">
        <v>13</v>
      </c>
      <c r="G210" t="str">
        <f>LOOKUP(TabVMAzureEnvProjet[[#This Row],[Projet]],TabProjets[NomProj],TabProjets[SYGES])</f>
        <v>AFB/OFB_LOT2</v>
      </c>
      <c r="H210">
        <f>LOOKUP(TabVMAzureEnvProjet[[#This Row],[Code SYGES]],TabCONTRATSDI[Contrat SYGES],TabCONTRATSDI[Cost Center])</f>
        <v>305704</v>
      </c>
      <c r="I210" s="22" t="str">
        <f>LOOKUP(TabVMAzureEnvProjet[[#This Row],[Code SYGES]],TabCONTRATSDI[Contrat SYGES],TabCONTRATSDI[Client])</f>
        <v>AFB</v>
      </c>
      <c r="J210" t="s">
        <v>135</v>
      </c>
      <c r="K210" s="31">
        <v>0.449944134</v>
      </c>
      <c r="L210" s="40"/>
    </row>
    <row r="211" spans="1:12" x14ac:dyDescent="0.3">
      <c r="A211" s="22" t="str">
        <f>TabVMAzureEnvProjet[[#This Row],[Client]] &amp; " .:. "  &amp; TabVMAzureEnvProjet[[#This Row],[Projet]]</f>
        <v>OFB .:. OFB-NATUREFRANCE</v>
      </c>
      <c r="B211" s="22" t="str">
        <f>IF(TabVMAzureEnvProjet[[#This Row],[Projet AzureDevOps]]&lt;&gt;"",TabVMAzureEnvProjet[[#This Row],[Projet AzureDevOps]],TabVMAzureEnvProjet[[#This Row],[VM]])</f>
        <v>OFB-NatureFrance</v>
      </c>
      <c r="C211" s="13" t="s">
        <v>93</v>
      </c>
      <c r="E211" t="s">
        <v>4</v>
      </c>
      <c r="F211" t="s">
        <v>92</v>
      </c>
      <c r="G211" t="str">
        <f>LOOKUP(TabVMAzureEnvProjet[[#This Row],[Projet]],TabProjets[NomProj],TabProjets[SYGES])</f>
        <v>AFB OFB_LOT2 -9-1 NATURE FRANCE</v>
      </c>
      <c r="H211">
        <f>LOOKUP(TabVMAzureEnvProjet[[#This Row],[Code SYGES]],TabCONTRATSDI[Contrat SYGES],TabCONTRATSDI[Cost Center])</f>
        <v>305704</v>
      </c>
      <c r="I211" s="22" t="str">
        <f>LOOKUP(TabVMAzureEnvProjet[[#This Row],[Code SYGES]],TabCONTRATSDI[Contrat SYGES],TabCONTRATSDI[Client])</f>
        <v>OFB</v>
      </c>
      <c r="J211" t="s">
        <v>135</v>
      </c>
      <c r="K211" s="31">
        <v>14.177147375861301</v>
      </c>
      <c r="L211" s="40"/>
    </row>
    <row r="212" spans="1:12" x14ac:dyDescent="0.3">
      <c r="A212" s="22" t="str">
        <f>TabVMAzureEnvProjet[[#This Row],[Client]] &amp; " .:. "  &amp; TabVMAzureEnvProjet[[#This Row],[Projet]]</f>
        <v>AFB .:. OFB-SISPEA</v>
      </c>
      <c r="B212" s="22" t="str">
        <f>IF(TabVMAzureEnvProjet[[#This Row],[Projet AzureDevOps]]&lt;&gt;"",TabVMAzureEnvProjet[[#This Row],[Projet AzureDevOps]],TabVMAzureEnvProjet[[#This Row],[VM]])</f>
        <v>OFB-SISPEA</v>
      </c>
      <c r="C212" s="13" t="s">
        <v>10</v>
      </c>
      <c r="E212" t="s">
        <v>4</v>
      </c>
      <c r="F212" t="s">
        <v>10</v>
      </c>
      <c r="G212" t="str">
        <f>LOOKUP(TabVMAzureEnvProjet[[#This Row],[Projet]],TabProjets[NomProj],TabProjets[SYGES])</f>
        <v>AFB/OFB_LOT2</v>
      </c>
      <c r="H212">
        <f>LOOKUP(TabVMAzureEnvProjet[[#This Row],[Code SYGES]],TabCONTRATSDI[Contrat SYGES],TabCONTRATSDI[Cost Center])</f>
        <v>305704</v>
      </c>
      <c r="I212" s="22" t="str">
        <f>LOOKUP(TabVMAzureEnvProjet[[#This Row],[Code SYGES]],TabCONTRATSDI[Contrat SYGES],TabCONTRATSDI[Client])</f>
        <v>AFB</v>
      </c>
      <c r="J212" t="s">
        <v>135</v>
      </c>
      <c r="K212" s="31">
        <v>4.9493854739999996</v>
      </c>
      <c r="L212" s="40"/>
    </row>
    <row r="213" spans="1:12" x14ac:dyDescent="0.3">
      <c r="A213" s="22" t="str">
        <f>TabVMAzureEnvProjet[[#This Row],[Client]] &amp; " .:. "  &amp; TabVMAzureEnvProjet[[#This Row],[Projet]]</f>
        <v>PCM .:. PCM-ALS</v>
      </c>
      <c r="B213" s="22" t="str">
        <f>IF(TabVMAzureEnvProjet[[#This Row],[Projet AzureDevOps]]&lt;&gt;"",TabVMAzureEnvProjet[[#This Row],[Projet AzureDevOps]],TabVMAzureEnvProjet[[#This Row],[VM]])</f>
        <v>PCM-ALS</v>
      </c>
      <c r="C213" s="13" t="s">
        <v>85</v>
      </c>
      <c r="E213" t="s">
        <v>4</v>
      </c>
      <c r="F213" t="s">
        <v>85</v>
      </c>
      <c r="G213" t="str">
        <f>LOOKUP(TabVMAzureEnvProjet[[#This Row],[Projet]],TabProjets[NomProj],TabProjets[SYGES])</f>
        <v>PCM/WEB</v>
      </c>
      <c r="H213">
        <f>LOOKUP(TabVMAzureEnvProjet[[#This Row],[Code SYGES]],TabCONTRATSDI[Contrat SYGES],TabCONTRATSDI[Cost Center])</f>
        <v>305704</v>
      </c>
      <c r="I213" s="22" t="str">
        <f>LOOKUP(TabVMAzureEnvProjet[[#This Row],[Code SYGES]],TabCONTRATSDI[Contrat SYGES],TabCONTRATSDI[Client])</f>
        <v>PCM</v>
      </c>
      <c r="J213" t="s">
        <v>135</v>
      </c>
      <c r="K213" s="31">
        <v>8.4393656846290721</v>
      </c>
      <c r="L213" s="40"/>
    </row>
    <row r="214" spans="1:12" x14ac:dyDescent="0.3">
      <c r="A214" s="22" t="str">
        <f>TabVMAzureEnvProjet[[#This Row],[Client]] &amp; " .:. "  &amp; TabVMAzureEnvProjet[[#This Row],[Projet]]</f>
        <v>PCM .:. PCM-WEB</v>
      </c>
      <c r="B214" s="22" t="str">
        <f>IF(TabVMAzureEnvProjet[[#This Row],[Projet AzureDevOps]]&lt;&gt;"",TabVMAzureEnvProjet[[#This Row],[Projet AzureDevOps]],TabVMAzureEnvProjet[[#This Row],[VM]])</f>
        <v>PCM-Web</v>
      </c>
      <c r="C214" s="13" t="s">
        <v>87</v>
      </c>
      <c r="E214" t="s">
        <v>4</v>
      </c>
      <c r="F214" t="s">
        <v>86</v>
      </c>
      <c r="G214" t="str">
        <f>LOOKUP(TabVMAzureEnvProjet[[#This Row],[Projet]],TabProjets[NomProj],TabProjets[SYGES])</f>
        <v>PCM/WEB</v>
      </c>
      <c r="H214">
        <f>LOOKUP(TabVMAzureEnvProjet[[#This Row],[Code SYGES]],TabCONTRATSDI[Contrat SYGES],TabCONTRATSDI[Cost Center])</f>
        <v>305704</v>
      </c>
      <c r="I214" s="22" t="str">
        <f>LOOKUP(TabVMAzureEnvProjet[[#This Row],[Code SYGES]],TabCONTRATSDI[Contrat SYGES],TabCONTRATSDI[Client])</f>
        <v>PCM</v>
      </c>
      <c r="J214" t="s">
        <v>135</v>
      </c>
      <c r="K214" s="31">
        <v>3.5852691312380949</v>
      </c>
      <c r="L214" s="40"/>
    </row>
    <row r="215" spans="1:12" x14ac:dyDescent="0.3">
      <c r="A215" s="22" t="str">
        <f>TabVMAzureEnvProjet[[#This Row],[Client]] &amp; " .:. "  &amp; TabVMAzureEnvProjet[[#This Row],[Projet]]</f>
        <v>SAFT .:. SAFT-PDM</v>
      </c>
      <c r="B215" s="22" t="str">
        <f>IF(TabVMAzureEnvProjet[[#This Row],[Projet AzureDevOps]]&lt;&gt;"",TabVMAzureEnvProjet[[#This Row],[Projet AzureDevOps]],TabVMAzureEnvProjet[[#This Row],[VM]])</f>
        <v>SAFT-PDM</v>
      </c>
      <c r="C215" s="13" t="s">
        <v>106</v>
      </c>
      <c r="E215" t="s">
        <v>4</v>
      </c>
      <c r="F215" t="s">
        <v>106</v>
      </c>
      <c r="G215" t="str">
        <f>LOOKUP(TabVMAzureEnvProjet[[#This Row],[Projet]],TabProjets[NomProj],TabProjets[SYGES])</f>
        <v>SAFT/TMA</v>
      </c>
      <c r="H215">
        <f>LOOKUP(TabVMAzureEnvProjet[[#This Row],[Code SYGES]],TabCONTRATSDI[Contrat SYGES],TabCONTRATSDI[Cost Center])</f>
        <v>305704</v>
      </c>
      <c r="I215" s="22" t="str">
        <f>LOOKUP(TabVMAzureEnvProjet[[#This Row],[Code SYGES]],TabCONTRATSDI[Contrat SYGES],TabCONTRATSDI[Client])</f>
        <v>SAFT</v>
      </c>
      <c r="J215" t="s">
        <v>135</v>
      </c>
      <c r="K215" s="31">
        <v>3.0048716641258739</v>
      </c>
      <c r="L215" s="40"/>
    </row>
    <row r="216" spans="1:12" x14ac:dyDescent="0.3">
      <c r="A216" s="22" t="str">
        <f>TabVMAzureEnvProjet[[#This Row],[Client]] &amp; " .:. "  &amp; TabVMAzureEnvProjet[[#This Row],[Projet]]</f>
        <v>SPC .:. SPC-BUILD</v>
      </c>
      <c r="B216" s="22" t="str">
        <f>IF(TabVMAzureEnvProjet[[#This Row],[Projet AzureDevOps]]&lt;&gt;"",TabVMAzureEnvProjet[[#This Row],[Projet AzureDevOps]],TabVMAzureEnvProjet[[#This Row],[VM]])</f>
        <v>SPC-BUILD</v>
      </c>
      <c r="C216" s="13" t="s">
        <v>81</v>
      </c>
      <c r="E216" t="s">
        <v>4</v>
      </c>
      <c r="F216" t="s">
        <v>81</v>
      </c>
      <c r="G216" t="str">
        <f>LOOKUP(TabVMAzureEnvProjet[[#This Row],[Projet]],TabProjets[NomProj],TabProjets[SYGES])</f>
        <v>SPC/BUILD</v>
      </c>
      <c r="H216">
        <f>LOOKUP(TabVMAzureEnvProjet[[#This Row],[Code SYGES]],TabCONTRATSDI[Contrat SYGES],TabCONTRATSDI[Cost Center])</f>
        <v>305704</v>
      </c>
      <c r="I216" s="22" t="str">
        <f>LOOKUP(TabVMAzureEnvProjet[[#This Row],[Code SYGES]],TabCONTRATSDI[Contrat SYGES],TabCONTRATSDI[Client])</f>
        <v>SPC</v>
      </c>
      <c r="J216" t="s">
        <v>135</v>
      </c>
      <c r="K216" s="31">
        <v>26.289592972285714</v>
      </c>
      <c r="L216" s="40"/>
    </row>
    <row r="217" spans="1:12" x14ac:dyDescent="0.3">
      <c r="A217" s="22" t="str">
        <f>TabVMAzureEnvProjet[[#This Row],[Client]] &amp; " .:. "  &amp; TabVMAzureEnvProjet[[#This Row],[Projet]]</f>
        <v>SPC .:. SPC-WEB</v>
      </c>
      <c r="B217" s="22" t="str">
        <f>IF(TabVMAzureEnvProjet[[#This Row],[Projet AzureDevOps]]&lt;&gt;"",TabVMAzureEnvProjet[[#This Row],[Projet AzureDevOps]],TabVMAzureEnvProjet[[#This Row],[VM]])</f>
        <v>SPC-WEB</v>
      </c>
      <c r="C217" s="13" t="s">
        <v>83</v>
      </c>
      <c r="E217" t="s">
        <v>4</v>
      </c>
      <c r="F217" t="s">
        <v>83</v>
      </c>
      <c r="G217" t="str">
        <f>LOOKUP(TabVMAzureEnvProjet[[#This Row],[Projet]],TabProjets[NomProj],TabProjets[SYGES])</f>
        <v>SPC/BUILD-0-1-SITE-WEB</v>
      </c>
      <c r="H217">
        <f>LOOKUP(TabVMAzureEnvProjet[[#This Row],[Code SYGES]],TabCONTRATSDI[Contrat SYGES],TabCONTRATSDI[Cost Center])</f>
        <v>305704</v>
      </c>
      <c r="I217" s="22" t="str">
        <f>LOOKUP(TabVMAzureEnvProjet[[#This Row],[Code SYGES]],TabCONTRATSDI[Contrat SYGES],TabCONTRATSDI[Client])</f>
        <v>SPC</v>
      </c>
      <c r="J217" t="s">
        <v>135</v>
      </c>
      <c r="K217" s="31">
        <v>2.6365147501052633</v>
      </c>
      <c r="L217" s="40"/>
    </row>
    <row r="218" spans="1:12" x14ac:dyDescent="0.3">
      <c r="A218" s="22" t="str">
        <f>TabVMAzureEnvProjet[[#This Row],[Client]] &amp; " .:. "  &amp; TabVMAzureEnvProjet[[#This Row],[Projet]]</f>
        <v>ALM .:. ALM-ATOUT</v>
      </c>
      <c r="B218" s="22" t="str">
        <f>IF(TabVMAzureEnvProjet[[#This Row],[Projet AzureDevOps]]&lt;&gt;"",TabVMAzureEnvProjet[[#This Row],[Projet AzureDevOps]],TabVMAzureEnvProjet[[#This Row],[VM]])</f>
        <v>ALM-ATOUT-VM</v>
      </c>
      <c r="C218" s="13"/>
      <c r="D218" t="s">
        <v>16</v>
      </c>
      <c r="E218" t="s">
        <v>8</v>
      </c>
      <c r="F218" t="s">
        <v>15</v>
      </c>
      <c r="G218" t="str">
        <f>LOOKUP(TabVMAzureEnvProjet[[#This Row],[Projet]],TabProjets[NomProj],TabProjets[SYGES])</f>
        <v>ALM/TMA_ATOUT</v>
      </c>
      <c r="H218">
        <f>LOOKUP(TabVMAzureEnvProjet[[#This Row],[Code SYGES]],TabCONTRATSDI[Contrat SYGES],TabCONTRATSDI[Cost Center])</f>
        <v>305704</v>
      </c>
      <c r="I218" s="22" t="str">
        <f>LOOKUP(TabVMAzureEnvProjet[[#This Row],[Code SYGES]],TabCONTRATSDI[Contrat SYGES],TabCONTRATSDI[Client])</f>
        <v>ALM</v>
      </c>
      <c r="J218" t="s">
        <v>135</v>
      </c>
      <c r="K218" s="31">
        <v>109.36</v>
      </c>
      <c r="L218" s="40"/>
    </row>
    <row r="219" spans="1:12" x14ac:dyDescent="0.3">
      <c r="A219" s="22" t="str">
        <f>TabVMAzureEnvProjet[[#This Row],[Client]] &amp; " .:. "  &amp; TabVMAzureEnvProjet[[#This Row],[Projet]]</f>
        <v>BRGM .:. BRGM-ORRM</v>
      </c>
      <c r="B219" s="22" t="str">
        <f>IF(TabVMAzureEnvProjet[[#This Row],[Projet AzureDevOps]]&lt;&gt;"",TabVMAzureEnvProjet[[#This Row],[Projet AzureDevOps]],TabVMAzureEnvProjet[[#This Row],[VM]])</f>
        <v>BRGM-ORRM-VM</v>
      </c>
      <c r="C219" s="13"/>
      <c r="D219" t="s">
        <v>20</v>
      </c>
      <c r="E219" t="s">
        <v>19</v>
      </c>
      <c r="F219" t="s">
        <v>18</v>
      </c>
      <c r="G219" t="str">
        <f>LOOKUP(TabVMAzureEnvProjet[[#This Row],[Projet]],TabProjets[NomProj],TabProjets[SYGES])</f>
        <v>BRGM/TMA-5-1-ORRM-LOT1</v>
      </c>
      <c r="H219">
        <f>LOOKUP(TabVMAzureEnvProjet[[#This Row],[Code SYGES]],TabCONTRATSDI[Contrat SYGES],TabCONTRATSDI[Cost Center])</f>
        <v>305704</v>
      </c>
      <c r="I219" s="22" t="str">
        <f>LOOKUP(TabVMAzureEnvProjet[[#This Row],[Code SYGES]],TabCONTRATSDI[Contrat SYGES],TabCONTRATSDI[Client])</f>
        <v>BRGM</v>
      </c>
      <c r="J219" t="s">
        <v>135</v>
      </c>
      <c r="K219" s="31">
        <v>10.199999999999999</v>
      </c>
      <c r="L219" s="40"/>
    </row>
    <row r="220" spans="1:12" x14ac:dyDescent="0.3">
      <c r="A220" s="22" t="str">
        <f>TabVMAzureEnvProjet[[#This Row],[Client]] &amp; " .:. "  &amp; TabVMAzureEnvProjet[[#This Row],[Projet]]</f>
        <v>CA-TITRES .:. CATITRES-COMX</v>
      </c>
      <c r="B220" s="22" t="str">
        <f>IF(TabVMAzureEnvProjet[[#This Row],[Projet AzureDevOps]]&lt;&gt;"",TabVMAzureEnvProjet[[#This Row],[Projet AzureDevOps]],TabVMAzureEnvProjet[[#This Row],[VM]])</f>
        <v>CATITRES-COMX-VM</v>
      </c>
      <c r="C220" s="13"/>
      <c r="D220" t="s">
        <v>23</v>
      </c>
      <c r="E220" t="s">
        <v>11</v>
      </c>
      <c r="F220" t="s">
        <v>22</v>
      </c>
      <c r="G220" t="str">
        <f>LOOKUP(TabVMAzureEnvProjet[[#This Row],[Projet]],TabProjets[NomProj],TabProjets[SYGES])</f>
        <v>CA-TITRES/TMA</v>
      </c>
      <c r="H220">
        <f>LOOKUP(TabVMAzureEnvProjet[[#This Row],[Code SYGES]],TabCONTRATSDI[Contrat SYGES],TabCONTRATSDI[Cost Center])</f>
        <v>305704</v>
      </c>
      <c r="I220" s="22" t="str">
        <f>LOOKUP(TabVMAzureEnvProjet[[#This Row],[Code SYGES]],TabCONTRATSDI[Contrat SYGES],TabCONTRATSDI[Client])</f>
        <v>CA-TITRES</v>
      </c>
      <c r="J220" t="s">
        <v>135</v>
      </c>
      <c r="K220" s="31">
        <v>168.71</v>
      </c>
      <c r="L220" s="40"/>
    </row>
    <row r="221" spans="1:12" x14ac:dyDescent="0.3">
      <c r="A221" s="22" t="str">
        <f>TabVMAzureEnvProjet[[#This Row],[Client]] &amp; " .:. "  &amp; TabVMAzureEnvProjet[[#This Row],[Projet]]</f>
        <v>EBR .:. EBR-LAPOSTE</v>
      </c>
      <c r="B221" s="22" t="str">
        <f>IF(TabVMAzureEnvProjet[[#This Row],[Projet AzureDevOps]]&lt;&gt;"",TabVMAzureEnvProjet[[#This Row],[Projet AzureDevOps]],TabVMAzureEnvProjet[[#This Row],[VM]])</f>
        <v>EBR-LAPOSTE-VM</v>
      </c>
      <c r="C221" s="13"/>
      <c r="D221" t="s">
        <v>90</v>
      </c>
      <c r="E221" t="s">
        <v>11</v>
      </c>
      <c r="F221" t="s">
        <v>89</v>
      </c>
      <c r="G221" t="str">
        <f>LOOKUP(TabVMAzureEnvProjet[[#This Row],[Projet]],TabProjets[NomProj],TabProjets[SYGES])</f>
        <v>EBR/TMA</v>
      </c>
      <c r="H221">
        <f>LOOKUP(TabVMAzureEnvProjet[[#This Row],[Code SYGES]],TabCONTRATSDI[Contrat SYGES],TabCONTRATSDI[Cost Center])</f>
        <v>305704</v>
      </c>
      <c r="I221" s="22" t="str">
        <f>LOOKUP(TabVMAzureEnvProjet[[#This Row],[Code SYGES]],TabCONTRATSDI[Contrat SYGES],TabCONTRATSDI[Client])</f>
        <v>EBR</v>
      </c>
      <c r="J221" t="s">
        <v>135</v>
      </c>
      <c r="K221" s="31">
        <v>118.1</v>
      </c>
      <c r="L221" s="40"/>
    </row>
    <row r="222" spans="1:12" x14ac:dyDescent="0.3">
      <c r="A222" s="22" t="str">
        <f>TabVMAzureEnvProjet[[#This Row],[Client]] &amp; " .:. "  &amp; TabVMAzureEnvProjet[[#This Row],[Projet]]</f>
        <v>GFI .:. GFI-PMT</v>
      </c>
      <c r="B222" s="22" t="str">
        <f>IF(TabVMAzureEnvProjet[[#This Row],[Projet AzureDevOps]]&lt;&gt;"",TabVMAzureEnvProjet[[#This Row],[Projet AzureDevOps]],TabVMAzureEnvProjet[[#This Row],[VM]])</f>
        <v>GFI-PMT-VM</v>
      </c>
      <c r="C222" s="13"/>
      <c r="D222" t="s">
        <v>48</v>
      </c>
      <c r="E222" t="s">
        <v>11</v>
      </c>
      <c r="F222" t="s">
        <v>47</v>
      </c>
      <c r="G222" t="str">
        <f>LOOKUP(TabVMAzureEnvProjet[[#This Row],[Projet]],TabProjets[NomProj],TabProjets[SYGES])</f>
        <v>GFI/PROJET_INTERNE</v>
      </c>
      <c r="H222">
        <f>LOOKUP(TabVMAzureEnvProjet[[#This Row],[Code SYGES]],TabCONTRATSDI[Contrat SYGES],TabCONTRATSDI[Cost Center])</f>
        <v>305704</v>
      </c>
      <c r="I222" s="22" t="str">
        <f>LOOKUP(TabVMAzureEnvProjet[[#This Row],[Code SYGES]],TabCONTRATSDI[Contrat SYGES],TabCONTRATSDI[Client])</f>
        <v>GFI</v>
      </c>
      <c r="J222" t="s">
        <v>135</v>
      </c>
      <c r="K222" s="31">
        <v>2.4700000000000002</v>
      </c>
      <c r="L222" s="40"/>
    </row>
    <row r="223" spans="1:12" x14ac:dyDescent="0.3">
      <c r="A223" s="22" t="str">
        <f>TabVMAzureEnvProjet[[#This Row],[Client]] &amp; " .:. "  &amp; TabVMAzureEnvProjet[[#This Row],[Projet]]</f>
        <v>MENESR .:. MENJ-BI</v>
      </c>
      <c r="B223" s="22" t="str">
        <f>IF(TabVMAzureEnvProjet[[#This Row],[Projet AzureDevOps]]&lt;&gt;"",TabVMAzureEnvProjet[[#This Row],[Projet AzureDevOps]],TabVMAzureEnvProjet[[#This Row],[VM]])</f>
        <v>MENJ-BI-VM</v>
      </c>
      <c r="C223" s="13"/>
      <c r="D223" t="s">
        <v>66</v>
      </c>
      <c r="E223" t="s">
        <v>8</v>
      </c>
      <c r="F223" t="s">
        <v>65</v>
      </c>
      <c r="G223" t="str">
        <f>LOOKUP(TabVMAzureEnvProjet[[#This Row],[Projet]],TabProjets[NomProj],TabProjets[SYGES])</f>
        <v>MENESR/TMA</v>
      </c>
      <c r="H223">
        <f>LOOKUP(TabVMAzureEnvProjet[[#This Row],[Code SYGES]],TabCONTRATSDI[Contrat SYGES],TabCONTRATSDI[Cost Center])</f>
        <v>305704</v>
      </c>
      <c r="I223" s="22" t="str">
        <f>LOOKUP(TabVMAzureEnvProjet[[#This Row],[Code SYGES]],TabCONTRATSDI[Contrat SYGES],TabCONTRATSDI[Client])</f>
        <v>MENESR</v>
      </c>
      <c r="J223" t="s">
        <v>135</v>
      </c>
      <c r="K223" s="31">
        <v>4.54</v>
      </c>
      <c r="L223" s="40"/>
    </row>
    <row r="224" spans="1:12" x14ac:dyDescent="0.3">
      <c r="A224" s="22" t="str">
        <f>TabVMAzureEnvProjet[[#This Row],[Client]] &amp; " .:. "  &amp; TabVMAzureEnvProjet[[#This Row],[Projet]]</f>
        <v>AFB .:. AFB-NatureFrance</v>
      </c>
      <c r="B224" s="22" t="str">
        <f>IF(TabVMAzureEnvProjet[[#This Row],[Projet AzureDevOps]]&lt;&gt;"",TabVMAzureEnvProjet[[#This Row],[Projet AzureDevOps]],TabVMAzureEnvProjet[[#This Row],[VM]])</f>
        <v>OFB-FRANCENATURE-VM</v>
      </c>
      <c r="C224" s="13"/>
      <c r="D224" t="s">
        <v>9</v>
      </c>
      <c r="E224" t="s">
        <v>8</v>
      </c>
      <c r="F224" t="s">
        <v>7</v>
      </c>
      <c r="G224" t="str">
        <f>LOOKUP(TabVMAzureEnvProjet[[#This Row],[Projet]],TabProjets[NomProj],TabProjets[SYGES])</f>
        <v>AFB/OFB_LOT2</v>
      </c>
      <c r="H224">
        <f>LOOKUP(TabVMAzureEnvProjet[[#This Row],[Code SYGES]],TabCONTRATSDI[Contrat SYGES],TabCONTRATSDI[Cost Center])</f>
        <v>305704</v>
      </c>
      <c r="I224" s="22" t="str">
        <f>LOOKUP(TabVMAzureEnvProjet[[#This Row],[Code SYGES]],TabCONTRATSDI[Contrat SYGES],TabCONTRATSDI[Client])</f>
        <v>AFB</v>
      </c>
      <c r="J224" t="s">
        <v>135</v>
      </c>
      <c r="K224" s="31">
        <v>13.59</v>
      </c>
      <c r="L224" s="40"/>
    </row>
    <row r="225" spans="1:12" x14ac:dyDescent="0.3">
      <c r="A225" s="22" t="str">
        <f>TabVMAzureEnvProjet[[#This Row],[Client]] &amp; " .:. "  &amp; TabVMAzureEnvProjet[[#This Row],[Projet]]</f>
        <v>AFB .:. OFB-SISPEA</v>
      </c>
      <c r="B225" s="22" t="str">
        <f>IF(TabVMAzureEnvProjet[[#This Row],[Projet AzureDevOps]]&lt;&gt;"",TabVMAzureEnvProjet[[#This Row],[Projet AzureDevOps]],TabVMAzureEnvProjet[[#This Row],[VM]])</f>
        <v>OFB-SISPEA-VM</v>
      </c>
      <c r="D225" t="s">
        <v>12</v>
      </c>
      <c r="E225" t="s">
        <v>11</v>
      </c>
      <c r="F225" t="s">
        <v>10</v>
      </c>
      <c r="G225" t="str">
        <f>LOOKUP(TabVMAzureEnvProjet[[#This Row],[Projet]],TabProjets[NomProj],TabProjets[SYGES])</f>
        <v>AFB/OFB_LOT2</v>
      </c>
      <c r="H225">
        <f>LOOKUP(TabVMAzureEnvProjet[[#This Row],[Code SYGES]],TabCONTRATSDI[Contrat SYGES],TabCONTRATSDI[Cost Center])</f>
        <v>305704</v>
      </c>
      <c r="I225" s="22" t="str">
        <f>LOOKUP(TabVMAzureEnvProjet[[#This Row],[Code SYGES]],TabCONTRATSDI[Contrat SYGES],TabCONTRATSDI[Client])</f>
        <v>AFB</v>
      </c>
      <c r="J225" t="s">
        <v>135</v>
      </c>
      <c r="K225" s="31">
        <v>7.45</v>
      </c>
      <c r="L225" s="40"/>
    </row>
    <row r="226" spans="1:12" x14ac:dyDescent="0.3">
      <c r="A226" s="22" t="str">
        <f>TabVMAzureEnvProjet[[#This Row],[Client]] &amp; " .:. "  &amp; TabVMAzureEnvProjet[[#This Row],[Projet]]</f>
        <v>SPC .:. SPC-BUILD</v>
      </c>
      <c r="B226" s="22" t="str">
        <f>IF(TabVMAzureEnvProjet[[#This Row],[Projet AzureDevOps]]&lt;&gt;"",TabVMAzureEnvProjet[[#This Row],[Projet AzureDevOps]],TabVMAzureEnvProjet[[#This Row],[VM]])</f>
        <v>SPC-BUILDAS-VM</v>
      </c>
      <c r="D226" t="s">
        <v>82</v>
      </c>
      <c r="E226" t="s">
        <v>11</v>
      </c>
      <c r="F226" t="s">
        <v>81</v>
      </c>
      <c r="G226" t="str">
        <f>LOOKUP(TabVMAzureEnvProjet[[#This Row],[Projet]],TabProjets[NomProj],TabProjets[SYGES])</f>
        <v>SPC/BUILD</v>
      </c>
      <c r="H226">
        <f>LOOKUP(TabVMAzureEnvProjet[[#This Row],[Code SYGES]],TabCONTRATSDI[Contrat SYGES],TabCONTRATSDI[Cost Center])</f>
        <v>305704</v>
      </c>
      <c r="I226" s="22" t="str">
        <f>LOOKUP(TabVMAzureEnvProjet[[#This Row],[Code SYGES]],TabCONTRATSDI[Contrat SYGES],TabCONTRATSDI[Client])</f>
        <v>SPC</v>
      </c>
      <c r="J226" t="s">
        <v>135</v>
      </c>
      <c r="K226" s="31">
        <v>144.77000000000001</v>
      </c>
      <c r="L226" s="40"/>
    </row>
    <row r="227" spans="1:12" x14ac:dyDescent="0.3">
      <c r="A227" s="22" t="str">
        <f>TabVMAzureEnvProjet[[#This Row],[Client]] &amp; " .:. "  &amp; TabVMAzureEnvProjet[[#This Row],[Projet]]</f>
        <v>STMICRO .:. STMICRO-DATAPACK</v>
      </c>
      <c r="B227" s="22" t="str">
        <f>IF(TabVMAzureEnvProjet[[#This Row],[Projet AzureDevOps]]&lt;&gt;"",TabVMAzureEnvProjet[[#This Row],[Projet AzureDevOps]],TabVMAzureEnvProjet[[#This Row],[VM]])</f>
        <v>STMICRO-DATAPACK-VM</v>
      </c>
      <c r="D227" t="s">
        <v>109</v>
      </c>
      <c r="E227" t="s">
        <v>11</v>
      </c>
      <c r="F227" t="s">
        <v>108</v>
      </c>
      <c r="G227" t="str">
        <f>LOOKUP(TabVMAzureEnvProjet[[#This Row],[Projet]],TabProjets[NomProj],TabProjets[SYGES])</f>
        <v>STMICRO/TMASI</v>
      </c>
      <c r="H227">
        <f>LOOKUP(TabVMAzureEnvProjet[[#This Row],[Code SYGES]],TabCONTRATSDI[Contrat SYGES],TabCONTRATSDI[Cost Center])</f>
        <v>305704</v>
      </c>
      <c r="I227" s="22" t="str">
        <f>LOOKUP(TabVMAzureEnvProjet[[#This Row],[Code SYGES]],TabCONTRATSDI[Contrat SYGES],TabCONTRATSDI[Client])</f>
        <v>STMICRO</v>
      </c>
      <c r="J227" t="s">
        <v>135</v>
      </c>
      <c r="K227" s="31">
        <v>1.27</v>
      </c>
      <c r="L227" s="40"/>
    </row>
    <row r="228" spans="1:12" x14ac:dyDescent="0.3">
      <c r="A228" s="22" t="str">
        <f>TabVMAzureEnvProjet[[#This Row],[Client]] &amp; " .:. "  &amp; TabVMAzureEnvProjet[[#This Row],[Projet]]</f>
        <v>FRR .:. FRR-DIGIPAT</v>
      </c>
      <c r="B228" s="22" t="str">
        <f>IF(TabVMAzureEnvProjet[[#This Row],[Projet AzureDevOps]]&lt;&gt;"",TabVMAzureEnvProjet[[#This Row],[Projet AzureDevOps]],TabVMAzureEnvProjet[[#This Row],[VM]])</f>
        <v>FRR-DIGIPAT-VM</v>
      </c>
      <c r="D228" t="s">
        <v>29</v>
      </c>
      <c r="E228" t="s">
        <v>19</v>
      </c>
      <c r="F228" t="s">
        <v>27</v>
      </c>
      <c r="G228" t="str">
        <f>LOOKUP(TabVMAzureEnvProjet[[#This Row],[Projet]],TabProjets[NomProj],TabProjets[SYGES])</f>
        <v>FRR/TMASI</v>
      </c>
      <c r="H228">
        <f>LOOKUP(TabVMAzureEnvProjet[[#This Row],[Code SYGES]],TabCONTRATSDI[Contrat SYGES],TabCONTRATSDI[Cost Center])</f>
        <v>305704</v>
      </c>
      <c r="I228" s="22" t="str">
        <f>LOOKUP(TabVMAzureEnvProjet[[#This Row],[Code SYGES]],TabCONTRATSDI[Contrat SYGES],TabCONTRATSDI[Client])</f>
        <v>FRR</v>
      </c>
      <c r="J228" t="s">
        <v>135</v>
      </c>
      <c r="K228" s="31">
        <v>24.59</v>
      </c>
      <c r="L228" s="40"/>
    </row>
    <row r="229" spans="1:12" x14ac:dyDescent="0.3">
      <c r="A229" s="22" t="str">
        <f>TabVMAzureEnvProjet[[#This Row],[Client]] &amp; " .:. "  &amp; TabVMAzureEnvProjet[[#This Row],[Projet]]</f>
        <v>ONEMA .:. AFB-BASEINDICATEURS</v>
      </c>
      <c r="B229" s="22" t="str">
        <f>IF(TabVMAzureEnvProjet[[#This Row],[Projet AzureDevOps]]&lt;&gt;"",TabVMAzureEnvProjet[[#This Row],[Projet AzureDevOps]],TabVMAzureEnvProjet[[#This Row],[VM]])</f>
        <v>AFB-BaseIndicateurs</v>
      </c>
      <c r="C229" s="13" t="s">
        <v>72</v>
      </c>
      <c r="E229" t="s">
        <v>4</v>
      </c>
      <c r="F229" t="s">
        <v>71</v>
      </c>
      <c r="G229" t="str">
        <f>LOOKUP(TabVMAzureEnvProjet[[#This Row],[Projet]],TabProjets[NomProj],TabProjets[SYGES])</f>
        <v>ONEMA/TMADCUA-15</v>
      </c>
      <c r="H229">
        <f>LOOKUP(TabVMAzureEnvProjet[[#This Row],[Code SYGES]],TabCONTRATSDI[Contrat SYGES],TabCONTRATSDI[Cost Center])</f>
        <v>305704</v>
      </c>
      <c r="I229" s="22" t="str">
        <f>LOOKUP(TabVMAzureEnvProjet[[#This Row],[Code SYGES]],TabCONTRATSDI[Contrat SYGES],TabCONTRATSDI[Client])</f>
        <v>ONEMA</v>
      </c>
      <c r="J229" t="s">
        <v>136</v>
      </c>
      <c r="K229" s="31">
        <v>0.70212543537871841</v>
      </c>
      <c r="L229" s="40" t="s">
        <v>137</v>
      </c>
    </row>
    <row r="230" spans="1:12" x14ac:dyDescent="0.3">
      <c r="A230" s="22" t="str">
        <f>TabVMAzureEnvProjet[[#This Row],[Client]] &amp; " .:. "  &amp; TabVMAzureEnvProjet[[#This Row],[Projet]]</f>
        <v>ONEMA .:. AFB-CATALOGUE</v>
      </c>
      <c r="B230" s="22" t="str">
        <f>IF(TabVMAzureEnvProjet[[#This Row],[Projet AzureDevOps]]&lt;&gt;"",TabVMAzureEnvProjet[[#This Row],[Projet AzureDevOps]],TabVMAzureEnvProjet[[#This Row],[VM]])</f>
        <v>AFB-Catalogue</v>
      </c>
      <c r="C230" s="13" t="s">
        <v>74</v>
      </c>
      <c r="E230" t="s">
        <v>4</v>
      </c>
      <c r="F230" t="s">
        <v>73</v>
      </c>
      <c r="G230" t="str">
        <f>LOOKUP(TabVMAzureEnvProjet[[#This Row],[Projet]],TabProjets[NomProj],TabProjets[SYGES])</f>
        <v>ONEMA/TMADCUA-15</v>
      </c>
      <c r="H230">
        <f>LOOKUP(TabVMAzureEnvProjet[[#This Row],[Code SYGES]],TabCONTRATSDI[Contrat SYGES],TabCONTRATSDI[Cost Center])</f>
        <v>305704</v>
      </c>
      <c r="I230" s="22" t="str">
        <f>LOOKUP(TabVMAzureEnvProjet[[#This Row],[Code SYGES]],TabCONTRATSDI[Contrat SYGES],TabCONTRATSDI[Client])</f>
        <v>ONEMA</v>
      </c>
      <c r="J230" t="s">
        <v>136</v>
      </c>
      <c r="K230" s="31">
        <v>2.3697134644167948</v>
      </c>
      <c r="L230" s="40" t="s">
        <v>137</v>
      </c>
    </row>
    <row r="231" spans="1:12" x14ac:dyDescent="0.3">
      <c r="A231" s="22" t="str">
        <f>TabVMAzureEnvProjet[[#This Row],[Client]] &amp; " .:. "  &amp; TabVMAzureEnvProjet[[#This Row],[Projet]]</f>
        <v>ONEMA .:. AFB-CDR</v>
      </c>
      <c r="B231" s="22" t="str">
        <f>IF(TabVMAzureEnvProjet[[#This Row],[Projet AzureDevOps]]&lt;&gt;"",TabVMAzureEnvProjet[[#This Row],[Projet AzureDevOps]],TabVMAzureEnvProjet[[#This Row],[VM]])</f>
        <v>AFB-CDR</v>
      </c>
      <c r="C231" s="13" t="s">
        <v>75</v>
      </c>
      <c r="E231" t="s">
        <v>4</v>
      </c>
      <c r="F231" t="s">
        <v>75</v>
      </c>
      <c r="G231" t="str">
        <f>LOOKUP(TabVMAzureEnvProjet[[#This Row],[Projet]],TabProjets[NomProj],TabProjets[SYGES])</f>
        <v>ONEMA/TMAWEB-16</v>
      </c>
      <c r="H231">
        <f>LOOKUP(TabVMAzureEnvProjet[[#This Row],[Code SYGES]],TabCONTRATSDI[Contrat SYGES],TabCONTRATSDI[Cost Center])</f>
        <v>305704</v>
      </c>
      <c r="I231" s="22" t="str">
        <f>LOOKUP(TabVMAzureEnvProjet[[#This Row],[Code SYGES]],TabCONTRATSDI[Contrat SYGES],TabCONTRATSDI[Client])</f>
        <v>ONEMA</v>
      </c>
      <c r="J231" t="s">
        <v>136</v>
      </c>
      <c r="K231" s="31">
        <v>8.2477403569440337</v>
      </c>
      <c r="L231" s="40" t="s">
        <v>137</v>
      </c>
    </row>
    <row r="232" spans="1:12" x14ac:dyDescent="0.3">
      <c r="A232" s="22" t="str">
        <f>TabVMAzureEnvProjet[[#This Row],[Client]] &amp; " .:. "  &amp; TabVMAzureEnvProjet[[#This Row],[Projet]]</f>
        <v>AFB .:. AFB-CESMIA</v>
      </c>
      <c r="B232" s="22" t="str">
        <f>IF(TabVMAzureEnvProjet[[#This Row],[Projet AzureDevOps]]&lt;&gt;"",TabVMAzureEnvProjet[[#This Row],[Projet AzureDevOps]],TabVMAzureEnvProjet[[#This Row],[VM]])</f>
        <v>AFB-CESMIA</v>
      </c>
      <c r="C232" s="13" t="s">
        <v>3</v>
      </c>
      <c r="E232" t="s">
        <v>4</v>
      </c>
      <c r="F232" t="s">
        <v>3</v>
      </c>
      <c r="G232" t="str">
        <f>LOOKUP(TabVMAzureEnvProjet[[#This Row],[Projet]],TabProjets[NomProj],TabProjets[SYGES])</f>
        <v>AFB/OFB_LOT1</v>
      </c>
      <c r="H232">
        <f>LOOKUP(TabVMAzureEnvProjet[[#This Row],[Code SYGES]],TabCONTRATSDI[Contrat SYGES],TabCONTRATSDI[Cost Center])</f>
        <v>305704</v>
      </c>
      <c r="I232" s="22" t="str">
        <f>LOOKUP(TabVMAzureEnvProjet[[#This Row],[Code SYGES]],TabCONTRATSDI[Contrat SYGES],TabCONTRATSDI[Client])</f>
        <v>AFB</v>
      </c>
      <c r="J232" t="s">
        <v>136</v>
      </c>
      <c r="K232" s="31">
        <v>13.169821098442615</v>
      </c>
      <c r="L232" s="40" t="s">
        <v>137</v>
      </c>
    </row>
    <row r="233" spans="1:12" x14ac:dyDescent="0.3">
      <c r="A233" s="22" t="str">
        <f>TabVMAzureEnvProjet[[#This Row],[Client]] &amp; " .:. "  &amp; TabVMAzureEnvProjet[[#This Row],[Projet]]</f>
        <v>ONEMA .:. AFB-OISON</v>
      </c>
      <c r="B233" s="22" t="str">
        <f>IF(TabVMAzureEnvProjet[[#This Row],[Projet AzureDevOps]]&lt;&gt;"",TabVMAzureEnvProjet[[#This Row],[Projet AzureDevOps]],TabVMAzureEnvProjet[[#This Row],[VM]])</f>
        <v>AFB-OISON</v>
      </c>
      <c r="C233" s="13" t="s">
        <v>76</v>
      </c>
      <c r="E233" t="s">
        <v>4</v>
      </c>
      <c r="F233" t="s">
        <v>76</v>
      </c>
      <c r="G233" t="str">
        <f>LOOKUP(TabVMAzureEnvProjet[[#This Row],[Projet]],TabProjets[NomProj],TabProjets[SYGES])</f>
        <v>ONEMA/TMADCUA-15</v>
      </c>
      <c r="H233">
        <f>LOOKUP(TabVMAzureEnvProjet[[#This Row],[Code SYGES]],TabCONTRATSDI[Contrat SYGES],TabCONTRATSDI[Cost Center])</f>
        <v>305704</v>
      </c>
      <c r="I233" s="22" t="str">
        <f>LOOKUP(TabVMAzureEnvProjet[[#This Row],[Code SYGES]],TabCONTRATSDI[Contrat SYGES],TabCONTRATSDI[Client])</f>
        <v>ONEMA</v>
      </c>
      <c r="J233" t="s">
        <v>136</v>
      </c>
      <c r="K233" s="31">
        <v>2.0536304298330741</v>
      </c>
      <c r="L233" s="40" t="s">
        <v>137</v>
      </c>
    </row>
    <row r="234" spans="1:12" x14ac:dyDescent="0.3">
      <c r="A234" s="22" t="str">
        <f>TabVMAzureEnvProjet[[#This Row],[Client]] &amp; " .:. "  &amp; TabVMAzureEnvProjet[[#This Row],[Projet]]</f>
        <v>ONEMA .:. AFB-PATBIODIV</v>
      </c>
      <c r="B234" s="22" t="str">
        <f>IF(TabVMAzureEnvProjet[[#This Row],[Projet AzureDevOps]]&lt;&gt;"",TabVMAzureEnvProjet[[#This Row],[Projet AzureDevOps]],TabVMAzureEnvProjet[[#This Row],[VM]])</f>
        <v>AFB-PATBiodiv</v>
      </c>
      <c r="C234" s="13" t="s">
        <v>78</v>
      </c>
      <c r="E234" t="s">
        <v>4</v>
      </c>
      <c r="F234" t="s">
        <v>77</v>
      </c>
      <c r="G234" t="str">
        <f>LOOKUP(TabVMAzureEnvProjet[[#This Row],[Projet]],TabProjets[NomProj],TabProjets[SYGES])</f>
        <v>ONEMA/TMADCUA-15</v>
      </c>
      <c r="H234">
        <f>LOOKUP(TabVMAzureEnvProjet[[#This Row],[Code SYGES]],TabCONTRATSDI[Contrat SYGES],TabCONTRATSDI[Cost Center])</f>
        <v>305704</v>
      </c>
      <c r="I234" s="22" t="str">
        <f>LOOKUP(TabVMAzureEnvProjet[[#This Row],[Code SYGES]],TabCONTRATSDI[Contrat SYGES],TabCONTRATSDI[Client])</f>
        <v>ONEMA</v>
      </c>
      <c r="J234" t="s">
        <v>136</v>
      </c>
      <c r="K234" s="31">
        <v>5.731238176881047</v>
      </c>
      <c r="L234" s="40" t="s">
        <v>137</v>
      </c>
    </row>
    <row r="235" spans="1:12" x14ac:dyDescent="0.3">
      <c r="A235" s="22" t="str">
        <f>TabVMAzureEnvProjet[[#This Row],[Client]] &amp; " .:. "  &amp; TabVMAzureEnvProjet[[#This Row],[Projet]]</f>
        <v>AFB .:. AFB-PNM</v>
      </c>
      <c r="B235" s="22" t="str">
        <f>IF(TabVMAzureEnvProjet[[#This Row],[Projet AzureDevOps]]&lt;&gt;"",TabVMAzureEnvProjet[[#This Row],[Projet AzureDevOps]],TabVMAzureEnvProjet[[#This Row],[VM]])</f>
        <v>AFB-PNM</v>
      </c>
      <c r="C235" s="13" t="s">
        <v>5</v>
      </c>
      <c r="E235" t="s">
        <v>4</v>
      </c>
      <c r="F235" t="s">
        <v>5</v>
      </c>
      <c r="G235" t="str">
        <f>LOOKUP(TabVMAzureEnvProjet[[#This Row],[Projet]],TabProjets[NomProj],TabProjets[SYGES])</f>
        <v>AFB/OFB_LOT2</v>
      </c>
      <c r="H235">
        <f>LOOKUP(TabVMAzureEnvProjet[[#This Row],[Code SYGES]],TabCONTRATSDI[Contrat SYGES],TabCONTRATSDI[Cost Center])</f>
        <v>305704</v>
      </c>
      <c r="I235" s="22" t="str">
        <f>LOOKUP(TabVMAzureEnvProjet[[#This Row],[Code SYGES]],TabCONTRATSDI[Contrat SYGES],TabCONTRATSDI[Client])</f>
        <v>AFB</v>
      </c>
      <c r="J235" t="s">
        <v>136</v>
      </c>
      <c r="K235" s="31">
        <v>12.742523040070225</v>
      </c>
      <c r="L235" s="40" t="s">
        <v>137</v>
      </c>
    </row>
    <row r="236" spans="1:12" x14ac:dyDescent="0.3">
      <c r="A236" s="22" t="str">
        <f>TabVMAzureEnvProjet[[#This Row],[Client]] &amp; " .:. "  &amp; TabVMAzureEnvProjet[[#This Row],[Projet]]</f>
        <v>AFB .:. AFB-PNX</v>
      </c>
      <c r="B236" s="22" t="str">
        <f>IF(TabVMAzureEnvProjet[[#This Row],[Projet AzureDevOps]]&lt;&gt;"",TabVMAzureEnvProjet[[#This Row],[Projet AzureDevOps]],TabVMAzureEnvProjet[[#This Row],[VM]])</f>
        <v>AFB-PNX</v>
      </c>
      <c r="C236" s="13" t="s">
        <v>6</v>
      </c>
      <c r="E236" t="s">
        <v>4</v>
      </c>
      <c r="F236" t="s">
        <v>6</v>
      </c>
      <c r="G236" t="str">
        <f>LOOKUP(TabVMAzureEnvProjet[[#This Row],[Projet]],TabProjets[NomProj],TabProjets[SYGES])</f>
        <v>AFB/OFB_LOT2</v>
      </c>
      <c r="H236">
        <f>LOOKUP(TabVMAzureEnvProjet[[#This Row],[Code SYGES]],TabCONTRATSDI[Contrat SYGES],TabCONTRATSDI[Cost Center])</f>
        <v>305704</v>
      </c>
      <c r="I236" s="22" t="str">
        <f>LOOKUP(TabVMAzureEnvProjet[[#This Row],[Code SYGES]],TabCONTRATSDI[Contrat SYGES],TabCONTRATSDI[Client])</f>
        <v>AFB</v>
      </c>
      <c r="J236" t="s">
        <v>136</v>
      </c>
      <c r="K236" s="31">
        <v>2.509320213631824</v>
      </c>
      <c r="L236" s="40" t="s">
        <v>137</v>
      </c>
    </row>
    <row r="237" spans="1:12" x14ac:dyDescent="0.3">
      <c r="A237" s="22" t="str">
        <f>TabVMAzureEnvProjet[[#This Row],[Client]] &amp; " .:. "  &amp; TabVMAzureEnvProjet[[#This Row],[Projet]]</f>
        <v>ONEMA .:. AFB-RAA</v>
      </c>
      <c r="B237" s="22" t="str">
        <f>IF(TabVMAzureEnvProjet[[#This Row],[Projet AzureDevOps]]&lt;&gt;"",TabVMAzureEnvProjet[[#This Row],[Projet AzureDevOps]],TabVMAzureEnvProjet[[#This Row],[VM]])</f>
        <v>AFB-RAA</v>
      </c>
      <c r="C237" s="13" t="s">
        <v>79</v>
      </c>
      <c r="E237" t="s">
        <v>4</v>
      </c>
      <c r="F237" t="s">
        <v>79</v>
      </c>
      <c r="G237" t="str">
        <f>LOOKUP(TabVMAzureEnvProjet[[#This Row],[Projet]],TabProjets[NomProj],TabProjets[SYGES])</f>
        <v>ONEMA/TMAWEB-16</v>
      </c>
      <c r="H237">
        <f>LOOKUP(TabVMAzureEnvProjet[[#This Row],[Code SYGES]],TabCONTRATSDI[Contrat SYGES],TabCONTRATSDI[Cost Center])</f>
        <v>305704</v>
      </c>
      <c r="I237" s="22" t="str">
        <f>LOOKUP(TabVMAzureEnvProjet[[#This Row],[Code SYGES]],TabCONTRATSDI[Contrat SYGES],TabCONTRATSDI[Client])</f>
        <v>ONEMA</v>
      </c>
      <c r="J237" t="s">
        <v>136</v>
      </c>
      <c r="K237" s="31">
        <v>0.2421122190961098</v>
      </c>
      <c r="L237" s="40" t="s">
        <v>137</v>
      </c>
    </row>
    <row r="238" spans="1:12" x14ac:dyDescent="0.3">
      <c r="A238" s="22" t="str">
        <f>TabVMAzureEnvProjet[[#This Row],[Client]] &amp; " .:. "  &amp; TabVMAzureEnvProjet[[#This Row],[Projet]]</f>
        <v>ALM .:. ALM-ATOUT</v>
      </c>
      <c r="B238" s="22" t="str">
        <f>IF(TabVMAzureEnvProjet[[#This Row],[Projet AzureDevOps]]&lt;&gt;"",TabVMAzureEnvProjet[[#This Row],[Projet AzureDevOps]],TabVMAzureEnvProjet[[#This Row],[VM]])</f>
        <v>ALM-ATOUT</v>
      </c>
      <c r="C238" s="13" t="s">
        <v>15</v>
      </c>
      <c r="E238" t="s">
        <v>4</v>
      </c>
      <c r="F238" t="s">
        <v>15</v>
      </c>
      <c r="G238" t="str">
        <f>LOOKUP(TabVMAzureEnvProjet[[#This Row],[Projet]],TabProjets[NomProj],TabProjets[SYGES])</f>
        <v>ALM/TMA_ATOUT</v>
      </c>
      <c r="H238">
        <f>LOOKUP(TabVMAzureEnvProjet[[#This Row],[Code SYGES]],TabCONTRATSDI[Contrat SYGES],TabCONTRATSDI[Cost Center])</f>
        <v>305704</v>
      </c>
      <c r="I238" s="22" t="str">
        <f>LOOKUP(TabVMAzureEnvProjet[[#This Row],[Code SYGES]],TabCONTRATSDI[Contrat SYGES],TabCONTRATSDI[Client])</f>
        <v>ALM</v>
      </c>
      <c r="J238" t="s">
        <v>136</v>
      </c>
      <c r="K238" s="31">
        <v>6.4039036999823331</v>
      </c>
      <c r="L238" s="40" t="s">
        <v>137</v>
      </c>
    </row>
    <row r="239" spans="1:12" x14ac:dyDescent="0.3">
      <c r="A239" s="22" t="str">
        <f>TabVMAzureEnvProjet[[#This Row],[Client]] &amp; " .:. "  &amp; TabVMAzureEnvProjet[[#This Row],[Projet]]</f>
        <v>BRGM .:. BRGM-ORRM</v>
      </c>
      <c r="B239" s="22" t="str">
        <f>IF(TabVMAzureEnvProjet[[#This Row],[Projet AzureDevOps]]&lt;&gt;"",TabVMAzureEnvProjet[[#This Row],[Projet AzureDevOps]],TabVMAzureEnvProjet[[#This Row],[VM]])</f>
        <v>BRGM-ORRM</v>
      </c>
      <c r="C239" s="13" t="s">
        <v>18</v>
      </c>
      <c r="E239" t="s">
        <v>4</v>
      </c>
      <c r="F239" t="s">
        <v>18</v>
      </c>
      <c r="G239" t="str">
        <f>LOOKUP(TabVMAzureEnvProjet[[#This Row],[Projet]],TabProjets[NomProj],TabProjets[SYGES])</f>
        <v>BRGM/TMA-5-1-ORRM-LOT1</v>
      </c>
      <c r="H239">
        <f>LOOKUP(TabVMAzureEnvProjet[[#This Row],[Code SYGES]],TabCONTRATSDI[Contrat SYGES],TabCONTRATSDI[Cost Center])</f>
        <v>305704</v>
      </c>
      <c r="I239" s="22" t="str">
        <f>LOOKUP(TabVMAzureEnvProjet[[#This Row],[Code SYGES]],TabCONTRATSDI[Contrat SYGES],TabCONTRATSDI[Client])</f>
        <v>BRGM</v>
      </c>
      <c r="J239" t="s">
        <v>136</v>
      </c>
      <c r="K239" s="31">
        <v>5.5596459454105496</v>
      </c>
      <c r="L239" s="40" t="s">
        <v>137</v>
      </c>
    </row>
    <row r="240" spans="1:12" x14ac:dyDescent="0.3">
      <c r="A240" s="22" t="str">
        <f>TabVMAzureEnvProjet[[#This Row],[Client]] &amp; " .:. "  &amp; TabVMAzureEnvProjet[[#This Row],[Projet]]</f>
        <v>CNAV .:. CNAV-BI-RGCU</v>
      </c>
      <c r="B240" s="22" t="str">
        <f>IF(TabVMAzureEnvProjet[[#This Row],[Projet AzureDevOps]]&lt;&gt;"",TabVMAzureEnvProjet[[#This Row],[Projet AzureDevOps]],TabVMAzureEnvProjet[[#This Row],[VM]])</f>
        <v>CNAV-BI-RGCU</v>
      </c>
      <c r="C240" s="13" t="s">
        <v>25</v>
      </c>
      <c r="E240" t="s">
        <v>4</v>
      </c>
      <c r="F240" t="s">
        <v>25</v>
      </c>
      <c r="G240" t="str">
        <f>LOOKUP(TabVMAzureEnvProjet[[#This Row],[Projet]],TabProjets[NomProj],TabProjets[SYGES])</f>
        <v>CNAV/BI-SIRRGCU</v>
      </c>
      <c r="H240">
        <f>LOOKUP(TabVMAzureEnvProjet[[#This Row],[Code SYGES]],TabCONTRATSDI[Contrat SYGES],TabCONTRATSDI[Cost Center])</f>
        <v>305704</v>
      </c>
      <c r="I240" s="22" t="str">
        <f>LOOKUP(TabVMAzureEnvProjet[[#This Row],[Code SYGES]],TabCONTRATSDI[Contrat SYGES],TabCONTRATSDI[Client])</f>
        <v>CNAV</v>
      </c>
      <c r="J240" t="s">
        <v>136</v>
      </c>
      <c r="K240" s="31">
        <v>11.500330407065217</v>
      </c>
      <c r="L240" s="40" t="s">
        <v>137</v>
      </c>
    </row>
    <row r="241" spans="1:12" x14ac:dyDescent="0.3">
      <c r="A241" s="22" t="str">
        <f>TabVMAzureEnvProjet[[#This Row],[Client]] &amp; " .:. "  &amp; TabVMAzureEnvProjet[[#This Row],[Projet]]</f>
        <v>GFI .:. GFI-INTERNE</v>
      </c>
      <c r="B241" s="22" t="str">
        <f>IF(TabVMAzureEnvProjet[[#This Row],[Projet AzureDevOps]]&lt;&gt;"",TabVMAzureEnvProjet[[#This Row],[Projet AzureDevOps]],TabVMAzureEnvProjet[[#This Row],[VM]])</f>
        <v>d8-qa</v>
      </c>
      <c r="C241" s="13" t="s">
        <v>37</v>
      </c>
      <c r="E241" t="s">
        <v>4</v>
      </c>
      <c r="F241" t="s">
        <v>36</v>
      </c>
      <c r="G241" t="str">
        <f>LOOKUP(TabVMAzureEnvProjet[[#This Row],[Projet]],TabProjets[NomProj],TabProjets[SYGES])</f>
        <v>GFI/PROJET_INTERNE</v>
      </c>
      <c r="H241">
        <f>LOOKUP(TabVMAzureEnvProjet[[#This Row],[Code SYGES]],TabCONTRATSDI[Contrat SYGES],TabCONTRATSDI[Cost Center])</f>
        <v>305704</v>
      </c>
      <c r="I241" s="22" t="str">
        <f>LOOKUP(TabVMAzureEnvProjet[[#This Row],[Code SYGES]],TabCONTRATSDI[Contrat SYGES],TabCONTRATSDI[Client])</f>
        <v>GFI</v>
      </c>
      <c r="J241" t="s">
        <v>136</v>
      </c>
      <c r="K241" s="31">
        <v>0.81712873944937059</v>
      </c>
      <c r="L241" s="40" t="s">
        <v>137</v>
      </c>
    </row>
    <row r="242" spans="1:12" x14ac:dyDescent="0.3">
      <c r="A242" s="22" t="str">
        <f>TabVMAzureEnvProjet[[#This Row],[Client]] &amp; " .:. "  &amp; TabVMAzureEnvProjet[[#This Row],[Projet]]</f>
        <v>GFI .:. GFI-INTERNE</v>
      </c>
      <c r="B242" s="22" t="str">
        <f>IF(TabVMAzureEnvProjet[[#This Row],[Projet AzureDevOps]]&lt;&gt;"",TabVMAzureEnvProjet[[#This Row],[Projet AzureDevOps]],TabVMAzureEnvProjet[[#This Row],[VM]])</f>
        <v>drupal-qa</v>
      </c>
      <c r="C242" s="13" t="s">
        <v>38</v>
      </c>
      <c r="E242" t="s">
        <v>4</v>
      </c>
      <c r="F242" t="s">
        <v>36</v>
      </c>
      <c r="G242" t="str">
        <f>LOOKUP(TabVMAzureEnvProjet[[#This Row],[Projet]],TabProjets[NomProj],TabProjets[SYGES])</f>
        <v>GFI/PROJET_INTERNE</v>
      </c>
      <c r="H242">
        <f>LOOKUP(TabVMAzureEnvProjet[[#This Row],[Code SYGES]],TabCONTRATSDI[Contrat SYGES],TabCONTRATSDI[Cost Center])</f>
        <v>305704</v>
      </c>
      <c r="I242" s="22" t="str">
        <f>LOOKUP(TabVMAzureEnvProjet[[#This Row],[Code SYGES]],TabCONTRATSDI[Contrat SYGES],TabCONTRATSDI[Client])</f>
        <v>GFI</v>
      </c>
      <c r="J242" t="s">
        <v>136</v>
      </c>
      <c r="K242" s="31">
        <v>0.81712873944937059</v>
      </c>
      <c r="L242" s="40" t="s">
        <v>137</v>
      </c>
    </row>
    <row r="243" spans="1:12" x14ac:dyDescent="0.3">
      <c r="A243" s="22" t="str">
        <f>TabVMAzureEnvProjet[[#This Row],[Client]] &amp; " .:. "  &amp; TabVMAzureEnvProjet[[#This Row],[Projet]]</f>
        <v>FRR .:. FRR-DIGIPAT</v>
      </c>
      <c r="B243" s="22" t="str">
        <f>IF(TabVMAzureEnvProjet[[#This Row],[Projet AzureDevOps]]&lt;&gt;"",TabVMAzureEnvProjet[[#This Row],[Projet AzureDevOps]],TabVMAzureEnvProjet[[#This Row],[VM]])</f>
        <v>FRR DIGIPAT</v>
      </c>
      <c r="C243" s="13" t="s">
        <v>28</v>
      </c>
      <c r="E243" t="s">
        <v>4</v>
      </c>
      <c r="F243" t="s">
        <v>27</v>
      </c>
      <c r="G243" t="str">
        <f>LOOKUP(TabVMAzureEnvProjet[[#This Row],[Projet]],TabProjets[NomProj],TabProjets[SYGES])</f>
        <v>FRR/TMASI</v>
      </c>
      <c r="H243">
        <f>LOOKUP(TabVMAzureEnvProjet[[#This Row],[Code SYGES]],TabCONTRATSDI[Contrat SYGES],TabCONTRATSDI[Cost Center])</f>
        <v>305704</v>
      </c>
      <c r="I243" s="22" t="str">
        <f>LOOKUP(TabVMAzureEnvProjet[[#This Row],[Code SYGES]],TabCONTRATSDI[Contrat SYGES],TabCONTRATSDI[Client])</f>
        <v>FRR</v>
      </c>
      <c r="J243" t="s">
        <v>136</v>
      </c>
      <c r="K243" s="31">
        <v>7.4222767357344717</v>
      </c>
      <c r="L243" s="40" t="s">
        <v>137</v>
      </c>
    </row>
    <row r="244" spans="1:12" x14ac:dyDescent="0.3">
      <c r="A244" s="22" t="str">
        <f>TabVMAzureEnvProjet[[#This Row],[Client]] &amp; " .:. "  &amp; TabVMAzureEnvProjet[[#This Row],[Projet]]</f>
        <v>FRR .:. FRR-APPLIFRR</v>
      </c>
      <c r="B244" s="22" t="str">
        <f>IF(TabVMAzureEnvProjet[[#This Row],[Projet AzureDevOps]]&lt;&gt;"",TabVMAzureEnvProjet[[#This Row],[Projet AzureDevOps]],TabVMAzureEnvProjet[[#This Row],[VM]])</f>
        <v>FRR-APPLIFRR</v>
      </c>
      <c r="C244" s="13" t="s">
        <v>30</v>
      </c>
      <c r="E244" t="s">
        <v>4</v>
      </c>
      <c r="F244" t="s">
        <v>30</v>
      </c>
      <c r="G244" t="str">
        <f>LOOKUP(TabVMAzureEnvProjet[[#This Row],[Projet]],TabProjets[NomProj],TabProjets[SYGES])</f>
        <v>FRR/TMASI</v>
      </c>
      <c r="H244">
        <f>LOOKUP(TabVMAzureEnvProjet[[#This Row],[Code SYGES]],TabCONTRATSDI[Contrat SYGES],TabCONTRATSDI[Cost Center])</f>
        <v>305704</v>
      </c>
      <c r="I244" s="22" t="str">
        <f>LOOKUP(TabVMAzureEnvProjet[[#This Row],[Code SYGES]],TabCONTRATSDI[Contrat SYGES],TabCONTRATSDI[Client])</f>
        <v>FRR</v>
      </c>
      <c r="J244" t="s">
        <v>136</v>
      </c>
      <c r="K244" s="31">
        <v>3.0468407831705249</v>
      </c>
      <c r="L244" s="40" t="s">
        <v>137</v>
      </c>
    </row>
    <row r="245" spans="1:12" x14ac:dyDescent="0.3">
      <c r="A245" s="22" t="str">
        <f>TabVMAzureEnvProjet[[#This Row],[Client]] &amp; " .:. "  &amp; TabVMAzureEnvProjet[[#This Row],[Projet]]</f>
        <v>FRR .:. FRR-CADENCIER</v>
      </c>
      <c r="B245" s="22" t="str">
        <f>IF(TabVMAzureEnvProjet[[#This Row],[Projet AzureDevOps]]&lt;&gt;"",TabVMAzureEnvProjet[[#This Row],[Projet AzureDevOps]],TabVMAzureEnvProjet[[#This Row],[VM]])</f>
        <v>FRR-CADENCIER</v>
      </c>
      <c r="C245" s="13" t="s">
        <v>31</v>
      </c>
      <c r="E245" t="s">
        <v>4</v>
      </c>
      <c r="F245" t="s">
        <v>31</v>
      </c>
      <c r="G245" t="str">
        <f>LOOKUP(TabVMAzureEnvProjet[[#This Row],[Projet]],TabProjets[NomProj],TabProjets[SYGES])</f>
        <v>FRR/TMASI</v>
      </c>
      <c r="H245">
        <f>LOOKUP(TabVMAzureEnvProjet[[#This Row],[Code SYGES]],TabCONTRATSDI[Contrat SYGES],TabCONTRATSDI[Cost Center])</f>
        <v>305704</v>
      </c>
      <c r="I245" s="22" t="str">
        <f>LOOKUP(TabVMAzureEnvProjet[[#This Row],[Code SYGES]],TabCONTRATSDI[Contrat SYGES],TabCONTRATSDI[Client])</f>
        <v>FRR</v>
      </c>
      <c r="J245" t="s">
        <v>136</v>
      </c>
      <c r="K245" s="31">
        <v>3.0468407831705249</v>
      </c>
      <c r="L245" s="40" t="s">
        <v>137</v>
      </c>
    </row>
    <row r="246" spans="1:12" x14ac:dyDescent="0.3">
      <c r="A246" s="22" t="str">
        <f>TabVMAzureEnvProjet[[#This Row],[Client]] &amp; " .:. "  &amp; TabVMAzureEnvProjet[[#This Row],[Projet]]</f>
        <v>FRR .:. FRR-PATAPAIN</v>
      </c>
      <c r="B246" s="22" t="str">
        <f>IF(TabVMAzureEnvProjet[[#This Row],[Projet AzureDevOps]]&lt;&gt;"",TabVMAzureEnvProjet[[#This Row],[Projet AzureDevOps]],TabVMAzureEnvProjet[[#This Row],[VM]])</f>
        <v>FRR-Patapain</v>
      </c>
      <c r="C246" s="13" t="s">
        <v>33</v>
      </c>
      <c r="E246" t="s">
        <v>4</v>
      </c>
      <c r="F246" t="s">
        <v>32</v>
      </c>
      <c r="G246" t="str">
        <f>LOOKUP(TabVMAzureEnvProjet[[#This Row],[Projet]],TabProjets[NomProj],TabProjets[SYGES])</f>
        <v>FRR/TMASI</v>
      </c>
      <c r="H246">
        <f>LOOKUP(TabVMAzureEnvProjet[[#This Row],[Code SYGES]],TabCONTRATSDI[Contrat SYGES],TabCONTRATSDI[Cost Center])</f>
        <v>305704</v>
      </c>
      <c r="I246" s="22" t="str">
        <f>LOOKUP(TabVMAzureEnvProjet[[#This Row],[Code SYGES]],TabCONTRATSDI[Contrat SYGES],TabCONTRATSDI[Client])</f>
        <v>FRR</v>
      </c>
      <c r="J246" t="s">
        <v>136</v>
      </c>
      <c r="K246" s="31">
        <v>2.6525437406425745</v>
      </c>
      <c r="L246" s="40" t="s">
        <v>137</v>
      </c>
    </row>
    <row r="247" spans="1:12" x14ac:dyDescent="0.3">
      <c r="A247" s="22" t="str">
        <f>TabVMAzureEnvProjet[[#This Row],[Client]] &amp; " .:. "  &amp; TabVMAzureEnvProjet[[#This Row],[Projet]]</f>
        <v>FRR .:. FRR-PATAPAINANDROID</v>
      </c>
      <c r="B247" s="22" t="str">
        <f>IF(TabVMAzureEnvProjet[[#This Row],[Projet AzureDevOps]]&lt;&gt;"",TabVMAzureEnvProjet[[#This Row],[Projet AzureDevOps]],TabVMAzureEnvProjet[[#This Row],[VM]])</f>
        <v>FRR-PATAPAINANDROID</v>
      </c>
      <c r="C247" s="13" t="s">
        <v>34</v>
      </c>
      <c r="E247" t="s">
        <v>4</v>
      </c>
      <c r="F247" t="s">
        <v>34</v>
      </c>
      <c r="G247" t="str">
        <f>LOOKUP(TabVMAzureEnvProjet[[#This Row],[Projet]],TabProjets[NomProj],TabProjets[SYGES])</f>
        <v>FRR/TMASI</v>
      </c>
      <c r="H247">
        <f>LOOKUP(TabVMAzureEnvProjet[[#This Row],[Code SYGES]],TabCONTRATSDI[Contrat SYGES],TabCONTRATSDI[Cost Center])</f>
        <v>305704</v>
      </c>
      <c r="I247" s="22" t="str">
        <f>LOOKUP(TabVMAzureEnvProjet[[#This Row],[Code SYGES]],TabCONTRATSDI[Contrat SYGES],TabCONTRATSDI[Client])</f>
        <v>FRR</v>
      </c>
      <c r="J247" t="s">
        <v>136</v>
      </c>
      <c r="K247" s="31">
        <v>3.0468407831705249</v>
      </c>
      <c r="L247" s="40" t="s">
        <v>137</v>
      </c>
    </row>
    <row r="248" spans="1:12" x14ac:dyDescent="0.3">
      <c r="A248" s="22" t="str">
        <f>TabVMAzureEnvProjet[[#This Row],[Client]] &amp; " .:. "  &amp; TabVMAzureEnvProjet[[#This Row],[Projet]]</f>
        <v>GFI .:. GFI-CMIS</v>
      </c>
      <c r="B248" s="22" t="str">
        <f>IF(TabVMAzureEnvProjet[[#This Row],[Projet AzureDevOps]]&lt;&gt;"",TabVMAzureEnvProjet[[#This Row],[Projet AzureDevOps]],TabVMAzureEnvProjet[[#This Row],[VM]])</f>
        <v>GFI-CMIS</v>
      </c>
      <c r="C248" s="13" t="s">
        <v>40</v>
      </c>
      <c r="E248" t="s">
        <v>4</v>
      </c>
      <c r="F248" t="s">
        <v>40</v>
      </c>
      <c r="G248" t="str">
        <f>LOOKUP(TabVMAzureEnvProjet[[#This Row],[Projet]],TabProjets[NomProj],TabProjets[SYGES])</f>
        <v>GFI/PROJET_INTERNE</v>
      </c>
      <c r="H248">
        <f>LOOKUP(TabVMAzureEnvProjet[[#This Row],[Code SYGES]],TabCONTRATSDI[Contrat SYGES],TabCONTRATSDI[Cost Center])</f>
        <v>305704</v>
      </c>
      <c r="I248" s="22" t="str">
        <f>LOOKUP(TabVMAzureEnvProjet[[#This Row],[Code SYGES]],TabCONTRATSDI[Contrat SYGES],TabCONTRATSDI[Client])</f>
        <v>GFI</v>
      </c>
      <c r="J248" t="s">
        <v>136</v>
      </c>
      <c r="K248" s="31">
        <v>0.2421122190961098</v>
      </c>
      <c r="L248" s="40" t="s">
        <v>137</v>
      </c>
    </row>
    <row r="249" spans="1:12" x14ac:dyDescent="0.3">
      <c r="A249" s="22" t="str">
        <f>TabVMAzureEnvProjet[[#This Row],[Client]] &amp; " .:. "  &amp; TabVMAzureEnvProjet[[#This Row],[Projet]]</f>
        <v>GFI .:. GFI-COFFEE</v>
      </c>
      <c r="B249" s="22" t="str">
        <f>IF(TabVMAzureEnvProjet[[#This Row],[Projet AzureDevOps]]&lt;&gt;"",TabVMAzureEnvProjet[[#This Row],[Projet AzureDevOps]],TabVMAzureEnvProjet[[#This Row],[VM]])</f>
        <v>GFI-COFFEE</v>
      </c>
      <c r="C249" s="13" t="s">
        <v>41</v>
      </c>
      <c r="E249" t="s">
        <v>4</v>
      </c>
      <c r="F249" t="s">
        <v>41</v>
      </c>
      <c r="G249" t="str">
        <f>LOOKUP(TabVMAzureEnvProjet[[#This Row],[Projet]],TabProjets[NomProj],TabProjets[SYGES])</f>
        <v>GFI/PROJET_INTERNE</v>
      </c>
      <c r="H249">
        <f>LOOKUP(TabVMAzureEnvProjet[[#This Row],[Code SYGES]],TabCONTRATSDI[Contrat SYGES],TabCONTRATSDI[Cost Center])</f>
        <v>305704</v>
      </c>
      <c r="I249" s="22" t="str">
        <f>LOOKUP(TabVMAzureEnvProjet[[#This Row],[Code SYGES]],TabCONTRATSDI[Contrat SYGES],TabCONTRATSDI[Client])</f>
        <v>GFI</v>
      </c>
      <c r="J249" t="s">
        <v>136</v>
      </c>
      <c r="K249" s="31">
        <v>1.4039364393040652</v>
      </c>
      <c r="L249" s="40" t="s">
        <v>137</v>
      </c>
    </row>
    <row r="250" spans="1:12" x14ac:dyDescent="0.3">
      <c r="A250" s="22" t="str">
        <f>TabVMAzureEnvProjet[[#This Row],[Client]] &amp; " .:. "  &amp; TabVMAzureEnvProjet[[#This Row],[Projet]]</f>
        <v>GFI .:. GFI-CRALENIUM</v>
      </c>
      <c r="B250" s="22" t="str">
        <f>IF(TabVMAzureEnvProjet[[#This Row],[Projet AzureDevOps]]&lt;&gt;"",TabVMAzureEnvProjet[[#This Row],[Projet AzureDevOps]],TabVMAzureEnvProjet[[#This Row],[VM]])</f>
        <v>GFI-CRALENIUM</v>
      </c>
      <c r="C250" s="13" t="s">
        <v>42</v>
      </c>
      <c r="E250" t="s">
        <v>4</v>
      </c>
      <c r="F250" t="s">
        <v>42</v>
      </c>
      <c r="G250" t="str">
        <f>LOOKUP(TabVMAzureEnvProjet[[#This Row],[Projet]],TabProjets[NomProj],TabProjets[SYGES])</f>
        <v>GFI/PROJET_INTERNE</v>
      </c>
      <c r="H250">
        <f>LOOKUP(TabVMAzureEnvProjet[[#This Row],[Code SYGES]],TabCONTRATSDI[Contrat SYGES],TabCONTRATSDI[Cost Center])</f>
        <v>305704</v>
      </c>
      <c r="I250" s="22" t="str">
        <f>LOOKUP(TabVMAzureEnvProjet[[#This Row],[Code SYGES]],TabCONTRATSDI[Contrat SYGES],TabCONTRATSDI[Client])</f>
        <v>GFI</v>
      </c>
      <c r="J250" t="s">
        <v>136</v>
      </c>
      <c r="K250" s="31">
        <v>3.0468407831705249</v>
      </c>
      <c r="L250" s="40" t="s">
        <v>137</v>
      </c>
    </row>
    <row r="251" spans="1:12" x14ac:dyDescent="0.3">
      <c r="A251" s="22" t="str">
        <f>TabVMAzureEnvProjet[[#This Row],[Client]] &amp; " .:. "  &amp; TabVMAzureEnvProjet[[#This Row],[Projet]]</f>
        <v>GFI .:. GFI-D8-BS4-THEME</v>
      </c>
      <c r="B251" s="22" t="str">
        <f>IF(TabVMAzureEnvProjet[[#This Row],[Projet AzureDevOps]]&lt;&gt;"",TabVMAzureEnvProjet[[#This Row],[Projet AzureDevOps]],TabVMAzureEnvProjet[[#This Row],[VM]])</f>
        <v>GFI-D8-BS4-THEME</v>
      </c>
      <c r="C251" s="13" t="s">
        <v>43</v>
      </c>
      <c r="E251" t="s">
        <v>4</v>
      </c>
      <c r="F251" t="s">
        <v>43</v>
      </c>
      <c r="G251" t="str">
        <f>LOOKUP(TabVMAzureEnvProjet[[#This Row],[Projet]],TabProjets[NomProj],TabProjets[SYGES])</f>
        <v>GFI/PROJET_INTERNE</v>
      </c>
      <c r="H251">
        <f>LOOKUP(TabVMAzureEnvProjet[[#This Row],[Code SYGES]],TabCONTRATSDI[Contrat SYGES],TabCONTRATSDI[Cost Center])</f>
        <v>305704</v>
      </c>
      <c r="I251" s="22" t="str">
        <f>LOOKUP(TabVMAzureEnvProjet[[#This Row],[Code SYGES]],TabCONTRATSDI[Contrat SYGES],TabCONTRATSDI[Client])</f>
        <v>GFI</v>
      </c>
      <c r="J251" t="s">
        <v>136</v>
      </c>
      <c r="K251" s="31">
        <v>1.6732644475308922</v>
      </c>
      <c r="L251" s="40" t="s">
        <v>137</v>
      </c>
    </row>
    <row r="252" spans="1:12" x14ac:dyDescent="0.3">
      <c r="A252" s="22" t="str">
        <f>TabVMAzureEnvProjet[[#This Row],[Client]] &amp; " .:. "  &amp; TabVMAzureEnvProjet[[#This Row],[Projet]]</f>
        <v>GFI .:. GFI-Docker Devbox Install</v>
      </c>
      <c r="B252" s="22" t="str">
        <f>IF(TabVMAzureEnvProjet[[#This Row],[Projet AzureDevOps]]&lt;&gt;"",TabVMAzureEnvProjet[[#This Row],[Projet AzureDevOps]],TabVMAzureEnvProjet[[#This Row],[VM]])</f>
        <v>GFI-Docker Devbox Install</v>
      </c>
      <c r="C252" s="13" t="s">
        <v>44</v>
      </c>
      <c r="E252" t="s">
        <v>4</v>
      </c>
      <c r="F252" t="s">
        <v>44</v>
      </c>
      <c r="G252" t="str">
        <f>LOOKUP(TabVMAzureEnvProjet[[#This Row],[Projet]],TabProjets[NomProj],TabProjets[SYGES])</f>
        <v>GFI/PROJET_INTERNE</v>
      </c>
      <c r="H252">
        <f>LOOKUP(TabVMAzureEnvProjet[[#This Row],[Code SYGES]],TabCONTRATSDI[Contrat SYGES],TabCONTRATSDI[Cost Center])</f>
        <v>305704</v>
      </c>
      <c r="I252" s="22" t="str">
        <f>LOOKUP(TabVMAzureEnvProjet[[#This Row],[Code SYGES]],TabCONTRATSDI[Contrat SYGES],TabCONTRATSDI[Client])</f>
        <v>GFI</v>
      </c>
      <c r="J252" t="s">
        <v>136</v>
      </c>
      <c r="K252" s="31">
        <v>0.2421122190961098</v>
      </c>
      <c r="L252" s="40" t="s">
        <v>137</v>
      </c>
    </row>
    <row r="253" spans="1:12" x14ac:dyDescent="0.3">
      <c r="A253" s="22" t="str">
        <f>TabVMAzureEnvProjet[[#This Row],[Client]] &amp; " .:. "  &amp; TabVMAzureEnvProjet[[#This Row],[Projet]]</f>
        <v>GFI .:. GFI-MINEREPORT</v>
      </c>
      <c r="B253" s="22" t="str">
        <f>IF(TabVMAzureEnvProjet[[#This Row],[Projet AzureDevOps]]&lt;&gt;"",TabVMAzureEnvProjet[[#This Row],[Projet AzureDevOps]],TabVMAzureEnvProjet[[#This Row],[VM]])</f>
        <v>GFI-MineReport</v>
      </c>
      <c r="C253" s="13" t="s">
        <v>46</v>
      </c>
      <c r="E253" t="s">
        <v>4</v>
      </c>
      <c r="F253" t="s">
        <v>45</v>
      </c>
      <c r="G253" t="str">
        <f>LOOKUP(TabVMAzureEnvProjet[[#This Row],[Projet]],TabProjets[NomProj],TabProjets[SYGES])</f>
        <v>GFI/PROJET_INTERNE</v>
      </c>
      <c r="H253">
        <f>LOOKUP(TabVMAzureEnvProjet[[#This Row],[Code SYGES]],TabCONTRATSDI[Contrat SYGES],TabCONTRATSDI[Cost Center])</f>
        <v>305704</v>
      </c>
      <c r="I253" s="22" t="str">
        <f>LOOKUP(TabVMAzureEnvProjet[[#This Row],[Code SYGES]],TabCONTRATSDI[Contrat SYGES],TabCONTRATSDI[Client])</f>
        <v>GFI</v>
      </c>
      <c r="J253" t="s">
        <v>136</v>
      </c>
      <c r="K253" s="31">
        <v>5.503729551952639</v>
      </c>
      <c r="L253" s="40" t="s">
        <v>137</v>
      </c>
    </row>
    <row r="254" spans="1:12" x14ac:dyDescent="0.3">
      <c r="A254" s="22" t="str">
        <f>TabVMAzureEnvProjet[[#This Row],[Client]] &amp; " .:. "  &amp; TabVMAzureEnvProjet[[#This Row],[Projet]]</f>
        <v>GFI .:. GFI-PMT</v>
      </c>
      <c r="B254" s="22" t="str">
        <f>IF(TabVMAzureEnvProjet[[#This Row],[Projet AzureDevOps]]&lt;&gt;"",TabVMAzureEnvProjet[[#This Row],[Projet AzureDevOps]],TabVMAzureEnvProjet[[#This Row],[VM]])</f>
        <v>GFI-PMT</v>
      </c>
      <c r="C254" s="13" t="s">
        <v>47</v>
      </c>
      <c r="E254" t="s">
        <v>4</v>
      </c>
      <c r="F254" t="s">
        <v>47</v>
      </c>
      <c r="G254" t="str">
        <f>LOOKUP(TabVMAzureEnvProjet[[#This Row],[Projet]],TabProjets[NomProj],TabProjets[SYGES])</f>
        <v>GFI/PROJET_INTERNE</v>
      </c>
      <c r="H254">
        <f>LOOKUP(TabVMAzureEnvProjet[[#This Row],[Code SYGES]],TabCONTRATSDI[Contrat SYGES],TabCONTRATSDI[Cost Center])</f>
        <v>305704</v>
      </c>
      <c r="I254" s="22" t="str">
        <f>LOOKUP(TabVMAzureEnvProjet[[#This Row],[Code SYGES]],TabCONTRATSDI[Contrat SYGES],TabCONTRATSDI[Client])</f>
        <v>GFI</v>
      </c>
      <c r="J254" t="s">
        <v>136</v>
      </c>
      <c r="K254" s="31">
        <v>5.957679673734722</v>
      </c>
      <c r="L254" s="40" t="s">
        <v>137</v>
      </c>
    </row>
    <row r="255" spans="1:12" x14ac:dyDescent="0.3">
      <c r="A255" s="22" t="str">
        <f>TabVMAzureEnvProjet[[#This Row],[Client]] &amp; " .:. "  &amp; TabVMAzureEnvProjet[[#This Row],[Projet]]</f>
        <v>GFI .:. GFI-REDMINEDOCKER</v>
      </c>
      <c r="B255" s="22" t="str">
        <f>IF(TabVMAzureEnvProjet[[#This Row],[Projet AzureDevOps]]&lt;&gt;"",TabVMAzureEnvProjet[[#This Row],[Projet AzureDevOps]],TabVMAzureEnvProjet[[#This Row],[VM]])</f>
        <v>GFI-RedmineDocker</v>
      </c>
      <c r="C255" s="13" t="s">
        <v>50</v>
      </c>
      <c r="E255" t="s">
        <v>4</v>
      </c>
      <c r="F255" t="s">
        <v>49</v>
      </c>
      <c r="G255" t="str">
        <f>LOOKUP(TabVMAzureEnvProjet[[#This Row],[Projet]],TabProjets[NomProj],TabProjets[SYGES])</f>
        <v>GFI/PROJET_INTERNE</v>
      </c>
      <c r="H255">
        <f>LOOKUP(TabVMAzureEnvProjet[[#This Row],[Code SYGES]],TabCONTRATSDI[Contrat SYGES],TabCONTRATSDI[Cost Center])</f>
        <v>305704</v>
      </c>
      <c r="I255" s="22" t="str">
        <f>LOOKUP(TabVMAzureEnvProjet[[#This Row],[Code SYGES]],TabCONTRATSDI[Contrat SYGES],TabCONTRATSDI[Client])</f>
        <v>GFI</v>
      </c>
      <c r="J255" t="s">
        <v>136</v>
      </c>
      <c r="K255" s="31">
        <v>1.3893328451363636</v>
      </c>
      <c r="L255" s="40" t="s">
        <v>137</v>
      </c>
    </row>
    <row r="256" spans="1:12" x14ac:dyDescent="0.3">
      <c r="A256" s="22" t="str">
        <f>TabVMAzureEnvProjet[[#This Row],[Client]] &amp; " .:. "  &amp; TabVMAzureEnvProjet[[#This Row],[Projet]]</f>
        <v>GFI .:. GFI-TENDER</v>
      </c>
      <c r="B256" s="22" t="str">
        <f>IF(TabVMAzureEnvProjet[[#This Row],[Projet AzureDevOps]]&lt;&gt;"",TabVMAzureEnvProjet[[#This Row],[Projet AzureDevOps]],TabVMAzureEnvProjet[[#This Row],[VM]])</f>
        <v>GFI-TENDER</v>
      </c>
      <c r="C256" s="13" t="s">
        <v>51</v>
      </c>
      <c r="E256" t="s">
        <v>4</v>
      </c>
      <c r="F256" t="s">
        <v>51</v>
      </c>
      <c r="G256" t="str">
        <f>LOOKUP(TabVMAzureEnvProjet[[#This Row],[Projet]],TabProjets[NomProj],TabProjets[SYGES])</f>
        <v>GFI/PROJET_INTERNE</v>
      </c>
      <c r="H256">
        <f>LOOKUP(TabVMAzureEnvProjet[[#This Row],[Code SYGES]],TabCONTRATSDI[Contrat SYGES],TabCONTRATSDI[Cost Center])</f>
        <v>305704</v>
      </c>
      <c r="I256" s="22" t="str">
        <f>LOOKUP(TabVMAzureEnvProjet[[#This Row],[Code SYGES]],TabCONTRATSDI[Contrat SYGES],TabCONTRATSDI[Client])</f>
        <v>GFI</v>
      </c>
      <c r="J256" t="s">
        <v>136</v>
      </c>
      <c r="K256" s="31">
        <v>3.0468407831705249</v>
      </c>
      <c r="L256" s="40" t="s">
        <v>137</v>
      </c>
    </row>
    <row r="257" spans="1:12" x14ac:dyDescent="0.3">
      <c r="A257" s="22" t="str">
        <f>TabVMAzureEnvProjet[[#This Row],[Client]] &amp; " .:. "  &amp; TabVMAzureEnvProjet[[#This Row],[Projet]]</f>
        <v>GFI .:. GFI-WAAC</v>
      </c>
      <c r="B257" s="22" t="str">
        <f>IF(TabVMAzureEnvProjet[[#This Row],[Projet AzureDevOps]]&lt;&gt;"",TabVMAzureEnvProjet[[#This Row],[Projet AzureDevOps]],TabVMAzureEnvProjet[[#This Row],[VM]])</f>
        <v>GFI-WAAC</v>
      </c>
      <c r="C257" s="13" t="s">
        <v>52</v>
      </c>
      <c r="E257" t="s">
        <v>4</v>
      </c>
      <c r="F257" t="s">
        <v>52</v>
      </c>
      <c r="G257" t="str">
        <f>LOOKUP(TabVMAzureEnvProjet[[#This Row],[Projet]],TabProjets[NomProj],TabProjets[SYGES])</f>
        <v>383928 - WAAC 1.0</v>
      </c>
      <c r="H257">
        <f>LOOKUP(TabVMAzureEnvProjet[[#This Row],[Code SYGES]],TabCONTRATSDI[Contrat SYGES],TabCONTRATSDI[Cost Center])</f>
        <v>100973</v>
      </c>
      <c r="I257" s="22" t="str">
        <f>LOOKUP(TabVMAzureEnvProjet[[#This Row],[Code SYGES]],TabCONTRATSDI[Contrat SYGES],TabCONTRATSDI[Client])</f>
        <v>GFI</v>
      </c>
      <c r="J257" t="s">
        <v>136</v>
      </c>
      <c r="K257" s="31">
        <v>29.930346557412129</v>
      </c>
      <c r="L257" s="40" t="s">
        <v>137</v>
      </c>
    </row>
    <row r="258" spans="1:12" x14ac:dyDescent="0.3">
      <c r="A258" s="22" t="str">
        <f>TabVMAzureEnvProjet[[#This Row],[Client]] &amp; " .:. "  &amp; TabVMAzureEnvProjet[[#This Row],[Projet]]</f>
        <v>GLI .:. GLI-APIBIOMETRIE</v>
      </c>
      <c r="B258" s="22" t="str">
        <f>IF(TabVMAzureEnvProjet[[#This Row],[Projet AzureDevOps]]&lt;&gt;"",TabVMAzureEnvProjet[[#This Row],[Projet AzureDevOps]],TabVMAzureEnvProjet[[#This Row],[VM]])</f>
        <v>GLI-APIBiometrie</v>
      </c>
      <c r="C258" s="13" t="s">
        <v>56</v>
      </c>
      <c r="E258" t="s">
        <v>4</v>
      </c>
      <c r="F258" t="s">
        <v>55</v>
      </c>
      <c r="G258" t="str">
        <f>LOOKUP(TabVMAzureEnvProjet[[#This Row],[Projet]],TabProjets[NomProj],TabProjets[SYGES])</f>
        <v>GLI/BIOMETRIE</v>
      </c>
      <c r="H258">
        <f>LOOKUP(TabVMAzureEnvProjet[[#This Row],[Code SYGES]],TabCONTRATSDI[Contrat SYGES],TabCONTRATSDI[Cost Center])</f>
        <v>305704</v>
      </c>
      <c r="I258" s="22" t="str">
        <f>LOOKUP(TabVMAzureEnvProjet[[#This Row],[Code SYGES]],TabCONTRATSDI[Contrat SYGES],TabCONTRATSDI[Client])</f>
        <v>GLI</v>
      </c>
      <c r="J258" t="s">
        <v>136</v>
      </c>
      <c r="K258" s="31">
        <v>8.5590075737964888</v>
      </c>
      <c r="L258" s="40" t="s">
        <v>137</v>
      </c>
    </row>
    <row r="259" spans="1:12" x14ac:dyDescent="0.3">
      <c r="A259" s="22" t="str">
        <f>TabVMAzureEnvProjet[[#This Row],[Client]] &amp; " .:. "  &amp; TabVMAzureEnvProjet[[#This Row],[Projet]]</f>
        <v>LAPOSTE .:. LAPOSTE-F4N-MUSEE</v>
      </c>
      <c r="B259" s="22" t="str">
        <f>IF(TabVMAzureEnvProjet[[#This Row],[Projet AzureDevOps]]&lt;&gt;"",TabVMAzureEnvProjet[[#This Row],[Projet AzureDevOps]],TabVMAzureEnvProjet[[#This Row],[VM]])</f>
        <v>LAPOSTE-F4N-Musee</v>
      </c>
      <c r="C259" s="13" t="s">
        <v>96</v>
      </c>
      <c r="E259" t="s">
        <v>4</v>
      </c>
      <c r="F259" t="s">
        <v>95</v>
      </c>
      <c r="G259" t="str">
        <f>LOOKUP(TabVMAzureEnvProjet[[#This Row],[Projet]],TabProjets[NomProj],TabProjets[SYGES])</f>
        <v>LA-POSTE/CDC_DRUPAL</v>
      </c>
      <c r="H259">
        <f>LOOKUP(TabVMAzureEnvProjet[[#This Row],[Code SYGES]],TabCONTRATSDI[Contrat SYGES],TabCONTRATSDI[Cost Center])</f>
        <v>305704</v>
      </c>
      <c r="I259" s="22" t="str">
        <f>LOOKUP(TabVMAzureEnvProjet[[#This Row],[Code SYGES]],TabCONTRATSDI[Contrat SYGES],TabCONTRATSDI[Client])</f>
        <v>LAPOSTE</v>
      </c>
      <c r="J259" t="s">
        <v>136</v>
      </c>
      <c r="K259" s="31">
        <v>2.9736568623982915</v>
      </c>
      <c r="L259" s="40" t="s">
        <v>137</v>
      </c>
    </row>
    <row r="260" spans="1:12" x14ac:dyDescent="0.3">
      <c r="A260" s="22" t="str">
        <f>TabVMAzureEnvProjet[[#This Row],[Client]] &amp; " .:. "  &amp; TabVMAzureEnvProjet[[#This Row],[Projet]]</f>
        <v>LAPOSTE .:. LAPOSTE-LPK-PortailVoyage</v>
      </c>
      <c r="B260" s="22" t="str">
        <f>IF(TabVMAzureEnvProjet[[#This Row],[Projet AzureDevOps]]&lt;&gt;"",TabVMAzureEnvProjet[[#This Row],[Projet AzureDevOps]],TabVMAzureEnvProjet[[#This Row],[VM]])</f>
        <v>LAPOSTE-LPK-PortailVoyage</v>
      </c>
      <c r="C260" s="13" t="s">
        <v>97</v>
      </c>
      <c r="E260" t="s">
        <v>4</v>
      </c>
      <c r="F260" t="s">
        <v>97</v>
      </c>
      <c r="G260" t="str">
        <f>LOOKUP(TabVMAzureEnvProjet[[#This Row],[Projet]],TabProjets[NomProj],TabProjets[SYGES])</f>
        <v>LA-POSTE/CDC_DRUPAL</v>
      </c>
      <c r="H260">
        <f>LOOKUP(TabVMAzureEnvProjet[[#This Row],[Code SYGES]],TabCONTRATSDI[Contrat SYGES],TabCONTRATSDI[Cost Center])</f>
        <v>305704</v>
      </c>
      <c r="I260" s="22" t="str">
        <f>LOOKUP(TabVMAzureEnvProjet[[#This Row],[Code SYGES]],TabCONTRATSDI[Contrat SYGES],TabCONTRATSDI[Client])</f>
        <v>LAPOSTE</v>
      </c>
      <c r="J260" t="s">
        <v>136</v>
      </c>
      <c r="K260" s="31">
        <v>1.20678791804009</v>
      </c>
      <c r="L260" s="40" t="s">
        <v>137</v>
      </c>
    </row>
    <row r="261" spans="1:12" x14ac:dyDescent="0.3">
      <c r="A261" s="22" t="str">
        <f>TabVMAzureEnvProjet[[#This Row],[Client]] &amp; " .:. "  &amp; TabVMAzureEnvProjet[[#This Row],[Projet]]</f>
        <v>LAPOSTE .:. LAPOSTE-LPM-IntranetDHA</v>
      </c>
      <c r="B261" s="22" t="str">
        <f>IF(TabVMAzureEnvProjet[[#This Row],[Projet AzureDevOps]]&lt;&gt;"",TabVMAzureEnvProjet[[#This Row],[Projet AzureDevOps]],TabVMAzureEnvProjet[[#This Row],[VM]])</f>
        <v>LAPOSTE-LPM-IntranetDHA</v>
      </c>
      <c r="C261" s="13" t="s">
        <v>98</v>
      </c>
      <c r="E261" t="s">
        <v>4</v>
      </c>
      <c r="F261" t="s">
        <v>98</v>
      </c>
      <c r="G261" t="str">
        <f>LOOKUP(TabVMAzureEnvProjet[[#This Row],[Projet]],TabProjets[NomProj],TabProjets[SYGES])</f>
        <v>LA-POSTE/CDC_DRUPAL</v>
      </c>
      <c r="H261">
        <f>LOOKUP(TabVMAzureEnvProjet[[#This Row],[Code SYGES]],TabCONTRATSDI[Contrat SYGES],TabCONTRATSDI[Cost Center])</f>
        <v>305704</v>
      </c>
      <c r="I261" s="22" t="str">
        <f>LOOKUP(TabVMAzureEnvProjet[[#This Row],[Code SYGES]],TabCONTRATSDI[Contrat SYGES],TabCONTRATSDI[Client])</f>
        <v>LAPOSTE</v>
      </c>
      <c r="J261" t="s">
        <v>136</v>
      </c>
      <c r="K261" s="31">
        <v>1.20678791804009</v>
      </c>
      <c r="L261" s="40" t="s">
        <v>137</v>
      </c>
    </row>
    <row r="262" spans="1:12" x14ac:dyDescent="0.3">
      <c r="A262" s="22" t="str">
        <f>TabVMAzureEnvProjet[[#This Row],[Client]] &amp; " .:. "  &amp; TabVMAzureEnvProjet[[#This Row],[Projet]]</f>
        <v>MENESR .:. MENJ-APAE</v>
      </c>
      <c r="B262" s="22" t="str">
        <f>IF(TabVMAzureEnvProjet[[#This Row],[Projet AzureDevOps]]&lt;&gt;"",TabVMAzureEnvProjet[[#This Row],[Projet AzureDevOps]],TabVMAzureEnvProjet[[#This Row],[VM]])</f>
        <v>MENJ-APAE</v>
      </c>
      <c r="C262" s="13" t="s">
        <v>58</v>
      </c>
      <c r="E262" t="s">
        <v>4</v>
      </c>
      <c r="F262" t="s">
        <v>58</v>
      </c>
      <c r="G262" t="str">
        <f>LOOKUP(TabVMAzureEnvProjet[[#This Row],[Projet]],TabProjets[NomProj],TabProjets[SYGES])</f>
        <v>MENESR/TMA</v>
      </c>
      <c r="H262">
        <f>LOOKUP(TabVMAzureEnvProjet[[#This Row],[Code SYGES]],TabCONTRATSDI[Contrat SYGES],TabCONTRATSDI[Cost Center])</f>
        <v>305704</v>
      </c>
      <c r="I262" s="22" t="str">
        <f>LOOKUP(TabVMAzureEnvProjet[[#This Row],[Code SYGES]],TabCONTRATSDI[Contrat SYGES],TabCONTRATSDI[Client])</f>
        <v>MENESR</v>
      </c>
      <c r="J262" t="s">
        <v>136</v>
      </c>
      <c r="K262" s="31">
        <v>1.2486073013385091</v>
      </c>
      <c r="L262" s="40" t="s">
        <v>137</v>
      </c>
    </row>
    <row r="263" spans="1:12" x14ac:dyDescent="0.3">
      <c r="A263" s="22" t="str">
        <f>TabVMAzureEnvProjet[[#This Row],[Client]] &amp; " .:. "  &amp; TabVMAzureEnvProjet[[#This Row],[Projet]]</f>
        <v>MENESR .:. MENJ-BI</v>
      </c>
      <c r="B263" s="22" t="str">
        <f>IF(TabVMAzureEnvProjet[[#This Row],[Projet AzureDevOps]]&lt;&gt;"",TabVMAzureEnvProjet[[#This Row],[Projet AzureDevOps]],TabVMAzureEnvProjet[[#This Row],[VM]])</f>
        <v>MENJ-BI</v>
      </c>
      <c r="C263" s="13" t="s">
        <v>65</v>
      </c>
      <c r="E263" t="s">
        <v>4</v>
      </c>
      <c r="F263" t="s">
        <v>65</v>
      </c>
      <c r="G263" t="str">
        <f>LOOKUP(TabVMAzureEnvProjet[[#This Row],[Projet]],TabProjets[NomProj],TabProjets[SYGES])</f>
        <v>MENESR/TMA</v>
      </c>
      <c r="H263">
        <f>LOOKUP(TabVMAzureEnvProjet[[#This Row],[Code SYGES]],TabCONTRATSDI[Contrat SYGES],TabCONTRATSDI[Cost Center])</f>
        <v>305704</v>
      </c>
      <c r="I263" s="22" t="str">
        <f>LOOKUP(TabVMAzureEnvProjet[[#This Row],[Code SYGES]],TabCONTRATSDI[Contrat SYGES],TabCONTRATSDI[Client])</f>
        <v>MENESR</v>
      </c>
      <c r="J263" t="s">
        <v>136</v>
      </c>
      <c r="K263" s="31">
        <v>4.6001321628260863</v>
      </c>
      <c r="L263" s="40" t="s">
        <v>137</v>
      </c>
    </row>
    <row r="264" spans="1:12" x14ac:dyDescent="0.3">
      <c r="A264" s="22" t="str">
        <f>TabVMAzureEnvProjet[[#This Row],[Client]] &amp; " .:. "  &amp; TabVMAzureEnvProjet[[#This Row],[Projet]]</f>
        <v>MENESR .:. MENJ-BNIE</v>
      </c>
      <c r="B264" s="22" t="str">
        <f>IF(TabVMAzureEnvProjet[[#This Row],[Projet AzureDevOps]]&lt;&gt;"",TabVMAzureEnvProjet[[#This Row],[Projet AzureDevOps]],TabVMAzureEnvProjet[[#This Row],[VM]])</f>
        <v>MENJ-BNIE-BDD</v>
      </c>
      <c r="C264" s="13" t="s">
        <v>60</v>
      </c>
      <c r="E264" t="s">
        <v>4</v>
      </c>
      <c r="F264" t="s">
        <v>59</v>
      </c>
      <c r="G264" t="str">
        <f>LOOKUP(TabVMAzureEnvProjet[[#This Row],[Projet]],TabProjets[NomProj],TabProjets[SYGES])</f>
        <v>MENESR/TMA</v>
      </c>
      <c r="H264">
        <f>LOOKUP(TabVMAzureEnvProjet[[#This Row],[Code SYGES]],TabCONTRATSDI[Contrat SYGES],TabCONTRATSDI[Cost Center])</f>
        <v>305704</v>
      </c>
      <c r="I264" s="22" t="str">
        <f>LOOKUP(TabVMAzureEnvProjet[[#This Row],[Code SYGES]],TabCONTRATSDI[Contrat SYGES],TabCONTRATSDI[Client])</f>
        <v>MENESR</v>
      </c>
      <c r="J264" t="s">
        <v>136</v>
      </c>
      <c r="K264" s="31">
        <v>4.2058351202981363</v>
      </c>
      <c r="L264" s="40" t="s">
        <v>137</v>
      </c>
    </row>
    <row r="265" spans="1:12" x14ac:dyDescent="0.3">
      <c r="A265" s="22" t="str">
        <f>TabVMAzureEnvProjet[[#This Row],[Client]] &amp; " .:. "  &amp; TabVMAzureEnvProjet[[#This Row],[Projet]]</f>
        <v>MENESR .:. MENJ-BNIE</v>
      </c>
      <c r="B265" s="22" t="str">
        <f>IF(TabVMAzureEnvProjet[[#This Row],[Projet AzureDevOps]]&lt;&gt;"",TabVMAzureEnvProjet[[#This Row],[Projet AzureDevOps]],TabVMAzureEnvProjet[[#This Row],[VM]])</f>
        <v>MENJ-BNIE-Webservices</v>
      </c>
      <c r="C265" s="13" t="s">
        <v>61</v>
      </c>
      <c r="E265" t="s">
        <v>4</v>
      </c>
      <c r="F265" t="s">
        <v>59</v>
      </c>
      <c r="G265" t="str">
        <f>LOOKUP(TabVMAzureEnvProjet[[#This Row],[Projet]],TabProjets[NomProj],TabProjets[SYGES])</f>
        <v>MENESR/TMA</v>
      </c>
      <c r="H265">
        <f>LOOKUP(TabVMAzureEnvProjet[[#This Row],[Code SYGES]],TabCONTRATSDI[Contrat SYGES],TabCONTRATSDI[Cost Center])</f>
        <v>305704</v>
      </c>
      <c r="I265" s="22" t="str">
        <f>LOOKUP(TabVMAzureEnvProjet[[#This Row],[Code SYGES]],TabCONTRATSDI[Contrat SYGES],TabCONTRATSDI[Client])</f>
        <v>MENESR</v>
      </c>
      <c r="J265" t="s">
        <v>136</v>
      </c>
      <c r="K265" s="31">
        <v>0.3285808687732919</v>
      </c>
      <c r="L265" s="40" t="s">
        <v>137</v>
      </c>
    </row>
    <row r="266" spans="1:12" x14ac:dyDescent="0.3">
      <c r="A266" s="22" t="str">
        <f>TabVMAzureEnvProjet[[#This Row],[Client]] &amp; " .:. "  &amp; TabVMAzureEnvProjet[[#This Row],[Projet]]</f>
        <v>MENESR .:. MENJ-RNIE</v>
      </c>
      <c r="B266" s="22" t="str">
        <f>IF(TabVMAzureEnvProjet[[#This Row],[Projet AzureDevOps]]&lt;&gt;"",TabVMAzureEnvProjet[[#This Row],[Projet AzureDevOps]],TabVMAzureEnvProjet[[#This Row],[VM]])</f>
        <v>MENJ-RNIE-BDD</v>
      </c>
      <c r="C266" s="13" t="s">
        <v>63</v>
      </c>
      <c r="E266" t="s">
        <v>4</v>
      </c>
      <c r="F266" t="s">
        <v>62</v>
      </c>
      <c r="G266" t="str">
        <f>LOOKUP(TabVMAzureEnvProjet[[#This Row],[Projet]],TabProjets[NomProj],TabProjets[SYGES])</f>
        <v>MENESR/TMA</v>
      </c>
      <c r="H266">
        <f>LOOKUP(TabVMAzureEnvProjet[[#This Row],[Code SYGES]],TabCONTRATSDI[Contrat SYGES],TabCONTRATSDI[Cost Center])</f>
        <v>305704</v>
      </c>
      <c r="I266" s="22" t="str">
        <f>LOOKUP(TabVMAzureEnvProjet[[#This Row],[Code SYGES]],TabCONTRATSDI[Contrat SYGES],TabCONTRATSDI[Client])</f>
        <v>MENESR</v>
      </c>
      <c r="J266" t="s">
        <v>136</v>
      </c>
      <c r="K266" s="31">
        <v>1.2486073013385091</v>
      </c>
      <c r="L266" s="40" t="s">
        <v>137</v>
      </c>
    </row>
    <row r="267" spans="1:12" x14ac:dyDescent="0.3">
      <c r="A267" s="22" t="str">
        <f>TabVMAzureEnvProjet[[#This Row],[Client]] &amp; " .:. "  &amp; TabVMAzureEnvProjet[[#This Row],[Projet]]</f>
        <v>MENESR .:. MENJ-RNIE</v>
      </c>
      <c r="B267" s="22" t="str">
        <f>IF(TabVMAzureEnvProjet[[#This Row],[Projet AzureDevOps]]&lt;&gt;"",TabVMAzureEnvProjet[[#This Row],[Projet AzureDevOps]],TabVMAzureEnvProjet[[#This Row],[VM]])</f>
        <v>MENJ-RNIE-Webservices</v>
      </c>
      <c r="C267" s="13" t="s">
        <v>64</v>
      </c>
      <c r="E267" t="s">
        <v>4</v>
      </c>
      <c r="F267" t="s">
        <v>62</v>
      </c>
      <c r="G267" t="str">
        <f>LOOKUP(TabVMAzureEnvProjet[[#This Row],[Projet]],TabProjets[NomProj],TabProjets[SYGES])</f>
        <v>MENESR/TMA</v>
      </c>
      <c r="H267">
        <f>LOOKUP(TabVMAzureEnvProjet[[#This Row],[Code SYGES]],TabCONTRATSDI[Contrat SYGES],TabCONTRATSDI[Cost Center])</f>
        <v>305704</v>
      </c>
      <c r="I267" s="22" t="str">
        <f>LOOKUP(TabVMAzureEnvProjet[[#This Row],[Code SYGES]],TabCONTRATSDI[Contrat SYGES],TabCONTRATSDI[Client])</f>
        <v>MENESR</v>
      </c>
      <c r="J267" t="s">
        <v>136</v>
      </c>
      <c r="K267" s="31">
        <v>2.0595255288695267</v>
      </c>
      <c r="L267" s="40" t="s">
        <v>137</v>
      </c>
    </row>
    <row r="268" spans="1:12" x14ac:dyDescent="0.3">
      <c r="A268" s="22" t="str">
        <f>TabVMAzureEnvProjet[[#This Row],[Client]] &amp; " .:. "  &amp; TabVMAzureEnvProjet[[#This Row],[Projet]]</f>
        <v>AFB .:. OFB-CMONSPOT</v>
      </c>
      <c r="B268" s="22" t="str">
        <f>IF(TabVMAzureEnvProjet[[#This Row],[Projet AzureDevOps]]&lt;&gt;"",TabVMAzureEnvProjet[[#This Row],[Projet AzureDevOps]],TabVMAzureEnvProjet[[#This Row],[VM]])</f>
        <v>OFB-CMONSPOT</v>
      </c>
      <c r="C268" s="13" t="s">
        <v>13</v>
      </c>
      <c r="E268" t="s">
        <v>4</v>
      </c>
      <c r="F268" t="s">
        <v>13</v>
      </c>
      <c r="G268" t="str">
        <f>LOOKUP(TabVMAzureEnvProjet[[#This Row],[Projet]],TabProjets[NomProj],TabProjets[SYGES])</f>
        <v>AFB/OFB_LOT2</v>
      </c>
      <c r="H268">
        <f>LOOKUP(TabVMAzureEnvProjet[[#This Row],[Code SYGES]],TabCONTRATSDI[Contrat SYGES],TabCONTRATSDI[Cost Center])</f>
        <v>305704</v>
      </c>
      <c r="I268" s="22" t="str">
        <f>LOOKUP(TabVMAzureEnvProjet[[#This Row],[Code SYGES]],TabCONTRATSDI[Contrat SYGES],TabCONTRATSDI[Client])</f>
        <v>AFB</v>
      </c>
      <c r="J268" t="s">
        <v>136</v>
      </c>
      <c r="K268" s="31">
        <v>1.1171749538291924</v>
      </c>
      <c r="L268" s="40" t="s">
        <v>137</v>
      </c>
    </row>
    <row r="269" spans="1:12" x14ac:dyDescent="0.3">
      <c r="A269" s="22" t="str">
        <f>TabVMAzureEnvProjet[[#This Row],[Client]] &amp; " .:. "  &amp; TabVMAzureEnvProjet[[#This Row],[Projet]]</f>
        <v>OFB .:. OFB-NATUREFRANCE</v>
      </c>
      <c r="B269" s="22" t="str">
        <f>IF(TabVMAzureEnvProjet[[#This Row],[Projet AzureDevOps]]&lt;&gt;"",TabVMAzureEnvProjet[[#This Row],[Projet AzureDevOps]],TabVMAzureEnvProjet[[#This Row],[VM]])</f>
        <v>OFB-NatureFrance</v>
      </c>
      <c r="C269" s="13" t="s">
        <v>93</v>
      </c>
      <c r="E269" t="s">
        <v>4</v>
      </c>
      <c r="F269" t="s">
        <v>92</v>
      </c>
      <c r="G269" t="str">
        <f>LOOKUP(TabVMAzureEnvProjet[[#This Row],[Projet]],TabProjets[NomProj],TabProjets[SYGES])</f>
        <v>AFB OFB_LOT2 -9-1 NATURE FRANCE</v>
      </c>
      <c r="H269">
        <f>LOOKUP(TabVMAzureEnvProjet[[#This Row],[Code SYGES]],TabCONTRATSDI[Contrat SYGES],TabCONTRATSDI[Cost Center])</f>
        <v>305704</v>
      </c>
      <c r="I269" s="22" t="str">
        <f>LOOKUP(TabVMAzureEnvProjet[[#This Row],[Code SYGES]],TabCONTRATSDI[Contrat SYGES],TabCONTRATSDI[Client])</f>
        <v>OFB</v>
      </c>
      <c r="J269" t="s">
        <v>136</v>
      </c>
      <c r="K269" s="31">
        <v>8.8536741727016874</v>
      </c>
      <c r="L269" s="40" t="s">
        <v>137</v>
      </c>
    </row>
    <row r="270" spans="1:12" x14ac:dyDescent="0.3">
      <c r="A270" s="22" t="str">
        <f>TabVMAzureEnvProjet[[#This Row],[Client]] &amp; " .:. "  &amp; TabVMAzureEnvProjet[[#This Row],[Projet]]</f>
        <v>AFB .:. OFB-SISPEA</v>
      </c>
      <c r="B270" s="22" t="str">
        <f>IF(TabVMAzureEnvProjet[[#This Row],[Projet AzureDevOps]]&lt;&gt;"",TabVMAzureEnvProjet[[#This Row],[Projet AzureDevOps]],TabVMAzureEnvProjet[[#This Row],[VM]])</f>
        <v>OFB-SISPEA</v>
      </c>
      <c r="C270" s="13" t="s">
        <v>10</v>
      </c>
      <c r="E270" t="s">
        <v>4</v>
      </c>
      <c r="F270" t="s">
        <v>10</v>
      </c>
      <c r="G270" t="str">
        <f>LOOKUP(TabVMAzureEnvProjet[[#This Row],[Projet]],TabProjets[NomProj],TabProjets[SYGES])</f>
        <v>AFB/OFB_LOT2</v>
      </c>
      <c r="H270">
        <f>LOOKUP(TabVMAzureEnvProjet[[#This Row],[Code SYGES]],TabCONTRATSDI[Contrat SYGES],TabCONTRATSDI[Cost Center])</f>
        <v>305704</v>
      </c>
      <c r="I270" s="22" t="str">
        <f>LOOKUP(TabVMAzureEnvProjet[[#This Row],[Code SYGES]],TabCONTRATSDI[Contrat SYGES],TabCONTRATSDI[Client])</f>
        <v>AFB</v>
      </c>
      <c r="J270" t="s">
        <v>136</v>
      </c>
      <c r="K270" s="31">
        <v>5.7173071166552791</v>
      </c>
      <c r="L270" s="40" t="s">
        <v>137</v>
      </c>
    </row>
    <row r="271" spans="1:12" x14ac:dyDescent="0.3">
      <c r="A271" s="22" t="str">
        <f>TabVMAzureEnvProjet[[#This Row],[Client]] &amp; " .:. "  &amp; TabVMAzureEnvProjet[[#This Row],[Projet]]</f>
        <v>PCM .:. PCM-ALS</v>
      </c>
      <c r="B271" s="22" t="str">
        <f>IF(TabVMAzureEnvProjet[[#This Row],[Projet AzureDevOps]]&lt;&gt;"",TabVMAzureEnvProjet[[#This Row],[Projet AzureDevOps]],TabVMAzureEnvProjet[[#This Row],[VM]])</f>
        <v>PCM-ALS</v>
      </c>
      <c r="C271" s="13" t="s">
        <v>85</v>
      </c>
      <c r="E271" t="s">
        <v>4</v>
      </c>
      <c r="F271" t="s">
        <v>85</v>
      </c>
      <c r="G271" t="str">
        <f>LOOKUP(TabVMAzureEnvProjet[[#This Row],[Projet]],TabProjets[NomProj],TabProjets[SYGES])</f>
        <v>PCM/WEB</v>
      </c>
      <c r="H271">
        <f>LOOKUP(TabVMAzureEnvProjet[[#This Row],[Code SYGES]],TabCONTRATSDI[Contrat SYGES],TabCONTRATSDI[Cost Center])</f>
        <v>305704</v>
      </c>
      <c r="I271" s="22" t="str">
        <f>LOOKUP(TabVMAzureEnvProjet[[#This Row],[Code SYGES]],TabCONTRATSDI[Contrat SYGES],TabCONTRATSDI[Client])</f>
        <v>PCM</v>
      </c>
      <c r="J271" t="s">
        <v>136</v>
      </c>
      <c r="K271" s="31">
        <v>8.3532779034635478</v>
      </c>
      <c r="L271" s="40" t="s">
        <v>137</v>
      </c>
    </row>
    <row r="272" spans="1:12" x14ac:dyDescent="0.3">
      <c r="A272" s="22" t="str">
        <f>TabVMAzureEnvProjet[[#This Row],[Client]] &amp; " .:. "  &amp; TabVMAzureEnvProjet[[#This Row],[Projet]]</f>
        <v>PCM .:. PCM-WEB</v>
      </c>
      <c r="B272" s="22" t="str">
        <f>IF(TabVMAzureEnvProjet[[#This Row],[Projet AzureDevOps]]&lt;&gt;"",TabVMAzureEnvProjet[[#This Row],[Projet AzureDevOps]],TabVMAzureEnvProjet[[#This Row],[VM]])</f>
        <v>PCM-Web</v>
      </c>
      <c r="C272" s="13" t="s">
        <v>87</v>
      </c>
      <c r="E272" t="s">
        <v>4</v>
      </c>
      <c r="F272" t="s">
        <v>86</v>
      </c>
      <c r="G272" t="str">
        <f>LOOKUP(TabVMAzureEnvProjet[[#This Row],[Projet]],TabProjets[NomProj],TabProjets[SYGES])</f>
        <v>PCM/WEB</v>
      </c>
      <c r="H272">
        <f>LOOKUP(TabVMAzureEnvProjet[[#This Row],[Code SYGES]],TabCONTRATSDI[Contrat SYGES],TabCONTRATSDI[Cost Center])</f>
        <v>305704</v>
      </c>
      <c r="I272" s="22" t="str">
        <f>LOOKUP(TabVMAzureEnvProjet[[#This Row],[Code SYGES]],TabCONTRATSDI[Contrat SYGES],TabCONTRATSDI[Client])</f>
        <v>PCM</v>
      </c>
      <c r="J272" t="s">
        <v>136</v>
      </c>
      <c r="K272" s="31">
        <v>3.5833569188998444</v>
      </c>
      <c r="L272" s="40" t="s">
        <v>137</v>
      </c>
    </row>
    <row r="273" spans="1:12" x14ac:dyDescent="0.3">
      <c r="A273" s="22" t="str">
        <f>TabVMAzureEnvProjet[[#This Row],[Client]] &amp; " .:. "  &amp; TabVMAzureEnvProjet[[#This Row],[Projet]]</f>
        <v>SAFT .:. SAFT-PDM</v>
      </c>
      <c r="B273" s="22" t="str">
        <f>IF(TabVMAzureEnvProjet[[#This Row],[Projet AzureDevOps]]&lt;&gt;"",TabVMAzureEnvProjet[[#This Row],[Projet AzureDevOps]],TabVMAzureEnvProjet[[#This Row],[VM]])</f>
        <v>SAFT-PDM</v>
      </c>
      <c r="C273" s="13" t="s">
        <v>106</v>
      </c>
      <c r="E273" t="s">
        <v>4</v>
      </c>
      <c r="F273" t="s">
        <v>106</v>
      </c>
      <c r="G273" t="str">
        <f>LOOKUP(TabVMAzureEnvProjet[[#This Row],[Projet]],TabProjets[NomProj],TabProjets[SYGES])</f>
        <v>SAFT/TMA</v>
      </c>
      <c r="H273">
        <f>LOOKUP(TabVMAzureEnvProjet[[#This Row],[Code SYGES]],TabCONTRATSDI[Contrat SYGES],TabCONTRATSDI[Cost Center])</f>
        <v>305704</v>
      </c>
      <c r="I273" s="22" t="str">
        <f>LOOKUP(TabVMAzureEnvProjet[[#This Row],[Code SYGES]],TabCONTRATSDI[Contrat SYGES],TabCONTRATSDI[Client])</f>
        <v>SAFT</v>
      </c>
      <c r="J273" t="s">
        <v>136</v>
      </c>
      <c r="K273" s="31">
        <v>3.0468407831705249</v>
      </c>
      <c r="L273" s="40" t="s">
        <v>137</v>
      </c>
    </row>
    <row r="274" spans="1:12" x14ac:dyDescent="0.3">
      <c r="A274" s="22" t="str">
        <f>TabVMAzureEnvProjet[[#This Row],[Client]] &amp; " .:. "  &amp; TabVMAzureEnvProjet[[#This Row],[Projet]]</f>
        <v>SPC .:. SPC-BUILD</v>
      </c>
      <c r="B274" s="22" t="str">
        <f>IF(TabVMAzureEnvProjet[[#This Row],[Projet AzureDevOps]]&lt;&gt;"",TabVMAzureEnvProjet[[#This Row],[Projet AzureDevOps]],TabVMAzureEnvProjet[[#This Row],[VM]])</f>
        <v>SPC-BUILD</v>
      </c>
      <c r="C274" s="13" t="s">
        <v>81</v>
      </c>
      <c r="E274" t="s">
        <v>4</v>
      </c>
      <c r="F274" t="s">
        <v>81</v>
      </c>
      <c r="G274" t="str">
        <f>LOOKUP(TabVMAzureEnvProjet[[#This Row],[Projet]],TabProjets[NomProj],TabProjets[SYGES])</f>
        <v>SPC/BUILD</v>
      </c>
      <c r="H274">
        <f>LOOKUP(TabVMAzureEnvProjet[[#This Row],[Code SYGES]],TabCONTRATSDI[Contrat SYGES],TabCONTRATSDI[Cost Center])</f>
        <v>305704</v>
      </c>
      <c r="I274" s="22" t="str">
        <f>LOOKUP(TabVMAzureEnvProjet[[#This Row],[Code SYGES]],TabCONTRATSDI[Contrat SYGES],TabCONTRATSDI[Client])</f>
        <v>SPC</v>
      </c>
      <c r="J274" t="s">
        <v>136</v>
      </c>
      <c r="K274" s="31">
        <v>40.483507544746864</v>
      </c>
      <c r="L274" s="40" t="s">
        <v>137</v>
      </c>
    </row>
    <row r="275" spans="1:12" x14ac:dyDescent="0.3">
      <c r="A275" s="22" t="str">
        <f>TabVMAzureEnvProjet[[#This Row],[Client]] &amp; " .:. "  &amp; TabVMAzureEnvProjet[[#This Row],[Projet]]</f>
        <v>SPC .:. SPC-WEB</v>
      </c>
      <c r="B275" s="22" t="str">
        <f>IF(TabVMAzureEnvProjet[[#This Row],[Projet AzureDevOps]]&lt;&gt;"",TabVMAzureEnvProjet[[#This Row],[Projet AzureDevOps]],TabVMAzureEnvProjet[[#This Row],[VM]])</f>
        <v>SPC-WEB</v>
      </c>
      <c r="C275" s="13" t="s">
        <v>83</v>
      </c>
      <c r="E275" t="s">
        <v>4</v>
      </c>
      <c r="F275" t="s">
        <v>83</v>
      </c>
      <c r="G275" t="str">
        <f>LOOKUP(TabVMAzureEnvProjet[[#This Row],[Projet]],TabProjets[NomProj],TabProjets[SYGES])</f>
        <v>SPC/BUILD-0-1-SITE-WEB</v>
      </c>
      <c r="H275">
        <f>LOOKUP(TabVMAzureEnvProjet[[#This Row],[Code SYGES]],TabCONTRATSDI[Contrat SYGES],TabCONTRATSDI[Cost Center])</f>
        <v>305704</v>
      </c>
      <c r="I275" s="22" t="str">
        <f>LOOKUP(TabVMAzureEnvProjet[[#This Row],[Code SYGES]],TabCONTRATSDI[Contrat SYGES],TabCONTRATSDI[Client])</f>
        <v>SPC</v>
      </c>
      <c r="J275" t="s">
        <v>136</v>
      </c>
      <c r="K275" s="31">
        <v>2.6955160392700224</v>
      </c>
      <c r="L275" s="40" t="s">
        <v>137</v>
      </c>
    </row>
    <row r="276" spans="1:12" x14ac:dyDescent="0.3">
      <c r="A276" s="22" t="str">
        <f>TabVMAzureEnvProjet[[#This Row],[Client]] &amp; " .:. "  &amp; TabVMAzureEnvProjet[[#This Row],[Projet]]</f>
        <v>ALM .:. ALM-ATOUT</v>
      </c>
      <c r="B276" s="22" t="str">
        <f>IF(TabVMAzureEnvProjet[[#This Row],[Projet AzureDevOps]]&lt;&gt;"",TabVMAzureEnvProjet[[#This Row],[Projet AzureDevOps]],TabVMAzureEnvProjet[[#This Row],[VM]])</f>
        <v>ALM-ATOUT-VM</v>
      </c>
      <c r="D276" t="s">
        <v>16</v>
      </c>
      <c r="E276" t="s">
        <v>8</v>
      </c>
      <c r="F276" t="s">
        <v>15</v>
      </c>
      <c r="G276" t="str">
        <f>LOOKUP(TabVMAzureEnvProjet[[#This Row],[Projet]],TabProjets[NomProj],TabProjets[SYGES])</f>
        <v>ALM/TMA_ATOUT</v>
      </c>
      <c r="H276">
        <f>LOOKUP(TabVMAzureEnvProjet[[#This Row],[Code SYGES]],TabCONTRATSDI[Contrat SYGES],TabCONTRATSDI[Cost Center])</f>
        <v>305704</v>
      </c>
      <c r="I276" s="22" t="str">
        <f>LOOKUP(TabVMAzureEnvProjet[[#This Row],[Code SYGES]],TabCONTRATSDI[Contrat SYGES],TabCONTRATSDI[Client])</f>
        <v>ALM</v>
      </c>
      <c r="J276" t="s">
        <v>136</v>
      </c>
      <c r="K276" s="31">
        <v>69.62</v>
      </c>
      <c r="L276" s="40" t="s">
        <v>138</v>
      </c>
    </row>
    <row r="277" spans="1:12" x14ac:dyDescent="0.3">
      <c r="A277" s="22" t="str">
        <f>TabVMAzureEnvProjet[[#This Row],[Client]] &amp; " .:. "  &amp; TabVMAzureEnvProjet[[#This Row],[Projet]]</f>
        <v>BRGM .:. BRGM-ORRM</v>
      </c>
      <c r="B277" s="22" t="str">
        <f>IF(TabVMAzureEnvProjet[[#This Row],[Projet AzureDevOps]]&lt;&gt;"",TabVMAzureEnvProjet[[#This Row],[Projet AzureDevOps]],TabVMAzureEnvProjet[[#This Row],[VM]])</f>
        <v>BRGM-ORRM-VM</v>
      </c>
      <c r="D277" t="s">
        <v>20</v>
      </c>
      <c r="E277" t="s">
        <v>19</v>
      </c>
      <c r="F277" t="s">
        <v>18</v>
      </c>
      <c r="G277" t="str">
        <f>LOOKUP(TabVMAzureEnvProjet[[#This Row],[Projet]],TabProjets[NomProj],TabProjets[SYGES])</f>
        <v>BRGM/TMA-5-1-ORRM-LOT1</v>
      </c>
      <c r="H277">
        <f>LOOKUP(TabVMAzureEnvProjet[[#This Row],[Code SYGES]],TabCONTRATSDI[Contrat SYGES],TabCONTRATSDI[Cost Center])</f>
        <v>305704</v>
      </c>
      <c r="I277" s="22" t="str">
        <f>LOOKUP(TabVMAzureEnvProjet[[#This Row],[Code SYGES]],TabCONTRATSDI[Contrat SYGES],TabCONTRATSDI[Client])</f>
        <v>BRGM</v>
      </c>
      <c r="J277" t="s">
        <v>136</v>
      </c>
      <c r="K277" s="31">
        <v>6.69</v>
      </c>
      <c r="L277" s="40" t="s">
        <v>138</v>
      </c>
    </row>
    <row r="278" spans="1:12" x14ac:dyDescent="0.3">
      <c r="A278" s="22" t="str">
        <f>TabVMAzureEnvProjet[[#This Row],[Client]] &amp; " .:. "  &amp; TabVMAzureEnvProjet[[#This Row],[Projet]]</f>
        <v>CA-TITRES .:. CATITRES-COMX</v>
      </c>
      <c r="B278" s="22" t="str">
        <f>IF(TabVMAzureEnvProjet[[#This Row],[Projet AzureDevOps]]&lt;&gt;"",TabVMAzureEnvProjet[[#This Row],[Projet AzureDevOps]],TabVMAzureEnvProjet[[#This Row],[VM]])</f>
        <v>CATITRES-COMX-VM</v>
      </c>
      <c r="D278" t="s">
        <v>23</v>
      </c>
      <c r="E278" t="s">
        <v>11</v>
      </c>
      <c r="F278" t="s">
        <v>22</v>
      </c>
      <c r="G278" t="str">
        <f>LOOKUP(TabVMAzureEnvProjet[[#This Row],[Projet]],TabProjets[NomProj],TabProjets[SYGES])</f>
        <v>CA-TITRES/TMA</v>
      </c>
      <c r="H278">
        <f>LOOKUP(TabVMAzureEnvProjet[[#This Row],[Code SYGES]],TabCONTRATSDI[Contrat SYGES],TabCONTRATSDI[Cost Center])</f>
        <v>305704</v>
      </c>
      <c r="I278" s="22" t="str">
        <f>LOOKUP(TabVMAzureEnvProjet[[#This Row],[Code SYGES]],TabCONTRATSDI[Contrat SYGES],TabCONTRATSDI[Client])</f>
        <v>CA-TITRES</v>
      </c>
      <c r="J278" t="s">
        <v>136</v>
      </c>
      <c r="K278" s="31">
        <v>118.25</v>
      </c>
      <c r="L278" s="40" t="s">
        <v>138</v>
      </c>
    </row>
    <row r="279" spans="1:12" x14ac:dyDescent="0.3">
      <c r="A279" s="22" t="str">
        <f>TabVMAzureEnvProjet[[#This Row],[Client]] &amp; " .:. "  &amp; TabVMAzureEnvProjet[[#This Row],[Projet]]</f>
        <v>EBR .:. EBR-LAPOSTE</v>
      </c>
      <c r="B279" s="22" t="str">
        <f>IF(TabVMAzureEnvProjet[[#This Row],[Projet AzureDevOps]]&lt;&gt;"",TabVMAzureEnvProjet[[#This Row],[Projet AzureDevOps]],TabVMAzureEnvProjet[[#This Row],[VM]])</f>
        <v>EBR-LAPOSTE-VM</v>
      </c>
      <c r="D279" t="s">
        <v>90</v>
      </c>
      <c r="E279" t="s">
        <v>11</v>
      </c>
      <c r="F279" t="s">
        <v>89</v>
      </c>
      <c r="G279" t="str">
        <f>LOOKUP(TabVMAzureEnvProjet[[#This Row],[Projet]],TabProjets[NomProj],TabProjets[SYGES])</f>
        <v>EBR/TMA</v>
      </c>
      <c r="H279">
        <f>LOOKUP(TabVMAzureEnvProjet[[#This Row],[Code SYGES]],TabCONTRATSDI[Contrat SYGES],TabCONTRATSDI[Cost Center])</f>
        <v>305704</v>
      </c>
      <c r="I279" s="22" t="str">
        <f>LOOKUP(TabVMAzureEnvProjet[[#This Row],[Code SYGES]],TabCONTRATSDI[Contrat SYGES],TabCONTRATSDI[Client])</f>
        <v>EBR</v>
      </c>
      <c r="J279" t="s">
        <v>136</v>
      </c>
      <c r="K279" s="31">
        <v>79.11</v>
      </c>
      <c r="L279" s="40" t="s">
        <v>138</v>
      </c>
    </row>
    <row r="280" spans="1:12" x14ac:dyDescent="0.3">
      <c r="A280" s="22" t="str">
        <f>TabVMAzureEnvProjet[[#This Row],[Client]] &amp; " .:. "  &amp; TabVMAzureEnvProjet[[#This Row],[Projet]]</f>
        <v>GFI .:. GFI-PMT</v>
      </c>
      <c r="B280" s="22" t="str">
        <f>IF(TabVMAzureEnvProjet[[#This Row],[Projet AzureDevOps]]&lt;&gt;"",TabVMAzureEnvProjet[[#This Row],[Projet AzureDevOps]],TabVMAzureEnvProjet[[#This Row],[VM]])</f>
        <v>GFI-PMT-VM</v>
      </c>
      <c r="D280" t="s">
        <v>48</v>
      </c>
      <c r="E280" t="s">
        <v>11</v>
      </c>
      <c r="F280" t="s">
        <v>47</v>
      </c>
      <c r="G280" t="str">
        <f>LOOKUP(TabVMAzureEnvProjet[[#This Row],[Projet]],TabProjets[NomProj],TabProjets[SYGES])</f>
        <v>GFI/PROJET_INTERNE</v>
      </c>
      <c r="H280">
        <f>LOOKUP(TabVMAzureEnvProjet[[#This Row],[Code SYGES]],TabCONTRATSDI[Contrat SYGES],TabCONTRATSDI[Cost Center])</f>
        <v>305704</v>
      </c>
      <c r="I280" s="22" t="str">
        <f>LOOKUP(TabVMAzureEnvProjet[[#This Row],[Code SYGES]],TabCONTRATSDI[Contrat SYGES],TabCONTRATSDI[Client])</f>
        <v>GFI</v>
      </c>
      <c r="J280" t="s">
        <v>136</v>
      </c>
      <c r="K280" s="31">
        <v>15.69</v>
      </c>
      <c r="L280" s="40" t="s">
        <v>138</v>
      </c>
    </row>
    <row r="281" spans="1:12" x14ac:dyDescent="0.3">
      <c r="A281" s="22" t="str">
        <f>TabVMAzureEnvProjet[[#This Row],[Client]] &amp; " .:. "  &amp; TabVMAzureEnvProjet[[#This Row],[Projet]]</f>
        <v>MENESR .:. MENJ-BI</v>
      </c>
      <c r="B281" s="22" t="str">
        <f>IF(TabVMAzureEnvProjet[[#This Row],[Projet AzureDevOps]]&lt;&gt;"",TabVMAzureEnvProjet[[#This Row],[Projet AzureDevOps]],TabVMAzureEnvProjet[[#This Row],[VM]])</f>
        <v>MENJ-BI-VM</v>
      </c>
      <c r="D281" t="s">
        <v>66</v>
      </c>
      <c r="E281" t="s">
        <v>8</v>
      </c>
      <c r="F281" t="s">
        <v>65</v>
      </c>
      <c r="G281" t="str">
        <f>LOOKUP(TabVMAzureEnvProjet[[#This Row],[Projet]],TabProjets[NomProj],TabProjets[SYGES])</f>
        <v>MENESR/TMA</v>
      </c>
      <c r="H281">
        <f>LOOKUP(TabVMAzureEnvProjet[[#This Row],[Code SYGES]],TabCONTRATSDI[Contrat SYGES],TabCONTRATSDI[Cost Center])</f>
        <v>305704</v>
      </c>
      <c r="I281" s="22" t="str">
        <f>LOOKUP(TabVMAzureEnvProjet[[#This Row],[Code SYGES]],TabCONTRATSDI[Contrat SYGES],TabCONTRATSDI[Client])</f>
        <v>MENESR</v>
      </c>
      <c r="J281" t="s">
        <v>136</v>
      </c>
      <c r="K281" s="31">
        <v>3.03</v>
      </c>
      <c r="L281" s="40" t="s">
        <v>138</v>
      </c>
    </row>
    <row r="282" spans="1:12" x14ac:dyDescent="0.3">
      <c r="A282" s="22" t="str">
        <f>TabVMAzureEnvProjet[[#This Row],[Client]] &amp; " .:. "  &amp; TabVMAzureEnvProjet[[#This Row],[Projet]]</f>
        <v>AFB .:. AFB-NatureFrance</v>
      </c>
      <c r="B282" s="22" t="str">
        <f>IF(TabVMAzureEnvProjet[[#This Row],[Projet AzureDevOps]]&lt;&gt;"",TabVMAzureEnvProjet[[#This Row],[Projet AzureDevOps]],TabVMAzureEnvProjet[[#This Row],[VM]])</f>
        <v>OFB-FRANCENATURE-VM</v>
      </c>
      <c r="D282" t="s">
        <v>9</v>
      </c>
      <c r="E282" t="s">
        <v>8</v>
      </c>
      <c r="F282" t="s">
        <v>7</v>
      </c>
      <c r="G282" t="str">
        <f>LOOKUP(TabVMAzureEnvProjet[[#This Row],[Projet]],TabProjets[NomProj],TabProjets[SYGES])</f>
        <v>AFB/OFB_LOT2</v>
      </c>
      <c r="H282">
        <f>LOOKUP(TabVMAzureEnvProjet[[#This Row],[Code SYGES]],TabCONTRATSDI[Contrat SYGES],TabCONTRATSDI[Cost Center])</f>
        <v>305704</v>
      </c>
      <c r="I282" s="22" t="str">
        <f>LOOKUP(TabVMAzureEnvProjet[[#This Row],[Code SYGES]],TabCONTRATSDI[Contrat SYGES],TabCONTRATSDI[Client])</f>
        <v>AFB</v>
      </c>
      <c r="J282" t="s">
        <v>136</v>
      </c>
      <c r="K282" s="31">
        <v>8.9</v>
      </c>
      <c r="L282" s="40" t="s">
        <v>138</v>
      </c>
    </row>
    <row r="283" spans="1:12" x14ac:dyDescent="0.3">
      <c r="A283" s="22" t="str">
        <f>TabVMAzureEnvProjet[[#This Row],[Client]] &amp; " .:. "  &amp; TabVMAzureEnvProjet[[#This Row],[Projet]]</f>
        <v>AFB .:. OFB-SISPEA</v>
      </c>
      <c r="B283" s="22" t="str">
        <f>IF(TabVMAzureEnvProjet[[#This Row],[Projet AzureDevOps]]&lt;&gt;"",TabVMAzureEnvProjet[[#This Row],[Projet AzureDevOps]],TabVMAzureEnvProjet[[#This Row],[VM]])</f>
        <v>OFB-SISPEA-VM</v>
      </c>
      <c r="D283" t="s">
        <v>12</v>
      </c>
      <c r="E283" t="s">
        <v>11</v>
      </c>
      <c r="F283" t="s">
        <v>10</v>
      </c>
      <c r="G283" t="str">
        <f>LOOKUP(TabVMAzureEnvProjet[[#This Row],[Projet]],TabProjets[NomProj],TabProjets[SYGES])</f>
        <v>AFB/OFB_LOT2</v>
      </c>
      <c r="H283">
        <f>LOOKUP(TabVMAzureEnvProjet[[#This Row],[Code SYGES]],TabCONTRATSDI[Contrat SYGES],TabCONTRATSDI[Cost Center])</f>
        <v>305704</v>
      </c>
      <c r="I283" s="22" t="str">
        <f>LOOKUP(TabVMAzureEnvProjet[[#This Row],[Code SYGES]],TabCONTRATSDI[Contrat SYGES],TabCONTRATSDI[Client])</f>
        <v>AFB</v>
      </c>
      <c r="J283" t="s">
        <v>136</v>
      </c>
      <c r="K283" s="31">
        <v>21.82</v>
      </c>
      <c r="L283" s="40" t="s">
        <v>138</v>
      </c>
    </row>
    <row r="284" spans="1:12" x14ac:dyDescent="0.3">
      <c r="A284" s="22" t="str">
        <f>TabVMAzureEnvProjet[[#This Row],[Client]] &amp; " .:. "  &amp; TabVMAzureEnvProjet[[#This Row],[Projet]]</f>
        <v>SPC .:. SPC-BUILD</v>
      </c>
      <c r="B284" s="22" t="str">
        <f>IF(TabVMAzureEnvProjet[[#This Row],[Projet AzureDevOps]]&lt;&gt;"",TabVMAzureEnvProjet[[#This Row],[Projet AzureDevOps]],TabVMAzureEnvProjet[[#This Row],[VM]])</f>
        <v>SPC-BUILDAS-VM</v>
      </c>
      <c r="D284" t="s">
        <v>82</v>
      </c>
      <c r="E284" t="s">
        <v>11</v>
      </c>
      <c r="F284" t="s">
        <v>81</v>
      </c>
      <c r="G284" t="str">
        <f>LOOKUP(TabVMAzureEnvProjet[[#This Row],[Projet]],TabProjets[NomProj],TabProjets[SYGES])</f>
        <v>SPC/BUILD</v>
      </c>
      <c r="H284">
        <f>LOOKUP(TabVMAzureEnvProjet[[#This Row],[Code SYGES]],TabCONTRATSDI[Contrat SYGES],TabCONTRATSDI[Cost Center])</f>
        <v>305704</v>
      </c>
      <c r="I284" s="22" t="str">
        <f>LOOKUP(TabVMAzureEnvProjet[[#This Row],[Code SYGES]],TabCONTRATSDI[Contrat SYGES],TabCONTRATSDI[Client])</f>
        <v>SPC</v>
      </c>
      <c r="J284" t="s">
        <v>136</v>
      </c>
      <c r="K284" s="31">
        <v>102.45</v>
      </c>
      <c r="L284" s="40" t="s">
        <v>138</v>
      </c>
    </row>
    <row r="285" spans="1:12" x14ac:dyDescent="0.3">
      <c r="A285" s="22" t="str">
        <f>TabVMAzureEnvProjet[[#This Row],[Client]] &amp; " .:. "  &amp; TabVMAzureEnvProjet[[#This Row],[Projet]]</f>
        <v>STMICRO .:. STMICRO-DATAPACK</v>
      </c>
      <c r="B285" s="22" t="str">
        <f>IF(TabVMAzureEnvProjet[[#This Row],[Projet AzureDevOps]]&lt;&gt;"",TabVMAzureEnvProjet[[#This Row],[Projet AzureDevOps]],TabVMAzureEnvProjet[[#This Row],[VM]])</f>
        <v>STMICRO-DATAPACK-VM</v>
      </c>
      <c r="D285" t="s">
        <v>109</v>
      </c>
      <c r="E285" t="s">
        <v>11</v>
      </c>
      <c r="F285" t="s">
        <v>108</v>
      </c>
      <c r="G285" t="str">
        <f>LOOKUP(TabVMAzureEnvProjet[[#This Row],[Projet]],TabProjets[NomProj],TabProjets[SYGES])</f>
        <v>STMICRO/TMASI</v>
      </c>
      <c r="H285">
        <f>LOOKUP(TabVMAzureEnvProjet[[#This Row],[Code SYGES]],TabCONTRATSDI[Contrat SYGES],TabCONTRATSDI[Cost Center])</f>
        <v>305704</v>
      </c>
      <c r="I285" s="22" t="str">
        <f>LOOKUP(TabVMAzureEnvProjet[[#This Row],[Code SYGES]],TabCONTRATSDI[Contrat SYGES],TabCONTRATSDI[Client])</f>
        <v>STMICRO</v>
      </c>
      <c r="J285" t="s">
        <v>136</v>
      </c>
      <c r="K285" s="31">
        <v>28.32</v>
      </c>
      <c r="L285" s="40" t="s">
        <v>138</v>
      </c>
    </row>
    <row r="286" spans="1:12" x14ac:dyDescent="0.3">
      <c r="A286" s="22" t="str">
        <f>TabVMAzureEnvProjet[[#This Row],[Client]] &amp; " .:. "  &amp; TabVMAzureEnvProjet[[#This Row],[Projet]]</f>
        <v>FRR .:. FRR-DIGIPAT</v>
      </c>
      <c r="B286" s="22" t="str">
        <f>IF(TabVMAzureEnvProjet[[#This Row],[Projet AzureDevOps]]&lt;&gt;"",TabVMAzureEnvProjet[[#This Row],[Projet AzureDevOps]],TabVMAzureEnvProjet[[#This Row],[VM]])</f>
        <v>FRR-DIGIPAT-VM</v>
      </c>
      <c r="D286" t="s">
        <v>29</v>
      </c>
      <c r="E286" t="s">
        <v>19</v>
      </c>
      <c r="F286" t="s">
        <v>27</v>
      </c>
      <c r="G286" t="str">
        <f>LOOKUP(TabVMAzureEnvProjet[[#This Row],[Projet]],TabProjets[NomProj],TabProjets[SYGES])</f>
        <v>FRR/TMASI</v>
      </c>
      <c r="H286">
        <f>LOOKUP(TabVMAzureEnvProjet[[#This Row],[Code SYGES]],TabCONTRATSDI[Contrat SYGES],TabCONTRATSDI[Cost Center])</f>
        <v>305704</v>
      </c>
      <c r="I286" s="22" t="str">
        <f>LOOKUP(TabVMAzureEnvProjet[[#This Row],[Code SYGES]],TabCONTRATSDI[Contrat SYGES],TabCONTRATSDI[Client])</f>
        <v>FRR</v>
      </c>
      <c r="J286" t="s">
        <v>136</v>
      </c>
      <c r="K286" s="31">
        <v>20.8</v>
      </c>
      <c r="L286" s="40" t="s">
        <v>138</v>
      </c>
    </row>
    <row r="287" spans="1:12" x14ac:dyDescent="0.3">
      <c r="A287" s="22" t="str">
        <f>TabVMAzureEnvProjet[[#This Row],[Client]] &amp; " .:. "  &amp; TabVMAzureEnvProjet[[#This Row],[Projet]]</f>
        <v>ONEMA .:. AFB-BASEINDICATEURS</v>
      </c>
      <c r="B287" s="22" t="str">
        <f>IF(TabVMAzureEnvProjet[[#This Row],[Projet AzureDevOps]]&lt;&gt;"",TabVMAzureEnvProjet[[#This Row],[Projet AzureDevOps]],TabVMAzureEnvProjet[[#This Row],[VM]])</f>
        <v>AFB-BaseIndicateurs</v>
      </c>
      <c r="C287" s="13" t="s">
        <v>72</v>
      </c>
      <c r="E287" t="s">
        <v>4</v>
      </c>
      <c r="F287" t="s">
        <v>71</v>
      </c>
      <c r="G287" t="str">
        <f>LOOKUP(TabVMAzureEnvProjet[[#This Row],[Projet]],TabProjets[NomProj],TabProjets[SYGES])</f>
        <v>ONEMA/TMADCUA-15</v>
      </c>
      <c r="H287">
        <f>LOOKUP(TabVMAzureEnvProjet[[#This Row],[Code SYGES]],TabCONTRATSDI[Contrat SYGES],TabCONTRATSDI[Cost Center])</f>
        <v>305704</v>
      </c>
      <c r="I287" s="22" t="str">
        <f>LOOKUP(TabVMAzureEnvProjet[[#This Row],[Code SYGES]],TabCONTRATSDI[Contrat SYGES],TabCONTRATSDI[Client])</f>
        <v>ONEMA</v>
      </c>
      <c r="J287" t="s">
        <v>139</v>
      </c>
      <c r="K287" s="46">
        <v>0.66523616197636937</v>
      </c>
      <c r="L287" s="41" t="s">
        <v>140</v>
      </c>
    </row>
    <row r="288" spans="1:12" x14ac:dyDescent="0.3">
      <c r="A288" s="22" t="str">
        <f>TabVMAzureEnvProjet[[#This Row],[Client]] &amp; " .:. "  &amp; TabVMAzureEnvProjet[[#This Row],[Projet]]</f>
        <v>ONEMA .:. AFB-CATALOGUE</v>
      </c>
      <c r="B288" s="22" t="str">
        <f>IF(TabVMAzureEnvProjet[[#This Row],[Projet AzureDevOps]]&lt;&gt;"",TabVMAzureEnvProjet[[#This Row],[Projet AzureDevOps]],TabVMAzureEnvProjet[[#This Row],[VM]])</f>
        <v>AFB-Catalogue</v>
      </c>
      <c r="C288" s="13" t="s">
        <v>74</v>
      </c>
      <c r="E288" t="s">
        <v>4</v>
      </c>
      <c r="F288" t="s">
        <v>73</v>
      </c>
      <c r="G288" t="str">
        <f>LOOKUP(TabVMAzureEnvProjet[[#This Row],[Projet]],TabProjets[NomProj],TabProjets[SYGES])</f>
        <v>ONEMA/TMADCUA-15</v>
      </c>
      <c r="H288">
        <f>LOOKUP(TabVMAzureEnvProjet[[#This Row],[Code SYGES]],TabCONTRATSDI[Contrat SYGES],TabCONTRATSDI[Cost Center])</f>
        <v>305704</v>
      </c>
      <c r="I288" s="22" t="str">
        <f>LOOKUP(TabVMAzureEnvProjet[[#This Row],[Code SYGES]],TabCONTRATSDI[Contrat SYGES],TabCONTRATSDI[Client])</f>
        <v>ONEMA</v>
      </c>
      <c r="J288" t="s">
        <v>139</v>
      </c>
      <c r="K288" s="46">
        <v>2.1512118385011503</v>
      </c>
      <c r="L288" s="41" t="s">
        <v>140</v>
      </c>
    </row>
    <row r="289" spans="1:12" x14ac:dyDescent="0.3">
      <c r="A289" s="22" t="str">
        <f>TabVMAzureEnvProjet[[#This Row],[Client]] &amp; " .:. "  &amp; TabVMAzureEnvProjet[[#This Row],[Projet]]</f>
        <v>ONEMA .:. AFB-CDR</v>
      </c>
      <c r="B289" s="22" t="str">
        <f>IF(TabVMAzureEnvProjet[[#This Row],[Projet AzureDevOps]]&lt;&gt;"",TabVMAzureEnvProjet[[#This Row],[Projet AzureDevOps]],TabVMAzureEnvProjet[[#This Row],[VM]])</f>
        <v>AFB-CDR</v>
      </c>
      <c r="C289" s="13" t="s">
        <v>75</v>
      </c>
      <c r="E289" t="s">
        <v>4</v>
      </c>
      <c r="F289" t="s">
        <v>75</v>
      </c>
      <c r="G289" t="str">
        <f>LOOKUP(TabVMAzureEnvProjet[[#This Row],[Projet]],TabProjets[NomProj],TabProjets[SYGES])</f>
        <v>ONEMA/TMAWEB-16</v>
      </c>
      <c r="H289">
        <f>LOOKUP(TabVMAzureEnvProjet[[#This Row],[Code SYGES]],TabCONTRATSDI[Contrat SYGES],TabCONTRATSDI[Cost Center])</f>
        <v>305704</v>
      </c>
      <c r="I289" s="22" t="str">
        <f>LOOKUP(TabVMAzureEnvProjet[[#This Row],[Code SYGES]],TabCONTRATSDI[Contrat SYGES],TabCONTRATSDI[Client])</f>
        <v>ONEMA</v>
      </c>
      <c r="J289" t="s">
        <v>139</v>
      </c>
      <c r="K289" s="46">
        <v>7.6914142209152647</v>
      </c>
      <c r="L289" s="41" t="s">
        <v>140</v>
      </c>
    </row>
    <row r="290" spans="1:12" x14ac:dyDescent="0.3">
      <c r="A290" s="22" t="str">
        <f>TabVMAzureEnvProjet[[#This Row],[Client]] &amp; " .:. "  &amp; TabVMAzureEnvProjet[[#This Row],[Projet]]</f>
        <v>AFB .:. AFB-CESMIA</v>
      </c>
      <c r="B290" s="22" t="str">
        <f>IF(TabVMAzureEnvProjet[[#This Row],[Projet AzureDevOps]]&lt;&gt;"",TabVMAzureEnvProjet[[#This Row],[Projet AzureDevOps]],TabVMAzureEnvProjet[[#This Row],[VM]])</f>
        <v>AFB-CESMIA</v>
      </c>
      <c r="C290" s="13" t="s">
        <v>3</v>
      </c>
      <c r="E290" t="s">
        <v>4</v>
      </c>
      <c r="F290" t="s">
        <v>3</v>
      </c>
      <c r="G290" t="str">
        <f>LOOKUP(TabVMAzureEnvProjet[[#This Row],[Projet]],TabProjets[NomProj],TabProjets[SYGES])</f>
        <v>AFB/OFB_LOT1</v>
      </c>
      <c r="H290">
        <f>LOOKUP(TabVMAzureEnvProjet[[#This Row],[Code SYGES]],TabCONTRATSDI[Contrat SYGES],TabCONTRATSDI[Cost Center])</f>
        <v>305704</v>
      </c>
      <c r="I290" s="22" t="str">
        <f>LOOKUP(TabVMAzureEnvProjet[[#This Row],[Code SYGES]],TabCONTRATSDI[Contrat SYGES],TabCONTRATSDI[Client])</f>
        <v>AFB</v>
      </c>
      <c r="J290" t="s">
        <v>139</v>
      </c>
      <c r="K290" s="46">
        <v>12.024478946515805</v>
      </c>
      <c r="L290" s="41" t="s">
        <v>140</v>
      </c>
    </row>
    <row r="291" spans="1:12" x14ac:dyDescent="0.3">
      <c r="A291" s="22" t="str">
        <f>TabVMAzureEnvProjet[[#This Row],[Client]] &amp; " .:. "  &amp; TabVMAzureEnvProjet[[#This Row],[Projet]]</f>
        <v>ONEMA .:. AFB-OISON</v>
      </c>
      <c r="B291" s="22" t="str">
        <f>IF(TabVMAzureEnvProjet[[#This Row],[Projet AzureDevOps]]&lt;&gt;"",TabVMAzureEnvProjet[[#This Row],[Projet AzureDevOps]],TabVMAzureEnvProjet[[#This Row],[VM]])</f>
        <v>AFB-OISON</v>
      </c>
      <c r="C291" s="13" t="s">
        <v>76</v>
      </c>
      <c r="E291" t="s">
        <v>4</v>
      </c>
      <c r="F291" t="s">
        <v>76</v>
      </c>
      <c r="G291" t="str">
        <f>LOOKUP(TabVMAzureEnvProjet[[#This Row],[Projet]],TabProjets[NomProj],TabProjets[SYGES])</f>
        <v>ONEMA/TMADCUA-15</v>
      </c>
      <c r="H291">
        <f>LOOKUP(TabVMAzureEnvProjet[[#This Row],[Code SYGES]],TabCONTRATSDI[Contrat SYGES],TabCONTRATSDI[Cost Center])</f>
        <v>305704</v>
      </c>
      <c r="I291" s="22" t="str">
        <f>LOOKUP(TabVMAzureEnvProjet[[#This Row],[Code SYGES]],TabCONTRATSDI[Contrat SYGES],TabCONTRATSDI[Client])</f>
        <v>ONEMA</v>
      </c>
      <c r="J291" t="s">
        <v>139</v>
      </c>
      <c r="K291" s="46">
        <v>5.6574630958543519</v>
      </c>
      <c r="L291" s="41" t="s">
        <v>140</v>
      </c>
    </row>
    <row r="292" spans="1:12" x14ac:dyDescent="0.3">
      <c r="A292" s="22" t="str">
        <f>TabVMAzureEnvProjet[[#This Row],[Client]] &amp; " .:. "  &amp; TabVMAzureEnvProjet[[#This Row],[Projet]]</f>
        <v>ONEMA .:. AFB-PATBIODIV</v>
      </c>
      <c r="B292" s="22" t="str">
        <f>IF(TabVMAzureEnvProjet[[#This Row],[Projet AzureDevOps]]&lt;&gt;"",TabVMAzureEnvProjet[[#This Row],[Projet AzureDevOps]],TabVMAzureEnvProjet[[#This Row],[VM]])</f>
        <v>AFB-PATBiodiv</v>
      </c>
      <c r="C292" s="13" t="s">
        <v>78</v>
      </c>
      <c r="E292" t="s">
        <v>4</v>
      </c>
      <c r="F292" t="s">
        <v>77</v>
      </c>
      <c r="G292" t="str">
        <f>LOOKUP(TabVMAzureEnvProjet[[#This Row],[Projet]],TabProjets[NomProj],TabProjets[SYGES])</f>
        <v>ONEMA/TMADCUA-15</v>
      </c>
      <c r="H292">
        <f>LOOKUP(TabVMAzureEnvProjet[[#This Row],[Code SYGES]],TabCONTRATSDI[Contrat SYGES],TabCONTRATSDI[Cost Center])</f>
        <v>305704</v>
      </c>
      <c r="I292" s="22" t="str">
        <f>LOOKUP(TabVMAzureEnvProjet[[#This Row],[Code SYGES]],TabCONTRATSDI[Contrat SYGES],TabCONTRATSDI[Client])</f>
        <v>ONEMA</v>
      </c>
      <c r="J292" t="s">
        <v>139</v>
      </c>
      <c r="K292" s="46">
        <v>5.6344271000580015</v>
      </c>
      <c r="L292" s="41" t="s">
        <v>140</v>
      </c>
    </row>
    <row r="293" spans="1:12" x14ac:dyDescent="0.3">
      <c r="A293" s="22" t="str">
        <f>TabVMAzureEnvProjet[[#This Row],[Client]] &amp; " .:. "  &amp; TabVMAzureEnvProjet[[#This Row],[Projet]]</f>
        <v>AFB .:. AFB-PNM</v>
      </c>
      <c r="B293" s="22" t="str">
        <f>IF(TabVMAzureEnvProjet[[#This Row],[Projet AzureDevOps]]&lt;&gt;"",TabVMAzureEnvProjet[[#This Row],[Projet AzureDevOps]],TabVMAzureEnvProjet[[#This Row],[VM]])</f>
        <v>AFB-PNM</v>
      </c>
      <c r="C293" s="13" t="s">
        <v>5</v>
      </c>
      <c r="E293" t="s">
        <v>4</v>
      </c>
      <c r="F293" t="s">
        <v>5</v>
      </c>
      <c r="G293" t="str">
        <f>LOOKUP(TabVMAzureEnvProjet[[#This Row],[Projet]],TabProjets[NomProj],TabProjets[SYGES])</f>
        <v>AFB/OFB_LOT2</v>
      </c>
      <c r="H293">
        <f>LOOKUP(TabVMAzureEnvProjet[[#This Row],[Code SYGES]],TabCONTRATSDI[Contrat SYGES],TabCONTRATSDI[Cost Center])</f>
        <v>305704</v>
      </c>
      <c r="I293" s="22" t="str">
        <f>LOOKUP(TabVMAzureEnvProjet[[#This Row],[Code SYGES]],TabCONTRATSDI[Contrat SYGES],TabCONTRATSDI[Client])</f>
        <v>AFB</v>
      </c>
      <c r="J293" t="s">
        <v>139</v>
      </c>
      <c r="K293" s="46">
        <v>8.5358770953017196</v>
      </c>
      <c r="L293" s="41" t="s">
        <v>140</v>
      </c>
    </row>
    <row r="294" spans="1:12" x14ac:dyDescent="0.3">
      <c r="A294" s="22" t="str">
        <f>TabVMAzureEnvProjet[[#This Row],[Client]] &amp; " .:. "  &amp; TabVMAzureEnvProjet[[#This Row],[Projet]]</f>
        <v>AFB .:. AFB-PNX</v>
      </c>
      <c r="B294" s="22" t="str">
        <f>IF(TabVMAzureEnvProjet[[#This Row],[Projet AzureDevOps]]&lt;&gt;"",TabVMAzureEnvProjet[[#This Row],[Projet AzureDevOps]],TabVMAzureEnvProjet[[#This Row],[VM]])</f>
        <v>AFB-PNX</v>
      </c>
      <c r="C294" s="13" t="s">
        <v>6</v>
      </c>
      <c r="E294" t="s">
        <v>4</v>
      </c>
      <c r="F294" t="s">
        <v>6</v>
      </c>
      <c r="G294" t="str">
        <f>LOOKUP(TabVMAzureEnvProjet[[#This Row],[Projet]],TabProjets[NomProj],TabProjets[SYGES])</f>
        <v>AFB/OFB_LOT2</v>
      </c>
      <c r="H294">
        <f>LOOKUP(TabVMAzureEnvProjet[[#This Row],[Code SYGES]],TabCONTRATSDI[Contrat SYGES],TabCONTRATSDI[Cost Center])</f>
        <v>305704</v>
      </c>
      <c r="I294" s="22" t="str">
        <f>LOOKUP(TabVMAzureEnvProjet[[#This Row],[Code SYGES]],TabCONTRATSDI[Contrat SYGES],TabCONTRATSDI[Client])</f>
        <v>AFB</v>
      </c>
      <c r="J294" t="s">
        <v>139</v>
      </c>
      <c r="K294" s="46">
        <v>2.6348895648947366</v>
      </c>
      <c r="L294" s="41" t="s">
        <v>140</v>
      </c>
    </row>
    <row r="295" spans="1:12" x14ac:dyDescent="0.3">
      <c r="A295" s="22" t="str">
        <f>TabVMAzureEnvProjet[[#This Row],[Client]] &amp; " .:. "  &amp; TabVMAzureEnvProjet[[#This Row],[Projet]]</f>
        <v>ONEMA .:. AFB-RAA</v>
      </c>
      <c r="B295" s="22" t="str">
        <f>IF(TabVMAzureEnvProjet[[#This Row],[Projet AzureDevOps]]&lt;&gt;"",TabVMAzureEnvProjet[[#This Row],[Projet AzureDevOps]],TabVMAzureEnvProjet[[#This Row],[VM]])</f>
        <v>AFB-RAA</v>
      </c>
      <c r="C295" s="13" t="s">
        <v>79</v>
      </c>
      <c r="E295" t="s">
        <v>4</v>
      </c>
      <c r="F295" t="s">
        <v>79</v>
      </c>
      <c r="G295" t="str">
        <f>LOOKUP(TabVMAzureEnvProjet[[#This Row],[Projet]],TabProjets[NomProj],TabProjets[SYGES])</f>
        <v>ONEMA/TMAWEB-16</v>
      </c>
      <c r="H295">
        <f>LOOKUP(TabVMAzureEnvProjet[[#This Row],[Code SYGES]],TabCONTRATSDI[Contrat SYGES],TabCONTRATSDI[Cost Center])</f>
        <v>305704</v>
      </c>
      <c r="I295" s="22" t="str">
        <f>LOOKUP(TabVMAzureEnvProjet[[#This Row],[Code SYGES]],TabCONTRATSDI[Contrat SYGES],TabCONTRATSDI[Client])</f>
        <v>ONEMA</v>
      </c>
      <c r="J295" t="s">
        <v>139</v>
      </c>
      <c r="K295" s="46">
        <v>0.24391992605800211</v>
      </c>
      <c r="L295" s="41" t="s">
        <v>140</v>
      </c>
    </row>
    <row r="296" spans="1:12" x14ac:dyDescent="0.3">
      <c r="A296" s="22" t="str">
        <f>TabVMAzureEnvProjet[[#This Row],[Client]] &amp; " .:. "  &amp; TabVMAzureEnvProjet[[#This Row],[Projet]]</f>
        <v>ALM .:. ALM-ATOUT</v>
      </c>
      <c r="B296" s="22" t="str">
        <f>IF(TabVMAzureEnvProjet[[#This Row],[Projet AzureDevOps]]&lt;&gt;"",TabVMAzureEnvProjet[[#This Row],[Projet AzureDevOps]],TabVMAzureEnvProjet[[#This Row],[VM]])</f>
        <v>ALM-ATOUT</v>
      </c>
      <c r="C296" s="13" t="s">
        <v>15</v>
      </c>
      <c r="E296" t="s">
        <v>4</v>
      </c>
      <c r="F296" t="s">
        <v>15</v>
      </c>
      <c r="G296" t="str">
        <f>LOOKUP(TabVMAzureEnvProjet[[#This Row],[Projet]],TabProjets[NomProj],TabProjets[SYGES])</f>
        <v>ALM/TMA_ATOUT</v>
      </c>
      <c r="H296">
        <f>LOOKUP(TabVMAzureEnvProjet[[#This Row],[Code SYGES]],TabCONTRATSDI[Contrat SYGES],TabCONTRATSDI[Cost Center])</f>
        <v>305704</v>
      </c>
      <c r="I296" s="22" t="str">
        <f>LOOKUP(TabVMAzureEnvProjet[[#This Row],[Code SYGES]],TabCONTRATSDI[Contrat SYGES],TabCONTRATSDI[Client])</f>
        <v>ALM</v>
      </c>
      <c r="J296" t="s">
        <v>139</v>
      </c>
      <c r="K296" s="46">
        <v>11.810314365685436</v>
      </c>
      <c r="L296" s="41" t="s">
        <v>140</v>
      </c>
    </row>
    <row r="297" spans="1:12" x14ac:dyDescent="0.3">
      <c r="A297" s="22" t="str">
        <f>TabVMAzureEnvProjet[[#This Row],[Client]] &amp; " .:. "  &amp; TabVMAzureEnvProjet[[#This Row],[Projet]]</f>
        <v>BRGM .:. BRGM-ORRM</v>
      </c>
      <c r="B297" s="22" t="str">
        <f>IF(TabVMAzureEnvProjet[[#This Row],[Projet AzureDevOps]]&lt;&gt;"",TabVMAzureEnvProjet[[#This Row],[Projet AzureDevOps]],TabVMAzureEnvProjet[[#This Row],[VM]])</f>
        <v>BRGM-ORRM</v>
      </c>
      <c r="C297" s="13" t="s">
        <v>18</v>
      </c>
      <c r="E297" t="s">
        <v>4</v>
      </c>
      <c r="F297" t="s">
        <v>18</v>
      </c>
      <c r="G297" t="str">
        <f>LOOKUP(TabVMAzureEnvProjet[[#This Row],[Projet]],TabProjets[NomProj],TabProjets[SYGES])</f>
        <v>BRGM/TMA-5-1-ORRM-LOT1</v>
      </c>
      <c r="H297">
        <f>LOOKUP(TabVMAzureEnvProjet[[#This Row],[Code SYGES]],TabCONTRATSDI[Contrat SYGES],TabCONTRATSDI[Cost Center])</f>
        <v>305704</v>
      </c>
      <c r="I297" s="22" t="str">
        <f>LOOKUP(TabVMAzureEnvProjet[[#This Row],[Code SYGES]],TabCONTRATSDI[Contrat SYGES],TabCONTRATSDI[Client])</f>
        <v>BRGM</v>
      </c>
      <c r="J297" t="s">
        <v>139</v>
      </c>
      <c r="K297" s="46">
        <v>4.7836859625696624</v>
      </c>
      <c r="L297" s="41" t="s">
        <v>140</v>
      </c>
    </row>
    <row r="298" spans="1:12" x14ac:dyDescent="0.3">
      <c r="A298" s="22" t="str">
        <f>TabVMAzureEnvProjet[[#This Row],[Client]] &amp; " .:. "  &amp; TabVMAzureEnvProjet[[#This Row],[Projet]]</f>
        <v>CNAV .:. CNAV-BI-RGCU</v>
      </c>
      <c r="B298" s="22" t="str">
        <f>IF(TabVMAzureEnvProjet[[#This Row],[Projet AzureDevOps]]&lt;&gt;"",TabVMAzureEnvProjet[[#This Row],[Projet AzureDevOps]],TabVMAzureEnvProjet[[#This Row],[VM]])</f>
        <v>CNAV-BI-RGCU</v>
      </c>
      <c r="C298" s="13" t="s">
        <v>25</v>
      </c>
      <c r="E298" t="s">
        <v>4</v>
      </c>
      <c r="F298" t="s">
        <v>25</v>
      </c>
      <c r="G298" t="str">
        <f>LOOKUP(TabVMAzureEnvProjet[[#This Row],[Projet]],TabProjets[NomProj],TabProjets[SYGES])</f>
        <v>CNAV/BI-SIRRGCU</v>
      </c>
      <c r="H298">
        <f>LOOKUP(TabVMAzureEnvProjet[[#This Row],[Code SYGES]],TabCONTRATSDI[Contrat SYGES],TabCONTRATSDI[Cost Center])</f>
        <v>305704</v>
      </c>
      <c r="I298" s="22" t="str">
        <f>LOOKUP(TabVMAzureEnvProjet[[#This Row],[Code SYGES]],TabCONTRATSDI[Contrat SYGES],TabCONTRATSDI[Client])</f>
        <v>CNAV</v>
      </c>
      <c r="J298" t="s">
        <v>139</v>
      </c>
      <c r="K298" s="46">
        <v>11.5861964877551</v>
      </c>
      <c r="L298" s="41" t="s">
        <v>140</v>
      </c>
    </row>
    <row r="299" spans="1:12" x14ac:dyDescent="0.3">
      <c r="A299" s="22" t="str">
        <f>TabVMAzureEnvProjet[[#This Row],[Client]] &amp; " .:. "  &amp; TabVMAzureEnvProjet[[#This Row],[Projet]]</f>
        <v>GFI .:. GFI-INTERNE</v>
      </c>
      <c r="B299" s="22" t="str">
        <f>IF(TabVMAzureEnvProjet[[#This Row],[Projet AzureDevOps]]&lt;&gt;"",TabVMAzureEnvProjet[[#This Row],[Projet AzureDevOps]],TabVMAzureEnvProjet[[#This Row],[VM]])</f>
        <v>d8-qa</v>
      </c>
      <c r="C299" s="13" t="s">
        <v>37</v>
      </c>
      <c r="E299" t="s">
        <v>4</v>
      </c>
      <c r="F299" t="s">
        <v>36</v>
      </c>
      <c r="G299" t="str">
        <f>LOOKUP(TabVMAzureEnvProjet[[#This Row],[Projet]],TabProjets[NomProj],TabProjets[SYGES])</f>
        <v>GFI/PROJET_INTERNE</v>
      </c>
      <c r="H299">
        <f>LOOKUP(TabVMAzureEnvProjet[[#This Row],[Code SYGES]],TabCONTRATSDI[Contrat SYGES],TabCONTRATSDI[Cost Center])</f>
        <v>305704</v>
      </c>
      <c r="I299" s="22" t="str">
        <f>LOOKUP(TabVMAzureEnvProjet[[#This Row],[Code SYGES]],TabCONTRATSDI[Contrat SYGES],TabCONTRATSDI[Client])</f>
        <v>GFI</v>
      </c>
      <c r="J299" t="s">
        <v>139</v>
      </c>
      <c r="K299" s="46">
        <v>0.57495411142243358</v>
      </c>
      <c r="L299" s="41" t="s">
        <v>140</v>
      </c>
    </row>
    <row r="300" spans="1:12" x14ac:dyDescent="0.3">
      <c r="A300" s="22" t="str">
        <f>TabVMAzureEnvProjet[[#This Row],[Client]] &amp; " .:. "  &amp; TabVMAzureEnvProjet[[#This Row],[Projet]]</f>
        <v>GFI .:. GFI-INTERNE</v>
      </c>
      <c r="B300" s="22" t="str">
        <f>IF(TabVMAzureEnvProjet[[#This Row],[Projet AzureDevOps]]&lt;&gt;"",TabVMAzureEnvProjet[[#This Row],[Projet AzureDevOps]],TabVMAzureEnvProjet[[#This Row],[VM]])</f>
        <v>drupal-qa</v>
      </c>
      <c r="C300" s="13" t="s">
        <v>38</v>
      </c>
      <c r="E300" t="s">
        <v>4</v>
      </c>
      <c r="F300" t="s">
        <v>36</v>
      </c>
      <c r="G300" t="str">
        <f>LOOKUP(TabVMAzureEnvProjet[[#This Row],[Projet]],TabProjets[NomProj],TabProjets[SYGES])</f>
        <v>GFI/PROJET_INTERNE</v>
      </c>
      <c r="H300">
        <f>LOOKUP(TabVMAzureEnvProjet[[#This Row],[Code SYGES]],TabCONTRATSDI[Contrat SYGES],TabCONTRATSDI[Cost Center])</f>
        <v>305704</v>
      </c>
      <c r="I300" s="22" t="str">
        <f>LOOKUP(TabVMAzureEnvProjet[[#This Row],[Code SYGES]],TabCONTRATSDI[Contrat SYGES],TabCONTRATSDI[Client])</f>
        <v>GFI</v>
      </c>
      <c r="J300" t="s">
        <v>139</v>
      </c>
      <c r="K300" s="46">
        <v>0.57495411142243358</v>
      </c>
      <c r="L300" s="41" t="s">
        <v>140</v>
      </c>
    </row>
    <row r="301" spans="1:12" x14ac:dyDescent="0.3">
      <c r="A301" s="22" t="str">
        <f>TabVMAzureEnvProjet[[#This Row],[Client]] &amp; " .:. "  &amp; TabVMAzureEnvProjet[[#This Row],[Projet]]</f>
        <v>FRR .:. FRR-DIGIPAT</v>
      </c>
      <c r="B301" s="22" t="str">
        <f>IF(TabVMAzureEnvProjet[[#This Row],[Projet AzureDevOps]]&lt;&gt;"",TabVMAzureEnvProjet[[#This Row],[Projet AzureDevOps]],TabVMAzureEnvProjet[[#This Row],[VM]])</f>
        <v>FRR DIGIPAT</v>
      </c>
      <c r="C301" s="13" t="s">
        <v>28</v>
      </c>
      <c r="E301" t="s">
        <v>4</v>
      </c>
      <c r="F301" t="s">
        <v>27</v>
      </c>
      <c r="G301" t="str">
        <f>LOOKUP(TabVMAzureEnvProjet[[#This Row],[Projet]],TabProjets[NomProj],TabProjets[SYGES])</f>
        <v>FRR/TMASI</v>
      </c>
      <c r="H301">
        <f>LOOKUP(TabVMAzureEnvProjet[[#This Row],[Code SYGES]],TabCONTRATSDI[Contrat SYGES],TabCONTRATSDI[Cost Center])</f>
        <v>305704</v>
      </c>
      <c r="I301" s="22" t="str">
        <f>LOOKUP(TabVMAzureEnvProjet[[#This Row],[Code SYGES]],TabCONTRATSDI[Contrat SYGES],TabCONTRATSDI[Client])</f>
        <v>FRR</v>
      </c>
      <c r="J301" t="s">
        <v>139</v>
      </c>
      <c r="K301" s="46">
        <v>6.3808511118819231</v>
      </c>
      <c r="L301" s="41" t="s">
        <v>140</v>
      </c>
    </row>
    <row r="302" spans="1:12" x14ac:dyDescent="0.3">
      <c r="A302" s="22" t="str">
        <f>TabVMAzureEnvProjet[[#This Row],[Client]] &amp; " .:. "  &amp; TabVMAzureEnvProjet[[#This Row],[Projet]]</f>
        <v>FRR .:. FRR-APPLIFRR</v>
      </c>
      <c r="B302" s="22" t="str">
        <f>IF(TabVMAzureEnvProjet[[#This Row],[Projet AzureDevOps]]&lt;&gt;"",TabVMAzureEnvProjet[[#This Row],[Projet AzureDevOps]],TabVMAzureEnvProjet[[#This Row],[VM]])</f>
        <v>FRR-APPLIFRR</v>
      </c>
      <c r="C302" s="13" t="s">
        <v>30</v>
      </c>
      <c r="E302" t="s">
        <v>4</v>
      </c>
      <c r="F302" t="s">
        <v>30</v>
      </c>
      <c r="G302" t="str">
        <f>LOOKUP(TabVMAzureEnvProjet[[#This Row],[Projet]],TabProjets[NomProj],TabProjets[SYGES])</f>
        <v>FRR/TMASI</v>
      </c>
      <c r="H302">
        <f>LOOKUP(TabVMAzureEnvProjet[[#This Row],[Code SYGES]],TabCONTRATSDI[Contrat SYGES],TabCONTRATSDI[Cost Center])</f>
        <v>305704</v>
      </c>
      <c r="I302" s="22" t="str">
        <f>LOOKUP(TabVMAzureEnvProjet[[#This Row],[Code SYGES]],TabCONTRATSDI[Contrat SYGES],TabCONTRATSDI[Client])</f>
        <v>FRR</v>
      </c>
      <c r="J302" t="s">
        <v>139</v>
      </c>
      <c r="K302" s="46">
        <v>3.028210445663265</v>
      </c>
      <c r="L302" s="41" t="s">
        <v>140</v>
      </c>
    </row>
    <row r="303" spans="1:12" x14ac:dyDescent="0.3">
      <c r="A303" s="22" t="str">
        <f>TabVMAzureEnvProjet[[#This Row],[Client]] &amp; " .:. "  &amp; TabVMAzureEnvProjet[[#This Row],[Projet]]</f>
        <v>FRR .:. FRR-CADENCIER</v>
      </c>
      <c r="B303" s="22" t="str">
        <f>IF(TabVMAzureEnvProjet[[#This Row],[Projet AzureDevOps]]&lt;&gt;"",TabVMAzureEnvProjet[[#This Row],[Projet AzureDevOps]],TabVMAzureEnvProjet[[#This Row],[VM]])</f>
        <v>FRR-CADENCIER</v>
      </c>
      <c r="C303" s="13" t="s">
        <v>31</v>
      </c>
      <c r="E303" t="s">
        <v>4</v>
      </c>
      <c r="F303" t="s">
        <v>31</v>
      </c>
      <c r="G303" t="str">
        <f>LOOKUP(TabVMAzureEnvProjet[[#This Row],[Projet]],TabProjets[NomProj],TabProjets[SYGES])</f>
        <v>FRR/TMASI</v>
      </c>
      <c r="H303">
        <f>LOOKUP(TabVMAzureEnvProjet[[#This Row],[Code SYGES]],TabCONTRATSDI[Contrat SYGES],TabCONTRATSDI[Cost Center])</f>
        <v>305704</v>
      </c>
      <c r="I303" s="22" t="str">
        <f>LOOKUP(TabVMAzureEnvProjet[[#This Row],[Code SYGES]],TabCONTRATSDI[Contrat SYGES],TabCONTRATSDI[Client])</f>
        <v>FRR</v>
      </c>
      <c r="J303" t="s">
        <v>139</v>
      </c>
      <c r="K303" s="46">
        <v>3.028210445663265</v>
      </c>
      <c r="L303" s="41" t="s">
        <v>140</v>
      </c>
    </row>
    <row r="304" spans="1:12" x14ac:dyDescent="0.3">
      <c r="A304" s="22" t="str">
        <f>TabVMAzureEnvProjet[[#This Row],[Client]] &amp; " .:. "  &amp; TabVMAzureEnvProjet[[#This Row],[Projet]]</f>
        <v>FRR .:. FRR-PATAPAIN</v>
      </c>
      <c r="B304" s="22" t="str">
        <f>IF(TabVMAzureEnvProjet[[#This Row],[Projet AzureDevOps]]&lt;&gt;"",TabVMAzureEnvProjet[[#This Row],[Projet AzureDevOps]],TabVMAzureEnvProjet[[#This Row],[VM]])</f>
        <v>FRR-Patapain</v>
      </c>
      <c r="C304" s="13" t="s">
        <v>33</v>
      </c>
      <c r="E304" t="s">
        <v>4</v>
      </c>
      <c r="F304" t="s">
        <v>32</v>
      </c>
      <c r="G304" t="str">
        <f>LOOKUP(TabVMAzureEnvProjet[[#This Row],[Projet]],TabProjets[NomProj],TabProjets[SYGES])</f>
        <v>FRR/TMASI</v>
      </c>
      <c r="H304">
        <f>LOOKUP(TabVMAzureEnvProjet[[#This Row],[Code SYGES]],TabCONTRATSDI[Contrat SYGES],TabCONTRATSDI[Cost Center])</f>
        <v>305704</v>
      </c>
      <c r="I304" s="22" t="str">
        <f>LOOKUP(TabVMAzureEnvProjet[[#This Row],[Code SYGES]],TabCONTRATSDI[Contrat SYGES],TabCONTRATSDI[Client])</f>
        <v>FRR</v>
      </c>
      <c r="J304" t="s">
        <v>139</v>
      </c>
      <c r="K304" s="46">
        <v>2.4225683565306122</v>
      </c>
      <c r="L304" s="41" t="s">
        <v>140</v>
      </c>
    </row>
    <row r="305" spans="1:12" x14ac:dyDescent="0.3">
      <c r="A305" s="22" t="str">
        <f>TabVMAzureEnvProjet[[#This Row],[Client]] &amp; " .:. "  &amp; TabVMAzureEnvProjet[[#This Row],[Projet]]</f>
        <v>FRR .:. FRR-PATAPAINANDROID</v>
      </c>
      <c r="B305" s="22" t="str">
        <f>IF(TabVMAzureEnvProjet[[#This Row],[Projet AzureDevOps]]&lt;&gt;"",TabVMAzureEnvProjet[[#This Row],[Projet AzureDevOps]],TabVMAzureEnvProjet[[#This Row],[VM]])</f>
        <v>FRR-PATAPAINANDROID</v>
      </c>
      <c r="C305" s="13" t="s">
        <v>34</v>
      </c>
      <c r="E305" t="s">
        <v>4</v>
      </c>
      <c r="F305" t="s">
        <v>34</v>
      </c>
      <c r="G305" t="str">
        <f>LOOKUP(TabVMAzureEnvProjet[[#This Row],[Projet]],TabProjets[NomProj],TabProjets[SYGES])</f>
        <v>FRR/TMASI</v>
      </c>
      <c r="H305">
        <f>LOOKUP(TabVMAzureEnvProjet[[#This Row],[Code SYGES]],TabCONTRATSDI[Contrat SYGES],TabCONTRATSDI[Cost Center])</f>
        <v>305704</v>
      </c>
      <c r="I305" s="22" t="str">
        <f>LOOKUP(TabVMAzureEnvProjet[[#This Row],[Code SYGES]],TabCONTRATSDI[Contrat SYGES],TabCONTRATSDI[Client])</f>
        <v>FRR</v>
      </c>
      <c r="J305" t="s">
        <v>139</v>
      </c>
      <c r="K305" s="46">
        <v>3.028210445663265</v>
      </c>
      <c r="L305" s="41" t="s">
        <v>140</v>
      </c>
    </row>
    <row r="306" spans="1:12" x14ac:dyDescent="0.3">
      <c r="A306" s="22" t="str">
        <f>TabVMAzureEnvProjet[[#This Row],[Client]] &amp; " .:. "  &amp; TabVMAzureEnvProjet[[#This Row],[Projet]]</f>
        <v>GFI .:. GFI-CMIS</v>
      </c>
      <c r="B306" s="22" t="str">
        <f>IF(TabVMAzureEnvProjet[[#This Row],[Projet AzureDevOps]]&lt;&gt;"",TabVMAzureEnvProjet[[#This Row],[Projet AzureDevOps]],TabVMAzureEnvProjet[[#This Row],[VM]])</f>
        <v>GFI-CMIS</v>
      </c>
      <c r="C306" s="13" t="s">
        <v>40</v>
      </c>
      <c r="E306" t="s">
        <v>4</v>
      </c>
      <c r="F306" t="s">
        <v>40</v>
      </c>
      <c r="G306" t="str">
        <f>LOOKUP(TabVMAzureEnvProjet[[#This Row],[Projet]],TabProjets[NomProj],TabProjets[SYGES])</f>
        <v>GFI/PROJET_INTERNE</v>
      </c>
      <c r="H306">
        <f>LOOKUP(TabVMAzureEnvProjet[[#This Row],[Code SYGES]],TabCONTRATSDI[Contrat SYGES],TabCONTRATSDI[Cost Center])</f>
        <v>305704</v>
      </c>
      <c r="I306" s="22" t="str">
        <f>LOOKUP(TabVMAzureEnvProjet[[#This Row],[Code SYGES]],TabCONTRATSDI[Contrat SYGES],TabCONTRATSDI[Client])</f>
        <v>GFI</v>
      </c>
      <c r="J306" t="s">
        <v>139</v>
      </c>
      <c r="K306" s="46">
        <v>0.24391992605800211</v>
      </c>
      <c r="L306" s="41" t="s">
        <v>140</v>
      </c>
    </row>
    <row r="307" spans="1:12" x14ac:dyDescent="0.3">
      <c r="A307" s="22" t="str">
        <f>TabVMAzureEnvProjet[[#This Row],[Client]] &amp; " .:. "  &amp; TabVMAzureEnvProjet[[#This Row],[Projet]]</f>
        <v>GFI .:. GFI-COFFEE</v>
      </c>
      <c r="B307" s="22" t="str">
        <f>IF(TabVMAzureEnvProjet[[#This Row],[Projet AzureDevOps]]&lt;&gt;"",TabVMAzureEnvProjet[[#This Row],[Projet AzureDevOps]],TabVMAzureEnvProjet[[#This Row],[VM]])</f>
        <v>GFI-COFFEE</v>
      </c>
      <c r="C307" s="13" t="s">
        <v>41</v>
      </c>
      <c r="E307" t="s">
        <v>4</v>
      </c>
      <c r="F307" t="s">
        <v>41</v>
      </c>
      <c r="G307" t="str">
        <f>LOOKUP(TabVMAzureEnvProjet[[#This Row],[Projet]],TabProjets[NomProj],TabProjets[SYGES])</f>
        <v>GFI/PROJET_INTERNE</v>
      </c>
      <c r="H307">
        <f>LOOKUP(TabVMAzureEnvProjet[[#This Row],[Code SYGES]],TabCONTRATSDI[Contrat SYGES],TabCONTRATSDI[Cost Center])</f>
        <v>305704</v>
      </c>
      <c r="I307" s="22" t="str">
        <f>LOOKUP(TabVMAzureEnvProjet[[#This Row],[Code SYGES]],TabCONTRATSDI[Contrat SYGES],TabCONTRATSDI[Client])</f>
        <v>GFI</v>
      </c>
      <c r="J307" t="s">
        <v>139</v>
      </c>
      <c r="K307" s="46">
        <v>1.2902809724999997</v>
      </c>
      <c r="L307" s="41" t="s">
        <v>140</v>
      </c>
    </row>
    <row r="308" spans="1:12" x14ac:dyDescent="0.3">
      <c r="A308" s="22" t="str">
        <f>TabVMAzureEnvProjet[[#This Row],[Client]] &amp; " .:. "  &amp; TabVMAzureEnvProjet[[#This Row],[Projet]]</f>
        <v>GFI .:. GFI-CRALENIUM</v>
      </c>
      <c r="B308" s="22" t="str">
        <f>IF(TabVMAzureEnvProjet[[#This Row],[Projet AzureDevOps]]&lt;&gt;"",TabVMAzureEnvProjet[[#This Row],[Projet AzureDevOps]],TabVMAzureEnvProjet[[#This Row],[VM]])</f>
        <v>GFI-CRALENIUM</v>
      </c>
      <c r="C308" s="13" t="s">
        <v>42</v>
      </c>
      <c r="E308" t="s">
        <v>4</v>
      </c>
      <c r="F308" t="s">
        <v>42</v>
      </c>
      <c r="G308" t="str">
        <f>LOOKUP(TabVMAzureEnvProjet[[#This Row],[Projet]],TabProjets[NomProj],TabProjets[SYGES])</f>
        <v>GFI/PROJET_INTERNE</v>
      </c>
      <c r="H308">
        <f>LOOKUP(TabVMAzureEnvProjet[[#This Row],[Code SYGES]],TabCONTRATSDI[Contrat SYGES],TabCONTRATSDI[Cost Center])</f>
        <v>305704</v>
      </c>
      <c r="I308" s="22" t="str">
        <f>LOOKUP(TabVMAzureEnvProjet[[#This Row],[Code SYGES]],TabCONTRATSDI[Contrat SYGES],TabCONTRATSDI[Client])</f>
        <v>GFI</v>
      </c>
      <c r="J308" t="s">
        <v>139</v>
      </c>
      <c r="K308" s="46">
        <v>3.028210445663265</v>
      </c>
      <c r="L308" s="41" t="s">
        <v>140</v>
      </c>
    </row>
    <row r="309" spans="1:12" x14ac:dyDescent="0.3">
      <c r="A309" s="22" t="str">
        <f>TabVMAzureEnvProjet[[#This Row],[Client]] &amp; " .:. "  &amp; TabVMAzureEnvProjet[[#This Row],[Projet]]</f>
        <v>GFI .:. GFI-D8-BS4-THEME</v>
      </c>
      <c r="B309" s="22" t="str">
        <f>IF(TabVMAzureEnvProjet[[#This Row],[Projet AzureDevOps]]&lt;&gt;"",TabVMAzureEnvProjet[[#This Row],[Projet AzureDevOps]],TabVMAzureEnvProjet[[#This Row],[VM]])</f>
        <v>GFI-D8-BS4-THEME</v>
      </c>
      <c r="C309" s="13" t="s">
        <v>43</v>
      </c>
      <c r="E309" t="s">
        <v>4</v>
      </c>
      <c r="F309" t="s">
        <v>43</v>
      </c>
      <c r="G309" t="str">
        <f>LOOKUP(TabVMAzureEnvProjet[[#This Row],[Projet]],TabProjets[NomProj],TabProjets[SYGES])</f>
        <v>GFI/PROJET_INTERNE</v>
      </c>
      <c r="H309">
        <f>LOOKUP(TabVMAzureEnvProjet[[#This Row],[Code SYGES]],TabCONTRATSDI[Contrat SYGES],TabCONTRATSDI[Cost Center])</f>
        <v>305704</v>
      </c>
      <c r="I309" s="22" t="str">
        <f>LOOKUP(TabVMAzureEnvProjet[[#This Row],[Code SYGES]],TabCONTRATSDI[Contrat SYGES],TabCONTRATSDI[Client])</f>
        <v>GFI</v>
      </c>
      <c r="J309" t="s">
        <v>139</v>
      </c>
      <c r="K309" s="46">
        <v>1.5312750913641244</v>
      </c>
      <c r="L309" s="41" t="s">
        <v>140</v>
      </c>
    </row>
    <row r="310" spans="1:12" x14ac:dyDescent="0.3">
      <c r="A310" s="22" t="str">
        <f>TabVMAzureEnvProjet[[#This Row],[Client]] &amp; " .:. "  &amp; TabVMAzureEnvProjet[[#This Row],[Projet]]</f>
        <v>GFI .:. GFI-Docker Devbox Install</v>
      </c>
      <c r="B310" s="22" t="str">
        <f>IF(TabVMAzureEnvProjet[[#This Row],[Projet AzureDevOps]]&lt;&gt;"",TabVMAzureEnvProjet[[#This Row],[Projet AzureDevOps]],TabVMAzureEnvProjet[[#This Row],[VM]])</f>
        <v>GFI-Docker Devbox Install</v>
      </c>
      <c r="C310" s="13" t="s">
        <v>44</v>
      </c>
      <c r="E310" t="s">
        <v>4</v>
      </c>
      <c r="F310" t="s">
        <v>44</v>
      </c>
      <c r="G310" t="str">
        <f>LOOKUP(TabVMAzureEnvProjet[[#This Row],[Projet]],TabProjets[NomProj],TabProjets[SYGES])</f>
        <v>GFI/PROJET_INTERNE</v>
      </c>
      <c r="H310">
        <f>LOOKUP(TabVMAzureEnvProjet[[#This Row],[Code SYGES]],TabCONTRATSDI[Contrat SYGES],TabCONTRATSDI[Cost Center])</f>
        <v>305704</v>
      </c>
      <c r="I310" s="22" t="str">
        <f>LOOKUP(TabVMAzureEnvProjet[[#This Row],[Code SYGES]],TabCONTRATSDI[Contrat SYGES],TabCONTRATSDI[Client])</f>
        <v>GFI</v>
      </c>
      <c r="J310" t="s">
        <v>139</v>
      </c>
      <c r="K310" s="46">
        <v>10.685624234059457</v>
      </c>
      <c r="L310" s="41" t="s">
        <v>140</v>
      </c>
    </row>
    <row r="311" spans="1:12" x14ac:dyDescent="0.3">
      <c r="A311" s="22" t="str">
        <f>TabVMAzureEnvProjet[[#This Row],[Client]] &amp; " .:. "  &amp; TabVMAzureEnvProjet[[#This Row],[Projet]]</f>
        <v>GFI .:. GFI-MINEREPORT</v>
      </c>
      <c r="B311" s="22" t="str">
        <f>IF(TabVMAzureEnvProjet[[#This Row],[Projet AzureDevOps]]&lt;&gt;"",TabVMAzureEnvProjet[[#This Row],[Projet AzureDevOps]],TabVMAzureEnvProjet[[#This Row],[VM]])</f>
        <v>GFI-MineReport</v>
      </c>
      <c r="C311" s="13" t="s">
        <v>46</v>
      </c>
      <c r="E311" t="s">
        <v>4</v>
      </c>
      <c r="F311" t="s">
        <v>45</v>
      </c>
      <c r="G311" t="str">
        <f>LOOKUP(TabVMAzureEnvProjet[[#This Row],[Projet]],TabProjets[NomProj],TabProjets[SYGES])</f>
        <v>GFI/PROJET_INTERNE</v>
      </c>
      <c r="H311">
        <f>LOOKUP(TabVMAzureEnvProjet[[#This Row],[Code SYGES]],TabCONTRATSDI[Contrat SYGES],TabCONTRATSDI[Cost Center])</f>
        <v>305704</v>
      </c>
      <c r="I311" s="22" t="str">
        <f>LOOKUP(TabVMAzureEnvProjet[[#This Row],[Code SYGES]],TabCONTRATSDI[Contrat SYGES],TabCONTRATSDI[Client])</f>
        <v>GFI</v>
      </c>
      <c r="J311" t="s">
        <v>139</v>
      </c>
      <c r="K311" s="46">
        <v>5.2551676926603488</v>
      </c>
      <c r="L311" s="41" t="s">
        <v>140</v>
      </c>
    </row>
    <row r="312" spans="1:12" x14ac:dyDescent="0.3">
      <c r="A312" s="22" t="str">
        <f>TabVMAzureEnvProjet[[#This Row],[Client]] &amp; " .:. "  &amp; TabVMAzureEnvProjet[[#This Row],[Projet]]</f>
        <v>GFI .:. GFI-PMT</v>
      </c>
      <c r="B312" s="22" t="str">
        <f>IF(TabVMAzureEnvProjet[[#This Row],[Projet AzureDevOps]]&lt;&gt;"",TabVMAzureEnvProjet[[#This Row],[Projet AzureDevOps]],TabVMAzureEnvProjet[[#This Row],[VM]])</f>
        <v>GFI-PMT</v>
      </c>
      <c r="C312" s="13" t="s">
        <v>47</v>
      </c>
      <c r="E312" t="s">
        <v>4</v>
      </c>
      <c r="F312" t="s">
        <v>47</v>
      </c>
      <c r="G312" t="str">
        <f>LOOKUP(TabVMAzureEnvProjet[[#This Row],[Projet]],TabProjets[NomProj],TabProjets[SYGES])</f>
        <v>GFI/PROJET_INTERNE</v>
      </c>
      <c r="H312">
        <f>LOOKUP(TabVMAzureEnvProjet[[#This Row],[Code SYGES]],TabCONTRATSDI[Contrat SYGES],TabCONTRATSDI[Cost Center])</f>
        <v>305704</v>
      </c>
      <c r="I312" s="22" t="str">
        <f>LOOKUP(TabVMAzureEnvProjet[[#This Row],[Code SYGES]],TabCONTRATSDI[Contrat SYGES],TabCONTRATSDI[Client])</f>
        <v>GFI</v>
      </c>
      <c r="J312" t="s">
        <v>139</v>
      </c>
      <c r="K312" s="46">
        <v>5.7312878769536439</v>
      </c>
      <c r="L312" s="41" t="s">
        <v>140</v>
      </c>
    </row>
    <row r="313" spans="1:12" x14ac:dyDescent="0.3">
      <c r="A313" s="22" t="str">
        <f>TabVMAzureEnvProjet[[#This Row],[Client]] &amp; " .:. "  &amp; TabVMAzureEnvProjet[[#This Row],[Projet]]</f>
        <v>GFI .:. GFI-REDMINEDOCKER</v>
      </c>
      <c r="B313" s="22" t="str">
        <f>IF(TabVMAzureEnvProjet[[#This Row],[Projet AzureDevOps]]&lt;&gt;"",TabVMAzureEnvProjet[[#This Row],[Projet AzureDevOps]],TabVMAzureEnvProjet[[#This Row],[VM]])</f>
        <v>GFI-RedmineDocker</v>
      </c>
      <c r="C313" s="13" t="s">
        <v>50</v>
      </c>
      <c r="E313" t="s">
        <v>4</v>
      </c>
      <c r="F313" t="s">
        <v>49</v>
      </c>
      <c r="G313" t="str">
        <f>LOOKUP(TabVMAzureEnvProjet[[#This Row],[Projet]],TabProjets[NomProj],TabProjets[SYGES])</f>
        <v>GFI/PROJET_INTERNE</v>
      </c>
      <c r="H313">
        <f>LOOKUP(TabVMAzureEnvProjet[[#This Row],[Code SYGES]],TabCONTRATSDI[Contrat SYGES],TabCONTRATSDI[Cost Center])</f>
        <v>305704</v>
      </c>
      <c r="I313" s="22" t="str">
        <f>LOOKUP(TabVMAzureEnvProjet[[#This Row],[Code SYGES]],TabCONTRATSDI[Contrat SYGES],TabCONTRATSDI[Client])</f>
        <v>GFI</v>
      </c>
      <c r="J313" t="s">
        <v>139</v>
      </c>
      <c r="K313" s="46">
        <v>1.3575745379591835</v>
      </c>
      <c r="L313" s="41" t="s">
        <v>140</v>
      </c>
    </row>
    <row r="314" spans="1:12" x14ac:dyDescent="0.3">
      <c r="A314" s="22" t="str">
        <f>TabVMAzureEnvProjet[[#This Row],[Client]] &amp; " .:. "  &amp; TabVMAzureEnvProjet[[#This Row],[Projet]]</f>
        <v>GFI .:. GFI-TENDER</v>
      </c>
      <c r="B314" s="22" t="str">
        <f>IF(TabVMAzureEnvProjet[[#This Row],[Projet AzureDevOps]]&lt;&gt;"",TabVMAzureEnvProjet[[#This Row],[Projet AzureDevOps]],TabVMAzureEnvProjet[[#This Row],[VM]])</f>
        <v>GFI-TENDER</v>
      </c>
      <c r="C314" s="13" t="s">
        <v>51</v>
      </c>
      <c r="E314" t="s">
        <v>4</v>
      </c>
      <c r="F314" t="s">
        <v>51</v>
      </c>
      <c r="G314" t="str">
        <f>LOOKUP(TabVMAzureEnvProjet[[#This Row],[Projet]],TabProjets[NomProj],TabProjets[SYGES])</f>
        <v>GFI/PROJET_INTERNE</v>
      </c>
      <c r="H314">
        <f>LOOKUP(TabVMAzureEnvProjet[[#This Row],[Code SYGES]],TabCONTRATSDI[Contrat SYGES],TabCONTRATSDI[Cost Center])</f>
        <v>305704</v>
      </c>
      <c r="I314" s="22" t="str">
        <f>LOOKUP(TabVMAzureEnvProjet[[#This Row],[Code SYGES]],TabCONTRATSDI[Contrat SYGES],TabCONTRATSDI[Client])</f>
        <v>GFI</v>
      </c>
      <c r="J314" t="s">
        <v>139</v>
      </c>
      <c r="K314" s="46">
        <v>3.028210445663265</v>
      </c>
      <c r="L314" s="41" t="s">
        <v>140</v>
      </c>
    </row>
    <row r="315" spans="1:12" x14ac:dyDescent="0.3">
      <c r="A315" s="22" t="str">
        <f>TabVMAzureEnvProjet[[#This Row],[Client]] &amp; " .:. "  &amp; TabVMAzureEnvProjet[[#This Row],[Projet]]</f>
        <v>GFI .:. GFI-WAAC</v>
      </c>
      <c r="B315" s="22" t="str">
        <f>IF(TabVMAzureEnvProjet[[#This Row],[Projet AzureDevOps]]&lt;&gt;"",TabVMAzureEnvProjet[[#This Row],[Projet AzureDevOps]],TabVMAzureEnvProjet[[#This Row],[VM]])</f>
        <v>GFI-WAAC</v>
      </c>
      <c r="C315" s="13" t="s">
        <v>52</v>
      </c>
      <c r="E315" t="s">
        <v>4</v>
      </c>
      <c r="F315" t="s">
        <v>52</v>
      </c>
      <c r="G315" t="str">
        <f>LOOKUP(TabVMAzureEnvProjet[[#This Row],[Projet]],TabProjets[NomProj],TabProjets[SYGES])</f>
        <v>383928 - WAAC 1.0</v>
      </c>
      <c r="H315">
        <f>LOOKUP(TabVMAzureEnvProjet[[#This Row],[Code SYGES]],TabCONTRATSDI[Contrat SYGES],TabCONTRATSDI[Cost Center])</f>
        <v>100973</v>
      </c>
      <c r="I315" s="22" t="str">
        <f>LOOKUP(TabVMAzureEnvProjet[[#This Row],[Code SYGES]],TabCONTRATSDI[Contrat SYGES],TabCONTRATSDI[Client])</f>
        <v>GFI</v>
      </c>
      <c r="J315" t="s">
        <v>139</v>
      </c>
      <c r="K315" s="46">
        <v>41.698142482602471</v>
      </c>
      <c r="L315" s="41" t="s">
        <v>140</v>
      </c>
    </row>
    <row r="316" spans="1:12" x14ac:dyDescent="0.3">
      <c r="A316" s="22" t="str">
        <f>TabVMAzureEnvProjet[[#This Row],[Client]] &amp; " .:. "  &amp; TabVMAzureEnvProjet[[#This Row],[Projet]]</f>
        <v>GLI .:. GLI-APIBIOMETRIE</v>
      </c>
      <c r="B316" s="22" t="str">
        <f>IF(TabVMAzureEnvProjet[[#This Row],[Projet AzureDevOps]]&lt;&gt;"",TabVMAzureEnvProjet[[#This Row],[Projet AzureDevOps]],TabVMAzureEnvProjet[[#This Row],[VM]])</f>
        <v>GLI-APIBiometrie</v>
      </c>
      <c r="C316" s="13" t="s">
        <v>56</v>
      </c>
      <c r="E316" t="s">
        <v>4</v>
      </c>
      <c r="F316" t="s">
        <v>55</v>
      </c>
      <c r="G316" t="str">
        <f>LOOKUP(TabVMAzureEnvProjet[[#This Row],[Projet]],TabProjets[NomProj],TabProjets[SYGES])</f>
        <v>GLI/BIOMETRIE</v>
      </c>
      <c r="H316">
        <f>LOOKUP(TabVMAzureEnvProjet[[#This Row],[Code SYGES]],TabCONTRATSDI[Contrat SYGES],TabCONTRATSDI[Cost Center])</f>
        <v>305704</v>
      </c>
      <c r="I316" s="22" t="str">
        <f>LOOKUP(TabVMAzureEnvProjet[[#This Row],[Code SYGES]],TabCONTRATSDI[Contrat SYGES],TabCONTRATSDI[Client])</f>
        <v>GLI</v>
      </c>
      <c r="J316" t="s">
        <v>139</v>
      </c>
      <c r="K316" s="46">
        <v>7.3543251483909149</v>
      </c>
      <c r="L316" s="41" t="s">
        <v>140</v>
      </c>
    </row>
    <row r="317" spans="1:12" x14ac:dyDescent="0.3">
      <c r="A317" s="22" t="str">
        <f>TabVMAzureEnvProjet[[#This Row],[Client]] &amp; " .:. "  &amp; TabVMAzureEnvProjet[[#This Row],[Projet]]</f>
        <v>LAPOSTE .:. LAPOSTE-F4N-MUSEE</v>
      </c>
      <c r="B317" s="22" t="str">
        <f>IF(TabVMAzureEnvProjet[[#This Row],[Projet AzureDevOps]]&lt;&gt;"",TabVMAzureEnvProjet[[#This Row],[Projet AzureDevOps]],TabVMAzureEnvProjet[[#This Row],[VM]])</f>
        <v>LAPOSTE-F4N-Musee</v>
      </c>
      <c r="C317" s="13" t="s">
        <v>96</v>
      </c>
      <c r="E317" t="s">
        <v>4</v>
      </c>
      <c r="F317" t="s">
        <v>95</v>
      </c>
      <c r="G317" t="str">
        <f>LOOKUP(TabVMAzureEnvProjet[[#This Row],[Projet]],TabProjets[NomProj],TabProjets[SYGES])</f>
        <v>LA-POSTE/CDC_DRUPAL</v>
      </c>
      <c r="H317">
        <f>LOOKUP(TabVMAzureEnvProjet[[#This Row],[Code SYGES]],TabCONTRATSDI[Contrat SYGES],TabCONTRATSDI[Cost Center])</f>
        <v>305704</v>
      </c>
      <c r="I317" s="22" t="str">
        <f>LOOKUP(TabVMAzureEnvProjet[[#This Row],[Code SYGES]],TabCONTRATSDI[Contrat SYGES],TabCONTRATSDI[Client])</f>
        <v>LAPOSTE</v>
      </c>
      <c r="J317" t="s">
        <v>139</v>
      </c>
      <c r="K317" s="46">
        <v>2.3874586702040812</v>
      </c>
      <c r="L317" s="41" t="s">
        <v>140</v>
      </c>
    </row>
    <row r="318" spans="1:12" x14ac:dyDescent="0.3">
      <c r="A318" s="22" t="str">
        <f>TabVMAzureEnvProjet[[#This Row],[Client]] &amp; " .:. "  &amp; TabVMAzureEnvProjet[[#This Row],[Projet]]</f>
        <v>LAPOSTE .:. LAPOSTE-LPK-PortailVoyage</v>
      </c>
      <c r="B318" s="22" t="str">
        <f>IF(TabVMAzureEnvProjet[[#This Row],[Projet AzureDevOps]]&lt;&gt;"",TabVMAzureEnvProjet[[#This Row],[Projet AzureDevOps]],TabVMAzureEnvProjet[[#This Row],[VM]])</f>
        <v>LAPOSTE-LPK-PortailVoyage</v>
      </c>
      <c r="C318" s="13" t="s">
        <v>97</v>
      </c>
      <c r="E318" t="s">
        <v>4</v>
      </c>
      <c r="F318" t="s">
        <v>97</v>
      </c>
      <c r="G318" t="str">
        <f>LOOKUP(TabVMAzureEnvProjet[[#This Row],[Projet]],TabProjets[NomProj],TabProjets[SYGES])</f>
        <v>LA-POSTE/CDC_DRUPAL</v>
      </c>
      <c r="H318">
        <f>LOOKUP(TabVMAzureEnvProjet[[#This Row],[Code SYGES]],TabCONTRATSDI[Contrat SYGES],TabCONTRATSDI[Cost Center])</f>
        <v>305704</v>
      </c>
      <c r="I318" s="22" t="str">
        <f>LOOKUP(TabVMAzureEnvProjet[[#This Row],[Code SYGES]],TabCONTRATSDI[Contrat SYGES],TabCONTRATSDI[Client])</f>
        <v>LAPOSTE</v>
      </c>
      <c r="J318" t="s">
        <v>139</v>
      </c>
      <c r="K318" s="46">
        <v>1.1515977115102038</v>
      </c>
      <c r="L318" s="41" t="s">
        <v>140</v>
      </c>
    </row>
    <row r="319" spans="1:12" x14ac:dyDescent="0.3">
      <c r="A319" s="22" t="str">
        <f>TabVMAzureEnvProjet[[#This Row],[Client]] &amp; " .:. "  &amp; TabVMAzureEnvProjet[[#This Row],[Projet]]</f>
        <v>LAPOSTE .:. LAPOSTE-LPM-IntranetDHA</v>
      </c>
      <c r="B319" s="22" t="str">
        <f>IF(TabVMAzureEnvProjet[[#This Row],[Projet AzureDevOps]]&lt;&gt;"",TabVMAzureEnvProjet[[#This Row],[Projet AzureDevOps]],TabVMAzureEnvProjet[[#This Row],[VM]])</f>
        <v>LAPOSTE-LPM-IntranetDHA</v>
      </c>
      <c r="C319" s="13" t="s">
        <v>98</v>
      </c>
      <c r="E319" t="s">
        <v>4</v>
      </c>
      <c r="F319" t="s">
        <v>98</v>
      </c>
      <c r="G319" t="str">
        <f>LOOKUP(TabVMAzureEnvProjet[[#This Row],[Projet]],TabProjets[NomProj],TabProjets[SYGES])</f>
        <v>LA-POSTE/CDC_DRUPAL</v>
      </c>
      <c r="H319">
        <f>LOOKUP(TabVMAzureEnvProjet[[#This Row],[Code SYGES]],TabCONTRATSDI[Contrat SYGES],TabCONTRATSDI[Cost Center])</f>
        <v>305704</v>
      </c>
      <c r="I319" s="22" t="str">
        <f>LOOKUP(TabVMAzureEnvProjet[[#This Row],[Code SYGES]],TabCONTRATSDI[Contrat SYGES],TabCONTRATSDI[Client])</f>
        <v>LAPOSTE</v>
      </c>
      <c r="J319" t="s">
        <v>139</v>
      </c>
      <c r="K319" s="46">
        <v>1.9240108106938774</v>
      </c>
      <c r="L319" s="41" t="s">
        <v>140</v>
      </c>
    </row>
    <row r="320" spans="1:12" x14ac:dyDescent="0.3">
      <c r="A320" s="22" t="str">
        <f>TabVMAzureEnvProjet[[#This Row],[Client]] &amp; " .:. "  &amp; TabVMAzureEnvProjet[[#This Row],[Projet]]</f>
        <v>MENESR .:. MENJ-APAE</v>
      </c>
      <c r="B320" s="22" t="str">
        <f>IF(TabVMAzureEnvProjet[[#This Row],[Projet AzureDevOps]]&lt;&gt;"",TabVMAzureEnvProjet[[#This Row],[Projet AzureDevOps]],TabVMAzureEnvProjet[[#This Row],[VM]])</f>
        <v>MENJ-APAE</v>
      </c>
      <c r="C320" s="13" t="s">
        <v>58</v>
      </c>
      <c r="E320" t="s">
        <v>4</v>
      </c>
      <c r="F320" t="s">
        <v>58</v>
      </c>
      <c r="G320" t="str">
        <f>LOOKUP(TabVMAzureEnvProjet[[#This Row],[Projet]],TabProjets[NomProj],TabProjets[SYGES])</f>
        <v>MENESR/TMA</v>
      </c>
      <c r="H320">
        <f>LOOKUP(TabVMAzureEnvProjet[[#This Row],[Code SYGES]],TabCONTRATSDI[Contrat SYGES],TabCONTRATSDI[Cost Center])</f>
        <v>305704</v>
      </c>
      <c r="I320" s="22" t="str">
        <f>LOOKUP(TabVMAzureEnvProjet[[#This Row],[Code SYGES]],TabCONTRATSDI[Contrat SYGES],TabCONTRATSDI[Client])</f>
        <v>MENESR</v>
      </c>
      <c r="J320" t="s">
        <v>139</v>
      </c>
      <c r="K320" s="46">
        <v>1.5668951440583088</v>
      </c>
      <c r="L320" s="41" t="s">
        <v>140</v>
      </c>
    </row>
    <row r="321" spans="1:12" x14ac:dyDescent="0.3">
      <c r="A321" s="22" t="str">
        <f>TabVMAzureEnvProjet[[#This Row],[Client]] &amp; " .:. "  &amp; TabVMAzureEnvProjet[[#This Row],[Projet]]</f>
        <v>MENESR .:. MENJ-BI</v>
      </c>
      <c r="B321" s="22" t="str">
        <f>IF(TabVMAzureEnvProjet[[#This Row],[Projet AzureDevOps]]&lt;&gt;"",TabVMAzureEnvProjet[[#This Row],[Projet AzureDevOps]],TabVMAzureEnvProjet[[#This Row],[VM]])</f>
        <v>MENJ-BI</v>
      </c>
      <c r="C321" s="13" t="s">
        <v>65</v>
      </c>
      <c r="E321" t="s">
        <v>4</v>
      </c>
      <c r="F321" t="s">
        <v>65</v>
      </c>
      <c r="G321" t="str">
        <f>LOOKUP(TabVMAzureEnvProjet[[#This Row],[Projet]],TabProjets[NomProj],TabProjets[SYGES])</f>
        <v>MENESR/TMA</v>
      </c>
      <c r="H321">
        <f>LOOKUP(TabVMAzureEnvProjet[[#This Row],[Code SYGES]],TabCONTRATSDI[Contrat SYGES],TabCONTRATSDI[Cost Center])</f>
        <v>305704</v>
      </c>
      <c r="I321" s="22" t="str">
        <f>LOOKUP(TabVMAzureEnvProjet[[#This Row],[Code SYGES]],TabCONTRATSDI[Contrat SYGES],TabCONTRATSDI[Client])</f>
        <v>MENESR</v>
      </c>
      <c r="J321" t="s">
        <v>139</v>
      </c>
      <c r="K321" s="46">
        <v>4.6344785951020402</v>
      </c>
      <c r="L321" s="41" t="s">
        <v>140</v>
      </c>
    </row>
    <row r="322" spans="1:12" x14ac:dyDescent="0.3">
      <c r="A322" s="22" t="str">
        <f>TabVMAzureEnvProjet[[#This Row],[Client]] &amp; " .:. "  &amp; TabVMAzureEnvProjet[[#This Row],[Projet]]</f>
        <v>MENESR .:. MENJ-BNIE</v>
      </c>
      <c r="B322" s="22" t="str">
        <f>IF(TabVMAzureEnvProjet[[#This Row],[Projet AzureDevOps]]&lt;&gt;"",TabVMAzureEnvProjet[[#This Row],[Projet AzureDevOps]],TabVMAzureEnvProjet[[#This Row],[VM]])</f>
        <v>MENJ-BNIE-BDD</v>
      </c>
      <c r="C322" s="13" t="s">
        <v>60</v>
      </c>
      <c r="E322" t="s">
        <v>4</v>
      </c>
      <c r="F322" t="s">
        <v>59</v>
      </c>
      <c r="G322" t="str">
        <f>LOOKUP(TabVMAzureEnvProjet[[#This Row],[Projet]],TabProjets[NomProj],TabProjets[SYGES])</f>
        <v>MENESR/TMA</v>
      </c>
      <c r="H322">
        <f>LOOKUP(TabVMAzureEnvProjet[[#This Row],[Code SYGES]],TabCONTRATSDI[Contrat SYGES],TabCONTRATSDI[Cost Center])</f>
        <v>305704</v>
      </c>
      <c r="I322" s="22" t="str">
        <f>LOOKUP(TabVMAzureEnvProjet[[#This Row],[Code SYGES]],TabCONTRATSDI[Contrat SYGES],TabCONTRATSDI[Client])</f>
        <v>MENESR</v>
      </c>
      <c r="J322" t="s">
        <v>139</v>
      </c>
      <c r="K322" s="46">
        <v>4.5462028123381923</v>
      </c>
      <c r="L322" s="41" t="s">
        <v>140</v>
      </c>
    </row>
    <row r="323" spans="1:12" x14ac:dyDescent="0.3">
      <c r="A323" s="22" t="str">
        <f>TabVMAzureEnvProjet[[#This Row],[Client]] &amp; " .:. "  &amp; TabVMAzureEnvProjet[[#This Row],[Projet]]</f>
        <v>MENESR .:. MENJ-BNIE</v>
      </c>
      <c r="B323" s="22" t="str">
        <f>IF(TabVMAzureEnvProjet[[#This Row],[Projet AzureDevOps]]&lt;&gt;"",TabVMAzureEnvProjet[[#This Row],[Projet AzureDevOps]],TabVMAzureEnvProjet[[#This Row],[VM]])</f>
        <v>MENJ-BNIE-Webservices</v>
      </c>
      <c r="C323" s="13" t="s">
        <v>61</v>
      </c>
      <c r="E323" t="s">
        <v>4</v>
      </c>
      <c r="F323" t="s">
        <v>59</v>
      </c>
      <c r="G323" t="str">
        <f>LOOKUP(TabVMAzureEnvProjet[[#This Row],[Projet]],TabProjets[NomProj],TabProjets[SYGES])</f>
        <v>MENESR/TMA</v>
      </c>
      <c r="H323">
        <f>LOOKUP(TabVMAzureEnvProjet[[#This Row],[Code SYGES]],TabCONTRATSDI[Contrat SYGES],TabCONTRATSDI[Cost Center])</f>
        <v>305704</v>
      </c>
      <c r="I323" s="22" t="str">
        <f>LOOKUP(TabVMAzureEnvProjet[[#This Row],[Code SYGES]],TabCONTRATSDI[Contrat SYGES],TabCONTRATSDI[Client])</f>
        <v>MENESR</v>
      </c>
      <c r="J323" t="s">
        <v>139</v>
      </c>
      <c r="K323" s="46">
        <v>0.63999942503790086</v>
      </c>
      <c r="L323" s="41" t="s">
        <v>140</v>
      </c>
    </row>
    <row r="324" spans="1:12" x14ac:dyDescent="0.3">
      <c r="A324" s="22" t="str">
        <f>TabVMAzureEnvProjet[[#This Row],[Client]] &amp; " .:. "  &amp; TabVMAzureEnvProjet[[#This Row],[Projet]]</f>
        <v>MENESR .:. MENJ-RNIE</v>
      </c>
      <c r="B324" s="22" t="str">
        <f>IF(TabVMAzureEnvProjet[[#This Row],[Projet AzureDevOps]]&lt;&gt;"",TabVMAzureEnvProjet[[#This Row],[Projet AzureDevOps]],TabVMAzureEnvProjet[[#This Row],[VM]])</f>
        <v>MENJ-RNIE-BDD</v>
      </c>
      <c r="C324" s="13" t="s">
        <v>63</v>
      </c>
      <c r="E324" t="s">
        <v>4</v>
      </c>
      <c r="F324" t="s">
        <v>62</v>
      </c>
      <c r="G324" t="str">
        <f>LOOKUP(TabVMAzureEnvProjet[[#This Row],[Projet]],TabProjets[NomProj],TabProjets[SYGES])</f>
        <v>MENESR/TMA</v>
      </c>
      <c r="H324">
        <f>LOOKUP(TabVMAzureEnvProjet[[#This Row],[Code SYGES]],TabCONTRATSDI[Contrat SYGES],TabCONTRATSDI[Cost Center])</f>
        <v>305704</v>
      </c>
      <c r="I324" s="22" t="str">
        <f>LOOKUP(TabVMAzureEnvProjet[[#This Row],[Code SYGES]],TabCONTRATSDI[Contrat SYGES],TabCONTRATSDI[Client])</f>
        <v>MENESR</v>
      </c>
      <c r="J324" t="s">
        <v>139</v>
      </c>
      <c r="K324" s="46">
        <v>1.5668951440583088</v>
      </c>
      <c r="L324" s="41" t="s">
        <v>140</v>
      </c>
    </row>
    <row r="325" spans="1:12" x14ac:dyDescent="0.3">
      <c r="A325" s="22" t="str">
        <f>TabVMAzureEnvProjet[[#This Row],[Client]] &amp; " .:. "  &amp; TabVMAzureEnvProjet[[#This Row],[Projet]]</f>
        <v>MENESR .:. MENJ-RNIE</v>
      </c>
      <c r="B325" s="22" t="str">
        <f>IF(TabVMAzureEnvProjet[[#This Row],[Projet AzureDevOps]]&lt;&gt;"",TabVMAzureEnvProjet[[#This Row],[Projet AzureDevOps]],TabVMAzureEnvProjet[[#This Row],[VM]])</f>
        <v>MENJ-RNIE-Webservices</v>
      </c>
      <c r="C325" s="13" t="s">
        <v>64</v>
      </c>
      <c r="E325" t="s">
        <v>4</v>
      </c>
      <c r="F325" t="s">
        <v>62</v>
      </c>
      <c r="G325" t="str">
        <f>LOOKUP(TabVMAzureEnvProjet[[#This Row],[Projet]],TabProjets[NomProj],TabProjets[SYGES])</f>
        <v>MENESR/TMA</v>
      </c>
      <c r="H325">
        <f>LOOKUP(TabVMAzureEnvProjet[[#This Row],[Code SYGES]],TabCONTRATSDI[Contrat SYGES],TabCONTRATSDI[Cost Center])</f>
        <v>305704</v>
      </c>
      <c r="I325" s="22" t="str">
        <f>LOOKUP(TabVMAzureEnvProjet[[#This Row],[Code SYGES]],TabCONTRATSDI[Contrat SYGES],TabCONTRATSDI[Client])</f>
        <v>MENESR</v>
      </c>
      <c r="J325" t="s">
        <v>139</v>
      </c>
      <c r="K325" s="46">
        <v>2.5700937791570855</v>
      </c>
      <c r="L325" s="41" t="s">
        <v>140</v>
      </c>
    </row>
    <row r="326" spans="1:12" x14ac:dyDescent="0.3">
      <c r="A326" s="22" t="str">
        <f>TabVMAzureEnvProjet[[#This Row],[Client]] &amp; " .:. "  &amp; TabVMAzureEnvProjet[[#This Row],[Projet]]</f>
        <v>AFB .:. OFB-CMONSPOT</v>
      </c>
      <c r="B326" s="22" t="str">
        <f>IF(TabVMAzureEnvProjet[[#This Row],[Projet AzureDevOps]]&lt;&gt;"",TabVMAzureEnvProjet[[#This Row],[Projet AzureDevOps]],TabVMAzureEnvProjet[[#This Row],[VM]])</f>
        <v>OFB-CMONSPOT</v>
      </c>
      <c r="C326" s="13" t="s">
        <v>13</v>
      </c>
      <c r="E326" t="s">
        <v>4</v>
      </c>
      <c r="F326" t="s">
        <v>13</v>
      </c>
      <c r="G326" t="str">
        <f>LOOKUP(TabVMAzureEnvProjet[[#This Row],[Projet]],TabProjets[NomProj],TabProjets[SYGES])</f>
        <v>AFB/OFB_LOT2</v>
      </c>
      <c r="H326">
        <f>LOOKUP(TabVMAzureEnvProjet[[#This Row],[Code SYGES]],TabCONTRATSDI[Contrat SYGES],TabCONTRATSDI[Cost Center])</f>
        <v>305704</v>
      </c>
      <c r="I326" s="22" t="str">
        <f>LOOKUP(TabVMAzureEnvProjet[[#This Row],[Code SYGES]],TabCONTRATSDI[Contrat SYGES],TabCONTRATSDI[Client])</f>
        <v>AFB</v>
      </c>
      <c r="J326" t="s">
        <v>139</v>
      </c>
      <c r="K326" s="46">
        <v>1.0833846066472304</v>
      </c>
      <c r="L326" s="41" t="s">
        <v>140</v>
      </c>
    </row>
    <row r="327" spans="1:12" x14ac:dyDescent="0.3">
      <c r="A327" s="22" t="str">
        <f>TabVMAzureEnvProjet[[#This Row],[Client]] &amp; " .:. "  &amp; TabVMAzureEnvProjet[[#This Row],[Projet]]</f>
        <v>OFB .:. OFB-NATUREFRANCE</v>
      </c>
      <c r="B327" s="22" t="str">
        <f>IF(TabVMAzureEnvProjet[[#This Row],[Projet AzureDevOps]]&lt;&gt;"",TabVMAzureEnvProjet[[#This Row],[Projet AzureDevOps]],TabVMAzureEnvProjet[[#This Row],[VM]])</f>
        <v>OFB-NatureFrance</v>
      </c>
      <c r="C327" s="13" t="s">
        <v>93</v>
      </c>
      <c r="E327" t="s">
        <v>4</v>
      </c>
      <c r="F327" t="s">
        <v>92</v>
      </c>
      <c r="G327" t="str">
        <f>LOOKUP(TabVMAzureEnvProjet[[#This Row],[Projet]],TabProjets[NomProj],TabProjets[SYGES])</f>
        <v>AFB OFB_LOT2 -9-1 NATURE FRANCE</v>
      </c>
      <c r="H327">
        <f>LOOKUP(TabVMAzureEnvProjet[[#This Row],[Code SYGES]],TabCONTRATSDI[Contrat SYGES],TabCONTRATSDI[Cost Center])</f>
        <v>305704</v>
      </c>
      <c r="I327" s="22" t="str">
        <f>LOOKUP(TabVMAzureEnvProjet[[#This Row],[Code SYGES]],TabCONTRATSDI[Contrat SYGES],TabCONTRATSDI[Client])</f>
        <v>OFB</v>
      </c>
      <c r="J327" t="s">
        <v>139</v>
      </c>
      <c r="K327" s="46">
        <v>6.4849029377652991</v>
      </c>
      <c r="L327" s="41" t="s">
        <v>140</v>
      </c>
    </row>
    <row r="328" spans="1:12" x14ac:dyDescent="0.3">
      <c r="A328" s="22" t="str">
        <f>TabVMAzureEnvProjet[[#This Row],[Client]] &amp; " .:. "  &amp; TabVMAzureEnvProjet[[#This Row],[Projet]]</f>
        <v>AFB .:. OFB-SISPEA</v>
      </c>
      <c r="B328" s="22" t="str">
        <f>IF(TabVMAzureEnvProjet[[#This Row],[Projet AzureDevOps]]&lt;&gt;"",TabVMAzureEnvProjet[[#This Row],[Projet AzureDevOps]],TabVMAzureEnvProjet[[#This Row],[VM]])</f>
        <v>OFB-SISPEA</v>
      </c>
      <c r="C328" s="13" t="s">
        <v>10</v>
      </c>
      <c r="E328" t="s">
        <v>4</v>
      </c>
      <c r="F328" t="s">
        <v>10</v>
      </c>
      <c r="G328" t="str">
        <f>LOOKUP(TabVMAzureEnvProjet[[#This Row],[Projet]],TabProjets[NomProj],TabProjets[SYGES])</f>
        <v>AFB/OFB_LOT2</v>
      </c>
      <c r="H328">
        <f>LOOKUP(TabVMAzureEnvProjet[[#This Row],[Code SYGES]],TabCONTRATSDI[Contrat SYGES],TabCONTRATSDI[Cost Center])</f>
        <v>305704</v>
      </c>
      <c r="I328" s="22" t="str">
        <f>LOOKUP(TabVMAzureEnvProjet[[#This Row],[Code SYGES]],TabCONTRATSDI[Contrat SYGES],TabCONTRATSDI[Client])</f>
        <v>AFB</v>
      </c>
      <c r="J328" t="s">
        <v>139</v>
      </c>
      <c r="K328" s="46">
        <v>5.717863201749271</v>
      </c>
      <c r="L328" s="41" t="s">
        <v>140</v>
      </c>
    </row>
    <row r="329" spans="1:12" x14ac:dyDescent="0.3">
      <c r="A329" s="22" t="str">
        <f>TabVMAzureEnvProjet[[#This Row],[Client]] &amp; " .:. "  &amp; TabVMAzureEnvProjet[[#This Row],[Projet]]</f>
        <v>PCM .:. PCM-ALS</v>
      </c>
      <c r="B329" s="22" t="str">
        <f>IF(TabVMAzureEnvProjet[[#This Row],[Projet AzureDevOps]]&lt;&gt;"",TabVMAzureEnvProjet[[#This Row],[Projet AzureDevOps]],TabVMAzureEnvProjet[[#This Row],[VM]])</f>
        <v>PCM-ALS</v>
      </c>
      <c r="C329" s="13" t="s">
        <v>85</v>
      </c>
      <c r="E329" t="s">
        <v>4</v>
      </c>
      <c r="F329" t="s">
        <v>85</v>
      </c>
      <c r="G329" t="str">
        <f>LOOKUP(TabVMAzureEnvProjet[[#This Row],[Projet]],TabProjets[NomProj],TabProjets[SYGES])</f>
        <v>PCM/WEB</v>
      </c>
      <c r="H329">
        <f>LOOKUP(TabVMAzureEnvProjet[[#This Row],[Code SYGES]],TabCONTRATSDI[Contrat SYGES],TabCONTRATSDI[Cost Center])</f>
        <v>305704</v>
      </c>
      <c r="I329" s="22" t="str">
        <f>LOOKUP(TabVMAzureEnvProjet[[#This Row],[Code SYGES]],TabCONTRATSDI[Contrat SYGES],TabCONTRATSDI[Client])</f>
        <v>PCM</v>
      </c>
      <c r="J329" t="s">
        <v>139</v>
      </c>
      <c r="K329" s="46">
        <v>7.5709770844399253</v>
      </c>
      <c r="L329" s="41" t="s">
        <v>140</v>
      </c>
    </row>
    <row r="330" spans="1:12" x14ac:dyDescent="0.3">
      <c r="A330" s="22" t="str">
        <f>TabVMAzureEnvProjet[[#This Row],[Client]] &amp; " .:. "  &amp; TabVMAzureEnvProjet[[#This Row],[Projet]]</f>
        <v>PCM .:. PCM-WEB</v>
      </c>
      <c r="B330" s="22" t="str">
        <f>IF(TabVMAzureEnvProjet[[#This Row],[Projet AzureDevOps]]&lt;&gt;"",TabVMAzureEnvProjet[[#This Row],[Projet AzureDevOps]],TabVMAzureEnvProjet[[#This Row],[VM]])</f>
        <v>PCM-Web</v>
      </c>
      <c r="C330" s="13" t="s">
        <v>87</v>
      </c>
      <c r="E330" t="s">
        <v>4</v>
      </c>
      <c r="F330" t="s">
        <v>86</v>
      </c>
      <c r="G330" t="str">
        <f>LOOKUP(TabVMAzureEnvProjet[[#This Row],[Projet]],TabProjets[NomProj],TabProjets[SYGES])</f>
        <v>PCM/WEB</v>
      </c>
      <c r="H330">
        <f>LOOKUP(TabVMAzureEnvProjet[[#This Row],[Code SYGES]],TabCONTRATSDI[Contrat SYGES],TabCONTRATSDI[Cost Center])</f>
        <v>305704</v>
      </c>
      <c r="I330" s="22" t="str">
        <f>LOOKUP(TabVMAzureEnvProjet[[#This Row],[Code SYGES]],TabCONTRATSDI[Contrat SYGES],TabCONTRATSDI[Client])</f>
        <v>PCM</v>
      </c>
      <c r="J330" t="s">
        <v>139</v>
      </c>
      <c r="K330" s="46">
        <v>3.3272279408775507</v>
      </c>
      <c r="L330" s="41" t="s">
        <v>140</v>
      </c>
    </row>
    <row r="331" spans="1:12" x14ac:dyDescent="0.3">
      <c r="A331" s="22" t="str">
        <f>TabVMAzureEnvProjet[[#This Row],[Client]] &amp; " .:. "  &amp; TabVMAzureEnvProjet[[#This Row],[Projet]]</f>
        <v>SAFT .:. SAFT-PDM</v>
      </c>
      <c r="B331" s="22" t="str">
        <f>IF(TabVMAzureEnvProjet[[#This Row],[Projet AzureDevOps]]&lt;&gt;"",TabVMAzureEnvProjet[[#This Row],[Projet AzureDevOps]],TabVMAzureEnvProjet[[#This Row],[VM]])</f>
        <v>SAFT-PDM</v>
      </c>
      <c r="C331" s="13" t="s">
        <v>106</v>
      </c>
      <c r="E331" t="s">
        <v>4</v>
      </c>
      <c r="F331" t="s">
        <v>106</v>
      </c>
      <c r="G331" t="str">
        <f>LOOKUP(TabVMAzureEnvProjet[[#This Row],[Projet]],TabProjets[NomProj],TabProjets[SYGES])</f>
        <v>SAFT/TMA</v>
      </c>
      <c r="H331">
        <f>LOOKUP(TabVMAzureEnvProjet[[#This Row],[Code SYGES]],TabCONTRATSDI[Contrat SYGES],TabCONTRATSDI[Cost Center])</f>
        <v>305704</v>
      </c>
      <c r="I331" s="22" t="str">
        <f>LOOKUP(TabVMAzureEnvProjet[[#This Row],[Code SYGES]],TabCONTRATSDI[Contrat SYGES],TabCONTRATSDI[Client])</f>
        <v>SAFT</v>
      </c>
      <c r="J331" t="s">
        <v>139</v>
      </c>
      <c r="K331" s="46">
        <v>3.028210445663265</v>
      </c>
      <c r="L331" s="41" t="s">
        <v>140</v>
      </c>
    </row>
    <row r="332" spans="1:12" x14ac:dyDescent="0.3">
      <c r="A332" s="22" t="str">
        <f>TabVMAzureEnvProjet[[#This Row],[Client]] &amp; " .:. "  &amp; TabVMAzureEnvProjet[[#This Row],[Projet]]</f>
        <v>SPC .:. SPC-BUILD</v>
      </c>
      <c r="B332" s="22" t="str">
        <f>IF(TabVMAzureEnvProjet[[#This Row],[Projet AzureDevOps]]&lt;&gt;"",TabVMAzureEnvProjet[[#This Row],[Projet AzureDevOps]],TabVMAzureEnvProjet[[#This Row],[VM]])</f>
        <v>SPC-BUILD</v>
      </c>
      <c r="C332" s="13" t="s">
        <v>81</v>
      </c>
      <c r="E332" t="s">
        <v>4</v>
      </c>
      <c r="F332" t="s">
        <v>81</v>
      </c>
      <c r="G332" t="str">
        <f>LOOKUP(TabVMAzureEnvProjet[[#This Row],[Projet]],TabProjets[NomProj],TabProjets[SYGES])</f>
        <v>SPC/BUILD</v>
      </c>
      <c r="H332">
        <f>LOOKUP(TabVMAzureEnvProjet[[#This Row],[Code SYGES]],TabCONTRATSDI[Contrat SYGES],TabCONTRATSDI[Cost Center])</f>
        <v>305704</v>
      </c>
      <c r="I332" s="22" t="str">
        <f>LOOKUP(TabVMAzureEnvProjet[[#This Row],[Code SYGES]],TabCONTRATSDI[Contrat SYGES],TabCONTRATSDI[Client])</f>
        <v>SPC</v>
      </c>
      <c r="J332" t="s">
        <v>139</v>
      </c>
      <c r="K332" s="46">
        <v>37.06700578888092</v>
      </c>
      <c r="L332" s="41" t="s">
        <v>140</v>
      </c>
    </row>
    <row r="333" spans="1:12" x14ac:dyDescent="0.3">
      <c r="A333" s="22" t="str">
        <f>TabVMAzureEnvProjet[[#This Row],[Client]] &amp; " .:. "  &amp; TabVMAzureEnvProjet[[#This Row],[Projet]]</f>
        <v>SPC .:. SPC-WEB</v>
      </c>
      <c r="B333" s="22" t="str">
        <f>IF(TabVMAzureEnvProjet[[#This Row],[Projet AzureDevOps]]&lt;&gt;"",TabVMAzureEnvProjet[[#This Row],[Projet AzureDevOps]],TabVMAzureEnvProjet[[#This Row],[VM]])</f>
        <v>SPC-WEB</v>
      </c>
      <c r="C333" s="13" t="s">
        <v>83</v>
      </c>
      <c r="E333" t="s">
        <v>4</v>
      </c>
      <c r="F333" t="s">
        <v>83</v>
      </c>
      <c r="G333" t="str">
        <f>LOOKUP(TabVMAzureEnvProjet[[#This Row],[Projet]],TabProjets[NomProj],TabProjets[SYGES])</f>
        <v>SPC/BUILD-0-1-SITE-WEB</v>
      </c>
      <c r="H333">
        <f>LOOKUP(TabVMAzureEnvProjet[[#This Row],[Code SYGES]],TabCONTRATSDI[Contrat SYGES],TabCONTRATSDI[Cost Center])</f>
        <v>305704</v>
      </c>
      <c r="I333" s="22" t="str">
        <f>LOOKUP(TabVMAzureEnvProjet[[#This Row],[Code SYGES]],TabCONTRATSDI[Contrat SYGES],TabCONTRATSDI[Client])</f>
        <v>SPC</v>
      </c>
      <c r="J333" t="s">
        <v>139</v>
      </c>
      <c r="K333" s="46">
        <v>2.5611592236090224</v>
      </c>
      <c r="L333" s="41" t="s">
        <v>140</v>
      </c>
    </row>
    <row r="334" spans="1:12" x14ac:dyDescent="0.3">
      <c r="A334" s="22" t="str">
        <f>TabVMAzureEnvProjet[[#This Row],[Client]] &amp; " .:. "  &amp; TabVMAzureEnvProjet[[#This Row],[Projet]]</f>
        <v>ALM .:. ALM-ATOUT</v>
      </c>
      <c r="B334" s="22" t="str">
        <f>IF(TabVMAzureEnvProjet[[#This Row],[Projet AzureDevOps]]&lt;&gt;"",TabVMAzureEnvProjet[[#This Row],[Projet AzureDevOps]],TabVMAzureEnvProjet[[#This Row],[VM]])</f>
        <v>ALM-ATOUT-VM</v>
      </c>
      <c r="D334" t="s">
        <v>16</v>
      </c>
      <c r="E334" t="s">
        <v>8</v>
      </c>
      <c r="F334" t="s">
        <v>15</v>
      </c>
      <c r="G334" t="str">
        <f>LOOKUP(TabVMAzureEnvProjet[[#This Row],[Projet]],TabProjets[NomProj],TabProjets[SYGES])</f>
        <v>ALM/TMA_ATOUT</v>
      </c>
      <c r="H334">
        <f>LOOKUP(TabVMAzureEnvProjet[[#This Row],[Code SYGES]],TabCONTRATSDI[Contrat SYGES],TabCONTRATSDI[Cost Center])</f>
        <v>305704</v>
      </c>
      <c r="I334" s="22" t="str">
        <f>LOOKUP(TabVMAzureEnvProjet[[#This Row],[Code SYGES]],TabCONTRATSDI[Contrat SYGES],TabCONTRATSDI[Client])</f>
        <v>ALM</v>
      </c>
      <c r="J334" t="s">
        <v>139</v>
      </c>
      <c r="K334" s="31">
        <v>83.47</v>
      </c>
      <c r="L334" s="40" t="s">
        <v>141</v>
      </c>
    </row>
    <row r="335" spans="1:12" x14ac:dyDescent="0.3">
      <c r="A335" s="22" t="str">
        <f>TabVMAzureEnvProjet[[#This Row],[Client]] &amp; " .:. "  &amp; TabVMAzureEnvProjet[[#This Row],[Projet]]</f>
        <v>BRGM .:. BRGM-ORRM</v>
      </c>
      <c r="B335" s="22" t="str">
        <f>IF(TabVMAzureEnvProjet[[#This Row],[Projet AzureDevOps]]&lt;&gt;"",TabVMAzureEnvProjet[[#This Row],[Projet AzureDevOps]],TabVMAzureEnvProjet[[#This Row],[VM]])</f>
        <v>BRGM-ORRM-VM</v>
      </c>
      <c r="D335" t="s">
        <v>20</v>
      </c>
      <c r="E335" t="s">
        <v>19</v>
      </c>
      <c r="F335" t="s">
        <v>18</v>
      </c>
      <c r="G335" t="str">
        <f>LOOKUP(TabVMAzureEnvProjet[[#This Row],[Projet]],TabProjets[NomProj],TabProjets[SYGES])</f>
        <v>BRGM/TMA-5-1-ORRM-LOT1</v>
      </c>
      <c r="H335">
        <f>LOOKUP(TabVMAzureEnvProjet[[#This Row],[Code SYGES]],TabCONTRATSDI[Contrat SYGES],TabCONTRATSDI[Cost Center])</f>
        <v>305704</v>
      </c>
      <c r="I335" s="22" t="str">
        <f>LOOKUP(TabVMAzureEnvProjet[[#This Row],[Code SYGES]],TabCONTRATSDI[Contrat SYGES],TabCONTRATSDI[Client])</f>
        <v>BRGM</v>
      </c>
      <c r="J335" t="s">
        <v>139</v>
      </c>
      <c r="K335" s="31">
        <v>8.31</v>
      </c>
      <c r="L335" s="40" t="s">
        <v>141</v>
      </c>
    </row>
    <row r="336" spans="1:12" x14ac:dyDescent="0.3">
      <c r="A336" s="22" t="str">
        <f>TabVMAzureEnvProjet[[#This Row],[Client]] &amp; " .:. "  &amp; TabVMAzureEnvProjet[[#This Row],[Projet]]</f>
        <v>CA-TITRES .:. CATITRES-COMX</v>
      </c>
      <c r="B336" s="22" t="str">
        <f>IF(TabVMAzureEnvProjet[[#This Row],[Projet AzureDevOps]]&lt;&gt;"",TabVMAzureEnvProjet[[#This Row],[Projet AzureDevOps]],TabVMAzureEnvProjet[[#This Row],[VM]])</f>
        <v>CATITRES-COMX-VM</v>
      </c>
      <c r="D336" t="s">
        <v>23</v>
      </c>
      <c r="E336" t="s">
        <v>11</v>
      </c>
      <c r="F336" t="s">
        <v>22</v>
      </c>
      <c r="G336" t="str">
        <f>LOOKUP(TabVMAzureEnvProjet[[#This Row],[Projet]],TabProjets[NomProj],TabProjets[SYGES])</f>
        <v>CA-TITRES/TMA</v>
      </c>
      <c r="H336">
        <f>LOOKUP(TabVMAzureEnvProjet[[#This Row],[Code SYGES]],TabCONTRATSDI[Contrat SYGES],TabCONTRATSDI[Cost Center])</f>
        <v>305704</v>
      </c>
      <c r="I336" s="22" t="str">
        <f>LOOKUP(TabVMAzureEnvProjet[[#This Row],[Code SYGES]],TabCONTRATSDI[Contrat SYGES],TabCONTRATSDI[Client])</f>
        <v>CA-TITRES</v>
      </c>
      <c r="J336" t="s">
        <v>139</v>
      </c>
      <c r="K336" s="31">
        <v>139.36000000000001</v>
      </c>
      <c r="L336" s="40" t="s">
        <v>141</v>
      </c>
    </row>
    <row r="337" spans="1:12" x14ac:dyDescent="0.3">
      <c r="A337" s="22" t="str">
        <f>TabVMAzureEnvProjet[[#This Row],[Client]] &amp; " .:. "  &amp; TabVMAzureEnvProjet[[#This Row],[Projet]]</f>
        <v>EBR .:. EBR-LAPOSTE</v>
      </c>
      <c r="B337" s="22" t="str">
        <f>IF(TabVMAzureEnvProjet[[#This Row],[Projet AzureDevOps]]&lt;&gt;"",TabVMAzureEnvProjet[[#This Row],[Projet AzureDevOps]],TabVMAzureEnvProjet[[#This Row],[VM]])</f>
        <v>EBR-LAPOSTE-VM</v>
      </c>
      <c r="D337" t="s">
        <v>90</v>
      </c>
      <c r="E337" t="s">
        <v>11</v>
      </c>
      <c r="F337" t="s">
        <v>89</v>
      </c>
      <c r="G337" t="str">
        <f>LOOKUP(TabVMAzureEnvProjet[[#This Row],[Projet]],TabProjets[NomProj],TabProjets[SYGES])</f>
        <v>EBR/TMA</v>
      </c>
      <c r="H337">
        <f>LOOKUP(TabVMAzureEnvProjet[[#This Row],[Code SYGES]],TabCONTRATSDI[Contrat SYGES],TabCONTRATSDI[Cost Center])</f>
        <v>305704</v>
      </c>
      <c r="I337" s="22" t="str">
        <f>LOOKUP(TabVMAzureEnvProjet[[#This Row],[Code SYGES]],TabCONTRATSDI[Contrat SYGES],TabCONTRATSDI[Client])</f>
        <v>EBR</v>
      </c>
      <c r="J337" t="s">
        <v>139</v>
      </c>
      <c r="K337" s="31">
        <v>112.1</v>
      </c>
      <c r="L337" s="40" t="s">
        <v>141</v>
      </c>
    </row>
    <row r="338" spans="1:12" x14ac:dyDescent="0.3">
      <c r="A338" s="22" t="str">
        <f>TabVMAzureEnvProjet[[#This Row],[Client]] &amp; " .:. "  &amp; TabVMAzureEnvProjet[[#This Row],[Projet]]</f>
        <v>GFI .:. GFI-PMT</v>
      </c>
      <c r="B338" s="22" t="str">
        <f>IF(TabVMAzureEnvProjet[[#This Row],[Projet AzureDevOps]]&lt;&gt;"",TabVMAzureEnvProjet[[#This Row],[Projet AzureDevOps]],TabVMAzureEnvProjet[[#This Row],[VM]])</f>
        <v>GFI-PMT-VM</v>
      </c>
      <c r="D338" t="s">
        <v>48</v>
      </c>
      <c r="E338" t="s">
        <v>11</v>
      </c>
      <c r="F338" t="s">
        <v>47</v>
      </c>
      <c r="G338" t="str">
        <f>LOOKUP(TabVMAzureEnvProjet[[#This Row],[Projet]],TabProjets[NomProj],TabProjets[SYGES])</f>
        <v>GFI/PROJET_INTERNE</v>
      </c>
      <c r="H338">
        <f>LOOKUP(TabVMAzureEnvProjet[[#This Row],[Code SYGES]],TabCONTRATSDI[Contrat SYGES],TabCONTRATSDI[Cost Center])</f>
        <v>305704</v>
      </c>
      <c r="I338" s="22" t="str">
        <f>LOOKUP(TabVMAzureEnvProjet[[#This Row],[Code SYGES]],TabCONTRATSDI[Contrat SYGES],TabCONTRATSDI[Client])</f>
        <v>GFI</v>
      </c>
      <c r="J338" t="s">
        <v>139</v>
      </c>
      <c r="K338" s="31">
        <v>19.84</v>
      </c>
      <c r="L338" s="40" t="s">
        <v>141</v>
      </c>
    </row>
    <row r="339" spans="1:12" x14ac:dyDescent="0.3">
      <c r="A339" s="34" t="str">
        <f>TabVMAzureEnvProjet[[#This Row],[Client]] &amp; " .:. "  &amp; TabVMAzureEnvProjet[[#This Row],[Projet]]</f>
        <v>MENESR .:. MENJ-BI</v>
      </c>
      <c r="B339" s="22" t="str">
        <f>IF(TabVMAzureEnvProjet[[#This Row],[Projet AzureDevOps]]&lt;&gt;"",TabVMAzureEnvProjet[[#This Row],[Projet AzureDevOps]],TabVMAzureEnvProjet[[#This Row],[VM]])</f>
        <v>MENJ-BI-VM</v>
      </c>
      <c r="D339" t="s">
        <v>66</v>
      </c>
      <c r="E339" t="s">
        <v>8</v>
      </c>
      <c r="F339" t="s">
        <v>65</v>
      </c>
      <c r="G339" t="str">
        <f>LOOKUP(TabVMAzureEnvProjet[[#This Row],[Projet]],TabProjets[NomProj],TabProjets[SYGES])</f>
        <v>MENESR/TMA</v>
      </c>
      <c r="H339">
        <f>LOOKUP(TabVMAzureEnvProjet[[#This Row],[Code SYGES]],TabCONTRATSDI[Contrat SYGES],TabCONTRATSDI[Cost Center])</f>
        <v>305704</v>
      </c>
      <c r="I339" s="22" t="str">
        <f>LOOKUP(TabVMAzureEnvProjet[[#This Row],[Code SYGES]],TabCONTRATSDI[Contrat SYGES],TabCONTRATSDI[Client])</f>
        <v>MENESR</v>
      </c>
      <c r="J339" t="s">
        <v>139</v>
      </c>
      <c r="K339" s="31">
        <v>3.92</v>
      </c>
      <c r="L339" s="40" t="s">
        <v>141</v>
      </c>
    </row>
    <row r="340" spans="1:12" x14ac:dyDescent="0.3">
      <c r="A340" s="34" t="str">
        <f>TabVMAzureEnvProjet[[#This Row],[Client]] &amp; " .:. "  &amp; TabVMAzureEnvProjet[[#This Row],[Projet]]</f>
        <v>AFB .:. AFB-NatureFrance</v>
      </c>
      <c r="B340" s="22" t="str">
        <f>IF(TabVMAzureEnvProjet[[#This Row],[Projet AzureDevOps]]&lt;&gt;"",TabVMAzureEnvProjet[[#This Row],[Projet AzureDevOps]],TabVMAzureEnvProjet[[#This Row],[VM]])</f>
        <v>OFB-FRANCENATURE-VM</v>
      </c>
      <c r="D340" t="s">
        <v>9</v>
      </c>
      <c r="E340" t="s">
        <v>8</v>
      </c>
      <c r="F340" t="s">
        <v>7</v>
      </c>
      <c r="G340" t="str">
        <f>LOOKUP(TabVMAzureEnvProjet[[#This Row],[Projet]],TabProjets[NomProj],TabProjets[SYGES])</f>
        <v>AFB/OFB_LOT2</v>
      </c>
      <c r="H340">
        <f>LOOKUP(TabVMAzureEnvProjet[[#This Row],[Code SYGES]],TabCONTRATSDI[Contrat SYGES],TabCONTRATSDI[Cost Center])</f>
        <v>305704</v>
      </c>
      <c r="I340" s="22" t="str">
        <f>LOOKUP(TabVMAzureEnvProjet[[#This Row],[Code SYGES]],TabCONTRATSDI[Contrat SYGES],TabCONTRATSDI[Client])</f>
        <v>AFB</v>
      </c>
      <c r="J340" t="s">
        <v>139</v>
      </c>
      <c r="K340" s="31">
        <v>11.46</v>
      </c>
      <c r="L340" s="40" t="s">
        <v>141</v>
      </c>
    </row>
    <row r="341" spans="1:12" x14ac:dyDescent="0.3">
      <c r="A341" s="34" t="str">
        <f>TabVMAzureEnvProjet[[#This Row],[Client]] &amp; " .:. "  &amp; TabVMAzureEnvProjet[[#This Row],[Projet]]</f>
        <v>AFB .:. OFB-SISPEA</v>
      </c>
      <c r="B341" s="22" t="str">
        <f>IF(TabVMAzureEnvProjet[[#This Row],[Projet AzureDevOps]]&lt;&gt;"",TabVMAzureEnvProjet[[#This Row],[Projet AzureDevOps]],TabVMAzureEnvProjet[[#This Row],[VM]])</f>
        <v>OFB-SISPEA-VM</v>
      </c>
      <c r="D341" t="s">
        <v>12</v>
      </c>
      <c r="E341" t="s">
        <v>11</v>
      </c>
      <c r="F341" t="s">
        <v>10</v>
      </c>
      <c r="G341" t="str">
        <f>LOOKUP(TabVMAzureEnvProjet[[#This Row],[Projet]],TabProjets[NomProj],TabProjets[SYGES])</f>
        <v>AFB/OFB_LOT2</v>
      </c>
      <c r="H341">
        <f>LOOKUP(TabVMAzureEnvProjet[[#This Row],[Code SYGES]],TabCONTRATSDI[Contrat SYGES],TabCONTRATSDI[Cost Center])</f>
        <v>305704</v>
      </c>
      <c r="I341" s="22" t="str">
        <f>LOOKUP(TabVMAzureEnvProjet[[#This Row],[Code SYGES]],TabCONTRATSDI[Contrat SYGES],TabCONTRATSDI[Client])</f>
        <v>AFB</v>
      </c>
      <c r="J341" t="s">
        <v>139</v>
      </c>
      <c r="K341" s="31">
        <v>27.06</v>
      </c>
      <c r="L341" s="40" t="s">
        <v>141</v>
      </c>
    </row>
    <row r="342" spans="1:12" x14ac:dyDescent="0.3">
      <c r="A342" s="34" t="str">
        <f>TabVMAzureEnvProjet[[#This Row],[Client]] &amp; " .:. "  &amp; TabVMAzureEnvProjet[[#This Row],[Projet]]</f>
        <v>SPC .:. SPC-BUILD</v>
      </c>
      <c r="B342" s="22" t="str">
        <f>IF(TabVMAzureEnvProjet[[#This Row],[Projet AzureDevOps]]&lt;&gt;"",TabVMAzureEnvProjet[[#This Row],[Projet AzureDevOps]],TabVMAzureEnvProjet[[#This Row],[VM]])</f>
        <v>SPC-BUILDAS-VM</v>
      </c>
      <c r="D342" t="s">
        <v>82</v>
      </c>
      <c r="E342" t="s">
        <v>11</v>
      </c>
      <c r="F342" t="s">
        <v>81</v>
      </c>
      <c r="G342" t="str">
        <f>LOOKUP(TabVMAzureEnvProjet[[#This Row],[Projet]],TabProjets[NomProj],TabProjets[SYGES])</f>
        <v>SPC/BUILD</v>
      </c>
      <c r="H342">
        <f>LOOKUP(TabVMAzureEnvProjet[[#This Row],[Code SYGES]],TabCONTRATSDI[Contrat SYGES],TabCONTRATSDI[Cost Center])</f>
        <v>305704</v>
      </c>
      <c r="I342" s="22" t="str">
        <f>LOOKUP(TabVMAzureEnvProjet[[#This Row],[Code SYGES]],TabCONTRATSDI[Contrat SYGES],TabCONTRATSDI[Client])</f>
        <v>SPC</v>
      </c>
      <c r="J342" t="s">
        <v>139</v>
      </c>
      <c r="K342" s="31">
        <v>69.48</v>
      </c>
      <c r="L342" s="40" t="s">
        <v>141</v>
      </c>
    </row>
    <row r="343" spans="1:12" x14ac:dyDescent="0.3">
      <c r="A343" s="34" t="str">
        <f>TabVMAzureEnvProjet[[#This Row],[Client]] &amp; " .:. "  &amp; TabVMAzureEnvProjet[[#This Row],[Projet]]</f>
        <v>STMICRO .:. STMICRO-DATAPACK</v>
      </c>
      <c r="B343" s="22" t="str">
        <f>IF(TabVMAzureEnvProjet[[#This Row],[Projet AzureDevOps]]&lt;&gt;"",TabVMAzureEnvProjet[[#This Row],[Projet AzureDevOps]],TabVMAzureEnvProjet[[#This Row],[VM]])</f>
        <v>STMICRO-DATAPACK-VM</v>
      </c>
      <c r="D343" t="s">
        <v>109</v>
      </c>
      <c r="E343" t="s">
        <v>11</v>
      </c>
      <c r="F343" t="s">
        <v>108</v>
      </c>
      <c r="G343" t="str">
        <f>LOOKUP(TabVMAzureEnvProjet[[#This Row],[Projet]],TabProjets[NomProj],TabProjets[SYGES])</f>
        <v>STMICRO/TMASI</v>
      </c>
      <c r="H343">
        <f>LOOKUP(TabVMAzureEnvProjet[[#This Row],[Code SYGES]],TabCONTRATSDI[Contrat SYGES],TabCONTRATSDI[Cost Center])</f>
        <v>305704</v>
      </c>
      <c r="I343" s="22" t="str">
        <f>LOOKUP(TabVMAzureEnvProjet[[#This Row],[Code SYGES]],TabCONTRATSDI[Contrat SYGES],TabCONTRATSDI[Client])</f>
        <v>STMICRO</v>
      </c>
      <c r="J343" t="s">
        <v>139</v>
      </c>
      <c r="K343" s="31">
        <v>37.06</v>
      </c>
      <c r="L343" s="40" t="s">
        <v>141</v>
      </c>
    </row>
    <row r="344" spans="1:12" x14ac:dyDescent="0.3">
      <c r="A344" s="34" t="str">
        <f>TabVMAzureEnvProjet[[#This Row],[Client]] &amp; " .:. "  &amp; TabVMAzureEnvProjet[[#This Row],[Projet]]</f>
        <v>FRR .:. FRR-DIGIPAT</v>
      </c>
      <c r="B344" s="22" t="str">
        <f>IF(TabVMAzureEnvProjet[[#This Row],[Projet AzureDevOps]]&lt;&gt;"",TabVMAzureEnvProjet[[#This Row],[Projet AzureDevOps]],TabVMAzureEnvProjet[[#This Row],[VM]])</f>
        <v>FRR-DIGIPAT-VM</v>
      </c>
      <c r="D344" t="s">
        <v>29</v>
      </c>
      <c r="E344" t="s">
        <v>19</v>
      </c>
      <c r="F344" t="s">
        <v>27</v>
      </c>
      <c r="G344" t="str">
        <f>LOOKUP(TabVMAzureEnvProjet[[#This Row],[Projet]],TabProjets[NomProj],TabProjets[SYGES])</f>
        <v>FRR/TMASI</v>
      </c>
      <c r="H344">
        <f>LOOKUP(TabVMAzureEnvProjet[[#This Row],[Code SYGES]],TabCONTRATSDI[Contrat SYGES],TabCONTRATSDI[Cost Center])</f>
        <v>305704</v>
      </c>
      <c r="I344" s="22" t="str">
        <f>LOOKUP(TabVMAzureEnvProjet[[#This Row],[Code SYGES]],TabCONTRATSDI[Contrat SYGES],TabCONTRATSDI[Client])</f>
        <v>FRR</v>
      </c>
      <c r="J344" t="s">
        <v>139</v>
      </c>
      <c r="K344" s="31">
        <v>21.64</v>
      </c>
      <c r="L344" s="40" t="s">
        <v>141</v>
      </c>
    </row>
    <row r="345" spans="1:12" x14ac:dyDescent="0.3">
      <c r="A345" s="22" t="str">
        <f>TabVMAzureEnvProjet[[#This Row],[Client]] &amp; " .:. "  &amp; TabVMAzureEnvProjet[[#This Row],[Projet]]</f>
        <v>GFI .:. GFI-WAAC</v>
      </c>
      <c r="B345" s="22" t="str">
        <f>IF(TabVMAzureEnvProjet[[#This Row],[Projet AzureDevOps]]&lt;&gt;"",TabVMAzureEnvProjet[[#This Row],[Projet AzureDevOps]],TabVMAzureEnvProjet[[#This Row],[VM]])</f>
        <v>GFI-WAAC-VM</v>
      </c>
      <c r="D345" t="s">
        <v>53</v>
      </c>
      <c r="E345" t="s">
        <v>8</v>
      </c>
      <c r="F345" t="s">
        <v>52</v>
      </c>
      <c r="G345" t="str">
        <f>LOOKUP(TabVMAzureEnvProjet[[#This Row],[Projet]],TabProjets[NomProj],TabProjets[SYGES])</f>
        <v>383928 - WAAC 1.0</v>
      </c>
      <c r="H345">
        <f>LOOKUP(TabVMAzureEnvProjet[[#This Row],[Code SYGES]],TabCONTRATSDI[Contrat SYGES],TabCONTRATSDI[Cost Center])</f>
        <v>100973</v>
      </c>
      <c r="I345" s="22" t="str">
        <f>LOOKUP(TabVMAzureEnvProjet[[#This Row],[Code SYGES]],TabCONTRATSDI[Contrat SYGES],TabCONTRATSDI[Client])</f>
        <v>GFI</v>
      </c>
      <c r="J345" t="s">
        <v>139</v>
      </c>
      <c r="K345" s="31">
        <v>3.84</v>
      </c>
      <c r="L345" s="40" t="s">
        <v>141</v>
      </c>
    </row>
    <row r="346" spans="1:12" x14ac:dyDescent="0.3">
      <c r="A346" s="22" t="str">
        <f>TabVMAzureEnvProjet[[#This Row],[Client]] &amp; " .:. "  &amp; TabVMAzureEnvProjet[[#This Row],[Projet]]</f>
        <v>LAPOSTE .:. LAPOSTE-CDC</v>
      </c>
      <c r="B346" s="22" t="str">
        <f>IF(TabVMAzureEnvProjet[[#This Row],[Projet AzureDevOps]]&lt;&gt;"",TabVMAzureEnvProjet[[#This Row],[Projet AzureDevOps]],TabVMAzureEnvProjet[[#This Row],[VM]])</f>
        <v>LAPOSTE-CDC-VM</v>
      </c>
      <c r="D346" t="s">
        <v>100</v>
      </c>
      <c r="E346" t="s">
        <v>11</v>
      </c>
      <c r="F346" t="s">
        <v>99</v>
      </c>
      <c r="G346" t="str">
        <f>LOOKUP(TabVMAzureEnvProjet[[#This Row],[Projet]],TabProjets[NomProj],TabProjets[SYGES])</f>
        <v>LA-POSTE/CDC_DRUPAL</v>
      </c>
      <c r="H346">
        <f>LOOKUP(TabVMAzureEnvProjet[[#This Row],[Code SYGES]],TabCONTRATSDI[Contrat SYGES],TabCONTRATSDI[Cost Center])</f>
        <v>305704</v>
      </c>
      <c r="I346" s="22" t="str">
        <f>LOOKUP(TabVMAzureEnvProjet[[#This Row],[Code SYGES]],TabCONTRATSDI[Contrat SYGES],TabCONTRATSDI[Client])</f>
        <v>LAPOSTE</v>
      </c>
      <c r="J346" t="s">
        <v>139</v>
      </c>
      <c r="K346" s="31">
        <v>4.03</v>
      </c>
      <c r="L346" s="40" t="s">
        <v>141</v>
      </c>
    </row>
    <row r="347" spans="1:12" x14ac:dyDescent="0.3">
      <c r="A347" s="22" t="str">
        <f>TabVMAzureEnvProjet[[#This Row],[Client]] &amp; " .:. "  &amp; TabVMAzureEnvProjet[[#This Row],[Projet]]</f>
        <v>ONEMA .:. AFB-BASEINDICATEURS</v>
      </c>
      <c r="B347" s="22" t="str">
        <f>IF(TabVMAzureEnvProjet[[#This Row],[Projet AzureDevOps]]&lt;&gt;"",TabVMAzureEnvProjet[[#This Row],[Projet AzureDevOps]],TabVMAzureEnvProjet[[#This Row],[VM]])</f>
        <v>AFB-BaseIndicateurs</v>
      </c>
      <c r="C347" s="47" t="s">
        <v>72</v>
      </c>
      <c r="E347" t="s">
        <v>4</v>
      </c>
      <c r="F347" t="s">
        <v>71</v>
      </c>
      <c r="G347" t="str">
        <f>LOOKUP(TabVMAzureEnvProjet[[#This Row],[Projet]],TabProjets[NomProj],TabProjets[SYGES])</f>
        <v>ONEMA/TMADCUA-15</v>
      </c>
      <c r="H347">
        <f>LOOKUP(TabVMAzureEnvProjet[[#This Row],[Code SYGES]],TabCONTRATSDI[Contrat SYGES],TabCONTRATSDI[Cost Center])</f>
        <v>305704</v>
      </c>
      <c r="I347" s="22" t="str">
        <f>LOOKUP(TabVMAzureEnvProjet[[#This Row],[Code SYGES]],TabCONTRATSDI[Contrat SYGES],TabCONTRATSDI[Client])</f>
        <v>ONEMA</v>
      </c>
      <c r="J347" t="s">
        <v>142</v>
      </c>
      <c r="K347" s="31">
        <v>0.54191800844999993</v>
      </c>
      <c r="L347" s="41" t="s">
        <v>143</v>
      </c>
    </row>
    <row r="348" spans="1:12" x14ac:dyDescent="0.3">
      <c r="A348" s="22" t="str">
        <f>TabVMAzureEnvProjet[[#This Row],[Client]] &amp; " .:. "  &amp; TabVMAzureEnvProjet[[#This Row],[Projet]]</f>
        <v>ONEMA .:. AFB-CATALOGUE</v>
      </c>
      <c r="B348" s="22" t="str">
        <f>IF(TabVMAzureEnvProjet[[#This Row],[Projet AzureDevOps]]&lt;&gt;"",TabVMAzureEnvProjet[[#This Row],[Projet AzureDevOps]],TabVMAzureEnvProjet[[#This Row],[VM]])</f>
        <v>AFB-Catalogue</v>
      </c>
      <c r="C348" s="47" t="s">
        <v>74</v>
      </c>
      <c r="E348" t="s">
        <v>4</v>
      </c>
      <c r="F348" t="s">
        <v>73</v>
      </c>
      <c r="G348" t="str">
        <f>LOOKUP(TabVMAzureEnvProjet[[#This Row],[Projet]],TabProjets[NomProj],TabProjets[SYGES])</f>
        <v>ONEMA/TMADCUA-15</v>
      </c>
      <c r="H348">
        <f>LOOKUP(TabVMAzureEnvProjet[[#This Row],[Code SYGES]],TabCONTRATSDI[Contrat SYGES],TabCONTRATSDI[Cost Center])</f>
        <v>305704</v>
      </c>
      <c r="I348" s="22" t="str">
        <f>LOOKUP(TabVMAzureEnvProjet[[#This Row],[Code SYGES]],TabCONTRATSDI[Contrat SYGES],TabCONTRATSDI[Client])</f>
        <v>ONEMA</v>
      </c>
      <c r="J348" t="s">
        <v>142</v>
      </c>
      <c r="K348" s="31">
        <v>1.9538540440714285</v>
      </c>
      <c r="L348" s="41" t="s">
        <v>143</v>
      </c>
    </row>
    <row r="349" spans="1:12" x14ac:dyDescent="0.3">
      <c r="A349" s="22" t="str">
        <f>TabVMAzureEnvProjet[[#This Row],[Client]] &amp; " .:. "  &amp; TabVMAzureEnvProjet[[#This Row],[Projet]]</f>
        <v>ONEMA .:. AFB-CDR</v>
      </c>
      <c r="B349" s="22" t="str">
        <f>IF(TabVMAzureEnvProjet[[#This Row],[Projet AzureDevOps]]&lt;&gt;"",TabVMAzureEnvProjet[[#This Row],[Projet AzureDevOps]],TabVMAzureEnvProjet[[#This Row],[VM]])</f>
        <v>AFB-CDR</v>
      </c>
      <c r="C349" s="47" t="s">
        <v>75</v>
      </c>
      <c r="E349" t="s">
        <v>4</v>
      </c>
      <c r="F349" t="s">
        <v>75</v>
      </c>
      <c r="G349" t="str">
        <f>LOOKUP(TabVMAzureEnvProjet[[#This Row],[Projet]],TabProjets[NomProj],TabProjets[SYGES])</f>
        <v>ONEMA/TMAWEB-16</v>
      </c>
      <c r="H349">
        <f>LOOKUP(TabVMAzureEnvProjet[[#This Row],[Code SYGES]],TabCONTRATSDI[Contrat SYGES],TabCONTRATSDI[Cost Center])</f>
        <v>305704</v>
      </c>
      <c r="I349" s="22" t="str">
        <f>LOOKUP(TabVMAzureEnvProjet[[#This Row],[Code SYGES]],TabCONTRATSDI[Contrat SYGES],TabCONTRATSDI[Client])</f>
        <v>ONEMA</v>
      </c>
      <c r="J349" t="s">
        <v>142</v>
      </c>
      <c r="K349" s="31">
        <v>8.353320436652405</v>
      </c>
      <c r="L349" s="41" t="s">
        <v>143</v>
      </c>
    </row>
    <row r="350" spans="1:12" x14ac:dyDescent="0.3">
      <c r="A350" s="22" t="str">
        <f>TabVMAzureEnvProjet[[#This Row],[Client]] &amp; " .:. "  &amp; TabVMAzureEnvProjet[[#This Row],[Projet]]</f>
        <v>AFB .:. AFB-CESMIA</v>
      </c>
      <c r="B350" s="22" t="str">
        <f>IF(TabVMAzureEnvProjet[[#This Row],[Projet AzureDevOps]]&lt;&gt;"",TabVMAzureEnvProjet[[#This Row],[Projet AzureDevOps]],TabVMAzureEnvProjet[[#This Row],[VM]])</f>
        <v>AFB-CESMIA</v>
      </c>
      <c r="C350" s="47" t="s">
        <v>3</v>
      </c>
      <c r="E350" t="s">
        <v>4</v>
      </c>
      <c r="F350" t="s">
        <v>3</v>
      </c>
      <c r="G350" t="str">
        <f>LOOKUP(TabVMAzureEnvProjet[[#This Row],[Projet]],TabProjets[NomProj],TabProjets[SYGES])</f>
        <v>AFB/OFB_LOT1</v>
      </c>
      <c r="H350">
        <f>LOOKUP(TabVMAzureEnvProjet[[#This Row],[Code SYGES]],TabCONTRATSDI[Contrat SYGES],TabCONTRATSDI[Cost Center])</f>
        <v>305704</v>
      </c>
      <c r="I350" s="22" t="str">
        <f>LOOKUP(TabVMAzureEnvProjet[[#This Row],[Code SYGES]],TabCONTRATSDI[Contrat SYGES],TabCONTRATSDI[Client])</f>
        <v>AFB</v>
      </c>
      <c r="J350" t="s">
        <v>142</v>
      </c>
      <c r="K350" s="31">
        <v>10.506672025636158</v>
      </c>
      <c r="L350" s="41" t="s">
        <v>143</v>
      </c>
    </row>
    <row r="351" spans="1:12" x14ac:dyDescent="0.3">
      <c r="A351" s="22" t="str">
        <f>TabVMAzureEnvProjet[[#This Row],[Client]] &amp; " .:. "  &amp; TabVMAzureEnvProjet[[#This Row],[Projet]]</f>
        <v>ONEMA .:. AFB-OISON</v>
      </c>
      <c r="B351" s="22" t="str">
        <f>IF(TabVMAzureEnvProjet[[#This Row],[Projet AzureDevOps]]&lt;&gt;"",TabVMAzureEnvProjet[[#This Row],[Projet AzureDevOps]],TabVMAzureEnvProjet[[#This Row],[VM]])</f>
        <v>AFB-OISON</v>
      </c>
      <c r="C351" s="47" t="s">
        <v>76</v>
      </c>
      <c r="E351" t="s">
        <v>4</v>
      </c>
      <c r="F351" t="s">
        <v>76</v>
      </c>
      <c r="G351" t="str">
        <f>LOOKUP(TabVMAzureEnvProjet[[#This Row],[Projet]],TabProjets[NomProj],TabProjets[SYGES])</f>
        <v>ONEMA/TMADCUA-15</v>
      </c>
      <c r="H351">
        <f>LOOKUP(TabVMAzureEnvProjet[[#This Row],[Code SYGES]],TabCONTRATSDI[Contrat SYGES],TabCONTRATSDI[Cost Center])</f>
        <v>305704</v>
      </c>
      <c r="I351" s="22" t="str">
        <f>LOOKUP(TabVMAzureEnvProjet[[#This Row],[Code SYGES]],TabCONTRATSDI[Contrat SYGES],TabCONTRATSDI[Client])</f>
        <v>ONEMA</v>
      </c>
      <c r="J351" t="s">
        <v>142</v>
      </c>
      <c r="K351" s="31">
        <v>1.4467125603733746</v>
      </c>
      <c r="L351" s="41" t="s">
        <v>143</v>
      </c>
    </row>
    <row r="352" spans="1:12" x14ac:dyDescent="0.3">
      <c r="A352" s="22" t="str">
        <f>TabVMAzureEnvProjet[[#This Row],[Client]] &amp; " .:. "  &amp; TabVMAzureEnvProjet[[#This Row],[Projet]]</f>
        <v>ONEMA .:. AFB-PATBIODIV</v>
      </c>
      <c r="B352" s="22" t="str">
        <f>IF(TabVMAzureEnvProjet[[#This Row],[Projet AzureDevOps]]&lt;&gt;"",TabVMAzureEnvProjet[[#This Row],[Projet AzureDevOps]],TabVMAzureEnvProjet[[#This Row],[VM]])</f>
        <v>AFB-PATBiodiv</v>
      </c>
      <c r="C352" s="47" t="s">
        <v>78</v>
      </c>
      <c r="E352" t="s">
        <v>4</v>
      </c>
      <c r="F352" t="s">
        <v>77</v>
      </c>
      <c r="G352" t="str">
        <f>LOOKUP(TabVMAzureEnvProjet[[#This Row],[Projet]],TabProjets[NomProj],TabProjets[SYGES])</f>
        <v>ONEMA/TMADCUA-15</v>
      </c>
      <c r="H352">
        <f>LOOKUP(TabVMAzureEnvProjet[[#This Row],[Code SYGES]],TabCONTRATSDI[Contrat SYGES],TabCONTRATSDI[Cost Center])</f>
        <v>305704</v>
      </c>
      <c r="I352" s="22" t="str">
        <f>LOOKUP(TabVMAzureEnvProjet[[#This Row],[Code SYGES]],TabCONTRATSDI[Contrat SYGES],TabCONTRATSDI[Client])</f>
        <v>ONEMA</v>
      </c>
      <c r="J352" t="s">
        <v>142</v>
      </c>
      <c r="K352" s="31">
        <v>5.129788494953571</v>
      </c>
      <c r="L352" s="41" t="s">
        <v>143</v>
      </c>
    </row>
    <row r="353" spans="1:12" x14ac:dyDescent="0.3">
      <c r="A353" s="22" t="str">
        <f>TabVMAzureEnvProjet[[#This Row],[Client]] &amp; " .:. "  &amp; TabVMAzureEnvProjet[[#This Row],[Projet]]</f>
        <v>AFB .:. AFB-PNM</v>
      </c>
      <c r="B353" s="22" t="str">
        <f>IF(TabVMAzureEnvProjet[[#This Row],[Projet AzureDevOps]]&lt;&gt;"",TabVMAzureEnvProjet[[#This Row],[Projet AzureDevOps]],TabVMAzureEnvProjet[[#This Row],[VM]])</f>
        <v>AFB-PNM</v>
      </c>
      <c r="C353" s="47" t="s">
        <v>5</v>
      </c>
      <c r="E353" t="s">
        <v>4</v>
      </c>
      <c r="F353" t="s">
        <v>5</v>
      </c>
      <c r="G353" t="str">
        <f>LOOKUP(TabVMAzureEnvProjet[[#This Row],[Projet]],TabProjets[NomProj],TabProjets[SYGES])</f>
        <v>AFB/OFB_LOT2</v>
      </c>
      <c r="H353">
        <f>LOOKUP(TabVMAzureEnvProjet[[#This Row],[Code SYGES]],TabCONTRATSDI[Contrat SYGES],TabCONTRATSDI[Cost Center])</f>
        <v>305704</v>
      </c>
      <c r="I353" s="22" t="str">
        <f>LOOKUP(TabVMAzureEnvProjet[[#This Row],[Code SYGES]],TabCONTRATSDI[Contrat SYGES],TabCONTRATSDI[Client])</f>
        <v>AFB</v>
      </c>
      <c r="J353" t="s">
        <v>142</v>
      </c>
      <c r="K353" s="31">
        <v>7.2929497215806531</v>
      </c>
      <c r="L353" s="41" t="s">
        <v>143</v>
      </c>
    </row>
    <row r="354" spans="1:12" x14ac:dyDescent="0.3">
      <c r="A354" s="22" t="str">
        <f>TabVMAzureEnvProjet[[#This Row],[Client]] &amp; " .:. "  &amp; TabVMAzureEnvProjet[[#This Row],[Projet]]</f>
        <v>AFB .:. AFB-PNX</v>
      </c>
      <c r="B354" s="22" t="str">
        <f>IF(TabVMAzureEnvProjet[[#This Row],[Projet AzureDevOps]]&lt;&gt;"",TabVMAzureEnvProjet[[#This Row],[Projet AzureDevOps]],TabVMAzureEnvProjet[[#This Row],[VM]])</f>
        <v>AFB-PNX</v>
      </c>
      <c r="C354" s="47" t="s">
        <v>6</v>
      </c>
      <c r="E354" t="s">
        <v>4</v>
      </c>
      <c r="F354" t="s">
        <v>6</v>
      </c>
      <c r="G354" t="str">
        <f>LOOKUP(TabVMAzureEnvProjet[[#This Row],[Projet]],TabProjets[NomProj],TabProjets[SYGES])</f>
        <v>AFB/OFB_LOT2</v>
      </c>
      <c r="H354">
        <f>LOOKUP(TabVMAzureEnvProjet[[#This Row],[Code SYGES]],TabCONTRATSDI[Contrat SYGES],TabCONTRATSDI[Cost Center])</f>
        <v>305704</v>
      </c>
      <c r="I354" s="22" t="str">
        <f>LOOKUP(TabVMAzureEnvProjet[[#This Row],[Code SYGES]],TabCONTRATSDI[Contrat SYGES],TabCONTRATSDI[Client])</f>
        <v>AFB</v>
      </c>
      <c r="J354" t="s">
        <v>142</v>
      </c>
      <c r="K354" s="31">
        <v>2.5428600591263639</v>
      </c>
      <c r="L354" s="41" t="s">
        <v>143</v>
      </c>
    </row>
    <row r="355" spans="1:12" x14ac:dyDescent="0.3">
      <c r="A355" s="22" t="str">
        <f>TabVMAzureEnvProjet[[#This Row],[Client]] &amp; " .:. "  &amp; TabVMAzureEnvProjet[[#This Row],[Projet]]</f>
        <v>ONEMA .:. AFB-RAA</v>
      </c>
      <c r="B355" s="22" t="str">
        <f>IF(TabVMAzureEnvProjet[[#This Row],[Projet AzureDevOps]]&lt;&gt;"",TabVMAzureEnvProjet[[#This Row],[Projet AzureDevOps]],TabVMAzureEnvProjet[[#This Row],[VM]])</f>
        <v>AFB-RAA</v>
      </c>
      <c r="C355" s="47" t="s">
        <v>79</v>
      </c>
      <c r="E355" t="s">
        <v>4</v>
      </c>
      <c r="F355" t="s">
        <v>79</v>
      </c>
      <c r="G355" t="str">
        <f>LOOKUP(TabVMAzureEnvProjet[[#This Row],[Projet]],TabProjets[NomProj],TabProjets[SYGES])</f>
        <v>ONEMA/TMAWEB-16</v>
      </c>
      <c r="H355">
        <f>LOOKUP(TabVMAzureEnvProjet[[#This Row],[Code SYGES]],TabCONTRATSDI[Contrat SYGES],TabCONTRATSDI[Cost Center])</f>
        <v>305704</v>
      </c>
      <c r="I355" s="22" t="str">
        <f>LOOKUP(TabVMAzureEnvProjet[[#This Row],[Code SYGES]],TabCONTRATSDI[Contrat SYGES],TabCONTRATSDI[Client])</f>
        <v>ONEMA</v>
      </c>
      <c r="J355" t="s">
        <v>142</v>
      </c>
      <c r="K355" s="31">
        <v>0.23225057504999999</v>
      </c>
      <c r="L355" s="41" t="s">
        <v>143</v>
      </c>
    </row>
    <row r="356" spans="1:12" x14ac:dyDescent="0.3">
      <c r="A356" s="22" t="str">
        <f>TabVMAzureEnvProjet[[#This Row],[Client]] &amp; " .:. "  &amp; TabVMAzureEnvProjet[[#This Row],[Projet]]</f>
        <v>ALM .:. ALM-ATOUT</v>
      </c>
      <c r="B356" s="22" t="str">
        <f>IF(TabVMAzureEnvProjet[[#This Row],[Projet AzureDevOps]]&lt;&gt;"",TabVMAzureEnvProjet[[#This Row],[Projet AzureDevOps]],TabVMAzureEnvProjet[[#This Row],[VM]])</f>
        <v>ALM-ATOUT</v>
      </c>
      <c r="C356" s="47" t="s">
        <v>15</v>
      </c>
      <c r="E356" t="s">
        <v>4</v>
      </c>
      <c r="F356" t="s">
        <v>15</v>
      </c>
      <c r="G356" t="str">
        <f>LOOKUP(TabVMAzureEnvProjet[[#This Row],[Projet]],TabProjets[NomProj],TabProjets[SYGES])</f>
        <v>ALM/TMA_ATOUT</v>
      </c>
      <c r="H356">
        <f>LOOKUP(TabVMAzureEnvProjet[[#This Row],[Code SYGES]],TabCONTRATSDI[Contrat SYGES],TabCONTRATSDI[Cost Center])</f>
        <v>305704</v>
      </c>
      <c r="I356" s="22" t="str">
        <f>LOOKUP(TabVMAzureEnvProjet[[#This Row],[Code SYGES]],TabCONTRATSDI[Contrat SYGES],TabCONTRATSDI[Client])</f>
        <v>ALM</v>
      </c>
      <c r="J356" t="s">
        <v>142</v>
      </c>
      <c r="K356" s="31">
        <v>8.3333622967462198</v>
      </c>
      <c r="L356" s="41" t="s">
        <v>143</v>
      </c>
    </row>
    <row r="357" spans="1:12" x14ac:dyDescent="0.3">
      <c r="A357" s="22" t="str">
        <f>TabVMAzureEnvProjet[[#This Row],[Client]] &amp; " .:. "  &amp; TabVMAzureEnvProjet[[#This Row],[Projet]]</f>
        <v>BRGM .:. BRGM-ORRM</v>
      </c>
      <c r="B357" s="22" t="str">
        <f>IF(TabVMAzureEnvProjet[[#This Row],[Projet AzureDevOps]]&lt;&gt;"",TabVMAzureEnvProjet[[#This Row],[Projet AzureDevOps]],TabVMAzureEnvProjet[[#This Row],[VM]])</f>
        <v>BRGM-ORRM</v>
      </c>
      <c r="C357" s="47" t="s">
        <v>18</v>
      </c>
      <c r="E357" t="s">
        <v>4</v>
      </c>
      <c r="F357" t="s">
        <v>18</v>
      </c>
      <c r="G357" t="str">
        <f>LOOKUP(TabVMAzureEnvProjet[[#This Row],[Projet]],TabProjets[NomProj],TabProjets[SYGES])</f>
        <v>BRGM/TMA-5-1-ORRM-LOT1</v>
      </c>
      <c r="H357">
        <f>LOOKUP(TabVMAzureEnvProjet[[#This Row],[Code SYGES]],TabCONTRATSDI[Contrat SYGES],TabCONTRATSDI[Cost Center])</f>
        <v>305704</v>
      </c>
      <c r="I357" s="22" t="str">
        <f>LOOKUP(TabVMAzureEnvProjet[[#This Row],[Code SYGES]],TabCONTRATSDI[Contrat SYGES],TabCONTRATSDI[Client])</f>
        <v>BRGM</v>
      </c>
      <c r="J357" t="s">
        <v>142</v>
      </c>
      <c r="K357" s="31">
        <v>4.7102867055675963</v>
      </c>
      <c r="L357" s="41" t="s">
        <v>143</v>
      </c>
    </row>
    <row r="358" spans="1:12" x14ac:dyDescent="0.3">
      <c r="A358" s="22" t="str">
        <f>TabVMAzureEnvProjet[[#This Row],[Client]] &amp; " .:. "  &amp; TabVMAzureEnvProjet[[#This Row],[Projet]]</f>
        <v>CNAV .:. CNAV-BI-RGCU</v>
      </c>
      <c r="B358" s="22" t="str">
        <f>IF(TabVMAzureEnvProjet[[#This Row],[Projet AzureDevOps]]&lt;&gt;"",TabVMAzureEnvProjet[[#This Row],[Projet AzureDevOps]],TabVMAzureEnvProjet[[#This Row],[VM]])</f>
        <v>CNAV-BI-RGCU</v>
      </c>
      <c r="C358" s="47" t="s">
        <v>25</v>
      </c>
      <c r="E358" t="s">
        <v>4</v>
      </c>
      <c r="F358" t="s">
        <v>25</v>
      </c>
      <c r="G358" t="str">
        <f>LOOKUP(TabVMAzureEnvProjet[[#This Row],[Projet]],TabProjets[NomProj],TabProjets[SYGES])</f>
        <v>CNAV/BI-SIRRGCU</v>
      </c>
      <c r="H358">
        <f>LOOKUP(TabVMAzureEnvProjet[[#This Row],[Code SYGES]],TabCONTRATSDI[Contrat SYGES],TabCONTRATSDI[Cost Center])</f>
        <v>305704</v>
      </c>
      <c r="I358" s="22" t="str">
        <f>LOOKUP(TabVMAzureEnvProjet[[#This Row],[Code SYGES]],TabCONTRATSDI[Contrat SYGES],TabCONTRATSDI[Client])</f>
        <v>CNAV</v>
      </c>
      <c r="J358" t="s">
        <v>142</v>
      </c>
      <c r="K358" s="31">
        <v>11.612528752500001</v>
      </c>
      <c r="L358" s="41" t="s">
        <v>143</v>
      </c>
    </row>
    <row r="359" spans="1:12" x14ac:dyDescent="0.3">
      <c r="A359" s="22" t="str">
        <f>TabVMAzureEnvProjet[[#This Row],[Client]] &amp; " .:. "  &amp; TabVMAzureEnvProjet[[#This Row],[Projet]]</f>
        <v>GFI .:. GFI-INTERNE</v>
      </c>
      <c r="B359" s="22" t="str">
        <f>IF(TabVMAzureEnvProjet[[#This Row],[Projet AzureDevOps]]&lt;&gt;"",TabVMAzureEnvProjet[[#This Row],[Projet AzureDevOps]],TabVMAzureEnvProjet[[#This Row],[VM]])</f>
        <v>d8-qa</v>
      </c>
      <c r="C359" s="47" t="s">
        <v>37</v>
      </c>
      <c r="E359" t="s">
        <v>4</v>
      </c>
      <c r="F359" t="s">
        <v>36</v>
      </c>
      <c r="G359" t="str">
        <f>LOOKUP(TabVMAzureEnvProjet[[#This Row],[Projet]],TabProjets[NomProj],TabProjets[SYGES])</f>
        <v>GFI/PROJET_INTERNE</v>
      </c>
      <c r="H359">
        <f>LOOKUP(TabVMAzureEnvProjet[[#This Row],[Code SYGES]],TabCONTRATSDI[Contrat SYGES],TabCONTRATSDI[Cost Center])</f>
        <v>305704</v>
      </c>
      <c r="I359" s="22" t="str">
        <f>LOOKUP(TabVMAzureEnvProjet[[#This Row],[Code SYGES]],TabCONTRATSDI[Contrat SYGES],TabCONTRATSDI[Client])</f>
        <v>GFI</v>
      </c>
      <c r="J359" t="s">
        <v>142</v>
      </c>
      <c r="K359" s="31">
        <v>0.50548654569705886</v>
      </c>
      <c r="L359" s="41" t="s">
        <v>143</v>
      </c>
    </row>
    <row r="360" spans="1:12" x14ac:dyDescent="0.3">
      <c r="A360" s="22" t="str">
        <f>TabVMAzureEnvProjet[[#This Row],[Client]] &amp; " .:. "  &amp; TabVMAzureEnvProjet[[#This Row],[Projet]]</f>
        <v>GFI .:. GFI-INTERNE</v>
      </c>
      <c r="B360" s="22" t="str">
        <f>IF(TabVMAzureEnvProjet[[#This Row],[Projet AzureDevOps]]&lt;&gt;"",TabVMAzureEnvProjet[[#This Row],[Projet AzureDevOps]],TabVMAzureEnvProjet[[#This Row],[VM]])</f>
        <v>drupal-qa</v>
      </c>
      <c r="C360" s="47" t="s">
        <v>38</v>
      </c>
      <c r="E360" t="s">
        <v>4</v>
      </c>
      <c r="F360" t="s">
        <v>36</v>
      </c>
      <c r="G360" t="str">
        <f>LOOKUP(TabVMAzureEnvProjet[[#This Row],[Projet]],TabProjets[NomProj],TabProjets[SYGES])</f>
        <v>GFI/PROJET_INTERNE</v>
      </c>
      <c r="H360">
        <f>LOOKUP(TabVMAzureEnvProjet[[#This Row],[Code SYGES]],TabCONTRATSDI[Contrat SYGES],TabCONTRATSDI[Cost Center])</f>
        <v>305704</v>
      </c>
      <c r="I360" s="22" t="str">
        <f>LOOKUP(TabVMAzureEnvProjet[[#This Row],[Code SYGES]],TabCONTRATSDI[Contrat SYGES],TabCONTRATSDI[Client])</f>
        <v>GFI</v>
      </c>
      <c r="J360" t="s">
        <v>142</v>
      </c>
      <c r="K360" s="31">
        <v>0.50548654569705886</v>
      </c>
      <c r="L360" s="41" t="s">
        <v>143</v>
      </c>
    </row>
    <row r="361" spans="1:12" x14ac:dyDescent="0.3">
      <c r="A361" s="22" t="str">
        <f>TabVMAzureEnvProjet[[#This Row],[Client]] &amp; " .:. "  &amp; TabVMAzureEnvProjet[[#This Row],[Projet]]</f>
        <v>FRR .:. FRR-DIGIPAT</v>
      </c>
      <c r="B361" s="22" t="str">
        <f>IF(TabVMAzureEnvProjet[[#This Row],[Projet AzureDevOps]]&lt;&gt;"",TabVMAzureEnvProjet[[#This Row],[Projet AzureDevOps]],TabVMAzureEnvProjet[[#This Row],[VM]])</f>
        <v>FRR DIGIPAT</v>
      </c>
      <c r="C361" s="47" t="s">
        <v>28</v>
      </c>
      <c r="E361" t="s">
        <v>4</v>
      </c>
      <c r="F361" t="s">
        <v>27</v>
      </c>
      <c r="G361" t="str">
        <f>LOOKUP(TabVMAzureEnvProjet[[#This Row],[Projet]],TabProjets[NomProj],TabProjets[SYGES])</f>
        <v>FRR/TMASI</v>
      </c>
      <c r="H361">
        <f>LOOKUP(TabVMAzureEnvProjet[[#This Row],[Code SYGES]],TabCONTRATSDI[Contrat SYGES],TabCONTRATSDI[Cost Center])</f>
        <v>305704</v>
      </c>
      <c r="I361" s="22" t="str">
        <f>LOOKUP(TabVMAzureEnvProjet[[#This Row],[Code SYGES]],TabCONTRATSDI[Contrat SYGES],TabCONTRATSDI[Client])</f>
        <v>FRR</v>
      </c>
      <c r="J361" t="s">
        <v>142</v>
      </c>
      <c r="K361" s="31">
        <v>6.0710145096298875</v>
      </c>
      <c r="L361" s="41" t="s">
        <v>143</v>
      </c>
    </row>
    <row r="362" spans="1:12" x14ac:dyDescent="0.3">
      <c r="A362" s="22" t="str">
        <f>TabVMAzureEnvProjet[[#This Row],[Client]] &amp; " .:. "  &amp; TabVMAzureEnvProjet[[#This Row],[Projet]]</f>
        <v>FRR .:. FRR-APPLIFRR</v>
      </c>
      <c r="B362" s="22" t="str">
        <f>IF(TabVMAzureEnvProjet[[#This Row],[Projet AzureDevOps]]&lt;&gt;"",TabVMAzureEnvProjet[[#This Row],[Projet AzureDevOps]],TabVMAzureEnvProjet[[#This Row],[VM]])</f>
        <v>FRR-APPLIFRR</v>
      </c>
      <c r="C362" s="47" t="s">
        <v>30</v>
      </c>
      <c r="E362" t="s">
        <v>4</v>
      </c>
      <c r="F362" t="s">
        <v>30</v>
      </c>
      <c r="G362" t="str">
        <f>LOOKUP(TabVMAzureEnvProjet[[#This Row],[Projet]],TabProjets[NomProj],TabProjets[SYGES])</f>
        <v>FRR/TMASI</v>
      </c>
      <c r="H362">
        <f>LOOKUP(TabVMAzureEnvProjet[[#This Row],[Code SYGES]],TabCONTRATSDI[Contrat SYGES],TabCONTRATSDI[Cost Center])</f>
        <v>305704</v>
      </c>
      <c r="I362" s="22" t="str">
        <f>LOOKUP(TabVMAzureEnvProjet[[#This Row],[Code SYGES]],TabCONTRATSDI[Contrat SYGES],TabCONTRATSDI[Client])</f>
        <v>FRR</v>
      </c>
      <c r="J362" t="s">
        <v>142</v>
      </c>
      <c r="K362" s="31">
        <v>2.8572932588388156</v>
      </c>
      <c r="L362" s="41" t="s">
        <v>143</v>
      </c>
    </row>
    <row r="363" spans="1:12" x14ac:dyDescent="0.3">
      <c r="A363" s="22" t="str">
        <f>TabVMAzureEnvProjet[[#This Row],[Client]] &amp; " .:. "  &amp; TabVMAzureEnvProjet[[#This Row],[Projet]]</f>
        <v>FRR .:. FRR-CADENCIER</v>
      </c>
      <c r="B363" s="22" t="str">
        <f>IF(TabVMAzureEnvProjet[[#This Row],[Projet AzureDevOps]]&lt;&gt;"",TabVMAzureEnvProjet[[#This Row],[Projet AzureDevOps]],TabVMAzureEnvProjet[[#This Row],[VM]])</f>
        <v>FRR-CADENCIER</v>
      </c>
      <c r="C363" s="47" t="s">
        <v>31</v>
      </c>
      <c r="E363" t="s">
        <v>4</v>
      </c>
      <c r="F363" t="s">
        <v>31</v>
      </c>
      <c r="G363" t="str">
        <f>LOOKUP(TabVMAzureEnvProjet[[#This Row],[Projet]],TabProjets[NomProj],TabProjets[SYGES])</f>
        <v>FRR/TMASI</v>
      </c>
      <c r="H363">
        <f>LOOKUP(TabVMAzureEnvProjet[[#This Row],[Code SYGES]],TabCONTRATSDI[Contrat SYGES],TabCONTRATSDI[Cost Center])</f>
        <v>305704</v>
      </c>
      <c r="I363" s="22" t="str">
        <f>LOOKUP(TabVMAzureEnvProjet[[#This Row],[Code SYGES]],TabCONTRATSDI[Contrat SYGES],TabCONTRATSDI[Client])</f>
        <v>FRR</v>
      </c>
      <c r="J363" t="s">
        <v>142</v>
      </c>
      <c r="K363" s="31">
        <v>2.8572932588388156</v>
      </c>
      <c r="L363" s="41" t="s">
        <v>143</v>
      </c>
    </row>
    <row r="364" spans="1:12" x14ac:dyDescent="0.3">
      <c r="A364" s="22" t="str">
        <f>TabVMAzureEnvProjet[[#This Row],[Client]] &amp; " .:. "  &amp; TabVMAzureEnvProjet[[#This Row],[Projet]]</f>
        <v>FRR .:. FRR-PATAPAIN</v>
      </c>
      <c r="B364" s="22" t="str">
        <f>IF(TabVMAzureEnvProjet[[#This Row],[Projet AzureDevOps]]&lt;&gt;"",TabVMAzureEnvProjet[[#This Row],[Projet AzureDevOps]],TabVMAzureEnvProjet[[#This Row],[VM]])</f>
        <v>FRR-Patapain</v>
      </c>
      <c r="C364" s="47" t="s">
        <v>33</v>
      </c>
      <c r="E364" t="s">
        <v>4</v>
      </c>
      <c r="F364" t="s">
        <v>32</v>
      </c>
      <c r="G364" t="str">
        <f>LOOKUP(TabVMAzureEnvProjet[[#This Row],[Projet]],TabProjets[NomProj],TabProjets[SYGES])</f>
        <v>FRR/TMASI</v>
      </c>
      <c r="H364">
        <f>LOOKUP(TabVMAzureEnvProjet[[#This Row],[Code SYGES]],TabCONTRATSDI[Contrat SYGES],TabCONTRATSDI[Cost Center])</f>
        <v>305704</v>
      </c>
      <c r="I364" s="22" t="str">
        <f>LOOKUP(TabVMAzureEnvProjet[[#This Row],[Code SYGES]],TabCONTRATSDI[Contrat SYGES],TabCONTRATSDI[Client])</f>
        <v>FRR</v>
      </c>
      <c r="J364" t="s">
        <v>142</v>
      </c>
      <c r="K364" s="31">
        <v>1.9768947757232143</v>
      </c>
      <c r="L364" s="41" t="s">
        <v>143</v>
      </c>
    </row>
    <row r="365" spans="1:12" x14ac:dyDescent="0.3">
      <c r="A365" s="22" t="str">
        <f>TabVMAzureEnvProjet[[#This Row],[Client]] &amp; " .:. "  &amp; TabVMAzureEnvProjet[[#This Row],[Projet]]</f>
        <v>FRR .:. FRR-PATAPAINANDROID</v>
      </c>
      <c r="B365" s="22" t="str">
        <f>IF(TabVMAzureEnvProjet[[#This Row],[Projet AzureDevOps]]&lt;&gt;"",TabVMAzureEnvProjet[[#This Row],[Projet AzureDevOps]],TabVMAzureEnvProjet[[#This Row],[VM]])</f>
        <v>FRR-PATAPAINANDROID</v>
      </c>
      <c r="C365" s="47" t="s">
        <v>34</v>
      </c>
      <c r="E365" t="s">
        <v>4</v>
      </c>
      <c r="F365" t="s">
        <v>34</v>
      </c>
      <c r="G365" t="str">
        <f>LOOKUP(TabVMAzureEnvProjet[[#This Row],[Projet]],TabProjets[NomProj],TabProjets[SYGES])</f>
        <v>FRR/TMASI</v>
      </c>
      <c r="H365">
        <f>LOOKUP(TabVMAzureEnvProjet[[#This Row],[Code SYGES]],TabCONTRATSDI[Contrat SYGES],TabCONTRATSDI[Cost Center])</f>
        <v>305704</v>
      </c>
      <c r="I365" s="22" t="str">
        <f>LOOKUP(TabVMAzureEnvProjet[[#This Row],[Code SYGES]],TabCONTRATSDI[Contrat SYGES],TabCONTRATSDI[Client])</f>
        <v>FRR</v>
      </c>
      <c r="J365" t="s">
        <v>142</v>
      </c>
      <c r="K365" s="31">
        <v>2.8572932588388156</v>
      </c>
      <c r="L365" s="41" t="s">
        <v>143</v>
      </c>
    </row>
    <row r="366" spans="1:12" x14ac:dyDescent="0.3">
      <c r="A366" s="22" t="str">
        <f>TabVMAzureEnvProjet[[#This Row],[Client]] &amp; " .:. "  &amp; TabVMAzureEnvProjet[[#This Row],[Projet]]</f>
        <v>GFI .:. GFI-CMIS</v>
      </c>
      <c r="B366" s="22" t="str">
        <f>IF(TabVMAzureEnvProjet[[#This Row],[Projet AzureDevOps]]&lt;&gt;"",TabVMAzureEnvProjet[[#This Row],[Projet AzureDevOps]],TabVMAzureEnvProjet[[#This Row],[VM]])</f>
        <v>GFI-CMIS</v>
      </c>
      <c r="C366" s="47" t="s">
        <v>40</v>
      </c>
      <c r="E366" t="s">
        <v>4</v>
      </c>
      <c r="F366" t="s">
        <v>40</v>
      </c>
      <c r="G366" t="str">
        <f>LOOKUP(TabVMAzureEnvProjet[[#This Row],[Projet]],TabProjets[NomProj],TabProjets[SYGES])</f>
        <v>GFI/PROJET_INTERNE</v>
      </c>
      <c r="H366">
        <f>LOOKUP(TabVMAzureEnvProjet[[#This Row],[Code SYGES]],TabCONTRATSDI[Contrat SYGES],TabCONTRATSDI[Cost Center])</f>
        <v>305704</v>
      </c>
      <c r="I366" s="22" t="str">
        <f>LOOKUP(TabVMAzureEnvProjet[[#This Row],[Code SYGES]],TabCONTRATSDI[Contrat SYGES],TabCONTRATSDI[Client])</f>
        <v>GFI</v>
      </c>
      <c r="J366" t="s">
        <v>142</v>
      </c>
      <c r="K366" s="31">
        <v>0.23225057504999999</v>
      </c>
      <c r="L366" s="41" t="s">
        <v>143</v>
      </c>
    </row>
    <row r="367" spans="1:12" x14ac:dyDescent="0.3">
      <c r="A367" s="22" t="str">
        <f>TabVMAzureEnvProjet[[#This Row],[Client]] &amp; " .:. "  &amp; TabVMAzureEnvProjet[[#This Row],[Projet]]</f>
        <v>GFI .:. GFI-COFFEE</v>
      </c>
      <c r="B367" s="22" t="str">
        <f>IF(TabVMAzureEnvProjet[[#This Row],[Projet AzureDevOps]]&lt;&gt;"",TabVMAzureEnvProjet[[#This Row],[Projet AzureDevOps]],TabVMAzureEnvProjet[[#This Row],[VM]])</f>
        <v>GFI-COFFEE</v>
      </c>
      <c r="C367" s="47" t="s">
        <v>41</v>
      </c>
      <c r="E367" t="s">
        <v>4</v>
      </c>
      <c r="F367" t="s">
        <v>41</v>
      </c>
      <c r="G367" t="str">
        <f>LOOKUP(TabVMAzureEnvProjet[[#This Row],[Projet]],TabProjets[NomProj],TabProjets[SYGES])</f>
        <v>GFI/PROJET_INTERNE</v>
      </c>
      <c r="H367">
        <f>LOOKUP(TabVMAzureEnvProjet[[#This Row],[Code SYGES]],TabCONTRATSDI[Contrat SYGES],TabCONTRATSDI[Cost Center])</f>
        <v>305704</v>
      </c>
      <c r="I367" s="22" t="str">
        <f>LOOKUP(TabVMAzureEnvProjet[[#This Row],[Code SYGES]],TabCONTRATSDI[Contrat SYGES],TabCONTRATSDI[Client])</f>
        <v>GFI</v>
      </c>
      <c r="J367" t="s">
        <v>142</v>
      </c>
      <c r="K367" s="31">
        <v>0.99928865843881576</v>
      </c>
      <c r="L367" s="41" t="s">
        <v>143</v>
      </c>
    </row>
    <row r="368" spans="1:12" x14ac:dyDescent="0.3">
      <c r="A368" s="22" t="str">
        <f>TabVMAzureEnvProjet[[#This Row],[Client]] &amp; " .:. "  &amp; TabVMAzureEnvProjet[[#This Row],[Projet]]</f>
        <v>GFI .:. GFI-CRALENIUM</v>
      </c>
      <c r="B368" s="22" t="str">
        <f>IF(TabVMAzureEnvProjet[[#This Row],[Projet AzureDevOps]]&lt;&gt;"",TabVMAzureEnvProjet[[#This Row],[Projet AzureDevOps]],TabVMAzureEnvProjet[[#This Row],[VM]])</f>
        <v>GFI-CRALENIUM</v>
      </c>
      <c r="C368" s="47" t="s">
        <v>42</v>
      </c>
      <c r="E368" t="s">
        <v>4</v>
      </c>
      <c r="F368" t="s">
        <v>42</v>
      </c>
      <c r="G368" t="str">
        <f>LOOKUP(TabVMAzureEnvProjet[[#This Row],[Projet]],TabProjets[NomProj],TabProjets[SYGES])</f>
        <v>GFI/PROJET_INTERNE</v>
      </c>
      <c r="H368">
        <f>LOOKUP(TabVMAzureEnvProjet[[#This Row],[Code SYGES]],TabCONTRATSDI[Contrat SYGES],TabCONTRATSDI[Cost Center])</f>
        <v>305704</v>
      </c>
      <c r="I368" s="22" t="str">
        <f>LOOKUP(TabVMAzureEnvProjet[[#This Row],[Code SYGES]],TabCONTRATSDI[Contrat SYGES],TabCONTRATSDI[Client])</f>
        <v>GFI</v>
      </c>
      <c r="J368" t="s">
        <v>142</v>
      </c>
      <c r="K368" s="31">
        <v>2.8572932588388156</v>
      </c>
      <c r="L368" s="41" t="s">
        <v>143</v>
      </c>
    </row>
    <row r="369" spans="1:12" x14ac:dyDescent="0.3">
      <c r="A369" s="22" t="str">
        <f>TabVMAzureEnvProjet[[#This Row],[Client]] &amp; " .:. "  &amp; TabVMAzureEnvProjet[[#This Row],[Projet]]</f>
        <v>GFI .:. GFI-D8-BS4-THEME</v>
      </c>
      <c r="B369" s="22" t="str">
        <f>IF(TabVMAzureEnvProjet[[#This Row],[Projet AzureDevOps]]&lt;&gt;"",TabVMAzureEnvProjet[[#This Row],[Projet AzureDevOps]],TabVMAzureEnvProjet[[#This Row],[VM]])</f>
        <v>GFI-D8-BS4-THEME</v>
      </c>
      <c r="C369" s="47" t="s">
        <v>43</v>
      </c>
      <c r="E369" t="s">
        <v>4</v>
      </c>
      <c r="F369" t="s">
        <v>43</v>
      </c>
      <c r="G369" t="str">
        <f>LOOKUP(TabVMAzureEnvProjet[[#This Row],[Projet]],TabProjets[NomProj],TabProjets[SYGES])</f>
        <v>GFI/PROJET_INTERNE</v>
      </c>
      <c r="H369">
        <f>LOOKUP(TabVMAzureEnvProjet[[#This Row],[Code SYGES]],TabCONTRATSDI[Contrat SYGES],TabCONTRATSDI[Cost Center])</f>
        <v>305704</v>
      </c>
      <c r="I369" s="22" t="str">
        <f>LOOKUP(TabVMAzureEnvProjet[[#This Row],[Code SYGES]],TabCONTRATSDI[Contrat SYGES],TabCONTRATSDI[Client])</f>
        <v>GFI</v>
      </c>
      <c r="J369" t="s">
        <v>142</v>
      </c>
      <c r="K369" s="31">
        <v>1.4119360356214286</v>
      </c>
      <c r="L369" s="41" t="s">
        <v>143</v>
      </c>
    </row>
    <row r="370" spans="1:12" x14ac:dyDescent="0.3">
      <c r="A370" s="22" t="str">
        <f>TabVMAzureEnvProjet[[#This Row],[Client]] &amp; " .:. "  &amp; TabVMAzureEnvProjet[[#This Row],[Projet]]</f>
        <v>GFI .:. GFI-Docker Devbox Install</v>
      </c>
      <c r="B370" s="22" t="str">
        <f>IF(TabVMAzureEnvProjet[[#This Row],[Projet AzureDevOps]]&lt;&gt;"",TabVMAzureEnvProjet[[#This Row],[Projet AzureDevOps]],TabVMAzureEnvProjet[[#This Row],[VM]])</f>
        <v>GFI-Docker Devbox Install</v>
      </c>
      <c r="C370" s="47" t="s">
        <v>44</v>
      </c>
      <c r="E370" t="s">
        <v>4</v>
      </c>
      <c r="F370" t="s">
        <v>44</v>
      </c>
      <c r="G370" t="str">
        <f>LOOKUP(TabVMAzureEnvProjet[[#This Row],[Projet]],TabProjets[NomProj],TabProjets[SYGES])</f>
        <v>GFI/PROJET_INTERNE</v>
      </c>
      <c r="H370">
        <f>LOOKUP(TabVMAzureEnvProjet[[#This Row],[Code SYGES]],TabCONTRATSDI[Contrat SYGES],TabCONTRATSDI[Cost Center])</f>
        <v>305704</v>
      </c>
      <c r="I370" s="22" t="str">
        <f>LOOKUP(TabVMAzureEnvProjet[[#This Row],[Code SYGES]],TabCONTRATSDI[Contrat SYGES],TabCONTRATSDI[Client])</f>
        <v>GFI</v>
      </c>
      <c r="J370" t="s">
        <v>142</v>
      </c>
      <c r="K370" s="31">
        <v>11.247318175776945</v>
      </c>
      <c r="L370" s="41" t="s">
        <v>143</v>
      </c>
    </row>
    <row r="371" spans="1:12" x14ac:dyDescent="0.3">
      <c r="A371" s="22" t="str">
        <f>TabVMAzureEnvProjet[[#This Row],[Client]] &amp; " .:. "  &amp; TabVMAzureEnvProjet[[#This Row],[Projet]]</f>
        <v>GFI .:. GFI-MINEREPORT</v>
      </c>
      <c r="B371" s="22" t="str">
        <f>IF(TabVMAzureEnvProjet[[#This Row],[Projet AzureDevOps]]&lt;&gt;"",TabVMAzureEnvProjet[[#This Row],[Projet AzureDevOps]],TabVMAzureEnvProjet[[#This Row],[VM]])</f>
        <v>GFI-MineReport</v>
      </c>
      <c r="C371" s="47" t="s">
        <v>46</v>
      </c>
      <c r="E371" t="s">
        <v>4</v>
      </c>
      <c r="F371" t="s">
        <v>45</v>
      </c>
      <c r="G371" t="str">
        <f>LOOKUP(TabVMAzureEnvProjet[[#This Row],[Projet]],TabProjets[NomProj],TabProjets[SYGES])</f>
        <v>GFI/PROJET_INTERNE</v>
      </c>
      <c r="H371">
        <f>LOOKUP(TabVMAzureEnvProjet[[#This Row],[Code SYGES]],TabCONTRATSDI[Contrat SYGES],TabCONTRATSDI[Cost Center])</f>
        <v>305704</v>
      </c>
      <c r="I371" s="22" t="str">
        <f>LOOKUP(TabVMAzureEnvProjet[[#This Row],[Code SYGES]],TabCONTRATSDI[Contrat SYGES],TabCONTRATSDI[Client])</f>
        <v>GFI</v>
      </c>
      <c r="J371" t="s">
        <v>142</v>
      </c>
      <c r="K371" s="31">
        <v>4.0014688859233747</v>
      </c>
      <c r="L371" s="41" t="s">
        <v>143</v>
      </c>
    </row>
    <row r="372" spans="1:12" x14ac:dyDescent="0.3">
      <c r="A372" s="22" t="str">
        <f>TabVMAzureEnvProjet[[#This Row],[Client]] &amp; " .:. "  &amp; TabVMAzureEnvProjet[[#This Row],[Projet]]</f>
        <v>GFI .:. GFI-PMT</v>
      </c>
      <c r="B372" s="22" t="str">
        <f>IF(TabVMAzureEnvProjet[[#This Row],[Projet AzureDevOps]]&lt;&gt;"",TabVMAzureEnvProjet[[#This Row],[Projet AzureDevOps]],TabVMAzureEnvProjet[[#This Row],[VM]])</f>
        <v>GFI-PMT</v>
      </c>
      <c r="C372" s="47" t="s">
        <v>47</v>
      </c>
      <c r="E372" t="s">
        <v>4</v>
      </c>
      <c r="F372" t="s">
        <v>47</v>
      </c>
      <c r="G372" t="str">
        <f>LOOKUP(TabVMAzureEnvProjet[[#This Row],[Projet]],TabProjets[NomProj],TabProjets[SYGES])</f>
        <v>GFI/PROJET_INTERNE</v>
      </c>
      <c r="H372">
        <f>LOOKUP(TabVMAzureEnvProjet[[#This Row],[Code SYGES]],TabCONTRATSDI[Contrat SYGES],TabCONTRATSDI[Cost Center])</f>
        <v>305704</v>
      </c>
      <c r="I372" s="22" t="str">
        <f>LOOKUP(TabVMAzureEnvProjet[[#This Row],[Code SYGES]],TabCONTRATSDI[Contrat SYGES],TabCONTRATSDI[Client])</f>
        <v>GFI</v>
      </c>
      <c r="J372" t="s">
        <v>142</v>
      </c>
      <c r="K372" s="31">
        <v>8.5189156644436572</v>
      </c>
      <c r="L372" s="41" t="s">
        <v>143</v>
      </c>
    </row>
    <row r="373" spans="1:12" x14ac:dyDescent="0.3">
      <c r="A373" s="22" t="str">
        <f>TabVMAzureEnvProjet[[#This Row],[Client]] &amp; " .:. "  &amp; TabVMAzureEnvProjet[[#This Row],[Projet]]</f>
        <v>GFI .:. GFI-REDMINEDOCKER</v>
      </c>
      <c r="B373" s="22" t="str">
        <f>IF(TabVMAzureEnvProjet[[#This Row],[Projet AzureDevOps]]&lt;&gt;"",TabVMAzureEnvProjet[[#This Row],[Projet AzureDevOps]],TabVMAzureEnvProjet[[#This Row],[VM]])</f>
        <v>GFI-RedmineDocker</v>
      </c>
      <c r="C373" s="47" t="s">
        <v>50</v>
      </c>
      <c r="E373" t="s">
        <v>4</v>
      </c>
      <c r="F373" t="s">
        <v>49</v>
      </c>
      <c r="G373" t="str">
        <f>LOOKUP(TabVMAzureEnvProjet[[#This Row],[Projet]],TabProjets[NomProj],TabProjets[SYGES])</f>
        <v>GFI/PROJET_INTERNE</v>
      </c>
      <c r="H373">
        <f>LOOKUP(TabVMAzureEnvProjet[[#This Row],[Code SYGES]],TabCONTRATSDI[Contrat SYGES],TabCONTRATSDI[Cost Center])</f>
        <v>305704</v>
      </c>
      <c r="I373" s="22" t="str">
        <f>LOOKUP(TabVMAzureEnvProjet[[#This Row],[Code SYGES]],TabCONTRATSDI[Contrat SYGES],TabCONTRATSDI[Client])</f>
        <v>GFI</v>
      </c>
      <c r="J373" t="s">
        <v>142</v>
      </c>
      <c r="K373" s="31">
        <v>1.1382121435982144</v>
      </c>
      <c r="L373" s="41" t="s">
        <v>143</v>
      </c>
    </row>
    <row r="374" spans="1:12" x14ac:dyDescent="0.3">
      <c r="A374" s="22" t="str">
        <f>TabVMAzureEnvProjet[[#This Row],[Client]] &amp; " .:. "  &amp; TabVMAzureEnvProjet[[#This Row],[Projet]]</f>
        <v>GFI .:. GFI-TENDER</v>
      </c>
      <c r="B374" s="22" t="str">
        <f>IF(TabVMAzureEnvProjet[[#This Row],[Projet AzureDevOps]]&lt;&gt;"",TabVMAzureEnvProjet[[#This Row],[Projet AzureDevOps]],TabVMAzureEnvProjet[[#This Row],[VM]])</f>
        <v>GFI-TENDER</v>
      </c>
      <c r="C374" s="47" t="s">
        <v>51</v>
      </c>
      <c r="E374" t="s">
        <v>4</v>
      </c>
      <c r="F374" t="s">
        <v>51</v>
      </c>
      <c r="G374" t="str">
        <f>LOOKUP(TabVMAzureEnvProjet[[#This Row],[Projet]],TabProjets[NomProj],TabProjets[SYGES])</f>
        <v>GFI/PROJET_INTERNE</v>
      </c>
      <c r="H374">
        <f>LOOKUP(TabVMAzureEnvProjet[[#This Row],[Code SYGES]],TabCONTRATSDI[Contrat SYGES],TabCONTRATSDI[Cost Center])</f>
        <v>305704</v>
      </c>
      <c r="I374" s="22" t="str">
        <f>LOOKUP(TabVMAzureEnvProjet[[#This Row],[Code SYGES]],TabCONTRATSDI[Contrat SYGES],TabCONTRATSDI[Client])</f>
        <v>GFI</v>
      </c>
      <c r="J374" t="s">
        <v>142</v>
      </c>
      <c r="K374" s="31">
        <v>2.8572932588388156</v>
      </c>
      <c r="L374" s="41" t="s">
        <v>143</v>
      </c>
    </row>
    <row r="375" spans="1:12" x14ac:dyDescent="0.3">
      <c r="A375" s="22" t="str">
        <f>TabVMAzureEnvProjet[[#This Row],[Client]] &amp; " .:. "  &amp; TabVMAzureEnvProjet[[#This Row],[Projet]]</f>
        <v>GFI .:. GFI-WAAC</v>
      </c>
      <c r="B375" s="22" t="str">
        <f>IF(TabVMAzureEnvProjet[[#This Row],[Projet AzureDevOps]]&lt;&gt;"",TabVMAzureEnvProjet[[#This Row],[Projet AzureDevOps]],TabVMAzureEnvProjet[[#This Row],[VM]])</f>
        <v>GFI-WAAC</v>
      </c>
      <c r="C375" s="47" t="s">
        <v>52</v>
      </c>
      <c r="E375" t="s">
        <v>4</v>
      </c>
      <c r="F375" t="s">
        <v>52</v>
      </c>
      <c r="G375" t="str">
        <f>LOOKUP(TabVMAzureEnvProjet[[#This Row],[Projet]],TabProjets[NomProj],TabProjets[SYGES])</f>
        <v>383928 - WAAC 1.0</v>
      </c>
      <c r="H375">
        <f>LOOKUP(TabVMAzureEnvProjet[[#This Row],[Code SYGES]],TabCONTRATSDI[Contrat SYGES],TabCONTRATSDI[Cost Center])</f>
        <v>100973</v>
      </c>
      <c r="I375" s="22" t="str">
        <f>LOOKUP(TabVMAzureEnvProjet[[#This Row],[Code SYGES]],TabCONTRATSDI[Contrat SYGES],TabCONTRATSDI[Client])</f>
        <v>GFI</v>
      </c>
      <c r="J375" t="s">
        <v>142</v>
      </c>
      <c r="K375" s="31">
        <v>269.59129032927143</v>
      </c>
      <c r="L375" s="41" t="s">
        <v>143</v>
      </c>
    </row>
    <row r="376" spans="1:12" x14ac:dyDescent="0.3">
      <c r="A376" s="22" t="str">
        <f>TabVMAzureEnvProjet[[#This Row],[Client]] &amp; " .:. "  &amp; TabVMAzureEnvProjet[[#This Row],[Projet]]</f>
        <v>GLI .:. GLI-APIBIOMETRIE</v>
      </c>
      <c r="B376" s="22" t="str">
        <f>IF(TabVMAzureEnvProjet[[#This Row],[Projet AzureDevOps]]&lt;&gt;"",TabVMAzureEnvProjet[[#This Row],[Projet AzureDevOps]],TabVMAzureEnvProjet[[#This Row],[VM]])</f>
        <v>GLI-APIBiometrie</v>
      </c>
      <c r="C376" s="47" t="s">
        <v>56</v>
      </c>
      <c r="E376" t="s">
        <v>4</v>
      </c>
      <c r="F376" t="s">
        <v>55</v>
      </c>
      <c r="G376" t="str">
        <f>LOOKUP(TabVMAzureEnvProjet[[#This Row],[Projet]],TabProjets[NomProj],TabProjets[SYGES])</f>
        <v>GLI/BIOMETRIE</v>
      </c>
      <c r="H376">
        <f>LOOKUP(TabVMAzureEnvProjet[[#This Row],[Code SYGES]],TabCONTRATSDI[Contrat SYGES],TabCONTRATSDI[Cost Center])</f>
        <v>305704</v>
      </c>
      <c r="I376" s="22" t="str">
        <f>LOOKUP(TabVMAzureEnvProjet[[#This Row],[Code SYGES]],TabCONTRATSDI[Contrat SYGES],TabCONTRATSDI[Client])</f>
        <v>GLI</v>
      </c>
      <c r="J376" t="s">
        <v>142</v>
      </c>
      <c r="K376" s="31">
        <v>9.4846120816269703</v>
      </c>
      <c r="L376" s="41" t="s">
        <v>143</v>
      </c>
    </row>
    <row r="377" spans="1:12" x14ac:dyDescent="0.3">
      <c r="A377" s="22" t="str">
        <f>TabVMAzureEnvProjet[[#This Row],[Client]] &amp; " .:. "  &amp; TabVMAzureEnvProjet[[#This Row],[Projet]]</f>
        <v>LAPOSTE .:. LAPOSTE-F4N-MUSEE</v>
      </c>
      <c r="B377" s="22" t="str">
        <f>IF(TabVMAzureEnvProjet[[#This Row],[Projet AzureDevOps]]&lt;&gt;"",TabVMAzureEnvProjet[[#This Row],[Projet AzureDevOps]],TabVMAzureEnvProjet[[#This Row],[VM]])</f>
        <v>LAPOSTE-F4N-Musee</v>
      </c>
      <c r="C377" s="47" t="s">
        <v>96</v>
      </c>
      <c r="E377" t="s">
        <v>4</v>
      </c>
      <c r="F377" t="s">
        <v>95</v>
      </c>
      <c r="G377" t="str">
        <f>LOOKUP(TabVMAzureEnvProjet[[#This Row],[Projet]],TabProjets[NomProj],TabProjets[SYGES])</f>
        <v>LA-POSTE/CDC_DRUPAL</v>
      </c>
      <c r="H377">
        <f>LOOKUP(TabVMAzureEnvProjet[[#This Row],[Code SYGES]],TabCONTRATSDI[Contrat SYGES],TabCONTRATSDI[Cost Center])</f>
        <v>305704</v>
      </c>
      <c r="I377" s="22" t="str">
        <f>LOOKUP(TabVMAzureEnvProjet[[#This Row],[Code SYGES]],TabCONTRATSDI[Contrat SYGES],TabCONTRATSDI[Client])</f>
        <v>LAPOSTE</v>
      </c>
      <c r="J377" t="s">
        <v>142</v>
      </c>
      <c r="K377" s="31">
        <v>2.0017787659071429</v>
      </c>
      <c r="L377" s="41" t="s">
        <v>143</v>
      </c>
    </row>
    <row r="378" spans="1:12" x14ac:dyDescent="0.3">
      <c r="A378" s="22" t="str">
        <f>TabVMAzureEnvProjet[[#This Row],[Client]] &amp; " .:. "  &amp; TabVMAzureEnvProjet[[#This Row],[Projet]]</f>
        <v>LAPOSTE .:. LAPOSTE-L71-PDP</v>
      </c>
      <c r="B378" s="22" t="str">
        <f>IF(TabVMAzureEnvProjet[[#This Row],[Projet AzureDevOps]]&lt;&gt;"",TabVMAzureEnvProjet[[#This Row],[Projet AzureDevOps]],TabVMAzureEnvProjet[[#This Row],[VM]])</f>
        <v>LAPOSTE-L71-PDP</v>
      </c>
      <c r="C378" s="47" t="s">
        <v>101</v>
      </c>
      <c r="E378" t="s">
        <v>4</v>
      </c>
      <c r="F378" t="s">
        <v>101</v>
      </c>
      <c r="G378" t="str">
        <f>LOOKUP(TabVMAzureEnvProjet[[#This Row],[Projet]],TabProjets[NomProj],TabProjets[SYGES])</f>
        <v>LA-POSTE/CDC_DRUPAL</v>
      </c>
      <c r="H378">
        <f>LOOKUP(TabVMAzureEnvProjet[[#This Row],[Code SYGES]],TabCONTRATSDI[Contrat SYGES],TabCONTRATSDI[Cost Center])</f>
        <v>305704</v>
      </c>
      <c r="I378" s="22" t="str">
        <f>LOOKUP(TabVMAzureEnvProjet[[#This Row],[Code SYGES]],TabCONTRATSDI[Contrat SYGES],TabCONTRATSDI[Client])</f>
        <v>LAPOSTE</v>
      </c>
      <c r="J378" t="s">
        <v>142</v>
      </c>
      <c r="K378" s="31">
        <v>1.1640177630482142</v>
      </c>
      <c r="L378" s="41" t="s">
        <v>143</v>
      </c>
    </row>
    <row r="379" spans="1:12" x14ac:dyDescent="0.3">
      <c r="A379" s="22" t="str">
        <f>TabVMAzureEnvProjet[[#This Row],[Client]] &amp; " .:. "  &amp; TabVMAzureEnvProjet[[#This Row],[Projet]]</f>
        <v>LAPOSTE .:. LAPOSTE-LCA-PariteUn-e</v>
      </c>
      <c r="B379" s="22" t="str">
        <f>IF(TabVMAzureEnvProjet[[#This Row],[Projet AzureDevOps]]&lt;&gt;"",TabVMAzureEnvProjet[[#This Row],[Projet AzureDevOps]],TabVMAzureEnvProjet[[#This Row],[VM]])</f>
        <v>LAPOSTE-LCA-PariteUn-e</v>
      </c>
      <c r="C379" s="47" t="s">
        <v>102</v>
      </c>
      <c r="E379" t="s">
        <v>4</v>
      </c>
      <c r="F379" t="s">
        <v>102</v>
      </c>
      <c r="G379" t="str">
        <f>LOOKUP(TabVMAzureEnvProjet[[#This Row],[Projet]],TabProjets[NomProj],TabProjets[SYGES])</f>
        <v>LA-POSTE/CDC_DRUPAL</v>
      </c>
      <c r="H379">
        <f>LOOKUP(TabVMAzureEnvProjet[[#This Row],[Code SYGES]],TabCONTRATSDI[Contrat SYGES],TabCONTRATSDI[Cost Center])</f>
        <v>305704</v>
      </c>
      <c r="I379" s="22" t="str">
        <f>LOOKUP(TabVMAzureEnvProjet[[#This Row],[Code SYGES]],TabCONTRATSDI[Contrat SYGES],TabCONTRATSDI[Client])</f>
        <v>LAPOSTE</v>
      </c>
      <c r="J379" t="s">
        <v>142</v>
      </c>
      <c r="K379" s="31">
        <v>1.1640177630482142</v>
      </c>
      <c r="L379" s="41" t="s">
        <v>143</v>
      </c>
    </row>
    <row r="380" spans="1:12" x14ac:dyDescent="0.3">
      <c r="A380" s="22" t="str">
        <f>TabVMAzureEnvProjet[[#This Row],[Client]] &amp; " .:. "  &amp; TabVMAzureEnvProjet[[#This Row],[Projet]]</f>
        <v>LAPOSTE .:. LAPOSTE-LPK-PortailVoyage</v>
      </c>
      <c r="B380" s="22" t="str">
        <f>IF(TabVMAzureEnvProjet[[#This Row],[Projet AzureDevOps]]&lt;&gt;"",TabVMAzureEnvProjet[[#This Row],[Projet AzureDevOps]],TabVMAzureEnvProjet[[#This Row],[VM]])</f>
        <v>LAPOSTE-LPK-PortailVoyage</v>
      </c>
      <c r="C380" s="47" t="s">
        <v>97</v>
      </c>
      <c r="E380" t="s">
        <v>4</v>
      </c>
      <c r="F380" t="s">
        <v>97</v>
      </c>
      <c r="G380" t="str">
        <f>LOOKUP(TabVMAzureEnvProjet[[#This Row],[Projet]],TabProjets[NomProj],TabProjets[SYGES])</f>
        <v>LA-POSTE/CDC_DRUPAL</v>
      </c>
      <c r="H380">
        <f>LOOKUP(TabVMAzureEnvProjet[[#This Row],[Code SYGES]],TabCONTRATSDI[Contrat SYGES],TabCONTRATSDI[Cost Center])</f>
        <v>305704</v>
      </c>
      <c r="I380" s="22" t="str">
        <f>LOOKUP(TabVMAzureEnvProjet[[#This Row],[Code SYGES]],TabCONTRATSDI[Contrat SYGES],TabCONTRATSDI[Client])</f>
        <v>LAPOSTE</v>
      </c>
      <c r="J380" t="s">
        <v>142</v>
      </c>
      <c r="K380" s="31">
        <v>1.1640177630482142</v>
      </c>
      <c r="L380" s="41" t="s">
        <v>143</v>
      </c>
    </row>
    <row r="381" spans="1:12" x14ac:dyDescent="0.3">
      <c r="A381" s="22" t="str">
        <f>TabVMAzureEnvProjet[[#This Row],[Client]] &amp; " .:. "  &amp; TabVMAzureEnvProjet[[#This Row],[Projet]]</f>
        <v>LAPOSTE .:. LAPOSTE-LPM-IntranetDHA</v>
      </c>
      <c r="B381" s="22" t="str">
        <f>IF(TabVMAzureEnvProjet[[#This Row],[Projet AzureDevOps]]&lt;&gt;"",TabVMAzureEnvProjet[[#This Row],[Projet AzureDevOps]],TabVMAzureEnvProjet[[#This Row],[VM]])</f>
        <v>LAPOSTE-LPM-IntranetDHA</v>
      </c>
      <c r="C381" s="47" t="s">
        <v>98</v>
      </c>
      <c r="E381" t="s">
        <v>4</v>
      </c>
      <c r="F381" t="s">
        <v>98</v>
      </c>
      <c r="G381" t="str">
        <f>LOOKUP(TabVMAzureEnvProjet[[#This Row],[Projet]],TabProjets[NomProj],TabProjets[SYGES])</f>
        <v>LA-POSTE/CDC_DRUPAL</v>
      </c>
      <c r="H381">
        <f>LOOKUP(TabVMAzureEnvProjet[[#This Row],[Code SYGES]],TabCONTRATSDI[Contrat SYGES],TabCONTRATSDI[Cost Center])</f>
        <v>305704</v>
      </c>
      <c r="I381" s="22" t="str">
        <f>LOOKUP(TabVMAzureEnvProjet[[#This Row],[Code SYGES]],TabCONTRATSDI[Contrat SYGES],TabCONTRATSDI[Client])</f>
        <v>LAPOSTE</v>
      </c>
      <c r="J381" t="s">
        <v>142</v>
      </c>
      <c r="K381" s="31">
        <v>1.5179234012196425</v>
      </c>
      <c r="L381" s="41" t="s">
        <v>143</v>
      </c>
    </row>
    <row r="382" spans="1:12" x14ac:dyDescent="0.3">
      <c r="A382" s="22" t="str">
        <f>TabVMAzureEnvProjet[[#This Row],[Client]] &amp; " .:. "  &amp; TabVMAzureEnvProjet[[#This Row],[Projet]]</f>
        <v>LAPOSTE .:. LAPOSTE-VWA-Fondation</v>
      </c>
      <c r="B382" s="22" t="str">
        <f>IF(TabVMAzureEnvProjet[[#This Row],[Projet AzureDevOps]]&lt;&gt;"",TabVMAzureEnvProjet[[#This Row],[Projet AzureDevOps]],TabVMAzureEnvProjet[[#This Row],[VM]])</f>
        <v>LAPOSTE-VWA-Fondation</v>
      </c>
      <c r="C382" s="47" t="s">
        <v>103</v>
      </c>
      <c r="E382" t="s">
        <v>4</v>
      </c>
      <c r="F382" t="s">
        <v>103</v>
      </c>
      <c r="G382" t="str">
        <f>LOOKUP(TabVMAzureEnvProjet[[#This Row],[Projet]],TabProjets[NomProj],TabProjets[SYGES])</f>
        <v>LA-POSTE/CDC_DRUPAL</v>
      </c>
      <c r="H382">
        <f>LOOKUP(TabVMAzureEnvProjet[[#This Row],[Code SYGES]],TabCONTRATSDI[Contrat SYGES],TabCONTRATSDI[Cost Center])</f>
        <v>305704</v>
      </c>
      <c r="I382" s="22" t="str">
        <f>LOOKUP(TabVMAzureEnvProjet[[#This Row],[Code SYGES]],TabCONTRATSDI[Contrat SYGES],TabCONTRATSDI[Client])</f>
        <v>LAPOSTE</v>
      </c>
      <c r="J382" t="s">
        <v>142</v>
      </c>
      <c r="K382" s="31">
        <v>1.1640177630482142</v>
      </c>
      <c r="L382" s="41" t="s">
        <v>143</v>
      </c>
    </row>
    <row r="383" spans="1:12" x14ac:dyDescent="0.3">
      <c r="A383" s="22" t="str">
        <f>TabVMAzureEnvProjet[[#This Row],[Client]] &amp; " .:. "  &amp; TabVMAzureEnvProjet[[#This Row],[Projet]]</f>
        <v>MENESR .:. MENJ-APAE</v>
      </c>
      <c r="B383" s="22" t="str">
        <f>IF(TabVMAzureEnvProjet[[#This Row],[Projet AzureDevOps]]&lt;&gt;"",TabVMAzureEnvProjet[[#This Row],[Projet AzureDevOps]],TabVMAzureEnvProjet[[#This Row],[VM]])</f>
        <v>MENJ-APAE</v>
      </c>
      <c r="C383" s="47" t="s">
        <v>58</v>
      </c>
      <c r="E383" t="s">
        <v>4</v>
      </c>
      <c r="F383" t="s">
        <v>58</v>
      </c>
      <c r="G383" t="str">
        <f>LOOKUP(TabVMAzureEnvProjet[[#This Row],[Projet]],TabProjets[NomProj],TabProjets[SYGES])</f>
        <v>MENESR/TMA</v>
      </c>
      <c r="H383">
        <f>LOOKUP(TabVMAzureEnvProjet[[#This Row],[Code SYGES]],TabCONTRATSDI[Contrat SYGES],TabCONTRATSDI[Cost Center])</f>
        <v>305704</v>
      </c>
      <c r="I383" s="22" t="str">
        <f>LOOKUP(TabVMAzureEnvProjet[[#This Row],[Code SYGES]],TabCONTRATSDI[Contrat SYGES],TabCONTRATSDI[Client])</f>
        <v>MENESR</v>
      </c>
      <c r="J383" t="s">
        <v>142</v>
      </c>
      <c r="K383" s="31">
        <v>1.4344888458970588</v>
      </c>
      <c r="L383" s="41" t="s">
        <v>143</v>
      </c>
    </row>
    <row r="384" spans="1:12" x14ac:dyDescent="0.3">
      <c r="A384" s="22" t="str">
        <f>TabVMAzureEnvProjet[[#This Row],[Client]] &amp; " .:. "  &amp; TabVMAzureEnvProjet[[#This Row],[Projet]]</f>
        <v>MENESR .:. MENJ-BI</v>
      </c>
      <c r="B384" s="22" t="str">
        <f>IF(TabVMAzureEnvProjet[[#This Row],[Projet AzureDevOps]]&lt;&gt;"",TabVMAzureEnvProjet[[#This Row],[Projet AzureDevOps]],TabVMAzureEnvProjet[[#This Row],[VM]])</f>
        <v>MENJ-BI</v>
      </c>
      <c r="C384" s="47" t="s">
        <v>65</v>
      </c>
      <c r="E384" t="s">
        <v>4</v>
      </c>
      <c r="F384" t="s">
        <v>65</v>
      </c>
      <c r="G384" t="str">
        <f>LOOKUP(TabVMAzureEnvProjet[[#This Row],[Projet]],TabProjets[NomProj],TabProjets[SYGES])</f>
        <v>MENESR/TMA</v>
      </c>
      <c r="H384">
        <f>LOOKUP(TabVMAzureEnvProjet[[#This Row],[Code SYGES]],TabCONTRATSDI[Contrat SYGES],TabCONTRATSDI[Cost Center])</f>
        <v>305704</v>
      </c>
      <c r="I384" s="22" t="str">
        <f>LOOKUP(TabVMAzureEnvProjet[[#This Row],[Code SYGES]],TabCONTRATSDI[Contrat SYGES],TabCONTRATSDI[Client])</f>
        <v>MENESR</v>
      </c>
      <c r="J384" t="s">
        <v>142</v>
      </c>
      <c r="K384" s="31">
        <v>3.4837586257500002</v>
      </c>
      <c r="L384" s="41" t="s">
        <v>143</v>
      </c>
    </row>
    <row r="385" spans="1:12" x14ac:dyDescent="0.3">
      <c r="A385" s="22" t="str">
        <f>TabVMAzureEnvProjet[[#This Row],[Client]] &amp; " .:. "  &amp; TabVMAzureEnvProjet[[#This Row],[Projet]]</f>
        <v>MENESR .:. MENJ-BNIE</v>
      </c>
      <c r="B385" s="22" t="str">
        <f>IF(TabVMAzureEnvProjet[[#This Row],[Projet AzureDevOps]]&lt;&gt;"",TabVMAzureEnvProjet[[#This Row],[Projet AzureDevOps]],TabVMAzureEnvProjet[[#This Row],[VM]])</f>
        <v>MENJ-BNIE-BDD</v>
      </c>
      <c r="C385" s="47" t="s">
        <v>60</v>
      </c>
      <c r="E385" t="s">
        <v>4</v>
      </c>
      <c r="F385" t="s">
        <v>59</v>
      </c>
      <c r="G385" t="str">
        <f>LOOKUP(TabVMAzureEnvProjet[[#This Row],[Projet]],TabProjets[NomProj],TabProjets[SYGES])</f>
        <v>MENESR/TMA</v>
      </c>
      <c r="H385">
        <f>LOOKUP(TabVMAzureEnvProjet[[#This Row],[Code SYGES]],TabCONTRATSDI[Contrat SYGES],TabCONTRATSDI[Cost Center])</f>
        <v>305704</v>
      </c>
      <c r="I385" s="22" t="str">
        <f>LOOKUP(TabVMAzureEnvProjet[[#This Row],[Code SYGES]],TabCONTRATSDI[Contrat SYGES],TabCONTRATSDI[Client])</f>
        <v>MENESR</v>
      </c>
      <c r="J385" t="s">
        <v>142</v>
      </c>
      <c r="K385" s="31">
        <v>3.2861269554698511</v>
      </c>
      <c r="L385" s="41" t="s">
        <v>143</v>
      </c>
    </row>
    <row r="386" spans="1:12" x14ac:dyDescent="0.3">
      <c r="A386" s="22" t="str">
        <f>TabVMAzureEnvProjet[[#This Row],[Client]] &amp; " .:. "  &amp; TabVMAzureEnvProjet[[#This Row],[Projet]]</f>
        <v>MENESR .:. MENJ-BNIE</v>
      </c>
      <c r="B386" s="22" t="str">
        <f>IF(TabVMAzureEnvProjet[[#This Row],[Projet AzureDevOps]]&lt;&gt;"",TabVMAzureEnvProjet[[#This Row],[Projet AzureDevOps]],TabVMAzureEnvProjet[[#This Row],[VM]])</f>
        <v>MENJ-BNIE-Webservices</v>
      </c>
      <c r="C386" s="47" t="s">
        <v>61</v>
      </c>
      <c r="E386" t="s">
        <v>4</v>
      </c>
      <c r="F386" t="s">
        <v>59</v>
      </c>
      <c r="G386" t="str">
        <f>LOOKUP(TabVMAzureEnvProjet[[#This Row],[Projet]],TabProjets[NomProj],TabProjets[SYGES])</f>
        <v>MENESR/TMA</v>
      </c>
      <c r="H386">
        <f>LOOKUP(TabVMAzureEnvProjet[[#This Row],[Code SYGES]],TabCONTRATSDI[Contrat SYGES],TabCONTRATSDI[Cost Center])</f>
        <v>305704</v>
      </c>
      <c r="I386" s="22" t="str">
        <f>LOOKUP(TabVMAzureEnvProjet[[#This Row],[Code SYGES]],TabCONTRATSDI[Contrat SYGES],TabCONTRATSDI[Client])</f>
        <v>MENESR</v>
      </c>
      <c r="J386" t="s">
        <v>142</v>
      </c>
      <c r="K386" s="31">
        <v>0.50548654569705886</v>
      </c>
      <c r="L386" s="41" t="s">
        <v>143</v>
      </c>
    </row>
    <row r="387" spans="1:12" x14ac:dyDescent="0.3">
      <c r="A387" s="22" t="str">
        <f>TabVMAzureEnvProjet[[#This Row],[Client]] &amp; " .:. "  &amp; TabVMAzureEnvProjet[[#This Row],[Projet]]</f>
        <v>MENESR .:. MENJ-INSERJEUNES</v>
      </c>
      <c r="B387" s="22" t="str">
        <f>IF(TabVMAzureEnvProjet[[#This Row],[Projet AzureDevOps]]&lt;&gt;"",TabVMAzureEnvProjet[[#This Row],[Projet AzureDevOps]],TabVMAzureEnvProjet[[#This Row],[VM]])</f>
        <v>MENJ-InserJeunes</v>
      </c>
      <c r="C387" s="47" t="s">
        <v>68</v>
      </c>
      <c r="E387" t="s">
        <v>4</v>
      </c>
      <c r="F387" t="s">
        <v>67</v>
      </c>
      <c r="G387" t="str">
        <f>LOOKUP(TabVMAzureEnvProjet[[#This Row],[Projet]],TabProjets[NomProj],TabProjets[SYGES])</f>
        <v>MENESR - TMA - 23 - 1 - INSERJEUNES</v>
      </c>
      <c r="H387">
        <f>LOOKUP(TabVMAzureEnvProjet[[#This Row],[Code SYGES]],TabCONTRATSDI[Contrat SYGES],TabCONTRATSDI[Cost Center])</f>
        <v>305704</v>
      </c>
      <c r="I387" s="22" t="str">
        <f>LOOKUP(TabVMAzureEnvProjet[[#This Row],[Code SYGES]],TabCONTRATSDI[Contrat SYGES],TabCONTRATSDI[Client])</f>
        <v>MENESR</v>
      </c>
      <c r="J387" t="s">
        <v>142</v>
      </c>
      <c r="K387" s="31">
        <v>5.291509603259378</v>
      </c>
      <c r="L387" s="41" t="s">
        <v>143</v>
      </c>
    </row>
    <row r="388" spans="1:12" x14ac:dyDescent="0.3">
      <c r="A388" s="22" t="str">
        <f>TabVMAzureEnvProjet[[#This Row],[Client]] &amp; " .:. "  &amp; TabVMAzureEnvProjet[[#This Row],[Projet]]</f>
        <v>MENESR .:. MENJ-RNIE</v>
      </c>
      <c r="B388" s="22" t="str">
        <f>IF(TabVMAzureEnvProjet[[#This Row],[Projet AzureDevOps]]&lt;&gt;"",TabVMAzureEnvProjet[[#This Row],[Projet AzureDevOps]],TabVMAzureEnvProjet[[#This Row],[VM]])</f>
        <v>MENJ-RNIE-BDD</v>
      </c>
      <c r="C388" s="47" t="s">
        <v>63</v>
      </c>
      <c r="E388" t="s">
        <v>4</v>
      </c>
      <c r="F388" t="s">
        <v>62</v>
      </c>
      <c r="G388" t="str">
        <f>LOOKUP(TabVMAzureEnvProjet[[#This Row],[Projet]],TabProjets[NomProj],TabProjets[SYGES])</f>
        <v>MENESR/TMA</v>
      </c>
      <c r="H388">
        <f>LOOKUP(TabVMAzureEnvProjet[[#This Row],[Code SYGES]],TabCONTRATSDI[Contrat SYGES],TabCONTRATSDI[Cost Center])</f>
        <v>305704</v>
      </c>
      <c r="I388" s="22" t="str">
        <f>LOOKUP(TabVMAzureEnvProjet[[#This Row],[Code SYGES]],TabCONTRATSDI[Contrat SYGES],TabCONTRATSDI[Client])</f>
        <v>MENESR</v>
      </c>
      <c r="J388" t="s">
        <v>142</v>
      </c>
      <c r="K388" s="31">
        <v>1.4344888458970588</v>
      </c>
      <c r="L388" s="41" t="s">
        <v>143</v>
      </c>
    </row>
    <row r="389" spans="1:12" x14ac:dyDescent="0.3">
      <c r="A389" s="22" t="str">
        <f>TabVMAzureEnvProjet[[#This Row],[Client]] &amp; " .:. "  &amp; TabVMAzureEnvProjet[[#This Row],[Projet]]</f>
        <v>MENESR .:. MENJ-RNIE</v>
      </c>
      <c r="B389" s="22" t="str">
        <f>IF(TabVMAzureEnvProjet[[#This Row],[Projet AzureDevOps]]&lt;&gt;"",TabVMAzureEnvProjet[[#This Row],[Projet AzureDevOps]],TabVMAzureEnvProjet[[#This Row],[VM]])</f>
        <v>MENJ-RNIE-Webservices</v>
      </c>
      <c r="C389" s="47" t="s">
        <v>64</v>
      </c>
      <c r="E389" t="s">
        <v>4</v>
      </c>
      <c r="F389" t="s">
        <v>62</v>
      </c>
      <c r="G389" t="str">
        <f>LOOKUP(TabVMAzureEnvProjet[[#This Row],[Projet]],TabProjets[NomProj],TabProjets[SYGES])</f>
        <v>MENESR/TMA</v>
      </c>
      <c r="H389">
        <f>LOOKUP(TabVMAzureEnvProjet[[#This Row],[Code SYGES]],TabCONTRATSDI[Contrat SYGES],TabCONTRATSDI[Cost Center])</f>
        <v>305704</v>
      </c>
      <c r="I389" s="22" t="str">
        <f>LOOKUP(TabVMAzureEnvProjet[[#This Row],[Code SYGES]],TabCONTRATSDI[Contrat SYGES],TabCONTRATSDI[Client])</f>
        <v>MENESR</v>
      </c>
      <c r="J389" t="s">
        <v>142</v>
      </c>
      <c r="K389" s="31">
        <v>1.4344888458970588</v>
      </c>
      <c r="L389" s="41" t="s">
        <v>143</v>
      </c>
    </row>
    <row r="390" spans="1:12" x14ac:dyDescent="0.3">
      <c r="A390" s="22" t="str">
        <f>TabVMAzureEnvProjet[[#This Row],[Client]] &amp; " .:. "  &amp; TabVMAzureEnvProjet[[#This Row],[Projet]]</f>
        <v>AFB .:. OFB-CMONSPOT</v>
      </c>
      <c r="B390" s="22" t="str">
        <f>IF(TabVMAzureEnvProjet[[#This Row],[Projet AzureDevOps]]&lt;&gt;"",TabVMAzureEnvProjet[[#This Row],[Projet AzureDevOps]],TabVMAzureEnvProjet[[#This Row],[VM]])</f>
        <v>OFB-CMONSPOT</v>
      </c>
      <c r="C390" s="47" t="s">
        <v>13</v>
      </c>
      <c r="E390" t="s">
        <v>4</v>
      </c>
      <c r="F390" t="s">
        <v>13</v>
      </c>
      <c r="G390" t="str">
        <f>LOOKUP(TabVMAzureEnvProjet[[#This Row],[Projet]],TabProjets[NomProj],TabProjets[SYGES])</f>
        <v>AFB/OFB_LOT2</v>
      </c>
      <c r="H390">
        <f>LOOKUP(TabVMAzureEnvProjet[[#This Row],[Code SYGES]],TabCONTRATSDI[Contrat SYGES],TabCONTRATSDI[Cost Center])</f>
        <v>305704</v>
      </c>
      <c r="I390" s="22" t="str">
        <f>LOOKUP(TabVMAzureEnvProjet[[#This Row],[Code SYGES]],TabCONTRATSDI[Contrat SYGES],TabCONTRATSDI[Client])</f>
        <v>AFB</v>
      </c>
      <c r="J390" t="s">
        <v>142</v>
      </c>
      <c r="K390" s="31">
        <v>0.97324050497142855</v>
      </c>
      <c r="L390" s="41" t="s">
        <v>143</v>
      </c>
    </row>
    <row r="391" spans="1:12" x14ac:dyDescent="0.3">
      <c r="A391" s="22" t="str">
        <f>TabVMAzureEnvProjet[[#This Row],[Client]] &amp; " .:. "  &amp; TabVMAzureEnvProjet[[#This Row],[Projet]]</f>
        <v>OFB .:. OFB-NATUREFRANCE</v>
      </c>
      <c r="B391" s="22" t="str">
        <f>IF(TabVMAzureEnvProjet[[#This Row],[Projet AzureDevOps]]&lt;&gt;"",TabVMAzureEnvProjet[[#This Row],[Projet AzureDevOps]],TabVMAzureEnvProjet[[#This Row],[VM]])</f>
        <v>OFB-NatureFrance</v>
      </c>
      <c r="C391" s="47" t="s">
        <v>93</v>
      </c>
      <c r="E391" t="s">
        <v>4</v>
      </c>
      <c r="F391" t="s">
        <v>92</v>
      </c>
      <c r="G391" t="str">
        <f>LOOKUP(TabVMAzureEnvProjet[[#This Row],[Projet]],TabProjets[NomProj],TabProjets[SYGES])</f>
        <v>AFB OFB_LOT2 -9-1 NATURE FRANCE</v>
      </c>
      <c r="H391">
        <f>LOOKUP(TabVMAzureEnvProjet[[#This Row],[Code SYGES]],TabCONTRATSDI[Contrat SYGES],TabCONTRATSDI[Cost Center])</f>
        <v>305704</v>
      </c>
      <c r="I391" s="22" t="str">
        <f>LOOKUP(TabVMAzureEnvProjet[[#This Row],[Code SYGES]],TabCONTRATSDI[Contrat SYGES],TabCONTRATSDI[Client])</f>
        <v>OFB</v>
      </c>
      <c r="J391" t="s">
        <v>142</v>
      </c>
      <c r="K391" s="31">
        <v>7.2261328477339992</v>
      </c>
      <c r="L391" s="41" t="s">
        <v>143</v>
      </c>
    </row>
    <row r="392" spans="1:12" x14ac:dyDescent="0.3">
      <c r="A392" s="22" t="str">
        <f>TabVMAzureEnvProjet[[#This Row],[Client]] &amp; " .:. "  &amp; TabVMAzureEnvProjet[[#This Row],[Projet]]</f>
        <v>AFB .:. OFB-SISPEA</v>
      </c>
      <c r="B392" s="22" t="str">
        <f>IF(TabVMAzureEnvProjet[[#This Row],[Projet AzureDevOps]]&lt;&gt;"",TabVMAzureEnvProjet[[#This Row],[Projet AzureDevOps]],TabVMAzureEnvProjet[[#This Row],[VM]])</f>
        <v>OFB-SISPEA</v>
      </c>
      <c r="C392" s="47" t="s">
        <v>10</v>
      </c>
      <c r="E392" t="s">
        <v>4</v>
      </c>
      <c r="F392" t="s">
        <v>10</v>
      </c>
      <c r="G392" t="str">
        <f>LOOKUP(TabVMAzureEnvProjet[[#This Row],[Projet]],TabProjets[NomProj],TabProjets[SYGES])</f>
        <v>AFB/OFB_LOT2</v>
      </c>
      <c r="H392">
        <f>LOOKUP(TabVMAzureEnvProjet[[#This Row],[Code SYGES]],TabCONTRATSDI[Contrat SYGES],TabCONTRATSDI[Cost Center])</f>
        <v>305704</v>
      </c>
      <c r="I392" s="22" t="str">
        <f>LOOKUP(TabVMAzureEnvProjet[[#This Row],[Code SYGES]],TabCONTRATSDI[Contrat SYGES],TabCONTRATSDI[Client])</f>
        <v>AFB</v>
      </c>
      <c r="J392" t="s">
        <v>142</v>
      </c>
      <c r="K392" s="31">
        <v>3.2957462554714287</v>
      </c>
      <c r="L392" s="41" t="s">
        <v>143</v>
      </c>
    </row>
    <row r="393" spans="1:12" x14ac:dyDescent="0.3">
      <c r="A393" s="22" t="str">
        <f>TabVMAzureEnvProjet[[#This Row],[Client]] &amp; " .:. "  &amp; TabVMAzureEnvProjet[[#This Row],[Projet]]</f>
        <v>PCM .:. PCM-ALS</v>
      </c>
      <c r="B393" s="22" t="str">
        <f>IF(TabVMAzureEnvProjet[[#This Row],[Projet AzureDevOps]]&lt;&gt;"",TabVMAzureEnvProjet[[#This Row],[Projet AzureDevOps]],TabVMAzureEnvProjet[[#This Row],[VM]])</f>
        <v>PCM-ALS</v>
      </c>
      <c r="C393" s="47" t="s">
        <v>85</v>
      </c>
      <c r="E393" t="s">
        <v>4</v>
      </c>
      <c r="F393" t="s">
        <v>85</v>
      </c>
      <c r="G393" t="str">
        <f>LOOKUP(TabVMAzureEnvProjet[[#This Row],[Projet]],TabProjets[NomProj],TabProjets[SYGES])</f>
        <v>PCM/WEB</v>
      </c>
      <c r="H393">
        <f>LOOKUP(TabVMAzureEnvProjet[[#This Row],[Code SYGES]],TabCONTRATSDI[Contrat SYGES],TabCONTRATSDI[Cost Center])</f>
        <v>305704</v>
      </c>
      <c r="I393" s="22" t="str">
        <f>LOOKUP(TabVMAzureEnvProjet[[#This Row],[Code SYGES]],TabCONTRATSDI[Contrat SYGES],TabCONTRATSDI[Client])</f>
        <v>PCM</v>
      </c>
      <c r="J393" t="s">
        <v>142</v>
      </c>
      <c r="K393" s="31">
        <v>7.3527582847178561</v>
      </c>
      <c r="L393" s="41" t="s">
        <v>143</v>
      </c>
    </row>
    <row r="394" spans="1:12" x14ac:dyDescent="0.3">
      <c r="A394" s="22" t="str">
        <f>TabVMAzureEnvProjet[[#This Row],[Client]] &amp; " .:. "  &amp; TabVMAzureEnvProjet[[#This Row],[Projet]]</f>
        <v>PCM .:. PCM-WEB</v>
      </c>
      <c r="B394" s="22" t="str">
        <f>IF(TabVMAzureEnvProjet[[#This Row],[Projet AzureDevOps]]&lt;&gt;"",TabVMAzureEnvProjet[[#This Row],[Projet AzureDevOps]],TabVMAzureEnvProjet[[#This Row],[VM]])</f>
        <v>PCM-Web</v>
      </c>
      <c r="C394" s="47" t="s">
        <v>87</v>
      </c>
      <c r="E394" t="s">
        <v>4</v>
      </c>
      <c r="F394" t="s">
        <v>86</v>
      </c>
      <c r="G394" t="str">
        <f>LOOKUP(TabVMAzureEnvProjet[[#This Row],[Projet]],TabProjets[NomProj],TabProjets[SYGES])</f>
        <v>PCM/WEB</v>
      </c>
      <c r="H394">
        <f>LOOKUP(TabVMAzureEnvProjet[[#This Row],[Code SYGES]],TabCONTRATSDI[Contrat SYGES],TabCONTRATSDI[Cost Center])</f>
        <v>305704</v>
      </c>
      <c r="I394" s="22" t="str">
        <f>LOOKUP(TabVMAzureEnvProjet[[#This Row],[Code SYGES]],TabCONTRATSDI[Contrat SYGES],TabCONTRATSDI[Client])</f>
        <v>PCM</v>
      </c>
      <c r="J394" t="s">
        <v>142</v>
      </c>
      <c r="K394" s="31">
        <v>3.1316962461107138</v>
      </c>
      <c r="L394" s="41" t="s">
        <v>143</v>
      </c>
    </row>
    <row r="395" spans="1:12" x14ac:dyDescent="0.3">
      <c r="A395" s="22" t="str">
        <f>TabVMAzureEnvProjet[[#This Row],[Client]] &amp; " .:. "  &amp; TabVMAzureEnvProjet[[#This Row],[Projet]]</f>
        <v>SAFT .:. SAFT-PDM</v>
      </c>
      <c r="B395" s="22" t="str">
        <f>IF(TabVMAzureEnvProjet[[#This Row],[Projet AzureDevOps]]&lt;&gt;"",TabVMAzureEnvProjet[[#This Row],[Projet AzureDevOps]],TabVMAzureEnvProjet[[#This Row],[VM]])</f>
        <v>SAFT-PDM</v>
      </c>
      <c r="C395" s="47" t="s">
        <v>106</v>
      </c>
      <c r="E395" t="s">
        <v>4</v>
      </c>
      <c r="F395" t="s">
        <v>106</v>
      </c>
      <c r="G395" t="str">
        <f>LOOKUP(TabVMAzureEnvProjet[[#This Row],[Projet]],TabProjets[NomProj],TabProjets[SYGES])</f>
        <v>SAFT/TMA</v>
      </c>
      <c r="H395">
        <f>LOOKUP(TabVMAzureEnvProjet[[#This Row],[Code SYGES]],TabCONTRATSDI[Contrat SYGES],TabCONTRATSDI[Cost Center])</f>
        <v>305704</v>
      </c>
      <c r="I395" s="22" t="str">
        <f>LOOKUP(TabVMAzureEnvProjet[[#This Row],[Code SYGES]],TabCONTRATSDI[Contrat SYGES],TabCONTRATSDI[Client])</f>
        <v>SAFT</v>
      </c>
      <c r="J395" t="s">
        <v>142</v>
      </c>
      <c r="K395" s="31">
        <v>2.8572932588388156</v>
      </c>
      <c r="L395" s="41" t="s">
        <v>143</v>
      </c>
    </row>
    <row r="396" spans="1:12" x14ac:dyDescent="0.3">
      <c r="A396" s="22" t="str">
        <f>TabVMAzureEnvProjet[[#This Row],[Client]] &amp; " .:. "  &amp; TabVMAzureEnvProjet[[#This Row],[Projet]]</f>
        <v>SPC .:. SPC-BUILD</v>
      </c>
      <c r="B396" s="22" t="str">
        <f>IF(TabVMAzureEnvProjet[[#This Row],[Projet AzureDevOps]]&lt;&gt;"",TabVMAzureEnvProjet[[#This Row],[Projet AzureDevOps]],TabVMAzureEnvProjet[[#This Row],[VM]])</f>
        <v>SPC-BUILD</v>
      </c>
      <c r="C396" s="47" t="s">
        <v>81</v>
      </c>
      <c r="E396" t="s">
        <v>4</v>
      </c>
      <c r="F396" t="s">
        <v>81</v>
      </c>
      <c r="G396" t="str">
        <f>LOOKUP(TabVMAzureEnvProjet[[#This Row],[Projet]],TabProjets[NomProj],TabProjets[SYGES])</f>
        <v>SPC/BUILD</v>
      </c>
      <c r="H396">
        <f>LOOKUP(TabVMAzureEnvProjet[[#This Row],[Code SYGES]],TabCONTRATSDI[Contrat SYGES],TabCONTRATSDI[Cost Center])</f>
        <v>305704</v>
      </c>
      <c r="I396" s="22" t="str">
        <f>LOOKUP(TabVMAzureEnvProjet[[#This Row],[Code SYGES]],TabCONTRATSDI[Contrat SYGES],TabCONTRATSDI[Client])</f>
        <v>SPC</v>
      </c>
      <c r="J396" t="s">
        <v>142</v>
      </c>
      <c r="K396" s="31">
        <v>43.435231610975563</v>
      </c>
      <c r="L396" s="41" t="s">
        <v>143</v>
      </c>
    </row>
    <row r="397" spans="1:12" x14ac:dyDescent="0.3">
      <c r="A397" s="22" t="str">
        <f>TabVMAzureEnvProjet[[#This Row],[Client]] &amp; " .:. "  &amp; TabVMAzureEnvProjet[[#This Row],[Projet]]</f>
        <v>SPC .:. SPC-WEB</v>
      </c>
      <c r="B397" s="22" t="str">
        <f>IF(TabVMAzureEnvProjet[[#This Row],[Projet AzureDevOps]]&lt;&gt;"",TabVMAzureEnvProjet[[#This Row],[Projet AzureDevOps]],TabVMAzureEnvProjet[[#This Row],[VM]])</f>
        <v>SPC-WEB</v>
      </c>
      <c r="C397" s="47" t="s">
        <v>83</v>
      </c>
      <c r="E397" t="s">
        <v>4</v>
      </c>
      <c r="F397" t="s">
        <v>83</v>
      </c>
      <c r="G397" t="str">
        <f>LOOKUP(TabVMAzureEnvProjet[[#This Row],[Projet]],TabProjets[NomProj],TabProjets[SYGES])</f>
        <v>SPC/BUILD-0-1-SITE-WEB</v>
      </c>
      <c r="H397">
        <f>LOOKUP(TabVMAzureEnvProjet[[#This Row],[Code SYGES]],TabCONTRATSDI[Contrat SYGES],TabCONTRATSDI[Cost Center])</f>
        <v>305704</v>
      </c>
      <c r="I397" s="22" t="str">
        <f>LOOKUP(TabVMAzureEnvProjet[[#This Row],[Code SYGES]],TabCONTRATSDI[Contrat SYGES],TabCONTRATSDI[Client])</f>
        <v>SPC</v>
      </c>
      <c r="J397" t="s">
        <v>142</v>
      </c>
      <c r="K397" s="31">
        <v>2.4441608136214286</v>
      </c>
      <c r="L397" s="41" t="s">
        <v>143</v>
      </c>
    </row>
    <row r="398" spans="1:12" x14ac:dyDescent="0.3">
      <c r="A398" s="22" t="str">
        <f>TabVMAzureEnvProjet[[#This Row],[Client]] &amp; " .:. "  &amp; TabVMAzureEnvProjet[[#This Row],[Projet]]</f>
        <v>STMICRO .:. STMICRO-DATAPACK</v>
      </c>
      <c r="B398" s="22" t="str">
        <f>IF(TabVMAzureEnvProjet[[#This Row],[Projet AzureDevOps]]&lt;&gt;"",TabVMAzureEnvProjet[[#This Row],[Projet AzureDevOps]],TabVMAzureEnvProjet[[#This Row],[VM]])</f>
        <v>STMICRO-DATAPACK</v>
      </c>
      <c r="C398" s="47" t="s">
        <v>108</v>
      </c>
      <c r="E398" t="s">
        <v>4</v>
      </c>
      <c r="F398" t="s">
        <v>108</v>
      </c>
      <c r="G398" t="str">
        <f>LOOKUP(TabVMAzureEnvProjet[[#This Row],[Projet]],TabProjets[NomProj],TabProjets[SYGES])</f>
        <v>STMICRO/TMASI</v>
      </c>
      <c r="H398">
        <f>LOOKUP(TabVMAzureEnvProjet[[#This Row],[Code SYGES]],TabCONTRATSDI[Contrat SYGES],TabCONTRATSDI[Cost Center])</f>
        <v>305704</v>
      </c>
      <c r="I398" s="22" t="str">
        <f>LOOKUP(TabVMAzureEnvProjet[[#This Row],[Code SYGES]],TabCONTRATSDI[Contrat SYGES],TabCONTRATSDI[Client])</f>
        <v>STMICRO</v>
      </c>
      <c r="J398" t="s">
        <v>142</v>
      </c>
      <c r="K398" s="31">
        <v>1.9692763542358747</v>
      </c>
      <c r="L398" s="41" t="s">
        <v>143</v>
      </c>
    </row>
    <row r="399" spans="1:12" x14ac:dyDescent="0.3">
      <c r="A399" s="22" t="str">
        <f>TabVMAzureEnvProjet[[#This Row],[Client]] &amp; " .:. "  &amp; TabVMAzureEnvProjet[[#This Row],[Projet]]</f>
        <v>STMICRO .:. STMICRO-ROCKET</v>
      </c>
      <c r="B399" s="22" t="str">
        <f>IF(TabVMAzureEnvProjet[[#This Row],[Projet AzureDevOps]]&lt;&gt;"",TabVMAzureEnvProjet[[#This Row],[Projet AzureDevOps]],TabVMAzureEnvProjet[[#This Row],[VM]])</f>
        <v>STMICRO-ROCKET</v>
      </c>
      <c r="C399" s="47" t="s">
        <v>110</v>
      </c>
      <c r="E399" t="s">
        <v>4</v>
      </c>
      <c r="F399" t="s">
        <v>110</v>
      </c>
      <c r="G399" t="str">
        <f>LOOKUP(TabVMAzureEnvProjet[[#This Row],[Projet]],TabProjets[NomProj],TabProjets[SYGES])</f>
        <v>STMICRO/TMASI</v>
      </c>
      <c r="H399">
        <f>LOOKUP(TabVMAzureEnvProjet[[#This Row],[Code SYGES]],TabCONTRATSDI[Contrat SYGES],TabCONTRATSDI[Cost Center])</f>
        <v>305704</v>
      </c>
      <c r="I399" s="22" t="str">
        <f>LOOKUP(TabVMAzureEnvProjet[[#This Row],[Code SYGES]],TabCONTRATSDI[Contrat SYGES],TabCONTRATSDI[Client])</f>
        <v>STMICRO</v>
      </c>
      <c r="J399" t="s">
        <v>142</v>
      </c>
      <c r="K399" s="31">
        <v>4.2917821047358746</v>
      </c>
      <c r="L399" s="41" t="s">
        <v>143</v>
      </c>
    </row>
    <row r="400" spans="1:12" x14ac:dyDescent="0.3">
      <c r="A400" s="22" t="str">
        <f>TabVMAzureEnvProjet[[#This Row],[Client]] &amp; " .:. "  &amp; TabVMAzureEnvProjet[[#This Row],[Projet]]</f>
        <v>ALM .:. ALM-ATOUT</v>
      </c>
      <c r="B400" s="22" t="str">
        <f>IF(TabVMAzureEnvProjet[[#This Row],[Projet AzureDevOps]]&lt;&gt;"",TabVMAzureEnvProjet[[#This Row],[Projet AzureDevOps]],TabVMAzureEnvProjet[[#This Row],[VM]])</f>
        <v>ALM-ATOUT-VM</v>
      </c>
      <c r="D400" t="s">
        <v>16</v>
      </c>
      <c r="E400" t="s">
        <v>8</v>
      </c>
      <c r="F400" t="s">
        <v>15</v>
      </c>
      <c r="G400" t="str">
        <f>LOOKUP(TabVMAzureEnvProjet[[#This Row],[Projet]],TabProjets[NomProj],TabProjets[SYGES])</f>
        <v>ALM/TMA_ATOUT</v>
      </c>
      <c r="H400">
        <f>LOOKUP(TabVMAzureEnvProjet[[#This Row],[Code SYGES]],TabCONTRATSDI[Contrat SYGES],TabCONTRATSDI[Cost Center])</f>
        <v>305704</v>
      </c>
      <c r="I400" s="22" t="str">
        <f>LOOKUP(TabVMAzureEnvProjet[[#This Row],[Code SYGES]],TabCONTRATSDI[Contrat SYGES],TabCONTRATSDI[Client])</f>
        <v>ALM</v>
      </c>
      <c r="J400" t="s">
        <v>142</v>
      </c>
      <c r="K400" s="31">
        <v>80.239999999999995</v>
      </c>
      <c r="L400" s="40" t="s">
        <v>144</v>
      </c>
    </row>
    <row r="401" spans="1:12" x14ac:dyDescent="0.3">
      <c r="A401" s="22" t="str">
        <f>TabVMAzureEnvProjet[[#This Row],[Client]] &amp; " .:. "  &amp; TabVMAzureEnvProjet[[#This Row],[Projet]]</f>
        <v>BRGM .:. BRGM-ORRM</v>
      </c>
      <c r="B401" s="22" t="str">
        <f>IF(TabVMAzureEnvProjet[[#This Row],[Projet AzureDevOps]]&lt;&gt;"",TabVMAzureEnvProjet[[#This Row],[Projet AzureDevOps]],TabVMAzureEnvProjet[[#This Row],[VM]])</f>
        <v>BRGM-ORRM-VM</v>
      </c>
      <c r="D401" t="s">
        <v>20</v>
      </c>
      <c r="E401" t="s">
        <v>19</v>
      </c>
      <c r="F401" t="s">
        <v>18</v>
      </c>
      <c r="G401" t="str">
        <f>LOOKUP(TabVMAzureEnvProjet[[#This Row],[Projet]],TabProjets[NomProj],TabProjets[SYGES])</f>
        <v>BRGM/TMA-5-1-ORRM-LOT1</v>
      </c>
      <c r="H401">
        <f>LOOKUP(TabVMAzureEnvProjet[[#This Row],[Code SYGES]],TabCONTRATSDI[Contrat SYGES],TabCONTRATSDI[Cost Center])</f>
        <v>305704</v>
      </c>
      <c r="I401" s="22" t="str">
        <f>LOOKUP(TabVMAzureEnvProjet[[#This Row],[Code SYGES]],TabCONTRATSDI[Contrat SYGES],TabCONTRATSDI[Client])</f>
        <v>BRGM</v>
      </c>
      <c r="J401" t="s">
        <v>142</v>
      </c>
      <c r="K401" s="31">
        <v>9.19</v>
      </c>
      <c r="L401" s="40" t="s">
        <v>144</v>
      </c>
    </row>
    <row r="402" spans="1:12" x14ac:dyDescent="0.3">
      <c r="A402" s="22" t="str">
        <f>TabVMAzureEnvProjet[[#This Row],[Client]] &amp; " .:. "  &amp; TabVMAzureEnvProjet[[#This Row],[Projet]]</f>
        <v>CA-TITRES .:. CATITRES-COMX</v>
      </c>
      <c r="B402" s="22" t="str">
        <f>IF(TabVMAzureEnvProjet[[#This Row],[Projet AzureDevOps]]&lt;&gt;"",TabVMAzureEnvProjet[[#This Row],[Projet AzureDevOps]],TabVMAzureEnvProjet[[#This Row],[VM]])</f>
        <v>CATITRES-COMX-VM</v>
      </c>
      <c r="D402" t="s">
        <v>23</v>
      </c>
      <c r="E402" t="s">
        <v>11</v>
      </c>
      <c r="F402" t="s">
        <v>22</v>
      </c>
      <c r="G402" t="str">
        <f>LOOKUP(TabVMAzureEnvProjet[[#This Row],[Projet]],TabProjets[NomProj],TabProjets[SYGES])</f>
        <v>CA-TITRES/TMA</v>
      </c>
      <c r="H402">
        <f>LOOKUP(TabVMAzureEnvProjet[[#This Row],[Code SYGES]],TabCONTRATSDI[Contrat SYGES],TabCONTRATSDI[Cost Center])</f>
        <v>305704</v>
      </c>
      <c r="I402" s="22" t="str">
        <f>LOOKUP(TabVMAzureEnvProjet[[#This Row],[Code SYGES]],TabCONTRATSDI[Contrat SYGES],TabCONTRATSDI[Client])</f>
        <v>CA-TITRES</v>
      </c>
      <c r="J402" t="s">
        <v>142</v>
      </c>
      <c r="K402" s="31">
        <v>144.04</v>
      </c>
      <c r="L402" s="40" t="s">
        <v>144</v>
      </c>
    </row>
    <row r="403" spans="1:12" x14ac:dyDescent="0.3">
      <c r="A403" s="22" t="str">
        <f>TabVMAzureEnvProjet[[#This Row],[Client]] &amp; " .:. "  &amp; TabVMAzureEnvProjet[[#This Row],[Projet]]</f>
        <v>EBR .:. EBR-LAPOSTE</v>
      </c>
      <c r="B403" s="22" t="str">
        <f>IF(TabVMAzureEnvProjet[[#This Row],[Projet AzureDevOps]]&lt;&gt;"",TabVMAzureEnvProjet[[#This Row],[Projet AzureDevOps]],TabVMAzureEnvProjet[[#This Row],[VM]])</f>
        <v>EBR-LAPOSTE-VM</v>
      </c>
      <c r="D403" t="s">
        <v>90</v>
      </c>
      <c r="E403" t="s">
        <v>11</v>
      </c>
      <c r="F403" t="s">
        <v>89</v>
      </c>
      <c r="G403" t="str">
        <f>LOOKUP(TabVMAzureEnvProjet[[#This Row],[Projet]],TabProjets[NomProj],TabProjets[SYGES])</f>
        <v>EBR/TMA</v>
      </c>
      <c r="H403">
        <f>LOOKUP(TabVMAzureEnvProjet[[#This Row],[Code SYGES]],TabCONTRATSDI[Contrat SYGES],TabCONTRATSDI[Cost Center])</f>
        <v>305704</v>
      </c>
      <c r="I403" s="22" t="str">
        <f>LOOKUP(TabVMAzureEnvProjet[[#This Row],[Code SYGES]],TabCONTRATSDI[Contrat SYGES],TabCONTRATSDI[Client])</f>
        <v>EBR</v>
      </c>
      <c r="J403" t="s">
        <v>142</v>
      </c>
      <c r="K403" s="31">
        <v>100.47</v>
      </c>
      <c r="L403" s="40" t="s">
        <v>144</v>
      </c>
    </row>
    <row r="404" spans="1:12" x14ac:dyDescent="0.3">
      <c r="A404" s="22" t="str">
        <f>TabVMAzureEnvProjet[[#This Row],[Client]] &amp; " .:. "  &amp; TabVMAzureEnvProjet[[#This Row],[Projet]]</f>
        <v>GFI .:. GFI-PMT</v>
      </c>
      <c r="B404" s="22" t="str">
        <f>IF(TabVMAzureEnvProjet[[#This Row],[Projet AzureDevOps]]&lt;&gt;"",TabVMAzureEnvProjet[[#This Row],[Projet AzureDevOps]],TabVMAzureEnvProjet[[#This Row],[VM]])</f>
        <v>GFI-PMT-VM</v>
      </c>
      <c r="D404" t="s">
        <v>48</v>
      </c>
      <c r="E404" t="s">
        <v>11</v>
      </c>
      <c r="F404" t="s">
        <v>47</v>
      </c>
      <c r="G404" t="str">
        <f>LOOKUP(TabVMAzureEnvProjet[[#This Row],[Projet]],TabProjets[NomProj],TabProjets[SYGES])</f>
        <v>GFI/PROJET_INTERNE</v>
      </c>
      <c r="H404">
        <f>LOOKUP(TabVMAzureEnvProjet[[#This Row],[Code SYGES]],TabCONTRATSDI[Contrat SYGES],TabCONTRATSDI[Cost Center])</f>
        <v>305704</v>
      </c>
      <c r="I404" s="22" t="str">
        <f>LOOKUP(TabVMAzureEnvProjet[[#This Row],[Code SYGES]],TabCONTRATSDI[Contrat SYGES],TabCONTRATSDI[Client])</f>
        <v>GFI</v>
      </c>
      <c r="J404" t="s">
        <v>142</v>
      </c>
      <c r="K404" s="31">
        <v>22.43</v>
      </c>
      <c r="L404" s="40" t="s">
        <v>144</v>
      </c>
    </row>
    <row r="405" spans="1:12" x14ac:dyDescent="0.3">
      <c r="A405" s="22" t="str">
        <f>TabVMAzureEnvProjet[[#This Row],[Client]] &amp; " .:. "  &amp; TabVMAzureEnvProjet[[#This Row],[Projet]]</f>
        <v>MENESR .:. MENJ-BI</v>
      </c>
      <c r="B405" s="22" t="str">
        <f>IF(TabVMAzureEnvProjet[[#This Row],[Projet AzureDevOps]]&lt;&gt;"",TabVMAzureEnvProjet[[#This Row],[Projet AzureDevOps]],TabVMAzureEnvProjet[[#This Row],[VM]])</f>
        <v>MENJ-BI-VM</v>
      </c>
      <c r="D405" t="s">
        <v>66</v>
      </c>
      <c r="E405" t="s">
        <v>8</v>
      </c>
      <c r="F405" t="s">
        <v>65</v>
      </c>
      <c r="G405" t="str">
        <f>LOOKUP(TabVMAzureEnvProjet[[#This Row],[Projet]],TabProjets[NomProj],TabProjets[SYGES])</f>
        <v>MENESR/TMA</v>
      </c>
      <c r="H405">
        <f>LOOKUP(TabVMAzureEnvProjet[[#This Row],[Code SYGES]],TabCONTRATSDI[Contrat SYGES],TabCONTRATSDI[Cost Center])</f>
        <v>305704</v>
      </c>
      <c r="I405" s="22" t="str">
        <f>LOOKUP(TabVMAzureEnvProjet[[#This Row],[Code SYGES]],TabCONTRATSDI[Contrat SYGES],TabCONTRATSDI[Client])</f>
        <v>MENESR</v>
      </c>
      <c r="J405" t="s">
        <v>142</v>
      </c>
      <c r="K405" s="31">
        <v>3.78</v>
      </c>
      <c r="L405" s="40" t="s">
        <v>144</v>
      </c>
    </row>
    <row r="406" spans="1:12" x14ac:dyDescent="0.3">
      <c r="A406" s="22" t="str">
        <f>TabVMAzureEnvProjet[[#This Row],[Client]] &amp; " .:. "  &amp; TabVMAzureEnvProjet[[#This Row],[Projet]]</f>
        <v>AFB .:. AFB-NatureFrance</v>
      </c>
      <c r="B406" s="22" t="str">
        <f>IF(TabVMAzureEnvProjet[[#This Row],[Projet AzureDevOps]]&lt;&gt;"",TabVMAzureEnvProjet[[#This Row],[Projet AzureDevOps]],TabVMAzureEnvProjet[[#This Row],[VM]])</f>
        <v>OFB-FRANCENATURE-VM</v>
      </c>
      <c r="D406" t="s">
        <v>9</v>
      </c>
      <c r="E406" t="s">
        <v>8</v>
      </c>
      <c r="F406" t="s">
        <v>7</v>
      </c>
      <c r="G406" t="str">
        <f>LOOKUP(TabVMAzureEnvProjet[[#This Row],[Projet]],TabProjets[NomProj],TabProjets[SYGES])</f>
        <v>AFB/OFB_LOT2</v>
      </c>
      <c r="H406">
        <f>LOOKUP(TabVMAzureEnvProjet[[#This Row],[Code SYGES]],TabCONTRATSDI[Contrat SYGES],TabCONTRATSDI[Cost Center])</f>
        <v>305704</v>
      </c>
      <c r="I406" s="22" t="str">
        <f>LOOKUP(TabVMAzureEnvProjet[[#This Row],[Code SYGES]],TabCONTRATSDI[Contrat SYGES],TabCONTRATSDI[Client])</f>
        <v>AFB</v>
      </c>
      <c r="J406" t="s">
        <v>142</v>
      </c>
      <c r="K406" s="31">
        <v>10.59</v>
      </c>
      <c r="L406" s="40" t="s">
        <v>144</v>
      </c>
    </row>
    <row r="407" spans="1:12" x14ac:dyDescent="0.3">
      <c r="A407" s="22" t="str">
        <f>TabVMAzureEnvProjet[[#This Row],[Client]] &amp; " .:. "  &amp; TabVMAzureEnvProjet[[#This Row],[Projet]]</f>
        <v>AFB .:. OFB-SISPEA</v>
      </c>
      <c r="B407" s="22" t="str">
        <f>IF(TabVMAzureEnvProjet[[#This Row],[Projet AzureDevOps]]&lt;&gt;"",TabVMAzureEnvProjet[[#This Row],[Projet AzureDevOps]],TabVMAzureEnvProjet[[#This Row],[VM]])</f>
        <v>OFB-SISPEA-VM</v>
      </c>
      <c r="D407" t="s">
        <v>12</v>
      </c>
      <c r="E407" t="s">
        <v>11</v>
      </c>
      <c r="F407" t="s">
        <v>10</v>
      </c>
      <c r="G407" t="str">
        <f>LOOKUP(TabVMAzureEnvProjet[[#This Row],[Projet]],TabProjets[NomProj],TabProjets[SYGES])</f>
        <v>AFB/OFB_LOT2</v>
      </c>
      <c r="H407">
        <f>LOOKUP(TabVMAzureEnvProjet[[#This Row],[Code SYGES]],TabCONTRATSDI[Contrat SYGES],TabCONTRATSDI[Cost Center])</f>
        <v>305704</v>
      </c>
      <c r="I407" s="22" t="str">
        <f>LOOKUP(TabVMAzureEnvProjet[[#This Row],[Code SYGES]],TabCONTRATSDI[Contrat SYGES],TabCONTRATSDI[Client])</f>
        <v>AFB</v>
      </c>
      <c r="J407" t="s">
        <v>142</v>
      </c>
      <c r="K407" s="31">
        <v>27.32</v>
      </c>
      <c r="L407" s="40" t="s">
        <v>144</v>
      </c>
    </row>
    <row r="408" spans="1:12" x14ac:dyDescent="0.3">
      <c r="A408" s="22" t="str">
        <f>TabVMAzureEnvProjet[[#This Row],[Client]] &amp; " .:. "  &amp; TabVMAzureEnvProjet[[#This Row],[Projet]]</f>
        <v>SPC .:. SPC-BUILD</v>
      </c>
      <c r="B408" s="22" t="str">
        <f>IF(TabVMAzureEnvProjet[[#This Row],[Projet AzureDevOps]]&lt;&gt;"",TabVMAzureEnvProjet[[#This Row],[Projet AzureDevOps]],TabVMAzureEnvProjet[[#This Row],[VM]])</f>
        <v>SPC-BUILDAS-VM</v>
      </c>
      <c r="D408" t="s">
        <v>82</v>
      </c>
      <c r="E408" t="s">
        <v>11</v>
      </c>
      <c r="F408" t="s">
        <v>81</v>
      </c>
      <c r="G408" t="str">
        <f>LOOKUP(TabVMAzureEnvProjet[[#This Row],[Projet]],TabProjets[NomProj],TabProjets[SYGES])</f>
        <v>SPC/BUILD</v>
      </c>
      <c r="H408">
        <f>LOOKUP(TabVMAzureEnvProjet[[#This Row],[Code SYGES]],TabCONTRATSDI[Contrat SYGES],TabCONTRATSDI[Cost Center])</f>
        <v>305704</v>
      </c>
      <c r="I408" s="22" t="str">
        <f>LOOKUP(TabVMAzureEnvProjet[[#This Row],[Code SYGES]],TabCONTRATSDI[Contrat SYGES],TabCONTRATSDI[Client])</f>
        <v>SPC</v>
      </c>
      <c r="J408" t="s">
        <v>142</v>
      </c>
      <c r="K408" s="31">
        <v>141.30000000000001</v>
      </c>
      <c r="L408" s="40" t="s">
        <v>144</v>
      </c>
    </row>
    <row r="409" spans="1:12" x14ac:dyDescent="0.3">
      <c r="A409" s="22" t="str">
        <f>TabVMAzureEnvProjet[[#This Row],[Client]] &amp; " .:. "  &amp; TabVMAzureEnvProjet[[#This Row],[Projet]]</f>
        <v>STMICRO .:. STMICRO-DATAPACK</v>
      </c>
      <c r="B409" s="22" t="str">
        <f>IF(TabVMAzureEnvProjet[[#This Row],[Projet AzureDevOps]]&lt;&gt;"",TabVMAzureEnvProjet[[#This Row],[Projet AzureDevOps]],TabVMAzureEnvProjet[[#This Row],[VM]])</f>
        <v>STMICRO-DATAPACK-VM</v>
      </c>
      <c r="D409" t="s">
        <v>109</v>
      </c>
      <c r="E409" t="s">
        <v>11</v>
      </c>
      <c r="F409" t="s">
        <v>108</v>
      </c>
      <c r="G409" t="str">
        <f>LOOKUP(TabVMAzureEnvProjet[[#This Row],[Projet]],TabProjets[NomProj],TabProjets[SYGES])</f>
        <v>STMICRO/TMASI</v>
      </c>
      <c r="H409">
        <f>LOOKUP(TabVMAzureEnvProjet[[#This Row],[Code SYGES]],TabCONTRATSDI[Contrat SYGES],TabCONTRATSDI[Cost Center])</f>
        <v>305704</v>
      </c>
      <c r="I409" s="22" t="str">
        <f>LOOKUP(TabVMAzureEnvProjet[[#This Row],[Code SYGES]],TabCONTRATSDI[Contrat SYGES],TabCONTRATSDI[Client])</f>
        <v>STMICRO</v>
      </c>
      <c r="J409" t="s">
        <v>142</v>
      </c>
      <c r="K409" s="31">
        <v>38.4</v>
      </c>
      <c r="L409" s="40" t="s">
        <v>144</v>
      </c>
    </row>
    <row r="410" spans="1:12" x14ac:dyDescent="0.3">
      <c r="A410" s="22" t="str">
        <f>TabVMAzureEnvProjet[[#This Row],[Client]] &amp; " .:. "  &amp; TabVMAzureEnvProjet[[#This Row],[Projet]]</f>
        <v>FRR .:. FRR-DIGIPAT</v>
      </c>
      <c r="B410" s="22" t="str">
        <f>IF(TabVMAzureEnvProjet[[#This Row],[Projet AzureDevOps]]&lt;&gt;"",TabVMAzureEnvProjet[[#This Row],[Projet AzureDevOps]],TabVMAzureEnvProjet[[#This Row],[VM]])</f>
        <v>FRR-DIGIPAT-VM</v>
      </c>
      <c r="D410" t="s">
        <v>29</v>
      </c>
      <c r="E410" t="s">
        <v>19</v>
      </c>
      <c r="F410" t="s">
        <v>27</v>
      </c>
      <c r="G410" t="str">
        <f>LOOKUP(TabVMAzureEnvProjet[[#This Row],[Projet]],TabProjets[NomProj],TabProjets[SYGES])</f>
        <v>FRR/TMASI</v>
      </c>
      <c r="H410">
        <f>LOOKUP(TabVMAzureEnvProjet[[#This Row],[Code SYGES]],TabCONTRATSDI[Contrat SYGES],TabCONTRATSDI[Cost Center])</f>
        <v>305704</v>
      </c>
      <c r="I410" s="22" t="str">
        <f>LOOKUP(TabVMAzureEnvProjet[[#This Row],[Code SYGES]],TabCONTRATSDI[Contrat SYGES],TabCONTRATSDI[Client])</f>
        <v>FRR</v>
      </c>
      <c r="J410" t="s">
        <v>142</v>
      </c>
      <c r="K410" s="31">
        <v>21.65</v>
      </c>
      <c r="L410" s="40" t="s">
        <v>144</v>
      </c>
    </row>
    <row r="411" spans="1:12" x14ac:dyDescent="0.3">
      <c r="A411" s="22" t="str">
        <f>TabVMAzureEnvProjet[[#This Row],[Client]] &amp; " .:. "  &amp; TabVMAzureEnvProjet[[#This Row],[Projet]]</f>
        <v>GFI .:. GFI-WAAC</v>
      </c>
      <c r="B411" s="22" t="str">
        <f>IF(TabVMAzureEnvProjet[[#This Row],[Projet AzureDevOps]]&lt;&gt;"",TabVMAzureEnvProjet[[#This Row],[Projet AzureDevOps]],TabVMAzureEnvProjet[[#This Row],[VM]])</f>
        <v>GFI-WAAC-VM</v>
      </c>
      <c r="D411" t="s">
        <v>53</v>
      </c>
      <c r="E411" t="s">
        <v>8</v>
      </c>
      <c r="F411" t="s">
        <v>52</v>
      </c>
      <c r="G411" t="str">
        <f>LOOKUP(TabVMAzureEnvProjet[[#This Row],[Projet]],TabProjets[NomProj],TabProjets[SYGES])</f>
        <v>383928 - WAAC 1.0</v>
      </c>
      <c r="H411">
        <f>LOOKUP(TabVMAzureEnvProjet[[#This Row],[Code SYGES]],TabCONTRATSDI[Contrat SYGES],TabCONTRATSDI[Cost Center])</f>
        <v>100973</v>
      </c>
      <c r="I411" s="22" t="str">
        <f>LOOKUP(TabVMAzureEnvProjet[[#This Row],[Code SYGES]],TabCONTRATSDI[Contrat SYGES],TabCONTRATSDI[Client])</f>
        <v>GFI</v>
      </c>
      <c r="J411" t="s">
        <v>142</v>
      </c>
      <c r="K411" s="31">
        <v>15.03</v>
      </c>
      <c r="L411" s="40" t="s">
        <v>144</v>
      </c>
    </row>
    <row r="412" spans="1:12" x14ac:dyDescent="0.3">
      <c r="A412" s="22" t="str">
        <f>TabVMAzureEnvProjet[[#This Row],[Client]] &amp; " .:. "  &amp; TabVMAzureEnvProjet[[#This Row],[Projet]]</f>
        <v>LAPOSTE .:. LAPOSTE-CDC</v>
      </c>
      <c r="B412" s="22" t="str">
        <f>IF(TabVMAzureEnvProjet[[#This Row],[Projet AzureDevOps]]&lt;&gt;"",TabVMAzureEnvProjet[[#This Row],[Projet AzureDevOps]],TabVMAzureEnvProjet[[#This Row],[VM]])</f>
        <v>LAPOSTE-CDC-VM</v>
      </c>
      <c r="D412" t="s">
        <v>100</v>
      </c>
      <c r="E412" t="s">
        <v>11</v>
      </c>
      <c r="F412" t="s">
        <v>99</v>
      </c>
      <c r="G412" t="str">
        <f>LOOKUP(TabVMAzureEnvProjet[[#This Row],[Projet]],TabProjets[NomProj],TabProjets[SYGES])</f>
        <v>LA-POSTE/CDC_DRUPAL</v>
      </c>
      <c r="H412">
        <f>LOOKUP(TabVMAzureEnvProjet[[#This Row],[Code SYGES]],TabCONTRATSDI[Contrat SYGES],TabCONTRATSDI[Cost Center])</f>
        <v>305704</v>
      </c>
      <c r="I412" s="22" t="str">
        <f>LOOKUP(TabVMAzureEnvProjet[[#This Row],[Code SYGES]],TabCONTRATSDI[Contrat SYGES],TabCONTRATSDI[Client])</f>
        <v>LAPOSTE</v>
      </c>
      <c r="J412" t="s">
        <v>142</v>
      </c>
      <c r="K412" s="31">
        <v>9.43</v>
      </c>
      <c r="L412" s="40" t="s">
        <v>144</v>
      </c>
    </row>
    <row r="413" spans="1:12" x14ac:dyDescent="0.3">
      <c r="A413" s="22" t="str">
        <f>TabVMAzureEnvProjet[[#This Row],[Client]] &amp; " .:. "  &amp; TabVMAzureEnvProjet[[#This Row],[Projet]]</f>
        <v>MENESR .:. MENJ-INSERJEUNES</v>
      </c>
      <c r="B413" s="22" t="str">
        <f>IF(TabVMAzureEnvProjet[[#This Row],[Projet AzureDevOps]]&lt;&gt;"",TabVMAzureEnvProjet[[#This Row],[Projet AzureDevOps]],TabVMAzureEnvProjet[[#This Row],[VM]])</f>
        <v>MENJ-INERJEUNES</v>
      </c>
      <c r="D413" t="s">
        <v>69</v>
      </c>
      <c r="E413" t="s">
        <v>19</v>
      </c>
      <c r="F413" t="s">
        <v>67</v>
      </c>
      <c r="G413" t="str">
        <f>LOOKUP(TabVMAzureEnvProjet[[#This Row],[Projet]],TabProjets[NomProj],TabProjets[SYGES])</f>
        <v>MENESR - TMA - 23 - 1 - INSERJEUNES</v>
      </c>
      <c r="H413">
        <f>LOOKUP(TabVMAzureEnvProjet[[#This Row],[Code SYGES]],TabCONTRATSDI[Contrat SYGES],TabCONTRATSDI[Cost Center])</f>
        <v>305704</v>
      </c>
      <c r="I413" s="22" t="str">
        <f>LOOKUP(TabVMAzureEnvProjet[[#This Row],[Code SYGES]],TabCONTRATSDI[Contrat SYGES],TabCONTRATSDI[Client])</f>
        <v>MENESR</v>
      </c>
      <c r="J413" t="s">
        <v>142</v>
      </c>
      <c r="K413" s="31">
        <v>0.87</v>
      </c>
      <c r="L413" s="40" t="s">
        <v>144</v>
      </c>
    </row>
    <row r="414" spans="1:12" x14ac:dyDescent="0.3">
      <c r="A414" s="22" t="str">
        <f>TabVMAzureEnvProjet[[#This Row],[Client]] &amp; " .:. "  &amp; TabVMAzureEnvProjet[[#This Row],[Projet]]</f>
        <v>ONEMA .:. AFB-BASEINDICATEURS</v>
      </c>
      <c r="B414" s="22" t="str">
        <f>IF(TabVMAzureEnvProjet[[#This Row],[Projet AzureDevOps]]&lt;&gt;"",TabVMAzureEnvProjet[[#This Row],[Projet AzureDevOps]],TabVMAzureEnvProjet[[#This Row],[VM]])</f>
        <v>AFB-BaseIndicateurs</v>
      </c>
      <c r="C414" s="47" t="s">
        <v>72</v>
      </c>
      <c r="E414" t="s">
        <v>4</v>
      </c>
      <c r="F414" t="s">
        <v>71</v>
      </c>
      <c r="G414" t="str">
        <f>LOOKUP(TabVMAzureEnvProjet[[#This Row],[Projet]],TabProjets[NomProj],TabProjets[SYGES])</f>
        <v>ONEMA/TMADCUA-15</v>
      </c>
      <c r="H414">
        <f>LOOKUP(TabVMAzureEnvProjet[[#This Row],[Code SYGES]],TabCONTRATSDI[Contrat SYGES],TabCONTRATSDI[Cost Center])</f>
        <v>305704</v>
      </c>
      <c r="I414" s="22" t="str">
        <f>LOOKUP(TabVMAzureEnvProjet[[#This Row],[Code SYGES]],TabCONTRATSDI[Contrat SYGES],TabCONTRATSDI[Client])</f>
        <v>ONEMA</v>
      </c>
      <c r="J414" t="s">
        <v>145</v>
      </c>
      <c r="K414" s="31">
        <v>0.48803683080208327</v>
      </c>
      <c r="L414" s="41" t="s">
        <v>146</v>
      </c>
    </row>
    <row r="415" spans="1:12" x14ac:dyDescent="0.3">
      <c r="A415" s="22" t="str">
        <f>TabVMAzureEnvProjet[[#This Row],[Client]] &amp; " .:. "  &amp; TabVMAzureEnvProjet[[#This Row],[Projet]]</f>
        <v>ONEMA .:. AFB-CATALOGUE</v>
      </c>
      <c r="B415" s="22" t="str">
        <f>IF(TabVMAzureEnvProjet[[#This Row],[Projet AzureDevOps]]&lt;&gt;"",TabVMAzureEnvProjet[[#This Row],[Projet AzureDevOps]],TabVMAzureEnvProjet[[#This Row],[VM]])</f>
        <v>AFB-Catalogue</v>
      </c>
      <c r="C415" s="47" t="s">
        <v>74</v>
      </c>
      <c r="E415" t="s">
        <v>4</v>
      </c>
      <c r="F415" t="s">
        <v>73</v>
      </c>
      <c r="G415" t="str">
        <f>LOOKUP(TabVMAzureEnvProjet[[#This Row],[Projet]],TabProjets[NomProj],TabProjets[SYGES])</f>
        <v>ONEMA/TMADCUA-15</v>
      </c>
      <c r="H415">
        <f>LOOKUP(TabVMAzureEnvProjet[[#This Row],[Code SYGES]],TabCONTRATSDI[Contrat SYGES],TabCONTRATSDI[Cost Center])</f>
        <v>305704</v>
      </c>
      <c r="I415" s="22" t="str">
        <f>LOOKUP(TabVMAzureEnvProjet[[#This Row],[Code SYGES]],TabCONTRATSDI[Contrat SYGES],TabCONTRATSDI[Client])</f>
        <v>ONEMA</v>
      </c>
      <c r="J415" t="s">
        <v>145</v>
      </c>
      <c r="K415" s="31">
        <v>1.8724201854354703</v>
      </c>
      <c r="L415" s="41" t="s">
        <v>146</v>
      </c>
    </row>
    <row r="416" spans="1:12" x14ac:dyDescent="0.3">
      <c r="A416" s="22" t="str">
        <f>TabVMAzureEnvProjet[[#This Row],[Client]] &amp; " .:. "  &amp; TabVMAzureEnvProjet[[#This Row],[Projet]]</f>
        <v>ONEMA .:. AFB-CDR</v>
      </c>
      <c r="B416" s="22" t="str">
        <f>IF(TabVMAzureEnvProjet[[#This Row],[Projet AzureDevOps]]&lt;&gt;"",TabVMAzureEnvProjet[[#This Row],[Projet AzureDevOps]],TabVMAzureEnvProjet[[#This Row],[VM]])</f>
        <v>AFB-CDR</v>
      </c>
      <c r="C416" s="47" t="s">
        <v>75</v>
      </c>
      <c r="E416" t="s">
        <v>4</v>
      </c>
      <c r="F416" t="s">
        <v>75</v>
      </c>
      <c r="G416" t="str">
        <f>LOOKUP(TabVMAzureEnvProjet[[#This Row],[Projet]],TabProjets[NomProj],TabProjets[SYGES])</f>
        <v>ONEMA/TMAWEB-16</v>
      </c>
      <c r="H416">
        <f>LOOKUP(TabVMAzureEnvProjet[[#This Row],[Code SYGES]],TabCONTRATSDI[Contrat SYGES],TabCONTRATSDI[Cost Center])</f>
        <v>305704</v>
      </c>
      <c r="I416" s="22" t="str">
        <f>LOOKUP(TabVMAzureEnvProjet[[#This Row],[Code SYGES]],TabCONTRATSDI[Contrat SYGES],TabCONTRATSDI[Client])</f>
        <v>ONEMA</v>
      </c>
      <c r="J416" t="s">
        <v>145</v>
      </c>
      <c r="K416" s="31">
        <v>8.5200006208381094</v>
      </c>
      <c r="L416" s="41" t="s">
        <v>146</v>
      </c>
    </row>
    <row r="417" spans="1:12" x14ac:dyDescent="0.3">
      <c r="A417" s="22" t="str">
        <f>TabVMAzureEnvProjet[[#This Row],[Client]] &amp; " .:. "  &amp; TabVMAzureEnvProjet[[#This Row],[Projet]]</f>
        <v>AFB .:. AFB-CESMIA</v>
      </c>
      <c r="B417" s="22" t="str">
        <f>IF(TabVMAzureEnvProjet[[#This Row],[Projet AzureDevOps]]&lt;&gt;"",TabVMAzureEnvProjet[[#This Row],[Projet AzureDevOps]],TabVMAzureEnvProjet[[#This Row],[VM]])</f>
        <v>AFB-CESMIA</v>
      </c>
      <c r="C417" s="47" t="s">
        <v>3</v>
      </c>
      <c r="E417" t="s">
        <v>4</v>
      </c>
      <c r="F417" t="s">
        <v>3</v>
      </c>
      <c r="G417" t="str">
        <f>LOOKUP(TabVMAzureEnvProjet[[#This Row],[Projet]],TabProjets[NomProj],TabProjets[SYGES])</f>
        <v>AFB/OFB_LOT1</v>
      </c>
      <c r="H417">
        <f>LOOKUP(TabVMAzureEnvProjet[[#This Row],[Code SYGES]],TabCONTRATSDI[Contrat SYGES],TabCONTRATSDI[Cost Center])</f>
        <v>305704</v>
      </c>
      <c r="I417" s="22" t="str">
        <f>LOOKUP(TabVMAzureEnvProjet[[#This Row],[Code SYGES]],TabCONTRATSDI[Contrat SYGES],TabCONTRATSDI[Client])</f>
        <v>AFB</v>
      </c>
      <c r="J417" t="s">
        <v>145</v>
      </c>
      <c r="K417" s="31">
        <v>8.3242972598595628</v>
      </c>
      <c r="L417" s="41" t="s">
        <v>146</v>
      </c>
    </row>
    <row r="418" spans="1:12" x14ac:dyDescent="0.3">
      <c r="A418" s="22" t="str">
        <f>TabVMAzureEnvProjet[[#This Row],[Client]] &amp; " .:. "  &amp; TabVMAzureEnvProjet[[#This Row],[Projet]]</f>
        <v>ONEMA .:. AFB-OISON</v>
      </c>
      <c r="B418" s="22" t="str">
        <f>IF(TabVMAzureEnvProjet[[#This Row],[Projet AzureDevOps]]&lt;&gt;"",TabVMAzureEnvProjet[[#This Row],[Projet AzureDevOps]],TabVMAzureEnvProjet[[#This Row],[VM]])</f>
        <v>AFB-OISON</v>
      </c>
      <c r="C418" s="47" t="s">
        <v>76</v>
      </c>
      <c r="E418" t="s">
        <v>4</v>
      </c>
      <c r="F418" t="s">
        <v>76</v>
      </c>
      <c r="G418" t="str">
        <f>LOOKUP(TabVMAzureEnvProjet[[#This Row],[Projet]],TabProjets[NomProj],TabProjets[SYGES])</f>
        <v>ONEMA/TMADCUA-15</v>
      </c>
      <c r="H418">
        <f>LOOKUP(TabVMAzureEnvProjet[[#This Row],[Code SYGES]],TabCONTRATSDI[Contrat SYGES],TabCONTRATSDI[Cost Center])</f>
        <v>305704</v>
      </c>
      <c r="I418" s="22" t="str">
        <f>LOOKUP(TabVMAzureEnvProjet[[#This Row],[Code SYGES]],TabCONTRATSDI[Contrat SYGES],TabCONTRATSDI[Client])</f>
        <v>ONEMA</v>
      </c>
      <c r="J418" t="s">
        <v>145</v>
      </c>
      <c r="K418" s="31">
        <v>5.3654356422009251</v>
      </c>
      <c r="L418" s="41" t="s">
        <v>146</v>
      </c>
    </row>
    <row r="419" spans="1:12" x14ac:dyDescent="0.3">
      <c r="A419" s="22" t="str">
        <f>TabVMAzureEnvProjet[[#This Row],[Client]] &amp; " .:. "  &amp; TabVMAzureEnvProjet[[#This Row],[Projet]]</f>
        <v>ONEMA .:. AFB-PATBIODIV</v>
      </c>
      <c r="B419" s="22" t="str">
        <f>IF(TabVMAzureEnvProjet[[#This Row],[Projet AzureDevOps]]&lt;&gt;"",TabVMAzureEnvProjet[[#This Row],[Projet AzureDevOps]],TabVMAzureEnvProjet[[#This Row],[VM]])</f>
        <v>AFB-PATBiodiv</v>
      </c>
      <c r="C419" s="47" t="s">
        <v>78</v>
      </c>
      <c r="E419" t="s">
        <v>4</v>
      </c>
      <c r="F419" t="s">
        <v>77</v>
      </c>
      <c r="G419" t="str">
        <f>LOOKUP(TabVMAzureEnvProjet[[#This Row],[Projet]],TabProjets[NomProj],TabProjets[SYGES])</f>
        <v>ONEMA/TMADCUA-15</v>
      </c>
      <c r="H419">
        <f>LOOKUP(TabVMAzureEnvProjet[[#This Row],[Code SYGES]],TabCONTRATSDI[Contrat SYGES],TabCONTRATSDI[Cost Center])</f>
        <v>305704</v>
      </c>
      <c r="I419" s="22" t="str">
        <f>LOOKUP(TabVMAzureEnvProjet[[#This Row],[Code SYGES]],TabCONTRATSDI[Contrat SYGES],TabCONTRATSDI[Client])</f>
        <v>ONEMA</v>
      </c>
      <c r="J419" t="s">
        <v>145</v>
      </c>
      <c r="K419" s="31">
        <v>5.8899122897217104</v>
      </c>
      <c r="L419" s="41" t="s">
        <v>146</v>
      </c>
    </row>
    <row r="420" spans="1:12" x14ac:dyDescent="0.3">
      <c r="A420" s="22" t="str">
        <f>TabVMAzureEnvProjet[[#This Row],[Client]] &amp; " .:. "  &amp; TabVMAzureEnvProjet[[#This Row],[Projet]]</f>
        <v>AFB .:. AFB-PNM</v>
      </c>
      <c r="B420" s="22" t="str">
        <f>IF(TabVMAzureEnvProjet[[#This Row],[Projet AzureDevOps]]&lt;&gt;"",TabVMAzureEnvProjet[[#This Row],[Projet AzureDevOps]],TabVMAzureEnvProjet[[#This Row],[VM]])</f>
        <v>AFB-PNM</v>
      </c>
      <c r="C420" s="47" t="s">
        <v>5</v>
      </c>
      <c r="E420" t="s">
        <v>4</v>
      </c>
      <c r="F420" t="s">
        <v>5</v>
      </c>
      <c r="G420" t="str">
        <f>LOOKUP(TabVMAzureEnvProjet[[#This Row],[Projet]],TabProjets[NomProj],TabProjets[SYGES])</f>
        <v>AFB/OFB_LOT2</v>
      </c>
      <c r="H420">
        <f>LOOKUP(TabVMAzureEnvProjet[[#This Row],[Code SYGES]],TabCONTRATSDI[Contrat SYGES],TabCONTRATSDI[Cost Center])</f>
        <v>305704</v>
      </c>
      <c r="I420" s="22" t="str">
        <f>LOOKUP(TabVMAzureEnvProjet[[#This Row],[Code SYGES]],TabCONTRATSDI[Contrat SYGES],TabCONTRATSDI[Client])</f>
        <v>AFB</v>
      </c>
      <c r="J420" t="s">
        <v>145</v>
      </c>
      <c r="K420" s="31">
        <v>8.1899604416767993</v>
      </c>
      <c r="L420" s="41" t="s">
        <v>146</v>
      </c>
    </row>
    <row r="421" spans="1:12" x14ac:dyDescent="0.3">
      <c r="A421" s="22" t="str">
        <f>TabVMAzureEnvProjet[[#This Row],[Client]] &amp; " .:. "  &amp; TabVMAzureEnvProjet[[#This Row],[Projet]]</f>
        <v>AFB .:. AFB-PNX</v>
      </c>
      <c r="B421" s="22" t="str">
        <f>IF(TabVMAzureEnvProjet[[#This Row],[Projet AzureDevOps]]&lt;&gt;"",TabVMAzureEnvProjet[[#This Row],[Projet AzureDevOps]],TabVMAzureEnvProjet[[#This Row],[VM]])</f>
        <v>AFB-PNX</v>
      </c>
      <c r="C421" s="47" t="s">
        <v>6</v>
      </c>
      <c r="E421" t="s">
        <v>4</v>
      </c>
      <c r="F421" t="s">
        <v>6</v>
      </c>
      <c r="G421" t="str">
        <f>LOOKUP(TabVMAzureEnvProjet[[#This Row],[Projet]],TabProjets[NomProj],TabProjets[SYGES])</f>
        <v>AFB/OFB_LOT2</v>
      </c>
      <c r="H421">
        <f>LOOKUP(TabVMAzureEnvProjet[[#This Row],[Code SYGES]],TabCONTRATSDI[Contrat SYGES],TabCONTRATSDI[Cost Center])</f>
        <v>305704</v>
      </c>
      <c r="I421" s="22" t="str">
        <f>LOOKUP(TabVMAzureEnvProjet[[#This Row],[Code SYGES]],TabCONTRATSDI[Contrat SYGES],TabCONTRATSDI[Client])</f>
        <v>AFB</v>
      </c>
      <c r="J421" t="s">
        <v>145</v>
      </c>
      <c r="K421" s="31">
        <v>2.0319578575688242</v>
      </c>
      <c r="L421" s="41" t="s">
        <v>146</v>
      </c>
    </row>
    <row r="422" spans="1:12" x14ac:dyDescent="0.3">
      <c r="A422" s="22" t="str">
        <f>TabVMAzureEnvProjet[[#This Row],[Client]] &amp; " .:. "  &amp; TabVMAzureEnvProjet[[#This Row],[Projet]]</f>
        <v>ONEMA .:. AFB-RAA</v>
      </c>
      <c r="B422" s="22" t="str">
        <f>IF(TabVMAzureEnvProjet[[#This Row],[Projet AzureDevOps]]&lt;&gt;"",TabVMAzureEnvProjet[[#This Row],[Projet AzureDevOps]],TabVMAzureEnvProjet[[#This Row],[VM]])</f>
        <v>AFB-RAA</v>
      </c>
      <c r="C422" s="47" t="s">
        <v>79</v>
      </c>
      <c r="E422" t="s">
        <v>4</v>
      </c>
      <c r="F422" t="s">
        <v>79</v>
      </c>
      <c r="G422" t="str">
        <f>LOOKUP(TabVMAzureEnvProjet[[#This Row],[Projet]],TabProjets[NomProj],TabProjets[SYGES])</f>
        <v>ONEMA/TMAWEB-16</v>
      </c>
      <c r="H422">
        <f>LOOKUP(TabVMAzureEnvProjet[[#This Row],[Code SYGES]],TabCONTRATSDI[Contrat SYGES],TabCONTRATSDI[Cost Center])</f>
        <v>305704</v>
      </c>
      <c r="I422" s="22" t="str">
        <f>LOOKUP(TabVMAzureEnvProjet[[#This Row],[Code SYGES]],TabCONTRATSDI[Contrat SYGES],TabCONTRATSDI[Client])</f>
        <v>ONEMA</v>
      </c>
      <c r="J422" t="s">
        <v>145</v>
      </c>
      <c r="K422" s="31">
        <v>0.23117534090624997</v>
      </c>
      <c r="L422" s="41" t="s">
        <v>146</v>
      </c>
    </row>
    <row r="423" spans="1:12" x14ac:dyDescent="0.3">
      <c r="A423" s="22" t="str">
        <f>TabVMAzureEnvProjet[[#This Row],[Client]] &amp; " .:. "  &amp; TabVMAzureEnvProjet[[#This Row],[Projet]]</f>
        <v>ALM .:. ALM-ATOUT</v>
      </c>
      <c r="B423" s="22" t="str">
        <f>IF(TabVMAzureEnvProjet[[#This Row],[Projet AzureDevOps]]&lt;&gt;"",TabVMAzureEnvProjet[[#This Row],[Projet AzureDevOps]],TabVMAzureEnvProjet[[#This Row],[VM]])</f>
        <v>ALM-ATOUT</v>
      </c>
      <c r="C423" s="47" t="s">
        <v>15</v>
      </c>
      <c r="E423" t="s">
        <v>4</v>
      </c>
      <c r="F423" t="s">
        <v>15</v>
      </c>
      <c r="G423" t="str">
        <f>LOOKUP(TabVMAzureEnvProjet[[#This Row],[Projet]],TabProjets[NomProj],TabProjets[SYGES])</f>
        <v>ALM/TMA_ATOUT</v>
      </c>
      <c r="H423">
        <f>LOOKUP(TabVMAzureEnvProjet[[#This Row],[Code SYGES]],TabCONTRATSDI[Contrat SYGES],TabCONTRATSDI[Cost Center])</f>
        <v>305704</v>
      </c>
      <c r="I423" s="22" t="str">
        <f>LOOKUP(TabVMAzureEnvProjet[[#This Row],[Code SYGES]],TabCONTRATSDI[Contrat SYGES],TabCONTRATSDI[Client])</f>
        <v>ALM</v>
      </c>
      <c r="J423" t="s">
        <v>145</v>
      </c>
      <c r="K423" s="31">
        <v>6.750258549395399</v>
      </c>
      <c r="L423" s="41" t="s">
        <v>146</v>
      </c>
    </row>
    <row r="424" spans="1:12" x14ac:dyDescent="0.3">
      <c r="A424" s="22" t="str">
        <f>TabVMAzureEnvProjet[[#This Row],[Client]] &amp; " .:. "  &amp; TabVMAzureEnvProjet[[#This Row],[Projet]]</f>
        <v>BRGM .:. BRGM-ORRM</v>
      </c>
      <c r="B424" s="22" t="str">
        <f>IF(TabVMAzureEnvProjet[[#This Row],[Projet AzureDevOps]]&lt;&gt;"",TabVMAzureEnvProjet[[#This Row],[Projet AzureDevOps]],TabVMAzureEnvProjet[[#This Row],[VM]])</f>
        <v>BRGM-ORRM</v>
      </c>
      <c r="C424" s="47" t="s">
        <v>18</v>
      </c>
      <c r="E424" t="s">
        <v>4</v>
      </c>
      <c r="F424" t="s">
        <v>18</v>
      </c>
      <c r="G424" t="str">
        <f>LOOKUP(TabVMAzureEnvProjet[[#This Row],[Projet]],TabProjets[NomProj],TabProjets[SYGES])</f>
        <v>BRGM/TMA-5-1-ORRM-LOT1</v>
      </c>
      <c r="H424">
        <f>LOOKUP(TabVMAzureEnvProjet[[#This Row],[Code SYGES]],TabCONTRATSDI[Contrat SYGES],TabCONTRATSDI[Cost Center])</f>
        <v>305704</v>
      </c>
      <c r="I424" s="22" t="str">
        <f>LOOKUP(TabVMAzureEnvProjet[[#This Row],[Code SYGES]],TabCONTRATSDI[Contrat SYGES],TabCONTRATSDI[Client])</f>
        <v>BRGM</v>
      </c>
      <c r="J424" t="s">
        <v>145</v>
      </c>
      <c r="K424" s="31">
        <v>8.9045395465594517</v>
      </c>
      <c r="L424" s="41" t="s">
        <v>146</v>
      </c>
    </row>
    <row r="425" spans="1:12" x14ac:dyDescent="0.3">
      <c r="A425" s="22" t="str">
        <f>TabVMAzureEnvProjet[[#This Row],[Client]] &amp; " .:. "  &amp; TabVMAzureEnvProjet[[#This Row],[Projet]]</f>
        <v>CGOS .:. CGOS-BI</v>
      </c>
      <c r="B425" s="22" t="str">
        <f>IF(TabVMAzureEnvProjet[[#This Row],[Projet AzureDevOps]]&lt;&gt;"",TabVMAzureEnvProjet[[#This Row],[Projet AzureDevOps]],TabVMAzureEnvProjet[[#This Row],[VM]])</f>
        <v>CGOS-BI</v>
      </c>
      <c r="C425" s="47" t="s">
        <v>112</v>
      </c>
      <c r="E425" t="s">
        <v>4</v>
      </c>
      <c r="F425" t="s">
        <v>112</v>
      </c>
      <c r="G425" t="str">
        <f>LOOKUP(TabVMAzureEnvProjet[[#This Row],[Projet]],TabProjets[NomProj],TabProjets[SYGES])</f>
        <v>CGOS-BUILDBI-18</v>
      </c>
      <c r="H425">
        <f>LOOKUP(TabVMAzureEnvProjet[[#This Row],[Code SYGES]],TabCONTRATSDI[Contrat SYGES],TabCONTRATSDI[Cost Center])</f>
        <v>305704</v>
      </c>
      <c r="I425" s="22" t="str">
        <f>LOOKUP(TabVMAzureEnvProjet[[#This Row],[Code SYGES]],TabCONTRATSDI[Contrat SYGES],TabCONTRATSDI[Client])</f>
        <v>CGOS</v>
      </c>
      <c r="J425" t="s">
        <v>145</v>
      </c>
      <c r="K425" s="31">
        <v>4.6235068181249996</v>
      </c>
      <c r="L425" s="41" t="s">
        <v>146</v>
      </c>
    </row>
    <row r="426" spans="1:12" x14ac:dyDescent="0.3">
      <c r="A426" s="22" t="str">
        <f>TabVMAzureEnvProjet[[#This Row],[Client]] &amp; " .:. "  &amp; TabVMAzureEnvProjet[[#This Row],[Projet]]</f>
        <v>CNAV .:. CNAV-BI-RGCU</v>
      </c>
      <c r="B426" s="22" t="str">
        <f>IF(TabVMAzureEnvProjet[[#This Row],[Projet AzureDevOps]]&lt;&gt;"",TabVMAzureEnvProjet[[#This Row],[Projet AzureDevOps]],TabVMAzureEnvProjet[[#This Row],[VM]])</f>
        <v>CNAV-BI-RGCU</v>
      </c>
      <c r="C426" s="47" t="s">
        <v>25</v>
      </c>
      <c r="E426" t="s">
        <v>4</v>
      </c>
      <c r="F426" t="s">
        <v>25</v>
      </c>
      <c r="G426" t="str">
        <f>LOOKUP(TabVMAzureEnvProjet[[#This Row],[Projet]],TabProjets[NomProj],TabProjets[SYGES])</f>
        <v>CNAV/BI-SIRRGCU</v>
      </c>
      <c r="H426">
        <f>LOOKUP(TabVMAzureEnvProjet[[#This Row],[Code SYGES]],TabCONTRATSDI[Contrat SYGES],TabCONTRATSDI[Cost Center])</f>
        <v>305704</v>
      </c>
      <c r="I426" s="22" t="str">
        <f>LOOKUP(TabVMAzureEnvProjet[[#This Row],[Code SYGES]],TabCONTRATSDI[Contrat SYGES],TabCONTRATSDI[Client])</f>
        <v>CNAV</v>
      </c>
      <c r="J426" t="s">
        <v>145</v>
      </c>
      <c r="K426" s="31">
        <v>11.5587670453125</v>
      </c>
      <c r="L426" s="41" t="s">
        <v>146</v>
      </c>
    </row>
    <row r="427" spans="1:12" x14ac:dyDescent="0.3">
      <c r="A427" s="22" t="str">
        <f>TabVMAzureEnvProjet[[#This Row],[Client]] &amp; " .:. "  &amp; TabVMAzureEnvProjet[[#This Row],[Projet]]</f>
        <v>GFI .:. GFI-INTERNE</v>
      </c>
      <c r="B427" s="22" t="str">
        <f>IF(TabVMAzureEnvProjet[[#This Row],[Projet AzureDevOps]]&lt;&gt;"",TabVMAzureEnvProjet[[#This Row],[Projet AzureDevOps]],TabVMAzureEnvProjet[[#This Row],[VM]])</f>
        <v>d8-qa</v>
      </c>
      <c r="C427" s="47" t="s">
        <v>37</v>
      </c>
      <c r="E427" t="s">
        <v>4</v>
      </c>
      <c r="F427" t="s">
        <v>36</v>
      </c>
      <c r="G427" t="str">
        <f>LOOKUP(TabVMAzureEnvProjet[[#This Row],[Projet]],TabProjets[NomProj],TabProjets[SYGES])</f>
        <v>GFI/PROJET_INTERNE</v>
      </c>
      <c r="H427">
        <f>LOOKUP(TabVMAzureEnvProjet[[#This Row],[Code SYGES]],TabCONTRATSDI[Contrat SYGES],TabCONTRATSDI[Cost Center])</f>
        <v>305704</v>
      </c>
      <c r="I427" s="22" t="str">
        <f>LOOKUP(TabVMAzureEnvProjet[[#This Row],[Code SYGES]],TabCONTRATSDI[Contrat SYGES],TabCONTRATSDI[Client])</f>
        <v>GFI</v>
      </c>
      <c r="J427" t="s">
        <v>145</v>
      </c>
      <c r="K427" s="31">
        <v>0.50314633020772059</v>
      </c>
      <c r="L427" s="41" t="s">
        <v>146</v>
      </c>
    </row>
    <row r="428" spans="1:12" x14ac:dyDescent="0.3">
      <c r="A428" s="22" t="str">
        <f>TabVMAzureEnvProjet[[#This Row],[Client]] &amp; " .:. "  &amp; TabVMAzureEnvProjet[[#This Row],[Projet]]</f>
        <v>GFI .:. GFI-INTERNE</v>
      </c>
      <c r="B428" s="22" t="str">
        <f>IF(TabVMAzureEnvProjet[[#This Row],[Projet AzureDevOps]]&lt;&gt;"",TabVMAzureEnvProjet[[#This Row],[Projet AzureDevOps]],TabVMAzureEnvProjet[[#This Row],[VM]])</f>
        <v>drupal-qa</v>
      </c>
      <c r="C428" s="47" t="s">
        <v>38</v>
      </c>
      <c r="E428" t="s">
        <v>4</v>
      </c>
      <c r="F428" t="s">
        <v>36</v>
      </c>
      <c r="G428" t="str">
        <f>LOOKUP(TabVMAzureEnvProjet[[#This Row],[Projet]],TabProjets[NomProj],TabProjets[SYGES])</f>
        <v>GFI/PROJET_INTERNE</v>
      </c>
      <c r="H428">
        <f>LOOKUP(TabVMAzureEnvProjet[[#This Row],[Code SYGES]],TabCONTRATSDI[Contrat SYGES],TabCONTRATSDI[Cost Center])</f>
        <v>305704</v>
      </c>
      <c r="I428" s="22" t="str">
        <f>LOOKUP(TabVMAzureEnvProjet[[#This Row],[Code SYGES]],TabCONTRATSDI[Contrat SYGES],TabCONTRATSDI[Client])</f>
        <v>GFI</v>
      </c>
      <c r="J428" t="s">
        <v>145</v>
      </c>
      <c r="K428" s="31">
        <v>0.50314633020772059</v>
      </c>
      <c r="L428" s="41" t="s">
        <v>146</v>
      </c>
    </row>
    <row r="429" spans="1:12" x14ac:dyDescent="0.3">
      <c r="A429" s="22" t="str">
        <f>TabVMAzureEnvProjet[[#This Row],[Client]] &amp; " .:. "  &amp; TabVMAzureEnvProjet[[#This Row],[Projet]]</f>
        <v>FRR .:. FRR-DIGIPAT</v>
      </c>
      <c r="B429" s="22" t="str">
        <f>IF(TabVMAzureEnvProjet[[#This Row],[Projet AzureDevOps]]&lt;&gt;"",TabVMAzureEnvProjet[[#This Row],[Projet AzureDevOps]],TabVMAzureEnvProjet[[#This Row],[VM]])</f>
        <v>FRR DIGIPAT</v>
      </c>
      <c r="C429" s="47" t="s">
        <v>28</v>
      </c>
      <c r="E429" t="s">
        <v>4</v>
      </c>
      <c r="F429" t="s">
        <v>27</v>
      </c>
      <c r="G429" t="str">
        <f>LOOKUP(TabVMAzureEnvProjet[[#This Row],[Projet]],TabProjets[NomProj],TabProjets[SYGES])</f>
        <v>FRR/TMASI</v>
      </c>
      <c r="H429">
        <f>LOOKUP(TabVMAzureEnvProjet[[#This Row],[Code SYGES]],TabCONTRATSDI[Contrat SYGES],TabCONTRATSDI[Cost Center])</f>
        <v>305704</v>
      </c>
      <c r="I429" s="22" t="str">
        <f>LOOKUP(TabVMAzureEnvProjet[[#This Row],[Code SYGES]],TabCONTRATSDI[Contrat SYGES],TabCONTRATSDI[Client])</f>
        <v>FRR</v>
      </c>
      <c r="J429" t="s">
        <v>145</v>
      </c>
      <c r="K429" s="31">
        <v>5.415682225420114</v>
      </c>
      <c r="L429" s="41" t="s">
        <v>146</v>
      </c>
    </row>
    <row r="430" spans="1:12" x14ac:dyDescent="0.3">
      <c r="A430" s="22" t="str">
        <f>TabVMAzureEnvProjet[[#This Row],[Client]] &amp; " .:. "  &amp; TabVMAzureEnvProjet[[#This Row],[Projet]]</f>
        <v>FRR .:. FRR-APPLIFRR</v>
      </c>
      <c r="B430" s="22" t="str">
        <f>IF(TabVMAzureEnvProjet[[#This Row],[Projet AzureDevOps]]&lt;&gt;"",TabVMAzureEnvProjet[[#This Row],[Projet AzureDevOps]],TabVMAzureEnvProjet[[#This Row],[VM]])</f>
        <v>FRR-APPLIFRR</v>
      </c>
      <c r="C430" s="47" t="s">
        <v>30</v>
      </c>
      <c r="E430" t="s">
        <v>4</v>
      </c>
      <c r="F430" t="s">
        <v>30</v>
      </c>
      <c r="G430" t="str">
        <f>LOOKUP(TabVMAzureEnvProjet[[#This Row],[Projet]],TabProjets[NomProj],TabProjets[SYGES])</f>
        <v>FRR/TMASI</v>
      </c>
      <c r="H430">
        <f>LOOKUP(TabVMAzureEnvProjet[[#This Row],[Code SYGES]],TabCONTRATSDI[Contrat SYGES],TabCONTRATSDI[Cost Center])</f>
        <v>305704</v>
      </c>
      <c r="I430" s="22" t="str">
        <f>LOOKUP(TabVMAzureEnvProjet[[#This Row],[Code SYGES]],TabCONTRATSDI[Contrat SYGES],TabCONTRATSDI[Client])</f>
        <v>FRR</v>
      </c>
      <c r="J430" t="s">
        <v>145</v>
      </c>
      <c r="K430" s="31">
        <v>2.8486518616267227</v>
      </c>
      <c r="L430" s="41" t="s">
        <v>146</v>
      </c>
    </row>
    <row r="431" spans="1:12" x14ac:dyDescent="0.3">
      <c r="A431" s="22" t="str">
        <f>TabVMAzureEnvProjet[[#This Row],[Client]] &amp; " .:. "  &amp; TabVMAzureEnvProjet[[#This Row],[Projet]]</f>
        <v>FRR .:. FRR-CADENCIER</v>
      </c>
      <c r="B431" s="22" t="str">
        <f>IF(TabVMAzureEnvProjet[[#This Row],[Projet AzureDevOps]]&lt;&gt;"",TabVMAzureEnvProjet[[#This Row],[Projet AzureDevOps]],TabVMAzureEnvProjet[[#This Row],[VM]])</f>
        <v>FRR-CADENCIER</v>
      </c>
      <c r="C431" s="47" t="s">
        <v>31</v>
      </c>
      <c r="E431" t="s">
        <v>4</v>
      </c>
      <c r="F431" t="s">
        <v>31</v>
      </c>
      <c r="G431" t="str">
        <f>LOOKUP(TabVMAzureEnvProjet[[#This Row],[Projet]],TabProjets[NomProj],TabProjets[SYGES])</f>
        <v>FRR/TMASI</v>
      </c>
      <c r="H431">
        <f>LOOKUP(TabVMAzureEnvProjet[[#This Row],[Code SYGES]],TabCONTRATSDI[Contrat SYGES],TabCONTRATSDI[Cost Center])</f>
        <v>305704</v>
      </c>
      <c r="I431" s="22" t="str">
        <f>LOOKUP(TabVMAzureEnvProjet[[#This Row],[Code SYGES]],TabCONTRATSDI[Contrat SYGES],TabCONTRATSDI[Client])</f>
        <v>FRR</v>
      </c>
      <c r="J431" t="s">
        <v>145</v>
      </c>
      <c r="K431" s="31">
        <v>2.8486518616267227</v>
      </c>
      <c r="L431" s="41" t="s">
        <v>146</v>
      </c>
    </row>
    <row r="432" spans="1:12" x14ac:dyDescent="0.3">
      <c r="A432" s="22" t="str">
        <f>TabVMAzureEnvProjet[[#This Row],[Client]] &amp; " .:. "  &amp; TabVMAzureEnvProjet[[#This Row],[Projet]]</f>
        <v>FRR .:. FRR-PATAPAIN</v>
      </c>
      <c r="B432" s="22" t="str">
        <f>IF(TabVMAzureEnvProjet[[#This Row],[Projet AzureDevOps]]&lt;&gt;"",TabVMAzureEnvProjet[[#This Row],[Projet AzureDevOps]],TabVMAzureEnvProjet[[#This Row],[VM]])</f>
        <v>FRR-Patapain</v>
      </c>
      <c r="C432" s="47" t="s">
        <v>33</v>
      </c>
      <c r="E432" t="s">
        <v>4</v>
      </c>
      <c r="F432" t="s">
        <v>32</v>
      </c>
      <c r="G432" t="str">
        <f>LOOKUP(TabVMAzureEnvProjet[[#This Row],[Projet]],TabProjets[NomProj],TabProjets[SYGES])</f>
        <v>FRR/TMASI</v>
      </c>
      <c r="H432">
        <f>LOOKUP(TabVMAzureEnvProjet[[#This Row],[Code SYGES]],TabCONTRATSDI[Contrat SYGES],TabCONTRATSDI[Cost Center])</f>
        <v>305704</v>
      </c>
      <c r="I432" s="22" t="str">
        <f>LOOKUP(TabVMAzureEnvProjet[[#This Row],[Code SYGES]],TabCONTRATSDI[Contrat SYGES],TabCONTRATSDI[Client])</f>
        <v>FRR</v>
      </c>
      <c r="J432" t="s">
        <v>145</v>
      </c>
      <c r="K432" s="31">
        <v>1.3576964465922619</v>
      </c>
      <c r="L432" s="41" t="s">
        <v>146</v>
      </c>
    </row>
    <row r="433" spans="1:12" x14ac:dyDescent="0.3">
      <c r="A433" s="22" t="str">
        <f>TabVMAzureEnvProjet[[#This Row],[Client]] &amp; " .:. "  &amp; TabVMAzureEnvProjet[[#This Row],[Projet]]</f>
        <v>FRR .:. FRR-PATAPAINANDROID</v>
      </c>
      <c r="B433" s="22" t="str">
        <f>IF(TabVMAzureEnvProjet[[#This Row],[Projet AzureDevOps]]&lt;&gt;"",TabVMAzureEnvProjet[[#This Row],[Projet AzureDevOps]],TabVMAzureEnvProjet[[#This Row],[VM]])</f>
        <v>FRR-PATAPAINANDROID</v>
      </c>
      <c r="C433" s="47" t="s">
        <v>34</v>
      </c>
      <c r="E433" t="s">
        <v>4</v>
      </c>
      <c r="F433" t="s">
        <v>34</v>
      </c>
      <c r="G433" t="str">
        <f>LOOKUP(TabVMAzureEnvProjet[[#This Row],[Projet]],TabProjets[NomProj],TabProjets[SYGES])</f>
        <v>FRR/TMASI</v>
      </c>
      <c r="H433">
        <f>LOOKUP(TabVMAzureEnvProjet[[#This Row],[Code SYGES]],TabCONTRATSDI[Contrat SYGES],TabCONTRATSDI[Cost Center])</f>
        <v>305704</v>
      </c>
      <c r="I433" s="22" t="str">
        <f>LOOKUP(TabVMAzureEnvProjet[[#This Row],[Code SYGES]],TabCONTRATSDI[Contrat SYGES],TabCONTRATSDI[Client])</f>
        <v>FRR</v>
      </c>
      <c r="J433" t="s">
        <v>145</v>
      </c>
      <c r="K433" s="31">
        <v>2.8486518616267227</v>
      </c>
      <c r="L433" s="41" t="s">
        <v>146</v>
      </c>
    </row>
    <row r="434" spans="1:12" x14ac:dyDescent="0.3">
      <c r="A434" s="22" t="str">
        <f>TabVMAzureEnvProjet[[#This Row],[Client]] &amp; " .:. "  &amp; TabVMAzureEnvProjet[[#This Row],[Projet]]</f>
        <v>GFI .:. GFI-INTERNE</v>
      </c>
      <c r="B434" s="22" t="str">
        <f>IF(TabVMAzureEnvProjet[[#This Row],[Projet AzureDevOps]]&lt;&gt;"",TabVMAzureEnvProjet[[#This Row],[Projet AzureDevOps]],TabVMAzureEnvProjet[[#This Row],[VM]])</f>
        <v>GFI-BaseDocumentaire</v>
      </c>
      <c r="C434" s="47" t="s">
        <v>39</v>
      </c>
      <c r="E434" t="s">
        <v>4</v>
      </c>
      <c r="F434" t="s">
        <v>36</v>
      </c>
      <c r="G434" t="str">
        <f>LOOKUP(TabVMAzureEnvProjet[[#This Row],[Projet]],TabProjets[NomProj],TabProjets[SYGES])</f>
        <v>GFI/PROJET_INTERNE</v>
      </c>
      <c r="H434">
        <f>LOOKUP(TabVMAzureEnvProjet[[#This Row],[Code SYGES]],TabCONTRATSDI[Contrat SYGES],TabCONTRATSDI[Cost Center])</f>
        <v>305704</v>
      </c>
      <c r="I434" s="22" t="str">
        <f>LOOKUP(TabVMAzureEnvProjet[[#This Row],[Code SYGES]],TabCONTRATSDI[Contrat SYGES],TabCONTRATSDI[Client])</f>
        <v>GFI</v>
      </c>
      <c r="J434" t="s">
        <v>145</v>
      </c>
      <c r="K434" s="31">
        <v>1.8347249278273807</v>
      </c>
      <c r="L434" s="41" t="s">
        <v>146</v>
      </c>
    </row>
    <row r="435" spans="1:12" x14ac:dyDescent="0.3">
      <c r="A435" s="22" t="str">
        <f>TabVMAzureEnvProjet[[#This Row],[Client]] &amp; " .:. "  &amp; TabVMAzureEnvProjet[[#This Row],[Projet]]</f>
        <v>GFI .:. GFI-CMIS</v>
      </c>
      <c r="B435" s="22" t="str">
        <f>IF(TabVMAzureEnvProjet[[#This Row],[Projet AzureDevOps]]&lt;&gt;"",TabVMAzureEnvProjet[[#This Row],[Projet AzureDevOps]],TabVMAzureEnvProjet[[#This Row],[VM]])</f>
        <v>GFI-CMIS</v>
      </c>
      <c r="C435" s="47" t="s">
        <v>40</v>
      </c>
      <c r="E435" t="s">
        <v>4</v>
      </c>
      <c r="F435" t="s">
        <v>40</v>
      </c>
      <c r="G435" t="str">
        <f>LOOKUP(TabVMAzureEnvProjet[[#This Row],[Projet]],TabProjets[NomProj],TabProjets[SYGES])</f>
        <v>GFI/PROJET_INTERNE</v>
      </c>
      <c r="H435">
        <f>LOOKUP(TabVMAzureEnvProjet[[#This Row],[Code SYGES]],TabCONTRATSDI[Contrat SYGES],TabCONTRATSDI[Cost Center])</f>
        <v>305704</v>
      </c>
      <c r="I435" s="22" t="str">
        <f>LOOKUP(TabVMAzureEnvProjet[[#This Row],[Code SYGES]],TabCONTRATSDI[Contrat SYGES],TabCONTRATSDI[Client])</f>
        <v>GFI</v>
      </c>
      <c r="J435" t="s">
        <v>145</v>
      </c>
      <c r="K435" s="31">
        <v>0.23117534090624997</v>
      </c>
      <c r="L435" s="41" t="s">
        <v>146</v>
      </c>
    </row>
    <row r="436" spans="1:12" x14ac:dyDescent="0.3">
      <c r="A436" s="22" t="str">
        <f>TabVMAzureEnvProjet[[#This Row],[Client]] &amp; " .:. "  &amp; TabVMAzureEnvProjet[[#This Row],[Projet]]</f>
        <v>GFI .:. GFI-COFFEE</v>
      </c>
      <c r="B436" s="22" t="str">
        <f>IF(TabVMAzureEnvProjet[[#This Row],[Projet AzureDevOps]]&lt;&gt;"",TabVMAzureEnvProjet[[#This Row],[Projet AzureDevOps]],TabVMAzureEnvProjet[[#This Row],[VM]])</f>
        <v>GFI-COFFEE</v>
      </c>
      <c r="C436" s="47" t="s">
        <v>41</v>
      </c>
      <c r="E436" t="s">
        <v>4</v>
      </c>
      <c r="F436" t="s">
        <v>41</v>
      </c>
      <c r="G436" t="str">
        <f>LOOKUP(TabVMAzureEnvProjet[[#This Row],[Projet]],TabProjets[NomProj],TabProjets[SYGES])</f>
        <v>GFI/PROJET_INTERNE</v>
      </c>
      <c r="H436">
        <f>LOOKUP(TabVMAzureEnvProjet[[#This Row],[Code SYGES]],TabCONTRATSDI[Contrat SYGES],TabCONTRATSDI[Cost Center])</f>
        <v>305704</v>
      </c>
      <c r="I436" s="22" t="str">
        <f>LOOKUP(TabVMAzureEnvProjet[[#This Row],[Code SYGES]],TabCONTRATSDI[Contrat SYGES],TabCONTRATSDI[Client])</f>
        <v>GFI</v>
      </c>
      <c r="J436" t="s">
        <v>145</v>
      </c>
      <c r="K436" s="31">
        <v>0.70569314592434207</v>
      </c>
      <c r="L436" s="41" t="s">
        <v>146</v>
      </c>
    </row>
    <row r="437" spans="1:12" x14ac:dyDescent="0.3">
      <c r="A437" s="22" t="str">
        <f>TabVMAzureEnvProjet[[#This Row],[Client]] &amp; " .:. "  &amp; TabVMAzureEnvProjet[[#This Row],[Projet]]</f>
        <v>GFI .:. GFI-CRALENIUM</v>
      </c>
      <c r="B437" s="22" t="str">
        <f>IF(TabVMAzureEnvProjet[[#This Row],[Projet AzureDevOps]]&lt;&gt;"",TabVMAzureEnvProjet[[#This Row],[Projet AzureDevOps]],TabVMAzureEnvProjet[[#This Row],[VM]])</f>
        <v>GFI-CRALENIUM</v>
      </c>
      <c r="C437" s="47" t="s">
        <v>42</v>
      </c>
      <c r="E437" t="s">
        <v>4</v>
      </c>
      <c r="F437" t="s">
        <v>42</v>
      </c>
      <c r="G437" t="str">
        <f>LOOKUP(TabVMAzureEnvProjet[[#This Row],[Projet]],TabProjets[NomProj],TabProjets[SYGES])</f>
        <v>GFI/PROJET_INTERNE</v>
      </c>
      <c r="H437">
        <f>LOOKUP(TabVMAzureEnvProjet[[#This Row],[Code SYGES]],TabCONTRATSDI[Contrat SYGES],TabCONTRATSDI[Cost Center])</f>
        <v>305704</v>
      </c>
      <c r="I437" s="22" t="str">
        <f>LOOKUP(TabVMAzureEnvProjet[[#This Row],[Code SYGES]],TabCONTRATSDI[Contrat SYGES],TabCONTRATSDI[Client])</f>
        <v>GFI</v>
      </c>
      <c r="J437" t="s">
        <v>145</v>
      </c>
      <c r="K437" s="31">
        <v>2.8486518616267227</v>
      </c>
      <c r="L437" s="41" t="s">
        <v>146</v>
      </c>
    </row>
    <row r="438" spans="1:12" x14ac:dyDescent="0.3">
      <c r="A438" s="22" t="str">
        <f>TabVMAzureEnvProjet[[#This Row],[Client]] &amp; " .:. "  &amp; TabVMAzureEnvProjet[[#This Row],[Projet]]</f>
        <v>GFI .:. GFI-D8-BS4-THEME</v>
      </c>
      <c r="B438" s="22" t="str">
        <f>IF(TabVMAzureEnvProjet[[#This Row],[Projet AzureDevOps]]&lt;&gt;"",TabVMAzureEnvProjet[[#This Row],[Projet AzureDevOps]],TabVMAzureEnvProjet[[#This Row],[VM]])</f>
        <v>GFI-D8-BS4-THEME</v>
      </c>
      <c r="C438" s="47" t="s">
        <v>43</v>
      </c>
      <c r="E438" t="s">
        <v>4</v>
      </c>
      <c r="F438" t="s">
        <v>43</v>
      </c>
      <c r="G438" t="str">
        <f>LOOKUP(TabVMAzureEnvProjet[[#This Row],[Projet]],TabProjets[NomProj],TabProjets[SYGES])</f>
        <v>GFI/PROJET_INTERNE</v>
      </c>
      <c r="H438">
        <f>LOOKUP(TabVMAzureEnvProjet[[#This Row],[Code SYGES]],TabCONTRATSDI[Contrat SYGES],TabCONTRATSDI[Cost Center])</f>
        <v>305704</v>
      </c>
      <c r="I438" s="22" t="str">
        <f>LOOKUP(TabVMAzureEnvProjet[[#This Row],[Code SYGES]],TabCONTRATSDI[Contrat SYGES],TabCONTRATSDI[Client])</f>
        <v>GFI</v>
      </c>
      <c r="J438" t="s">
        <v>145</v>
      </c>
      <c r="K438" s="31">
        <v>1.4053992947157736</v>
      </c>
      <c r="L438" s="41" t="s">
        <v>146</v>
      </c>
    </row>
    <row r="439" spans="1:12" x14ac:dyDescent="0.3">
      <c r="A439" s="22" t="str">
        <f>TabVMAzureEnvProjet[[#This Row],[Client]] &amp; " .:. "  &amp; TabVMAzureEnvProjet[[#This Row],[Projet]]</f>
        <v>GFI .:. GFI-Docker Devbox Install</v>
      </c>
      <c r="B439" s="22" t="str">
        <f>IF(TabVMAzureEnvProjet[[#This Row],[Projet AzureDevOps]]&lt;&gt;"",TabVMAzureEnvProjet[[#This Row],[Projet AzureDevOps]],TabVMAzureEnvProjet[[#This Row],[VM]])</f>
        <v>GFI-Docker Devbox Install</v>
      </c>
      <c r="C439" s="47" t="s">
        <v>44</v>
      </c>
      <c r="E439" t="s">
        <v>4</v>
      </c>
      <c r="F439" t="s">
        <v>44</v>
      </c>
      <c r="G439" t="str">
        <f>LOOKUP(TabVMAzureEnvProjet[[#This Row],[Projet]],TabProjets[NomProj],TabProjets[SYGES])</f>
        <v>GFI/PROJET_INTERNE</v>
      </c>
      <c r="H439">
        <f>LOOKUP(TabVMAzureEnvProjet[[#This Row],[Code SYGES]],TabCONTRATSDI[Contrat SYGES],TabCONTRATSDI[Cost Center])</f>
        <v>305704</v>
      </c>
      <c r="I439" s="22" t="str">
        <f>LOOKUP(TabVMAzureEnvProjet[[#This Row],[Code SYGES]],TabCONTRATSDI[Contrat SYGES],TabCONTRATSDI[Client])</f>
        <v>GFI</v>
      </c>
      <c r="J439" t="s">
        <v>145</v>
      </c>
      <c r="K439" s="31">
        <v>12.340365803023669</v>
      </c>
      <c r="L439" s="41" t="s">
        <v>146</v>
      </c>
    </row>
    <row r="440" spans="1:12" x14ac:dyDescent="0.3">
      <c r="A440" s="22" t="str">
        <f>TabVMAzureEnvProjet[[#This Row],[Client]] &amp; " .:. "  &amp; TabVMAzureEnvProjet[[#This Row],[Projet]]</f>
        <v>GFI .:. GFI-MINEREPORT</v>
      </c>
      <c r="B440" s="22" t="str">
        <f>IF(TabVMAzureEnvProjet[[#This Row],[Projet AzureDevOps]]&lt;&gt;"",TabVMAzureEnvProjet[[#This Row],[Projet AzureDevOps]],TabVMAzureEnvProjet[[#This Row],[VM]])</f>
        <v>GFI-MineReport</v>
      </c>
      <c r="C440" s="47" t="s">
        <v>46</v>
      </c>
      <c r="E440" t="s">
        <v>4</v>
      </c>
      <c r="F440" t="s">
        <v>45</v>
      </c>
      <c r="G440" t="str">
        <f>LOOKUP(TabVMAzureEnvProjet[[#This Row],[Projet]],TabProjets[NomProj],TabProjets[SYGES])</f>
        <v>GFI/PROJET_INTERNE</v>
      </c>
      <c r="H440">
        <f>LOOKUP(TabVMAzureEnvProjet[[#This Row],[Code SYGES]],TabCONTRATSDI[Contrat SYGES],TabCONTRATSDI[Cost Center])</f>
        <v>305704</v>
      </c>
      <c r="I440" s="22" t="str">
        <f>LOOKUP(TabVMAzureEnvProjet[[#This Row],[Code SYGES]],TabCONTRATSDI[Contrat SYGES],TabCONTRATSDI[Client])</f>
        <v>GFI</v>
      </c>
      <c r="J440" t="s">
        <v>145</v>
      </c>
      <c r="K440" s="31">
        <v>3.9829435670070623</v>
      </c>
      <c r="L440" s="41" t="s">
        <v>146</v>
      </c>
    </row>
    <row r="441" spans="1:12" x14ac:dyDescent="0.3">
      <c r="A441" s="22" t="str">
        <f>TabVMAzureEnvProjet[[#This Row],[Client]] &amp; " .:. "  &amp; TabVMAzureEnvProjet[[#This Row],[Projet]]</f>
        <v>GFI .:. GFI-PMT</v>
      </c>
      <c r="B441" s="22" t="str">
        <f>IF(TabVMAzureEnvProjet[[#This Row],[Projet AzureDevOps]]&lt;&gt;"",TabVMAzureEnvProjet[[#This Row],[Projet AzureDevOps]],TabVMAzureEnvProjet[[#This Row],[VM]])</f>
        <v>GFI-PMT</v>
      </c>
      <c r="C441" s="47" t="s">
        <v>47</v>
      </c>
      <c r="E441" t="s">
        <v>4</v>
      </c>
      <c r="F441" t="s">
        <v>47</v>
      </c>
      <c r="G441" t="str">
        <f>LOOKUP(TabVMAzureEnvProjet[[#This Row],[Projet]],TabProjets[NomProj],TabProjets[SYGES])</f>
        <v>GFI/PROJET_INTERNE</v>
      </c>
      <c r="H441">
        <f>LOOKUP(TabVMAzureEnvProjet[[#This Row],[Code SYGES]],TabCONTRATSDI[Contrat SYGES],TabCONTRATSDI[Cost Center])</f>
        <v>305704</v>
      </c>
      <c r="I441" s="22" t="str">
        <f>LOOKUP(TabVMAzureEnvProjet[[#This Row],[Code SYGES]],TabCONTRATSDI[Contrat SYGES],TabCONTRATSDI[Client])</f>
        <v>GFI</v>
      </c>
      <c r="J441" t="s">
        <v>145</v>
      </c>
      <c r="K441" s="31">
        <v>4.8960061890957052</v>
      </c>
      <c r="L441" s="41" t="s">
        <v>146</v>
      </c>
    </row>
    <row r="442" spans="1:12" x14ac:dyDescent="0.3">
      <c r="A442" s="22" t="str">
        <f>TabVMAzureEnvProjet[[#This Row],[Client]] &amp; " .:. "  &amp; TabVMAzureEnvProjet[[#This Row],[Projet]]</f>
        <v>GFI .:. GFI-REDMINEDOCKER</v>
      </c>
      <c r="B442" s="22" t="str">
        <f>IF(TabVMAzureEnvProjet[[#This Row],[Projet AzureDevOps]]&lt;&gt;"",TabVMAzureEnvProjet[[#This Row],[Projet AzureDevOps]],TabVMAzureEnvProjet[[#This Row],[VM]])</f>
        <v>GFI-RedmineDocker</v>
      </c>
      <c r="C442" s="47" t="s">
        <v>50</v>
      </c>
      <c r="E442" t="s">
        <v>4</v>
      </c>
      <c r="F442" t="s">
        <v>49</v>
      </c>
      <c r="G442" t="str">
        <f>LOOKUP(TabVMAzureEnvProjet[[#This Row],[Projet]],TabProjets[NomProj],TabProjets[SYGES])</f>
        <v>GFI/PROJET_INTERNE</v>
      </c>
      <c r="H442">
        <f>LOOKUP(TabVMAzureEnvProjet[[#This Row],[Code SYGES]],TabCONTRATSDI[Contrat SYGES],TabCONTRATSDI[Cost Center])</f>
        <v>305704</v>
      </c>
      <c r="I442" s="22" t="str">
        <f>LOOKUP(TabVMAzureEnvProjet[[#This Row],[Code SYGES]],TabCONTRATSDI[Contrat SYGES],TabCONTRATSDI[Client])</f>
        <v>GFI</v>
      </c>
      <c r="J442" t="s">
        <v>145</v>
      </c>
      <c r="K442" s="31">
        <v>0.82195676766666659</v>
      </c>
      <c r="L442" s="41" t="s">
        <v>146</v>
      </c>
    </row>
    <row r="443" spans="1:12" x14ac:dyDescent="0.3">
      <c r="A443" s="22" t="str">
        <f>TabVMAzureEnvProjet[[#This Row],[Client]] &amp; " .:. "  &amp; TabVMAzureEnvProjet[[#This Row],[Projet]]</f>
        <v>GFI .:. GFI-TENDER</v>
      </c>
      <c r="B443" s="22" t="str">
        <f>IF(TabVMAzureEnvProjet[[#This Row],[Projet AzureDevOps]]&lt;&gt;"",TabVMAzureEnvProjet[[#This Row],[Projet AzureDevOps]],TabVMAzureEnvProjet[[#This Row],[VM]])</f>
        <v>GFI-TENDER</v>
      </c>
      <c r="C443" s="47" t="s">
        <v>51</v>
      </c>
      <c r="E443" t="s">
        <v>4</v>
      </c>
      <c r="F443" t="s">
        <v>51</v>
      </c>
      <c r="G443" t="str">
        <f>LOOKUP(TabVMAzureEnvProjet[[#This Row],[Projet]],TabProjets[NomProj],TabProjets[SYGES])</f>
        <v>GFI/PROJET_INTERNE</v>
      </c>
      <c r="H443">
        <f>LOOKUP(TabVMAzureEnvProjet[[#This Row],[Code SYGES]],TabCONTRATSDI[Contrat SYGES],TabCONTRATSDI[Cost Center])</f>
        <v>305704</v>
      </c>
      <c r="I443" s="22" t="str">
        <f>LOOKUP(TabVMAzureEnvProjet[[#This Row],[Code SYGES]],TabCONTRATSDI[Contrat SYGES],TabCONTRATSDI[Client])</f>
        <v>GFI</v>
      </c>
      <c r="J443" t="s">
        <v>145</v>
      </c>
      <c r="K443" s="31">
        <v>2.8486518616267227</v>
      </c>
      <c r="L443" s="41" t="s">
        <v>146</v>
      </c>
    </row>
    <row r="444" spans="1:12" x14ac:dyDescent="0.3">
      <c r="A444" s="22" t="str">
        <f>TabVMAzureEnvProjet[[#This Row],[Client]] &amp; " .:. "  &amp; TabVMAzureEnvProjet[[#This Row],[Projet]]</f>
        <v>GFI .:. GFI-WAAC</v>
      </c>
      <c r="B444" s="22" t="str">
        <f>IF(TabVMAzureEnvProjet[[#This Row],[Projet AzureDevOps]]&lt;&gt;"",TabVMAzureEnvProjet[[#This Row],[Projet AzureDevOps]],TabVMAzureEnvProjet[[#This Row],[VM]])</f>
        <v>GFI-WAAC</v>
      </c>
      <c r="C444" s="47" t="s">
        <v>52</v>
      </c>
      <c r="E444" t="s">
        <v>4</v>
      </c>
      <c r="F444" t="s">
        <v>52</v>
      </c>
      <c r="G444" t="str">
        <f>LOOKUP(TabVMAzureEnvProjet[[#This Row],[Projet]],TabProjets[NomProj],TabProjets[SYGES])</f>
        <v>383928 - WAAC 1.0</v>
      </c>
      <c r="H444">
        <f>LOOKUP(TabVMAzureEnvProjet[[#This Row],[Code SYGES]],TabCONTRATSDI[Contrat SYGES],TabCONTRATSDI[Cost Center])</f>
        <v>100973</v>
      </c>
      <c r="I444" s="22" t="str">
        <f>LOOKUP(TabVMAzureEnvProjet[[#This Row],[Code SYGES]],TabCONTRATSDI[Contrat SYGES],TabCONTRATSDI[Client])</f>
        <v>GFI</v>
      </c>
      <c r="J444" t="s">
        <v>145</v>
      </c>
      <c r="K444" s="31">
        <v>208.64268324964121</v>
      </c>
      <c r="L444" s="41" t="s">
        <v>146</v>
      </c>
    </row>
    <row r="445" spans="1:12" x14ac:dyDescent="0.3">
      <c r="A445" s="22" t="str">
        <f>TabVMAzureEnvProjet[[#This Row],[Client]] &amp; " .:. "  &amp; TabVMAzureEnvProjet[[#This Row],[Projet]]</f>
        <v>GLI .:. GLI-APIBIOMETRIE</v>
      </c>
      <c r="B445" s="22" t="str">
        <f>IF(TabVMAzureEnvProjet[[#This Row],[Projet AzureDevOps]]&lt;&gt;"",TabVMAzureEnvProjet[[#This Row],[Projet AzureDevOps]],TabVMAzureEnvProjet[[#This Row],[VM]])</f>
        <v>GLI-APIBiometrie</v>
      </c>
      <c r="C445" s="47" t="s">
        <v>56</v>
      </c>
      <c r="E445" t="s">
        <v>4</v>
      </c>
      <c r="F445" t="s">
        <v>55</v>
      </c>
      <c r="G445" t="str">
        <f>LOOKUP(TabVMAzureEnvProjet[[#This Row],[Projet]],TabProjets[NomProj],TabProjets[SYGES])</f>
        <v>GLI/BIOMETRIE</v>
      </c>
      <c r="H445">
        <f>LOOKUP(TabVMAzureEnvProjet[[#This Row],[Code SYGES]],TabCONTRATSDI[Contrat SYGES],TabCONTRATSDI[Cost Center])</f>
        <v>305704</v>
      </c>
      <c r="I445" s="22" t="str">
        <f>LOOKUP(TabVMAzureEnvProjet[[#This Row],[Code SYGES]],TabCONTRATSDI[Contrat SYGES],TabCONTRATSDI[Client])</f>
        <v>GLI</v>
      </c>
      <c r="J445" t="s">
        <v>145</v>
      </c>
      <c r="K445" s="31">
        <v>4.4771271007949025</v>
      </c>
      <c r="L445" s="41" t="s">
        <v>146</v>
      </c>
    </row>
    <row r="446" spans="1:12" x14ac:dyDescent="0.3">
      <c r="A446" s="22" t="str">
        <f>TabVMAzureEnvProjet[[#This Row],[Client]] &amp; " .:. "  &amp; TabVMAzureEnvProjet[[#This Row],[Projet]]</f>
        <v>LAPOSTE .:. LAPOSTE-F4N-MUSEE</v>
      </c>
      <c r="B446" s="22" t="str">
        <f>IF(TabVMAzureEnvProjet[[#This Row],[Projet AzureDevOps]]&lt;&gt;"",TabVMAzureEnvProjet[[#This Row],[Projet AzureDevOps]],TabVMAzureEnvProjet[[#This Row],[VM]])</f>
        <v>LAPOSTE-F4N-Musee</v>
      </c>
      <c r="C446" s="47" t="s">
        <v>96</v>
      </c>
      <c r="E446" t="s">
        <v>4</v>
      </c>
      <c r="F446" t="s">
        <v>95</v>
      </c>
      <c r="G446" t="str">
        <f>LOOKUP(TabVMAzureEnvProjet[[#This Row],[Projet]],TabProjets[NomProj],TabProjets[SYGES])</f>
        <v>LA-POSTE/CDC_DRUPAL</v>
      </c>
      <c r="H446">
        <f>LOOKUP(TabVMAzureEnvProjet[[#This Row],[Code SYGES]],TabCONTRATSDI[Contrat SYGES],TabCONTRATSDI[Cost Center])</f>
        <v>305704</v>
      </c>
      <c r="I446" s="22" t="str">
        <f>LOOKUP(TabVMAzureEnvProjet[[#This Row],[Code SYGES]],TabCONTRATSDI[Contrat SYGES],TabCONTRATSDI[Client])</f>
        <v>LAPOSTE</v>
      </c>
      <c r="J446" t="s">
        <v>145</v>
      </c>
      <c r="K446" s="31">
        <v>1.8147931433841649</v>
      </c>
      <c r="L446" s="41" t="s">
        <v>146</v>
      </c>
    </row>
    <row r="447" spans="1:12" x14ac:dyDescent="0.3">
      <c r="A447" s="22" t="str">
        <f>TabVMAzureEnvProjet[[#This Row],[Client]] &amp; " .:. "  &amp; TabVMAzureEnvProjet[[#This Row],[Projet]]</f>
        <v>LAPOSTE .:. LAPOSTE-L71-PDP</v>
      </c>
      <c r="B447" s="22" t="str">
        <f>IF(TabVMAzureEnvProjet[[#This Row],[Projet AzureDevOps]]&lt;&gt;"",TabVMAzureEnvProjet[[#This Row],[Projet AzureDevOps]],TabVMAzureEnvProjet[[#This Row],[VM]])</f>
        <v>LAPOSTE-L71-PDP</v>
      </c>
      <c r="C447" s="47" t="s">
        <v>101</v>
      </c>
      <c r="E447" t="s">
        <v>4</v>
      </c>
      <c r="F447" t="s">
        <v>101</v>
      </c>
      <c r="G447" t="str">
        <f>LOOKUP(TabVMAzureEnvProjet[[#This Row],[Projet]],TabProjets[NomProj],TabProjets[SYGES])</f>
        <v>LA-POSTE/CDC_DRUPAL</v>
      </c>
      <c r="H447">
        <f>LOOKUP(TabVMAzureEnvProjet[[#This Row],[Code SYGES]],TabCONTRATSDI[Contrat SYGES],TabCONTRATSDI[Cost Center])</f>
        <v>305704</v>
      </c>
      <c r="I447" s="22" t="str">
        <f>LOOKUP(TabVMAzureEnvProjet[[#This Row],[Code SYGES]],TabCONTRATSDI[Contrat SYGES],TabCONTRATSDI[Client])</f>
        <v>LAPOSTE</v>
      </c>
      <c r="J447" t="s">
        <v>145</v>
      </c>
      <c r="K447" s="31">
        <v>1.8147931433841649</v>
      </c>
      <c r="L447" s="41" t="s">
        <v>146</v>
      </c>
    </row>
    <row r="448" spans="1:12" x14ac:dyDescent="0.3">
      <c r="A448" s="22" t="str">
        <f>TabVMAzureEnvProjet[[#This Row],[Client]] &amp; " .:. "  &amp; TabVMAzureEnvProjet[[#This Row],[Projet]]</f>
        <v>LAPOSTE .:. LAPOSTE-LCA-PariteUn-e</v>
      </c>
      <c r="B448" s="22" t="str">
        <f>IF(TabVMAzureEnvProjet[[#This Row],[Projet AzureDevOps]]&lt;&gt;"",TabVMAzureEnvProjet[[#This Row],[Projet AzureDevOps]],TabVMAzureEnvProjet[[#This Row],[VM]])</f>
        <v>LAPOSTE-LCA-PariteUn-e</v>
      </c>
      <c r="C448" s="47" t="s">
        <v>102</v>
      </c>
      <c r="E448" t="s">
        <v>4</v>
      </c>
      <c r="F448" t="s">
        <v>102</v>
      </c>
      <c r="G448" t="str">
        <f>LOOKUP(TabVMAzureEnvProjet[[#This Row],[Projet]],TabProjets[NomProj],TabProjets[SYGES])</f>
        <v>LA-POSTE/CDC_DRUPAL</v>
      </c>
      <c r="H448">
        <f>LOOKUP(TabVMAzureEnvProjet[[#This Row],[Code SYGES]],TabCONTRATSDI[Contrat SYGES],TabCONTRATSDI[Cost Center])</f>
        <v>305704</v>
      </c>
      <c r="I448" s="22" t="str">
        <f>LOOKUP(TabVMAzureEnvProjet[[#This Row],[Code SYGES]],TabCONTRATSDI[Contrat SYGES],TabCONTRATSDI[Client])</f>
        <v>LAPOSTE</v>
      </c>
      <c r="J448" t="s">
        <v>145</v>
      </c>
      <c r="K448" s="31">
        <v>1.8147931433841649</v>
      </c>
      <c r="L448" s="41" t="s">
        <v>146</v>
      </c>
    </row>
    <row r="449" spans="1:12" x14ac:dyDescent="0.3">
      <c r="A449" s="22" t="str">
        <f>TabVMAzureEnvProjet[[#This Row],[Client]] &amp; " .:. "  &amp; TabVMAzureEnvProjet[[#This Row],[Projet]]</f>
        <v>LAPOSTE .:. LAPOSTE-LPK-PortailVoyage</v>
      </c>
      <c r="B449" s="22" t="str">
        <f>IF(TabVMAzureEnvProjet[[#This Row],[Projet AzureDevOps]]&lt;&gt;"",TabVMAzureEnvProjet[[#This Row],[Projet AzureDevOps]],TabVMAzureEnvProjet[[#This Row],[VM]])</f>
        <v>LAPOSTE-LPK-PortailVoyage</v>
      </c>
      <c r="C449" s="47" t="s">
        <v>97</v>
      </c>
      <c r="E449" t="s">
        <v>4</v>
      </c>
      <c r="F449" t="s">
        <v>97</v>
      </c>
      <c r="G449" t="str">
        <f>LOOKUP(TabVMAzureEnvProjet[[#This Row],[Projet]],TabProjets[NomProj],TabProjets[SYGES])</f>
        <v>LA-POSTE/CDC_DRUPAL</v>
      </c>
      <c r="H449">
        <f>LOOKUP(TabVMAzureEnvProjet[[#This Row],[Code SYGES]],TabCONTRATSDI[Contrat SYGES],TabCONTRATSDI[Cost Center])</f>
        <v>305704</v>
      </c>
      <c r="I449" s="22" t="str">
        <f>LOOKUP(TabVMAzureEnvProjet[[#This Row],[Code SYGES]],TabCONTRATSDI[Contrat SYGES],TabCONTRATSDI[Client])</f>
        <v>LAPOSTE</v>
      </c>
      <c r="J449" t="s">
        <v>145</v>
      </c>
      <c r="K449" s="31">
        <v>1.8147931433841649</v>
      </c>
      <c r="L449" s="41" t="s">
        <v>146</v>
      </c>
    </row>
    <row r="450" spans="1:12" x14ac:dyDescent="0.3">
      <c r="A450" s="22" t="str">
        <f>TabVMAzureEnvProjet[[#This Row],[Client]] &amp; " .:. "  &amp; TabVMAzureEnvProjet[[#This Row],[Projet]]</f>
        <v>LAPOSTE .:. LAPOSTE-LPM-IntranetDHA</v>
      </c>
      <c r="B450" s="22" t="str">
        <f>IF(TabVMAzureEnvProjet[[#This Row],[Projet AzureDevOps]]&lt;&gt;"",TabVMAzureEnvProjet[[#This Row],[Projet AzureDevOps]],TabVMAzureEnvProjet[[#This Row],[VM]])</f>
        <v>LAPOSTE-LPM-IntranetDHA</v>
      </c>
      <c r="C450" s="47" t="s">
        <v>98</v>
      </c>
      <c r="E450" t="s">
        <v>4</v>
      </c>
      <c r="F450" t="s">
        <v>98</v>
      </c>
      <c r="G450" t="str">
        <f>LOOKUP(TabVMAzureEnvProjet[[#This Row],[Projet]],TabProjets[NomProj],TabProjets[SYGES])</f>
        <v>LA-POSTE/CDC_DRUPAL</v>
      </c>
      <c r="H450">
        <f>LOOKUP(TabVMAzureEnvProjet[[#This Row],[Code SYGES]],TabCONTRATSDI[Contrat SYGES],TabCONTRATSDI[Cost Center])</f>
        <v>305704</v>
      </c>
      <c r="I450" s="22" t="str">
        <f>LOOKUP(TabVMAzureEnvProjet[[#This Row],[Code SYGES]],TabCONTRATSDI[Contrat SYGES],TabCONTRATSDI[Client])</f>
        <v>LAPOSTE</v>
      </c>
      <c r="J450" t="s">
        <v>145</v>
      </c>
      <c r="K450" s="31">
        <v>1.8147931433841649</v>
      </c>
      <c r="L450" s="41" t="s">
        <v>146</v>
      </c>
    </row>
    <row r="451" spans="1:12" x14ac:dyDescent="0.3">
      <c r="A451" s="22" t="str">
        <f>TabVMAzureEnvProjet[[#This Row],[Client]] &amp; " .:. "  &amp; TabVMAzureEnvProjet[[#This Row],[Projet]]</f>
        <v>LAPOSTE .:. LAPOSTE-V7_-Galaxy</v>
      </c>
      <c r="B451" s="22" t="str">
        <f>IF(TabVMAzureEnvProjet[[#This Row],[Projet AzureDevOps]]&lt;&gt;"",TabVMAzureEnvProjet[[#This Row],[Projet AzureDevOps]],TabVMAzureEnvProjet[[#This Row],[VM]])</f>
        <v>LAPOSTE-V7_-Galaxy</v>
      </c>
      <c r="C451" s="47" t="s">
        <v>104</v>
      </c>
      <c r="E451" t="s">
        <v>4</v>
      </c>
      <c r="F451" t="s">
        <v>104</v>
      </c>
      <c r="G451" t="str">
        <f>LOOKUP(TabVMAzureEnvProjet[[#This Row],[Projet]],TabProjets[NomProj],TabProjets[SYGES])</f>
        <v>LA-POSTE/CDC_DRUPAL</v>
      </c>
      <c r="H451">
        <f>LOOKUP(TabVMAzureEnvProjet[[#This Row],[Code SYGES]],TabCONTRATSDI[Contrat SYGES],TabCONTRATSDI[Cost Center])</f>
        <v>305704</v>
      </c>
      <c r="I451" s="22" t="str">
        <f>LOOKUP(TabVMAzureEnvProjet[[#This Row],[Code SYGES]],TabCONTRATSDI[Contrat SYGES],TabCONTRATSDI[Client])</f>
        <v>LAPOSTE</v>
      </c>
      <c r="J451" t="s">
        <v>145</v>
      </c>
      <c r="K451" s="31">
        <v>0.77525467859469699</v>
      </c>
      <c r="L451" s="41" t="s">
        <v>146</v>
      </c>
    </row>
    <row r="452" spans="1:12" x14ac:dyDescent="0.3">
      <c r="A452" s="22" t="str">
        <f>TabVMAzureEnvProjet[[#This Row],[Client]] &amp; " .:. "  &amp; TabVMAzureEnvProjet[[#This Row],[Projet]]</f>
        <v>LAPOSTE .:. LAPOSTE-VWA-Fondation</v>
      </c>
      <c r="B452" s="22" t="str">
        <f>IF(TabVMAzureEnvProjet[[#This Row],[Projet AzureDevOps]]&lt;&gt;"",TabVMAzureEnvProjet[[#This Row],[Projet AzureDevOps]],TabVMAzureEnvProjet[[#This Row],[VM]])</f>
        <v>LAPOSTE-VWA-Fondation</v>
      </c>
      <c r="C452" s="47" t="s">
        <v>103</v>
      </c>
      <c r="E452" t="s">
        <v>4</v>
      </c>
      <c r="F452" t="s">
        <v>103</v>
      </c>
      <c r="G452" t="str">
        <f>LOOKUP(TabVMAzureEnvProjet[[#This Row],[Projet]],TabProjets[NomProj],TabProjets[SYGES])</f>
        <v>LA-POSTE/CDC_DRUPAL</v>
      </c>
      <c r="H452">
        <f>LOOKUP(TabVMAzureEnvProjet[[#This Row],[Code SYGES]],TabCONTRATSDI[Contrat SYGES],TabCONTRATSDI[Cost Center])</f>
        <v>305704</v>
      </c>
      <c r="I452" s="22" t="str">
        <f>LOOKUP(TabVMAzureEnvProjet[[#This Row],[Code SYGES]],TabCONTRATSDI[Contrat SYGES],TabCONTRATSDI[Client])</f>
        <v>LAPOSTE</v>
      </c>
      <c r="J452" t="s">
        <v>145</v>
      </c>
      <c r="K452" s="31">
        <v>1.8147931433841649</v>
      </c>
      <c r="L452" s="41" t="s">
        <v>146</v>
      </c>
    </row>
    <row r="453" spans="1:12" x14ac:dyDescent="0.3">
      <c r="A453" s="22" t="str">
        <f>TabVMAzureEnvProjet[[#This Row],[Client]] &amp; " .:. "  &amp; TabVMAzureEnvProjet[[#This Row],[Projet]]</f>
        <v>MENESR .:. MENJ-APAE</v>
      </c>
      <c r="B453" s="22" t="str">
        <f>IF(TabVMAzureEnvProjet[[#This Row],[Projet AzureDevOps]]&lt;&gt;"",TabVMAzureEnvProjet[[#This Row],[Projet AzureDevOps]],TabVMAzureEnvProjet[[#This Row],[VM]])</f>
        <v>MENJ-APAE</v>
      </c>
      <c r="C453" s="47" t="s">
        <v>58</v>
      </c>
      <c r="E453" t="s">
        <v>4</v>
      </c>
      <c r="F453" t="s">
        <v>58</v>
      </c>
      <c r="G453" t="str">
        <f>LOOKUP(TabVMAzureEnvProjet[[#This Row],[Projet]],TabProjets[NomProj],TabProjets[SYGES])</f>
        <v>MENESR/TMA</v>
      </c>
      <c r="H453">
        <f>LOOKUP(TabVMAzureEnvProjet[[#This Row],[Code SYGES]],TabCONTRATSDI[Contrat SYGES],TabCONTRATSDI[Cost Center])</f>
        <v>305704</v>
      </c>
      <c r="I453" s="22" t="str">
        <f>LOOKUP(TabVMAzureEnvProjet[[#This Row],[Code SYGES]],TabCONTRATSDI[Contrat SYGES],TabCONTRATSDI[Client])</f>
        <v>MENESR</v>
      </c>
      <c r="J453" t="s">
        <v>145</v>
      </c>
      <c r="K453" s="31">
        <v>1.4068317537503341</v>
      </c>
      <c r="L453" s="41" t="s">
        <v>146</v>
      </c>
    </row>
    <row r="454" spans="1:12" x14ac:dyDescent="0.3">
      <c r="A454" s="22" t="str">
        <f>TabVMAzureEnvProjet[[#This Row],[Client]] &amp; " .:. "  &amp; TabVMAzureEnvProjet[[#This Row],[Projet]]</f>
        <v>MENESR .:. MENJ-BI</v>
      </c>
      <c r="B454" s="22" t="str">
        <f>IF(TabVMAzureEnvProjet[[#This Row],[Projet AzureDevOps]]&lt;&gt;"",TabVMAzureEnvProjet[[#This Row],[Projet AzureDevOps]],TabVMAzureEnvProjet[[#This Row],[VM]])</f>
        <v>MENJ-BI</v>
      </c>
      <c r="C454" s="47" t="s">
        <v>65</v>
      </c>
      <c r="E454" t="s">
        <v>4</v>
      </c>
      <c r="F454" t="s">
        <v>65</v>
      </c>
      <c r="G454" t="str">
        <f>LOOKUP(TabVMAzureEnvProjet[[#This Row],[Projet]],TabProjets[NomProj],TabProjets[SYGES])</f>
        <v>MENESR/TMA</v>
      </c>
      <c r="H454">
        <f>LOOKUP(TabVMAzureEnvProjet[[#This Row],[Code SYGES]],TabCONTRATSDI[Contrat SYGES],TabCONTRATSDI[Cost Center])</f>
        <v>305704</v>
      </c>
      <c r="I454" s="22" t="str">
        <f>LOOKUP(TabVMAzureEnvProjet[[#This Row],[Code SYGES]],TabCONTRATSDI[Contrat SYGES],TabCONTRATSDI[Client])</f>
        <v>MENESR</v>
      </c>
      <c r="J454" t="s">
        <v>145</v>
      </c>
      <c r="K454" s="31">
        <v>3.4676301135937497</v>
      </c>
      <c r="L454" s="41" t="s">
        <v>146</v>
      </c>
    </row>
    <row r="455" spans="1:12" x14ac:dyDescent="0.3">
      <c r="A455" s="22" t="str">
        <f>TabVMAzureEnvProjet[[#This Row],[Client]] &amp; " .:. "  &amp; TabVMAzureEnvProjet[[#This Row],[Projet]]</f>
        <v>MENESR .:. MENJ-BNIE</v>
      </c>
      <c r="B455" s="22" t="str">
        <f>IF(TabVMAzureEnvProjet[[#This Row],[Projet AzureDevOps]]&lt;&gt;"",TabVMAzureEnvProjet[[#This Row],[Projet AzureDevOps]],TabVMAzureEnvProjet[[#This Row],[VM]])</f>
        <v>MENJ-BNIE-BDD</v>
      </c>
      <c r="C455" s="47" t="s">
        <v>60</v>
      </c>
      <c r="E455" t="s">
        <v>4</v>
      </c>
      <c r="F455" t="s">
        <v>59</v>
      </c>
      <c r="G455" t="str">
        <f>LOOKUP(TabVMAzureEnvProjet[[#This Row],[Projet]],TabProjets[NomProj],TabProjets[SYGES])</f>
        <v>MENESR/TMA</v>
      </c>
      <c r="H455">
        <f>LOOKUP(TabVMAzureEnvProjet[[#This Row],[Code SYGES]],TabCONTRATSDI[Contrat SYGES],TabCONTRATSDI[Cost Center])</f>
        <v>305704</v>
      </c>
      <c r="I455" s="22" t="str">
        <f>LOOKUP(TabVMAzureEnvProjet[[#This Row],[Code SYGES]],TabCONTRATSDI[Contrat SYGES],TabCONTRATSDI[Client])</f>
        <v>MENESR</v>
      </c>
      <c r="J455" t="s">
        <v>145</v>
      </c>
      <c r="K455" s="31">
        <v>3.2232094322994409</v>
      </c>
      <c r="L455" s="41" t="s">
        <v>146</v>
      </c>
    </row>
    <row r="456" spans="1:12" x14ac:dyDescent="0.3">
      <c r="A456" s="22" t="str">
        <f>TabVMAzureEnvProjet[[#This Row],[Client]] &amp; " .:. "  &amp; TabVMAzureEnvProjet[[#This Row],[Projet]]</f>
        <v>MENESR .:. MENJ-BNIE</v>
      </c>
      <c r="B456" s="22" t="str">
        <f>IF(TabVMAzureEnvProjet[[#This Row],[Projet AzureDevOps]]&lt;&gt;"",TabVMAzureEnvProjet[[#This Row],[Projet AzureDevOps]],TabVMAzureEnvProjet[[#This Row],[VM]])</f>
        <v>MENJ-BNIE-Webservices</v>
      </c>
      <c r="C456" s="47" t="s">
        <v>61</v>
      </c>
      <c r="E456" t="s">
        <v>4</v>
      </c>
      <c r="F456" t="s">
        <v>59</v>
      </c>
      <c r="G456" t="str">
        <f>LOOKUP(TabVMAzureEnvProjet[[#This Row],[Projet]],TabProjets[NomProj],TabProjets[SYGES])</f>
        <v>MENESR/TMA</v>
      </c>
      <c r="H456">
        <f>LOOKUP(TabVMAzureEnvProjet[[#This Row],[Code SYGES]],TabCONTRATSDI[Contrat SYGES],TabCONTRATSDI[Cost Center])</f>
        <v>305704</v>
      </c>
      <c r="I456" s="22" t="str">
        <f>LOOKUP(TabVMAzureEnvProjet[[#This Row],[Code SYGES]],TabCONTRATSDI[Contrat SYGES],TabCONTRATSDI[Client])</f>
        <v>MENESR</v>
      </c>
      <c r="J456" t="s">
        <v>145</v>
      </c>
      <c r="K456" s="31">
        <v>0.48213039012533421</v>
      </c>
      <c r="L456" s="41" t="s">
        <v>146</v>
      </c>
    </row>
    <row r="457" spans="1:12" x14ac:dyDescent="0.3">
      <c r="A457" s="22" t="str">
        <f>TabVMAzureEnvProjet[[#This Row],[Client]] &amp; " .:. "  &amp; TabVMAzureEnvProjet[[#This Row],[Projet]]</f>
        <v>MENESR .:. MENJ-INSERJEUNES</v>
      </c>
      <c r="B457" s="22" t="str">
        <f>IF(TabVMAzureEnvProjet[[#This Row],[Projet AzureDevOps]]&lt;&gt;"",TabVMAzureEnvProjet[[#This Row],[Projet AzureDevOps]],TabVMAzureEnvProjet[[#This Row],[VM]])</f>
        <v>MENJ-InserJeunes</v>
      </c>
      <c r="C457" s="47" t="s">
        <v>68</v>
      </c>
      <c r="E457" t="s">
        <v>4</v>
      </c>
      <c r="F457" t="s">
        <v>67</v>
      </c>
      <c r="G457" t="str">
        <f>LOOKUP(TabVMAzureEnvProjet[[#This Row],[Projet]],TabProjets[NomProj],TabProjets[SYGES])</f>
        <v>MENESR - TMA - 23 - 1 - INSERJEUNES</v>
      </c>
      <c r="H457">
        <f>LOOKUP(TabVMAzureEnvProjet[[#This Row],[Code SYGES]],TabCONTRATSDI[Contrat SYGES],TabCONTRATSDI[Cost Center])</f>
        <v>305704</v>
      </c>
      <c r="I457" s="22" t="str">
        <f>LOOKUP(TabVMAzureEnvProjet[[#This Row],[Code SYGES]],TabCONTRATSDI[Contrat SYGES],TabCONTRATSDI[Client])</f>
        <v>MENESR</v>
      </c>
      <c r="J457" t="s">
        <v>145</v>
      </c>
      <c r="K457" s="31">
        <v>12.055836278606039</v>
      </c>
      <c r="L457" s="41" t="s">
        <v>146</v>
      </c>
    </row>
    <row r="458" spans="1:12" x14ac:dyDescent="0.3">
      <c r="A458" s="22" t="str">
        <f>TabVMAzureEnvProjet[[#This Row],[Client]] &amp; " .:. "  &amp; TabVMAzureEnvProjet[[#This Row],[Projet]]</f>
        <v>MENESR .:. MENJ-RNIE</v>
      </c>
      <c r="B458" s="22" t="str">
        <f>IF(TabVMAzureEnvProjet[[#This Row],[Projet AzureDevOps]]&lt;&gt;"",TabVMAzureEnvProjet[[#This Row],[Projet AzureDevOps]],TabVMAzureEnvProjet[[#This Row],[VM]])</f>
        <v>MENJ-RNIE-BDD</v>
      </c>
      <c r="C458" s="47" t="s">
        <v>63</v>
      </c>
      <c r="E458" t="s">
        <v>4</v>
      </c>
      <c r="F458" t="s">
        <v>62</v>
      </c>
      <c r="G458" t="str">
        <f>LOOKUP(TabVMAzureEnvProjet[[#This Row],[Projet]],TabProjets[NomProj],TabProjets[SYGES])</f>
        <v>MENESR/TMA</v>
      </c>
      <c r="H458">
        <f>LOOKUP(TabVMAzureEnvProjet[[#This Row],[Code SYGES]],TabCONTRATSDI[Contrat SYGES],TabCONTRATSDI[Cost Center])</f>
        <v>305704</v>
      </c>
      <c r="I458" s="22" t="str">
        <f>LOOKUP(TabVMAzureEnvProjet[[#This Row],[Code SYGES]],TabCONTRATSDI[Contrat SYGES],TabCONTRATSDI[Client])</f>
        <v>MENESR</v>
      </c>
      <c r="J458" t="s">
        <v>145</v>
      </c>
      <c r="K458" s="31">
        <v>1.4068317537503341</v>
      </c>
      <c r="L458" s="41" t="s">
        <v>146</v>
      </c>
    </row>
    <row r="459" spans="1:12" x14ac:dyDescent="0.3">
      <c r="A459" s="22" t="str">
        <f>TabVMAzureEnvProjet[[#This Row],[Client]] &amp; " .:. "  &amp; TabVMAzureEnvProjet[[#This Row],[Projet]]</f>
        <v>MENESR .:. MENJ-RNIE</v>
      </c>
      <c r="B459" s="22" t="str">
        <f>IF(TabVMAzureEnvProjet[[#This Row],[Projet AzureDevOps]]&lt;&gt;"",TabVMAzureEnvProjet[[#This Row],[Projet AzureDevOps]],TabVMAzureEnvProjet[[#This Row],[VM]])</f>
        <v>MENJ-RNIE-Webservices</v>
      </c>
      <c r="C459" s="47" t="s">
        <v>64</v>
      </c>
      <c r="E459" t="s">
        <v>4</v>
      </c>
      <c r="F459" t="s">
        <v>62</v>
      </c>
      <c r="G459" t="str">
        <f>LOOKUP(TabVMAzureEnvProjet[[#This Row],[Projet]],TabProjets[NomProj],TabProjets[SYGES])</f>
        <v>MENESR/TMA</v>
      </c>
      <c r="H459">
        <f>LOOKUP(TabVMAzureEnvProjet[[#This Row],[Code SYGES]],TabCONTRATSDI[Contrat SYGES],TabCONTRATSDI[Cost Center])</f>
        <v>305704</v>
      </c>
      <c r="I459" s="22" t="str">
        <f>LOOKUP(TabVMAzureEnvProjet[[#This Row],[Code SYGES]],TabCONTRATSDI[Contrat SYGES],TabCONTRATSDI[Client])</f>
        <v>MENESR</v>
      </c>
      <c r="J459" t="s">
        <v>145</v>
      </c>
      <c r="K459" s="31">
        <v>1.630431785015334</v>
      </c>
      <c r="L459" s="41" t="s">
        <v>146</v>
      </c>
    </row>
    <row r="460" spans="1:12" x14ac:dyDescent="0.3">
      <c r="A460" s="22" t="str">
        <f>TabVMAzureEnvProjet[[#This Row],[Client]] &amp; " .:. "  &amp; TabVMAzureEnvProjet[[#This Row],[Projet]]</f>
        <v>AFB .:. OFB-CMONSPOT</v>
      </c>
      <c r="B460" s="22" t="str">
        <f>IF(TabVMAzureEnvProjet[[#This Row],[Projet AzureDevOps]]&lt;&gt;"",TabVMAzureEnvProjet[[#This Row],[Projet AzureDevOps]],TabVMAzureEnvProjet[[#This Row],[VM]])</f>
        <v>OFB-CMONSPOT</v>
      </c>
      <c r="C460" s="47" t="s">
        <v>13</v>
      </c>
      <c r="E460" t="s">
        <v>4</v>
      </c>
      <c r="F460" t="s">
        <v>13</v>
      </c>
      <c r="G460" t="str">
        <f>LOOKUP(TabVMAzureEnvProjet[[#This Row],[Projet]],TabProjets[NomProj],TabProjets[SYGES])</f>
        <v>AFB/OFB_LOT2</v>
      </c>
      <c r="H460">
        <f>LOOKUP(TabVMAzureEnvProjet[[#This Row],[Code SYGES]],TabCONTRATSDI[Contrat SYGES],TabCONTRATSDI[Cost Center])</f>
        <v>305704</v>
      </c>
      <c r="I460" s="22" t="str">
        <f>LOOKUP(TabVMAzureEnvProjet[[#This Row],[Code SYGES]],TabCONTRATSDI[Contrat SYGES],TabCONTRATSDI[Client])</f>
        <v>AFB</v>
      </c>
      <c r="J460" t="s">
        <v>145</v>
      </c>
      <c r="K460" s="31">
        <v>0.91736246391369036</v>
      </c>
      <c r="L460" s="41" t="s">
        <v>146</v>
      </c>
    </row>
    <row r="461" spans="1:12" x14ac:dyDescent="0.3">
      <c r="A461" s="22" t="str">
        <f>TabVMAzureEnvProjet[[#This Row],[Client]] &amp; " .:. "  &amp; TabVMAzureEnvProjet[[#This Row],[Projet]]</f>
        <v>OFB .:. OFB-NATUREFRANCE</v>
      </c>
      <c r="B461" s="22" t="str">
        <f>IF(TabVMAzureEnvProjet[[#This Row],[Projet AzureDevOps]]&lt;&gt;"",TabVMAzureEnvProjet[[#This Row],[Projet AzureDevOps]],TabVMAzureEnvProjet[[#This Row],[VM]])</f>
        <v>OFB-NatureFrance</v>
      </c>
      <c r="C461" s="47" t="s">
        <v>93</v>
      </c>
      <c r="E461" t="s">
        <v>4</v>
      </c>
      <c r="F461" t="s">
        <v>92</v>
      </c>
      <c r="G461" t="str">
        <f>LOOKUP(TabVMAzureEnvProjet[[#This Row],[Projet]],TabProjets[NomProj],TabProjets[SYGES])</f>
        <v>AFB OFB_LOT2 -9-1 NATURE FRANCE</v>
      </c>
      <c r="H461">
        <f>LOOKUP(TabVMAzureEnvProjet[[#This Row],[Code SYGES]],TabCONTRATSDI[Contrat SYGES],TabCONTRATSDI[Cost Center])</f>
        <v>305704</v>
      </c>
      <c r="I461" s="22" t="str">
        <f>LOOKUP(TabVMAzureEnvProjet[[#This Row],[Code SYGES]],TabCONTRATSDI[Contrat SYGES],TabCONTRATSDI[Client])</f>
        <v>OFB</v>
      </c>
      <c r="J461" t="s">
        <v>145</v>
      </c>
      <c r="K461" s="31">
        <v>5.9959585861046474</v>
      </c>
      <c r="L461" s="41" t="s">
        <v>146</v>
      </c>
    </row>
    <row r="462" spans="1:12" x14ac:dyDescent="0.3">
      <c r="A462" s="22" t="str">
        <f>TabVMAzureEnvProjet[[#This Row],[Client]] &amp; " .:. "  &amp; TabVMAzureEnvProjet[[#This Row],[Projet]]</f>
        <v>AFB .:. OFB-SISPEA</v>
      </c>
      <c r="B462" s="22" t="str">
        <f>IF(TabVMAzureEnvProjet[[#This Row],[Projet AzureDevOps]]&lt;&gt;"",TabVMAzureEnvProjet[[#This Row],[Projet AzureDevOps]],TabVMAzureEnvProjet[[#This Row],[VM]])</f>
        <v>OFB-SISPEA</v>
      </c>
      <c r="C462" s="47" t="s">
        <v>10</v>
      </c>
      <c r="E462" t="s">
        <v>4</v>
      </c>
      <c r="F462" t="s">
        <v>10</v>
      </c>
      <c r="G462" t="str">
        <f>LOOKUP(TabVMAzureEnvProjet[[#This Row],[Projet]],TabProjets[NomProj],TabProjets[SYGES])</f>
        <v>AFB/OFB_LOT2</v>
      </c>
      <c r="H462">
        <f>LOOKUP(TabVMAzureEnvProjet[[#This Row],[Code SYGES]],TabCONTRATSDI[Contrat SYGES],TabCONTRATSDI[Cost Center])</f>
        <v>305704</v>
      </c>
      <c r="I462" s="22" t="str">
        <f>LOOKUP(TabVMAzureEnvProjet[[#This Row],[Code SYGES]],TabCONTRATSDI[Contrat SYGES],TabCONTRATSDI[Client])</f>
        <v>AFB</v>
      </c>
      <c r="J462" t="s">
        <v>145</v>
      </c>
      <c r="K462" s="31">
        <v>3.2291158729761906</v>
      </c>
      <c r="L462" s="41" t="s">
        <v>146</v>
      </c>
    </row>
    <row r="463" spans="1:12" x14ac:dyDescent="0.3">
      <c r="A463" s="22" t="str">
        <f>TabVMAzureEnvProjet[[#This Row],[Client]] &amp; " .:. "  &amp; TabVMAzureEnvProjet[[#This Row],[Projet]]</f>
        <v>PCM .:. PCM-ALS</v>
      </c>
      <c r="B463" s="22" t="str">
        <f>IF(TabVMAzureEnvProjet[[#This Row],[Projet AzureDevOps]]&lt;&gt;"",TabVMAzureEnvProjet[[#This Row],[Projet AzureDevOps]],TabVMAzureEnvProjet[[#This Row],[VM]])</f>
        <v>PCM-ALS</v>
      </c>
      <c r="C463" s="47" t="s">
        <v>85</v>
      </c>
      <c r="E463" t="s">
        <v>4</v>
      </c>
      <c r="F463" t="s">
        <v>85</v>
      </c>
      <c r="G463" t="str">
        <f>LOOKUP(TabVMAzureEnvProjet[[#This Row],[Projet]],TabProjets[NomProj],TabProjets[SYGES])</f>
        <v>PCM/WEB</v>
      </c>
      <c r="H463">
        <f>LOOKUP(TabVMAzureEnvProjet[[#This Row],[Code SYGES]],TabCONTRATSDI[Contrat SYGES],TabCONTRATSDI[Cost Center])</f>
        <v>305704</v>
      </c>
      <c r="I463" s="22" t="str">
        <f>LOOKUP(TabVMAzureEnvProjet[[#This Row],[Code SYGES]],TabCONTRATSDI[Contrat SYGES],TabCONTRATSDI[Client])</f>
        <v>PCM</v>
      </c>
      <c r="J463" t="s">
        <v>145</v>
      </c>
      <c r="K463" s="31">
        <v>4.2606888760603718</v>
      </c>
      <c r="L463" s="41" t="s">
        <v>146</v>
      </c>
    </row>
    <row r="464" spans="1:12" x14ac:dyDescent="0.3">
      <c r="A464" s="22" t="str">
        <f>TabVMAzureEnvProjet[[#This Row],[Client]] &amp; " .:. "  &amp; TabVMAzureEnvProjet[[#This Row],[Projet]]</f>
        <v>PCM .:. PCM-WEB</v>
      </c>
      <c r="B464" s="22" t="str">
        <f>IF(TabVMAzureEnvProjet[[#This Row],[Projet AzureDevOps]]&lt;&gt;"",TabVMAzureEnvProjet[[#This Row],[Projet AzureDevOps]],TabVMAzureEnvProjet[[#This Row],[VM]])</f>
        <v>PCM-Web</v>
      </c>
      <c r="C464" s="47" t="s">
        <v>87</v>
      </c>
      <c r="E464" t="s">
        <v>4</v>
      </c>
      <c r="F464" t="s">
        <v>86</v>
      </c>
      <c r="G464" t="str">
        <f>LOOKUP(TabVMAzureEnvProjet[[#This Row],[Projet]],TabProjets[NomProj],TabProjets[SYGES])</f>
        <v>PCM/WEB</v>
      </c>
      <c r="H464">
        <f>LOOKUP(TabVMAzureEnvProjet[[#This Row],[Code SYGES]],TabCONTRATSDI[Contrat SYGES],TabCONTRATSDI[Cost Center])</f>
        <v>305704</v>
      </c>
      <c r="I464" s="22" t="str">
        <f>LOOKUP(TabVMAzureEnvProjet[[#This Row],[Code SYGES]],TabCONTRATSDI[Contrat SYGES],TabCONTRATSDI[Client])</f>
        <v>PCM</v>
      </c>
      <c r="J464" t="s">
        <v>145</v>
      </c>
      <c r="K464" s="31">
        <v>2.468622390391741</v>
      </c>
      <c r="L464" s="41" t="s">
        <v>146</v>
      </c>
    </row>
    <row r="465" spans="1:12" x14ac:dyDescent="0.3">
      <c r="A465" s="22" t="str">
        <f>TabVMAzureEnvProjet[[#This Row],[Client]] &amp; " .:. "  &amp; TabVMAzureEnvProjet[[#This Row],[Projet]]</f>
        <v>SAFT .:. SAFT-PDM</v>
      </c>
      <c r="B465" s="22" t="str">
        <f>IF(TabVMAzureEnvProjet[[#This Row],[Projet AzureDevOps]]&lt;&gt;"",TabVMAzureEnvProjet[[#This Row],[Projet AzureDevOps]],TabVMAzureEnvProjet[[#This Row],[VM]])</f>
        <v>SAFT-PDM</v>
      </c>
      <c r="C465" s="47" t="s">
        <v>106</v>
      </c>
      <c r="E465" t="s">
        <v>4</v>
      </c>
      <c r="F465" t="s">
        <v>106</v>
      </c>
      <c r="G465" t="str">
        <f>LOOKUP(TabVMAzureEnvProjet[[#This Row],[Projet]],TabProjets[NomProj],TabProjets[SYGES])</f>
        <v>SAFT/TMA</v>
      </c>
      <c r="H465">
        <f>LOOKUP(TabVMAzureEnvProjet[[#This Row],[Code SYGES]],TabCONTRATSDI[Contrat SYGES],TabCONTRATSDI[Cost Center])</f>
        <v>305704</v>
      </c>
      <c r="I465" s="22" t="str">
        <f>LOOKUP(TabVMAzureEnvProjet[[#This Row],[Code SYGES]],TabCONTRATSDI[Contrat SYGES],TabCONTRATSDI[Client])</f>
        <v>SAFT</v>
      </c>
      <c r="J465" t="s">
        <v>145</v>
      </c>
      <c r="K465" s="31">
        <v>2.8486518616267227</v>
      </c>
      <c r="L465" s="41" t="s">
        <v>146</v>
      </c>
    </row>
    <row r="466" spans="1:12" x14ac:dyDescent="0.3">
      <c r="A466" s="22" t="str">
        <f>TabVMAzureEnvProjet[[#This Row],[Client]] &amp; " .:. "  &amp; TabVMAzureEnvProjet[[#This Row],[Projet]]</f>
        <v>SPC .:. SPC-BUILD</v>
      </c>
      <c r="B466" s="22" t="str">
        <f>IF(TabVMAzureEnvProjet[[#This Row],[Projet AzureDevOps]]&lt;&gt;"",TabVMAzureEnvProjet[[#This Row],[Projet AzureDevOps]],TabVMAzureEnvProjet[[#This Row],[VM]])</f>
        <v>SPC-BUILD</v>
      </c>
      <c r="C466" s="47" t="s">
        <v>81</v>
      </c>
      <c r="E466" t="s">
        <v>4</v>
      </c>
      <c r="F466" t="s">
        <v>81</v>
      </c>
      <c r="G466" t="str">
        <f>LOOKUP(TabVMAzureEnvProjet[[#This Row],[Projet]],TabProjets[NomProj],TabProjets[SYGES])</f>
        <v>SPC/BUILD</v>
      </c>
      <c r="H466">
        <f>LOOKUP(TabVMAzureEnvProjet[[#This Row],[Code SYGES]],TabCONTRATSDI[Contrat SYGES],TabCONTRATSDI[Cost Center])</f>
        <v>305704</v>
      </c>
      <c r="I466" s="22" t="str">
        <f>LOOKUP(TabVMAzureEnvProjet[[#This Row],[Code SYGES]],TabCONTRATSDI[Contrat SYGES],TabCONTRATSDI[Client])</f>
        <v>SPC</v>
      </c>
      <c r="J466" t="s">
        <v>145</v>
      </c>
      <c r="K466" s="31">
        <v>41.409077385933756</v>
      </c>
      <c r="L466" s="41" t="s">
        <v>146</v>
      </c>
    </row>
    <row r="467" spans="1:12" x14ac:dyDescent="0.3">
      <c r="A467" s="22" t="str">
        <f>TabVMAzureEnvProjet[[#This Row],[Client]] &amp; " .:. "  &amp; TabVMAzureEnvProjet[[#This Row],[Projet]]</f>
        <v>SPC .:. SPC-WEB</v>
      </c>
      <c r="B467" s="22" t="str">
        <f>IF(TabVMAzureEnvProjet[[#This Row],[Projet AzureDevOps]]&lt;&gt;"",TabVMAzureEnvProjet[[#This Row],[Projet AzureDevOps]],TabVMAzureEnvProjet[[#This Row],[VM]])</f>
        <v>SPC-WEB</v>
      </c>
      <c r="C467" s="47" t="s">
        <v>83</v>
      </c>
      <c r="E467" t="s">
        <v>4</v>
      </c>
      <c r="F467" t="s">
        <v>83</v>
      </c>
      <c r="G467" t="str">
        <f>LOOKUP(TabVMAzureEnvProjet[[#This Row],[Projet]],TabProjets[NomProj],TabProjets[SYGES])</f>
        <v>SPC/BUILD-0-1-SITE-WEB</v>
      </c>
      <c r="H467">
        <f>LOOKUP(TabVMAzureEnvProjet[[#This Row],[Code SYGES]],TabCONTRATSDI[Contrat SYGES],TabCONTRATSDI[Cost Center])</f>
        <v>305704</v>
      </c>
      <c r="I467" s="22" t="str">
        <f>LOOKUP(TabVMAzureEnvProjet[[#This Row],[Code SYGES]],TabCONTRATSDI[Contrat SYGES],TabCONTRATSDI[Client])</f>
        <v>SPC</v>
      </c>
      <c r="J467" t="s">
        <v>145</v>
      </c>
      <c r="K467" s="31">
        <v>3.203429723986607</v>
      </c>
      <c r="L467" s="41" t="s">
        <v>146</v>
      </c>
    </row>
    <row r="468" spans="1:12" x14ac:dyDescent="0.3">
      <c r="A468" s="22" t="str">
        <f>TabVMAzureEnvProjet[[#This Row],[Client]] &amp; " .:. "  &amp; TabVMAzureEnvProjet[[#This Row],[Projet]]</f>
        <v>STMICRO .:. STMICRO-DATAPACK</v>
      </c>
      <c r="B468" s="22" t="str">
        <f>IF(TabVMAzureEnvProjet[[#This Row],[Projet AzureDevOps]]&lt;&gt;"",TabVMAzureEnvProjet[[#This Row],[Projet AzureDevOps]],TabVMAzureEnvProjet[[#This Row],[VM]])</f>
        <v>STMICRO-DATAPACK</v>
      </c>
      <c r="C468" s="47" t="s">
        <v>108</v>
      </c>
      <c r="E468" t="s">
        <v>4</v>
      </c>
      <c r="F468" t="s">
        <v>108</v>
      </c>
      <c r="G468" t="str">
        <f>LOOKUP(TabVMAzureEnvProjet[[#This Row],[Projet]],TabProjets[NomProj],TabProjets[SYGES])</f>
        <v>STMICRO/TMASI</v>
      </c>
      <c r="H468">
        <f>LOOKUP(TabVMAzureEnvProjet[[#This Row],[Code SYGES]],TabCONTRATSDI[Contrat SYGES],TabCONTRATSDI[Cost Center])</f>
        <v>305704</v>
      </c>
      <c r="I468" s="22" t="str">
        <f>LOOKUP(TabVMAzureEnvProjet[[#This Row],[Code SYGES]],TabCONTRATSDI[Contrat SYGES],TabCONTRATSDI[Client])</f>
        <v>STMICRO</v>
      </c>
      <c r="J468" t="s">
        <v>145</v>
      </c>
      <c r="K468" s="31">
        <v>3.3407898422674789</v>
      </c>
      <c r="L468" s="41" t="s">
        <v>146</v>
      </c>
    </row>
    <row r="469" spans="1:12" x14ac:dyDescent="0.3">
      <c r="A469" s="22" t="str">
        <f>TabVMAzureEnvProjet[[#This Row],[Client]] &amp; " .:. "  &amp; TabVMAzureEnvProjet[[#This Row],[Projet]]</f>
        <v>STMICRO .:. STMICRO-ROCKET</v>
      </c>
      <c r="B469" s="22" t="str">
        <f>IF(TabVMAzureEnvProjet[[#This Row],[Projet AzureDevOps]]&lt;&gt;"",TabVMAzureEnvProjet[[#This Row],[Projet AzureDevOps]],TabVMAzureEnvProjet[[#This Row],[VM]])</f>
        <v>STMICRO-ROCKET</v>
      </c>
      <c r="C469" s="47" t="s">
        <v>110</v>
      </c>
      <c r="E469" t="s">
        <v>4</v>
      </c>
      <c r="F469" t="s">
        <v>110</v>
      </c>
      <c r="G469" t="str">
        <f>LOOKUP(TabVMAzureEnvProjet[[#This Row],[Projet]],TabProjets[NomProj],TabProjets[SYGES])</f>
        <v>STMICRO/TMASI</v>
      </c>
      <c r="H469">
        <f>LOOKUP(TabVMAzureEnvProjet[[#This Row],[Code SYGES]],TabCONTRATSDI[Contrat SYGES],TabCONTRATSDI[Cost Center])</f>
        <v>305704</v>
      </c>
      <c r="I469" s="22" t="str">
        <f>LOOKUP(TabVMAzureEnvProjet[[#This Row],[Code SYGES]],TabCONTRATSDI[Contrat SYGES],TabCONTRATSDI[Client])</f>
        <v>STMICRO</v>
      </c>
      <c r="J469" t="s">
        <v>145</v>
      </c>
      <c r="K469" s="31">
        <v>3.9829435670070623</v>
      </c>
      <c r="L469" s="41" t="s">
        <v>146</v>
      </c>
    </row>
    <row r="470" spans="1:12" x14ac:dyDescent="0.3">
      <c r="A470" s="22" t="str">
        <f>TabVMAzureEnvProjet[[#This Row],[Client]] &amp; " .:. "  &amp; TabVMAzureEnvProjet[[#This Row],[Projet]]</f>
        <v>ALM .:. ALM-ATOUT</v>
      </c>
      <c r="B470" s="22" t="str">
        <f>IF(TabVMAzureEnvProjet[[#This Row],[Projet AzureDevOps]]&lt;&gt;"",TabVMAzureEnvProjet[[#This Row],[Projet AzureDevOps]],TabVMAzureEnvProjet[[#This Row],[VM]])</f>
        <v>ALM-ATOUT-VM</v>
      </c>
      <c r="D470" t="s">
        <v>16</v>
      </c>
      <c r="E470" t="s">
        <v>8</v>
      </c>
      <c r="F470" t="s">
        <v>15</v>
      </c>
      <c r="G470" t="str">
        <f>LOOKUP(TabVMAzureEnvProjet[[#This Row],[Projet]],TabProjets[NomProj],TabProjets[SYGES])</f>
        <v>ALM/TMA_ATOUT</v>
      </c>
      <c r="H470">
        <f>LOOKUP(TabVMAzureEnvProjet[[#This Row],[Code SYGES]],TabCONTRATSDI[Contrat SYGES],TabCONTRATSDI[Cost Center])</f>
        <v>305704</v>
      </c>
      <c r="I470" s="22" t="str">
        <f>LOOKUP(TabVMAzureEnvProjet[[#This Row],[Code SYGES]],TabCONTRATSDI[Contrat SYGES],TabCONTRATSDI[Client])</f>
        <v>ALM</v>
      </c>
      <c r="J470" t="s">
        <v>145</v>
      </c>
      <c r="K470" s="31">
        <v>18.8</v>
      </c>
      <c r="L470" s="40" t="s">
        <v>147</v>
      </c>
    </row>
    <row r="471" spans="1:12" x14ac:dyDescent="0.3">
      <c r="A471" s="22" t="str">
        <f>TabVMAzureEnvProjet[[#This Row],[Client]] &amp; " .:. "  &amp; TabVMAzureEnvProjet[[#This Row],[Projet]]</f>
        <v>BRGM .:. BRGM-ORRM</v>
      </c>
      <c r="B471" s="22" t="str">
        <f>IF(TabVMAzureEnvProjet[[#This Row],[Projet AzureDevOps]]&lt;&gt;"",TabVMAzureEnvProjet[[#This Row],[Projet AzureDevOps]],TabVMAzureEnvProjet[[#This Row],[VM]])</f>
        <v>BRGM-ORRM-VM</v>
      </c>
      <c r="D471" t="s">
        <v>20</v>
      </c>
      <c r="E471" t="s">
        <v>19</v>
      </c>
      <c r="F471" t="s">
        <v>18</v>
      </c>
      <c r="G471" t="str">
        <f>LOOKUP(TabVMAzureEnvProjet[[#This Row],[Projet]],TabProjets[NomProj],TabProjets[SYGES])</f>
        <v>BRGM/TMA-5-1-ORRM-LOT1</v>
      </c>
      <c r="H471">
        <f>LOOKUP(TabVMAzureEnvProjet[[#This Row],[Code SYGES]],TabCONTRATSDI[Contrat SYGES],TabCONTRATSDI[Cost Center])</f>
        <v>305704</v>
      </c>
      <c r="I471" s="22" t="str">
        <f>LOOKUP(TabVMAzureEnvProjet[[#This Row],[Code SYGES]],TabCONTRATSDI[Contrat SYGES],TabCONTRATSDI[Client])</f>
        <v>BRGM</v>
      </c>
      <c r="J471" t="s">
        <v>145</v>
      </c>
      <c r="K471" s="31">
        <v>4.5199999999999996</v>
      </c>
      <c r="L471" s="40" t="s">
        <v>147</v>
      </c>
    </row>
    <row r="472" spans="1:12" x14ac:dyDescent="0.3">
      <c r="A472" s="22" t="str">
        <f>TabVMAzureEnvProjet[[#This Row],[Client]] &amp; " .:. "  &amp; TabVMAzureEnvProjet[[#This Row],[Projet]]</f>
        <v>CA-TITRES .:. CATITRES-COMX</v>
      </c>
      <c r="B472" s="22" t="str">
        <f>IF(TabVMAzureEnvProjet[[#This Row],[Projet AzureDevOps]]&lt;&gt;"",TabVMAzureEnvProjet[[#This Row],[Projet AzureDevOps]],TabVMAzureEnvProjet[[#This Row],[VM]])</f>
        <v>CATITRES-COMX-VM</v>
      </c>
      <c r="D472" t="s">
        <v>23</v>
      </c>
      <c r="E472" t="s">
        <v>11</v>
      </c>
      <c r="F472" t="s">
        <v>22</v>
      </c>
      <c r="G472" t="str">
        <f>LOOKUP(TabVMAzureEnvProjet[[#This Row],[Projet]],TabProjets[NomProj],TabProjets[SYGES])</f>
        <v>CA-TITRES/TMA</v>
      </c>
      <c r="H472">
        <f>LOOKUP(TabVMAzureEnvProjet[[#This Row],[Code SYGES]],TabCONTRATSDI[Contrat SYGES],TabCONTRATSDI[Cost Center])</f>
        <v>305704</v>
      </c>
      <c r="I472" s="22" t="str">
        <f>LOOKUP(TabVMAzureEnvProjet[[#This Row],[Code SYGES]],TabCONTRATSDI[Contrat SYGES],TabCONTRATSDI[Client])</f>
        <v>CA-TITRES</v>
      </c>
      <c r="J472" t="s">
        <v>145</v>
      </c>
      <c r="K472" s="31">
        <v>30.56</v>
      </c>
      <c r="L472" s="40" t="s">
        <v>147</v>
      </c>
    </row>
    <row r="473" spans="1:12" x14ac:dyDescent="0.3">
      <c r="A473" s="22" t="str">
        <f>TabVMAzureEnvProjet[[#This Row],[Client]] &amp; " .:. "  &amp; TabVMAzureEnvProjet[[#This Row],[Projet]]</f>
        <v>EBR .:. EBR-LAPOSTE</v>
      </c>
      <c r="B473" s="22" t="str">
        <f>IF(TabVMAzureEnvProjet[[#This Row],[Projet AzureDevOps]]&lt;&gt;"",TabVMAzureEnvProjet[[#This Row],[Projet AzureDevOps]],TabVMAzureEnvProjet[[#This Row],[VM]])</f>
        <v>EBR-LAPOSTE-VM</v>
      </c>
      <c r="D473" t="s">
        <v>90</v>
      </c>
      <c r="E473" t="s">
        <v>11</v>
      </c>
      <c r="F473" t="s">
        <v>89</v>
      </c>
      <c r="G473" t="str">
        <f>LOOKUP(TabVMAzureEnvProjet[[#This Row],[Projet]],TabProjets[NomProj],TabProjets[SYGES])</f>
        <v>EBR/TMA</v>
      </c>
      <c r="H473">
        <f>LOOKUP(TabVMAzureEnvProjet[[#This Row],[Code SYGES]],TabCONTRATSDI[Contrat SYGES],TabCONTRATSDI[Cost Center])</f>
        <v>305704</v>
      </c>
      <c r="I473" s="22" t="str">
        <f>LOOKUP(TabVMAzureEnvProjet[[#This Row],[Code SYGES]],TabCONTRATSDI[Contrat SYGES],TabCONTRATSDI[Client])</f>
        <v>EBR</v>
      </c>
      <c r="J473" t="s">
        <v>145</v>
      </c>
      <c r="K473" s="31">
        <v>107.89</v>
      </c>
      <c r="L473" s="40" t="s">
        <v>147</v>
      </c>
    </row>
    <row r="474" spans="1:12" x14ac:dyDescent="0.3">
      <c r="A474" s="22" t="str">
        <f>TabVMAzureEnvProjet[[#This Row],[Client]] &amp; " .:. "  &amp; TabVMAzureEnvProjet[[#This Row],[Projet]]</f>
        <v>GFI .:. GFI-PMT</v>
      </c>
      <c r="B474" s="22" t="str">
        <f>IF(TabVMAzureEnvProjet[[#This Row],[Projet AzureDevOps]]&lt;&gt;"",TabVMAzureEnvProjet[[#This Row],[Projet AzureDevOps]],TabVMAzureEnvProjet[[#This Row],[VM]])</f>
        <v>GFI-PMT-VM</v>
      </c>
      <c r="D474" t="s">
        <v>48</v>
      </c>
      <c r="E474" t="s">
        <v>11</v>
      </c>
      <c r="F474" t="s">
        <v>47</v>
      </c>
      <c r="G474" t="str">
        <f>LOOKUP(TabVMAzureEnvProjet[[#This Row],[Projet]],TabProjets[NomProj],TabProjets[SYGES])</f>
        <v>GFI/PROJET_INTERNE</v>
      </c>
      <c r="H474">
        <f>LOOKUP(TabVMAzureEnvProjet[[#This Row],[Code SYGES]],TabCONTRATSDI[Contrat SYGES],TabCONTRATSDI[Cost Center])</f>
        <v>305704</v>
      </c>
      <c r="I474" s="22" t="str">
        <f>LOOKUP(TabVMAzureEnvProjet[[#This Row],[Code SYGES]],TabCONTRATSDI[Contrat SYGES],TabCONTRATSDI[Client])</f>
        <v>GFI</v>
      </c>
      <c r="J474" t="s">
        <v>145</v>
      </c>
      <c r="K474" s="31">
        <v>25.79</v>
      </c>
      <c r="L474" s="40" t="s">
        <v>147</v>
      </c>
    </row>
    <row r="475" spans="1:12" x14ac:dyDescent="0.3">
      <c r="A475" s="22" t="str">
        <f>TabVMAzureEnvProjet[[#This Row],[Client]] &amp; " .:. "  &amp; TabVMAzureEnvProjet[[#This Row],[Projet]]</f>
        <v>MENESR .:. MENJ-BI</v>
      </c>
      <c r="B475" s="22" t="str">
        <f>IF(TabVMAzureEnvProjet[[#This Row],[Projet AzureDevOps]]&lt;&gt;"",TabVMAzureEnvProjet[[#This Row],[Projet AzureDevOps]],TabVMAzureEnvProjet[[#This Row],[VM]])</f>
        <v>MENJ-BI-VM</v>
      </c>
      <c r="D475" t="s">
        <v>66</v>
      </c>
      <c r="E475" t="s">
        <v>8</v>
      </c>
      <c r="F475" t="s">
        <v>65</v>
      </c>
      <c r="G475" t="str">
        <f>LOOKUP(TabVMAzureEnvProjet[[#This Row],[Projet]],TabProjets[NomProj],TabProjets[SYGES])</f>
        <v>MENESR/TMA</v>
      </c>
      <c r="H475">
        <f>LOOKUP(TabVMAzureEnvProjet[[#This Row],[Code SYGES]],TabCONTRATSDI[Contrat SYGES],TabCONTRATSDI[Cost Center])</f>
        <v>305704</v>
      </c>
      <c r="I475" s="22" t="str">
        <f>LOOKUP(TabVMAzureEnvProjet[[#This Row],[Code SYGES]],TabCONTRATSDI[Contrat SYGES],TabCONTRATSDI[Client])</f>
        <v>MENESR</v>
      </c>
      <c r="J475" t="s">
        <v>145</v>
      </c>
      <c r="K475" s="31">
        <v>3.75</v>
      </c>
      <c r="L475" s="40" t="s">
        <v>147</v>
      </c>
    </row>
    <row r="476" spans="1:12" x14ac:dyDescent="0.3">
      <c r="A476" s="22" t="str">
        <f>TabVMAzureEnvProjet[[#This Row],[Client]] &amp; " .:. "  &amp; TabVMAzureEnvProjet[[#This Row],[Projet]]</f>
        <v>AFB .:. AFB-NatureFrance</v>
      </c>
      <c r="B476" s="22" t="str">
        <f>IF(TabVMAzureEnvProjet[[#This Row],[Projet AzureDevOps]]&lt;&gt;"",TabVMAzureEnvProjet[[#This Row],[Projet AzureDevOps]],TabVMAzureEnvProjet[[#This Row],[VM]])</f>
        <v>OFB-FRANCENATURE-VM</v>
      </c>
      <c r="D476" t="s">
        <v>9</v>
      </c>
      <c r="E476" t="s">
        <v>8</v>
      </c>
      <c r="F476" t="s">
        <v>7</v>
      </c>
      <c r="G476" t="str">
        <f>LOOKUP(TabVMAzureEnvProjet[[#This Row],[Projet]],TabProjets[NomProj],TabProjets[SYGES])</f>
        <v>AFB/OFB_LOT2</v>
      </c>
      <c r="H476">
        <f>LOOKUP(TabVMAzureEnvProjet[[#This Row],[Code SYGES]],TabCONTRATSDI[Contrat SYGES],TabCONTRATSDI[Cost Center])</f>
        <v>305704</v>
      </c>
      <c r="I476" s="22" t="str">
        <f>LOOKUP(TabVMAzureEnvProjet[[#This Row],[Code SYGES]],TabCONTRATSDI[Contrat SYGES],TabCONTRATSDI[Client])</f>
        <v>AFB</v>
      </c>
      <c r="J476" t="s">
        <v>145</v>
      </c>
      <c r="K476" s="31">
        <v>3.71</v>
      </c>
      <c r="L476" s="40" t="s">
        <v>147</v>
      </c>
    </row>
    <row r="477" spans="1:12" x14ac:dyDescent="0.3">
      <c r="A477" s="22" t="str">
        <f>TabVMAzureEnvProjet[[#This Row],[Client]] &amp; " .:. "  &amp; TabVMAzureEnvProjet[[#This Row],[Projet]]</f>
        <v>AFB .:. OFB-SISPEA</v>
      </c>
      <c r="B477" s="22" t="str">
        <f>IF(TabVMAzureEnvProjet[[#This Row],[Projet AzureDevOps]]&lt;&gt;"",TabVMAzureEnvProjet[[#This Row],[Projet AzureDevOps]],TabVMAzureEnvProjet[[#This Row],[VM]])</f>
        <v>OFB-SISPEA-VM</v>
      </c>
      <c r="D477" t="s">
        <v>12</v>
      </c>
      <c r="E477" t="s">
        <v>11</v>
      </c>
      <c r="F477" t="s">
        <v>10</v>
      </c>
      <c r="G477" t="str">
        <f>LOOKUP(TabVMAzureEnvProjet[[#This Row],[Projet]],TabProjets[NomProj],TabProjets[SYGES])</f>
        <v>AFB/OFB_LOT2</v>
      </c>
      <c r="H477">
        <f>LOOKUP(TabVMAzureEnvProjet[[#This Row],[Code SYGES]],TabCONTRATSDI[Contrat SYGES],TabCONTRATSDI[Cost Center])</f>
        <v>305704</v>
      </c>
      <c r="I477" s="22" t="str">
        <f>LOOKUP(TabVMAzureEnvProjet[[#This Row],[Code SYGES]],TabCONTRATSDI[Contrat SYGES],TabCONTRATSDI[Client])</f>
        <v>AFB</v>
      </c>
      <c r="J477" t="s">
        <v>145</v>
      </c>
      <c r="K477" s="31">
        <v>8.0399999999999991</v>
      </c>
      <c r="L477" s="40" t="s">
        <v>147</v>
      </c>
    </row>
    <row r="478" spans="1:12" x14ac:dyDescent="0.3">
      <c r="A478" s="22" t="str">
        <f>TabVMAzureEnvProjet[[#This Row],[Client]] &amp; " .:. "  &amp; TabVMAzureEnvProjet[[#This Row],[Projet]]</f>
        <v>SPC .:. SPC-BUILD</v>
      </c>
      <c r="B478" s="22" t="str">
        <f>IF(TabVMAzureEnvProjet[[#This Row],[Projet AzureDevOps]]&lt;&gt;"",TabVMAzureEnvProjet[[#This Row],[Projet AzureDevOps]],TabVMAzureEnvProjet[[#This Row],[VM]])</f>
        <v>SPC-BUILDAS-VM</v>
      </c>
      <c r="D478" t="s">
        <v>82</v>
      </c>
      <c r="E478" t="s">
        <v>11</v>
      </c>
      <c r="F478" t="s">
        <v>81</v>
      </c>
      <c r="G478" t="str">
        <f>LOOKUP(TabVMAzureEnvProjet[[#This Row],[Projet]],TabProjets[NomProj],TabProjets[SYGES])</f>
        <v>SPC/BUILD</v>
      </c>
      <c r="H478">
        <f>LOOKUP(TabVMAzureEnvProjet[[#This Row],[Code SYGES]],TabCONTRATSDI[Contrat SYGES],TabCONTRATSDI[Cost Center])</f>
        <v>305704</v>
      </c>
      <c r="I478" s="22" t="str">
        <f>LOOKUP(TabVMAzureEnvProjet[[#This Row],[Code SYGES]],TabCONTRATSDI[Contrat SYGES],TabCONTRATSDI[Client])</f>
        <v>SPC</v>
      </c>
      <c r="J478" t="s">
        <v>145</v>
      </c>
      <c r="K478" s="31">
        <v>108.01</v>
      </c>
      <c r="L478" s="40" t="s">
        <v>147</v>
      </c>
    </row>
    <row r="479" spans="1:12" x14ac:dyDescent="0.3">
      <c r="A479" s="22" t="str">
        <f>TabVMAzureEnvProjet[[#This Row],[Client]] &amp; " .:. "  &amp; TabVMAzureEnvProjet[[#This Row],[Projet]]</f>
        <v>STMICRO .:. STMICRO-DATAPACK</v>
      </c>
      <c r="B479" s="22" t="str">
        <f>IF(TabVMAzureEnvProjet[[#This Row],[Projet AzureDevOps]]&lt;&gt;"",TabVMAzureEnvProjet[[#This Row],[Projet AzureDevOps]],TabVMAzureEnvProjet[[#This Row],[VM]])</f>
        <v>STMICRO-DATAPACK-VM</v>
      </c>
      <c r="D479" t="s">
        <v>109</v>
      </c>
      <c r="E479" t="s">
        <v>11</v>
      </c>
      <c r="F479" t="s">
        <v>108</v>
      </c>
      <c r="G479" t="str">
        <f>LOOKUP(TabVMAzureEnvProjet[[#This Row],[Projet]],TabProjets[NomProj],TabProjets[SYGES])</f>
        <v>STMICRO/TMASI</v>
      </c>
      <c r="H479">
        <f>LOOKUP(TabVMAzureEnvProjet[[#This Row],[Code SYGES]],TabCONTRATSDI[Contrat SYGES],TabCONTRATSDI[Cost Center])</f>
        <v>305704</v>
      </c>
      <c r="I479" s="22" t="str">
        <f>LOOKUP(TabVMAzureEnvProjet[[#This Row],[Code SYGES]],TabCONTRATSDI[Contrat SYGES],TabCONTRATSDI[Client])</f>
        <v>STMICRO</v>
      </c>
      <c r="J479" t="s">
        <v>145</v>
      </c>
      <c r="K479" s="31">
        <v>13.91</v>
      </c>
      <c r="L479" s="40" t="s">
        <v>147</v>
      </c>
    </row>
    <row r="480" spans="1:12" x14ac:dyDescent="0.3">
      <c r="A480" s="22" t="str">
        <f>TabVMAzureEnvProjet[[#This Row],[Client]] &amp; " .:. "  &amp; TabVMAzureEnvProjet[[#This Row],[Projet]]</f>
        <v>FRR .:. FRR-DIGIPAT</v>
      </c>
      <c r="B480" s="22" t="str">
        <f>IF(TabVMAzureEnvProjet[[#This Row],[Projet AzureDevOps]]&lt;&gt;"",TabVMAzureEnvProjet[[#This Row],[Projet AzureDevOps]],TabVMAzureEnvProjet[[#This Row],[VM]])</f>
        <v>FRR-DIGIPAT-VM</v>
      </c>
      <c r="D480" t="s">
        <v>29</v>
      </c>
      <c r="E480" t="s">
        <v>19</v>
      </c>
      <c r="F480" t="s">
        <v>27</v>
      </c>
      <c r="G480" t="str">
        <f>LOOKUP(TabVMAzureEnvProjet[[#This Row],[Projet]],TabProjets[NomProj],TabProjets[SYGES])</f>
        <v>FRR/TMASI</v>
      </c>
      <c r="H480">
        <f>LOOKUP(TabVMAzureEnvProjet[[#This Row],[Code SYGES]],TabCONTRATSDI[Contrat SYGES],TabCONTRATSDI[Cost Center])</f>
        <v>305704</v>
      </c>
      <c r="I480" s="22" t="str">
        <f>LOOKUP(TabVMAzureEnvProjet[[#This Row],[Code SYGES]],TabCONTRATSDI[Contrat SYGES],TabCONTRATSDI[Client])</f>
        <v>FRR</v>
      </c>
      <c r="J480" t="s">
        <v>145</v>
      </c>
      <c r="K480" s="31">
        <v>11.56</v>
      </c>
      <c r="L480" s="40" t="s">
        <v>147</v>
      </c>
    </row>
    <row r="481" spans="1:12" x14ac:dyDescent="0.3">
      <c r="A481" s="22" t="str">
        <f>TabVMAzureEnvProjet[[#This Row],[Client]] &amp; " .:. "  &amp; TabVMAzureEnvProjet[[#This Row],[Projet]]</f>
        <v>GFI .:. GFI-WAAC</v>
      </c>
      <c r="B481" s="22" t="str">
        <f>IF(TabVMAzureEnvProjet[[#This Row],[Projet AzureDevOps]]&lt;&gt;"",TabVMAzureEnvProjet[[#This Row],[Projet AzureDevOps]],TabVMAzureEnvProjet[[#This Row],[VM]])</f>
        <v>GFI-WAAC-VM</v>
      </c>
      <c r="D481" t="s">
        <v>53</v>
      </c>
      <c r="E481" t="s">
        <v>8</v>
      </c>
      <c r="F481" t="s">
        <v>52</v>
      </c>
      <c r="G481" t="str">
        <f>LOOKUP(TabVMAzureEnvProjet[[#This Row],[Projet]],TabProjets[NomProj],TabProjets[SYGES])</f>
        <v>383928 - WAAC 1.0</v>
      </c>
      <c r="H481">
        <f>LOOKUP(TabVMAzureEnvProjet[[#This Row],[Code SYGES]],TabCONTRATSDI[Contrat SYGES],TabCONTRATSDI[Cost Center])</f>
        <v>100973</v>
      </c>
      <c r="I481" s="22" t="str">
        <f>LOOKUP(TabVMAzureEnvProjet[[#This Row],[Code SYGES]],TabCONTRATSDI[Contrat SYGES],TabCONTRATSDI[Client])</f>
        <v>GFI</v>
      </c>
      <c r="J481" t="s">
        <v>145</v>
      </c>
      <c r="K481" s="31">
        <v>16.37</v>
      </c>
      <c r="L481" s="40" t="s">
        <v>147</v>
      </c>
    </row>
    <row r="482" spans="1:12" x14ac:dyDescent="0.3">
      <c r="A482" s="22" t="str">
        <f>TabVMAzureEnvProjet[[#This Row],[Client]] &amp; " .:. "  &amp; TabVMAzureEnvProjet[[#This Row],[Projet]]</f>
        <v>LAPOSTE .:. LAPOSTE-CDC</v>
      </c>
      <c r="B482" s="22" t="str">
        <f>IF(TabVMAzureEnvProjet[[#This Row],[Projet AzureDevOps]]&lt;&gt;"",TabVMAzureEnvProjet[[#This Row],[Projet AzureDevOps]],TabVMAzureEnvProjet[[#This Row],[VM]])</f>
        <v>LAPOSTE-CDC-VM</v>
      </c>
      <c r="D482" t="s">
        <v>100</v>
      </c>
      <c r="E482" t="s">
        <v>11</v>
      </c>
      <c r="F482" t="s">
        <v>99</v>
      </c>
      <c r="G482" t="str">
        <f>LOOKUP(TabVMAzureEnvProjet[[#This Row],[Projet]],TabProjets[NomProj],TabProjets[SYGES])</f>
        <v>LA-POSTE/CDC_DRUPAL</v>
      </c>
      <c r="H482">
        <f>LOOKUP(TabVMAzureEnvProjet[[#This Row],[Code SYGES]],TabCONTRATSDI[Contrat SYGES],TabCONTRATSDI[Cost Center])</f>
        <v>305704</v>
      </c>
      <c r="I482" s="22" t="str">
        <f>LOOKUP(TabVMAzureEnvProjet[[#This Row],[Code SYGES]],TabCONTRATSDI[Contrat SYGES],TabCONTRATSDI[Client])</f>
        <v>LAPOSTE</v>
      </c>
      <c r="J482" t="s">
        <v>145</v>
      </c>
      <c r="K482" s="31">
        <v>3.75</v>
      </c>
      <c r="L482" s="40" t="s">
        <v>147</v>
      </c>
    </row>
    <row r="483" spans="1:12" x14ac:dyDescent="0.3">
      <c r="A483" s="22" t="str">
        <f>TabVMAzureEnvProjet[[#This Row],[Client]] &amp; " .:. "  &amp; TabVMAzureEnvProjet[[#This Row],[Projet]]</f>
        <v>MENESR .:. MENJ-INSERJEUNES</v>
      </c>
      <c r="B483" s="22" t="str">
        <f>IF(TabVMAzureEnvProjet[[#This Row],[Projet AzureDevOps]]&lt;&gt;"",TabVMAzureEnvProjet[[#This Row],[Projet AzureDevOps]],TabVMAzureEnvProjet[[#This Row],[VM]])</f>
        <v>MENJ-INERJEUNES</v>
      </c>
      <c r="D483" t="s">
        <v>69</v>
      </c>
      <c r="E483" t="s">
        <v>19</v>
      </c>
      <c r="F483" t="s">
        <v>67</v>
      </c>
      <c r="G483" t="str">
        <f>LOOKUP(TabVMAzureEnvProjet[[#This Row],[Projet]],TabProjets[NomProj],TabProjets[SYGES])</f>
        <v>MENESR - TMA - 23 - 1 - INSERJEUNES</v>
      </c>
      <c r="H483">
        <f>LOOKUP(TabVMAzureEnvProjet[[#This Row],[Code SYGES]],TabCONTRATSDI[Contrat SYGES],TabCONTRATSDI[Cost Center])</f>
        <v>305704</v>
      </c>
      <c r="I483" s="22" t="str">
        <f>LOOKUP(TabVMAzureEnvProjet[[#This Row],[Code SYGES]],TabCONTRATSDI[Contrat SYGES],TabCONTRATSDI[Client])</f>
        <v>MENESR</v>
      </c>
      <c r="J483" t="s">
        <v>145</v>
      </c>
      <c r="K483" s="31">
        <v>29.07</v>
      </c>
      <c r="L483" s="40" t="s">
        <v>147</v>
      </c>
    </row>
    <row r="484" spans="1:12" x14ac:dyDescent="0.3">
      <c r="A484" s="22" t="str">
        <f>TabVMAzureEnvProjet[[#This Row],[Client]] &amp; " .:. "  &amp; TabVMAzureEnvProjet[[#This Row],[Projet]]</f>
        <v>ONEMA .:. AFB-BASEINDICATEURS</v>
      </c>
      <c r="B484" s="22" t="str">
        <f>IF(TabVMAzureEnvProjet[[#This Row],[Projet AzureDevOps]]&lt;&gt;"",TabVMAzureEnvProjet[[#This Row],[Projet AzureDevOps]],TabVMAzureEnvProjet[[#This Row],[VM]])</f>
        <v>AFB-BaseIndicateurs</v>
      </c>
      <c r="C484" s="48" t="s">
        <v>72</v>
      </c>
      <c r="E484" t="s">
        <v>4</v>
      </c>
      <c r="F484" t="s">
        <v>71</v>
      </c>
      <c r="G484" t="str">
        <f>LOOKUP(TabVMAzureEnvProjet[[#This Row],[Projet]],TabProjets[NomProj],TabProjets[SYGES])</f>
        <v>ONEMA/TMADCUA-15</v>
      </c>
      <c r="H484">
        <f>LOOKUP(TabVMAzureEnvProjet[[#This Row],[Code SYGES]],TabCONTRATSDI[Contrat SYGES],TabCONTRATSDI[Cost Center])</f>
        <v>305704</v>
      </c>
      <c r="I484" s="22" t="str">
        <f>LOOKUP(TabVMAzureEnvProjet[[#This Row],[Code SYGES]],TabCONTRATSDI[Contrat SYGES],TabCONTRATSDI[Client])</f>
        <v>ONEMA</v>
      </c>
      <c r="J484" t="s">
        <v>370</v>
      </c>
      <c r="K484" s="31">
        <v>0.47776348083900921</v>
      </c>
      <c r="L484" s="49" t="s">
        <v>393</v>
      </c>
    </row>
    <row r="485" spans="1:12" x14ac:dyDescent="0.3">
      <c r="A485" s="22" t="str">
        <f>TabVMAzureEnvProjet[[#This Row],[Client]] &amp; " .:. "  &amp; TabVMAzureEnvProjet[[#This Row],[Projet]]</f>
        <v>ONEMA .:. AFB-CATALOGUE</v>
      </c>
      <c r="B485" s="22" t="str">
        <f>IF(TabVMAzureEnvProjet[[#This Row],[Projet AzureDevOps]]&lt;&gt;"",TabVMAzureEnvProjet[[#This Row],[Projet AzureDevOps]],TabVMAzureEnvProjet[[#This Row],[VM]])</f>
        <v>AFB-Catalogue</v>
      </c>
      <c r="C485" s="48" t="s">
        <v>74</v>
      </c>
      <c r="E485" t="s">
        <v>4</v>
      </c>
      <c r="F485" t="s">
        <v>73</v>
      </c>
      <c r="G485" t="str">
        <f>LOOKUP(TabVMAzureEnvProjet[[#This Row],[Projet]],TabProjets[NomProj],TabProjets[SYGES])</f>
        <v>ONEMA/TMADCUA-15</v>
      </c>
      <c r="H485">
        <f>LOOKUP(TabVMAzureEnvProjet[[#This Row],[Code SYGES]],TabCONTRATSDI[Contrat SYGES],TabCONTRATSDI[Cost Center])</f>
        <v>305704</v>
      </c>
      <c r="I485" s="22" t="str">
        <f>LOOKUP(TabVMAzureEnvProjet[[#This Row],[Code SYGES]],TabCONTRATSDI[Contrat SYGES],TabCONTRATSDI[Client])</f>
        <v>ONEMA</v>
      </c>
      <c r="J485" t="s">
        <v>370</v>
      </c>
      <c r="K485" s="31">
        <v>1.8022591868768243</v>
      </c>
      <c r="L485" s="49" t="s">
        <v>393</v>
      </c>
    </row>
    <row r="486" spans="1:12" x14ac:dyDescent="0.3">
      <c r="A486" s="22" t="str">
        <f>TabVMAzureEnvProjet[[#This Row],[Client]] &amp; " .:. "  &amp; TabVMAzureEnvProjet[[#This Row],[Projet]]</f>
        <v>ONEMA .:. AFB-CDR</v>
      </c>
      <c r="B486" s="22" t="str">
        <f>IF(TabVMAzureEnvProjet[[#This Row],[Projet AzureDevOps]]&lt;&gt;"",TabVMAzureEnvProjet[[#This Row],[Projet AzureDevOps]],TabVMAzureEnvProjet[[#This Row],[VM]])</f>
        <v>AFB-CDR</v>
      </c>
      <c r="C486" s="48" t="s">
        <v>75</v>
      </c>
      <c r="E486" t="s">
        <v>4</v>
      </c>
      <c r="F486" t="s">
        <v>75</v>
      </c>
      <c r="G486" t="str">
        <f>LOOKUP(TabVMAzureEnvProjet[[#This Row],[Projet]],TabProjets[NomProj],TabProjets[SYGES])</f>
        <v>ONEMA/TMAWEB-16</v>
      </c>
      <c r="H486">
        <f>LOOKUP(TabVMAzureEnvProjet[[#This Row],[Code SYGES]],TabCONTRATSDI[Contrat SYGES],TabCONTRATSDI[Cost Center])</f>
        <v>305704</v>
      </c>
      <c r="I486" s="22" t="str">
        <f>LOOKUP(TabVMAzureEnvProjet[[#This Row],[Code SYGES]],TabCONTRATSDI[Contrat SYGES],TabCONTRATSDI[Client])</f>
        <v>ONEMA</v>
      </c>
      <c r="J486" t="s">
        <v>370</v>
      </c>
      <c r="K486" s="31">
        <v>8.4695767636990968</v>
      </c>
      <c r="L486" s="49" t="s">
        <v>393</v>
      </c>
    </row>
    <row r="487" spans="1:12" x14ac:dyDescent="0.3">
      <c r="A487" s="22" t="str">
        <f>TabVMAzureEnvProjet[[#This Row],[Client]] &amp; " .:. "  &amp; TabVMAzureEnvProjet[[#This Row],[Projet]]</f>
        <v>AFB .:. AFB-CESMIA</v>
      </c>
      <c r="B487" s="22" t="str">
        <f>IF(TabVMAzureEnvProjet[[#This Row],[Projet AzureDevOps]]&lt;&gt;"",TabVMAzureEnvProjet[[#This Row],[Projet AzureDevOps]],TabVMAzureEnvProjet[[#This Row],[VM]])</f>
        <v>AFB-CESMIA</v>
      </c>
      <c r="C487" s="48" t="s">
        <v>3</v>
      </c>
      <c r="E487" t="s">
        <v>4</v>
      </c>
      <c r="F487" t="s">
        <v>3</v>
      </c>
      <c r="G487" t="str">
        <f>LOOKUP(TabVMAzureEnvProjet[[#This Row],[Projet]],TabProjets[NomProj],TabProjets[SYGES])</f>
        <v>AFB/OFB_LOT1</v>
      </c>
      <c r="H487">
        <f>LOOKUP(TabVMAzureEnvProjet[[#This Row],[Code SYGES]],TabCONTRATSDI[Contrat SYGES],TabCONTRATSDI[Cost Center])</f>
        <v>305704</v>
      </c>
      <c r="I487" s="22" t="str">
        <f>LOOKUP(TabVMAzureEnvProjet[[#This Row],[Code SYGES]],TabCONTRATSDI[Contrat SYGES],TabCONTRATSDI[Client])</f>
        <v>AFB</v>
      </c>
      <c r="J487" t="s">
        <v>370</v>
      </c>
      <c r="K487" s="31">
        <v>7.5841293448123794</v>
      </c>
      <c r="L487" s="49" t="s">
        <v>393</v>
      </c>
    </row>
    <row r="488" spans="1:12" x14ac:dyDescent="0.3">
      <c r="A488" s="22" t="str">
        <f>TabVMAzureEnvProjet[[#This Row],[Client]] &amp; " .:. "  &amp; TabVMAzureEnvProjet[[#This Row],[Projet]]</f>
        <v>ONEMA .:. AFB-OISON</v>
      </c>
      <c r="B488" s="22" t="str">
        <f>IF(TabVMAzureEnvProjet[[#This Row],[Projet AzureDevOps]]&lt;&gt;"",TabVMAzureEnvProjet[[#This Row],[Projet AzureDevOps]],TabVMAzureEnvProjet[[#This Row],[VM]])</f>
        <v>AFB-OISON</v>
      </c>
      <c r="C488" s="48" t="s">
        <v>76</v>
      </c>
      <c r="E488" t="s">
        <v>4</v>
      </c>
      <c r="F488" t="s">
        <v>76</v>
      </c>
      <c r="G488" t="str">
        <f>LOOKUP(TabVMAzureEnvProjet[[#This Row],[Projet]],TabProjets[NomProj],TabProjets[SYGES])</f>
        <v>ONEMA/TMADCUA-15</v>
      </c>
      <c r="H488">
        <f>LOOKUP(TabVMAzureEnvProjet[[#This Row],[Code SYGES]],TabCONTRATSDI[Contrat SYGES],TabCONTRATSDI[Cost Center])</f>
        <v>305704</v>
      </c>
      <c r="I488" s="22" t="str">
        <f>LOOKUP(TabVMAzureEnvProjet[[#This Row],[Code SYGES]],TabCONTRATSDI[Contrat SYGES],TabCONTRATSDI[Client])</f>
        <v>ONEMA</v>
      </c>
      <c r="J488" t="s">
        <v>370</v>
      </c>
      <c r="K488" s="31">
        <v>4.5914059585910412</v>
      </c>
      <c r="L488" s="49" t="s">
        <v>393</v>
      </c>
    </row>
    <row r="489" spans="1:12" x14ac:dyDescent="0.3">
      <c r="A489" s="22" t="str">
        <f>TabVMAzureEnvProjet[[#This Row],[Client]] &amp; " .:. "  &amp; TabVMAzureEnvProjet[[#This Row],[Projet]]</f>
        <v>ONEMA .:. AFB-PATBIODIV</v>
      </c>
      <c r="B489" s="22" t="str">
        <f>IF(TabVMAzureEnvProjet[[#This Row],[Projet AzureDevOps]]&lt;&gt;"",TabVMAzureEnvProjet[[#This Row],[Projet AzureDevOps]],TabVMAzureEnvProjet[[#This Row],[VM]])</f>
        <v>AFB-PATBiodiv</v>
      </c>
      <c r="C489" s="48" t="s">
        <v>78</v>
      </c>
      <c r="E489" t="s">
        <v>4</v>
      </c>
      <c r="F489" t="s">
        <v>77</v>
      </c>
      <c r="G489" t="str">
        <f>LOOKUP(TabVMAzureEnvProjet[[#This Row],[Projet]],TabProjets[NomProj],TabProjets[SYGES])</f>
        <v>ONEMA/TMADCUA-15</v>
      </c>
      <c r="H489">
        <f>LOOKUP(TabVMAzureEnvProjet[[#This Row],[Code SYGES]],TabCONTRATSDI[Contrat SYGES],TabCONTRATSDI[Cost Center])</f>
        <v>305704</v>
      </c>
      <c r="I489" s="22" t="str">
        <f>LOOKUP(TabVMAzureEnvProjet[[#This Row],[Code SYGES]],TabCONTRATSDI[Contrat SYGES],TabCONTRATSDI[Client])</f>
        <v>ONEMA</v>
      </c>
      <c r="J489" t="s">
        <v>370</v>
      </c>
      <c r="K489" s="31">
        <v>4.4345500014565182</v>
      </c>
      <c r="L489" s="49" t="s">
        <v>393</v>
      </c>
    </row>
    <row r="490" spans="1:12" x14ac:dyDescent="0.3">
      <c r="A490" s="22" t="str">
        <f>TabVMAzureEnvProjet[[#This Row],[Client]] &amp; " .:. "  &amp; TabVMAzureEnvProjet[[#This Row],[Projet]]</f>
        <v>AFB .:. AFB-PNM</v>
      </c>
      <c r="B490" s="22" t="str">
        <f>IF(TabVMAzureEnvProjet[[#This Row],[Projet AzureDevOps]]&lt;&gt;"",TabVMAzureEnvProjet[[#This Row],[Projet AzureDevOps]],TabVMAzureEnvProjet[[#This Row],[VM]])</f>
        <v>AFB-PNM</v>
      </c>
      <c r="C490" s="48" t="s">
        <v>5</v>
      </c>
      <c r="E490" t="s">
        <v>4</v>
      </c>
      <c r="F490" t="s">
        <v>5</v>
      </c>
      <c r="G490" t="str">
        <f>LOOKUP(TabVMAzureEnvProjet[[#This Row],[Projet]],TabProjets[NomProj],TabProjets[SYGES])</f>
        <v>AFB/OFB_LOT2</v>
      </c>
      <c r="H490">
        <f>LOOKUP(TabVMAzureEnvProjet[[#This Row],[Code SYGES]],TabCONTRATSDI[Contrat SYGES],TabCONTRATSDI[Cost Center])</f>
        <v>305704</v>
      </c>
      <c r="I490" s="22" t="str">
        <f>LOOKUP(TabVMAzureEnvProjet[[#This Row],[Code SYGES]],TabCONTRATSDI[Contrat SYGES],TabCONTRATSDI[Client])</f>
        <v>AFB</v>
      </c>
      <c r="J490" t="s">
        <v>370</v>
      </c>
      <c r="K490" s="31">
        <v>8.0052626343829392</v>
      </c>
      <c r="L490" s="49" t="s">
        <v>393</v>
      </c>
    </row>
    <row r="491" spans="1:12" x14ac:dyDescent="0.3">
      <c r="A491" s="22" t="str">
        <f>TabVMAzureEnvProjet[[#This Row],[Client]] &amp; " .:. "  &amp; TabVMAzureEnvProjet[[#This Row],[Projet]]</f>
        <v>AFB .:. AFB-PNX</v>
      </c>
      <c r="B491" s="22" t="str">
        <f>IF(TabVMAzureEnvProjet[[#This Row],[Projet AzureDevOps]]&lt;&gt;"",TabVMAzureEnvProjet[[#This Row],[Projet AzureDevOps]],TabVMAzureEnvProjet[[#This Row],[VM]])</f>
        <v>AFB-PNX</v>
      </c>
      <c r="C491" s="48" t="s">
        <v>6</v>
      </c>
      <c r="E491" t="s">
        <v>4</v>
      </c>
      <c r="F491" t="s">
        <v>6</v>
      </c>
      <c r="G491" t="str">
        <f>LOOKUP(TabVMAzureEnvProjet[[#This Row],[Projet]],TabProjets[NomProj],TabProjets[SYGES])</f>
        <v>AFB/OFB_LOT2</v>
      </c>
      <c r="H491">
        <f>LOOKUP(TabVMAzureEnvProjet[[#This Row],[Code SYGES]],TabCONTRATSDI[Contrat SYGES],TabCONTRATSDI[Cost Center])</f>
        <v>305704</v>
      </c>
      <c r="I491" s="22" t="str">
        <f>LOOKUP(TabVMAzureEnvProjet[[#This Row],[Code SYGES]],TabCONTRATSDI[Contrat SYGES],TabCONTRATSDI[Client])</f>
        <v>AFB</v>
      </c>
      <c r="J491" t="s">
        <v>370</v>
      </c>
      <c r="K491" s="31">
        <v>2.0322448429461519</v>
      </c>
      <c r="L491" s="49" t="s">
        <v>393</v>
      </c>
    </row>
    <row r="492" spans="1:12" x14ac:dyDescent="0.3">
      <c r="A492" s="22" t="str">
        <f>TabVMAzureEnvProjet[[#This Row],[Client]] &amp; " .:. "  &amp; TabVMAzureEnvProjet[[#This Row],[Projet]]</f>
        <v>ONEMA .:. AFB-RAA</v>
      </c>
      <c r="B492" s="22" t="str">
        <f>IF(TabVMAzureEnvProjet[[#This Row],[Projet AzureDevOps]]&lt;&gt;"",TabVMAzureEnvProjet[[#This Row],[Projet AzureDevOps]],TabVMAzureEnvProjet[[#This Row],[VM]])</f>
        <v>AFB-RAA</v>
      </c>
      <c r="C492" s="48" t="s">
        <v>79</v>
      </c>
      <c r="E492" t="s">
        <v>4</v>
      </c>
      <c r="F492" t="s">
        <v>79</v>
      </c>
      <c r="G492" t="str">
        <f>LOOKUP(TabVMAzureEnvProjet[[#This Row],[Projet]],TabProjets[NomProj],TabProjets[SYGES])</f>
        <v>ONEMA/TMAWEB-16</v>
      </c>
      <c r="H492">
        <f>LOOKUP(TabVMAzureEnvProjet[[#This Row],[Code SYGES]],TabCONTRATSDI[Contrat SYGES],TabCONTRATSDI[Cost Center])</f>
        <v>305704</v>
      </c>
      <c r="I492" s="22" t="str">
        <f>LOOKUP(TabVMAzureEnvProjet[[#This Row],[Code SYGES]],TabCONTRATSDI[Contrat SYGES],TabCONTRATSDI[Client])</f>
        <v>ONEMA</v>
      </c>
      <c r="J492" t="s">
        <v>370</v>
      </c>
      <c r="K492" s="31">
        <v>0.23275656758823526</v>
      </c>
      <c r="L492" s="49" t="s">
        <v>393</v>
      </c>
    </row>
    <row r="493" spans="1:12" x14ac:dyDescent="0.3">
      <c r="A493" s="22" t="str">
        <f>TabVMAzureEnvProjet[[#This Row],[Client]] &amp; " .:. "  &amp; TabVMAzureEnvProjet[[#This Row],[Projet]]</f>
        <v>ALM .:. ALM-ATOUT</v>
      </c>
      <c r="B493" s="22" t="str">
        <f>IF(TabVMAzureEnvProjet[[#This Row],[Projet AzureDevOps]]&lt;&gt;"",TabVMAzureEnvProjet[[#This Row],[Projet AzureDevOps]],TabVMAzureEnvProjet[[#This Row],[VM]])</f>
        <v>ALM-ATOUT</v>
      </c>
      <c r="C493" s="48" t="s">
        <v>15</v>
      </c>
      <c r="E493" t="s">
        <v>4</v>
      </c>
      <c r="F493" t="s">
        <v>15</v>
      </c>
      <c r="G493" t="str">
        <f>LOOKUP(TabVMAzureEnvProjet[[#This Row],[Projet]],TabProjets[NomProj],TabProjets[SYGES])</f>
        <v>ALM/TMA_ATOUT</v>
      </c>
      <c r="H493">
        <f>LOOKUP(TabVMAzureEnvProjet[[#This Row],[Code SYGES]],TabCONTRATSDI[Contrat SYGES],TabCONTRATSDI[Cost Center])</f>
        <v>305704</v>
      </c>
      <c r="I493" s="22" t="str">
        <f>LOOKUP(TabVMAzureEnvProjet[[#This Row],[Code SYGES]],TabCONTRATSDI[Contrat SYGES],TabCONTRATSDI[Client])</f>
        <v>ALM</v>
      </c>
      <c r="J493" t="s">
        <v>370</v>
      </c>
      <c r="K493" s="31">
        <v>5.2988461311500963</v>
      </c>
      <c r="L493" s="49" t="s">
        <v>393</v>
      </c>
    </row>
    <row r="494" spans="1:12" x14ac:dyDescent="0.3">
      <c r="A494" s="22" t="str">
        <f>TabVMAzureEnvProjet[[#This Row],[Client]] &amp; " .:. "  &amp; TabVMAzureEnvProjet[[#This Row],[Projet]]</f>
        <v>BRGM .:. BRGM-ORRM</v>
      </c>
      <c r="B494" s="22" t="str">
        <f>IF(TabVMAzureEnvProjet[[#This Row],[Projet AzureDevOps]]&lt;&gt;"",TabVMAzureEnvProjet[[#This Row],[Projet AzureDevOps]],TabVMAzureEnvProjet[[#This Row],[VM]])</f>
        <v>BRGM-ORRM</v>
      </c>
      <c r="C494" s="48" t="s">
        <v>18</v>
      </c>
      <c r="E494" t="s">
        <v>4</v>
      </c>
      <c r="F494" t="s">
        <v>18</v>
      </c>
      <c r="G494" t="str">
        <f>LOOKUP(TabVMAzureEnvProjet[[#This Row],[Projet]],TabProjets[NomProj],TabProjets[SYGES])</f>
        <v>BRGM/TMA-5-1-ORRM-LOT1</v>
      </c>
      <c r="H494">
        <f>LOOKUP(TabVMAzureEnvProjet[[#This Row],[Code SYGES]],TabCONTRATSDI[Contrat SYGES],TabCONTRATSDI[Cost Center])</f>
        <v>305704</v>
      </c>
      <c r="I494" s="22" t="str">
        <f>LOOKUP(TabVMAzureEnvProjet[[#This Row],[Code SYGES]],TabCONTRATSDI[Contrat SYGES],TabCONTRATSDI[Client])</f>
        <v>BRGM</v>
      </c>
      <c r="J494" t="s">
        <v>370</v>
      </c>
      <c r="K494" s="31">
        <v>9.1257165263106224</v>
      </c>
      <c r="L494" s="49" t="s">
        <v>393</v>
      </c>
    </row>
    <row r="495" spans="1:12" x14ac:dyDescent="0.3">
      <c r="A495" s="22" t="str">
        <f>TabVMAzureEnvProjet[[#This Row],[Client]] &amp; " .:. "  &amp; TabVMAzureEnvProjet[[#This Row],[Projet]]</f>
        <v>CGOS .:. CGOS-BI</v>
      </c>
      <c r="B495" s="22" t="str">
        <f>IF(TabVMAzureEnvProjet[[#This Row],[Projet AzureDevOps]]&lt;&gt;"",TabVMAzureEnvProjet[[#This Row],[Projet AzureDevOps]],TabVMAzureEnvProjet[[#This Row],[VM]])</f>
        <v>CGOS-BI</v>
      </c>
      <c r="C495" s="48" t="s">
        <v>112</v>
      </c>
      <c r="E495" t="s">
        <v>4</v>
      </c>
      <c r="F495" t="s">
        <v>112</v>
      </c>
      <c r="G495" t="str">
        <f>LOOKUP(TabVMAzureEnvProjet[[#This Row],[Projet]],TabProjets[NomProj],TabProjets[SYGES])</f>
        <v>CGOS-BUILDBI-18</v>
      </c>
      <c r="H495">
        <f>LOOKUP(TabVMAzureEnvProjet[[#This Row],[Code SYGES]],TabCONTRATSDI[Contrat SYGES],TabCONTRATSDI[Cost Center])</f>
        <v>305704</v>
      </c>
      <c r="I495" s="22" t="str">
        <f>LOOKUP(TabVMAzureEnvProjet[[#This Row],[Code SYGES]],TabCONTRATSDI[Contrat SYGES],TabCONTRATSDI[Client])</f>
        <v>CGOS</v>
      </c>
      <c r="J495" t="s">
        <v>370</v>
      </c>
      <c r="K495" s="31">
        <v>6.9826970276470579</v>
      </c>
      <c r="L495" s="49" t="s">
        <v>393</v>
      </c>
    </row>
    <row r="496" spans="1:12" x14ac:dyDescent="0.3">
      <c r="A496" s="22" t="str">
        <f>TabVMAzureEnvProjet[[#This Row],[Client]] &amp; " .:. "  &amp; TabVMAzureEnvProjet[[#This Row],[Projet]]</f>
        <v>CNAV .:. CNAV-BI-RGCU</v>
      </c>
      <c r="B496" s="22" t="str">
        <f>IF(TabVMAzureEnvProjet[[#This Row],[Projet AzureDevOps]]&lt;&gt;"",TabVMAzureEnvProjet[[#This Row],[Projet AzureDevOps]],TabVMAzureEnvProjet[[#This Row],[VM]])</f>
        <v>CNAV-BI-RGCU</v>
      </c>
      <c r="C496" s="48" t="s">
        <v>25</v>
      </c>
      <c r="E496" t="s">
        <v>4</v>
      </c>
      <c r="F496" t="s">
        <v>25</v>
      </c>
      <c r="G496" t="str">
        <f>LOOKUP(TabVMAzureEnvProjet[[#This Row],[Projet]],TabProjets[NomProj],TabProjets[SYGES])</f>
        <v>CNAV/BI-SIRRGCU</v>
      </c>
      <c r="H496">
        <f>LOOKUP(TabVMAzureEnvProjet[[#This Row],[Code SYGES]],TabCONTRATSDI[Contrat SYGES],TabCONTRATSDI[Cost Center])</f>
        <v>305704</v>
      </c>
      <c r="I496" s="22" t="str">
        <f>LOOKUP(TabVMAzureEnvProjet[[#This Row],[Code SYGES]],TabCONTRATSDI[Contrat SYGES],TabCONTRATSDI[Client])</f>
        <v>CNAV</v>
      </c>
      <c r="J496" t="s">
        <v>370</v>
      </c>
      <c r="K496" s="31">
        <v>9.3102627035294105</v>
      </c>
      <c r="L496" s="49" t="s">
        <v>393</v>
      </c>
    </row>
    <row r="497" spans="1:12" x14ac:dyDescent="0.3">
      <c r="A497" s="22" t="str">
        <f>TabVMAzureEnvProjet[[#This Row],[Client]] &amp; " .:. "  &amp; TabVMAzureEnvProjet[[#This Row],[Projet]]</f>
        <v>GFI .:. GFI-INTERNE</v>
      </c>
      <c r="B497" s="22" t="str">
        <f>IF(TabVMAzureEnvProjet[[#This Row],[Projet AzureDevOps]]&lt;&gt;"",TabVMAzureEnvProjet[[#This Row],[Projet AzureDevOps]],TabVMAzureEnvProjet[[#This Row],[VM]])</f>
        <v>d8-qa</v>
      </c>
      <c r="C497" s="48" t="s">
        <v>37</v>
      </c>
      <c r="E497" t="s">
        <v>4</v>
      </c>
      <c r="F497" t="s">
        <v>36</v>
      </c>
      <c r="G497" t="str">
        <f>LOOKUP(TabVMAzureEnvProjet[[#This Row],[Projet]],TabProjets[NomProj],TabProjets[SYGES])</f>
        <v>GFI/PROJET_INTERNE</v>
      </c>
      <c r="H497">
        <f>LOOKUP(TabVMAzureEnvProjet[[#This Row],[Code SYGES]],TabCONTRATSDI[Contrat SYGES],TabCONTRATSDI[Cost Center])</f>
        <v>305704</v>
      </c>
      <c r="I497" s="22" t="str">
        <f>LOOKUP(TabVMAzureEnvProjet[[#This Row],[Code SYGES]],TabCONTRATSDI[Contrat SYGES],TabCONTRATSDI[Client])</f>
        <v>GFI</v>
      </c>
      <c r="J497" t="s">
        <v>370</v>
      </c>
      <c r="K497" s="31">
        <v>0.50658782357439436</v>
      </c>
      <c r="L497" s="49" t="s">
        <v>393</v>
      </c>
    </row>
    <row r="498" spans="1:12" x14ac:dyDescent="0.3">
      <c r="A498" s="22" t="str">
        <f>TabVMAzureEnvProjet[[#This Row],[Client]] &amp; " .:. "  &amp; TabVMAzureEnvProjet[[#This Row],[Projet]]</f>
        <v>GFI .:. GFI-INTERNE</v>
      </c>
      <c r="B498" s="22" t="str">
        <f>IF(TabVMAzureEnvProjet[[#This Row],[Projet AzureDevOps]]&lt;&gt;"",TabVMAzureEnvProjet[[#This Row],[Projet AzureDevOps]],TabVMAzureEnvProjet[[#This Row],[VM]])</f>
        <v>drupal-qa</v>
      </c>
      <c r="C498" s="48" t="s">
        <v>38</v>
      </c>
      <c r="E498" t="s">
        <v>4</v>
      </c>
      <c r="F498" t="s">
        <v>36</v>
      </c>
      <c r="G498" t="str">
        <f>LOOKUP(TabVMAzureEnvProjet[[#This Row],[Projet]],TabProjets[NomProj],TabProjets[SYGES])</f>
        <v>GFI/PROJET_INTERNE</v>
      </c>
      <c r="H498">
        <f>LOOKUP(TabVMAzureEnvProjet[[#This Row],[Code SYGES]],TabCONTRATSDI[Contrat SYGES],TabCONTRATSDI[Cost Center])</f>
        <v>305704</v>
      </c>
      <c r="I498" s="22" t="str">
        <f>LOOKUP(TabVMAzureEnvProjet[[#This Row],[Code SYGES]],TabCONTRATSDI[Contrat SYGES],TabCONTRATSDI[Client])</f>
        <v>GFI</v>
      </c>
      <c r="J498" t="s">
        <v>370</v>
      </c>
      <c r="K498" s="31">
        <v>0.50658782357439436</v>
      </c>
      <c r="L498" s="49" t="s">
        <v>393</v>
      </c>
    </row>
    <row r="499" spans="1:12" x14ac:dyDescent="0.3">
      <c r="A499" s="22" t="str">
        <f>TabVMAzureEnvProjet[[#This Row],[Client]] &amp; " .:. "  &amp; TabVMAzureEnvProjet[[#This Row],[Projet]]</f>
        <v>FRR .:. FRR-DIGIPAT</v>
      </c>
      <c r="B499" s="22" t="str">
        <f>IF(TabVMAzureEnvProjet[[#This Row],[Projet AzureDevOps]]&lt;&gt;"",TabVMAzureEnvProjet[[#This Row],[Projet AzureDevOps]],TabVMAzureEnvProjet[[#This Row],[VM]])</f>
        <v>FRR DIGIPAT</v>
      </c>
      <c r="C499" s="48" t="s">
        <v>28</v>
      </c>
      <c r="E499" t="s">
        <v>4</v>
      </c>
      <c r="F499" t="s">
        <v>27</v>
      </c>
      <c r="G499" t="str">
        <f>LOOKUP(TabVMAzureEnvProjet[[#This Row],[Projet]],TabProjets[NomProj],TabProjets[SYGES])</f>
        <v>FRR/TMASI</v>
      </c>
      <c r="H499">
        <f>LOOKUP(TabVMAzureEnvProjet[[#This Row],[Code SYGES]],TabCONTRATSDI[Contrat SYGES],TabCONTRATSDI[Cost Center])</f>
        <v>305704</v>
      </c>
      <c r="I499" s="22" t="str">
        <f>LOOKUP(TabVMAzureEnvProjet[[#This Row],[Code SYGES]],TabCONTRATSDI[Contrat SYGES],TabCONTRATSDI[Client])</f>
        <v>FRR</v>
      </c>
      <c r="J499" t="s">
        <v>370</v>
      </c>
      <c r="K499" s="31">
        <v>5.1312154922892255</v>
      </c>
      <c r="L499" s="49" t="s">
        <v>393</v>
      </c>
    </row>
    <row r="500" spans="1:12" x14ac:dyDescent="0.3">
      <c r="A500" s="22" t="str">
        <f>TabVMAzureEnvProjet[[#This Row],[Client]] &amp; " .:. "  &amp; TabVMAzureEnvProjet[[#This Row],[Projet]]</f>
        <v>FRR .:. FRR-APPLIFRR</v>
      </c>
      <c r="B500" s="22" t="str">
        <f>IF(TabVMAzureEnvProjet[[#This Row],[Projet AzureDevOps]]&lt;&gt;"",TabVMAzureEnvProjet[[#This Row],[Projet AzureDevOps]],TabVMAzureEnvProjet[[#This Row],[VM]])</f>
        <v>FRR-APPLIFRR</v>
      </c>
      <c r="C500" s="48" t="s">
        <v>30</v>
      </c>
      <c r="E500" t="s">
        <v>4</v>
      </c>
      <c r="F500" t="s">
        <v>30</v>
      </c>
      <c r="G500" t="str">
        <f>LOOKUP(TabVMAzureEnvProjet[[#This Row],[Projet]],TabProjets[NomProj],TabProjets[SYGES])</f>
        <v>FRR/TMASI</v>
      </c>
      <c r="H500">
        <f>LOOKUP(TabVMAzureEnvProjet[[#This Row],[Code SYGES]],TabCONTRATSDI[Contrat SYGES],TabCONTRATSDI[Cost Center])</f>
        <v>305704</v>
      </c>
      <c r="I500" s="22" t="str">
        <f>LOOKUP(TabVMAzureEnvProjet[[#This Row],[Code SYGES]],TabCONTRATSDI[Contrat SYGES],TabCONTRATSDI[Client])</f>
        <v>FRR</v>
      </c>
      <c r="J500" t="s">
        <v>370</v>
      </c>
      <c r="K500" s="31">
        <v>2.7332854572297656</v>
      </c>
      <c r="L500" s="49" t="s">
        <v>393</v>
      </c>
    </row>
    <row r="501" spans="1:12" x14ac:dyDescent="0.3">
      <c r="A501" s="22" t="str">
        <f>TabVMAzureEnvProjet[[#This Row],[Client]] &amp; " .:. "  &amp; TabVMAzureEnvProjet[[#This Row],[Projet]]</f>
        <v>FRR .:. FRR-CADENCIER</v>
      </c>
      <c r="B501" s="22" t="str">
        <f>IF(TabVMAzureEnvProjet[[#This Row],[Projet AzureDevOps]]&lt;&gt;"",TabVMAzureEnvProjet[[#This Row],[Projet AzureDevOps]],TabVMAzureEnvProjet[[#This Row],[VM]])</f>
        <v>FRR-CADENCIER</v>
      </c>
      <c r="C501" s="48" t="s">
        <v>31</v>
      </c>
      <c r="E501" t="s">
        <v>4</v>
      </c>
      <c r="F501" t="s">
        <v>31</v>
      </c>
      <c r="G501" t="str">
        <f>LOOKUP(TabVMAzureEnvProjet[[#This Row],[Projet]],TabProjets[NomProj],TabProjets[SYGES])</f>
        <v>FRR/TMASI</v>
      </c>
      <c r="H501">
        <f>LOOKUP(TabVMAzureEnvProjet[[#This Row],[Code SYGES]],TabCONTRATSDI[Contrat SYGES],TabCONTRATSDI[Cost Center])</f>
        <v>305704</v>
      </c>
      <c r="I501" s="22" t="str">
        <f>LOOKUP(TabVMAzureEnvProjet[[#This Row],[Code SYGES]],TabCONTRATSDI[Contrat SYGES],TabCONTRATSDI[Client])</f>
        <v>FRR</v>
      </c>
      <c r="J501" t="s">
        <v>370</v>
      </c>
      <c r="K501" s="31">
        <v>2.7332854572297656</v>
      </c>
      <c r="L501" s="49" t="s">
        <v>393</v>
      </c>
    </row>
    <row r="502" spans="1:12" x14ac:dyDescent="0.3">
      <c r="A502" s="22" t="str">
        <f>TabVMAzureEnvProjet[[#This Row],[Client]] &amp; " .:. "  &amp; TabVMAzureEnvProjet[[#This Row],[Projet]]</f>
        <v>FRR .:. FRR-PATAPAIN</v>
      </c>
      <c r="B502" s="22" t="str">
        <f>IF(TabVMAzureEnvProjet[[#This Row],[Projet AzureDevOps]]&lt;&gt;"",TabVMAzureEnvProjet[[#This Row],[Projet AzureDevOps]],TabVMAzureEnvProjet[[#This Row],[VM]])</f>
        <v>FRR-Patapain</v>
      </c>
      <c r="C502" s="48" t="s">
        <v>33</v>
      </c>
      <c r="E502" t="s">
        <v>4</v>
      </c>
      <c r="F502" t="s">
        <v>32</v>
      </c>
      <c r="G502" t="str">
        <f>LOOKUP(TabVMAzureEnvProjet[[#This Row],[Projet]],TabProjets[NomProj],TabProjets[SYGES])</f>
        <v>FRR/TMASI</v>
      </c>
      <c r="H502">
        <f>LOOKUP(TabVMAzureEnvProjet[[#This Row],[Code SYGES]],TabCONTRATSDI[Contrat SYGES],TabCONTRATSDI[Cost Center])</f>
        <v>305704</v>
      </c>
      <c r="I502" s="22" t="str">
        <f>LOOKUP(TabVMAzureEnvProjet[[#This Row],[Code SYGES]],TabCONTRATSDI[Contrat SYGES],TabCONTRATSDI[Client])</f>
        <v>FRR</v>
      </c>
      <c r="J502" t="s">
        <v>370</v>
      </c>
      <c r="K502" s="31">
        <v>1.3339751401814461</v>
      </c>
      <c r="L502" s="49" t="s">
        <v>393</v>
      </c>
    </row>
    <row r="503" spans="1:12" x14ac:dyDescent="0.3">
      <c r="A503" s="22" t="str">
        <f>TabVMAzureEnvProjet[[#This Row],[Client]] &amp; " .:. "  &amp; TabVMAzureEnvProjet[[#This Row],[Projet]]</f>
        <v>FRR .:. FRR-PATAPAINANDROID</v>
      </c>
      <c r="B503" s="22" t="str">
        <f>IF(TabVMAzureEnvProjet[[#This Row],[Projet AzureDevOps]]&lt;&gt;"",TabVMAzureEnvProjet[[#This Row],[Projet AzureDevOps]],TabVMAzureEnvProjet[[#This Row],[VM]])</f>
        <v>FRR-PATAPAINANDROID</v>
      </c>
      <c r="C503" s="48" t="s">
        <v>34</v>
      </c>
      <c r="E503" t="s">
        <v>4</v>
      </c>
      <c r="F503" t="s">
        <v>34</v>
      </c>
      <c r="G503" t="str">
        <f>LOOKUP(TabVMAzureEnvProjet[[#This Row],[Projet]],TabProjets[NomProj],TabProjets[SYGES])</f>
        <v>FRR/TMASI</v>
      </c>
      <c r="H503">
        <f>LOOKUP(TabVMAzureEnvProjet[[#This Row],[Code SYGES]],TabCONTRATSDI[Contrat SYGES],TabCONTRATSDI[Cost Center])</f>
        <v>305704</v>
      </c>
      <c r="I503" s="22" t="str">
        <f>LOOKUP(TabVMAzureEnvProjet[[#This Row],[Code SYGES]],TabCONTRATSDI[Contrat SYGES],TabCONTRATSDI[Client])</f>
        <v>FRR</v>
      </c>
      <c r="J503" t="s">
        <v>370</v>
      </c>
      <c r="K503" s="31">
        <v>7.38841680899447</v>
      </c>
      <c r="L503" s="49" t="s">
        <v>393</v>
      </c>
    </row>
    <row r="504" spans="1:12" x14ac:dyDescent="0.3">
      <c r="A504" s="22" t="str">
        <f>TabVMAzureEnvProjet[[#This Row],[Client]] &amp; " .:. "  &amp; TabVMAzureEnvProjet[[#This Row],[Projet]]</f>
        <v>GFI .:. GFI-INTERNE</v>
      </c>
      <c r="B504" s="22" t="str">
        <f>IF(TabVMAzureEnvProjet[[#This Row],[Projet AzureDevOps]]&lt;&gt;"",TabVMAzureEnvProjet[[#This Row],[Projet AzureDevOps]],TabVMAzureEnvProjet[[#This Row],[VM]])</f>
        <v>GFI-BaseDocumentaire</v>
      </c>
      <c r="C504" s="48" t="s">
        <v>39</v>
      </c>
      <c r="E504" t="s">
        <v>4</v>
      </c>
      <c r="F504" t="s">
        <v>36</v>
      </c>
      <c r="G504" t="str">
        <f>LOOKUP(TabVMAzureEnvProjet[[#This Row],[Projet]],TabProjets[NomProj],TabProjets[SYGES])</f>
        <v>GFI/PROJET_INTERNE</v>
      </c>
      <c r="H504">
        <f>LOOKUP(TabVMAzureEnvProjet[[#This Row],[Code SYGES]],TabCONTRATSDI[Contrat SYGES],TabCONTRATSDI[Cost Center])</f>
        <v>305704</v>
      </c>
      <c r="I504" s="22" t="str">
        <f>LOOKUP(TabVMAzureEnvProjet[[#This Row],[Code SYGES]],TabCONTRATSDI[Contrat SYGES],TabCONTRATSDI[Client])</f>
        <v>GFI</v>
      </c>
      <c r="J504" t="s">
        <v>370</v>
      </c>
      <c r="K504" s="31">
        <v>1.7124233186848739</v>
      </c>
      <c r="L504" s="49" t="s">
        <v>393</v>
      </c>
    </row>
    <row r="505" spans="1:12" x14ac:dyDescent="0.3">
      <c r="A505" s="22" t="str">
        <f>TabVMAzureEnvProjet[[#This Row],[Client]] &amp; " .:. "  &amp; TabVMAzureEnvProjet[[#This Row],[Projet]]</f>
        <v>GFI .:. GFI-CMIS</v>
      </c>
      <c r="B505" s="22" t="str">
        <f>IF(TabVMAzureEnvProjet[[#This Row],[Projet AzureDevOps]]&lt;&gt;"",TabVMAzureEnvProjet[[#This Row],[Projet AzureDevOps]],TabVMAzureEnvProjet[[#This Row],[VM]])</f>
        <v>GFI-CMIS</v>
      </c>
      <c r="C505" s="48" t="s">
        <v>40</v>
      </c>
      <c r="E505" t="s">
        <v>4</v>
      </c>
      <c r="F505" t="s">
        <v>40</v>
      </c>
      <c r="G505" t="str">
        <f>LOOKUP(TabVMAzureEnvProjet[[#This Row],[Projet]],TabProjets[NomProj],TabProjets[SYGES])</f>
        <v>GFI/PROJET_INTERNE</v>
      </c>
      <c r="H505">
        <f>LOOKUP(TabVMAzureEnvProjet[[#This Row],[Code SYGES]],TabCONTRATSDI[Contrat SYGES],TabCONTRATSDI[Cost Center])</f>
        <v>305704</v>
      </c>
      <c r="I505" s="22" t="str">
        <f>LOOKUP(TabVMAzureEnvProjet[[#This Row],[Code SYGES]],TabCONTRATSDI[Contrat SYGES],TabCONTRATSDI[Client])</f>
        <v>GFI</v>
      </c>
      <c r="J505" t="s">
        <v>370</v>
      </c>
      <c r="K505" s="31">
        <v>0.23275656758823526</v>
      </c>
      <c r="L505" s="49" t="s">
        <v>393</v>
      </c>
    </row>
    <row r="506" spans="1:12" x14ac:dyDescent="0.3">
      <c r="A506" s="22" t="str">
        <f>TabVMAzureEnvProjet[[#This Row],[Client]] &amp; " .:. "  &amp; TabVMAzureEnvProjet[[#This Row],[Projet]]</f>
        <v>GFI .:. GFI-COFFEE</v>
      </c>
      <c r="B506" s="22" t="str">
        <f>IF(TabVMAzureEnvProjet[[#This Row],[Projet AzureDevOps]]&lt;&gt;"",TabVMAzureEnvProjet[[#This Row],[Projet AzureDevOps]],TabVMAzureEnvProjet[[#This Row],[VM]])</f>
        <v>GFI-COFFEE</v>
      </c>
      <c r="C506" s="48" t="s">
        <v>41</v>
      </c>
      <c r="E506" t="s">
        <v>4</v>
      </c>
      <c r="F506" t="s">
        <v>41</v>
      </c>
      <c r="G506" t="str">
        <f>LOOKUP(TabVMAzureEnvProjet[[#This Row],[Projet]],TabProjets[NomProj],TabProjets[SYGES])</f>
        <v>GFI/PROJET_INTERNE</v>
      </c>
      <c r="H506">
        <f>LOOKUP(TabVMAzureEnvProjet[[#This Row],[Code SYGES]],TabCONTRATSDI[Contrat SYGES],TabCONTRATSDI[Cost Center])</f>
        <v>305704</v>
      </c>
      <c r="I506" s="22" t="str">
        <f>LOOKUP(TabVMAzureEnvProjet[[#This Row],[Code SYGES]],TabCONTRATSDI[Contrat SYGES],TabCONTRATSDI[Client])</f>
        <v>GFI</v>
      </c>
      <c r="J506" t="s">
        <v>370</v>
      </c>
      <c r="K506" s="31">
        <v>0.71052004842724448</v>
      </c>
      <c r="L506" s="49" t="s">
        <v>393</v>
      </c>
    </row>
    <row r="507" spans="1:12" x14ac:dyDescent="0.3">
      <c r="A507" s="22" t="str">
        <f>TabVMAzureEnvProjet[[#This Row],[Client]] &amp; " .:. "  &amp; TabVMAzureEnvProjet[[#This Row],[Projet]]</f>
        <v>GFI .:. GFI-CRALENIUM</v>
      </c>
      <c r="B507" s="22" t="str">
        <f>IF(TabVMAzureEnvProjet[[#This Row],[Projet AzureDevOps]]&lt;&gt;"",TabVMAzureEnvProjet[[#This Row],[Projet AzureDevOps]],TabVMAzureEnvProjet[[#This Row],[VM]])</f>
        <v>GFI-CRALENIUM</v>
      </c>
      <c r="C507" s="48" t="s">
        <v>42</v>
      </c>
      <c r="E507" t="s">
        <v>4</v>
      </c>
      <c r="F507" t="s">
        <v>42</v>
      </c>
      <c r="G507" t="str">
        <f>LOOKUP(TabVMAzureEnvProjet[[#This Row],[Projet]],TabProjets[NomProj],TabProjets[SYGES])</f>
        <v>GFI/PROJET_INTERNE</v>
      </c>
      <c r="H507">
        <f>LOOKUP(TabVMAzureEnvProjet[[#This Row],[Code SYGES]],TabCONTRATSDI[Contrat SYGES],TabCONTRATSDI[Cost Center])</f>
        <v>305704</v>
      </c>
      <c r="I507" s="22" t="str">
        <f>LOOKUP(TabVMAzureEnvProjet[[#This Row],[Code SYGES]],TabCONTRATSDI[Contrat SYGES],TabCONTRATSDI[Client])</f>
        <v>GFI</v>
      </c>
      <c r="J507" t="s">
        <v>370</v>
      </c>
      <c r="K507" s="31">
        <v>2.7332854572297656</v>
      </c>
      <c r="L507" s="49" t="s">
        <v>393</v>
      </c>
    </row>
    <row r="508" spans="1:12" x14ac:dyDescent="0.3">
      <c r="A508" s="22" t="str">
        <f>TabVMAzureEnvProjet[[#This Row],[Client]] &amp; " .:. "  &amp; TabVMAzureEnvProjet[[#This Row],[Projet]]</f>
        <v>GFI .:. GFI-INTERNE</v>
      </c>
      <c r="B508" s="22" t="str">
        <f>IF(TabVMAzureEnvProjet[[#This Row],[Projet AzureDevOps]]&lt;&gt;"",TabVMAzureEnvProjet[[#This Row],[Projet AzureDevOps]],TabVMAzureEnvProjet[[#This Row],[VM]])</f>
        <v>GFI-D8-BS4-THEME</v>
      </c>
      <c r="C508" s="48" t="s">
        <v>43</v>
      </c>
      <c r="E508" t="s">
        <v>4</v>
      </c>
      <c r="F508" t="s">
        <v>36</v>
      </c>
      <c r="G508" t="str">
        <f>LOOKUP(TabVMAzureEnvProjet[[#This Row],[Projet]],TabProjets[NomProj],TabProjets[SYGES])</f>
        <v>GFI/PROJET_INTERNE</v>
      </c>
      <c r="H508">
        <f>LOOKUP(TabVMAzureEnvProjet[[#This Row],[Code SYGES]],TabCONTRATSDI[Contrat SYGES],TabCONTRATSDI[Cost Center])</f>
        <v>305704</v>
      </c>
      <c r="I508" s="22" t="str">
        <f>LOOKUP(TabVMAzureEnvProjet[[#This Row],[Code SYGES]],TabCONTRATSDI[Contrat SYGES],TabCONTRATSDI[Client])</f>
        <v>GFI</v>
      </c>
      <c r="J508" t="s">
        <v>370</v>
      </c>
      <c r="K508" s="31">
        <v>1.2801611217352939</v>
      </c>
      <c r="L508" s="49" t="s">
        <v>393</v>
      </c>
    </row>
    <row r="509" spans="1:12" x14ac:dyDescent="0.3">
      <c r="A509" s="22" t="str">
        <f>TabVMAzureEnvProjet[[#This Row],[Client]] &amp; " .:. "  &amp; TabVMAzureEnvProjet[[#This Row],[Projet]]</f>
        <v>GFI .:. GFI-Docker Devbox Install</v>
      </c>
      <c r="B509" s="22" t="str">
        <f>IF(TabVMAzureEnvProjet[[#This Row],[Projet AzureDevOps]]&lt;&gt;"",TabVMAzureEnvProjet[[#This Row],[Projet AzureDevOps]],TabVMAzureEnvProjet[[#This Row],[VM]])</f>
        <v>GFI-Docker Devbox Install</v>
      </c>
      <c r="C509" s="48" t="s">
        <v>44</v>
      </c>
      <c r="E509" t="s">
        <v>4</v>
      </c>
      <c r="F509" t="s">
        <v>44</v>
      </c>
      <c r="G509" t="str">
        <f>LOOKUP(TabVMAzureEnvProjet[[#This Row],[Projet]],TabProjets[NomProj],TabProjets[SYGES])</f>
        <v>GFI/PROJET_INTERNE</v>
      </c>
      <c r="H509">
        <f>LOOKUP(TabVMAzureEnvProjet[[#This Row],[Code SYGES]],TabCONTRATSDI[Contrat SYGES],TabCONTRATSDI[Cost Center])</f>
        <v>305704</v>
      </c>
      <c r="I509" s="22" t="str">
        <f>LOOKUP(TabVMAzureEnvProjet[[#This Row],[Code SYGES]],TabCONTRATSDI[Contrat SYGES],TabCONTRATSDI[Client])</f>
        <v>GFI</v>
      </c>
      <c r="J509" t="s">
        <v>370</v>
      </c>
      <c r="K509" s="31">
        <v>12.438786882849689</v>
      </c>
      <c r="L509" s="49" t="s">
        <v>393</v>
      </c>
    </row>
    <row r="510" spans="1:12" x14ac:dyDescent="0.3">
      <c r="A510" s="22" t="str">
        <f>TabVMAzureEnvProjet[[#This Row],[Client]] &amp; " .:. "  &amp; TabVMAzureEnvProjet[[#This Row],[Projet]]</f>
        <v>GFI .:. GFI-MINEREPORT</v>
      </c>
      <c r="B510" s="22" t="str">
        <f>IF(TabVMAzureEnvProjet[[#This Row],[Projet AzureDevOps]]&lt;&gt;"",TabVMAzureEnvProjet[[#This Row],[Projet AzureDevOps]],TabVMAzureEnvProjet[[#This Row],[VM]])</f>
        <v>GFI-MineReport</v>
      </c>
      <c r="C510" s="48" t="s">
        <v>46</v>
      </c>
      <c r="E510" t="s">
        <v>4</v>
      </c>
      <c r="F510" t="s">
        <v>45</v>
      </c>
      <c r="G510" t="str">
        <f>LOOKUP(TabVMAzureEnvProjet[[#This Row],[Projet]],TabProjets[NomProj],TabProjets[SYGES])</f>
        <v>GFI/PROJET_INTERNE</v>
      </c>
      <c r="H510">
        <f>LOOKUP(TabVMAzureEnvProjet[[#This Row],[Code SYGES]],TabCONTRATSDI[Contrat SYGES],TabCONTRATSDI[Cost Center])</f>
        <v>305704</v>
      </c>
      <c r="I510" s="22" t="str">
        <f>LOOKUP(TabVMAzureEnvProjet[[#This Row],[Code SYGES]],TabCONTRATSDI[Contrat SYGES],TabCONTRATSDI[Client])</f>
        <v>GFI</v>
      </c>
      <c r="J510" t="s">
        <v>370</v>
      </c>
      <c r="K510" s="31">
        <v>1.6826210071781094</v>
      </c>
      <c r="L510" s="49" t="s">
        <v>393</v>
      </c>
    </row>
    <row r="511" spans="1:12" x14ac:dyDescent="0.3">
      <c r="A511" s="22" t="str">
        <f>TabVMAzureEnvProjet[[#This Row],[Client]] &amp; " .:. "  &amp; TabVMAzureEnvProjet[[#This Row],[Projet]]</f>
        <v>GFI .:. GFI-PMT</v>
      </c>
      <c r="B511" s="22" t="str">
        <f>IF(TabVMAzureEnvProjet[[#This Row],[Projet AzureDevOps]]&lt;&gt;"",TabVMAzureEnvProjet[[#This Row],[Projet AzureDevOps]],TabVMAzureEnvProjet[[#This Row],[VM]])</f>
        <v>GFI-PMT</v>
      </c>
      <c r="C511" s="48" t="s">
        <v>47</v>
      </c>
      <c r="E511" t="s">
        <v>4</v>
      </c>
      <c r="F511" t="s">
        <v>47</v>
      </c>
      <c r="G511" t="str">
        <f>LOOKUP(TabVMAzureEnvProjet[[#This Row],[Projet]],TabProjets[NomProj],TabProjets[SYGES])</f>
        <v>GFI/PROJET_INTERNE</v>
      </c>
      <c r="H511">
        <f>LOOKUP(TabVMAzureEnvProjet[[#This Row],[Code SYGES]],TabCONTRATSDI[Contrat SYGES],TabCONTRATSDI[Cost Center])</f>
        <v>305704</v>
      </c>
      <c r="I511" s="22" t="str">
        <f>LOOKUP(TabVMAzureEnvProjet[[#This Row],[Code SYGES]],TabCONTRATSDI[Contrat SYGES],TabCONTRATSDI[Client])</f>
        <v>GFI</v>
      </c>
      <c r="J511" t="s">
        <v>370</v>
      </c>
      <c r="K511" s="31">
        <v>4.7623100036418</v>
      </c>
      <c r="L511" s="49" t="s">
        <v>393</v>
      </c>
    </row>
    <row r="512" spans="1:12" x14ac:dyDescent="0.3">
      <c r="A512" s="22" t="str">
        <f>TabVMAzureEnvProjet[[#This Row],[Client]] &amp; " .:. "  &amp; TabVMAzureEnvProjet[[#This Row],[Projet]]</f>
        <v>GFI .:. GFI-INTERNE</v>
      </c>
      <c r="B512" s="22" t="str">
        <f>IF(TabVMAzureEnvProjet[[#This Row],[Projet AzureDevOps]]&lt;&gt;"",TabVMAzureEnvProjet[[#This Row],[Projet AzureDevOps]],TabVMAzureEnvProjet[[#This Row],[VM]])</f>
        <v>GFI-POC</v>
      </c>
      <c r="C512" s="48" t="s">
        <v>389</v>
      </c>
      <c r="E512" t="s">
        <v>4</v>
      </c>
      <c r="F512" t="s">
        <v>36</v>
      </c>
      <c r="G512" t="str">
        <f>LOOKUP(TabVMAzureEnvProjet[[#This Row],[Projet]],TabProjets[NomProj],TabProjets[SYGES])</f>
        <v>GFI/PROJET_INTERNE</v>
      </c>
      <c r="H512">
        <f>LOOKUP(TabVMAzureEnvProjet[[#This Row],[Code SYGES]],TabCONTRATSDI[Contrat SYGES],TabCONTRATSDI[Cost Center])</f>
        <v>305704</v>
      </c>
      <c r="I512" s="22" t="str">
        <f>LOOKUP(TabVMAzureEnvProjet[[#This Row],[Code SYGES]],TabCONTRATSDI[Contrat SYGES],TabCONTRATSDI[Client])</f>
        <v>GFI</v>
      </c>
      <c r="J512" t="s">
        <v>370</v>
      </c>
      <c r="K512" s="31">
        <v>4.8490951580882342</v>
      </c>
      <c r="L512" s="49" t="s">
        <v>393</v>
      </c>
    </row>
    <row r="513" spans="1:12" x14ac:dyDescent="0.3">
      <c r="A513" s="22" t="str">
        <f>TabVMAzureEnvProjet[[#This Row],[Client]] &amp; " .:. "  &amp; TabVMAzureEnvProjet[[#This Row],[Projet]]</f>
        <v>GFI .:. GFI-REDMINEDOCKER</v>
      </c>
      <c r="B513" s="22" t="str">
        <f>IF(TabVMAzureEnvProjet[[#This Row],[Projet AzureDevOps]]&lt;&gt;"",TabVMAzureEnvProjet[[#This Row],[Projet AzureDevOps]],TabVMAzureEnvProjet[[#This Row],[VM]])</f>
        <v>GFI-RedmineDocker</v>
      </c>
      <c r="C513" s="48" t="s">
        <v>50</v>
      </c>
      <c r="E513" t="s">
        <v>4</v>
      </c>
      <c r="F513" t="s">
        <v>49</v>
      </c>
      <c r="G513" t="str">
        <f>LOOKUP(TabVMAzureEnvProjet[[#This Row],[Projet]],TabProjets[NomProj],TabProjets[SYGES])</f>
        <v>GFI/PROJET_INTERNE</v>
      </c>
      <c r="H513">
        <f>LOOKUP(TabVMAzureEnvProjet[[#This Row],[Code SYGES]],TabCONTRATSDI[Contrat SYGES],TabCONTRATSDI[Cost Center])</f>
        <v>305704</v>
      </c>
      <c r="I513" s="22" t="str">
        <f>LOOKUP(TabVMAzureEnvProjet[[#This Row],[Code SYGES]],TabCONTRATSDI[Contrat SYGES],TabCONTRATSDI[Client])</f>
        <v>GFI</v>
      </c>
      <c r="J513" t="s">
        <v>370</v>
      </c>
      <c r="K513" s="31">
        <v>0.75645884466176461</v>
      </c>
      <c r="L513" s="49" t="s">
        <v>393</v>
      </c>
    </row>
    <row r="514" spans="1:12" x14ac:dyDescent="0.3">
      <c r="A514" s="22" t="str">
        <f>TabVMAzureEnvProjet[[#This Row],[Client]] &amp; " .:. "  &amp; TabVMAzureEnvProjet[[#This Row],[Projet]]</f>
        <v>GFI .:. GFI-TENDER</v>
      </c>
      <c r="B514" s="22" t="str">
        <f>IF(TabVMAzureEnvProjet[[#This Row],[Projet AzureDevOps]]&lt;&gt;"",TabVMAzureEnvProjet[[#This Row],[Projet AzureDevOps]],TabVMAzureEnvProjet[[#This Row],[VM]])</f>
        <v>GFI-TENDER</v>
      </c>
      <c r="C514" s="48" t="s">
        <v>51</v>
      </c>
      <c r="E514" t="s">
        <v>4</v>
      </c>
      <c r="F514" t="s">
        <v>51</v>
      </c>
      <c r="G514" t="str">
        <f>LOOKUP(TabVMAzureEnvProjet[[#This Row],[Projet]],TabProjets[NomProj],TabProjets[SYGES])</f>
        <v>GFI/PROJET_INTERNE</v>
      </c>
      <c r="H514">
        <f>LOOKUP(TabVMAzureEnvProjet[[#This Row],[Code SYGES]],TabCONTRATSDI[Contrat SYGES],TabCONTRATSDI[Cost Center])</f>
        <v>305704</v>
      </c>
      <c r="I514" s="22" t="str">
        <f>LOOKUP(TabVMAzureEnvProjet[[#This Row],[Code SYGES]],TabCONTRATSDI[Contrat SYGES],TabCONTRATSDI[Client])</f>
        <v>GFI</v>
      </c>
      <c r="J514" t="s">
        <v>370</v>
      </c>
      <c r="K514" s="31">
        <v>2.7332854572297656</v>
      </c>
      <c r="L514" s="49" t="s">
        <v>393</v>
      </c>
    </row>
    <row r="515" spans="1:12" x14ac:dyDescent="0.3">
      <c r="A515" s="22" t="str">
        <f>TabVMAzureEnvProjet[[#This Row],[Client]] &amp; " .:. "  &amp; TabVMAzureEnvProjet[[#This Row],[Projet]]</f>
        <v>GFI .:. GFI-WAAC</v>
      </c>
      <c r="B515" s="22" t="str">
        <f>IF(TabVMAzureEnvProjet[[#This Row],[Projet AzureDevOps]]&lt;&gt;"",TabVMAzureEnvProjet[[#This Row],[Projet AzureDevOps]],TabVMAzureEnvProjet[[#This Row],[VM]])</f>
        <v>GFI-WAAC</v>
      </c>
      <c r="C515" s="48" t="s">
        <v>52</v>
      </c>
      <c r="E515" t="s">
        <v>4</v>
      </c>
      <c r="F515" t="s">
        <v>52</v>
      </c>
      <c r="G515" t="str">
        <f>LOOKUP(TabVMAzureEnvProjet[[#This Row],[Projet]],TabProjets[NomProj],TabProjets[SYGES])</f>
        <v>383928 - WAAC 1.0</v>
      </c>
      <c r="H515">
        <f>LOOKUP(TabVMAzureEnvProjet[[#This Row],[Code SYGES]],TabCONTRATSDI[Contrat SYGES],TabCONTRATSDI[Cost Center])</f>
        <v>100973</v>
      </c>
      <c r="I515" s="22" t="str">
        <f>LOOKUP(TabVMAzureEnvProjet[[#This Row],[Code SYGES]],TabCONTRATSDI[Contrat SYGES],TabCONTRATSDI[Client])</f>
        <v>GFI</v>
      </c>
      <c r="J515" t="s">
        <v>370</v>
      </c>
      <c r="K515" s="31">
        <v>217.86693174744465</v>
      </c>
      <c r="L515" s="49" t="s">
        <v>393</v>
      </c>
    </row>
    <row r="516" spans="1:12" x14ac:dyDescent="0.3">
      <c r="A516" s="22" t="str">
        <f>TabVMAzureEnvProjet[[#This Row],[Client]] &amp; " .:. "  &amp; TabVMAzureEnvProjet[[#This Row],[Projet]]</f>
        <v>GLI .:. GLI-APIBIOMETRIE</v>
      </c>
      <c r="B516" s="22" t="str">
        <f>IF(TabVMAzureEnvProjet[[#This Row],[Projet AzureDevOps]]&lt;&gt;"",TabVMAzureEnvProjet[[#This Row],[Projet AzureDevOps]],TabVMAzureEnvProjet[[#This Row],[VM]])</f>
        <v>GLI-APIBiometrie</v>
      </c>
      <c r="C516" s="48" t="s">
        <v>56</v>
      </c>
      <c r="E516" t="s">
        <v>4</v>
      </c>
      <c r="F516" t="s">
        <v>55</v>
      </c>
      <c r="G516" t="str">
        <f>LOOKUP(TabVMAzureEnvProjet[[#This Row],[Projet]],TabProjets[NomProj],TabProjets[SYGES])</f>
        <v>GLI/BIOMETRIE</v>
      </c>
      <c r="H516">
        <f>LOOKUP(TabVMAzureEnvProjet[[#This Row],[Code SYGES]],TabCONTRATSDI[Contrat SYGES],TabCONTRATSDI[Cost Center])</f>
        <v>305704</v>
      </c>
      <c r="I516" s="22" t="str">
        <f>LOOKUP(TabVMAzureEnvProjet[[#This Row],[Code SYGES]],TabCONTRATSDI[Contrat SYGES],TabCONTRATSDI[Client])</f>
        <v>GLI</v>
      </c>
      <c r="J516" t="s">
        <v>370</v>
      </c>
      <c r="K516" s="31">
        <v>3.701887247239827</v>
      </c>
      <c r="L516" s="49" t="s">
        <v>393</v>
      </c>
    </row>
    <row r="517" spans="1:12" x14ac:dyDescent="0.3">
      <c r="A517" s="22" t="str">
        <f>TabVMAzureEnvProjet[[#This Row],[Client]] &amp; " .:. "  &amp; TabVMAzureEnvProjet[[#This Row],[Projet]]</f>
        <v>LAPOSTE .:. LAPOSTE-F4N-MUSEE</v>
      </c>
      <c r="B517" s="22" t="str">
        <f>IF(TabVMAzureEnvProjet[[#This Row],[Projet AzureDevOps]]&lt;&gt;"",TabVMAzureEnvProjet[[#This Row],[Projet AzureDevOps]],TabVMAzureEnvProjet[[#This Row],[VM]])</f>
        <v>LAPOSTE-F4N-Musee</v>
      </c>
      <c r="C517" s="48" t="s">
        <v>96</v>
      </c>
      <c r="E517" t="s">
        <v>4</v>
      </c>
      <c r="F517" t="s">
        <v>95</v>
      </c>
      <c r="G517" t="str">
        <f>LOOKUP(TabVMAzureEnvProjet[[#This Row],[Projet]],TabProjets[NomProj],TabProjets[SYGES])</f>
        <v>LA-POSTE/CDC_DRUPAL</v>
      </c>
      <c r="H517">
        <f>LOOKUP(TabVMAzureEnvProjet[[#This Row],[Code SYGES]],TabCONTRATSDI[Contrat SYGES],TabCONTRATSDI[Cost Center])</f>
        <v>305704</v>
      </c>
      <c r="I517" s="22" t="str">
        <f>LOOKUP(TabVMAzureEnvProjet[[#This Row],[Code SYGES]],TabCONTRATSDI[Contrat SYGES],TabCONTRATSDI[Client])</f>
        <v>LAPOSTE</v>
      </c>
      <c r="J517" t="s">
        <v>370</v>
      </c>
      <c r="K517" s="31">
        <v>1.9824884342522815</v>
      </c>
      <c r="L517" s="49" t="s">
        <v>393</v>
      </c>
    </row>
    <row r="518" spans="1:12" x14ac:dyDescent="0.3">
      <c r="A518" s="22" t="str">
        <f>TabVMAzureEnvProjet[[#This Row],[Client]] &amp; " .:. "  &amp; TabVMAzureEnvProjet[[#This Row],[Projet]]</f>
        <v>LAPOSTE .:. LAPOSTE-L71-PDP</v>
      </c>
      <c r="B518" s="22" t="str">
        <f>IF(TabVMAzureEnvProjet[[#This Row],[Projet AzureDevOps]]&lt;&gt;"",TabVMAzureEnvProjet[[#This Row],[Projet AzureDevOps]],TabVMAzureEnvProjet[[#This Row],[VM]])</f>
        <v>LAPOSTE-L71-PDP</v>
      </c>
      <c r="C518" s="48" t="s">
        <v>101</v>
      </c>
      <c r="E518" t="s">
        <v>4</v>
      </c>
      <c r="F518" t="s">
        <v>101</v>
      </c>
      <c r="G518" t="str">
        <f>LOOKUP(TabVMAzureEnvProjet[[#This Row],[Projet]],TabProjets[NomProj],TabProjets[SYGES])</f>
        <v>LA-POSTE/CDC_DRUPAL</v>
      </c>
      <c r="H518">
        <f>LOOKUP(TabVMAzureEnvProjet[[#This Row],[Code SYGES]],TabCONTRATSDI[Contrat SYGES],TabCONTRATSDI[Cost Center])</f>
        <v>305704</v>
      </c>
      <c r="I518" s="22" t="str">
        <f>LOOKUP(TabVMAzureEnvProjet[[#This Row],[Code SYGES]],TabCONTRATSDI[Contrat SYGES],TabCONTRATSDI[Client])</f>
        <v>LAPOSTE</v>
      </c>
      <c r="J518" t="s">
        <v>370</v>
      </c>
      <c r="K518" s="31">
        <v>1.9391361912655141</v>
      </c>
      <c r="L518" s="49" t="s">
        <v>393</v>
      </c>
    </row>
    <row r="519" spans="1:12" x14ac:dyDescent="0.3">
      <c r="A519" s="22" t="str">
        <f>TabVMAzureEnvProjet[[#This Row],[Client]] &amp; " .:. "  &amp; TabVMAzureEnvProjet[[#This Row],[Projet]]</f>
        <v>LAPOSTE .:. LAPOSTE-LCA-PariteUn-e</v>
      </c>
      <c r="B519" s="22" t="str">
        <f>IF(TabVMAzureEnvProjet[[#This Row],[Projet AzureDevOps]]&lt;&gt;"",TabVMAzureEnvProjet[[#This Row],[Projet AzureDevOps]],TabVMAzureEnvProjet[[#This Row],[VM]])</f>
        <v>LAPOSTE-LCA-PariteUn-e</v>
      </c>
      <c r="C519" s="48" t="s">
        <v>102</v>
      </c>
      <c r="E519" t="s">
        <v>4</v>
      </c>
      <c r="F519" t="s">
        <v>102</v>
      </c>
      <c r="G519" t="str">
        <f>LOOKUP(TabVMAzureEnvProjet[[#This Row],[Projet]],TabProjets[NomProj],TabProjets[SYGES])</f>
        <v>LA-POSTE/CDC_DRUPAL</v>
      </c>
      <c r="H519">
        <f>LOOKUP(TabVMAzureEnvProjet[[#This Row],[Code SYGES]],TabCONTRATSDI[Contrat SYGES],TabCONTRATSDI[Cost Center])</f>
        <v>305704</v>
      </c>
      <c r="I519" s="22" t="str">
        <f>LOOKUP(TabVMAzureEnvProjet[[#This Row],[Code SYGES]],TabCONTRATSDI[Contrat SYGES],TabCONTRATSDI[Client])</f>
        <v>LAPOSTE</v>
      </c>
      <c r="J519" t="s">
        <v>370</v>
      </c>
      <c r="K519" s="31">
        <v>1.9499742520122059</v>
      </c>
      <c r="L519" s="49" t="s">
        <v>393</v>
      </c>
    </row>
    <row r="520" spans="1:12" x14ac:dyDescent="0.3">
      <c r="A520" s="22" t="str">
        <f>TabVMAzureEnvProjet[[#This Row],[Client]] &amp; " .:. "  &amp; TabVMAzureEnvProjet[[#This Row],[Projet]]</f>
        <v>LAPOSTE .:. LAPOSTE-LPK-PortailVoyage</v>
      </c>
      <c r="B520" s="22" t="str">
        <f>IF(TabVMAzureEnvProjet[[#This Row],[Projet AzureDevOps]]&lt;&gt;"",TabVMAzureEnvProjet[[#This Row],[Projet AzureDevOps]],TabVMAzureEnvProjet[[#This Row],[VM]])</f>
        <v>LAPOSTE-LPK-PortailVoyage</v>
      </c>
      <c r="C520" s="48" t="s">
        <v>97</v>
      </c>
      <c r="E520" t="s">
        <v>4</v>
      </c>
      <c r="F520" t="s">
        <v>97</v>
      </c>
      <c r="G520" t="str">
        <f>LOOKUP(TabVMAzureEnvProjet[[#This Row],[Projet]],TabProjets[NomProj],TabProjets[SYGES])</f>
        <v>LA-POSTE/CDC_DRUPAL</v>
      </c>
      <c r="H520">
        <f>LOOKUP(TabVMAzureEnvProjet[[#This Row],[Code SYGES]],TabCONTRATSDI[Contrat SYGES],TabCONTRATSDI[Cost Center])</f>
        <v>305704</v>
      </c>
      <c r="I520" s="22" t="str">
        <f>LOOKUP(TabVMAzureEnvProjet[[#This Row],[Code SYGES]],TabCONTRATSDI[Contrat SYGES],TabCONTRATSDI[Client])</f>
        <v>LAPOSTE</v>
      </c>
      <c r="J520" t="s">
        <v>370</v>
      </c>
      <c r="K520" s="31">
        <v>2.4268489248666483</v>
      </c>
      <c r="L520" s="49" t="s">
        <v>393</v>
      </c>
    </row>
    <row r="521" spans="1:12" x14ac:dyDescent="0.3">
      <c r="A521" s="22" t="str">
        <f>TabVMAzureEnvProjet[[#This Row],[Client]] &amp; " .:. "  &amp; TabVMAzureEnvProjet[[#This Row],[Projet]]</f>
        <v>LAPOSTE .:. LAPOSTE-LPM-IntranetDHA</v>
      </c>
      <c r="B521" s="22" t="str">
        <f>IF(TabVMAzureEnvProjet[[#This Row],[Projet AzureDevOps]]&lt;&gt;"",TabVMAzureEnvProjet[[#This Row],[Projet AzureDevOps]],TabVMAzureEnvProjet[[#This Row],[VM]])</f>
        <v>LAPOSTE-LPM-IntranetDHA</v>
      </c>
      <c r="C521" s="48" t="s">
        <v>98</v>
      </c>
      <c r="E521" t="s">
        <v>4</v>
      </c>
      <c r="F521" t="s">
        <v>98</v>
      </c>
      <c r="G521" t="str">
        <f>LOOKUP(TabVMAzureEnvProjet[[#This Row],[Projet]],TabProjets[NomProj],TabProjets[SYGES])</f>
        <v>LA-POSTE/CDC_DRUPAL</v>
      </c>
      <c r="H521">
        <f>LOOKUP(TabVMAzureEnvProjet[[#This Row],[Code SYGES]],TabCONTRATSDI[Contrat SYGES],TabCONTRATSDI[Cost Center])</f>
        <v>305704</v>
      </c>
      <c r="I521" s="22" t="str">
        <f>LOOKUP(TabVMAzureEnvProjet[[#This Row],[Code SYGES]],TabCONTRATSDI[Contrat SYGES],TabCONTRATSDI[Client])</f>
        <v>LAPOSTE</v>
      </c>
      <c r="J521" t="s">
        <v>370</v>
      </c>
      <c r="K521" s="31">
        <v>1.9391361912655141</v>
      </c>
      <c r="L521" s="49" t="s">
        <v>393</v>
      </c>
    </row>
    <row r="522" spans="1:12" x14ac:dyDescent="0.3">
      <c r="A522" s="22" t="str">
        <f>TabVMAzureEnvProjet[[#This Row],[Client]] &amp; " .:. "  &amp; TabVMAzureEnvProjet[[#This Row],[Projet]]</f>
        <v>LAPOSTE .:. LAPOSTE-V7_-Galaxy</v>
      </c>
      <c r="B522" s="22" t="str">
        <f>IF(TabVMAzureEnvProjet[[#This Row],[Projet AzureDevOps]]&lt;&gt;"",TabVMAzureEnvProjet[[#This Row],[Projet AzureDevOps]],TabVMAzureEnvProjet[[#This Row],[VM]])</f>
        <v>LAPOSTE-V7_-Galaxy</v>
      </c>
      <c r="C522" s="48" t="s">
        <v>104</v>
      </c>
      <c r="E522" t="s">
        <v>4</v>
      </c>
      <c r="F522" t="s">
        <v>104</v>
      </c>
      <c r="G522" t="str">
        <f>LOOKUP(TabVMAzureEnvProjet[[#This Row],[Projet]],TabProjets[NomProj],TabProjets[SYGES])</f>
        <v>LA-POSTE/CDC_DRUPAL</v>
      </c>
      <c r="H522">
        <f>LOOKUP(TabVMAzureEnvProjet[[#This Row],[Code SYGES]],TabCONTRATSDI[Contrat SYGES],TabCONTRATSDI[Cost Center])</f>
        <v>305704</v>
      </c>
      <c r="I522" s="22" t="str">
        <f>LOOKUP(TabVMAzureEnvProjet[[#This Row],[Code SYGES]],TabCONTRATSDI[Contrat SYGES],TabCONTRATSDI[Client])</f>
        <v>LAPOSTE</v>
      </c>
      <c r="J522" t="s">
        <v>370</v>
      </c>
      <c r="K522" s="31">
        <v>1.0225440692202779</v>
      </c>
      <c r="L522" s="49" t="s">
        <v>393</v>
      </c>
    </row>
    <row r="523" spans="1:12" x14ac:dyDescent="0.3">
      <c r="A523" s="22" t="str">
        <f>TabVMAzureEnvProjet[[#This Row],[Client]] &amp; " .:. "  &amp; TabVMAzureEnvProjet[[#This Row],[Projet]]</f>
        <v>LAPOSTE .:. LAPOSTE-VW2-MEDIACOM</v>
      </c>
      <c r="B523" s="22" t="str">
        <f>IF(TabVMAzureEnvProjet[[#This Row],[Projet AzureDevOps]]&lt;&gt;"",TabVMAzureEnvProjet[[#This Row],[Projet AzureDevOps]],TabVMAzureEnvProjet[[#This Row],[VM]])</f>
        <v>LAPOSTE-VW2-MEDIACOM</v>
      </c>
      <c r="C523" s="48" t="s">
        <v>390</v>
      </c>
      <c r="E523" t="s">
        <v>4</v>
      </c>
      <c r="F523" t="s">
        <v>390</v>
      </c>
      <c r="G523" t="str">
        <f>LOOKUP(TabVMAzureEnvProjet[[#This Row],[Projet]],TabProjets[NomProj],TabProjets[SYGES])</f>
        <v>LA-POSTE/CDC_DRUPAL</v>
      </c>
      <c r="H523">
        <f>LOOKUP(TabVMAzureEnvProjet[[#This Row],[Code SYGES]],TabCONTRATSDI[Contrat SYGES],TabCONTRATSDI[Cost Center])</f>
        <v>305704</v>
      </c>
      <c r="I523" s="22" t="str">
        <f>LOOKUP(TabVMAzureEnvProjet[[#This Row],[Code SYGES]],TabCONTRATSDI[Contrat SYGES],TabCONTRATSDI[Client])</f>
        <v>LAPOSTE</v>
      </c>
      <c r="J523" t="s">
        <v>370</v>
      </c>
      <c r="K523" s="31">
        <v>1.3043336486342665</v>
      </c>
      <c r="L523" s="49" t="s">
        <v>393</v>
      </c>
    </row>
    <row r="524" spans="1:12" x14ac:dyDescent="0.3">
      <c r="A524" s="22" t="str">
        <f>TabVMAzureEnvProjet[[#This Row],[Client]] &amp; " .:. "  &amp; TabVMAzureEnvProjet[[#This Row],[Projet]]</f>
        <v>LAPOSTE .:. LAPOSTE-VWA-Fondation</v>
      </c>
      <c r="B524" s="22" t="str">
        <f>IF(TabVMAzureEnvProjet[[#This Row],[Projet AzureDevOps]]&lt;&gt;"",TabVMAzureEnvProjet[[#This Row],[Projet AzureDevOps]],TabVMAzureEnvProjet[[#This Row],[VM]])</f>
        <v>LAPOSTE-VWA-Fondation</v>
      </c>
      <c r="C524" s="48" t="s">
        <v>103</v>
      </c>
      <c r="E524" t="s">
        <v>4</v>
      </c>
      <c r="F524" t="s">
        <v>103</v>
      </c>
      <c r="G524" t="str">
        <f>LOOKUP(TabVMAzureEnvProjet[[#This Row],[Projet]],TabProjets[NomProj],TabProjets[SYGES])</f>
        <v>LA-POSTE/CDC_DRUPAL</v>
      </c>
      <c r="H524">
        <f>LOOKUP(TabVMAzureEnvProjet[[#This Row],[Code SYGES]],TabCONTRATSDI[Contrat SYGES],TabCONTRATSDI[Cost Center])</f>
        <v>305704</v>
      </c>
      <c r="I524" s="22" t="str">
        <f>LOOKUP(TabVMAzureEnvProjet[[#This Row],[Code SYGES]],TabCONTRATSDI[Contrat SYGES],TabCONTRATSDI[Client])</f>
        <v>LAPOSTE</v>
      </c>
      <c r="J524" t="s">
        <v>370</v>
      </c>
      <c r="K524" s="31">
        <v>1.8957839482787464</v>
      </c>
      <c r="L524" s="49" t="s">
        <v>393</v>
      </c>
    </row>
    <row r="525" spans="1:12" x14ac:dyDescent="0.3">
      <c r="A525" s="22" t="str">
        <f>TabVMAzureEnvProjet[[#This Row],[Client]] &amp; " .:. "  &amp; TabVMAzureEnvProjet[[#This Row],[Projet]]</f>
        <v>MENESR .:. MENJ-APAE</v>
      </c>
      <c r="B525" s="22" t="str">
        <f>IF(TabVMAzureEnvProjet[[#This Row],[Projet AzureDevOps]]&lt;&gt;"",TabVMAzureEnvProjet[[#This Row],[Projet AzureDevOps]],TabVMAzureEnvProjet[[#This Row],[VM]])</f>
        <v>MENJ-APAE</v>
      </c>
      <c r="C525" s="48" t="s">
        <v>58</v>
      </c>
      <c r="E525" t="s">
        <v>4</v>
      </c>
      <c r="F525" t="s">
        <v>58</v>
      </c>
      <c r="G525" t="str">
        <f>LOOKUP(TabVMAzureEnvProjet[[#This Row],[Projet]],TabProjets[NomProj],TabProjets[SYGES])</f>
        <v>MENESR/TMA</v>
      </c>
      <c r="H525">
        <f>LOOKUP(TabVMAzureEnvProjet[[#This Row],[Code SYGES]],TabCONTRATSDI[Contrat SYGES],TabCONTRATSDI[Cost Center])</f>
        <v>305704</v>
      </c>
      <c r="I525" s="22" t="str">
        <f>LOOKUP(TabVMAzureEnvProjet[[#This Row],[Code SYGES]],TabCONTRATSDI[Contrat SYGES],TabCONTRATSDI[Client])</f>
        <v>MENESR</v>
      </c>
      <c r="J525" t="s">
        <v>370</v>
      </c>
      <c r="K525" s="31">
        <v>2.7953607381920413</v>
      </c>
      <c r="L525" s="49" t="s">
        <v>393</v>
      </c>
    </row>
    <row r="526" spans="1:12" x14ac:dyDescent="0.3">
      <c r="A526" s="22" t="str">
        <f>TabVMAzureEnvProjet[[#This Row],[Client]] &amp; " .:. "  &amp; TabVMAzureEnvProjet[[#This Row],[Projet]]</f>
        <v>MENESR .:. MENJ-BI</v>
      </c>
      <c r="B526" s="22" t="str">
        <f>IF(TabVMAzureEnvProjet[[#This Row],[Projet AzureDevOps]]&lt;&gt;"",TabVMAzureEnvProjet[[#This Row],[Projet AzureDevOps]],TabVMAzureEnvProjet[[#This Row],[VM]])</f>
        <v>MENJ-BI</v>
      </c>
      <c r="C526" s="48" t="s">
        <v>65</v>
      </c>
      <c r="E526" t="s">
        <v>4</v>
      </c>
      <c r="F526" t="s">
        <v>65</v>
      </c>
      <c r="G526" t="str">
        <f>LOOKUP(TabVMAzureEnvProjet[[#This Row],[Projet]],TabProjets[NomProj],TabProjets[SYGES])</f>
        <v>MENESR/TMA</v>
      </c>
      <c r="H526">
        <f>LOOKUP(TabVMAzureEnvProjet[[#This Row],[Code SYGES]],TabCONTRATSDI[Contrat SYGES],TabCONTRATSDI[Cost Center])</f>
        <v>305704</v>
      </c>
      <c r="I526" s="22" t="str">
        <f>LOOKUP(TabVMAzureEnvProjet[[#This Row],[Code SYGES]],TabCONTRATSDI[Contrat SYGES],TabCONTRATSDI[Client])</f>
        <v>MENESR</v>
      </c>
      <c r="J526" t="s">
        <v>370</v>
      </c>
      <c r="K526" s="31">
        <v>3.2585919462352937</v>
      </c>
      <c r="L526" s="49" t="s">
        <v>393</v>
      </c>
    </row>
    <row r="527" spans="1:12" x14ac:dyDescent="0.3">
      <c r="A527" s="22" t="str">
        <f>TabVMAzureEnvProjet[[#This Row],[Client]] &amp; " .:. "  &amp; TabVMAzureEnvProjet[[#This Row],[Projet]]</f>
        <v>MENESR .:. MENJ-BNIE</v>
      </c>
      <c r="B527" s="22" t="str">
        <f>IF(TabVMAzureEnvProjet[[#This Row],[Projet AzureDevOps]]&lt;&gt;"",TabVMAzureEnvProjet[[#This Row],[Projet AzureDevOps]],TabVMAzureEnvProjet[[#This Row],[VM]])</f>
        <v>MENJ-BNIE-BDD</v>
      </c>
      <c r="C527" s="48" t="s">
        <v>60</v>
      </c>
      <c r="E527" t="s">
        <v>4</v>
      </c>
      <c r="F527" t="s">
        <v>59</v>
      </c>
      <c r="G527" t="str">
        <f>LOOKUP(TabVMAzureEnvProjet[[#This Row],[Projet]],TabProjets[NomProj],TabProjets[SYGES])</f>
        <v>MENESR/TMA</v>
      </c>
      <c r="H527">
        <f>LOOKUP(TabVMAzureEnvProjet[[#This Row],[Code SYGES]],TabCONTRATSDI[Contrat SYGES],TabCONTRATSDI[Cost Center])</f>
        <v>305704</v>
      </c>
      <c r="I527" s="22" t="str">
        <f>LOOKUP(TabVMAzureEnvProjet[[#This Row],[Code SYGES]],TabCONTRATSDI[Contrat SYGES],TabCONTRATSDI[Client])</f>
        <v>MENESR</v>
      </c>
      <c r="J527" t="s">
        <v>370</v>
      </c>
      <c r="K527" s="31">
        <v>2.0638400972004449</v>
      </c>
      <c r="L527" s="49" t="s">
        <v>393</v>
      </c>
    </row>
    <row r="528" spans="1:12" x14ac:dyDescent="0.3">
      <c r="A528" s="22" t="str">
        <f>TabVMAzureEnvProjet[[#This Row],[Client]] &amp; " .:. "  &amp; TabVMAzureEnvProjet[[#This Row],[Projet]]</f>
        <v>MENESR .:. MENJ-BNIE</v>
      </c>
      <c r="B528" s="22" t="str">
        <f>IF(TabVMAzureEnvProjet[[#This Row],[Projet AzureDevOps]]&lt;&gt;"",TabVMAzureEnvProjet[[#This Row],[Projet AzureDevOps]],TabVMAzureEnvProjet[[#This Row],[VM]])</f>
        <v>MENJ-BNIE-Webservices</v>
      </c>
      <c r="C528" s="48" t="s">
        <v>61</v>
      </c>
      <c r="E528" t="s">
        <v>4</v>
      </c>
      <c r="F528" t="s">
        <v>59</v>
      </c>
      <c r="G528" t="str">
        <f>LOOKUP(TabVMAzureEnvProjet[[#This Row],[Projet]],TabProjets[NomProj],TabProjets[SYGES])</f>
        <v>MENESR/TMA</v>
      </c>
      <c r="H528">
        <f>LOOKUP(TabVMAzureEnvProjet[[#This Row],[Code SYGES]],TabCONTRATSDI[Contrat SYGES],TabCONTRATSDI[Cost Center])</f>
        <v>305704</v>
      </c>
      <c r="I528" s="22" t="str">
        <f>LOOKUP(TabVMAzureEnvProjet[[#This Row],[Code SYGES]],TabCONTRATSDI[Contrat SYGES],TabCONTRATSDI[Client])</f>
        <v>MENESR</v>
      </c>
      <c r="J528" t="s">
        <v>370</v>
      </c>
      <c r="K528" s="31">
        <v>0.46779506230968854</v>
      </c>
      <c r="L528" s="49" t="s">
        <v>393</v>
      </c>
    </row>
    <row r="529" spans="1:12" x14ac:dyDescent="0.3">
      <c r="A529" s="22" t="str">
        <f>TabVMAzureEnvProjet[[#This Row],[Client]] &amp; " .:. "  &amp; TabVMAzureEnvProjet[[#This Row],[Projet]]</f>
        <v>MENESR .:. MENJ-INSERJEUNES</v>
      </c>
      <c r="B529" s="22" t="str">
        <f>IF(TabVMAzureEnvProjet[[#This Row],[Projet AzureDevOps]]&lt;&gt;"",TabVMAzureEnvProjet[[#This Row],[Projet AzureDevOps]],TabVMAzureEnvProjet[[#This Row],[VM]])</f>
        <v>MENJ-InserJeunes</v>
      </c>
      <c r="C529" s="48" t="s">
        <v>68</v>
      </c>
      <c r="E529" t="s">
        <v>4</v>
      </c>
      <c r="F529" t="s">
        <v>67</v>
      </c>
      <c r="G529" t="str">
        <f>LOOKUP(TabVMAzureEnvProjet[[#This Row],[Projet]],TabProjets[NomProj],TabProjets[SYGES])</f>
        <v>MENESR - TMA - 23 - 1 - INSERJEUNES</v>
      </c>
      <c r="H529">
        <f>LOOKUP(TabVMAzureEnvProjet[[#This Row],[Code SYGES]],TabCONTRATSDI[Contrat SYGES],TabCONTRATSDI[Cost Center])</f>
        <v>305704</v>
      </c>
      <c r="I529" s="22" t="str">
        <f>LOOKUP(TabVMAzureEnvProjet[[#This Row],[Code SYGES]],TabCONTRATSDI[Contrat SYGES],TabCONTRATSDI[Client])</f>
        <v>MENESR</v>
      </c>
      <c r="J529" t="s">
        <v>370</v>
      </c>
      <c r="K529" s="31">
        <v>14.276433508033136</v>
      </c>
      <c r="L529" s="49" t="s">
        <v>393</v>
      </c>
    </row>
    <row r="530" spans="1:12" x14ac:dyDescent="0.3">
      <c r="A530" s="22" t="str">
        <f>TabVMAzureEnvProjet[[#This Row],[Client]] &amp; " .:. "  &amp; TabVMAzureEnvProjet[[#This Row],[Projet]]</f>
        <v>MENESR .:. MENJ-RNIE</v>
      </c>
      <c r="B530" s="22" t="str">
        <f>IF(TabVMAzureEnvProjet[[#This Row],[Projet AzureDevOps]]&lt;&gt;"",TabVMAzureEnvProjet[[#This Row],[Projet AzureDevOps]],TabVMAzureEnvProjet[[#This Row],[VM]])</f>
        <v>MENJ-RNIE-BDD</v>
      </c>
      <c r="C530" s="48" t="s">
        <v>63</v>
      </c>
      <c r="E530" t="s">
        <v>4</v>
      </c>
      <c r="F530" t="s">
        <v>62</v>
      </c>
      <c r="G530" t="str">
        <f>LOOKUP(TabVMAzureEnvProjet[[#This Row],[Projet]],TabProjets[NomProj],TabProjets[SYGES])</f>
        <v>MENESR/TMA</v>
      </c>
      <c r="H530">
        <f>LOOKUP(TabVMAzureEnvProjet[[#This Row],[Code SYGES]],TabCONTRATSDI[Contrat SYGES],TabCONTRATSDI[Cost Center])</f>
        <v>305704</v>
      </c>
      <c r="I530" s="22" t="str">
        <f>LOOKUP(TabVMAzureEnvProjet[[#This Row],[Code SYGES]],TabCONTRATSDI[Contrat SYGES],TabCONTRATSDI[Client])</f>
        <v>MENESR</v>
      </c>
      <c r="J530" t="s">
        <v>370</v>
      </c>
      <c r="K530" s="31">
        <v>1.3988213326626295</v>
      </c>
      <c r="L530" s="49" t="s">
        <v>393</v>
      </c>
    </row>
    <row r="531" spans="1:12" x14ac:dyDescent="0.3">
      <c r="A531" s="22" t="str">
        <f>TabVMAzureEnvProjet[[#This Row],[Client]] &amp; " .:. "  &amp; TabVMAzureEnvProjet[[#This Row],[Projet]]</f>
        <v>MENESR .:. MENJ-RNIE</v>
      </c>
      <c r="B531" s="22" t="str">
        <f>IF(TabVMAzureEnvProjet[[#This Row],[Projet AzureDevOps]]&lt;&gt;"",TabVMAzureEnvProjet[[#This Row],[Projet AzureDevOps]],TabVMAzureEnvProjet[[#This Row],[VM]])</f>
        <v>MENJ-RNIE-Webservices</v>
      </c>
      <c r="C531" s="48" t="s">
        <v>64</v>
      </c>
      <c r="E531" t="s">
        <v>4</v>
      </c>
      <c r="F531" t="s">
        <v>62</v>
      </c>
      <c r="G531" t="str">
        <f>LOOKUP(TabVMAzureEnvProjet[[#This Row],[Projet]],TabProjets[NomProj],TabProjets[SYGES])</f>
        <v>MENESR/TMA</v>
      </c>
      <c r="H531">
        <f>LOOKUP(TabVMAzureEnvProjet[[#This Row],[Code SYGES]],TabCONTRATSDI[Contrat SYGES],TabCONTRATSDI[Cost Center])</f>
        <v>305704</v>
      </c>
      <c r="I531" s="22" t="str">
        <f>LOOKUP(TabVMAzureEnvProjet[[#This Row],[Code SYGES]],TabCONTRATSDI[Contrat SYGES],TabCONTRATSDI[Client])</f>
        <v>MENESR</v>
      </c>
      <c r="J531" t="s">
        <v>370</v>
      </c>
      <c r="K531" s="31">
        <v>0.58701373052329908</v>
      </c>
      <c r="L531" s="49" t="s">
        <v>393</v>
      </c>
    </row>
    <row r="532" spans="1:12" x14ac:dyDescent="0.3">
      <c r="A532" s="22" t="str">
        <f>TabVMAzureEnvProjet[[#This Row],[Client]] &amp; " .:. "  &amp; TabVMAzureEnvProjet[[#This Row],[Projet]]</f>
        <v>AFB .:. OFB-CMONSPOT</v>
      </c>
      <c r="B532" s="22" t="str">
        <f>IF(TabVMAzureEnvProjet[[#This Row],[Projet AzureDevOps]]&lt;&gt;"",TabVMAzureEnvProjet[[#This Row],[Projet AzureDevOps]],TabVMAzureEnvProjet[[#This Row],[VM]])</f>
        <v>OFB-CMONSPOT</v>
      </c>
      <c r="C532" s="48" t="s">
        <v>13</v>
      </c>
      <c r="E532" t="s">
        <v>4</v>
      </c>
      <c r="F532" t="s">
        <v>13</v>
      </c>
      <c r="G532" t="str">
        <f>LOOKUP(TabVMAzureEnvProjet[[#This Row],[Projet]],TabProjets[NomProj],TabProjets[SYGES])</f>
        <v>AFB/OFB_LOT2</v>
      </c>
      <c r="H532">
        <f>LOOKUP(TabVMAzureEnvProjet[[#This Row],[Code SYGES]],TabCONTRATSDI[Contrat SYGES],TabCONTRATSDI[Cost Center])</f>
        <v>305704</v>
      </c>
      <c r="I532" s="22" t="str">
        <f>LOOKUP(TabVMAzureEnvProjet[[#This Row],[Code SYGES]],TabCONTRATSDI[Contrat SYGES],TabCONTRATSDI[Client])</f>
        <v>AFB</v>
      </c>
      <c r="J532" t="s">
        <v>370</v>
      </c>
      <c r="K532" s="31">
        <v>0.910025677788589</v>
      </c>
      <c r="L532" s="49" t="s">
        <v>393</v>
      </c>
    </row>
    <row r="533" spans="1:12" x14ac:dyDescent="0.3">
      <c r="A533" s="22" t="str">
        <f>TabVMAzureEnvProjet[[#This Row],[Client]] &amp; " .:. "  &amp; TabVMAzureEnvProjet[[#This Row],[Projet]]</f>
        <v>OFB .:. OFB-NATUREFRANCE</v>
      </c>
      <c r="B533" s="22" t="str">
        <f>IF(TabVMAzureEnvProjet[[#This Row],[Projet AzureDevOps]]&lt;&gt;"",TabVMAzureEnvProjet[[#This Row],[Projet AzureDevOps]],TabVMAzureEnvProjet[[#This Row],[VM]])</f>
        <v>OFB-NatureFrance</v>
      </c>
      <c r="C533" s="48" t="s">
        <v>93</v>
      </c>
      <c r="E533" t="s">
        <v>4</v>
      </c>
      <c r="F533" t="s">
        <v>92</v>
      </c>
      <c r="G533" t="str">
        <f>LOOKUP(TabVMAzureEnvProjet[[#This Row],[Projet]],TabProjets[NomProj],TabProjets[SYGES])</f>
        <v>AFB OFB_LOT2 -9-1 NATURE FRANCE</v>
      </c>
      <c r="H533">
        <f>LOOKUP(TabVMAzureEnvProjet[[#This Row],[Code SYGES]],TabCONTRATSDI[Contrat SYGES],TabCONTRATSDI[Cost Center])</f>
        <v>305704</v>
      </c>
      <c r="I533" s="22" t="str">
        <f>LOOKUP(TabVMAzureEnvProjet[[#This Row],[Code SYGES]],TabCONTRATSDI[Contrat SYGES],TabCONTRATSDI[Client])</f>
        <v>OFB</v>
      </c>
      <c r="J533" t="s">
        <v>370</v>
      </c>
      <c r="K533" s="31">
        <v>6.2196371624623614</v>
      </c>
      <c r="L533" s="49" t="s">
        <v>393</v>
      </c>
    </row>
    <row r="534" spans="1:12" x14ac:dyDescent="0.3">
      <c r="A534" s="22" t="str">
        <f>TabVMAzureEnvProjet[[#This Row],[Client]] &amp; " .:. "  &amp; TabVMAzureEnvProjet[[#This Row],[Projet]]</f>
        <v>AFB .:. OFB-SISPEA</v>
      </c>
      <c r="B534" s="22" t="str">
        <f>IF(TabVMAzureEnvProjet[[#This Row],[Projet AzureDevOps]]&lt;&gt;"",TabVMAzureEnvProjet[[#This Row],[Projet AzureDevOps]],TabVMAzureEnvProjet[[#This Row],[VM]])</f>
        <v>OFB-SISPEA</v>
      </c>
      <c r="C534" s="48" t="s">
        <v>10</v>
      </c>
      <c r="E534" t="s">
        <v>4</v>
      </c>
      <c r="F534" t="s">
        <v>10</v>
      </c>
      <c r="G534" t="str">
        <f>LOOKUP(TabVMAzureEnvProjet[[#This Row],[Projet]],TabProjets[NomProj],TabProjets[SYGES])</f>
        <v>AFB/OFB_LOT2</v>
      </c>
      <c r="H534">
        <f>LOOKUP(TabVMAzureEnvProjet[[#This Row],[Code SYGES]],TabCONTRATSDI[Contrat SYGES],TabCONTRATSDI[Cost Center])</f>
        <v>305704</v>
      </c>
      <c r="I534" s="22" t="str">
        <f>LOOKUP(TabVMAzureEnvProjet[[#This Row],[Code SYGES]],TabCONTRATSDI[Contrat SYGES],TabCONTRATSDI[Client])</f>
        <v>AFB</v>
      </c>
      <c r="J534" t="s">
        <v>370</v>
      </c>
      <c r="K534" s="31">
        <v>3.2375913536709415</v>
      </c>
      <c r="L534" s="49" t="s">
        <v>393</v>
      </c>
    </row>
    <row r="535" spans="1:12" x14ac:dyDescent="0.3">
      <c r="A535" s="22" t="str">
        <f>TabVMAzureEnvProjet[[#This Row],[Client]] &amp; " .:. "  &amp; TabVMAzureEnvProjet[[#This Row],[Projet]]</f>
        <v>PCM .:. PCM-ALS</v>
      </c>
      <c r="B535" s="22" t="str">
        <f>IF(TabVMAzureEnvProjet[[#This Row],[Projet AzureDevOps]]&lt;&gt;"",TabVMAzureEnvProjet[[#This Row],[Projet AzureDevOps]],TabVMAzureEnvProjet[[#This Row],[VM]])</f>
        <v>PCM-ALS</v>
      </c>
      <c r="C535" s="48" t="s">
        <v>85</v>
      </c>
      <c r="E535" t="s">
        <v>4</v>
      </c>
      <c r="F535" t="s">
        <v>85</v>
      </c>
      <c r="G535" t="str">
        <f>LOOKUP(TabVMAzureEnvProjet[[#This Row],[Projet]],TabProjets[NomProj],TabProjets[SYGES])</f>
        <v>PCM/WEB</v>
      </c>
      <c r="H535">
        <f>LOOKUP(TabVMAzureEnvProjet[[#This Row],[Code SYGES]],TabCONTRATSDI[Contrat SYGES],TabCONTRATSDI[Cost Center])</f>
        <v>305704</v>
      </c>
      <c r="I535" s="22" t="str">
        <f>LOOKUP(TabVMAzureEnvProjet[[#This Row],[Code SYGES]],TabCONTRATSDI[Contrat SYGES],TabCONTRATSDI[Client])</f>
        <v>PCM</v>
      </c>
      <c r="J535" t="s">
        <v>370</v>
      </c>
      <c r="K535" s="31">
        <v>4.1067339334349473</v>
      </c>
      <c r="L535" s="49" t="s">
        <v>393</v>
      </c>
    </row>
    <row r="536" spans="1:12" x14ac:dyDescent="0.3">
      <c r="A536" s="22" t="str">
        <f>TabVMAzureEnvProjet[[#This Row],[Client]] &amp; " .:. "  &amp; TabVMAzureEnvProjet[[#This Row],[Projet]]</f>
        <v>PCM .:. PCM-WEB</v>
      </c>
      <c r="B536" s="22" t="str">
        <f>IF(TabVMAzureEnvProjet[[#This Row],[Projet AzureDevOps]]&lt;&gt;"",TabVMAzureEnvProjet[[#This Row],[Projet AzureDevOps]],TabVMAzureEnvProjet[[#This Row],[VM]])</f>
        <v>PCM-Web</v>
      </c>
      <c r="C536" s="48" t="s">
        <v>87</v>
      </c>
      <c r="E536" t="s">
        <v>4</v>
      </c>
      <c r="F536" t="s">
        <v>86</v>
      </c>
      <c r="G536" t="str">
        <f>LOOKUP(TabVMAzureEnvProjet[[#This Row],[Projet]],TabProjets[NomProj],TabProjets[SYGES])</f>
        <v>PCM/WEB</v>
      </c>
      <c r="H536">
        <f>LOOKUP(TabVMAzureEnvProjet[[#This Row],[Code SYGES]],TabCONTRATSDI[Contrat SYGES],TabCONTRATSDI[Cost Center])</f>
        <v>305704</v>
      </c>
      <c r="I536" s="22" t="str">
        <f>LOOKUP(TabVMAzureEnvProjet[[#This Row],[Code SYGES]],TabCONTRATSDI[Contrat SYGES],TabCONTRATSDI[Client])</f>
        <v>PCM</v>
      </c>
      <c r="J536" t="s">
        <v>370</v>
      </c>
      <c r="K536" s="31">
        <v>2.4007760749608575</v>
      </c>
      <c r="L536" s="49" t="s">
        <v>393</v>
      </c>
    </row>
    <row r="537" spans="1:12" x14ac:dyDescent="0.3">
      <c r="A537" s="22" t="str">
        <f>TabVMAzureEnvProjet[[#This Row],[Client]] &amp; " .:. "  &amp; TabVMAzureEnvProjet[[#This Row],[Projet]]</f>
        <v>SAFT .:. SAFT-PDM</v>
      </c>
      <c r="B537" s="22" t="str">
        <f>IF(TabVMAzureEnvProjet[[#This Row],[Projet AzureDevOps]]&lt;&gt;"",TabVMAzureEnvProjet[[#This Row],[Projet AzureDevOps]],TabVMAzureEnvProjet[[#This Row],[VM]])</f>
        <v>SAFT-PDM</v>
      </c>
      <c r="C537" s="48" t="s">
        <v>106</v>
      </c>
      <c r="E537" t="s">
        <v>4</v>
      </c>
      <c r="F537" t="s">
        <v>106</v>
      </c>
      <c r="G537" t="str">
        <f>LOOKUP(TabVMAzureEnvProjet[[#This Row],[Projet]],TabProjets[NomProj],TabProjets[SYGES])</f>
        <v>SAFT/TMA</v>
      </c>
      <c r="H537">
        <f>LOOKUP(TabVMAzureEnvProjet[[#This Row],[Code SYGES]],TabCONTRATSDI[Contrat SYGES],TabCONTRATSDI[Cost Center])</f>
        <v>305704</v>
      </c>
      <c r="I537" s="22" t="str">
        <f>LOOKUP(TabVMAzureEnvProjet[[#This Row],[Code SYGES]],TabCONTRATSDI[Contrat SYGES],TabCONTRATSDI[Client])</f>
        <v>SAFT</v>
      </c>
      <c r="J537" t="s">
        <v>370</v>
      </c>
      <c r="K537" s="31">
        <v>2.7332854572297656</v>
      </c>
      <c r="L537" s="49" t="s">
        <v>393</v>
      </c>
    </row>
    <row r="538" spans="1:12" x14ac:dyDescent="0.3">
      <c r="A538" s="22" t="str">
        <f>TabVMAzureEnvProjet[[#This Row],[Client]] &amp; " .:. "  &amp; TabVMAzureEnvProjet[[#This Row],[Projet]]</f>
        <v>SPC .:. SPC-BUILD</v>
      </c>
      <c r="B538" s="22" t="str">
        <f>IF(TabVMAzureEnvProjet[[#This Row],[Projet AzureDevOps]]&lt;&gt;"",TabVMAzureEnvProjet[[#This Row],[Projet AzureDevOps]],TabVMAzureEnvProjet[[#This Row],[VM]])</f>
        <v>SPC-BUILD</v>
      </c>
      <c r="C538" s="48" t="s">
        <v>81</v>
      </c>
      <c r="E538" t="s">
        <v>4</v>
      </c>
      <c r="F538" t="s">
        <v>81</v>
      </c>
      <c r="G538" t="str">
        <f>LOOKUP(TabVMAzureEnvProjet[[#This Row],[Projet]],TabProjets[NomProj],TabProjets[SYGES])</f>
        <v>SPC/BUILD</v>
      </c>
      <c r="H538">
        <f>LOOKUP(TabVMAzureEnvProjet[[#This Row],[Code SYGES]],TabCONTRATSDI[Contrat SYGES],TabCONTRATSDI[Cost Center])</f>
        <v>305704</v>
      </c>
      <c r="I538" s="22" t="str">
        <f>LOOKUP(TabVMAzureEnvProjet[[#This Row],[Code SYGES]],TabCONTRATSDI[Contrat SYGES],TabCONTRATSDI[Client])</f>
        <v>SPC</v>
      </c>
      <c r="J538" t="s">
        <v>370</v>
      </c>
      <c r="K538" s="31">
        <v>40.856329288536301</v>
      </c>
      <c r="L538" s="49" t="s">
        <v>393</v>
      </c>
    </row>
    <row r="539" spans="1:12" x14ac:dyDescent="0.3">
      <c r="A539" s="22" t="str">
        <f>TabVMAzureEnvProjet[[#This Row],[Client]] &amp; " .:. "  &amp; TabVMAzureEnvProjet[[#This Row],[Projet]]</f>
        <v>SPC .:. SPC-WEB</v>
      </c>
      <c r="B539" s="22" t="str">
        <f>IF(TabVMAzureEnvProjet[[#This Row],[Projet AzureDevOps]]&lt;&gt;"",TabVMAzureEnvProjet[[#This Row],[Projet AzureDevOps]],TabVMAzureEnvProjet[[#This Row],[VM]])</f>
        <v>SPC-WEB</v>
      </c>
      <c r="C539" s="48" t="s">
        <v>83</v>
      </c>
      <c r="E539" t="s">
        <v>4</v>
      </c>
      <c r="F539" t="s">
        <v>83</v>
      </c>
      <c r="G539" t="str">
        <f>LOOKUP(TabVMAzureEnvProjet[[#This Row],[Projet]],TabProjets[NomProj],TabProjets[SYGES])</f>
        <v>SPC/BUILD-0-1-SITE-WEB</v>
      </c>
      <c r="H539">
        <f>LOOKUP(TabVMAzureEnvProjet[[#This Row],[Code SYGES]],TabCONTRATSDI[Contrat SYGES],TabCONTRATSDI[Cost Center])</f>
        <v>305704</v>
      </c>
      <c r="I539" s="22" t="str">
        <f>LOOKUP(TabVMAzureEnvProjet[[#This Row],[Code SYGES]],TabCONTRATSDI[Contrat SYGES],TabCONTRATSDI[Client])</f>
        <v>SPC</v>
      </c>
      <c r="J539" t="s">
        <v>370</v>
      </c>
      <c r="K539" s="31">
        <v>3.1422136624411761</v>
      </c>
      <c r="L539" s="49" t="s">
        <v>393</v>
      </c>
    </row>
    <row r="540" spans="1:12" x14ac:dyDescent="0.3">
      <c r="A540" s="22" t="str">
        <f>TabVMAzureEnvProjet[[#This Row],[Client]] &amp; " .:. "  &amp; TabVMAzureEnvProjet[[#This Row],[Projet]]</f>
        <v>STMICRO .:. STMICRO-DATAPACK</v>
      </c>
      <c r="B540" s="22" t="str">
        <f>IF(TabVMAzureEnvProjet[[#This Row],[Projet AzureDevOps]]&lt;&gt;"",TabVMAzureEnvProjet[[#This Row],[Projet AzureDevOps]],TabVMAzureEnvProjet[[#This Row],[VM]])</f>
        <v>STMICRO-DATAPACK</v>
      </c>
      <c r="C540" s="48" t="s">
        <v>108</v>
      </c>
      <c r="E540" t="s">
        <v>4</v>
      </c>
      <c r="F540" t="s">
        <v>108</v>
      </c>
      <c r="G540" t="str">
        <f>LOOKUP(TabVMAzureEnvProjet[[#This Row],[Projet]],TabProjets[NomProj],TabProjets[SYGES])</f>
        <v>STMICRO/TMASI</v>
      </c>
      <c r="H540">
        <f>LOOKUP(TabVMAzureEnvProjet[[#This Row],[Code SYGES]],TabCONTRATSDI[Contrat SYGES],TabCONTRATSDI[Cost Center])</f>
        <v>305704</v>
      </c>
      <c r="I540" s="22" t="str">
        <f>LOOKUP(TabVMAzureEnvProjet[[#This Row],[Code SYGES]],TabCONTRATSDI[Contrat SYGES],TabCONTRATSDI[Client])</f>
        <v>STMICRO</v>
      </c>
      <c r="J540" t="s">
        <v>370</v>
      </c>
      <c r="K540" s="31">
        <v>3.8938083992663444</v>
      </c>
      <c r="L540" s="49" t="s">
        <v>393</v>
      </c>
    </row>
    <row r="541" spans="1:12" x14ac:dyDescent="0.3">
      <c r="A541" s="22" t="str">
        <f>TabVMAzureEnvProjet[[#This Row],[Client]] &amp; " .:. "  &amp; TabVMAzureEnvProjet[[#This Row],[Projet]]</f>
        <v>STMICRO .:. STMICRO-ROCKET</v>
      </c>
      <c r="B541" s="22" t="str">
        <f>IF(TabVMAzureEnvProjet[[#This Row],[Projet AzureDevOps]]&lt;&gt;"",TabVMAzureEnvProjet[[#This Row],[Projet AzureDevOps]],TabVMAzureEnvProjet[[#This Row],[VM]])</f>
        <v>STMICRO-ROCKET</v>
      </c>
      <c r="C541" s="48" t="s">
        <v>110</v>
      </c>
      <c r="E541" t="s">
        <v>4</v>
      </c>
      <c r="F541" t="s">
        <v>110</v>
      </c>
      <c r="G541" t="str">
        <f>LOOKUP(TabVMAzureEnvProjet[[#This Row],[Projet]],TabProjets[NomProj],TabProjets[SYGES])</f>
        <v>STMICRO/TMASI</v>
      </c>
      <c r="H541">
        <f>LOOKUP(TabVMAzureEnvProjet[[#This Row],[Code SYGES]],TabCONTRATSDI[Contrat SYGES],TabCONTRATSDI[Cost Center])</f>
        <v>305704</v>
      </c>
      <c r="I541" s="22" t="str">
        <f>LOOKUP(TabVMAzureEnvProjet[[#This Row],[Code SYGES]],TabCONTRATSDI[Contrat SYGES],TabCONTRATSDI[Client])</f>
        <v>STMICRO</v>
      </c>
      <c r="J541" t="s">
        <v>370</v>
      </c>
      <c r="K541" s="31">
        <v>5.4067260885898731</v>
      </c>
      <c r="L541" s="49" t="s">
        <v>393</v>
      </c>
    </row>
    <row r="542" spans="1:12" x14ac:dyDescent="0.3">
      <c r="A542" s="22" t="str">
        <f>TabVMAzureEnvProjet[[#This Row],[Client]] &amp; " .:. "  &amp; TabVMAzureEnvProjet[[#This Row],[Projet]]</f>
        <v>ALM .:. ALM-ATOUT</v>
      </c>
      <c r="B542" s="22" t="str">
        <f>IF(TabVMAzureEnvProjet[[#This Row],[Projet AzureDevOps]]&lt;&gt;"",TabVMAzureEnvProjet[[#This Row],[Projet AzureDevOps]],TabVMAzureEnvProjet[[#This Row],[VM]])</f>
        <v>ALM-ATOUT-VM</v>
      </c>
      <c r="D542" t="s">
        <v>16</v>
      </c>
      <c r="E542" t="s">
        <v>8</v>
      </c>
      <c r="F542" t="s">
        <v>15</v>
      </c>
      <c r="G542" t="str">
        <f>LOOKUP(TabVMAzureEnvProjet[[#This Row],[Projet]],TabProjets[NomProj],TabProjets[SYGES])</f>
        <v>ALM/TMA_ATOUT</v>
      </c>
      <c r="H542">
        <f>LOOKUP(TabVMAzureEnvProjet[[#This Row],[Code SYGES]],TabCONTRATSDI[Contrat SYGES],TabCONTRATSDI[Cost Center])</f>
        <v>305704</v>
      </c>
      <c r="I542" s="22" t="str">
        <f>LOOKUP(TabVMAzureEnvProjet[[#This Row],[Code SYGES]],TabCONTRATSDI[Contrat SYGES],TabCONTRATSDI[Client])</f>
        <v>ALM</v>
      </c>
      <c r="J542" t="s">
        <v>370</v>
      </c>
      <c r="K542" s="31">
        <v>26.15</v>
      </c>
      <c r="L542" s="40" t="s">
        <v>392</v>
      </c>
    </row>
    <row r="543" spans="1:12" x14ac:dyDescent="0.3">
      <c r="A543" s="22" t="str">
        <f>TabVMAzureEnvProjet[[#This Row],[Client]] &amp; " .:. "  &amp; TabVMAzureEnvProjet[[#This Row],[Projet]]</f>
        <v>BRGM .:. BRGM-ORRM</v>
      </c>
      <c r="B543" s="22" t="str">
        <f>IF(TabVMAzureEnvProjet[[#This Row],[Projet AzureDevOps]]&lt;&gt;"",TabVMAzureEnvProjet[[#This Row],[Projet AzureDevOps]],TabVMAzureEnvProjet[[#This Row],[VM]])</f>
        <v>BRGM-ORRM-VM</v>
      </c>
      <c r="D543" t="s">
        <v>20</v>
      </c>
      <c r="E543" t="s">
        <v>19</v>
      </c>
      <c r="F543" t="s">
        <v>18</v>
      </c>
      <c r="G543" t="str">
        <f>LOOKUP(TabVMAzureEnvProjet[[#This Row],[Projet]],TabProjets[NomProj],TabProjets[SYGES])</f>
        <v>BRGM/TMA-5-1-ORRM-LOT1</v>
      </c>
      <c r="H543">
        <f>LOOKUP(TabVMAzureEnvProjet[[#This Row],[Code SYGES]],TabCONTRATSDI[Contrat SYGES],TabCONTRATSDI[Cost Center])</f>
        <v>305704</v>
      </c>
      <c r="I543" s="22" t="str">
        <f>LOOKUP(TabVMAzureEnvProjet[[#This Row],[Code SYGES]],TabCONTRATSDI[Contrat SYGES],TabCONTRATSDI[Client])</f>
        <v>BRGM</v>
      </c>
      <c r="J543" t="s">
        <v>370</v>
      </c>
      <c r="K543" s="31">
        <v>4.83</v>
      </c>
      <c r="L543" s="40" t="s">
        <v>392</v>
      </c>
    </row>
    <row r="544" spans="1:12" x14ac:dyDescent="0.3">
      <c r="A544" s="22" t="str">
        <f>TabVMAzureEnvProjet[[#This Row],[Client]] &amp; " .:. "  &amp; TabVMAzureEnvProjet[[#This Row],[Projet]]</f>
        <v>CA-TITRES .:. CATITRES-COMX</v>
      </c>
      <c r="B544" s="22" t="str">
        <f>IF(TabVMAzureEnvProjet[[#This Row],[Projet AzureDevOps]]&lt;&gt;"",TabVMAzureEnvProjet[[#This Row],[Projet AzureDevOps]],TabVMAzureEnvProjet[[#This Row],[VM]])</f>
        <v>CATITRES-COMX-VM</v>
      </c>
      <c r="D544" t="s">
        <v>23</v>
      </c>
      <c r="E544" t="s">
        <v>11</v>
      </c>
      <c r="F544" t="s">
        <v>22</v>
      </c>
      <c r="G544" t="str">
        <f>LOOKUP(TabVMAzureEnvProjet[[#This Row],[Projet]],TabProjets[NomProj],TabProjets[SYGES])</f>
        <v>CA-TITRES/TMA</v>
      </c>
      <c r="H544">
        <f>LOOKUP(TabVMAzureEnvProjet[[#This Row],[Code SYGES]],TabCONTRATSDI[Contrat SYGES],TabCONTRATSDI[Cost Center])</f>
        <v>305704</v>
      </c>
      <c r="I544" s="22" t="str">
        <f>LOOKUP(TabVMAzureEnvProjet[[#This Row],[Code SYGES]],TabCONTRATSDI[Contrat SYGES],TabCONTRATSDI[Client])</f>
        <v>CA-TITRES</v>
      </c>
      <c r="J544" t="s">
        <v>370</v>
      </c>
      <c r="K544" s="31">
        <v>14.32</v>
      </c>
      <c r="L544" s="40" t="s">
        <v>392</v>
      </c>
    </row>
    <row r="545" spans="1:12" x14ac:dyDescent="0.3">
      <c r="A545" s="22" t="str">
        <f>TabVMAzureEnvProjet[[#This Row],[Client]] &amp; " .:. "  &amp; TabVMAzureEnvProjet[[#This Row],[Projet]]</f>
        <v>EBR .:. EBR-LAPOSTE</v>
      </c>
      <c r="B545" s="22" t="str">
        <f>IF(TabVMAzureEnvProjet[[#This Row],[Projet AzureDevOps]]&lt;&gt;"",TabVMAzureEnvProjet[[#This Row],[Projet AzureDevOps]],TabVMAzureEnvProjet[[#This Row],[VM]])</f>
        <v>EBR-LAPOSTE-VM</v>
      </c>
      <c r="D545" t="s">
        <v>90</v>
      </c>
      <c r="E545" t="s">
        <v>11</v>
      </c>
      <c r="F545" t="s">
        <v>89</v>
      </c>
      <c r="G545" t="str">
        <f>LOOKUP(TabVMAzureEnvProjet[[#This Row],[Projet]],TabProjets[NomProj],TabProjets[SYGES])</f>
        <v>EBR/TMA</v>
      </c>
      <c r="H545">
        <f>LOOKUP(TabVMAzureEnvProjet[[#This Row],[Code SYGES]],TabCONTRATSDI[Contrat SYGES],TabCONTRATSDI[Cost Center])</f>
        <v>305704</v>
      </c>
      <c r="I545" s="22" t="str">
        <f>LOOKUP(TabVMAzureEnvProjet[[#This Row],[Code SYGES]],TabCONTRATSDI[Contrat SYGES],TabCONTRATSDI[Client])</f>
        <v>EBR</v>
      </c>
      <c r="J545" t="s">
        <v>370</v>
      </c>
      <c r="K545" s="31">
        <v>113.25</v>
      </c>
      <c r="L545" s="40" t="s">
        <v>392</v>
      </c>
    </row>
    <row r="546" spans="1:12" x14ac:dyDescent="0.3">
      <c r="A546" s="22" t="str">
        <f>TabVMAzureEnvProjet[[#This Row],[Client]] &amp; " .:. "  &amp; TabVMAzureEnvProjet[[#This Row],[Projet]]</f>
        <v>GFI .:. GFI-PMT</v>
      </c>
      <c r="B546" s="22" t="str">
        <f>IF(TabVMAzureEnvProjet[[#This Row],[Projet AzureDevOps]]&lt;&gt;"",TabVMAzureEnvProjet[[#This Row],[Projet AzureDevOps]],TabVMAzureEnvProjet[[#This Row],[VM]])</f>
        <v>GFI-PMT-VM</v>
      </c>
      <c r="D546" t="s">
        <v>48</v>
      </c>
      <c r="E546" t="s">
        <v>11</v>
      </c>
      <c r="F546" t="s">
        <v>47</v>
      </c>
      <c r="G546" t="str">
        <f>LOOKUP(TabVMAzureEnvProjet[[#This Row],[Projet]],TabProjets[NomProj],TabProjets[SYGES])</f>
        <v>GFI/PROJET_INTERNE</v>
      </c>
      <c r="H546">
        <f>LOOKUP(TabVMAzureEnvProjet[[#This Row],[Code SYGES]],TabCONTRATSDI[Contrat SYGES],TabCONTRATSDI[Cost Center])</f>
        <v>305704</v>
      </c>
      <c r="I546" s="22" t="str">
        <f>LOOKUP(TabVMAzureEnvProjet[[#This Row],[Code SYGES]],TabCONTRATSDI[Contrat SYGES],TabCONTRATSDI[Client])</f>
        <v>GFI</v>
      </c>
      <c r="J546" t="s">
        <v>370</v>
      </c>
      <c r="K546" s="31">
        <v>30.24</v>
      </c>
      <c r="L546" s="40" t="s">
        <v>392</v>
      </c>
    </row>
    <row r="547" spans="1:12" x14ac:dyDescent="0.3">
      <c r="A547" s="22" t="str">
        <f>TabVMAzureEnvProjet[[#This Row],[Client]] &amp; " .:. "  &amp; TabVMAzureEnvProjet[[#This Row],[Projet]]</f>
        <v>MENESR .:. MENJ-BI</v>
      </c>
      <c r="B547" s="22" t="str">
        <f>IF(TabVMAzureEnvProjet[[#This Row],[Projet AzureDevOps]]&lt;&gt;"",TabVMAzureEnvProjet[[#This Row],[Projet AzureDevOps]],TabVMAzureEnvProjet[[#This Row],[VM]])</f>
        <v>MENJ-BI-VM</v>
      </c>
      <c r="D547" t="s">
        <v>66</v>
      </c>
      <c r="E547" t="s">
        <v>8</v>
      </c>
      <c r="F547" t="s">
        <v>65</v>
      </c>
      <c r="G547" t="str">
        <f>LOOKUP(TabVMAzureEnvProjet[[#This Row],[Projet]],TabProjets[NomProj],TabProjets[SYGES])</f>
        <v>MENESR/TMA</v>
      </c>
      <c r="H547">
        <f>LOOKUP(TabVMAzureEnvProjet[[#This Row],[Code SYGES]],TabCONTRATSDI[Contrat SYGES],TabCONTRATSDI[Cost Center])</f>
        <v>305704</v>
      </c>
      <c r="I547" s="22" t="str">
        <f>LOOKUP(TabVMAzureEnvProjet[[#This Row],[Code SYGES]],TabCONTRATSDI[Contrat SYGES],TabCONTRATSDI[Client])</f>
        <v>MENESR</v>
      </c>
      <c r="J547" t="s">
        <v>370</v>
      </c>
      <c r="K547" s="31">
        <v>4.2300000000000004</v>
      </c>
      <c r="L547" s="40" t="s">
        <v>392</v>
      </c>
    </row>
    <row r="548" spans="1:12" x14ac:dyDescent="0.3">
      <c r="A548" s="22" t="str">
        <f>TabVMAzureEnvProjet[[#This Row],[Client]] &amp; " .:. "  &amp; TabVMAzureEnvProjet[[#This Row],[Projet]]</f>
        <v>AFB .:. AFB-NatureFrance</v>
      </c>
      <c r="B548" s="22" t="str">
        <f>IF(TabVMAzureEnvProjet[[#This Row],[Projet AzureDevOps]]&lt;&gt;"",TabVMAzureEnvProjet[[#This Row],[Projet AzureDevOps]],TabVMAzureEnvProjet[[#This Row],[VM]])</f>
        <v>OFB-FRANCENATURE-VM</v>
      </c>
      <c r="D548" t="s">
        <v>9</v>
      </c>
      <c r="E548" t="s">
        <v>8</v>
      </c>
      <c r="F548" t="s">
        <v>7</v>
      </c>
      <c r="G548" t="str">
        <f>LOOKUP(TabVMAzureEnvProjet[[#This Row],[Projet]],TabProjets[NomProj],TabProjets[SYGES])</f>
        <v>AFB/OFB_LOT2</v>
      </c>
      <c r="H548">
        <f>LOOKUP(TabVMAzureEnvProjet[[#This Row],[Code SYGES]],TabCONTRATSDI[Contrat SYGES],TabCONTRATSDI[Cost Center])</f>
        <v>305704</v>
      </c>
      <c r="I548" s="22" t="str">
        <f>LOOKUP(TabVMAzureEnvProjet[[#This Row],[Code SYGES]],TabCONTRATSDI[Contrat SYGES],TabCONTRATSDI[Client])</f>
        <v>AFB</v>
      </c>
      <c r="J548" t="s">
        <v>370</v>
      </c>
      <c r="K548" s="31">
        <v>4.09</v>
      </c>
      <c r="L548" s="40" t="s">
        <v>392</v>
      </c>
    </row>
    <row r="549" spans="1:12" x14ac:dyDescent="0.3">
      <c r="A549" s="22" t="str">
        <f>TabVMAzureEnvProjet[[#This Row],[Client]] &amp; " .:. "  &amp; TabVMAzureEnvProjet[[#This Row],[Projet]]</f>
        <v>AFB .:. OFB-SISPEA</v>
      </c>
      <c r="B549" s="22" t="str">
        <f>IF(TabVMAzureEnvProjet[[#This Row],[Projet AzureDevOps]]&lt;&gt;"",TabVMAzureEnvProjet[[#This Row],[Projet AzureDevOps]],TabVMAzureEnvProjet[[#This Row],[VM]])</f>
        <v>OFB-SISPEA-VM</v>
      </c>
      <c r="D549" t="s">
        <v>12</v>
      </c>
      <c r="E549" t="s">
        <v>11</v>
      </c>
      <c r="F549" t="s">
        <v>10</v>
      </c>
      <c r="G549" t="str">
        <f>LOOKUP(TabVMAzureEnvProjet[[#This Row],[Projet]],TabProjets[NomProj],TabProjets[SYGES])</f>
        <v>AFB/OFB_LOT2</v>
      </c>
      <c r="H549">
        <f>LOOKUP(TabVMAzureEnvProjet[[#This Row],[Code SYGES]],TabCONTRATSDI[Contrat SYGES],TabCONTRATSDI[Cost Center])</f>
        <v>305704</v>
      </c>
      <c r="I549" s="22" t="str">
        <f>LOOKUP(TabVMAzureEnvProjet[[#This Row],[Code SYGES]],TabCONTRATSDI[Contrat SYGES],TabCONTRATSDI[Client])</f>
        <v>AFB</v>
      </c>
      <c r="J549" t="s">
        <v>370</v>
      </c>
      <c r="K549" s="31">
        <v>8.58</v>
      </c>
      <c r="L549" s="40" t="s">
        <v>392</v>
      </c>
    </row>
    <row r="550" spans="1:12" x14ac:dyDescent="0.3">
      <c r="A550" s="22" t="str">
        <f>TabVMAzureEnvProjet[[#This Row],[Client]] &amp; " .:. "  &amp; TabVMAzureEnvProjet[[#This Row],[Projet]]</f>
        <v>SPC .:. SPC-BUILD</v>
      </c>
      <c r="B550" s="22" t="str">
        <f>IF(TabVMAzureEnvProjet[[#This Row],[Projet AzureDevOps]]&lt;&gt;"",TabVMAzureEnvProjet[[#This Row],[Projet AzureDevOps]],TabVMAzureEnvProjet[[#This Row],[VM]])</f>
        <v>SPC-BUILDAS-VM</v>
      </c>
      <c r="D550" t="s">
        <v>82</v>
      </c>
      <c r="E550" t="s">
        <v>11</v>
      </c>
      <c r="F550" t="s">
        <v>81</v>
      </c>
      <c r="G550" t="str">
        <f>LOOKUP(TabVMAzureEnvProjet[[#This Row],[Projet]],TabProjets[NomProj],TabProjets[SYGES])</f>
        <v>SPC/BUILD</v>
      </c>
      <c r="H550">
        <f>LOOKUP(TabVMAzureEnvProjet[[#This Row],[Code SYGES]],TabCONTRATSDI[Contrat SYGES],TabCONTRATSDI[Cost Center])</f>
        <v>305704</v>
      </c>
      <c r="I550" s="22" t="str">
        <f>LOOKUP(TabVMAzureEnvProjet[[#This Row],[Code SYGES]],TabCONTRATSDI[Contrat SYGES],TabCONTRATSDI[Client])</f>
        <v>SPC</v>
      </c>
      <c r="J550" t="s">
        <v>370</v>
      </c>
      <c r="K550" s="31">
        <v>176.82</v>
      </c>
      <c r="L550" s="40" t="s">
        <v>392</v>
      </c>
    </row>
    <row r="551" spans="1:12" x14ac:dyDescent="0.3">
      <c r="A551" s="22" t="str">
        <f>TabVMAzureEnvProjet[[#This Row],[Client]] &amp; " .:. "  &amp; TabVMAzureEnvProjet[[#This Row],[Projet]]</f>
        <v>STMICRO .:. STMICRO-DATAPACK</v>
      </c>
      <c r="B551" s="22" t="str">
        <f>IF(TabVMAzureEnvProjet[[#This Row],[Projet AzureDevOps]]&lt;&gt;"",TabVMAzureEnvProjet[[#This Row],[Projet AzureDevOps]],TabVMAzureEnvProjet[[#This Row],[VM]])</f>
        <v>STMICRO-DATAPACK-VM</v>
      </c>
      <c r="D551" t="s">
        <v>109</v>
      </c>
      <c r="E551" t="s">
        <v>11</v>
      </c>
      <c r="F551" t="s">
        <v>108</v>
      </c>
      <c r="G551" t="str">
        <f>LOOKUP(TabVMAzureEnvProjet[[#This Row],[Projet]],TabProjets[NomProj],TabProjets[SYGES])</f>
        <v>STMICRO/TMASI</v>
      </c>
      <c r="H551">
        <f>LOOKUP(TabVMAzureEnvProjet[[#This Row],[Code SYGES]],TabCONTRATSDI[Contrat SYGES],TabCONTRATSDI[Cost Center])</f>
        <v>305704</v>
      </c>
      <c r="I551" s="22" t="str">
        <f>LOOKUP(TabVMAzureEnvProjet[[#This Row],[Code SYGES]],TabCONTRATSDI[Contrat SYGES],TabCONTRATSDI[Client])</f>
        <v>STMICRO</v>
      </c>
      <c r="J551" t="s">
        <v>370</v>
      </c>
      <c r="K551" s="31">
        <v>14.78</v>
      </c>
      <c r="L551" s="40" t="s">
        <v>392</v>
      </c>
    </row>
    <row r="552" spans="1:12" x14ac:dyDescent="0.3">
      <c r="A552" s="22" t="str">
        <f>TabVMAzureEnvProjet[[#This Row],[Client]] &amp; " .:. "  &amp; TabVMAzureEnvProjet[[#This Row],[Projet]]</f>
        <v>FRR .:. FRR-DIGIPAT</v>
      </c>
      <c r="B552" s="22" t="str">
        <f>IF(TabVMAzureEnvProjet[[#This Row],[Projet AzureDevOps]]&lt;&gt;"",TabVMAzureEnvProjet[[#This Row],[Projet AzureDevOps]],TabVMAzureEnvProjet[[#This Row],[VM]])</f>
        <v>FRR-DIGIPAT-VM</v>
      </c>
      <c r="D552" t="s">
        <v>29</v>
      </c>
      <c r="E552" t="s">
        <v>19</v>
      </c>
      <c r="F552" t="s">
        <v>27</v>
      </c>
      <c r="G552" t="str">
        <f>LOOKUP(TabVMAzureEnvProjet[[#This Row],[Projet]],TabProjets[NomProj],TabProjets[SYGES])</f>
        <v>FRR/TMASI</v>
      </c>
      <c r="H552">
        <f>LOOKUP(TabVMAzureEnvProjet[[#This Row],[Code SYGES]],TabCONTRATSDI[Contrat SYGES],TabCONTRATSDI[Cost Center])</f>
        <v>305704</v>
      </c>
      <c r="I552" s="22" t="str">
        <f>LOOKUP(TabVMAzureEnvProjet[[#This Row],[Code SYGES]],TabCONTRATSDI[Contrat SYGES],TabCONTRATSDI[Client])</f>
        <v>FRR</v>
      </c>
      <c r="J552" t="s">
        <v>370</v>
      </c>
      <c r="K552" s="31">
        <v>13.04</v>
      </c>
      <c r="L552" s="40" t="s">
        <v>392</v>
      </c>
    </row>
    <row r="553" spans="1:12" x14ac:dyDescent="0.3">
      <c r="A553" s="22" t="str">
        <f>TabVMAzureEnvProjet[[#This Row],[Client]] &amp; " .:. "  &amp; TabVMAzureEnvProjet[[#This Row],[Projet]]</f>
        <v>GFI .:. GFI-WAAC</v>
      </c>
      <c r="B553" s="22" t="str">
        <f>IF(TabVMAzureEnvProjet[[#This Row],[Projet AzureDevOps]]&lt;&gt;"",TabVMAzureEnvProjet[[#This Row],[Projet AzureDevOps]],TabVMAzureEnvProjet[[#This Row],[VM]])</f>
        <v>GFI-WAAC-VM</v>
      </c>
      <c r="D553" t="s">
        <v>53</v>
      </c>
      <c r="E553" t="s">
        <v>8</v>
      </c>
      <c r="F553" t="s">
        <v>52</v>
      </c>
      <c r="G553" t="str">
        <f>LOOKUP(TabVMAzureEnvProjet[[#This Row],[Projet]],TabProjets[NomProj],TabProjets[SYGES])</f>
        <v>383928 - WAAC 1.0</v>
      </c>
      <c r="H553">
        <f>LOOKUP(TabVMAzureEnvProjet[[#This Row],[Code SYGES]],TabCONTRATSDI[Contrat SYGES],TabCONTRATSDI[Cost Center])</f>
        <v>100973</v>
      </c>
      <c r="I553" s="22" t="str">
        <f>LOOKUP(TabVMAzureEnvProjet[[#This Row],[Code SYGES]],TabCONTRATSDI[Contrat SYGES],TabCONTRATSDI[Client])</f>
        <v>GFI</v>
      </c>
      <c r="J553" t="s">
        <v>370</v>
      </c>
      <c r="K553" s="31">
        <v>27.19</v>
      </c>
      <c r="L553" s="40" t="s">
        <v>392</v>
      </c>
    </row>
    <row r="554" spans="1:12" x14ac:dyDescent="0.3">
      <c r="A554" s="22" t="str">
        <f>TabVMAzureEnvProjet[[#This Row],[Client]] &amp; " .:. "  &amp; TabVMAzureEnvProjet[[#This Row],[Projet]]</f>
        <v>LAPOSTE .:. LAPOSTE-CDC</v>
      </c>
      <c r="B554" s="22" t="str">
        <f>IF(TabVMAzureEnvProjet[[#This Row],[Projet AzureDevOps]]&lt;&gt;"",TabVMAzureEnvProjet[[#This Row],[Projet AzureDevOps]],TabVMAzureEnvProjet[[#This Row],[VM]])</f>
        <v>LAPOSTE-CDC-VM</v>
      </c>
      <c r="D554" t="s">
        <v>100</v>
      </c>
      <c r="E554" t="s">
        <v>11</v>
      </c>
      <c r="F554" t="s">
        <v>99</v>
      </c>
      <c r="G554" t="str">
        <f>LOOKUP(TabVMAzureEnvProjet[[#This Row],[Projet]],TabProjets[NomProj],TabProjets[SYGES])</f>
        <v>LA-POSTE/CDC_DRUPAL</v>
      </c>
      <c r="H554">
        <f>LOOKUP(TabVMAzureEnvProjet[[#This Row],[Code SYGES]],TabCONTRATSDI[Contrat SYGES],TabCONTRATSDI[Cost Center])</f>
        <v>305704</v>
      </c>
      <c r="I554" s="22" t="str">
        <f>LOOKUP(TabVMAzureEnvProjet[[#This Row],[Code SYGES]],TabCONTRATSDI[Contrat SYGES],TabCONTRATSDI[Client])</f>
        <v>LAPOSTE</v>
      </c>
      <c r="J554" t="s">
        <v>370</v>
      </c>
      <c r="K554" s="31">
        <v>4.29</v>
      </c>
      <c r="L554" s="40" t="s">
        <v>392</v>
      </c>
    </row>
    <row r="555" spans="1:12" x14ac:dyDescent="0.3">
      <c r="A555" s="22" t="str">
        <f>TabVMAzureEnvProjet[[#This Row],[Client]] &amp; " .:. "  &amp; TabVMAzureEnvProjet[[#This Row],[Projet]]</f>
        <v>MENESR .:. MENJ-INSERJEUNES</v>
      </c>
      <c r="B555" s="22" t="str">
        <f>IF(TabVMAzureEnvProjet[[#This Row],[Projet AzureDevOps]]&lt;&gt;"",TabVMAzureEnvProjet[[#This Row],[Projet AzureDevOps]],TabVMAzureEnvProjet[[#This Row],[VM]])</f>
        <v>MENJ-INERJEUNES</v>
      </c>
      <c r="D555" t="s">
        <v>69</v>
      </c>
      <c r="E555" t="s">
        <v>19</v>
      </c>
      <c r="F555" t="s">
        <v>67</v>
      </c>
      <c r="G555" t="str">
        <f>LOOKUP(TabVMAzureEnvProjet[[#This Row],[Projet]],TabProjets[NomProj],TabProjets[SYGES])</f>
        <v>MENESR - TMA - 23 - 1 - INSERJEUNES</v>
      </c>
      <c r="H555">
        <f>LOOKUP(TabVMAzureEnvProjet[[#This Row],[Code SYGES]],TabCONTRATSDI[Contrat SYGES],TabCONTRATSDI[Cost Center])</f>
        <v>305704</v>
      </c>
      <c r="I555" s="22" t="str">
        <f>LOOKUP(TabVMAzureEnvProjet[[#This Row],[Code SYGES]],TabCONTRATSDI[Contrat SYGES],TabCONTRATSDI[Client])</f>
        <v>MENESR</v>
      </c>
      <c r="J555" t="s">
        <v>370</v>
      </c>
      <c r="K555" s="31">
        <v>37.67</v>
      </c>
      <c r="L555" s="40" t="s">
        <v>392</v>
      </c>
    </row>
    <row r="556" spans="1:12" x14ac:dyDescent="0.3">
      <c r="A556" s="22" t="str">
        <f>TabVMAzureEnvProjet[[#This Row],[Client]] &amp; " .:. "  &amp; TabVMAzureEnvProjet[[#This Row],[Projet]]</f>
        <v>ONEMA .:. AFB-BASEINDICATEURS</v>
      </c>
      <c r="B556" s="22" t="str">
        <f>IF(TabVMAzureEnvProjet[[#This Row],[Projet AzureDevOps]]&lt;&gt;"",TabVMAzureEnvProjet[[#This Row],[Projet AzureDevOps]],TabVMAzureEnvProjet[[#This Row],[VM]])</f>
        <v>AFB-BaseIndicateurs</v>
      </c>
      <c r="C556" s="50" t="s">
        <v>72</v>
      </c>
      <c r="E556" t="s">
        <v>4</v>
      </c>
      <c r="F556" t="s">
        <v>71</v>
      </c>
      <c r="G556" t="str">
        <f>LOOKUP(TabVMAzureEnvProjet[[#This Row],[Projet]],TabProjets[NomProj],TabProjets[SYGES])</f>
        <v>ONEMA/TMADCUA-15</v>
      </c>
      <c r="H556">
        <f>LOOKUP(TabVMAzureEnvProjet[[#This Row],[Code SYGES]],TabCONTRATSDI[Contrat SYGES],TabCONTRATSDI[Cost Center])</f>
        <v>305704</v>
      </c>
      <c r="I556" s="22" t="str">
        <f>LOOKUP(TabVMAzureEnvProjet[[#This Row],[Code SYGES]],TabCONTRATSDI[Contrat SYGES],TabCONTRATSDI[Client])</f>
        <v>ONEMA</v>
      </c>
      <c r="J556" t="s">
        <v>371</v>
      </c>
      <c r="K556" s="46">
        <v>0.47451780501809204</v>
      </c>
      <c r="L556" s="40" t="s">
        <v>395</v>
      </c>
    </row>
    <row r="557" spans="1:12" x14ac:dyDescent="0.3">
      <c r="A557" s="22" t="str">
        <f>TabVMAzureEnvProjet[[#This Row],[Client]] &amp; " .:. "  &amp; TabVMAzureEnvProjet[[#This Row],[Projet]]</f>
        <v>ONEMA .:. AFB-CATALOGUE</v>
      </c>
      <c r="B557" s="22" t="str">
        <f>IF(TabVMAzureEnvProjet[[#This Row],[Projet AzureDevOps]]&lt;&gt;"",TabVMAzureEnvProjet[[#This Row],[Projet AzureDevOps]],TabVMAzureEnvProjet[[#This Row],[VM]])</f>
        <v>AFB-Catalogue</v>
      </c>
      <c r="C557" s="50" t="s">
        <v>74</v>
      </c>
      <c r="E557" t="s">
        <v>4</v>
      </c>
      <c r="F557" t="s">
        <v>73</v>
      </c>
      <c r="G557" t="str">
        <f>LOOKUP(TabVMAzureEnvProjet[[#This Row],[Projet]],TabProjets[NomProj],TabProjets[SYGES])</f>
        <v>ONEMA/TMADCUA-15</v>
      </c>
      <c r="H557">
        <f>LOOKUP(TabVMAzureEnvProjet[[#This Row],[Code SYGES]],TabCONTRATSDI[Contrat SYGES],TabCONTRATSDI[Cost Center])</f>
        <v>305704</v>
      </c>
      <c r="I557" s="22" t="str">
        <f>LOOKUP(TabVMAzureEnvProjet[[#This Row],[Code SYGES]],TabCONTRATSDI[Contrat SYGES],TabCONTRATSDI[Client])</f>
        <v>ONEMA</v>
      </c>
      <c r="J557" t="s">
        <v>371</v>
      </c>
      <c r="K557" s="46">
        <v>1.7823097335734492</v>
      </c>
      <c r="L557" s="40" t="s">
        <v>395</v>
      </c>
    </row>
    <row r="558" spans="1:12" x14ac:dyDescent="0.3">
      <c r="A558" s="22" t="str">
        <f>TabVMAzureEnvProjet[[#This Row],[Client]] &amp; " .:. "  &amp; TabVMAzureEnvProjet[[#This Row],[Projet]]</f>
        <v>ONEMA .:. AFB-CDR</v>
      </c>
      <c r="B558" s="22" t="str">
        <f>IF(TabVMAzureEnvProjet[[#This Row],[Projet AzureDevOps]]&lt;&gt;"",TabVMAzureEnvProjet[[#This Row],[Projet AzureDevOps]],TabVMAzureEnvProjet[[#This Row],[VM]])</f>
        <v>AFB-CDR</v>
      </c>
      <c r="C558" s="50" t="s">
        <v>75</v>
      </c>
      <c r="E558" t="s">
        <v>4</v>
      </c>
      <c r="F558" t="s">
        <v>75</v>
      </c>
      <c r="G558" t="str">
        <f>LOOKUP(TabVMAzureEnvProjet[[#This Row],[Projet]],TabProjets[NomProj],TabProjets[SYGES])</f>
        <v>ONEMA/TMAWEB-16</v>
      </c>
      <c r="H558">
        <f>LOOKUP(TabVMAzureEnvProjet[[#This Row],[Code SYGES]],TabCONTRATSDI[Contrat SYGES],TabCONTRATSDI[Cost Center])</f>
        <v>305704</v>
      </c>
      <c r="I558" s="22" t="str">
        <f>LOOKUP(TabVMAzureEnvProjet[[#This Row],[Code SYGES]],TabCONTRATSDI[Contrat SYGES],TabCONTRATSDI[Client])</f>
        <v>ONEMA</v>
      </c>
      <c r="J558" t="s">
        <v>371</v>
      </c>
      <c r="K558" s="46">
        <v>8.5834899484370109</v>
      </c>
      <c r="L558" s="40" t="s">
        <v>395</v>
      </c>
    </row>
    <row r="559" spans="1:12" x14ac:dyDescent="0.3">
      <c r="A559" s="22" t="str">
        <f>TabVMAzureEnvProjet[[#This Row],[Client]] &amp; " .:. "  &amp; TabVMAzureEnvProjet[[#This Row],[Projet]]</f>
        <v>AFB .:. AFB-CESMIA</v>
      </c>
      <c r="B559" s="22" t="str">
        <f>IF(TabVMAzureEnvProjet[[#This Row],[Projet AzureDevOps]]&lt;&gt;"",TabVMAzureEnvProjet[[#This Row],[Projet AzureDevOps]],TabVMAzureEnvProjet[[#This Row],[VM]])</f>
        <v>AFB-CESMIA</v>
      </c>
      <c r="C559" s="50" t="s">
        <v>3</v>
      </c>
      <c r="E559" t="s">
        <v>4</v>
      </c>
      <c r="F559" t="s">
        <v>3</v>
      </c>
      <c r="G559" t="str">
        <f>LOOKUP(TabVMAzureEnvProjet[[#This Row],[Projet]],TabProjets[NomProj],TabProjets[SYGES])</f>
        <v>AFB/OFB_LOT1</v>
      </c>
      <c r="H559">
        <f>LOOKUP(TabVMAzureEnvProjet[[#This Row],[Code SYGES]],TabCONTRATSDI[Contrat SYGES],TabCONTRATSDI[Cost Center])</f>
        <v>305704</v>
      </c>
      <c r="I559" s="22" t="str">
        <f>LOOKUP(TabVMAzureEnvProjet[[#This Row],[Code SYGES]],TabCONTRATSDI[Contrat SYGES],TabCONTRATSDI[Client])</f>
        <v>AFB</v>
      </c>
      <c r="J559" t="s">
        <v>371</v>
      </c>
      <c r="K559" s="46">
        <v>7.7033115450041949</v>
      </c>
      <c r="L559" s="40" t="s">
        <v>395</v>
      </c>
    </row>
    <row r="560" spans="1:12" x14ac:dyDescent="0.3">
      <c r="A560" s="22" t="str">
        <f>TabVMAzureEnvProjet[[#This Row],[Client]] &amp; " .:. "  &amp; TabVMAzureEnvProjet[[#This Row],[Projet]]</f>
        <v>ONEMA .:. AFB-OISON</v>
      </c>
      <c r="B560" s="22" t="str">
        <f>IF(TabVMAzureEnvProjet[[#This Row],[Projet AzureDevOps]]&lt;&gt;"",TabVMAzureEnvProjet[[#This Row],[Projet AzureDevOps]],TabVMAzureEnvProjet[[#This Row],[VM]])</f>
        <v>AFB-OISON</v>
      </c>
      <c r="C560" s="50" t="s">
        <v>76</v>
      </c>
      <c r="E560" t="s">
        <v>4</v>
      </c>
      <c r="F560" t="s">
        <v>76</v>
      </c>
      <c r="G560" t="str">
        <f>LOOKUP(TabVMAzureEnvProjet[[#This Row],[Projet]],TabProjets[NomProj],TabProjets[SYGES])</f>
        <v>ONEMA/TMADCUA-15</v>
      </c>
      <c r="H560">
        <f>LOOKUP(TabVMAzureEnvProjet[[#This Row],[Code SYGES]],TabCONTRATSDI[Contrat SYGES],TabCONTRATSDI[Cost Center])</f>
        <v>305704</v>
      </c>
      <c r="I560" s="22" t="str">
        <f>LOOKUP(TabVMAzureEnvProjet[[#This Row],[Code SYGES]],TabCONTRATSDI[Contrat SYGES],TabCONTRATSDI[Client])</f>
        <v>ONEMA</v>
      </c>
      <c r="J560" t="s">
        <v>371</v>
      </c>
      <c r="K560" s="46">
        <v>5.4631399788822836</v>
      </c>
      <c r="L560" s="40" t="s">
        <v>395</v>
      </c>
    </row>
    <row r="561" spans="1:12" x14ac:dyDescent="0.3">
      <c r="A561" s="22" t="str">
        <f>TabVMAzureEnvProjet[[#This Row],[Client]] &amp; " .:. "  &amp; TabVMAzureEnvProjet[[#This Row],[Projet]]</f>
        <v>ONEMA .:. AFB-PATBIODIV</v>
      </c>
      <c r="B561" s="22" t="str">
        <f>IF(TabVMAzureEnvProjet[[#This Row],[Projet AzureDevOps]]&lt;&gt;"",TabVMAzureEnvProjet[[#This Row],[Projet AzureDevOps]],TabVMAzureEnvProjet[[#This Row],[VM]])</f>
        <v>AFB-PATBiodiv</v>
      </c>
      <c r="C561" s="50" t="s">
        <v>78</v>
      </c>
      <c r="E561" t="s">
        <v>4</v>
      </c>
      <c r="F561" t="s">
        <v>77</v>
      </c>
      <c r="G561" t="str">
        <f>LOOKUP(TabVMAzureEnvProjet[[#This Row],[Projet]],TabProjets[NomProj],TabProjets[SYGES])</f>
        <v>ONEMA/TMADCUA-15</v>
      </c>
      <c r="H561">
        <f>LOOKUP(TabVMAzureEnvProjet[[#This Row],[Code SYGES]],TabCONTRATSDI[Contrat SYGES],TabCONTRATSDI[Cost Center])</f>
        <v>305704</v>
      </c>
      <c r="I561" s="22" t="str">
        <f>LOOKUP(TabVMAzureEnvProjet[[#This Row],[Code SYGES]],TabCONTRATSDI[Contrat SYGES],TabCONTRATSDI[Client])</f>
        <v>ONEMA</v>
      </c>
      <c r="J561" t="s">
        <v>371</v>
      </c>
      <c r="K561" s="46">
        <v>4.9550203381399944</v>
      </c>
      <c r="L561" s="40" t="s">
        <v>395</v>
      </c>
    </row>
    <row r="562" spans="1:12" x14ac:dyDescent="0.3">
      <c r="A562" s="22" t="str">
        <f>TabVMAzureEnvProjet[[#This Row],[Client]] &amp; " .:. "  &amp; TabVMAzureEnvProjet[[#This Row],[Projet]]</f>
        <v>AFB .:. AFB-PNM</v>
      </c>
      <c r="B562" s="22" t="str">
        <f>IF(TabVMAzureEnvProjet[[#This Row],[Projet AzureDevOps]]&lt;&gt;"",TabVMAzureEnvProjet[[#This Row],[Projet AzureDevOps]],TabVMAzureEnvProjet[[#This Row],[VM]])</f>
        <v>AFB-PNM</v>
      </c>
      <c r="C562" s="50" t="s">
        <v>5</v>
      </c>
      <c r="E562" t="s">
        <v>4</v>
      </c>
      <c r="F562" t="s">
        <v>5</v>
      </c>
      <c r="G562" t="str">
        <f>LOOKUP(TabVMAzureEnvProjet[[#This Row],[Projet]],TabProjets[NomProj],TabProjets[SYGES])</f>
        <v>AFB/OFB_LOT2</v>
      </c>
      <c r="H562">
        <f>LOOKUP(TabVMAzureEnvProjet[[#This Row],[Code SYGES]],TabCONTRATSDI[Contrat SYGES],TabCONTRATSDI[Cost Center])</f>
        <v>305704</v>
      </c>
      <c r="I562" s="22" t="str">
        <f>LOOKUP(TabVMAzureEnvProjet[[#This Row],[Code SYGES]],TabCONTRATSDI[Contrat SYGES],TabCONTRATSDI[Client])</f>
        <v>AFB</v>
      </c>
      <c r="J562" t="s">
        <v>371</v>
      </c>
      <c r="K562" s="46">
        <v>4.3650520144760527</v>
      </c>
      <c r="L562" s="40" t="s">
        <v>395</v>
      </c>
    </row>
    <row r="563" spans="1:12" x14ac:dyDescent="0.3">
      <c r="A563" s="22" t="str">
        <f>TabVMAzureEnvProjet[[#This Row],[Client]] &amp; " .:. "  &amp; TabVMAzureEnvProjet[[#This Row],[Projet]]</f>
        <v>AFB .:. AFB-PNX</v>
      </c>
      <c r="B563" s="22" t="str">
        <f>IF(TabVMAzureEnvProjet[[#This Row],[Projet AzureDevOps]]&lt;&gt;"",TabVMAzureEnvProjet[[#This Row],[Projet AzureDevOps]],TabVMAzureEnvProjet[[#This Row],[VM]])</f>
        <v>AFB-PNX</v>
      </c>
      <c r="C563" s="50" t="s">
        <v>6</v>
      </c>
      <c r="E563" t="s">
        <v>4</v>
      </c>
      <c r="F563" t="s">
        <v>6</v>
      </c>
      <c r="G563" t="str">
        <f>LOOKUP(TabVMAzureEnvProjet[[#This Row],[Projet]],TabProjets[NomProj],TabProjets[SYGES])</f>
        <v>AFB/OFB_LOT2</v>
      </c>
      <c r="H563">
        <f>LOOKUP(TabVMAzureEnvProjet[[#This Row],[Code SYGES]],TabCONTRATSDI[Contrat SYGES],TabCONTRATSDI[Cost Center])</f>
        <v>305704</v>
      </c>
      <c r="I563" s="22" t="str">
        <f>LOOKUP(TabVMAzureEnvProjet[[#This Row],[Code SYGES]],TabCONTRATSDI[Contrat SYGES],TabCONTRATSDI[Client])</f>
        <v>AFB</v>
      </c>
      <c r="J563" t="s">
        <v>371</v>
      </c>
      <c r="K563" s="46">
        <v>2.0184388317848332</v>
      </c>
      <c r="L563" s="40" t="s">
        <v>395</v>
      </c>
    </row>
    <row r="564" spans="1:12" x14ac:dyDescent="0.3">
      <c r="A564" s="22" t="str">
        <f>TabVMAzureEnvProjet[[#This Row],[Client]] &amp; " .:. "  &amp; TabVMAzureEnvProjet[[#This Row],[Projet]]</f>
        <v>ONEMA .:. AFB-RAA</v>
      </c>
      <c r="B564" s="22" t="str">
        <f>IF(TabVMAzureEnvProjet[[#This Row],[Projet AzureDevOps]]&lt;&gt;"",TabVMAzureEnvProjet[[#This Row],[Projet AzureDevOps]],TabVMAzureEnvProjet[[#This Row],[VM]])</f>
        <v>AFB-RAA</v>
      </c>
      <c r="C564" s="50" t="s">
        <v>79</v>
      </c>
      <c r="E564" t="s">
        <v>4</v>
      </c>
      <c r="F564" t="s">
        <v>79</v>
      </c>
      <c r="G564" t="str">
        <f>LOOKUP(TabVMAzureEnvProjet[[#This Row],[Projet]],TabProjets[NomProj],TabProjets[SYGES])</f>
        <v>ONEMA/TMAWEB-16</v>
      </c>
      <c r="H564">
        <f>LOOKUP(TabVMAzureEnvProjet[[#This Row],[Code SYGES]],TabCONTRATSDI[Contrat SYGES],TabCONTRATSDI[Cost Center])</f>
        <v>305704</v>
      </c>
      <c r="I564" s="22" t="str">
        <f>LOOKUP(TabVMAzureEnvProjet[[#This Row],[Code SYGES]],TabCONTRATSDI[Contrat SYGES],TabCONTRATSDI[Client])</f>
        <v>ONEMA</v>
      </c>
      <c r="J564" t="s">
        <v>371</v>
      </c>
      <c r="K564" s="46">
        <v>0.23117534090624997</v>
      </c>
      <c r="L564" s="40" t="s">
        <v>395</v>
      </c>
    </row>
    <row r="565" spans="1:12" x14ac:dyDescent="0.3">
      <c r="A565" s="22" t="str">
        <f>TabVMAzureEnvProjet[[#This Row],[Client]] &amp; " .:. "  &amp; TabVMAzureEnvProjet[[#This Row],[Projet]]</f>
        <v>ALM .:. ALM-ATOUT</v>
      </c>
      <c r="B565" s="22" t="str">
        <f>IF(TabVMAzureEnvProjet[[#This Row],[Projet AzureDevOps]]&lt;&gt;"",TabVMAzureEnvProjet[[#This Row],[Projet AzureDevOps]],TabVMAzureEnvProjet[[#This Row],[VM]])</f>
        <v>ALM-ATOUT</v>
      </c>
      <c r="C565" s="50" t="s">
        <v>15</v>
      </c>
      <c r="E565" t="s">
        <v>4</v>
      </c>
      <c r="F565" t="s">
        <v>15</v>
      </c>
      <c r="G565" t="str">
        <f>LOOKUP(TabVMAzureEnvProjet[[#This Row],[Projet]],TabProjets[NomProj],TabProjets[SYGES])</f>
        <v>ALM/TMA_ATOUT</v>
      </c>
      <c r="H565">
        <f>LOOKUP(TabVMAzureEnvProjet[[#This Row],[Code SYGES]],TabCONTRATSDI[Contrat SYGES],TabCONTRATSDI[Cost Center])</f>
        <v>305704</v>
      </c>
      <c r="I565" s="22" t="str">
        <f>LOOKUP(TabVMAzureEnvProjet[[#This Row],[Code SYGES]],TabCONTRATSDI[Contrat SYGES],TabCONTRATSDI[Client])</f>
        <v>ALM</v>
      </c>
      <c r="J565" t="s">
        <v>371</v>
      </c>
      <c r="K565" s="46">
        <v>7.2021260246712249</v>
      </c>
      <c r="L565" s="40" t="s">
        <v>395</v>
      </c>
    </row>
    <row r="566" spans="1:12" x14ac:dyDescent="0.3">
      <c r="A566" s="22" t="str">
        <f>TabVMAzureEnvProjet[[#This Row],[Client]] &amp; " .:. "  &amp; TabVMAzureEnvProjet[[#This Row],[Projet]]</f>
        <v>ALM .:. ALM-ATOUT</v>
      </c>
      <c r="B566" s="22" t="str">
        <f>IF(TabVMAzureEnvProjet[[#This Row],[Projet AzureDevOps]]&lt;&gt;"",TabVMAzureEnvProjet[[#This Row],[Projet AzureDevOps]],TabVMAzureEnvProjet[[#This Row],[VM]])</f>
        <v>BRGM-ORRM</v>
      </c>
      <c r="C566" s="50" t="s">
        <v>18</v>
      </c>
      <c r="E566" t="s">
        <v>4</v>
      </c>
      <c r="F566" t="s">
        <v>15</v>
      </c>
      <c r="G566" t="str">
        <f>LOOKUP(TabVMAzureEnvProjet[[#This Row],[Projet]],TabProjets[NomProj],TabProjets[SYGES])</f>
        <v>ALM/TMA_ATOUT</v>
      </c>
      <c r="H566">
        <f>LOOKUP(TabVMAzureEnvProjet[[#This Row],[Code SYGES]],TabCONTRATSDI[Contrat SYGES],TabCONTRATSDI[Cost Center])</f>
        <v>305704</v>
      </c>
      <c r="I566" s="22" t="str">
        <f>LOOKUP(TabVMAzureEnvProjet[[#This Row],[Code SYGES]],TabCONTRATSDI[Contrat SYGES],TabCONTRATSDI[Client])</f>
        <v>ALM</v>
      </c>
      <c r="J566" t="s">
        <v>371</v>
      </c>
      <c r="K566" s="46">
        <v>6.30130942926733</v>
      </c>
      <c r="L566" s="40" t="s">
        <v>395</v>
      </c>
    </row>
    <row r="567" spans="1:12" x14ac:dyDescent="0.3">
      <c r="A567" s="22" t="str">
        <f>TabVMAzureEnvProjet[[#This Row],[Client]] &amp; " .:. "  &amp; TabVMAzureEnvProjet[[#This Row],[Projet]]</f>
        <v>CGOS .:. CGOS-BI</v>
      </c>
      <c r="B567" s="22" t="str">
        <f>IF(TabVMAzureEnvProjet[[#This Row],[Projet AzureDevOps]]&lt;&gt;"",TabVMAzureEnvProjet[[#This Row],[Projet AzureDevOps]],TabVMAzureEnvProjet[[#This Row],[VM]])</f>
        <v>CGOS-BI</v>
      </c>
      <c r="C567" s="50" t="s">
        <v>112</v>
      </c>
      <c r="E567" t="s">
        <v>4</v>
      </c>
      <c r="F567" t="s">
        <v>112</v>
      </c>
      <c r="G567" t="str">
        <f>LOOKUP(TabVMAzureEnvProjet[[#This Row],[Projet]],TabProjets[NomProj],TabProjets[SYGES])</f>
        <v>CGOS-BUILDBI-18</v>
      </c>
      <c r="H567">
        <f>LOOKUP(TabVMAzureEnvProjet[[#This Row],[Code SYGES]],TabCONTRATSDI[Contrat SYGES],TabCONTRATSDI[Cost Center])</f>
        <v>305704</v>
      </c>
      <c r="I567" s="22" t="str">
        <f>LOOKUP(TabVMAzureEnvProjet[[#This Row],[Code SYGES]],TabCONTRATSDI[Contrat SYGES],TabCONTRATSDI[Client])</f>
        <v>CGOS</v>
      </c>
      <c r="J567" t="s">
        <v>371</v>
      </c>
      <c r="K567" s="46">
        <v>4.6235068181249996</v>
      </c>
      <c r="L567" s="40" t="s">
        <v>395</v>
      </c>
    </row>
    <row r="568" spans="1:12" x14ac:dyDescent="0.3">
      <c r="A568" s="22" t="str">
        <f>TabVMAzureEnvProjet[[#This Row],[Client]] &amp; " .:. "  &amp; TabVMAzureEnvProjet[[#This Row],[Projet]]</f>
        <v>CNAV .:. CNAV-BI-RGCU</v>
      </c>
      <c r="B568" s="22" t="str">
        <f>IF(TabVMAzureEnvProjet[[#This Row],[Projet AzureDevOps]]&lt;&gt;"",TabVMAzureEnvProjet[[#This Row],[Projet AzureDevOps]],TabVMAzureEnvProjet[[#This Row],[VM]])</f>
        <v>CNAV-BI-RGCU</v>
      </c>
      <c r="C568" s="50" t="s">
        <v>25</v>
      </c>
      <c r="E568" t="s">
        <v>4</v>
      </c>
      <c r="F568" t="s">
        <v>25</v>
      </c>
      <c r="G568" t="str">
        <f>LOOKUP(TabVMAzureEnvProjet[[#This Row],[Projet]],TabProjets[NomProj],TabProjets[SYGES])</f>
        <v>CNAV/BI-SIRRGCU</v>
      </c>
      <c r="H568">
        <f>LOOKUP(TabVMAzureEnvProjet[[#This Row],[Code SYGES]],TabCONTRATSDI[Contrat SYGES],TabCONTRATSDI[Cost Center])</f>
        <v>305704</v>
      </c>
      <c r="I568" s="22" t="str">
        <f>LOOKUP(TabVMAzureEnvProjet[[#This Row],[Code SYGES]],TabCONTRATSDI[Contrat SYGES],TabCONTRATSDI[Client])</f>
        <v>CNAV</v>
      </c>
      <c r="J568" t="s">
        <v>371</v>
      </c>
      <c r="K568" s="46">
        <v>0</v>
      </c>
      <c r="L568" s="40" t="s">
        <v>395</v>
      </c>
    </row>
    <row r="569" spans="1:12" x14ac:dyDescent="0.3">
      <c r="A569" s="22" t="str">
        <f>TabVMAzureEnvProjet[[#This Row],[Client]] &amp; " .:. "  &amp; TabVMAzureEnvProjet[[#This Row],[Projet]]</f>
        <v>GFI .:. GFI-INTERNE</v>
      </c>
      <c r="B569" s="22" t="str">
        <f>IF(TabVMAzureEnvProjet[[#This Row],[Projet AzureDevOps]]&lt;&gt;"",TabVMAzureEnvProjet[[#This Row],[Projet AzureDevOps]],TabVMAzureEnvProjet[[#This Row],[VM]])</f>
        <v>d8-qa</v>
      </c>
      <c r="C569" s="50" t="s">
        <v>37</v>
      </c>
      <c r="E569" t="s">
        <v>4</v>
      </c>
      <c r="F569" t="s">
        <v>36</v>
      </c>
      <c r="G569" t="str">
        <f>LOOKUP(TabVMAzureEnvProjet[[#This Row],[Projet]],TabProjets[NomProj],TabProjets[SYGES])</f>
        <v>GFI/PROJET_INTERNE</v>
      </c>
      <c r="H569">
        <f>LOOKUP(TabVMAzureEnvProjet[[#This Row],[Code SYGES]],TabCONTRATSDI[Contrat SYGES],TabCONTRATSDI[Cost Center])</f>
        <v>305704</v>
      </c>
      <c r="I569" s="22" t="str">
        <f>LOOKUP(TabVMAzureEnvProjet[[#This Row],[Code SYGES]],TabCONTRATSDI[Contrat SYGES],TabCONTRATSDI[Client])</f>
        <v>GFI</v>
      </c>
      <c r="J569" t="s">
        <v>371</v>
      </c>
      <c r="K569" s="46">
        <v>0.50314633020772059</v>
      </c>
      <c r="L569" s="40" t="s">
        <v>395</v>
      </c>
    </row>
    <row r="570" spans="1:12" x14ac:dyDescent="0.3">
      <c r="A570" s="22" t="str">
        <f>TabVMAzureEnvProjet[[#This Row],[Client]] &amp; " .:. "  &amp; TabVMAzureEnvProjet[[#This Row],[Projet]]</f>
        <v>GFI .:. GFI-INTERNE</v>
      </c>
      <c r="B570" s="22" t="str">
        <f>IF(TabVMAzureEnvProjet[[#This Row],[Projet AzureDevOps]]&lt;&gt;"",TabVMAzureEnvProjet[[#This Row],[Projet AzureDevOps]],TabVMAzureEnvProjet[[#This Row],[VM]])</f>
        <v>drupal-qa</v>
      </c>
      <c r="C570" s="50" t="s">
        <v>38</v>
      </c>
      <c r="E570" t="s">
        <v>4</v>
      </c>
      <c r="F570" t="s">
        <v>36</v>
      </c>
      <c r="G570" t="str">
        <f>LOOKUP(TabVMAzureEnvProjet[[#This Row],[Projet]],TabProjets[NomProj],TabProjets[SYGES])</f>
        <v>GFI/PROJET_INTERNE</v>
      </c>
      <c r="H570">
        <f>LOOKUP(TabVMAzureEnvProjet[[#This Row],[Code SYGES]],TabCONTRATSDI[Contrat SYGES],TabCONTRATSDI[Cost Center])</f>
        <v>305704</v>
      </c>
      <c r="I570" s="22" t="str">
        <f>LOOKUP(TabVMAzureEnvProjet[[#This Row],[Code SYGES]],TabCONTRATSDI[Contrat SYGES],TabCONTRATSDI[Client])</f>
        <v>GFI</v>
      </c>
      <c r="J570" t="s">
        <v>371</v>
      </c>
      <c r="K570" s="46">
        <v>0.50314633020772059</v>
      </c>
      <c r="L570" s="40" t="s">
        <v>395</v>
      </c>
    </row>
    <row r="571" spans="1:12" x14ac:dyDescent="0.3">
      <c r="A571" s="22" t="str">
        <f>TabVMAzureEnvProjet[[#This Row],[Client]] &amp; " .:. "  &amp; TabVMAzureEnvProjet[[#This Row],[Projet]]</f>
        <v>FRR .:. FRR-DIGIPAT</v>
      </c>
      <c r="B571" s="22" t="str">
        <f>IF(TabVMAzureEnvProjet[[#This Row],[Projet AzureDevOps]]&lt;&gt;"",TabVMAzureEnvProjet[[#This Row],[Projet AzureDevOps]],TabVMAzureEnvProjet[[#This Row],[VM]])</f>
        <v>FRR DIGIPAT</v>
      </c>
      <c r="C571" s="50" t="s">
        <v>28</v>
      </c>
      <c r="E571" t="s">
        <v>4</v>
      </c>
      <c r="F571" t="s">
        <v>27</v>
      </c>
      <c r="G571" t="str">
        <f>LOOKUP(TabVMAzureEnvProjet[[#This Row],[Projet]],TabProjets[NomProj],TabProjets[SYGES])</f>
        <v>FRR/TMASI</v>
      </c>
      <c r="H571">
        <f>LOOKUP(TabVMAzureEnvProjet[[#This Row],[Code SYGES]],TabCONTRATSDI[Contrat SYGES],TabCONTRATSDI[Cost Center])</f>
        <v>305704</v>
      </c>
      <c r="I571" s="22" t="str">
        <f>LOOKUP(TabVMAzureEnvProjet[[#This Row],[Code SYGES]],TabCONTRATSDI[Contrat SYGES],TabCONTRATSDI[Client])</f>
        <v>FRR</v>
      </c>
      <c r="J571" t="s">
        <v>371</v>
      </c>
      <c r="K571" s="46">
        <v>4.2355037552539141</v>
      </c>
      <c r="L571" s="40" t="s">
        <v>395</v>
      </c>
    </row>
    <row r="572" spans="1:12" x14ac:dyDescent="0.3">
      <c r="A572" s="22" t="str">
        <f>TabVMAzureEnvProjet[[#This Row],[Client]] &amp; " .:. "  &amp; TabVMAzureEnvProjet[[#This Row],[Projet]]</f>
        <v>FRR .:. FRR-APPLIFRR</v>
      </c>
      <c r="B572" s="22" t="str">
        <f>IF(TabVMAzureEnvProjet[[#This Row],[Projet AzureDevOps]]&lt;&gt;"",TabVMAzureEnvProjet[[#This Row],[Projet AzureDevOps]],TabVMAzureEnvProjet[[#This Row],[VM]])</f>
        <v>FRR-APPLIFRR</v>
      </c>
      <c r="C572" s="50" t="s">
        <v>30</v>
      </c>
      <c r="E572" t="s">
        <v>4</v>
      </c>
      <c r="F572" t="s">
        <v>30</v>
      </c>
      <c r="G572" t="str">
        <f>LOOKUP(TabVMAzureEnvProjet[[#This Row],[Projet]],TabProjets[NomProj],TabProjets[SYGES])</f>
        <v>FRR/TMASI</v>
      </c>
      <c r="H572">
        <f>LOOKUP(TabVMAzureEnvProjet[[#This Row],[Code SYGES]],TabCONTRATSDI[Contrat SYGES],TabCONTRATSDI[Cost Center])</f>
        <v>305704</v>
      </c>
      <c r="I572" s="22" t="str">
        <f>LOOKUP(TabVMAzureEnvProjet[[#This Row],[Code SYGES]],TabCONTRATSDI[Contrat SYGES],TabCONTRATSDI[Client])</f>
        <v>FRR</v>
      </c>
      <c r="J572" t="s">
        <v>371</v>
      </c>
      <c r="K572" s="46">
        <v>1.9441324722078241</v>
      </c>
      <c r="L572" s="40" t="s">
        <v>395</v>
      </c>
    </row>
    <row r="573" spans="1:12" x14ac:dyDescent="0.3">
      <c r="A573" s="22" t="str">
        <f>TabVMAzureEnvProjet[[#This Row],[Client]] &amp; " .:. "  &amp; TabVMAzureEnvProjet[[#This Row],[Projet]]</f>
        <v>FRR .:. FRR-CADENCIER</v>
      </c>
      <c r="B573" s="22" t="str">
        <f>IF(TabVMAzureEnvProjet[[#This Row],[Projet AzureDevOps]]&lt;&gt;"",TabVMAzureEnvProjet[[#This Row],[Projet AzureDevOps]],TabVMAzureEnvProjet[[#This Row],[VM]])</f>
        <v>FRR-CADENCIER</v>
      </c>
      <c r="C573" s="50" t="s">
        <v>31</v>
      </c>
      <c r="E573" t="s">
        <v>4</v>
      </c>
      <c r="F573" t="s">
        <v>31</v>
      </c>
      <c r="G573" t="str">
        <f>LOOKUP(TabVMAzureEnvProjet[[#This Row],[Projet]],TabProjets[NomProj],TabProjets[SYGES])</f>
        <v>FRR/TMASI</v>
      </c>
      <c r="H573">
        <f>LOOKUP(TabVMAzureEnvProjet[[#This Row],[Code SYGES]],TabCONTRATSDI[Contrat SYGES],TabCONTRATSDI[Cost Center])</f>
        <v>305704</v>
      </c>
      <c r="I573" s="22" t="str">
        <f>LOOKUP(TabVMAzureEnvProjet[[#This Row],[Code SYGES]],TabCONTRATSDI[Contrat SYGES],TabCONTRATSDI[Client])</f>
        <v>FRR</v>
      </c>
      <c r="J573" t="s">
        <v>371</v>
      </c>
      <c r="K573" s="46">
        <v>2.5220708244734489</v>
      </c>
      <c r="L573" s="40" t="s">
        <v>395</v>
      </c>
    </row>
    <row r="574" spans="1:12" x14ac:dyDescent="0.3">
      <c r="A574" s="22" t="str">
        <f>TabVMAzureEnvProjet[[#This Row],[Client]] &amp; " .:. "  &amp; TabVMAzureEnvProjet[[#This Row],[Projet]]</f>
        <v>FRR .:. FRR-PATAPAIN</v>
      </c>
      <c r="B574" s="22" t="str">
        <f>IF(TabVMAzureEnvProjet[[#This Row],[Projet AzureDevOps]]&lt;&gt;"",TabVMAzureEnvProjet[[#This Row],[Projet AzureDevOps]],TabVMAzureEnvProjet[[#This Row],[VM]])</f>
        <v>FRR-Patapain</v>
      </c>
      <c r="C574" s="50" t="s">
        <v>33</v>
      </c>
      <c r="E574" t="s">
        <v>4</v>
      </c>
      <c r="F574" t="s">
        <v>32</v>
      </c>
      <c r="G574" t="str">
        <f>LOOKUP(TabVMAzureEnvProjet[[#This Row],[Projet]],TabProjets[NomProj],TabProjets[SYGES])</f>
        <v>FRR/TMASI</v>
      </c>
      <c r="H574">
        <f>LOOKUP(TabVMAzureEnvProjet[[#This Row],[Code SYGES]],TabCONTRATSDI[Contrat SYGES],TabCONTRATSDI[Cost Center])</f>
        <v>305704</v>
      </c>
      <c r="I574" s="22" t="str">
        <f>LOOKUP(TabVMAzureEnvProjet[[#This Row],[Code SYGES]],TabCONTRATSDI[Contrat SYGES],TabCONTRATSDI[Client])</f>
        <v>FRR</v>
      </c>
      <c r="J574" t="s">
        <v>371</v>
      </c>
      <c r="K574" s="46">
        <v>1.3249128090660829</v>
      </c>
      <c r="L574" s="40" t="s">
        <v>395</v>
      </c>
    </row>
    <row r="575" spans="1:12" x14ac:dyDescent="0.3">
      <c r="A575" s="22" t="str">
        <f>TabVMAzureEnvProjet[[#This Row],[Client]] &amp; " .:. "  &amp; TabVMAzureEnvProjet[[#This Row],[Projet]]</f>
        <v>FRR .:. FRR-PATAPAINANDROID</v>
      </c>
      <c r="B575" s="22" t="str">
        <f>IF(TabVMAzureEnvProjet[[#This Row],[Projet AzureDevOps]]&lt;&gt;"",TabVMAzureEnvProjet[[#This Row],[Projet AzureDevOps]],TabVMAzureEnvProjet[[#This Row],[VM]])</f>
        <v>FRR-PATAPAINANDROID</v>
      </c>
      <c r="C575" s="50" t="s">
        <v>34</v>
      </c>
      <c r="E575" t="s">
        <v>4</v>
      </c>
      <c r="F575" t="s">
        <v>34</v>
      </c>
      <c r="G575" t="str">
        <f>LOOKUP(TabVMAzureEnvProjet[[#This Row],[Projet]],TabProjets[NomProj],TabProjets[SYGES])</f>
        <v>FRR/TMASI</v>
      </c>
      <c r="H575">
        <f>LOOKUP(TabVMAzureEnvProjet[[#This Row],[Code SYGES]],TabCONTRATSDI[Contrat SYGES],TabCONTRATSDI[Cost Center])</f>
        <v>305704</v>
      </c>
      <c r="I575" s="22" t="str">
        <f>LOOKUP(TabVMAzureEnvProjet[[#This Row],[Code SYGES]],TabCONTRATSDI[Contrat SYGES],TabCONTRATSDI[Client])</f>
        <v>FRR</v>
      </c>
      <c r="J575" t="s">
        <v>371</v>
      </c>
      <c r="K575" s="46">
        <v>6.5676392903328233</v>
      </c>
      <c r="L575" s="40" t="s">
        <v>395</v>
      </c>
    </row>
    <row r="576" spans="1:12" x14ac:dyDescent="0.3">
      <c r="A576" s="22" t="str">
        <f>TabVMAzureEnvProjet[[#This Row],[Client]] &amp; " .:. "  &amp; TabVMAzureEnvProjet[[#This Row],[Projet]]</f>
        <v>GFI .:. GFI-INTERNE</v>
      </c>
      <c r="B576" s="22" t="str">
        <f>IF(TabVMAzureEnvProjet[[#This Row],[Projet AzureDevOps]]&lt;&gt;"",TabVMAzureEnvProjet[[#This Row],[Projet AzureDevOps]],TabVMAzureEnvProjet[[#This Row],[VM]])</f>
        <v>GFI-BaseDocumentaire</v>
      </c>
      <c r="C576" s="50" t="s">
        <v>39</v>
      </c>
      <c r="E576" t="s">
        <v>4</v>
      </c>
      <c r="F576" t="s">
        <v>36</v>
      </c>
      <c r="G576" t="str">
        <f>LOOKUP(TabVMAzureEnvProjet[[#This Row],[Projet]],TabProjets[NomProj],TabProjets[SYGES])</f>
        <v>GFI/PROJET_INTERNE</v>
      </c>
      <c r="H576">
        <f>LOOKUP(TabVMAzureEnvProjet[[#This Row],[Code SYGES]],TabCONTRATSDI[Contrat SYGES],TabCONTRATSDI[Cost Center])</f>
        <v>305704</v>
      </c>
      <c r="I576" s="22" t="str">
        <f>LOOKUP(TabVMAzureEnvProjet[[#This Row],[Code SYGES]],TabCONTRATSDI[Contrat SYGES],TabCONTRATSDI[Client])</f>
        <v>GFI</v>
      </c>
      <c r="J576" t="s">
        <v>371</v>
      </c>
      <c r="K576" s="46">
        <v>1.7007900080959821</v>
      </c>
      <c r="L576" s="40" t="s">
        <v>395</v>
      </c>
    </row>
    <row r="577" spans="1:12" x14ac:dyDescent="0.3">
      <c r="A577" s="22" t="str">
        <f>TabVMAzureEnvProjet[[#This Row],[Client]] &amp; " .:. "  &amp; TabVMAzureEnvProjet[[#This Row],[Projet]]</f>
        <v>GFI .:. GFI-CMIS</v>
      </c>
      <c r="B577" s="22" t="str">
        <f>IF(TabVMAzureEnvProjet[[#This Row],[Projet AzureDevOps]]&lt;&gt;"",TabVMAzureEnvProjet[[#This Row],[Projet AzureDevOps]],TabVMAzureEnvProjet[[#This Row],[VM]])</f>
        <v>GFI-CMIS</v>
      </c>
      <c r="C577" s="50" t="s">
        <v>40</v>
      </c>
      <c r="E577" t="s">
        <v>4</v>
      </c>
      <c r="F577" t="s">
        <v>40</v>
      </c>
      <c r="G577" t="str">
        <f>LOOKUP(TabVMAzureEnvProjet[[#This Row],[Projet]],TabProjets[NomProj],TabProjets[SYGES])</f>
        <v>GFI/PROJET_INTERNE</v>
      </c>
      <c r="H577">
        <f>LOOKUP(TabVMAzureEnvProjet[[#This Row],[Code SYGES]],TabCONTRATSDI[Contrat SYGES],TabCONTRATSDI[Cost Center])</f>
        <v>305704</v>
      </c>
      <c r="I577" s="22" t="str">
        <f>LOOKUP(TabVMAzureEnvProjet[[#This Row],[Code SYGES]],TabCONTRATSDI[Contrat SYGES],TabCONTRATSDI[Client])</f>
        <v>GFI</v>
      </c>
      <c r="J577" t="s">
        <v>371</v>
      </c>
      <c r="K577" s="46">
        <v>0.23117534090624997</v>
      </c>
      <c r="L577" s="40" t="s">
        <v>395</v>
      </c>
    </row>
    <row r="578" spans="1:12" x14ac:dyDescent="0.3">
      <c r="A578" s="22" t="str">
        <f>TabVMAzureEnvProjet[[#This Row],[Client]] &amp; " .:. "  &amp; TabVMAzureEnvProjet[[#This Row],[Projet]]</f>
        <v>GFI .:. GFI-COFFEE</v>
      </c>
      <c r="B578" s="22" t="str">
        <f>IF(TabVMAzureEnvProjet[[#This Row],[Projet AzureDevOps]]&lt;&gt;"",TabVMAzureEnvProjet[[#This Row],[Projet AzureDevOps]],TabVMAzureEnvProjet[[#This Row],[VM]])</f>
        <v>GFI-COFFEE</v>
      </c>
      <c r="C578" s="50" t="s">
        <v>41</v>
      </c>
      <c r="E578" t="s">
        <v>4</v>
      </c>
      <c r="F578" t="s">
        <v>41</v>
      </c>
      <c r="G578" t="str">
        <f>LOOKUP(TabVMAzureEnvProjet[[#This Row],[Projet]],TabProjets[NomProj],TabProjets[SYGES])</f>
        <v>GFI/PROJET_INTERNE</v>
      </c>
      <c r="H578">
        <f>LOOKUP(TabVMAzureEnvProjet[[#This Row],[Code SYGES]],TabCONTRATSDI[Contrat SYGES],TabCONTRATSDI[Cost Center])</f>
        <v>305704</v>
      </c>
      <c r="I578" s="22" t="str">
        <f>LOOKUP(TabVMAzureEnvProjet[[#This Row],[Code SYGES]],TabCONTRATSDI[Contrat SYGES],TabCONTRATSDI[Client])</f>
        <v>GFI</v>
      </c>
      <c r="J578" t="s">
        <v>371</v>
      </c>
      <c r="K578" s="46">
        <v>0.70569314592434207</v>
      </c>
      <c r="L578" s="40" t="s">
        <v>395</v>
      </c>
    </row>
    <row r="579" spans="1:12" x14ac:dyDescent="0.3">
      <c r="A579" s="22" t="str">
        <f>TabVMAzureEnvProjet[[#This Row],[Client]] &amp; " .:. "  &amp; TabVMAzureEnvProjet[[#This Row],[Projet]]</f>
        <v>GFI .:. GFI-CRALENIUM</v>
      </c>
      <c r="B579" s="22" t="str">
        <f>IF(TabVMAzureEnvProjet[[#This Row],[Projet AzureDevOps]]&lt;&gt;"",TabVMAzureEnvProjet[[#This Row],[Projet AzureDevOps]],TabVMAzureEnvProjet[[#This Row],[VM]])</f>
        <v>GFI-CRALENIUM</v>
      </c>
      <c r="C579" s="50" t="s">
        <v>42</v>
      </c>
      <c r="E579" t="s">
        <v>4</v>
      </c>
      <c r="F579" t="s">
        <v>42</v>
      </c>
      <c r="G579" t="str">
        <f>LOOKUP(TabVMAzureEnvProjet[[#This Row],[Projet]],TabProjets[NomProj],TabProjets[SYGES])</f>
        <v>GFI/PROJET_INTERNE</v>
      </c>
      <c r="H579">
        <f>LOOKUP(TabVMAzureEnvProjet[[#This Row],[Code SYGES]],TabCONTRATSDI[Contrat SYGES],TabCONTRATSDI[Cost Center])</f>
        <v>305704</v>
      </c>
      <c r="I579" s="22" t="str">
        <f>LOOKUP(TabVMAzureEnvProjet[[#This Row],[Code SYGES]],TabCONTRATSDI[Contrat SYGES],TabCONTRATSDI[Client])</f>
        <v>GFI</v>
      </c>
      <c r="J579" t="s">
        <v>371</v>
      </c>
      <c r="K579" s="46">
        <v>1.9441324722078241</v>
      </c>
      <c r="L579" s="40" t="s">
        <v>395</v>
      </c>
    </row>
    <row r="580" spans="1:12" x14ac:dyDescent="0.3">
      <c r="A580" s="22" t="str">
        <f>TabVMAzureEnvProjet[[#This Row],[Client]] &amp; " .:. "  &amp; TabVMAzureEnvProjet[[#This Row],[Projet]]</f>
        <v>GFI .:. GFI-INTERNE</v>
      </c>
      <c r="B580" s="22" t="str">
        <f>IF(TabVMAzureEnvProjet[[#This Row],[Projet AzureDevOps]]&lt;&gt;"",TabVMAzureEnvProjet[[#This Row],[Projet AzureDevOps]],TabVMAzureEnvProjet[[#This Row],[VM]])</f>
        <v>GFI-D8-BS4-THEME</v>
      </c>
      <c r="C580" s="50" t="s">
        <v>43</v>
      </c>
      <c r="E580" t="s">
        <v>4</v>
      </c>
      <c r="F580" t="s">
        <v>36</v>
      </c>
      <c r="G580" t="str">
        <f>LOOKUP(TabVMAzureEnvProjet[[#This Row],[Projet]],TabProjets[NomProj],TabProjets[SYGES])</f>
        <v>GFI/PROJET_INTERNE</v>
      </c>
      <c r="H580">
        <f>LOOKUP(TabVMAzureEnvProjet[[#This Row],[Code SYGES]],TabCONTRATSDI[Contrat SYGES],TabCONTRATSDI[Cost Center])</f>
        <v>305704</v>
      </c>
      <c r="I580" s="22" t="str">
        <f>LOOKUP(TabVMAzureEnvProjet[[#This Row],[Code SYGES]],TabCONTRATSDI[Contrat SYGES],TabCONTRATSDI[Client])</f>
        <v>GFI</v>
      </c>
      <c r="J580" t="s">
        <v>371</v>
      </c>
      <c r="K580" s="46">
        <v>1.271464374984375</v>
      </c>
      <c r="L580" s="40" t="s">
        <v>395</v>
      </c>
    </row>
    <row r="581" spans="1:12" x14ac:dyDescent="0.3">
      <c r="A581" s="22" t="str">
        <f>TabVMAzureEnvProjet[[#This Row],[Client]] &amp; " .:. "  &amp; TabVMAzureEnvProjet[[#This Row],[Projet]]</f>
        <v>GFI .:. GFI-Docker Devbox Install</v>
      </c>
      <c r="B581" s="22" t="str">
        <f>IF(TabVMAzureEnvProjet[[#This Row],[Projet AzureDevOps]]&lt;&gt;"",TabVMAzureEnvProjet[[#This Row],[Projet AzureDevOps]],TabVMAzureEnvProjet[[#This Row],[VM]])</f>
        <v>GFI-Docker Devbox Install</v>
      </c>
      <c r="C581" s="50" t="s">
        <v>44</v>
      </c>
      <c r="E581" t="s">
        <v>4</v>
      </c>
      <c r="F581" t="s">
        <v>44</v>
      </c>
      <c r="G581" t="str">
        <f>LOOKUP(TabVMAzureEnvProjet[[#This Row],[Projet]],TabProjets[NomProj],TabProjets[SYGES])</f>
        <v>GFI/PROJET_INTERNE</v>
      </c>
      <c r="H581">
        <f>LOOKUP(TabVMAzureEnvProjet[[#This Row],[Code SYGES]],TabCONTRATSDI[Contrat SYGES],TabCONTRATSDI[Cost Center])</f>
        <v>305704</v>
      </c>
      <c r="I581" s="22" t="str">
        <f>LOOKUP(TabVMAzureEnvProjet[[#This Row],[Code SYGES]],TabCONTRATSDI[Contrat SYGES],TabCONTRATSDI[Client])</f>
        <v>GFI</v>
      </c>
      <c r="J581" t="s">
        <v>371</v>
      </c>
      <c r="K581" s="46">
        <v>13.997830844917225</v>
      </c>
      <c r="L581" s="40" t="s">
        <v>395</v>
      </c>
    </row>
    <row r="582" spans="1:12" x14ac:dyDescent="0.3">
      <c r="A582" s="22" t="str">
        <f>TabVMAzureEnvProjet[[#This Row],[Client]] &amp; " .:. "  &amp; TabVMAzureEnvProjet[[#This Row],[Projet]]</f>
        <v>GFI .:. GFI-MINEREPORT</v>
      </c>
      <c r="B582" s="22" t="str">
        <f>IF(TabVMAzureEnvProjet[[#This Row],[Projet AzureDevOps]]&lt;&gt;"",TabVMAzureEnvProjet[[#This Row],[Projet AzureDevOps]],TabVMAzureEnvProjet[[#This Row],[VM]])</f>
        <v>GFI-MineReport</v>
      </c>
      <c r="C582" s="50" t="s">
        <v>46</v>
      </c>
      <c r="E582" t="s">
        <v>4</v>
      </c>
      <c r="F582" t="s">
        <v>45</v>
      </c>
      <c r="G582" t="str">
        <f>LOOKUP(TabVMAzureEnvProjet[[#This Row],[Projet]],TabProjets[NomProj],TabProjets[SYGES])</f>
        <v>GFI/PROJET_INTERNE</v>
      </c>
      <c r="H582">
        <f>LOOKUP(TabVMAzureEnvProjet[[#This Row],[Code SYGES]],TabCONTRATSDI[Contrat SYGES],TabCONTRATSDI[Cost Center])</f>
        <v>305704</v>
      </c>
      <c r="I582" s="22" t="str">
        <f>LOOKUP(TabVMAzureEnvProjet[[#This Row],[Code SYGES]],TabCONTRATSDI[Contrat SYGES],TabCONTRATSDI[Client])</f>
        <v>GFI</v>
      </c>
      <c r="J582" t="s">
        <v>371</v>
      </c>
      <c r="K582" s="46">
        <v>1.6711901579445625</v>
      </c>
      <c r="L582" s="40" t="s">
        <v>395</v>
      </c>
    </row>
    <row r="583" spans="1:12" x14ac:dyDescent="0.3">
      <c r="A583" s="22" t="str">
        <f>TabVMAzureEnvProjet[[#This Row],[Client]] &amp; " .:. "  &amp; TabVMAzureEnvProjet[[#This Row],[Projet]]</f>
        <v>GFI .:. GFI-PMT</v>
      </c>
      <c r="B583" s="22" t="str">
        <f>IF(TabVMAzureEnvProjet[[#This Row],[Projet AzureDevOps]]&lt;&gt;"",TabVMAzureEnvProjet[[#This Row],[Projet AzureDevOps]],TabVMAzureEnvProjet[[#This Row],[VM]])</f>
        <v>GFI-PMT</v>
      </c>
      <c r="C583" s="50" t="s">
        <v>47</v>
      </c>
      <c r="E583" t="s">
        <v>4</v>
      </c>
      <c r="F583" t="s">
        <v>47</v>
      </c>
      <c r="G583" t="str">
        <f>LOOKUP(TabVMAzureEnvProjet[[#This Row],[Projet]],TabProjets[NomProj],TabProjets[SYGES])</f>
        <v>GFI/PROJET_INTERNE</v>
      </c>
      <c r="H583">
        <f>LOOKUP(TabVMAzureEnvProjet[[#This Row],[Code SYGES]],TabCONTRATSDI[Contrat SYGES],TabCONTRATSDI[Cost Center])</f>
        <v>305704</v>
      </c>
      <c r="I583" s="22" t="str">
        <f>LOOKUP(TabVMAzureEnvProjet[[#This Row],[Code SYGES]],TabCONTRATSDI[Contrat SYGES],TabCONTRATSDI[Client])</f>
        <v>GFI</v>
      </c>
      <c r="J583" t="s">
        <v>371</v>
      </c>
      <c r="K583" s="46">
        <v>8.267342120948733</v>
      </c>
      <c r="L583" s="40" t="s">
        <v>395</v>
      </c>
    </row>
    <row r="584" spans="1:12" x14ac:dyDescent="0.3">
      <c r="A584" s="22" t="str">
        <f>TabVMAzureEnvProjet[[#This Row],[Client]] &amp; " .:. "  &amp; TabVMAzureEnvProjet[[#This Row],[Projet]]</f>
        <v>GFI .:. GFI-INTERNE</v>
      </c>
      <c r="B584" s="22" t="str">
        <f>IF(TabVMAzureEnvProjet[[#This Row],[Projet AzureDevOps]]&lt;&gt;"",TabVMAzureEnvProjet[[#This Row],[Projet AzureDevOps]],TabVMAzureEnvProjet[[#This Row],[VM]])</f>
        <v>GFI-POC</v>
      </c>
      <c r="C584" s="50" t="s">
        <v>389</v>
      </c>
      <c r="E584" t="s">
        <v>4</v>
      </c>
      <c r="F584" t="s">
        <v>36</v>
      </c>
      <c r="G584" t="str">
        <f>LOOKUP(TabVMAzureEnvProjet[[#This Row],[Projet]],TabProjets[NomProj],TabProjets[SYGES])</f>
        <v>GFI/PROJET_INTERNE</v>
      </c>
      <c r="H584">
        <f>LOOKUP(TabVMAzureEnvProjet[[#This Row],[Code SYGES]],TabCONTRATSDI[Contrat SYGES],TabCONTRATSDI[Cost Center])</f>
        <v>305704</v>
      </c>
      <c r="I584" s="22" t="str">
        <f>LOOKUP(TabVMAzureEnvProjet[[#This Row],[Code SYGES]],TabCONTRATSDI[Contrat SYGES],TabCONTRATSDI[Client])</f>
        <v>GFI</v>
      </c>
      <c r="J584" t="s">
        <v>371</v>
      </c>
      <c r="K584" s="46">
        <v>4.8084470908499997</v>
      </c>
      <c r="L584" s="40" t="s">
        <v>395</v>
      </c>
    </row>
    <row r="585" spans="1:12" x14ac:dyDescent="0.3">
      <c r="A585" s="22" t="str">
        <f>TabVMAzureEnvProjet[[#This Row],[Client]] &amp; " .:. "  &amp; TabVMAzureEnvProjet[[#This Row],[Projet]]</f>
        <v>GFI .:. GFI-REDMINEDOCKER</v>
      </c>
      <c r="B585" s="22" t="str">
        <f>IF(TabVMAzureEnvProjet[[#This Row],[Projet AzureDevOps]]&lt;&gt;"",TabVMAzureEnvProjet[[#This Row],[Projet AzureDevOps]],TabVMAzureEnvProjet[[#This Row],[VM]])</f>
        <v>GFI-RedmineDocker</v>
      </c>
      <c r="C585" s="50" t="s">
        <v>50</v>
      </c>
      <c r="E585" t="s">
        <v>4</v>
      </c>
      <c r="F585" t="s">
        <v>49</v>
      </c>
      <c r="G585" t="str">
        <f>LOOKUP(TabVMAzureEnvProjet[[#This Row],[Projet]],TabProjets[NomProj],TabProjets[SYGES])</f>
        <v>GFI/PROJET_INTERNE</v>
      </c>
      <c r="H585">
        <f>LOOKUP(TabVMAzureEnvProjet[[#This Row],[Code SYGES]],TabCONTRATSDI[Contrat SYGES],TabCONTRATSDI[Cost Center])</f>
        <v>305704</v>
      </c>
      <c r="I585" s="22" t="str">
        <f>LOOKUP(TabVMAzureEnvProjet[[#This Row],[Code SYGES]],TabCONTRATSDI[Contrat SYGES],TabCONTRATSDI[Client])</f>
        <v>GFI</v>
      </c>
      <c r="J585" t="s">
        <v>371</v>
      </c>
      <c r="K585" s="46">
        <v>0.75131985794531242</v>
      </c>
      <c r="L585" s="40" t="s">
        <v>395</v>
      </c>
    </row>
    <row r="586" spans="1:12" x14ac:dyDescent="0.3">
      <c r="A586" s="22" t="str">
        <f>TabVMAzureEnvProjet[[#This Row],[Client]] &amp; " .:. "  &amp; TabVMAzureEnvProjet[[#This Row],[Projet]]</f>
        <v>GFI .:. GFI-TENDER</v>
      </c>
      <c r="B586" s="22" t="str">
        <f>IF(TabVMAzureEnvProjet[[#This Row],[Projet AzureDevOps]]&lt;&gt;"",TabVMAzureEnvProjet[[#This Row],[Projet AzureDevOps]],TabVMAzureEnvProjet[[#This Row],[VM]])</f>
        <v>GFI-TENDER</v>
      </c>
      <c r="C586" s="50" t="s">
        <v>51</v>
      </c>
      <c r="E586" t="s">
        <v>4</v>
      </c>
      <c r="F586" t="s">
        <v>51</v>
      </c>
      <c r="G586" t="str">
        <f>LOOKUP(TabVMAzureEnvProjet[[#This Row],[Projet]],TabProjets[NomProj],TabProjets[SYGES])</f>
        <v>GFI/PROJET_INTERNE</v>
      </c>
      <c r="H586">
        <f>LOOKUP(TabVMAzureEnvProjet[[#This Row],[Code SYGES]],TabCONTRATSDI[Contrat SYGES],TabCONTRATSDI[Cost Center])</f>
        <v>305704</v>
      </c>
      <c r="I586" s="22" t="str">
        <f>LOOKUP(TabVMAzureEnvProjet[[#This Row],[Code SYGES]],TabCONTRATSDI[Contrat SYGES],TabCONTRATSDI[Client])</f>
        <v>GFI</v>
      </c>
      <c r="J586" t="s">
        <v>371</v>
      </c>
      <c r="K586" s="46">
        <v>1.9441324722078241</v>
      </c>
      <c r="L586" s="40" t="s">
        <v>395</v>
      </c>
    </row>
    <row r="587" spans="1:12" x14ac:dyDescent="0.3">
      <c r="A587" s="22" t="str">
        <f>TabVMAzureEnvProjet[[#This Row],[Client]] &amp; " .:. "  &amp; TabVMAzureEnvProjet[[#This Row],[Projet]]</f>
        <v>GFI .:. GFI-WAAC</v>
      </c>
      <c r="B587" s="22" t="str">
        <f>IF(TabVMAzureEnvProjet[[#This Row],[Projet AzureDevOps]]&lt;&gt;"",TabVMAzureEnvProjet[[#This Row],[Projet AzureDevOps]],TabVMAzureEnvProjet[[#This Row],[VM]])</f>
        <v>GFI-WAAC</v>
      </c>
      <c r="C587" s="50" t="s">
        <v>52</v>
      </c>
      <c r="E587" t="s">
        <v>4</v>
      </c>
      <c r="F587" t="s">
        <v>52</v>
      </c>
      <c r="G587" t="str">
        <f>LOOKUP(TabVMAzureEnvProjet[[#This Row],[Projet]],TabProjets[NomProj],TabProjets[SYGES])</f>
        <v>383928 - WAAC 1.0</v>
      </c>
      <c r="H587">
        <f>LOOKUP(TabVMAzureEnvProjet[[#This Row],[Code SYGES]],TabCONTRATSDI[Contrat SYGES],TabCONTRATSDI[Cost Center])</f>
        <v>100973</v>
      </c>
      <c r="I587" s="22" t="str">
        <f>LOOKUP(TabVMAzureEnvProjet[[#This Row],[Code SYGES]],TabCONTRATSDI[Contrat SYGES],TabCONTRATSDI[Client])</f>
        <v>GFI</v>
      </c>
      <c r="J587" t="s">
        <v>371</v>
      </c>
      <c r="K587" s="46">
        <v>228.56274382908697</v>
      </c>
      <c r="L587" s="40" t="s">
        <v>395</v>
      </c>
    </row>
    <row r="588" spans="1:12" x14ac:dyDescent="0.3">
      <c r="A588" s="22" t="str">
        <f>TabVMAzureEnvProjet[[#This Row],[Client]] &amp; " .:. "  &amp; TabVMAzureEnvProjet[[#This Row],[Projet]]</f>
        <v>GLI .:. GLI-APIBIOMETRIE</v>
      </c>
      <c r="B588" s="22" t="str">
        <f>IF(TabVMAzureEnvProjet[[#This Row],[Projet AzureDevOps]]&lt;&gt;"",TabVMAzureEnvProjet[[#This Row],[Projet AzureDevOps]],TabVMAzureEnvProjet[[#This Row],[VM]])</f>
        <v>GLI-APIBiometrie</v>
      </c>
      <c r="C588" s="50" t="s">
        <v>56</v>
      </c>
      <c r="E588" t="s">
        <v>4</v>
      </c>
      <c r="F588" t="s">
        <v>55</v>
      </c>
      <c r="G588" t="str">
        <f>LOOKUP(TabVMAzureEnvProjet[[#This Row],[Projet]],TabProjets[NomProj],TabProjets[SYGES])</f>
        <v>GLI/BIOMETRIE</v>
      </c>
      <c r="H588">
        <f>LOOKUP(TabVMAzureEnvProjet[[#This Row],[Code SYGES]],TabCONTRATSDI[Contrat SYGES],TabCONTRATSDI[Cost Center])</f>
        <v>305704</v>
      </c>
      <c r="I588" s="22" t="str">
        <f>LOOKUP(TabVMAzureEnvProjet[[#This Row],[Code SYGES]],TabCONTRATSDI[Contrat SYGES],TabCONTRATSDI[Client])</f>
        <v>GLI</v>
      </c>
      <c r="J588" t="s">
        <v>371</v>
      </c>
      <c r="K588" s="46">
        <v>2.3342430675438521</v>
      </c>
      <c r="L588" s="40" t="s">
        <v>395</v>
      </c>
    </row>
    <row r="589" spans="1:12" x14ac:dyDescent="0.3">
      <c r="A589" s="22" t="str">
        <f>TabVMAzureEnvProjet[[#This Row],[Client]] &amp; " .:. "  &amp; TabVMAzureEnvProjet[[#This Row],[Projet]]</f>
        <v>LAPOSTE .:. LAPOSTE-F4N-MUSEE</v>
      </c>
      <c r="B589" s="22" t="str">
        <f>IF(TabVMAzureEnvProjet[[#This Row],[Projet AzureDevOps]]&lt;&gt;"",TabVMAzureEnvProjet[[#This Row],[Projet AzureDevOps]],TabVMAzureEnvProjet[[#This Row],[VM]])</f>
        <v>LAPOSTE-F4N-Musee</v>
      </c>
      <c r="C589" s="50" t="s">
        <v>96</v>
      </c>
      <c r="E589" t="s">
        <v>4</v>
      </c>
      <c r="F589" t="s">
        <v>95</v>
      </c>
      <c r="G589" t="str">
        <f>LOOKUP(TabVMAzureEnvProjet[[#This Row],[Projet]],TabProjets[NomProj],TabProjets[SYGES])</f>
        <v>LA-POSTE/CDC_DRUPAL</v>
      </c>
      <c r="H589">
        <f>LOOKUP(TabVMAzureEnvProjet[[#This Row],[Code SYGES]],TabCONTRATSDI[Contrat SYGES],TabCONTRATSDI[Cost Center])</f>
        <v>305704</v>
      </c>
      <c r="I589" s="22" t="str">
        <f>LOOKUP(TabVMAzureEnvProjet[[#This Row],[Code SYGES]],TabCONTRATSDI[Contrat SYGES],TabCONTRATSDI[Client])</f>
        <v>LAPOSTE</v>
      </c>
      <c r="J589" t="s">
        <v>371</v>
      </c>
      <c r="K589" s="46">
        <v>2.9592874248003209</v>
      </c>
      <c r="L589" s="40" t="s">
        <v>395</v>
      </c>
    </row>
    <row r="590" spans="1:12" x14ac:dyDescent="0.3">
      <c r="A590" s="22" t="str">
        <f>TabVMAzureEnvProjet[[#This Row],[Client]] &amp; " .:. "  &amp; TabVMAzureEnvProjet[[#This Row],[Projet]]</f>
        <v>LAPOSTE .:. LAPOSTE-L71-PDP</v>
      </c>
      <c r="B590" s="22" t="str">
        <f>IF(TabVMAzureEnvProjet[[#This Row],[Projet AzureDevOps]]&lt;&gt;"",TabVMAzureEnvProjet[[#This Row],[Projet AzureDevOps]],TabVMAzureEnvProjet[[#This Row],[VM]])</f>
        <v>LAPOSTE-L71-PDP</v>
      </c>
      <c r="C590" s="50" t="s">
        <v>101</v>
      </c>
      <c r="E590" t="s">
        <v>4</v>
      </c>
      <c r="F590" t="s">
        <v>101</v>
      </c>
      <c r="G590" t="str">
        <f>LOOKUP(TabVMAzureEnvProjet[[#This Row],[Projet]],TabProjets[NomProj],TabProjets[SYGES])</f>
        <v>LA-POSTE/CDC_DRUPAL</v>
      </c>
      <c r="H590">
        <f>LOOKUP(TabVMAzureEnvProjet[[#This Row],[Code SYGES]],TabCONTRATSDI[Contrat SYGES],TabCONTRATSDI[Cost Center])</f>
        <v>305704</v>
      </c>
      <c r="I590" s="22" t="str">
        <f>LOOKUP(TabVMAzureEnvProjet[[#This Row],[Code SYGES]],TabCONTRATSDI[Contrat SYGES],TabCONTRATSDI[Client])</f>
        <v>LAPOSTE</v>
      </c>
      <c r="J590" t="s">
        <v>371</v>
      </c>
      <c r="K590" s="46">
        <v>1.8856293470849654</v>
      </c>
      <c r="L590" s="40" t="s">
        <v>395</v>
      </c>
    </row>
    <row r="591" spans="1:12" x14ac:dyDescent="0.3">
      <c r="A591" s="22" t="str">
        <f>TabVMAzureEnvProjet[[#This Row],[Client]] &amp; " .:. "  &amp; TabVMAzureEnvProjet[[#This Row],[Projet]]</f>
        <v>LAPOSTE .:. LAPOSTE-LCA-PariteUn-e</v>
      </c>
      <c r="B591" s="22" t="str">
        <f>IF(TabVMAzureEnvProjet[[#This Row],[Projet AzureDevOps]]&lt;&gt;"",TabVMAzureEnvProjet[[#This Row],[Projet AzureDevOps]],TabVMAzureEnvProjet[[#This Row],[VM]])</f>
        <v>LAPOSTE-LCA-PariteUn-e</v>
      </c>
      <c r="C591" s="50" t="s">
        <v>102</v>
      </c>
      <c r="E591" t="s">
        <v>4</v>
      </c>
      <c r="F591" t="s">
        <v>102</v>
      </c>
      <c r="G591" t="str">
        <f>LOOKUP(TabVMAzureEnvProjet[[#This Row],[Projet]],TabProjets[NomProj],TabProjets[SYGES])</f>
        <v>LA-POSTE/CDC_DRUPAL</v>
      </c>
      <c r="H591">
        <f>LOOKUP(TabVMAzureEnvProjet[[#This Row],[Code SYGES]],TabCONTRATSDI[Contrat SYGES],TabCONTRATSDI[Cost Center])</f>
        <v>305704</v>
      </c>
      <c r="I591" s="22" t="str">
        <f>LOOKUP(TabVMAzureEnvProjet[[#This Row],[Code SYGES]],TabCONTRATSDI[Contrat SYGES],TabCONTRATSDI[Client])</f>
        <v>LAPOSTE</v>
      </c>
      <c r="J591" t="s">
        <v>371</v>
      </c>
      <c r="K591" s="46">
        <v>2.6586631630400217</v>
      </c>
      <c r="L591" s="40" t="s">
        <v>395</v>
      </c>
    </row>
    <row r="592" spans="1:12" x14ac:dyDescent="0.3">
      <c r="A592" s="22" t="str">
        <f>TabVMAzureEnvProjet[[#This Row],[Client]] &amp; " .:. "  &amp; TabVMAzureEnvProjet[[#This Row],[Projet]]</f>
        <v>LAPOSTE .:. LAPOSTE-LPK-PortailVoyage</v>
      </c>
      <c r="B592" s="22" t="str">
        <f>IF(TabVMAzureEnvProjet[[#This Row],[Projet AzureDevOps]]&lt;&gt;"",TabVMAzureEnvProjet[[#This Row],[Projet AzureDevOps]],TabVMAzureEnvProjet[[#This Row],[VM]])</f>
        <v>LAPOSTE-LPK-PortailVoyage</v>
      </c>
      <c r="C592" s="50" t="s">
        <v>97</v>
      </c>
      <c r="E592" t="s">
        <v>4</v>
      </c>
      <c r="F592" t="s">
        <v>97</v>
      </c>
      <c r="G592" t="str">
        <f>LOOKUP(TabVMAzureEnvProjet[[#This Row],[Projet]],TabProjets[NomProj],TabProjets[SYGES])</f>
        <v>LA-POSTE/CDC_DRUPAL</v>
      </c>
      <c r="H592">
        <f>LOOKUP(TabVMAzureEnvProjet[[#This Row],[Code SYGES]],TabCONTRATSDI[Contrat SYGES],TabCONTRATSDI[Cost Center])</f>
        <v>305704</v>
      </c>
      <c r="I592" s="22" t="str">
        <f>LOOKUP(TabVMAzureEnvProjet[[#This Row],[Code SYGES]],TabCONTRATSDI[Contrat SYGES],TabCONTRATSDI[Client])</f>
        <v>LAPOSTE</v>
      </c>
      <c r="J592" t="s">
        <v>371</v>
      </c>
      <c r="K592" s="46">
        <v>3.4746433021036918</v>
      </c>
      <c r="L592" s="40" t="s">
        <v>395</v>
      </c>
    </row>
    <row r="593" spans="1:12" x14ac:dyDescent="0.3">
      <c r="A593" s="22" t="str">
        <f>TabVMAzureEnvProjet[[#This Row],[Client]] &amp; " .:. "  &amp; TabVMAzureEnvProjet[[#This Row],[Projet]]</f>
        <v>LAPOSTE .:. LAPOSTE-LPM-IntranetDHA</v>
      </c>
      <c r="B593" s="22" t="str">
        <f>IF(TabVMAzureEnvProjet[[#This Row],[Projet AzureDevOps]]&lt;&gt;"",TabVMAzureEnvProjet[[#This Row],[Projet AzureDevOps]],TabVMAzureEnvProjet[[#This Row],[VM]])</f>
        <v>LAPOSTE-LPM-IntranetDHA</v>
      </c>
      <c r="C593" s="50" t="s">
        <v>98</v>
      </c>
      <c r="E593" t="s">
        <v>4</v>
      </c>
      <c r="F593" t="s">
        <v>98</v>
      </c>
      <c r="G593" t="str">
        <f>LOOKUP(TabVMAzureEnvProjet[[#This Row],[Projet]],TabProjets[NomProj],TabProjets[SYGES])</f>
        <v>LA-POSTE/CDC_DRUPAL</v>
      </c>
      <c r="H593">
        <f>LOOKUP(TabVMAzureEnvProjet[[#This Row],[Code SYGES]],TabCONTRATSDI[Contrat SYGES],TabCONTRATSDI[Cost Center])</f>
        <v>305704</v>
      </c>
      <c r="I593" s="22" t="str">
        <f>LOOKUP(TabVMAzureEnvProjet[[#This Row],[Code SYGES]],TabCONTRATSDI[Contrat SYGES],TabCONTRATSDI[Client])</f>
        <v>LAPOSTE</v>
      </c>
      <c r="J593" t="s">
        <v>371</v>
      </c>
      <c r="K593" s="46">
        <v>1.9285756701935797</v>
      </c>
      <c r="L593" s="40" t="s">
        <v>395</v>
      </c>
    </row>
    <row r="594" spans="1:12" x14ac:dyDescent="0.3">
      <c r="A594" s="22" t="str">
        <f>TabVMAzureEnvProjet[[#This Row],[Client]] &amp; " .:. "  &amp; TabVMAzureEnvProjet[[#This Row],[Projet]]</f>
        <v>LAPOSTE .:. LAPOSTE-V7_-Galaxy</v>
      </c>
      <c r="B594" s="22" t="str">
        <f>IF(TabVMAzureEnvProjet[[#This Row],[Projet AzureDevOps]]&lt;&gt;"",TabVMAzureEnvProjet[[#This Row],[Projet AzureDevOps]],TabVMAzureEnvProjet[[#This Row],[VM]])</f>
        <v>LAPOSTE-V7_-Galaxy</v>
      </c>
      <c r="C594" s="50" t="s">
        <v>104</v>
      </c>
      <c r="E594" t="s">
        <v>4</v>
      </c>
      <c r="F594" t="s">
        <v>104</v>
      </c>
      <c r="G594" t="str">
        <f>LOOKUP(TabVMAzureEnvProjet[[#This Row],[Projet]],TabProjets[NomProj],TabProjets[SYGES])</f>
        <v>LA-POSTE/CDC_DRUPAL</v>
      </c>
      <c r="H594">
        <f>LOOKUP(TabVMAzureEnvProjet[[#This Row],[Code SYGES]],TabCONTRATSDI[Contrat SYGES],TabCONTRATSDI[Cost Center])</f>
        <v>305704</v>
      </c>
      <c r="I594" s="22" t="str">
        <f>LOOKUP(TabVMAzureEnvProjet[[#This Row],[Code SYGES]],TabCONTRATSDI[Contrat SYGES],TabCONTRATSDI[Client])</f>
        <v>LAPOSTE</v>
      </c>
      <c r="J594" t="s">
        <v>371</v>
      </c>
      <c r="K594" s="46">
        <v>2.0915342524453102</v>
      </c>
      <c r="L594" s="40" t="s">
        <v>395</v>
      </c>
    </row>
    <row r="595" spans="1:12" x14ac:dyDescent="0.3">
      <c r="A595" s="22" t="str">
        <f>TabVMAzureEnvProjet[[#This Row],[Client]] &amp; " .:. "  &amp; TabVMAzureEnvProjet[[#This Row],[Projet]]</f>
        <v>LAPOSTE .:. LAPOSTE-VW2-MEDIACOM</v>
      </c>
      <c r="B595" s="22" t="str">
        <f>IF(TabVMAzureEnvProjet[[#This Row],[Projet AzureDevOps]]&lt;&gt;"",TabVMAzureEnvProjet[[#This Row],[Projet AzureDevOps]],TabVMAzureEnvProjet[[#This Row],[VM]])</f>
        <v>LAPOSTE-VW2-MEDIACOM</v>
      </c>
      <c r="C595" s="50" t="s">
        <v>390</v>
      </c>
      <c r="E595" t="s">
        <v>4</v>
      </c>
      <c r="F595" t="s">
        <v>390</v>
      </c>
      <c r="G595" t="str">
        <f>LOOKUP(TabVMAzureEnvProjet[[#This Row],[Projet]],TabProjets[NomProj],TabProjets[SYGES])</f>
        <v>LA-POSTE/CDC_DRUPAL</v>
      </c>
      <c r="H595">
        <f>LOOKUP(TabVMAzureEnvProjet[[#This Row],[Code SYGES]],TabCONTRATSDI[Contrat SYGES],TabCONTRATSDI[Cost Center])</f>
        <v>305704</v>
      </c>
      <c r="I595" s="22" t="str">
        <f>LOOKUP(TabVMAzureEnvProjet[[#This Row],[Code SYGES]],TabCONTRATSDI[Contrat SYGES],TabCONTRATSDI[Client])</f>
        <v>LAPOSTE</v>
      </c>
      <c r="J595" t="s">
        <v>371</v>
      </c>
      <c r="K595" s="46">
        <v>1.1896614671644112</v>
      </c>
      <c r="L595" s="40" t="s">
        <v>395</v>
      </c>
    </row>
    <row r="596" spans="1:12" x14ac:dyDescent="0.3">
      <c r="A596" s="22" t="str">
        <f>TabVMAzureEnvProjet[[#This Row],[Client]] &amp; " .:. "  &amp; TabVMAzureEnvProjet[[#This Row],[Projet]]</f>
        <v>LAPOSTE .:. LAPOSTE-VWA-Fondation</v>
      </c>
      <c r="B596" s="22" t="str">
        <f>IF(TabVMAzureEnvProjet[[#This Row],[Projet AzureDevOps]]&lt;&gt;"",TabVMAzureEnvProjet[[#This Row],[Projet AzureDevOps]],TabVMAzureEnvProjet[[#This Row],[VM]])</f>
        <v>LAPOSTE-VWA-Fondation</v>
      </c>
      <c r="C596" s="50" t="s">
        <v>103</v>
      </c>
      <c r="E596" t="s">
        <v>4</v>
      </c>
      <c r="F596" t="s">
        <v>103</v>
      </c>
      <c r="G596" t="str">
        <f>LOOKUP(TabVMAzureEnvProjet[[#This Row],[Projet]],TabProjets[NomProj],TabProjets[SYGES])</f>
        <v>LA-POSTE/CDC_DRUPAL</v>
      </c>
      <c r="H596">
        <f>LOOKUP(TabVMAzureEnvProjet[[#This Row],[Code SYGES]],TabCONTRATSDI[Contrat SYGES],TabCONTRATSDI[Cost Center])</f>
        <v>305704</v>
      </c>
      <c r="I596" s="22" t="str">
        <f>LOOKUP(TabVMAzureEnvProjet[[#This Row],[Code SYGES]],TabCONTRATSDI[Contrat SYGES],TabCONTRATSDI[Client])</f>
        <v>LAPOSTE</v>
      </c>
      <c r="J596" t="s">
        <v>371</v>
      </c>
      <c r="K596" s="46">
        <v>2.0144683164108081</v>
      </c>
      <c r="L596" s="40" t="s">
        <v>395</v>
      </c>
    </row>
    <row r="597" spans="1:12" x14ac:dyDescent="0.3">
      <c r="A597" s="22" t="str">
        <f>TabVMAzureEnvProjet[[#This Row],[Client]] &amp; " .:. "  &amp; TabVMAzureEnvProjet[[#This Row],[Projet]]</f>
        <v>MENESR .:. MENJ-APAE</v>
      </c>
      <c r="B597" s="22" t="str">
        <f>IF(TabVMAzureEnvProjet[[#This Row],[Projet AzureDevOps]]&lt;&gt;"",TabVMAzureEnvProjet[[#This Row],[Projet AzureDevOps]],TabVMAzureEnvProjet[[#This Row],[VM]])</f>
        <v>MENJ-APAE</v>
      </c>
      <c r="C597" s="50" t="s">
        <v>58</v>
      </c>
      <c r="E597" t="s">
        <v>4</v>
      </c>
      <c r="F597" t="s">
        <v>58</v>
      </c>
      <c r="G597" t="str">
        <f>LOOKUP(TabVMAzureEnvProjet[[#This Row],[Projet]],TabProjets[NomProj],TabProjets[SYGES])</f>
        <v>MENESR/TMA</v>
      </c>
      <c r="H597">
        <f>LOOKUP(TabVMAzureEnvProjet[[#This Row],[Code SYGES]],TabCONTRATSDI[Contrat SYGES],TabCONTRATSDI[Cost Center])</f>
        <v>305704</v>
      </c>
      <c r="I597" s="22" t="str">
        <f>LOOKUP(TabVMAzureEnvProjet[[#This Row],[Code SYGES]],TabCONTRATSDI[Contrat SYGES],TabCONTRATSDI[Client])</f>
        <v>MENESR</v>
      </c>
      <c r="J597" t="s">
        <v>371</v>
      </c>
      <c r="K597" s="46">
        <v>2.7686646710889704</v>
      </c>
      <c r="L597" s="40" t="s">
        <v>395</v>
      </c>
    </row>
    <row r="598" spans="1:12" x14ac:dyDescent="0.3">
      <c r="A598" s="22" t="str">
        <f>TabVMAzureEnvProjet[[#This Row],[Client]] &amp; " .:. "  &amp; TabVMAzureEnvProjet[[#This Row],[Projet]]</f>
        <v>MENESR .:. MENJ-BI</v>
      </c>
      <c r="B598" s="22" t="str">
        <f>IF(TabVMAzureEnvProjet[[#This Row],[Projet AzureDevOps]]&lt;&gt;"",TabVMAzureEnvProjet[[#This Row],[Projet AzureDevOps]],TabVMAzureEnvProjet[[#This Row],[VM]])</f>
        <v>MENJ-BI</v>
      </c>
      <c r="C598" s="50" t="s">
        <v>65</v>
      </c>
      <c r="E598" t="s">
        <v>4</v>
      </c>
      <c r="F598" t="s">
        <v>65</v>
      </c>
      <c r="G598" t="str">
        <f>LOOKUP(TabVMAzureEnvProjet[[#This Row],[Projet]],TabProjets[NomProj],TabProjets[SYGES])</f>
        <v>MENESR/TMA</v>
      </c>
      <c r="H598">
        <f>LOOKUP(TabVMAzureEnvProjet[[#This Row],[Code SYGES]],TabCONTRATSDI[Contrat SYGES],TabCONTRATSDI[Cost Center])</f>
        <v>305704</v>
      </c>
      <c r="I598" s="22" t="str">
        <f>LOOKUP(TabVMAzureEnvProjet[[#This Row],[Code SYGES]],TabCONTRATSDI[Contrat SYGES],TabCONTRATSDI[Client])</f>
        <v>MENESR</v>
      </c>
      <c r="J598" t="s">
        <v>371</v>
      </c>
      <c r="K598" s="46">
        <v>0.92470136362499988</v>
      </c>
      <c r="L598" s="40" t="s">
        <v>395</v>
      </c>
    </row>
    <row r="599" spans="1:12" x14ac:dyDescent="0.3">
      <c r="A599" s="22" t="str">
        <f>TabVMAzureEnvProjet[[#This Row],[Client]] &amp; " .:. "  &amp; TabVMAzureEnvProjet[[#This Row],[Projet]]</f>
        <v>MENESR .:. MENJ-BNIE</v>
      </c>
      <c r="B599" s="22" t="str">
        <f>IF(TabVMAzureEnvProjet[[#This Row],[Projet AzureDevOps]]&lt;&gt;"",TabVMAzureEnvProjet[[#This Row],[Projet AzureDevOps]],TabVMAzureEnvProjet[[#This Row],[VM]])</f>
        <v>MENJ-BNIE-BDD</v>
      </c>
      <c r="C599" s="50" t="s">
        <v>60</v>
      </c>
      <c r="E599" t="s">
        <v>4</v>
      </c>
      <c r="F599" t="s">
        <v>59</v>
      </c>
      <c r="G599" t="str">
        <f>LOOKUP(TabVMAzureEnvProjet[[#This Row],[Projet]],TabProjets[NomProj],TabProjets[SYGES])</f>
        <v>MENESR/TMA</v>
      </c>
      <c r="H599">
        <f>LOOKUP(TabVMAzureEnvProjet[[#This Row],[Code SYGES]],TabCONTRATSDI[Contrat SYGES],TabCONTRATSDI[Cost Center])</f>
        <v>305704</v>
      </c>
      <c r="I599" s="22" t="str">
        <f>LOOKUP(TabVMAzureEnvProjet[[#This Row],[Code SYGES]],TabCONTRATSDI[Contrat SYGES],TabCONTRATSDI[Client])</f>
        <v>MENESR</v>
      </c>
      <c r="J599" t="s">
        <v>371</v>
      </c>
      <c r="K599" s="46">
        <v>2.0421135996693276</v>
      </c>
      <c r="L599" s="40" t="s">
        <v>395</v>
      </c>
    </row>
    <row r="600" spans="1:12" x14ac:dyDescent="0.3">
      <c r="A600" s="22" t="str">
        <f>TabVMAzureEnvProjet[[#This Row],[Client]] &amp; " .:. "  &amp; TabVMAzureEnvProjet[[#This Row],[Projet]]</f>
        <v>MENESR .:. MENJ-BNIE</v>
      </c>
      <c r="B600" s="22" t="str">
        <f>IF(TabVMAzureEnvProjet[[#This Row],[Projet AzureDevOps]]&lt;&gt;"",TabVMAzureEnvProjet[[#This Row],[Projet AzureDevOps]],TabVMAzureEnvProjet[[#This Row],[VM]])</f>
        <v>MENJ-BNIE-Webservices</v>
      </c>
      <c r="C600" s="50" t="s">
        <v>61</v>
      </c>
      <c r="E600" t="s">
        <v>4</v>
      </c>
      <c r="F600" t="s">
        <v>59</v>
      </c>
      <c r="G600" t="str">
        <f>LOOKUP(TabVMAzureEnvProjet[[#This Row],[Projet]],TabProjets[NomProj],TabProjets[SYGES])</f>
        <v>MENESR/TMA</v>
      </c>
      <c r="H600">
        <f>LOOKUP(TabVMAzureEnvProjet[[#This Row],[Code SYGES]],TabCONTRATSDI[Contrat SYGES],TabCONTRATSDI[Cost Center])</f>
        <v>305704</v>
      </c>
      <c r="I600" s="22" t="str">
        <f>LOOKUP(TabVMAzureEnvProjet[[#This Row],[Code SYGES]],TabCONTRATSDI[Contrat SYGES],TabCONTRATSDI[Client])</f>
        <v>MENESR</v>
      </c>
      <c r="J600" t="s">
        <v>371</v>
      </c>
      <c r="K600" s="46">
        <v>0.45691126202647059</v>
      </c>
      <c r="L600" s="40" t="s">
        <v>395</v>
      </c>
    </row>
    <row r="601" spans="1:12" x14ac:dyDescent="0.3">
      <c r="A601" s="22" t="str">
        <f>TabVMAzureEnvProjet[[#This Row],[Client]] &amp; " .:. "  &amp; TabVMAzureEnvProjet[[#This Row],[Projet]]</f>
        <v>MENESR .:. MENJ-INSERJEUNES</v>
      </c>
      <c r="B601" s="22" t="str">
        <f>IF(TabVMAzureEnvProjet[[#This Row],[Projet AzureDevOps]]&lt;&gt;"",TabVMAzureEnvProjet[[#This Row],[Projet AzureDevOps]],TabVMAzureEnvProjet[[#This Row],[VM]])</f>
        <v>MENJ-InserJeunes</v>
      </c>
      <c r="C601" s="50" t="s">
        <v>68</v>
      </c>
      <c r="E601" t="s">
        <v>4</v>
      </c>
      <c r="F601" t="s">
        <v>67</v>
      </c>
      <c r="G601" t="str">
        <f>LOOKUP(TabVMAzureEnvProjet[[#This Row],[Projet]],TabProjets[NomProj],TabProjets[SYGES])</f>
        <v>MENESR - TMA - 23 - 1 - INSERJEUNES</v>
      </c>
      <c r="H601">
        <f>LOOKUP(TabVMAzureEnvProjet[[#This Row],[Code SYGES]],TabCONTRATSDI[Contrat SYGES],TabCONTRATSDI[Cost Center])</f>
        <v>305704</v>
      </c>
      <c r="I601" s="22" t="str">
        <f>LOOKUP(TabVMAzureEnvProjet[[#This Row],[Code SYGES]],TabCONTRATSDI[Contrat SYGES],TabCONTRATSDI[Client])</f>
        <v>MENESR</v>
      </c>
      <c r="J601" t="s">
        <v>371</v>
      </c>
      <c r="K601" s="46">
        <v>3.3698397804684599</v>
      </c>
      <c r="L601" s="40" t="s">
        <v>395</v>
      </c>
    </row>
    <row r="602" spans="1:12" x14ac:dyDescent="0.3">
      <c r="A602" s="22" t="str">
        <f>TabVMAzureEnvProjet[[#This Row],[Client]] &amp; " .:. "  &amp; TabVMAzureEnvProjet[[#This Row],[Projet]]</f>
        <v>MENESR .:. MENJ-RNIE</v>
      </c>
      <c r="B602" s="22" t="str">
        <f>IF(TabVMAzureEnvProjet[[#This Row],[Projet AzureDevOps]]&lt;&gt;"",TabVMAzureEnvProjet[[#This Row],[Projet AzureDevOps]],TabVMAzureEnvProjet[[#This Row],[VM]])</f>
        <v>MENJ-RNIE-BDD</v>
      </c>
      <c r="C602" s="50" t="s">
        <v>63</v>
      </c>
      <c r="E602" t="s">
        <v>4</v>
      </c>
      <c r="F602" t="s">
        <v>62</v>
      </c>
      <c r="G602" t="str">
        <f>LOOKUP(TabVMAzureEnvProjet[[#This Row],[Projet]],TabProjets[NomProj],TabProjets[SYGES])</f>
        <v>MENESR/TMA</v>
      </c>
      <c r="H602">
        <f>LOOKUP(TabVMAzureEnvProjet[[#This Row],[Code SYGES]],TabCONTRATSDI[Contrat SYGES],TabCONTRATSDI[Cost Center])</f>
        <v>305704</v>
      </c>
      <c r="I602" s="22" t="str">
        <f>LOOKUP(TabVMAzureEnvProjet[[#This Row],[Code SYGES]],TabCONTRATSDI[Contrat SYGES],TabCONTRATSDI[Client])</f>
        <v>MENESR</v>
      </c>
      <c r="J602" t="s">
        <v>371</v>
      </c>
      <c r="K602" s="46">
        <v>1.3816126256514705</v>
      </c>
      <c r="L602" s="40" t="s">
        <v>395</v>
      </c>
    </row>
    <row r="603" spans="1:12" x14ac:dyDescent="0.3">
      <c r="A603" s="22" t="str">
        <f>TabVMAzureEnvProjet[[#This Row],[Client]] &amp; " .:. "  &amp; TabVMAzureEnvProjet[[#This Row],[Projet]]</f>
        <v>MENESR .:. MENJ-RNIE</v>
      </c>
      <c r="B603" s="22" t="str">
        <f>IF(TabVMAzureEnvProjet[[#This Row],[Projet AzureDevOps]]&lt;&gt;"",TabVMAzureEnvProjet[[#This Row],[Projet AzureDevOps]],TabVMAzureEnvProjet[[#This Row],[VM]])</f>
        <v>MENJ-RNIE-Webservices</v>
      </c>
      <c r="C603" s="50" t="s">
        <v>64</v>
      </c>
      <c r="E603" t="s">
        <v>4</v>
      </c>
      <c r="F603" t="s">
        <v>62</v>
      </c>
      <c r="G603" t="str">
        <f>LOOKUP(TabVMAzureEnvProjet[[#This Row],[Projet]],TabProjets[NomProj],TabProjets[SYGES])</f>
        <v>MENESR/TMA</v>
      </c>
      <c r="H603">
        <f>LOOKUP(TabVMAzureEnvProjet[[#This Row],[Code SYGES]],TabCONTRATSDI[Contrat SYGES],TabCONTRATSDI[Cost Center])</f>
        <v>305704</v>
      </c>
      <c r="I603" s="22" t="str">
        <f>LOOKUP(TabVMAzureEnvProjet[[#This Row],[Code SYGES]],TabCONTRATSDI[Contrat SYGES],TabCONTRATSDI[Client])</f>
        <v>MENESR</v>
      </c>
      <c r="J603" t="s">
        <v>371</v>
      </c>
      <c r="K603" s="46">
        <v>0.45691126202647059</v>
      </c>
      <c r="L603" s="40" t="s">
        <v>395</v>
      </c>
    </row>
    <row r="604" spans="1:12" x14ac:dyDescent="0.3">
      <c r="A604" s="22" t="str">
        <f>TabVMAzureEnvProjet[[#This Row],[Client]] &amp; " .:. "  &amp; TabVMAzureEnvProjet[[#This Row],[Projet]]</f>
        <v>AFB .:. OFB-CMONSPOT</v>
      </c>
      <c r="B604" s="22" t="str">
        <f>IF(TabVMAzureEnvProjet[[#This Row],[Projet AzureDevOps]]&lt;&gt;"",TabVMAzureEnvProjet[[#This Row],[Projet AzureDevOps]],TabVMAzureEnvProjet[[#This Row],[VM]])</f>
        <v>OFB-CMONSPOT</v>
      </c>
      <c r="C604" s="50" t="s">
        <v>13</v>
      </c>
      <c r="E604" t="s">
        <v>4</v>
      </c>
      <c r="F604" t="s">
        <v>13</v>
      </c>
      <c r="G604" t="str">
        <f>LOOKUP(TabVMAzureEnvProjet[[#This Row],[Projet]],TabProjets[NomProj],TabProjets[SYGES])</f>
        <v>AFB/OFB_LOT2</v>
      </c>
      <c r="H604">
        <f>LOOKUP(TabVMAzureEnvProjet[[#This Row],[Code SYGES]],TabCONTRATSDI[Contrat SYGES],TabCONTRATSDI[Cost Center])</f>
        <v>305704</v>
      </c>
      <c r="I604" s="22" t="str">
        <f>LOOKUP(TabVMAzureEnvProjet[[#This Row],[Code SYGES]],TabCONTRATSDI[Contrat SYGES],TabCONTRATSDI[Client])</f>
        <v>AFB</v>
      </c>
      <c r="J604" t="s">
        <v>371</v>
      </c>
      <c r="K604" s="46">
        <v>0.90384343812969925</v>
      </c>
      <c r="L604" s="40" t="s">
        <v>395</v>
      </c>
    </row>
    <row r="605" spans="1:12" x14ac:dyDescent="0.3">
      <c r="A605" s="22" t="str">
        <f>TabVMAzureEnvProjet[[#This Row],[Client]] &amp; " .:. "  &amp; TabVMAzureEnvProjet[[#This Row],[Projet]]</f>
        <v>OFB .:. OFB-NATUREFRANCE</v>
      </c>
      <c r="B605" s="22" t="str">
        <f>IF(TabVMAzureEnvProjet[[#This Row],[Projet AzureDevOps]]&lt;&gt;"",TabVMAzureEnvProjet[[#This Row],[Projet AzureDevOps]],TabVMAzureEnvProjet[[#This Row],[VM]])</f>
        <v>OFB-NatureFrance</v>
      </c>
      <c r="C605" s="50" t="s">
        <v>93</v>
      </c>
      <c r="E605" t="s">
        <v>4</v>
      </c>
      <c r="F605" t="s">
        <v>92</v>
      </c>
      <c r="G605" t="str">
        <f>LOOKUP(TabVMAzureEnvProjet[[#This Row],[Projet]],TabProjets[NomProj],TabProjets[SYGES])</f>
        <v>AFB OFB_LOT2 -9-1 NATURE FRANCE</v>
      </c>
      <c r="H605">
        <f>LOOKUP(TabVMAzureEnvProjet[[#This Row],[Code SYGES]],TabCONTRATSDI[Contrat SYGES],TabCONTRATSDI[Cost Center])</f>
        <v>305704</v>
      </c>
      <c r="I605" s="22" t="str">
        <f>LOOKUP(TabVMAzureEnvProjet[[#This Row],[Code SYGES]],TabCONTRATSDI[Contrat SYGES],TabCONTRATSDI[Client])</f>
        <v>OFB</v>
      </c>
      <c r="J605" t="s">
        <v>371</v>
      </c>
      <c r="K605" s="46">
        <v>4.7233737928807402</v>
      </c>
      <c r="L605" s="40" t="s">
        <v>395</v>
      </c>
    </row>
    <row r="606" spans="1:12" x14ac:dyDescent="0.3">
      <c r="A606" s="22" t="str">
        <f>TabVMAzureEnvProjet[[#This Row],[Client]] &amp; " .:. "  &amp; TabVMAzureEnvProjet[[#This Row],[Projet]]</f>
        <v>AFB .:. OFB-SISPEA</v>
      </c>
      <c r="B606" s="22" t="str">
        <f>IF(TabVMAzureEnvProjet[[#This Row],[Projet AzureDevOps]]&lt;&gt;"",TabVMAzureEnvProjet[[#This Row],[Projet AzureDevOps]],TabVMAzureEnvProjet[[#This Row],[VM]])</f>
        <v>OFB-SISPEA</v>
      </c>
      <c r="C606" s="50" t="s">
        <v>10</v>
      </c>
      <c r="E606" t="s">
        <v>4</v>
      </c>
      <c r="F606" t="s">
        <v>10</v>
      </c>
      <c r="G606" t="str">
        <f>LOOKUP(TabVMAzureEnvProjet[[#This Row],[Projet]],TabProjets[NomProj],TabProjets[SYGES])</f>
        <v>AFB/OFB_LOT2</v>
      </c>
      <c r="H606">
        <f>LOOKUP(TabVMAzureEnvProjet[[#This Row],[Code SYGES]],TabCONTRATSDI[Contrat SYGES],TabCONTRATSDI[Cost Center])</f>
        <v>305704</v>
      </c>
      <c r="I606" s="22" t="str">
        <f>LOOKUP(TabVMAzureEnvProjet[[#This Row],[Code SYGES]],TabCONTRATSDI[Contrat SYGES],TabCONTRATSDI[Client])</f>
        <v>AFB</v>
      </c>
      <c r="J606" t="s">
        <v>371</v>
      </c>
      <c r="K606" s="46">
        <v>3.2155968471921992</v>
      </c>
      <c r="L606" s="40" t="s">
        <v>395</v>
      </c>
    </row>
    <row r="607" spans="1:12" x14ac:dyDescent="0.3">
      <c r="A607" s="22" t="str">
        <f>TabVMAzureEnvProjet[[#This Row],[Client]] &amp; " .:. "  &amp; TabVMAzureEnvProjet[[#This Row],[Projet]]</f>
        <v>PCM .:. PCM-ALS</v>
      </c>
      <c r="B607" s="22" t="str">
        <f>IF(TabVMAzureEnvProjet[[#This Row],[Projet AzureDevOps]]&lt;&gt;"",TabVMAzureEnvProjet[[#This Row],[Projet AzureDevOps]],TabVMAzureEnvProjet[[#This Row],[VM]])</f>
        <v>PCM-ALS</v>
      </c>
      <c r="C607" s="50" t="s">
        <v>85</v>
      </c>
      <c r="E607" t="s">
        <v>4</v>
      </c>
      <c r="F607" t="s">
        <v>85</v>
      </c>
      <c r="G607" t="str">
        <f>LOOKUP(TabVMAzureEnvProjet[[#This Row],[Projet]],TabProjets[NomProj],TabProjets[SYGES])</f>
        <v>PCM/WEB</v>
      </c>
      <c r="H607">
        <f>LOOKUP(TabVMAzureEnvProjet[[#This Row],[Code SYGES]],TabCONTRATSDI[Contrat SYGES],TabCONTRATSDI[Cost Center])</f>
        <v>305704</v>
      </c>
      <c r="I607" s="22" t="str">
        <f>LOOKUP(TabVMAzureEnvProjet[[#This Row],[Code SYGES]],TabCONTRATSDI[Contrat SYGES],TabCONTRATSDI[Client])</f>
        <v>PCM</v>
      </c>
      <c r="J607" t="s">
        <v>371</v>
      </c>
      <c r="K607" s="46">
        <v>3.3545268036210922</v>
      </c>
      <c r="L607" s="40" t="s">
        <v>395</v>
      </c>
    </row>
    <row r="608" spans="1:12" x14ac:dyDescent="0.3">
      <c r="A608" s="22" t="str">
        <f>TabVMAzureEnvProjet[[#This Row],[Client]] &amp; " .:. "  &amp; TabVMAzureEnvProjet[[#This Row],[Projet]]</f>
        <v>PCM .:. PCM-WEB</v>
      </c>
      <c r="B608" s="22" t="str">
        <f>IF(TabVMAzureEnvProjet[[#This Row],[Projet AzureDevOps]]&lt;&gt;"",TabVMAzureEnvProjet[[#This Row],[Projet AzureDevOps]],TabVMAzureEnvProjet[[#This Row],[VM]])</f>
        <v>PCM-Web</v>
      </c>
      <c r="C608" s="50" t="s">
        <v>87</v>
      </c>
      <c r="E608" t="s">
        <v>4</v>
      </c>
      <c r="F608" t="s">
        <v>86</v>
      </c>
      <c r="G608" t="str">
        <f>LOOKUP(TabVMAzureEnvProjet[[#This Row],[Projet]],TabProjets[NomProj],TabProjets[SYGES])</f>
        <v>PCM/WEB</v>
      </c>
      <c r="H608">
        <f>LOOKUP(TabVMAzureEnvProjet[[#This Row],[Code SYGES]],TabCONTRATSDI[Contrat SYGES],TabCONTRATSDI[Cost Center])</f>
        <v>305704</v>
      </c>
      <c r="I608" s="22" t="str">
        <f>LOOKUP(TabVMAzureEnvProjet[[#This Row],[Code SYGES]],TabCONTRATSDI[Contrat SYGES],TabCONTRATSDI[Client])</f>
        <v>PCM</v>
      </c>
      <c r="J608" t="s">
        <v>371</v>
      </c>
      <c r="K608" s="46">
        <v>2.1918203374645207</v>
      </c>
      <c r="L608" s="40" t="s">
        <v>395</v>
      </c>
    </row>
    <row r="609" spans="1:12" x14ac:dyDescent="0.3">
      <c r="A609" s="22" t="str">
        <f>TabVMAzureEnvProjet[[#This Row],[Client]] &amp; " .:. "  &amp; TabVMAzureEnvProjet[[#This Row],[Projet]]</f>
        <v>SAFT .:. SAFT-PDM</v>
      </c>
      <c r="B609" s="22" t="str">
        <f>IF(TabVMAzureEnvProjet[[#This Row],[Projet AzureDevOps]]&lt;&gt;"",TabVMAzureEnvProjet[[#This Row],[Projet AzureDevOps]],TabVMAzureEnvProjet[[#This Row],[VM]])</f>
        <v>SAFT-PDM</v>
      </c>
      <c r="C609" s="50" t="s">
        <v>106</v>
      </c>
      <c r="E609" t="s">
        <v>4</v>
      </c>
      <c r="F609" t="s">
        <v>106</v>
      </c>
      <c r="G609" t="str">
        <f>LOOKUP(TabVMAzureEnvProjet[[#This Row],[Projet]],TabProjets[NomProj],TabProjets[SYGES])</f>
        <v>SAFT/TMA</v>
      </c>
      <c r="H609">
        <f>LOOKUP(TabVMAzureEnvProjet[[#This Row],[Code SYGES]],TabCONTRATSDI[Contrat SYGES],TabCONTRATSDI[Cost Center])</f>
        <v>305704</v>
      </c>
      <c r="I609" s="22" t="str">
        <f>LOOKUP(TabVMAzureEnvProjet[[#This Row],[Code SYGES]],TabCONTRATSDI[Contrat SYGES],TabCONTRATSDI[Client])</f>
        <v>SAFT</v>
      </c>
      <c r="J609" t="s">
        <v>371</v>
      </c>
      <c r="K609" s="46">
        <v>1.9441324722078241</v>
      </c>
      <c r="L609" s="40" t="s">
        <v>395</v>
      </c>
    </row>
    <row r="610" spans="1:12" x14ac:dyDescent="0.3">
      <c r="A610" s="22" t="str">
        <f>TabVMAzureEnvProjet[[#This Row],[Client]] &amp; " .:. "  &amp; TabVMAzureEnvProjet[[#This Row],[Projet]]</f>
        <v>SPC .:. SPC-BUILD</v>
      </c>
      <c r="B610" s="22" t="str">
        <f>IF(TabVMAzureEnvProjet[[#This Row],[Projet AzureDevOps]]&lt;&gt;"",TabVMAzureEnvProjet[[#This Row],[Projet AzureDevOps]],TabVMAzureEnvProjet[[#This Row],[VM]])</f>
        <v>SPC-BUILD</v>
      </c>
      <c r="C610" s="50" t="s">
        <v>81</v>
      </c>
      <c r="E610" t="s">
        <v>4</v>
      </c>
      <c r="F610" t="s">
        <v>81</v>
      </c>
      <c r="G610" t="str">
        <f>LOOKUP(TabVMAzureEnvProjet[[#This Row],[Projet]],TabProjets[NomProj],TabProjets[SYGES])</f>
        <v>SPC/BUILD</v>
      </c>
      <c r="H610">
        <f>LOOKUP(TabVMAzureEnvProjet[[#This Row],[Code SYGES]],TabCONTRATSDI[Contrat SYGES],TabCONTRATSDI[Cost Center])</f>
        <v>305704</v>
      </c>
      <c r="I610" s="22" t="str">
        <f>LOOKUP(TabVMAzureEnvProjet[[#This Row],[Code SYGES]],TabCONTRATSDI[Contrat SYGES],TabCONTRATSDI[Client])</f>
        <v>SPC</v>
      </c>
      <c r="J610" t="s">
        <v>371</v>
      </c>
      <c r="K610" s="46">
        <v>44.568472804638468</v>
      </c>
      <c r="L610" s="40" t="s">
        <v>395</v>
      </c>
    </row>
    <row r="611" spans="1:12" x14ac:dyDescent="0.3">
      <c r="A611" s="22" t="str">
        <f>TabVMAzureEnvProjet[[#This Row],[Client]] &amp; " .:. "  &amp; TabVMAzureEnvProjet[[#This Row],[Projet]]</f>
        <v>SPC .:. SPC-WEB</v>
      </c>
      <c r="B611" s="22" t="str">
        <f>IF(TabVMAzureEnvProjet[[#This Row],[Projet AzureDevOps]]&lt;&gt;"",TabVMAzureEnvProjet[[#This Row],[Projet AzureDevOps]],TabVMAzureEnvProjet[[#This Row],[VM]])</f>
        <v>SPC-WEB</v>
      </c>
      <c r="C611" s="50" t="s">
        <v>83</v>
      </c>
      <c r="E611" t="s">
        <v>4</v>
      </c>
      <c r="F611" t="s">
        <v>83</v>
      </c>
      <c r="G611" t="str">
        <f>LOOKUP(TabVMAzureEnvProjet[[#This Row],[Projet]],TabProjets[NomProj],TabProjets[SYGES])</f>
        <v>SPC/BUILD-0-1-SITE-WEB</v>
      </c>
      <c r="H611">
        <f>LOOKUP(TabVMAzureEnvProjet[[#This Row],[Code SYGES]],TabCONTRATSDI[Contrat SYGES],TabCONTRATSDI[Cost Center])</f>
        <v>305704</v>
      </c>
      <c r="I611" s="22" t="str">
        <f>LOOKUP(TabVMAzureEnvProjet[[#This Row],[Code SYGES]],TabCONTRATSDI[Contrat SYGES],TabCONTRATSDI[Client])</f>
        <v>SPC</v>
      </c>
      <c r="J611" t="s">
        <v>371</v>
      </c>
      <c r="K611" s="46">
        <v>5.4326205112968751</v>
      </c>
      <c r="L611" s="40" t="s">
        <v>395</v>
      </c>
    </row>
    <row r="612" spans="1:12" x14ac:dyDescent="0.3">
      <c r="A612" s="22" t="str">
        <f>TabVMAzureEnvProjet[[#This Row],[Client]] &amp; " .:. "  &amp; TabVMAzureEnvProjet[[#This Row],[Projet]]</f>
        <v>STMICRO .:. STMICRO-DATAPACK</v>
      </c>
      <c r="B612" s="22" t="str">
        <f>IF(TabVMAzureEnvProjet[[#This Row],[Projet AzureDevOps]]&lt;&gt;"",TabVMAzureEnvProjet[[#This Row],[Projet AzureDevOps]],TabVMAzureEnvProjet[[#This Row],[VM]])</f>
        <v>STMICRO-DATAPACK</v>
      </c>
      <c r="C612" s="50" t="s">
        <v>108</v>
      </c>
      <c r="E612" t="s">
        <v>4</v>
      </c>
      <c r="F612" t="s">
        <v>108</v>
      </c>
      <c r="G612" t="str">
        <f>LOOKUP(TabVMAzureEnvProjet[[#This Row],[Projet]],TabProjets[NomProj],TabProjets[SYGES])</f>
        <v>STMICRO/TMASI</v>
      </c>
      <c r="H612">
        <f>LOOKUP(TabVMAzureEnvProjet[[#This Row],[Code SYGES]],TabCONTRATSDI[Contrat SYGES],TabCONTRATSDI[Cost Center])</f>
        <v>305704</v>
      </c>
      <c r="I612" s="22" t="str">
        <f>LOOKUP(TabVMAzureEnvProjet[[#This Row],[Code SYGES]],TabCONTRATSDI[Contrat SYGES],TabCONTRATSDI[Client])</f>
        <v>STMICRO</v>
      </c>
      <c r="J612" t="s">
        <v>371</v>
      </c>
      <c r="K612" s="46">
        <v>3.8673558965539376</v>
      </c>
      <c r="L612" s="40" t="s">
        <v>395</v>
      </c>
    </row>
    <row r="613" spans="1:12" x14ac:dyDescent="0.3">
      <c r="A613" s="22" t="str">
        <f>TabVMAzureEnvProjet[[#This Row],[Client]] &amp; " .:. "  &amp; TabVMAzureEnvProjet[[#This Row],[Projet]]</f>
        <v>STMICRO .:. STMICRO-ROCKET</v>
      </c>
      <c r="B613" s="22" t="str">
        <f>IF(TabVMAzureEnvProjet[[#This Row],[Projet AzureDevOps]]&lt;&gt;"",TabVMAzureEnvProjet[[#This Row],[Projet AzureDevOps]],TabVMAzureEnvProjet[[#This Row],[VM]])</f>
        <v>STMICRO-ROCKET</v>
      </c>
      <c r="C613" s="50" t="s">
        <v>110</v>
      </c>
      <c r="E613" t="s">
        <v>4</v>
      </c>
      <c r="F613" t="s">
        <v>110</v>
      </c>
      <c r="G613" t="str">
        <f>LOOKUP(TabVMAzureEnvProjet[[#This Row],[Projet]],TabProjets[NomProj],TabProjets[SYGES])</f>
        <v>STMICRO/TMASI</v>
      </c>
      <c r="H613">
        <f>LOOKUP(TabVMAzureEnvProjet[[#This Row],[Code SYGES]],TabCONTRATSDI[Contrat SYGES],TabCONTRATSDI[Cost Center])</f>
        <v>305704</v>
      </c>
      <c r="I613" s="22" t="str">
        <f>LOOKUP(TabVMAzureEnvProjet[[#This Row],[Code SYGES]],TabCONTRATSDI[Contrat SYGES],TabCONTRATSDI[Client])</f>
        <v>STMICRO</v>
      </c>
      <c r="J613" t="s">
        <v>371</v>
      </c>
      <c r="K613" s="46">
        <v>5.3699956124445629</v>
      </c>
      <c r="L613" s="40" t="s">
        <v>395</v>
      </c>
    </row>
    <row r="614" spans="1:12" x14ac:dyDescent="0.3">
      <c r="A614" s="22" t="str">
        <f>TabVMAzureEnvProjet[[#This Row],[Client]] &amp; " .:. "  &amp; TabVMAzureEnvProjet[[#This Row],[Projet]]</f>
        <v>ALM .:. ALM-ATOUT</v>
      </c>
      <c r="B614" s="22" t="str">
        <f>IF(TabVMAzureEnvProjet[[#This Row],[Projet AzureDevOps]]&lt;&gt;"",TabVMAzureEnvProjet[[#This Row],[Projet AzureDevOps]],TabVMAzureEnvProjet[[#This Row],[VM]])</f>
        <v>ALM-ATOUT-VM</v>
      </c>
      <c r="D614" t="s">
        <v>16</v>
      </c>
      <c r="E614" t="s">
        <v>8</v>
      </c>
      <c r="F614" t="s">
        <v>15</v>
      </c>
      <c r="G614" t="str">
        <f>LOOKUP(TabVMAzureEnvProjet[[#This Row],[Projet]],TabProjets[NomProj],TabProjets[SYGES])</f>
        <v>ALM/TMA_ATOUT</v>
      </c>
      <c r="H614">
        <f>LOOKUP(TabVMAzureEnvProjet[[#This Row],[Code SYGES]],TabCONTRATSDI[Contrat SYGES],TabCONTRATSDI[Cost Center])</f>
        <v>305704</v>
      </c>
      <c r="I614" s="22" t="str">
        <f>LOOKUP(TabVMAzureEnvProjet[[#This Row],[Code SYGES]],TabCONTRATSDI[Contrat SYGES],TabCONTRATSDI[Client])</f>
        <v>ALM</v>
      </c>
      <c r="J614" t="s">
        <v>371</v>
      </c>
      <c r="K614" s="31">
        <v>11.029620224204988</v>
      </c>
      <c r="L614" s="40" t="s">
        <v>396</v>
      </c>
    </row>
    <row r="615" spans="1:12" x14ac:dyDescent="0.3">
      <c r="A615" s="22" t="str">
        <f>TabVMAzureEnvProjet[[#This Row],[Client]] &amp; " .:. "  &amp; TabVMAzureEnvProjet[[#This Row],[Projet]]</f>
        <v>BRGM .:. BRGM-ORRM</v>
      </c>
      <c r="B615" s="22" t="str">
        <f>IF(TabVMAzureEnvProjet[[#This Row],[Projet AzureDevOps]]&lt;&gt;"",TabVMAzureEnvProjet[[#This Row],[Projet AzureDevOps]],TabVMAzureEnvProjet[[#This Row],[VM]])</f>
        <v>BRGM-ORRM-VM</v>
      </c>
      <c r="D615" t="s">
        <v>20</v>
      </c>
      <c r="E615" t="s">
        <v>19</v>
      </c>
      <c r="F615" t="s">
        <v>18</v>
      </c>
      <c r="G615" t="str">
        <f>LOOKUP(TabVMAzureEnvProjet[[#This Row],[Projet]],TabProjets[NomProj],TabProjets[SYGES])</f>
        <v>BRGM/TMA-5-1-ORRM-LOT1</v>
      </c>
      <c r="H615">
        <f>LOOKUP(TabVMAzureEnvProjet[[#This Row],[Code SYGES]],TabCONTRATSDI[Contrat SYGES],TabCONTRATSDI[Cost Center])</f>
        <v>305704</v>
      </c>
      <c r="I615" s="22" t="str">
        <f>LOOKUP(TabVMAzureEnvProjet[[#This Row],[Code SYGES]],TabCONTRATSDI[Contrat SYGES],TabCONTRATSDI[Client])</f>
        <v>BRGM</v>
      </c>
      <c r="J615" t="s">
        <v>371</v>
      </c>
      <c r="K615" s="31">
        <v>2.0860619232822391</v>
      </c>
      <c r="L615" s="40" t="s">
        <v>396</v>
      </c>
    </row>
    <row r="616" spans="1:12" x14ac:dyDescent="0.3">
      <c r="A616" s="22" t="str">
        <f>TabVMAzureEnvProjet[[#This Row],[Client]] &amp; " .:. "  &amp; TabVMAzureEnvProjet[[#This Row],[Projet]]</f>
        <v>CA-TITRES .:. CATITRES-COMX</v>
      </c>
      <c r="B616" s="22" t="str">
        <f>IF(TabVMAzureEnvProjet[[#This Row],[Projet AzureDevOps]]&lt;&gt;"",TabVMAzureEnvProjet[[#This Row],[Projet AzureDevOps]],TabVMAzureEnvProjet[[#This Row],[VM]])</f>
        <v>CATITRES-COMX-VM</v>
      </c>
      <c r="D616" t="s">
        <v>23</v>
      </c>
      <c r="E616" t="s">
        <v>11</v>
      </c>
      <c r="F616" t="s">
        <v>22</v>
      </c>
      <c r="G616" t="str">
        <f>LOOKUP(TabVMAzureEnvProjet[[#This Row],[Projet]],TabProjets[NomProj],TabProjets[SYGES])</f>
        <v>CA-TITRES/TMA</v>
      </c>
      <c r="H616">
        <f>LOOKUP(TabVMAzureEnvProjet[[#This Row],[Code SYGES]],TabCONTRATSDI[Contrat SYGES],TabCONTRATSDI[Cost Center])</f>
        <v>305704</v>
      </c>
      <c r="I616" s="22" t="str">
        <f>LOOKUP(TabVMAzureEnvProjet[[#This Row],[Code SYGES]],TabCONTRATSDI[Contrat SYGES],TabCONTRATSDI[Client])</f>
        <v>CA-TITRES</v>
      </c>
      <c r="J616" t="s">
        <v>371</v>
      </c>
      <c r="K616" s="31">
        <v>7.1341012735453369</v>
      </c>
      <c r="L616" s="40" t="s">
        <v>396</v>
      </c>
    </row>
    <row r="617" spans="1:12" x14ac:dyDescent="0.3">
      <c r="A617" s="22" t="str">
        <f>TabVMAzureEnvProjet[[#This Row],[Client]] &amp; " .:. "  &amp; TabVMAzureEnvProjet[[#This Row],[Projet]]</f>
        <v>EBR .:. EBR-LAPOSTE</v>
      </c>
      <c r="B617" s="22" t="str">
        <f>IF(TabVMAzureEnvProjet[[#This Row],[Projet AzureDevOps]]&lt;&gt;"",TabVMAzureEnvProjet[[#This Row],[Projet AzureDevOps]],TabVMAzureEnvProjet[[#This Row],[VM]])</f>
        <v>EBR-LAPOSTE-VM</v>
      </c>
      <c r="D617" t="s">
        <v>90</v>
      </c>
      <c r="E617" t="s">
        <v>11</v>
      </c>
      <c r="F617" t="s">
        <v>89</v>
      </c>
      <c r="G617" t="str">
        <f>LOOKUP(TabVMAzureEnvProjet[[#This Row],[Projet]],TabProjets[NomProj],TabProjets[SYGES])</f>
        <v>EBR/TMA</v>
      </c>
      <c r="H617">
        <f>LOOKUP(TabVMAzureEnvProjet[[#This Row],[Code SYGES]],TabCONTRATSDI[Contrat SYGES],TabCONTRATSDI[Cost Center])</f>
        <v>305704</v>
      </c>
      <c r="I617" s="22" t="str">
        <f>LOOKUP(TabVMAzureEnvProjet[[#This Row],[Code SYGES]],TabCONTRATSDI[Contrat SYGES],TabCONTRATSDI[Client])</f>
        <v>EBR</v>
      </c>
      <c r="J617" t="s">
        <v>371</v>
      </c>
      <c r="K617" s="31">
        <v>85.309559978647144</v>
      </c>
      <c r="L617" s="40" t="s">
        <v>396</v>
      </c>
    </row>
    <row r="618" spans="1:12" x14ac:dyDescent="0.3">
      <c r="A618" s="22" t="str">
        <f>TabVMAzureEnvProjet[[#This Row],[Client]] &amp; " .:. "  &amp; TabVMAzureEnvProjet[[#This Row],[Projet]]</f>
        <v>GFI .:. GFI-PMT</v>
      </c>
      <c r="B618" s="22" t="str">
        <f>IF(TabVMAzureEnvProjet[[#This Row],[Projet AzureDevOps]]&lt;&gt;"",TabVMAzureEnvProjet[[#This Row],[Projet AzureDevOps]],TabVMAzureEnvProjet[[#This Row],[VM]])</f>
        <v>GFI-PMT-VM</v>
      </c>
      <c r="D618" t="s">
        <v>48</v>
      </c>
      <c r="E618" t="s">
        <v>11</v>
      </c>
      <c r="F618" t="s">
        <v>47</v>
      </c>
      <c r="G618" t="str">
        <f>LOOKUP(TabVMAzureEnvProjet[[#This Row],[Projet]],TabProjets[NomProj],TabProjets[SYGES])</f>
        <v>GFI/PROJET_INTERNE</v>
      </c>
      <c r="H618">
        <f>LOOKUP(TabVMAzureEnvProjet[[#This Row],[Code SYGES]],TabCONTRATSDI[Contrat SYGES],TabCONTRATSDI[Cost Center])</f>
        <v>305704</v>
      </c>
      <c r="I618" s="22" t="str">
        <f>LOOKUP(TabVMAzureEnvProjet[[#This Row],[Code SYGES]],TabCONTRATSDI[Contrat SYGES],TabCONTRATSDI[Client])</f>
        <v>GFI</v>
      </c>
      <c r="J618" t="s">
        <v>371</v>
      </c>
      <c r="K618" s="31">
        <v>16.746121406238082</v>
      </c>
      <c r="L618" s="40" t="s">
        <v>396</v>
      </c>
    </row>
    <row r="619" spans="1:12" x14ac:dyDescent="0.3">
      <c r="A619" s="22" t="str">
        <f>TabVMAzureEnvProjet[[#This Row],[Client]] &amp; " .:. "  &amp; TabVMAzureEnvProjet[[#This Row],[Projet]]</f>
        <v>MENESR .:. MENJ-BI</v>
      </c>
      <c r="B619" s="22" t="str">
        <f>IF(TabVMAzureEnvProjet[[#This Row],[Projet AzureDevOps]]&lt;&gt;"",TabVMAzureEnvProjet[[#This Row],[Projet AzureDevOps]],TabVMAzureEnvProjet[[#This Row],[VM]])</f>
        <v>MENJ-BI-VM</v>
      </c>
      <c r="D619" t="s">
        <v>66</v>
      </c>
      <c r="E619" t="s">
        <v>8</v>
      </c>
      <c r="F619" t="s">
        <v>65</v>
      </c>
      <c r="G619" t="str">
        <f>LOOKUP(TabVMAzureEnvProjet[[#This Row],[Projet]],TabProjets[NomProj],TabProjets[SYGES])</f>
        <v>MENESR/TMA</v>
      </c>
      <c r="H619">
        <f>LOOKUP(TabVMAzureEnvProjet[[#This Row],[Code SYGES]],TabCONTRATSDI[Contrat SYGES],TabCONTRATSDI[Cost Center])</f>
        <v>305704</v>
      </c>
      <c r="I619" s="22" t="str">
        <f>LOOKUP(TabVMAzureEnvProjet[[#This Row],[Code SYGES]],TabCONTRATSDI[Contrat SYGES],TabCONTRATSDI[Client])</f>
        <v>MENESR</v>
      </c>
      <c r="J619" t="s">
        <v>371</v>
      </c>
      <c r="K619" s="31">
        <v>2.1782635552505147</v>
      </c>
      <c r="L619" s="40" t="s">
        <v>396</v>
      </c>
    </row>
    <row r="620" spans="1:12" x14ac:dyDescent="0.3">
      <c r="A620" s="22" t="str">
        <f>TabVMAzureEnvProjet[[#This Row],[Client]] &amp; " .:. "  &amp; TabVMAzureEnvProjet[[#This Row],[Projet]]</f>
        <v>AFB .:. AFB-NatureFrance</v>
      </c>
      <c r="B620" s="22" t="str">
        <f>IF(TabVMAzureEnvProjet[[#This Row],[Projet AzureDevOps]]&lt;&gt;"",TabVMAzureEnvProjet[[#This Row],[Projet AzureDevOps]],TabVMAzureEnvProjet[[#This Row],[VM]])</f>
        <v>OFB-FRANCENATURE-VM</v>
      </c>
      <c r="D620" t="s">
        <v>9</v>
      </c>
      <c r="E620" t="s">
        <v>8</v>
      </c>
      <c r="F620" t="s">
        <v>7</v>
      </c>
      <c r="G620" t="str">
        <f>LOOKUP(TabVMAzureEnvProjet[[#This Row],[Projet]],TabProjets[NomProj],TabProjets[SYGES])</f>
        <v>AFB/OFB_LOT2</v>
      </c>
      <c r="H620">
        <f>LOOKUP(TabVMAzureEnvProjet[[#This Row],[Code SYGES]],TabCONTRATSDI[Contrat SYGES],TabCONTRATSDI[Cost Center])</f>
        <v>305704</v>
      </c>
      <c r="I620" s="22" t="str">
        <f>LOOKUP(TabVMAzureEnvProjet[[#This Row],[Code SYGES]],TabCONTRATSDI[Contrat SYGES],TabCONTRATSDI[Client])</f>
        <v>AFB</v>
      </c>
      <c r="J620" t="s">
        <v>371</v>
      </c>
      <c r="K620" s="31">
        <v>2.1321627392663771</v>
      </c>
      <c r="L620" s="40" t="s">
        <v>396</v>
      </c>
    </row>
    <row r="621" spans="1:12" x14ac:dyDescent="0.3">
      <c r="A621" s="22" t="str">
        <f>TabVMAzureEnvProjet[[#This Row],[Client]] &amp; " .:. "  &amp; TabVMAzureEnvProjet[[#This Row],[Projet]]</f>
        <v>AFB .:. OFB-SISPEA</v>
      </c>
      <c r="B621" s="22" t="str">
        <f>IF(TabVMAzureEnvProjet[[#This Row],[Projet AzureDevOps]]&lt;&gt;"",TabVMAzureEnvProjet[[#This Row],[Projet AzureDevOps]],TabVMAzureEnvProjet[[#This Row],[VM]])</f>
        <v>OFB-SISPEA-VM</v>
      </c>
      <c r="D621" t="s">
        <v>12</v>
      </c>
      <c r="E621" t="s">
        <v>11</v>
      </c>
      <c r="F621" t="s">
        <v>10</v>
      </c>
      <c r="G621" t="str">
        <f>LOOKUP(TabVMAzureEnvProjet[[#This Row],[Projet]],TabProjets[NomProj],TabProjets[SYGES])</f>
        <v>AFB/OFB_LOT2</v>
      </c>
      <c r="H621">
        <f>LOOKUP(TabVMAzureEnvProjet[[#This Row],[Code SYGES]],TabCONTRATSDI[Contrat SYGES],TabCONTRATSDI[Cost Center])</f>
        <v>305704</v>
      </c>
      <c r="I621" s="22" t="str">
        <f>LOOKUP(TabVMAzureEnvProjet[[#This Row],[Code SYGES]],TabCONTRATSDI[Contrat SYGES],TabCONTRATSDI[Client])</f>
        <v>AFB</v>
      </c>
      <c r="J621" t="s">
        <v>371</v>
      </c>
      <c r="K621" s="31">
        <v>6.7422443376801642</v>
      </c>
      <c r="L621" s="40" t="s">
        <v>396</v>
      </c>
    </row>
    <row r="622" spans="1:12" x14ac:dyDescent="0.3">
      <c r="A622" s="22" t="str">
        <f>TabVMAzureEnvProjet[[#This Row],[Client]] &amp; " .:. "  &amp; TabVMAzureEnvProjet[[#This Row],[Projet]]</f>
        <v>SPC .:. SPC-BUILD</v>
      </c>
      <c r="B622" s="22" t="str">
        <f>IF(TabVMAzureEnvProjet[[#This Row],[Projet AzureDevOps]]&lt;&gt;"",TabVMAzureEnvProjet[[#This Row],[Projet AzureDevOps]],TabVMAzureEnvProjet[[#This Row],[VM]])</f>
        <v>SPC-BUILDAS-VM</v>
      </c>
      <c r="D622" t="s">
        <v>82</v>
      </c>
      <c r="E622" t="s">
        <v>11</v>
      </c>
      <c r="F622" t="s">
        <v>81</v>
      </c>
      <c r="G622" t="str">
        <f>LOOKUP(TabVMAzureEnvProjet[[#This Row],[Projet]],TabProjets[NomProj],TabProjets[SYGES])</f>
        <v>SPC/BUILD</v>
      </c>
      <c r="H622">
        <f>LOOKUP(TabVMAzureEnvProjet[[#This Row],[Code SYGES]],TabCONTRATSDI[Contrat SYGES],TabCONTRATSDI[Cost Center])</f>
        <v>305704</v>
      </c>
      <c r="I622" s="22" t="str">
        <f>LOOKUP(TabVMAzureEnvProjet[[#This Row],[Code SYGES]],TabCONTRATSDI[Contrat SYGES],TabCONTRATSDI[Client])</f>
        <v>SPC</v>
      </c>
      <c r="J622" t="s">
        <v>371</v>
      </c>
      <c r="K622" s="31">
        <v>87.441722717913521</v>
      </c>
      <c r="L622" s="40" t="s">
        <v>396</v>
      </c>
    </row>
    <row r="623" spans="1:12" x14ac:dyDescent="0.3">
      <c r="A623" s="22" t="str">
        <f>TabVMAzureEnvProjet[[#This Row],[Client]] &amp; " .:. "  &amp; TabVMAzureEnvProjet[[#This Row],[Projet]]</f>
        <v>STMICRO .:. STMICRO-DATAPACK</v>
      </c>
      <c r="B623" s="22" t="str">
        <f>IF(TabVMAzureEnvProjet[[#This Row],[Projet AzureDevOps]]&lt;&gt;"",TabVMAzureEnvProjet[[#This Row],[Projet AzureDevOps]],TabVMAzureEnvProjet[[#This Row],[VM]])</f>
        <v>STMICRO-DATAPACK-VM</v>
      </c>
      <c r="D623" t="s">
        <v>109</v>
      </c>
      <c r="E623" t="s">
        <v>11</v>
      </c>
      <c r="F623" t="s">
        <v>108</v>
      </c>
      <c r="G623" t="str">
        <f>LOOKUP(TabVMAzureEnvProjet[[#This Row],[Projet]],TabProjets[NomProj],TabProjets[SYGES])</f>
        <v>STMICRO/TMASI</v>
      </c>
      <c r="H623">
        <f>LOOKUP(TabVMAzureEnvProjet[[#This Row],[Code SYGES]],TabCONTRATSDI[Contrat SYGES],TabCONTRATSDI[Cost Center])</f>
        <v>305704</v>
      </c>
      <c r="I623" s="22" t="str">
        <f>LOOKUP(TabVMAzureEnvProjet[[#This Row],[Code SYGES]],TabCONTRATSDI[Contrat SYGES],TabCONTRATSDI[Client])</f>
        <v>STMICRO</v>
      </c>
      <c r="J623" t="s">
        <v>371</v>
      </c>
      <c r="K623" s="31">
        <v>7.5720590253946467</v>
      </c>
      <c r="L623" s="40" t="s">
        <v>396</v>
      </c>
    </row>
    <row r="624" spans="1:12" x14ac:dyDescent="0.3">
      <c r="A624" s="22" t="str">
        <f>TabVMAzureEnvProjet[[#This Row],[Client]] &amp; " .:. "  &amp; TabVMAzureEnvProjet[[#This Row],[Projet]]</f>
        <v>FRR .:. FRR-DIGIPAT</v>
      </c>
      <c r="B624" s="22" t="str">
        <f>IF(TabVMAzureEnvProjet[[#This Row],[Projet AzureDevOps]]&lt;&gt;"",TabVMAzureEnvProjet[[#This Row],[Projet AzureDevOps]],TabVMAzureEnvProjet[[#This Row],[VM]])</f>
        <v>FRR-DIGIPAT-VM</v>
      </c>
      <c r="D624" t="s">
        <v>29</v>
      </c>
      <c r="E624" t="s">
        <v>19</v>
      </c>
      <c r="F624" t="s">
        <v>27</v>
      </c>
      <c r="G624" t="str">
        <f>LOOKUP(TabVMAzureEnvProjet[[#This Row],[Projet]],TabProjets[NomProj],TabProjets[SYGES])</f>
        <v>FRR/TMASI</v>
      </c>
      <c r="H624">
        <f>LOOKUP(TabVMAzureEnvProjet[[#This Row],[Code SYGES]],TabCONTRATSDI[Contrat SYGES],TabCONTRATSDI[Cost Center])</f>
        <v>305704</v>
      </c>
      <c r="I624" s="22" t="str">
        <f>LOOKUP(TabVMAzureEnvProjet[[#This Row],[Code SYGES]],TabCONTRATSDI[Contrat SYGES],TabCONTRATSDI[Client])</f>
        <v>FRR</v>
      </c>
      <c r="J624" t="s">
        <v>371</v>
      </c>
      <c r="K624" s="31">
        <v>6.650042705711888</v>
      </c>
      <c r="L624" s="40" t="s">
        <v>396</v>
      </c>
    </row>
    <row r="625" spans="1:12" x14ac:dyDescent="0.3">
      <c r="A625" s="22" t="str">
        <f>TabVMAzureEnvProjet[[#This Row],[Client]] &amp; " .:. "  &amp; TabVMAzureEnvProjet[[#This Row],[Projet]]</f>
        <v>GFI .:. GFI-WAAC</v>
      </c>
      <c r="B625" s="22" t="str">
        <f>IF(TabVMAzureEnvProjet[[#This Row],[Projet AzureDevOps]]&lt;&gt;"",TabVMAzureEnvProjet[[#This Row],[Projet AzureDevOps]],TabVMAzureEnvProjet[[#This Row],[VM]])</f>
        <v>GFI-WAAC-VM</v>
      </c>
      <c r="D625" t="s">
        <v>53</v>
      </c>
      <c r="E625" t="s">
        <v>8</v>
      </c>
      <c r="F625" t="s">
        <v>52</v>
      </c>
      <c r="G625" t="str">
        <f>LOOKUP(TabVMAzureEnvProjet[[#This Row],[Projet]],TabProjets[NomProj],TabProjets[SYGES])</f>
        <v>383928 - WAAC 1.0</v>
      </c>
      <c r="H625">
        <f>LOOKUP(TabVMAzureEnvProjet[[#This Row],[Code SYGES]],TabCONTRATSDI[Contrat SYGES],TabCONTRATSDI[Cost Center])</f>
        <v>100973</v>
      </c>
      <c r="I625" s="22" t="str">
        <f>LOOKUP(TabVMAzureEnvProjet[[#This Row],[Code SYGES]],TabCONTRATSDI[Contrat SYGES],TabCONTRATSDI[Client])</f>
        <v>GFI</v>
      </c>
      <c r="J625" t="s">
        <v>371</v>
      </c>
      <c r="K625" s="31">
        <v>39.934831846259435</v>
      </c>
      <c r="L625" s="40" t="s">
        <v>396</v>
      </c>
    </row>
    <row r="626" spans="1:12" x14ac:dyDescent="0.3">
      <c r="A626" s="22" t="str">
        <f>TabVMAzureEnvProjet[[#This Row],[Client]] &amp; " .:. "  &amp; TabVMAzureEnvProjet[[#This Row],[Projet]]</f>
        <v>LAPOSTE .:. LAPOSTE-CDC</v>
      </c>
      <c r="B626" s="22" t="str">
        <f>IF(TabVMAzureEnvProjet[[#This Row],[Projet AzureDevOps]]&lt;&gt;"",TabVMAzureEnvProjet[[#This Row],[Projet AzureDevOps]],TabVMAzureEnvProjet[[#This Row],[VM]])</f>
        <v>LAPOSTE-CDC-VM</v>
      </c>
      <c r="D626" t="s">
        <v>100</v>
      </c>
      <c r="E626" t="s">
        <v>11</v>
      </c>
      <c r="F626" t="s">
        <v>99</v>
      </c>
      <c r="G626" t="str">
        <f>LOOKUP(TabVMAzureEnvProjet[[#This Row],[Projet]],TabProjets[NomProj],TabProjets[SYGES])</f>
        <v>LA-POSTE/CDC_DRUPAL</v>
      </c>
      <c r="H626">
        <f>LOOKUP(TabVMAzureEnvProjet[[#This Row],[Code SYGES]],TabCONTRATSDI[Contrat SYGES],TabCONTRATSDI[Cost Center])</f>
        <v>305704</v>
      </c>
      <c r="I626" s="22" t="str">
        <f>LOOKUP(TabVMAzureEnvProjet[[#This Row],[Code SYGES]],TabCONTRATSDI[Contrat SYGES],TabCONTRATSDI[Client])</f>
        <v>LAPOSTE</v>
      </c>
      <c r="J626" t="s">
        <v>371</v>
      </c>
      <c r="K626" s="31">
        <v>2.1782635552505147</v>
      </c>
      <c r="L626" s="40" t="s">
        <v>396</v>
      </c>
    </row>
    <row r="627" spans="1:12" x14ac:dyDescent="0.3">
      <c r="A627" s="22" t="str">
        <f>TabVMAzureEnvProjet[[#This Row],[Client]] &amp; " .:. "  &amp; TabVMAzureEnvProjet[[#This Row],[Projet]]</f>
        <v>MENESR .:. MENJ-INSERJEUNES</v>
      </c>
      <c r="B627" s="22" t="str">
        <f>IF(TabVMAzureEnvProjet[[#This Row],[Projet AzureDevOps]]&lt;&gt;"",TabVMAzureEnvProjet[[#This Row],[Projet AzureDevOps]],TabVMAzureEnvProjet[[#This Row],[VM]])</f>
        <v>MENJ-INERJEUNES</v>
      </c>
      <c r="D627" t="s">
        <v>69</v>
      </c>
      <c r="E627" t="s">
        <v>19</v>
      </c>
      <c r="F627" t="s">
        <v>67</v>
      </c>
      <c r="G627" t="str">
        <f>LOOKUP(TabVMAzureEnvProjet[[#This Row],[Projet]],TabProjets[NomProj],TabProjets[SYGES])</f>
        <v>MENESR - TMA - 23 - 1 - INSERJEUNES</v>
      </c>
      <c r="H627">
        <f>LOOKUP(TabVMAzureEnvProjet[[#This Row],[Code SYGES]],TabCONTRATSDI[Contrat SYGES],TabCONTRATSDI[Cost Center])</f>
        <v>305704</v>
      </c>
      <c r="I627" s="22" t="str">
        <f>LOOKUP(TabVMAzureEnvProjet[[#This Row],[Code SYGES]],TabCONTRATSDI[Contrat SYGES],TabCONTRATSDI[Client])</f>
        <v>MENESR</v>
      </c>
      <c r="J627" t="s">
        <v>371</v>
      </c>
      <c r="K627" s="31">
        <v>20.457237092961183</v>
      </c>
      <c r="L627" s="40" t="s">
        <v>396</v>
      </c>
    </row>
    <row r="628" spans="1:12" x14ac:dyDescent="0.3">
      <c r="A628" s="22" t="str">
        <f>TabVMAzureEnvProjet[[#This Row],[Client]] &amp; " .:. "  &amp; TabVMAzureEnvProjet[[#This Row],[Projet]]</f>
        <v>AFB .:. OFB-ESTAMP</v>
      </c>
      <c r="B628" s="22" t="str">
        <f>IF(TabVMAzureEnvProjet[[#This Row],[Projet AzureDevOps]]&lt;&gt;"",TabVMAzureEnvProjet[[#This Row],[Projet AzureDevOps]],TabVMAzureEnvProjet[[#This Row],[VM]])</f>
        <v>OFB-ESTAMP</v>
      </c>
      <c r="D628" t="s">
        <v>394</v>
      </c>
      <c r="E628" t="s">
        <v>8</v>
      </c>
      <c r="F628" t="s">
        <v>394</v>
      </c>
      <c r="G628" t="str">
        <f>LOOKUP(TabVMAzureEnvProjet[[#This Row],[Projet]],TabProjets[NomProj],TabProjets[SYGES])</f>
        <v>AFB/OFB_LOT1</v>
      </c>
      <c r="H628">
        <f>LOOKUP(TabVMAzureEnvProjet[[#This Row],[Code SYGES]],TabCONTRATSDI[Contrat SYGES],TabCONTRATSDI[Cost Center])</f>
        <v>305704</v>
      </c>
      <c r="I628" s="22" t="str">
        <f>LOOKUP(TabVMAzureEnvProjet[[#This Row],[Code SYGES]],TabCONTRATSDI[Contrat SYGES],TabCONTRATSDI[Client])</f>
        <v>AFB</v>
      </c>
      <c r="J628" t="s">
        <v>371</v>
      </c>
      <c r="K628" s="31">
        <v>4.6677076183939601</v>
      </c>
      <c r="L628" s="40" t="s">
        <v>396</v>
      </c>
    </row>
  </sheetData>
  <phoneticPr fontId="6" type="noConversion"/>
  <dataValidations count="5">
    <dataValidation type="list" allowBlank="1" showInputMessage="1" showErrorMessage="1" sqref="D2:D628">
      <formula1>ListeVMAZURE</formula1>
    </dataValidation>
    <dataValidation type="list" allowBlank="1" showInputMessage="1" showErrorMessage="1" sqref="E2:E628">
      <formula1>ListeRefEnv</formula1>
    </dataValidation>
    <dataValidation type="list" allowBlank="1" showInputMessage="1" showErrorMessage="1" sqref="J2:J628">
      <formula1>ListeDates</formula1>
    </dataValidation>
    <dataValidation type="list" allowBlank="1" showInputMessage="1" showErrorMessage="1" sqref="C2:C628">
      <formula1>ListeAzureDevOps</formula1>
    </dataValidation>
    <dataValidation type="list" allowBlank="1" showInputMessage="1" showErrorMessage="1" sqref="F2:F628">
      <formula1>ListeProjets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5"/>
  </sheetPr>
  <dimension ref="A1:A59"/>
  <sheetViews>
    <sheetView topLeftCell="A13" workbookViewId="0">
      <selection activeCell="G47" sqref="G47"/>
    </sheetView>
  </sheetViews>
  <sheetFormatPr baseColWidth="10" defaultColWidth="11.44140625" defaultRowHeight="14.4" x14ac:dyDescent="0.3"/>
  <cols>
    <col min="1" max="1" width="23" bestFit="1" customWidth="1"/>
    <col min="2" max="11" width="12.33203125" bestFit="1" customWidth="1"/>
  </cols>
  <sheetData>
    <row r="1" spans="1:1" x14ac:dyDescent="0.3">
      <c r="A1" s="2" t="s">
        <v>148</v>
      </c>
    </row>
    <row r="2" spans="1:1" x14ac:dyDescent="0.3">
      <c r="A2" s="48" t="s">
        <v>72</v>
      </c>
    </row>
    <row r="3" spans="1:1" x14ac:dyDescent="0.3">
      <c r="A3" s="48" t="s">
        <v>74</v>
      </c>
    </row>
    <row r="4" spans="1:1" x14ac:dyDescent="0.3">
      <c r="A4" s="48" t="s">
        <v>75</v>
      </c>
    </row>
    <row r="5" spans="1:1" x14ac:dyDescent="0.3">
      <c r="A5" s="48" t="s">
        <v>3</v>
      </c>
    </row>
    <row r="6" spans="1:1" x14ac:dyDescent="0.3">
      <c r="A6" s="48" t="s">
        <v>76</v>
      </c>
    </row>
    <row r="7" spans="1:1" x14ac:dyDescent="0.3">
      <c r="A7" s="48" t="s">
        <v>78</v>
      </c>
    </row>
    <row r="8" spans="1:1" x14ac:dyDescent="0.3">
      <c r="A8" s="48" t="s">
        <v>5</v>
      </c>
    </row>
    <row r="9" spans="1:1" x14ac:dyDescent="0.3">
      <c r="A9" s="48" t="s">
        <v>6</v>
      </c>
    </row>
    <row r="10" spans="1:1" x14ac:dyDescent="0.3">
      <c r="A10" s="48" t="s">
        <v>79</v>
      </c>
    </row>
    <row r="11" spans="1:1" x14ac:dyDescent="0.3">
      <c r="A11" s="48" t="s">
        <v>15</v>
      </c>
    </row>
    <row r="12" spans="1:1" x14ac:dyDescent="0.3">
      <c r="A12" s="48" t="s">
        <v>18</v>
      </c>
    </row>
    <row r="13" spans="1:1" x14ac:dyDescent="0.3">
      <c r="A13" s="48" t="s">
        <v>112</v>
      </c>
    </row>
    <row r="14" spans="1:1" x14ac:dyDescent="0.3">
      <c r="A14" s="48" t="s">
        <v>25</v>
      </c>
    </row>
    <row r="15" spans="1:1" x14ac:dyDescent="0.3">
      <c r="A15" s="48" t="s">
        <v>37</v>
      </c>
    </row>
    <row r="16" spans="1:1" x14ac:dyDescent="0.3">
      <c r="A16" s="48" t="s">
        <v>38</v>
      </c>
    </row>
    <row r="17" spans="1:1" x14ac:dyDescent="0.3">
      <c r="A17" s="48" t="s">
        <v>28</v>
      </c>
    </row>
    <row r="18" spans="1:1" x14ac:dyDescent="0.3">
      <c r="A18" s="48" t="s">
        <v>30</v>
      </c>
    </row>
    <row r="19" spans="1:1" x14ac:dyDescent="0.3">
      <c r="A19" s="48" t="s">
        <v>31</v>
      </c>
    </row>
    <row r="20" spans="1:1" x14ac:dyDescent="0.3">
      <c r="A20" s="48" t="s">
        <v>33</v>
      </c>
    </row>
    <row r="21" spans="1:1" x14ac:dyDescent="0.3">
      <c r="A21" s="48" t="s">
        <v>34</v>
      </c>
    </row>
    <row r="22" spans="1:1" x14ac:dyDescent="0.3">
      <c r="A22" s="48" t="s">
        <v>39</v>
      </c>
    </row>
    <row r="23" spans="1:1" x14ac:dyDescent="0.3">
      <c r="A23" s="48" t="s">
        <v>40</v>
      </c>
    </row>
    <row r="24" spans="1:1" x14ac:dyDescent="0.3">
      <c r="A24" s="48" t="s">
        <v>41</v>
      </c>
    </row>
    <row r="25" spans="1:1" x14ac:dyDescent="0.3">
      <c r="A25" s="48" t="s">
        <v>42</v>
      </c>
    </row>
    <row r="26" spans="1:1" x14ac:dyDescent="0.3">
      <c r="A26" s="48" t="s">
        <v>43</v>
      </c>
    </row>
    <row r="27" spans="1:1" x14ac:dyDescent="0.3">
      <c r="A27" s="48" t="s">
        <v>44</v>
      </c>
    </row>
    <row r="28" spans="1:1" x14ac:dyDescent="0.3">
      <c r="A28" s="48" t="s">
        <v>46</v>
      </c>
    </row>
    <row r="29" spans="1:1" x14ac:dyDescent="0.3">
      <c r="A29" s="48" t="s">
        <v>47</v>
      </c>
    </row>
    <row r="30" spans="1:1" x14ac:dyDescent="0.3">
      <c r="A30" s="48" t="s">
        <v>389</v>
      </c>
    </row>
    <row r="31" spans="1:1" x14ac:dyDescent="0.3">
      <c r="A31" s="48" t="s">
        <v>50</v>
      </c>
    </row>
    <row r="32" spans="1:1" x14ac:dyDescent="0.3">
      <c r="A32" s="48" t="s">
        <v>51</v>
      </c>
    </row>
    <row r="33" spans="1:1" x14ac:dyDescent="0.3">
      <c r="A33" s="48" t="s">
        <v>52</v>
      </c>
    </row>
    <row r="34" spans="1:1" x14ac:dyDescent="0.3">
      <c r="A34" s="48" t="s">
        <v>56</v>
      </c>
    </row>
    <row r="35" spans="1:1" x14ac:dyDescent="0.3">
      <c r="A35" s="48" t="s">
        <v>96</v>
      </c>
    </row>
    <row r="36" spans="1:1" x14ac:dyDescent="0.3">
      <c r="A36" s="48" t="s">
        <v>101</v>
      </c>
    </row>
    <row r="37" spans="1:1" x14ac:dyDescent="0.3">
      <c r="A37" s="48" t="s">
        <v>102</v>
      </c>
    </row>
    <row r="38" spans="1:1" x14ac:dyDescent="0.3">
      <c r="A38" s="48" t="s">
        <v>97</v>
      </c>
    </row>
    <row r="39" spans="1:1" x14ac:dyDescent="0.3">
      <c r="A39" s="48" t="s">
        <v>98</v>
      </c>
    </row>
    <row r="40" spans="1:1" x14ac:dyDescent="0.3">
      <c r="A40" s="48" t="s">
        <v>104</v>
      </c>
    </row>
    <row r="41" spans="1:1" x14ac:dyDescent="0.3">
      <c r="A41" s="48" t="s">
        <v>390</v>
      </c>
    </row>
    <row r="42" spans="1:1" x14ac:dyDescent="0.3">
      <c r="A42" s="48" t="s">
        <v>103</v>
      </c>
    </row>
    <row r="43" spans="1:1" x14ac:dyDescent="0.3">
      <c r="A43" s="48" t="s">
        <v>58</v>
      </c>
    </row>
    <row r="44" spans="1:1" x14ac:dyDescent="0.3">
      <c r="A44" s="48" t="s">
        <v>65</v>
      </c>
    </row>
    <row r="45" spans="1:1" x14ac:dyDescent="0.3">
      <c r="A45" s="48" t="s">
        <v>60</v>
      </c>
    </row>
    <row r="46" spans="1:1" x14ac:dyDescent="0.3">
      <c r="A46" s="48" t="s">
        <v>61</v>
      </c>
    </row>
    <row r="47" spans="1:1" x14ac:dyDescent="0.3">
      <c r="A47" s="48" t="s">
        <v>68</v>
      </c>
    </row>
    <row r="48" spans="1:1" x14ac:dyDescent="0.3">
      <c r="A48" s="48" t="s">
        <v>63</v>
      </c>
    </row>
    <row r="49" spans="1:1" x14ac:dyDescent="0.3">
      <c r="A49" s="48" t="s">
        <v>64</v>
      </c>
    </row>
    <row r="50" spans="1:1" x14ac:dyDescent="0.3">
      <c r="A50" s="48" t="s">
        <v>13</v>
      </c>
    </row>
    <row r="51" spans="1:1" x14ac:dyDescent="0.3">
      <c r="A51" s="48" t="s">
        <v>93</v>
      </c>
    </row>
    <row r="52" spans="1:1" x14ac:dyDescent="0.3">
      <c r="A52" s="48" t="s">
        <v>10</v>
      </c>
    </row>
    <row r="53" spans="1:1" x14ac:dyDescent="0.3">
      <c r="A53" s="48" t="s">
        <v>85</v>
      </c>
    </row>
    <row r="54" spans="1:1" x14ac:dyDescent="0.3">
      <c r="A54" s="48" t="s">
        <v>87</v>
      </c>
    </row>
    <row r="55" spans="1:1" x14ac:dyDescent="0.3">
      <c r="A55" s="48" t="s">
        <v>106</v>
      </c>
    </row>
    <row r="56" spans="1:1" x14ac:dyDescent="0.3">
      <c r="A56" s="48" t="s">
        <v>81</v>
      </c>
    </row>
    <row r="57" spans="1:1" x14ac:dyDescent="0.3">
      <c r="A57" s="48" t="s">
        <v>83</v>
      </c>
    </row>
    <row r="58" spans="1:1" x14ac:dyDescent="0.3">
      <c r="A58" s="48" t="s">
        <v>108</v>
      </c>
    </row>
    <row r="59" spans="1:1" x14ac:dyDescent="0.3">
      <c r="A59" s="48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5"/>
  </sheetPr>
  <dimension ref="A1:AB18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G21" sqref="G21"/>
    </sheetView>
  </sheetViews>
  <sheetFormatPr baseColWidth="10" defaultColWidth="11.44140625" defaultRowHeight="14.4" x14ac:dyDescent="0.3"/>
  <cols>
    <col min="1" max="1" width="23.44140625" bestFit="1" customWidth="1"/>
    <col min="2" max="2" width="18.33203125" bestFit="1" customWidth="1"/>
    <col min="3" max="3" width="15.109375" bestFit="1" customWidth="1"/>
    <col min="4" max="4" width="20.88671875" bestFit="1" customWidth="1"/>
    <col min="5" max="5" width="22" bestFit="1" customWidth="1"/>
    <col min="6" max="6" width="16.33203125" bestFit="1" customWidth="1"/>
    <col min="7" max="7" width="19.88671875" bestFit="1" customWidth="1"/>
    <col min="8" max="8" width="12.109375" bestFit="1" customWidth="1"/>
    <col min="9" max="9" width="12" bestFit="1" customWidth="1"/>
    <col min="10" max="10" width="11" bestFit="1" customWidth="1"/>
    <col min="11" max="11" width="9.109375" bestFit="1" customWidth="1"/>
    <col min="12" max="12" width="10.88671875" bestFit="1" customWidth="1"/>
    <col min="13" max="13" width="17.88671875" bestFit="1" customWidth="1"/>
    <col min="14" max="15" width="14" bestFit="1" customWidth="1"/>
    <col min="16" max="16" width="14" customWidth="1"/>
    <col min="17" max="17" width="14" bestFit="1" customWidth="1"/>
    <col min="18" max="18" width="14" customWidth="1"/>
    <col min="19" max="19" width="14" bestFit="1" customWidth="1"/>
    <col min="20" max="20" width="14" customWidth="1"/>
    <col min="21" max="21" width="14" bestFit="1" customWidth="1"/>
    <col min="22" max="22" width="14" customWidth="1"/>
    <col min="23" max="23" width="17.88671875" bestFit="1" customWidth="1"/>
    <col min="24" max="25" width="17.88671875" customWidth="1"/>
    <col min="26" max="27" width="14" bestFit="1" customWidth="1"/>
  </cols>
  <sheetData>
    <row r="1" spans="1:28" ht="57.6" x14ac:dyDescent="0.3">
      <c r="A1" s="2" t="s">
        <v>117</v>
      </c>
      <c r="B1" s="3" t="s">
        <v>149</v>
      </c>
      <c r="C1" s="3" t="s">
        <v>150</v>
      </c>
      <c r="D1" s="3" t="s">
        <v>151</v>
      </c>
      <c r="E1" s="3" t="s">
        <v>152</v>
      </c>
      <c r="F1" s="3" t="s">
        <v>153</v>
      </c>
      <c r="G1" s="3" t="s">
        <v>154</v>
      </c>
      <c r="H1" s="2" t="s">
        <v>155</v>
      </c>
      <c r="I1" s="2" t="s">
        <v>156</v>
      </c>
      <c r="J1" s="28" t="s">
        <v>157</v>
      </c>
      <c r="K1" s="29" t="s">
        <v>158</v>
      </c>
      <c r="L1" s="28" t="s">
        <v>159</v>
      </c>
      <c r="M1" s="28" t="s">
        <v>160</v>
      </c>
      <c r="N1" s="28" t="s">
        <v>161</v>
      </c>
      <c r="O1" s="28" t="s">
        <v>162</v>
      </c>
      <c r="P1" s="28" t="s">
        <v>163</v>
      </c>
      <c r="Q1" s="28" t="s">
        <v>164</v>
      </c>
      <c r="R1" s="28" t="s">
        <v>165</v>
      </c>
      <c r="S1" s="28" t="s">
        <v>166</v>
      </c>
      <c r="T1" s="28" t="s">
        <v>167</v>
      </c>
      <c r="U1" s="28" t="s">
        <v>168</v>
      </c>
      <c r="V1" s="28" t="s">
        <v>169</v>
      </c>
      <c r="W1" s="28" t="s">
        <v>170</v>
      </c>
      <c r="X1" s="28" t="s">
        <v>171</v>
      </c>
      <c r="Y1" s="28" t="s">
        <v>172</v>
      </c>
      <c r="Z1" s="43" t="s">
        <v>173</v>
      </c>
      <c r="AA1" s="28" t="s">
        <v>174</v>
      </c>
    </row>
    <row r="2" spans="1:28" x14ac:dyDescent="0.3">
      <c r="A2" s="44" t="s">
        <v>16</v>
      </c>
      <c r="B2" t="s">
        <v>175</v>
      </c>
      <c r="C2" t="s">
        <v>176</v>
      </c>
      <c r="D2" t="s">
        <v>177</v>
      </c>
      <c r="E2" t="s">
        <v>178</v>
      </c>
      <c r="F2" t="s">
        <v>178</v>
      </c>
      <c r="G2" t="s">
        <v>178</v>
      </c>
      <c r="H2" s="17">
        <v>0.29166666666666669</v>
      </c>
      <c r="I2" s="17">
        <v>0.83333333333333337</v>
      </c>
      <c r="J2" s="22">
        <f>(((TabVMAZURE[[#This Row],[Auto Stop]]-INT(TabVMAZURE[[#This Row],[Auto Stop]]))*24)-((TabVMAZURE[[#This Row],[Auto Start]]-INT(TabVMAZURE[[#This Row],[Auto Start]]))*24))</f>
        <v>13</v>
      </c>
      <c r="K2" s="22">
        <v>20</v>
      </c>
      <c r="L2" s="22">
        <f>TabVMAZURE[[#This Row],[Activité 
par jours]]*TabVMAZURE[[#This Row],[Jours / Mois]]</f>
        <v>260</v>
      </c>
      <c r="M2" s="22">
        <f>INDEX(ListeVMAzureCoûts,MATCH(TabVMAZURE[[#This Row],[VMAzureSize]],ListeVMAzureSize,0),MATCH(TabVMAZURE[[#This Row],[Système]],ListeSystèmes,0))</f>
        <v>0.26319999999999999</v>
      </c>
      <c r="N2" s="22">
        <f>TabVMAZURE[[#This Row],[Activité 
par mois]]*TabVMAZURE[[#This Row],[Coût horaire VM]]</f>
        <v>68.432000000000002</v>
      </c>
      <c r="O2" s="22">
        <f>INDEX(TabVMAzureDisk[Coût / mois],MATCH(TabVMAZURE[[#This Row],[VMAzureDisk]],TabVMAzureDisk[VMAzureDisk],0))</f>
        <v>17.98</v>
      </c>
      <c r="P2" s="22">
        <f>INDEX(TabVMAzureDisk[Coût / mois Sauvegarde],MATCH(TabVMAZURE[[#This Row],[VMAzureDisk]],TabVMAzureDisk[VMAzureDisk],0))</f>
        <v>34.534399999999998</v>
      </c>
      <c r="Q2" s="22">
        <f>INDEX(TabVMAzureDisk[Coût / mois],MATCH(TabVMAZURE[[#This Row],[VMAzureDisk2]],TabVMAzureDisk[VMAzureDisk],0))</f>
        <v>0</v>
      </c>
      <c r="R2" s="22">
        <f>INDEX(TabVMAzureDisk[Coût / mois Sauvegarde],MATCH(TabVMAZURE[[#This Row],[VMAzureDisk2]],TabVMAzureDisk[VMAzureDisk],0))</f>
        <v>0</v>
      </c>
      <c r="S2" s="22">
        <f>INDEX(TabVMAzureDisk[Coût / mois],MATCH(TabVMAZURE[[#This Row],[VMAzureDisk3]],TabVMAzureDisk[VMAzureDisk],0))</f>
        <v>0</v>
      </c>
      <c r="T2" s="22">
        <f>INDEX(TabVMAzureDisk[Coût / mois Sauvegarde],MATCH(TabVMAZURE[[#This Row],[VMAzureDisk3]],TabVMAzureDisk[VMAzureDisk],0))</f>
        <v>0</v>
      </c>
      <c r="U2" s="22">
        <f>INDEX(TabVMAzureDisk[Coût / mois],MATCH(TabVMAZURE[[#This Row],[VMAzureDisk4]],TabVMAzureDisk[VMAzureDisk],0))</f>
        <v>0</v>
      </c>
      <c r="V2" s="22">
        <f>INDEX(TabVMAzureDisk[Coût / mois Sauvegarde],MATCH(TabVMAZURE[[#This Row],[VMAzureDisk4]],TabVMAzureDisk[VMAzureDisk],0))</f>
        <v>0</v>
      </c>
      <c r="W2" s="22">
        <f>SUM(TabVMAZURE[[#This Row],[Coût estimé 
Disk1 / mois]]+TabVMAZURE[[#This Row],[Coût estimé 
Disk2 / mois]]+TabVMAZURE[[#This Row],[Coût estimé 
Disk3 / mois]]+TabVMAZURE[[#This Row],[Coût estimé 
Disk4 / mois]])</f>
        <v>17.98</v>
      </c>
      <c r="X2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34.534399999999998</v>
      </c>
      <c r="Y2" s="22">
        <f>SUM(TabVMAZURE[[#This Row],[Coût estimé 
Disk Total / mois]]+TabVMAZURE[[#This Row],[Coût estimé 
sauvegarde total / mois]])</f>
        <v>52.514399999999995</v>
      </c>
      <c r="Z2" s="22">
        <f>SUM(TabVMAZURE[[#This Row],[Coût estimé 
VM / mois]],TabVMAZURE[[#This Row],[Coût estimé 
Disk Total / mois]])+(TabVMAZURE[[#This Row],[Activité 
par mois]]*0.01717)</f>
        <v>90.876200000000011</v>
      </c>
      <c r="AA2" s="22">
        <f>SUM(TabVMAZURE[[#This Row],[Coût estimé 
sauvegarde total / mois]]+TabVMAZURE[[#This Row],[Coût estimé 
total / mois
sans
sauvegarde]])+(TabVMAZURE[[#This Row],[Activité 
par mois]]*0.01717)</f>
        <v>129.87480000000002</v>
      </c>
    </row>
    <row r="3" spans="1:28" x14ac:dyDescent="0.3">
      <c r="A3" s="44" t="s">
        <v>20</v>
      </c>
      <c r="B3" t="s">
        <v>175</v>
      </c>
      <c r="C3" t="s">
        <v>179</v>
      </c>
      <c r="D3" t="s">
        <v>180</v>
      </c>
      <c r="E3" t="s">
        <v>178</v>
      </c>
      <c r="F3" t="s">
        <v>178</v>
      </c>
      <c r="G3" t="s">
        <v>178</v>
      </c>
      <c r="H3" s="17">
        <v>0.33333333333333331</v>
      </c>
      <c r="I3" s="17">
        <v>0.79166666666666663</v>
      </c>
      <c r="J3" s="22">
        <f>(((TabVMAZURE[[#This Row],[Auto Stop]]-INT(TabVMAZURE[[#This Row],[Auto Stop]]))*24)-((TabVMAZURE[[#This Row],[Auto Start]]-INT(TabVMAZURE[[#This Row],[Auto Start]]))*24))</f>
        <v>11</v>
      </c>
      <c r="K3" s="22">
        <v>20</v>
      </c>
      <c r="L3" s="22">
        <f>TabVMAZURE[[#This Row],[Activité 
par jours]]*TabVMAZURE[[#This Row],[Jours / Mois]]</f>
        <v>220</v>
      </c>
      <c r="M3" s="22">
        <f>INDEX(ListeVMAzureCoûts,MATCH(TabVMAZURE[[#This Row],[VMAzureSize]],ListeVMAzureSize,0),MATCH(TabVMAZURE[[#This Row],[Système]],ListeSystèmes,0))</f>
        <v>0.02</v>
      </c>
      <c r="N3" s="22">
        <f>TabVMAZURE[[#This Row],[Activité 
par mois]]*TabVMAZURE[[#This Row],[Coût horaire VM]]</f>
        <v>4.4000000000000004</v>
      </c>
      <c r="O3" s="22">
        <f>INDEX(TabVMAzureDisk[Coût / mois],MATCH(TabVMAZURE[[#This Row],[VMAzureDisk]],TabVMAzureDisk[VMAzureDisk],0))</f>
        <v>1.425</v>
      </c>
      <c r="P3" s="22">
        <f>INDEX(TabVMAzureDisk[Coût / mois Sauvegarde],MATCH(TabVMAZURE[[#This Row],[VMAzureDisk]],TabVMAzureDisk[VMAzureDisk],0))</f>
        <v>1.4303999999999999</v>
      </c>
      <c r="Q3" s="22">
        <f>INDEX(TabVMAzureDisk[Coût / mois],MATCH(TabVMAZURE[[#This Row],[VMAzureDisk2]],TabVMAzureDisk[VMAzureDisk],0))</f>
        <v>0</v>
      </c>
      <c r="R3" s="22">
        <f>INDEX(TabVMAzureDisk[Coût / mois Sauvegarde],MATCH(TabVMAZURE[[#This Row],[VMAzureDisk2]],TabVMAzureDisk[VMAzureDisk],0))</f>
        <v>0</v>
      </c>
      <c r="S3" s="22">
        <f>INDEX(TabVMAzureDisk[Coût / mois],MATCH(TabVMAZURE[[#This Row],[VMAzureDisk3]],TabVMAzureDisk[VMAzureDisk],0))</f>
        <v>0</v>
      </c>
      <c r="T3" s="22">
        <f>INDEX(TabVMAzureDisk[Coût / mois Sauvegarde],MATCH(TabVMAZURE[[#This Row],[VMAzureDisk3]],TabVMAzureDisk[VMAzureDisk],0))</f>
        <v>0</v>
      </c>
      <c r="U3" s="22">
        <f>INDEX(TabVMAzureDisk[Coût / mois],MATCH(TabVMAZURE[[#This Row],[VMAzureDisk4]],TabVMAzureDisk[VMAzureDisk],0))</f>
        <v>0</v>
      </c>
      <c r="V3" s="22">
        <f>INDEX(TabVMAzureDisk[Coût / mois Sauvegarde],MATCH(TabVMAZURE[[#This Row],[VMAzureDisk4]],TabVMAzureDisk[VMAzureDisk],0))</f>
        <v>0</v>
      </c>
      <c r="W3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3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3" s="22">
        <f>SUM(TabVMAZURE[[#This Row],[Coût estimé 
Disk Total / mois]]+TabVMAZURE[[#This Row],[Coût estimé 
sauvegarde total / mois]])</f>
        <v>2.8553999999999999</v>
      </c>
      <c r="Z3" s="34">
        <f>SUM(TabVMAZURE[[#This Row],[Coût estimé 
VM / mois]],TabVMAZURE[[#This Row],[Coût estimé 
Disk Total / mois]])+(TabVMAZURE[[#This Row],[Activité 
par mois]]*0.01717)</f>
        <v>9.6023999999999994</v>
      </c>
      <c r="AA3" s="22">
        <f>SUM(TabVMAZURE[[#This Row],[Coût estimé 
sauvegarde total / mois]]+TabVMAZURE[[#This Row],[Coût estimé 
total / mois
sans
sauvegarde]])+(TabVMAZURE[[#This Row],[Activité 
par mois]]*0.01717)</f>
        <v>14.8102</v>
      </c>
    </row>
    <row r="4" spans="1:28" x14ac:dyDescent="0.3">
      <c r="A4" s="44" t="s">
        <v>23</v>
      </c>
      <c r="B4" t="s">
        <v>181</v>
      </c>
      <c r="C4" t="s">
        <v>182</v>
      </c>
      <c r="D4" t="s">
        <v>183</v>
      </c>
      <c r="E4" t="s">
        <v>184</v>
      </c>
      <c r="F4" t="s">
        <v>178</v>
      </c>
      <c r="G4" t="s">
        <v>178</v>
      </c>
      <c r="H4" s="17">
        <v>0.35416666666666669</v>
      </c>
      <c r="I4" s="17">
        <v>0.8125</v>
      </c>
      <c r="J4" s="22">
        <f>(((TabVMAZURE[[#This Row],[Auto Stop]]-INT(TabVMAZURE[[#This Row],[Auto Stop]]))*24)-((TabVMAZURE[[#This Row],[Auto Start]]-INT(TabVMAZURE[[#This Row],[Auto Start]]))*24))</f>
        <v>11</v>
      </c>
      <c r="K4" s="22">
        <v>20</v>
      </c>
      <c r="L4" s="22">
        <f>TabVMAZURE[[#This Row],[Activité 
par jours]]*TabVMAZURE[[#This Row],[Jours / Mois]]</f>
        <v>220</v>
      </c>
      <c r="M4" s="22">
        <f>INDEX(ListeVMAzureCoûts,MATCH(TabVMAZURE[[#This Row],[VMAzureSize]],ListeVMAzureSize,0),MATCH(TabVMAZURE[[#This Row],[Système]],ListeSystèmes,0))</f>
        <v>0.50009999999999999</v>
      </c>
      <c r="N4" s="22">
        <f>TabVMAZURE[[#This Row],[Activité 
par mois]]*TabVMAZURE[[#This Row],[Coût horaire VM]]</f>
        <v>110.02199999999999</v>
      </c>
      <c r="O4" s="22">
        <f>INDEX(TabVMAzureDisk[Coût / mois],MATCH(TabVMAZURE[[#This Row],[VMAzureDisk]],TabVMAzureDisk[VMAzureDisk],0))</f>
        <v>5.5010000000000003</v>
      </c>
      <c r="P4" s="22">
        <f>INDEX(TabVMAzureDisk[Coût / mois Sauvegarde],MATCH(TabVMAZURE[[#This Row],[VMAzureDisk]],TabVMAzureDisk[VMAzureDisk],0))</f>
        <v>5.7215999999999996</v>
      </c>
      <c r="Q4" s="22">
        <f>INDEX(TabVMAzureDisk[Coût / mois],MATCH(TabVMAZURE[[#This Row],[VMAzureDisk2]],TabVMAzureDisk[VMAzureDisk],0))</f>
        <v>5.3869999999999996</v>
      </c>
      <c r="R4" s="22">
        <f>INDEX(TabVMAzureDisk[Coût / mois Sauvegarde],MATCH(TabVMAZURE[[#This Row],[VMAzureDisk2]],TabVMAzureDisk[VMAzureDisk],0))</f>
        <v>4.3167999999999997</v>
      </c>
      <c r="S4" s="22">
        <f>INDEX(TabVMAzureDisk[Coût / mois],MATCH(TabVMAZURE[[#This Row],[VMAzureDisk3]],TabVMAzureDisk[VMAzureDisk],0))</f>
        <v>0</v>
      </c>
      <c r="T4" s="22">
        <f>INDEX(TabVMAzureDisk[Coût / mois Sauvegarde],MATCH(TabVMAZURE[[#This Row],[VMAzureDisk3]],TabVMAzureDisk[VMAzureDisk],0))</f>
        <v>0</v>
      </c>
      <c r="U4" s="22">
        <f>INDEX(TabVMAzureDisk[Coût / mois],MATCH(TabVMAZURE[[#This Row],[VMAzureDisk4]],TabVMAzureDisk[VMAzureDisk],0))</f>
        <v>0</v>
      </c>
      <c r="V4" s="22">
        <f>INDEX(TabVMAzureDisk[Coût / mois Sauvegarde],MATCH(TabVMAZURE[[#This Row],[VMAzureDisk4]],TabVMAzureDisk[VMAzureDisk],0))</f>
        <v>0</v>
      </c>
      <c r="W4" s="22">
        <f>SUM(TabVMAZURE[[#This Row],[Coût estimé 
Disk1 / mois]]+TabVMAZURE[[#This Row],[Coût estimé 
Disk2 / mois]]+TabVMAZURE[[#This Row],[Coût estimé 
Disk3 / mois]]+TabVMAZURE[[#This Row],[Coût estimé 
Disk4 / mois]])</f>
        <v>10.888</v>
      </c>
      <c r="X4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10.038399999999999</v>
      </c>
      <c r="Y4" s="22">
        <f>SUM(TabVMAZURE[[#This Row],[Coût estimé 
Disk Total / mois]]+TabVMAZURE[[#This Row],[Coût estimé 
sauvegarde total / mois]])</f>
        <v>20.926400000000001</v>
      </c>
      <c r="Z4" s="22">
        <f>SUM(TabVMAZURE[[#This Row],[Coût estimé 
VM / mois]],TabVMAZURE[[#This Row],[Coût estimé 
Disk Total / mois]])+(TabVMAZURE[[#This Row],[Activité 
par mois]]*0.01717)</f>
        <v>124.6874</v>
      </c>
      <c r="AA4" s="22">
        <f>SUM(TabVMAZURE[[#This Row],[Coût estimé 
sauvegarde total / mois]]+TabVMAZURE[[#This Row],[Coût estimé 
total / mois
sans
sauvegarde]])+(TabVMAZURE[[#This Row],[Activité 
par mois]]*0.01717)</f>
        <v>138.50319999999999</v>
      </c>
    </row>
    <row r="5" spans="1:28" x14ac:dyDescent="0.3">
      <c r="A5" s="44" t="s">
        <v>90</v>
      </c>
      <c r="B5" t="s">
        <v>185</v>
      </c>
      <c r="C5" t="s">
        <v>186</v>
      </c>
      <c r="D5" t="s">
        <v>183</v>
      </c>
      <c r="E5" t="s">
        <v>187</v>
      </c>
      <c r="F5" t="s">
        <v>183</v>
      </c>
      <c r="G5" t="s">
        <v>178</v>
      </c>
      <c r="H5" s="17">
        <v>0.33333333333333331</v>
      </c>
      <c r="I5" s="17">
        <v>0.79166666666666663</v>
      </c>
      <c r="J5" s="22">
        <f>(((TabVMAZURE[[#This Row],[Auto Stop]]-INT(TabVMAZURE[[#This Row],[Auto Stop]]))*24)-((TabVMAZURE[[#This Row],[Auto Start]]-INT(TabVMAZURE[[#This Row],[Auto Start]]))*24))</f>
        <v>11</v>
      </c>
      <c r="K5" s="22">
        <v>10</v>
      </c>
      <c r="L5" s="22">
        <f>TabVMAZURE[[#This Row],[Activité 
par jours]]*TabVMAZURE[[#This Row],[Jours / Mois]]</f>
        <v>110</v>
      </c>
      <c r="M5" s="22">
        <f>INDEX(ListeVMAzureCoûts,MATCH(TabVMAZURE[[#This Row],[VMAzureSize]],ListeVMAzureSize,0),MATCH(TabVMAZURE[[#This Row],[Système]],ListeSystèmes,0))</f>
        <v>0.69069999999999998</v>
      </c>
      <c r="N5" s="22">
        <f>TabVMAZURE[[#This Row],[Activité 
par mois]]*TabVMAZURE[[#This Row],[Coût horaire VM]]</f>
        <v>75.977000000000004</v>
      </c>
      <c r="O5" s="22">
        <f>INDEX(TabVMAzureDisk[Coût / mois],MATCH(TabVMAZURE[[#This Row],[VMAzureDisk]],TabVMAzureDisk[VMAzureDisk],0))</f>
        <v>5.5010000000000003</v>
      </c>
      <c r="P5" s="22">
        <f>INDEX(TabVMAzureDisk[Coût / mois Sauvegarde],MATCH(TabVMAZURE[[#This Row],[VMAzureDisk]],TabVMAzureDisk[VMAzureDisk],0))</f>
        <v>5.7215999999999996</v>
      </c>
      <c r="Q5" s="22">
        <f>INDEX(TabVMAzureDisk[Coût / mois],MATCH(TabVMAZURE[[#This Row],[VMAzureDisk2]],TabVMAzureDisk[VMAzureDisk],0))</f>
        <v>74.709999999999994</v>
      </c>
      <c r="R5" s="22">
        <f>INDEX(TabVMAzureDisk[Coût / mois Sauvegarde],MATCH(TabVMAZURE[[#This Row],[VMAzureDisk2]],TabVMAzureDisk[VMAzureDisk],0))</f>
        <v>69.068799999999996</v>
      </c>
      <c r="S5" s="22">
        <f>INDEX(TabVMAzureDisk[Coût / mois],MATCH(TabVMAZURE[[#This Row],[VMAzureDisk3]],TabVMAzureDisk[VMAzureDisk],0))</f>
        <v>5.5010000000000003</v>
      </c>
      <c r="T5" s="22">
        <f>INDEX(TabVMAzureDisk[Coût / mois Sauvegarde],MATCH(TabVMAZURE[[#This Row],[VMAzureDisk3]],TabVMAzureDisk[VMAzureDisk],0))</f>
        <v>5.7215999999999996</v>
      </c>
      <c r="U5" s="22">
        <f>INDEX(TabVMAzureDisk[Coût / mois],MATCH(TabVMAZURE[[#This Row],[VMAzureDisk4]],TabVMAzureDisk[VMAzureDisk],0))</f>
        <v>0</v>
      </c>
      <c r="V5" s="22">
        <f>INDEX(TabVMAzureDisk[Coût / mois Sauvegarde],MATCH(TabVMAZURE[[#This Row],[VMAzureDisk4]],TabVMAzureDisk[VMAzureDisk],0))</f>
        <v>0</v>
      </c>
      <c r="W5" s="22">
        <f>SUM(TabVMAZURE[[#This Row],[Coût estimé 
Disk1 / mois]]+TabVMAZURE[[#This Row],[Coût estimé 
Disk2 / mois]]+TabVMAZURE[[#This Row],[Coût estimé 
Disk3 / mois]]+TabVMAZURE[[#This Row],[Coût estimé 
Disk4 / mois]])</f>
        <v>85.712000000000003</v>
      </c>
      <c r="X5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80.511999999999986</v>
      </c>
      <c r="Y5" s="22">
        <f>SUM(TabVMAZURE[[#This Row],[Coût estimé 
Disk Total / mois]]+TabVMAZURE[[#This Row],[Coût estimé 
sauvegarde total / mois]])</f>
        <v>166.22399999999999</v>
      </c>
      <c r="Z5" s="34">
        <f>SUM(TabVMAZURE[[#This Row],[Coût estimé 
VM / mois]],TabVMAZURE[[#This Row],[Coût estimé 
Disk Total / mois]])+(TabVMAZURE[[#This Row],[Activité 
par mois]]*0.01717)</f>
        <v>163.57770000000002</v>
      </c>
      <c r="AA5" s="22">
        <f>SUM(TabVMAZURE[[#This Row],[Coût estimé 
sauvegarde total / mois]]+TabVMAZURE[[#This Row],[Coût estimé 
total / mois
sans
sauvegarde]])+(TabVMAZURE[[#This Row],[Activité 
par mois]]*0.01717)</f>
        <v>245.97839999999999</v>
      </c>
    </row>
    <row r="6" spans="1:28" x14ac:dyDescent="0.3">
      <c r="A6" s="44" t="s">
        <v>29</v>
      </c>
      <c r="B6" t="s">
        <v>175</v>
      </c>
      <c r="C6" t="s">
        <v>188</v>
      </c>
      <c r="D6" t="s">
        <v>180</v>
      </c>
      <c r="E6" t="s">
        <v>178</v>
      </c>
      <c r="F6" t="s">
        <v>178</v>
      </c>
      <c r="G6" t="s">
        <v>178</v>
      </c>
      <c r="H6" s="17">
        <v>0.33333333333333331</v>
      </c>
      <c r="I6" s="17">
        <v>0.79166666666666663</v>
      </c>
      <c r="J6" s="22">
        <f>(((TabVMAZURE[[#This Row],[Auto Stop]]-INT(TabVMAZURE[[#This Row],[Auto Stop]]))*24)-((TabVMAZURE[[#This Row],[Auto Start]]-INT(TabVMAZURE[[#This Row],[Auto Start]]))*24))</f>
        <v>11</v>
      </c>
      <c r="K6" s="22">
        <v>20</v>
      </c>
      <c r="L6" s="22">
        <f>TabVMAZURE[[#This Row],[Activité 
par jours]]*TabVMAZURE[[#This Row],[Jours / Mois]]</f>
        <v>220</v>
      </c>
      <c r="M6" s="22">
        <f>INDEX(ListeVMAzureCoûts,MATCH(TabVMAZURE[[#This Row],[VMAzureSize]],ListeVMAzureSize,0),MATCH(TabVMAZURE[[#This Row],[Système]],ListeSystèmes,0))</f>
        <v>3.9899999999999998E-2</v>
      </c>
      <c r="N6" s="22">
        <f>TabVMAZURE[[#This Row],[Activité 
par mois]]*TabVMAZURE[[#This Row],[Coût horaire VM]]</f>
        <v>8.7779999999999987</v>
      </c>
      <c r="O6" s="22">
        <f>INDEX(TabVMAzureDisk[Coût / mois],MATCH(TabVMAZURE[[#This Row],[VMAzureDisk]],TabVMAzureDisk[VMAzureDisk],0))</f>
        <v>1.425</v>
      </c>
      <c r="P6" s="22">
        <f>INDEX(TabVMAzureDisk[Coût / mois Sauvegarde],MATCH(TabVMAZURE[[#This Row],[VMAzureDisk]],TabVMAzureDisk[VMAzureDisk],0))</f>
        <v>1.4303999999999999</v>
      </c>
      <c r="Q6" s="22">
        <f>INDEX(TabVMAzureDisk[Coût / mois],MATCH(TabVMAZURE[[#This Row],[VMAzureDisk2]],TabVMAzureDisk[VMAzureDisk],0))</f>
        <v>0</v>
      </c>
      <c r="R6" s="22">
        <f>INDEX(TabVMAzureDisk[Coût / mois Sauvegarde],MATCH(TabVMAZURE[[#This Row],[VMAzureDisk2]],TabVMAzureDisk[VMAzureDisk],0))</f>
        <v>0</v>
      </c>
      <c r="S6" s="22">
        <f>INDEX(TabVMAzureDisk[Coût / mois],MATCH(TabVMAZURE[[#This Row],[VMAzureDisk3]],TabVMAzureDisk[VMAzureDisk],0))</f>
        <v>0</v>
      </c>
      <c r="T6" s="22">
        <f>INDEX(TabVMAzureDisk[Coût / mois Sauvegarde],MATCH(TabVMAZURE[[#This Row],[VMAzureDisk3]],TabVMAzureDisk[VMAzureDisk],0))</f>
        <v>0</v>
      </c>
      <c r="U6" s="22">
        <f>INDEX(TabVMAzureDisk[Coût / mois],MATCH(TabVMAZURE[[#This Row],[VMAzureDisk4]],TabVMAzureDisk[VMAzureDisk],0))</f>
        <v>0</v>
      </c>
      <c r="V6" s="22">
        <f>INDEX(TabVMAzureDisk[Coût / mois Sauvegarde],MATCH(TabVMAZURE[[#This Row],[VMAzureDisk4]],TabVMAzureDisk[VMAzureDisk],0))</f>
        <v>0</v>
      </c>
      <c r="W6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6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6" s="22">
        <f>SUM(TabVMAZURE[[#This Row],[Coût estimé 
Disk Total / mois]]+TabVMAZURE[[#This Row],[Coût estimé 
sauvegarde total / mois]])</f>
        <v>2.8553999999999999</v>
      </c>
      <c r="Z6" s="22">
        <f>SUM(TabVMAZURE[[#This Row],[Coût estimé 
VM / mois]],TabVMAZURE[[#This Row],[Coût estimé 
Disk Total / mois]])+(TabVMAZURE[[#This Row],[Activité 
par mois]]*0.01717)</f>
        <v>13.980399999999999</v>
      </c>
      <c r="AA6" s="22">
        <f>SUM(TabVMAZURE[[#This Row],[Coût estimé 
sauvegarde total / mois]]+TabVMAZURE[[#This Row],[Coût estimé 
total / mois
sans
sauvegarde]])+(TabVMAZURE[[#This Row],[Activité 
par mois]]*0.01717)</f>
        <v>19.188200000000002</v>
      </c>
    </row>
    <row r="7" spans="1:28" x14ac:dyDescent="0.3">
      <c r="A7" s="44" t="s">
        <v>66</v>
      </c>
      <c r="B7" t="s">
        <v>175</v>
      </c>
      <c r="C7" t="s">
        <v>189</v>
      </c>
      <c r="D7" t="s">
        <v>180</v>
      </c>
      <c r="E7" t="s">
        <v>178</v>
      </c>
      <c r="F7" t="s">
        <v>178</v>
      </c>
      <c r="G7" t="s">
        <v>178</v>
      </c>
      <c r="H7" s="17">
        <v>0.375</v>
      </c>
      <c r="I7" s="17">
        <v>0.70833333333333337</v>
      </c>
      <c r="J7" s="22">
        <f>(((TabVMAZURE[[#This Row],[Auto Stop]]-INT(TabVMAZURE[[#This Row],[Auto Stop]]))*24)-((TabVMAZURE[[#This Row],[Auto Start]]-INT(TabVMAZURE[[#This Row],[Auto Start]]))*24))</f>
        <v>8</v>
      </c>
      <c r="K7" s="22">
        <v>8</v>
      </c>
      <c r="L7" s="22">
        <f>TabVMAZURE[[#This Row],[Activité 
par jours]]*TabVMAZURE[[#This Row],[Jours / Mois]]</f>
        <v>64</v>
      </c>
      <c r="M7" s="22">
        <f>INDEX(ListeVMAzureCoûts,MATCH(TabVMAZURE[[#This Row],[VMAzureSize]],ListeVMAzureSize,0),MATCH(TabVMAZURE[[#This Row],[Système]],ListeSystèmes,0))</f>
        <v>0.15939999999999999</v>
      </c>
      <c r="N7" s="22">
        <f>TabVMAZURE[[#This Row],[Activité 
par mois]]*TabVMAZURE[[#This Row],[Coût horaire VM]]</f>
        <v>10.201599999999999</v>
      </c>
      <c r="O7" s="22">
        <f>INDEX(TabVMAzureDisk[Coût / mois],MATCH(TabVMAZURE[[#This Row],[VMAzureDisk]],TabVMAzureDisk[VMAzureDisk],0))</f>
        <v>1.425</v>
      </c>
      <c r="P7" s="22">
        <f>INDEX(TabVMAzureDisk[Coût / mois Sauvegarde],MATCH(TabVMAZURE[[#This Row],[VMAzureDisk]],TabVMAzureDisk[VMAzureDisk],0))</f>
        <v>1.4303999999999999</v>
      </c>
      <c r="Q7" s="22">
        <f>INDEX(TabVMAzureDisk[Coût / mois],MATCH(TabVMAZURE[[#This Row],[VMAzureDisk2]],TabVMAzureDisk[VMAzureDisk],0))</f>
        <v>0</v>
      </c>
      <c r="R7" s="22">
        <f>INDEX(TabVMAzureDisk[Coût / mois Sauvegarde],MATCH(TabVMAZURE[[#This Row],[VMAzureDisk2]],TabVMAzureDisk[VMAzureDisk],0))</f>
        <v>0</v>
      </c>
      <c r="S7" s="22">
        <f>INDEX(TabVMAzureDisk[Coût / mois],MATCH(TabVMAZURE[[#This Row],[VMAzureDisk3]],TabVMAzureDisk[VMAzureDisk],0))</f>
        <v>0</v>
      </c>
      <c r="T7" s="22">
        <f>INDEX(TabVMAzureDisk[Coût / mois Sauvegarde],MATCH(TabVMAZURE[[#This Row],[VMAzureDisk3]],TabVMAzureDisk[VMAzureDisk],0))</f>
        <v>0</v>
      </c>
      <c r="U7" s="22">
        <f>INDEX(TabVMAzureDisk[Coût / mois],MATCH(TabVMAZURE[[#This Row],[VMAzureDisk4]],TabVMAzureDisk[VMAzureDisk],0))</f>
        <v>0</v>
      </c>
      <c r="V7" s="22">
        <f>INDEX(TabVMAzureDisk[Coût / mois Sauvegarde],MATCH(TabVMAZURE[[#This Row],[VMAzureDisk4]],TabVMAzureDisk[VMAzureDisk],0))</f>
        <v>0</v>
      </c>
      <c r="W7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7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7" s="22">
        <f>SUM(TabVMAZURE[[#This Row],[Coût estimé 
Disk Total / mois]]+TabVMAZURE[[#This Row],[Coût estimé 
sauvegarde total / mois]])</f>
        <v>2.8553999999999999</v>
      </c>
      <c r="Z7" s="34">
        <f>SUM(TabVMAZURE[[#This Row],[Coût estimé 
VM / mois]],TabVMAZURE[[#This Row],[Coût estimé 
Disk Total / mois]])+(TabVMAZURE[[#This Row],[Activité 
par mois]]*0.01717)</f>
        <v>12.725479999999999</v>
      </c>
      <c r="AA7" s="22">
        <f>SUM(TabVMAZURE[[#This Row],[Coût estimé 
sauvegarde total / mois]]+TabVMAZURE[[#This Row],[Coût estimé 
total / mois
sans
sauvegarde]])+(TabVMAZURE[[#This Row],[Activité 
par mois]]*0.01717)</f>
        <v>15.254759999999999</v>
      </c>
    </row>
    <row r="8" spans="1:28" x14ac:dyDescent="0.3">
      <c r="A8" s="44" t="s">
        <v>9</v>
      </c>
      <c r="B8" t="s">
        <v>175</v>
      </c>
      <c r="C8" t="s">
        <v>179</v>
      </c>
      <c r="D8" t="s">
        <v>180</v>
      </c>
      <c r="E8" t="s">
        <v>178</v>
      </c>
      <c r="F8" t="s">
        <v>178</v>
      </c>
      <c r="G8" t="s">
        <v>178</v>
      </c>
      <c r="H8" s="17">
        <v>0.33333333333333331</v>
      </c>
      <c r="I8" s="17">
        <v>0.83333333333333304</v>
      </c>
      <c r="J8" s="22">
        <f>(((TabVMAZURE[[#This Row],[Auto Stop]]-INT(TabVMAZURE[[#This Row],[Auto Stop]]))*24)-((TabVMAZURE[[#This Row],[Auto Start]]-INT(TabVMAZURE[[#This Row],[Auto Start]]))*24))</f>
        <v>11.999999999999993</v>
      </c>
      <c r="K8" s="22">
        <v>28</v>
      </c>
      <c r="L8" s="22">
        <f>TabVMAZURE[[#This Row],[Activité 
par jours]]*TabVMAZURE[[#This Row],[Jours / Mois]]</f>
        <v>335.99999999999977</v>
      </c>
      <c r="M8" s="22">
        <f>INDEX(ListeVMAzureCoûts,MATCH(TabVMAZURE[[#This Row],[VMAzureSize]],ListeVMAzureSize,0),MATCH(TabVMAZURE[[#This Row],[Système]],ListeSystèmes,0))</f>
        <v>0.02</v>
      </c>
      <c r="N8" s="22">
        <f>TabVMAZURE[[#This Row],[Activité 
par mois]]*TabVMAZURE[[#This Row],[Coût horaire VM]]</f>
        <v>6.7199999999999953</v>
      </c>
      <c r="O8" s="22">
        <f>INDEX(TabVMAzureDisk[Coût / mois],MATCH(TabVMAZURE[[#This Row],[VMAzureDisk]],TabVMAzureDisk[VMAzureDisk],0))</f>
        <v>1.425</v>
      </c>
      <c r="P8" s="22">
        <f>INDEX(TabVMAzureDisk[Coût / mois Sauvegarde],MATCH(TabVMAZURE[[#This Row],[VMAzureDisk]],TabVMAzureDisk[VMAzureDisk],0))</f>
        <v>1.4303999999999999</v>
      </c>
      <c r="Q8" s="22">
        <f>INDEX(TabVMAzureDisk[Coût / mois],MATCH(TabVMAZURE[[#This Row],[VMAzureDisk2]],TabVMAzureDisk[VMAzureDisk],0))</f>
        <v>0</v>
      </c>
      <c r="R8" s="22">
        <f>INDEX(TabVMAzureDisk[Coût / mois Sauvegarde],MATCH(TabVMAZURE[[#This Row],[VMAzureDisk2]],TabVMAzureDisk[VMAzureDisk],0))</f>
        <v>0</v>
      </c>
      <c r="S8" s="22">
        <f>INDEX(TabVMAzureDisk[Coût / mois],MATCH(TabVMAZURE[[#This Row],[VMAzureDisk3]],TabVMAzureDisk[VMAzureDisk],0))</f>
        <v>0</v>
      </c>
      <c r="T8" s="22">
        <f>INDEX(TabVMAzureDisk[Coût / mois Sauvegarde],MATCH(TabVMAZURE[[#This Row],[VMAzureDisk3]],TabVMAzureDisk[VMAzureDisk],0))</f>
        <v>0</v>
      </c>
      <c r="U8" s="22">
        <f>INDEX(TabVMAzureDisk[Coût / mois],MATCH(TabVMAZURE[[#This Row],[VMAzureDisk4]],TabVMAzureDisk[VMAzureDisk],0))</f>
        <v>0</v>
      </c>
      <c r="V8" s="22">
        <f>INDEX(TabVMAzureDisk[Coût / mois Sauvegarde],MATCH(TabVMAZURE[[#This Row],[VMAzureDisk4]],TabVMAzureDisk[VMAzureDisk],0))</f>
        <v>0</v>
      </c>
      <c r="W8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8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8" s="22">
        <f>SUM(TabVMAZURE[[#This Row],[Coût estimé 
Disk Total / mois]]+TabVMAZURE[[#This Row],[Coût estimé 
sauvegarde total / mois]])</f>
        <v>2.8553999999999999</v>
      </c>
      <c r="Z8" s="34">
        <f>SUM(TabVMAZURE[[#This Row],[Coût estimé 
VM / mois]],TabVMAZURE[[#This Row],[Coût estimé 
Disk Total / mois]])+(TabVMAZURE[[#This Row],[Activité 
par mois]]*0.01717)</f>
        <v>13.914119999999993</v>
      </c>
      <c r="AA8" s="22">
        <f>SUM(TabVMAZURE[[#This Row],[Coût estimé 
sauvegarde total / mois]]+TabVMAZURE[[#This Row],[Coût estimé 
total / mois
sans
sauvegarde]])+(TabVMAZURE[[#This Row],[Activité 
par mois]]*0.01717)</f>
        <v>21.11363999999999</v>
      </c>
    </row>
    <row r="9" spans="1:28" x14ac:dyDescent="0.3">
      <c r="A9" s="44" t="s">
        <v>82</v>
      </c>
      <c r="B9" t="s">
        <v>185</v>
      </c>
      <c r="C9" t="s">
        <v>190</v>
      </c>
      <c r="D9" t="s">
        <v>183</v>
      </c>
      <c r="E9" t="s">
        <v>191</v>
      </c>
      <c r="F9" t="s">
        <v>178</v>
      </c>
      <c r="G9" t="s">
        <v>178</v>
      </c>
      <c r="H9" s="17">
        <v>0.33333333333333331</v>
      </c>
      <c r="I9" s="17">
        <v>0.79166666666666663</v>
      </c>
      <c r="J9" s="22">
        <f>(((TabVMAZURE[[#This Row],[Auto Stop]]-INT(TabVMAZURE[[#This Row],[Auto Stop]]))*24)-((TabVMAZURE[[#This Row],[Auto Start]]-INT(TabVMAZURE[[#This Row],[Auto Start]]))*24))</f>
        <v>11</v>
      </c>
      <c r="K9" s="22">
        <v>20</v>
      </c>
      <c r="L9" s="22">
        <f>TabVMAZURE[[#This Row],[Activité 
par jours]]*TabVMAZURE[[#This Row],[Jours / Mois]]</f>
        <v>220</v>
      </c>
      <c r="M9" s="22">
        <f>INDEX(ListeVMAzureCoûts,MATCH(TabVMAZURE[[#This Row],[VMAzureSize]],ListeVMAzureSize,0),MATCH(TabVMAZURE[[#This Row],[Système]],ListeSystèmes,0))</f>
        <v>0.37780000000000002</v>
      </c>
      <c r="N9" s="22">
        <f>TabVMAZURE[[#This Row],[Activité 
par mois]]*TabVMAZURE[[#This Row],[Coût horaire VM]]</f>
        <v>83.116</v>
      </c>
      <c r="O9" s="22">
        <f>INDEX(TabVMAzureDisk[Coût / mois],MATCH(TabVMAZURE[[#This Row],[VMAzureDisk]],TabVMAzureDisk[VMAzureDisk],0))</f>
        <v>5.5010000000000003</v>
      </c>
      <c r="P9" s="22">
        <f>INDEX(TabVMAzureDisk[Coût / mois Sauvegarde],MATCH(TabVMAZURE[[#This Row],[VMAzureDisk]],TabVMAzureDisk[VMAzureDisk],0))</f>
        <v>5.7215999999999996</v>
      </c>
      <c r="Q9" s="22">
        <f>INDEX(TabVMAzureDisk[Coût / mois],MATCH(TabVMAZURE[[#This Row],[VMAzureDisk2]],TabVMAzureDisk[VMAzureDisk],0))</f>
        <v>38.036000000000001</v>
      </c>
      <c r="R9" s="22">
        <f>INDEX(TabVMAzureDisk[Coût / mois Sauvegarde],MATCH(TabVMAZURE[[#This Row],[VMAzureDisk2]],TabVMAzureDisk[VMAzureDisk],0))</f>
        <v>45.772799999999997</v>
      </c>
      <c r="S9" s="22">
        <f>INDEX(TabVMAzureDisk[Coût / mois],MATCH(TabVMAZURE[[#This Row],[VMAzureDisk3]],TabVMAzureDisk[VMAzureDisk],0))</f>
        <v>0</v>
      </c>
      <c r="T9" s="22">
        <f>INDEX(TabVMAzureDisk[Coût / mois Sauvegarde],MATCH(TabVMAZURE[[#This Row],[VMAzureDisk3]],TabVMAzureDisk[VMAzureDisk],0))</f>
        <v>0</v>
      </c>
      <c r="U9" s="22">
        <f>INDEX(TabVMAzureDisk[Coût / mois],MATCH(TabVMAZURE[[#This Row],[VMAzureDisk4]],TabVMAzureDisk[VMAzureDisk],0))</f>
        <v>0</v>
      </c>
      <c r="V9" s="22">
        <f>INDEX(TabVMAzureDisk[Coût / mois Sauvegarde],MATCH(TabVMAZURE[[#This Row],[VMAzureDisk4]],TabVMAzureDisk[VMAzureDisk],0))</f>
        <v>0</v>
      </c>
      <c r="W9" s="22">
        <f>SUM(TabVMAZURE[[#This Row],[Coût estimé 
Disk1 / mois]]+TabVMAZURE[[#This Row],[Coût estimé 
Disk2 / mois]]+TabVMAZURE[[#This Row],[Coût estimé 
Disk3 / mois]]+TabVMAZURE[[#This Row],[Coût estimé 
Disk4 / mois]])</f>
        <v>43.536999999999999</v>
      </c>
      <c r="X9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51.494399999999999</v>
      </c>
      <c r="Y9" s="22">
        <f>SUM(TabVMAZURE[[#This Row],[Coût estimé 
Disk Total / mois]]+TabVMAZURE[[#This Row],[Coût estimé 
sauvegarde total / mois]])</f>
        <v>95.031399999999991</v>
      </c>
      <c r="Z9" s="22">
        <f>SUM(TabVMAZURE[[#This Row],[Coût estimé 
VM / mois]],TabVMAZURE[[#This Row],[Coût estimé 
Disk Total / mois]])+(TabVMAZURE[[#This Row],[Activité 
par mois]]*0.01717)</f>
        <v>130.43039999999999</v>
      </c>
      <c r="AA9" s="22">
        <f>SUM(TabVMAZURE[[#This Row],[Coût estimé 
sauvegarde total / mois]]+TabVMAZURE[[#This Row],[Coût estimé 
total / mois
sans
sauvegarde]])+(TabVMAZURE[[#This Row],[Activité 
par mois]]*0.01717)</f>
        <v>185.7022</v>
      </c>
    </row>
    <row r="10" spans="1:28" x14ac:dyDescent="0.3">
      <c r="A10" s="18" t="s">
        <v>127</v>
      </c>
      <c r="B10" t="s">
        <v>175</v>
      </c>
      <c r="C10" t="s">
        <v>179</v>
      </c>
      <c r="D10" t="s">
        <v>180</v>
      </c>
      <c r="E10" t="s">
        <v>178</v>
      </c>
      <c r="F10" t="s">
        <v>178</v>
      </c>
      <c r="G10" t="s">
        <v>178</v>
      </c>
      <c r="H10" s="17">
        <v>0.33333333333333331</v>
      </c>
      <c r="I10" s="17">
        <v>0.79166666666666663</v>
      </c>
      <c r="J10" s="22">
        <f>(((TabVMAZURE[[#This Row],[Auto Stop]]-INT(TabVMAZURE[[#This Row],[Auto Stop]]))*24)-((TabVMAZURE[[#This Row],[Auto Start]]-INT(TabVMAZURE[[#This Row],[Auto Start]]))*24))</f>
        <v>11</v>
      </c>
      <c r="K10" s="22">
        <v>20</v>
      </c>
      <c r="L10" s="22">
        <f>TabVMAZURE[[#This Row],[Activité 
par jours]]*TabVMAZURE[[#This Row],[Jours / Mois]]</f>
        <v>220</v>
      </c>
      <c r="M10" s="22">
        <f>INDEX(ListeVMAzureCoûts,MATCH(TabVMAZURE[[#This Row],[VMAzureSize]],ListeVMAzureSize,0),MATCH(TabVMAZURE[[#This Row],[Système]],ListeSystèmes,0))</f>
        <v>0.02</v>
      </c>
      <c r="N10" s="22">
        <f>TabVMAZURE[[#This Row],[Activité 
par mois]]*TabVMAZURE[[#This Row],[Coût horaire VM]]</f>
        <v>4.4000000000000004</v>
      </c>
      <c r="O10" s="22">
        <f>INDEX(TabVMAzureDisk[Coût / mois],MATCH(TabVMAZURE[[#This Row],[VMAzureDisk]],TabVMAzureDisk[VMAzureDisk],0))</f>
        <v>1.425</v>
      </c>
      <c r="P10" s="22">
        <f>INDEX(TabVMAzureDisk[Coût / mois Sauvegarde],MATCH(TabVMAZURE[[#This Row],[VMAzureDisk]],TabVMAzureDisk[VMAzureDisk],0))</f>
        <v>1.4303999999999999</v>
      </c>
      <c r="Q10" s="22">
        <f>INDEX(TabVMAzureDisk[Coût / mois],MATCH(TabVMAZURE[[#This Row],[VMAzureDisk2]],TabVMAzureDisk[VMAzureDisk],0))</f>
        <v>0</v>
      </c>
      <c r="R10" s="22">
        <f>INDEX(TabVMAzureDisk[Coût / mois Sauvegarde],MATCH(TabVMAZURE[[#This Row],[VMAzureDisk2]],TabVMAzureDisk[VMAzureDisk],0))</f>
        <v>0</v>
      </c>
      <c r="S10" s="22">
        <f>INDEX(TabVMAzureDisk[Coût / mois],MATCH(TabVMAZURE[[#This Row],[VMAzureDisk3]],TabVMAzureDisk[VMAzureDisk],0))</f>
        <v>0</v>
      </c>
      <c r="T10" s="22">
        <f>INDEX(TabVMAzureDisk[Coût / mois Sauvegarde],MATCH(TabVMAZURE[[#This Row],[VMAzureDisk3]],TabVMAzureDisk[VMAzureDisk],0))</f>
        <v>0</v>
      </c>
      <c r="U10" s="22">
        <f>INDEX(TabVMAzureDisk[Coût / mois],MATCH(TabVMAZURE[[#This Row],[VMAzureDisk4]],TabVMAzureDisk[VMAzureDisk],0))</f>
        <v>0</v>
      </c>
      <c r="V10" s="22">
        <f>INDEX(TabVMAzureDisk[Coût / mois Sauvegarde],MATCH(TabVMAZURE[[#This Row],[VMAzureDisk4]],TabVMAzureDisk[VMAzureDisk],0))</f>
        <v>0</v>
      </c>
      <c r="W10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10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10" s="22">
        <f>SUM(TabVMAZURE[[#This Row],[Coût estimé 
Disk Total / mois]]+TabVMAZURE[[#This Row],[Coût estimé 
sauvegarde total / mois]])</f>
        <v>2.8553999999999999</v>
      </c>
      <c r="Z10" s="22">
        <f>SUM(TabVMAZURE[[#This Row],[Coût estimé 
VM / mois]],TabVMAZURE[[#This Row],[Coût estimé 
Disk Total / mois]])+(TabVMAZURE[[#This Row],[Activité 
par mois]]*0.01717)</f>
        <v>9.6023999999999994</v>
      </c>
      <c r="AA10" s="22">
        <f>SUM(TabVMAZURE[[#This Row],[Coût estimé 
sauvegarde total / mois]]+TabVMAZURE[[#This Row],[Coût estimé 
total / mois
sans
sauvegarde]])+(TabVMAZURE[[#This Row],[Activité 
par mois]]*0.01717)</f>
        <v>14.8102</v>
      </c>
    </row>
    <row r="11" spans="1:28" x14ac:dyDescent="0.3">
      <c r="A11" s="44" t="s">
        <v>12</v>
      </c>
      <c r="B11" t="s">
        <v>175</v>
      </c>
      <c r="C11" t="s">
        <v>192</v>
      </c>
      <c r="D11" t="s">
        <v>180</v>
      </c>
      <c r="E11" t="s">
        <v>180</v>
      </c>
      <c r="F11" t="s">
        <v>178</v>
      </c>
      <c r="G11" t="s">
        <v>178</v>
      </c>
      <c r="H11" s="17">
        <v>0.33333333333333331</v>
      </c>
      <c r="I11" s="17">
        <v>0.8125</v>
      </c>
      <c r="J11" s="22">
        <f>(((TabVMAZURE[[#This Row],[Auto Stop]]-INT(TabVMAZURE[[#This Row],[Auto Stop]]))*24)-((TabVMAZURE[[#This Row],[Auto Start]]-INT(TabVMAZURE[[#This Row],[Auto Start]]))*24))</f>
        <v>11.5</v>
      </c>
      <c r="K11" s="22">
        <v>20</v>
      </c>
      <c r="L11" s="22">
        <f>TabVMAZURE[[#This Row],[Activité 
par jours]]*TabVMAZURE[[#This Row],[Jours / Mois]]</f>
        <v>230</v>
      </c>
      <c r="M11" s="22">
        <f>INDEX(ListeVMAzureCoûts,MATCH(TabVMAZURE[[#This Row],[VMAzureSize]],ListeVMAzureSize,0),MATCH(TabVMAZURE[[#This Row],[Système]],ListeSystèmes,0))</f>
        <v>7.9699999999999993E-2</v>
      </c>
      <c r="N11" s="22">
        <f>TabVMAZURE[[#This Row],[Activité 
par mois]]*TabVMAZURE[[#This Row],[Coût horaire VM]]</f>
        <v>18.331</v>
      </c>
      <c r="O11" s="22">
        <f>INDEX(TabVMAzureDisk[Coût / mois],MATCH(TabVMAZURE[[#This Row],[VMAzureDisk]],TabVMAzureDisk[VMAzureDisk],0))</f>
        <v>1.425</v>
      </c>
      <c r="P11" s="22">
        <f>INDEX(TabVMAzureDisk[Coût / mois Sauvegarde],MATCH(TabVMAZURE[[#This Row],[VMAzureDisk]],TabVMAzureDisk[VMAzureDisk],0))</f>
        <v>1.4303999999999999</v>
      </c>
      <c r="Q11" s="22">
        <f>INDEX(TabVMAzureDisk[Coût / mois],MATCH(TabVMAZURE[[#This Row],[VMAzureDisk2]],TabVMAzureDisk[VMAzureDisk],0))</f>
        <v>1.425</v>
      </c>
      <c r="R11" s="22">
        <f>INDEX(TabVMAzureDisk[Coût / mois Sauvegarde],MATCH(TabVMAZURE[[#This Row],[VMAzureDisk2]],TabVMAzureDisk[VMAzureDisk],0))</f>
        <v>1.4303999999999999</v>
      </c>
      <c r="S11" s="22">
        <f>INDEX(TabVMAzureDisk[Coût / mois],MATCH(TabVMAZURE[[#This Row],[VMAzureDisk3]],TabVMAzureDisk[VMAzureDisk],0))</f>
        <v>0</v>
      </c>
      <c r="T11" s="22">
        <f>INDEX(TabVMAzureDisk[Coût / mois Sauvegarde],MATCH(TabVMAZURE[[#This Row],[VMAzureDisk3]],TabVMAzureDisk[VMAzureDisk],0))</f>
        <v>0</v>
      </c>
      <c r="U11" s="22">
        <f>INDEX(TabVMAzureDisk[Coût / mois],MATCH(TabVMAZURE[[#This Row],[VMAzureDisk4]],TabVMAzureDisk[VMAzureDisk],0))</f>
        <v>0</v>
      </c>
      <c r="V11" s="22">
        <f>INDEX(TabVMAzureDisk[Coût / mois Sauvegarde],MATCH(TabVMAZURE[[#This Row],[VMAzureDisk4]],TabVMAzureDisk[VMAzureDisk],0))</f>
        <v>0</v>
      </c>
      <c r="W11" s="22">
        <f>SUM(TabVMAZURE[[#This Row],[Coût estimé 
Disk1 / mois]]+TabVMAZURE[[#This Row],[Coût estimé 
Disk2 / mois]]+TabVMAZURE[[#This Row],[Coût estimé 
Disk3 / mois]]+TabVMAZURE[[#This Row],[Coût estimé 
Disk4 / mois]])</f>
        <v>2.85</v>
      </c>
      <c r="X11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2.8607999999999998</v>
      </c>
      <c r="Y11" s="22">
        <f>SUM(TabVMAZURE[[#This Row],[Coût estimé 
Disk Total / mois]]+TabVMAZURE[[#This Row],[Coût estimé 
sauvegarde total / mois]])</f>
        <v>5.7107999999999999</v>
      </c>
      <c r="Z11" s="34">
        <f>SUM(TabVMAZURE[[#This Row],[Coût estimé 
VM / mois]],TabVMAZURE[[#This Row],[Coût estimé 
Disk Total / mois]])+(TabVMAZURE[[#This Row],[Activité 
par mois]]*0.01717)</f>
        <v>25.130100000000002</v>
      </c>
      <c r="AA11" s="22">
        <f>SUM(TabVMAZURE[[#This Row],[Coût estimé 
sauvegarde total / mois]]+TabVMAZURE[[#This Row],[Coût estimé 
total / mois
sans
sauvegarde]])+(TabVMAZURE[[#This Row],[Activité 
par mois]]*0.01717)</f>
        <v>31.940000000000005</v>
      </c>
    </row>
    <row r="12" spans="1:28" x14ac:dyDescent="0.3">
      <c r="A12" s="44" t="s">
        <v>48</v>
      </c>
      <c r="B12" t="s">
        <v>175</v>
      </c>
      <c r="C12" t="s">
        <v>188</v>
      </c>
      <c r="D12" t="s">
        <v>180</v>
      </c>
      <c r="E12" t="s">
        <v>178</v>
      </c>
      <c r="F12" t="s">
        <v>178</v>
      </c>
      <c r="G12" t="s">
        <v>178</v>
      </c>
      <c r="H12" s="17">
        <v>0.33333333333333331</v>
      </c>
      <c r="I12" s="17">
        <v>0.95833333333333337</v>
      </c>
      <c r="J12" s="22">
        <f>(((TabVMAZURE[[#This Row],[Auto Stop]]-INT(TabVMAZURE[[#This Row],[Auto Stop]]))*24)-((TabVMAZURE[[#This Row],[Auto Start]]-INT(TabVMAZURE[[#This Row],[Auto Start]]))*24))</f>
        <v>15</v>
      </c>
      <c r="K12" s="22">
        <v>20</v>
      </c>
      <c r="L12" s="22">
        <f>TabVMAZURE[[#This Row],[Activité 
par jours]]*TabVMAZURE[[#This Row],[Jours / Mois]]</f>
        <v>300</v>
      </c>
      <c r="M12" s="22">
        <f>INDEX(ListeVMAzureCoûts,MATCH(TabVMAZURE[[#This Row],[VMAzureSize]],ListeVMAzureSize,0),MATCH(TabVMAZURE[[#This Row],[Système]],ListeSystèmes,0))</f>
        <v>3.9899999999999998E-2</v>
      </c>
      <c r="N12" s="22">
        <f>TabVMAZURE[[#This Row],[Activité 
par mois]]*TabVMAZURE[[#This Row],[Coût horaire VM]]</f>
        <v>11.969999999999999</v>
      </c>
      <c r="O12" s="22">
        <f>INDEX(TabVMAzureDisk[Coût / mois],MATCH(TabVMAZURE[[#This Row],[VMAzureDisk]],TabVMAzureDisk[VMAzureDisk],0))</f>
        <v>1.425</v>
      </c>
      <c r="P12" s="22">
        <f>INDEX(TabVMAzureDisk[Coût / mois Sauvegarde],MATCH(TabVMAZURE[[#This Row],[VMAzureDisk]],TabVMAzureDisk[VMAzureDisk],0))</f>
        <v>1.4303999999999999</v>
      </c>
      <c r="Q12" s="22">
        <f>INDEX(TabVMAzureDisk[Coût / mois],MATCH(TabVMAZURE[[#This Row],[VMAzureDisk2]],TabVMAzureDisk[VMAzureDisk],0))</f>
        <v>0</v>
      </c>
      <c r="R12" s="22">
        <f>INDEX(TabVMAzureDisk[Coût / mois Sauvegarde],MATCH(TabVMAZURE[[#This Row],[VMAzureDisk2]],TabVMAzureDisk[VMAzureDisk],0))</f>
        <v>0</v>
      </c>
      <c r="S12" s="22">
        <f>INDEX(TabVMAzureDisk[Coût / mois],MATCH(TabVMAZURE[[#This Row],[VMAzureDisk3]],TabVMAzureDisk[VMAzureDisk],0))</f>
        <v>0</v>
      </c>
      <c r="T12" s="22">
        <f>INDEX(TabVMAzureDisk[Coût / mois Sauvegarde],MATCH(TabVMAZURE[[#This Row],[VMAzureDisk3]],TabVMAzureDisk[VMAzureDisk],0))</f>
        <v>0</v>
      </c>
      <c r="U12" s="22">
        <f>INDEX(TabVMAzureDisk[Coût / mois],MATCH(TabVMAZURE[[#This Row],[VMAzureDisk4]],TabVMAzureDisk[VMAzureDisk],0))</f>
        <v>0</v>
      </c>
      <c r="V12" s="22">
        <f>INDEX(TabVMAzureDisk[Coût / mois Sauvegarde],MATCH(TabVMAZURE[[#This Row],[VMAzureDisk4]],TabVMAzureDisk[VMAzureDisk],0))</f>
        <v>0</v>
      </c>
      <c r="W12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12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12" s="22">
        <f>SUM(TabVMAZURE[[#This Row],[Coût estimé 
Disk Total / mois]]+TabVMAZURE[[#This Row],[Coût estimé 
sauvegarde total / mois]])</f>
        <v>2.8553999999999999</v>
      </c>
      <c r="Z12" s="34">
        <f>SUM(TabVMAZURE[[#This Row],[Coût estimé 
VM / mois]],TabVMAZURE[[#This Row],[Coût estimé 
Disk Total / mois]])+(TabVMAZURE[[#This Row],[Activité 
par mois]]*0.01717)</f>
        <v>18.545999999999999</v>
      </c>
      <c r="AA12" s="22">
        <f>SUM(TabVMAZURE[[#This Row],[Coût estimé 
sauvegarde total / mois]]+TabVMAZURE[[#This Row],[Coût estimé 
total / mois
sans
sauvegarde]])+(TabVMAZURE[[#This Row],[Activité 
par mois]]*0.01717)</f>
        <v>25.127399999999998</v>
      </c>
      <c r="AB12" s="19"/>
    </row>
    <row r="13" spans="1:28" x14ac:dyDescent="0.3">
      <c r="A13" s="1" t="s">
        <v>110</v>
      </c>
      <c r="B13" t="s">
        <v>175</v>
      </c>
      <c r="C13" t="s">
        <v>192</v>
      </c>
      <c r="D13" t="s">
        <v>180</v>
      </c>
      <c r="E13" t="s">
        <v>178</v>
      </c>
      <c r="F13" t="s">
        <v>178</v>
      </c>
      <c r="G13" t="s">
        <v>178</v>
      </c>
      <c r="H13" s="17">
        <v>0.33333333333333331</v>
      </c>
      <c r="I13" s="17">
        <v>0.79166666666666663</v>
      </c>
      <c r="J13" s="22">
        <f>(((TabVMAZURE[[#This Row],[Auto Stop]]-INT(TabVMAZURE[[#This Row],[Auto Stop]]))*24)-((TabVMAZURE[[#This Row],[Auto Start]]-INT(TabVMAZURE[[#This Row],[Auto Start]]))*24))</f>
        <v>11</v>
      </c>
      <c r="K13" s="22">
        <v>20</v>
      </c>
      <c r="L13" s="22">
        <f>TabVMAZURE[[#This Row],[Activité 
par jours]]*TabVMAZURE[[#This Row],[Jours / Mois]]</f>
        <v>220</v>
      </c>
      <c r="M13" s="22">
        <f>INDEX(ListeVMAzureCoûts,MATCH(TabVMAZURE[[#This Row],[VMAzureSize]],ListeVMAzureSize,0),MATCH(TabVMAZURE[[#This Row],[Système]],ListeSystèmes,0))</f>
        <v>7.9699999999999993E-2</v>
      </c>
      <c r="N13" s="22">
        <f>TabVMAZURE[[#This Row],[Activité 
par mois]]*TabVMAZURE[[#This Row],[Coût horaire VM]]</f>
        <v>17.533999999999999</v>
      </c>
      <c r="O13" s="22">
        <f>INDEX(TabVMAzureDisk[Coût / mois],MATCH(TabVMAZURE[[#This Row],[VMAzureDisk]],TabVMAzureDisk[VMAzureDisk],0))</f>
        <v>1.425</v>
      </c>
      <c r="P13" s="22">
        <f>INDEX(TabVMAzureDisk[Coût / mois Sauvegarde],MATCH(TabVMAZURE[[#This Row],[VMAzureDisk]],TabVMAzureDisk[VMAzureDisk],0))</f>
        <v>1.4303999999999999</v>
      </c>
      <c r="Q13" s="22">
        <f>INDEX(TabVMAzureDisk[Coût / mois],MATCH(TabVMAZURE[[#This Row],[VMAzureDisk2]],TabVMAzureDisk[VMAzureDisk],0))</f>
        <v>0</v>
      </c>
      <c r="R13" s="22">
        <f>INDEX(TabVMAzureDisk[Coût / mois Sauvegarde],MATCH(TabVMAZURE[[#This Row],[VMAzureDisk2]],TabVMAzureDisk[VMAzureDisk],0))</f>
        <v>0</v>
      </c>
      <c r="S13" s="22">
        <f>INDEX(TabVMAzureDisk[Coût / mois],MATCH(TabVMAZURE[[#This Row],[VMAzureDisk3]],TabVMAzureDisk[VMAzureDisk],0))</f>
        <v>0</v>
      </c>
      <c r="T13" s="22">
        <f>INDEX(TabVMAzureDisk[Coût / mois Sauvegarde],MATCH(TabVMAZURE[[#This Row],[VMAzureDisk3]],TabVMAzureDisk[VMAzureDisk],0))</f>
        <v>0</v>
      </c>
      <c r="U13" s="22">
        <f>INDEX(TabVMAzureDisk[Coût / mois],MATCH(TabVMAZURE[[#This Row],[VMAzureDisk4]],TabVMAzureDisk[VMAzureDisk],0))</f>
        <v>0</v>
      </c>
      <c r="V13" s="22">
        <f>INDEX(TabVMAzureDisk[Coût / mois Sauvegarde],MATCH(TabVMAZURE[[#This Row],[VMAzureDisk4]],TabVMAzureDisk[VMAzureDisk],0))</f>
        <v>0</v>
      </c>
      <c r="W13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13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13" s="22">
        <f>SUM(TabVMAZURE[[#This Row],[Coût estimé 
Disk Total / mois]]+TabVMAZURE[[#This Row],[Coût estimé 
sauvegarde total / mois]])</f>
        <v>2.8553999999999999</v>
      </c>
      <c r="Z13" s="34">
        <f>SUM(TabVMAZURE[[#This Row],[Coût estimé 
VM / mois]],TabVMAZURE[[#This Row],[Coût estimé 
Disk Total / mois]])+(TabVMAZURE[[#This Row],[Activité 
par mois]]*0.01717)</f>
        <v>22.7364</v>
      </c>
      <c r="AA13" s="22">
        <f>SUM(TabVMAZURE[[#This Row],[Coût estimé 
sauvegarde total / mois]]+TabVMAZURE[[#This Row],[Coût estimé 
total / mois
sans
sauvegarde]])+(TabVMAZURE[[#This Row],[Activité 
par mois]]*0.01717)</f>
        <v>27.944199999999999</v>
      </c>
    </row>
    <row r="14" spans="1:28" x14ac:dyDescent="0.3">
      <c r="A14" s="44" t="s">
        <v>109</v>
      </c>
      <c r="B14" t="s">
        <v>185</v>
      </c>
      <c r="C14" t="s">
        <v>179</v>
      </c>
      <c r="D14" t="s">
        <v>183</v>
      </c>
      <c r="E14" t="s">
        <v>178</v>
      </c>
      <c r="F14" t="s">
        <v>178</v>
      </c>
      <c r="G14" t="s">
        <v>178</v>
      </c>
      <c r="H14" s="17">
        <v>0.33333333333333331</v>
      </c>
      <c r="I14" s="17">
        <v>0.79166666666666663</v>
      </c>
      <c r="J14" s="22">
        <f>(((TabVMAZURE[[#This Row],[Auto Stop]]-INT(TabVMAZURE[[#This Row],[Auto Stop]]))*24)-((TabVMAZURE[[#This Row],[Auto Start]]-INT(TabVMAZURE[[#This Row],[Auto Start]]))*24))</f>
        <v>11</v>
      </c>
      <c r="K14" s="22">
        <v>20</v>
      </c>
      <c r="L14" s="22">
        <f>TabVMAZURE[[#This Row],[Activité 
par jours]]*TabVMAZURE[[#This Row],[Jours / Mois]]</f>
        <v>220</v>
      </c>
      <c r="M14" s="22">
        <f>INDEX(ListeVMAzureCoûts,MATCH(TabVMAZURE[[#This Row],[VMAzureSize]],ListeVMAzureSize,0),MATCH(TabVMAZURE[[#This Row],[Système]],ListeSystèmes,0))</f>
        <v>2.53E-2</v>
      </c>
      <c r="N14" s="22">
        <f>TabVMAZURE[[#This Row],[Activité 
par mois]]*TabVMAZURE[[#This Row],[Coût horaire VM]]</f>
        <v>5.5659999999999998</v>
      </c>
      <c r="O14" s="22">
        <f>INDEX(TabVMAzureDisk[Coût / mois],MATCH(TabVMAZURE[[#This Row],[VMAzureDisk]],TabVMAzureDisk[VMAzureDisk],0))</f>
        <v>5.5010000000000003</v>
      </c>
      <c r="P14" s="22">
        <f>INDEX(TabVMAzureDisk[Coût / mois Sauvegarde],MATCH(TabVMAZURE[[#This Row],[VMAzureDisk]],TabVMAzureDisk[VMAzureDisk],0))</f>
        <v>5.7215999999999996</v>
      </c>
      <c r="Q14" s="22">
        <f>INDEX(TabVMAzureDisk[Coût / mois],MATCH(TabVMAZURE[[#This Row],[VMAzureDisk2]],TabVMAzureDisk[VMAzureDisk],0))</f>
        <v>0</v>
      </c>
      <c r="R14" s="22">
        <f>INDEX(TabVMAzureDisk[Coût / mois Sauvegarde],MATCH(TabVMAZURE[[#This Row],[VMAzureDisk2]],TabVMAzureDisk[VMAzureDisk],0))</f>
        <v>0</v>
      </c>
      <c r="S14" s="22">
        <f>INDEX(TabVMAzureDisk[Coût / mois],MATCH(TabVMAZURE[[#This Row],[VMAzureDisk3]],TabVMAzureDisk[VMAzureDisk],0))</f>
        <v>0</v>
      </c>
      <c r="T14" s="22">
        <f>INDEX(TabVMAzureDisk[Coût / mois Sauvegarde],MATCH(TabVMAZURE[[#This Row],[VMAzureDisk3]],TabVMAzureDisk[VMAzureDisk],0))</f>
        <v>0</v>
      </c>
      <c r="U14" s="22">
        <f>INDEX(TabVMAzureDisk[Coût / mois],MATCH(TabVMAZURE[[#This Row],[VMAzureDisk4]],TabVMAzureDisk[VMAzureDisk],0))</f>
        <v>0</v>
      </c>
      <c r="V14" s="22">
        <f>INDEX(TabVMAzureDisk[Coût / mois Sauvegarde],MATCH(TabVMAZURE[[#This Row],[VMAzureDisk4]],TabVMAzureDisk[VMAzureDisk],0))</f>
        <v>0</v>
      </c>
      <c r="W14" s="22">
        <f>SUM(TabVMAZURE[[#This Row],[Coût estimé 
Disk1 / mois]]+TabVMAZURE[[#This Row],[Coût estimé 
Disk2 / mois]]+TabVMAZURE[[#This Row],[Coût estimé 
Disk3 / mois]]+TabVMAZURE[[#This Row],[Coût estimé 
Disk4 / mois]])</f>
        <v>5.5010000000000003</v>
      </c>
      <c r="X14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5.7215999999999996</v>
      </c>
      <c r="Y14" s="22">
        <f>SUM(TabVMAZURE[[#This Row],[Coût estimé 
Disk Total / mois]]+TabVMAZURE[[#This Row],[Coût estimé 
sauvegarde total / mois]])</f>
        <v>11.2226</v>
      </c>
      <c r="Z14" s="34">
        <f>SUM(TabVMAZURE[[#This Row],[Coût estimé 
VM / mois]],TabVMAZURE[[#This Row],[Coût estimé 
Disk Total / mois]])+(TabVMAZURE[[#This Row],[Activité 
par mois]]*0.01717)</f>
        <v>14.8444</v>
      </c>
      <c r="AA14" s="22">
        <f>SUM(TabVMAZURE[[#This Row],[Coût estimé 
sauvegarde total / mois]]+TabVMAZURE[[#This Row],[Coût estimé 
total / mois
sans
sauvegarde]])+(TabVMAZURE[[#This Row],[Activité 
par mois]]*0.01717)</f>
        <v>24.343399999999999</v>
      </c>
    </row>
    <row r="15" spans="1:28" x14ac:dyDescent="0.3">
      <c r="A15" s="44" t="s">
        <v>53</v>
      </c>
      <c r="B15" t="s">
        <v>175</v>
      </c>
      <c r="C15" t="s">
        <v>189</v>
      </c>
      <c r="D15" t="s">
        <v>180</v>
      </c>
      <c r="E15" t="s">
        <v>178</v>
      </c>
      <c r="F15" t="s">
        <v>178</v>
      </c>
      <c r="G15" t="s">
        <v>178</v>
      </c>
      <c r="H15" s="17">
        <v>0.33333333333333331</v>
      </c>
      <c r="I15" s="17">
        <v>0.83333333333333337</v>
      </c>
      <c r="J15" s="22">
        <f>(((TabVMAZURE[[#This Row],[Auto Stop]]-INT(TabVMAZURE[[#This Row],[Auto Stop]]))*24)-((TabVMAZURE[[#This Row],[Auto Start]]-INT(TabVMAZURE[[#This Row],[Auto Start]]))*24))</f>
        <v>12</v>
      </c>
      <c r="K15" s="22">
        <v>20</v>
      </c>
      <c r="L15" s="22">
        <f>TabVMAZURE[[#This Row],[Activité 
par jours]]*TabVMAZURE[[#This Row],[Jours / Mois]]</f>
        <v>240</v>
      </c>
      <c r="M15" s="22">
        <f>INDEX(ListeVMAzureCoûts,MATCH(TabVMAZURE[[#This Row],[VMAzureSize]],ListeVMAzureSize,0),MATCH(TabVMAZURE[[#This Row],[Système]],ListeSystèmes,0))</f>
        <v>0.15939999999999999</v>
      </c>
      <c r="N15" s="22">
        <f>TabVMAZURE[[#This Row],[Activité 
par mois]]*TabVMAZURE[[#This Row],[Coût horaire VM]]</f>
        <v>38.256</v>
      </c>
      <c r="O15" s="22">
        <f>INDEX(TabVMAzureDisk[Coût / mois],MATCH(TabVMAZURE[[#This Row],[VMAzureDisk]],TabVMAzureDisk[VMAzureDisk],0))</f>
        <v>1.425</v>
      </c>
      <c r="P15" s="22">
        <f>INDEX(TabVMAzureDisk[Coût / mois Sauvegarde],MATCH(TabVMAZURE[[#This Row],[VMAzureDisk]],TabVMAzureDisk[VMAzureDisk],0))</f>
        <v>1.4303999999999999</v>
      </c>
      <c r="Q15" s="22">
        <f>INDEX(TabVMAzureDisk[Coût / mois],MATCH(TabVMAZURE[[#This Row],[VMAzureDisk2]],TabVMAzureDisk[VMAzureDisk],0))</f>
        <v>0</v>
      </c>
      <c r="R15" s="22">
        <f>INDEX(TabVMAzureDisk[Coût / mois Sauvegarde],MATCH(TabVMAZURE[[#This Row],[VMAzureDisk2]],TabVMAzureDisk[VMAzureDisk],0))</f>
        <v>0</v>
      </c>
      <c r="S15" s="22">
        <f>INDEX(TabVMAzureDisk[Coût / mois],MATCH(TabVMAZURE[[#This Row],[VMAzureDisk3]],TabVMAzureDisk[VMAzureDisk],0))</f>
        <v>0</v>
      </c>
      <c r="T15" s="22">
        <f>INDEX(TabVMAzureDisk[Coût / mois Sauvegarde],MATCH(TabVMAZURE[[#This Row],[VMAzureDisk3]],TabVMAzureDisk[VMAzureDisk],0))</f>
        <v>0</v>
      </c>
      <c r="U15" s="22">
        <f>INDEX(TabVMAzureDisk[Coût / mois],MATCH(TabVMAZURE[[#This Row],[VMAzureDisk4]],TabVMAzureDisk[VMAzureDisk],0))</f>
        <v>0</v>
      </c>
      <c r="V15" s="22">
        <f>INDEX(TabVMAzureDisk[Coût / mois Sauvegarde],MATCH(TabVMAZURE[[#This Row],[VMAzureDisk4]],TabVMAzureDisk[VMAzureDisk],0))</f>
        <v>0</v>
      </c>
      <c r="W15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15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15" s="22">
        <f>SUM(TabVMAZURE[[#This Row],[Coût estimé 
Disk Total / mois]]+TabVMAZURE[[#This Row],[Coût estimé 
sauvegarde total / mois]])</f>
        <v>2.8553999999999999</v>
      </c>
      <c r="Z15" s="34">
        <f>SUM(TabVMAZURE[[#This Row],[Coût estimé 
VM / mois]],TabVMAZURE[[#This Row],[Coût estimé 
Disk Total / mois]])+(TabVMAZURE[[#This Row],[Activité 
par mois]]*0.01717)</f>
        <v>43.8018</v>
      </c>
      <c r="AA15" s="22">
        <f>SUM(TabVMAZURE[[#This Row],[Coût estimé 
sauvegarde total / mois]]+TabVMAZURE[[#This Row],[Coût estimé 
total / mois
sans
sauvegarde]])+(TabVMAZURE[[#This Row],[Activité 
par mois]]*0.01717)</f>
        <v>49.353000000000002</v>
      </c>
    </row>
    <row r="16" spans="1:28" x14ac:dyDescent="0.3">
      <c r="A16" s="44" t="s">
        <v>100</v>
      </c>
      <c r="B16" t="s">
        <v>175</v>
      </c>
      <c r="C16" t="s">
        <v>179</v>
      </c>
      <c r="D16" t="s">
        <v>180</v>
      </c>
      <c r="E16" t="s">
        <v>178</v>
      </c>
      <c r="F16" t="s">
        <v>178</v>
      </c>
      <c r="G16" t="s">
        <v>178</v>
      </c>
      <c r="H16" s="17">
        <v>0.33333333333333331</v>
      </c>
      <c r="I16" s="17">
        <v>0.83333333333333304</v>
      </c>
      <c r="J16" s="22">
        <f>(((TabVMAZURE[[#This Row],[Auto Stop]]-INT(TabVMAZURE[[#This Row],[Auto Stop]]))*24)-((TabVMAZURE[[#This Row],[Auto Start]]-INT(TabVMAZURE[[#This Row],[Auto Start]]))*24))</f>
        <v>11.999999999999993</v>
      </c>
      <c r="K16" s="22">
        <v>28</v>
      </c>
      <c r="L16" s="22">
        <f>TabVMAZURE[[#This Row],[Activité 
par jours]]*TabVMAZURE[[#This Row],[Jours / Mois]]</f>
        <v>335.99999999999977</v>
      </c>
      <c r="M16" s="22">
        <f>INDEX(ListeVMAzureCoûts,MATCH(TabVMAZURE[[#This Row],[VMAzureSize]],ListeVMAzureSize,0),MATCH(TabVMAZURE[[#This Row],[Système]],ListeSystèmes,0))</f>
        <v>0.02</v>
      </c>
      <c r="N16" s="22">
        <f>TabVMAZURE[[#This Row],[Activité 
par mois]]*TabVMAZURE[[#This Row],[Coût horaire VM]]</f>
        <v>6.7199999999999953</v>
      </c>
      <c r="O16" s="22">
        <f>INDEX(TabVMAzureDisk[Coût / mois],MATCH(TabVMAZURE[[#This Row],[VMAzureDisk]],TabVMAzureDisk[VMAzureDisk],0))</f>
        <v>1.425</v>
      </c>
      <c r="P16" s="22">
        <f>INDEX(TabVMAzureDisk[Coût / mois Sauvegarde],MATCH(TabVMAZURE[[#This Row],[VMAzureDisk]],TabVMAzureDisk[VMAzureDisk],0))</f>
        <v>1.4303999999999999</v>
      </c>
      <c r="Q16" s="22">
        <f>INDEX(TabVMAzureDisk[Coût / mois],MATCH(TabVMAZURE[[#This Row],[VMAzureDisk2]],TabVMAzureDisk[VMAzureDisk],0))</f>
        <v>0</v>
      </c>
      <c r="R16" s="22">
        <f>INDEX(TabVMAzureDisk[Coût / mois Sauvegarde],MATCH(TabVMAZURE[[#This Row],[VMAzureDisk2]],TabVMAzureDisk[VMAzureDisk],0))</f>
        <v>0</v>
      </c>
      <c r="S16" s="22">
        <f>INDEX(TabVMAzureDisk[Coût / mois],MATCH(TabVMAZURE[[#This Row],[VMAzureDisk3]],TabVMAzureDisk[VMAzureDisk],0))</f>
        <v>0</v>
      </c>
      <c r="T16" s="22">
        <f>INDEX(TabVMAzureDisk[Coût / mois Sauvegarde],MATCH(TabVMAZURE[[#This Row],[VMAzureDisk3]],TabVMAzureDisk[VMAzureDisk],0))</f>
        <v>0</v>
      </c>
      <c r="U16" s="22">
        <f>INDEX(TabVMAzureDisk[Coût / mois],MATCH(TabVMAZURE[[#This Row],[VMAzureDisk4]],TabVMAzureDisk[VMAzureDisk],0))</f>
        <v>0</v>
      </c>
      <c r="V16" s="22">
        <f>INDEX(TabVMAzureDisk[Coût / mois Sauvegarde],MATCH(TabVMAZURE[[#This Row],[VMAzureDisk4]],TabVMAzureDisk[VMAzureDisk],0))</f>
        <v>0</v>
      </c>
      <c r="W16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16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16" s="22">
        <f>SUM(TabVMAZURE[[#This Row],[Coût estimé 
Disk Total / mois]]+TabVMAZURE[[#This Row],[Coût estimé 
sauvegarde total / mois]])</f>
        <v>2.8553999999999999</v>
      </c>
      <c r="Z16" s="34">
        <f>SUM(TabVMAZURE[[#This Row],[Coût estimé 
VM / mois]],TabVMAZURE[[#This Row],[Coût estimé 
Disk Total / mois]])+(TabVMAZURE[[#This Row],[Activité 
par mois]]*0.01717)</f>
        <v>13.914119999999993</v>
      </c>
      <c r="AA16" s="22">
        <f>SUM(TabVMAZURE[[#This Row],[Coût estimé 
sauvegarde total / mois]]+TabVMAZURE[[#This Row],[Coût estimé 
total / mois
sans
sauvegarde]])+(TabVMAZURE[[#This Row],[Activité 
par mois]]*0.01717)</f>
        <v>21.11363999999999</v>
      </c>
    </row>
    <row r="17" spans="1:27" x14ac:dyDescent="0.3">
      <c r="A17" s="44" t="s">
        <v>69</v>
      </c>
      <c r="B17" t="s">
        <v>175</v>
      </c>
      <c r="C17" t="s">
        <v>192</v>
      </c>
      <c r="D17" t="s">
        <v>193</v>
      </c>
      <c r="E17" t="s">
        <v>178</v>
      </c>
      <c r="F17" t="s">
        <v>178</v>
      </c>
      <c r="G17" t="s">
        <v>178</v>
      </c>
      <c r="H17" s="17">
        <v>0.29166666666666669</v>
      </c>
      <c r="I17" s="17">
        <v>0.875</v>
      </c>
      <c r="J17" s="22">
        <f>(((TabVMAZURE[[#This Row],[Auto Stop]]-INT(TabVMAZURE[[#This Row],[Auto Stop]]))*24)-((TabVMAZURE[[#This Row],[Auto Start]]-INT(TabVMAZURE[[#This Row],[Auto Start]]))*24))</f>
        <v>14</v>
      </c>
      <c r="K17" s="22">
        <v>20</v>
      </c>
      <c r="L17" s="22">
        <f>TabVMAZURE[[#This Row],[Activité 
par jours]]*TabVMAZURE[[#This Row],[Jours / Mois]]</f>
        <v>280</v>
      </c>
      <c r="M17" s="22">
        <f>INDEX(ListeVMAzureCoûts,MATCH(TabVMAZURE[[#This Row],[VMAzureSize]],ListeVMAzureSize,0),MATCH(TabVMAZURE[[#This Row],[Système]],ListeSystèmes,0))</f>
        <v>7.9699999999999993E-2</v>
      </c>
      <c r="N17" s="22">
        <f>TabVMAZURE[[#This Row],[Activité 
par mois]]*TabVMAZURE[[#This Row],[Coût horaire VM]]</f>
        <v>22.315999999999999</v>
      </c>
      <c r="O17" s="22">
        <f>INDEX(TabVMAzureDisk[Coût / mois],MATCH(TabVMAZURE[[#This Row],[VMAzureDisk]],TabVMAzureDisk[VMAzureDisk],0))</f>
        <v>2.79</v>
      </c>
      <c r="P17" s="22">
        <f>INDEX(TabVMAzureDisk[Coût / mois Sauvegarde],MATCH(TabVMAZURE[[#This Row],[VMAzureDisk]],TabVMAzureDisk[VMAzureDisk],0))</f>
        <v>2.8607999999999998</v>
      </c>
      <c r="Q17" s="22">
        <f>INDEX(TabVMAzureDisk[Coût / mois],MATCH(TabVMAZURE[[#This Row],[VMAzureDisk2]],TabVMAzureDisk[VMAzureDisk],0))</f>
        <v>0</v>
      </c>
      <c r="R17" s="22">
        <f>INDEX(TabVMAzureDisk[Coût / mois Sauvegarde],MATCH(TabVMAZURE[[#This Row],[VMAzureDisk2]],TabVMAzureDisk[VMAzureDisk],0))</f>
        <v>0</v>
      </c>
      <c r="S17" s="22">
        <f>INDEX(TabVMAzureDisk[Coût / mois],MATCH(TabVMAZURE[[#This Row],[VMAzureDisk3]],TabVMAzureDisk[VMAzureDisk],0))</f>
        <v>0</v>
      </c>
      <c r="T17" s="22">
        <f>INDEX(TabVMAzureDisk[Coût / mois Sauvegarde],MATCH(TabVMAZURE[[#This Row],[VMAzureDisk3]],TabVMAzureDisk[VMAzureDisk],0))</f>
        <v>0</v>
      </c>
      <c r="U17" s="22">
        <f>INDEX(TabVMAzureDisk[Coût / mois],MATCH(TabVMAZURE[[#This Row],[VMAzureDisk4]],TabVMAzureDisk[VMAzureDisk],0))</f>
        <v>0</v>
      </c>
      <c r="V17" s="22">
        <f>INDEX(TabVMAzureDisk[Coût / mois Sauvegarde],MATCH(TabVMAZURE[[#This Row],[VMAzureDisk4]],TabVMAzureDisk[VMAzureDisk],0))</f>
        <v>0</v>
      </c>
      <c r="W17" s="22">
        <f>SUM(TabVMAZURE[[#This Row],[Coût estimé 
Disk1 / mois]]+TabVMAZURE[[#This Row],[Coût estimé 
Disk2 / mois]]+TabVMAZURE[[#This Row],[Coût estimé 
Disk3 / mois]]+TabVMAZURE[[#This Row],[Coût estimé 
Disk4 / mois]])</f>
        <v>2.79</v>
      </c>
      <c r="X17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2.8607999999999998</v>
      </c>
      <c r="Y17" s="22">
        <f>SUM(TabVMAZURE[[#This Row],[Coût estimé 
Disk Total / mois]]+TabVMAZURE[[#This Row],[Coût estimé 
sauvegarde total / mois]])</f>
        <v>5.6508000000000003</v>
      </c>
      <c r="Z17" s="34">
        <f>SUM(TabVMAZURE[[#This Row],[Coût estimé 
VM / mois]],TabVMAZURE[[#This Row],[Coût estimé 
Disk Total / mois]])+(TabVMAZURE[[#This Row],[Activité 
par mois]]*0.01717)</f>
        <v>29.913599999999999</v>
      </c>
      <c r="AA17" s="22">
        <f>SUM(TabVMAZURE[[#This Row],[Coût estimé 
sauvegarde total / mois]]+TabVMAZURE[[#This Row],[Coût estimé 
total / mois
sans
sauvegarde]])+(TabVMAZURE[[#This Row],[Activité 
par mois]]*0.01717)</f>
        <v>37.582000000000001</v>
      </c>
    </row>
    <row r="18" spans="1:27" x14ac:dyDescent="0.3">
      <c r="A18" s="44" t="s">
        <v>394</v>
      </c>
      <c r="B18" t="s">
        <v>175</v>
      </c>
      <c r="C18" t="s">
        <v>192</v>
      </c>
      <c r="D18" t="s">
        <v>180</v>
      </c>
      <c r="E18" t="s">
        <v>178</v>
      </c>
      <c r="F18" t="s">
        <v>178</v>
      </c>
      <c r="G18" t="s">
        <v>178</v>
      </c>
      <c r="H18" s="17">
        <v>0.35416666666666669</v>
      </c>
      <c r="I18" s="17">
        <v>0.8125</v>
      </c>
      <c r="J18" s="22">
        <f>(((TabVMAZURE[[#This Row],[Auto Stop]]-INT(TabVMAZURE[[#This Row],[Auto Stop]]))*24)-((TabVMAZURE[[#This Row],[Auto Start]]-INT(TabVMAZURE[[#This Row],[Auto Start]]))*24))</f>
        <v>11</v>
      </c>
      <c r="K18" s="22">
        <v>20</v>
      </c>
      <c r="L18" s="22">
        <f>TabVMAZURE[[#This Row],[Activité 
par jours]]*TabVMAZURE[[#This Row],[Jours / Mois]]</f>
        <v>220</v>
      </c>
      <c r="M18" s="22">
        <f>INDEX(ListeVMAzureCoûts,MATCH(TabVMAZURE[[#This Row],[VMAzureSize]],ListeVMAzureSize,0),MATCH(TabVMAZURE[[#This Row],[Système]],ListeSystèmes,0))</f>
        <v>7.9699999999999993E-2</v>
      </c>
      <c r="N18" s="22">
        <f>TabVMAZURE[[#This Row],[Activité 
par mois]]*TabVMAZURE[[#This Row],[Coût horaire VM]]</f>
        <v>17.533999999999999</v>
      </c>
      <c r="O18" s="22">
        <f>INDEX(TabVMAzureDisk[Coût / mois],MATCH(TabVMAZURE[[#This Row],[VMAzureDisk]],TabVMAzureDisk[VMAzureDisk],0))</f>
        <v>1.425</v>
      </c>
      <c r="P18" s="22">
        <f>INDEX(TabVMAzureDisk[Coût / mois Sauvegarde],MATCH(TabVMAZURE[[#This Row],[VMAzureDisk]],TabVMAzureDisk[VMAzureDisk],0))</f>
        <v>1.4303999999999999</v>
      </c>
      <c r="Q18" s="22">
        <f>INDEX(TabVMAzureDisk[Coût / mois],MATCH(TabVMAZURE[[#This Row],[VMAzureDisk2]],TabVMAzureDisk[VMAzureDisk],0))</f>
        <v>0</v>
      </c>
      <c r="R18" s="22">
        <f>INDEX(TabVMAzureDisk[Coût / mois Sauvegarde],MATCH(TabVMAZURE[[#This Row],[VMAzureDisk2]],TabVMAzureDisk[VMAzureDisk],0))</f>
        <v>0</v>
      </c>
      <c r="S18" s="22">
        <f>INDEX(TabVMAzureDisk[Coût / mois],MATCH(TabVMAZURE[[#This Row],[VMAzureDisk3]],TabVMAzureDisk[VMAzureDisk],0))</f>
        <v>0</v>
      </c>
      <c r="T18" s="22">
        <f>INDEX(TabVMAzureDisk[Coût / mois Sauvegarde],MATCH(TabVMAZURE[[#This Row],[VMAzureDisk3]],TabVMAzureDisk[VMAzureDisk],0))</f>
        <v>0</v>
      </c>
      <c r="U18" s="22">
        <f>INDEX(TabVMAzureDisk[Coût / mois],MATCH(TabVMAZURE[[#This Row],[VMAzureDisk4]],TabVMAzureDisk[VMAzureDisk],0))</f>
        <v>0</v>
      </c>
      <c r="V18" s="22">
        <f>INDEX(TabVMAzureDisk[Coût / mois Sauvegarde],MATCH(TabVMAZURE[[#This Row],[VMAzureDisk4]],TabVMAzureDisk[VMAzureDisk],0))</f>
        <v>0</v>
      </c>
      <c r="W18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X18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Y18" s="22">
        <f>SUM(TabVMAZURE[[#This Row],[Coût estimé 
Disk Total / mois]]+TabVMAZURE[[#This Row],[Coût estimé 
sauvegarde total / mois]])</f>
        <v>2.8553999999999999</v>
      </c>
      <c r="Z18" s="34">
        <f>SUM(TabVMAZURE[[#This Row],[Coût estimé 
VM / mois]],TabVMAZURE[[#This Row],[Coût estimé 
Disk Total / mois]])+(TabVMAZURE[[#This Row],[Activité 
par mois]]*0.01717)</f>
        <v>22.7364</v>
      </c>
      <c r="AA18" s="22">
        <f>SUM(TabVMAZURE[[#This Row],[Coût estimé 
sauvegarde total / mois]]+TabVMAZURE[[#This Row],[Coût estimé 
total / mois
sans
sauvegarde]])+(TabVMAZURE[[#This Row],[Activité 
par mois]]*0.01717)</f>
        <v>27.944199999999999</v>
      </c>
    </row>
  </sheetData>
  <phoneticPr fontId="6" type="noConversion"/>
  <dataValidations count="3">
    <dataValidation type="list" allowBlank="1" showInputMessage="1" showErrorMessage="1" sqref="C2:C18">
      <formula1>ListeVMAzureSize</formula1>
    </dataValidation>
    <dataValidation type="list" allowBlank="1" showInputMessage="1" showErrorMessage="1" sqref="D2:G7 E8:G14 D15:G15 E16:G18">
      <formula1>ListeVMAzureDisk</formula1>
    </dataValidation>
    <dataValidation type="list" allowBlank="1" showInputMessage="1" showErrorMessage="1" sqref="B2:B18">
      <formula1>ListeSystèmes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VMAzureDisk!$A:$A</xm:f>
          </x14:formula1>
          <xm:sqref>D8:D14 D16:D18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1"/>
  <sheetViews>
    <sheetView topLeftCell="M1" workbookViewId="0">
      <selection activeCell="V41" sqref="V41"/>
    </sheetView>
  </sheetViews>
  <sheetFormatPr baseColWidth="10" defaultColWidth="11.44140625" defaultRowHeight="14.4" x14ac:dyDescent="0.3"/>
  <cols>
    <col min="1" max="1" width="23.44140625" bestFit="1" customWidth="1"/>
    <col min="2" max="2" width="18.33203125" bestFit="1" customWidth="1"/>
    <col min="3" max="3" width="15.109375" bestFit="1" customWidth="1"/>
    <col min="4" max="4" width="20.88671875" bestFit="1" customWidth="1"/>
    <col min="5" max="5" width="22" bestFit="1" customWidth="1"/>
    <col min="6" max="6" width="16.33203125" bestFit="1" customWidth="1"/>
    <col min="7" max="7" width="19.88671875" bestFit="1" customWidth="1"/>
    <col min="8" max="8" width="12.109375" bestFit="1" customWidth="1"/>
    <col min="9" max="9" width="12" bestFit="1" customWidth="1"/>
    <col min="10" max="10" width="11" style="22" bestFit="1" customWidth="1"/>
    <col min="11" max="11" width="9.109375" bestFit="1" customWidth="1"/>
    <col min="12" max="12" width="10.88671875" bestFit="1" customWidth="1"/>
    <col min="13" max="13" width="17.88671875" bestFit="1" customWidth="1"/>
    <col min="14" max="15" width="14" bestFit="1" customWidth="1"/>
    <col min="16" max="16" width="14" customWidth="1"/>
    <col min="17" max="17" width="14" bestFit="1" customWidth="1"/>
    <col min="18" max="18" width="14" customWidth="1"/>
    <col min="19" max="19" width="14" bestFit="1" customWidth="1"/>
    <col min="20" max="20" width="14" customWidth="1"/>
    <col min="21" max="21" width="14" bestFit="1" customWidth="1"/>
    <col min="22" max="22" width="14" customWidth="1"/>
    <col min="23" max="23" width="17.88671875" bestFit="1" customWidth="1"/>
    <col min="24" max="24" width="17.88671875" customWidth="1"/>
    <col min="25" max="26" width="14" bestFit="1" customWidth="1"/>
    <col min="27" max="27" width="16.33203125" bestFit="1" customWidth="1"/>
    <col min="28" max="28" width="12.44140625" customWidth="1"/>
  </cols>
  <sheetData>
    <row r="1" spans="1:28" ht="57.6" x14ac:dyDescent="0.3">
      <c r="A1" s="2" t="s">
        <v>117</v>
      </c>
      <c r="B1" s="3" t="s">
        <v>149</v>
      </c>
      <c r="C1" s="3" t="s">
        <v>150</v>
      </c>
      <c r="D1" s="3" t="s">
        <v>151</v>
      </c>
      <c r="E1" s="3" t="s">
        <v>152</v>
      </c>
      <c r="F1" s="3" t="s">
        <v>153</v>
      </c>
      <c r="G1" s="3" t="s">
        <v>154</v>
      </c>
      <c r="H1" s="2" t="s">
        <v>155</v>
      </c>
      <c r="I1" s="2" t="s">
        <v>156</v>
      </c>
      <c r="J1" s="42" t="s">
        <v>157</v>
      </c>
      <c r="K1" s="29" t="s">
        <v>158</v>
      </c>
      <c r="L1" s="28" t="s">
        <v>159</v>
      </c>
      <c r="M1" s="28" t="s">
        <v>160</v>
      </c>
      <c r="N1" s="28" t="s">
        <v>161</v>
      </c>
      <c r="O1" s="28" t="s">
        <v>162</v>
      </c>
      <c r="P1" s="28" t="s">
        <v>163</v>
      </c>
      <c r="Q1" s="28" t="s">
        <v>164</v>
      </c>
      <c r="R1" s="28" t="s">
        <v>165</v>
      </c>
      <c r="S1" s="28" t="s">
        <v>166</v>
      </c>
      <c r="T1" s="28" t="s">
        <v>167</v>
      </c>
      <c r="U1" s="28" t="s">
        <v>168</v>
      </c>
      <c r="V1" s="28" t="s">
        <v>169</v>
      </c>
      <c r="W1" s="28" t="s">
        <v>170</v>
      </c>
      <c r="X1" s="28" t="s">
        <v>194</v>
      </c>
      <c r="Y1" s="28" t="s">
        <v>173</v>
      </c>
      <c r="Z1" s="28" t="s">
        <v>174</v>
      </c>
      <c r="AA1" s="15" t="s">
        <v>195</v>
      </c>
      <c r="AB1" s="28" t="s">
        <v>196</v>
      </c>
    </row>
    <row r="2" spans="1:28" x14ac:dyDescent="0.3">
      <c r="A2" t="s">
        <v>197</v>
      </c>
      <c r="B2" t="s">
        <v>185</v>
      </c>
      <c r="C2" t="s">
        <v>188</v>
      </c>
      <c r="D2" t="s">
        <v>183</v>
      </c>
      <c r="E2" t="s">
        <v>178</v>
      </c>
      <c r="F2" t="s">
        <v>178</v>
      </c>
      <c r="G2" t="s">
        <v>178</v>
      </c>
      <c r="H2" s="17">
        <v>0.33333333333333331</v>
      </c>
      <c r="I2" s="17">
        <v>0.79166666666666663</v>
      </c>
      <c r="J2" s="22">
        <f>(((TabVMAZURE11[[#This Row],[Auto Stop]]-INT(TabVMAZURE11[[#This Row],[Auto Stop]]))*24)-((TabVMAZURE11[[#This Row],[Auto Start]]-INT(TabVMAZURE11[[#This Row],[Auto Start]]))*24))</f>
        <v>11</v>
      </c>
      <c r="K2" s="22">
        <v>20</v>
      </c>
      <c r="L2" s="22">
        <f>TabVMAZURE11[[#This Row],[Activité 
par jours]]*TabVMAZURE11[[#This Row],[Jours / Mois]]</f>
        <v>220</v>
      </c>
      <c r="M2" s="22">
        <f>INDEX(ListeVMAzureCoûts,MATCH(TabVMAZURE11[[#This Row],[VMAzureSize]],ListeVMAzureSize,0),MATCH(TabVMAZURE11[[#This Row],[Système]],ListeSystèmes,0))</f>
        <v>5.0599999999999999E-2</v>
      </c>
      <c r="N2" s="22">
        <f>TabVMAZURE11[[#This Row],[Activité 
par mois]]*TabVMAZURE11[[#This Row],[Coût horaire VM]]</f>
        <v>11.132</v>
      </c>
      <c r="O2" s="22">
        <f>INDEX(TabVMAzureDisk[Coût / mois],MATCH(TabVMAZURE11[[#This Row],[VMAzureDisk]],TabVMAzureDisk[VMAzureDisk],0))</f>
        <v>5.5010000000000003</v>
      </c>
      <c r="P2" s="22">
        <f>INDEX(TabVMAzureDisk[Coût / mois Sauvegarde],MATCH(TabVMAZURE11[[#This Row],[VMAzureDisk]],TabVMAzureDisk[VMAzureDisk],0))</f>
        <v>5.7215999999999996</v>
      </c>
      <c r="Q2" s="22">
        <f>INDEX(TabVMAzureDisk[Coût / mois],MATCH(TabVMAZURE11[[#This Row],[VMAzureDisk2]],TabVMAzureDisk[VMAzureDisk],0))</f>
        <v>0</v>
      </c>
      <c r="R2" s="22">
        <f>INDEX(TabVMAzureDisk[Coût / mois Sauvegarde],MATCH(TabVMAZURE11[[#This Row],[VMAzureDisk2]],TabVMAzureDisk[VMAzureDisk],0))</f>
        <v>0</v>
      </c>
      <c r="S2" s="22">
        <f>INDEX(TabVMAzureDisk[Coût / mois],MATCH(TabVMAZURE11[[#This Row],[VMAzureDisk3]],TabVMAzureDisk[VMAzureDisk],0))</f>
        <v>0</v>
      </c>
      <c r="T2" s="22">
        <f>INDEX(TabVMAzureDisk[Coût / mois Sauvegarde],MATCH(TabVMAZURE11[[#This Row],[VMAzureDisk3]],TabVMAzureDisk[VMAzureDisk],0))</f>
        <v>0</v>
      </c>
      <c r="U2" s="22">
        <f>INDEX(TabVMAzureDisk[Coût / mois],MATCH(TabVMAZURE11[[#This Row],[VMAzureDisk4]],TabVMAzureDisk[VMAzureDisk],0))</f>
        <v>0</v>
      </c>
      <c r="V2" s="22">
        <f>INDEX(TabVMAzureDisk[Coût / mois Sauvegarde],MATCH(TabVMAZURE11[[#This Row],[VMAzureDisk4]],TabVMAzureDisk[VMAzureDisk],0))</f>
        <v>0</v>
      </c>
      <c r="W2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2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2" s="34">
        <f>SUM(TabVMAZURE11[[#This Row],[Coût estimé 
VM / mois]],TabVMAZURE11[[#This Row],[Coût estimé 
Disk Total / mois]])</f>
        <v>16.632999999999999</v>
      </c>
      <c r="Z2" s="34">
        <f>TabVMAZURE11[[#This Row],[Coût estimé 
total / mois
sans
sauvegarde]]+TabVMAZURE11[[#This Row],[Coût estimé 
sauvegarde
Disk Total / mois]]</f>
        <v>22.354599999999998</v>
      </c>
      <c r="AA2">
        <v>29.4</v>
      </c>
      <c r="AB2" s="34" t="str">
        <f>IF(TabVMAZURE11[[#This Row],[Coût estimé 
total / mois
avec 1 
sauvegarde]]&lt;TabVMAZURE11[[#This Row],[Coût OT]],"OUI","NON")</f>
        <v>OUI</v>
      </c>
    </row>
    <row r="3" spans="1:28" x14ac:dyDescent="0.3">
      <c r="A3" t="s">
        <v>198</v>
      </c>
      <c r="B3" t="s">
        <v>185</v>
      </c>
      <c r="C3" t="s">
        <v>179</v>
      </c>
      <c r="D3" t="s">
        <v>183</v>
      </c>
      <c r="E3" t="s">
        <v>178</v>
      </c>
      <c r="F3" t="s">
        <v>178</v>
      </c>
      <c r="G3" t="s">
        <v>178</v>
      </c>
      <c r="H3" s="17">
        <v>0.33333333333333331</v>
      </c>
      <c r="I3" s="17">
        <v>0.79166666666666663</v>
      </c>
      <c r="J3" s="22">
        <f>(((TabVMAZURE11[[#This Row],[Auto Stop]]-INT(TabVMAZURE11[[#This Row],[Auto Stop]]))*24)-((TabVMAZURE11[[#This Row],[Auto Start]]-INT(TabVMAZURE11[[#This Row],[Auto Start]]))*24))</f>
        <v>11</v>
      </c>
      <c r="K3" s="22">
        <v>20</v>
      </c>
      <c r="L3" s="22">
        <f>TabVMAZURE11[[#This Row],[Activité 
par jours]]*TabVMAZURE11[[#This Row],[Jours / Mois]]</f>
        <v>220</v>
      </c>
      <c r="M3" s="22">
        <f>INDEX(ListeVMAzureCoûts,MATCH(TabVMAZURE11[[#This Row],[VMAzureSize]],ListeVMAzureSize,0),MATCH(TabVMAZURE11[[#This Row],[Système]],ListeSystèmes,0))</f>
        <v>2.53E-2</v>
      </c>
      <c r="N3" s="22">
        <f>TabVMAZURE11[[#This Row],[Activité 
par mois]]*TabVMAZURE11[[#This Row],[Coût horaire VM]]</f>
        <v>5.5659999999999998</v>
      </c>
      <c r="O3" s="22">
        <f>INDEX(TabVMAzureDisk[Coût / mois],MATCH(TabVMAZURE11[[#This Row],[VMAzureDisk]],TabVMAzureDisk[VMAzureDisk],0))</f>
        <v>5.5010000000000003</v>
      </c>
      <c r="P3" s="22">
        <f>INDEX(TabVMAzureDisk[Coût / mois Sauvegarde],MATCH(TabVMAZURE11[[#This Row],[VMAzureDisk]],TabVMAzureDisk[VMAzureDisk],0))</f>
        <v>5.7215999999999996</v>
      </c>
      <c r="Q3" s="22">
        <f>INDEX(TabVMAzureDisk[Coût / mois],MATCH(TabVMAZURE11[[#This Row],[VMAzureDisk2]],TabVMAzureDisk[VMAzureDisk],0))</f>
        <v>0</v>
      </c>
      <c r="R3" s="22">
        <f>INDEX(TabVMAzureDisk[Coût / mois Sauvegarde],MATCH(TabVMAZURE11[[#This Row],[VMAzureDisk2]],TabVMAzureDisk[VMAzureDisk],0))</f>
        <v>0</v>
      </c>
      <c r="S3" s="22">
        <f>INDEX(TabVMAzureDisk[Coût / mois],MATCH(TabVMAZURE11[[#This Row],[VMAzureDisk3]],TabVMAzureDisk[VMAzureDisk],0))</f>
        <v>0</v>
      </c>
      <c r="T3" s="22">
        <f>INDEX(TabVMAzureDisk[Coût / mois Sauvegarde],MATCH(TabVMAZURE11[[#This Row],[VMAzureDisk3]],TabVMAzureDisk[VMAzureDisk],0))</f>
        <v>0</v>
      </c>
      <c r="U3" s="22">
        <f>INDEX(TabVMAzureDisk[Coût / mois],MATCH(TabVMAZURE11[[#This Row],[VMAzureDisk4]],TabVMAzureDisk[VMAzureDisk],0))</f>
        <v>0</v>
      </c>
      <c r="V3" s="22">
        <f>INDEX(TabVMAzureDisk[Coût / mois Sauvegarde],MATCH(TabVMAZURE11[[#This Row],[VMAzureDisk4]],TabVMAzureDisk[VMAzureDisk],0))</f>
        <v>0</v>
      </c>
      <c r="W3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3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3" s="34">
        <f>SUM(TabVMAZURE11[[#This Row],[Coût estimé 
VM / mois]],TabVMAZURE11[[#This Row],[Coût estimé 
Disk Total / mois]])</f>
        <v>11.067</v>
      </c>
      <c r="Z3" s="34">
        <f>TabVMAZURE11[[#This Row],[Coût estimé 
total / mois
sans
sauvegarde]]+TabVMAZURE11[[#This Row],[Coût estimé 
sauvegarde
Disk Total / mois]]</f>
        <v>16.788599999999999</v>
      </c>
      <c r="AA3">
        <v>12.400000000000002</v>
      </c>
      <c r="AB3" s="22" t="str">
        <f>IF(TabVMAZURE11[[#This Row],[Coût estimé 
total / mois
avec 1 
sauvegarde]]&lt;TabVMAZURE11[[#This Row],[Coût OT]],"OUI","NON")</f>
        <v>NON</v>
      </c>
    </row>
    <row r="4" spans="1:28" x14ac:dyDescent="0.3">
      <c r="A4" t="s">
        <v>199</v>
      </c>
      <c r="B4" t="s">
        <v>175</v>
      </c>
      <c r="C4" t="s">
        <v>188</v>
      </c>
      <c r="D4" t="s">
        <v>193</v>
      </c>
      <c r="E4" t="s">
        <v>178</v>
      </c>
      <c r="F4" t="s">
        <v>178</v>
      </c>
      <c r="G4" t="s">
        <v>178</v>
      </c>
      <c r="H4" s="17">
        <v>0.33333333333333331</v>
      </c>
      <c r="I4" s="17">
        <v>0.79166666666666663</v>
      </c>
      <c r="J4" s="22">
        <f>(((TabVMAZURE11[[#This Row],[Auto Stop]]-INT(TabVMAZURE11[[#This Row],[Auto Stop]]))*24)-((TabVMAZURE11[[#This Row],[Auto Start]]-INT(TabVMAZURE11[[#This Row],[Auto Start]]))*24))</f>
        <v>11</v>
      </c>
      <c r="K4" s="22">
        <v>20</v>
      </c>
      <c r="L4" s="22">
        <f>TabVMAZURE11[[#This Row],[Activité 
par jours]]*TabVMAZURE11[[#This Row],[Jours / Mois]]</f>
        <v>220</v>
      </c>
      <c r="M4" s="22">
        <f>INDEX(ListeVMAzureCoûts,MATCH(TabVMAZURE11[[#This Row],[VMAzureSize]],ListeVMAzureSize,0),MATCH(TabVMAZURE11[[#This Row],[Système]],ListeSystèmes,0))</f>
        <v>3.9899999999999998E-2</v>
      </c>
      <c r="N4" s="22">
        <f>TabVMAZURE11[[#This Row],[Activité 
par mois]]*TabVMAZURE11[[#This Row],[Coût horaire VM]]</f>
        <v>8.7779999999999987</v>
      </c>
      <c r="O4" s="22">
        <f>INDEX(TabVMAzureDisk[Coût / mois],MATCH(TabVMAZURE11[[#This Row],[VMAzureDisk]],TabVMAzureDisk[VMAzureDisk],0))</f>
        <v>2.79</v>
      </c>
      <c r="P4" s="22">
        <f>INDEX(TabVMAzureDisk[Coût / mois Sauvegarde],MATCH(TabVMAZURE11[[#This Row],[VMAzureDisk]],TabVMAzureDisk[VMAzureDisk],0))</f>
        <v>2.8607999999999998</v>
      </c>
      <c r="Q4" s="22">
        <f>INDEX(TabVMAzureDisk[Coût / mois],MATCH(TabVMAZURE11[[#This Row],[VMAzureDisk2]],TabVMAzureDisk[VMAzureDisk],0))</f>
        <v>0</v>
      </c>
      <c r="R4" s="22">
        <f>INDEX(TabVMAzureDisk[Coût / mois Sauvegarde],MATCH(TabVMAZURE11[[#This Row],[VMAzureDisk2]],TabVMAzureDisk[VMAzureDisk],0))</f>
        <v>0</v>
      </c>
      <c r="S4" s="22">
        <f>INDEX(TabVMAzureDisk[Coût / mois],MATCH(TabVMAZURE11[[#This Row],[VMAzureDisk3]],TabVMAzureDisk[VMAzureDisk],0))</f>
        <v>0</v>
      </c>
      <c r="T4" s="22">
        <f>INDEX(TabVMAzureDisk[Coût / mois Sauvegarde],MATCH(TabVMAZURE11[[#This Row],[VMAzureDisk3]],TabVMAzureDisk[VMAzureDisk],0))</f>
        <v>0</v>
      </c>
      <c r="U4" s="22">
        <f>INDEX(TabVMAzureDisk[Coût / mois],MATCH(TabVMAZURE11[[#This Row],[VMAzureDisk4]],TabVMAzureDisk[VMAzureDisk],0))</f>
        <v>0</v>
      </c>
      <c r="V4" s="22">
        <f>INDEX(TabVMAzureDisk[Coût / mois Sauvegarde],MATCH(TabVMAZURE11[[#This Row],[VMAzureDisk4]],TabVMAzureDisk[VMAzureDisk],0))</f>
        <v>0</v>
      </c>
      <c r="W4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4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4" s="34">
        <f>SUM(TabVMAZURE11[[#This Row],[Coût estimé 
VM / mois]],TabVMAZURE11[[#This Row],[Coût estimé 
Disk Total / mois]])</f>
        <v>11.567999999999998</v>
      </c>
      <c r="Z4" s="34">
        <f>TabVMAZURE11[[#This Row],[Coût estimé 
total / mois
sans
sauvegarde]]+TabVMAZURE11[[#This Row],[Coût estimé 
sauvegarde
Disk Total / mois]]</f>
        <v>14.428799999999997</v>
      </c>
      <c r="AA4">
        <v>12.400000000000002</v>
      </c>
      <c r="AB4" s="22" t="str">
        <f>IF(TabVMAZURE11[[#This Row],[Coût estimé 
total / mois
avec 1 
sauvegarde]]&lt;TabVMAZURE11[[#This Row],[Coût OT]],"OUI","NON")</f>
        <v>NON</v>
      </c>
    </row>
    <row r="5" spans="1:28" x14ac:dyDescent="0.3">
      <c r="A5" t="s">
        <v>200</v>
      </c>
      <c r="B5" t="s">
        <v>175</v>
      </c>
      <c r="C5" t="s">
        <v>179</v>
      </c>
      <c r="D5" t="s">
        <v>180</v>
      </c>
      <c r="E5" t="s">
        <v>178</v>
      </c>
      <c r="F5" t="s">
        <v>178</v>
      </c>
      <c r="G5" t="s">
        <v>178</v>
      </c>
      <c r="H5" s="17">
        <v>0.33333333333333331</v>
      </c>
      <c r="I5" s="17">
        <v>0.79166666666666663</v>
      </c>
      <c r="J5" s="22">
        <f>(((TabVMAZURE11[[#This Row],[Auto Stop]]-INT(TabVMAZURE11[[#This Row],[Auto Stop]]))*24)-((TabVMAZURE11[[#This Row],[Auto Start]]-INT(TabVMAZURE11[[#This Row],[Auto Start]]))*24))</f>
        <v>11</v>
      </c>
      <c r="K5" s="22">
        <v>20</v>
      </c>
      <c r="L5" s="22">
        <f>TabVMAZURE11[[#This Row],[Activité 
par jours]]*TabVMAZURE11[[#This Row],[Jours / Mois]]</f>
        <v>220</v>
      </c>
      <c r="M5" s="22">
        <f>INDEX(ListeVMAzureCoûts,MATCH(TabVMAZURE11[[#This Row],[VMAzureSize]],ListeVMAzureSize,0),MATCH(TabVMAZURE11[[#This Row],[Système]],ListeSystèmes,0))</f>
        <v>0.02</v>
      </c>
      <c r="N5" s="22">
        <f>TabVMAZURE11[[#This Row],[Activité 
par mois]]*TabVMAZURE11[[#This Row],[Coût horaire VM]]</f>
        <v>4.4000000000000004</v>
      </c>
      <c r="O5" s="22">
        <f>INDEX(TabVMAzureDisk[Coût / mois],MATCH(TabVMAZURE11[[#This Row],[VMAzureDisk]],TabVMAzureDisk[VMAzureDisk],0))</f>
        <v>1.425</v>
      </c>
      <c r="P5" s="22">
        <f>INDEX(TabVMAzureDisk[Coût / mois Sauvegarde],MATCH(TabVMAZURE11[[#This Row],[VMAzureDisk]],TabVMAzureDisk[VMAzureDisk],0))</f>
        <v>1.4303999999999999</v>
      </c>
      <c r="Q5" s="22">
        <f>INDEX(TabVMAzureDisk[Coût / mois],MATCH(TabVMAZURE11[[#This Row],[VMAzureDisk2]],TabVMAzureDisk[VMAzureDisk],0))</f>
        <v>0</v>
      </c>
      <c r="R5" s="22">
        <f>INDEX(TabVMAzureDisk[Coût / mois Sauvegarde],MATCH(TabVMAZURE11[[#This Row],[VMAzureDisk2]],TabVMAzureDisk[VMAzureDisk],0))</f>
        <v>0</v>
      </c>
      <c r="S5" s="22">
        <f>INDEX(TabVMAzureDisk[Coût / mois],MATCH(TabVMAZURE11[[#This Row],[VMAzureDisk3]],TabVMAzureDisk[VMAzureDisk],0))</f>
        <v>0</v>
      </c>
      <c r="T5" s="22">
        <f>INDEX(TabVMAzureDisk[Coût / mois Sauvegarde],MATCH(TabVMAZURE11[[#This Row],[VMAzureDisk3]],TabVMAzureDisk[VMAzureDisk],0))</f>
        <v>0</v>
      </c>
      <c r="U5" s="22">
        <f>INDEX(TabVMAzureDisk[Coût / mois],MATCH(TabVMAZURE11[[#This Row],[VMAzureDisk4]],TabVMAzureDisk[VMAzureDisk],0))</f>
        <v>0</v>
      </c>
      <c r="V5" s="22">
        <f>INDEX(TabVMAzureDisk[Coût / mois Sauvegarde],MATCH(TabVMAZURE11[[#This Row],[VMAzureDisk4]],TabVMAzureDisk[VMAzureDisk],0))</f>
        <v>0</v>
      </c>
      <c r="W5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5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5" s="34">
        <f>SUM(TabVMAZURE11[[#This Row],[Coût estimé 
VM / mois]],TabVMAZURE11[[#This Row],[Coût estimé 
Disk Total / mois]])</f>
        <v>5.8250000000000002</v>
      </c>
      <c r="Z5" s="34">
        <f>TabVMAZURE11[[#This Row],[Coût estimé 
total / mois
sans
sauvegarde]]+TabVMAZURE11[[#This Row],[Coût estimé 
sauvegarde
Disk Total / mois]]</f>
        <v>7.2553999999999998</v>
      </c>
      <c r="AA5">
        <v>7.8000000000000007</v>
      </c>
      <c r="AB5" s="22" t="str">
        <f>IF(TabVMAZURE11[[#This Row],[Coût estimé 
total / mois
avec 1 
sauvegarde]]&lt;TabVMAZURE11[[#This Row],[Coût OT]],"OUI","NON")</f>
        <v>OUI</v>
      </c>
    </row>
    <row r="6" spans="1:28" x14ac:dyDescent="0.3">
      <c r="A6" t="s">
        <v>201</v>
      </c>
      <c r="B6" t="s">
        <v>175</v>
      </c>
      <c r="C6" t="s">
        <v>188</v>
      </c>
      <c r="D6" t="s">
        <v>193</v>
      </c>
      <c r="E6" t="s">
        <v>178</v>
      </c>
      <c r="F6" t="s">
        <v>178</v>
      </c>
      <c r="G6" t="s">
        <v>178</v>
      </c>
      <c r="H6" s="17">
        <v>0.33333333333333331</v>
      </c>
      <c r="I6" s="17">
        <v>0.79166666666666663</v>
      </c>
      <c r="J6" s="22">
        <f>(((TabVMAZURE11[[#This Row],[Auto Stop]]-INT(TabVMAZURE11[[#This Row],[Auto Stop]]))*24)-((TabVMAZURE11[[#This Row],[Auto Start]]-INT(TabVMAZURE11[[#This Row],[Auto Start]]))*24))</f>
        <v>11</v>
      </c>
      <c r="K6" s="22">
        <v>20</v>
      </c>
      <c r="L6" s="22">
        <f>TabVMAZURE11[[#This Row],[Activité 
par jours]]*TabVMAZURE11[[#This Row],[Jours / Mois]]</f>
        <v>220</v>
      </c>
      <c r="M6" s="22">
        <f>INDEX(ListeVMAzureCoûts,MATCH(TabVMAZURE11[[#This Row],[VMAzureSize]],ListeVMAzureSize,0),MATCH(TabVMAZURE11[[#This Row],[Système]],ListeSystèmes,0))</f>
        <v>3.9899999999999998E-2</v>
      </c>
      <c r="N6" s="22">
        <f>TabVMAZURE11[[#This Row],[Activité 
par mois]]*TabVMAZURE11[[#This Row],[Coût horaire VM]]</f>
        <v>8.7779999999999987</v>
      </c>
      <c r="O6" s="22">
        <f>INDEX(TabVMAzureDisk[Coût / mois],MATCH(TabVMAZURE11[[#This Row],[VMAzureDisk]],TabVMAzureDisk[VMAzureDisk],0))</f>
        <v>2.79</v>
      </c>
      <c r="P6" s="22">
        <f>INDEX(TabVMAzureDisk[Coût / mois Sauvegarde],MATCH(TabVMAZURE11[[#This Row],[VMAzureDisk]],TabVMAzureDisk[VMAzureDisk],0))</f>
        <v>2.8607999999999998</v>
      </c>
      <c r="Q6" s="22">
        <f>INDEX(TabVMAzureDisk[Coût / mois],MATCH(TabVMAZURE11[[#This Row],[VMAzureDisk2]],TabVMAzureDisk[VMAzureDisk],0))</f>
        <v>0</v>
      </c>
      <c r="R6" s="22">
        <f>INDEX(TabVMAzureDisk[Coût / mois Sauvegarde],MATCH(TabVMAZURE11[[#This Row],[VMAzureDisk2]],TabVMAzureDisk[VMAzureDisk],0))</f>
        <v>0</v>
      </c>
      <c r="S6" s="22">
        <f>INDEX(TabVMAzureDisk[Coût / mois],MATCH(TabVMAZURE11[[#This Row],[VMAzureDisk3]],TabVMAzureDisk[VMAzureDisk],0))</f>
        <v>0</v>
      </c>
      <c r="T6" s="22">
        <f>INDEX(TabVMAzureDisk[Coût / mois Sauvegarde],MATCH(TabVMAZURE11[[#This Row],[VMAzureDisk3]],TabVMAzureDisk[VMAzureDisk],0))</f>
        <v>0</v>
      </c>
      <c r="U6" s="22">
        <f>INDEX(TabVMAzureDisk[Coût / mois],MATCH(TabVMAZURE11[[#This Row],[VMAzureDisk4]],TabVMAzureDisk[VMAzureDisk],0))</f>
        <v>0</v>
      </c>
      <c r="V6" s="22">
        <f>INDEX(TabVMAzureDisk[Coût / mois Sauvegarde],MATCH(TabVMAZURE11[[#This Row],[VMAzureDisk4]],TabVMAzureDisk[VMAzureDisk],0))</f>
        <v>0</v>
      </c>
      <c r="W6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6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6" s="34">
        <f>SUM(TabVMAZURE11[[#This Row],[Coût estimé 
VM / mois]],TabVMAZURE11[[#This Row],[Coût estimé 
Disk Total / mois]])</f>
        <v>11.567999999999998</v>
      </c>
      <c r="Z6" s="34">
        <f>TabVMAZURE11[[#This Row],[Coût estimé 
total / mois
sans
sauvegarde]]+TabVMAZURE11[[#This Row],[Coût estimé 
sauvegarde
Disk Total / mois]]</f>
        <v>14.428799999999997</v>
      </c>
      <c r="AA6">
        <v>15.600000000000001</v>
      </c>
      <c r="AB6" s="22" t="str">
        <f>IF(TabVMAZURE11[[#This Row],[Coût estimé 
total / mois
avec 1 
sauvegarde]]&lt;TabVMAZURE11[[#This Row],[Coût OT]],"OUI","NON")</f>
        <v>OUI</v>
      </c>
    </row>
    <row r="7" spans="1:28" x14ac:dyDescent="0.3">
      <c r="A7" t="s">
        <v>202</v>
      </c>
      <c r="B7" t="s">
        <v>175</v>
      </c>
      <c r="C7" t="s">
        <v>203</v>
      </c>
      <c r="D7" t="s">
        <v>204</v>
      </c>
      <c r="E7" t="s">
        <v>178</v>
      </c>
      <c r="F7" t="s">
        <v>178</v>
      </c>
      <c r="G7" t="s">
        <v>178</v>
      </c>
      <c r="H7" s="17">
        <v>0.33333333333333331</v>
      </c>
      <c r="I7" s="17">
        <v>0.79166666666666663</v>
      </c>
      <c r="J7" s="22">
        <f>(((TabVMAZURE11[[#This Row],[Auto Stop]]-INT(TabVMAZURE11[[#This Row],[Auto Stop]]))*24)-((TabVMAZURE11[[#This Row],[Auto Start]]-INT(TabVMAZURE11[[#This Row],[Auto Start]]))*24))</f>
        <v>11</v>
      </c>
      <c r="K7" s="22">
        <v>20</v>
      </c>
      <c r="L7" s="22">
        <f>TabVMAZURE11[[#This Row],[Activité 
par jours]]*TabVMAZURE11[[#This Row],[Jours / Mois]]</f>
        <v>220</v>
      </c>
      <c r="M7" s="22">
        <f>INDEX(ListeVMAzureCoûts,MATCH(TabVMAZURE11[[#This Row],[VMAzureSize]],ListeVMAzureSize,0),MATCH(TabVMAZURE11[[#This Row],[Système]],ListeSystèmes,0))</f>
        <v>0.13159999999999999</v>
      </c>
      <c r="N7" s="22">
        <f>TabVMAZURE11[[#This Row],[Activité 
par mois]]*TabVMAZURE11[[#This Row],[Coût horaire VM]]</f>
        <v>28.951999999999998</v>
      </c>
      <c r="O7" s="22">
        <f>INDEX(TabVMAzureDisk[Coût / mois],MATCH(TabVMAZURE11[[#This Row],[VMAzureDisk]],TabVMAzureDisk[VMAzureDisk],0))</f>
        <v>20.225000000000001</v>
      </c>
      <c r="P7" s="22">
        <f>INDEX(TabVMAzureDisk[Coût / mois Sauvegarde],MATCH(TabVMAZURE11[[#This Row],[VMAzureDisk]],TabVMAzureDisk[VMAzureDisk],0))</f>
        <v>22.886399999999998</v>
      </c>
      <c r="Q7" s="22">
        <f>INDEX(TabVMAzureDisk[Coût / mois],MATCH(TabVMAZURE11[[#This Row],[VMAzureDisk2]],TabVMAzureDisk[VMAzureDisk],0))</f>
        <v>0</v>
      </c>
      <c r="R7" s="22">
        <f>INDEX(TabVMAzureDisk[Coût / mois Sauvegarde],MATCH(TabVMAZURE11[[#This Row],[VMAzureDisk2]],TabVMAzureDisk[VMAzureDisk],0))</f>
        <v>0</v>
      </c>
      <c r="S7" s="22">
        <f>INDEX(TabVMAzureDisk[Coût / mois],MATCH(TabVMAZURE11[[#This Row],[VMAzureDisk3]],TabVMAzureDisk[VMAzureDisk],0))</f>
        <v>0</v>
      </c>
      <c r="T7" s="22">
        <f>INDEX(TabVMAzureDisk[Coût / mois Sauvegarde],MATCH(TabVMAZURE11[[#This Row],[VMAzureDisk3]],TabVMAzureDisk[VMAzureDisk],0))</f>
        <v>0</v>
      </c>
      <c r="U7" s="22">
        <f>INDEX(TabVMAzureDisk[Coût / mois],MATCH(TabVMAZURE11[[#This Row],[VMAzureDisk4]],TabVMAzureDisk[VMAzureDisk],0))</f>
        <v>0</v>
      </c>
      <c r="V7" s="22">
        <f>INDEX(TabVMAzureDisk[Coût / mois Sauvegarde],MATCH(TabVMAZURE11[[#This Row],[VMAzureDisk4]],TabVMAzureDisk[VMAzureDisk],0))</f>
        <v>0</v>
      </c>
      <c r="W7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7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7" s="34">
        <f>SUM(TabVMAZURE11[[#This Row],[Coût estimé 
VM / mois]],TabVMAZURE11[[#This Row],[Coût estimé 
Disk Total / mois]])</f>
        <v>49.177</v>
      </c>
      <c r="Z7" s="34">
        <f>TabVMAZURE11[[#This Row],[Coût estimé 
total / mois
sans
sauvegarde]]+TabVMAZURE11[[#This Row],[Coût estimé 
sauvegarde
Disk Total / mois]]</f>
        <v>72.063400000000001</v>
      </c>
      <c r="AA7">
        <v>94.6</v>
      </c>
      <c r="AB7" s="22" t="str">
        <f>IF(TabVMAZURE11[[#This Row],[Coût estimé 
total / mois
avec 1 
sauvegarde]]&lt;TabVMAZURE11[[#This Row],[Coût OT]],"OUI","NON")</f>
        <v>OUI</v>
      </c>
    </row>
    <row r="8" spans="1:28" x14ac:dyDescent="0.3">
      <c r="A8" t="s">
        <v>205</v>
      </c>
      <c r="B8" t="s">
        <v>185</v>
      </c>
      <c r="C8" t="s">
        <v>188</v>
      </c>
      <c r="D8" t="s">
        <v>206</v>
      </c>
      <c r="E8" t="s">
        <v>178</v>
      </c>
      <c r="F8" t="s">
        <v>178</v>
      </c>
      <c r="G8" t="s">
        <v>178</v>
      </c>
      <c r="H8" s="17">
        <v>0.33333333333333331</v>
      </c>
      <c r="I8" s="17">
        <v>0.79166666666666663</v>
      </c>
      <c r="J8" s="22">
        <f>(((TabVMAZURE11[[#This Row],[Auto Stop]]-INT(TabVMAZURE11[[#This Row],[Auto Stop]]))*24)-((TabVMAZURE11[[#This Row],[Auto Start]]-INT(TabVMAZURE11[[#This Row],[Auto Start]]))*24))</f>
        <v>11</v>
      </c>
      <c r="K8" s="22">
        <v>20</v>
      </c>
      <c r="L8" s="22">
        <f>TabVMAZURE11[[#This Row],[Activité 
par jours]]*TabVMAZURE11[[#This Row],[Jours / Mois]]</f>
        <v>220</v>
      </c>
      <c r="M8" s="22">
        <f>INDEX(ListeVMAzureCoûts,MATCH(TabVMAZURE11[[#This Row],[VMAzureSize]],ListeVMAzureSize,0),MATCH(TabVMAZURE11[[#This Row],[Système]],ListeSystèmes,0))</f>
        <v>5.0599999999999999E-2</v>
      </c>
      <c r="N8" s="22">
        <f>TabVMAZURE11[[#This Row],[Activité 
par mois]]*TabVMAZURE11[[#This Row],[Coût horaire VM]]</f>
        <v>11.132</v>
      </c>
      <c r="O8" s="22">
        <f>INDEX(TabVMAzureDisk[Coût / mois],MATCH(TabVMAZURE11[[#This Row],[VMAzureDisk]],TabVMAzureDisk[VMAzureDisk],0))</f>
        <v>10.547000000000001</v>
      </c>
      <c r="P8" s="22">
        <f>INDEX(TabVMAzureDisk[Coût / mois Sauvegarde],MATCH(TabVMAZURE11[[#This Row],[VMAzureDisk]],TabVMAzureDisk[VMAzureDisk],0))</f>
        <v>11.443199999999999</v>
      </c>
      <c r="Q8" s="22">
        <f>INDEX(TabVMAzureDisk[Coût / mois],MATCH(TabVMAZURE11[[#This Row],[VMAzureDisk2]],TabVMAzureDisk[VMAzureDisk],0))</f>
        <v>0</v>
      </c>
      <c r="R8" s="22">
        <f>INDEX(TabVMAzureDisk[Coût / mois Sauvegarde],MATCH(TabVMAZURE11[[#This Row],[VMAzureDisk2]],TabVMAzureDisk[VMAzureDisk],0))</f>
        <v>0</v>
      </c>
      <c r="S8" s="22">
        <f>INDEX(TabVMAzureDisk[Coût / mois],MATCH(TabVMAZURE11[[#This Row],[VMAzureDisk3]],TabVMAzureDisk[VMAzureDisk],0))</f>
        <v>0</v>
      </c>
      <c r="T8" s="22">
        <f>INDEX(TabVMAzureDisk[Coût / mois Sauvegarde],MATCH(TabVMAZURE11[[#This Row],[VMAzureDisk3]],TabVMAzureDisk[VMAzureDisk],0))</f>
        <v>0</v>
      </c>
      <c r="U8" s="22">
        <f>INDEX(TabVMAzureDisk[Coût / mois],MATCH(TabVMAZURE11[[#This Row],[VMAzureDisk4]],TabVMAzureDisk[VMAzureDisk],0))</f>
        <v>0</v>
      </c>
      <c r="V8" s="22">
        <f>INDEX(TabVMAzureDisk[Coût / mois Sauvegarde],MATCH(TabVMAZURE11[[#This Row],[VMAzureDisk4]],TabVMAzureDisk[VMAzureDisk],0))</f>
        <v>0</v>
      </c>
      <c r="W8" s="22">
        <f>SUM(TabVMAZURE11[[#This Row],[Coût estimé 
Disk1 / mois]]+TabVMAZURE11[[#This Row],[Coût estimé 
Disk2 / mois]]+TabVMAZURE11[[#This Row],[Coût estimé 
Disk3 / mois]]+TabVMAZURE11[[#This Row],[Coût estimé 
Disk4 / mois]])</f>
        <v>10.547000000000001</v>
      </c>
      <c r="X8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11.443199999999999</v>
      </c>
      <c r="Y8" s="34">
        <f>SUM(TabVMAZURE11[[#This Row],[Coût estimé 
VM / mois]],TabVMAZURE11[[#This Row],[Coût estimé 
Disk Total / mois]])</f>
        <v>21.679000000000002</v>
      </c>
      <c r="Z8" s="34">
        <f>TabVMAZURE11[[#This Row],[Coût estimé 
total / mois
sans
sauvegarde]]+TabVMAZURE11[[#This Row],[Coût estimé 
sauvegarde
Disk Total / mois]]</f>
        <v>33.122199999999999</v>
      </c>
      <c r="AA8">
        <v>43.2</v>
      </c>
      <c r="AB8" s="22" t="str">
        <f>IF(TabVMAZURE11[[#This Row],[Coût estimé 
total / mois
avec 1 
sauvegarde]]&lt;TabVMAZURE11[[#This Row],[Coût OT]],"OUI","NON")</f>
        <v>OUI</v>
      </c>
    </row>
    <row r="9" spans="1:28" x14ac:dyDescent="0.3">
      <c r="A9" t="s">
        <v>207</v>
      </c>
      <c r="B9" t="s">
        <v>175</v>
      </c>
      <c r="C9" t="s">
        <v>192</v>
      </c>
      <c r="D9" t="s">
        <v>206</v>
      </c>
      <c r="E9" t="s">
        <v>178</v>
      </c>
      <c r="F9" t="s">
        <v>178</v>
      </c>
      <c r="G9" t="s">
        <v>178</v>
      </c>
      <c r="H9" s="17">
        <v>0.33333333333333331</v>
      </c>
      <c r="I9" s="17">
        <v>0.79166666666666663</v>
      </c>
      <c r="J9" s="22">
        <f>(((TabVMAZURE11[[#This Row],[Auto Stop]]-INT(TabVMAZURE11[[#This Row],[Auto Stop]]))*24)-((TabVMAZURE11[[#This Row],[Auto Start]]-INT(TabVMAZURE11[[#This Row],[Auto Start]]))*24))</f>
        <v>11</v>
      </c>
      <c r="K9" s="22">
        <v>20</v>
      </c>
      <c r="L9" s="22">
        <f>TabVMAZURE11[[#This Row],[Activité 
par jours]]*TabVMAZURE11[[#This Row],[Jours / Mois]]</f>
        <v>220</v>
      </c>
      <c r="M9" s="22">
        <f>INDEX(ListeVMAzureCoûts,MATCH(TabVMAZURE11[[#This Row],[VMAzureSize]],ListeVMAzureSize,0),MATCH(TabVMAZURE11[[#This Row],[Système]],ListeSystèmes,0))</f>
        <v>7.9699999999999993E-2</v>
      </c>
      <c r="N9" s="22">
        <f>TabVMAZURE11[[#This Row],[Activité 
par mois]]*TabVMAZURE11[[#This Row],[Coût horaire VM]]</f>
        <v>17.533999999999999</v>
      </c>
      <c r="O9" s="22">
        <f>INDEX(TabVMAzureDisk[Coût / mois],MATCH(TabVMAZURE11[[#This Row],[VMAzureDisk]],TabVMAzureDisk[VMAzureDisk],0))</f>
        <v>10.547000000000001</v>
      </c>
      <c r="P9" s="22">
        <f>INDEX(TabVMAzureDisk[Coût / mois Sauvegarde],MATCH(TabVMAZURE11[[#This Row],[VMAzureDisk]],TabVMAzureDisk[VMAzureDisk],0))</f>
        <v>11.443199999999999</v>
      </c>
      <c r="Q9" s="22">
        <f>INDEX(TabVMAzureDisk[Coût / mois],MATCH(TabVMAZURE11[[#This Row],[VMAzureDisk2]],TabVMAzureDisk[VMAzureDisk],0))</f>
        <v>0</v>
      </c>
      <c r="R9" s="22">
        <f>INDEX(TabVMAzureDisk[Coût / mois Sauvegarde],MATCH(TabVMAZURE11[[#This Row],[VMAzureDisk2]],TabVMAzureDisk[VMAzureDisk],0))</f>
        <v>0</v>
      </c>
      <c r="S9" s="22">
        <f>INDEX(TabVMAzureDisk[Coût / mois],MATCH(TabVMAZURE11[[#This Row],[VMAzureDisk3]],TabVMAzureDisk[VMAzureDisk],0))</f>
        <v>0</v>
      </c>
      <c r="T9" s="22">
        <f>INDEX(TabVMAzureDisk[Coût / mois Sauvegarde],MATCH(TabVMAZURE11[[#This Row],[VMAzureDisk3]],TabVMAzureDisk[VMAzureDisk],0))</f>
        <v>0</v>
      </c>
      <c r="U9" s="22">
        <f>INDEX(TabVMAzureDisk[Coût / mois],MATCH(TabVMAZURE11[[#This Row],[VMAzureDisk4]],TabVMAzureDisk[VMAzureDisk],0))</f>
        <v>0</v>
      </c>
      <c r="V9" s="22">
        <f>INDEX(TabVMAzureDisk[Coût / mois Sauvegarde],MATCH(TabVMAZURE11[[#This Row],[VMAzureDisk4]],TabVMAzureDisk[VMAzureDisk],0))</f>
        <v>0</v>
      </c>
      <c r="W9" s="22">
        <f>SUM(TabVMAZURE11[[#This Row],[Coût estimé 
Disk1 / mois]]+TabVMAZURE11[[#This Row],[Coût estimé 
Disk2 / mois]]+TabVMAZURE11[[#This Row],[Coût estimé 
Disk3 / mois]]+TabVMAZURE11[[#This Row],[Coût estimé 
Disk4 / mois]])</f>
        <v>10.547000000000001</v>
      </c>
      <c r="X9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11.443199999999999</v>
      </c>
      <c r="Y9" s="34">
        <f>SUM(TabVMAZURE11[[#This Row],[Coût estimé 
VM / mois]],TabVMAZURE11[[#This Row],[Coût estimé 
Disk Total / mois]])</f>
        <v>28.081</v>
      </c>
      <c r="Z9" s="34">
        <f>TabVMAZURE11[[#This Row],[Coût estimé 
total / mois
sans
sauvegarde]]+TabVMAZURE11[[#This Row],[Coût estimé 
sauvegarde
Disk Total / mois]]</f>
        <v>39.5242</v>
      </c>
      <c r="AA9">
        <v>67.099999999999994</v>
      </c>
      <c r="AB9" s="22" t="str">
        <f>IF(TabVMAZURE11[[#This Row],[Coût estimé 
total / mois
avec 1 
sauvegarde]]&lt;TabVMAZURE11[[#This Row],[Coût OT]],"OUI","NON")</f>
        <v>OUI</v>
      </c>
    </row>
    <row r="10" spans="1:28" x14ac:dyDescent="0.3">
      <c r="A10" t="s">
        <v>208</v>
      </c>
      <c r="B10" t="s">
        <v>185</v>
      </c>
      <c r="C10" t="s">
        <v>188</v>
      </c>
      <c r="D10" t="s">
        <v>183</v>
      </c>
      <c r="E10" t="s">
        <v>178</v>
      </c>
      <c r="F10" t="s">
        <v>178</v>
      </c>
      <c r="G10" t="s">
        <v>178</v>
      </c>
      <c r="H10" s="17">
        <v>0.33333333333333331</v>
      </c>
      <c r="I10" s="17">
        <v>0.79166666666666663</v>
      </c>
      <c r="J10" s="22">
        <f>(((TabVMAZURE11[[#This Row],[Auto Stop]]-INT(TabVMAZURE11[[#This Row],[Auto Stop]]))*24)-((TabVMAZURE11[[#This Row],[Auto Start]]-INT(TabVMAZURE11[[#This Row],[Auto Start]]))*24))</f>
        <v>11</v>
      </c>
      <c r="K10" s="22">
        <v>20</v>
      </c>
      <c r="L10" s="22">
        <f>TabVMAZURE11[[#This Row],[Activité 
par jours]]*TabVMAZURE11[[#This Row],[Jours / Mois]]</f>
        <v>220</v>
      </c>
      <c r="M10" s="22">
        <f>INDEX(ListeVMAzureCoûts,MATCH(TabVMAZURE11[[#This Row],[VMAzureSize]],ListeVMAzureSize,0),MATCH(TabVMAZURE11[[#This Row],[Système]],ListeSystèmes,0))</f>
        <v>5.0599999999999999E-2</v>
      </c>
      <c r="N10" s="22">
        <f>TabVMAZURE11[[#This Row],[Activité 
par mois]]*TabVMAZURE11[[#This Row],[Coût horaire VM]]</f>
        <v>11.132</v>
      </c>
      <c r="O10" s="22">
        <f>INDEX(TabVMAzureDisk[Coût / mois],MATCH(TabVMAZURE11[[#This Row],[VMAzureDisk]],TabVMAzureDisk[VMAzureDisk],0))</f>
        <v>5.5010000000000003</v>
      </c>
      <c r="P10" s="22">
        <f>INDEX(TabVMAzureDisk[Coût / mois Sauvegarde],MATCH(TabVMAZURE11[[#This Row],[VMAzureDisk]],TabVMAzureDisk[VMAzureDisk],0))</f>
        <v>5.7215999999999996</v>
      </c>
      <c r="Q10" s="22">
        <f>INDEX(TabVMAzureDisk[Coût / mois],MATCH(TabVMAZURE11[[#This Row],[VMAzureDisk2]],TabVMAzureDisk[VMAzureDisk],0))</f>
        <v>0</v>
      </c>
      <c r="R10" s="22">
        <f>INDEX(TabVMAzureDisk[Coût / mois Sauvegarde],MATCH(TabVMAZURE11[[#This Row],[VMAzureDisk2]],TabVMAzureDisk[VMAzureDisk],0))</f>
        <v>0</v>
      </c>
      <c r="S10" s="22">
        <f>INDEX(TabVMAzureDisk[Coût / mois],MATCH(TabVMAZURE11[[#This Row],[VMAzureDisk3]],TabVMAzureDisk[VMAzureDisk],0))</f>
        <v>0</v>
      </c>
      <c r="T10" s="22">
        <f>INDEX(TabVMAzureDisk[Coût / mois Sauvegarde],MATCH(TabVMAZURE11[[#This Row],[VMAzureDisk3]],TabVMAzureDisk[VMAzureDisk],0))</f>
        <v>0</v>
      </c>
      <c r="U10" s="22">
        <f>INDEX(TabVMAzureDisk[Coût / mois],MATCH(TabVMAZURE11[[#This Row],[VMAzureDisk4]],TabVMAzureDisk[VMAzureDisk],0))</f>
        <v>0</v>
      </c>
      <c r="V10" s="22">
        <f>INDEX(TabVMAzureDisk[Coût / mois Sauvegarde],MATCH(TabVMAZURE11[[#This Row],[VMAzureDisk4]],TabVMAzureDisk[VMAzureDisk],0))</f>
        <v>0</v>
      </c>
      <c r="W10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10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10" s="34">
        <f>SUM(TabVMAZURE11[[#This Row],[Coût estimé 
VM / mois]],TabVMAZURE11[[#This Row],[Coût estimé 
Disk Total / mois]])</f>
        <v>16.632999999999999</v>
      </c>
      <c r="Z10" s="34">
        <f>TabVMAZURE11[[#This Row],[Coût estimé 
total / mois
sans
sauvegarde]]+TabVMAZURE11[[#This Row],[Coût estimé 
sauvegarde
Disk Total / mois]]</f>
        <v>22.354599999999998</v>
      </c>
      <c r="AA10">
        <v>27.1</v>
      </c>
      <c r="AB10" s="22" t="str">
        <f>IF(TabVMAZURE11[[#This Row],[Coût estimé 
total / mois
avec 1 
sauvegarde]]&lt;TabVMAZURE11[[#This Row],[Coût OT]],"OUI","NON")</f>
        <v>OUI</v>
      </c>
    </row>
    <row r="11" spans="1:28" x14ac:dyDescent="0.3">
      <c r="A11" t="s">
        <v>209</v>
      </c>
      <c r="B11" t="s">
        <v>175</v>
      </c>
      <c r="C11" t="s">
        <v>210</v>
      </c>
      <c r="D11" t="s">
        <v>183</v>
      </c>
      <c r="E11" t="s">
        <v>178</v>
      </c>
      <c r="F11" t="s">
        <v>178</v>
      </c>
      <c r="G11" t="s">
        <v>178</v>
      </c>
      <c r="H11" s="17">
        <v>0.33333333333333331</v>
      </c>
      <c r="I11" s="17">
        <v>0.79166666666666663</v>
      </c>
      <c r="J11" s="22">
        <f>(((TabVMAZURE11[[#This Row],[Auto Stop]]-INT(TabVMAZURE11[[#This Row],[Auto Stop]]))*24)-((TabVMAZURE11[[#This Row],[Auto Start]]-INT(TabVMAZURE11[[#This Row],[Auto Start]]))*24))</f>
        <v>11</v>
      </c>
      <c r="K11" s="22">
        <v>20</v>
      </c>
      <c r="L11" s="22">
        <f>TabVMAZURE11[[#This Row],[Activité 
par jours]]*TabVMAZURE11[[#This Row],[Jours / Mois]]</f>
        <v>220</v>
      </c>
      <c r="M11" s="22">
        <f>INDEX(ListeVMAzureCoûts,MATCH(TabVMAZURE11[[#This Row],[VMAzureSize]],ListeVMAzureSize,0),MATCH(TabVMAZURE11[[#This Row],[Système]],ListeSystèmes,0))</f>
        <v>0.1704</v>
      </c>
      <c r="N11" s="22">
        <f>TabVMAZURE11[[#This Row],[Activité 
par mois]]*TabVMAZURE11[[#This Row],[Coût horaire VM]]</f>
        <v>37.488</v>
      </c>
      <c r="O11" s="22">
        <f>INDEX(TabVMAzureDisk[Coût / mois],MATCH(TabVMAZURE11[[#This Row],[VMAzureDisk]],TabVMAzureDisk[VMAzureDisk],0))</f>
        <v>5.5010000000000003</v>
      </c>
      <c r="P11" s="22">
        <f>INDEX(TabVMAzureDisk[Coût / mois Sauvegarde],MATCH(TabVMAZURE11[[#This Row],[VMAzureDisk]],TabVMAzureDisk[VMAzureDisk],0))</f>
        <v>5.7215999999999996</v>
      </c>
      <c r="Q11" s="22">
        <f>INDEX(TabVMAzureDisk[Coût / mois],MATCH(TabVMAZURE11[[#This Row],[VMAzureDisk2]],TabVMAzureDisk[VMAzureDisk],0))</f>
        <v>0</v>
      </c>
      <c r="R11" s="22">
        <f>INDEX(TabVMAzureDisk[Coût / mois Sauvegarde],MATCH(TabVMAZURE11[[#This Row],[VMAzureDisk2]],TabVMAzureDisk[VMAzureDisk],0))</f>
        <v>0</v>
      </c>
      <c r="S11" s="22">
        <f>INDEX(TabVMAzureDisk[Coût / mois],MATCH(TabVMAZURE11[[#This Row],[VMAzureDisk3]],TabVMAzureDisk[VMAzureDisk],0))</f>
        <v>0</v>
      </c>
      <c r="T11" s="22">
        <f>INDEX(TabVMAzureDisk[Coût / mois Sauvegarde],MATCH(TabVMAZURE11[[#This Row],[VMAzureDisk3]],TabVMAzureDisk[VMAzureDisk],0))</f>
        <v>0</v>
      </c>
      <c r="U11" s="22">
        <f>INDEX(TabVMAzureDisk[Coût / mois],MATCH(TabVMAZURE11[[#This Row],[VMAzureDisk4]],TabVMAzureDisk[VMAzureDisk],0))</f>
        <v>0</v>
      </c>
      <c r="V11" s="22">
        <f>INDEX(TabVMAzureDisk[Coût / mois Sauvegarde],MATCH(TabVMAZURE11[[#This Row],[VMAzureDisk4]],TabVMAzureDisk[VMAzureDisk],0))</f>
        <v>0</v>
      </c>
      <c r="W11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11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11" s="34">
        <f>SUM(TabVMAZURE11[[#This Row],[Coût estimé 
VM / mois]],TabVMAZURE11[[#This Row],[Coût estimé 
Disk Total / mois]])</f>
        <v>42.988999999999997</v>
      </c>
      <c r="Z11" s="34">
        <f>TabVMAZURE11[[#This Row],[Coût estimé 
total / mois
sans
sauvegarde]]+TabVMAZURE11[[#This Row],[Coût estimé 
sauvegarde
Disk Total / mois]]</f>
        <v>48.710599999999999</v>
      </c>
      <c r="AA11">
        <v>40.400000000000006</v>
      </c>
      <c r="AB11" s="22" t="str">
        <f>IF(TabVMAZURE11[[#This Row],[Coût estimé 
total / mois
avec 1 
sauvegarde]]&lt;TabVMAZURE11[[#This Row],[Coût OT]],"OUI","NON")</f>
        <v>NON</v>
      </c>
    </row>
    <row r="12" spans="1:28" x14ac:dyDescent="0.3">
      <c r="A12" t="s">
        <v>211</v>
      </c>
      <c r="B12" t="s">
        <v>185</v>
      </c>
      <c r="C12" t="s">
        <v>210</v>
      </c>
      <c r="D12" t="s">
        <v>193</v>
      </c>
      <c r="E12" t="s">
        <v>178</v>
      </c>
      <c r="F12" t="s">
        <v>178</v>
      </c>
      <c r="G12" t="s">
        <v>178</v>
      </c>
      <c r="H12" s="17">
        <v>0.33333333333333331</v>
      </c>
      <c r="I12" s="17">
        <v>0.79166666666666663</v>
      </c>
      <c r="J12" s="22">
        <f>(((TabVMAZURE11[[#This Row],[Auto Stop]]-INT(TabVMAZURE11[[#This Row],[Auto Stop]]))*24)-((TabVMAZURE11[[#This Row],[Auto Start]]-INT(TabVMAZURE11[[#This Row],[Auto Start]]))*24))</f>
        <v>11</v>
      </c>
      <c r="K12" s="22">
        <v>20</v>
      </c>
      <c r="L12" s="22">
        <f>TabVMAZURE11[[#This Row],[Activité 
par jours]]*TabVMAZURE11[[#This Row],[Jours / Mois]]</f>
        <v>220</v>
      </c>
      <c r="M12" s="22">
        <f>INDEX(ListeVMAzureCoûts,MATCH(TabVMAZURE11[[#This Row],[VMAzureSize]],ListeVMAzureSize,0),MATCH(TabVMAZURE11[[#This Row],[Système]],ListeSystèmes,0))</f>
        <v>0.3256</v>
      </c>
      <c r="N12" s="22">
        <f>TabVMAZURE11[[#This Row],[Activité 
par mois]]*TabVMAZURE11[[#This Row],[Coût horaire VM]]</f>
        <v>71.632000000000005</v>
      </c>
      <c r="O12" s="22">
        <f>INDEX(TabVMAzureDisk[Coût / mois],MATCH(TabVMAZURE11[[#This Row],[VMAzureDisk]],TabVMAzureDisk[VMAzureDisk],0))</f>
        <v>2.79</v>
      </c>
      <c r="P12" s="22">
        <f>INDEX(TabVMAzureDisk[Coût / mois Sauvegarde],MATCH(TabVMAZURE11[[#This Row],[VMAzureDisk]],TabVMAzureDisk[VMAzureDisk],0))</f>
        <v>2.8607999999999998</v>
      </c>
      <c r="Q12" s="22">
        <f>INDEX(TabVMAzureDisk[Coût / mois],MATCH(TabVMAZURE11[[#This Row],[VMAzureDisk2]],TabVMAzureDisk[VMAzureDisk],0))</f>
        <v>0</v>
      </c>
      <c r="R12" s="22">
        <f>INDEX(TabVMAzureDisk[Coût / mois Sauvegarde],MATCH(TabVMAZURE11[[#This Row],[VMAzureDisk2]],TabVMAzureDisk[VMAzureDisk],0))</f>
        <v>0</v>
      </c>
      <c r="S12" s="22">
        <f>INDEX(TabVMAzureDisk[Coût / mois],MATCH(TabVMAZURE11[[#This Row],[VMAzureDisk3]],TabVMAzureDisk[VMAzureDisk],0))</f>
        <v>0</v>
      </c>
      <c r="T12" s="22">
        <f>INDEX(TabVMAzureDisk[Coût / mois Sauvegarde],MATCH(TabVMAZURE11[[#This Row],[VMAzureDisk3]],TabVMAzureDisk[VMAzureDisk],0))</f>
        <v>0</v>
      </c>
      <c r="U12" s="22">
        <f>INDEX(TabVMAzureDisk[Coût / mois],MATCH(TabVMAZURE11[[#This Row],[VMAzureDisk4]],TabVMAzureDisk[VMAzureDisk],0))</f>
        <v>0</v>
      </c>
      <c r="V12" s="22">
        <f>INDEX(TabVMAzureDisk[Coût / mois Sauvegarde],MATCH(TabVMAZURE11[[#This Row],[VMAzureDisk4]],TabVMAzureDisk[VMAzureDisk],0))</f>
        <v>0</v>
      </c>
      <c r="W12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12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12" s="34">
        <f>SUM(TabVMAZURE11[[#This Row],[Coût estimé 
VM / mois]],TabVMAZURE11[[#This Row],[Coût estimé 
Disk Total / mois]])</f>
        <v>74.422000000000011</v>
      </c>
      <c r="Z12" s="34">
        <f>TabVMAZURE11[[#This Row],[Coût estimé 
total / mois
sans
sauvegarde]]+TabVMAZURE11[[#This Row],[Coût estimé 
sauvegarde
Disk Total / mois]]</f>
        <v>77.282800000000009</v>
      </c>
      <c r="AA12">
        <v>25.450000000000003</v>
      </c>
      <c r="AB12" s="22" t="str">
        <f>IF(TabVMAZURE11[[#This Row],[Coût estimé 
total / mois
avec 1 
sauvegarde]]&lt;TabVMAZURE11[[#This Row],[Coût OT]],"OUI","NON")</f>
        <v>NON</v>
      </c>
    </row>
    <row r="13" spans="1:28" x14ac:dyDescent="0.3">
      <c r="A13" t="s">
        <v>212</v>
      </c>
      <c r="B13" t="s">
        <v>175</v>
      </c>
      <c r="C13" t="s">
        <v>188</v>
      </c>
      <c r="D13" t="s">
        <v>180</v>
      </c>
      <c r="E13" t="s">
        <v>178</v>
      </c>
      <c r="F13" t="s">
        <v>178</v>
      </c>
      <c r="G13" t="s">
        <v>178</v>
      </c>
      <c r="H13" s="17">
        <v>0.33333333333333331</v>
      </c>
      <c r="I13" s="17">
        <v>0.79166666666666663</v>
      </c>
      <c r="J13" s="22">
        <f>(((TabVMAZURE11[[#This Row],[Auto Stop]]-INT(TabVMAZURE11[[#This Row],[Auto Stop]]))*24)-((TabVMAZURE11[[#This Row],[Auto Start]]-INT(TabVMAZURE11[[#This Row],[Auto Start]]))*24))</f>
        <v>11</v>
      </c>
      <c r="K13" s="22">
        <v>20</v>
      </c>
      <c r="L13" s="22">
        <f>TabVMAZURE11[[#This Row],[Activité 
par jours]]*TabVMAZURE11[[#This Row],[Jours / Mois]]</f>
        <v>220</v>
      </c>
      <c r="M13" s="22">
        <f>INDEX(ListeVMAzureCoûts,MATCH(TabVMAZURE11[[#This Row],[VMAzureSize]],ListeVMAzureSize,0),MATCH(TabVMAZURE11[[#This Row],[Système]],ListeSystèmes,0))</f>
        <v>3.9899999999999998E-2</v>
      </c>
      <c r="N13" s="22">
        <f>TabVMAZURE11[[#This Row],[Activité 
par mois]]*TabVMAZURE11[[#This Row],[Coût horaire VM]]</f>
        <v>8.7779999999999987</v>
      </c>
      <c r="O13" s="22">
        <f>INDEX(TabVMAzureDisk[Coût / mois],MATCH(TabVMAZURE11[[#This Row],[VMAzureDisk]],TabVMAzureDisk[VMAzureDisk],0))</f>
        <v>1.425</v>
      </c>
      <c r="P13" s="22">
        <f>INDEX(TabVMAzureDisk[Coût / mois Sauvegarde],MATCH(TabVMAZURE11[[#This Row],[VMAzureDisk]],TabVMAzureDisk[VMAzureDisk],0))</f>
        <v>1.4303999999999999</v>
      </c>
      <c r="Q13" s="22">
        <f>INDEX(TabVMAzureDisk[Coût / mois],MATCH(TabVMAZURE11[[#This Row],[VMAzureDisk2]],TabVMAzureDisk[VMAzureDisk],0))</f>
        <v>0</v>
      </c>
      <c r="R13" s="22">
        <f>INDEX(TabVMAzureDisk[Coût / mois Sauvegarde],MATCH(TabVMAZURE11[[#This Row],[VMAzureDisk2]],TabVMAzureDisk[VMAzureDisk],0))</f>
        <v>0</v>
      </c>
      <c r="S13" s="22">
        <f>INDEX(TabVMAzureDisk[Coût / mois],MATCH(TabVMAZURE11[[#This Row],[VMAzureDisk3]],TabVMAzureDisk[VMAzureDisk],0))</f>
        <v>0</v>
      </c>
      <c r="T13" s="22">
        <f>INDEX(TabVMAzureDisk[Coût / mois Sauvegarde],MATCH(TabVMAZURE11[[#This Row],[VMAzureDisk3]],TabVMAzureDisk[VMAzureDisk],0))</f>
        <v>0</v>
      </c>
      <c r="U13" s="22">
        <f>INDEX(TabVMAzureDisk[Coût / mois],MATCH(TabVMAZURE11[[#This Row],[VMAzureDisk4]],TabVMAzureDisk[VMAzureDisk],0))</f>
        <v>0</v>
      </c>
      <c r="V13" s="22">
        <f>INDEX(TabVMAzureDisk[Coût / mois Sauvegarde],MATCH(TabVMAZURE11[[#This Row],[VMAzureDisk4]],TabVMAzureDisk[VMAzureDisk],0))</f>
        <v>0</v>
      </c>
      <c r="W13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13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13" s="34">
        <f>SUM(TabVMAZURE11[[#This Row],[Coût estimé 
VM / mois]],TabVMAZURE11[[#This Row],[Coût estimé 
Disk Total / mois]])</f>
        <v>10.202999999999999</v>
      </c>
      <c r="Z13" s="34">
        <f>TabVMAZURE11[[#This Row],[Coût estimé 
total / mois
sans
sauvegarde]]+TabVMAZURE11[[#This Row],[Coût estimé 
sauvegarde
Disk Total / mois]]</f>
        <v>11.6334</v>
      </c>
      <c r="AA13">
        <v>14.450000000000001</v>
      </c>
      <c r="AB13" s="22" t="str">
        <f>IF(TabVMAZURE11[[#This Row],[Coût estimé 
total / mois
avec 1 
sauvegarde]]&lt;TabVMAZURE11[[#This Row],[Coût OT]],"OUI","NON")</f>
        <v>OUI</v>
      </c>
    </row>
    <row r="14" spans="1:28" x14ac:dyDescent="0.3">
      <c r="A14" t="s">
        <v>213</v>
      </c>
      <c r="B14" t="s">
        <v>175</v>
      </c>
      <c r="C14" t="s">
        <v>179</v>
      </c>
      <c r="D14" t="s">
        <v>193</v>
      </c>
      <c r="E14" t="s">
        <v>178</v>
      </c>
      <c r="F14" t="s">
        <v>178</v>
      </c>
      <c r="G14" t="s">
        <v>178</v>
      </c>
      <c r="H14" s="17">
        <v>0.33333333333333331</v>
      </c>
      <c r="I14" s="17">
        <v>0.79166666666666663</v>
      </c>
      <c r="J14" s="22">
        <f>(((TabVMAZURE11[[#This Row],[Auto Stop]]-INT(TabVMAZURE11[[#This Row],[Auto Stop]]))*24)-((TabVMAZURE11[[#This Row],[Auto Start]]-INT(TabVMAZURE11[[#This Row],[Auto Start]]))*24))</f>
        <v>11</v>
      </c>
      <c r="K14" s="22">
        <v>20</v>
      </c>
      <c r="L14" s="22">
        <f>TabVMAZURE11[[#This Row],[Activité 
par jours]]*TabVMAZURE11[[#This Row],[Jours / Mois]]</f>
        <v>220</v>
      </c>
      <c r="M14" s="22">
        <f>INDEX(ListeVMAzureCoûts,MATCH(TabVMAZURE11[[#This Row],[VMAzureSize]],ListeVMAzureSize,0),MATCH(TabVMAZURE11[[#This Row],[Système]],ListeSystèmes,0))</f>
        <v>0.02</v>
      </c>
      <c r="N14" s="22">
        <f>TabVMAZURE11[[#This Row],[Activité 
par mois]]*TabVMAZURE11[[#This Row],[Coût horaire VM]]</f>
        <v>4.4000000000000004</v>
      </c>
      <c r="O14" s="22">
        <f>INDEX(TabVMAzureDisk[Coût / mois],MATCH(TabVMAZURE11[[#This Row],[VMAzureDisk]],TabVMAzureDisk[VMAzureDisk],0))</f>
        <v>2.79</v>
      </c>
      <c r="P14" s="22">
        <f>INDEX(TabVMAzureDisk[Coût / mois Sauvegarde],MATCH(TabVMAZURE11[[#This Row],[VMAzureDisk]],TabVMAzureDisk[VMAzureDisk],0))</f>
        <v>2.8607999999999998</v>
      </c>
      <c r="Q14" s="22">
        <f>INDEX(TabVMAzureDisk[Coût / mois],MATCH(TabVMAZURE11[[#This Row],[VMAzureDisk2]],TabVMAzureDisk[VMAzureDisk],0))</f>
        <v>0</v>
      </c>
      <c r="R14" s="22">
        <f>INDEX(TabVMAzureDisk[Coût / mois Sauvegarde],MATCH(TabVMAZURE11[[#This Row],[VMAzureDisk2]],TabVMAzureDisk[VMAzureDisk],0))</f>
        <v>0</v>
      </c>
      <c r="S14" s="22">
        <f>INDEX(TabVMAzureDisk[Coût / mois],MATCH(TabVMAZURE11[[#This Row],[VMAzureDisk3]],TabVMAzureDisk[VMAzureDisk],0))</f>
        <v>0</v>
      </c>
      <c r="T14" s="22">
        <f>INDEX(TabVMAzureDisk[Coût / mois Sauvegarde],MATCH(TabVMAZURE11[[#This Row],[VMAzureDisk3]],TabVMAzureDisk[VMAzureDisk],0))</f>
        <v>0</v>
      </c>
      <c r="U14" s="22">
        <f>INDEX(TabVMAzureDisk[Coût / mois],MATCH(TabVMAZURE11[[#This Row],[VMAzureDisk4]],TabVMAzureDisk[VMAzureDisk],0))</f>
        <v>0</v>
      </c>
      <c r="V14" s="22">
        <f>INDEX(TabVMAzureDisk[Coût / mois Sauvegarde],MATCH(TabVMAZURE11[[#This Row],[VMAzureDisk4]],TabVMAzureDisk[VMAzureDisk],0))</f>
        <v>0</v>
      </c>
      <c r="W14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14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14" s="34">
        <f>SUM(TabVMAZURE11[[#This Row],[Coût estimé 
VM / mois]],TabVMAZURE11[[#This Row],[Coût estimé 
Disk Total / mois]])</f>
        <v>7.19</v>
      </c>
      <c r="Z14" s="34">
        <f>TabVMAZURE11[[#This Row],[Coût estimé 
total / mois
sans
sauvegarde]]+TabVMAZURE11[[#This Row],[Coût estimé 
sauvegarde
Disk Total / mois]]</f>
        <v>10.050800000000001</v>
      </c>
      <c r="AA14">
        <v>12.400000000000002</v>
      </c>
      <c r="AB14" s="22" t="str">
        <f>IF(TabVMAZURE11[[#This Row],[Coût estimé 
total / mois
avec 1 
sauvegarde]]&lt;TabVMAZURE11[[#This Row],[Coût OT]],"OUI","NON")</f>
        <v>OUI</v>
      </c>
    </row>
    <row r="15" spans="1:28" x14ac:dyDescent="0.3">
      <c r="A15" t="s">
        <v>214</v>
      </c>
      <c r="B15" t="s">
        <v>175</v>
      </c>
      <c r="C15" t="s">
        <v>179</v>
      </c>
      <c r="D15" t="s">
        <v>180</v>
      </c>
      <c r="E15" t="s">
        <v>178</v>
      </c>
      <c r="F15" t="s">
        <v>178</v>
      </c>
      <c r="G15" t="s">
        <v>178</v>
      </c>
      <c r="H15" s="17">
        <v>0.33333333333333331</v>
      </c>
      <c r="I15" s="17">
        <v>0.79166666666666663</v>
      </c>
      <c r="J15" s="22">
        <f>(((TabVMAZURE11[[#This Row],[Auto Stop]]-INT(TabVMAZURE11[[#This Row],[Auto Stop]]))*24)-((TabVMAZURE11[[#This Row],[Auto Start]]-INT(TabVMAZURE11[[#This Row],[Auto Start]]))*24))</f>
        <v>11</v>
      </c>
      <c r="K15" s="22">
        <v>20</v>
      </c>
      <c r="L15" s="22">
        <f>TabVMAZURE11[[#This Row],[Activité 
par jours]]*TabVMAZURE11[[#This Row],[Jours / Mois]]</f>
        <v>220</v>
      </c>
      <c r="M15" s="22">
        <f>INDEX(ListeVMAzureCoûts,MATCH(TabVMAZURE11[[#This Row],[VMAzureSize]],ListeVMAzureSize,0),MATCH(TabVMAZURE11[[#This Row],[Système]],ListeSystèmes,0))</f>
        <v>0.02</v>
      </c>
      <c r="N15" s="22">
        <f>TabVMAZURE11[[#This Row],[Activité 
par mois]]*TabVMAZURE11[[#This Row],[Coût horaire VM]]</f>
        <v>4.4000000000000004</v>
      </c>
      <c r="O15" s="22">
        <f>INDEX(TabVMAzureDisk[Coût / mois],MATCH(TabVMAZURE11[[#This Row],[VMAzureDisk]],TabVMAzureDisk[VMAzureDisk],0))</f>
        <v>1.425</v>
      </c>
      <c r="P15" s="22">
        <f>INDEX(TabVMAzureDisk[Coût / mois Sauvegarde],MATCH(TabVMAZURE11[[#This Row],[VMAzureDisk]],TabVMAzureDisk[VMAzureDisk],0))</f>
        <v>1.4303999999999999</v>
      </c>
      <c r="Q15" s="22">
        <f>INDEX(TabVMAzureDisk[Coût / mois],MATCH(TabVMAZURE11[[#This Row],[VMAzureDisk2]],TabVMAzureDisk[VMAzureDisk],0))</f>
        <v>0</v>
      </c>
      <c r="R15" s="22">
        <f>INDEX(TabVMAzureDisk[Coût / mois Sauvegarde],MATCH(TabVMAZURE11[[#This Row],[VMAzureDisk2]],TabVMAzureDisk[VMAzureDisk],0))</f>
        <v>0</v>
      </c>
      <c r="S15" s="22">
        <f>INDEX(TabVMAzureDisk[Coût / mois],MATCH(TabVMAZURE11[[#This Row],[VMAzureDisk3]],TabVMAzureDisk[VMAzureDisk],0))</f>
        <v>0</v>
      </c>
      <c r="T15" s="22">
        <f>INDEX(TabVMAzureDisk[Coût / mois Sauvegarde],MATCH(TabVMAZURE11[[#This Row],[VMAzureDisk3]],TabVMAzureDisk[VMAzureDisk],0))</f>
        <v>0</v>
      </c>
      <c r="U15" s="22">
        <f>INDEX(TabVMAzureDisk[Coût / mois],MATCH(TabVMAZURE11[[#This Row],[VMAzureDisk4]],TabVMAzureDisk[VMAzureDisk],0))</f>
        <v>0</v>
      </c>
      <c r="V15" s="22">
        <f>INDEX(TabVMAzureDisk[Coût / mois Sauvegarde],MATCH(TabVMAZURE11[[#This Row],[VMAzureDisk4]],TabVMAzureDisk[VMAzureDisk],0))</f>
        <v>0</v>
      </c>
      <c r="W15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15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15" s="34">
        <f>SUM(TabVMAZURE11[[#This Row],[Coût estimé 
VM / mois]],TabVMAZURE11[[#This Row],[Coût estimé 
Disk Total / mois]])</f>
        <v>5.8250000000000002</v>
      </c>
      <c r="Z15" s="34">
        <f>TabVMAZURE11[[#This Row],[Coût estimé 
total / mois
sans
sauvegarde]]+TabVMAZURE11[[#This Row],[Coût estimé 
sauvegarde
Disk Total / mois]]</f>
        <v>7.2553999999999998</v>
      </c>
      <c r="AA15">
        <v>7.8000000000000007</v>
      </c>
      <c r="AB15" s="22" t="str">
        <f>IF(TabVMAZURE11[[#This Row],[Coût estimé 
total / mois
avec 1 
sauvegarde]]&lt;TabVMAZURE11[[#This Row],[Coût OT]],"OUI","NON")</f>
        <v>OUI</v>
      </c>
    </row>
    <row r="16" spans="1:28" x14ac:dyDescent="0.3">
      <c r="A16" t="s">
        <v>215</v>
      </c>
      <c r="B16" t="s">
        <v>175</v>
      </c>
      <c r="C16" t="s">
        <v>210</v>
      </c>
      <c r="D16" t="s">
        <v>193</v>
      </c>
      <c r="E16" t="s">
        <v>178</v>
      </c>
      <c r="F16" t="s">
        <v>178</v>
      </c>
      <c r="G16" t="s">
        <v>178</v>
      </c>
      <c r="H16" s="17">
        <v>0.33333333333333331</v>
      </c>
      <c r="I16" s="17">
        <v>0.79166666666666663</v>
      </c>
      <c r="J16" s="22">
        <f>(((TabVMAZURE11[[#This Row],[Auto Stop]]-INT(TabVMAZURE11[[#This Row],[Auto Stop]]))*24)-((TabVMAZURE11[[#This Row],[Auto Start]]-INT(TabVMAZURE11[[#This Row],[Auto Start]]))*24))</f>
        <v>11</v>
      </c>
      <c r="K16" s="22">
        <v>20</v>
      </c>
      <c r="L16" s="22">
        <f>TabVMAZURE11[[#This Row],[Activité 
par jours]]*TabVMAZURE11[[#This Row],[Jours / Mois]]</f>
        <v>220</v>
      </c>
      <c r="M16" s="22">
        <f>INDEX(ListeVMAzureCoûts,MATCH(TabVMAZURE11[[#This Row],[VMAzureSize]],ListeVMAzureSize,0),MATCH(TabVMAZURE11[[#This Row],[Système]],ListeSystèmes,0))</f>
        <v>0.1704</v>
      </c>
      <c r="N16" s="22">
        <f>TabVMAZURE11[[#This Row],[Activité 
par mois]]*TabVMAZURE11[[#This Row],[Coût horaire VM]]</f>
        <v>37.488</v>
      </c>
      <c r="O16" s="22">
        <f>INDEX(TabVMAzureDisk[Coût / mois],MATCH(TabVMAZURE11[[#This Row],[VMAzureDisk]],TabVMAzureDisk[VMAzureDisk],0))</f>
        <v>2.79</v>
      </c>
      <c r="P16" s="22">
        <f>INDEX(TabVMAzureDisk[Coût / mois Sauvegarde],MATCH(TabVMAZURE11[[#This Row],[VMAzureDisk]],TabVMAzureDisk[VMAzureDisk],0))</f>
        <v>2.8607999999999998</v>
      </c>
      <c r="Q16" s="22">
        <f>INDEX(TabVMAzureDisk[Coût / mois],MATCH(TabVMAZURE11[[#This Row],[VMAzureDisk2]],TabVMAzureDisk[VMAzureDisk],0))</f>
        <v>0</v>
      </c>
      <c r="R16" s="22">
        <f>INDEX(TabVMAzureDisk[Coût / mois Sauvegarde],MATCH(TabVMAZURE11[[#This Row],[VMAzureDisk2]],TabVMAzureDisk[VMAzureDisk],0))</f>
        <v>0</v>
      </c>
      <c r="S16" s="22">
        <f>INDEX(TabVMAzureDisk[Coût / mois],MATCH(TabVMAZURE11[[#This Row],[VMAzureDisk3]],TabVMAzureDisk[VMAzureDisk],0))</f>
        <v>0</v>
      </c>
      <c r="T16" s="22">
        <f>INDEX(TabVMAzureDisk[Coût / mois Sauvegarde],MATCH(TabVMAZURE11[[#This Row],[VMAzureDisk3]],TabVMAzureDisk[VMAzureDisk],0))</f>
        <v>0</v>
      </c>
      <c r="U16" s="22">
        <f>INDEX(TabVMAzureDisk[Coût / mois],MATCH(TabVMAZURE11[[#This Row],[VMAzureDisk4]],TabVMAzureDisk[VMAzureDisk],0))</f>
        <v>0</v>
      </c>
      <c r="V16" s="22">
        <f>INDEX(TabVMAzureDisk[Coût / mois Sauvegarde],MATCH(TabVMAZURE11[[#This Row],[VMAzureDisk4]],TabVMAzureDisk[VMAzureDisk],0))</f>
        <v>0</v>
      </c>
      <c r="W16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16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16" s="34">
        <f>SUM(TabVMAZURE11[[#This Row],[Coût estimé 
VM / mois]],TabVMAZURE11[[#This Row],[Coût estimé 
Disk Total / mois]])</f>
        <v>40.277999999999999</v>
      </c>
      <c r="Z16" s="34">
        <f>TabVMAZURE11[[#This Row],[Coût estimé 
total / mois
sans
sauvegarde]]+TabVMAZURE11[[#This Row],[Coût estimé 
sauvegarde
Disk Total / mois]]</f>
        <v>43.138799999999996</v>
      </c>
      <c r="AA16">
        <v>19.260000000000002</v>
      </c>
      <c r="AB16" s="22" t="str">
        <f>IF(TabVMAZURE11[[#This Row],[Coût estimé 
total / mois
avec 1 
sauvegarde]]&lt;TabVMAZURE11[[#This Row],[Coût OT]],"OUI","NON")</f>
        <v>NON</v>
      </c>
    </row>
    <row r="17" spans="1:28" x14ac:dyDescent="0.3">
      <c r="A17" t="s">
        <v>216</v>
      </c>
      <c r="B17" t="s">
        <v>175</v>
      </c>
      <c r="C17" t="s">
        <v>188</v>
      </c>
      <c r="D17" t="s">
        <v>180</v>
      </c>
      <c r="E17" t="s">
        <v>178</v>
      </c>
      <c r="F17" t="s">
        <v>178</v>
      </c>
      <c r="G17" t="s">
        <v>178</v>
      </c>
      <c r="H17" s="17">
        <v>0.33333333333333331</v>
      </c>
      <c r="I17" s="17">
        <v>0.79166666666666663</v>
      </c>
      <c r="J17" s="22">
        <f>(((TabVMAZURE11[[#This Row],[Auto Stop]]-INT(TabVMAZURE11[[#This Row],[Auto Stop]]))*24)-((TabVMAZURE11[[#This Row],[Auto Start]]-INT(TabVMAZURE11[[#This Row],[Auto Start]]))*24))</f>
        <v>11</v>
      </c>
      <c r="K17" s="22">
        <v>20</v>
      </c>
      <c r="L17" s="22">
        <f>TabVMAZURE11[[#This Row],[Activité 
par jours]]*TabVMAZURE11[[#This Row],[Jours / Mois]]</f>
        <v>220</v>
      </c>
      <c r="M17" s="22">
        <f>INDEX(ListeVMAzureCoûts,MATCH(TabVMAZURE11[[#This Row],[VMAzureSize]],ListeVMAzureSize,0),MATCH(TabVMAZURE11[[#This Row],[Système]],ListeSystèmes,0))</f>
        <v>3.9899999999999998E-2</v>
      </c>
      <c r="N17" s="22">
        <f>TabVMAZURE11[[#This Row],[Activité 
par mois]]*TabVMAZURE11[[#This Row],[Coût horaire VM]]</f>
        <v>8.7779999999999987</v>
      </c>
      <c r="O17" s="22">
        <f>INDEX(TabVMAzureDisk[Coût / mois],MATCH(TabVMAZURE11[[#This Row],[VMAzureDisk]],TabVMAzureDisk[VMAzureDisk],0))</f>
        <v>1.425</v>
      </c>
      <c r="P17" s="22">
        <f>INDEX(TabVMAzureDisk[Coût / mois Sauvegarde],MATCH(TabVMAZURE11[[#This Row],[VMAzureDisk]],TabVMAzureDisk[VMAzureDisk],0))</f>
        <v>1.4303999999999999</v>
      </c>
      <c r="Q17" s="22">
        <f>INDEX(TabVMAzureDisk[Coût / mois],MATCH(TabVMAZURE11[[#This Row],[VMAzureDisk2]],TabVMAzureDisk[VMAzureDisk],0))</f>
        <v>0</v>
      </c>
      <c r="R17" s="22">
        <f>INDEX(TabVMAzureDisk[Coût / mois Sauvegarde],MATCH(TabVMAZURE11[[#This Row],[VMAzureDisk2]],TabVMAzureDisk[VMAzureDisk],0))</f>
        <v>0</v>
      </c>
      <c r="S17" s="22">
        <f>INDEX(TabVMAzureDisk[Coût / mois],MATCH(TabVMAZURE11[[#This Row],[VMAzureDisk3]],TabVMAzureDisk[VMAzureDisk],0))</f>
        <v>0</v>
      </c>
      <c r="T17" s="22">
        <f>INDEX(TabVMAzureDisk[Coût / mois Sauvegarde],MATCH(TabVMAZURE11[[#This Row],[VMAzureDisk3]],TabVMAzureDisk[VMAzureDisk],0))</f>
        <v>0</v>
      </c>
      <c r="U17" s="22">
        <f>INDEX(TabVMAzureDisk[Coût / mois],MATCH(TabVMAZURE11[[#This Row],[VMAzureDisk4]],TabVMAzureDisk[VMAzureDisk],0))</f>
        <v>0</v>
      </c>
      <c r="V17" s="22">
        <f>INDEX(TabVMAzureDisk[Coût / mois Sauvegarde],MATCH(TabVMAZURE11[[#This Row],[VMAzureDisk4]],TabVMAzureDisk[VMAzureDisk],0))</f>
        <v>0</v>
      </c>
      <c r="W17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17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17" s="34">
        <f>SUM(TabVMAZURE11[[#This Row],[Coût estimé 
VM / mois]],TabVMAZURE11[[#This Row],[Coût estimé 
Disk Total / mois]])</f>
        <v>10.202999999999999</v>
      </c>
      <c r="Z17" s="34">
        <f>TabVMAZURE11[[#This Row],[Coût estimé 
total / mois
sans
sauvegarde]]+TabVMAZURE11[[#This Row],[Coût estimé 
sauvegarde
Disk Total / mois]]</f>
        <v>11.6334</v>
      </c>
      <c r="AA17">
        <v>13.3</v>
      </c>
      <c r="AB17" s="22" t="str">
        <f>IF(TabVMAZURE11[[#This Row],[Coût estimé 
total / mois
avec 1 
sauvegarde]]&lt;TabVMAZURE11[[#This Row],[Coût OT]],"OUI","NON")</f>
        <v>OUI</v>
      </c>
    </row>
    <row r="18" spans="1:28" x14ac:dyDescent="0.3">
      <c r="A18" t="s">
        <v>217</v>
      </c>
      <c r="B18" t="s">
        <v>175</v>
      </c>
      <c r="C18" t="s">
        <v>188</v>
      </c>
      <c r="D18" t="s">
        <v>183</v>
      </c>
      <c r="E18" t="s">
        <v>178</v>
      </c>
      <c r="F18" t="s">
        <v>178</v>
      </c>
      <c r="G18" t="s">
        <v>178</v>
      </c>
      <c r="H18" s="17">
        <v>0.33333333333333331</v>
      </c>
      <c r="I18" s="17">
        <v>0.79166666666666663</v>
      </c>
      <c r="J18" s="22">
        <f>(((TabVMAZURE11[[#This Row],[Auto Stop]]-INT(TabVMAZURE11[[#This Row],[Auto Stop]]))*24)-((TabVMAZURE11[[#This Row],[Auto Start]]-INT(TabVMAZURE11[[#This Row],[Auto Start]]))*24))</f>
        <v>11</v>
      </c>
      <c r="K18" s="22">
        <v>20</v>
      </c>
      <c r="L18" s="22">
        <f>TabVMAZURE11[[#This Row],[Activité 
par jours]]*TabVMAZURE11[[#This Row],[Jours / Mois]]</f>
        <v>220</v>
      </c>
      <c r="M18" s="22">
        <f>INDEX(ListeVMAzureCoûts,MATCH(TabVMAZURE11[[#This Row],[VMAzureSize]],ListeVMAzureSize,0),MATCH(TabVMAZURE11[[#This Row],[Système]],ListeSystèmes,0))</f>
        <v>3.9899999999999998E-2</v>
      </c>
      <c r="N18" s="22">
        <f>TabVMAZURE11[[#This Row],[Activité 
par mois]]*TabVMAZURE11[[#This Row],[Coût horaire VM]]</f>
        <v>8.7779999999999987</v>
      </c>
      <c r="O18" s="22">
        <f>INDEX(TabVMAzureDisk[Coût / mois],MATCH(TabVMAZURE11[[#This Row],[VMAzureDisk]],TabVMAzureDisk[VMAzureDisk],0))</f>
        <v>5.5010000000000003</v>
      </c>
      <c r="P18" s="22">
        <f>INDEX(TabVMAzureDisk[Coût / mois Sauvegarde],MATCH(TabVMAZURE11[[#This Row],[VMAzureDisk]],TabVMAzureDisk[VMAzureDisk],0))</f>
        <v>5.7215999999999996</v>
      </c>
      <c r="Q18" s="22">
        <f>INDEX(TabVMAzureDisk[Coût / mois],MATCH(TabVMAZURE11[[#This Row],[VMAzureDisk2]],TabVMAzureDisk[VMAzureDisk],0))</f>
        <v>0</v>
      </c>
      <c r="R18" s="22">
        <f>INDEX(TabVMAzureDisk[Coût / mois Sauvegarde],MATCH(TabVMAZURE11[[#This Row],[VMAzureDisk2]],TabVMAzureDisk[VMAzureDisk],0))</f>
        <v>0</v>
      </c>
      <c r="S18" s="22">
        <f>INDEX(TabVMAzureDisk[Coût / mois],MATCH(TabVMAZURE11[[#This Row],[VMAzureDisk3]],TabVMAzureDisk[VMAzureDisk],0))</f>
        <v>0</v>
      </c>
      <c r="T18" s="22">
        <f>INDEX(TabVMAzureDisk[Coût / mois Sauvegarde],MATCH(TabVMAZURE11[[#This Row],[VMAzureDisk3]],TabVMAzureDisk[VMAzureDisk],0))</f>
        <v>0</v>
      </c>
      <c r="U18" s="22">
        <f>INDEX(TabVMAzureDisk[Coût / mois],MATCH(TabVMAZURE11[[#This Row],[VMAzureDisk4]],TabVMAzureDisk[VMAzureDisk],0))</f>
        <v>0</v>
      </c>
      <c r="V18" s="22">
        <f>INDEX(TabVMAzureDisk[Coût / mois Sauvegarde],MATCH(TabVMAZURE11[[#This Row],[VMAzureDisk4]],TabVMAzureDisk[VMAzureDisk],0))</f>
        <v>0</v>
      </c>
      <c r="W18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18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18" s="34">
        <f>SUM(TabVMAZURE11[[#This Row],[Coût estimé 
VM / mois]],TabVMAZURE11[[#This Row],[Coût estimé 
Disk Total / mois]])</f>
        <v>14.279</v>
      </c>
      <c r="Z18" s="34">
        <f>TabVMAZURE11[[#This Row],[Coût estimé 
total / mois
sans
sauvegarde]]+TabVMAZURE11[[#This Row],[Coût estimé 
sauvegarde
Disk Total / mois]]</f>
        <v>20.000599999999999</v>
      </c>
      <c r="AA18">
        <v>20.45</v>
      </c>
      <c r="AB18" s="22" t="str">
        <f>IF(TabVMAZURE11[[#This Row],[Coût estimé 
total / mois
avec 1 
sauvegarde]]&lt;TabVMAZURE11[[#This Row],[Coût OT]],"OUI","NON")</f>
        <v>OUI</v>
      </c>
    </row>
    <row r="19" spans="1:28" x14ac:dyDescent="0.3">
      <c r="A19" t="s">
        <v>218</v>
      </c>
      <c r="B19" t="s">
        <v>185</v>
      </c>
      <c r="C19" t="s">
        <v>188</v>
      </c>
      <c r="D19" t="s">
        <v>204</v>
      </c>
      <c r="E19" t="s">
        <v>178</v>
      </c>
      <c r="F19" t="s">
        <v>178</v>
      </c>
      <c r="G19" t="s">
        <v>178</v>
      </c>
      <c r="H19" s="17">
        <v>0.33333333333333331</v>
      </c>
      <c r="I19" s="17">
        <v>0.79166666666666663</v>
      </c>
      <c r="J19" s="22">
        <f>(((TabVMAZURE11[[#This Row],[Auto Stop]]-INT(TabVMAZURE11[[#This Row],[Auto Stop]]))*24)-((TabVMAZURE11[[#This Row],[Auto Start]]-INT(TabVMAZURE11[[#This Row],[Auto Start]]))*24))</f>
        <v>11</v>
      </c>
      <c r="K19" s="22">
        <v>20</v>
      </c>
      <c r="L19" s="22">
        <f>TabVMAZURE11[[#This Row],[Activité 
par jours]]*TabVMAZURE11[[#This Row],[Jours / Mois]]</f>
        <v>220</v>
      </c>
      <c r="M19" s="22">
        <f>INDEX(ListeVMAzureCoûts,MATCH(TabVMAZURE11[[#This Row],[VMAzureSize]],ListeVMAzureSize,0),MATCH(TabVMAZURE11[[#This Row],[Système]],ListeSystèmes,0))</f>
        <v>5.0599999999999999E-2</v>
      </c>
      <c r="N19" s="22">
        <f>TabVMAZURE11[[#This Row],[Activité 
par mois]]*TabVMAZURE11[[#This Row],[Coût horaire VM]]</f>
        <v>11.132</v>
      </c>
      <c r="O19" s="22">
        <f>INDEX(TabVMAzureDisk[Coût / mois],MATCH(TabVMAZURE11[[#This Row],[VMAzureDisk]],TabVMAzureDisk[VMAzureDisk],0))</f>
        <v>20.225000000000001</v>
      </c>
      <c r="P19" s="22">
        <f>INDEX(TabVMAzureDisk[Coût / mois Sauvegarde],MATCH(TabVMAZURE11[[#This Row],[VMAzureDisk]],TabVMAzureDisk[VMAzureDisk],0))</f>
        <v>22.886399999999998</v>
      </c>
      <c r="Q19" s="22">
        <f>INDEX(TabVMAzureDisk[Coût / mois],MATCH(TabVMAZURE11[[#This Row],[VMAzureDisk2]],TabVMAzureDisk[VMAzureDisk],0))</f>
        <v>0</v>
      </c>
      <c r="R19" s="22">
        <f>INDEX(TabVMAzureDisk[Coût / mois Sauvegarde],MATCH(TabVMAZURE11[[#This Row],[VMAzureDisk2]],TabVMAzureDisk[VMAzureDisk],0))</f>
        <v>0</v>
      </c>
      <c r="S19" s="22">
        <f>INDEX(TabVMAzureDisk[Coût / mois],MATCH(TabVMAZURE11[[#This Row],[VMAzureDisk3]],TabVMAzureDisk[VMAzureDisk],0))</f>
        <v>0</v>
      </c>
      <c r="T19" s="22">
        <f>INDEX(TabVMAzureDisk[Coût / mois Sauvegarde],MATCH(TabVMAZURE11[[#This Row],[VMAzureDisk3]],TabVMAzureDisk[VMAzureDisk],0))</f>
        <v>0</v>
      </c>
      <c r="U19" s="22">
        <f>INDEX(TabVMAzureDisk[Coût / mois],MATCH(TabVMAZURE11[[#This Row],[VMAzureDisk4]],TabVMAzureDisk[VMAzureDisk],0))</f>
        <v>0</v>
      </c>
      <c r="V19" s="22">
        <f>INDEX(TabVMAzureDisk[Coût / mois Sauvegarde],MATCH(TabVMAZURE11[[#This Row],[VMAzureDisk4]],TabVMAzureDisk[VMAzureDisk],0))</f>
        <v>0</v>
      </c>
      <c r="W19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19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19" s="34">
        <f>SUM(TabVMAZURE11[[#This Row],[Coût estimé 
VM / mois]],TabVMAZURE11[[#This Row],[Coût estimé 
Disk Total / mois]])</f>
        <v>31.356999999999999</v>
      </c>
      <c r="Z19" s="34">
        <f>TabVMAZURE11[[#This Row],[Coût estimé 
total / mois
sans
sauvegarde]]+TabVMAZURE11[[#This Row],[Coût estimé 
sauvegarde
Disk Total / mois]]</f>
        <v>54.243399999999994</v>
      </c>
      <c r="AA19">
        <v>71.95</v>
      </c>
      <c r="AB19" s="22" t="str">
        <f>IF(TabVMAZURE11[[#This Row],[Coût estimé 
total / mois
avec 1 
sauvegarde]]&lt;TabVMAZURE11[[#This Row],[Coût OT]],"OUI","NON")</f>
        <v>OUI</v>
      </c>
    </row>
    <row r="20" spans="1:28" x14ac:dyDescent="0.3">
      <c r="A20" t="s">
        <v>219</v>
      </c>
      <c r="B20" t="s">
        <v>175</v>
      </c>
      <c r="C20" t="s">
        <v>179</v>
      </c>
      <c r="D20" t="s">
        <v>183</v>
      </c>
      <c r="E20" t="s">
        <v>178</v>
      </c>
      <c r="F20" t="s">
        <v>178</v>
      </c>
      <c r="G20" t="s">
        <v>178</v>
      </c>
      <c r="H20" s="17">
        <v>0.33333333333333331</v>
      </c>
      <c r="I20" s="17">
        <v>0.79166666666666663</v>
      </c>
      <c r="J20" s="22">
        <f>(((TabVMAZURE11[[#This Row],[Auto Stop]]-INT(TabVMAZURE11[[#This Row],[Auto Stop]]))*24)-((TabVMAZURE11[[#This Row],[Auto Start]]-INT(TabVMAZURE11[[#This Row],[Auto Start]]))*24))</f>
        <v>11</v>
      </c>
      <c r="K20" s="22">
        <v>20</v>
      </c>
      <c r="L20" s="22">
        <f>TabVMAZURE11[[#This Row],[Activité 
par jours]]*TabVMAZURE11[[#This Row],[Jours / Mois]]</f>
        <v>220</v>
      </c>
      <c r="M20" s="22">
        <f>INDEX(ListeVMAzureCoûts,MATCH(TabVMAZURE11[[#This Row],[VMAzureSize]],ListeVMAzureSize,0),MATCH(TabVMAZURE11[[#This Row],[Système]],ListeSystèmes,0))</f>
        <v>0.02</v>
      </c>
      <c r="N20" s="22">
        <f>TabVMAZURE11[[#This Row],[Activité 
par mois]]*TabVMAZURE11[[#This Row],[Coût horaire VM]]</f>
        <v>4.4000000000000004</v>
      </c>
      <c r="O20" s="22">
        <f>INDEX(TabVMAzureDisk[Coût / mois],MATCH(TabVMAZURE11[[#This Row],[VMAzureDisk]],TabVMAzureDisk[VMAzureDisk],0))</f>
        <v>5.5010000000000003</v>
      </c>
      <c r="P20" s="22">
        <f>INDEX(TabVMAzureDisk[Coût / mois Sauvegarde],MATCH(TabVMAZURE11[[#This Row],[VMAzureDisk]],TabVMAzureDisk[VMAzureDisk],0))</f>
        <v>5.7215999999999996</v>
      </c>
      <c r="Q20" s="22">
        <f>INDEX(TabVMAzureDisk[Coût / mois],MATCH(TabVMAZURE11[[#This Row],[VMAzureDisk2]],TabVMAzureDisk[VMAzureDisk],0))</f>
        <v>0</v>
      </c>
      <c r="R20" s="22">
        <f>INDEX(TabVMAzureDisk[Coût / mois Sauvegarde],MATCH(TabVMAZURE11[[#This Row],[VMAzureDisk2]],TabVMAzureDisk[VMAzureDisk],0))</f>
        <v>0</v>
      </c>
      <c r="S20" s="22">
        <f>INDEX(TabVMAzureDisk[Coût / mois],MATCH(TabVMAZURE11[[#This Row],[VMAzureDisk3]],TabVMAzureDisk[VMAzureDisk],0))</f>
        <v>0</v>
      </c>
      <c r="T20" s="22">
        <f>INDEX(TabVMAzureDisk[Coût / mois Sauvegarde],MATCH(TabVMAZURE11[[#This Row],[VMAzureDisk3]],TabVMAzureDisk[VMAzureDisk],0))</f>
        <v>0</v>
      </c>
      <c r="U20" s="22">
        <f>INDEX(TabVMAzureDisk[Coût / mois],MATCH(TabVMAZURE11[[#This Row],[VMAzureDisk4]],TabVMAzureDisk[VMAzureDisk],0))</f>
        <v>0</v>
      </c>
      <c r="V20" s="22">
        <f>INDEX(TabVMAzureDisk[Coût / mois Sauvegarde],MATCH(TabVMAZURE11[[#This Row],[VMAzureDisk4]],TabVMAzureDisk[VMAzureDisk],0))</f>
        <v>0</v>
      </c>
      <c r="W20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20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20" s="34">
        <f>SUM(TabVMAZURE11[[#This Row],[Coût estimé 
VM / mois]],TabVMAZURE11[[#This Row],[Coût estimé 
Disk Total / mois]])</f>
        <v>9.9009999999999998</v>
      </c>
      <c r="Z20" s="34">
        <f>TabVMAZURE11[[#This Row],[Coût estimé 
total / mois
sans
sauvegarde]]+TabVMAZURE11[[#This Row],[Coût estimé 
sauvegarde
Disk Total / mois]]</f>
        <v>15.622599999999998</v>
      </c>
      <c r="AA20">
        <v>29.650000000000002</v>
      </c>
      <c r="AB20" s="22" t="str">
        <f>IF(TabVMAZURE11[[#This Row],[Coût estimé 
total / mois
avec 1 
sauvegarde]]&lt;TabVMAZURE11[[#This Row],[Coût OT]],"OUI","NON")</f>
        <v>OUI</v>
      </c>
    </row>
    <row r="21" spans="1:28" x14ac:dyDescent="0.3">
      <c r="A21" t="s">
        <v>220</v>
      </c>
      <c r="B21" t="s">
        <v>175</v>
      </c>
      <c r="C21" t="s">
        <v>188</v>
      </c>
      <c r="D21" t="s">
        <v>180</v>
      </c>
      <c r="E21" t="s">
        <v>178</v>
      </c>
      <c r="F21" t="s">
        <v>178</v>
      </c>
      <c r="G21" t="s">
        <v>178</v>
      </c>
      <c r="H21" s="17">
        <v>0.33333333333333331</v>
      </c>
      <c r="I21" s="17">
        <v>0.79166666666666663</v>
      </c>
      <c r="J21" s="22">
        <f>(((TabVMAZURE11[[#This Row],[Auto Stop]]-INT(TabVMAZURE11[[#This Row],[Auto Stop]]))*24)-((TabVMAZURE11[[#This Row],[Auto Start]]-INT(TabVMAZURE11[[#This Row],[Auto Start]]))*24))</f>
        <v>11</v>
      </c>
      <c r="K21" s="22">
        <v>20</v>
      </c>
      <c r="L21" s="22">
        <f>TabVMAZURE11[[#This Row],[Activité 
par jours]]*TabVMAZURE11[[#This Row],[Jours / Mois]]</f>
        <v>220</v>
      </c>
      <c r="M21" s="22">
        <f>INDEX(ListeVMAzureCoûts,MATCH(TabVMAZURE11[[#This Row],[VMAzureSize]],ListeVMAzureSize,0),MATCH(TabVMAZURE11[[#This Row],[Système]],ListeSystèmes,0))</f>
        <v>3.9899999999999998E-2</v>
      </c>
      <c r="N21" s="22">
        <f>TabVMAZURE11[[#This Row],[Activité 
par mois]]*TabVMAZURE11[[#This Row],[Coût horaire VM]]</f>
        <v>8.7779999999999987</v>
      </c>
      <c r="O21" s="22">
        <f>INDEX(TabVMAzureDisk[Coût / mois],MATCH(TabVMAZURE11[[#This Row],[VMAzureDisk]],TabVMAzureDisk[VMAzureDisk],0))</f>
        <v>1.425</v>
      </c>
      <c r="P21" s="22">
        <f>INDEX(TabVMAzureDisk[Coût / mois Sauvegarde],MATCH(TabVMAZURE11[[#This Row],[VMAzureDisk]],TabVMAzureDisk[VMAzureDisk],0))</f>
        <v>1.4303999999999999</v>
      </c>
      <c r="Q21" s="22">
        <f>INDEX(TabVMAzureDisk[Coût / mois],MATCH(TabVMAZURE11[[#This Row],[VMAzureDisk2]],TabVMAzureDisk[VMAzureDisk],0))</f>
        <v>0</v>
      </c>
      <c r="R21" s="22">
        <f>INDEX(TabVMAzureDisk[Coût / mois Sauvegarde],MATCH(TabVMAZURE11[[#This Row],[VMAzureDisk2]],TabVMAzureDisk[VMAzureDisk],0))</f>
        <v>0</v>
      </c>
      <c r="S21" s="22">
        <f>INDEX(TabVMAzureDisk[Coût / mois],MATCH(TabVMAZURE11[[#This Row],[VMAzureDisk3]],TabVMAzureDisk[VMAzureDisk],0))</f>
        <v>0</v>
      </c>
      <c r="T21" s="22">
        <f>INDEX(TabVMAzureDisk[Coût / mois Sauvegarde],MATCH(TabVMAZURE11[[#This Row],[VMAzureDisk3]],TabVMAzureDisk[VMAzureDisk],0))</f>
        <v>0</v>
      </c>
      <c r="U21" s="22">
        <f>INDEX(TabVMAzureDisk[Coût / mois],MATCH(TabVMAZURE11[[#This Row],[VMAzureDisk4]],TabVMAzureDisk[VMAzureDisk],0))</f>
        <v>0</v>
      </c>
      <c r="V21" s="22">
        <f>INDEX(TabVMAzureDisk[Coût / mois Sauvegarde],MATCH(TabVMAZURE11[[#This Row],[VMAzureDisk4]],TabVMAzureDisk[VMAzureDisk],0))</f>
        <v>0</v>
      </c>
      <c r="W21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21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21" s="34">
        <f>SUM(TabVMAZURE11[[#This Row],[Coût estimé 
VM / mois]],TabVMAZURE11[[#This Row],[Coût estimé 
Disk Total / mois]])</f>
        <v>10.202999999999999</v>
      </c>
      <c r="Z21" s="34">
        <f>TabVMAZURE11[[#This Row],[Coût estimé 
total / mois
sans
sauvegarde]]+TabVMAZURE11[[#This Row],[Coût estimé 
sauvegarde
Disk Total / mois]]</f>
        <v>11.6334</v>
      </c>
      <c r="AA21">
        <v>11.690000000000001</v>
      </c>
      <c r="AB21" s="22" t="str">
        <f>IF(TabVMAZURE11[[#This Row],[Coût estimé 
total / mois
avec 1 
sauvegarde]]&lt;TabVMAZURE11[[#This Row],[Coût OT]],"OUI","NON")</f>
        <v>OUI</v>
      </c>
    </row>
    <row r="22" spans="1:28" x14ac:dyDescent="0.3">
      <c r="A22" t="s">
        <v>221</v>
      </c>
      <c r="B22" t="s">
        <v>175</v>
      </c>
      <c r="C22" t="s">
        <v>179</v>
      </c>
      <c r="D22" t="s">
        <v>180</v>
      </c>
      <c r="E22" t="s">
        <v>178</v>
      </c>
      <c r="F22" t="s">
        <v>178</v>
      </c>
      <c r="G22" t="s">
        <v>178</v>
      </c>
      <c r="H22" s="17">
        <v>0.33333333333333331</v>
      </c>
      <c r="I22" s="17">
        <v>0.79166666666666663</v>
      </c>
      <c r="J22" s="22">
        <f>(((TabVMAZURE11[[#This Row],[Auto Stop]]-INT(TabVMAZURE11[[#This Row],[Auto Stop]]))*24)-((TabVMAZURE11[[#This Row],[Auto Start]]-INT(TabVMAZURE11[[#This Row],[Auto Start]]))*24))</f>
        <v>11</v>
      </c>
      <c r="K22" s="22">
        <v>20</v>
      </c>
      <c r="L22" s="22">
        <f>TabVMAZURE11[[#This Row],[Activité 
par jours]]*TabVMAZURE11[[#This Row],[Jours / Mois]]</f>
        <v>220</v>
      </c>
      <c r="M22" s="22">
        <f>INDEX(ListeVMAzureCoûts,MATCH(TabVMAZURE11[[#This Row],[VMAzureSize]],ListeVMAzureSize,0),MATCH(TabVMAZURE11[[#This Row],[Système]],ListeSystèmes,0))</f>
        <v>0.02</v>
      </c>
      <c r="N22" s="22">
        <f>TabVMAZURE11[[#This Row],[Activité 
par mois]]*TabVMAZURE11[[#This Row],[Coût horaire VM]]</f>
        <v>4.4000000000000004</v>
      </c>
      <c r="O22" s="22">
        <f>INDEX(TabVMAzureDisk[Coût / mois],MATCH(TabVMAZURE11[[#This Row],[VMAzureDisk]],TabVMAzureDisk[VMAzureDisk],0))</f>
        <v>1.425</v>
      </c>
      <c r="P22" s="22">
        <f>INDEX(TabVMAzureDisk[Coût / mois Sauvegarde],MATCH(TabVMAZURE11[[#This Row],[VMAzureDisk]],TabVMAzureDisk[VMAzureDisk],0))</f>
        <v>1.4303999999999999</v>
      </c>
      <c r="Q22" s="22">
        <f>INDEX(TabVMAzureDisk[Coût / mois],MATCH(TabVMAZURE11[[#This Row],[VMAzureDisk2]],TabVMAzureDisk[VMAzureDisk],0))</f>
        <v>0</v>
      </c>
      <c r="R22" s="22">
        <f>INDEX(TabVMAzureDisk[Coût / mois Sauvegarde],MATCH(TabVMAZURE11[[#This Row],[VMAzureDisk2]],TabVMAzureDisk[VMAzureDisk],0))</f>
        <v>0</v>
      </c>
      <c r="S22" s="22">
        <f>INDEX(TabVMAzureDisk[Coût / mois],MATCH(TabVMAZURE11[[#This Row],[VMAzureDisk3]],TabVMAzureDisk[VMAzureDisk],0))</f>
        <v>0</v>
      </c>
      <c r="T22" s="22">
        <f>INDEX(TabVMAzureDisk[Coût / mois Sauvegarde],MATCH(TabVMAZURE11[[#This Row],[VMAzureDisk3]],TabVMAzureDisk[VMAzureDisk],0))</f>
        <v>0</v>
      </c>
      <c r="U22" s="22">
        <f>INDEX(TabVMAzureDisk[Coût / mois],MATCH(TabVMAZURE11[[#This Row],[VMAzureDisk4]],TabVMAzureDisk[VMAzureDisk],0))</f>
        <v>0</v>
      </c>
      <c r="V22" s="22">
        <f>INDEX(TabVMAzureDisk[Coût / mois Sauvegarde],MATCH(TabVMAZURE11[[#This Row],[VMAzureDisk4]],TabVMAzureDisk[VMAzureDisk],0))</f>
        <v>0</v>
      </c>
      <c r="W22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22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22" s="34">
        <f>SUM(TabVMAZURE11[[#This Row],[Coût estimé 
VM / mois]],TabVMAZURE11[[#This Row],[Coût estimé 
Disk Total / mois]])</f>
        <v>5.8250000000000002</v>
      </c>
      <c r="Z22" s="34">
        <f>TabVMAZURE11[[#This Row],[Coût estimé 
total / mois
sans
sauvegarde]]+TabVMAZURE11[[#This Row],[Coût estimé 
sauvegarde
Disk Total / mois]]</f>
        <v>7.2553999999999998</v>
      </c>
      <c r="AA22">
        <v>6.43</v>
      </c>
      <c r="AB22" s="22" t="str">
        <f>IF(TabVMAZURE11[[#This Row],[Coût estimé 
total / mois
avec 1 
sauvegarde]]&lt;TabVMAZURE11[[#This Row],[Coût OT]],"OUI","NON")</f>
        <v>NON</v>
      </c>
    </row>
    <row r="23" spans="1:28" x14ac:dyDescent="0.3">
      <c r="A23" t="s">
        <v>222</v>
      </c>
      <c r="B23" t="s">
        <v>175</v>
      </c>
      <c r="C23" t="s">
        <v>179</v>
      </c>
      <c r="D23" t="s">
        <v>180</v>
      </c>
      <c r="E23" t="s">
        <v>178</v>
      </c>
      <c r="F23" t="s">
        <v>178</v>
      </c>
      <c r="G23" t="s">
        <v>178</v>
      </c>
      <c r="H23" s="17">
        <v>0.33333333333333331</v>
      </c>
      <c r="I23" s="17">
        <v>0.79166666666666663</v>
      </c>
      <c r="J23" s="22">
        <f>(((TabVMAZURE11[[#This Row],[Auto Stop]]-INT(TabVMAZURE11[[#This Row],[Auto Stop]]))*24)-((TabVMAZURE11[[#This Row],[Auto Start]]-INT(TabVMAZURE11[[#This Row],[Auto Start]]))*24))</f>
        <v>11</v>
      </c>
      <c r="K23" s="22">
        <v>20</v>
      </c>
      <c r="L23" s="22">
        <f>TabVMAZURE11[[#This Row],[Activité 
par jours]]*TabVMAZURE11[[#This Row],[Jours / Mois]]</f>
        <v>220</v>
      </c>
      <c r="M23" s="22">
        <f>INDEX(ListeVMAzureCoûts,MATCH(TabVMAZURE11[[#This Row],[VMAzureSize]],ListeVMAzureSize,0),MATCH(TabVMAZURE11[[#This Row],[Système]],ListeSystèmes,0))</f>
        <v>0.02</v>
      </c>
      <c r="N23" s="22">
        <f>TabVMAZURE11[[#This Row],[Activité 
par mois]]*TabVMAZURE11[[#This Row],[Coût horaire VM]]</f>
        <v>4.4000000000000004</v>
      </c>
      <c r="O23" s="22">
        <f>INDEX(TabVMAzureDisk[Coût / mois],MATCH(TabVMAZURE11[[#This Row],[VMAzureDisk]],TabVMAzureDisk[VMAzureDisk],0))</f>
        <v>1.425</v>
      </c>
      <c r="P23" s="22">
        <f>INDEX(TabVMAzureDisk[Coût / mois Sauvegarde],MATCH(TabVMAZURE11[[#This Row],[VMAzureDisk]],TabVMAzureDisk[VMAzureDisk],0))</f>
        <v>1.4303999999999999</v>
      </c>
      <c r="Q23" s="22">
        <f>INDEX(TabVMAzureDisk[Coût / mois],MATCH(TabVMAZURE11[[#This Row],[VMAzureDisk2]],TabVMAzureDisk[VMAzureDisk],0))</f>
        <v>0</v>
      </c>
      <c r="R23" s="22">
        <f>INDEX(TabVMAzureDisk[Coût / mois Sauvegarde],MATCH(TabVMAZURE11[[#This Row],[VMAzureDisk2]],TabVMAzureDisk[VMAzureDisk],0))</f>
        <v>0</v>
      </c>
      <c r="S23" s="22">
        <f>INDEX(TabVMAzureDisk[Coût / mois],MATCH(TabVMAZURE11[[#This Row],[VMAzureDisk3]],TabVMAzureDisk[VMAzureDisk],0))</f>
        <v>0</v>
      </c>
      <c r="T23" s="22">
        <f>INDEX(TabVMAzureDisk[Coût / mois Sauvegarde],MATCH(TabVMAZURE11[[#This Row],[VMAzureDisk3]],TabVMAzureDisk[VMAzureDisk],0))</f>
        <v>0</v>
      </c>
      <c r="U23" s="22">
        <f>INDEX(TabVMAzureDisk[Coût / mois],MATCH(TabVMAZURE11[[#This Row],[VMAzureDisk4]],TabVMAzureDisk[VMAzureDisk],0))</f>
        <v>0</v>
      </c>
      <c r="V23" s="22">
        <f>INDEX(TabVMAzureDisk[Coût / mois Sauvegarde],MATCH(TabVMAZURE11[[#This Row],[VMAzureDisk4]],TabVMAzureDisk[VMAzureDisk],0))</f>
        <v>0</v>
      </c>
      <c r="W23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23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23" s="34">
        <f>SUM(TabVMAZURE11[[#This Row],[Coût estimé 
VM / mois]],TabVMAZURE11[[#This Row],[Coût estimé 
Disk Total / mois]])</f>
        <v>5.8250000000000002</v>
      </c>
      <c r="Z23" s="34">
        <f>TabVMAZURE11[[#This Row],[Coût estimé 
total / mois
sans
sauvegarde]]+TabVMAZURE11[[#This Row],[Coût estimé 
sauvegarde
Disk Total / mois]]</f>
        <v>7.2553999999999998</v>
      </c>
      <c r="AA23">
        <v>7.8000000000000007</v>
      </c>
      <c r="AB23" s="22" t="str">
        <f>IF(TabVMAZURE11[[#This Row],[Coût estimé 
total / mois
avec 1 
sauvegarde]]&lt;TabVMAZURE11[[#This Row],[Coût OT]],"OUI","NON")</f>
        <v>OUI</v>
      </c>
    </row>
    <row r="24" spans="1:28" x14ac:dyDescent="0.3">
      <c r="A24" t="s">
        <v>223</v>
      </c>
      <c r="B24" t="s">
        <v>185</v>
      </c>
      <c r="C24" t="s">
        <v>179</v>
      </c>
      <c r="D24" t="s">
        <v>206</v>
      </c>
      <c r="E24" t="s">
        <v>178</v>
      </c>
      <c r="F24" t="s">
        <v>178</v>
      </c>
      <c r="G24" t="s">
        <v>178</v>
      </c>
      <c r="H24" s="17">
        <v>0.33333333333333331</v>
      </c>
      <c r="I24" s="17">
        <v>0.79166666666666663</v>
      </c>
      <c r="J24" s="22">
        <f>(((TabVMAZURE11[[#This Row],[Auto Stop]]-INT(TabVMAZURE11[[#This Row],[Auto Stop]]))*24)-((TabVMAZURE11[[#This Row],[Auto Start]]-INT(TabVMAZURE11[[#This Row],[Auto Start]]))*24))</f>
        <v>11</v>
      </c>
      <c r="K24" s="22">
        <v>20</v>
      </c>
      <c r="L24" s="22">
        <f>TabVMAZURE11[[#This Row],[Activité 
par jours]]*TabVMAZURE11[[#This Row],[Jours / Mois]]</f>
        <v>220</v>
      </c>
      <c r="M24" s="22">
        <f>INDEX(ListeVMAzureCoûts,MATCH(TabVMAZURE11[[#This Row],[VMAzureSize]],ListeVMAzureSize,0),MATCH(TabVMAZURE11[[#This Row],[Système]],ListeSystèmes,0))</f>
        <v>2.53E-2</v>
      </c>
      <c r="N24" s="22">
        <f>TabVMAZURE11[[#This Row],[Activité 
par mois]]*TabVMAZURE11[[#This Row],[Coût horaire VM]]</f>
        <v>5.5659999999999998</v>
      </c>
      <c r="O24" s="22">
        <f>INDEX(TabVMAzureDisk[Coût / mois],MATCH(TabVMAZURE11[[#This Row],[VMAzureDisk]],TabVMAzureDisk[VMAzureDisk],0))</f>
        <v>10.547000000000001</v>
      </c>
      <c r="P24" s="22">
        <f>INDEX(TabVMAzureDisk[Coût / mois Sauvegarde],MATCH(TabVMAZURE11[[#This Row],[VMAzureDisk]],TabVMAzureDisk[VMAzureDisk],0))</f>
        <v>11.443199999999999</v>
      </c>
      <c r="Q24" s="22">
        <f>INDEX(TabVMAzureDisk[Coût / mois],MATCH(TabVMAZURE11[[#This Row],[VMAzureDisk2]],TabVMAzureDisk[VMAzureDisk],0))</f>
        <v>0</v>
      </c>
      <c r="R24" s="22">
        <f>INDEX(TabVMAzureDisk[Coût / mois Sauvegarde],MATCH(TabVMAZURE11[[#This Row],[VMAzureDisk2]],TabVMAzureDisk[VMAzureDisk],0))</f>
        <v>0</v>
      </c>
      <c r="S24" s="22">
        <f>INDEX(TabVMAzureDisk[Coût / mois],MATCH(TabVMAZURE11[[#This Row],[VMAzureDisk3]],TabVMAzureDisk[VMAzureDisk],0))</f>
        <v>0</v>
      </c>
      <c r="T24" s="22">
        <f>INDEX(TabVMAzureDisk[Coût / mois Sauvegarde],MATCH(TabVMAZURE11[[#This Row],[VMAzureDisk3]],TabVMAzureDisk[VMAzureDisk],0))</f>
        <v>0</v>
      </c>
      <c r="U24" s="22">
        <f>INDEX(TabVMAzureDisk[Coût / mois],MATCH(TabVMAZURE11[[#This Row],[VMAzureDisk4]],TabVMAzureDisk[VMAzureDisk],0))</f>
        <v>0</v>
      </c>
      <c r="V24" s="22">
        <f>INDEX(TabVMAzureDisk[Coût / mois Sauvegarde],MATCH(TabVMAZURE11[[#This Row],[VMAzureDisk4]],TabVMAzureDisk[VMAzureDisk],0))</f>
        <v>0</v>
      </c>
      <c r="W24" s="22">
        <f>SUM(TabVMAZURE11[[#This Row],[Coût estimé 
Disk1 / mois]]+TabVMAZURE11[[#This Row],[Coût estimé 
Disk2 / mois]]+TabVMAZURE11[[#This Row],[Coût estimé 
Disk3 / mois]]+TabVMAZURE11[[#This Row],[Coût estimé 
Disk4 / mois]])</f>
        <v>10.547000000000001</v>
      </c>
      <c r="X24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11.443199999999999</v>
      </c>
      <c r="Y24" s="34">
        <f>SUM(TabVMAZURE11[[#This Row],[Coût estimé 
VM / mois]],TabVMAZURE11[[#This Row],[Coût estimé 
Disk Total / mois]])</f>
        <v>16.113</v>
      </c>
      <c r="Z24" s="34">
        <f>TabVMAZURE11[[#This Row],[Coût estimé 
total / mois
sans
sauvegarde]]+TabVMAZURE11[[#This Row],[Coût estimé 
sauvegarde
Disk Total / mois]]</f>
        <v>27.556199999999997</v>
      </c>
      <c r="AA24">
        <v>60.2</v>
      </c>
      <c r="AB24" s="22" t="str">
        <f>IF(TabVMAZURE11[[#This Row],[Coût estimé 
total / mois
avec 1 
sauvegarde]]&lt;TabVMAZURE11[[#This Row],[Coût OT]],"OUI","NON")</f>
        <v>OUI</v>
      </c>
    </row>
    <row r="25" spans="1:28" x14ac:dyDescent="0.3">
      <c r="A25" t="s">
        <v>224</v>
      </c>
      <c r="B25" t="s">
        <v>175</v>
      </c>
      <c r="C25" t="s">
        <v>179</v>
      </c>
      <c r="D25" t="s">
        <v>193</v>
      </c>
      <c r="E25" t="s">
        <v>178</v>
      </c>
      <c r="F25" t="s">
        <v>178</v>
      </c>
      <c r="G25" t="s">
        <v>178</v>
      </c>
      <c r="H25" s="17">
        <v>0.33333333333333331</v>
      </c>
      <c r="I25" s="17">
        <v>0.79166666666666663</v>
      </c>
      <c r="J25" s="22">
        <f>(((TabVMAZURE11[[#This Row],[Auto Stop]]-INT(TabVMAZURE11[[#This Row],[Auto Stop]]))*24)-((TabVMAZURE11[[#This Row],[Auto Start]]-INT(TabVMAZURE11[[#This Row],[Auto Start]]))*24))</f>
        <v>11</v>
      </c>
      <c r="K25" s="22">
        <v>20</v>
      </c>
      <c r="L25" s="22">
        <f>TabVMAZURE11[[#This Row],[Activité 
par jours]]*TabVMAZURE11[[#This Row],[Jours / Mois]]</f>
        <v>220</v>
      </c>
      <c r="M25" s="22">
        <f>INDEX(ListeVMAzureCoûts,MATCH(TabVMAZURE11[[#This Row],[VMAzureSize]],ListeVMAzureSize,0),MATCH(TabVMAZURE11[[#This Row],[Système]],ListeSystèmes,0))</f>
        <v>0.02</v>
      </c>
      <c r="N25" s="22">
        <f>TabVMAZURE11[[#This Row],[Activité 
par mois]]*TabVMAZURE11[[#This Row],[Coût horaire VM]]</f>
        <v>4.4000000000000004</v>
      </c>
      <c r="O25" s="22">
        <f>INDEX(TabVMAzureDisk[Coût / mois],MATCH(TabVMAZURE11[[#This Row],[VMAzureDisk]],TabVMAzureDisk[VMAzureDisk],0))</f>
        <v>2.79</v>
      </c>
      <c r="P25" s="22">
        <f>INDEX(TabVMAzureDisk[Coût / mois Sauvegarde],MATCH(TabVMAZURE11[[#This Row],[VMAzureDisk]],TabVMAzureDisk[VMAzureDisk],0))</f>
        <v>2.8607999999999998</v>
      </c>
      <c r="Q25" s="22">
        <f>INDEX(TabVMAzureDisk[Coût / mois],MATCH(TabVMAZURE11[[#This Row],[VMAzureDisk2]],TabVMAzureDisk[VMAzureDisk],0))</f>
        <v>0</v>
      </c>
      <c r="R25" s="22">
        <f>INDEX(TabVMAzureDisk[Coût / mois Sauvegarde],MATCH(TabVMAZURE11[[#This Row],[VMAzureDisk2]],TabVMAzureDisk[VMAzureDisk],0))</f>
        <v>0</v>
      </c>
      <c r="S25" s="22">
        <f>INDEX(TabVMAzureDisk[Coût / mois],MATCH(TabVMAZURE11[[#This Row],[VMAzureDisk3]],TabVMAzureDisk[VMAzureDisk],0))</f>
        <v>0</v>
      </c>
      <c r="T25" s="22">
        <f>INDEX(TabVMAzureDisk[Coût / mois Sauvegarde],MATCH(TabVMAZURE11[[#This Row],[VMAzureDisk3]],TabVMAzureDisk[VMAzureDisk],0))</f>
        <v>0</v>
      </c>
      <c r="U25" s="22">
        <f>INDEX(TabVMAzureDisk[Coût / mois],MATCH(TabVMAZURE11[[#This Row],[VMAzureDisk4]],TabVMAzureDisk[VMAzureDisk],0))</f>
        <v>0</v>
      </c>
      <c r="V25" s="22">
        <f>INDEX(TabVMAzureDisk[Coût / mois Sauvegarde],MATCH(TabVMAZURE11[[#This Row],[VMAzureDisk4]],TabVMAzureDisk[VMAzureDisk],0))</f>
        <v>0</v>
      </c>
      <c r="W25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25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25" s="34">
        <f>SUM(TabVMAZURE11[[#This Row],[Coût estimé 
VM / mois]],TabVMAZURE11[[#This Row],[Coût estimé 
Disk Total / mois]])</f>
        <v>7.19</v>
      </c>
      <c r="Z25" s="34">
        <f>TabVMAZURE11[[#This Row],[Coût estimé 
total / mois
sans
sauvegarde]]+TabVMAZURE11[[#This Row],[Coût estimé 
sauvegarde
Disk Total / mois]]</f>
        <v>10.050800000000001</v>
      </c>
      <c r="AA25">
        <v>12.400000000000002</v>
      </c>
      <c r="AB25" s="22" t="str">
        <f>IF(TabVMAZURE11[[#This Row],[Coût estimé 
total / mois
avec 1 
sauvegarde]]&lt;TabVMAZURE11[[#This Row],[Coût OT]],"OUI","NON")</f>
        <v>OUI</v>
      </c>
    </row>
    <row r="26" spans="1:28" x14ac:dyDescent="0.3">
      <c r="A26" t="s">
        <v>225</v>
      </c>
      <c r="B26" t="s">
        <v>175</v>
      </c>
      <c r="C26" t="s">
        <v>179</v>
      </c>
      <c r="D26" t="s">
        <v>193</v>
      </c>
      <c r="E26" t="s">
        <v>178</v>
      </c>
      <c r="F26" t="s">
        <v>178</v>
      </c>
      <c r="G26" t="s">
        <v>178</v>
      </c>
      <c r="H26" s="17">
        <v>0.33333333333333331</v>
      </c>
      <c r="I26" s="17">
        <v>0.79166666666666663</v>
      </c>
      <c r="J26" s="22">
        <f>(((TabVMAZURE11[[#This Row],[Auto Stop]]-INT(TabVMAZURE11[[#This Row],[Auto Stop]]))*24)-((TabVMAZURE11[[#This Row],[Auto Start]]-INT(TabVMAZURE11[[#This Row],[Auto Start]]))*24))</f>
        <v>11</v>
      </c>
      <c r="K26" s="22">
        <v>20</v>
      </c>
      <c r="L26" s="22">
        <f>TabVMAZURE11[[#This Row],[Activité 
par jours]]*TabVMAZURE11[[#This Row],[Jours / Mois]]</f>
        <v>220</v>
      </c>
      <c r="M26" s="22">
        <f>INDEX(ListeVMAzureCoûts,MATCH(TabVMAZURE11[[#This Row],[VMAzureSize]],ListeVMAzureSize,0),MATCH(TabVMAZURE11[[#This Row],[Système]],ListeSystèmes,0))</f>
        <v>0.02</v>
      </c>
      <c r="N26" s="22">
        <f>TabVMAZURE11[[#This Row],[Activité 
par mois]]*TabVMAZURE11[[#This Row],[Coût horaire VM]]</f>
        <v>4.4000000000000004</v>
      </c>
      <c r="O26" s="22">
        <f>INDEX(TabVMAzureDisk[Coût / mois],MATCH(TabVMAZURE11[[#This Row],[VMAzureDisk]],TabVMAzureDisk[VMAzureDisk],0))</f>
        <v>2.79</v>
      </c>
      <c r="P26" s="22">
        <f>INDEX(TabVMAzureDisk[Coût / mois Sauvegarde],MATCH(TabVMAZURE11[[#This Row],[VMAzureDisk]],TabVMAzureDisk[VMAzureDisk],0))</f>
        <v>2.8607999999999998</v>
      </c>
      <c r="Q26" s="22">
        <f>INDEX(TabVMAzureDisk[Coût / mois],MATCH(TabVMAZURE11[[#This Row],[VMAzureDisk2]],TabVMAzureDisk[VMAzureDisk],0))</f>
        <v>0</v>
      </c>
      <c r="R26" s="22">
        <f>INDEX(TabVMAzureDisk[Coût / mois Sauvegarde],MATCH(TabVMAZURE11[[#This Row],[VMAzureDisk2]],TabVMAzureDisk[VMAzureDisk],0))</f>
        <v>0</v>
      </c>
      <c r="S26" s="22">
        <f>INDEX(TabVMAzureDisk[Coût / mois],MATCH(TabVMAZURE11[[#This Row],[VMAzureDisk3]],TabVMAzureDisk[VMAzureDisk],0))</f>
        <v>0</v>
      </c>
      <c r="T26" s="22">
        <f>INDEX(TabVMAzureDisk[Coût / mois Sauvegarde],MATCH(TabVMAZURE11[[#This Row],[VMAzureDisk3]],TabVMAzureDisk[VMAzureDisk],0))</f>
        <v>0</v>
      </c>
      <c r="U26" s="22">
        <f>INDEX(TabVMAzureDisk[Coût / mois],MATCH(TabVMAZURE11[[#This Row],[VMAzureDisk4]],TabVMAzureDisk[VMAzureDisk],0))</f>
        <v>0</v>
      </c>
      <c r="V26" s="22">
        <f>INDEX(TabVMAzureDisk[Coût / mois Sauvegarde],MATCH(TabVMAZURE11[[#This Row],[VMAzureDisk4]],TabVMAzureDisk[VMAzureDisk],0))</f>
        <v>0</v>
      </c>
      <c r="W26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26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26" s="34">
        <f>SUM(TabVMAZURE11[[#This Row],[Coût estimé 
VM / mois]],TabVMAZURE11[[#This Row],[Coût estimé 
Disk Total / mois]])</f>
        <v>7.19</v>
      </c>
      <c r="Z26" s="34">
        <f>TabVMAZURE11[[#This Row],[Coût estimé 
total / mois
sans
sauvegarde]]+TabVMAZURE11[[#This Row],[Coût estimé 
sauvegarde
Disk Total / mois]]</f>
        <v>10.050800000000001</v>
      </c>
      <c r="AA26">
        <v>14.7</v>
      </c>
      <c r="AB26" s="22" t="str">
        <f>IF(TabVMAZURE11[[#This Row],[Coût estimé 
total / mois
avec 1 
sauvegarde]]&lt;TabVMAZURE11[[#This Row],[Coût OT]],"OUI","NON")</f>
        <v>OUI</v>
      </c>
    </row>
    <row r="27" spans="1:28" x14ac:dyDescent="0.3">
      <c r="A27" t="s">
        <v>226</v>
      </c>
      <c r="B27" t="s">
        <v>175</v>
      </c>
      <c r="C27" t="s">
        <v>179</v>
      </c>
      <c r="D27" t="s">
        <v>193</v>
      </c>
      <c r="E27" t="s">
        <v>178</v>
      </c>
      <c r="F27" t="s">
        <v>178</v>
      </c>
      <c r="G27" t="s">
        <v>178</v>
      </c>
      <c r="H27" s="17">
        <v>0.33333333333333331</v>
      </c>
      <c r="I27" s="17">
        <v>0.79166666666666663</v>
      </c>
      <c r="J27" s="22">
        <f>(((TabVMAZURE11[[#This Row],[Auto Stop]]-INT(TabVMAZURE11[[#This Row],[Auto Stop]]))*24)-((TabVMAZURE11[[#This Row],[Auto Start]]-INT(TabVMAZURE11[[#This Row],[Auto Start]]))*24))</f>
        <v>11</v>
      </c>
      <c r="K27" s="22">
        <v>20</v>
      </c>
      <c r="L27" s="22">
        <f>TabVMAZURE11[[#This Row],[Activité 
par jours]]*TabVMAZURE11[[#This Row],[Jours / Mois]]</f>
        <v>220</v>
      </c>
      <c r="M27" s="22">
        <f>INDEX(ListeVMAzureCoûts,MATCH(TabVMAZURE11[[#This Row],[VMAzureSize]],ListeVMAzureSize,0),MATCH(TabVMAZURE11[[#This Row],[Système]],ListeSystèmes,0))</f>
        <v>0.02</v>
      </c>
      <c r="N27" s="22">
        <f>TabVMAZURE11[[#This Row],[Activité 
par mois]]*TabVMAZURE11[[#This Row],[Coût horaire VM]]</f>
        <v>4.4000000000000004</v>
      </c>
      <c r="O27" s="22">
        <f>INDEX(TabVMAzureDisk[Coût / mois],MATCH(TabVMAZURE11[[#This Row],[VMAzureDisk]],TabVMAzureDisk[VMAzureDisk],0))</f>
        <v>2.79</v>
      </c>
      <c r="P27" s="22">
        <f>INDEX(TabVMAzureDisk[Coût / mois Sauvegarde],MATCH(TabVMAZURE11[[#This Row],[VMAzureDisk]],TabVMAzureDisk[VMAzureDisk],0))</f>
        <v>2.8607999999999998</v>
      </c>
      <c r="Q27" s="22">
        <f>INDEX(TabVMAzureDisk[Coût / mois],MATCH(TabVMAZURE11[[#This Row],[VMAzureDisk2]],TabVMAzureDisk[VMAzureDisk],0))</f>
        <v>0</v>
      </c>
      <c r="R27" s="22">
        <f>INDEX(TabVMAzureDisk[Coût / mois Sauvegarde],MATCH(TabVMAZURE11[[#This Row],[VMAzureDisk2]],TabVMAzureDisk[VMAzureDisk],0))</f>
        <v>0</v>
      </c>
      <c r="S27" s="22">
        <f>INDEX(TabVMAzureDisk[Coût / mois],MATCH(TabVMAZURE11[[#This Row],[VMAzureDisk3]],TabVMAzureDisk[VMAzureDisk],0))</f>
        <v>0</v>
      </c>
      <c r="T27" s="22">
        <f>INDEX(TabVMAzureDisk[Coût / mois Sauvegarde],MATCH(TabVMAZURE11[[#This Row],[VMAzureDisk3]],TabVMAzureDisk[VMAzureDisk],0))</f>
        <v>0</v>
      </c>
      <c r="U27" s="22">
        <f>INDEX(TabVMAzureDisk[Coût / mois],MATCH(TabVMAZURE11[[#This Row],[VMAzureDisk4]],TabVMAzureDisk[VMAzureDisk],0))</f>
        <v>0</v>
      </c>
      <c r="V27" s="22">
        <f>INDEX(TabVMAzureDisk[Coût / mois Sauvegarde],MATCH(TabVMAZURE11[[#This Row],[VMAzureDisk4]],TabVMAzureDisk[VMAzureDisk],0))</f>
        <v>0</v>
      </c>
      <c r="W27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27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27" s="34">
        <f>SUM(TabVMAZURE11[[#This Row],[Coût estimé 
VM / mois]],TabVMAZURE11[[#This Row],[Coût estimé 
Disk Total / mois]])</f>
        <v>7.19</v>
      </c>
      <c r="Z27" s="34">
        <f>TabVMAZURE11[[#This Row],[Coût estimé 
total / mois
sans
sauvegarde]]+TabVMAZURE11[[#This Row],[Coût estimé 
sauvegarde
Disk Total / mois]]</f>
        <v>10.050800000000001</v>
      </c>
      <c r="AA27">
        <v>17</v>
      </c>
      <c r="AB27" s="22" t="str">
        <f>IF(TabVMAZURE11[[#This Row],[Coût estimé 
total / mois
avec 1 
sauvegarde]]&lt;TabVMAZURE11[[#This Row],[Coût OT]],"OUI","NON")</f>
        <v>OUI</v>
      </c>
    </row>
    <row r="28" spans="1:28" x14ac:dyDescent="0.3">
      <c r="A28" t="s">
        <v>227</v>
      </c>
      <c r="B28" t="s">
        <v>185</v>
      </c>
      <c r="C28" t="s">
        <v>192</v>
      </c>
      <c r="D28" t="s">
        <v>204</v>
      </c>
      <c r="E28" t="s">
        <v>178</v>
      </c>
      <c r="F28" t="s">
        <v>178</v>
      </c>
      <c r="G28" t="s">
        <v>178</v>
      </c>
      <c r="H28" s="17">
        <v>0.33333333333333331</v>
      </c>
      <c r="I28" s="17">
        <v>0.79166666666666663</v>
      </c>
      <c r="J28" s="22">
        <f>(((TabVMAZURE11[[#This Row],[Auto Stop]]-INT(TabVMAZURE11[[#This Row],[Auto Stop]]))*24)-((TabVMAZURE11[[#This Row],[Auto Start]]-INT(TabVMAZURE11[[#This Row],[Auto Start]]))*24))</f>
        <v>11</v>
      </c>
      <c r="K28" s="22">
        <v>20</v>
      </c>
      <c r="L28" s="22">
        <f>TabVMAZURE11[[#This Row],[Activité 
par jours]]*TabVMAZURE11[[#This Row],[Jours / Mois]]</f>
        <v>220</v>
      </c>
      <c r="M28" s="22">
        <f>INDEX(ListeVMAzureCoûts,MATCH(TabVMAZURE11[[#This Row],[VMAzureSize]],ListeVMAzureSize,0),MATCH(TabVMAZURE11[[#This Row],[Système]],ListeSystèmes,0))</f>
        <v>9.4500000000000001E-2</v>
      </c>
      <c r="N28" s="22">
        <f>TabVMAZURE11[[#This Row],[Activité 
par mois]]*TabVMAZURE11[[#This Row],[Coût horaire VM]]</f>
        <v>20.79</v>
      </c>
      <c r="O28" s="22">
        <f>INDEX(TabVMAzureDisk[Coût / mois],MATCH(TabVMAZURE11[[#This Row],[VMAzureDisk]],TabVMAzureDisk[VMAzureDisk],0))</f>
        <v>20.225000000000001</v>
      </c>
      <c r="P28" s="22">
        <f>INDEX(TabVMAzureDisk[Coût / mois Sauvegarde],MATCH(TabVMAZURE11[[#This Row],[VMAzureDisk]],TabVMAzureDisk[VMAzureDisk],0))</f>
        <v>22.886399999999998</v>
      </c>
      <c r="Q28" s="22">
        <f>INDEX(TabVMAzureDisk[Coût / mois],MATCH(TabVMAZURE11[[#This Row],[VMAzureDisk2]],TabVMAzureDisk[VMAzureDisk],0))</f>
        <v>0</v>
      </c>
      <c r="R28" s="22">
        <f>INDEX(TabVMAzureDisk[Coût / mois Sauvegarde],MATCH(TabVMAZURE11[[#This Row],[VMAzureDisk2]],TabVMAzureDisk[VMAzureDisk],0))</f>
        <v>0</v>
      </c>
      <c r="S28" s="22">
        <f>INDEX(TabVMAzureDisk[Coût / mois],MATCH(TabVMAZURE11[[#This Row],[VMAzureDisk3]],TabVMAzureDisk[VMAzureDisk],0))</f>
        <v>0</v>
      </c>
      <c r="T28" s="22">
        <f>INDEX(TabVMAzureDisk[Coût / mois Sauvegarde],MATCH(TabVMAZURE11[[#This Row],[VMAzureDisk3]],TabVMAzureDisk[VMAzureDisk],0))</f>
        <v>0</v>
      </c>
      <c r="U28" s="22">
        <f>INDEX(TabVMAzureDisk[Coût / mois],MATCH(TabVMAZURE11[[#This Row],[VMAzureDisk4]],TabVMAzureDisk[VMAzureDisk],0))</f>
        <v>0</v>
      </c>
      <c r="V28" s="22">
        <f>INDEX(TabVMAzureDisk[Coût / mois Sauvegarde],MATCH(TabVMAZURE11[[#This Row],[VMAzureDisk4]],TabVMAzureDisk[VMAzureDisk],0))</f>
        <v>0</v>
      </c>
      <c r="W28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28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28" s="34">
        <f>SUM(TabVMAZURE11[[#This Row],[Coût estimé 
VM / mois]],TabVMAZURE11[[#This Row],[Coût estimé 
Disk Total / mois]])</f>
        <v>41.015000000000001</v>
      </c>
      <c r="Z28" s="34">
        <f>TabVMAZURE11[[#This Row],[Coût estimé 
total / mois
sans
sauvegarde]]+TabVMAZURE11[[#This Row],[Coût estimé 
sauvegarde
Disk Total / mois]]</f>
        <v>63.901399999999995</v>
      </c>
      <c r="AA28">
        <v>74.900000000000006</v>
      </c>
      <c r="AB28" s="22" t="str">
        <f>IF(TabVMAZURE11[[#This Row],[Coût estimé 
total / mois
avec 1 
sauvegarde]]&lt;TabVMAZURE11[[#This Row],[Coût OT]],"OUI","NON")</f>
        <v>OUI</v>
      </c>
    </row>
    <row r="29" spans="1:28" x14ac:dyDescent="0.3">
      <c r="A29" t="s">
        <v>228</v>
      </c>
      <c r="B29" t="s">
        <v>185</v>
      </c>
      <c r="C29" t="s">
        <v>179</v>
      </c>
      <c r="D29" t="s">
        <v>183</v>
      </c>
      <c r="E29" t="s">
        <v>178</v>
      </c>
      <c r="F29" t="s">
        <v>178</v>
      </c>
      <c r="G29" t="s">
        <v>178</v>
      </c>
      <c r="H29" s="17">
        <v>0.33333333333333331</v>
      </c>
      <c r="I29" s="17">
        <v>0.79166666666666663</v>
      </c>
      <c r="J29" s="22">
        <f>(((TabVMAZURE11[[#This Row],[Auto Stop]]-INT(TabVMAZURE11[[#This Row],[Auto Stop]]))*24)-((TabVMAZURE11[[#This Row],[Auto Start]]-INT(TabVMAZURE11[[#This Row],[Auto Start]]))*24))</f>
        <v>11</v>
      </c>
      <c r="K29" s="22">
        <v>20</v>
      </c>
      <c r="L29" s="22">
        <f>TabVMAZURE11[[#This Row],[Activité 
par jours]]*TabVMAZURE11[[#This Row],[Jours / Mois]]</f>
        <v>220</v>
      </c>
      <c r="M29" s="22">
        <f>INDEX(ListeVMAzureCoûts,MATCH(TabVMAZURE11[[#This Row],[VMAzureSize]],ListeVMAzureSize,0),MATCH(TabVMAZURE11[[#This Row],[Système]],ListeSystèmes,0))</f>
        <v>2.53E-2</v>
      </c>
      <c r="N29" s="22">
        <f>TabVMAZURE11[[#This Row],[Activité 
par mois]]*TabVMAZURE11[[#This Row],[Coût horaire VM]]</f>
        <v>5.5659999999999998</v>
      </c>
      <c r="O29" s="22">
        <f>INDEX(TabVMAzureDisk[Coût / mois],MATCH(TabVMAZURE11[[#This Row],[VMAzureDisk]],TabVMAzureDisk[VMAzureDisk],0))</f>
        <v>5.5010000000000003</v>
      </c>
      <c r="P29" s="22">
        <f>INDEX(TabVMAzureDisk[Coût / mois Sauvegarde],MATCH(TabVMAZURE11[[#This Row],[VMAzureDisk]],TabVMAzureDisk[VMAzureDisk],0))</f>
        <v>5.7215999999999996</v>
      </c>
      <c r="Q29" s="22">
        <f>INDEX(TabVMAzureDisk[Coût / mois],MATCH(TabVMAZURE11[[#This Row],[VMAzureDisk2]],TabVMAzureDisk[VMAzureDisk],0))</f>
        <v>0</v>
      </c>
      <c r="R29" s="22">
        <f>INDEX(TabVMAzureDisk[Coût / mois Sauvegarde],MATCH(TabVMAZURE11[[#This Row],[VMAzureDisk2]],TabVMAzureDisk[VMAzureDisk],0))</f>
        <v>0</v>
      </c>
      <c r="S29" s="22">
        <f>INDEX(TabVMAzureDisk[Coût / mois],MATCH(TabVMAZURE11[[#This Row],[VMAzureDisk3]],TabVMAzureDisk[VMAzureDisk],0))</f>
        <v>0</v>
      </c>
      <c r="T29" s="22">
        <f>INDEX(TabVMAzureDisk[Coût / mois Sauvegarde],MATCH(TabVMAZURE11[[#This Row],[VMAzureDisk3]],TabVMAzureDisk[VMAzureDisk],0))</f>
        <v>0</v>
      </c>
      <c r="U29" s="22">
        <f>INDEX(TabVMAzureDisk[Coût / mois],MATCH(TabVMAZURE11[[#This Row],[VMAzureDisk4]],TabVMAzureDisk[VMAzureDisk],0))</f>
        <v>0</v>
      </c>
      <c r="V29" s="22">
        <f>INDEX(TabVMAzureDisk[Coût / mois Sauvegarde],MATCH(TabVMAZURE11[[#This Row],[VMAzureDisk4]],TabVMAzureDisk[VMAzureDisk],0))</f>
        <v>0</v>
      </c>
      <c r="W29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29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29" s="34">
        <f>SUM(TabVMAZURE11[[#This Row],[Coût estimé 
VM / mois]],TabVMAZURE11[[#This Row],[Coût estimé 
Disk Total / mois]])</f>
        <v>11.067</v>
      </c>
      <c r="Z29" s="34">
        <f>TabVMAZURE11[[#This Row],[Coût estimé 
total / mois
sans
sauvegarde]]+TabVMAZURE11[[#This Row],[Coût estimé 
sauvegarde
Disk Total / mois]]</f>
        <v>16.788599999999999</v>
      </c>
      <c r="AA29">
        <v>21.6</v>
      </c>
      <c r="AB29" s="22" t="str">
        <f>IF(TabVMAZURE11[[#This Row],[Coût estimé 
total / mois
avec 1 
sauvegarde]]&lt;TabVMAZURE11[[#This Row],[Coût OT]],"OUI","NON")</f>
        <v>OUI</v>
      </c>
    </row>
    <row r="30" spans="1:28" x14ac:dyDescent="0.3">
      <c r="A30" t="s">
        <v>229</v>
      </c>
      <c r="B30" t="s">
        <v>185</v>
      </c>
      <c r="C30" t="s">
        <v>192</v>
      </c>
      <c r="D30" t="s">
        <v>204</v>
      </c>
      <c r="E30" t="s">
        <v>178</v>
      </c>
      <c r="F30" t="s">
        <v>178</v>
      </c>
      <c r="G30" t="s">
        <v>178</v>
      </c>
      <c r="H30" s="17">
        <v>0.33333333333333331</v>
      </c>
      <c r="I30" s="17">
        <v>0.79166666666666663</v>
      </c>
      <c r="J30" s="22">
        <f>(((TabVMAZURE11[[#This Row],[Auto Stop]]-INT(TabVMAZURE11[[#This Row],[Auto Stop]]))*24)-((TabVMAZURE11[[#This Row],[Auto Start]]-INT(TabVMAZURE11[[#This Row],[Auto Start]]))*24))</f>
        <v>11</v>
      </c>
      <c r="K30" s="22">
        <v>20</v>
      </c>
      <c r="L30" s="22">
        <f>TabVMAZURE11[[#This Row],[Activité 
par jours]]*TabVMAZURE11[[#This Row],[Jours / Mois]]</f>
        <v>220</v>
      </c>
      <c r="M30" s="22">
        <f>INDEX(ListeVMAzureCoûts,MATCH(TabVMAZURE11[[#This Row],[VMAzureSize]],ListeVMAzureSize,0),MATCH(TabVMAZURE11[[#This Row],[Système]],ListeSystèmes,0))</f>
        <v>9.4500000000000001E-2</v>
      </c>
      <c r="N30" s="22">
        <f>TabVMAZURE11[[#This Row],[Activité 
par mois]]*TabVMAZURE11[[#This Row],[Coût horaire VM]]</f>
        <v>20.79</v>
      </c>
      <c r="O30" s="22">
        <f>INDEX(TabVMAzureDisk[Coût / mois],MATCH(TabVMAZURE11[[#This Row],[VMAzureDisk]],TabVMAzureDisk[VMAzureDisk],0))</f>
        <v>20.225000000000001</v>
      </c>
      <c r="P30" s="22">
        <f>INDEX(TabVMAzureDisk[Coût / mois Sauvegarde],MATCH(TabVMAZURE11[[#This Row],[VMAzureDisk]],TabVMAzureDisk[VMAzureDisk],0))</f>
        <v>22.886399999999998</v>
      </c>
      <c r="Q30" s="22">
        <f>INDEX(TabVMAzureDisk[Coût / mois],MATCH(TabVMAZURE11[[#This Row],[VMAzureDisk2]],TabVMAzureDisk[VMAzureDisk],0))</f>
        <v>0</v>
      </c>
      <c r="R30" s="22">
        <f>INDEX(TabVMAzureDisk[Coût / mois Sauvegarde],MATCH(TabVMAZURE11[[#This Row],[VMAzureDisk2]],TabVMAzureDisk[VMAzureDisk],0))</f>
        <v>0</v>
      </c>
      <c r="S30" s="22">
        <f>INDEX(TabVMAzureDisk[Coût / mois],MATCH(TabVMAZURE11[[#This Row],[VMAzureDisk3]],TabVMAzureDisk[VMAzureDisk],0))</f>
        <v>0</v>
      </c>
      <c r="T30" s="22">
        <f>INDEX(TabVMAzureDisk[Coût / mois Sauvegarde],MATCH(TabVMAZURE11[[#This Row],[VMAzureDisk3]],TabVMAzureDisk[VMAzureDisk],0))</f>
        <v>0</v>
      </c>
      <c r="U30" s="22">
        <f>INDEX(TabVMAzureDisk[Coût / mois],MATCH(TabVMAZURE11[[#This Row],[VMAzureDisk4]],TabVMAzureDisk[VMAzureDisk],0))</f>
        <v>0</v>
      </c>
      <c r="V30" s="22">
        <f>INDEX(TabVMAzureDisk[Coût / mois Sauvegarde],MATCH(TabVMAZURE11[[#This Row],[VMAzureDisk4]],TabVMAzureDisk[VMAzureDisk],0))</f>
        <v>0</v>
      </c>
      <c r="W30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30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30" s="34">
        <f>SUM(TabVMAZURE11[[#This Row],[Coût estimé 
VM / mois]],TabVMAZURE11[[#This Row],[Coût estimé 
Disk Total / mois]])</f>
        <v>41.015000000000001</v>
      </c>
      <c r="Z30" s="34">
        <f>TabVMAZURE11[[#This Row],[Coût estimé 
total / mois
sans
sauvegarde]]+TabVMAZURE11[[#This Row],[Coût estimé 
sauvegarde
Disk Total / mois]]</f>
        <v>63.901399999999995</v>
      </c>
      <c r="AA30">
        <v>87.800000000000011</v>
      </c>
      <c r="AB30" s="22" t="str">
        <f>IF(TabVMAZURE11[[#This Row],[Coût estimé 
total / mois
avec 1 
sauvegarde]]&lt;TabVMAZURE11[[#This Row],[Coût OT]],"OUI","NON")</f>
        <v>OUI</v>
      </c>
    </row>
    <row r="31" spans="1:28" x14ac:dyDescent="0.3">
      <c r="A31" t="s">
        <v>230</v>
      </c>
      <c r="B31" t="s">
        <v>185</v>
      </c>
      <c r="C31" t="s">
        <v>188</v>
      </c>
      <c r="D31" t="s">
        <v>183</v>
      </c>
      <c r="E31" t="s">
        <v>178</v>
      </c>
      <c r="F31" t="s">
        <v>178</v>
      </c>
      <c r="G31" t="s">
        <v>178</v>
      </c>
      <c r="H31" s="17">
        <v>0.33333333333333331</v>
      </c>
      <c r="I31" s="17">
        <v>0.79166666666666663</v>
      </c>
      <c r="J31" s="22">
        <f>(((TabVMAZURE11[[#This Row],[Auto Stop]]-INT(TabVMAZURE11[[#This Row],[Auto Stop]]))*24)-((TabVMAZURE11[[#This Row],[Auto Start]]-INT(TabVMAZURE11[[#This Row],[Auto Start]]))*24))</f>
        <v>11</v>
      </c>
      <c r="K31" s="22">
        <v>20</v>
      </c>
      <c r="L31" s="22">
        <f>TabVMAZURE11[[#This Row],[Activité 
par jours]]*TabVMAZURE11[[#This Row],[Jours / Mois]]</f>
        <v>220</v>
      </c>
      <c r="M31" s="22">
        <f>INDEX(ListeVMAzureCoûts,MATCH(TabVMAZURE11[[#This Row],[VMAzureSize]],ListeVMAzureSize,0),MATCH(TabVMAZURE11[[#This Row],[Système]],ListeSystèmes,0))</f>
        <v>5.0599999999999999E-2</v>
      </c>
      <c r="N31" s="22">
        <f>TabVMAZURE11[[#This Row],[Activité 
par mois]]*TabVMAZURE11[[#This Row],[Coût horaire VM]]</f>
        <v>11.132</v>
      </c>
      <c r="O31" s="22">
        <f>INDEX(TabVMAzureDisk[Coût / mois],MATCH(TabVMAZURE11[[#This Row],[VMAzureDisk]],TabVMAzureDisk[VMAzureDisk],0))</f>
        <v>5.5010000000000003</v>
      </c>
      <c r="P31" s="22">
        <f>INDEX(TabVMAzureDisk[Coût / mois Sauvegarde],MATCH(TabVMAZURE11[[#This Row],[VMAzureDisk]],TabVMAzureDisk[VMAzureDisk],0))</f>
        <v>5.7215999999999996</v>
      </c>
      <c r="Q31" s="22">
        <f>INDEX(TabVMAzureDisk[Coût / mois],MATCH(TabVMAZURE11[[#This Row],[VMAzureDisk2]],TabVMAzureDisk[VMAzureDisk],0))</f>
        <v>0</v>
      </c>
      <c r="R31" s="22">
        <f>INDEX(TabVMAzureDisk[Coût / mois Sauvegarde],MATCH(TabVMAZURE11[[#This Row],[VMAzureDisk2]],TabVMAzureDisk[VMAzureDisk],0))</f>
        <v>0</v>
      </c>
      <c r="S31" s="22">
        <f>INDEX(TabVMAzureDisk[Coût / mois],MATCH(TabVMAZURE11[[#This Row],[VMAzureDisk3]],TabVMAzureDisk[VMAzureDisk],0))</f>
        <v>0</v>
      </c>
      <c r="T31" s="22">
        <f>INDEX(TabVMAzureDisk[Coût / mois Sauvegarde],MATCH(TabVMAZURE11[[#This Row],[VMAzureDisk3]],TabVMAzureDisk[VMAzureDisk],0))</f>
        <v>0</v>
      </c>
      <c r="U31" s="22">
        <f>INDEX(TabVMAzureDisk[Coût / mois],MATCH(TabVMAZURE11[[#This Row],[VMAzureDisk4]],TabVMAzureDisk[VMAzureDisk],0))</f>
        <v>0</v>
      </c>
      <c r="V31" s="22">
        <f>INDEX(TabVMAzureDisk[Coût / mois Sauvegarde],MATCH(TabVMAZURE11[[#This Row],[VMAzureDisk4]],TabVMAzureDisk[VMAzureDisk],0))</f>
        <v>0</v>
      </c>
      <c r="W31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31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31" s="34">
        <f>SUM(TabVMAZURE11[[#This Row],[Coût estimé 
VM / mois]],TabVMAZURE11[[#This Row],[Coût estimé 
Disk Total / mois]])</f>
        <v>16.632999999999999</v>
      </c>
      <c r="Z31" s="34">
        <f>TabVMAZURE11[[#This Row],[Coût estimé 
total / mois
sans
sauvegarde]]+TabVMAZURE11[[#This Row],[Coût estimé 
sauvegarde
Disk Total / mois]]</f>
        <v>22.354599999999998</v>
      </c>
      <c r="AA31">
        <v>30.8</v>
      </c>
      <c r="AB31" s="22" t="str">
        <f>IF(TabVMAZURE11[[#This Row],[Coût estimé 
total / mois
avec 1 
sauvegarde]]&lt;TabVMAZURE11[[#This Row],[Coût OT]],"OUI","NON")</f>
        <v>OUI</v>
      </c>
    </row>
  </sheetData>
  <dataValidations count="3">
    <dataValidation type="list" allowBlank="1" showInputMessage="1" showErrorMessage="1" sqref="D2:G31">
      <formula1>ListeVMAzureDisk</formula1>
    </dataValidation>
    <dataValidation type="list" allowBlank="1" showInputMessage="1" showErrorMessage="1" sqref="B2:B31">
      <formula1>ListeSystèmes</formula1>
    </dataValidation>
    <dataValidation type="list" allowBlank="1" showInputMessage="1" showErrorMessage="1" sqref="C2:C31">
      <formula1>ListeVMAzureSize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00B050"/>
  </sheetPr>
  <dimension ref="A1:F41"/>
  <sheetViews>
    <sheetView workbookViewId="0">
      <pane ySplit="1" topLeftCell="A2" activePane="bottomLeft" state="frozen"/>
      <selection pane="bottomLeft" activeCell="C46" sqref="C46"/>
    </sheetView>
  </sheetViews>
  <sheetFormatPr baseColWidth="10" defaultColWidth="18.5546875" defaultRowHeight="14.4" x14ac:dyDescent="0.3"/>
  <cols>
    <col min="1" max="1" width="36.109375" bestFit="1" customWidth="1"/>
    <col min="2" max="2" width="17.109375" bestFit="1" customWidth="1"/>
    <col min="3" max="3" width="13.5546875" bestFit="1" customWidth="1"/>
    <col min="4" max="4" width="18.109375" bestFit="1" customWidth="1"/>
    <col min="5" max="5" width="22.88671875" bestFit="1" customWidth="1"/>
    <col min="6" max="6" width="22.44140625" bestFit="1" customWidth="1"/>
  </cols>
  <sheetData>
    <row r="1" spans="1:6" x14ac:dyDescent="0.3">
      <c r="A1" s="2" t="s">
        <v>231</v>
      </c>
      <c r="B1" s="2" t="s">
        <v>122</v>
      </c>
      <c r="C1" s="3" t="s">
        <v>121</v>
      </c>
      <c r="D1" s="2" t="s">
        <v>232</v>
      </c>
      <c r="E1" s="2" t="s">
        <v>233</v>
      </c>
      <c r="F1" s="2" t="s">
        <v>234</v>
      </c>
    </row>
    <row r="2" spans="1:6" x14ac:dyDescent="0.3">
      <c r="A2" s="4" t="s">
        <v>235</v>
      </c>
      <c r="B2" s="5" t="s">
        <v>35</v>
      </c>
      <c r="C2" s="6">
        <v>100973</v>
      </c>
      <c r="D2" s="6"/>
      <c r="E2" s="6"/>
      <c r="F2" s="6"/>
    </row>
    <row r="3" spans="1:6" x14ac:dyDescent="0.3">
      <c r="A3" s="4" t="s">
        <v>236</v>
      </c>
      <c r="B3" s="5" t="s">
        <v>91</v>
      </c>
      <c r="C3" s="6">
        <v>305704</v>
      </c>
      <c r="D3" s="6"/>
      <c r="E3" s="6"/>
      <c r="F3" s="6"/>
    </row>
    <row r="4" spans="1:6" x14ac:dyDescent="0.3">
      <c r="A4" s="4" t="s">
        <v>237</v>
      </c>
      <c r="B4" s="5" t="s">
        <v>2</v>
      </c>
      <c r="C4" s="6">
        <v>305704</v>
      </c>
      <c r="D4" s="6"/>
      <c r="E4" s="6"/>
      <c r="F4" s="6"/>
    </row>
    <row r="5" spans="1:6" x14ac:dyDescent="0.3">
      <c r="A5" s="4" t="s">
        <v>238</v>
      </c>
      <c r="B5" s="5" t="s">
        <v>2</v>
      </c>
      <c r="C5" s="6">
        <v>305704</v>
      </c>
      <c r="D5" s="6"/>
      <c r="E5" s="6"/>
      <c r="F5" s="6"/>
    </row>
    <row r="6" spans="1:6" x14ac:dyDescent="0.3">
      <c r="A6" s="10" t="s">
        <v>239</v>
      </c>
      <c r="B6" s="5" t="s">
        <v>14</v>
      </c>
      <c r="C6" s="6">
        <v>305704</v>
      </c>
      <c r="D6" s="11"/>
      <c r="E6" s="11"/>
      <c r="F6" s="11"/>
    </row>
    <row r="7" spans="1:6" x14ac:dyDescent="0.3">
      <c r="A7" s="4" t="s">
        <v>240</v>
      </c>
      <c r="B7" s="5" t="s">
        <v>17</v>
      </c>
      <c r="C7" s="6">
        <v>305704</v>
      </c>
      <c r="D7" s="6"/>
      <c r="E7" s="6"/>
      <c r="F7" s="6"/>
    </row>
    <row r="8" spans="1:6" x14ac:dyDescent="0.3">
      <c r="A8" s="4" t="s">
        <v>241</v>
      </c>
      <c r="B8" s="5" t="s">
        <v>17</v>
      </c>
      <c r="C8" s="6">
        <v>305704</v>
      </c>
      <c r="D8" s="6"/>
      <c r="E8" s="6"/>
      <c r="F8" s="6"/>
    </row>
    <row r="9" spans="1:6" x14ac:dyDescent="0.3">
      <c r="A9" s="10" t="s">
        <v>242</v>
      </c>
      <c r="B9" s="5" t="s">
        <v>17</v>
      </c>
      <c r="C9" s="6">
        <v>305704</v>
      </c>
      <c r="D9" s="11"/>
      <c r="E9" s="11"/>
      <c r="F9" s="11"/>
    </row>
    <row r="10" spans="1:6" x14ac:dyDescent="0.3">
      <c r="A10" s="4" t="s">
        <v>243</v>
      </c>
      <c r="B10" s="5" t="s">
        <v>21</v>
      </c>
      <c r="C10" s="6">
        <v>305704</v>
      </c>
      <c r="D10" s="6"/>
      <c r="E10" s="6"/>
      <c r="F10" s="6"/>
    </row>
    <row r="11" spans="1:6" x14ac:dyDescent="0.3">
      <c r="A11" s="10" t="s">
        <v>243</v>
      </c>
      <c r="B11" s="5" t="s">
        <v>21</v>
      </c>
      <c r="C11" s="6">
        <v>305704</v>
      </c>
      <c r="D11" s="11"/>
      <c r="E11" s="11"/>
      <c r="F11" s="11"/>
    </row>
    <row r="12" spans="1:6" x14ac:dyDescent="0.3">
      <c r="A12" s="4" t="s">
        <v>244</v>
      </c>
      <c r="B12" s="5" t="s">
        <v>111</v>
      </c>
      <c r="C12" s="6">
        <v>305704</v>
      </c>
      <c r="D12" s="6"/>
      <c r="E12" s="6"/>
      <c r="F12" s="6"/>
    </row>
    <row r="13" spans="1:6" x14ac:dyDescent="0.3">
      <c r="A13" s="4" t="s">
        <v>245</v>
      </c>
      <c r="B13" s="5" t="s">
        <v>24</v>
      </c>
      <c r="C13" s="6">
        <v>305704</v>
      </c>
      <c r="D13" s="6"/>
      <c r="E13" s="6"/>
      <c r="F13" s="6"/>
    </row>
    <row r="14" spans="1:6" x14ac:dyDescent="0.3">
      <c r="A14" s="4" t="s">
        <v>246</v>
      </c>
      <c r="B14" s="5" t="s">
        <v>88</v>
      </c>
      <c r="C14" s="6">
        <v>305704</v>
      </c>
      <c r="D14" s="6"/>
      <c r="E14" s="6"/>
      <c r="F14" s="6"/>
    </row>
    <row r="15" spans="1:6" x14ac:dyDescent="0.3">
      <c r="A15" s="4" t="s">
        <v>247</v>
      </c>
      <c r="B15" s="5" t="s">
        <v>26</v>
      </c>
      <c r="C15" s="6">
        <v>305704</v>
      </c>
      <c r="D15" s="6"/>
      <c r="E15" s="6"/>
      <c r="F15" s="6"/>
    </row>
    <row r="16" spans="1:6" x14ac:dyDescent="0.3">
      <c r="A16" s="4" t="s">
        <v>248</v>
      </c>
      <c r="B16" s="5" t="s">
        <v>248</v>
      </c>
      <c r="C16" s="6">
        <v>305704</v>
      </c>
      <c r="D16" s="6"/>
      <c r="E16" s="6"/>
      <c r="F16" s="6"/>
    </row>
    <row r="17" spans="1:6" x14ac:dyDescent="0.3">
      <c r="A17" s="4" t="s">
        <v>249</v>
      </c>
      <c r="B17" s="5" t="s">
        <v>35</v>
      </c>
      <c r="C17" s="6">
        <v>305704</v>
      </c>
      <c r="D17" s="6"/>
      <c r="E17" s="6"/>
      <c r="F17" s="6"/>
    </row>
    <row r="18" spans="1:6" x14ac:dyDescent="0.3">
      <c r="A18" s="4" t="s">
        <v>250</v>
      </c>
      <c r="B18" s="5" t="s">
        <v>35</v>
      </c>
      <c r="C18" s="6">
        <v>305704</v>
      </c>
      <c r="D18" s="6"/>
      <c r="E18" s="6"/>
      <c r="F18" s="6"/>
    </row>
    <row r="19" spans="1:6" x14ac:dyDescent="0.3">
      <c r="A19" s="4" t="s">
        <v>251</v>
      </c>
      <c r="B19" s="5" t="s">
        <v>35</v>
      </c>
      <c r="C19" s="6">
        <v>305704</v>
      </c>
      <c r="D19" s="6"/>
      <c r="E19" s="6"/>
      <c r="F19" s="6"/>
    </row>
    <row r="20" spans="1:6" x14ac:dyDescent="0.3">
      <c r="A20" s="10" t="s">
        <v>252</v>
      </c>
      <c r="B20" s="5" t="s">
        <v>35</v>
      </c>
      <c r="C20" s="6">
        <v>305704</v>
      </c>
      <c r="D20" s="11"/>
      <c r="E20" s="11"/>
      <c r="F20" s="11"/>
    </row>
    <row r="21" spans="1:6" x14ac:dyDescent="0.3">
      <c r="A21" s="4" t="s">
        <v>253</v>
      </c>
      <c r="B21" s="5" t="s">
        <v>254</v>
      </c>
      <c r="C21" s="6">
        <v>305704</v>
      </c>
      <c r="D21" s="6"/>
      <c r="E21" s="6"/>
      <c r="F21" s="6"/>
    </row>
    <row r="22" spans="1:6" x14ac:dyDescent="0.3">
      <c r="A22" s="4" t="s">
        <v>255</v>
      </c>
      <c r="B22" s="5" t="s">
        <v>35</v>
      </c>
      <c r="C22" s="6">
        <v>305704</v>
      </c>
      <c r="D22" s="6"/>
      <c r="E22" s="6"/>
      <c r="F22" s="6"/>
    </row>
    <row r="23" spans="1:6" x14ac:dyDescent="0.3">
      <c r="A23" s="12" t="s">
        <v>256</v>
      </c>
      <c r="B23" s="5" t="s">
        <v>54</v>
      </c>
      <c r="C23" s="6">
        <v>305704</v>
      </c>
      <c r="D23" s="11"/>
      <c r="E23" s="11"/>
      <c r="F23" s="11"/>
    </row>
    <row r="24" spans="1:6" x14ac:dyDescent="0.3">
      <c r="A24" s="4" t="s">
        <v>257</v>
      </c>
      <c r="B24" s="5" t="s">
        <v>258</v>
      </c>
      <c r="C24" s="6">
        <v>305704</v>
      </c>
      <c r="D24" s="6"/>
      <c r="E24" s="6"/>
      <c r="F24" s="6"/>
    </row>
    <row r="25" spans="1:6" x14ac:dyDescent="0.3">
      <c r="A25" s="4" t="s">
        <v>259</v>
      </c>
      <c r="B25" s="5" t="s">
        <v>94</v>
      </c>
      <c r="C25" s="6">
        <v>305704</v>
      </c>
      <c r="D25" s="6"/>
      <c r="E25" s="6"/>
      <c r="F25" s="6"/>
    </row>
    <row r="26" spans="1:6" x14ac:dyDescent="0.3">
      <c r="A26" s="4" t="s">
        <v>260</v>
      </c>
      <c r="B26" s="5" t="s">
        <v>57</v>
      </c>
      <c r="C26" s="6">
        <v>305704</v>
      </c>
      <c r="D26" s="6"/>
      <c r="E26" s="6"/>
      <c r="F26" s="6"/>
    </row>
    <row r="27" spans="1:6" x14ac:dyDescent="0.3">
      <c r="A27" s="4" t="s">
        <v>261</v>
      </c>
      <c r="B27" s="5" t="s">
        <v>57</v>
      </c>
      <c r="C27" s="6">
        <v>305704</v>
      </c>
      <c r="D27" s="6"/>
      <c r="E27" s="6"/>
      <c r="F27" s="6"/>
    </row>
    <row r="28" spans="1:6" x14ac:dyDescent="0.3">
      <c r="A28" s="4" t="s">
        <v>262</v>
      </c>
      <c r="B28" s="5" t="s">
        <v>70</v>
      </c>
      <c r="C28" s="6">
        <v>305704</v>
      </c>
      <c r="D28" s="6"/>
      <c r="E28" s="6"/>
      <c r="F28" s="6"/>
    </row>
    <row r="29" spans="1:6" x14ac:dyDescent="0.3">
      <c r="A29" s="4" t="s">
        <v>263</v>
      </c>
      <c r="B29" s="5" t="s">
        <v>70</v>
      </c>
      <c r="C29" s="6">
        <v>305704</v>
      </c>
      <c r="D29" s="6"/>
      <c r="E29" s="6"/>
      <c r="F29" s="6"/>
    </row>
    <row r="30" spans="1:6" x14ac:dyDescent="0.3">
      <c r="A30" s="4" t="s">
        <v>264</v>
      </c>
      <c r="B30" s="5" t="s">
        <v>70</v>
      </c>
      <c r="C30" s="6">
        <v>305704</v>
      </c>
      <c r="D30" s="6"/>
      <c r="E30" s="6"/>
      <c r="F30" s="6"/>
    </row>
    <row r="31" spans="1:6" x14ac:dyDescent="0.3">
      <c r="A31" s="4" t="s">
        <v>265</v>
      </c>
      <c r="B31" s="5" t="s">
        <v>84</v>
      </c>
      <c r="C31" s="6">
        <v>305704</v>
      </c>
      <c r="D31" s="6"/>
      <c r="E31" s="6"/>
      <c r="F31" s="6"/>
    </row>
    <row r="32" spans="1:6" x14ac:dyDescent="0.3">
      <c r="A32" s="4" t="s">
        <v>85</v>
      </c>
      <c r="B32" s="5" t="s">
        <v>84</v>
      </c>
      <c r="C32" s="6">
        <v>305704</v>
      </c>
      <c r="D32" s="6"/>
      <c r="E32" s="6"/>
      <c r="F32" s="6"/>
    </row>
    <row r="33" spans="1:6" x14ac:dyDescent="0.3">
      <c r="A33" s="23" t="s">
        <v>266</v>
      </c>
      <c r="B33" s="24" t="s">
        <v>84</v>
      </c>
      <c r="C33" s="6">
        <v>305704</v>
      </c>
      <c r="D33" s="25"/>
      <c r="E33" s="25"/>
      <c r="F33" s="25"/>
    </row>
    <row r="34" spans="1:6" x14ac:dyDescent="0.3">
      <c r="A34" s="23" t="s">
        <v>267</v>
      </c>
      <c r="B34" s="5" t="s">
        <v>268</v>
      </c>
      <c r="C34" s="6">
        <v>305704</v>
      </c>
      <c r="D34" s="6"/>
      <c r="E34" s="6"/>
      <c r="F34" s="6"/>
    </row>
    <row r="35" spans="1:6" x14ac:dyDescent="0.3">
      <c r="A35" s="23" t="s">
        <v>269</v>
      </c>
      <c r="B35" s="24" t="s">
        <v>35</v>
      </c>
      <c r="C35" s="25">
        <v>305704</v>
      </c>
      <c r="D35" s="25"/>
      <c r="E35" s="25"/>
      <c r="F35" s="25"/>
    </row>
    <row r="36" spans="1:6" x14ac:dyDescent="0.3">
      <c r="A36" s="23" t="s">
        <v>270</v>
      </c>
      <c r="B36" s="24" t="s">
        <v>271</v>
      </c>
      <c r="C36" s="25">
        <v>305704</v>
      </c>
      <c r="D36" s="25"/>
      <c r="E36" s="25"/>
      <c r="F36" s="25"/>
    </row>
    <row r="37" spans="1:6" x14ac:dyDescent="0.3">
      <c r="A37" s="23" t="s">
        <v>272</v>
      </c>
      <c r="B37" s="24" t="s">
        <v>105</v>
      </c>
      <c r="C37" s="25">
        <v>305704</v>
      </c>
      <c r="D37" s="25"/>
      <c r="E37" s="25"/>
      <c r="F37" s="25"/>
    </row>
    <row r="38" spans="1:6" x14ac:dyDescent="0.3">
      <c r="A38" s="45" t="s">
        <v>273</v>
      </c>
      <c r="B38" s="24" t="s">
        <v>80</v>
      </c>
      <c r="C38" s="25">
        <v>305704</v>
      </c>
      <c r="D38" s="37"/>
      <c r="E38" s="37"/>
      <c r="F38" s="37"/>
    </row>
    <row r="39" spans="1:6" x14ac:dyDescent="0.3">
      <c r="A39" s="36" t="s">
        <v>274</v>
      </c>
      <c r="B39" s="24" t="s">
        <v>80</v>
      </c>
      <c r="C39" s="25">
        <v>305704</v>
      </c>
      <c r="D39" s="37"/>
      <c r="E39" s="37"/>
      <c r="F39" s="37"/>
    </row>
    <row r="40" spans="1:6" x14ac:dyDescent="0.3">
      <c r="A40" s="23" t="s">
        <v>275</v>
      </c>
      <c r="B40" s="24" t="s">
        <v>107</v>
      </c>
      <c r="C40" s="25">
        <v>305704</v>
      </c>
      <c r="D40" s="25"/>
      <c r="E40" s="25"/>
      <c r="F40" s="25"/>
    </row>
    <row r="41" spans="1:6" x14ac:dyDescent="0.3">
      <c r="A41" s="23" t="s">
        <v>276</v>
      </c>
      <c r="B41" s="24" t="s">
        <v>107</v>
      </c>
      <c r="C41" s="25">
        <v>305704</v>
      </c>
      <c r="D41" s="25"/>
      <c r="E41" s="25"/>
      <c r="F41" s="25"/>
    </row>
  </sheetData>
  <dataValidations count="1">
    <dataValidation type="list" allowBlank="1" showInputMessage="1" showErrorMessage="1" sqref="C2:C41">
      <formula1>ListeCostCenters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B050"/>
  </sheetPr>
  <dimension ref="A1:I59"/>
  <sheetViews>
    <sheetView workbookViewId="0">
      <pane ySplit="1" topLeftCell="A2" activePane="bottomLeft" state="frozen"/>
      <selection pane="bottomLeft" activeCell="B2" sqref="B2:B11"/>
    </sheetView>
  </sheetViews>
  <sheetFormatPr baseColWidth="10" defaultColWidth="16.109375" defaultRowHeight="14.4" x14ac:dyDescent="0.3"/>
  <cols>
    <col min="1" max="1" width="22.88671875" bestFit="1" customWidth="1"/>
    <col min="2" max="2" width="9.109375" bestFit="1" customWidth="1"/>
    <col min="3" max="3" width="17.33203125" bestFit="1" customWidth="1"/>
    <col min="4" max="4" width="11" bestFit="1" customWidth="1"/>
    <col min="5" max="5" width="10.109375" bestFit="1" customWidth="1"/>
    <col min="6" max="6" width="28" bestFit="1" customWidth="1"/>
    <col min="7" max="7" width="20.6640625" bestFit="1" customWidth="1"/>
    <col min="8" max="8" width="33.109375" bestFit="1" customWidth="1"/>
    <col min="9" max="9" width="15.44140625" bestFit="1" customWidth="1"/>
  </cols>
  <sheetData>
    <row r="1" spans="1:9" x14ac:dyDescent="0.3">
      <c r="A1" s="1" t="s">
        <v>277</v>
      </c>
      <c r="B1" s="2" t="s">
        <v>122</v>
      </c>
      <c r="C1" s="2" t="s">
        <v>119</v>
      </c>
      <c r="D1" s="2" t="s">
        <v>278</v>
      </c>
      <c r="E1" s="2" t="s">
        <v>279</v>
      </c>
      <c r="F1" s="2" t="s">
        <v>280</v>
      </c>
      <c r="G1" s="2" t="s">
        <v>281</v>
      </c>
      <c r="H1" s="3" t="s">
        <v>282</v>
      </c>
      <c r="I1" s="2" t="s">
        <v>125</v>
      </c>
    </row>
    <row r="2" spans="1:9" x14ac:dyDescent="0.3">
      <c r="A2" t="str">
        <f t="shared" ref="A2:A33" si="0">B2 &amp; "-" &amp; C2</f>
        <v>AFB-BASEINDICATEURS</v>
      </c>
      <c r="B2" t="s">
        <v>2</v>
      </c>
      <c r="C2" t="s">
        <v>283</v>
      </c>
      <c r="F2" s="8" t="s">
        <v>284</v>
      </c>
      <c r="H2" t="s">
        <v>263</v>
      </c>
    </row>
    <row r="3" spans="1:9" x14ac:dyDescent="0.3">
      <c r="A3" t="str">
        <f t="shared" si="0"/>
        <v>AFB-CATALOGUE</v>
      </c>
      <c r="B3" t="s">
        <v>2</v>
      </c>
      <c r="C3" t="s">
        <v>285</v>
      </c>
      <c r="F3" s="8" t="s">
        <v>284</v>
      </c>
      <c r="H3" t="s">
        <v>263</v>
      </c>
    </row>
    <row r="4" spans="1:9" x14ac:dyDescent="0.3">
      <c r="A4" t="str">
        <f t="shared" si="0"/>
        <v>AFB-CDR</v>
      </c>
      <c r="B4" t="s">
        <v>2</v>
      </c>
      <c r="C4" t="s">
        <v>286</v>
      </c>
      <c r="F4" s="8" t="s">
        <v>284</v>
      </c>
      <c r="H4" t="s">
        <v>264</v>
      </c>
    </row>
    <row r="5" spans="1:9" x14ac:dyDescent="0.3">
      <c r="A5" t="str">
        <f t="shared" si="0"/>
        <v>AFB-CESMIA</v>
      </c>
      <c r="B5" t="s">
        <v>2</v>
      </c>
      <c r="C5" t="s">
        <v>287</v>
      </c>
      <c r="F5" s="8" t="s">
        <v>288</v>
      </c>
      <c r="H5" t="s">
        <v>237</v>
      </c>
    </row>
    <row r="6" spans="1:9" x14ac:dyDescent="0.3">
      <c r="A6" t="str">
        <f t="shared" si="0"/>
        <v>AFB-NatureFrance</v>
      </c>
      <c r="B6" t="s">
        <v>2</v>
      </c>
      <c r="C6" t="s">
        <v>289</v>
      </c>
      <c r="F6" s="35" t="s">
        <v>290</v>
      </c>
      <c r="H6" t="s">
        <v>238</v>
      </c>
    </row>
    <row r="7" spans="1:9" x14ac:dyDescent="0.3">
      <c r="A7" t="str">
        <f t="shared" si="0"/>
        <v>AFB-OISON</v>
      </c>
      <c r="B7" t="s">
        <v>2</v>
      </c>
      <c r="C7" t="s">
        <v>291</v>
      </c>
      <c r="F7" s="8" t="s">
        <v>288</v>
      </c>
      <c r="H7" t="s">
        <v>263</v>
      </c>
    </row>
    <row r="8" spans="1:9" x14ac:dyDescent="0.3">
      <c r="A8" t="str">
        <f t="shared" si="0"/>
        <v>AFB-PATBIODIV</v>
      </c>
      <c r="B8" t="s">
        <v>2</v>
      </c>
      <c r="C8" t="s">
        <v>292</v>
      </c>
      <c r="F8" s="9" t="s">
        <v>290</v>
      </c>
      <c r="H8" t="s">
        <v>263</v>
      </c>
    </row>
    <row r="9" spans="1:9" x14ac:dyDescent="0.3">
      <c r="A9" t="str">
        <f t="shared" si="0"/>
        <v>AFB-PNM</v>
      </c>
      <c r="B9" t="s">
        <v>2</v>
      </c>
      <c r="C9" t="s">
        <v>293</v>
      </c>
      <c r="F9" s="8" t="s">
        <v>294</v>
      </c>
      <c r="H9" t="s">
        <v>238</v>
      </c>
    </row>
    <row r="10" spans="1:9" x14ac:dyDescent="0.3">
      <c r="A10" t="str">
        <f t="shared" si="0"/>
        <v>AFB-PNX</v>
      </c>
      <c r="B10" t="s">
        <v>2</v>
      </c>
      <c r="C10" t="s">
        <v>295</v>
      </c>
      <c r="F10" s="8" t="s">
        <v>284</v>
      </c>
      <c r="H10" t="s">
        <v>238</v>
      </c>
    </row>
    <row r="11" spans="1:9" x14ac:dyDescent="0.3">
      <c r="A11" t="str">
        <f t="shared" si="0"/>
        <v>AFB-RAA</v>
      </c>
      <c r="B11" t="s">
        <v>2</v>
      </c>
      <c r="C11" t="s">
        <v>296</v>
      </c>
      <c r="F11" s="8" t="s">
        <v>284</v>
      </c>
      <c r="G11" t="s">
        <v>297</v>
      </c>
      <c r="H11" t="s">
        <v>264</v>
      </c>
    </row>
    <row r="12" spans="1:9" x14ac:dyDescent="0.3">
      <c r="A12" t="str">
        <f t="shared" si="0"/>
        <v>ALM-ATOUT</v>
      </c>
      <c r="B12" t="s">
        <v>14</v>
      </c>
      <c r="C12" t="s">
        <v>298</v>
      </c>
      <c r="F12" s="8" t="s">
        <v>299</v>
      </c>
      <c r="H12" t="s">
        <v>239</v>
      </c>
    </row>
    <row r="13" spans="1:9" x14ac:dyDescent="0.3">
      <c r="A13" t="str">
        <f t="shared" si="0"/>
        <v>BRGM-ORRM</v>
      </c>
      <c r="B13" t="s">
        <v>17</v>
      </c>
      <c r="C13" t="s">
        <v>300</v>
      </c>
      <c r="F13" s="8" t="s">
        <v>299</v>
      </c>
      <c r="H13" t="s">
        <v>242</v>
      </c>
    </row>
    <row r="14" spans="1:9" x14ac:dyDescent="0.3">
      <c r="A14" t="str">
        <f t="shared" si="0"/>
        <v>CATITRES-COMX</v>
      </c>
      <c r="B14" t="s">
        <v>301</v>
      </c>
      <c r="C14" t="s">
        <v>302</v>
      </c>
      <c r="F14" s="8" t="s">
        <v>288</v>
      </c>
      <c r="H14" t="s">
        <v>243</v>
      </c>
    </row>
    <row r="15" spans="1:9" x14ac:dyDescent="0.3">
      <c r="A15" t="str">
        <f t="shared" si="0"/>
        <v>CGOS-BI</v>
      </c>
      <c r="B15" t="s">
        <v>111</v>
      </c>
      <c r="C15" t="s">
        <v>303</v>
      </c>
      <c r="F15" s="35" t="s">
        <v>304</v>
      </c>
      <c r="G15" t="s">
        <v>305</v>
      </c>
      <c r="H15" t="s">
        <v>244</v>
      </c>
    </row>
    <row r="16" spans="1:9" x14ac:dyDescent="0.3">
      <c r="A16" t="str">
        <f t="shared" si="0"/>
        <v>CNAV-BI-RGCU</v>
      </c>
      <c r="B16" t="s">
        <v>24</v>
      </c>
      <c r="C16" t="s">
        <v>306</v>
      </c>
      <c r="F16" s="8" t="s">
        <v>304</v>
      </c>
      <c r="H16" t="s">
        <v>245</v>
      </c>
    </row>
    <row r="17" spans="1:8" x14ac:dyDescent="0.3">
      <c r="A17" t="str">
        <f t="shared" si="0"/>
        <v>EBR-LAPOSTE</v>
      </c>
      <c r="B17" t="s">
        <v>88</v>
      </c>
      <c r="C17" t="s">
        <v>94</v>
      </c>
      <c r="F17" s="35" t="s">
        <v>304</v>
      </c>
      <c r="G17" t="s">
        <v>307</v>
      </c>
      <c r="H17" t="s">
        <v>246</v>
      </c>
    </row>
    <row r="18" spans="1:8" x14ac:dyDescent="0.3">
      <c r="A18" t="str">
        <f t="shared" si="0"/>
        <v>FRR-APPLIFRR</v>
      </c>
      <c r="B18" t="s">
        <v>26</v>
      </c>
      <c r="C18" t="s">
        <v>308</v>
      </c>
      <c r="F18" s="8" t="s">
        <v>288</v>
      </c>
      <c r="H18" t="s">
        <v>247</v>
      </c>
    </row>
    <row r="19" spans="1:8" x14ac:dyDescent="0.3">
      <c r="A19" t="str">
        <f t="shared" si="0"/>
        <v>FRR-CADENCIER</v>
      </c>
      <c r="B19" t="s">
        <v>26</v>
      </c>
      <c r="C19" t="s">
        <v>309</v>
      </c>
      <c r="F19" s="8" t="s">
        <v>288</v>
      </c>
      <c r="H19" t="s">
        <v>247</v>
      </c>
    </row>
    <row r="20" spans="1:8" x14ac:dyDescent="0.3">
      <c r="A20" t="str">
        <f t="shared" si="0"/>
        <v>FRR-DIGIPAT</v>
      </c>
      <c r="B20" t="s">
        <v>26</v>
      </c>
      <c r="C20" t="s">
        <v>310</v>
      </c>
      <c r="F20" t="s">
        <v>299</v>
      </c>
      <c r="G20" t="s">
        <v>290</v>
      </c>
      <c r="H20" t="s">
        <v>247</v>
      </c>
    </row>
    <row r="21" spans="1:8" x14ac:dyDescent="0.3">
      <c r="A21" t="str">
        <f t="shared" si="0"/>
        <v>FRR-PATAPAIN</v>
      </c>
      <c r="B21" t="s">
        <v>26</v>
      </c>
      <c r="C21" t="s">
        <v>311</v>
      </c>
      <c r="F21" s="35"/>
      <c r="H21" t="s">
        <v>247</v>
      </c>
    </row>
    <row r="22" spans="1:8" x14ac:dyDescent="0.3">
      <c r="A22" t="str">
        <f t="shared" si="0"/>
        <v>FRR-PATAPAINANDROID</v>
      </c>
      <c r="B22" t="s">
        <v>26</v>
      </c>
      <c r="C22" t="s">
        <v>312</v>
      </c>
      <c r="F22" s="8" t="s">
        <v>288</v>
      </c>
      <c r="H22" t="s">
        <v>247</v>
      </c>
    </row>
    <row r="23" spans="1:8" x14ac:dyDescent="0.3">
      <c r="A23" t="str">
        <f t="shared" si="0"/>
        <v>GFI-CMIS</v>
      </c>
      <c r="B23" t="s">
        <v>35</v>
      </c>
      <c r="C23" t="s">
        <v>313</v>
      </c>
      <c r="F23" s="35"/>
      <c r="H23" t="s">
        <v>252</v>
      </c>
    </row>
    <row r="24" spans="1:8" x14ac:dyDescent="0.3">
      <c r="A24" t="str">
        <f t="shared" si="0"/>
        <v>GFI-COFFEE</v>
      </c>
      <c r="B24" t="s">
        <v>35</v>
      </c>
      <c r="C24" t="s">
        <v>314</v>
      </c>
      <c r="F24" s="35"/>
      <c r="H24" t="s">
        <v>252</v>
      </c>
    </row>
    <row r="25" spans="1:8" x14ac:dyDescent="0.3">
      <c r="A25" t="str">
        <f t="shared" si="0"/>
        <v>GFI-CRALENIUM</v>
      </c>
      <c r="B25" t="s">
        <v>35</v>
      </c>
      <c r="C25" t="s">
        <v>315</v>
      </c>
      <c r="F25" s="35"/>
      <c r="H25" t="s">
        <v>252</v>
      </c>
    </row>
    <row r="26" spans="1:8" x14ac:dyDescent="0.3">
      <c r="A26" t="str">
        <f t="shared" si="0"/>
        <v>GFI-D8-BS4-THEME</v>
      </c>
      <c r="B26" t="s">
        <v>35</v>
      </c>
      <c r="C26" t="s">
        <v>316</v>
      </c>
      <c r="F26" s="35"/>
      <c r="H26" t="s">
        <v>252</v>
      </c>
    </row>
    <row r="27" spans="1:8" x14ac:dyDescent="0.3">
      <c r="A27" t="str">
        <f t="shared" si="0"/>
        <v>GFI-Docker Devbox Install</v>
      </c>
      <c r="B27" t="s">
        <v>35</v>
      </c>
      <c r="C27" t="s">
        <v>317</v>
      </c>
      <c r="F27" s="35"/>
      <c r="H27" t="s">
        <v>252</v>
      </c>
    </row>
    <row r="28" spans="1:8" x14ac:dyDescent="0.3">
      <c r="A28" t="str">
        <f t="shared" si="0"/>
        <v>GFI-INTERNE</v>
      </c>
      <c r="B28" t="s">
        <v>35</v>
      </c>
      <c r="C28" t="s">
        <v>318</v>
      </c>
      <c r="F28" s="9" t="s">
        <v>319</v>
      </c>
      <c r="H28" t="s">
        <v>252</v>
      </c>
    </row>
    <row r="29" spans="1:8" x14ac:dyDescent="0.3">
      <c r="A29" t="str">
        <f t="shared" si="0"/>
        <v>GFI-MINEREPORT</v>
      </c>
      <c r="B29" t="s">
        <v>35</v>
      </c>
      <c r="C29" t="s">
        <v>320</v>
      </c>
      <c r="F29" s="35"/>
      <c r="H29" t="s">
        <v>252</v>
      </c>
    </row>
    <row r="30" spans="1:8" x14ac:dyDescent="0.3">
      <c r="A30" t="str">
        <f t="shared" si="0"/>
        <v>GFI-PMT</v>
      </c>
      <c r="B30" t="s">
        <v>35</v>
      </c>
      <c r="C30" t="s">
        <v>321</v>
      </c>
      <c r="F30" s="35"/>
      <c r="H30" t="s">
        <v>252</v>
      </c>
    </row>
    <row r="31" spans="1:8" x14ac:dyDescent="0.3">
      <c r="A31" t="str">
        <f t="shared" si="0"/>
        <v>GFI-REDMINEDOCKER</v>
      </c>
      <c r="B31" t="s">
        <v>35</v>
      </c>
      <c r="C31" t="s">
        <v>322</v>
      </c>
      <c r="F31" s="35"/>
      <c r="H31" t="s">
        <v>252</v>
      </c>
    </row>
    <row r="32" spans="1:8" x14ac:dyDescent="0.3">
      <c r="A32" t="str">
        <f t="shared" si="0"/>
        <v>GFI-TENDER</v>
      </c>
      <c r="B32" t="s">
        <v>35</v>
      </c>
      <c r="C32" t="s">
        <v>323</v>
      </c>
      <c r="F32" s="35"/>
      <c r="H32" t="s">
        <v>252</v>
      </c>
    </row>
    <row r="33" spans="1:8" x14ac:dyDescent="0.3">
      <c r="A33" t="str">
        <f t="shared" si="0"/>
        <v>GFI-WAAC</v>
      </c>
      <c r="B33" t="s">
        <v>35</v>
      </c>
      <c r="C33" t="s">
        <v>324</v>
      </c>
      <c r="F33" s="35"/>
      <c r="H33" t="s">
        <v>235</v>
      </c>
    </row>
    <row r="34" spans="1:8" x14ac:dyDescent="0.3">
      <c r="A34" t="str">
        <f t="shared" ref="A34:A59" si="1">B34 &amp; "-" &amp; C34</f>
        <v>GLI-APIBIOMETRIE</v>
      </c>
      <c r="B34" t="s">
        <v>54</v>
      </c>
      <c r="C34" t="s">
        <v>325</v>
      </c>
      <c r="F34" s="9" t="s">
        <v>290</v>
      </c>
      <c r="H34" t="s">
        <v>256</v>
      </c>
    </row>
    <row r="35" spans="1:8" x14ac:dyDescent="0.3">
      <c r="A35" t="str">
        <f t="shared" si="1"/>
        <v>LAPOSTE-CDC</v>
      </c>
      <c r="B35" t="s">
        <v>94</v>
      </c>
      <c r="C35" t="s">
        <v>326</v>
      </c>
      <c r="F35" s="35" t="s">
        <v>290</v>
      </c>
      <c r="G35" t="s">
        <v>327</v>
      </c>
      <c r="H35" t="s">
        <v>259</v>
      </c>
    </row>
    <row r="36" spans="1:8" x14ac:dyDescent="0.3">
      <c r="A36" t="str">
        <f t="shared" si="1"/>
        <v>LAPOSTE-F4N-MUSEE</v>
      </c>
      <c r="B36" t="s">
        <v>94</v>
      </c>
      <c r="C36" t="s">
        <v>328</v>
      </c>
      <c r="F36" s="9" t="s">
        <v>290</v>
      </c>
      <c r="H36" t="s">
        <v>259</v>
      </c>
    </row>
    <row r="37" spans="1:8" x14ac:dyDescent="0.3">
      <c r="A37" t="str">
        <f t="shared" si="1"/>
        <v>LAPOSTE-L71-PDP</v>
      </c>
      <c r="B37" t="s">
        <v>94</v>
      </c>
      <c r="C37" t="s">
        <v>329</v>
      </c>
      <c r="F37" s="35" t="s">
        <v>290</v>
      </c>
      <c r="H37" t="s">
        <v>259</v>
      </c>
    </row>
    <row r="38" spans="1:8" x14ac:dyDescent="0.3">
      <c r="A38" t="str">
        <f t="shared" si="1"/>
        <v>LAPOSTE-LCA-PariteUn-e</v>
      </c>
      <c r="B38" t="s">
        <v>94</v>
      </c>
      <c r="C38" t="s">
        <v>330</v>
      </c>
      <c r="F38" s="35" t="s">
        <v>290</v>
      </c>
      <c r="H38" t="s">
        <v>259</v>
      </c>
    </row>
    <row r="39" spans="1:8" x14ac:dyDescent="0.3">
      <c r="A39" t="str">
        <f t="shared" si="1"/>
        <v>LAPOSTE-LPK-PortailVoyage</v>
      </c>
      <c r="B39" t="s">
        <v>94</v>
      </c>
      <c r="C39" t="s">
        <v>331</v>
      </c>
      <c r="F39" s="9" t="s">
        <v>290</v>
      </c>
      <c r="H39" t="s">
        <v>259</v>
      </c>
    </row>
    <row r="40" spans="1:8" x14ac:dyDescent="0.3">
      <c r="A40" t="str">
        <f t="shared" si="1"/>
        <v>LAPOSTE-LPM-IntranetDHA</v>
      </c>
      <c r="B40" t="s">
        <v>94</v>
      </c>
      <c r="C40" t="s">
        <v>332</v>
      </c>
      <c r="F40" s="9" t="s">
        <v>290</v>
      </c>
      <c r="H40" t="s">
        <v>259</v>
      </c>
    </row>
    <row r="41" spans="1:8" x14ac:dyDescent="0.3">
      <c r="A41" t="str">
        <f t="shared" si="1"/>
        <v>LAPOSTE-V7_-Galaxy</v>
      </c>
      <c r="B41" t="s">
        <v>94</v>
      </c>
      <c r="C41" t="s">
        <v>333</v>
      </c>
      <c r="F41" s="9" t="s">
        <v>290</v>
      </c>
      <c r="H41" t="s">
        <v>259</v>
      </c>
    </row>
    <row r="42" spans="1:8" x14ac:dyDescent="0.3">
      <c r="A42" t="str">
        <f>B42 &amp; "-" &amp; C42</f>
        <v>LAPOSTE-VW2-MEDIACOM</v>
      </c>
      <c r="B42" t="s">
        <v>94</v>
      </c>
      <c r="C42" t="s">
        <v>391</v>
      </c>
      <c r="F42" s="9" t="s">
        <v>290</v>
      </c>
      <c r="H42" t="s">
        <v>259</v>
      </c>
    </row>
    <row r="43" spans="1:8" x14ac:dyDescent="0.3">
      <c r="A43" t="str">
        <f t="shared" si="1"/>
        <v>LAPOSTE-VWA-Fondation</v>
      </c>
      <c r="B43" t="s">
        <v>94</v>
      </c>
      <c r="C43" t="s">
        <v>334</v>
      </c>
      <c r="F43" s="35" t="s">
        <v>290</v>
      </c>
      <c r="H43" t="s">
        <v>259</v>
      </c>
    </row>
    <row r="44" spans="1:8" x14ac:dyDescent="0.3">
      <c r="A44" t="str">
        <f t="shared" si="1"/>
        <v>MENJ-APAE</v>
      </c>
      <c r="B44" t="s">
        <v>335</v>
      </c>
      <c r="C44" t="s">
        <v>336</v>
      </c>
      <c r="F44" s="8" t="s">
        <v>284</v>
      </c>
      <c r="H44" t="s">
        <v>261</v>
      </c>
    </row>
    <row r="45" spans="1:8" x14ac:dyDescent="0.3">
      <c r="A45" t="str">
        <f t="shared" si="1"/>
        <v>MENJ-BI</v>
      </c>
      <c r="B45" t="s">
        <v>335</v>
      </c>
      <c r="C45" t="s">
        <v>303</v>
      </c>
      <c r="F45" s="35" t="s">
        <v>337</v>
      </c>
      <c r="G45" t="s">
        <v>338</v>
      </c>
      <c r="H45" t="s">
        <v>261</v>
      </c>
    </row>
    <row r="46" spans="1:8" x14ac:dyDescent="0.3">
      <c r="A46" t="str">
        <f t="shared" si="1"/>
        <v>MENJ-BNIE</v>
      </c>
      <c r="B46" t="s">
        <v>335</v>
      </c>
      <c r="C46" t="s">
        <v>339</v>
      </c>
      <c r="F46" s="8" t="s">
        <v>284</v>
      </c>
      <c r="H46" t="s">
        <v>261</v>
      </c>
    </row>
    <row r="47" spans="1:8" x14ac:dyDescent="0.3">
      <c r="A47" t="str">
        <f t="shared" si="1"/>
        <v>MENJ-INSERJEUNES</v>
      </c>
      <c r="B47" t="s">
        <v>335</v>
      </c>
      <c r="C47" t="s">
        <v>340</v>
      </c>
      <c r="F47" s="9" t="s">
        <v>319</v>
      </c>
      <c r="G47" t="s">
        <v>341</v>
      </c>
      <c r="H47" t="s">
        <v>260</v>
      </c>
    </row>
    <row r="48" spans="1:8" x14ac:dyDescent="0.3">
      <c r="A48" t="str">
        <f t="shared" si="1"/>
        <v>MENJ-RNIE</v>
      </c>
      <c r="B48" t="s">
        <v>335</v>
      </c>
      <c r="C48" t="s">
        <v>342</v>
      </c>
      <c r="F48" s="8" t="s">
        <v>284</v>
      </c>
      <c r="H48" t="s">
        <v>261</v>
      </c>
    </row>
    <row r="49" spans="1:8" x14ac:dyDescent="0.3">
      <c r="A49" t="str">
        <f t="shared" si="1"/>
        <v>OFB-CMONSPOT</v>
      </c>
      <c r="B49" t="s">
        <v>91</v>
      </c>
      <c r="C49" t="s">
        <v>343</v>
      </c>
      <c r="F49" s="8" t="s">
        <v>284</v>
      </c>
      <c r="H49" t="s">
        <v>238</v>
      </c>
    </row>
    <row r="50" spans="1:8" x14ac:dyDescent="0.3">
      <c r="A50" t="str">
        <f>B50 &amp; "-" &amp; C50</f>
        <v>OFB-ESTAMP</v>
      </c>
      <c r="B50" t="s">
        <v>91</v>
      </c>
      <c r="C50" t="s">
        <v>397</v>
      </c>
      <c r="F50" s="8" t="s">
        <v>284</v>
      </c>
      <c r="G50" t="s">
        <v>398</v>
      </c>
      <c r="H50" t="s">
        <v>237</v>
      </c>
    </row>
    <row r="51" spans="1:8" x14ac:dyDescent="0.3">
      <c r="A51" t="str">
        <f t="shared" si="1"/>
        <v>OFB-NATUREFRANCE</v>
      </c>
      <c r="B51" t="s">
        <v>91</v>
      </c>
      <c r="C51" t="s">
        <v>344</v>
      </c>
      <c r="F51" s="9" t="s">
        <v>290</v>
      </c>
      <c r="H51" t="s">
        <v>236</v>
      </c>
    </row>
    <row r="52" spans="1:8" x14ac:dyDescent="0.3">
      <c r="A52" t="str">
        <f t="shared" si="1"/>
        <v>OFB-SISPEA</v>
      </c>
      <c r="B52" t="s">
        <v>91</v>
      </c>
      <c r="C52" t="s">
        <v>345</v>
      </c>
      <c r="F52" s="35" t="s">
        <v>284</v>
      </c>
      <c r="G52" t="s">
        <v>346</v>
      </c>
      <c r="H52" t="s">
        <v>238</v>
      </c>
    </row>
    <row r="53" spans="1:8" x14ac:dyDescent="0.3">
      <c r="A53" t="str">
        <f t="shared" si="1"/>
        <v>PCM-ALS</v>
      </c>
      <c r="B53" t="s">
        <v>84</v>
      </c>
      <c r="C53" t="s">
        <v>347</v>
      </c>
      <c r="F53" s="8" t="s">
        <v>299</v>
      </c>
      <c r="H53" t="s">
        <v>265</v>
      </c>
    </row>
    <row r="54" spans="1:8" x14ac:dyDescent="0.3">
      <c r="A54" t="str">
        <f t="shared" si="1"/>
        <v>PCM-WEB</v>
      </c>
      <c r="B54" t="s">
        <v>84</v>
      </c>
      <c r="C54" t="s">
        <v>348</v>
      </c>
      <c r="F54" s="9" t="s">
        <v>290</v>
      </c>
      <c r="H54" t="s">
        <v>265</v>
      </c>
    </row>
    <row r="55" spans="1:8" x14ac:dyDescent="0.3">
      <c r="A55" t="str">
        <f t="shared" si="1"/>
        <v>SAFT-PDM</v>
      </c>
      <c r="B55" t="s">
        <v>105</v>
      </c>
      <c r="C55" t="s">
        <v>349</v>
      </c>
      <c r="F55" s="35"/>
      <c r="H55" t="s">
        <v>272</v>
      </c>
    </row>
    <row r="56" spans="1:8" x14ac:dyDescent="0.3">
      <c r="A56" t="str">
        <f t="shared" si="1"/>
        <v>SPC-BUILD</v>
      </c>
      <c r="B56" t="s">
        <v>80</v>
      </c>
      <c r="C56" t="s">
        <v>350</v>
      </c>
      <c r="F56" s="9" t="s">
        <v>351</v>
      </c>
      <c r="H56" t="s">
        <v>273</v>
      </c>
    </row>
    <row r="57" spans="1:8" x14ac:dyDescent="0.3">
      <c r="A57" t="str">
        <f t="shared" si="1"/>
        <v>SPC-WEB</v>
      </c>
      <c r="B57" t="s">
        <v>80</v>
      </c>
      <c r="C57" t="s">
        <v>348</v>
      </c>
      <c r="F57" s="9" t="s">
        <v>351</v>
      </c>
      <c r="H57" t="s">
        <v>274</v>
      </c>
    </row>
    <row r="58" spans="1:8" x14ac:dyDescent="0.3">
      <c r="A58" t="str">
        <f t="shared" si="1"/>
        <v>STMICRO-DATAPACK</v>
      </c>
      <c r="B58" t="s">
        <v>107</v>
      </c>
      <c r="C58" t="s">
        <v>352</v>
      </c>
      <c r="F58" s="8" t="s">
        <v>288</v>
      </c>
      <c r="H58" t="s">
        <v>276</v>
      </c>
    </row>
    <row r="59" spans="1:8" x14ac:dyDescent="0.3">
      <c r="A59" t="str">
        <f t="shared" si="1"/>
        <v>STMICRO-ROCKET</v>
      </c>
      <c r="B59" t="s">
        <v>107</v>
      </c>
      <c r="C59" t="s">
        <v>353</v>
      </c>
      <c r="F59" s="8" t="s">
        <v>288</v>
      </c>
      <c r="G59" t="s">
        <v>341</v>
      </c>
      <c r="H59" t="s">
        <v>276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'CONTRATS DI'!$A:$A</xm:f>
          </x14:formula1>
          <xm:sqref>H2:H59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B050"/>
  </sheetPr>
  <dimension ref="A1:C6"/>
  <sheetViews>
    <sheetView workbookViewId="0">
      <pane ySplit="1" topLeftCell="A2" activePane="bottomLeft" state="frozen"/>
      <selection pane="bottomLeft" activeCell="D31" sqref="D31"/>
    </sheetView>
  </sheetViews>
  <sheetFormatPr baseColWidth="10" defaultColWidth="17.5546875" defaultRowHeight="14.4" x14ac:dyDescent="0.3"/>
  <cols>
    <col min="3" max="3" width="26.109375" customWidth="1"/>
  </cols>
  <sheetData>
    <row r="1" spans="1:3" x14ac:dyDescent="0.3">
      <c r="A1" s="2" t="s">
        <v>354</v>
      </c>
      <c r="B1" s="2" t="s">
        <v>355</v>
      </c>
      <c r="C1" s="2" t="s">
        <v>125</v>
      </c>
    </row>
    <row r="2" spans="1:3" x14ac:dyDescent="0.3">
      <c r="A2" t="s">
        <v>11</v>
      </c>
    </row>
    <row r="3" spans="1:3" x14ac:dyDescent="0.3">
      <c r="A3" t="s">
        <v>8</v>
      </c>
    </row>
    <row r="4" spans="1:3" x14ac:dyDescent="0.3">
      <c r="A4" t="s">
        <v>19</v>
      </c>
    </row>
    <row r="5" spans="1:3" x14ac:dyDescent="0.3">
      <c r="A5" t="s">
        <v>4</v>
      </c>
    </row>
    <row r="6" spans="1:3" x14ac:dyDescent="0.3">
      <c r="A6" t="s">
        <v>129</v>
      </c>
      <c r="C6" t="s">
        <v>356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B050"/>
  </sheetPr>
  <dimension ref="A1:G11"/>
  <sheetViews>
    <sheetView workbookViewId="0">
      <pane ySplit="1" topLeftCell="A2" activePane="bottomLeft" state="frozen"/>
      <selection pane="bottomLeft" activeCell="A6" sqref="A6:XFD6"/>
    </sheetView>
  </sheetViews>
  <sheetFormatPr baseColWidth="10" defaultColWidth="16.44140625" defaultRowHeight="14.4" x14ac:dyDescent="0.3"/>
  <cols>
    <col min="1" max="1" width="15" bestFit="1" customWidth="1"/>
    <col min="2" max="2" width="6.88671875" bestFit="1" customWidth="1"/>
    <col min="3" max="3" width="7.44140625" bestFit="1" customWidth="1"/>
    <col min="4" max="4" width="21.6640625" bestFit="1" customWidth="1"/>
    <col min="5" max="5" width="21.33203125" bestFit="1" customWidth="1"/>
    <col min="6" max="6" width="25" bestFit="1" customWidth="1"/>
    <col min="7" max="7" width="34.109375" bestFit="1" customWidth="1"/>
  </cols>
  <sheetData>
    <row r="1" spans="1:7" x14ac:dyDescent="0.3">
      <c r="A1" s="2" t="s">
        <v>150</v>
      </c>
      <c r="B1" s="2" t="s">
        <v>357</v>
      </c>
      <c r="C1" s="2" t="s">
        <v>358</v>
      </c>
      <c r="D1" s="2" t="s">
        <v>359</v>
      </c>
      <c r="E1" s="2" t="s">
        <v>175</v>
      </c>
      <c r="F1" s="2" t="s">
        <v>185</v>
      </c>
      <c r="G1" s="2" t="s">
        <v>181</v>
      </c>
    </row>
    <row r="2" spans="1:7" x14ac:dyDescent="0.3">
      <c r="A2" t="s">
        <v>186</v>
      </c>
      <c r="B2">
        <v>16</v>
      </c>
      <c r="C2">
        <v>64</v>
      </c>
      <c r="D2">
        <v>128</v>
      </c>
      <c r="E2" s="7">
        <v>0.63670000000000004</v>
      </c>
      <c r="F2" s="7">
        <v>0.69069999999999998</v>
      </c>
      <c r="G2" s="7">
        <v>2.04</v>
      </c>
    </row>
    <row r="3" spans="1:7" x14ac:dyDescent="0.3">
      <c r="A3" t="s">
        <v>179</v>
      </c>
      <c r="B3">
        <v>1</v>
      </c>
      <c r="C3">
        <v>2</v>
      </c>
      <c r="D3">
        <v>4</v>
      </c>
      <c r="E3" s="7">
        <v>0.02</v>
      </c>
      <c r="F3" s="7">
        <v>2.53E-2</v>
      </c>
      <c r="G3" s="7">
        <v>0.36270000000000002</v>
      </c>
    </row>
    <row r="4" spans="1:7" x14ac:dyDescent="0.3">
      <c r="A4" t="s">
        <v>192</v>
      </c>
      <c r="B4">
        <v>2</v>
      </c>
      <c r="C4">
        <v>8</v>
      </c>
      <c r="D4">
        <v>16</v>
      </c>
      <c r="E4" s="7">
        <v>7.9699999999999993E-2</v>
      </c>
      <c r="F4" s="7">
        <v>9.4500000000000001E-2</v>
      </c>
      <c r="G4" s="7">
        <v>0.43180000000000002</v>
      </c>
    </row>
    <row r="5" spans="1:7" x14ac:dyDescent="0.3">
      <c r="A5" t="s">
        <v>188</v>
      </c>
      <c r="B5">
        <v>2</v>
      </c>
      <c r="C5">
        <v>4</v>
      </c>
      <c r="D5">
        <v>8</v>
      </c>
      <c r="E5" s="7">
        <v>3.9899999999999998E-2</v>
      </c>
      <c r="F5" s="7">
        <v>5.0599999999999999E-2</v>
      </c>
      <c r="G5" s="7">
        <v>0.38800000000000001</v>
      </c>
    </row>
    <row r="6" spans="1:7" x14ac:dyDescent="0.3">
      <c r="A6" t="s">
        <v>189</v>
      </c>
      <c r="B6">
        <v>4</v>
      </c>
      <c r="C6">
        <v>16</v>
      </c>
      <c r="D6">
        <v>32</v>
      </c>
      <c r="E6" s="7">
        <v>0.15939999999999999</v>
      </c>
      <c r="F6" s="7">
        <v>0.18890000000000001</v>
      </c>
      <c r="G6" s="7">
        <v>0.52629999999999999</v>
      </c>
    </row>
    <row r="7" spans="1:7" x14ac:dyDescent="0.3">
      <c r="A7" t="s">
        <v>190</v>
      </c>
      <c r="B7">
        <v>8</v>
      </c>
      <c r="C7">
        <v>32</v>
      </c>
      <c r="D7">
        <v>64</v>
      </c>
      <c r="E7" s="7">
        <v>0.31879999999999997</v>
      </c>
      <c r="F7" s="7">
        <v>0.37780000000000002</v>
      </c>
      <c r="G7" s="7">
        <v>0.43180000000000002</v>
      </c>
    </row>
    <row r="8" spans="1:7" x14ac:dyDescent="0.3">
      <c r="A8" t="s">
        <v>176</v>
      </c>
      <c r="B8">
        <v>4</v>
      </c>
      <c r="C8">
        <v>32</v>
      </c>
      <c r="D8">
        <v>100</v>
      </c>
      <c r="E8" s="7">
        <v>0.26319999999999999</v>
      </c>
      <c r="F8" s="7">
        <v>0.41830000000000001</v>
      </c>
      <c r="G8" s="7">
        <v>0.75560000000000005</v>
      </c>
    </row>
    <row r="9" spans="1:7" x14ac:dyDescent="0.3">
      <c r="A9" t="s">
        <v>182</v>
      </c>
      <c r="B9">
        <v>2</v>
      </c>
      <c r="C9">
        <v>4</v>
      </c>
      <c r="D9">
        <v>8</v>
      </c>
      <c r="E9" s="7">
        <v>8.5199999999999998E-2</v>
      </c>
      <c r="F9" s="7">
        <v>0.1628</v>
      </c>
      <c r="G9" s="7">
        <v>0.50009999999999999</v>
      </c>
    </row>
    <row r="10" spans="1:7" x14ac:dyDescent="0.3">
      <c r="A10" t="s">
        <v>203</v>
      </c>
      <c r="B10">
        <v>2</v>
      </c>
      <c r="C10">
        <v>16</v>
      </c>
      <c r="D10">
        <v>50</v>
      </c>
      <c r="E10" s="7">
        <v>0.13159999999999999</v>
      </c>
      <c r="F10" s="7">
        <v>0.2092</v>
      </c>
      <c r="G10" s="7">
        <v>0.54649999999999999</v>
      </c>
    </row>
    <row r="11" spans="1:7" x14ac:dyDescent="0.3">
      <c r="A11" t="s">
        <v>210</v>
      </c>
      <c r="B11">
        <v>4</v>
      </c>
      <c r="C11">
        <v>8</v>
      </c>
      <c r="D11">
        <v>64</v>
      </c>
      <c r="E11" s="7">
        <v>0.1704</v>
      </c>
      <c r="F11" s="7">
        <v>0.3256</v>
      </c>
      <c r="G11" s="7">
        <v>0.66290000000000004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00B050"/>
  </sheetPr>
  <dimension ref="A1:F11"/>
  <sheetViews>
    <sheetView workbookViewId="0">
      <pane ySplit="1" topLeftCell="A2" activePane="bottomLeft" state="frozen"/>
      <selection pane="bottomLeft" activeCell="E9" sqref="E9"/>
    </sheetView>
  </sheetViews>
  <sheetFormatPr baseColWidth="10" defaultColWidth="19.44140625" defaultRowHeight="14.4" x14ac:dyDescent="0.3"/>
  <cols>
    <col min="1" max="1" width="22.5546875" bestFit="1" customWidth="1"/>
    <col min="3" max="3" width="6.88671875" bestFit="1" customWidth="1"/>
    <col min="4" max="4" width="13.44140625" bestFit="1" customWidth="1"/>
    <col min="5" max="5" width="13.5546875" bestFit="1" customWidth="1"/>
    <col min="6" max="6" width="17.88671875" bestFit="1" customWidth="1"/>
  </cols>
  <sheetData>
    <row r="1" spans="1:6" ht="28.8" x14ac:dyDescent="0.3">
      <c r="A1" s="1" t="s">
        <v>151</v>
      </c>
      <c r="B1" s="3" t="s">
        <v>360</v>
      </c>
      <c r="C1" s="3" t="s">
        <v>361</v>
      </c>
      <c r="D1" s="2" t="s">
        <v>362</v>
      </c>
      <c r="E1" s="29" t="s">
        <v>363</v>
      </c>
      <c r="F1" s="28" t="s">
        <v>364</v>
      </c>
    </row>
    <row r="2" spans="1:6" x14ac:dyDescent="0.3">
      <c r="A2" t="str">
        <f>TabVMAzureDisk[[#This Row],[Type]] &amp; " \ " &amp; TabVMAzureDisk[[#This Row],[Size]] &amp; " Go"</f>
        <v>NA \ NA Go</v>
      </c>
      <c r="B2" t="s">
        <v>365</v>
      </c>
      <c r="C2" t="s">
        <v>365</v>
      </c>
      <c r="D2" s="31">
        <v>0</v>
      </c>
      <c r="E2" s="32">
        <v>0</v>
      </c>
      <c r="F2" s="32">
        <f>TabVMAzureDisk[[#This Row],[Coût / mois]]+TabVMAzureDisk[[#This Row],[Coût / mois Sauvegarde]]</f>
        <v>0</v>
      </c>
    </row>
    <row r="3" spans="1:6" x14ac:dyDescent="0.3">
      <c r="A3" t="str">
        <f>TabVMAzureDisk[[#This Row],[Type]] &amp; " \ " &amp; TabVMAzureDisk[[#This Row],[Size]] &amp; " Go"</f>
        <v>Premium SSD \ 32 Go</v>
      </c>
      <c r="B3" t="s">
        <v>366</v>
      </c>
      <c r="C3">
        <v>32</v>
      </c>
      <c r="D3" s="31">
        <v>5.3869999999999996</v>
      </c>
      <c r="E3" s="32">
        <v>4.3167999999999997</v>
      </c>
      <c r="F3" s="32">
        <f>TabVMAzureDisk[[#This Row],[Coût / mois]]+TabVMAzureDisk[[#This Row],[Coût / mois Sauvegarde]]</f>
        <v>9.7037999999999993</v>
      </c>
    </row>
    <row r="4" spans="1:6" x14ac:dyDescent="0.3">
      <c r="A4" t="str">
        <f>TabVMAzureDisk[[#This Row],[Type]] &amp; " \ " &amp; TabVMAzureDisk[[#This Row],[Size]] &amp; " Go"</f>
        <v>Premium SSD \ 512 Go</v>
      </c>
      <c r="B4" t="s">
        <v>366</v>
      </c>
      <c r="C4">
        <v>512</v>
      </c>
      <c r="D4" s="31">
        <v>74.709999999999994</v>
      </c>
      <c r="E4" s="32">
        <v>69.068799999999996</v>
      </c>
      <c r="F4" s="32">
        <f>TabVMAzureDisk[[#This Row],[Coût / mois]]+TabVMAzureDisk[[#This Row],[Coût / mois Sauvegarde]]</f>
        <v>143.77879999999999</v>
      </c>
    </row>
    <row r="5" spans="1:6" x14ac:dyDescent="0.3">
      <c r="A5" t="str">
        <f>TabVMAzureDisk[[#This Row],[Type]] &amp; " \ " &amp; TabVMAzureDisk[[#This Row],[Size]] &amp; " Go"</f>
        <v>SSD Standard \ 256 Go</v>
      </c>
      <c r="B5" t="s">
        <v>367</v>
      </c>
      <c r="C5">
        <v>256</v>
      </c>
      <c r="D5" s="31">
        <v>17.98</v>
      </c>
      <c r="E5" s="32">
        <v>34.534399999999998</v>
      </c>
      <c r="F5" s="32">
        <f>TabVMAzureDisk[[#This Row],[Coût / mois]]+TabVMAzureDisk[[#This Row],[Coût / mois Sauvegarde]]</f>
        <v>52.514399999999995</v>
      </c>
    </row>
    <row r="6" spans="1:6" x14ac:dyDescent="0.3">
      <c r="A6" t="str">
        <f>TabVMAzureDisk[[#This Row],[Type]] &amp; " \ " &amp; TabVMAzureDisk[[#This Row],[Size]] &amp; " Go"</f>
        <v>Standard HDD \ 1024 Go</v>
      </c>
      <c r="B6" t="s">
        <v>368</v>
      </c>
      <c r="C6">
        <v>1024</v>
      </c>
      <c r="D6" s="31">
        <v>38.036000000000001</v>
      </c>
      <c r="E6" s="32">
        <v>45.772799999999997</v>
      </c>
      <c r="F6" s="32">
        <f>TabVMAzureDisk[[#This Row],[Coût / mois]]+TabVMAzureDisk[[#This Row],[Coût / mois Sauvegarde]]</f>
        <v>83.808799999999991</v>
      </c>
    </row>
    <row r="7" spans="1:6" x14ac:dyDescent="0.3">
      <c r="A7" t="str">
        <f>TabVMAzureDisk[[#This Row],[Type]] &amp; " \ " &amp; TabVMAzureDisk[[#This Row],[Size]] &amp; " Go"</f>
        <v>Standard HDD \ 128 Go</v>
      </c>
      <c r="B7" t="s">
        <v>368</v>
      </c>
      <c r="C7">
        <v>128</v>
      </c>
      <c r="D7" s="31">
        <v>5.5010000000000003</v>
      </c>
      <c r="E7" s="32">
        <v>5.7215999999999996</v>
      </c>
      <c r="F7" s="32">
        <f>TabVMAzureDisk[[#This Row],[Coût / mois]]+TabVMAzureDisk[[#This Row],[Coût / mois Sauvegarde]]</f>
        <v>11.2226</v>
      </c>
    </row>
    <row r="8" spans="1:6" x14ac:dyDescent="0.3">
      <c r="A8" s="22" t="str">
        <f>TabVMAzureDisk[[#This Row],[Type]] &amp; " \ " &amp; TabVMAzureDisk[[#This Row],[Size]] &amp; " Go"</f>
        <v>Standard HDD \ 256 Go</v>
      </c>
      <c r="B8" t="s">
        <v>368</v>
      </c>
      <c r="C8">
        <v>256</v>
      </c>
      <c r="D8" s="31">
        <v>10.547000000000001</v>
      </c>
      <c r="E8" s="32">
        <v>11.443199999999999</v>
      </c>
      <c r="F8" s="32">
        <f>TabVMAzureDisk[[#This Row],[Coût / mois]]+TabVMAzureDisk[[#This Row],[Coût / mois Sauvegarde]]</f>
        <v>21.990200000000002</v>
      </c>
    </row>
    <row r="9" spans="1:6" x14ac:dyDescent="0.3">
      <c r="A9" t="str">
        <f>TabVMAzureDisk[[#This Row],[Type]] &amp; " \ " &amp; TabVMAzureDisk[[#This Row],[Size]] &amp; " Go"</f>
        <v>Standard HDD \ 32 Go</v>
      </c>
      <c r="B9" t="s">
        <v>368</v>
      </c>
      <c r="C9">
        <v>32</v>
      </c>
      <c r="D9" s="31">
        <v>1.425</v>
      </c>
      <c r="E9" s="32">
        <v>1.4303999999999999</v>
      </c>
      <c r="F9" s="32">
        <f>TabVMAzureDisk[[#This Row],[Coût / mois]]+TabVMAzureDisk[[#This Row],[Coût / mois Sauvegarde]]</f>
        <v>2.8553999999999999</v>
      </c>
    </row>
    <row r="10" spans="1:6" x14ac:dyDescent="0.3">
      <c r="A10" s="22" t="str">
        <f>TabVMAzureDisk[[#This Row],[Type]] &amp; " \ " &amp; TabVMAzureDisk[[#This Row],[Size]] &amp; " Go"</f>
        <v>Standard HDD \ 512 Go</v>
      </c>
      <c r="B10" t="s">
        <v>368</v>
      </c>
      <c r="C10">
        <v>512</v>
      </c>
      <c r="D10" s="31">
        <v>20.225000000000001</v>
      </c>
      <c r="E10" s="32">
        <v>22.886399999999998</v>
      </c>
      <c r="F10" s="32">
        <f>TabVMAzureDisk[[#This Row],[Coût / mois]]+TabVMAzureDisk[[#This Row],[Coût / mois Sauvegarde]]</f>
        <v>43.111400000000003</v>
      </c>
    </row>
    <row r="11" spans="1:6" x14ac:dyDescent="0.3">
      <c r="A11" s="22" t="str">
        <f>TabVMAzureDisk[[#This Row],[Type]] &amp; " \ " &amp; TabVMAzureDisk[[#This Row],[Size]] &amp; " Go"</f>
        <v>Standard HDD \ 64 Go</v>
      </c>
      <c r="B11" t="s">
        <v>368</v>
      </c>
      <c r="C11">
        <v>64</v>
      </c>
      <c r="D11" s="31">
        <v>2.79</v>
      </c>
      <c r="E11" s="32">
        <v>2.8607999999999998</v>
      </c>
      <c r="F11" s="32">
        <f>TabVMAzureDisk[[#This Row],[Coût / mois]]+TabVMAzureDisk[[#This Row],[Coût / mois Sauvegarde]]</f>
        <v>5.6508000000000003</v>
      </c>
    </row>
  </sheetData>
  <dataValidations count="2">
    <dataValidation type="list" allowBlank="1" showInputMessage="1" showErrorMessage="1" sqref="C2:C38">
      <formula1>"4,8,16,32,64,128,256,512,1024,2048,NA"</formula1>
    </dataValidation>
    <dataValidation type="list" allowBlank="1" showInputMessage="1" showErrorMessage="1" sqref="B2:B38">
      <formula1>"Standard HDD,SSD Standard,Premium SSD,NA"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00B050"/>
  </sheetPr>
  <dimension ref="A1:A25"/>
  <sheetViews>
    <sheetView workbookViewId="0">
      <pane ySplit="1" topLeftCell="A2" activePane="bottomLeft" state="frozen"/>
      <selection pane="bottomLeft" activeCell="J17" sqref="J17"/>
    </sheetView>
  </sheetViews>
  <sheetFormatPr baseColWidth="10" defaultColWidth="11.44140625" defaultRowHeight="14.4" x14ac:dyDescent="0.3"/>
  <sheetData>
    <row r="1" spans="1:1" x14ac:dyDescent="0.3">
      <c r="A1" t="s">
        <v>369</v>
      </c>
    </row>
    <row r="2" spans="1:1" x14ac:dyDescent="0.3">
      <c r="A2" s="30" t="s">
        <v>126</v>
      </c>
    </row>
    <row r="3" spans="1:1" x14ac:dyDescent="0.3">
      <c r="A3" s="30" t="s">
        <v>128</v>
      </c>
    </row>
    <row r="4" spans="1:1" x14ac:dyDescent="0.3">
      <c r="A4" s="30" t="s">
        <v>130</v>
      </c>
    </row>
    <row r="5" spans="1:1" x14ac:dyDescent="0.3">
      <c r="A5" s="30" t="s">
        <v>132</v>
      </c>
    </row>
    <row r="6" spans="1:1" x14ac:dyDescent="0.3">
      <c r="A6" s="30" t="s">
        <v>133</v>
      </c>
    </row>
    <row r="7" spans="1:1" x14ac:dyDescent="0.3">
      <c r="A7" s="30" t="s">
        <v>135</v>
      </c>
    </row>
    <row r="8" spans="1:1" x14ac:dyDescent="0.3">
      <c r="A8" s="30" t="s">
        <v>136</v>
      </c>
    </row>
    <row r="9" spans="1:1" x14ac:dyDescent="0.3">
      <c r="A9" s="30" t="s">
        <v>139</v>
      </c>
    </row>
    <row r="10" spans="1:1" x14ac:dyDescent="0.3">
      <c r="A10" s="30" t="s">
        <v>142</v>
      </c>
    </row>
    <row r="11" spans="1:1" x14ac:dyDescent="0.3">
      <c r="A11" s="30" t="s">
        <v>145</v>
      </c>
    </row>
    <row r="12" spans="1:1" x14ac:dyDescent="0.3">
      <c r="A12" s="30" t="s">
        <v>370</v>
      </c>
    </row>
    <row r="13" spans="1:1" x14ac:dyDescent="0.3">
      <c r="A13" s="30" t="s">
        <v>371</v>
      </c>
    </row>
    <row r="14" spans="1:1" x14ac:dyDescent="0.3">
      <c r="A14" s="30" t="s">
        <v>372</v>
      </c>
    </row>
    <row r="15" spans="1:1" x14ac:dyDescent="0.3">
      <c r="A15" s="30" t="s">
        <v>373</v>
      </c>
    </row>
    <row r="16" spans="1:1" x14ac:dyDescent="0.3">
      <c r="A16" s="30" t="s">
        <v>374</v>
      </c>
    </row>
    <row r="17" spans="1:1" x14ac:dyDescent="0.3">
      <c r="A17" s="30" t="s">
        <v>375</v>
      </c>
    </row>
    <row r="18" spans="1:1" x14ac:dyDescent="0.3">
      <c r="A18" s="30" t="s">
        <v>376</v>
      </c>
    </row>
    <row r="19" spans="1:1" x14ac:dyDescent="0.3">
      <c r="A19" s="30" t="s">
        <v>377</v>
      </c>
    </row>
    <row r="20" spans="1:1" x14ac:dyDescent="0.3">
      <c r="A20" s="30" t="s">
        <v>378</v>
      </c>
    </row>
    <row r="21" spans="1:1" x14ac:dyDescent="0.3">
      <c r="A21" s="30" t="s">
        <v>379</v>
      </c>
    </row>
    <row r="22" spans="1:1" x14ac:dyDescent="0.3">
      <c r="A22" s="30" t="s">
        <v>380</v>
      </c>
    </row>
    <row r="23" spans="1:1" x14ac:dyDescent="0.3">
      <c r="A23" s="30" t="s">
        <v>381</v>
      </c>
    </row>
    <row r="24" spans="1:1" x14ac:dyDescent="0.3">
      <c r="A24" s="30" t="s">
        <v>382</v>
      </c>
    </row>
    <row r="25" spans="1:1" x14ac:dyDescent="0.3">
      <c r="A25" s="30" t="s">
        <v>383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50"/>
  </sheetPr>
  <dimension ref="A1:A3"/>
  <sheetViews>
    <sheetView workbookViewId="0">
      <pane ySplit="1" topLeftCell="A2" activePane="bottomLeft" state="frozen"/>
      <selection pane="bottomLeft" activeCell="E8" sqref="E8"/>
    </sheetView>
  </sheetViews>
  <sheetFormatPr baseColWidth="10" defaultColWidth="11.44140625" defaultRowHeight="14.4" x14ac:dyDescent="0.3"/>
  <cols>
    <col min="1" max="1" width="13" customWidth="1"/>
  </cols>
  <sheetData>
    <row r="1" spans="1:1" x14ac:dyDescent="0.3">
      <c r="A1" t="s">
        <v>384</v>
      </c>
    </row>
    <row r="2" spans="1:1" x14ac:dyDescent="0.3">
      <c r="A2">
        <v>305704</v>
      </c>
    </row>
    <row r="3" spans="1:1" x14ac:dyDescent="0.3">
      <c r="A3">
        <v>100973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I2"/>
  <sheetViews>
    <sheetView workbookViewId="0">
      <pane ySplit="1" topLeftCell="A2" activePane="bottomLeft" state="frozen"/>
      <selection pane="bottomLeft" activeCell="D13" sqref="D13"/>
    </sheetView>
  </sheetViews>
  <sheetFormatPr baseColWidth="10" defaultColWidth="11.44140625" defaultRowHeight="14.4" x14ac:dyDescent="0.3"/>
  <cols>
    <col min="1" max="1" width="17.33203125" bestFit="1" customWidth="1"/>
    <col min="2" max="2" width="17.33203125" customWidth="1"/>
    <col min="3" max="3" width="19.88671875" bestFit="1" customWidth="1"/>
    <col min="4" max="7" width="18.44140625" bestFit="1" customWidth="1"/>
    <col min="8" max="8" width="21.88671875" bestFit="1" customWidth="1"/>
    <col min="9" max="9" width="10.33203125" bestFit="1" customWidth="1"/>
  </cols>
  <sheetData>
    <row r="1" spans="1:9" ht="28.8" x14ac:dyDescent="0.3">
      <c r="A1" s="14" t="s">
        <v>150</v>
      </c>
      <c r="B1" s="3" t="s">
        <v>149</v>
      </c>
      <c r="C1" s="14" t="s">
        <v>151</v>
      </c>
      <c r="D1" s="14" t="s">
        <v>152</v>
      </c>
      <c r="E1" s="14" t="s">
        <v>153</v>
      </c>
      <c r="F1" s="14" t="s">
        <v>154</v>
      </c>
      <c r="G1" s="14" t="s">
        <v>385</v>
      </c>
      <c r="H1" s="15" t="s">
        <v>386</v>
      </c>
      <c r="I1" s="16" t="s">
        <v>387</v>
      </c>
    </row>
    <row r="2" spans="1:9" x14ac:dyDescent="0.3">
      <c r="A2" t="s">
        <v>189</v>
      </c>
      <c r="B2" t="s">
        <v>175</v>
      </c>
      <c r="C2" t="s">
        <v>180</v>
      </c>
      <c r="D2" t="s">
        <v>388</v>
      </c>
      <c r="E2" t="s">
        <v>388</v>
      </c>
      <c r="F2" t="s">
        <v>388</v>
      </c>
      <c r="G2" t="s">
        <v>388</v>
      </c>
      <c r="H2">
        <v>64</v>
      </c>
      <c r="I2" s="18">
        <f>LOOKUP(A:A,VMAzureSize!A:A,VMAzureSize!E:E)</f>
        <v>0.15939999999999999</v>
      </c>
    </row>
  </sheetData>
  <autoFilter ref="A1:I1"/>
  <dataValidations count="2">
    <dataValidation type="list" allowBlank="1" showInputMessage="1" showErrorMessage="1" sqref="B2">
      <formula1>"Linux, Windows, Windows + SQL"</formula1>
    </dataValidation>
    <dataValidation type="list" allowBlank="1" showInputMessage="1" showErrorMessage="1" sqref="C2">
      <formula1>ListeVMAzureDisk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VMAzureDisk!$A:$A</xm:f>
          </x14:formula1>
          <xm:sqref>D2:G2</xm:sqref>
        </x14:dataValidation>
        <x14:dataValidation type="list" allowBlank="1" showInputMessage="1" showErrorMessage="1">
          <x14:formula1>
            <xm:f>VMAzureSize!$A:$A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7365917-9993-4DFE-A376-C8A8AE6EEE6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7C1F28-0FF7-4866-8B7A-37E9DFFC07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197305-1598-44AC-B2D0-24A98F13B191}">
  <ds:schemaRefs>
    <ds:schemaRef ds:uri="http://purl.org/dc/elements/1.1/"/>
    <ds:schemaRef ds:uri="http://schemas.openxmlformats.org/package/2006/metadata/core-properties"/>
    <ds:schemaRef ds:uri="7a8f9d80-1a09-4d53-b5d2-6a0ab3b00fb6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16</vt:i4>
      </vt:variant>
    </vt:vector>
  </HeadingPairs>
  <TitlesOfParts>
    <vt:vector size="29" baseType="lpstr">
      <vt:lpstr>Synthèse globale</vt:lpstr>
      <vt:lpstr>VMAzure-Env-Projet</vt:lpstr>
      <vt:lpstr>AzureDevOps</vt:lpstr>
      <vt:lpstr>VMAZURE</vt:lpstr>
      <vt:lpstr>Devis OT vers Azure</vt:lpstr>
      <vt:lpstr>CONTRATS DI</vt:lpstr>
      <vt:lpstr>Projets</vt:lpstr>
      <vt:lpstr>Env</vt:lpstr>
      <vt:lpstr>VMAzureSize</vt:lpstr>
      <vt:lpstr>VMAzureDisk</vt:lpstr>
      <vt:lpstr>Date</vt:lpstr>
      <vt:lpstr>CostCenter</vt:lpstr>
      <vt:lpstr>Devis</vt:lpstr>
      <vt:lpstr>'Synthèse globale'!Impression_des_titres</vt:lpstr>
      <vt:lpstr>ListeAzureDevOps</vt:lpstr>
      <vt:lpstr>ListeCostCenters</vt:lpstr>
      <vt:lpstr>ListeDates</vt:lpstr>
      <vt:lpstr>ListeProjets</vt:lpstr>
      <vt:lpstr>ListeRefEnv</vt:lpstr>
      <vt:lpstr>ListeSystèmes</vt:lpstr>
      <vt:lpstr>ListeVMAZURE</vt:lpstr>
      <vt:lpstr>ListeVMAzureCoûts</vt:lpstr>
      <vt:lpstr>ListeVMAzureDisk</vt:lpstr>
      <vt:lpstr>ListeVMAzureDiskCout</vt:lpstr>
      <vt:lpstr>ListeVMAzureSize</vt:lpstr>
      <vt:lpstr>ListeVMAzureSizeCoûtLinux</vt:lpstr>
      <vt:lpstr>ListeVMAzureSizeCoûtWindows</vt:lpstr>
      <vt:lpstr>ListeVMAzureSizeCoûtWindowsSQLSTD</vt:lpstr>
      <vt:lpstr>'Synthèse globale'!Zone_d_impression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Giavarina Ugo</dc:creator>
  <cp:keywords/>
  <dc:description/>
  <cp:lastModifiedBy>Zalio Jean-Baptiste</cp:lastModifiedBy>
  <cp:revision/>
  <cp:lastPrinted>2020-12-16T14:20:30Z</cp:lastPrinted>
  <dcterms:created xsi:type="dcterms:W3CDTF">2020-02-24T13:10:48Z</dcterms:created>
  <dcterms:modified xsi:type="dcterms:W3CDTF">2020-12-22T10:18:22Z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