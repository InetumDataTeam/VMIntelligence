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data" ContentType="application/vnd.openxmlformats-officedocument.model+data"/>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pivotTables/pivotTable2.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pivotTables/pivotTable3.xml" ContentType="application/vnd.openxmlformats-officedocument.spreadsheetml.pivotTable+xml"/>
  <Override PartName="/xl/pivotTables/pivotTable4.xml" ContentType="application/vnd.openxmlformats-officedocument.spreadsheetml.pivotTable+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codeName="ThisWorkbook" hidePivotFieldList="1" defaultThemeVersion="166925"/>
  <mc:AlternateContent xmlns:mc="http://schemas.openxmlformats.org/markup-compatibility/2006">
    <mc:Choice Requires="x15">
      <x15ac:absPath xmlns:x15ac="http://schemas.microsoft.com/office/spreadsheetml/2010/11/ac" url="C:\Users\frup46558\GFI\Cloud AS CO - General\Budget et fonctionnement\Coûts &amp; Budgets activité\Budgets 2020\Archive_Inventaires_VMs_mensuel\"/>
    </mc:Choice>
  </mc:AlternateContent>
  <xr:revisionPtr revIDLastSave="0" documentId="13_ncr:1_{0DEAB762-75D1-4CA6-846A-3BAB65C3C10C}" xr6:coauthVersionLast="36" xr6:coauthVersionMax="45" xr10:uidLastSave="{00000000-0000-0000-0000-000000000000}"/>
  <bookViews>
    <workbookView xWindow="-120" yWindow="-120" windowWidth="29040" windowHeight="15840" tabRatio="812" firstSheet="1" activeTab="1" xr2:uid="{00000000-000D-0000-FFFF-FFFF00000000}"/>
  </bookViews>
  <sheets>
    <sheet name="Synt_Cout_Ress_Sans_Rep_Glob" sheetId="23" r:id="rId1"/>
    <sheet name="Synthèse_Cout_Ressources" sheetId="1" r:id="rId2"/>
    <sheet name="Synt_Glob_Rep_CostCenter" sheetId="22" r:id="rId3"/>
    <sheet name="Mutualise" sheetId="16" r:id="rId4"/>
    <sheet name="Oceanet" sheetId="2" r:id="rId5"/>
    <sheet name="VMEnvProjet" sheetId="3" r:id="rId6"/>
    <sheet name="OceanetIPPub" sheetId="12" state="hidden" r:id="rId7"/>
    <sheet name="OceanetVlan" sheetId="13" state="hidden" r:id="rId8"/>
    <sheet name="OceanetDNS" sheetId="15" state="hidden" r:id="rId9"/>
    <sheet name="OceanetCertX509" sheetId="14" state="hidden" r:id="rId10"/>
    <sheet name="EnvProjet" sheetId="7" r:id="rId11"/>
    <sheet name="Projets" sheetId="8" r:id="rId12"/>
    <sheet name="CONTRATS DI" sheetId="9" r:id="rId13"/>
    <sheet name="Environnements" sheetId="4" r:id="rId14"/>
    <sheet name="Tarifs" sheetId="11" r:id="rId15"/>
    <sheet name="GlobalARepartir" sheetId="19" r:id="rId16"/>
    <sheet name="ModOp" sheetId="10" r:id="rId17"/>
  </sheets>
  <definedNames>
    <definedName name="_xlnm._FilterDatabase" localSheetId="12" hidden="1">'CONTRATS DI'!$D$2:$F$2</definedName>
    <definedName name="_xlcn.WorksheetConnection_Inventaire.xlsxTabClient1" hidden="1">TabClient[]</definedName>
    <definedName name="_xlcn.WorksheetConnection_Inventaire.xlsxTabEnvironnement1" hidden="1">TabEnvironnement[]</definedName>
    <definedName name="_xlcn.WorksheetConnection_Inventaire.xlsxTabProjet1" hidden="1">TabProjet[]</definedName>
    <definedName name="_xlcn.WorksheetConnection_Inventaire.xlsxUtiliser1" hidden="1">TabEnvProjet[]</definedName>
    <definedName name="GlobalARepartirInfraReseau">GlobalARepartir!$B$26</definedName>
    <definedName name="GlobalARepartirMSOnly">GlobalARepartir!$B$19</definedName>
    <definedName name="GlobalARepartirSansMS">GlobalARepartir!$B$13</definedName>
    <definedName name="GlobalARepartirSansMSEtSansVeeam">GlobalARepartir!$C$13</definedName>
    <definedName name="_xlnm.Print_Titles" localSheetId="0">Synt_Cout_Ress_Sans_Rep_Glob!$5:$5</definedName>
    <definedName name="_xlnm.Print_Titles" localSheetId="1">Synthèse_Cout_Ressources!$5:$5</definedName>
    <definedName name="ListeContrat" localSheetId="9">TabContrat[Contrat SYGES]</definedName>
    <definedName name="ListeContrat" localSheetId="7">TabContrat[Contrat SYGES]</definedName>
    <definedName name="ListeContrat" localSheetId="0">TabContrat[Contrat SYGES]</definedName>
    <definedName name="ListeContrat">TabContrat[Contrat SYGES]</definedName>
    <definedName name="ListeEnv" localSheetId="9">TabEnvironnement[RefEnv]</definedName>
    <definedName name="ListeEnv" localSheetId="7">TabEnvironnement[RefEnv]</definedName>
    <definedName name="ListeEnv" localSheetId="0">TabEnvironnement[RefEnv]</definedName>
    <definedName name="ListeEnv">TabEnvironnement[RefEnv]</definedName>
    <definedName name="ListeEnvProjet" localSheetId="9">TabEnvProjet[EnvProjet]</definedName>
    <definedName name="ListeEnvProjet" localSheetId="7">TabEnvProjet[EnvProjet]</definedName>
    <definedName name="ListeEnvProjet" localSheetId="0">TabEnvProjet[EnvProjet]</definedName>
    <definedName name="ListeEnvProjet">TabEnvProjet[EnvProjet]</definedName>
    <definedName name="ListeProjet" localSheetId="9">TabProjet[NomProj]</definedName>
    <definedName name="ListeProjet" localSheetId="7">TabProjet[NomProj]</definedName>
    <definedName name="ListeProjet" localSheetId="0">TabProjet[NomProj]</definedName>
    <definedName name="ListeProjet">TabProjet[NomProj]</definedName>
    <definedName name="ListeVM" comment="Liste des VM extraites de l'export Oceanet" localSheetId="9">TabOceanet[VM_name]</definedName>
    <definedName name="ListeVM" comment="Liste des VM extraites de l'export Oceanet" localSheetId="7">TabOceanet[VM_name]</definedName>
    <definedName name="ListeVM" comment="Liste des VM extraites de l'export Oceanet" localSheetId="0">TabOceanet[VM_name]</definedName>
    <definedName name="ListeVM" comment="Liste des VM extraites de l'export Oceanet">TabOceanet[VM_name]</definedName>
    <definedName name="Segment_Client">#N/A</definedName>
    <definedName name="Segment_Client1">#N/A</definedName>
    <definedName name="Segment_CostCenter">#N/A</definedName>
    <definedName name="Segment_CostCenter1">#N/A</definedName>
    <definedName name="Segment_Environnement">#N/A</definedName>
    <definedName name="Segment_Environnement1">#N/A</definedName>
    <definedName name="Segment_Projet">#N/A</definedName>
    <definedName name="Segment_Projet1">#N/A</definedName>
    <definedName name="Segment_SYGES">#N/A</definedName>
    <definedName name="Segment_SYGES1">#N/A</definedName>
    <definedName name="Tarif_Astreinte_24_24_7_7">Tarifs!$C$12</definedName>
    <definedName name="Tarif_Backup_Horaire">Tarifs!$C$5</definedName>
    <definedName name="Tarif_Backup_J15">Tarifs!$C$4</definedName>
    <definedName name="Tarif_Certificat_X509_Simple">Tarifs!$C$10</definedName>
    <definedName name="Tarif_Certificat_X509_Wildcard">Tarifs!$C$11</definedName>
    <definedName name="Tarif_disque">Tarifs!$C$3</definedName>
    <definedName name="Tarif_DNS">Tarifs!$C$9</definedName>
    <definedName name="Tarif_IPPUB">Tarifs!$C$8</definedName>
    <definedName name="Tarif_Licence_CAL_SQL_Standard_en_location">Tarifs!$C$13</definedName>
    <definedName name="Tarif_Licence_SQL_Server_Standard_SPLA_4_Cores_en_location">Tarifs!$C$14</definedName>
    <definedName name="Tarif_Licences_CAL_TSE_en_location">Tarifs!$C$15</definedName>
    <definedName name="Tarif_Ram">Tarifs!$C$2</definedName>
    <definedName name="Tarif_Veeam_Backup_par_VM">Tarifs!$C$6</definedName>
    <definedName name="Tarif_VLAN">Tarifs!$C$7</definedName>
    <definedName name="TypeLicenceSQLServer">Tarifs!$A$24:$A$25</definedName>
    <definedName name="_xlnm.Print_Area" localSheetId="0">Synt_Cout_Ress_Sans_Rep_Glob!$A$3:$E$108</definedName>
    <definedName name="_xlnm.Print_Area" localSheetId="1">Synthèse_Cout_Ressources!$A$3:$E$12</definedName>
  </definedNames>
  <calcPr calcId="191029"/>
  <pivotCaches>
    <pivotCache cacheId="39" r:id="rId18"/>
  </pivotCaches>
  <extLst>
    <ext xmlns:x14="http://schemas.microsoft.com/office/spreadsheetml/2009/9/main" uri="{BBE1A952-AA13-448e-AADC-164F8A28A991}">
      <x14:slicerCaches>
        <x14:slicerCache r:id="rId19"/>
        <x14:slicerCache r:id="rId20"/>
        <x14:slicerCache r:id="rId21"/>
        <x14:slicerCache r:id="rId22"/>
        <x14:slicerCache r:id="rId23"/>
        <x14:slicerCache r:id="rId24"/>
        <x14:slicerCache r:id="rId25"/>
        <x14:slicerCache r:id="rId26"/>
        <x14:slicerCache r:id="rId27"/>
        <x14:slicerCache r:id="rId2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Utiliser" name="Utiliser" connection="WorksheetConnection_Inventaire.xlsx!Utiliser"/>
          <x15:modelTable id="TabProjet" name="TabProjet" connection="WorksheetConnection_Inventaire.xlsx!TabProjet"/>
          <x15:modelTable id="TabEnvironnement" name="TabEnvironnement" connection="WorksheetConnection_Inventaire.xlsx!TabEnvironnement"/>
          <x15:modelTable id="TabClient" name="TabClient" connection="WorksheetConnection_Inventaire.xlsx!TabClient"/>
        </x15:modelTables>
        <x15:modelRelationships>
          <x15:modelRelationship fromTable="Utiliser" fromColumn="RefEnv" toTable="TabEnvironnement" toColumn="RefEnv"/>
        </x15:modelRelationships>
      </x15:dataModel>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B12" i="19" l="1"/>
  <c r="D258" i="2" l="1"/>
  <c r="F10" i="3" l="1"/>
  <c r="L10" i="3"/>
  <c r="O10" i="3"/>
  <c r="Q10" i="3"/>
  <c r="R10" i="3" s="1"/>
  <c r="S10" i="3"/>
  <c r="X10" i="3"/>
  <c r="Y10" i="3"/>
  <c r="Z10" i="3"/>
  <c r="AA10" i="3"/>
  <c r="AB10" i="3"/>
  <c r="K10" i="3" s="1"/>
  <c r="Q11" i="2"/>
  <c r="R11" i="2"/>
  <c r="S11" i="2"/>
  <c r="T11" i="2" s="1"/>
  <c r="U11" i="2"/>
  <c r="V11" i="2" s="1"/>
  <c r="W11" i="2"/>
  <c r="X11" i="2" s="1"/>
  <c r="Y11" i="2"/>
  <c r="Z11" i="2" s="1"/>
  <c r="AA11" i="2"/>
  <c r="AB11" i="2" s="1"/>
  <c r="AC11" i="2"/>
  <c r="AD11" i="2" s="1"/>
  <c r="AE11" i="2"/>
  <c r="AF11" i="2"/>
  <c r="AG11" i="2"/>
  <c r="AH11" i="2" s="1"/>
  <c r="AI11" i="2"/>
  <c r="F224" i="3"/>
  <c r="L224" i="3"/>
  <c r="O224" i="3"/>
  <c r="Q224" i="3"/>
  <c r="R224" i="3" s="1"/>
  <c r="S224" i="3"/>
  <c r="X224" i="3"/>
  <c r="Y224" i="3"/>
  <c r="Z224" i="3"/>
  <c r="U224" i="3" s="1"/>
  <c r="AA224" i="3"/>
  <c r="AB224" i="3"/>
  <c r="K224" i="3" s="1"/>
  <c r="F225" i="3"/>
  <c r="L225" i="3"/>
  <c r="O225" i="3"/>
  <c r="Q225" i="3"/>
  <c r="R225" i="3" s="1"/>
  <c r="S225" i="3"/>
  <c r="X225" i="3"/>
  <c r="Y225" i="3"/>
  <c r="Z225" i="3"/>
  <c r="U225" i="3" s="1"/>
  <c r="AA225" i="3"/>
  <c r="AB225" i="3"/>
  <c r="K225" i="3" s="1"/>
  <c r="F226" i="3"/>
  <c r="L226" i="3"/>
  <c r="O226" i="3"/>
  <c r="Q226" i="3"/>
  <c r="R226" i="3" s="1"/>
  <c r="S226" i="3"/>
  <c r="X226" i="3"/>
  <c r="Y226" i="3"/>
  <c r="Z226" i="3"/>
  <c r="U226" i="3" s="1"/>
  <c r="AA226" i="3"/>
  <c r="AB226" i="3"/>
  <c r="K226" i="3" s="1"/>
  <c r="F215" i="3"/>
  <c r="L215" i="3"/>
  <c r="O215" i="3"/>
  <c r="Q215" i="3"/>
  <c r="R215" i="3" s="1"/>
  <c r="S215" i="3"/>
  <c r="X215" i="3"/>
  <c r="Y215" i="3"/>
  <c r="Z215" i="3"/>
  <c r="AA215" i="3"/>
  <c r="AB215" i="3"/>
  <c r="K215" i="3" s="1"/>
  <c r="F98" i="3"/>
  <c r="L98" i="3"/>
  <c r="O98" i="3"/>
  <c r="Q98" i="3"/>
  <c r="R98" i="3" s="1"/>
  <c r="S98" i="3"/>
  <c r="X98" i="3"/>
  <c r="Y98" i="3"/>
  <c r="Z98" i="3"/>
  <c r="AA98" i="3"/>
  <c r="AB98" i="3"/>
  <c r="K98" i="3" s="1"/>
  <c r="F198" i="3"/>
  <c r="L198" i="3"/>
  <c r="O198" i="3"/>
  <c r="Q198" i="3"/>
  <c r="R198" i="3" s="1"/>
  <c r="S198" i="3"/>
  <c r="X198" i="3"/>
  <c r="Y198" i="3"/>
  <c r="Z198" i="3"/>
  <c r="AA198" i="3"/>
  <c r="AB198" i="3"/>
  <c r="K198" i="3" s="1"/>
  <c r="F199" i="3"/>
  <c r="L199" i="3"/>
  <c r="O199" i="3"/>
  <c r="Q199" i="3"/>
  <c r="R199" i="3" s="1"/>
  <c r="S199" i="3"/>
  <c r="X199" i="3"/>
  <c r="Y199" i="3"/>
  <c r="Z199" i="3"/>
  <c r="AA199" i="3"/>
  <c r="AB199" i="3"/>
  <c r="K199" i="3" s="1"/>
  <c r="F200" i="3"/>
  <c r="L200" i="3"/>
  <c r="O200" i="3"/>
  <c r="Q200" i="3"/>
  <c r="R200" i="3" s="1"/>
  <c r="S200" i="3"/>
  <c r="X200" i="3"/>
  <c r="Y200" i="3"/>
  <c r="Z200" i="3"/>
  <c r="AA200" i="3"/>
  <c r="AB200" i="3"/>
  <c r="K200" i="3" s="1"/>
  <c r="F201" i="3"/>
  <c r="L201" i="3"/>
  <c r="O201" i="3"/>
  <c r="Q201" i="3"/>
  <c r="R201" i="3" s="1"/>
  <c r="S201" i="3"/>
  <c r="X201" i="3"/>
  <c r="Y201" i="3"/>
  <c r="Z201" i="3"/>
  <c r="AA201" i="3"/>
  <c r="AB201" i="3"/>
  <c r="K201" i="3" s="1"/>
  <c r="A69" i="7"/>
  <c r="D69" i="7"/>
  <c r="F69" i="7" s="1"/>
  <c r="E69" i="7"/>
  <c r="A82" i="8"/>
  <c r="A101" i="7"/>
  <c r="A106" i="8"/>
  <c r="Q12" i="2"/>
  <c r="Q13" i="2"/>
  <c r="Q44" i="2"/>
  <c r="Q220" i="2"/>
  <c r="Q221" i="2"/>
  <c r="Q222" i="2"/>
  <c r="Q223" i="2"/>
  <c r="Q45" i="2"/>
  <c r="Q46" i="2"/>
  <c r="Q47" i="2"/>
  <c r="Q48" i="2"/>
  <c r="Q49" i="2"/>
  <c r="Q50" i="2"/>
  <c r="Q51" i="2"/>
  <c r="Q52" i="2"/>
  <c r="Q53" i="2"/>
  <c r="Q54" i="2"/>
  <c r="Q55" i="2"/>
  <c r="Q56" i="2"/>
  <c r="Q57" i="2"/>
  <c r="Q58" i="2"/>
  <c r="Q59" i="2"/>
  <c r="Q60" i="2"/>
  <c r="Q61" i="2"/>
  <c r="Q62" i="2"/>
  <c r="Q63" i="2"/>
  <c r="Q64" i="2"/>
  <c r="Q65" i="2"/>
  <c r="Q66" i="2"/>
  <c r="Q67" i="2"/>
  <c r="Q68" i="2"/>
  <c r="Q69" i="2"/>
  <c r="Q70" i="2"/>
  <c r="Q71" i="2"/>
  <c r="Q72" i="2"/>
  <c r="Q73" i="2"/>
  <c r="Q74" i="2"/>
  <c r="Q75" i="2"/>
  <c r="Q76" i="2"/>
  <c r="Q77" i="2"/>
  <c r="Q78" i="2"/>
  <c r="Q79" i="2"/>
  <c r="Q80" i="2"/>
  <c r="Q81" i="2"/>
  <c r="Q82" i="2"/>
  <c r="Q83" i="2"/>
  <c r="Q84" i="2"/>
  <c r="Q85" i="2"/>
  <c r="Q86" i="2"/>
  <c r="Q87" i="2"/>
  <c r="Q88" i="2"/>
  <c r="Q89" i="2"/>
  <c r="Q90" i="2"/>
  <c r="Q91" i="2"/>
  <c r="Q92" i="2"/>
  <c r="Q93" i="2"/>
  <c r="Q94" i="2"/>
  <c r="Q95" i="2"/>
  <c r="Q96" i="2"/>
  <c r="Q97" i="2"/>
  <c r="Q98" i="2"/>
  <c r="Q99" i="2"/>
  <c r="Q100" i="2"/>
  <c r="Q101" i="2"/>
  <c r="Q102" i="2"/>
  <c r="Q103" i="2"/>
  <c r="Q104" i="2"/>
  <c r="Q105" i="2"/>
  <c r="Q106" i="2"/>
  <c r="Q107" i="2"/>
  <c r="Q108" i="2"/>
  <c r="Q109" i="2"/>
  <c r="Q110" i="2"/>
  <c r="Q111" i="2"/>
  <c r="Q112" i="2"/>
  <c r="Q113" i="2"/>
  <c r="Q114" i="2"/>
  <c r="Q115" i="2"/>
  <c r="Q116" i="2"/>
  <c r="Q117" i="2"/>
  <c r="Q118" i="2"/>
  <c r="Q119" i="2"/>
  <c r="Q120" i="2"/>
  <c r="Q121" i="2"/>
  <c r="Q122" i="2"/>
  <c r="Q123" i="2"/>
  <c r="Q124" i="2"/>
  <c r="Q125" i="2"/>
  <c r="Q126" i="2"/>
  <c r="Q127" i="2"/>
  <c r="Q128" i="2"/>
  <c r="Q129" i="2"/>
  <c r="Q130" i="2"/>
  <c r="Q131" i="2"/>
  <c r="Q132" i="2"/>
  <c r="Q133" i="2"/>
  <c r="Q134" i="2"/>
  <c r="Q141" i="2"/>
  <c r="Q142" i="2"/>
  <c r="Q143" i="2"/>
  <c r="Q144" i="2"/>
  <c r="Q145" i="2"/>
  <c r="Q146" i="2"/>
  <c r="Q147" i="2"/>
  <c r="Q148" i="2"/>
  <c r="Q149" i="2"/>
  <c r="Q150" i="2"/>
  <c r="Q151" i="2"/>
  <c r="Q152" i="2"/>
  <c r="Q153" i="2"/>
  <c r="Q154" i="2"/>
  <c r="Q155" i="2"/>
  <c r="Q156" i="2"/>
  <c r="Q157" i="2"/>
  <c r="Q158" i="2"/>
  <c r="Q159" i="2"/>
  <c r="Q160" i="2"/>
  <c r="Q161" i="2"/>
  <c r="Q162" i="2"/>
  <c r="Q163" i="2"/>
  <c r="Q164" i="2"/>
  <c r="Q165" i="2"/>
  <c r="Q166" i="2"/>
  <c r="Q167" i="2"/>
  <c r="Q168" i="2"/>
  <c r="Q169" i="2"/>
  <c r="Q170" i="2"/>
  <c r="Q171" i="2"/>
  <c r="Q172" i="2"/>
  <c r="Q173" i="2"/>
  <c r="Q174" i="2"/>
  <c r="Q175" i="2"/>
  <c r="Q176" i="2"/>
  <c r="Q177" i="2"/>
  <c r="Q178" i="2"/>
  <c r="Q179" i="2"/>
  <c r="Q180" i="2"/>
  <c r="Q181" i="2"/>
  <c r="Q182" i="2"/>
  <c r="Q183" i="2"/>
  <c r="Q184" i="2"/>
  <c r="Q185" i="2"/>
  <c r="Q186" i="2"/>
  <c r="Q187" i="2"/>
  <c r="Q188" i="2"/>
  <c r="Q189" i="2"/>
  <c r="Q190" i="2"/>
  <c r="Q191" i="2"/>
  <c r="Q192" i="2"/>
  <c r="Q193" i="2"/>
  <c r="Q194" i="2"/>
  <c r="Q195" i="2"/>
  <c r="Q196" i="2"/>
  <c r="Q197" i="2"/>
  <c r="Q198" i="2"/>
  <c r="Q199" i="2"/>
  <c r="Q200" i="2"/>
  <c r="Q201" i="2"/>
  <c r="Q202" i="2"/>
  <c r="Q203" i="2"/>
  <c r="Q204" i="2"/>
  <c r="Q205" i="2"/>
  <c r="Q206" i="2"/>
  <c r="Q207" i="2"/>
  <c r="Q208" i="2"/>
  <c r="Q209" i="2"/>
  <c r="Q210" i="2"/>
  <c r="Q211" i="2"/>
  <c r="Q212" i="2"/>
  <c r="Q213" i="2"/>
  <c r="Q214" i="2"/>
  <c r="Q215" i="2"/>
  <c r="Q216" i="2"/>
  <c r="Q217" i="2"/>
  <c r="Q218" i="2"/>
  <c r="Q219" i="2"/>
  <c r="Q255" i="2"/>
  <c r="Q256" i="2"/>
  <c r="Q257" i="2"/>
  <c r="R12" i="2"/>
  <c r="R13" i="2"/>
  <c r="R44" i="2"/>
  <c r="R220" i="2"/>
  <c r="R221" i="2"/>
  <c r="R222" i="2"/>
  <c r="R223" i="2"/>
  <c r="R45" i="2"/>
  <c r="R46" i="2"/>
  <c r="R47" i="2"/>
  <c r="R48" i="2"/>
  <c r="R49" i="2"/>
  <c r="R50" i="2"/>
  <c r="R51" i="2"/>
  <c r="R52" i="2"/>
  <c r="R53" i="2"/>
  <c r="R54" i="2"/>
  <c r="R55" i="2"/>
  <c r="R56" i="2"/>
  <c r="R57" i="2"/>
  <c r="R58" i="2"/>
  <c r="R59" i="2"/>
  <c r="R60" i="2"/>
  <c r="R61" i="2"/>
  <c r="R62" i="2"/>
  <c r="R63" i="2"/>
  <c r="R64" i="2"/>
  <c r="R65" i="2"/>
  <c r="R66" i="2"/>
  <c r="R67" i="2"/>
  <c r="R68" i="2"/>
  <c r="R69" i="2"/>
  <c r="R70" i="2"/>
  <c r="R71" i="2"/>
  <c r="R72" i="2"/>
  <c r="R73" i="2"/>
  <c r="R74" i="2"/>
  <c r="R75" i="2"/>
  <c r="R76" i="2"/>
  <c r="R77" i="2"/>
  <c r="R78" i="2"/>
  <c r="R79" i="2"/>
  <c r="R80" i="2"/>
  <c r="R81" i="2"/>
  <c r="R82" i="2"/>
  <c r="R83" i="2"/>
  <c r="R84" i="2"/>
  <c r="R85" i="2"/>
  <c r="R86" i="2"/>
  <c r="R87" i="2"/>
  <c r="R88" i="2"/>
  <c r="R89" i="2"/>
  <c r="R90" i="2"/>
  <c r="R91" i="2"/>
  <c r="R92" i="2"/>
  <c r="R93" i="2"/>
  <c r="R94" i="2"/>
  <c r="R95" i="2"/>
  <c r="R96" i="2"/>
  <c r="R97" i="2"/>
  <c r="R98" i="2"/>
  <c r="R99" i="2"/>
  <c r="R100" i="2"/>
  <c r="R101" i="2"/>
  <c r="R102" i="2"/>
  <c r="R103" i="2"/>
  <c r="R104" i="2"/>
  <c r="R105" i="2"/>
  <c r="R106" i="2"/>
  <c r="R107" i="2"/>
  <c r="R108" i="2"/>
  <c r="R109" i="2"/>
  <c r="R110" i="2"/>
  <c r="R111" i="2"/>
  <c r="R112" i="2"/>
  <c r="R113" i="2"/>
  <c r="R114" i="2"/>
  <c r="R115" i="2"/>
  <c r="R116" i="2"/>
  <c r="R117" i="2"/>
  <c r="R118" i="2"/>
  <c r="R119" i="2"/>
  <c r="R120" i="2"/>
  <c r="R121" i="2"/>
  <c r="R122" i="2"/>
  <c r="R123" i="2"/>
  <c r="R124" i="2"/>
  <c r="R125" i="2"/>
  <c r="R126" i="2"/>
  <c r="R127" i="2"/>
  <c r="R128" i="2"/>
  <c r="R129" i="2"/>
  <c r="R130" i="2"/>
  <c r="R131" i="2"/>
  <c r="R132" i="2"/>
  <c r="R133" i="2"/>
  <c r="R134" i="2"/>
  <c r="R141" i="2"/>
  <c r="R142" i="2"/>
  <c r="R143" i="2"/>
  <c r="R144" i="2"/>
  <c r="R145" i="2"/>
  <c r="R146" i="2"/>
  <c r="R147" i="2"/>
  <c r="R148" i="2"/>
  <c r="R149" i="2"/>
  <c r="R150" i="2"/>
  <c r="R151" i="2"/>
  <c r="R152" i="2"/>
  <c r="R153" i="2"/>
  <c r="R154" i="2"/>
  <c r="R155" i="2"/>
  <c r="R156" i="2"/>
  <c r="R157" i="2"/>
  <c r="R158" i="2"/>
  <c r="R159" i="2"/>
  <c r="R160" i="2"/>
  <c r="R161" i="2"/>
  <c r="R162" i="2"/>
  <c r="R163" i="2"/>
  <c r="R164" i="2"/>
  <c r="R165" i="2"/>
  <c r="R166" i="2"/>
  <c r="R167" i="2"/>
  <c r="R168" i="2"/>
  <c r="R169" i="2"/>
  <c r="R170" i="2"/>
  <c r="R171" i="2"/>
  <c r="R172" i="2"/>
  <c r="R173" i="2"/>
  <c r="R174" i="2"/>
  <c r="R175" i="2"/>
  <c r="R176" i="2"/>
  <c r="R177" i="2"/>
  <c r="R178" i="2"/>
  <c r="R179" i="2"/>
  <c r="R180" i="2"/>
  <c r="R181" i="2"/>
  <c r="R182" i="2"/>
  <c r="R183" i="2"/>
  <c r="R184" i="2"/>
  <c r="R185" i="2"/>
  <c r="R186" i="2"/>
  <c r="R187" i="2"/>
  <c r="R188" i="2"/>
  <c r="R189" i="2"/>
  <c r="R190" i="2"/>
  <c r="R191" i="2"/>
  <c r="R192" i="2"/>
  <c r="R193" i="2"/>
  <c r="R194" i="2"/>
  <c r="R195" i="2"/>
  <c r="R196" i="2"/>
  <c r="R197" i="2"/>
  <c r="R198" i="2"/>
  <c r="R199" i="2"/>
  <c r="R200" i="2"/>
  <c r="R201" i="2"/>
  <c r="R202" i="2"/>
  <c r="R203" i="2"/>
  <c r="R204" i="2"/>
  <c r="R205" i="2"/>
  <c r="R206" i="2"/>
  <c r="R207" i="2"/>
  <c r="R208" i="2"/>
  <c r="R209" i="2"/>
  <c r="R210" i="2"/>
  <c r="R211" i="2"/>
  <c r="R212" i="2"/>
  <c r="R213" i="2"/>
  <c r="R214" i="2"/>
  <c r="R215" i="2"/>
  <c r="R216" i="2"/>
  <c r="R217" i="2"/>
  <c r="R218" i="2"/>
  <c r="R219" i="2"/>
  <c r="R255" i="2"/>
  <c r="R256" i="2"/>
  <c r="R257" i="2"/>
  <c r="S12" i="2"/>
  <c r="T12" i="2" s="1"/>
  <c r="S13" i="2"/>
  <c r="T13" i="2" s="1"/>
  <c r="S44" i="2"/>
  <c r="T44" i="2" s="1"/>
  <c r="S220" i="2"/>
  <c r="T220" i="2" s="1"/>
  <c r="S221" i="2"/>
  <c r="T221" i="2" s="1"/>
  <c r="S222" i="2"/>
  <c r="T222" i="2" s="1"/>
  <c r="S223" i="2"/>
  <c r="T223" i="2" s="1"/>
  <c r="S45" i="2"/>
  <c r="T45" i="2" s="1"/>
  <c r="S46" i="2"/>
  <c r="T46" i="2" s="1"/>
  <c r="S47" i="2"/>
  <c r="T47" i="2" s="1"/>
  <c r="S48" i="2"/>
  <c r="T48" i="2" s="1"/>
  <c r="S49" i="2"/>
  <c r="T49" i="2" s="1"/>
  <c r="S50" i="2"/>
  <c r="T50" i="2" s="1"/>
  <c r="S51" i="2"/>
  <c r="T51" i="2" s="1"/>
  <c r="S52" i="2"/>
  <c r="T52" i="2" s="1"/>
  <c r="S53" i="2"/>
  <c r="T53" i="2" s="1"/>
  <c r="S54" i="2"/>
  <c r="T54" i="2" s="1"/>
  <c r="S55" i="2"/>
  <c r="T55" i="2" s="1"/>
  <c r="S56" i="2"/>
  <c r="T56" i="2" s="1"/>
  <c r="S57" i="2"/>
  <c r="T57" i="2" s="1"/>
  <c r="S58" i="2"/>
  <c r="T58" i="2" s="1"/>
  <c r="S59" i="2"/>
  <c r="T59" i="2" s="1"/>
  <c r="S60" i="2"/>
  <c r="T60" i="2" s="1"/>
  <c r="S61" i="2"/>
  <c r="T61" i="2" s="1"/>
  <c r="S62" i="2"/>
  <c r="T62" i="2" s="1"/>
  <c r="S63" i="2"/>
  <c r="T63" i="2" s="1"/>
  <c r="S64" i="2"/>
  <c r="T64" i="2" s="1"/>
  <c r="S65" i="2"/>
  <c r="T65" i="2" s="1"/>
  <c r="S66" i="2"/>
  <c r="T66" i="2" s="1"/>
  <c r="S67" i="2"/>
  <c r="T67" i="2" s="1"/>
  <c r="S68" i="2"/>
  <c r="T68" i="2" s="1"/>
  <c r="S69" i="2"/>
  <c r="T69" i="2" s="1"/>
  <c r="S70" i="2"/>
  <c r="T70" i="2" s="1"/>
  <c r="S71" i="2"/>
  <c r="T71" i="2" s="1"/>
  <c r="S72" i="2"/>
  <c r="T72" i="2" s="1"/>
  <c r="S73" i="2"/>
  <c r="T73" i="2" s="1"/>
  <c r="S74" i="2"/>
  <c r="T74" i="2" s="1"/>
  <c r="S75" i="2"/>
  <c r="T75" i="2" s="1"/>
  <c r="S76" i="2"/>
  <c r="T76" i="2" s="1"/>
  <c r="S77" i="2"/>
  <c r="T77" i="2" s="1"/>
  <c r="S78" i="2"/>
  <c r="T78" i="2" s="1"/>
  <c r="S79" i="2"/>
  <c r="T79" i="2" s="1"/>
  <c r="S80" i="2"/>
  <c r="T80" i="2" s="1"/>
  <c r="S81" i="2"/>
  <c r="T81" i="2" s="1"/>
  <c r="S82" i="2"/>
  <c r="T82" i="2" s="1"/>
  <c r="S83" i="2"/>
  <c r="T83" i="2" s="1"/>
  <c r="S84" i="2"/>
  <c r="T84" i="2" s="1"/>
  <c r="S85" i="2"/>
  <c r="T85" i="2" s="1"/>
  <c r="S86" i="2"/>
  <c r="T86" i="2" s="1"/>
  <c r="S87" i="2"/>
  <c r="T87" i="2" s="1"/>
  <c r="S88" i="2"/>
  <c r="T88" i="2" s="1"/>
  <c r="S89" i="2"/>
  <c r="T89" i="2" s="1"/>
  <c r="S90" i="2"/>
  <c r="T90" i="2" s="1"/>
  <c r="S91" i="2"/>
  <c r="T91" i="2" s="1"/>
  <c r="S92" i="2"/>
  <c r="T92" i="2" s="1"/>
  <c r="S93" i="2"/>
  <c r="T93" i="2" s="1"/>
  <c r="S94" i="2"/>
  <c r="T94" i="2" s="1"/>
  <c r="S95" i="2"/>
  <c r="T95" i="2" s="1"/>
  <c r="S96" i="2"/>
  <c r="T96" i="2" s="1"/>
  <c r="S97" i="2"/>
  <c r="T97" i="2" s="1"/>
  <c r="S98" i="2"/>
  <c r="T98" i="2" s="1"/>
  <c r="S99" i="2"/>
  <c r="T99" i="2" s="1"/>
  <c r="S100" i="2"/>
  <c r="T100" i="2" s="1"/>
  <c r="S101" i="2"/>
  <c r="T101" i="2" s="1"/>
  <c r="S102" i="2"/>
  <c r="T102" i="2" s="1"/>
  <c r="S103" i="2"/>
  <c r="T103" i="2" s="1"/>
  <c r="S104" i="2"/>
  <c r="T104" i="2" s="1"/>
  <c r="S105" i="2"/>
  <c r="T105" i="2" s="1"/>
  <c r="S106" i="2"/>
  <c r="T106" i="2" s="1"/>
  <c r="S107" i="2"/>
  <c r="T107" i="2" s="1"/>
  <c r="S108" i="2"/>
  <c r="T108" i="2" s="1"/>
  <c r="S109" i="2"/>
  <c r="T109" i="2" s="1"/>
  <c r="S110" i="2"/>
  <c r="T110" i="2" s="1"/>
  <c r="S111" i="2"/>
  <c r="T111" i="2" s="1"/>
  <c r="S112" i="2"/>
  <c r="T112" i="2" s="1"/>
  <c r="S113" i="2"/>
  <c r="T113" i="2" s="1"/>
  <c r="S114" i="2"/>
  <c r="T114" i="2" s="1"/>
  <c r="S115" i="2"/>
  <c r="T115" i="2" s="1"/>
  <c r="S116" i="2"/>
  <c r="T116" i="2" s="1"/>
  <c r="S117" i="2"/>
  <c r="T117" i="2" s="1"/>
  <c r="S118" i="2"/>
  <c r="T118" i="2" s="1"/>
  <c r="S119" i="2"/>
  <c r="T119" i="2" s="1"/>
  <c r="S120" i="2"/>
  <c r="T120" i="2" s="1"/>
  <c r="S121" i="2"/>
  <c r="T121" i="2" s="1"/>
  <c r="S122" i="2"/>
  <c r="T122" i="2" s="1"/>
  <c r="S123" i="2"/>
  <c r="T123" i="2" s="1"/>
  <c r="S124" i="2"/>
  <c r="T124" i="2" s="1"/>
  <c r="S125" i="2"/>
  <c r="T125" i="2" s="1"/>
  <c r="S126" i="2"/>
  <c r="T126" i="2" s="1"/>
  <c r="S127" i="2"/>
  <c r="T127" i="2" s="1"/>
  <c r="S128" i="2"/>
  <c r="T128" i="2" s="1"/>
  <c r="S129" i="2"/>
  <c r="T129" i="2" s="1"/>
  <c r="S130" i="2"/>
  <c r="T130" i="2" s="1"/>
  <c r="S131" i="2"/>
  <c r="T131" i="2" s="1"/>
  <c r="S132" i="2"/>
  <c r="T132" i="2" s="1"/>
  <c r="S133" i="2"/>
  <c r="T133" i="2" s="1"/>
  <c r="S134" i="2"/>
  <c r="T134" i="2" s="1"/>
  <c r="S141" i="2"/>
  <c r="T141" i="2" s="1"/>
  <c r="S142" i="2"/>
  <c r="T142" i="2" s="1"/>
  <c r="S143" i="2"/>
  <c r="T143" i="2" s="1"/>
  <c r="S144" i="2"/>
  <c r="T144" i="2" s="1"/>
  <c r="S145" i="2"/>
  <c r="T145" i="2" s="1"/>
  <c r="S146" i="2"/>
  <c r="T146" i="2" s="1"/>
  <c r="S147" i="2"/>
  <c r="T147" i="2" s="1"/>
  <c r="S148" i="2"/>
  <c r="T148" i="2" s="1"/>
  <c r="S149" i="2"/>
  <c r="T149" i="2" s="1"/>
  <c r="S150" i="2"/>
  <c r="T150" i="2" s="1"/>
  <c r="S151" i="2"/>
  <c r="T151" i="2" s="1"/>
  <c r="S152" i="2"/>
  <c r="T152" i="2" s="1"/>
  <c r="S153" i="2"/>
  <c r="T153" i="2" s="1"/>
  <c r="S154" i="2"/>
  <c r="T154" i="2" s="1"/>
  <c r="S155" i="2"/>
  <c r="T155" i="2" s="1"/>
  <c r="S156" i="2"/>
  <c r="T156" i="2" s="1"/>
  <c r="S157" i="2"/>
  <c r="T157" i="2" s="1"/>
  <c r="S158" i="2"/>
  <c r="T158" i="2" s="1"/>
  <c r="S159" i="2"/>
  <c r="T159" i="2" s="1"/>
  <c r="S160" i="2"/>
  <c r="T160" i="2" s="1"/>
  <c r="S161" i="2"/>
  <c r="T161" i="2" s="1"/>
  <c r="S162" i="2"/>
  <c r="T162" i="2" s="1"/>
  <c r="S163" i="2"/>
  <c r="T163" i="2" s="1"/>
  <c r="S164" i="2"/>
  <c r="T164" i="2" s="1"/>
  <c r="S165" i="2"/>
  <c r="T165" i="2" s="1"/>
  <c r="S166" i="2"/>
  <c r="T166" i="2" s="1"/>
  <c r="S167" i="2"/>
  <c r="T167" i="2" s="1"/>
  <c r="S168" i="2"/>
  <c r="T168" i="2" s="1"/>
  <c r="S169" i="2"/>
  <c r="T169" i="2" s="1"/>
  <c r="S170" i="2"/>
  <c r="T170" i="2" s="1"/>
  <c r="S171" i="2"/>
  <c r="T171" i="2" s="1"/>
  <c r="S172" i="2"/>
  <c r="T172" i="2" s="1"/>
  <c r="S173" i="2"/>
  <c r="T173" i="2" s="1"/>
  <c r="S174" i="2"/>
  <c r="T174" i="2" s="1"/>
  <c r="S175" i="2"/>
  <c r="T175" i="2" s="1"/>
  <c r="S176" i="2"/>
  <c r="T176" i="2" s="1"/>
  <c r="S177" i="2"/>
  <c r="T177" i="2" s="1"/>
  <c r="S178" i="2"/>
  <c r="T178" i="2" s="1"/>
  <c r="S179" i="2"/>
  <c r="T179" i="2" s="1"/>
  <c r="S180" i="2"/>
  <c r="T180" i="2" s="1"/>
  <c r="S181" i="2"/>
  <c r="T181" i="2" s="1"/>
  <c r="S182" i="2"/>
  <c r="T182" i="2" s="1"/>
  <c r="S183" i="2"/>
  <c r="T183" i="2" s="1"/>
  <c r="S184" i="2"/>
  <c r="T184" i="2" s="1"/>
  <c r="S185" i="2"/>
  <c r="T185" i="2" s="1"/>
  <c r="S186" i="2"/>
  <c r="T186" i="2" s="1"/>
  <c r="S187" i="2"/>
  <c r="T187" i="2" s="1"/>
  <c r="S188" i="2"/>
  <c r="T188" i="2" s="1"/>
  <c r="S189" i="2"/>
  <c r="T189" i="2" s="1"/>
  <c r="S190" i="2"/>
  <c r="T190" i="2" s="1"/>
  <c r="S191" i="2"/>
  <c r="T191" i="2" s="1"/>
  <c r="S192" i="2"/>
  <c r="T192" i="2" s="1"/>
  <c r="S193" i="2"/>
  <c r="T193" i="2" s="1"/>
  <c r="S194" i="2"/>
  <c r="T194" i="2" s="1"/>
  <c r="S195" i="2"/>
  <c r="T195" i="2" s="1"/>
  <c r="S196" i="2"/>
  <c r="T196" i="2" s="1"/>
  <c r="S197" i="2"/>
  <c r="T197" i="2" s="1"/>
  <c r="S198" i="2"/>
  <c r="T198" i="2" s="1"/>
  <c r="S199" i="2"/>
  <c r="T199" i="2" s="1"/>
  <c r="S200" i="2"/>
  <c r="T200" i="2" s="1"/>
  <c r="S201" i="2"/>
  <c r="T201" i="2" s="1"/>
  <c r="S202" i="2"/>
  <c r="T202" i="2" s="1"/>
  <c r="S203" i="2"/>
  <c r="T203" i="2" s="1"/>
  <c r="S204" i="2"/>
  <c r="T204" i="2" s="1"/>
  <c r="S205" i="2"/>
  <c r="T205" i="2" s="1"/>
  <c r="S206" i="2"/>
  <c r="T206" i="2" s="1"/>
  <c r="S207" i="2"/>
  <c r="T207" i="2" s="1"/>
  <c r="S208" i="2"/>
  <c r="T208" i="2" s="1"/>
  <c r="S209" i="2"/>
  <c r="T209" i="2" s="1"/>
  <c r="S210" i="2"/>
  <c r="T210" i="2" s="1"/>
  <c r="S211" i="2"/>
  <c r="T211" i="2" s="1"/>
  <c r="S212" i="2"/>
  <c r="T212" i="2" s="1"/>
  <c r="S213" i="2"/>
  <c r="T213" i="2" s="1"/>
  <c r="S214" i="2"/>
  <c r="T214" i="2" s="1"/>
  <c r="S215" i="2"/>
  <c r="T215" i="2" s="1"/>
  <c r="S216" i="2"/>
  <c r="T216" i="2" s="1"/>
  <c r="S217" i="2"/>
  <c r="T217" i="2" s="1"/>
  <c r="S218" i="2"/>
  <c r="T218" i="2" s="1"/>
  <c r="S219" i="2"/>
  <c r="T219" i="2" s="1"/>
  <c r="S255" i="2"/>
  <c r="T255" i="2" s="1"/>
  <c r="S256" i="2"/>
  <c r="T256" i="2" s="1"/>
  <c r="S257" i="2"/>
  <c r="T257" i="2" s="1"/>
  <c r="U12" i="2"/>
  <c r="V12" i="2" s="1"/>
  <c r="U13" i="2"/>
  <c r="V13" i="2" s="1"/>
  <c r="U44" i="2"/>
  <c r="V44" i="2" s="1"/>
  <c r="U220" i="2"/>
  <c r="V220" i="2" s="1"/>
  <c r="U221" i="2"/>
  <c r="V221" i="2" s="1"/>
  <c r="U222" i="2"/>
  <c r="V222" i="2" s="1"/>
  <c r="U223" i="2"/>
  <c r="V223" i="2" s="1"/>
  <c r="U45" i="2"/>
  <c r="V45" i="2" s="1"/>
  <c r="U46" i="2"/>
  <c r="V46" i="2" s="1"/>
  <c r="U47" i="2"/>
  <c r="V47" i="2" s="1"/>
  <c r="U48" i="2"/>
  <c r="V48" i="2" s="1"/>
  <c r="U49" i="2"/>
  <c r="V49" i="2" s="1"/>
  <c r="U50" i="2"/>
  <c r="V50" i="2" s="1"/>
  <c r="U51" i="2"/>
  <c r="V51" i="2" s="1"/>
  <c r="U52" i="2"/>
  <c r="V52" i="2" s="1"/>
  <c r="U53" i="2"/>
  <c r="V53" i="2" s="1"/>
  <c r="U54" i="2"/>
  <c r="V54" i="2" s="1"/>
  <c r="U55" i="2"/>
  <c r="V55" i="2" s="1"/>
  <c r="U56" i="2"/>
  <c r="V56" i="2" s="1"/>
  <c r="U57" i="2"/>
  <c r="V57" i="2" s="1"/>
  <c r="U58" i="2"/>
  <c r="V58" i="2" s="1"/>
  <c r="U59" i="2"/>
  <c r="V59" i="2" s="1"/>
  <c r="U60" i="2"/>
  <c r="V60" i="2" s="1"/>
  <c r="U61" i="2"/>
  <c r="V61" i="2" s="1"/>
  <c r="U62" i="2"/>
  <c r="V62" i="2" s="1"/>
  <c r="U63" i="2"/>
  <c r="V63" i="2" s="1"/>
  <c r="U64" i="2"/>
  <c r="V64" i="2" s="1"/>
  <c r="U65" i="2"/>
  <c r="V65" i="2" s="1"/>
  <c r="U66" i="2"/>
  <c r="V66" i="2" s="1"/>
  <c r="U67" i="2"/>
  <c r="V67" i="2" s="1"/>
  <c r="U68" i="2"/>
  <c r="V68" i="2" s="1"/>
  <c r="U69" i="2"/>
  <c r="V69" i="2" s="1"/>
  <c r="U70" i="2"/>
  <c r="V70" i="2" s="1"/>
  <c r="U71" i="2"/>
  <c r="V71" i="2" s="1"/>
  <c r="U72" i="2"/>
  <c r="V72" i="2" s="1"/>
  <c r="U73" i="2"/>
  <c r="V73" i="2" s="1"/>
  <c r="U74" i="2"/>
  <c r="V74" i="2" s="1"/>
  <c r="U75" i="2"/>
  <c r="V75" i="2" s="1"/>
  <c r="U76" i="2"/>
  <c r="V76" i="2" s="1"/>
  <c r="U77" i="2"/>
  <c r="V77" i="2" s="1"/>
  <c r="U78" i="2"/>
  <c r="V78" i="2" s="1"/>
  <c r="U79" i="2"/>
  <c r="V79" i="2" s="1"/>
  <c r="U80" i="2"/>
  <c r="V80" i="2" s="1"/>
  <c r="U81" i="2"/>
  <c r="V81" i="2" s="1"/>
  <c r="U82" i="2"/>
  <c r="V82" i="2" s="1"/>
  <c r="U83" i="2"/>
  <c r="V83" i="2" s="1"/>
  <c r="U84" i="2"/>
  <c r="V84" i="2" s="1"/>
  <c r="U85" i="2"/>
  <c r="V85" i="2" s="1"/>
  <c r="U86" i="2"/>
  <c r="V86" i="2" s="1"/>
  <c r="U87" i="2"/>
  <c r="V87" i="2" s="1"/>
  <c r="U88" i="2"/>
  <c r="V88" i="2" s="1"/>
  <c r="U89" i="2"/>
  <c r="V89" i="2" s="1"/>
  <c r="U90" i="2"/>
  <c r="V90" i="2" s="1"/>
  <c r="U91" i="2"/>
  <c r="V91" i="2" s="1"/>
  <c r="U92" i="2"/>
  <c r="V92" i="2" s="1"/>
  <c r="U93" i="2"/>
  <c r="V93" i="2" s="1"/>
  <c r="U94" i="2"/>
  <c r="V94" i="2" s="1"/>
  <c r="U95" i="2"/>
  <c r="V95" i="2" s="1"/>
  <c r="U96" i="2"/>
  <c r="V96" i="2" s="1"/>
  <c r="U97" i="2"/>
  <c r="V97" i="2" s="1"/>
  <c r="U98" i="2"/>
  <c r="V98" i="2" s="1"/>
  <c r="U99" i="2"/>
  <c r="V99" i="2" s="1"/>
  <c r="U100" i="2"/>
  <c r="V100" i="2" s="1"/>
  <c r="U101" i="2"/>
  <c r="V101" i="2" s="1"/>
  <c r="U102" i="2"/>
  <c r="V102" i="2" s="1"/>
  <c r="U103" i="2"/>
  <c r="V103" i="2" s="1"/>
  <c r="U104" i="2"/>
  <c r="V104" i="2" s="1"/>
  <c r="U105" i="2"/>
  <c r="V105" i="2" s="1"/>
  <c r="U106" i="2"/>
  <c r="V106" i="2" s="1"/>
  <c r="U107" i="2"/>
  <c r="V107" i="2" s="1"/>
  <c r="U108" i="2"/>
  <c r="V108" i="2" s="1"/>
  <c r="U109" i="2"/>
  <c r="V109" i="2" s="1"/>
  <c r="U110" i="2"/>
  <c r="V110" i="2" s="1"/>
  <c r="U111" i="2"/>
  <c r="V111" i="2" s="1"/>
  <c r="U112" i="2"/>
  <c r="V112" i="2" s="1"/>
  <c r="U113" i="2"/>
  <c r="V113" i="2" s="1"/>
  <c r="U114" i="2"/>
  <c r="V114" i="2" s="1"/>
  <c r="U115" i="2"/>
  <c r="V115" i="2" s="1"/>
  <c r="U116" i="2"/>
  <c r="V116" i="2" s="1"/>
  <c r="U117" i="2"/>
  <c r="V117" i="2" s="1"/>
  <c r="U118" i="2"/>
  <c r="V118" i="2" s="1"/>
  <c r="U119" i="2"/>
  <c r="V119" i="2" s="1"/>
  <c r="U120" i="2"/>
  <c r="V120" i="2" s="1"/>
  <c r="U121" i="2"/>
  <c r="V121" i="2" s="1"/>
  <c r="U122" i="2"/>
  <c r="V122" i="2" s="1"/>
  <c r="U123" i="2"/>
  <c r="V123" i="2" s="1"/>
  <c r="U124" i="2"/>
  <c r="V124" i="2" s="1"/>
  <c r="U125" i="2"/>
  <c r="V125" i="2" s="1"/>
  <c r="U126" i="2"/>
  <c r="V126" i="2" s="1"/>
  <c r="U127" i="2"/>
  <c r="V127" i="2" s="1"/>
  <c r="U128" i="2"/>
  <c r="V128" i="2" s="1"/>
  <c r="U129" i="2"/>
  <c r="V129" i="2" s="1"/>
  <c r="U130" i="2"/>
  <c r="V130" i="2" s="1"/>
  <c r="U131" i="2"/>
  <c r="V131" i="2" s="1"/>
  <c r="U132" i="2"/>
  <c r="V132" i="2" s="1"/>
  <c r="U133" i="2"/>
  <c r="V133" i="2" s="1"/>
  <c r="U134" i="2"/>
  <c r="V134" i="2" s="1"/>
  <c r="U141" i="2"/>
  <c r="V141" i="2" s="1"/>
  <c r="U142" i="2"/>
  <c r="V142" i="2" s="1"/>
  <c r="U143" i="2"/>
  <c r="V143" i="2" s="1"/>
  <c r="U144" i="2"/>
  <c r="V144" i="2" s="1"/>
  <c r="U145" i="2"/>
  <c r="V145" i="2" s="1"/>
  <c r="U146" i="2"/>
  <c r="V146" i="2" s="1"/>
  <c r="U147" i="2"/>
  <c r="V147" i="2" s="1"/>
  <c r="U148" i="2"/>
  <c r="V148" i="2" s="1"/>
  <c r="U149" i="2"/>
  <c r="V149" i="2" s="1"/>
  <c r="U150" i="2"/>
  <c r="V150" i="2" s="1"/>
  <c r="U151" i="2"/>
  <c r="V151" i="2" s="1"/>
  <c r="U152" i="2"/>
  <c r="V152" i="2" s="1"/>
  <c r="U153" i="2"/>
  <c r="V153" i="2" s="1"/>
  <c r="U154" i="2"/>
  <c r="V154" i="2" s="1"/>
  <c r="U155" i="2"/>
  <c r="V155" i="2" s="1"/>
  <c r="U156" i="2"/>
  <c r="V156" i="2" s="1"/>
  <c r="U157" i="2"/>
  <c r="V157" i="2" s="1"/>
  <c r="U158" i="2"/>
  <c r="V158" i="2" s="1"/>
  <c r="U159" i="2"/>
  <c r="V159" i="2" s="1"/>
  <c r="U160" i="2"/>
  <c r="V160" i="2" s="1"/>
  <c r="U161" i="2"/>
  <c r="V161" i="2" s="1"/>
  <c r="U162" i="2"/>
  <c r="V162" i="2" s="1"/>
  <c r="U163" i="2"/>
  <c r="V163" i="2" s="1"/>
  <c r="U164" i="2"/>
  <c r="V164" i="2" s="1"/>
  <c r="U165" i="2"/>
  <c r="V165" i="2" s="1"/>
  <c r="U166" i="2"/>
  <c r="V166" i="2" s="1"/>
  <c r="U167" i="2"/>
  <c r="V167" i="2" s="1"/>
  <c r="U168" i="2"/>
  <c r="V168" i="2" s="1"/>
  <c r="U169" i="2"/>
  <c r="V169" i="2" s="1"/>
  <c r="U170" i="2"/>
  <c r="V170" i="2" s="1"/>
  <c r="U171" i="2"/>
  <c r="V171" i="2" s="1"/>
  <c r="U172" i="2"/>
  <c r="V172" i="2" s="1"/>
  <c r="U173" i="2"/>
  <c r="V173" i="2" s="1"/>
  <c r="U174" i="2"/>
  <c r="V174" i="2" s="1"/>
  <c r="U175" i="2"/>
  <c r="V175" i="2" s="1"/>
  <c r="U176" i="2"/>
  <c r="V176" i="2" s="1"/>
  <c r="U177" i="2"/>
  <c r="V177" i="2" s="1"/>
  <c r="U178" i="2"/>
  <c r="V178" i="2" s="1"/>
  <c r="U179" i="2"/>
  <c r="V179" i="2" s="1"/>
  <c r="U180" i="2"/>
  <c r="V180" i="2" s="1"/>
  <c r="U181" i="2"/>
  <c r="V181" i="2" s="1"/>
  <c r="U182" i="2"/>
  <c r="V182" i="2" s="1"/>
  <c r="U183" i="2"/>
  <c r="V183" i="2" s="1"/>
  <c r="U184" i="2"/>
  <c r="V184" i="2" s="1"/>
  <c r="U185" i="2"/>
  <c r="V185" i="2" s="1"/>
  <c r="U186" i="2"/>
  <c r="V186" i="2" s="1"/>
  <c r="U187" i="2"/>
  <c r="V187" i="2" s="1"/>
  <c r="U188" i="2"/>
  <c r="V188" i="2" s="1"/>
  <c r="U189" i="2"/>
  <c r="V189" i="2" s="1"/>
  <c r="U190" i="2"/>
  <c r="V190" i="2" s="1"/>
  <c r="U191" i="2"/>
  <c r="V191" i="2" s="1"/>
  <c r="U192" i="2"/>
  <c r="V192" i="2" s="1"/>
  <c r="U193" i="2"/>
  <c r="V193" i="2" s="1"/>
  <c r="U194" i="2"/>
  <c r="V194" i="2" s="1"/>
  <c r="U195" i="2"/>
  <c r="V195" i="2" s="1"/>
  <c r="U196" i="2"/>
  <c r="V196" i="2" s="1"/>
  <c r="U197" i="2"/>
  <c r="V197" i="2" s="1"/>
  <c r="U198" i="2"/>
  <c r="V198" i="2" s="1"/>
  <c r="U199" i="2"/>
  <c r="V199" i="2" s="1"/>
  <c r="U200" i="2"/>
  <c r="V200" i="2" s="1"/>
  <c r="U201" i="2"/>
  <c r="V201" i="2" s="1"/>
  <c r="U202" i="2"/>
  <c r="V202" i="2" s="1"/>
  <c r="U203" i="2"/>
  <c r="V203" i="2" s="1"/>
  <c r="U204" i="2"/>
  <c r="V204" i="2" s="1"/>
  <c r="U205" i="2"/>
  <c r="V205" i="2" s="1"/>
  <c r="U206" i="2"/>
  <c r="V206" i="2" s="1"/>
  <c r="U207" i="2"/>
  <c r="V207" i="2" s="1"/>
  <c r="U208" i="2"/>
  <c r="V208" i="2" s="1"/>
  <c r="U209" i="2"/>
  <c r="V209" i="2" s="1"/>
  <c r="U210" i="2"/>
  <c r="V210" i="2" s="1"/>
  <c r="U211" i="2"/>
  <c r="V211" i="2" s="1"/>
  <c r="U212" i="2"/>
  <c r="V212" i="2" s="1"/>
  <c r="U213" i="2"/>
  <c r="V213" i="2" s="1"/>
  <c r="U214" i="2"/>
  <c r="V214" i="2" s="1"/>
  <c r="U215" i="2"/>
  <c r="V215" i="2" s="1"/>
  <c r="U216" i="2"/>
  <c r="V216" i="2" s="1"/>
  <c r="U217" i="2"/>
  <c r="V217" i="2" s="1"/>
  <c r="U218" i="2"/>
  <c r="V218" i="2" s="1"/>
  <c r="U219" i="2"/>
  <c r="V219" i="2" s="1"/>
  <c r="U255" i="2"/>
  <c r="V255" i="2" s="1"/>
  <c r="U256" i="2"/>
  <c r="V256" i="2" s="1"/>
  <c r="U257" i="2"/>
  <c r="V257" i="2" s="1"/>
  <c r="W12" i="2"/>
  <c r="X12" i="2" s="1"/>
  <c r="W13" i="2"/>
  <c r="X13" i="2" s="1"/>
  <c r="W44" i="2"/>
  <c r="X44" i="2" s="1"/>
  <c r="W220" i="2"/>
  <c r="W221" i="2"/>
  <c r="W222" i="2"/>
  <c r="X222" i="2" s="1"/>
  <c r="W223" i="2"/>
  <c r="X223" i="2" s="1"/>
  <c r="W45" i="2"/>
  <c r="X45" i="2" s="1"/>
  <c r="W46" i="2"/>
  <c r="X46" i="2" s="1"/>
  <c r="W47" i="2"/>
  <c r="X47" i="2" s="1"/>
  <c r="W48" i="2"/>
  <c r="X48" i="2" s="1"/>
  <c r="W49" i="2"/>
  <c r="X49" i="2" s="1"/>
  <c r="W50" i="2"/>
  <c r="X50" i="2" s="1"/>
  <c r="W51" i="2"/>
  <c r="X51" i="2" s="1"/>
  <c r="W52" i="2"/>
  <c r="X52" i="2" s="1"/>
  <c r="W53" i="2"/>
  <c r="X53" i="2" s="1"/>
  <c r="W54" i="2"/>
  <c r="X54" i="2" s="1"/>
  <c r="W55" i="2"/>
  <c r="X55" i="2" s="1"/>
  <c r="W56" i="2"/>
  <c r="X56" i="2" s="1"/>
  <c r="W57" i="2"/>
  <c r="X57" i="2" s="1"/>
  <c r="W58" i="2"/>
  <c r="X58" i="2" s="1"/>
  <c r="W59" i="2"/>
  <c r="X59" i="2" s="1"/>
  <c r="W60" i="2"/>
  <c r="X60" i="2" s="1"/>
  <c r="W61" i="2"/>
  <c r="X61" i="2" s="1"/>
  <c r="W62" i="2"/>
  <c r="X62" i="2" s="1"/>
  <c r="W63" i="2"/>
  <c r="X63" i="2" s="1"/>
  <c r="W64" i="2"/>
  <c r="X64" i="2" s="1"/>
  <c r="W65" i="2"/>
  <c r="X65" i="2" s="1"/>
  <c r="W66" i="2"/>
  <c r="X66" i="2" s="1"/>
  <c r="W67" i="2"/>
  <c r="X67" i="2" s="1"/>
  <c r="W68" i="2"/>
  <c r="X68" i="2" s="1"/>
  <c r="W69" i="2"/>
  <c r="X69" i="2" s="1"/>
  <c r="W70" i="2"/>
  <c r="X70" i="2" s="1"/>
  <c r="W71" i="2"/>
  <c r="X71" i="2" s="1"/>
  <c r="W72" i="2"/>
  <c r="X72" i="2" s="1"/>
  <c r="W73" i="2"/>
  <c r="X73" i="2" s="1"/>
  <c r="W74" i="2"/>
  <c r="X74" i="2" s="1"/>
  <c r="W75" i="2"/>
  <c r="X75" i="2" s="1"/>
  <c r="W76" i="2"/>
  <c r="X76" i="2" s="1"/>
  <c r="W77" i="2"/>
  <c r="X77" i="2" s="1"/>
  <c r="W78" i="2"/>
  <c r="X78" i="2" s="1"/>
  <c r="W79" i="2"/>
  <c r="X79" i="2" s="1"/>
  <c r="W80" i="2"/>
  <c r="X80" i="2" s="1"/>
  <c r="W81" i="2"/>
  <c r="X81" i="2" s="1"/>
  <c r="W82" i="2"/>
  <c r="X82" i="2" s="1"/>
  <c r="W83" i="2"/>
  <c r="X83" i="2" s="1"/>
  <c r="W84" i="2"/>
  <c r="X84" i="2" s="1"/>
  <c r="W85" i="2"/>
  <c r="X85" i="2" s="1"/>
  <c r="W86" i="2"/>
  <c r="X86" i="2" s="1"/>
  <c r="W87" i="2"/>
  <c r="X87" i="2" s="1"/>
  <c r="W88" i="2"/>
  <c r="X88" i="2" s="1"/>
  <c r="W89" i="2"/>
  <c r="X89" i="2" s="1"/>
  <c r="W90" i="2"/>
  <c r="X90" i="2" s="1"/>
  <c r="W91" i="2"/>
  <c r="X91" i="2" s="1"/>
  <c r="W92" i="2"/>
  <c r="X92" i="2" s="1"/>
  <c r="W93" i="2"/>
  <c r="X93" i="2" s="1"/>
  <c r="W94" i="2"/>
  <c r="X94" i="2" s="1"/>
  <c r="W95" i="2"/>
  <c r="X95" i="2" s="1"/>
  <c r="W96" i="2"/>
  <c r="X96" i="2" s="1"/>
  <c r="W97" i="2"/>
  <c r="X97" i="2" s="1"/>
  <c r="W98" i="2"/>
  <c r="X98" i="2" s="1"/>
  <c r="W99" i="2"/>
  <c r="X99" i="2" s="1"/>
  <c r="W100" i="2"/>
  <c r="X100" i="2" s="1"/>
  <c r="W101" i="2"/>
  <c r="X101" i="2" s="1"/>
  <c r="W102" i="2"/>
  <c r="X102" i="2" s="1"/>
  <c r="W103" i="2"/>
  <c r="X103" i="2" s="1"/>
  <c r="W104" i="2"/>
  <c r="X104" i="2" s="1"/>
  <c r="W105" i="2"/>
  <c r="X105" i="2" s="1"/>
  <c r="W106" i="2"/>
  <c r="X106" i="2" s="1"/>
  <c r="W107" i="2"/>
  <c r="X107" i="2" s="1"/>
  <c r="W108" i="2"/>
  <c r="X108" i="2" s="1"/>
  <c r="W109" i="2"/>
  <c r="X109" i="2" s="1"/>
  <c r="W110" i="2"/>
  <c r="X110" i="2" s="1"/>
  <c r="W111" i="2"/>
  <c r="X111" i="2" s="1"/>
  <c r="W112" i="2"/>
  <c r="X112" i="2" s="1"/>
  <c r="W113" i="2"/>
  <c r="X113" i="2" s="1"/>
  <c r="W114" i="2"/>
  <c r="X114" i="2" s="1"/>
  <c r="W115" i="2"/>
  <c r="X115" i="2" s="1"/>
  <c r="W116" i="2"/>
  <c r="X116" i="2" s="1"/>
  <c r="W117" i="2"/>
  <c r="X117" i="2" s="1"/>
  <c r="W118" i="2"/>
  <c r="X118" i="2" s="1"/>
  <c r="W119" i="2"/>
  <c r="X119" i="2" s="1"/>
  <c r="W120" i="2"/>
  <c r="X120" i="2" s="1"/>
  <c r="W121" i="2"/>
  <c r="X121" i="2" s="1"/>
  <c r="W122" i="2"/>
  <c r="X122" i="2" s="1"/>
  <c r="W123" i="2"/>
  <c r="X123" i="2" s="1"/>
  <c r="W124" i="2"/>
  <c r="X124" i="2" s="1"/>
  <c r="W125" i="2"/>
  <c r="X125" i="2" s="1"/>
  <c r="W126" i="2"/>
  <c r="X126" i="2" s="1"/>
  <c r="W127" i="2"/>
  <c r="X127" i="2" s="1"/>
  <c r="W128" i="2"/>
  <c r="X128" i="2" s="1"/>
  <c r="W129" i="2"/>
  <c r="X129" i="2" s="1"/>
  <c r="W130" i="2"/>
  <c r="X130" i="2" s="1"/>
  <c r="W131" i="2"/>
  <c r="X131" i="2" s="1"/>
  <c r="W132" i="2"/>
  <c r="X132" i="2" s="1"/>
  <c r="W133" i="2"/>
  <c r="X133" i="2" s="1"/>
  <c r="W134" i="2"/>
  <c r="X134" i="2" s="1"/>
  <c r="W141" i="2"/>
  <c r="X141" i="2" s="1"/>
  <c r="W142" i="2"/>
  <c r="X142" i="2" s="1"/>
  <c r="W143" i="2"/>
  <c r="X143" i="2" s="1"/>
  <c r="W144" i="2"/>
  <c r="X144" i="2" s="1"/>
  <c r="W145" i="2"/>
  <c r="X145" i="2" s="1"/>
  <c r="W146" i="2"/>
  <c r="X146" i="2" s="1"/>
  <c r="W147" i="2"/>
  <c r="X147" i="2" s="1"/>
  <c r="W148" i="2"/>
  <c r="X148" i="2" s="1"/>
  <c r="W149" i="2"/>
  <c r="X149" i="2" s="1"/>
  <c r="W150" i="2"/>
  <c r="X150" i="2" s="1"/>
  <c r="W151" i="2"/>
  <c r="X151" i="2" s="1"/>
  <c r="W152" i="2"/>
  <c r="X152" i="2" s="1"/>
  <c r="W153" i="2"/>
  <c r="X153" i="2" s="1"/>
  <c r="W154" i="2"/>
  <c r="X154" i="2" s="1"/>
  <c r="W155" i="2"/>
  <c r="X155" i="2" s="1"/>
  <c r="W156" i="2"/>
  <c r="X156" i="2" s="1"/>
  <c r="W157" i="2"/>
  <c r="X157" i="2" s="1"/>
  <c r="W158" i="2"/>
  <c r="X158" i="2" s="1"/>
  <c r="W159" i="2"/>
  <c r="X159" i="2" s="1"/>
  <c r="W160" i="2"/>
  <c r="X160" i="2" s="1"/>
  <c r="W161" i="2"/>
  <c r="X161" i="2" s="1"/>
  <c r="W162" i="2"/>
  <c r="X162" i="2" s="1"/>
  <c r="W163" i="2"/>
  <c r="X163" i="2" s="1"/>
  <c r="W164" i="2"/>
  <c r="X164" i="2" s="1"/>
  <c r="W165" i="2"/>
  <c r="X165" i="2" s="1"/>
  <c r="W166" i="2"/>
  <c r="X166" i="2" s="1"/>
  <c r="W167" i="2"/>
  <c r="X167" i="2" s="1"/>
  <c r="W168" i="2"/>
  <c r="X168" i="2" s="1"/>
  <c r="W169" i="2"/>
  <c r="X169" i="2" s="1"/>
  <c r="W170" i="2"/>
  <c r="X170" i="2" s="1"/>
  <c r="W171" i="2"/>
  <c r="X171" i="2" s="1"/>
  <c r="W172" i="2"/>
  <c r="X172" i="2" s="1"/>
  <c r="W173" i="2"/>
  <c r="X173" i="2" s="1"/>
  <c r="W174" i="2"/>
  <c r="X174" i="2" s="1"/>
  <c r="W175" i="2"/>
  <c r="X175" i="2" s="1"/>
  <c r="W176" i="2"/>
  <c r="X176" i="2" s="1"/>
  <c r="W177" i="2"/>
  <c r="X177" i="2" s="1"/>
  <c r="W178" i="2"/>
  <c r="X178" i="2" s="1"/>
  <c r="W179" i="2"/>
  <c r="X179" i="2" s="1"/>
  <c r="W180" i="2"/>
  <c r="X180" i="2" s="1"/>
  <c r="W181" i="2"/>
  <c r="X181" i="2" s="1"/>
  <c r="W182" i="2"/>
  <c r="X182" i="2" s="1"/>
  <c r="W183" i="2"/>
  <c r="X183" i="2" s="1"/>
  <c r="W184" i="2"/>
  <c r="X184" i="2" s="1"/>
  <c r="W185" i="2"/>
  <c r="X185" i="2" s="1"/>
  <c r="W186" i="2"/>
  <c r="X186" i="2" s="1"/>
  <c r="W187" i="2"/>
  <c r="X187" i="2" s="1"/>
  <c r="W188" i="2"/>
  <c r="X188" i="2" s="1"/>
  <c r="W189" i="2"/>
  <c r="X189" i="2" s="1"/>
  <c r="W190" i="2"/>
  <c r="X190" i="2" s="1"/>
  <c r="W191" i="2"/>
  <c r="X191" i="2" s="1"/>
  <c r="W192" i="2"/>
  <c r="X192" i="2" s="1"/>
  <c r="W193" i="2"/>
  <c r="X193" i="2" s="1"/>
  <c r="W194" i="2"/>
  <c r="X194" i="2" s="1"/>
  <c r="W195" i="2"/>
  <c r="X195" i="2" s="1"/>
  <c r="W196" i="2"/>
  <c r="X196" i="2" s="1"/>
  <c r="W197" i="2"/>
  <c r="X197" i="2" s="1"/>
  <c r="W198" i="2"/>
  <c r="X198" i="2" s="1"/>
  <c r="W199" i="2"/>
  <c r="X199" i="2" s="1"/>
  <c r="W200" i="2"/>
  <c r="X200" i="2" s="1"/>
  <c r="W201" i="2"/>
  <c r="X201" i="2" s="1"/>
  <c r="W202" i="2"/>
  <c r="X202" i="2" s="1"/>
  <c r="W203" i="2"/>
  <c r="X203" i="2" s="1"/>
  <c r="W204" i="2"/>
  <c r="X204" i="2" s="1"/>
  <c r="W205" i="2"/>
  <c r="X205" i="2" s="1"/>
  <c r="W206" i="2"/>
  <c r="X206" i="2" s="1"/>
  <c r="W207" i="2"/>
  <c r="X207" i="2" s="1"/>
  <c r="W208" i="2"/>
  <c r="X208" i="2" s="1"/>
  <c r="W209" i="2"/>
  <c r="X209" i="2" s="1"/>
  <c r="W210" i="2"/>
  <c r="X210" i="2" s="1"/>
  <c r="W211" i="2"/>
  <c r="X211" i="2" s="1"/>
  <c r="W212" i="2"/>
  <c r="X212" i="2" s="1"/>
  <c r="W213" i="2"/>
  <c r="X213" i="2" s="1"/>
  <c r="W214" i="2"/>
  <c r="X214" i="2" s="1"/>
  <c r="W215" i="2"/>
  <c r="X215" i="2" s="1"/>
  <c r="W216" i="2"/>
  <c r="X216" i="2" s="1"/>
  <c r="W217" i="2"/>
  <c r="X217" i="2" s="1"/>
  <c r="W218" i="2"/>
  <c r="X218" i="2" s="1"/>
  <c r="W219" i="2"/>
  <c r="X219" i="2" s="1"/>
  <c r="W255" i="2"/>
  <c r="X255" i="2" s="1"/>
  <c r="W256" i="2"/>
  <c r="X256" i="2" s="1"/>
  <c r="W257" i="2"/>
  <c r="X257" i="2" s="1"/>
  <c r="X220" i="2"/>
  <c r="X221" i="2"/>
  <c r="Y12" i="2"/>
  <c r="Z12" i="2" s="1"/>
  <c r="Y13" i="2"/>
  <c r="Z13" i="2" s="1"/>
  <c r="Y44" i="2"/>
  <c r="Z44" i="2" s="1"/>
  <c r="Y220" i="2"/>
  <c r="Z220" i="2" s="1"/>
  <c r="Y221" i="2"/>
  <c r="Z221" i="2" s="1"/>
  <c r="Y222" i="2"/>
  <c r="Z222" i="2" s="1"/>
  <c r="Y223" i="2"/>
  <c r="Z223" i="2" s="1"/>
  <c r="Y45" i="2"/>
  <c r="Z45" i="2" s="1"/>
  <c r="Y46" i="2"/>
  <c r="Z46" i="2" s="1"/>
  <c r="Y47" i="2"/>
  <c r="Z47" i="2" s="1"/>
  <c r="Y48" i="2"/>
  <c r="Z48" i="2" s="1"/>
  <c r="Y49" i="2"/>
  <c r="Z49" i="2" s="1"/>
  <c r="Y50" i="2"/>
  <c r="Z50" i="2" s="1"/>
  <c r="Y51" i="2"/>
  <c r="Z51" i="2" s="1"/>
  <c r="Y52" i="2"/>
  <c r="Z52" i="2" s="1"/>
  <c r="Y53" i="2"/>
  <c r="Z53" i="2" s="1"/>
  <c r="Y54" i="2"/>
  <c r="Z54" i="2" s="1"/>
  <c r="Y55" i="2"/>
  <c r="Z55" i="2" s="1"/>
  <c r="Y56" i="2"/>
  <c r="Z56" i="2" s="1"/>
  <c r="Y57" i="2"/>
  <c r="Z57" i="2" s="1"/>
  <c r="Y58" i="2"/>
  <c r="Z58" i="2" s="1"/>
  <c r="Y59" i="2"/>
  <c r="Z59" i="2" s="1"/>
  <c r="Y60" i="2"/>
  <c r="Z60" i="2" s="1"/>
  <c r="Y61" i="2"/>
  <c r="Z61" i="2" s="1"/>
  <c r="Y62" i="2"/>
  <c r="Z62" i="2" s="1"/>
  <c r="Y63" i="2"/>
  <c r="Z63" i="2" s="1"/>
  <c r="Y64" i="2"/>
  <c r="Z64" i="2" s="1"/>
  <c r="Y65" i="2"/>
  <c r="Z65" i="2" s="1"/>
  <c r="Y66" i="2"/>
  <c r="Z66" i="2" s="1"/>
  <c r="Y67" i="2"/>
  <c r="Z67" i="2" s="1"/>
  <c r="Y68" i="2"/>
  <c r="Z68" i="2" s="1"/>
  <c r="Y69" i="2"/>
  <c r="Z69" i="2" s="1"/>
  <c r="Y70" i="2"/>
  <c r="Z70" i="2" s="1"/>
  <c r="Y71" i="2"/>
  <c r="Z71" i="2" s="1"/>
  <c r="Y72" i="2"/>
  <c r="Z72" i="2" s="1"/>
  <c r="Y73" i="2"/>
  <c r="Z73" i="2" s="1"/>
  <c r="Y74" i="2"/>
  <c r="Z74" i="2" s="1"/>
  <c r="Y75" i="2"/>
  <c r="Z75" i="2" s="1"/>
  <c r="Y76" i="2"/>
  <c r="Z76" i="2" s="1"/>
  <c r="Y77" i="2"/>
  <c r="Z77" i="2" s="1"/>
  <c r="Y78" i="2"/>
  <c r="Z78" i="2" s="1"/>
  <c r="Y79" i="2"/>
  <c r="Z79" i="2" s="1"/>
  <c r="Y80" i="2"/>
  <c r="Z80" i="2" s="1"/>
  <c r="Y81" i="2"/>
  <c r="Z81" i="2" s="1"/>
  <c r="Y82" i="2"/>
  <c r="Z82" i="2" s="1"/>
  <c r="Y83" i="2"/>
  <c r="Z83" i="2" s="1"/>
  <c r="Y84" i="2"/>
  <c r="Z84" i="2" s="1"/>
  <c r="Y85" i="2"/>
  <c r="Z85" i="2" s="1"/>
  <c r="Y86" i="2"/>
  <c r="Z86" i="2" s="1"/>
  <c r="Y87" i="2"/>
  <c r="Z87" i="2" s="1"/>
  <c r="Y88" i="2"/>
  <c r="Z88" i="2" s="1"/>
  <c r="Y89" i="2"/>
  <c r="Z89" i="2" s="1"/>
  <c r="Y90" i="2"/>
  <c r="Z90" i="2" s="1"/>
  <c r="Y91" i="2"/>
  <c r="Z91" i="2" s="1"/>
  <c r="Y92" i="2"/>
  <c r="Z92" i="2" s="1"/>
  <c r="Y93" i="2"/>
  <c r="Z93" i="2" s="1"/>
  <c r="Y94" i="2"/>
  <c r="Z94" i="2" s="1"/>
  <c r="Y95" i="2"/>
  <c r="Z95" i="2" s="1"/>
  <c r="Y96" i="2"/>
  <c r="Z96" i="2" s="1"/>
  <c r="Y97" i="2"/>
  <c r="Z97" i="2" s="1"/>
  <c r="Y98" i="2"/>
  <c r="Z98" i="2" s="1"/>
  <c r="Y99" i="2"/>
  <c r="Z99" i="2" s="1"/>
  <c r="Y100" i="2"/>
  <c r="Z100" i="2" s="1"/>
  <c r="Y101" i="2"/>
  <c r="Z101" i="2" s="1"/>
  <c r="Y102" i="2"/>
  <c r="Z102" i="2" s="1"/>
  <c r="Y103" i="2"/>
  <c r="Z103" i="2" s="1"/>
  <c r="Y104" i="2"/>
  <c r="Z104" i="2" s="1"/>
  <c r="Y105" i="2"/>
  <c r="Z105" i="2" s="1"/>
  <c r="Y106" i="2"/>
  <c r="Z106" i="2" s="1"/>
  <c r="Y107" i="2"/>
  <c r="Z107" i="2" s="1"/>
  <c r="Y108" i="2"/>
  <c r="Z108" i="2" s="1"/>
  <c r="Y109" i="2"/>
  <c r="Z109" i="2" s="1"/>
  <c r="Y110" i="2"/>
  <c r="Z110" i="2" s="1"/>
  <c r="Y111" i="2"/>
  <c r="Z111" i="2" s="1"/>
  <c r="Y112" i="2"/>
  <c r="Z112" i="2" s="1"/>
  <c r="Y113" i="2"/>
  <c r="Z113" i="2" s="1"/>
  <c r="Y114" i="2"/>
  <c r="Z114" i="2" s="1"/>
  <c r="Y115" i="2"/>
  <c r="Z115" i="2" s="1"/>
  <c r="Y116" i="2"/>
  <c r="Z116" i="2" s="1"/>
  <c r="Y117" i="2"/>
  <c r="Z117" i="2" s="1"/>
  <c r="Y118" i="2"/>
  <c r="Z118" i="2" s="1"/>
  <c r="Y119" i="2"/>
  <c r="Z119" i="2" s="1"/>
  <c r="Y120" i="2"/>
  <c r="Z120" i="2" s="1"/>
  <c r="Y121" i="2"/>
  <c r="Z121" i="2" s="1"/>
  <c r="Y122" i="2"/>
  <c r="Z122" i="2" s="1"/>
  <c r="Y123" i="2"/>
  <c r="Z123" i="2" s="1"/>
  <c r="Y124" i="2"/>
  <c r="Z124" i="2" s="1"/>
  <c r="Y125" i="2"/>
  <c r="Z125" i="2" s="1"/>
  <c r="Y126" i="2"/>
  <c r="Z126" i="2" s="1"/>
  <c r="Y127" i="2"/>
  <c r="Z127" i="2" s="1"/>
  <c r="Y128" i="2"/>
  <c r="Z128" i="2" s="1"/>
  <c r="Y129" i="2"/>
  <c r="Z129" i="2" s="1"/>
  <c r="Y130" i="2"/>
  <c r="Z130" i="2" s="1"/>
  <c r="Y131" i="2"/>
  <c r="Z131" i="2" s="1"/>
  <c r="Y132" i="2"/>
  <c r="Z132" i="2" s="1"/>
  <c r="Y133" i="2"/>
  <c r="Z133" i="2" s="1"/>
  <c r="Y134" i="2"/>
  <c r="Z134" i="2" s="1"/>
  <c r="Y141" i="2"/>
  <c r="Z141" i="2" s="1"/>
  <c r="Y142" i="2"/>
  <c r="Z142" i="2" s="1"/>
  <c r="Y143" i="2"/>
  <c r="Z143" i="2" s="1"/>
  <c r="Y144" i="2"/>
  <c r="Z144" i="2" s="1"/>
  <c r="Y145" i="2"/>
  <c r="Z145" i="2" s="1"/>
  <c r="Y146" i="2"/>
  <c r="Z146" i="2" s="1"/>
  <c r="Y147" i="2"/>
  <c r="Z147" i="2" s="1"/>
  <c r="Y148" i="2"/>
  <c r="Z148" i="2" s="1"/>
  <c r="Y149" i="2"/>
  <c r="Z149" i="2" s="1"/>
  <c r="Y150" i="2"/>
  <c r="Z150" i="2" s="1"/>
  <c r="Y151" i="2"/>
  <c r="Z151" i="2" s="1"/>
  <c r="Y152" i="2"/>
  <c r="Z152" i="2" s="1"/>
  <c r="Y153" i="2"/>
  <c r="Z153" i="2" s="1"/>
  <c r="Y154" i="2"/>
  <c r="Z154" i="2" s="1"/>
  <c r="Y155" i="2"/>
  <c r="Z155" i="2" s="1"/>
  <c r="Y156" i="2"/>
  <c r="Z156" i="2" s="1"/>
  <c r="Y157" i="2"/>
  <c r="Z157" i="2" s="1"/>
  <c r="Y158" i="2"/>
  <c r="Z158" i="2" s="1"/>
  <c r="Y159" i="2"/>
  <c r="Z159" i="2" s="1"/>
  <c r="Y160" i="2"/>
  <c r="Z160" i="2" s="1"/>
  <c r="Y161" i="2"/>
  <c r="Z161" i="2" s="1"/>
  <c r="Y162" i="2"/>
  <c r="Z162" i="2" s="1"/>
  <c r="Y163" i="2"/>
  <c r="Z163" i="2" s="1"/>
  <c r="Y164" i="2"/>
  <c r="Z164" i="2" s="1"/>
  <c r="Y165" i="2"/>
  <c r="Z165" i="2" s="1"/>
  <c r="Y166" i="2"/>
  <c r="Z166" i="2" s="1"/>
  <c r="Y167" i="2"/>
  <c r="Z167" i="2" s="1"/>
  <c r="Y168" i="2"/>
  <c r="Z168" i="2" s="1"/>
  <c r="Y169" i="2"/>
  <c r="Z169" i="2" s="1"/>
  <c r="Y170" i="2"/>
  <c r="Z170" i="2" s="1"/>
  <c r="Y171" i="2"/>
  <c r="Z171" i="2" s="1"/>
  <c r="Y172" i="2"/>
  <c r="Z172" i="2" s="1"/>
  <c r="Y173" i="2"/>
  <c r="Z173" i="2" s="1"/>
  <c r="Y174" i="2"/>
  <c r="Z174" i="2" s="1"/>
  <c r="Y175" i="2"/>
  <c r="Z175" i="2" s="1"/>
  <c r="Y176" i="2"/>
  <c r="Z176" i="2" s="1"/>
  <c r="Y177" i="2"/>
  <c r="Z177" i="2" s="1"/>
  <c r="Y178" i="2"/>
  <c r="Z178" i="2" s="1"/>
  <c r="Y179" i="2"/>
  <c r="Z179" i="2" s="1"/>
  <c r="Y180" i="2"/>
  <c r="Z180" i="2" s="1"/>
  <c r="Y181" i="2"/>
  <c r="Z181" i="2" s="1"/>
  <c r="Y182" i="2"/>
  <c r="Z182" i="2" s="1"/>
  <c r="Y183" i="2"/>
  <c r="Z183" i="2" s="1"/>
  <c r="Y184" i="2"/>
  <c r="Z184" i="2" s="1"/>
  <c r="Y185" i="2"/>
  <c r="Z185" i="2" s="1"/>
  <c r="Y186" i="2"/>
  <c r="Z186" i="2" s="1"/>
  <c r="Y187" i="2"/>
  <c r="Z187" i="2" s="1"/>
  <c r="Y188" i="2"/>
  <c r="Z188" i="2" s="1"/>
  <c r="Y189" i="2"/>
  <c r="Z189" i="2" s="1"/>
  <c r="Y190" i="2"/>
  <c r="Z190" i="2" s="1"/>
  <c r="Y191" i="2"/>
  <c r="Z191" i="2" s="1"/>
  <c r="Y192" i="2"/>
  <c r="Z192" i="2" s="1"/>
  <c r="Y193" i="2"/>
  <c r="Z193" i="2" s="1"/>
  <c r="Y194" i="2"/>
  <c r="Z194" i="2" s="1"/>
  <c r="Y195" i="2"/>
  <c r="Z195" i="2" s="1"/>
  <c r="Y196" i="2"/>
  <c r="Z196" i="2" s="1"/>
  <c r="Y197" i="2"/>
  <c r="Z197" i="2" s="1"/>
  <c r="Y198" i="2"/>
  <c r="Z198" i="2" s="1"/>
  <c r="Y199" i="2"/>
  <c r="Z199" i="2" s="1"/>
  <c r="Y200" i="2"/>
  <c r="Z200" i="2" s="1"/>
  <c r="Y201" i="2"/>
  <c r="Z201" i="2" s="1"/>
  <c r="Y202" i="2"/>
  <c r="Z202" i="2" s="1"/>
  <c r="Y203" i="2"/>
  <c r="Z203" i="2" s="1"/>
  <c r="Y204" i="2"/>
  <c r="Z204" i="2" s="1"/>
  <c r="Y205" i="2"/>
  <c r="Z205" i="2" s="1"/>
  <c r="Y206" i="2"/>
  <c r="Z206" i="2" s="1"/>
  <c r="Y207" i="2"/>
  <c r="Z207" i="2" s="1"/>
  <c r="Y208" i="2"/>
  <c r="Z208" i="2" s="1"/>
  <c r="Y209" i="2"/>
  <c r="Z209" i="2" s="1"/>
  <c r="Y210" i="2"/>
  <c r="Z210" i="2" s="1"/>
  <c r="Y211" i="2"/>
  <c r="Z211" i="2" s="1"/>
  <c r="Y212" i="2"/>
  <c r="Z212" i="2" s="1"/>
  <c r="Y213" i="2"/>
  <c r="Z213" i="2" s="1"/>
  <c r="Y214" i="2"/>
  <c r="Z214" i="2" s="1"/>
  <c r="Y215" i="2"/>
  <c r="Z215" i="2" s="1"/>
  <c r="Y216" i="2"/>
  <c r="Z216" i="2" s="1"/>
  <c r="Y217" i="2"/>
  <c r="Z217" i="2" s="1"/>
  <c r="Y218" i="2"/>
  <c r="Z218" i="2" s="1"/>
  <c r="Y219" i="2"/>
  <c r="Z219" i="2" s="1"/>
  <c r="Y255" i="2"/>
  <c r="Z255" i="2" s="1"/>
  <c r="Y256" i="2"/>
  <c r="Z256" i="2" s="1"/>
  <c r="Y257" i="2"/>
  <c r="Z257" i="2" s="1"/>
  <c r="AA12" i="2"/>
  <c r="AB12" i="2" s="1"/>
  <c r="AA13" i="2"/>
  <c r="AB13" i="2" s="1"/>
  <c r="AA44" i="2"/>
  <c r="AB44" i="2" s="1"/>
  <c r="AA220" i="2"/>
  <c r="AA221" i="2"/>
  <c r="AB221" i="2" s="1"/>
  <c r="AA222" i="2"/>
  <c r="AB222" i="2" s="1"/>
  <c r="AA223" i="2"/>
  <c r="AB223" i="2" s="1"/>
  <c r="AA45" i="2"/>
  <c r="AB45" i="2" s="1"/>
  <c r="AA46" i="2"/>
  <c r="AB46" i="2" s="1"/>
  <c r="AA47" i="2"/>
  <c r="AB47" i="2" s="1"/>
  <c r="AA48" i="2"/>
  <c r="AB48" i="2" s="1"/>
  <c r="AA49" i="2"/>
  <c r="AB49" i="2" s="1"/>
  <c r="AA50" i="2"/>
  <c r="AA51" i="2"/>
  <c r="AB51" i="2" s="1"/>
  <c r="AA52" i="2"/>
  <c r="AB52" i="2" s="1"/>
  <c r="AA53" i="2"/>
  <c r="AB53" i="2" s="1"/>
  <c r="AA54" i="2"/>
  <c r="AB54" i="2" s="1"/>
  <c r="AA55" i="2"/>
  <c r="AB55" i="2" s="1"/>
  <c r="AA56" i="2"/>
  <c r="AB56" i="2" s="1"/>
  <c r="AA57" i="2"/>
  <c r="AB57" i="2" s="1"/>
  <c r="AA58" i="2"/>
  <c r="AB58" i="2" s="1"/>
  <c r="AA59" i="2"/>
  <c r="AB59" i="2" s="1"/>
  <c r="AA60" i="2"/>
  <c r="AB60" i="2" s="1"/>
  <c r="AA61" i="2"/>
  <c r="AB61" i="2" s="1"/>
  <c r="AA62" i="2"/>
  <c r="AB62" i="2" s="1"/>
  <c r="AA63" i="2"/>
  <c r="AB63" i="2" s="1"/>
  <c r="AA64" i="2"/>
  <c r="AB64" i="2" s="1"/>
  <c r="AA65" i="2"/>
  <c r="AB65" i="2" s="1"/>
  <c r="AA66" i="2"/>
  <c r="AB66" i="2" s="1"/>
  <c r="AA67" i="2"/>
  <c r="AB67" i="2" s="1"/>
  <c r="AA68" i="2"/>
  <c r="AB68" i="2" s="1"/>
  <c r="AA69" i="2"/>
  <c r="AB69" i="2" s="1"/>
  <c r="AA70" i="2"/>
  <c r="AB70" i="2" s="1"/>
  <c r="AA71" i="2"/>
  <c r="AB71" i="2" s="1"/>
  <c r="AA72" i="2"/>
  <c r="AB72" i="2" s="1"/>
  <c r="AA73" i="2"/>
  <c r="AB73" i="2" s="1"/>
  <c r="AA74" i="2"/>
  <c r="AB74" i="2" s="1"/>
  <c r="AA75" i="2"/>
  <c r="AB75" i="2" s="1"/>
  <c r="AA76" i="2"/>
  <c r="AB76" i="2" s="1"/>
  <c r="AA77" i="2"/>
  <c r="AB77" i="2" s="1"/>
  <c r="AA78" i="2"/>
  <c r="AB78" i="2" s="1"/>
  <c r="AA79" i="2"/>
  <c r="AB79" i="2" s="1"/>
  <c r="AA80" i="2"/>
  <c r="AB80" i="2" s="1"/>
  <c r="AA81" i="2"/>
  <c r="AB81" i="2" s="1"/>
  <c r="AA82" i="2"/>
  <c r="AB82" i="2" s="1"/>
  <c r="AA83" i="2"/>
  <c r="AB83" i="2" s="1"/>
  <c r="AA84" i="2"/>
  <c r="AB84" i="2" s="1"/>
  <c r="AA85" i="2"/>
  <c r="AB85" i="2" s="1"/>
  <c r="AA86" i="2"/>
  <c r="AB86" i="2" s="1"/>
  <c r="AA87" i="2"/>
  <c r="AB87" i="2" s="1"/>
  <c r="AA88" i="2"/>
  <c r="AB88" i="2" s="1"/>
  <c r="AA89" i="2"/>
  <c r="AB89" i="2" s="1"/>
  <c r="AA90" i="2"/>
  <c r="AB90" i="2" s="1"/>
  <c r="AA91" i="2"/>
  <c r="AB91" i="2" s="1"/>
  <c r="AA92" i="2"/>
  <c r="AB92" i="2" s="1"/>
  <c r="AA93" i="2"/>
  <c r="AB93" i="2" s="1"/>
  <c r="AA94" i="2"/>
  <c r="AB94" i="2" s="1"/>
  <c r="AA95" i="2"/>
  <c r="AB95" i="2" s="1"/>
  <c r="AA96" i="2"/>
  <c r="AB96" i="2" s="1"/>
  <c r="AA97" i="2"/>
  <c r="AB97" i="2" s="1"/>
  <c r="AA98" i="2"/>
  <c r="AB98" i="2" s="1"/>
  <c r="AA99" i="2"/>
  <c r="AB99" i="2" s="1"/>
  <c r="AA100" i="2"/>
  <c r="AB100" i="2" s="1"/>
  <c r="AA101" i="2"/>
  <c r="AB101" i="2" s="1"/>
  <c r="AA102" i="2"/>
  <c r="AB102" i="2" s="1"/>
  <c r="AA103" i="2"/>
  <c r="AB103" i="2" s="1"/>
  <c r="AA104" i="2"/>
  <c r="AB104" i="2" s="1"/>
  <c r="AA105" i="2"/>
  <c r="AB105" i="2" s="1"/>
  <c r="AA106" i="2"/>
  <c r="AB106" i="2" s="1"/>
  <c r="AA107" i="2"/>
  <c r="AB107" i="2" s="1"/>
  <c r="AA108" i="2"/>
  <c r="AB108" i="2" s="1"/>
  <c r="AA109" i="2"/>
  <c r="AB109" i="2" s="1"/>
  <c r="AA110" i="2"/>
  <c r="AB110" i="2" s="1"/>
  <c r="AA111" i="2"/>
  <c r="AB111" i="2" s="1"/>
  <c r="AA112" i="2"/>
  <c r="AB112" i="2" s="1"/>
  <c r="AA113" i="2"/>
  <c r="AB113" i="2" s="1"/>
  <c r="AA114" i="2"/>
  <c r="AB114" i="2" s="1"/>
  <c r="AA115" i="2"/>
  <c r="AB115" i="2" s="1"/>
  <c r="AA116" i="2"/>
  <c r="AB116" i="2" s="1"/>
  <c r="AA117" i="2"/>
  <c r="AB117" i="2" s="1"/>
  <c r="AA118" i="2"/>
  <c r="AB118" i="2" s="1"/>
  <c r="AA119" i="2"/>
  <c r="AB119" i="2" s="1"/>
  <c r="AA120" i="2"/>
  <c r="AB120" i="2" s="1"/>
  <c r="AA121" i="2"/>
  <c r="AB121" i="2" s="1"/>
  <c r="AA122" i="2"/>
  <c r="AB122" i="2" s="1"/>
  <c r="AA123" i="2"/>
  <c r="AB123" i="2" s="1"/>
  <c r="AA124" i="2"/>
  <c r="AB124" i="2" s="1"/>
  <c r="AA125" i="2"/>
  <c r="AB125" i="2" s="1"/>
  <c r="AA126" i="2"/>
  <c r="AB126" i="2" s="1"/>
  <c r="AA127" i="2"/>
  <c r="AB127" i="2" s="1"/>
  <c r="AA128" i="2"/>
  <c r="AB128" i="2" s="1"/>
  <c r="AA129" i="2"/>
  <c r="AB129" i="2" s="1"/>
  <c r="AA130" i="2"/>
  <c r="AB130" i="2" s="1"/>
  <c r="AA131" i="2"/>
  <c r="AB131" i="2" s="1"/>
  <c r="AA132" i="2"/>
  <c r="AB132" i="2" s="1"/>
  <c r="AA133" i="2"/>
  <c r="AB133" i="2" s="1"/>
  <c r="AA134" i="2"/>
  <c r="AB134" i="2" s="1"/>
  <c r="AA141" i="2"/>
  <c r="AB141" i="2" s="1"/>
  <c r="AA142" i="2"/>
  <c r="AB142" i="2" s="1"/>
  <c r="AA143" i="2"/>
  <c r="AB143" i="2" s="1"/>
  <c r="AA144" i="2"/>
  <c r="AB144" i="2" s="1"/>
  <c r="AA145" i="2"/>
  <c r="AB145" i="2" s="1"/>
  <c r="AA146" i="2"/>
  <c r="AB146" i="2" s="1"/>
  <c r="AA147" i="2"/>
  <c r="AB147" i="2" s="1"/>
  <c r="AA148" i="2"/>
  <c r="AB148" i="2" s="1"/>
  <c r="AA149" i="2"/>
  <c r="AB149" i="2" s="1"/>
  <c r="AA150" i="2"/>
  <c r="AB150" i="2" s="1"/>
  <c r="AA151" i="2"/>
  <c r="AB151" i="2" s="1"/>
  <c r="AA152" i="2"/>
  <c r="AB152" i="2" s="1"/>
  <c r="AA153" i="2"/>
  <c r="AB153" i="2" s="1"/>
  <c r="AA154" i="2"/>
  <c r="AB154" i="2" s="1"/>
  <c r="AA155" i="2"/>
  <c r="AB155" i="2" s="1"/>
  <c r="AA156" i="2"/>
  <c r="AB156" i="2" s="1"/>
  <c r="AA157" i="2"/>
  <c r="AB157" i="2" s="1"/>
  <c r="AA158" i="2"/>
  <c r="AB158" i="2" s="1"/>
  <c r="AA159" i="2"/>
  <c r="AB159" i="2" s="1"/>
  <c r="AA160" i="2"/>
  <c r="AB160" i="2" s="1"/>
  <c r="AA161" i="2"/>
  <c r="AB161" i="2" s="1"/>
  <c r="AA162" i="2"/>
  <c r="AB162" i="2" s="1"/>
  <c r="AA163" i="2"/>
  <c r="AB163" i="2" s="1"/>
  <c r="AA164" i="2"/>
  <c r="AB164" i="2" s="1"/>
  <c r="AA165" i="2"/>
  <c r="AB165" i="2" s="1"/>
  <c r="AA166" i="2"/>
  <c r="AB166" i="2" s="1"/>
  <c r="AA167" i="2"/>
  <c r="AB167" i="2" s="1"/>
  <c r="AA168" i="2"/>
  <c r="AB168" i="2" s="1"/>
  <c r="AA169" i="2"/>
  <c r="AB169" i="2" s="1"/>
  <c r="AA170" i="2"/>
  <c r="AB170" i="2" s="1"/>
  <c r="AA171" i="2"/>
  <c r="AB171" i="2" s="1"/>
  <c r="AA172" i="2"/>
  <c r="AB172" i="2" s="1"/>
  <c r="AA173" i="2"/>
  <c r="AB173" i="2" s="1"/>
  <c r="AA174" i="2"/>
  <c r="AB174" i="2" s="1"/>
  <c r="AA175" i="2"/>
  <c r="AB175" i="2" s="1"/>
  <c r="AA176" i="2"/>
  <c r="AB176" i="2" s="1"/>
  <c r="AA177" i="2"/>
  <c r="AB177" i="2" s="1"/>
  <c r="AA178" i="2"/>
  <c r="AB178" i="2" s="1"/>
  <c r="AA179" i="2"/>
  <c r="AB179" i="2" s="1"/>
  <c r="AA180" i="2"/>
  <c r="AB180" i="2" s="1"/>
  <c r="AA181" i="2"/>
  <c r="AB181" i="2" s="1"/>
  <c r="AA182" i="2"/>
  <c r="AB182" i="2" s="1"/>
  <c r="AA183" i="2"/>
  <c r="AB183" i="2" s="1"/>
  <c r="AA184" i="2"/>
  <c r="AB184" i="2" s="1"/>
  <c r="AA185" i="2"/>
  <c r="AB185" i="2" s="1"/>
  <c r="AA186" i="2"/>
  <c r="AB186" i="2" s="1"/>
  <c r="AA187" i="2"/>
  <c r="AB187" i="2" s="1"/>
  <c r="AA188" i="2"/>
  <c r="AB188" i="2" s="1"/>
  <c r="AA189" i="2"/>
  <c r="AB189" i="2" s="1"/>
  <c r="AA190" i="2"/>
  <c r="AB190" i="2" s="1"/>
  <c r="AA191" i="2"/>
  <c r="AB191" i="2" s="1"/>
  <c r="AA192" i="2"/>
  <c r="AB192" i="2" s="1"/>
  <c r="AA193" i="2"/>
  <c r="AB193" i="2" s="1"/>
  <c r="AA194" i="2"/>
  <c r="AB194" i="2" s="1"/>
  <c r="AA195" i="2"/>
  <c r="AB195" i="2" s="1"/>
  <c r="AA196" i="2"/>
  <c r="AB196" i="2" s="1"/>
  <c r="AA197" i="2"/>
  <c r="AB197" i="2" s="1"/>
  <c r="AA198" i="2"/>
  <c r="AB198" i="2" s="1"/>
  <c r="AA199" i="2"/>
  <c r="AB199" i="2" s="1"/>
  <c r="AA200" i="2"/>
  <c r="AB200" i="2" s="1"/>
  <c r="AA201" i="2"/>
  <c r="AB201" i="2" s="1"/>
  <c r="AA202" i="2"/>
  <c r="AB202" i="2" s="1"/>
  <c r="AA203" i="2"/>
  <c r="AB203" i="2" s="1"/>
  <c r="AA204" i="2"/>
  <c r="AB204" i="2" s="1"/>
  <c r="AA205" i="2"/>
  <c r="AB205" i="2" s="1"/>
  <c r="AA206" i="2"/>
  <c r="AB206" i="2" s="1"/>
  <c r="AA207" i="2"/>
  <c r="AB207" i="2" s="1"/>
  <c r="AA208" i="2"/>
  <c r="AB208" i="2" s="1"/>
  <c r="AA209" i="2"/>
  <c r="AB209" i="2" s="1"/>
  <c r="AA210" i="2"/>
  <c r="AB210" i="2" s="1"/>
  <c r="AA211" i="2"/>
  <c r="AB211" i="2" s="1"/>
  <c r="AA212" i="2"/>
  <c r="AB212" i="2" s="1"/>
  <c r="AA213" i="2"/>
  <c r="AB213" i="2" s="1"/>
  <c r="AA214" i="2"/>
  <c r="AB214" i="2" s="1"/>
  <c r="AA215" i="2"/>
  <c r="AB215" i="2" s="1"/>
  <c r="AA216" i="2"/>
  <c r="AB216" i="2" s="1"/>
  <c r="AA217" i="2"/>
  <c r="AB217" i="2" s="1"/>
  <c r="AA218" i="2"/>
  <c r="AB218" i="2" s="1"/>
  <c r="AA219" i="2"/>
  <c r="AB219" i="2" s="1"/>
  <c r="AA255" i="2"/>
  <c r="AB255" i="2" s="1"/>
  <c r="AA256" i="2"/>
  <c r="AB256" i="2" s="1"/>
  <c r="AA257" i="2"/>
  <c r="AB257" i="2" s="1"/>
  <c r="AB220" i="2"/>
  <c r="AB50" i="2"/>
  <c r="AC12" i="2"/>
  <c r="AD12" i="2" s="1"/>
  <c r="AC13" i="2"/>
  <c r="AD13" i="2" s="1"/>
  <c r="AC44" i="2"/>
  <c r="AD44" i="2" s="1"/>
  <c r="AC220" i="2"/>
  <c r="AD220" i="2" s="1"/>
  <c r="AC221" i="2"/>
  <c r="AD221" i="2" s="1"/>
  <c r="AC222" i="2"/>
  <c r="AD222" i="2" s="1"/>
  <c r="AC223" i="2"/>
  <c r="AD223" i="2" s="1"/>
  <c r="AC45" i="2"/>
  <c r="AD45" i="2" s="1"/>
  <c r="AC46" i="2"/>
  <c r="AD46" i="2" s="1"/>
  <c r="AC47" i="2"/>
  <c r="AD47" i="2" s="1"/>
  <c r="AC48" i="2"/>
  <c r="AD48" i="2" s="1"/>
  <c r="AC49" i="2"/>
  <c r="AD49" i="2" s="1"/>
  <c r="AC50" i="2"/>
  <c r="AD50" i="2" s="1"/>
  <c r="AC51" i="2"/>
  <c r="AD51" i="2" s="1"/>
  <c r="AC52" i="2"/>
  <c r="AD52" i="2" s="1"/>
  <c r="AC53" i="2"/>
  <c r="AD53" i="2" s="1"/>
  <c r="AC54" i="2"/>
  <c r="AD54" i="2" s="1"/>
  <c r="AC55" i="2"/>
  <c r="AD55" i="2" s="1"/>
  <c r="AC56" i="2"/>
  <c r="AD56" i="2" s="1"/>
  <c r="AC57" i="2"/>
  <c r="AD57" i="2" s="1"/>
  <c r="AC58" i="2"/>
  <c r="AD58" i="2" s="1"/>
  <c r="AC59" i="2"/>
  <c r="AD59" i="2" s="1"/>
  <c r="AC60" i="2"/>
  <c r="AD60" i="2" s="1"/>
  <c r="AC61" i="2"/>
  <c r="AD61" i="2" s="1"/>
  <c r="AC62" i="2"/>
  <c r="AD62" i="2" s="1"/>
  <c r="AC63" i="2"/>
  <c r="AD63" i="2" s="1"/>
  <c r="AC64" i="2"/>
  <c r="AD64" i="2" s="1"/>
  <c r="AC65" i="2"/>
  <c r="AD65" i="2" s="1"/>
  <c r="AC66" i="2"/>
  <c r="AD66" i="2" s="1"/>
  <c r="AC67" i="2"/>
  <c r="AD67" i="2" s="1"/>
  <c r="AC68" i="2"/>
  <c r="AD68" i="2" s="1"/>
  <c r="AC69" i="2"/>
  <c r="AD69" i="2" s="1"/>
  <c r="AC70" i="2"/>
  <c r="AD70" i="2" s="1"/>
  <c r="AC71" i="2"/>
  <c r="AD71" i="2" s="1"/>
  <c r="AC72" i="2"/>
  <c r="AD72" i="2" s="1"/>
  <c r="AC73" i="2"/>
  <c r="AD73" i="2" s="1"/>
  <c r="AC74" i="2"/>
  <c r="AD74" i="2" s="1"/>
  <c r="AC75" i="2"/>
  <c r="AD75" i="2" s="1"/>
  <c r="AC76" i="2"/>
  <c r="AD76" i="2" s="1"/>
  <c r="AC77" i="2"/>
  <c r="AD77" i="2" s="1"/>
  <c r="AC78" i="2"/>
  <c r="AD78" i="2" s="1"/>
  <c r="AC79" i="2"/>
  <c r="AD79" i="2" s="1"/>
  <c r="AC80" i="2"/>
  <c r="AD80" i="2" s="1"/>
  <c r="AC81" i="2"/>
  <c r="AD81" i="2" s="1"/>
  <c r="AC82" i="2"/>
  <c r="AD82" i="2" s="1"/>
  <c r="AC83" i="2"/>
  <c r="AD83" i="2" s="1"/>
  <c r="AC84" i="2"/>
  <c r="AD84" i="2" s="1"/>
  <c r="AC85" i="2"/>
  <c r="AD85" i="2" s="1"/>
  <c r="AC86" i="2"/>
  <c r="AD86" i="2" s="1"/>
  <c r="AC87" i="2"/>
  <c r="AD87" i="2" s="1"/>
  <c r="AC88" i="2"/>
  <c r="AD88" i="2" s="1"/>
  <c r="AC89" i="2"/>
  <c r="AD89" i="2" s="1"/>
  <c r="AC90" i="2"/>
  <c r="AD90" i="2" s="1"/>
  <c r="AC91" i="2"/>
  <c r="AD91" i="2" s="1"/>
  <c r="AC92" i="2"/>
  <c r="AD92" i="2" s="1"/>
  <c r="AC93" i="2"/>
  <c r="AD93" i="2" s="1"/>
  <c r="AC94" i="2"/>
  <c r="AD94" i="2" s="1"/>
  <c r="AC95" i="2"/>
  <c r="AD95" i="2" s="1"/>
  <c r="AC96" i="2"/>
  <c r="AD96" i="2" s="1"/>
  <c r="AC97" i="2"/>
  <c r="AD97" i="2" s="1"/>
  <c r="AC98" i="2"/>
  <c r="AD98" i="2" s="1"/>
  <c r="AC99" i="2"/>
  <c r="AD99" i="2" s="1"/>
  <c r="AC100" i="2"/>
  <c r="AD100" i="2" s="1"/>
  <c r="AC101" i="2"/>
  <c r="AD101" i="2" s="1"/>
  <c r="AC102" i="2"/>
  <c r="AD102" i="2" s="1"/>
  <c r="AC103" i="2"/>
  <c r="AD103" i="2" s="1"/>
  <c r="AC104" i="2"/>
  <c r="AD104" i="2" s="1"/>
  <c r="AC105" i="2"/>
  <c r="AD105" i="2" s="1"/>
  <c r="AC106" i="2"/>
  <c r="AD106" i="2" s="1"/>
  <c r="AC107" i="2"/>
  <c r="AD107" i="2" s="1"/>
  <c r="AC108" i="2"/>
  <c r="AD108" i="2" s="1"/>
  <c r="AC109" i="2"/>
  <c r="AD109" i="2" s="1"/>
  <c r="AC110" i="2"/>
  <c r="AD110" i="2" s="1"/>
  <c r="AC111" i="2"/>
  <c r="AD111" i="2" s="1"/>
  <c r="AC112" i="2"/>
  <c r="AD112" i="2" s="1"/>
  <c r="AC113" i="2"/>
  <c r="AD113" i="2" s="1"/>
  <c r="AC114" i="2"/>
  <c r="AD114" i="2" s="1"/>
  <c r="AC115" i="2"/>
  <c r="AD115" i="2" s="1"/>
  <c r="AC116" i="2"/>
  <c r="AD116" i="2" s="1"/>
  <c r="AC117" i="2"/>
  <c r="AD117" i="2" s="1"/>
  <c r="AC118" i="2"/>
  <c r="AD118" i="2" s="1"/>
  <c r="AC119" i="2"/>
  <c r="AD119" i="2" s="1"/>
  <c r="AC120" i="2"/>
  <c r="AD120" i="2" s="1"/>
  <c r="AC121" i="2"/>
  <c r="AD121" i="2" s="1"/>
  <c r="AC122" i="2"/>
  <c r="AD122" i="2" s="1"/>
  <c r="AC123" i="2"/>
  <c r="AD123" i="2" s="1"/>
  <c r="AC124" i="2"/>
  <c r="AD124" i="2" s="1"/>
  <c r="AC125" i="2"/>
  <c r="AD125" i="2" s="1"/>
  <c r="AC126" i="2"/>
  <c r="AD126" i="2" s="1"/>
  <c r="AC127" i="2"/>
  <c r="AD127" i="2" s="1"/>
  <c r="AC128" i="2"/>
  <c r="AD128" i="2" s="1"/>
  <c r="AC129" i="2"/>
  <c r="AD129" i="2" s="1"/>
  <c r="AC130" i="2"/>
  <c r="AD130" i="2" s="1"/>
  <c r="AC131" i="2"/>
  <c r="AD131" i="2" s="1"/>
  <c r="AC132" i="2"/>
  <c r="AD132" i="2" s="1"/>
  <c r="AC133" i="2"/>
  <c r="AD133" i="2" s="1"/>
  <c r="AC134" i="2"/>
  <c r="AD134" i="2" s="1"/>
  <c r="AC141" i="2"/>
  <c r="AD141" i="2" s="1"/>
  <c r="AC142" i="2"/>
  <c r="AD142" i="2" s="1"/>
  <c r="AC143" i="2"/>
  <c r="AD143" i="2" s="1"/>
  <c r="AC144" i="2"/>
  <c r="AD144" i="2" s="1"/>
  <c r="AC145" i="2"/>
  <c r="AD145" i="2" s="1"/>
  <c r="AC146" i="2"/>
  <c r="AD146" i="2" s="1"/>
  <c r="AC147" i="2"/>
  <c r="AD147" i="2" s="1"/>
  <c r="AC148" i="2"/>
  <c r="AD148" i="2" s="1"/>
  <c r="AC149" i="2"/>
  <c r="AD149" i="2" s="1"/>
  <c r="AC150" i="2"/>
  <c r="AD150" i="2" s="1"/>
  <c r="AC151" i="2"/>
  <c r="AD151" i="2" s="1"/>
  <c r="AC152" i="2"/>
  <c r="AD152" i="2" s="1"/>
  <c r="AC153" i="2"/>
  <c r="AD153" i="2" s="1"/>
  <c r="AC154" i="2"/>
  <c r="AD154" i="2" s="1"/>
  <c r="AC155" i="2"/>
  <c r="AD155" i="2" s="1"/>
  <c r="AC156" i="2"/>
  <c r="AD156" i="2" s="1"/>
  <c r="AC157" i="2"/>
  <c r="AD157" i="2" s="1"/>
  <c r="AC158" i="2"/>
  <c r="AD158" i="2" s="1"/>
  <c r="AC159" i="2"/>
  <c r="AD159" i="2" s="1"/>
  <c r="AC160" i="2"/>
  <c r="AD160" i="2" s="1"/>
  <c r="AC161" i="2"/>
  <c r="AD161" i="2" s="1"/>
  <c r="AC162" i="2"/>
  <c r="AD162" i="2" s="1"/>
  <c r="AC163" i="2"/>
  <c r="AD163" i="2" s="1"/>
  <c r="AC164" i="2"/>
  <c r="AD164" i="2" s="1"/>
  <c r="AC165" i="2"/>
  <c r="AD165" i="2" s="1"/>
  <c r="AC166" i="2"/>
  <c r="AD166" i="2" s="1"/>
  <c r="AC167" i="2"/>
  <c r="AD167" i="2" s="1"/>
  <c r="AC168" i="2"/>
  <c r="AD168" i="2" s="1"/>
  <c r="AC169" i="2"/>
  <c r="AD169" i="2" s="1"/>
  <c r="AC170" i="2"/>
  <c r="AD170" i="2" s="1"/>
  <c r="AC171" i="2"/>
  <c r="AD171" i="2" s="1"/>
  <c r="AC172" i="2"/>
  <c r="AD172" i="2" s="1"/>
  <c r="AC173" i="2"/>
  <c r="AD173" i="2" s="1"/>
  <c r="AC174" i="2"/>
  <c r="AD174" i="2" s="1"/>
  <c r="AC175" i="2"/>
  <c r="AD175" i="2" s="1"/>
  <c r="AC176" i="2"/>
  <c r="AD176" i="2" s="1"/>
  <c r="AC177" i="2"/>
  <c r="AD177" i="2" s="1"/>
  <c r="AC178" i="2"/>
  <c r="AD178" i="2" s="1"/>
  <c r="AC179" i="2"/>
  <c r="AD179" i="2" s="1"/>
  <c r="AC180" i="2"/>
  <c r="AD180" i="2" s="1"/>
  <c r="AC181" i="2"/>
  <c r="AD181" i="2" s="1"/>
  <c r="AC182" i="2"/>
  <c r="AD182" i="2" s="1"/>
  <c r="AC183" i="2"/>
  <c r="AD183" i="2" s="1"/>
  <c r="AC184" i="2"/>
  <c r="AD184" i="2" s="1"/>
  <c r="AC185" i="2"/>
  <c r="AD185" i="2" s="1"/>
  <c r="AC186" i="2"/>
  <c r="AD186" i="2" s="1"/>
  <c r="AC187" i="2"/>
  <c r="AD187" i="2" s="1"/>
  <c r="AC188" i="2"/>
  <c r="AD188" i="2" s="1"/>
  <c r="AC189" i="2"/>
  <c r="AD189" i="2" s="1"/>
  <c r="AC190" i="2"/>
  <c r="AD190" i="2" s="1"/>
  <c r="AC191" i="2"/>
  <c r="AD191" i="2" s="1"/>
  <c r="AC192" i="2"/>
  <c r="AD192" i="2" s="1"/>
  <c r="AC193" i="2"/>
  <c r="AD193" i="2" s="1"/>
  <c r="AC194" i="2"/>
  <c r="AD194" i="2" s="1"/>
  <c r="AC195" i="2"/>
  <c r="AD195" i="2" s="1"/>
  <c r="AC196" i="2"/>
  <c r="AD196" i="2" s="1"/>
  <c r="AC197" i="2"/>
  <c r="AD197" i="2" s="1"/>
  <c r="AC198" i="2"/>
  <c r="AD198" i="2" s="1"/>
  <c r="AC199" i="2"/>
  <c r="AD199" i="2" s="1"/>
  <c r="AC200" i="2"/>
  <c r="AD200" i="2" s="1"/>
  <c r="AC201" i="2"/>
  <c r="AD201" i="2" s="1"/>
  <c r="AC202" i="2"/>
  <c r="AD202" i="2" s="1"/>
  <c r="AC203" i="2"/>
  <c r="AD203" i="2" s="1"/>
  <c r="AC204" i="2"/>
  <c r="AD204" i="2" s="1"/>
  <c r="AC205" i="2"/>
  <c r="AD205" i="2" s="1"/>
  <c r="AC206" i="2"/>
  <c r="AD206" i="2" s="1"/>
  <c r="AC207" i="2"/>
  <c r="AD207" i="2" s="1"/>
  <c r="AC208" i="2"/>
  <c r="AD208" i="2" s="1"/>
  <c r="AC209" i="2"/>
  <c r="AD209" i="2" s="1"/>
  <c r="AC210" i="2"/>
  <c r="AD210" i="2" s="1"/>
  <c r="AC211" i="2"/>
  <c r="AD211" i="2" s="1"/>
  <c r="AC212" i="2"/>
  <c r="AD212" i="2" s="1"/>
  <c r="AC213" i="2"/>
  <c r="AD213" i="2" s="1"/>
  <c r="AC214" i="2"/>
  <c r="AD214" i="2" s="1"/>
  <c r="AC215" i="2"/>
  <c r="AD215" i="2" s="1"/>
  <c r="AC216" i="2"/>
  <c r="AD216" i="2" s="1"/>
  <c r="AC217" i="2"/>
  <c r="AD217" i="2" s="1"/>
  <c r="AC218" i="2"/>
  <c r="AD218" i="2" s="1"/>
  <c r="AC219" i="2"/>
  <c r="AD219" i="2" s="1"/>
  <c r="AC255" i="2"/>
  <c r="AD255" i="2" s="1"/>
  <c r="AC256" i="2"/>
  <c r="AD256" i="2" s="1"/>
  <c r="AC257" i="2"/>
  <c r="AD257" i="2" s="1"/>
  <c r="AE12" i="2"/>
  <c r="AE13" i="2"/>
  <c r="AE44" i="2"/>
  <c r="AE220" i="2"/>
  <c r="AE221" i="2"/>
  <c r="AE222" i="2"/>
  <c r="AE223" i="2"/>
  <c r="AE45" i="2"/>
  <c r="AE46" i="2"/>
  <c r="AE47" i="2"/>
  <c r="AE48" i="2"/>
  <c r="AE49" i="2"/>
  <c r="AE50" i="2"/>
  <c r="AE51" i="2"/>
  <c r="AE52" i="2"/>
  <c r="AE53" i="2"/>
  <c r="AE54" i="2"/>
  <c r="AE55" i="2"/>
  <c r="AE56" i="2"/>
  <c r="AE57" i="2"/>
  <c r="AE58" i="2"/>
  <c r="AE59" i="2"/>
  <c r="AE60" i="2"/>
  <c r="AE61" i="2"/>
  <c r="AE62" i="2"/>
  <c r="AE63" i="2"/>
  <c r="AE64" i="2"/>
  <c r="AE65" i="2"/>
  <c r="AE66" i="2"/>
  <c r="AE67" i="2"/>
  <c r="AE68" i="2"/>
  <c r="AE69" i="2"/>
  <c r="AE70" i="2"/>
  <c r="AE71" i="2"/>
  <c r="AE72" i="2"/>
  <c r="AE73" i="2"/>
  <c r="AE74" i="2"/>
  <c r="AE75" i="2"/>
  <c r="AE76" i="2"/>
  <c r="AE77" i="2"/>
  <c r="AE78" i="2"/>
  <c r="AE79" i="2"/>
  <c r="AE80" i="2"/>
  <c r="AE81" i="2"/>
  <c r="AE82" i="2"/>
  <c r="AE83" i="2"/>
  <c r="AE84" i="2"/>
  <c r="AE85" i="2"/>
  <c r="AE86" i="2"/>
  <c r="AE87" i="2"/>
  <c r="AE88" i="2"/>
  <c r="AE89" i="2"/>
  <c r="AE90" i="2"/>
  <c r="AE91" i="2"/>
  <c r="AE92" i="2"/>
  <c r="AE93" i="2"/>
  <c r="AE94" i="2"/>
  <c r="AE95" i="2"/>
  <c r="AE96" i="2"/>
  <c r="AE97" i="2"/>
  <c r="AE98" i="2"/>
  <c r="AE99" i="2"/>
  <c r="AE100" i="2"/>
  <c r="AE101" i="2"/>
  <c r="AE102" i="2"/>
  <c r="AE103" i="2"/>
  <c r="AE104" i="2"/>
  <c r="AE105" i="2"/>
  <c r="AE106" i="2"/>
  <c r="AE107" i="2"/>
  <c r="AE108" i="2"/>
  <c r="AE109" i="2"/>
  <c r="AE110" i="2"/>
  <c r="AE111" i="2"/>
  <c r="AE112" i="2"/>
  <c r="AE113" i="2"/>
  <c r="AE114" i="2"/>
  <c r="AE115" i="2"/>
  <c r="AE116" i="2"/>
  <c r="AE117" i="2"/>
  <c r="AE118" i="2"/>
  <c r="AE119" i="2"/>
  <c r="AE120" i="2"/>
  <c r="AE121" i="2"/>
  <c r="AE122" i="2"/>
  <c r="AE123" i="2"/>
  <c r="AE124" i="2"/>
  <c r="AE125" i="2"/>
  <c r="AE126" i="2"/>
  <c r="AE127" i="2"/>
  <c r="AE128" i="2"/>
  <c r="AE129" i="2"/>
  <c r="AE130" i="2"/>
  <c r="AE131" i="2"/>
  <c r="AE132" i="2"/>
  <c r="AE133" i="2"/>
  <c r="AE134" i="2"/>
  <c r="AE141" i="2"/>
  <c r="AE142" i="2"/>
  <c r="AE143" i="2"/>
  <c r="AE144" i="2"/>
  <c r="AE145" i="2"/>
  <c r="AE146" i="2"/>
  <c r="AE147" i="2"/>
  <c r="AE148" i="2"/>
  <c r="AE149" i="2"/>
  <c r="AE150" i="2"/>
  <c r="AE151" i="2"/>
  <c r="AE152" i="2"/>
  <c r="AE153" i="2"/>
  <c r="AE154" i="2"/>
  <c r="AE155" i="2"/>
  <c r="AE156" i="2"/>
  <c r="AE157" i="2"/>
  <c r="AE158" i="2"/>
  <c r="AE159" i="2"/>
  <c r="AE160" i="2"/>
  <c r="AE161" i="2"/>
  <c r="AE162" i="2"/>
  <c r="AE163" i="2"/>
  <c r="AE164" i="2"/>
  <c r="AE165" i="2"/>
  <c r="AE166" i="2"/>
  <c r="AE167" i="2"/>
  <c r="AE168" i="2"/>
  <c r="AE169" i="2"/>
  <c r="AE170" i="2"/>
  <c r="AE171" i="2"/>
  <c r="AE172" i="2"/>
  <c r="AE173" i="2"/>
  <c r="AE174" i="2"/>
  <c r="AE175" i="2"/>
  <c r="AE176" i="2"/>
  <c r="AE177" i="2"/>
  <c r="AE178" i="2"/>
  <c r="AE179" i="2"/>
  <c r="AE180" i="2"/>
  <c r="AE181" i="2"/>
  <c r="AE182" i="2"/>
  <c r="AE183" i="2"/>
  <c r="AE184" i="2"/>
  <c r="AE185" i="2"/>
  <c r="AE186" i="2"/>
  <c r="AE187" i="2"/>
  <c r="AE188" i="2"/>
  <c r="AE189" i="2"/>
  <c r="AE190" i="2"/>
  <c r="AE191" i="2"/>
  <c r="AE192" i="2"/>
  <c r="AE193" i="2"/>
  <c r="AE194" i="2"/>
  <c r="AE195" i="2"/>
  <c r="AE196" i="2"/>
  <c r="AE197" i="2"/>
  <c r="AE198" i="2"/>
  <c r="AE199" i="2"/>
  <c r="AE200" i="2"/>
  <c r="AE201" i="2"/>
  <c r="AE202" i="2"/>
  <c r="AE203" i="2"/>
  <c r="AE204" i="2"/>
  <c r="AE205" i="2"/>
  <c r="AE206" i="2"/>
  <c r="AE207" i="2"/>
  <c r="AE208" i="2"/>
  <c r="AE209" i="2"/>
  <c r="AE210" i="2"/>
  <c r="AE211" i="2"/>
  <c r="AE212" i="2"/>
  <c r="AE213" i="2"/>
  <c r="AE214" i="2"/>
  <c r="AE215" i="2"/>
  <c r="AE216" i="2"/>
  <c r="AE217" i="2"/>
  <c r="AE218" i="2"/>
  <c r="AE219" i="2"/>
  <c r="AE255" i="2"/>
  <c r="AE256" i="2"/>
  <c r="AE257" i="2"/>
  <c r="AF12" i="2"/>
  <c r="AF13" i="2"/>
  <c r="AF44" i="2"/>
  <c r="AF220" i="2"/>
  <c r="AF221" i="2"/>
  <c r="AF222" i="2"/>
  <c r="AF223" i="2"/>
  <c r="AF45" i="2"/>
  <c r="AF46" i="2"/>
  <c r="AF47" i="2"/>
  <c r="AF48" i="2"/>
  <c r="AF49" i="2"/>
  <c r="AF50" i="2"/>
  <c r="AF51" i="2"/>
  <c r="AF52" i="2"/>
  <c r="AF53" i="2"/>
  <c r="AF54" i="2"/>
  <c r="AF55" i="2"/>
  <c r="AF56" i="2"/>
  <c r="AF57" i="2"/>
  <c r="AF58" i="2"/>
  <c r="AF59" i="2"/>
  <c r="AF60" i="2"/>
  <c r="AF61" i="2"/>
  <c r="AF62" i="2"/>
  <c r="AF63" i="2"/>
  <c r="AF64" i="2"/>
  <c r="AF65" i="2"/>
  <c r="AF66" i="2"/>
  <c r="AF67" i="2"/>
  <c r="AF68" i="2"/>
  <c r="AF69" i="2"/>
  <c r="AF70" i="2"/>
  <c r="AF71" i="2"/>
  <c r="AF72" i="2"/>
  <c r="AF73" i="2"/>
  <c r="AF74" i="2"/>
  <c r="AF75" i="2"/>
  <c r="AF76" i="2"/>
  <c r="AF77" i="2"/>
  <c r="AF78" i="2"/>
  <c r="AF79" i="2"/>
  <c r="AF80" i="2"/>
  <c r="AF81" i="2"/>
  <c r="AF82" i="2"/>
  <c r="AF83" i="2"/>
  <c r="AF84" i="2"/>
  <c r="AF85" i="2"/>
  <c r="AF86" i="2"/>
  <c r="AF87" i="2"/>
  <c r="AF88" i="2"/>
  <c r="AF89" i="2"/>
  <c r="AF90" i="2"/>
  <c r="AF91" i="2"/>
  <c r="AF92" i="2"/>
  <c r="AF93" i="2"/>
  <c r="AF94" i="2"/>
  <c r="AF95" i="2"/>
  <c r="AF96" i="2"/>
  <c r="AF97" i="2"/>
  <c r="AF98" i="2"/>
  <c r="AF99" i="2"/>
  <c r="AF100" i="2"/>
  <c r="AF101" i="2"/>
  <c r="AF102" i="2"/>
  <c r="AF103" i="2"/>
  <c r="AF104" i="2"/>
  <c r="AF105" i="2"/>
  <c r="AF106" i="2"/>
  <c r="AF107" i="2"/>
  <c r="AF108" i="2"/>
  <c r="AF109" i="2"/>
  <c r="AF110" i="2"/>
  <c r="AF111" i="2"/>
  <c r="AF112" i="2"/>
  <c r="AF113" i="2"/>
  <c r="AF114" i="2"/>
  <c r="AF115" i="2"/>
  <c r="AF116" i="2"/>
  <c r="AF117" i="2"/>
  <c r="AF118" i="2"/>
  <c r="AF119" i="2"/>
  <c r="AF120" i="2"/>
  <c r="AF121" i="2"/>
  <c r="AF122" i="2"/>
  <c r="AF123" i="2"/>
  <c r="AF124" i="2"/>
  <c r="AF125" i="2"/>
  <c r="AF126" i="2"/>
  <c r="AF127" i="2"/>
  <c r="AF128" i="2"/>
  <c r="AF129" i="2"/>
  <c r="AF130" i="2"/>
  <c r="AF131" i="2"/>
  <c r="AF132" i="2"/>
  <c r="AF133" i="2"/>
  <c r="AF134" i="2"/>
  <c r="AF141" i="2"/>
  <c r="AF142" i="2"/>
  <c r="AF143" i="2"/>
  <c r="AF144" i="2"/>
  <c r="AF145" i="2"/>
  <c r="AF146" i="2"/>
  <c r="AF147" i="2"/>
  <c r="AF148" i="2"/>
  <c r="AF149" i="2"/>
  <c r="AF150" i="2"/>
  <c r="AF151" i="2"/>
  <c r="AF152" i="2"/>
  <c r="AF153" i="2"/>
  <c r="AF154" i="2"/>
  <c r="AF155" i="2"/>
  <c r="AF156" i="2"/>
  <c r="AF157" i="2"/>
  <c r="AF158" i="2"/>
  <c r="AF159" i="2"/>
  <c r="AF160" i="2"/>
  <c r="AF161" i="2"/>
  <c r="AF162" i="2"/>
  <c r="AF163" i="2"/>
  <c r="AF164" i="2"/>
  <c r="AF165" i="2"/>
  <c r="AF166" i="2"/>
  <c r="AF167" i="2"/>
  <c r="AF168" i="2"/>
  <c r="AF169" i="2"/>
  <c r="AF170" i="2"/>
  <c r="AF171" i="2"/>
  <c r="AF172" i="2"/>
  <c r="AF173" i="2"/>
  <c r="AF174" i="2"/>
  <c r="AF175" i="2"/>
  <c r="AF176" i="2"/>
  <c r="AF177" i="2"/>
  <c r="AF178" i="2"/>
  <c r="AF179" i="2"/>
  <c r="AF180" i="2"/>
  <c r="AF181" i="2"/>
  <c r="AF182" i="2"/>
  <c r="AF183" i="2"/>
  <c r="AF184" i="2"/>
  <c r="AF185" i="2"/>
  <c r="AF186" i="2"/>
  <c r="AF187" i="2"/>
  <c r="AF188" i="2"/>
  <c r="AF189" i="2"/>
  <c r="AF190" i="2"/>
  <c r="AF191" i="2"/>
  <c r="AF192" i="2"/>
  <c r="AF193" i="2"/>
  <c r="AF194" i="2"/>
  <c r="AF195" i="2"/>
  <c r="AF196" i="2"/>
  <c r="AF197" i="2"/>
  <c r="AF198" i="2"/>
  <c r="AF199" i="2"/>
  <c r="AF200" i="2"/>
  <c r="AF201" i="2"/>
  <c r="AF202" i="2"/>
  <c r="AF203" i="2"/>
  <c r="AF204" i="2"/>
  <c r="AF205" i="2"/>
  <c r="AF206" i="2"/>
  <c r="AF207" i="2"/>
  <c r="AF208" i="2"/>
  <c r="AF209" i="2"/>
  <c r="AF210" i="2"/>
  <c r="AF211" i="2"/>
  <c r="AF212" i="2"/>
  <c r="AF213" i="2"/>
  <c r="AF214" i="2"/>
  <c r="AF215" i="2"/>
  <c r="AF216" i="2"/>
  <c r="AF217" i="2"/>
  <c r="AF218" i="2"/>
  <c r="AF219" i="2"/>
  <c r="AF255" i="2"/>
  <c r="AF256" i="2"/>
  <c r="AF257" i="2"/>
  <c r="AG12" i="2"/>
  <c r="AH12" i="2" s="1"/>
  <c r="AG13" i="2"/>
  <c r="AH13" i="2" s="1"/>
  <c r="AG44" i="2"/>
  <c r="AH44" i="2" s="1"/>
  <c r="AG220" i="2"/>
  <c r="AG221" i="2"/>
  <c r="AH221" i="2" s="1"/>
  <c r="AG222" i="2"/>
  <c r="AH222" i="2" s="1"/>
  <c r="AG223" i="2"/>
  <c r="AH223" i="2" s="1"/>
  <c r="AG45" i="2"/>
  <c r="AH45" i="2" s="1"/>
  <c r="AG46" i="2"/>
  <c r="AH46" i="2" s="1"/>
  <c r="AG47" i="2"/>
  <c r="AH47" i="2" s="1"/>
  <c r="AG48" i="2"/>
  <c r="AH48" i="2" s="1"/>
  <c r="AG49" i="2"/>
  <c r="AH49" i="2" s="1"/>
  <c r="AG50" i="2"/>
  <c r="AH50" i="2" s="1"/>
  <c r="AG51" i="2"/>
  <c r="AH51" i="2" s="1"/>
  <c r="AG52" i="2"/>
  <c r="AH52" i="2" s="1"/>
  <c r="AG53" i="2"/>
  <c r="AH53" i="2" s="1"/>
  <c r="AG54" i="2"/>
  <c r="AH54" i="2" s="1"/>
  <c r="AG55" i="2"/>
  <c r="AH55" i="2" s="1"/>
  <c r="AG56" i="2"/>
  <c r="AH56" i="2" s="1"/>
  <c r="AG57" i="2"/>
  <c r="AH57" i="2" s="1"/>
  <c r="AG58" i="2"/>
  <c r="AH58" i="2" s="1"/>
  <c r="AG59" i="2"/>
  <c r="AH59" i="2" s="1"/>
  <c r="AG60" i="2"/>
  <c r="AH60" i="2" s="1"/>
  <c r="AG61" i="2"/>
  <c r="AH61" i="2" s="1"/>
  <c r="AG62" i="2"/>
  <c r="AH62" i="2" s="1"/>
  <c r="AG63" i="2"/>
  <c r="AH63" i="2" s="1"/>
  <c r="AG64" i="2"/>
  <c r="AH64" i="2" s="1"/>
  <c r="AG65" i="2"/>
  <c r="AH65" i="2" s="1"/>
  <c r="AG66" i="2"/>
  <c r="AH66" i="2" s="1"/>
  <c r="AG67" i="2"/>
  <c r="AH67" i="2" s="1"/>
  <c r="AG68" i="2"/>
  <c r="AH68" i="2" s="1"/>
  <c r="AG69" i="2"/>
  <c r="AH69" i="2" s="1"/>
  <c r="AG70" i="2"/>
  <c r="AH70" i="2" s="1"/>
  <c r="AG71" i="2"/>
  <c r="AH71" i="2" s="1"/>
  <c r="AG72" i="2"/>
  <c r="AH72" i="2" s="1"/>
  <c r="AG73" i="2"/>
  <c r="AH73" i="2" s="1"/>
  <c r="AG74" i="2"/>
  <c r="AH74" i="2" s="1"/>
  <c r="AG75" i="2"/>
  <c r="AH75" i="2" s="1"/>
  <c r="AG76" i="2"/>
  <c r="AH76" i="2" s="1"/>
  <c r="AG77" i="2"/>
  <c r="AH77" i="2" s="1"/>
  <c r="AG78" i="2"/>
  <c r="AH78" i="2" s="1"/>
  <c r="AG79" i="2"/>
  <c r="AH79" i="2" s="1"/>
  <c r="AG80" i="2"/>
  <c r="AH80" i="2" s="1"/>
  <c r="AG81" i="2"/>
  <c r="AH81" i="2" s="1"/>
  <c r="AG82" i="2"/>
  <c r="AH82" i="2" s="1"/>
  <c r="AG83" i="2"/>
  <c r="AH83" i="2" s="1"/>
  <c r="AG84" i="2"/>
  <c r="AH84" i="2" s="1"/>
  <c r="AG85" i="2"/>
  <c r="AH85" i="2" s="1"/>
  <c r="AG86" i="2"/>
  <c r="AH86" i="2" s="1"/>
  <c r="AG87" i="2"/>
  <c r="AH87" i="2" s="1"/>
  <c r="AG88" i="2"/>
  <c r="AH88" i="2" s="1"/>
  <c r="AG89" i="2"/>
  <c r="AH89" i="2" s="1"/>
  <c r="AG90" i="2"/>
  <c r="AH90" i="2" s="1"/>
  <c r="AG91" i="2"/>
  <c r="AH91" i="2" s="1"/>
  <c r="AG92" i="2"/>
  <c r="AH92" i="2" s="1"/>
  <c r="AG93" i="2"/>
  <c r="AH93" i="2" s="1"/>
  <c r="AG94" i="2"/>
  <c r="AH94" i="2" s="1"/>
  <c r="AG95" i="2"/>
  <c r="AH95" i="2" s="1"/>
  <c r="AG96" i="2"/>
  <c r="AH96" i="2" s="1"/>
  <c r="AG97" i="2"/>
  <c r="AH97" i="2" s="1"/>
  <c r="AG98" i="2"/>
  <c r="AH98" i="2" s="1"/>
  <c r="AG99" i="2"/>
  <c r="AH99" i="2" s="1"/>
  <c r="AG100" i="2"/>
  <c r="AH100" i="2" s="1"/>
  <c r="AG101" i="2"/>
  <c r="AH101" i="2" s="1"/>
  <c r="AG102" i="2"/>
  <c r="AH102" i="2" s="1"/>
  <c r="AG103" i="2"/>
  <c r="AH103" i="2" s="1"/>
  <c r="AG104" i="2"/>
  <c r="AH104" i="2" s="1"/>
  <c r="AG105" i="2"/>
  <c r="AH105" i="2" s="1"/>
  <c r="AG106" i="2"/>
  <c r="AH106" i="2" s="1"/>
  <c r="AG107" i="2"/>
  <c r="AH107" i="2" s="1"/>
  <c r="AG108" i="2"/>
  <c r="AH108" i="2" s="1"/>
  <c r="AG109" i="2"/>
  <c r="AH109" i="2" s="1"/>
  <c r="AG110" i="2"/>
  <c r="AH110" i="2" s="1"/>
  <c r="AG111" i="2"/>
  <c r="AH111" i="2" s="1"/>
  <c r="AG112" i="2"/>
  <c r="AH112" i="2" s="1"/>
  <c r="AG113" i="2"/>
  <c r="AH113" i="2" s="1"/>
  <c r="AG114" i="2"/>
  <c r="AH114" i="2" s="1"/>
  <c r="AG115" i="2"/>
  <c r="AH115" i="2" s="1"/>
  <c r="AG116" i="2"/>
  <c r="AH116" i="2" s="1"/>
  <c r="AG117" i="2"/>
  <c r="AH117" i="2" s="1"/>
  <c r="AG118" i="2"/>
  <c r="AH118" i="2" s="1"/>
  <c r="AG119" i="2"/>
  <c r="AH119" i="2" s="1"/>
  <c r="AG120" i="2"/>
  <c r="AH120" i="2" s="1"/>
  <c r="AG121" i="2"/>
  <c r="AH121" i="2" s="1"/>
  <c r="AG122" i="2"/>
  <c r="AH122" i="2" s="1"/>
  <c r="AG123" i="2"/>
  <c r="AH123" i="2" s="1"/>
  <c r="AG124" i="2"/>
  <c r="AH124" i="2" s="1"/>
  <c r="AG125" i="2"/>
  <c r="AH125" i="2" s="1"/>
  <c r="AG126" i="2"/>
  <c r="AH126" i="2" s="1"/>
  <c r="AG127" i="2"/>
  <c r="AH127" i="2" s="1"/>
  <c r="AG128" i="2"/>
  <c r="AH128" i="2" s="1"/>
  <c r="AG129" i="2"/>
  <c r="AH129" i="2" s="1"/>
  <c r="AG130" i="2"/>
  <c r="AH130" i="2" s="1"/>
  <c r="AG131" i="2"/>
  <c r="AH131" i="2" s="1"/>
  <c r="AG132" i="2"/>
  <c r="AH132" i="2" s="1"/>
  <c r="AG133" i="2"/>
  <c r="AH133" i="2" s="1"/>
  <c r="AG134" i="2"/>
  <c r="AH134" i="2" s="1"/>
  <c r="AG141" i="2"/>
  <c r="AH141" i="2" s="1"/>
  <c r="AG142" i="2"/>
  <c r="AH142" i="2" s="1"/>
  <c r="AG143" i="2"/>
  <c r="AH143" i="2" s="1"/>
  <c r="AG144" i="2"/>
  <c r="AH144" i="2" s="1"/>
  <c r="AG145" i="2"/>
  <c r="AH145" i="2" s="1"/>
  <c r="AG146" i="2"/>
  <c r="AH146" i="2" s="1"/>
  <c r="AG147" i="2"/>
  <c r="AH147" i="2" s="1"/>
  <c r="AG148" i="2"/>
  <c r="AH148" i="2" s="1"/>
  <c r="AG149" i="2"/>
  <c r="AH149" i="2" s="1"/>
  <c r="AG150" i="2"/>
  <c r="AH150" i="2" s="1"/>
  <c r="AG151" i="2"/>
  <c r="AH151" i="2" s="1"/>
  <c r="AG152" i="2"/>
  <c r="AH152" i="2" s="1"/>
  <c r="AG153" i="2"/>
  <c r="AH153" i="2" s="1"/>
  <c r="AG154" i="2"/>
  <c r="AH154" i="2" s="1"/>
  <c r="AG155" i="2"/>
  <c r="AH155" i="2" s="1"/>
  <c r="AG156" i="2"/>
  <c r="AH156" i="2" s="1"/>
  <c r="AG157" i="2"/>
  <c r="AH157" i="2" s="1"/>
  <c r="AG158" i="2"/>
  <c r="AH158" i="2" s="1"/>
  <c r="AG159" i="2"/>
  <c r="AH159" i="2" s="1"/>
  <c r="AG160" i="2"/>
  <c r="AH160" i="2" s="1"/>
  <c r="AG161" i="2"/>
  <c r="AH161" i="2" s="1"/>
  <c r="AG162" i="2"/>
  <c r="AH162" i="2" s="1"/>
  <c r="AG163" i="2"/>
  <c r="AH163" i="2" s="1"/>
  <c r="AG164" i="2"/>
  <c r="AH164" i="2" s="1"/>
  <c r="AG165" i="2"/>
  <c r="AH165" i="2" s="1"/>
  <c r="AG166" i="2"/>
  <c r="AH166" i="2" s="1"/>
  <c r="AG167" i="2"/>
  <c r="AH167" i="2" s="1"/>
  <c r="AG168" i="2"/>
  <c r="AH168" i="2" s="1"/>
  <c r="AG169" i="2"/>
  <c r="AH169" i="2" s="1"/>
  <c r="AG170" i="2"/>
  <c r="AH170" i="2" s="1"/>
  <c r="AG171" i="2"/>
  <c r="AH171" i="2" s="1"/>
  <c r="AG172" i="2"/>
  <c r="AH172" i="2" s="1"/>
  <c r="AG173" i="2"/>
  <c r="AH173" i="2" s="1"/>
  <c r="AG174" i="2"/>
  <c r="AH174" i="2" s="1"/>
  <c r="AG175" i="2"/>
  <c r="AH175" i="2" s="1"/>
  <c r="AG176" i="2"/>
  <c r="AH176" i="2" s="1"/>
  <c r="AG177" i="2"/>
  <c r="AH177" i="2" s="1"/>
  <c r="AG178" i="2"/>
  <c r="AH178" i="2" s="1"/>
  <c r="AG179" i="2"/>
  <c r="AH179" i="2" s="1"/>
  <c r="AG180" i="2"/>
  <c r="AH180" i="2" s="1"/>
  <c r="AG181" i="2"/>
  <c r="AH181" i="2" s="1"/>
  <c r="AG182" i="2"/>
  <c r="AH182" i="2" s="1"/>
  <c r="AG183" i="2"/>
  <c r="AH183" i="2" s="1"/>
  <c r="AG184" i="2"/>
  <c r="AH184" i="2" s="1"/>
  <c r="AG185" i="2"/>
  <c r="AH185" i="2" s="1"/>
  <c r="AG186" i="2"/>
  <c r="AH186" i="2" s="1"/>
  <c r="AG187" i="2"/>
  <c r="AH187" i="2" s="1"/>
  <c r="AG188" i="2"/>
  <c r="AH188" i="2" s="1"/>
  <c r="AG189" i="2"/>
  <c r="AH189" i="2" s="1"/>
  <c r="AG190" i="2"/>
  <c r="AH190" i="2" s="1"/>
  <c r="AG191" i="2"/>
  <c r="AH191" i="2" s="1"/>
  <c r="AG192" i="2"/>
  <c r="AH192" i="2" s="1"/>
  <c r="AG193" i="2"/>
  <c r="AH193" i="2" s="1"/>
  <c r="AG194" i="2"/>
  <c r="AH194" i="2" s="1"/>
  <c r="AG195" i="2"/>
  <c r="AH195" i="2" s="1"/>
  <c r="AG196" i="2"/>
  <c r="AH196" i="2" s="1"/>
  <c r="AG197" i="2"/>
  <c r="AH197" i="2" s="1"/>
  <c r="AG198" i="2"/>
  <c r="AH198" i="2" s="1"/>
  <c r="AG199" i="2"/>
  <c r="AH199" i="2" s="1"/>
  <c r="AG200" i="2"/>
  <c r="AH200" i="2" s="1"/>
  <c r="AG201" i="2"/>
  <c r="AH201" i="2" s="1"/>
  <c r="AG202" i="2"/>
  <c r="AH202" i="2" s="1"/>
  <c r="AG203" i="2"/>
  <c r="AH203" i="2" s="1"/>
  <c r="AG204" i="2"/>
  <c r="AH204" i="2" s="1"/>
  <c r="AG205" i="2"/>
  <c r="AH205" i="2" s="1"/>
  <c r="AG206" i="2"/>
  <c r="AH206" i="2" s="1"/>
  <c r="AG207" i="2"/>
  <c r="AH207" i="2" s="1"/>
  <c r="AG208" i="2"/>
  <c r="AH208" i="2" s="1"/>
  <c r="AG209" i="2"/>
  <c r="AH209" i="2" s="1"/>
  <c r="AG210" i="2"/>
  <c r="AH210" i="2" s="1"/>
  <c r="AG211" i="2"/>
  <c r="AH211" i="2" s="1"/>
  <c r="AG212" i="2"/>
  <c r="AH212" i="2" s="1"/>
  <c r="AG213" i="2"/>
  <c r="AH213" i="2" s="1"/>
  <c r="AG214" i="2"/>
  <c r="AH214" i="2" s="1"/>
  <c r="AG215" i="2"/>
  <c r="AH215" i="2" s="1"/>
  <c r="AG216" i="2"/>
  <c r="AH216" i="2" s="1"/>
  <c r="AG217" i="2"/>
  <c r="AH217" i="2" s="1"/>
  <c r="AG218" i="2"/>
  <c r="AH218" i="2" s="1"/>
  <c r="AG219" i="2"/>
  <c r="AH219" i="2" s="1"/>
  <c r="AG255" i="2"/>
  <c r="AH255" i="2" s="1"/>
  <c r="AG256" i="2"/>
  <c r="AH256" i="2" s="1"/>
  <c r="AG257" i="2"/>
  <c r="AH257" i="2" s="1"/>
  <c r="AH220" i="2"/>
  <c r="AI12" i="2"/>
  <c r="AI13" i="2"/>
  <c r="AI44" i="2"/>
  <c r="AI220" i="2"/>
  <c r="AI221" i="2"/>
  <c r="AI222" i="2"/>
  <c r="AI223" i="2"/>
  <c r="AI45" i="2"/>
  <c r="AI46" i="2"/>
  <c r="AI47" i="2"/>
  <c r="AI48" i="2"/>
  <c r="AI49" i="2"/>
  <c r="AI50" i="2"/>
  <c r="AI51" i="2"/>
  <c r="AI52" i="2"/>
  <c r="AI53" i="2"/>
  <c r="AI54" i="2"/>
  <c r="AI55" i="2"/>
  <c r="AI56" i="2"/>
  <c r="AI57" i="2"/>
  <c r="AI58" i="2"/>
  <c r="AI59" i="2"/>
  <c r="AI60" i="2"/>
  <c r="AI61" i="2"/>
  <c r="AI62" i="2"/>
  <c r="AI63" i="2"/>
  <c r="AI64" i="2"/>
  <c r="AI65" i="2"/>
  <c r="AI66" i="2"/>
  <c r="AI67" i="2"/>
  <c r="AI68" i="2"/>
  <c r="AI69" i="2"/>
  <c r="AI70" i="2"/>
  <c r="AI71" i="2"/>
  <c r="AI72" i="2"/>
  <c r="AI73" i="2"/>
  <c r="AI74" i="2"/>
  <c r="AI75" i="2"/>
  <c r="AI76" i="2"/>
  <c r="AI77" i="2"/>
  <c r="AI78" i="2"/>
  <c r="AI79" i="2"/>
  <c r="AI80" i="2"/>
  <c r="AI81" i="2"/>
  <c r="AI82" i="2"/>
  <c r="AI83" i="2"/>
  <c r="AI84" i="2"/>
  <c r="AI85" i="2"/>
  <c r="AI86" i="2"/>
  <c r="AI87" i="2"/>
  <c r="AI88" i="2"/>
  <c r="AI89" i="2"/>
  <c r="AI90" i="2"/>
  <c r="AI91" i="2"/>
  <c r="AI92" i="2"/>
  <c r="AI93" i="2"/>
  <c r="AI94" i="2"/>
  <c r="AI95" i="2"/>
  <c r="AI96" i="2"/>
  <c r="AI97" i="2"/>
  <c r="AI98" i="2"/>
  <c r="AI99" i="2"/>
  <c r="AI100" i="2"/>
  <c r="AI101" i="2"/>
  <c r="AI102" i="2"/>
  <c r="AI103" i="2"/>
  <c r="AI104" i="2"/>
  <c r="AI105" i="2"/>
  <c r="AI106" i="2"/>
  <c r="AI107" i="2"/>
  <c r="AI108" i="2"/>
  <c r="AI109" i="2"/>
  <c r="AI110" i="2"/>
  <c r="AI111" i="2"/>
  <c r="AI112" i="2"/>
  <c r="AI113" i="2"/>
  <c r="AI114" i="2"/>
  <c r="AI115" i="2"/>
  <c r="AI116" i="2"/>
  <c r="AI117" i="2"/>
  <c r="AI118" i="2"/>
  <c r="AI119" i="2"/>
  <c r="AI120" i="2"/>
  <c r="AI121" i="2"/>
  <c r="AI122" i="2"/>
  <c r="AI123" i="2"/>
  <c r="AI124" i="2"/>
  <c r="AI125" i="2"/>
  <c r="AI126" i="2"/>
  <c r="AI127" i="2"/>
  <c r="AI128" i="2"/>
  <c r="AI129" i="2"/>
  <c r="AI130" i="2"/>
  <c r="AI131" i="2"/>
  <c r="AI132" i="2"/>
  <c r="AI133" i="2"/>
  <c r="AI134" i="2"/>
  <c r="AI141" i="2"/>
  <c r="AI142" i="2"/>
  <c r="AI143" i="2"/>
  <c r="AI144" i="2"/>
  <c r="AI145" i="2"/>
  <c r="AI146" i="2"/>
  <c r="AI147" i="2"/>
  <c r="AI148" i="2"/>
  <c r="AI149" i="2"/>
  <c r="AI150" i="2"/>
  <c r="AI151" i="2"/>
  <c r="AI152" i="2"/>
  <c r="AI153" i="2"/>
  <c r="AI154" i="2"/>
  <c r="AI155" i="2"/>
  <c r="AI156" i="2"/>
  <c r="AI157" i="2"/>
  <c r="AI158" i="2"/>
  <c r="AI159" i="2"/>
  <c r="AI160" i="2"/>
  <c r="AI161" i="2"/>
  <c r="AI162" i="2"/>
  <c r="AI163" i="2"/>
  <c r="AI164" i="2"/>
  <c r="AI165" i="2"/>
  <c r="AI166" i="2"/>
  <c r="AI167" i="2"/>
  <c r="AI168" i="2"/>
  <c r="AI169" i="2"/>
  <c r="AI170" i="2"/>
  <c r="AI171" i="2"/>
  <c r="AI172" i="2"/>
  <c r="AI173" i="2"/>
  <c r="AI174" i="2"/>
  <c r="AI175" i="2"/>
  <c r="AI176" i="2"/>
  <c r="AI177" i="2"/>
  <c r="AI178" i="2"/>
  <c r="AI179" i="2"/>
  <c r="AI180" i="2"/>
  <c r="AI181" i="2"/>
  <c r="AI182" i="2"/>
  <c r="AI183" i="2"/>
  <c r="AI184" i="2"/>
  <c r="AI185" i="2"/>
  <c r="AI186" i="2"/>
  <c r="AI187" i="2"/>
  <c r="AI188" i="2"/>
  <c r="AI189" i="2"/>
  <c r="AI190" i="2"/>
  <c r="AI191" i="2"/>
  <c r="AI192" i="2"/>
  <c r="AI193" i="2"/>
  <c r="AI194" i="2"/>
  <c r="AI195" i="2"/>
  <c r="AI196" i="2"/>
  <c r="AI197" i="2"/>
  <c r="AI198" i="2"/>
  <c r="AI199" i="2"/>
  <c r="AI200" i="2"/>
  <c r="AI201" i="2"/>
  <c r="AI202" i="2"/>
  <c r="AI203" i="2"/>
  <c r="AI204" i="2"/>
  <c r="AI205" i="2"/>
  <c r="AI206" i="2"/>
  <c r="AI207" i="2"/>
  <c r="AI208" i="2"/>
  <c r="AI209" i="2"/>
  <c r="AI210" i="2"/>
  <c r="AI211" i="2"/>
  <c r="AI212" i="2"/>
  <c r="AI213" i="2"/>
  <c r="AI214" i="2"/>
  <c r="AI215" i="2"/>
  <c r="AI216" i="2"/>
  <c r="AI217" i="2"/>
  <c r="AI218" i="2"/>
  <c r="AI219" i="2"/>
  <c r="AI255" i="2"/>
  <c r="AI256" i="2"/>
  <c r="AI257" i="2"/>
  <c r="M10" i="3" l="1"/>
  <c r="P10" i="3"/>
  <c r="N10" i="3"/>
  <c r="AJ11" i="2"/>
  <c r="T10" i="3" s="1"/>
  <c r="U10" i="3" s="1"/>
  <c r="M224" i="3"/>
  <c r="P225" i="3"/>
  <c r="P224" i="3"/>
  <c r="N224" i="3"/>
  <c r="P226" i="3"/>
  <c r="M226" i="3"/>
  <c r="N225" i="3"/>
  <c r="M225" i="3"/>
  <c r="M215" i="3"/>
  <c r="N226" i="3"/>
  <c r="P215" i="3"/>
  <c r="N215" i="3"/>
  <c r="P98" i="3"/>
  <c r="M98" i="3"/>
  <c r="M198" i="3"/>
  <c r="N98" i="3"/>
  <c r="P198" i="3"/>
  <c r="P201" i="3"/>
  <c r="P199" i="3"/>
  <c r="M199" i="3"/>
  <c r="N198" i="3"/>
  <c r="P200" i="3"/>
  <c r="M200" i="3"/>
  <c r="N199" i="3"/>
  <c r="M201" i="3"/>
  <c r="N200" i="3"/>
  <c r="AJ144" i="2"/>
  <c r="N201" i="3"/>
  <c r="AJ104" i="2"/>
  <c r="AJ184" i="2"/>
  <c r="AJ194" i="2"/>
  <c r="AJ50" i="2"/>
  <c r="AJ196" i="2"/>
  <c r="T198" i="3" s="1"/>
  <c r="U198" i="3" s="1"/>
  <c r="AJ126" i="2"/>
  <c r="AJ12" i="2"/>
  <c r="AJ214" i="2"/>
  <c r="AJ44" i="2"/>
  <c r="AJ200" i="2"/>
  <c r="AJ122" i="2"/>
  <c r="AJ216" i="2"/>
  <c r="AJ152" i="2"/>
  <c r="AJ158" i="2"/>
  <c r="AJ186" i="2"/>
  <c r="AJ88" i="2"/>
  <c r="AJ81" i="2"/>
  <c r="AJ220" i="2"/>
  <c r="AJ210" i="2"/>
  <c r="AJ48" i="2"/>
  <c r="AJ202" i="2"/>
  <c r="AJ151" i="2"/>
  <c r="AJ172" i="2"/>
  <c r="AJ212" i="2"/>
  <c r="T215" i="3" s="1"/>
  <c r="U215" i="3" s="1"/>
  <c r="AJ180" i="2"/>
  <c r="AJ156" i="2"/>
  <c r="AJ94" i="2"/>
  <c r="AJ70" i="2"/>
  <c r="AJ105" i="2"/>
  <c r="AJ204" i="2"/>
  <c r="AJ164" i="2"/>
  <c r="AJ134" i="2"/>
  <c r="AJ118" i="2"/>
  <c r="AJ86" i="2"/>
  <c r="AJ62" i="2"/>
  <c r="AJ54" i="2"/>
  <c r="AJ46" i="2"/>
  <c r="AJ178" i="2"/>
  <c r="AJ170" i="2"/>
  <c r="AJ114" i="2"/>
  <c r="AJ74" i="2"/>
  <c r="AJ162" i="2"/>
  <c r="AJ84" i="2"/>
  <c r="AJ218" i="2"/>
  <c r="AJ255" i="2"/>
  <c r="AJ215" i="2"/>
  <c r="AJ199" i="2"/>
  <c r="T201" i="3" s="1"/>
  <c r="U201" i="3" s="1"/>
  <c r="AJ191" i="2"/>
  <c r="AJ183" i="2"/>
  <c r="AJ175" i="2"/>
  <c r="AJ167" i="2"/>
  <c r="AJ159" i="2"/>
  <c r="AJ143" i="2"/>
  <c r="AJ129" i="2"/>
  <c r="AJ121" i="2"/>
  <c r="AJ113" i="2"/>
  <c r="AJ97" i="2"/>
  <c r="AJ89" i="2"/>
  <c r="AJ73" i="2"/>
  <c r="AJ65" i="2"/>
  <c r="AJ57" i="2"/>
  <c r="AJ49" i="2"/>
  <c r="AJ124" i="2"/>
  <c r="AJ52" i="2"/>
  <c r="AJ106" i="2"/>
  <c r="AJ221" i="2"/>
  <c r="T224" i="3" s="1"/>
  <c r="AJ150" i="2"/>
  <c r="AJ80" i="2"/>
  <c r="AJ72" i="2"/>
  <c r="AJ188" i="2"/>
  <c r="AJ148" i="2"/>
  <c r="AJ110" i="2"/>
  <c r="AJ78" i="2"/>
  <c r="AJ207" i="2"/>
  <c r="AJ108" i="2"/>
  <c r="AJ168" i="2"/>
  <c r="AJ82" i="2"/>
  <c r="AJ58" i="2"/>
  <c r="AJ102" i="2"/>
  <c r="AJ92" i="2"/>
  <c r="AJ197" i="2"/>
  <c r="T199" i="3" s="1"/>
  <c r="U199" i="3" s="1"/>
  <c r="AJ157" i="2"/>
  <c r="AJ127" i="2"/>
  <c r="AJ87" i="2"/>
  <c r="AJ63" i="2"/>
  <c r="AJ208" i="2"/>
  <c r="AJ176" i="2"/>
  <c r="AJ130" i="2"/>
  <c r="AJ90" i="2"/>
  <c r="AJ154" i="2"/>
  <c r="AJ256" i="2"/>
  <c r="AJ189" i="2"/>
  <c r="AJ149" i="2"/>
  <c r="AJ119" i="2"/>
  <c r="AJ79" i="2"/>
  <c r="AJ55" i="2"/>
  <c r="AJ192" i="2"/>
  <c r="AJ160" i="2"/>
  <c r="AJ98" i="2"/>
  <c r="AJ66" i="2"/>
  <c r="AJ116" i="2"/>
  <c r="AJ60" i="2"/>
  <c r="AJ205" i="2"/>
  <c r="AJ71" i="2"/>
  <c r="AJ95" i="2"/>
  <c r="AJ165" i="2"/>
  <c r="AJ132" i="2"/>
  <c r="AJ68" i="2"/>
  <c r="AJ217" i="2"/>
  <c r="AJ209" i="2"/>
  <c r="AJ201" i="2"/>
  <c r="AJ193" i="2"/>
  <c r="AJ185" i="2"/>
  <c r="AJ177" i="2"/>
  <c r="AJ169" i="2"/>
  <c r="AJ161" i="2"/>
  <c r="AJ153" i="2"/>
  <c r="AJ145" i="2"/>
  <c r="AJ131" i="2"/>
  <c r="AJ123" i="2"/>
  <c r="AJ115" i="2"/>
  <c r="AJ107" i="2"/>
  <c r="AJ99" i="2"/>
  <c r="AJ91" i="2"/>
  <c r="AJ83" i="2"/>
  <c r="AJ75" i="2"/>
  <c r="AJ67" i="2"/>
  <c r="AJ59" i="2"/>
  <c r="AJ51" i="2"/>
  <c r="AJ222" i="2"/>
  <c r="T225" i="3" s="1"/>
  <c r="AJ223" i="2"/>
  <c r="T226" i="3" s="1"/>
  <c r="AJ213" i="2"/>
  <c r="AJ173" i="2"/>
  <c r="AJ146" i="2"/>
  <c r="AJ76" i="2"/>
  <c r="AJ13" i="2"/>
  <c r="AJ257" i="2"/>
  <c r="AJ206" i="2"/>
  <c r="AJ182" i="2"/>
  <c r="AJ166" i="2"/>
  <c r="AJ128" i="2"/>
  <c r="AJ112" i="2"/>
  <c r="AJ96" i="2"/>
  <c r="AJ64" i="2"/>
  <c r="AJ56" i="2"/>
  <c r="AJ100" i="2"/>
  <c r="AJ141" i="2"/>
  <c r="AJ103" i="2"/>
  <c r="AJ198" i="2"/>
  <c r="T200" i="3" s="1"/>
  <c r="U200" i="3" s="1"/>
  <c r="AJ190" i="2"/>
  <c r="AJ174" i="2"/>
  <c r="AJ142" i="2"/>
  <c r="AJ120" i="2"/>
  <c r="AJ181" i="2"/>
  <c r="AJ111" i="2"/>
  <c r="AJ47" i="2"/>
  <c r="AJ219" i="2"/>
  <c r="AJ211" i="2"/>
  <c r="AJ203" i="2"/>
  <c r="AJ195" i="2"/>
  <c r="AJ187" i="2"/>
  <c r="AJ179" i="2"/>
  <c r="AJ171" i="2"/>
  <c r="AJ163" i="2"/>
  <c r="AJ155" i="2"/>
  <c r="AJ147" i="2"/>
  <c r="AJ133" i="2"/>
  <c r="AJ125" i="2"/>
  <c r="AJ117" i="2"/>
  <c r="AJ109" i="2"/>
  <c r="AJ101" i="2"/>
  <c r="T98" i="3" s="1"/>
  <c r="U98" i="3" s="1"/>
  <c r="AJ93" i="2"/>
  <c r="AJ85" i="2"/>
  <c r="AJ77" i="2"/>
  <c r="AJ69" i="2"/>
  <c r="AJ61" i="2"/>
  <c r="AJ53" i="2"/>
  <c r="AJ45" i="2"/>
  <c r="Q34" i="2"/>
  <c r="R34" i="2"/>
  <c r="S34" i="2"/>
  <c r="T34" i="2" s="1"/>
  <c r="U34" i="2"/>
  <c r="V34" i="2" s="1"/>
  <c r="W34" i="2"/>
  <c r="X34" i="2" s="1"/>
  <c r="Y34" i="2"/>
  <c r="Z34" i="2" s="1"/>
  <c r="AA34" i="2"/>
  <c r="AB34" i="2" s="1"/>
  <c r="AC34" i="2"/>
  <c r="AD34" i="2" s="1"/>
  <c r="AE34" i="2"/>
  <c r="AF34" i="2"/>
  <c r="AG34" i="2"/>
  <c r="AH34" i="2" s="1"/>
  <c r="AI34" i="2"/>
  <c r="AJ34" i="2" l="1"/>
  <c r="F191" i="3"/>
  <c r="L191" i="3"/>
  <c r="O191" i="3"/>
  <c r="S191" i="3"/>
  <c r="AB191" i="3"/>
  <c r="K191" i="3" s="1"/>
  <c r="A72" i="7"/>
  <c r="A87" i="8"/>
  <c r="F176" i="3"/>
  <c r="L176" i="3"/>
  <c r="O176" i="3"/>
  <c r="S176" i="3"/>
  <c r="AB176" i="3"/>
  <c r="K176" i="3" s="1"/>
  <c r="F105" i="3"/>
  <c r="L105" i="3"/>
  <c r="O105" i="3"/>
  <c r="S105" i="3"/>
  <c r="AB105" i="3"/>
  <c r="K105" i="3" s="1"/>
  <c r="Q7" i="2"/>
  <c r="R7" i="2"/>
  <c r="S7" i="2"/>
  <c r="T7" i="2" s="1"/>
  <c r="U7" i="2"/>
  <c r="V7" i="2" s="1"/>
  <c r="W7" i="2"/>
  <c r="X7" i="2" s="1"/>
  <c r="Y7" i="2"/>
  <c r="Z7" i="2" s="1"/>
  <c r="AA7" i="2"/>
  <c r="AB7" i="2" s="1"/>
  <c r="AC7" i="2"/>
  <c r="AD7" i="2" s="1"/>
  <c r="AE7" i="2"/>
  <c r="AF7" i="2"/>
  <c r="AG7" i="2"/>
  <c r="AH7" i="2" s="1"/>
  <c r="AI7" i="2"/>
  <c r="M191" i="3" l="1"/>
  <c r="P191" i="3"/>
  <c r="N191" i="3"/>
  <c r="M176" i="3"/>
  <c r="P176" i="3"/>
  <c r="N176" i="3"/>
  <c r="M105" i="3"/>
  <c r="P105" i="3"/>
  <c r="N105" i="3"/>
  <c r="T176" i="3"/>
  <c r="T105" i="3"/>
  <c r="T191" i="3"/>
  <c r="AJ7" i="2"/>
  <c r="F174" i="3" l="1"/>
  <c r="L174" i="3"/>
  <c r="O174" i="3"/>
  <c r="S174" i="3"/>
  <c r="AB174" i="3"/>
  <c r="K174" i="3" s="1"/>
  <c r="F175" i="3"/>
  <c r="L175" i="3"/>
  <c r="O175" i="3"/>
  <c r="S175" i="3"/>
  <c r="AB175" i="3"/>
  <c r="K175" i="3" s="1"/>
  <c r="F96" i="3"/>
  <c r="L96" i="3"/>
  <c r="O96" i="3"/>
  <c r="S96" i="3"/>
  <c r="AB96" i="3"/>
  <c r="K96" i="3" s="1"/>
  <c r="M174" i="3" l="1"/>
  <c r="P174" i="3"/>
  <c r="M175" i="3"/>
  <c r="N174" i="3"/>
  <c r="P175" i="3"/>
  <c r="N175" i="3"/>
  <c r="P96" i="3"/>
  <c r="N96" i="3"/>
  <c r="M96" i="3"/>
  <c r="T175" i="3"/>
  <c r="T174" i="3"/>
  <c r="T96" i="3"/>
  <c r="A42" i="8" l="1"/>
  <c r="F90" i="3" l="1"/>
  <c r="L90" i="3"/>
  <c r="O90" i="3"/>
  <c r="S90" i="3"/>
  <c r="AB90" i="3"/>
  <c r="K90" i="3" s="1"/>
  <c r="F95" i="3"/>
  <c r="L95" i="3"/>
  <c r="O95" i="3"/>
  <c r="S95" i="3"/>
  <c r="AB95" i="3"/>
  <c r="K95" i="3" s="1"/>
  <c r="F172" i="3"/>
  <c r="L172" i="3"/>
  <c r="O172" i="3"/>
  <c r="S172" i="3"/>
  <c r="AB172" i="3"/>
  <c r="K172" i="3" s="1"/>
  <c r="F173" i="3"/>
  <c r="L173" i="3"/>
  <c r="O173" i="3"/>
  <c r="S173" i="3"/>
  <c r="AB173" i="3"/>
  <c r="K173" i="3" s="1"/>
  <c r="M90" i="3" l="1"/>
  <c r="P90" i="3"/>
  <c r="N90" i="3"/>
  <c r="P95" i="3"/>
  <c r="M95" i="3"/>
  <c r="N95" i="3"/>
  <c r="M172" i="3"/>
  <c r="P172" i="3"/>
  <c r="M173" i="3"/>
  <c r="N172" i="3"/>
  <c r="P173" i="3"/>
  <c r="N173" i="3"/>
  <c r="T90" i="3"/>
  <c r="T173" i="3"/>
  <c r="T95" i="3"/>
  <c r="T172" i="3"/>
  <c r="F48" i="3"/>
  <c r="L48" i="3"/>
  <c r="O48" i="3"/>
  <c r="S48" i="3"/>
  <c r="AB48" i="3"/>
  <c r="N48" i="3" s="1"/>
  <c r="M48" i="3" l="1"/>
  <c r="K48" i="3"/>
  <c r="P48" i="3"/>
  <c r="F6" i="3"/>
  <c r="L6" i="3"/>
  <c r="O6" i="3"/>
  <c r="S6" i="3"/>
  <c r="AB6" i="3"/>
  <c r="K6" i="3" s="1"/>
  <c r="M6" i="3" l="1"/>
  <c r="P6" i="3"/>
  <c r="N6" i="3"/>
  <c r="T48" i="3"/>
  <c r="A25" i="7"/>
  <c r="Q20" i="2"/>
  <c r="R20" i="2"/>
  <c r="S20" i="2"/>
  <c r="T20" i="2" s="1"/>
  <c r="U20" i="2"/>
  <c r="V20" i="2" s="1"/>
  <c r="W20" i="2"/>
  <c r="X20" i="2" s="1"/>
  <c r="Y20" i="2"/>
  <c r="Z20" i="2" s="1"/>
  <c r="AA20" i="2"/>
  <c r="AB20" i="2" s="1"/>
  <c r="AC20" i="2"/>
  <c r="AD20" i="2" s="1"/>
  <c r="AE20" i="2"/>
  <c r="AF20" i="2"/>
  <c r="AG20" i="2"/>
  <c r="AH20" i="2" s="1"/>
  <c r="AI20" i="2"/>
  <c r="Q21" i="2"/>
  <c r="R21" i="2"/>
  <c r="S21" i="2"/>
  <c r="T21" i="2" s="1"/>
  <c r="U21" i="2"/>
  <c r="V21" i="2" s="1"/>
  <c r="W21" i="2"/>
  <c r="X21" i="2" s="1"/>
  <c r="Y21" i="2"/>
  <c r="Z21" i="2" s="1"/>
  <c r="AA21" i="2"/>
  <c r="AB21" i="2" s="1"/>
  <c r="AC21" i="2"/>
  <c r="AD21" i="2" s="1"/>
  <c r="AE21" i="2"/>
  <c r="AF21" i="2"/>
  <c r="AG21" i="2"/>
  <c r="AH21" i="2" s="1"/>
  <c r="AI21" i="2"/>
  <c r="Q18" i="2"/>
  <c r="R18" i="2"/>
  <c r="S18" i="2"/>
  <c r="T18" i="2" s="1"/>
  <c r="U18" i="2"/>
  <c r="V18" i="2" s="1"/>
  <c r="W18" i="2"/>
  <c r="X18" i="2" s="1"/>
  <c r="Y18" i="2"/>
  <c r="Z18" i="2" s="1"/>
  <c r="AA18" i="2"/>
  <c r="AB18" i="2" s="1"/>
  <c r="AC18" i="2"/>
  <c r="AD18" i="2" s="1"/>
  <c r="AE18" i="2"/>
  <c r="AF18" i="2"/>
  <c r="AG18" i="2"/>
  <c r="AH18" i="2" s="1"/>
  <c r="AI18" i="2"/>
  <c r="Q17" i="2"/>
  <c r="R17" i="2"/>
  <c r="S17" i="2"/>
  <c r="T17" i="2" s="1"/>
  <c r="U17" i="2"/>
  <c r="V17" i="2" s="1"/>
  <c r="W17" i="2"/>
  <c r="X17" i="2" s="1"/>
  <c r="Y17" i="2"/>
  <c r="Z17" i="2" s="1"/>
  <c r="AA17" i="2"/>
  <c r="AB17" i="2" s="1"/>
  <c r="AC17" i="2"/>
  <c r="AD17" i="2" s="1"/>
  <c r="AE17" i="2"/>
  <c r="AF17" i="2"/>
  <c r="AG17" i="2"/>
  <c r="AH17" i="2" s="1"/>
  <c r="AI17" i="2"/>
  <c r="Q19" i="2"/>
  <c r="R19" i="2"/>
  <c r="S19" i="2"/>
  <c r="T19" i="2" s="1"/>
  <c r="U19" i="2"/>
  <c r="V19" i="2" s="1"/>
  <c r="W19" i="2"/>
  <c r="X19" i="2" s="1"/>
  <c r="Y19" i="2"/>
  <c r="Z19" i="2" s="1"/>
  <c r="AA19" i="2"/>
  <c r="AB19" i="2" s="1"/>
  <c r="AC19" i="2"/>
  <c r="AD19" i="2" s="1"/>
  <c r="AE19" i="2"/>
  <c r="AF19" i="2"/>
  <c r="AG19" i="2"/>
  <c r="AH19" i="2" s="1"/>
  <c r="AI19" i="2"/>
  <c r="Q22" i="2"/>
  <c r="R22" i="2"/>
  <c r="S22" i="2"/>
  <c r="T22" i="2" s="1"/>
  <c r="U22" i="2"/>
  <c r="V22" i="2" s="1"/>
  <c r="W22" i="2"/>
  <c r="X22" i="2" s="1"/>
  <c r="Y22" i="2"/>
  <c r="Z22" i="2" s="1"/>
  <c r="AA22" i="2"/>
  <c r="AB22" i="2" s="1"/>
  <c r="AC22" i="2"/>
  <c r="AD22" i="2" s="1"/>
  <c r="AE22" i="2"/>
  <c r="AF22" i="2"/>
  <c r="AG22" i="2"/>
  <c r="AH22" i="2" s="1"/>
  <c r="AI22" i="2"/>
  <c r="Q23" i="2"/>
  <c r="R23" i="2"/>
  <c r="S23" i="2"/>
  <c r="T23" i="2" s="1"/>
  <c r="U23" i="2"/>
  <c r="V23" i="2" s="1"/>
  <c r="W23" i="2"/>
  <c r="X23" i="2" s="1"/>
  <c r="Y23" i="2"/>
  <c r="Z23" i="2" s="1"/>
  <c r="AA23" i="2"/>
  <c r="AB23" i="2" s="1"/>
  <c r="AC23" i="2"/>
  <c r="AD23" i="2" s="1"/>
  <c r="AE23" i="2"/>
  <c r="AF23" i="2"/>
  <c r="AG23" i="2"/>
  <c r="AH23" i="2" s="1"/>
  <c r="AI23" i="2"/>
  <c r="Q16" i="2"/>
  <c r="R16" i="2"/>
  <c r="S16" i="2"/>
  <c r="T16" i="2" s="1"/>
  <c r="U16" i="2"/>
  <c r="V16" i="2" s="1"/>
  <c r="W16" i="2"/>
  <c r="X16" i="2" s="1"/>
  <c r="Y16" i="2"/>
  <c r="Z16" i="2" s="1"/>
  <c r="AA16" i="2"/>
  <c r="AB16" i="2" s="1"/>
  <c r="AC16" i="2"/>
  <c r="AD16" i="2" s="1"/>
  <c r="AE16" i="2"/>
  <c r="AF16" i="2"/>
  <c r="AG16" i="2"/>
  <c r="AH16" i="2" s="1"/>
  <c r="AI16" i="2"/>
  <c r="Q14" i="2"/>
  <c r="R14" i="2"/>
  <c r="S14" i="2"/>
  <c r="T14" i="2" s="1"/>
  <c r="U14" i="2"/>
  <c r="V14" i="2" s="1"/>
  <c r="W14" i="2"/>
  <c r="X14" i="2" s="1"/>
  <c r="Y14" i="2"/>
  <c r="Z14" i="2" s="1"/>
  <c r="AA14" i="2"/>
  <c r="AB14" i="2" s="1"/>
  <c r="AC14" i="2"/>
  <c r="AD14" i="2" s="1"/>
  <c r="AE14" i="2"/>
  <c r="AF14" i="2"/>
  <c r="AG14" i="2"/>
  <c r="AH14" i="2" s="1"/>
  <c r="AI14" i="2"/>
  <c r="Q15" i="2"/>
  <c r="R15" i="2"/>
  <c r="S15" i="2"/>
  <c r="T15" i="2" s="1"/>
  <c r="U15" i="2"/>
  <c r="V15" i="2" s="1"/>
  <c r="W15" i="2"/>
  <c r="X15" i="2" s="1"/>
  <c r="Y15" i="2"/>
  <c r="Z15" i="2" s="1"/>
  <c r="AA15" i="2"/>
  <c r="AB15" i="2" s="1"/>
  <c r="AC15" i="2"/>
  <c r="AD15" i="2" s="1"/>
  <c r="AE15" i="2"/>
  <c r="AF15" i="2"/>
  <c r="AG15" i="2"/>
  <c r="AH15" i="2" s="1"/>
  <c r="AI15" i="2"/>
  <c r="Q32" i="2"/>
  <c r="R32" i="2"/>
  <c r="S32" i="2"/>
  <c r="T32" i="2" s="1"/>
  <c r="U32" i="2"/>
  <c r="V32" i="2" s="1"/>
  <c r="W32" i="2"/>
  <c r="X32" i="2" s="1"/>
  <c r="Y32" i="2"/>
  <c r="Z32" i="2" s="1"/>
  <c r="AA32" i="2"/>
  <c r="AB32" i="2" s="1"/>
  <c r="AC32" i="2"/>
  <c r="AD32" i="2" s="1"/>
  <c r="AE32" i="2"/>
  <c r="AF32" i="2"/>
  <c r="AG32" i="2"/>
  <c r="AH32" i="2" s="1"/>
  <c r="AI32" i="2"/>
  <c r="Q31" i="2"/>
  <c r="R31" i="2"/>
  <c r="S31" i="2"/>
  <c r="T31" i="2" s="1"/>
  <c r="U31" i="2"/>
  <c r="V31" i="2" s="1"/>
  <c r="W31" i="2"/>
  <c r="X31" i="2" s="1"/>
  <c r="Y31" i="2"/>
  <c r="Z31" i="2" s="1"/>
  <c r="AA31" i="2"/>
  <c r="AB31" i="2" s="1"/>
  <c r="AC31" i="2"/>
  <c r="AD31" i="2" s="1"/>
  <c r="AE31" i="2"/>
  <c r="AF31" i="2"/>
  <c r="AG31" i="2"/>
  <c r="AH31" i="2" s="1"/>
  <c r="AI31" i="2"/>
  <c r="Q30" i="2"/>
  <c r="R30" i="2"/>
  <c r="S30" i="2"/>
  <c r="T30" i="2" s="1"/>
  <c r="U30" i="2"/>
  <c r="V30" i="2" s="1"/>
  <c r="W30" i="2"/>
  <c r="X30" i="2" s="1"/>
  <c r="Y30" i="2"/>
  <c r="Z30" i="2" s="1"/>
  <c r="AA30" i="2"/>
  <c r="AB30" i="2" s="1"/>
  <c r="AC30" i="2"/>
  <c r="AD30" i="2" s="1"/>
  <c r="AE30" i="2"/>
  <c r="AF30" i="2"/>
  <c r="AG30" i="2"/>
  <c r="AH30" i="2" s="1"/>
  <c r="AI30" i="2"/>
  <c r="Q33" i="2"/>
  <c r="R33" i="2"/>
  <c r="S33" i="2"/>
  <c r="T33" i="2" s="1"/>
  <c r="U33" i="2"/>
  <c r="V33" i="2" s="1"/>
  <c r="W33" i="2"/>
  <c r="X33" i="2" s="1"/>
  <c r="Y33" i="2"/>
  <c r="Z33" i="2" s="1"/>
  <c r="AA33" i="2"/>
  <c r="AB33" i="2" s="1"/>
  <c r="AC33" i="2"/>
  <c r="AD33" i="2" s="1"/>
  <c r="AE33" i="2"/>
  <c r="AF33" i="2"/>
  <c r="AG33" i="2"/>
  <c r="AH33" i="2" s="1"/>
  <c r="AI33" i="2"/>
  <c r="Q29" i="2"/>
  <c r="R29" i="2"/>
  <c r="S29" i="2"/>
  <c r="T29" i="2" s="1"/>
  <c r="U29" i="2"/>
  <c r="V29" i="2" s="1"/>
  <c r="W29" i="2"/>
  <c r="X29" i="2" s="1"/>
  <c r="Y29" i="2"/>
  <c r="Z29" i="2" s="1"/>
  <c r="AA29" i="2"/>
  <c r="AB29" i="2" s="1"/>
  <c r="AC29" i="2"/>
  <c r="AD29" i="2" s="1"/>
  <c r="AE29" i="2"/>
  <c r="AF29" i="2"/>
  <c r="AG29" i="2"/>
  <c r="AH29" i="2" s="1"/>
  <c r="AI29" i="2"/>
  <c r="Q24" i="2"/>
  <c r="R24" i="2"/>
  <c r="S24" i="2"/>
  <c r="T24" i="2" s="1"/>
  <c r="U24" i="2"/>
  <c r="V24" i="2" s="1"/>
  <c r="W24" i="2"/>
  <c r="X24" i="2" s="1"/>
  <c r="Y24" i="2"/>
  <c r="Z24" i="2" s="1"/>
  <c r="AA24" i="2"/>
  <c r="AB24" i="2" s="1"/>
  <c r="AC24" i="2"/>
  <c r="AD24" i="2" s="1"/>
  <c r="AE24" i="2"/>
  <c r="AF24" i="2"/>
  <c r="AG24" i="2"/>
  <c r="AH24" i="2" s="1"/>
  <c r="AI24" i="2"/>
  <c r="Q28" i="2"/>
  <c r="R28" i="2"/>
  <c r="S28" i="2"/>
  <c r="T28" i="2" s="1"/>
  <c r="U28" i="2"/>
  <c r="V28" i="2" s="1"/>
  <c r="W28" i="2"/>
  <c r="X28" i="2" s="1"/>
  <c r="Y28" i="2"/>
  <c r="Z28" i="2" s="1"/>
  <c r="AA28" i="2"/>
  <c r="AB28" i="2" s="1"/>
  <c r="AC28" i="2"/>
  <c r="AD28" i="2" s="1"/>
  <c r="AE28" i="2"/>
  <c r="AF28" i="2"/>
  <c r="AG28" i="2"/>
  <c r="AH28" i="2" s="1"/>
  <c r="AI28" i="2"/>
  <c r="Q25" i="2"/>
  <c r="R25" i="2"/>
  <c r="S25" i="2"/>
  <c r="T25" i="2" s="1"/>
  <c r="U25" i="2"/>
  <c r="V25" i="2" s="1"/>
  <c r="W25" i="2"/>
  <c r="X25" i="2" s="1"/>
  <c r="Y25" i="2"/>
  <c r="Z25" i="2" s="1"/>
  <c r="AA25" i="2"/>
  <c r="AB25" i="2" s="1"/>
  <c r="AC25" i="2"/>
  <c r="AD25" i="2" s="1"/>
  <c r="AE25" i="2"/>
  <c r="AF25" i="2"/>
  <c r="AG25" i="2"/>
  <c r="AH25" i="2" s="1"/>
  <c r="AI25" i="2"/>
  <c r="Q26" i="2"/>
  <c r="R26" i="2"/>
  <c r="S26" i="2"/>
  <c r="T26" i="2" s="1"/>
  <c r="U26" i="2"/>
  <c r="V26" i="2" s="1"/>
  <c r="W26" i="2"/>
  <c r="X26" i="2" s="1"/>
  <c r="Y26" i="2"/>
  <c r="Z26" i="2" s="1"/>
  <c r="AA26" i="2"/>
  <c r="AB26" i="2" s="1"/>
  <c r="AC26" i="2"/>
  <c r="AD26" i="2" s="1"/>
  <c r="AE26" i="2"/>
  <c r="AF26" i="2"/>
  <c r="AG26" i="2"/>
  <c r="AH26" i="2" s="1"/>
  <c r="AI26" i="2"/>
  <c r="AJ20" i="2" l="1"/>
  <c r="AJ21" i="2"/>
  <c r="AJ18" i="2"/>
  <c r="AJ17" i="2"/>
  <c r="AJ19" i="2"/>
  <c r="AJ22" i="2"/>
  <c r="AJ23" i="2"/>
  <c r="AJ16" i="2"/>
  <c r="AJ14" i="2"/>
  <c r="AJ15" i="2"/>
  <c r="AJ32" i="2"/>
  <c r="AJ31" i="2"/>
  <c r="AJ30" i="2"/>
  <c r="AJ33" i="2"/>
  <c r="AJ29" i="2"/>
  <c r="AJ24" i="2"/>
  <c r="AJ28" i="2"/>
  <c r="AJ25" i="2"/>
  <c r="AJ26" i="2"/>
  <c r="F195" i="3"/>
  <c r="L195" i="3"/>
  <c r="O195" i="3"/>
  <c r="S195" i="3"/>
  <c r="AB195" i="3"/>
  <c r="K195" i="3" s="1"/>
  <c r="C258" i="2"/>
  <c r="F83" i="3"/>
  <c r="L83" i="3"/>
  <c r="O83" i="3"/>
  <c r="S83" i="3"/>
  <c r="AB83" i="3"/>
  <c r="K83" i="3" s="1"/>
  <c r="A18" i="7"/>
  <c r="A28" i="8"/>
  <c r="P195" i="3" l="1"/>
  <c r="N195" i="3"/>
  <c r="M195" i="3"/>
  <c r="M83" i="3"/>
  <c r="P83" i="3"/>
  <c r="N83" i="3"/>
  <c r="Q27" i="2"/>
  <c r="R27" i="2"/>
  <c r="S27" i="2"/>
  <c r="T27" i="2" s="1"/>
  <c r="U27" i="2"/>
  <c r="V27" i="2" s="1"/>
  <c r="W27" i="2"/>
  <c r="X27" i="2" s="1"/>
  <c r="Y27" i="2"/>
  <c r="Z27" i="2" s="1"/>
  <c r="AA27" i="2"/>
  <c r="AB27" i="2" s="1"/>
  <c r="AC27" i="2"/>
  <c r="AD27" i="2" s="1"/>
  <c r="AE27" i="2"/>
  <c r="AF27" i="2"/>
  <c r="AG27" i="2"/>
  <c r="AH27" i="2" s="1"/>
  <c r="AI27" i="2"/>
  <c r="AJ27" i="2" l="1"/>
  <c r="T6" i="3" l="1"/>
  <c r="T83" i="3"/>
  <c r="T195" i="3"/>
  <c r="F55" i="3"/>
  <c r="L55" i="3"/>
  <c r="O55" i="3"/>
  <c r="S55" i="3"/>
  <c r="AB55" i="3"/>
  <c r="K55" i="3" s="1"/>
  <c r="M55" i="3" l="1"/>
  <c r="P55" i="3"/>
  <c r="N55" i="3"/>
  <c r="T55" i="3" l="1"/>
  <c r="A24" i="7"/>
  <c r="A39" i="8"/>
  <c r="F170" i="3" l="1"/>
  <c r="L170" i="3"/>
  <c r="O170" i="3"/>
  <c r="S170" i="3"/>
  <c r="AB170" i="3"/>
  <c r="K170" i="3" s="1"/>
  <c r="F171" i="3"/>
  <c r="L171" i="3"/>
  <c r="O171" i="3"/>
  <c r="S171" i="3"/>
  <c r="AB171" i="3"/>
  <c r="K171" i="3" s="1"/>
  <c r="P170" i="3" l="1"/>
  <c r="P171" i="3"/>
  <c r="N170" i="3"/>
  <c r="M170" i="3"/>
  <c r="N171" i="3"/>
  <c r="M171" i="3"/>
  <c r="T171" i="3"/>
  <c r="T170" i="3"/>
  <c r="D12" i="19"/>
  <c r="I267" i="3" l="1"/>
  <c r="J262" i="3"/>
  <c r="H262" i="3"/>
  <c r="I266" i="3"/>
  <c r="G262" i="3"/>
  <c r="I262" i="3"/>
  <c r="P268" i="3" l="1"/>
  <c r="A13" i="7"/>
  <c r="A62" i="8"/>
  <c r="B26" i="19" l="1"/>
  <c r="A60" i="7" l="1"/>
  <c r="A68" i="8"/>
  <c r="A3" i="8"/>
  <c r="A4" i="8"/>
  <c r="A5" i="8"/>
  <c r="A6" i="8"/>
  <c r="A7" i="8"/>
  <c r="A8" i="8"/>
  <c r="A9" i="8"/>
  <c r="A10" i="8"/>
  <c r="A11" i="8"/>
  <c r="A12" i="8"/>
  <c r="A13" i="8"/>
  <c r="A14" i="8"/>
  <c r="A15" i="8"/>
  <c r="A16" i="8"/>
  <c r="A17" i="8"/>
  <c r="A18" i="8"/>
  <c r="A19" i="8"/>
  <c r="A20" i="8"/>
  <c r="A21" i="8"/>
  <c r="A22" i="8"/>
  <c r="A23" i="8"/>
  <c r="A24" i="8"/>
  <c r="A25" i="8"/>
  <c r="A26" i="8"/>
  <c r="A27" i="8"/>
  <c r="A29" i="8"/>
  <c r="A30" i="8"/>
  <c r="A31" i="8"/>
  <c r="A32" i="8"/>
  <c r="A33" i="8"/>
  <c r="A34" i="8"/>
  <c r="A35" i="8"/>
  <c r="A36" i="8"/>
  <c r="A37" i="8"/>
  <c r="A38" i="8"/>
  <c r="A40" i="8"/>
  <c r="A41" i="8"/>
  <c r="A43" i="8"/>
  <c r="A44" i="8"/>
  <c r="A45" i="8"/>
  <c r="A46" i="8"/>
  <c r="A48" i="8"/>
  <c r="A49" i="8"/>
  <c r="A50" i="8"/>
  <c r="A47" i="8"/>
  <c r="A51" i="8"/>
  <c r="A52" i="8"/>
  <c r="A53" i="8"/>
  <c r="A54" i="8"/>
  <c r="A55" i="8"/>
  <c r="A56" i="8"/>
  <c r="A57" i="8"/>
  <c r="A58" i="8"/>
  <c r="A59" i="8"/>
  <c r="A60" i="8"/>
  <c r="A61" i="8"/>
  <c r="A63" i="8"/>
  <c r="A64" i="8"/>
  <c r="A65" i="8"/>
  <c r="A66" i="8"/>
  <c r="A67" i="8"/>
  <c r="A69" i="8"/>
  <c r="A70" i="8"/>
  <c r="A71" i="8"/>
  <c r="A72" i="8"/>
  <c r="A73" i="8"/>
  <c r="A74" i="8"/>
  <c r="A75" i="8"/>
  <c r="A76" i="8"/>
  <c r="A77" i="8"/>
  <c r="A78" i="8"/>
  <c r="A79" i="8"/>
  <c r="A80" i="8"/>
  <c r="A81" i="8"/>
  <c r="A83" i="8"/>
  <c r="A84" i="8"/>
  <c r="A85" i="8"/>
  <c r="A86" i="8"/>
  <c r="A88" i="8"/>
  <c r="A89" i="8"/>
  <c r="A90" i="8"/>
  <c r="A91" i="8"/>
  <c r="A92" i="8"/>
  <c r="A93" i="8"/>
  <c r="A94" i="8"/>
  <c r="A95" i="8"/>
  <c r="A96" i="8"/>
  <c r="A97" i="8"/>
  <c r="A98" i="8"/>
  <c r="A99" i="8"/>
  <c r="A100" i="8"/>
  <c r="A101" i="8"/>
  <c r="A102" i="8"/>
  <c r="A103" i="8"/>
  <c r="A104" i="8"/>
  <c r="A105" i="8"/>
  <c r="A107" i="8"/>
  <c r="A108" i="8"/>
  <c r="A109" i="8"/>
  <c r="A110" i="8"/>
  <c r="A111" i="8"/>
  <c r="A112" i="8"/>
  <c r="A113" i="8"/>
  <c r="A114" i="8"/>
  <c r="A115" i="8"/>
  <c r="A116" i="8"/>
  <c r="A118" i="8"/>
  <c r="A117" i="8"/>
  <c r="A119" i="8"/>
  <c r="A120" i="8"/>
  <c r="A121" i="8"/>
  <c r="A122" i="8"/>
  <c r="A123" i="8"/>
  <c r="A124" i="8"/>
  <c r="A125" i="8"/>
  <c r="D101" i="7" l="1"/>
  <c r="F101" i="7" s="1"/>
  <c r="E101" i="7"/>
  <c r="D72" i="7"/>
  <c r="F72" i="7" s="1"/>
  <c r="E72" i="7"/>
  <c r="D25" i="7"/>
  <c r="F25" i="7" s="1"/>
  <c r="E25" i="7"/>
  <c r="D18" i="7"/>
  <c r="E18" i="7"/>
  <c r="E24" i="7"/>
  <c r="D24" i="7"/>
  <c r="F24" i="7" s="1"/>
  <c r="D60" i="7"/>
  <c r="F60" i="7" s="1"/>
  <c r="D13" i="7"/>
  <c r="E13" i="7"/>
  <c r="E60" i="7"/>
  <c r="F18" i="7" l="1"/>
  <c r="F13" i="7"/>
  <c r="O2" i="3"/>
  <c r="O3" i="3"/>
  <c r="O4" i="3"/>
  <c r="O5" i="3"/>
  <c r="O7" i="3"/>
  <c r="O8" i="3"/>
  <c r="O9" i="3"/>
  <c r="O11" i="3"/>
  <c r="O12" i="3"/>
  <c r="O13" i="3"/>
  <c r="O14" i="3"/>
  <c r="O15" i="3"/>
  <c r="O16" i="3"/>
  <c r="O17" i="3"/>
  <c r="O18" i="3"/>
  <c r="O19" i="3"/>
  <c r="O20" i="3"/>
  <c r="O21" i="3"/>
  <c r="O22" i="3"/>
  <c r="O23" i="3"/>
  <c r="O24" i="3"/>
  <c r="O25" i="3"/>
  <c r="O26" i="3"/>
  <c r="O27" i="3"/>
  <c r="O28" i="3"/>
  <c r="O29" i="3"/>
  <c r="O30" i="3"/>
  <c r="O31" i="3"/>
  <c r="O32" i="3"/>
  <c r="O34" i="3"/>
  <c r="O33" i="3"/>
  <c r="O35" i="3"/>
  <c r="O38" i="3"/>
  <c r="O36" i="3"/>
  <c r="O37" i="3"/>
  <c r="O42" i="3"/>
  <c r="O46" i="3"/>
  <c r="O43" i="3"/>
  <c r="O45" i="3"/>
  <c r="O39" i="3"/>
  <c r="O40" i="3"/>
  <c r="O44" i="3"/>
  <c r="O47" i="3"/>
  <c r="O41" i="3"/>
  <c r="O49" i="3"/>
  <c r="O50" i="3"/>
  <c r="O51" i="3"/>
  <c r="O52" i="3"/>
  <c r="O53" i="3"/>
  <c r="O54" i="3"/>
  <c r="O56" i="3"/>
  <c r="O57" i="3"/>
  <c r="O58" i="3"/>
  <c r="O59" i="3"/>
  <c r="O60" i="3"/>
  <c r="O61" i="3"/>
  <c r="O62" i="3"/>
  <c r="O63" i="3"/>
  <c r="O64" i="3"/>
  <c r="O65" i="3"/>
  <c r="O66" i="3"/>
  <c r="O67" i="3"/>
  <c r="O68" i="3"/>
  <c r="O69" i="3"/>
  <c r="O70" i="3"/>
  <c r="O71" i="3"/>
  <c r="O72" i="3"/>
  <c r="O73" i="3"/>
  <c r="O74" i="3"/>
  <c r="O75" i="3"/>
  <c r="O76" i="3"/>
  <c r="O77" i="3"/>
  <c r="O78" i="3"/>
  <c r="O79" i="3"/>
  <c r="O80" i="3"/>
  <c r="O81" i="3"/>
  <c r="O82" i="3"/>
  <c r="O84" i="3"/>
  <c r="O85" i="3"/>
  <c r="O86" i="3"/>
  <c r="O87" i="3"/>
  <c r="O88" i="3"/>
  <c r="O89" i="3"/>
  <c r="O91" i="3"/>
  <c r="O92" i="3"/>
  <c r="O93" i="3"/>
  <c r="O94" i="3"/>
  <c r="O97" i="3"/>
  <c r="O99" i="3"/>
  <c r="O100" i="3"/>
  <c r="O101" i="3"/>
  <c r="O102" i="3"/>
  <c r="O103" i="3"/>
  <c r="O104" i="3"/>
  <c r="O106" i="3"/>
  <c r="O107" i="3"/>
  <c r="O108" i="3"/>
  <c r="O109" i="3"/>
  <c r="O110" i="3"/>
  <c r="O111" i="3"/>
  <c r="O112" i="3"/>
  <c r="O113" i="3"/>
  <c r="O115" i="3"/>
  <c r="O114" i="3"/>
  <c r="O116" i="3"/>
  <c r="O117" i="3"/>
  <c r="O118" i="3"/>
  <c r="O119" i="3"/>
  <c r="O120" i="3"/>
  <c r="O121" i="3"/>
  <c r="O122" i="3"/>
  <c r="O123" i="3"/>
  <c r="O124" i="3"/>
  <c r="O126" i="3"/>
  <c r="O125" i="3"/>
  <c r="O127" i="3"/>
  <c r="O128" i="3"/>
  <c r="O129" i="3"/>
  <c r="O130" i="3"/>
  <c r="O131" i="3"/>
  <c r="O132" i="3"/>
  <c r="O133" i="3"/>
  <c r="O134" i="3"/>
  <c r="O135" i="3"/>
  <c r="O136" i="3"/>
  <c r="O137" i="3"/>
  <c r="O138" i="3"/>
  <c r="O139" i="3"/>
  <c r="O140" i="3"/>
  <c r="O141" i="3"/>
  <c r="O142" i="3"/>
  <c r="O143" i="3"/>
  <c r="O144" i="3"/>
  <c r="O145" i="3"/>
  <c r="O146" i="3"/>
  <c r="O147" i="3"/>
  <c r="O148" i="3"/>
  <c r="O149" i="3"/>
  <c r="O150" i="3"/>
  <c r="O151" i="3"/>
  <c r="O152" i="3"/>
  <c r="O153" i="3"/>
  <c r="O154" i="3"/>
  <c r="O155" i="3"/>
  <c r="O156" i="3"/>
  <c r="O157" i="3"/>
  <c r="O158" i="3"/>
  <c r="O159" i="3"/>
  <c r="O160" i="3"/>
  <c r="O161" i="3"/>
  <c r="O162" i="3"/>
  <c r="O163" i="3"/>
  <c r="O164" i="3"/>
  <c r="O165" i="3"/>
  <c r="O166" i="3"/>
  <c r="O167" i="3"/>
  <c r="O168" i="3"/>
  <c r="O169" i="3"/>
  <c r="O177" i="3"/>
  <c r="O178" i="3"/>
  <c r="O179" i="3"/>
  <c r="O180" i="3"/>
  <c r="O181" i="3"/>
  <c r="O182" i="3"/>
  <c r="O183" i="3"/>
  <c r="O184" i="3"/>
  <c r="O185" i="3"/>
  <c r="O186" i="3"/>
  <c r="O187" i="3"/>
  <c r="O188" i="3"/>
  <c r="O189" i="3"/>
  <c r="O190" i="3"/>
  <c r="O192" i="3"/>
  <c r="O193" i="3"/>
  <c r="O194" i="3"/>
  <c r="O196" i="3"/>
  <c r="O197" i="3"/>
  <c r="O202" i="3"/>
  <c r="O203" i="3"/>
  <c r="O204" i="3"/>
  <c r="O205" i="3"/>
  <c r="O206" i="3"/>
  <c r="O208" i="3"/>
  <c r="O207" i="3"/>
  <c r="O209" i="3"/>
  <c r="O210" i="3"/>
  <c r="O211" i="3"/>
  <c r="O212" i="3"/>
  <c r="O213" i="3"/>
  <c r="O214" i="3"/>
  <c r="O216" i="3"/>
  <c r="O217" i="3"/>
  <c r="O218" i="3"/>
  <c r="O219" i="3"/>
  <c r="O220" i="3"/>
  <c r="O221" i="3"/>
  <c r="O222" i="3"/>
  <c r="O223" i="3"/>
  <c r="O227" i="3"/>
  <c r="O228" i="3"/>
  <c r="O229" i="3"/>
  <c r="O230" i="3"/>
  <c r="O231" i="3"/>
  <c r="O232" i="3"/>
  <c r="O233" i="3"/>
  <c r="O234" i="3"/>
  <c r="O235" i="3"/>
  <c r="O236" i="3"/>
  <c r="O237" i="3"/>
  <c r="O238" i="3"/>
  <c r="O239" i="3"/>
  <c r="O240" i="3"/>
  <c r="O241" i="3"/>
  <c r="O242" i="3"/>
  <c r="O243" i="3"/>
  <c r="O244" i="3"/>
  <c r="O245" i="3"/>
  <c r="O246" i="3"/>
  <c r="O247" i="3"/>
  <c r="O248" i="3"/>
  <c r="O249" i="3"/>
  <c r="O250" i="3"/>
  <c r="O251" i="3"/>
  <c r="O252" i="3"/>
  <c r="O253" i="3"/>
  <c r="O254" i="3"/>
  <c r="O255" i="3"/>
  <c r="O256" i="3"/>
  <c r="O257" i="3"/>
  <c r="O258" i="3"/>
  <c r="O259" i="3"/>
  <c r="O260" i="3"/>
  <c r="O261" i="3"/>
  <c r="L2" i="3" l="1"/>
  <c r="L3" i="3"/>
  <c r="L4" i="3"/>
  <c r="L5" i="3"/>
  <c r="L7" i="3"/>
  <c r="L8" i="3"/>
  <c r="L9" i="3"/>
  <c r="L11" i="3"/>
  <c r="L12" i="3"/>
  <c r="L13" i="3"/>
  <c r="L14" i="3"/>
  <c r="L15" i="3"/>
  <c r="L16" i="3"/>
  <c r="L17" i="3"/>
  <c r="L18" i="3"/>
  <c r="L19" i="3"/>
  <c r="L20" i="3"/>
  <c r="L21" i="3"/>
  <c r="L22" i="3"/>
  <c r="L23" i="3"/>
  <c r="L24" i="3"/>
  <c r="L25" i="3"/>
  <c r="L26" i="3"/>
  <c r="L27" i="3"/>
  <c r="L28" i="3"/>
  <c r="L29" i="3"/>
  <c r="L30" i="3"/>
  <c r="L31" i="3"/>
  <c r="L32" i="3"/>
  <c r="L34" i="3"/>
  <c r="L33" i="3"/>
  <c r="L35" i="3"/>
  <c r="L38" i="3"/>
  <c r="L36" i="3"/>
  <c r="L37" i="3"/>
  <c r="L42" i="3"/>
  <c r="L46" i="3"/>
  <c r="L43" i="3"/>
  <c r="L45" i="3"/>
  <c r="L39" i="3"/>
  <c r="L40" i="3"/>
  <c r="L44" i="3"/>
  <c r="L47" i="3"/>
  <c r="L41" i="3"/>
  <c r="L49" i="3"/>
  <c r="L50" i="3"/>
  <c r="L51" i="3"/>
  <c r="L52" i="3"/>
  <c r="L53" i="3"/>
  <c r="L54" i="3"/>
  <c r="L56" i="3"/>
  <c r="L57" i="3"/>
  <c r="L58" i="3"/>
  <c r="L59" i="3"/>
  <c r="L60" i="3"/>
  <c r="L61" i="3"/>
  <c r="L62" i="3"/>
  <c r="L63" i="3"/>
  <c r="L64" i="3"/>
  <c r="L65" i="3"/>
  <c r="L66" i="3"/>
  <c r="L67" i="3"/>
  <c r="L68" i="3"/>
  <c r="L69" i="3"/>
  <c r="L70" i="3"/>
  <c r="L71" i="3"/>
  <c r="L72" i="3"/>
  <c r="L73" i="3"/>
  <c r="L74" i="3"/>
  <c r="L75" i="3"/>
  <c r="L76" i="3"/>
  <c r="L77" i="3"/>
  <c r="L78" i="3"/>
  <c r="L79" i="3"/>
  <c r="L80" i="3"/>
  <c r="L81" i="3"/>
  <c r="L82" i="3"/>
  <c r="L84" i="3"/>
  <c r="L85" i="3"/>
  <c r="L86" i="3"/>
  <c r="L87" i="3"/>
  <c r="L88" i="3"/>
  <c r="L89" i="3"/>
  <c r="L91" i="3"/>
  <c r="L92" i="3"/>
  <c r="L93" i="3"/>
  <c r="L94" i="3"/>
  <c r="L97" i="3"/>
  <c r="L99" i="3"/>
  <c r="L100" i="3"/>
  <c r="L101" i="3"/>
  <c r="L102" i="3"/>
  <c r="L103" i="3"/>
  <c r="L104" i="3"/>
  <c r="L106" i="3"/>
  <c r="L107" i="3"/>
  <c r="L108" i="3"/>
  <c r="L109" i="3"/>
  <c r="L110" i="3"/>
  <c r="L111" i="3"/>
  <c r="L112" i="3"/>
  <c r="L113" i="3"/>
  <c r="L115" i="3"/>
  <c r="L114" i="3"/>
  <c r="L116" i="3"/>
  <c r="L117" i="3"/>
  <c r="L118" i="3"/>
  <c r="L119" i="3"/>
  <c r="L120" i="3"/>
  <c r="L121" i="3"/>
  <c r="L122" i="3"/>
  <c r="L123" i="3"/>
  <c r="L124" i="3"/>
  <c r="L126" i="3"/>
  <c r="L125" i="3"/>
  <c r="L127" i="3"/>
  <c r="L128" i="3"/>
  <c r="L129" i="3"/>
  <c r="L130" i="3"/>
  <c r="L131" i="3"/>
  <c r="L132" i="3"/>
  <c r="L133" i="3"/>
  <c r="L134" i="3"/>
  <c r="L135" i="3"/>
  <c r="L136" i="3"/>
  <c r="L137" i="3"/>
  <c r="L138" i="3"/>
  <c r="L139" i="3"/>
  <c r="L140" i="3"/>
  <c r="L141" i="3"/>
  <c r="L142" i="3"/>
  <c r="L143" i="3"/>
  <c r="L144" i="3"/>
  <c r="L145" i="3"/>
  <c r="L146" i="3"/>
  <c r="L147" i="3"/>
  <c r="L148" i="3"/>
  <c r="L149" i="3"/>
  <c r="L150" i="3"/>
  <c r="L151" i="3"/>
  <c r="L152" i="3"/>
  <c r="L153" i="3"/>
  <c r="L154" i="3"/>
  <c r="L155" i="3"/>
  <c r="L156" i="3"/>
  <c r="L157" i="3"/>
  <c r="L158" i="3"/>
  <c r="L159" i="3"/>
  <c r="L160" i="3"/>
  <c r="L161" i="3"/>
  <c r="L162" i="3"/>
  <c r="L163" i="3"/>
  <c r="L164" i="3"/>
  <c r="L165" i="3"/>
  <c r="L166" i="3"/>
  <c r="L167" i="3"/>
  <c r="L168" i="3"/>
  <c r="L169" i="3"/>
  <c r="L177" i="3"/>
  <c r="L178" i="3"/>
  <c r="L179" i="3"/>
  <c r="L180" i="3"/>
  <c r="L181" i="3"/>
  <c r="L182" i="3"/>
  <c r="L183" i="3"/>
  <c r="L184" i="3"/>
  <c r="L185" i="3"/>
  <c r="L186" i="3"/>
  <c r="L187" i="3"/>
  <c r="L188" i="3"/>
  <c r="L189" i="3"/>
  <c r="L190" i="3"/>
  <c r="L192" i="3"/>
  <c r="L193" i="3"/>
  <c r="L194" i="3"/>
  <c r="L196" i="3"/>
  <c r="L197" i="3"/>
  <c r="L202" i="3"/>
  <c r="L203" i="3"/>
  <c r="L204" i="3"/>
  <c r="L205" i="3"/>
  <c r="L206" i="3"/>
  <c r="L208" i="3"/>
  <c r="L207" i="3"/>
  <c r="L209" i="3"/>
  <c r="L210" i="3"/>
  <c r="L211" i="3"/>
  <c r="L212" i="3"/>
  <c r="L213" i="3"/>
  <c r="L214" i="3"/>
  <c r="L216" i="3"/>
  <c r="L217" i="3"/>
  <c r="L218" i="3"/>
  <c r="L219" i="3"/>
  <c r="L220" i="3"/>
  <c r="L221" i="3"/>
  <c r="L222" i="3"/>
  <c r="L223" i="3"/>
  <c r="L227" i="3"/>
  <c r="L228" i="3"/>
  <c r="L229" i="3"/>
  <c r="L230" i="3"/>
  <c r="L231" i="3"/>
  <c r="L232" i="3"/>
  <c r="L233" i="3"/>
  <c r="L234" i="3"/>
  <c r="L235" i="3"/>
  <c r="L236" i="3"/>
  <c r="L237" i="3"/>
  <c r="L238" i="3"/>
  <c r="L239" i="3"/>
  <c r="L240" i="3"/>
  <c r="L241" i="3"/>
  <c r="L242" i="3"/>
  <c r="L243" i="3"/>
  <c r="L244" i="3"/>
  <c r="L245" i="3"/>
  <c r="L246" i="3"/>
  <c r="L247" i="3"/>
  <c r="L248" i="3"/>
  <c r="L249" i="3"/>
  <c r="L250" i="3"/>
  <c r="L251" i="3"/>
  <c r="L252" i="3"/>
  <c r="L253" i="3"/>
  <c r="L254" i="3"/>
  <c r="L255" i="3"/>
  <c r="L256" i="3"/>
  <c r="L257" i="3"/>
  <c r="L258" i="3"/>
  <c r="L259" i="3"/>
  <c r="L260" i="3"/>
  <c r="L261" i="3"/>
  <c r="F2" i="3"/>
  <c r="F3" i="3"/>
  <c r="F4" i="3"/>
  <c r="F5" i="3"/>
  <c r="F7" i="3"/>
  <c r="F8" i="3"/>
  <c r="F9" i="3"/>
  <c r="F11" i="3"/>
  <c r="F12" i="3"/>
  <c r="F13" i="3"/>
  <c r="F14" i="3"/>
  <c r="F15" i="3"/>
  <c r="F16" i="3"/>
  <c r="F17" i="3"/>
  <c r="F18" i="3"/>
  <c r="F19" i="3"/>
  <c r="F20" i="3"/>
  <c r="F21" i="3"/>
  <c r="F22" i="3"/>
  <c r="F23" i="3"/>
  <c r="F24" i="3"/>
  <c r="F25" i="3"/>
  <c r="F26" i="3"/>
  <c r="F27" i="3"/>
  <c r="F28" i="3"/>
  <c r="F29" i="3"/>
  <c r="F30" i="3"/>
  <c r="F31" i="3"/>
  <c r="F32" i="3"/>
  <c r="F34" i="3"/>
  <c r="F33" i="3"/>
  <c r="F35" i="3"/>
  <c r="F38" i="3"/>
  <c r="F36" i="3"/>
  <c r="F37" i="3"/>
  <c r="F42" i="3"/>
  <c r="F46" i="3"/>
  <c r="F43" i="3"/>
  <c r="F45" i="3"/>
  <c r="F39" i="3"/>
  <c r="F40" i="3"/>
  <c r="F44" i="3"/>
  <c r="F47" i="3"/>
  <c r="F41" i="3"/>
  <c r="F49" i="3"/>
  <c r="F50" i="3"/>
  <c r="F51" i="3"/>
  <c r="F52" i="3"/>
  <c r="F53" i="3"/>
  <c r="F54" i="3"/>
  <c r="F56" i="3"/>
  <c r="F57" i="3"/>
  <c r="F58" i="3"/>
  <c r="F59" i="3"/>
  <c r="F60" i="3"/>
  <c r="F61" i="3"/>
  <c r="F62" i="3"/>
  <c r="F63" i="3"/>
  <c r="F64" i="3"/>
  <c r="F65" i="3"/>
  <c r="F66" i="3"/>
  <c r="F67" i="3"/>
  <c r="F68" i="3"/>
  <c r="F69" i="3"/>
  <c r="F70" i="3"/>
  <c r="F71" i="3"/>
  <c r="F72" i="3"/>
  <c r="F73" i="3"/>
  <c r="F74" i="3"/>
  <c r="F75" i="3"/>
  <c r="F76" i="3"/>
  <c r="F77" i="3"/>
  <c r="F78" i="3"/>
  <c r="F79" i="3"/>
  <c r="F80" i="3"/>
  <c r="F81" i="3"/>
  <c r="F82" i="3"/>
  <c r="F84" i="3"/>
  <c r="F85" i="3"/>
  <c r="F86" i="3"/>
  <c r="F87" i="3"/>
  <c r="F88" i="3"/>
  <c r="F89" i="3"/>
  <c r="F91" i="3"/>
  <c r="F92" i="3"/>
  <c r="F93" i="3"/>
  <c r="F94" i="3"/>
  <c r="F97" i="3"/>
  <c r="F99" i="3"/>
  <c r="F100" i="3"/>
  <c r="F101" i="3"/>
  <c r="F102" i="3"/>
  <c r="F103" i="3"/>
  <c r="F104" i="3"/>
  <c r="F106" i="3"/>
  <c r="F107" i="3"/>
  <c r="F108" i="3"/>
  <c r="F109" i="3"/>
  <c r="F110" i="3"/>
  <c r="F111" i="3"/>
  <c r="F112" i="3"/>
  <c r="F113" i="3"/>
  <c r="F115" i="3"/>
  <c r="F114" i="3"/>
  <c r="F116" i="3"/>
  <c r="F117" i="3"/>
  <c r="F118" i="3"/>
  <c r="F119" i="3"/>
  <c r="F120" i="3"/>
  <c r="F121" i="3"/>
  <c r="F122" i="3"/>
  <c r="F123" i="3"/>
  <c r="F124" i="3"/>
  <c r="F126" i="3"/>
  <c r="F125" i="3"/>
  <c r="F127" i="3"/>
  <c r="F128" i="3"/>
  <c r="F129" i="3"/>
  <c r="F130" i="3"/>
  <c r="F131" i="3"/>
  <c r="F132" i="3"/>
  <c r="F133" i="3"/>
  <c r="F134" i="3"/>
  <c r="F135" i="3"/>
  <c r="F136" i="3"/>
  <c r="F137" i="3"/>
  <c r="F138" i="3"/>
  <c r="F139" i="3"/>
  <c r="F140" i="3"/>
  <c r="F141" i="3"/>
  <c r="F142" i="3"/>
  <c r="F143" i="3"/>
  <c r="F144" i="3"/>
  <c r="F145" i="3"/>
  <c r="F146" i="3"/>
  <c r="F147" i="3"/>
  <c r="F148" i="3"/>
  <c r="F149" i="3"/>
  <c r="F150" i="3"/>
  <c r="F151" i="3"/>
  <c r="F152" i="3"/>
  <c r="F153" i="3"/>
  <c r="F154" i="3"/>
  <c r="F155" i="3"/>
  <c r="F156" i="3"/>
  <c r="F157" i="3"/>
  <c r="F158" i="3"/>
  <c r="F159" i="3"/>
  <c r="F160" i="3"/>
  <c r="F161" i="3"/>
  <c r="F162" i="3"/>
  <c r="F163" i="3"/>
  <c r="F164" i="3"/>
  <c r="F165" i="3"/>
  <c r="F166" i="3"/>
  <c r="F167" i="3"/>
  <c r="F168" i="3"/>
  <c r="F169" i="3"/>
  <c r="F177" i="3"/>
  <c r="F178" i="3"/>
  <c r="F179" i="3"/>
  <c r="F180" i="3"/>
  <c r="F181" i="3"/>
  <c r="F182" i="3"/>
  <c r="F183" i="3"/>
  <c r="F184" i="3"/>
  <c r="F185" i="3"/>
  <c r="F186" i="3"/>
  <c r="F187" i="3"/>
  <c r="F188" i="3"/>
  <c r="F189" i="3"/>
  <c r="F190" i="3"/>
  <c r="F192" i="3"/>
  <c r="F193" i="3"/>
  <c r="F194" i="3"/>
  <c r="F196" i="3"/>
  <c r="F197" i="3"/>
  <c r="F202" i="3"/>
  <c r="F203" i="3"/>
  <c r="F204" i="3"/>
  <c r="F205" i="3"/>
  <c r="F206" i="3"/>
  <c r="F208" i="3"/>
  <c r="F207" i="3"/>
  <c r="F209" i="3"/>
  <c r="F210" i="3"/>
  <c r="F211" i="3"/>
  <c r="F212" i="3"/>
  <c r="F213" i="3"/>
  <c r="F214" i="3"/>
  <c r="F216" i="3"/>
  <c r="F217" i="3"/>
  <c r="F218" i="3"/>
  <c r="F219" i="3"/>
  <c r="F220" i="3"/>
  <c r="F221" i="3"/>
  <c r="F222" i="3"/>
  <c r="F223" i="3"/>
  <c r="F227" i="3"/>
  <c r="F228" i="3"/>
  <c r="F229" i="3"/>
  <c r="F230" i="3"/>
  <c r="F231" i="3"/>
  <c r="F232" i="3"/>
  <c r="F233" i="3"/>
  <c r="F234" i="3"/>
  <c r="F235" i="3"/>
  <c r="F236" i="3"/>
  <c r="F237" i="3"/>
  <c r="F238" i="3"/>
  <c r="F239" i="3"/>
  <c r="F240" i="3"/>
  <c r="F241" i="3"/>
  <c r="F242" i="3"/>
  <c r="F243" i="3"/>
  <c r="F244" i="3"/>
  <c r="F245" i="3"/>
  <c r="F246" i="3"/>
  <c r="F247" i="3"/>
  <c r="F248" i="3"/>
  <c r="F249" i="3"/>
  <c r="F250" i="3"/>
  <c r="F251" i="3"/>
  <c r="F252" i="3"/>
  <c r="F253" i="3"/>
  <c r="F254" i="3"/>
  <c r="F255" i="3"/>
  <c r="F256" i="3"/>
  <c r="F257" i="3"/>
  <c r="F258" i="3"/>
  <c r="F259" i="3"/>
  <c r="F260" i="3"/>
  <c r="F261" i="3"/>
  <c r="B19" i="19" l="1"/>
  <c r="B11" i="19"/>
  <c r="B13" i="19" l="1"/>
  <c r="C13" i="19"/>
  <c r="K43" i="23" s="1"/>
  <c r="K44" i="23" s="1"/>
  <c r="S106" i="3"/>
  <c r="AB106" i="3"/>
  <c r="P106" i="3" s="1"/>
  <c r="A62" i="7"/>
  <c r="S54" i="3"/>
  <c r="AB54" i="3"/>
  <c r="P54" i="3" s="1"/>
  <c r="S193" i="3"/>
  <c r="AB193" i="3"/>
  <c r="P193" i="3" s="1"/>
  <c r="S124" i="3"/>
  <c r="AB124" i="3"/>
  <c r="P124" i="3" s="1"/>
  <c r="A48" i="7"/>
  <c r="S168" i="3"/>
  <c r="AB168" i="3"/>
  <c r="P168" i="3" s="1"/>
  <c r="S166" i="3"/>
  <c r="AB166" i="3"/>
  <c r="P166" i="3" s="1"/>
  <c r="S167" i="3"/>
  <c r="AB167" i="3"/>
  <c r="P167" i="3" s="1"/>
  <c r="S169" i="3"/>
  <c r="AB169" i="3"/>
  <c r="P169" i="3" s="1"/>
  <c r="S162" i="3"/>
  <c r="AB162" i="3"/>
  <c r="P162" i="3" s="1"/>
  <c r="N162" i="3" l="1"/>
  <c r="M162" i="3"/>
  <c r="N169" i="3"/>
  <c r="M169" i="3"/>
  <c r="N167" i="3"/>
  <c r="M167" i="3"/>
  <c r="N166" i="3"/>
  <c r="M166" i="3"/>
  <c r="N168" i="3"/>
  <c r="M168" i="3"/>
  <c r="N124" i="3"/>
  <c r="M124" i="3"/>
  <c r="N193" i="3"/>
  <c r="M193" i="3"/>
  <c r="N54" i="3"/>
  <c r="M54" i="3"/>
  <c r="N106" i="3"/>
  <c r="M106" i="3"/>
  <c r="K167" i="3"/>
  <c r="K124" i="3"/>
  <c r="K193" i="3"/>
  <c r="K166" i="3"/>
  <c r="K168" i="3"/>
  <c r="K54" i="3"/>
  <c r="K162" i="3"/>
  <c r="K169" i="3"/>
  <c r="K106" i="3"/>
  <c r="S88" i="3"/>
  <c r="AB88" i="3"/>
  <c r="P88" i="3" s="1"/>
  <c r="S89" i="3"/>
  <c r="AB89" i="3"/>
  <c r="P89" i="3" s="1"/>
  <c r="S11" i="3"/>
  <c r="AB11" i="3"/>
  <c r="P11" i="3" l="1"/>
  <c r="T106" i="3"/>
  <c r="N11" i="3"/>
  <c r="M11" i="3"/>
  <c r="N89" i="3"/>
  <c r="M89" i="3"/>
  <c r="N88" i="3"/>
  <c r="M88" i="3"/>
  <c r="K11" i="3"/>
  <c r="K89" i="3"/>
  <c r="K88" i="3"/>
  <c r="S61" i="3"/>
  <c r="AB61" i="3"/>
  <c r="P61" i="3" s="1"/>
  <c r="S53" i="3"/>
  <c r="AB53" i="3"/>
  <c r="P53" i="3" s="1"/>
  <c r="S60" i="3"/>
  <c r="AB60" i="3"/>
  <c r="P60" i="3" s="1"/>
  <c r="S52" i="3"/>
  <c r="AB52" i="3"/>
  <c r="P52" i="3" s="1"/>
  <c r="T167" i="3" l="1"/>
  <c r="T166" i="3"/>
  <c r="T88" i="3"/>
  <c r="T168" i="3"/>
  <c r="T124" i="3"/>
  <c r="T54" i="3"/>
  <c r="T193" i="3"/>
  <c r="T162" i="3"/>
  <c r="T169" i="3"/>
  <c r="T89" i="3"/>
  <c r="N52" i="3"/>
  <c r="M52" i="3"/>
  <c r="N60" i="3"/>
  <c r="M60" i="3"/>
  <c r="N53" i="3"/>
  <c r="M53" i="3"/>
  <c r="N61" i="3"/>
  <c r="M61" i="3"/>
  <c r="K60" i="3"/>
  <c r="K53" i="3"/>
  <c r="K61" i="3"/>
  <c r="K52" i="3"/>
  <c r="T53" i="3"/>
  <c r="T61" i="3"/>
  <c r="T52" i="3"/>
  <c r="T60" i="3"/>
  <c r="A114" i="7"/>
  <c r="S165" i="3" l="1"/>
  <c r="AB165" i="3"/>
  <c r="P165" i="3" s="1"/>
  <c r="A52" i="7"/>
  <c r="S132" i="3"/>
  <c r="AB132" i="3"/>
  <c r="P132" i="3" s="1"/>
  <c r="S131" i="3"/>
  <c r="AB131" i="3"/>
  <c r="P131" i="3" s="1"/>
  <c r="N131" i="3" l="1"/>
  <c r="M131" i="3"/>
  <c r="N132" i="3"/>
  <c r="M132" i="3"/>
  <c r="N165" i="3"/>
  <c r="M165" i="3"/>
  <c r="K131" i="3"/>
  <c r="K132" i="3"/>
  <c r="K165" i="3"/>
  <c r="T131" i="3"/>
  <c r="T132" i="3"/>
  <c r="T165" i="3"/>
  <c r="S79" i="3"/>
  <c r="AB79" i="3"/>
  <c r="P79" i="3" s="1"/>
  <c r="N79" i="3" l="1"/>
  <c r="M79" i="3"/>
  <c r="K79" i="3"/>
  <c r="T79" i="3"/>
  <c r="S107" i="3"/>
  <c r="AB107" i="3"/>
  <c r="P107" i="3" s="1"/>
  <c r="T11" i="3" l="1"/>
  <c r="N107" i="3"/>
  <c r="M107" i="3"/>
  <c r="K107" i="3"/>
  <c r="T107" i="3"/>
  <c r="Q3" i="2"/>
  <c r="Q4" i="2"/>
  <c r="Q5" i="2"/>
  <c r="Q6" i="2"/>
  <c r="Q8" i="2"/>
  <c r="Q9" i="2"/>
  <c r="Q10" i="2"/>
  <c r="Q35" i="2"/>
  <c r="Q36" i="2"/>
  <c r="Q37" i="2"/>
  <c r="Q38" i="2"/>
  <c r="Q39" i="2"/>
  <c r="Q40" i="2"/>
  <c r="Q41" i="2"/>
  <c r="Q42" i="2"/>
  <c r="Q43" i="2"/>
  <c r="Q135" i="2"/>
  <c r="Q138" i="2"/>
  <c r="Q139" i="2"/>
  <c r="Q140" i="2"/>
  <c r="Q137" i="2"/>
  <c r="Q136" i="2"/>
  <c r="Q224" i="2"/>
  <c r="Q225" i="2"/>
  <c r="Q226" i="2"/>
  <c r="Q227" i="2"/>
  <c r="Q228" i="2"/>
  <c r="Q229" i="2"/>
  <c r="Q230" i="2"/>
  <c r="Q231" i="2"/>
  <c r="Q232" i="2"/>
  <c r="Q233" i="2"/>
  <c r="Q234" i="2"/>
  <c r="Q235" i="2"/>
  <c r="Q236" i="2"/>
  <c r="Q237" i="2"/>
  <c r="Q238" i="2"/>
  <c r="Q239" i="2"/>
  <c r="Q240" i="2"/>
  <c r="Q241" i="2"/>
  <c r="Q242" i="2"/>
  <c r="Q243" i="2"/>
  <c r="Q244" i="2"/>
  <c r="Q245" i="2"/>
  <c r="Q246" i="2"/>
  <c r="Q247" i="2"/>
  <c r="Q248" i="2"/>
  <c r="Q249" i="2"/>
  <c r="Q250" i="2"/>
  <c r="Q251" i="2"/>
  <c r="Q252" i="2"/>
  <c r="Q253" i="2"/>
  <c r="Q254" i="2"/>
  <c r="A100" i="7" l="1"/>
  <c r="A92" i="7"/>
  <c r="A95" i="7"/>
  <c r="A94" i="7"/>
  <c r="A82" i="7"/>
  <c r="A83" i="7"/>
  <c r="A99" i="7"/>
  <c r="A98" i="7"/>
  <c r="AB2" i="3"/>
  <c r="P2" i="3" s="1"/>
  <c r="AB3" i="3"/>
  <c r="P3" i="3" s="1"/>
  <c r="AB4" i="3"/>
  <c r="P4" i="3" s="1"/>
  <c r="AB5" i="3"/>
  <c r="P5" i="3" s="1"/>
  <c r="AB7" i="3"/>
  <c r="P7" i="3" s="1"/>
  <c r="AB8" i="3"/>
  <c r="P8" i="3" s="1"/>
  <c r="AB9" i="3"/>
  <c r="P9" i="3" s="1"/>
  <c r="AB12" i="3"/>
  <c r="P12" i="3" s="1"/>
  <c r="AB13" i="3"/>
  <c r="P13" i="3" s="1"/>
  <c r="AB14" i="3"/>
  <c r="P14" i="3" s="1"/>
  <c r="AB15" i="3"/>
  <c r="P15" i="3" s="1"/>
  <c r="AB16" i="3"/>
  <c r="P16" i="3" s="1"/>
  <c r="AB17" i="3"/>
  <c r="P17" i="3" s="1"/>
  <c r="AB18" i="3"/>
  <c r="P18" i="3" s="1"/>
  <c r="AB19" i="3"/>
  <c r="P19" i="3" s="1"/>
  <c r="AB20" i="3"/>
  <c r="P20" i="3" s="1"/>
  <c r="AB21" i="3"/>
  <c r="P21" i="3" s="1"/>
  <c r="AB22" i="3"/>
  <c r="P22" i="3" s="1"/>
  <c r="AB23" i="3"/>
  <c r="P23" i="3" s="1"/>
  <c r="AB24" i="3"/>
  <c r="P24" i="3" s="1"/>
  <c r="AB25" i="3"/>
  <c r="P25" i="3" s="1"/>
  <c r="AB26" i="3"/>
  <c r="P26" i="3" s="1"/>
  <c r="AB27" i="3"/>
  <c r="P27" i="3" s="1"/>
  <c r="AB28" i="3"/>
  <c r="P28" i="3" s="1"/>
  <c r="AB29" i="3"/>
  <c r="P29" i="3" s="1"/>
  <c r="AB30" i="3"/>
  <c r="P30" i="3" s="1"/>
  <c r="AB31" i="3"/>
  <c r="P31" i="3" s="1"/>
  <c r="AB32" i="3"/>
  <c r="P32" i="3" s="1"/>
  <c r="AB34" i="3"/>
  <c r="P34" i="3" s="1"/>
  <c r="AB33" i="3"/>
  <c r="P33" i="3" s="1"/>
  <c r="AB35" i="3"/>
  <c r="P35" i="3" s="1"/>
  <c r="AB38" i="3"/>
  <c r="P38" i="3" s="1"/>
  <c r="AB36" i="3"/>
  <c r="P36" i="3" s="1"/>
  <c r="AB37" i="3"/>
  <c r="P37" i="3" s="1"/>
  <c r="AB42" i="3"/>
  <c r="P42" i="3" s="1"/>
  <c r="AB46" i="3"/>
  <c r="P46" i="3" s="1"/>
  <c r="AB43" i="3"/>
  <c r="P43" i="3" s="1"/>
  <c r="AB45" i="3"/>
  <c r="P45" i="3" s="1"/>
  <c r="AB39" i="3"/>
  <c r="P39" i="3" s="1"/>
  <c r="AB40" i="3"/>
  <c r="P40" i="3" s="1"/>
  <c r="AB44" i="3"/>
  <c r="P44" i="3" s="1"/>
  <c r="AB47" i="3"/>
  <c r="P47" i="3" s="1"/>
  <c r="AB41" i="3"/>
  <c r="P41" i="3" s="1"/>
  <c r="AB49" i="3"/>
  <c r="P49" i="3" s="1"/>
  <c r="AB50" i="3"/>
  <c r="P50" i="3" s="1"/>
  <c r="AB51" i="3"/>
  <c r="P51" i="3" s="1"/>
  <c r="AB56" i="3"/>
  <c r="P56" i="3" s="1"/>
  <c r="AB57" i="3"/>
  <c r="P57" i="3" s="1"/>
  <c r="AB58" i="3"/>
  <c r="P58" i="3" s="1"/>
  <c r="AB59" i="3"/>
  <c r="P59" i="3" s="1"/>
  <c r="AB62" i="3"/>
  <c r="P62" i="3" s="1"/>
  <c r="AB63" i="3"/>
  <c r="P63" i="3" s="1"/>
  <c r="AB64" i="3"/>
  <c r="P64" i="3" s="1"/>
  <c r="AB65" i="3"/>
  <c r="P65" i="3" s="1"/>
  <c r="AB66" i="3"/>
  <c r="P66" i="3" s="1"/>
  <c r="AB67" i="3"/>
  <c r="P67" i="3" s="1"/>
  <c r="AB68" i="3"/>
  <c r="P68" i="3" s="1"/>
  <c r="AB69" i="3"/>
  <c r="P69" i="3" s="1"/>
  <c r="AB70" i="3"/>
  <c r="P70" i="3" s="1"/>
  <c r="AB71" i="3"/>
  <c r="P71" i="3" s="1"/>
  <c r="AB72" i="3"/>
  <c r="P72" i="3" s="1"/>
  <c r="AB73" i="3"/>
  <c r="P73" i="3" s="1"/>
  <c r="AB74" i="3"/>
  <c r="P74" i="3" s="1"/>
  <c r="AB76" i="3"/>
  <c r="P76" i="3" s="1"/>
  <c r="AB75" i="3"/>
  <c r="P75" i="3" s="1"/>
  <c r="AB77" i="3"/>
  <c r="P77" i="3" s="1"/>
  <c r="AB78" i="3"/>
  <c r="P78" i="3" s="1"/>
  <c r="AB80" i="3"/>
  <c r="P80" i="3" s="1"/>
  <c r="AB81" i="3"/>
  <c r="P81" i="3" s="1"/>
  <c r="AB82" i="3"/>
  <c r="P82" i="3" s="1"/>
  <c r="AB84" i="3"/>
  <c r="P84" i="3" s="1"/>
  <c r="AB85" i="3"/>
  <c r="P85" i="3" s="1"/>
  <c r="AB86" i="3"/>
  <c r="P86" i="3" s="1"/>
  <c r="AB87" i="3"/>
  <c r="P87" i="3" s="1"/>
  <c r="AB91" i="3"/>
  <c r="P91" i="3" s="1"/>
  <c r="AB92" i="3"/>
  <c r="P92" i="3" s="1"/>
  <c r="AB93" i="3"/>
  <c r="P93" i="3" s="1"/>
  <c r="AB94" i="3"/>
  <c r="P94" i="3" s="1"/>
  <c r="AB97" i="3"/>
  <c r="P97" i="3" s="1"/>
  <c r="AB99" i="3"/>
  <c r="P99" i="3" s="1"/>
  <c r="AB100" i="3"/>
  <c r="P100" i="3" s="1"/>
  <c r="AB101" i="3"/>
  <c r="P101" i="3" s="1"/>
  <c r="AB102" i="3"/>
  <c r="P102" i="3" s="1"/>
  <c r="AB103" i="3"/>
  <c r="P103" i="3" s="1"/>
  <c r="AB104" i="3"/>
  <c r="P104" i="3" s="1"/>
  <c r="AB108" i="3"/>
  <c r="P108" i="3" s="1"/>
  <c r="AB109" i="3"/>
  <c r="P109" i="3" s="1"/>
  <c r="AB110" i="3"/>
  <c r="P110" i="3" s="1"/>
  <c r="AB111" i="3"/>
  <c r="P111" i="3" s="1"/>
  <c r="AB112" i="3"/>
  <c r="P112" i="3" s="1"/>
  <c r="AB113" i="3"/>
  <c r="P113" i="3" s="1"/>
  <c r="AB115" i="3"/>
  <c r="P115" i="3" s="1"/>
  <c r="AB114" i="3"/>
  <c r="P114" i="3" s="1"/>
  <c r="AB116" i="3"/>
  <c r="P116" i="3" s="1"/>
  <c r="AB117" i="3"/>
  <c r="P117" i="3" s="1"/>
  <c r="AB118" i="3"/>
  <c r="P118" i="3" s="1"/>
  <c r="AB119" i="3"/>
  <c r="P119" i="3" s="1"/>
  <c r="AB120" i="3"/>
  <c r="P120" i="3" s="1"/>
  <c r="AB121" i="3"/>
  <c r="P121" i="3" s="1"/>
  <c r="AB122" i="3"/>
  <c r="P122" i="3" s="1"/>
  <c r="AB123" i="3"/>
  <c r="P123" i="3" s="1"/>
  <c r="AB126" i="3"/>
  <c r="P126" i="3" s="1"/>
  <c r="AB125" i="3"/>
  <c r="P125" i="3" s="1"/>
  <c r="AB127" i="3"/>
  <c r="P127" i="3" s="1"/>
  <c r="AB128" i="3"/>
  <c r="P128" i="3" s="1"/>
  <c r="AB129" i="3"/>
  <c r="P129" i="3" s="1"/>
  <c r="AB130" i="3"/>
  <c r="P130" i="3" s="1"/>
  <c r="AB133" i="3"/>
  <c r="P133" i="3" s="1"/>
  <c r="AB134" i="3"/>
  <c r="P134" i="3" s="1"/>
  <c r="AB135" i="3"/>
  <c r="P135" i="3" s="1"/>
  <c r="AB136" i="3"/>
  <c r="P136" i="3" s="1"/>
  <c r="AB137" i="3"/>
  <c r="P137" i="3" s="1"/>
  <c r="AB138" i="3"/>
  <c r="P138" i="3" s="1"/>
  <c r="AB139" i="3"/>
  <c r="P139" i="3" s="1"/>
  <c r="AB140" i="3"/>
  <c r="P140" i="3" s="1"/>
  <c r="AB141" i="3"/>
  <c r="P141" i="3" s="1"/>
  <c r="AB142" i="3"/>
  <c r="P142" i="3" s="1"/>
  <c r="AB143" i="3"/>
  <c r="P143" i="3" s="1"/>
  <c r="AB144" i="3"/>
  <c r="P144" i="3" s="1"/>
  <c r="AB145" i="3"/>
  <c r="P145" i="3" s="1"/>
  <c r="AB146" i="3"/>
  <c r="P146" i="3" s="1"/>
  <c r="AB147" i="3"/>
  <c r="P147" i="3" s="1"/>
  <c r="AB148" i="3"/>
  <c r="P148" i="3" s="1"/>
  <c r="AB149" i="3"/>
  <c r="P149" i="3" s="1"/>
  <c r="AB150" i="3"/>
  <c r="P150" i="3" s="1"/>
  <c r="AB151" i="3"/>
  <c r="P151" i="3" s="1"/>
  <c r="AB152" i="3"/>
  <c r="P152" i="3" s="1"/>
  <c r="AB153" i="3"/>
  <c r="P153" i="3" s="1"/>
  <c r="AB154" i="3"/>
  <c r="P154" i="3" s="1"/>
  <c r="AB155" i="3"/>
  <c r="P155" i="3" s="1"/>
  <c r="AB156" i="3"/>
  <c r="P156" i="3" s="1"/>
  <c r="AB157" i="3"/>
  <c r="P157" i="3" s="1"/>
  <c r="AB158" i="3"/>
  <c r="P158" i="3" s="1"/>
  <c r="AB159" i="3"/>
  <c r="P159" i="3" s="1"/>
  <c r="AB160" i="3"/>
  <c r="P160" i="3" s="1"/>
  <c r="AB161" i="3"/>
  <c r="P161" i="3" s="1"/>
  <c r="AB163" i="3"/>
  <c r="P163" i="3" s="1"/>
  <c r="AB164" i="3"/>
  <c r="P164" i="3" s="1"/>
  <c r="AB177" i="3"/>
  <c r="P177" i="3" s="1"/>
  <c r="AB178" i="3"/>
  <c r="P178" i="3" s="1"/>
  <c r="AB179" i="3"/>
  <c r="P179" i="3" s="1"/>
  <c r="AB180" i="3"/>
  <c r="P180" i="3" s="1"/>
  <c r="AB181" i="3"/>
  <c r="P181" i="3" s="1"/>
  <c r="AB182" i="3"/>
  <c r="P182" i="3" s="1"/>
  <c r="AB183" i="3"/>
  <c r="P183" i="3" s="1"/>
  <c r="AB184" i="3"/>
  <c r="P184" i="3" s="1"/>
  <c r="AB185" i="3"/>
  <c r="P185" i="3" s="1"/>
  <c r="AB186" i="3"/>
  <c r="P186" i="3" s="1"/>
  <c r="AB187" i="3"/>
  <c r="P187" i="3" s="1"/>
  <c r="AB188" i="3"/>
  <c r="P188" i="3" s="1"/>
  <c r="AB189" i="3"/>
  <c r="P189" i="3" s="1"/>
  <c r="AB190" i="3"/>
  <c r="P190" i="3" s="1"/>
  <c r="AB192" i="3"/>
  <c r="P192" i="3" s="1"/>
  <c r="AB194" i="3"/>
  <c r="P194" i="3" s="1"/>
  <c r="AB196" i="3"/>
  <c r="P196" i="3" s="1"/>
  <c r="AB197" i="3"/>
  <c r="P197" i="3" s="1"/>
  <c r="AB202" i="3"/>
  <c r="P202" i="3" s="1"/>
  <c r="AB203" i="3"/>
  <c r="P203" i="3" s="1"/>
  <c r="AB204" i="3"/>
  <c r="P204" i="3" s="1"/>
  <c r="AB205" i="3"/>
  <c r="P205" i="3" s="1"/>
  <c r="AB206" i="3"/>
  <c r="P206" i="3" s="1"/>
  <c r="AB208" i="3"/>
  <c r="P208" i="3" s="1"/>
  <c r="AB207" i="3"/>
  <c r="P207" i="3" s="1"/>
  <c r="AB209" i="3"/>
  <c r="P209" i="3" s="1"/>
  <c r="AB210" i="3"/>
  <c r="P210" i="3" s="1"/>
  <c r="AB211" i="3"/>
  <c r="P211" i="3" s="1"/>
  <c r="AB212" i="3"/>
  <c r="P212" i="3" s="1"/>
  <c r="AB213" i="3"/>
  <c r="P213" i="3" s="1"/>
  <c r="AB214" i="3"/>
  <c r="P214" i="3" s="1"/>
  <c r="AB216" i="3"/>
  <c r="P216" i="3" s="1"/>
  <c r="AB217" i="3"/>
  <c r="P217" i="3" s="1"/>
  <c r="AB218" i="3"/>
  <c r="P218" i="3" s="1"/>
  <c r="AB219" i="3"/>
  <c r="P219" i="3" s="1"/>
  <c r="AB220" i="3"/>
  <c r="P220" i="3" s="1"/>
  <c r="AB221" i="3"/>
  <c r="P221" i="3" s="1"/>
  <c r="AB222" i="3"/>
  <c r="P222" i="3" s="1"/>
  <c r="AB223" i="3"/>
  <c r="P223" i="3" s="1"/>
  <c r="AB227" i="3"/>
  <c r="P227" i="3" s="1"/>
  <c r="AB228" i="3"/>
  <c r="P228" i="3" s="1"/>
  <c r="AB229" i="3"/>
  <c r="P229" i="3" s="1"/>
  <c r="AB230" i="3"/>
  <c r="P230" i="3" s="1"/>
  <c r="AB231" i="3"/>
  <c r="P231" i="3" s="1"/>
  <c r="AB232" i="3"/>
  <c r="P232" i="3" s="1"/>
  <c r="AB233" i="3"/>
  <c r="P233" i="3" s="1"/>
  <c r="AB234" i="3"/>
  <c r="P234" i="3" s="1"/>
  <c r="AB235" i="3"/>
  <c r="P235" i="3" s="1"/>
  <c r="AB236" i="3"/>
  <c r="P236" i="3" s="1"/>
  <c r="AB237" i="3"/>
  <c r="P237" i="3" s="1"/>
  <c r="AB238" i="3"/>
  <c r="P238" i="3" s="1"/>
  <c r="AB239" i="3"/>
  <c r="P239" i="3" s="1"/>
  <c r="AB240" i="3"/>
  <c r="P240" i="3" s="1"/>
  <c r="AB241" i="3"/>
  <c r="P241" i="3" s="1"/>
  <c r="AB242" i="3"/>
  <c r="P242" i="3" s="1"/>
  <c r="AB243" i="3"/>
  <c r="P243" i="3" s="1"/>
  <c r="AB244" i="3"/>
  <c r="P244" i="3" s="1"/>
  <c r="AB245" i="3"/>
  <c r="P245" i="3" s="1"/>
  <c r="AB246" i="3"/>
  <c r="P246" i="3" s="1"/>
  <c r="AB247" i="3"/>
  <c r="P247" i="3" s="1"/>
  <c r="AB248" i="3"/>
  <c r="P248" i="3" s="1"/>
  <c r="AB249" i="3"/>
  <c r="P249" i="3" s="1"/>
  <c r="AB250" i="3"/>
  <c r="P250" i="3" s="1"/>
  <c r="AB251" i="3"/>
  <c r="P251" i="3" s="1"/>
  <c r="AB252" i="3"/>
  <c r="P252" i="3" s="1"/>
  <c r="AB253" i="3"/>
  <c r="P253" i="3" s="1"/>
  <c r="AB254" i="3"/>
  <c r="P254" i="3" s="1"/>
  <c r="AB255" i="3"/>
  <c r="P255" i="3" s="1"/>
  <c r="AB256" i="3"/>
  <c r="P256" i="3" s="1"/>
  <c r="AB257" i="3"/>
  <c r="P257" i="3" s="1"/>
  <c r="AB258" i="3"/>
  <c r="P258" i="3" s="1"/>
  <c r="AB259" i="3"/>
  <c r="P259" i="3" s="1"/>
  <c r="AB260" i="3"/>
  <c r="P260" i="3" s="1"/>
  <c r="AB261" i="3"/>
  <c r="P261" i="3" s="1"/>
  <c r="A79" i="7"/>
  <c r="S207" i="3"/>
  <c r="A97" i="7"/>
  <c r="S75" i="3"/>
  <c r="S103" i="3"/>
  <c r="P262" i="3" l="1"/>
  <c r="AB262" i="3"/>
  <c r="N261" i="3"/>
  <c r="M261" i="3"/>
  <c r="N260" i="3"/>
  <c r="M260" i="3"/>
  <c r="N259" i="3"/>
  <c r="M259" i="3"/>
  <c r="N258" i="3"/>
  <c r="M258" i="3"/>
  <c r="N257" i="3"/>
  <c r="M257" i="3"/>
  <c r="N256" i="3"/>
  <c r="M256" i="3"/>
  <c r="N255" i="3"/>
  <c r="M255" i="3"/>
  <c r="N254" i="3"/>
  <c r="M254" i="3"/>
  <c r="N253" i="3"/>
  <c r="M253" i="3"/>
  <c r="N252" i="3"/>
  <c r="M252" i="3"/>
  <c r="N251" i="3"/>
  <c r="M251" i="3"/>
  <c r="N250" i="3"/>
  <c r="M250" i="3"/>
  <c r="N249" i="3"/>
  <c r="M249" i="3"/>
  <c r="N248" i="3"/>
  <c r="M248" i="3"/>
  <c r="N247" i="3"/>
  <c r="M247" i="3"/>
  <c r="N246" i="3"/>
  <c r="M246" i="3"/>
  <c r="N245" i="3"/>
  <c r="M245" i="3"/>
  <c r="N244" i="3"/>
  <c r="M244" i="3"/>
  <c r="N243" i="3"/>
  <c r="M243" i="3"/>
  <c r="N242" i="3"/>
  <c r="M242" i="3"/>
  <c r="N241" i="3"/>
  <c r="M241" i="3"/>
  <c r="N240" i="3"/>
  <c r="M240" i="3"/>
  <c r="N239" i="3"/>
  <c r="M239" i="3"/>
  <c r="N238" i="3"/>
  <c r="M238" i="3"/>
  <c r="N237" i="3"/>
  <c r="M237" i="3"/>
  <c r="N236" i="3"/>
  <c r="M236" i="3"/>
  <c r="N235" i="3"/>
  <c r="M235" i="3"/>
  <c r="N234" i="3"/>
  <c r="M234" i="3"/>
  <c r="N233" i="3"/>
  <c r="M233" i="3"/>
  <c r="N232" i="3"/>
  <c r="M232" i="3"/>
  <c r="N231" i="3"/>
  <c r="M231" i="3"/>
  <c r="N230" i="3"/>
  <c r="M230" i="3"/>
  <c r="N229" i="3"/>
  <c r="M229" i="3"/>
  <c r="N228" i="3"/>
  <c r="M228" i="3"/>
  <c r="N227" i="3"/>
  <c r="M227" i="3"/>
  <c r="N223" i="3"/>
  <c r="M223" i="3"/>
  <c r="N222" i="3"/>
  <c r="M222" i="3"/>
  <c r="N221" i="3"/>
  <c r="M221" i="3"/>
  <c r="N220" i="3"/>
  <c r="M220" i="3"/>
  <c r="N219" i="3"/>
  <c r="M219" i="3"/>
  <c r="N218" i="3"/>
  <c r="M218" i="3"/>
  <c r="N217" i="3"/>
  <c r="M217" i="3"/>
  <c r="N216" i="3"/>
  <c r="M216" i="3"/>
  <c r="N214" i="3"/>
  <c r="M214" i="3"/>
  <c r="N213" i="3"/>
  <c r="M213" i="3"/>
  <c r="N212" i="3"/>
  <c r="M212" i="3"/>
  <c r="N211" i="3"/>
  <c r="M211" i="3"/>
  <c r="N210" i="3"/>
  <c r="M210" i="3"/>
  <c r="N209" i="3"/>
  <c r="M209" i="3"/>
  <c r="N207" i="3"/>
  <c r="M207" i="3"/>
  <c r="N208" i="3"/>
  <c r="M208" i="3"/>
  <c r="N206" i="3"/>
  <c r="M206" i="3"/>
  <c r="N205" i="3"/>
  <c r="M205" i="3"/>
  <c r="N204" i="3"/>
  <c r="M204" i="3"/>
  <c r="N203" i="3"/>
  <c r="M203" i="3"/>
  <c r="N202" i="3"/>
  <c r="M202" i="3"/>
  <c r="N197" i="3"/>
  <c r="M197" i="3"/>
  <c r="N196" i="3"/>
  <c r="M196" i="3"/>
  <c r="N194" i="3"/>
  <c r="M194" i="3"/>
  <c r="N192" i="3"/>
  <c r="M192" i="3"/>
  <c r="N190" i="3"/>
  <c r="M190" i="3"/>
  <c r="N189" i="3"/>
  <c r="M189" i="3"/>
  <c r="N188" i="3"/>
  <c r="M188" i="3"/>
  <c r="N187" i="3"/>
  <c r="M187" i="3"/>
  <c r="N186" i="3"/>
  <c r="M186" i="3"/>
  <c r="N185" i="3"/>
  <c r="M185" i="3"/>
  <c r="N184" i="3"/>
  <c r="M184" i="3"/>
  <c r="N183" i="3"/>
  <c r="M183" i="3"/>
  <c r="N182" i="3"/>
  <c r="M182" i="3"/>
  <c r="N181" i="3"/>
  <c r="M181" i="3"/>
  <c r="N180" i="3"/>
  <c r="M180" i="3"/>
  <c r="N179" i="3"/>
  <c r="M179" i="3"/>
  <c r="N178" i="3"/>
  <c r="M178" i="3"/>
  <c r="N177" i="3"/>
  <c r="M177" i="3"/>
  <c r="N164" i="3"/>
  <c r="M164" i="3"/>
  <c r="N163" i="3"/>
  <c r="M163" i="3"/>
  <c r="N161" i="3"/>
  <c r="M161" i="3"/>
  <c r="N160" i="3"/>
  <c r="M160" i="3"/>
  <c r="N159" i="3"/>
  <c r="M159" i="3"/>
  <c r="N158" i="3"/>
  <c r="M158" i="3"/>
  <c r="N157" i="3"/>
  <c r="M157" i="3"/>
  <c r="N156" i="3"/>
  <c r="M156" i="3"/>
  <c r="N155" i="3"/>
  <c r="M155" i="3"/>
  <c r="N154" i="3"/>
  <c r="M154" i="3"/>
  <c r="N153" i="3"/>
  <c r="M153" i="3"/>
  <c r="N152" i="3"/>
  <c r="M152" i="3"/>
  <c r="N151" i="3"/>
  <c r="M151" i="3"/>
  <c r="N150" i="3"/>
  <c r="M150" i="3"/>
  <c r="N149" i="3"/>
  <c r="M149" i="3"/>
  <c r="N148" i="3"/>
  <c r="M148" i="3"/>
  <c r="N147" i="3"/>
  <c r="M147" i="3"/>
  <c r="N146" i="3"/>
  <c r="M146" i="3"/>
  <c r="N145" i="3"/>
  <c r="M145" i="3"/>
  <c r="N144" i="3"/>
  <c r="M144" i="3"/>
  <c r="N143" i="3"/>
  <c r="M143" i="3"/>
  <c r="N142" i="3"/>
  <c r="M142" i="3"/>
  <c r="N141" i="3"/>
  <c r="M141" i="3"/>
  <c r="N140" i="3"/>
  <c r="M140" i="3"/>
  <c r="N139" i="3"/>
  <c r="M139" i="3"/>
  <c r="N138" i="3"/>
  <c r="M138" i="3"/>
  <c r="N137" i="3"/>
  <c r="M137" i="3"/>
  <c r="N136" i="3"/>
  <c r="M136" i="3"/>
  <c r="N135" i="3"/>
  <c r="M135" i="3"/>
  <c r="N134" i="3"/>
  <c r="M134" i="3"/>
  <c r="N133" i="3"/>
  <c r="M133" i="3"/>
  <c r="N130" i="3"/>
  <c r="M130" i="3"/>
  <c r="N129" i="3"/>
  <c r="M129" i="3"/>
  <c r="N128" i="3"/>
  <c r="M128" i="3"/>
  <c r="N127" i="3"/>
  <c r="M127" i="3"/>
  <c r="N125" i="3"/>
  <c r="M125" i="3"/>
  <c r="N126" i="3"/>
  <c r="M126" i="3"/>
  <c r="N123" i="3"/>
  <c r="M123" i="3"/>
  <c r="N122" i="3"/>
  <c r="M122" i="3"/>
  <c r="N121" i="3"/>
  <c r="M121" i="3"/>
  <c r="N120" i="3"/>
  <c r="M120" i="3"/>
  <c r="N119" i="3"/>
  <c r="M119" i="3"/>
  <c r="N118" i="3"/>
  <c r="M118" i="3"/>
  <c r="N117" i="3"/>
  <c r="M117" i="3"/>
  <c r="N116" i="3"/>
  <c r="M116" i="3"/>
  <c r="N114" i="3"/>
  <c r="M114" i="3"/>
  <c r="N115" i="3"/>
  <c r="M115" i="3"/>
  <c r="N113" i="3"/>
  <c r="M113" i="3"/>
  <c r="N112" i="3"/>
  <c r="M112" i="3"/>
  <c r="N111" i="3"/>
  <c r="M111" i="3"/>
  <c r="N110" i="3"/>
  <c r="M110" i="3"/>
  <c r="N109" i="3"/>
  <c r="M109" i="3"/>
  <c r="N108" i="3"/>
  <c r="M108" i="3"/>
  <c r="N104" i="3"/>
  <c r="M104" i="3"/>
  <c r="N103" i="3"/>
  <c r="M103" i="3"/>
  <c r="N102" i="3"/>
  <c r="M102" i="3"/>
  <c r="N101" i="3"/>
  <c r="M101" i="3"/>
  <c r="N100" i="3"/>
  <c r="M100" i="3"/>
  <c r="N99" i="3"/>
  <c r="M99" i="3"/>
  <c r="N97" i="3"/>
  <c r="M97" i="3"/>
  <c r="N94" i="3"/>
  <c r="M94" i="3"/>
  <c r="N93" i="3"/>
  <c r="M93" i="3"/>
  <c r="N92" i="3"/>
  <c r="M92" i="3"/>
  <c r="N91" i="3"/>
  <c r="M91" i="3"/>
  <c r="N87" i="3"/>
  <c r="M87" i="3"/>
  <c r="N86" i="3"/>
  <c r="M86" i="3"/>
  <c r="N85" i="3"/>
  <c r="M85" i="3"/>
  <c r="N84" i="3"/>
  <c r="M84" i="3"/>
  <c r="N82" i="3"/>
  <c r="M82" i="3"/>
  <c r="N81" i="3"/>
  <c r="M81" i="3"/>
  <c r="N80" i="3"/>
  <c r="M80" i="3"/>
  <c r="N78" i="3"/>
  <c r="M78" i="3"/>
  <c r="N77" i="3"/>
  <c r="M77" i="3"/>
  <c r="N75" i="3"/>
  <c r="M75" i="3"/>
  <c r="N76" i="3"/>
  <c r="M76" i="3"/>
  <c r="N74" i="3"/>
  <c r="M74" i="3"/>
  <c r="N73" i="3"/>
  <c r="M73" i="3"/>
  <c r="N72" i="3"/>
  <c r="M72" i="3"/>
  <c r="N71" i="3"/>
  <c r="M71" i="3"/>
  <c r="N70" i="3"/>
  <c r="M70" i="3"/>
  <c r="N69" i="3"/>
  <c r="M69" i="3"/>
  <c r="N68" i="3"/>
  <c r="M68" i="3"/>
  <c r="N67" i="3"/>
  <c r="M67" i="3"/>
  <c r="N66" i="3"/>
  <c r="M66" i="3"/>
  <c r="N65" i="3"/>
  <c r="M65" i="3"/>
  <c r="N64" i="3"/>
  <c r="M64" i="3"/>
  <c r="N63" i="3"/>
  <c r="M63" i="3"/>
  <c r="N62" i="3"/>
  <c r="M62" i="3"/>
  <c r="N59" i="3"/>
  <c r="M59" i="3"/>
  <c r="N58" i="3"/>
  <c r="M58" i="3"/>
  <c r="N57" i="3"/>
  <c r="M57" i="3"/>
  <c r="N56" i="3"/>
  <c r="M56" i="3"/>
  <c r="N51" i="3"/>
  <c r="M51" i="3"/>
  <c r="N50" i="3"/>
  <c r="M50" i="3"/>
  <c r="N49" i="3"/>
  <c r="M49" i="3"/>
  <c r="N41" i="3"/>
  <c r="M41" i="3"/>
  <c r="N47" i="3"/>
  <c r="M47" i="3"/>
  <c r="N44" i="3"/>
  <c r="M44" i="3"/>
  <c r="N40" i="3"/>
  <c r="M40" i="3"/>
  <c r="N39" i="3"/>
  <c r="M39" i="3"/>
  <c r="N45" i="3"/>
  <c r="M45" i="3"/>
  <c r="N43" i="3"/>
  <c r="M43" i="3"/>
  <c r="N46" i="3"/>
  <c r="M46" i="3"/>
  <c r="N42" i="3"/>
  <c r="M42" i="3"/>
  <c r="N37" i="3"/>
  <c r="M37" i="3"/>
  <c r="N36" i="3"/>
  <c r="M36" i="3"/>
  <c r="N38" i="3"/>
  <c r="M38" i="3"/>
  <c r="N35" i="3"/>
  <c r="M35" i="3"/>
  <c r="N33" i="3"/>
  <c r="M33" i="3"/>
  <c r="N34" i="3"/>
  <c r="M34" i="3"/>
  <c r="N32" i="3"/>
  <c r="M32" i="3"/>
  <c r="N31" i="3"/>
  <c r="M31" i="3"/>
  <c r="N30" i="3"/>
  <c r="M30" i="3"/>
  <c r="N29" i="3"/>
  <c r="M29" i="3"/>
  <c r="N28" i="3"/>
  <c r="M28" i="3"/>
  <c r="N27" i="3"/>
  <c r="M27" i="3"/>
  <c r="N26" i="3"/>
  <c r="M26" i="3"/>
  <c r="N25" i="3"/>
  <c r="M25" i="3"/>
  <c r="N24" i="3"/>
  <c r="M24" i="3"/>
  <c r="N23" i="3"/>
  <c r="M23" i="3"/>
  <c r="N22" i="3"/>
  <c r="M22" i="3"/>
  <c r="N21" i="3"/>
  <c r="M21" i="3"/>
  <c r="N20" i="3"/>
  <c r="M20" i="3"/>
  <c r="N19" i="3"/>
  <c r="M19" i="3"/>
  <c r="N18" i="3"/>
  <c r="M18" i="3"/>
  <c r="N17" i="3"/>
  <c r="M17" i="3"/>
  <c r="N16" i="3"/>
  <c r="M16" i="3"/>
  <c r="N15" i="3"/>
  <c r="M15" i="3"/>
  <c r="N14" i="3"/>
  <c r="M14" i="3"/>
  <c r="N13" i="3"/>
  <c r="M13" i="3"/>
  <c r="N12" i="3"/>
  <c r="M12" i="3"/>
  <c r="N9" i="3"/>
  <c r="M9" i="3"/>
  <c r="N8" i="3"/>
  <c r="M8" i="3"/>
  <c r="N7" i="3"/>
  <c r="M7" i="3"/>
  <c r="N5" i="3"/>
  <c r="M5" i="3"/>
  <c r="N4" i="3"/>
  <c r="M4" i="3"/>
  <c r="N3" i="3"/>
  <c r="M3" i="3"/>
  <c r="N2" i="3"/>
  <c r="M2" i="3"/>
  <c r="K161" i="3"/>
  <c r="K50" i="3"/>
  <c r="K261" i="3"/>
  <c r="K227" i="3"/>
  <c r="K205" i="3"/>
  <c r="K194" i="3"/>
  <c r="K180" i="3"/>
  <c r="K160" i="3"/>
  <c r="K152" i="3"/>
  <c r="K144" i="3"/>
  <c r="K138" i="3"/>
  <c r="K122" i="3"/>
  <c r="K115" i="3"/>
  <c r="K108" i="3"/>
  <c r="K101" i="3"/>
  <c r="K87" i="3"/>
  <c r="K77" i="3"/>
  <c r="K69" i="3"/>
  <c r="K43" i="3"/>
  <c r="K33" i="3"/>
  <c r="K27" i="3"/>
  <c r="K20" i="3"/>
  <c r="K9" i="3"/>
  <c r="K234" i="3"/>
  <c r="K78" i="3"/>
  <c r="K21" i="3"/>
  <c r="K233" i="3"/>
  <c r="K260" i="3"/>
  <c r="K252" i="3"/>
  <c r="K244" i="3"/>
  <c r="K239" i="3"/>
  <c r="K232" i="3"/>
  <c r="K219" i="3"/>
  <c r="K211" i="3"/>
  <c r="K204" i="3"/>
  <c r="K192" i="3"/>
  <c r="K187" i="3"/>
  <c r="K179" i="3"/>
  <c r="K159" i="3"/>
  <c r="K151" i="3"/>
  <c r="K137" i="3"/>
  <c r="K130" i="3"/>
  <c r="K121" i="3"/>
  <c r="K113" i="3"/>
  <c r="K100" i="3"/>
  <c r="K86" i="3"/>
  <c r="K75" i="3"/>
  <c r="K68" i="3"/>
  <c r="K59" i="3"/>
  <c r="K49" i="3"/>
  <c r="K34" i="3"/>
  <c r="K26" i="3"/>
  <c r="K19" i="3"/>
  <c r="K8" i="3"/>
  <c r="K188" i="3"/>
  <c r="K139" i="3"/>
  <c r="K91" i="3"/>
  <c r="K28" i="3"/>
  <c r="K212" i="3"/>
  <c r="K251" i="3"/>
  <c r="K243" i="3"/>
  <c r="K238" i="3"/>
  <c r="K218" i="3"/>
  <c r="K203" i="3"/>
  <c r="K190" i="3"/>
  <c r="K186" i="3"/>
  <c r="K178" i="3"/>
  <c r="K158" i="3"/>
  <c r="K150" i="3"/>
  <c r="K143" i="3"/>
  <c r="K129" i="3"/>
  <c r="K120" i="3"/>
  <c r="K112" i="3"/>
  <c r="K99" i="3"/>
  <c r="K85" i="3"/>
  <c r="K76" i="3"/>
  <c r="K67" i="3"/>
  <c r="K58" i="3"/>
  <c r="K41" i="3"/>
  <c r="K46" i="3"/>
  <c r="K18" i="3"/>
  <c r="K7" i="3"/>
  <c r="K246" i="3"/>
  <c r="K196" i="3"/>
  <c r="K145" i="3"/>
  <c r="K35" i="3"/>
  <c r="K245" i="3"/>
  <c r="K220" i="3"/>
  <c r="K259" i="3"/>
  <c r="K258" i="3"/>
  <c r="K250" i="3"/>
  <c r="K242" i="3"/>
  <c r="K237" i="3"/>
  <c r="K223" i="3"/>
  <c r="K217" i="3"/>
  <c r="K210" i="3"/>
  <c r="K202" i="3"/>
  <c r="K184" i="3"/>
  <c r="K177" i="3"/>
  <c r="K157" i="3"/>
  <c r="K149" i="3"/>
  <c r="K142" i="3"/>
  <c r="K136" i="3"/>
  <c r="K128" i="3"/>
  <c r="K119" i="3"/>
  <c r="K111" i="3"/>
  <c r="K104" i="3"/>
  <c r="K97" i="3"/>
  <c r="K84" i="3"/>
  <c r="K74" i="3"/>
  <c r="K66" i="3"/>
  <c r="K57" i="3"/>
  <c r="K47" i="3"/>
  <c r="K42" i="3"/>
  <c r="K32" i="3"/>
  <c r="K25" i="3"/>
  <c r="K17" i="3"/>
  <c r="K5" i="3"/>
  <c r="K228" i="3"/>
  <c r="K123" i="3"/>
  <c r="K70" i="3"/>
  <c r="K257" i="3"/>
  <c r="K249" i="3"/>
  <c r="K241" i="3"/>
  <c r="K236" i="3"/>
  <c r="K231" i="3"/>
  <c r="K216" i="3"/>
  <c r="K209" i="3"/>
  <c r="K164" i="3"/>
  <c r="K156" i="3"/>
  <c r="K148" i="3"/>
  <c r="K141" i="3"/>
  <c r="K135" i="3"/>
  <c r="K127" i="3"/>
  <c r="K118" i="3"/>
  <c r="K110" i="3"/>
  <c r="K103" i="3"/>
  <c r="K94" i="3"/>
  <c r="K82" i="3"/>
  <c r="K73" i="3"/>
  <c r="K65" i="3"/>
  <c r="K56" i="3"/>
  <c r="K44" i="3"/>
  <c r="K37" i="3"/>
  <c r="K31" i="3"/>
  <c r="K24" i="3"/>
  <c r="K16" i="3"/>
  <c r="K13" i="3"/>
  <c r="K4" i="3"/>
  <c r="K221" i="3"/>
  <c r="K181" i="3"/>
  <c r="K114" i="3"/>
  <c r="K62" i="3"/>
  <c r="K256" i="3"/>
  <c r="K248" i="3"/>
  <c r="K240" i="3"/>
  <c r="K230" i="3"/>
  <c r="K214" i="3"/>
  <c r="K207" i="3"/>
  <c r="K183" i="3"/>
  <c r="K155" i="3"/>
  <c r="K147" i="3"/>
  <c r="K140" i="3"/>
  <c r="K134" i="3"/>
  <c r="K125" i="3"/>
  <c r="K117" i="3"/>
  <c r="K109" i="3"/>
  <c r="K102" i="3"/>
  <c r="K93" i="3"/>
  <c r="K81" i="3"/>
  <c r="K72" i="3"/>
  <c r="K64" i="3"/>
  <c r="K40" i="3"/>
  <c r="K36" i="3"/>
  <c r="K30" i="3"/>
  <c r="K23" i="3"/>
  <c r="K15" i="3"/>
  <c r="K12" i="3"/>
  <c r="K3" i="3"/>
  <c r="K254" i="3"/>
  <c r="K206" i="3"/>
  <c r="K153" i="3"/>
  <c r="K45" i="3"/>
  <c r="K253" i="3"/>
  <c r="K255" i="3"/>
  <c r="K247" i="3"/>
  <c r="K235" i="3"/>
  <c r="K229" i="3"/>
  <c r="K222" i="3"/>
  <c r="K213" i="3"/>
  <c r="K208" i="3"/>
  <c r="K197" i="3"/>
  <c r="K189" i="3"/>
  <c r="K185" i="3"/>
  <c r="K182" i="3"/>
  <c r="K163" i="3"/>
  <c r="K154" i="3"/>
  <c r="K146" i="3"/>
  <c r="K133" i="3"/>
  <c r="K126" i="3"/>
  <c r="K116" i="3"/>
  <c r="K92" i="3"/>
  <c r="K80" i="3"/>
  <c r="K71" i="3"/>
  <c r="K63" i="3"/>
  <c r="K51" i="3"/>
  <c r="K39" i="3"/>
  <c r="K38" i="3"/>
  <c r="K29" i="3"/>
  <c r="K22" i="3"/>
  <c r="K14" i="3"/>
  <c r="K2" i="3"/>
  <c r="T192" i="3"/>
  <c r="T144" i="3"/>
  <c r="T101" i="3"/>
  <c r="T33" i="3"/>
  <c r="T261" i="3"/>
  <c r="T220" i="3"/>
  <c r="T212" i="3"/>
  <c r="T205" i="3"/>
  <c r="T194" i="3"/>
  <c r="T188" i="3"/>
  <c r="T181" i="3"/>
  <c r="T161" i="3"/>
  <c r="T153" i="3"/>
  <c r="T145" i="3"/>
  <c r="T123" i="3"/>
  <c r="T114" i="3"/>
  <c r="T91" i="3"/>
  <c r="T78" i="3"/>
  <c r="T70" i="3"/>
  <c r="T62" i="3"/>
  <c r="T50" i="3"/>
  <c r="T45" i="3"/>
  <c r="T35" i="3"/>
  <c r="T28" i="3"/>
  <c r="T122" i="3"/>
  <c r="T69" i="3"/>
  <c r="T218" i="3"/>
  <c r="T203" i="3"/>
  <c r="T187" i="3"/>
  <c r="T179" i="3"/>
  <c r="T159" i="3"/>
  <c r="T151" i="3"/>
  <c r="T130" i="3"/>
  <c r="T121" i="3"/>
  <c r="T113" i="3"/>
  <c r="T100" i="3"/>
  <c r="T86" i="3"/>
  <c r="T75" i="3"/>
  <c r="T68" i="3"/>
  <c r="T59" i="3"/>
  <c r="T49" i="3"/>
  <c r="T34" i="3"/>
  <c r="T26" i="3"/>
  <c r="T260" i="3"/>
  <c r="T211" i="3"/>
  <c r="T152" i="3"/>
  <c r="T259" i="3"/>
  <c r="T223" i="3"/>
  <c r="T217" i="3"/>
  <c r="T210" i="3"/>
  <c r="T202" i="3"/>
  <c r="T190" i="3"/>
  <c r="T186" i="3"/>
  <c r="T178" i="3"/>
  <c r="T158" i="3"/>
  <c r="T150" i="3"/>
  <c r="T143" i="3"/>
  <c r="T129" i="3"/>
  <c r="T120" i="3"/>
  <c r="T112" i="3"/>
  <c r="T99" i="3"/>
  <c r="T85" i="3"/>
  <c r="T76" i="3"/>
  <c r="T67" i="3"/>
  <c r="T58" i="3"/>
  <c r="T41" i="3"/>
  <c r="T46" i="3"/>
  <c r="T77" i="3"/>
  <c r="T258" i="3"/>
  <c r="T216" i="3"/>
  <c r="T209" i="3"/>
  <c r="T184" i="3"/>
  <c r="T177" i="3"/>
  <c r="T157" i="3"/>
  <c r="T149" i="3"/>
  <c r="T142" i="3"/>
  <c r="T128" i="3"/>
  <c r="T119" i="3"/>
  <c r="T111" i="3"/>
  <c r="T104" i="3"/>
  <c r="T97" i="3"/>
  <c r="T84" i="3"/>
  <c r="T74" i="3"/>
  <c r="T66" i="3"/>
  <c r="T57" i="3"/>
  <c r="T47" i="3"/>
  <c r="T42" i="3"/>
  <c r="T32" i="3"/>
  <c r="T25" i="3"/>
  <c r="T219" i="3"/>
  <c r="T180" i="3"/>
  <c r="T115" i="3"/>
  <c r="T214" i="3"/>
  <c r="T207" i="3"/>
  <c r="T164" i="3"/>
  <c r="T156" i="3"/>
  <c r="T148" i="3"/>
  <c r="T141" i="3"/>
  <c r="T127" i="3"/>
  <c r="T118" i="3"/>
  <c r="T110" i="3"/>
  <c r="T103" i="3"/>
  <c r="T94" i="3"/>
  <c r="T82" i="3"/>
  <c r="T73" i="3"/>
  <c r="T65" i="3"/>
  <c r="T56" i="3"/>
  <c r="T44" i="3"/>
  <c r="T37" i="3"/>
  <c r="T31" i="3"/>
  <c r="T24" i="3"/>
  <c r="T87" i="3"/>
  <c r="T27" i="3"/>
  <c r="T222" i="3"/>
  <c r="T213" i="3"/>
  <c r="T208" i="3"/>
  <c r="T197" i="3"/>
  <c r="T183" i="3"/>
  <c r="T155" i="3"/>
  <c r="T147" i="3"/>
  <c r="T134" i="3"/>
  <c r="T125" i="3"/>
  <c r="T117" i="3"/>
  <c r="T109" i="3"/>
  <c r="T102" i="3"/>
  <c r="T93" i="3"/>
  <c r="T81" i="3"/>
  <c r="T72" i="3"/>
  <c r="T64" i="3"/>
  <c r="T40" i="3"/>
  <c r="T36" i="3"/>
  <c r="T30" i="3"/>
  <c r="T23" i="3"/>
  <c r="T12" i="3"/>
  <c r="T204" i="3"/>
  <c r="T160" i="3"/>
  <c r="T108" i="3"/>
  <c r="T43" i="3"/>
  <c r="T221" i="3"/>
  <c r="T206" i="3"/>
  <c r="T196" i="3"/>
  <c r="T189" i="3"/>
  <c r="T185" i="3"/>
  <c r="T182" i="3"/>
  <c r="T163" i="3"/>
  <c r="T154" i="3"/>
  <c r="T146" i="3"/>
  <c r="T133" i="3"/>
  <c r="T126" i="3"/>
  <c r="T116" i="3"/>
  <c r="T92" i="3"/>
  <c r="T80" i="3"/>
  <c r="T71" i="3"/>
  <c r="T63" i="3"/>
  <c r="T51" i="3"/>
  <c r="T39" i="3"/>
  <c r="T38" i="3"/>
  <c r="T29" i="3"/>
  <c r="T22" i="3"/>
  <c r="A111" i="7"/>
  <c r="S260" i="3"/>
  <c r="A38" i="7"/>
  <c r="S57" i="3"/>
  <c r="S58" i="3"/>
  <c r="A39" i="7"/>
  <c r="A35" i="7"/>
  <c r="A105" i="7"/>
  <c r="A113" i="7"/>
  <c r="S50" i="3"/>
  <c r="A46" i="7"/>
  <c r="A106" i="7"/>
  <c r="S46" i="3"/>
  <c r="S43" i="3"/>
  <c r="S45" i="3"/>
  <c r="S39" i="3"/>
  <c r="S40" i="3"/>
  <c r="S44" i="3"/>
  <c r="S47" i="3"/>
  <c r="S41" i="3"/>
  <c r="A36" i="7"/>
  <c r="A21" i="7"/>
  <c r="S36" i="3"/>
  <c r="S37" i="3"/>
  <c r="A109" i="7"/>
  <c r="A104" i="7"/>
  <c r="A8" i="7"/>
  <c r="A15" i="7"/>
  <c r="A7" i="7"/>
  <c r="A5" i="7"/>
  <c r="A16" i="7"/>
  <c r="A103" i="7"/>
  <c r="A102" i="7"/>
  <c r="A10" i="7"/>
  <c r="S33" i="3"/>
  <c r="A23" i="7"/>
  <c r="A22" i="7"/>
  <c r="A108" i="7"/>
  <c r="S29" i="3"/>
  <c r="S30" i="3"/>
  <c r="S31" i="3"/>
  <c r="S32" i="3"/>
  <c r="A4" i="7"/>
  <c r="A6" i="7"/>
  <c r="A9" i="7"/>
  <c r="A11" i="7"/>
  <c r="A14" i="7"/>
  <c r="A20" i="7"/>
  <c r="A19" i="7"/>
  <c r="A112" i="7"/>
  <c r="A66" i="7"/>
  <c r="A41" i="7"/>
  <c r="A71" i="7"/>
  <c r="A70" i="7"/>
  <c r="A107" i="7"/>
  <c r="M262" i="3" l="1"/>
  <c r="K262" i="3"/>
  <c r="A110" i="7"/>
  <c r="A37" i="7" l="1"/>
  <c r="A12" i="7"/>
  <c r="A42" i="7"/>
  <c r="A40" i="7"/>
  <c r="S2" i="3" l="1"/>
  <c r="S3" i="3"/>
  <c r="S4" i="3"/>
  <c r="S5" i="3"/>
  <c r="R6" i="2"/>
  <c r="S6" i="2"/>
  <c r="T6" i="2" s="1"/>
  <c r="U6" i="2"/>
  <c r="V6" i="2" s="1"/>
  <c r="W6" i="2"/>
  <c r="X6" i="2" s="1"/>
  <c r="Y6" i="2"/>
  <c r="Z6" i="2" s="1"/>
  <c r="AA6" i="2"/>
  <c r="AB6" i="2" s="1"/>
  <c r="AC6" i="2"/>
  <c r="AD6" i="2" s="1"/>
  <c r="AE6" i="2"/>
  <c r="AF6" i="2"/>
  <c r="AG6" i="2"/>
  <c r="AH6" i="2" s="1"/>
  <c r="AI6" i="2"/>
  <c r="R5" i="2"/>
  <c r="S5" i="2"/>
  <c r="T5" i="2" s="1"/>
  <c r="U5" i="2"/>
  <c r="V5" i="2" s="1"/>
  <c r="W5" i="2"/>
  <c r="X5" i="2" s="1"/>
  <c r="Y5" i="2"/>
  <c r="Z5" i="2" s="1"/>
  <c r="AA5" i="2"/>
  <c r="AB5" i="2" s="1"/>
  <c r="AC5" i="2"/>
  <c r="AD5" i="2" s="1"/>
  <c r="AE5" i="2"/>
  <c r="AF5" i="2"/>
  <c r="AG5" i="2"/>
  <c r="AH5" i="2" s="1"/>
  <c r="AI5" i="2"/>
  <c r="R4" i="2"/>
  <c r="S4" i="2"/>
  <c r="T4" i="2" s="1"/>
  <c r="U4" i="2"/>
  <c r="V4" i="2" s="1"/>
  <c r="W4" i="2"/>
  <c r="X4" i="2" s="1"/>
  <c r="Y4" i="2"/>
  <c r="Z4" i="2" s="1"/>
  <c r="AA4" i="2"/>
  <c r="AB4" i="2" s="1"/>
  <c r="AC4" i="2"/>
  <c r="AD4" i="2" s="1"/>
  <c r="AE4" i="2"/>
  <c r="AF4" i="2"/>
  <c r="AG4" i="2"/>
  <c r="AH4" i="2" s="1"/>
  <c r="AI4" i="2"/>
  <c r="AC8" i="2"/>
  <c r="AD8" i="2" s="1"/>
  <c r="AC9" i="2"/>
  <c r="AD9" i="2" s="1"/>
  <c r="AC10" i="2"/>
  <c r="AD10" i="2" s="1"/>
  <c r="AC35" i="2"/>
  <c r="AD35" i="2" s="1"/>
  <c r="AC36" i="2"/>
  <c r="AD36" i="2" s="1"/>
  <c r="AC37" i="2"/>
  <c r="AD37" i="2" s="1"/>
  <c r="AC38" i="2"/>
  <c r="AD38" i="2" s="1"/>
  <c r="AC39" i="2"/>
  <c r="AD39" i="2" s="1"/>
  <c r="AC40" i="2"/>
  <c r="AD40" i="2" s="1"/>
  <c r="AC41" i="2"/>
  <c r="AD41" i="2" s="1"/>
  <c r="AC42" i="2"/>
  <c r="AD42" i="2" s="1"/>
  <c r="AC43" i="2"/>
  <c r="AD43" i="2" s="1"/>
  <c r="AC135" i="2"/>
  <c r="AD135" i="2" s="1"/>
  <c r="AC138" i="2"/>
  <c r="AD138" i="2" s="1"/>
  <c r="AC139" i="2"/>
  <c r="AD139" i="2" s="1"/>
  <c r="AC140" i="2"/>
  <c r="AD140" i="2" s="1"/>
  <c r="AC137" i="2"/>
  <c r="AD137" i="2" s="1"/>
  <c r="AC136" i="2"/>
  <c r="AD136" i="2" s="1"/>
  <c r="AC224" i="2"/>
  <c r="AD224" i="2" s="1"/>
  <c r="AC225" i="2"/>
  <c r="AD225" i="2" s="1"/>
  <c r="AC226" i="2"/>
  <c r="AD226" i="2" s="1"/>
  <c r="AC227" i="2"/>
  <c r="AD227" i="2" s="1"/>
  <c r="AC228" i="2"/>
  <c r="AD228" i="2" s="1"/>
  <c r="AC229" i="2"/>
  <c r="AD229" i="2" s="1"/>
  <c r="AC230" i="2"/>
  <c r="AD230" i="2" s="1"/>
  <c r="AC231" i="2"/>
  <c r="AD231" i="2" s="1"/>
  <c r="AC232" i="2"/>
  <c r="AD232" i="2" s="1"/>
  <c r="AC233" i="2"/>
  <c r="AD233" i="2" s="1"/>
  <c r="AC234" i="2"/>
  <c r="AD234" i="2" s="1"/>
  <c r="AC235" i="2"/>
  <c r="AD235" i="2" s="1"/>
  <c r="AC236" i="2"/>
  <c r="AD236" i="2" s="1"/>
  <c r="AC237" i="2"/>
  <c r="AD237" i="2" s="1"/>
  <c r="AC238" i="2"/>
  <c r="AD238" i="2" s="1"/>
  <c r="AC239" i="2"/>
  <c r="AD239" i="2" s="1"/>
  <c r="AC240" i="2"/>
  <c r="AD240" i="2" s="1"/>
  <c r="AC241" i="2"/>
  <c r="AD241" i="2" s="1"/>
  <c r="AC242" i="2"/>
  <c r="AD242" i="2" s="1"/>
  <c r="AC243" i="2"/>
  <c r="AD243" i="2" s="1"/>
  <c r="AC244" i="2"/>
  <c r="AD244" i="2" s="1"/>
  <c r="AC245" i="2"/>
  <c r="AD245" i="2" s="1"/>
  <c r="AC246" i="2"/>
  <c r="AD246" i="2" s="1"/>
  <c r="AC247" i="2"/>
  <c r="AD247" i="2" s="1"/>
  <c r="AC248" i="2"/>
  <c r="AD248" i="2" s="1"/>
  <c r="AC249" i="2"/>
  <c r="AD249" i="2" s="1"/>
  <c r="AC250" i="2"/>
  <c r="AD250" i="2" s="1"/>
  <c r="AC251" i="2"/>
  <c r="AD251" i="2" s="1"/>
  <c r="AC252" i="2"/>
  <c r="AD252" i="2" s="1"/>
  <c r="AC253" i="2"/>
  <c r="AD253" i="2" s="1"/>
  <c r="AC254" i="2"/>
  <c r="AD254" i="2" s="1"/>
  <c r="AC3" i="2"/>
  <c r="AD3" i="2" s="1"/>
  <c r="R3" i="2"/>
  <c r="S3" i="2"/>
  <c r="T3" i="2" s="1"/>
  <c r="U3" i="2"/>
  <c r="V3" i="2" s="1"/>
  <c r="W3" i="2"/>
  <c r="X3" i="2" s="1"/>
  <c r="Y3" i="2"/>
  <c r="Z3" i="2" s="1"/>
  <c r="AA3" i="2"/>
  <c r="AB3" i="2" s="1"/>
  <c r="AE3" i="2"/>
  <c r="AF3" i="2"/>
  <c r="AG3" i="2"/>
  <c r="AH3" i="2" s="1"/>
  <c r="AI3" i="2"/>
  <c r="AJ6" i="2" l="1"/>
  <c r="AJ5" i="2"/>
  <c r="AJ4" i="2"/>
  <c r="AJ3" i="2"/>
  <c r="S257" i="3"/>
  <c r="R254" i="2"/>
  <c r="S254" i="2"/>
  <c r="T254" i="2" s="1"/>
  <c r="U254" i="2"/>
  <c r="V254" i="2" s="1"/>
  <c r="W254" i="2"/>
  <c r="X254" i="2" s="1"/>
  <c r="Y254" i="2"/>
  <c r="Z254" i="2" s="1"/>
  <c r="AA254" i="2"/>
  <c r="AB254" i="2" s="1"/>
  <c r="AE254" i="2"/>
  <c r="AF254" i="2"/>
  <c r="AG254" i="2"/>
  <c r="AH254" i="2" s="1"/>
  <c r="AI254" i="2"/>
  <c r="S9" i="3"/>
  <c r="S8" i="3"/>
  <c r="S7" i="3"/>
  <c r="S21" i="3"/>
  <c r="S20" i="3"/>
  <c r="S19" i="3"/>
  <c r="S18" i="3"/>
  <c r="S17" i="3"/>
  <c r="S16" i="3"/>
  <c r="S15" i="3"/>
  <c r="S14" i="3"/>
  <c r="S13" i="3"/>
  <c r="S140" i="3"/>
  <c r="S139" i="3"/>
  <c r="S138" i="3"/>
  <c r="S137" i="3"/>
  <c r="S136" i="3"/>
  <c r="S135" i="3"/>
  <c r="S256" i="3"/>
  <c r="S255" i="3"/>
  <c r="S254" i="3"/>
  <c r="S253" i="3"/>
  <c r="S252" i="3"/>
  <c r="S251" i="3"/>
  <c r="S250" i="3"/>
  <c r="S249" i="3"/>
  <c r="S248" i="3"/>
  <c r="S247" i="3"/>
  <c r="S246" i="3"/>
  <c r="S245" i="3"/>
  <c r="S244" i="3"/>
  <c r="S243" i="3"/>
  <c r="S242" i="3"/>
  <c r="S241" i="3"/>
  <c r="S240" i="3"/>
  <c r="S239" i="3"/>
  <c r="S238" i="3"/>
  <c r="S237" i="3"/>
  <c r="S236" i="3"/>
  <c r="S235" i="3"/>
  <c r="S234" i="3"/>
  <c r="S233" i="3"/>
  <c r="S232" i="3"/>
  <c r="S231" i="3"/>
  <c r="S230" i="3"/>
  <c r="S229" i="3"/>
  <c r="S228" i="3"/>
  <c r="S227" i="3"/>
  <c r="T3" i="3" l="1"/>
  <c r="T4" i="3"/>
  <c r="T5" i="3"/>
  <c r="T2" i="3"/>
  <c r="AJ254" i="2"/>
  <c r="R8" i="2"/>
  <c r="R10" i="2"/>
  <c r="R9" i="2"/>
  <c r="S8" i="2"/>
  <c r="T8" i="2" s="1"/>
  <c r="S10" i="2"/>
  <c r="T10" i="2" s="1"/>
  <c r="S9" i="2"/>
  <c r="T9" i="2" s="1"/>
  <c r="U8" i="2"/>
  <c r="V8" i="2" s="1"/>
  <c r="U10" i="2"/>
  <c r="V10" i="2" s="1"/>
  <c r="U9" i="2"/>
  <c r="V9" i="2" s="1"/>
  <c r="W8" i="2"/>
  <c r="X8" i="2" s="1"/>
  <c r="W10" i="2"/>
  <c r="X10" i="2" s="1"/>
  <c r="W9" i="2"/>
  <c r="X9" i="2" s="1"/>
  <c r="Y8" i="2"/>
  <c r="Z8" i="2" s="1"/>
  <c r="Y10" i="2"/>
  <c r="Z10" i="2" s="1"/>
  <c r="Y9" i="2"/>
  <c r="Z9" i="2" s="1"/>
  <c r="AA8" i="2"/>
  <c r="AB8" i="2" s="1"/>
  <c r="AA10" i="2"/>
  <c r="AB10" i="2" s="1"/>
  <c r="AA9" i="2"/>
  <c r="AB9" i="2" s="1"/>
  <c r="AE8" i="2"/>
  <c r="AE10" i="2"/>
  <c r="AE9" i="2"/>
  <c r="AF8" i="2"/>
  <c r="AF10" i="2"/>
  <c r="AF9" i="2"/>
  <c r="AG8" i="2"/>
  <c r="AH8" i="2" s="1"/>
  <c r="AG10" i="2"/>
  <c r="AH10" i="2" s="1"/>
  <c r="AG9" i="2"/>
  <c r="AH9" i="2" s="1"/>
  <c r="AI8" i="2"/>
  <c r="AI10" i="2"/>
  <c r="AI9" i="2"/>
  <c r="R35" i="2"/>
  <c r="R39" i="2"/>
  <c r="R41" i="2"/>
  <c r="R40" i="2"/>
  <c r="R38" i="2"/>
  <c r="R37" i="2"/>
  <c r="R36" i="2"/>
  <c r="R43" i="2"/>
  <c r="R42" i="2"/>
  <c r="S35" i="2"/>
  <c r="T35" i="2" s="1"/>
  <c r="S39" i="2"/>
  <c r="T39" i="2" s="1"/>
  <c r="S41" i="2"/>
  <c r="T41" i="2" s="1"/>
  <c r="S40" i="2"/>
  <c r="T40" i="2" s="1"/>
  <c r="S38" i="2"/>
  <c r="T38" i="2" s="1"/>
  <c r="S37" i="2"/>
  <c r="T37" i="2" s="1"/>
  <c r="S36" i="2"/>
  <c r="T36" i="2" s="1"/>
  <c r="S43" i="2"/>
  <c r="T43" i="2" s="1"/>
  <c r="S42" i="2"/>
  <c r="T42" i="2" s="1"/>
  <c r="U35" i="2"/>
  <c r="V35" i="2" s="1"/>
  <c r="U39" i="2"/>
  <c r="V39" i="2" s="1"/>
  <c r="U41" i="2"/>
  <c r="V41" i="2" s="1"/>
  <c r="U40" i="2"/>
  <c r="V40" i="2" s="1"/>
  <c r="U38" i="2"/>
  <c r="V38" i="2" s="1"/>
  <c r="U37" i="2"/>
  <c r="V37" i="2" s="1"/>
  <c r="U36" i="2"/>
  <c r="V36" i="2" s="1"/>
  <c r="U43" i="2"/>
  <c r="V43" i="2" s="1"/>
  <c r="U42" i="2"/>
  <c r="V42" i="2" s="1"/>
  <c r="W35" i="2"/>
  <c r="X35" i="2" s="1"/>
  <c r="W39" i="2"/>
  <c r="X39" i="2" s="1"/>
  <c r="W41" i="2"/>
  <c r="X41" i="2" s="1"/>
  <c r="W40" i="2"/>
  <c r="X40" i="2" s="1"/>
  <c r="W38" i="2"/>
  <c r="X38" i="2" s="1"/>
  <c r="W37" i="2"/>
  <c r="X37" i="2" s="1"/>
  <c r="W36" i="2"/>
  <c r="X36" i="2" s="1"/>
  <c r="W43" i="2"/>
  <c r="X43" i="2" s="1"/>
  <c r="W42" i="2"/>
  <c r="X42" i="2" s="1"/>
  <c r="Y35" i="2"/>
  <c r="Z35" i="2" s="1"/>
  <c r="Y39" i="2"/>
  <c r="Z39" i="2" s="1"/>
  <c r="Y41" i="2"/>
  <c r="Z41" i="2" s="1"/>
  <c r="Y40" i="2"/>
  <c r="Z40" i="2" s="1"/>
  <c r="Y38" i="2"/>
  <c r="Z38" i="2" s="1"/>
  <c r="Y37" i="2"/>
  <c r="Z37" i="2" s="1"/>
  <c r="Y36" i="2"/>
  <c r="Z36" i="2" s="1"/>
  <c r="Y43" i="2"/>
  <c r="Z43" i="2" s="1"/>
  <c r="Y42" i="2"/>
  <c r="Z42" i="2" s="1"/>
  <c r="AA35" i="2"/>
  <c r="AB35" i="2" s="1"/>
  <c r="AA39" i="2"/>
  <c r="AB39" i="2" s="1"/>
  <c r="AA41" i="2"/>
  <c r="AB41" i="2" s="1"/>
  <c r="AA40" i="2"/>
  <c r="AB40" i="2" s="1"/>
  <c r="AA38" i="2"/>
  <c r="AB38" i="2" s="1"/>
  <c r="AA37" i="2"/>
  <c r="AB37" i="2" s="1"/>
  <c r="AA36" i="2"/>
  <c r="AB36" i="2" s="1"/>
  <c r="AA43" i="2"/>
  <c r="AB43" i="2" s="1"/>
  <c r="AA42" i="2"/>
  <c r="AB42" i="2" s="1"/>
  <c r="AE35" i="2"/>
  <c r="AE39" i="2"/>
  <c r="AE41" i="2"/>
  <c r="AE40" i="2"/>
  <c r="AE38" i="2"/>
  <c r="AE37" i="2"/>
  <c r="AE36" i="2"/>
  <c r="AE43" i="2"/>
  <c r="AE42" i="2"/>
  <c r="AF35" i="2"/>
  <c r="AF39" i="2"/>
  <c r="AF41" i="2"/>
  <c r="AF40" i="2"/>
  <c r="AF38" i="2"/>
  <c r="AF37" i="2"/>
  <c r="AF36" i="2"/>
  <c r="AF43" i="2"/>
  <c r="AF42" i="2"/>
  <c r="AG35" i="2"/>
  <c r="AH35" i="2" s="1"/>
  <c r="AG39" i="2"/>
  <c r="AH39" i="2" s="1"/>
  <c r="AG41" i="2"/>
  <c r="AH41" i="2" s="1"/>
  <c r="AG40" i="2"/>
  <c r="AH40" i="2" s="1"/>
  <c r="AG38" i="2"/>
  <c r="AH38" i="2" s="1"/>
  <c r="AG37" i="2"/>
  <c r="AH37" i="2" s="1"/>
  <c r="AG36" i="2"/>
  <c r="AH36" i="2" s="1"/>
  <c r="AG43" i="2"/>
  <c r="AH43" i="2" s="1"/>
  <c r="AG42" i="2"/>
  <c r="AH42" i="2" s="1"/>
  <c r="AI35" i="2"/>
  <c r="AI39" i="2"/>
  <c r="AI41" i="2"/>
  <c r="AI40" i="2"/>
  <c r="AI38" i="2"/>
  <c r="AI37" i="2"/>
  <c r="AI36" i="2"/>
  <c r="AI43" i="2"/>
  <c r="AI42" i="2"/>
  <c r="B3" i="15"/>
  <c r="B4" i="15"/>
  <c r="B5" i="15"/>
  <c r="B6" i="15"/>
  <c r="B7" i="15"/>
  <c r="B8" i="15"/>
  <c r="B9" i="15"/>
  <c r="B10" i="15"/>
  <c r="B11" i="15"/>
  <c r="B12" i="15"/>
  <c r="B13" i="15"/>
  <c r="B14" i="15"/>
  <c r="B15" i="15"/>
  <c r="B2" i="15"/>
  <c r="R138" i="2"/>
  <c r="R136" i="2"/>
  <c r="R135" i="2"/>
  <c r="R137" i="2"/>
  <c r="R139" i="2"/>
  <c r="R140" i="2"/>
  <c r="S138" i="2"/>
  <c r="T138" i="2" s="1"/>
  <c r="S136" i="2"/>
  <c r="T136" i="2" s="1"/>
  <c r="S135" i="2"/>
  <c r="T135" i="2" s="1"/>
  <c r="S137" i="2"/>
  <c r="T137" i="2" s="1"/>
  <c r="S139" i="2"/>
  <c r="T139" i="2" s="1"/>
  <c r="S140" i="2"/>
  <c r="T140" i="2" s="1"/>
  <c r="U138" i="2"/>
  <c r="V138" i="2" s="1"/>
  <c r="U136" i="2"/>
  <c r="V136" i="2" s="1"/>
  <c r="U135" i="2"/>
  <c r="V135" i="2" s="1"/>
  <c r="U137" i="2"/>
  <c r="V137" i="2" s="1"/>
  <c r="U139" i="2"/>
  <c r="V139" i="2" s="1"/>
  <c r="U140" i="2"/>
  <c r="V140" i="2" s="1"/>
  <c r="W138" i="2"/>
  <c r="X138" i="2" s="1"/>
  <c r="W136" i="2"/>
  <c r="X136" i="2" s="1"/>
  <c r="W135" i="2"/>
  <c r="X135" i="2" s="1"/>
  <c r="W137" i="2"/>
  <c r="X137" i="2" s="1"/>
  <c r="W139" i="2"/>
  <c r="X139" i="2" s="1"/>
  <c r="W140" i="2"/>
  <c r="X140" i="2" s="1"/>
  <c r="Y138" i="2"/>
  <c r="Z138" i="2" s="1"/>
  <c r="Y136" i="2"/>
  <c r="Z136" i="2" s="1"/>
  <c r="Y135" i="2"/>
  <c r="Z135" i="2" s="1"/>
  <c r="Y137" i="2"/>
  <c r="Z137" i="2" s="1"/>
  <c r="Y139" i="2"/>
  <c r="Z139" i="2" s="1"/>
  <c r="Y140" i="2"/>
  <c r="Z140" i="2" s="1"/>
  <c r="AA138" i="2"/>
  <c r="AB138" i="2" s="1"/>
  <c r="AA136" i="2"/>
  <c r="AB136" i="2" s="1"/>
  <c r="AA135" i="2"/>
  <c r="AB135" i="2" s="1"/>
  <c r="AA137" i="2"/>
  <c r="AB137" i="2" s="1"/>
  <c r="AA139" i="2"/>
  <c r="AB139" i="2" s="1"/>
  <c r="AA140" i="2"/>
  <c r="AB140" i="2" s="1"/>
  <c r="AE138" i="2"/>
  <c r="AE136" i="2"/>
  <c r="AE135" i="2"/>
  <c r="AE137" i="2"/>
  <c r="AE139" i="2"/>
  <c r="AE140" i="2"/>
  <c r="AF138" i="2"/>
  <c r="AF136" i="2"/>
  <c r="AF135" i="2"/>
  <c r="AF137" i="2"/>
  <c r="AF139" i="2"/>
  <c r="AF140" i="2"/>
  <c r="AG138" i="2"/>
  <c r="AH138" i="2" s="1"/>
  <c r="AG136" i="2"/>
  <c r="AH136" i="2" s="1"/>
  <c r="AG135" i="2"/>
  <c r="AH135" i="2" s="1"/>
  <c r="AG137" i="2"/>
  <c r="AH137" i="2" s="1"/>
  <c r="AG139" i="2"/>
  <c r="AH139" i="2" s="1"/>
  <c r="AG140" i="2"/>
  <c r="AH140" i="2" s="1"/>
  <c r="AI138" i="2"/>
  <c r="AI136" i="2"/>
  <c r="AI135" i="2"/>
  <c r="AI137" i="2"/>
  <c r="AI139" i="2"/>
  <c r="AI140" i="2"/>
  <c r="R240" i="2"/>
  <c r="R241" i="2"/>
  <c r="R242" i="2"/>
  <c r="R243" i="2"/>
  <c r="R244" i="2"/>
  <c r="R245" i="2"/>
  <c r="R246" i="2"/>
  <c r="R247" i="2"/>
  <c r="R248" i="2"/>
  <c r="R249" i="2"/>
  <c r="R250" i="2"/>
  <c r="R251" i="2"/>
  <c r="R252" i="2"/>
  <c r="R253" i="2"/>
  <c r="S240" i="2"/>
  <c r="T240" i="2" s="1"/>
  <c r="S241" i="2"/>
  <c r="T241" i="2" s="1"/>
  <c r="S242" i="2"/>
  <c r="T242" i="2" s="1"/>
  <c r="S243" i="2"/>
  <c r="T243" i="2" s="1"/>
  <c r="S244" i="2"/>
  <c r="T244" i="2" s="1"/>
  <c r="S245" i="2"/>
  <c r="T245" i="2" s="1"/>
  <c r="S246" i="2"/>
  <c r="T246" i="2" s="1"/>
  <c r="S247" i="2"/>
  <c r="T247" i="2" s="1"/>
  <c r="S248" i="2"/>
  <c r="T248" i="2" s="1"/>
  <c r="S249" i="2"/>
  <c r="T249" i="2" s="1"/>
  <c r="S250" i="2"/>
  <c r="T250" i="2" s="1"/>
  <c r="S251" i="2"/>
  <c r="T251" i="2" s="1"/>
  <c r="S252" i="2"/>
  <c r="T252" i="2" s="1"/>
  <c r="S253" i="2"/>
  <c r="T253" i="2" s="1"/>
  <c r="U240" i="2"/>
  <c r="V240" i="2" s="1"/>
  <c r="U241" i="2"/>
  <c r="V241" i="2" s="1"/>
  <c r="U242" i="2"/>
  <c r="V242" i="2" s="1"/>
  <c r="U243" i="2"/>
  <c r="V243" i="2" s="1"/>
  <c r="U244" i="2"/>
  <c r="V244" i="2" s="1"/>
  <c r="U245" i="2"/>
  <c r="V245" i="2" s="1"/>
  <c r="U246" i="2"/>
  <c r="V246" i="2" s="1"/>
  <c r="U247" i="2"/>
  <c r="V247" i="2" s="1"/>
  <c r="U248" i="2"/>
  <c r="V248" i="2" s="1"/>
  <c r="U249" i="2"/>
  <c r="V249" i="2" s="1"/>
  <c r="U250" i="2"/>
  <c r="V250" i="2" s="1"/>
  <c r="U251" i="2"/>
  <c r="V251" i="2" s="1"/>
  <c r="U252" i="2"/>
  <c r="V252" i="2" s="1"/>
  <c r="U253" i="2"/>
  <c r="V253" i="2" s="1"/>
  <c r="W240" i="2"/>
  <c r="X240" i="2" s="1"/>
  <c r="W241" i="2"/>
  <c r="X241" i="2" s="1"/>
  <c r="W242" i="2"/>
  <c r="X242" i="2" s="1"/>
  <c r="W243" i="2"/>
  <c r="X243" i="2" s="1"/>
  <c r="W244" i="2"/>
  <c r="X244" i="2" s="1"/>
  <c r="W245" i="2"/>
  <c r="X245" i="2" s="1"/>
  <c r="W246" i="2"/>
  <c r="X246" i="2" s="1"/>
  <c r="W247" i="2"/>
  <c r="X247" i="2" s="1"/>
  <c r="W248" i="2"/>
  <c r="X248" i="2" s="1"/>
  <c r="W249" i="2"/>
  <c r="X249" i="2" s="1"/>
  <c r="W250" i="2"/>
  <c r="X250" i="2" s="1"/>
  <c r="W251" i="2"/>
  <c r="X251" i="2" s="1"/>
  <c r="W252" i="2"/>
  <c r="X252" i="2" s="1"/>
  <c r="W253" i="2"/>
  <c r="X253" i="2" s="1"/>
  <c r="Y240" i="2"/>
  <c r="Z240" i="2" s="1"/>
  <c r="Y241" i="2"/>
  <c r="Z241" i="2" s="1"/>
  <c r="Y242" i="2"/>
  <c r="Z242" i="2" s="1"/>
  <c r="Y243" i="2"/>
  <c r="Z243" i="2" s="1"/>
  <c r="Y244" i="2"/>
  <c r="Z244" i="2" s="1"/>
  <c r="Y245" i="2"/>
  <c r="Z245" i="2" s="1"/>
  <c r="Y246" i="2"/>
  <c r="Z246" i="2" s="1"/>
  <c r="Y247" i="2"/>
  <c r="Z247" i="2" s="1"/>
  <c r="Y248" i="2"/>
  <c r="Z248" i="2" s="1"/>
  <c r="Y249" i="2"/>
  <c r="Z249" i="2" s="1"/>
  <c r="Y250" i="2"/>
  <c r="Z250" i="2" s="1"/>
  <c r="Y251" i="2"/>
  <c r="Z251" i="2" s="1"/>
  <c r="Y252" i="2"/>
  <c r="Z252" i="2" s="1"/>
  <c r="Y253" i="2"/>
  <c r="Z253" i="2" s="1"/>
  <c r="AA240" i="2"/>
  <c r="AB240" i="2" s="1"/>
  <c r="AA241" i="2"/>
  <c r="AB241" i="2" s="1"/>
  <c r="AA242" i="2"/>
  <c r="AB242" i="2" s="1"/>
  <c r="AA243" i="2"/>
  <c r="AB243" i="2" s="1"/>
  <c r="AA244" i="2"/>
  <c r="AB244" i="2" s="1"/>
  <c r="AA245" i="2"/>
  <c r="AB245" i="2" s="1"/>
  <c r="AA246" i="2"/>
  <c r="AB246" i="2" s="1"/>
  <c r="AA247" i="2"/>
  <c r="AB247" i="2" s="1"/>
  <c r="AA248" i="2"/>
  <c r="AB248" i="2" s="1"/>
  <c r="AA249" i="2"/>
  <c r="AB249" i="2" s="1"/>
  <c r="AA250" i="2"/>
  <c r="AB250" i="2" s="1"/>
  <c r="AA251" i="2"/>
  <c r="AB251" i="2" s="1"/>
  <c r="AA252" i="2"/>
  <c r="AB252" i="2" s="1"/>
  <c r="AA253" i="2"/>
  <c r="AB253" i="2" s="1"/>
  <c r="AE240" i="2"/>
  <c r="AE241" i="2"/>
  <c r="AE242" i="2"/>
  <c r="AE243" i="2"/>
  <c r="AE244" i="2"/>
  <c r="AE245" i="2"/>
  <c r="AE246" i="2"/>
  <c r="AE247" i="2"/>
  <c r="AE248" i="2"/>
  <c r="AE249" i="2"/>
  <c r="AE250" i="2"/>
  <c r="AE251" i="2"/>
  <c r="AE252" i="2"/>
  <c r="AE253" i="2"/>
  <c r="AF240" i="2"/>
  <c r="AF241" i="2"/>
  <c r="AF242" i="2"/>
  <c r="AF243" i="2"/>
  <c r="AF244" i="2"/>
  <c r="AF245" i="2"/>
  <c r="AF246" i="2"/>
  <c r="AF247" i="2"/>
  <c r="AF248" i="2"/>
  <c r="AF249" i="2"/>
  <c r="AF250" i="2"/>
  <c r="AF251" i="2"/>
  <c r="AF252" i="2"/>
  <c r="AF253" i="2"/>
  <c r="AG240" i="2"/>
  <c r="AH240" i="2" s="1"/>
  <c r="AG241" i="2"/>
  <c r="AH241" i="2" s="1"/>
  <c r="AG242" i="2"/>
  <c r="AH242" i="2" s="1"/>
  <c r="AG243" i="2"/>
  <c r="AH243" i="2" s="1"/>
  <c r="AG244" i="2"/>
  <c r="AH244" i="2" s="1"/>
  <c r="AG245" i="2"/>
  <c r="AH245" i="2" s="1"/>
  <c r="AG246" i="2"/>
  <c r="AH246" i="2" s="1"/>
  <c r="AG247" i="2"/>
  <c r="AH247" i="2" s="1"/>
  <c r="AG248" i="2"/>
  <c r="AH248" i="2" s="1"/>
  <c r="AG249" i="2"/>
  <c r="AH249" i="2" s="1"/>
  <c r="AG250" i="2"/>
  <c r="AH250" i="2" s="1"/>
  <c r="AG251" i="2"/>
  <c r="AH251" i="2" s="1"/>
  <c r="AG252" i="2"/>
  <c r="AH252" i="2" s="1"/>
  <c r="AG253" i="2"/>
  <c r="AH253" i="2" s="1"/>
  <c r="AI240" i="2"/>
  <c r="AI241" i="2"/>
  <c r="AI242" i="2"/>
  <c r="AI243" i="2"/>
  <c r="AI244" i="2"/>
  <c r="AI245" i="2"/>
  <c r="AI246" i="2"/>
  <c r="AI247" i="2"/>
  <c r="AI248" i="2"/>
  <c r="AI249" i="2"/>
  <c r="AI250" i="2"/>
  <c r="AI251" i="2"/>
  <c r="AI252" i="2"/>
  <c r="AI253" i="2"/>
  <c r="R224" i="2"/>
  <c r="R225" i="2"/>
  <c r="R226" i="2"/>
  <c r="R227" i="2"/>
  <c r="R228" i="2"/>
  <c r="R229" i="2"/>
  <c r="R230" i="2"/>
  <c r="R231" i="2"/>
  <c r="R232" i="2"/>
  <c r="R233" i="2"/>
  <c r="R234" i="2"/>
  <c r="R235" i="2"/>
  <c r="R236" i="2"/>
  <c r="R237" i="2"/>
  <c r="R238" i="2"/>
  <c r="R239" i="2"/>
  <c r="S224" i="2"/>
  <c r="T224" i="2" s="1"/>
  <c r="S225" i="2"/>
  <c r="T225" i="2" s="1"/>
  <c r="S226" i="2"/>
  <c r="T226" i="2" s="1"/>
  <c r="S227" i="2"/>
  <c r="T227" i="2" s="1"/>
  <c r="S228" i="2"/>
  <c r="T228" i="2" s="1"/>
  <c r="S229" i="2"/>
  <c r="T229" i="2" s="1"/>
  <c r="S230" i="2"/>
  <c r="T230" i="2" s="1"/>
  <c r="S231" i="2"/>
  <c r="T231" i="2" s="1"/>
  <c r="S232" i="2"/>
  <c r="T232" i="2" s="1"/>
  <c r="S233" i="2"/>
  <c r="T233" i="2" s="1"/>
  <c r="S234" i="2"/>
  <c r="T234" i="2" s="1"/>
  <c r="S235" i="2"/>
  <c r="T235" i="2" s="1"/>
  <c r="S236" i="2"/>
  <c r="T236" i="2" s="1"/>
  <c r="S237" i="2"/>
  <c r="T237" i="2" s="1"/>
  <c r="S238" i="2"/>
  <c r="T238" i="2" s="1"/>
  <c r="S239" i="2"/>
  <c r="T239" i="2" s="1"/>
  <c r="U224" i="2"/>
  <c r="V224" i="2" s="1"/>
  <c r="U225" i="2"/>
  <c r="V225" i="2" s="1"/>
  <c r="U226" i="2"/>
  <c r="V226" i="2" s="1"/>
  <c r="U227" i="2"/>
  <c r="V227" i="2" s="1"/>
  <c r="U228" i="2"/>
  <c r="V228" i="2" s="1"/>
  <c r="U229" i="2"/>
  <c r="V229" i="2" s="1"/>
  <c r="U230" i="2"/>
  <c r="V230" i="2" s="1"/>
  <c r="U231" i="2"/>
  <c r="V231" i="2" s="1"/>
  <c r="U232" i="2"/>
  <c r="V232" i="2" s="1"/>
  <c r="U233" i="2"/>
  <c r="V233" i="2" s="1"/>
  <c r="U234" i="2"/>
  <c r="V234" i="2" s="1"/>
  <c r="U235" i="2"/>
  <c r="V235" i="2" s="1"/>
  <c r="U236" i="2"/>
  <c r="V236" i="2" s="1"/>
  <c r="U237" i="2"/>
  <c r="V237" i="2" s="1"/>
  <c r="U238" i="2"/>
  <c r="V238" i="2" s="1"/>
  <c r="U239" i="2"/>
  <c r="V239" i="2" s="1"/>
  <c r="W224" i="2"/>
  <c r="X224" i="2" s="1"/>
  <c r="W225" i="2"/>
  <c r="X225" i="2" s="1"/>
  <c r="W226" i="2"/>
  <c r="X226" i="2" s="1"/>
  <c r="W227" i="2"/>
  <c r="X227" i="2" s="1"/>
  <c r="W228" i="2"/>
  <c r="X228" i="2" s="1"/>
  <c r="W229" i="2"/>
  <c r="X229" i="2" s="1"/>
  <c r="W230" i="2"/>
  <c r="X230" i="2" s="1"/>
  <c r="W231" i="2"/>
  <c r="X231" i="2" s="1"/>
  <c r="W232" i="2"/>
  <c r="X232" i="2" s="1"/>
  <c r="W233" i="2"/>
  <c r="X233" i="2" s="1"/>
  <c r="W234" i="2"/>
  <c r="X234" i="2" s="1"/>
  <c r="W235" i="2"/>
  <c r="X235" i="2" s="1"/>
  <c r="W236" i="2"/>
  <c r="X236" i="2" s="1"/>
  <c r="W237" i="2"/>
  <c r="X237" i="2" s="1"/>
  <c r="W238" i="2"/>
  <c r="X238" i="2" s="1"/>
  <c r="W239" i="2"/>
  <c r="X239" i="2" s="1"/>
  <c r="Y224" i="2"/>
  <c r="Z224" i="2" s="1"/>
  <c r="Y225" i="2"/>
  <c r="Z225" i="2" s="1"/>
  <c r="Y226" i="2"/>
  <c r="Z226" i="2" s="1"/>
  <c r="Y227" i="2"/>
  <c r="Z227" i="2" s="1"/>
  <c r="Y228" i="2"/>
  <c r="Z228" i="2" s="1"/>
  <c r="Y229" i="2"/>
  <c r="Z229" i="2" s="1"/>
  <c r="Y230" i="2"/>
  <c r="Z230" i="2" s="1"/>
  <c r="Y231" i="2"/>
  <c r="Z231" i="2" s="1"/>
  <c r="Y232" i="2"/>
  <c r="Z232" i="2" s="1"/>
  <c r="Y233" i="2"/>
  <c r="Z233" i="2" s="1"/>
  <c r="Y234" i="2"/>
  <c r="Z234" i="2" s="1"/>
  <c r="Y235" i="2"/>
  <c r="Z235" i="2" s="1"/>
  <c r="Y236" i="2"/>
  <c r="Z236" i="2" s="1"/>
  <c r="Y237" i="2"/>
  <c r="Z237" i="2" s="1"/>
  <c r="Y238" i="2"/>
  <c r="Z238" i="2" s="1"/>
  <c r="Y239" i="2"/>
  <c r="Z239" i="2" s="1"/>
  <c r="AA224" i="2"/>
  <c r="AB224" i="2" s="1"/>
  <c r="AA225" i="2"/>
  <c r="AB225" i="2" s="1"/>
  <c r="AA226" i="2"/>
  <c r="AB226" i="2" s="1"/>
  <c r="AA227" i="2"/>
  <c r="AB227" i="2" s="1"/>
  <c r="AA228" i="2"/>
  <c r="AB228" i="2" s="1"/>
  <c r="AA229" i="2"/>
  <c r="AB229" i="2" s="1"/>
  <c r="AA230" i="2"/>
  <c r="AB230" i="2" s="1"/>
  <c r="AA231" i="2"/>
  <c r="AB231" i="2" s="1"/>
  <c r="AA232" i="2"/>
  <c r="AB232" i="2" s="1"/>
  <c r="AA233" i="2"/>
  <c r="AB233" i="2" s="1"/>
  <c r="AA234" i="2"/>
  <c r="AB234" i="2" s="1"/>
  <c r="AA235" i="2"/>
  <c r="AB235" i="2" s="1"/>
  <c r="AA236" i="2"/>
  <c r="AB236" i="2" s="1"/>
  <c r="AA237" i="2"/>
  <c r="AB237" i="2" s="1"/>
  <c r="AA238" i="2"/>
  <c r="AB238" i="2" s="1"/>
  <c r="AA239" i="2"/>
  <c r="AB239" i="2" s="1"/>
  <c r="AE224" i="2"/>
  <c r="AE225" i="2"/>
  <c r="AE226" i="2"/>
  <c r="AE227" i="2"/>
  <c r="AE228" i="2"/>
  <c r="AE229" i="2"/>
  <c r="AE230" i="2"/>
  <c r="AE231" i="2"/>
  <c r="AE232" i="2"/>
  <c r="AE233" i="2"/>
  <c r="AE234" i="2"/>
  <c r="AE235" i="2"/>
  <c r="AE236" i="2"/>
  <c r="AE237" i="2"/>
  <c r="AE238" i="2"/>
  <c r="AE239" i="2"/>
  <c r="AF224" i="2"/>
  <c r="AF225" i="2"/>
  <c r="AF226" i="2"/>
  <c r="AF227" i="2"/>
  <c r="AF228" i="2"/>
  <c r="AF229" i="2"/>
  <c r="AF230" i="2"/>
  <c r="AF231" i="2"/>
  <c r="AF232" i="2"/>
  <c r="AF233" i="2"/>
  <c r="AF234" i="2"/>
  <c r="AF235" i="2"/>
  <c r="AF236" i="2"/>
  <c r="AF237" i="2"/>
  <c r="AF238" i="2"/>
  <c r="AF239" i="2"/>
  <c r="AG224" i="2"/>
  <c r="AH224" i="2" s="1"/>
  <c r="AG225" i="2"/>
  <c r="AH225" i="2" s="1"/>
  <c r="AG226" i="2"/>
  <c r="AH226" i="2" s="1"/>
  <c r="AG227" i="2"/>
  <c r="AH227" i="2" s="1"/>
  <c r="AG228" i="2"/>
  <c r="AH228" i="2" s="1"/>
  <c r="AG229" i="2"/>
  <c r="AH229" i="2" s="1"/>
  <c r="AG230" i="2"/>
  <c r="AH230" i="2" s="1"/>
  <c r="AG231" i="2"/>
  <c r="AH231" i="2" s="1"/>
  <c r="AG232" i="2"/>
  <c r="AH232" i="2" s="1"/>
  <c r="AG233" i="2"/>
  <c r="AH233" i="2" s="1"/>
  <c r="AG234" i="2"/>
  <c r="AH234" i="2" s="1"/>
  <c r="AG235" i="2"/>
  <c r="AH235" i="2" s="1"/>
  <c r="AG236" i="2"/>
  <c r="AH236" i="2" s="1"/>
  <c r="AG237" i="2"/>
  <c r="AH237" i="2" s="1"/>
  <c r="AG238" i="2"/>
  <c r="AH238" i="2" s="1"/>
  <c r="AG239" i="2"/>
  <c r="AH239" i="2" s="1"/>
  <c r="AI224" i="2"/>
  <c r="AI225" i="2"/>
  <c r="AI226" i="2"/>
  <c r="AI227" i="2"/>
  <c r="AI228" i="2"/>
  <c r="AI229" i="2"/>
  <c r="AI230" i="2"/>
  <c r="AI231" i="2"/>
  <c r="AI232" i="2"/>
  <c r="AI233" i="2"/>
  <c r="AI234" i="2"/>
  <c r="AI235" i="2"/>
  <c r="AI236" i="2"/>
  <c r="AI237" i="2"/>
  <c r="AI238" i="2"/>
  <c r="AI239" i="2"/>
  <c r="D3" i="13"/>
  <c r="D4" i="13"/>
  <c r="D5" i="13"/>
  <c r="D6" i="13"/>
  <c r="D7" i="13"/>
  <c r="D8" i="13"/>
  <c r="D9" i="13"/>
  <c r="D10" i="13"/>
  <c r="D11" i="13"/>
  <c r="D12" i="13"/>
  <c r="D13" i="13"/>
  <c r="D14" i="13"/>
  <c r="D15" i="13"/>
  <c r="D16" i="13"/>
  <c r="D17" i="13"/>
  <c r="D18" i="13"/>
  <c r="D19" i="13"/>
  <c r="D20" i="13"/>
  <c r="D21" i="13"/>
  <c r="D22" i="13"/>
  <c r="D23" i="13"/>
  <c r="D24" i="13"/>
  <c r="D25" i="13"/>
  <c r="D26" i="13"/>
  <c r="D27" i="13"/>
  <c r="D28" i="13"/>
  <c r="D29" i="13"/>
  <c r="D30" i="13"/>
  <c r="D31" i="13"/>
  <c r="D32" i="13"/>
  <c r="D33" i="13"/>
  <c r="D34" i="13"/>
  <c r="D35" i="13"/>
  <c r="D36" i="13"/>
  <c r="D37" i="13"/>
  <c r="D38" i="13"/>
  <c r="D39" i="13"/>
  <c r="D40" i="13"/>
  <c r="D41" i="13"/>
  <c r="D42" i="13"/>
  <c r="D43" i="13"/>
  <c r="D44" i="13"/>
  <c r="D45" i="13"/>
  <c r="D46" i="13"/>
  <c r="D47" i="13"/>
  <c r="D48" i="13"/>
  <c r="D49" i="13"/>
  <c r="D2" i="13"/>
  <c r="T257" i="3" l="1"/>
  <c r="AJ39" i="2"/>
  <c r="AJ232" i="2"/>
  <c r="AJ226" i="2"/>
  <c r="AJ38" i="2"/>
  <c r="AJ236" i="2"/>
  <c r="AJ229" i="2"/>
  <c r="AJ251" i="2"/>
  <c r="AJ243" i="2"/>
  <c r="AJ231" i="2"/>
  <c r="AJ225" i="2"/>
  <c r="AJ253" i="2"/>
  <c r="AJ245" i="2"/>
  <c r="AJ40" i="2"/>
  <c r="AJ35" i="2"/>
  <c r="AJ246" i="2"/>
  <c r="AJ136" i="2"/>
  <c r="AJ230" i="2"/>
  <c r="AJ224" i="2"/>
  <c r="AJ252" i="2"/>
  <c r="AJ244" i="2"/>
  <c r="AJ138" i="2"/>
  <c r="AJ41" i="2"/>
  <c r="AJ9" i="2"/>
  <c r="AJ140" i="2"/>
  <c r="AJ10" i="2"/>
  <c r="AJ235" i="2"/>
  <c r="AJ250" i="2"/>
  <c r="AJ242" i="2"/>
  <c r="AJ139" i="2"/>
  <c r="AJ42" i="2"/>
  <c r="AJ8" i="2"/>
  <c r="AJ239" i="2"/>
  <c r="AJ234" i="2"/>
  <c r="AJ249" i="2"/>
  <c r="AJ241" i="2"/>
  <c r="AJ137" i="2"/>
  <c r="AJ43" i="2"/>
  <c r="AJ238" i="2"/>
  <c r="AJ233" i="2"/>
  <c r="AJ228" i="2"/>
  <c r="AJ248" i="2"/>
  <c r="AJ240" i="2"/>
  <c r="AJ135" i="2"/>
  <c r="AJ36" i="2"/>
  <c r="AJ237" i="2"/>
  <c r="AJ227" i="2"/>
  <c r="AJ247" i="2"/>
  <c r="AJ37" i="2"/>
  <c r="T15" i="3" l="1"/>
  <c r="T233" i="3"/>
  <c r="T251" i="3"/>
  <c r="T137" i="3"/>
  <c r="T8" i="3"/>
  <c r="T140" i="3"/>
  <c r="T234" i="3"/>
  <c r="T229" i="3"/>
  <c r="T14" i="3"/>
  <c r="T239" i="3"/>
  <c r="T138" i="3"/>
  <c r="T243" i="3"/>
  <c r="T244" i="3"/>
  <c r="T231" i="3"/>
  <c r="T252" i="3"/>
  <c r="T245" i="3"/>
  <c r="T19" i="3"/>
  <c r="T249" i="3"/>
  <c r="T235" i="3"/>
  <c r="T248" i="3"/>
  <c r="T139" i="3"/>
  <c r="T16" i="3"/>
  <c r="T230" i="3"/>
  <c r="T236" i="3"/>
  <c r="T253" i="3"/>
  <c r="T136" i="3"/>
  <c r="T13" i="3"/>
  <c r="T246" i="3"/>
  <c r="T227" i="3"/>
  <c r="T21" i="3"/>
  <c r="T20" i="3"/>
  <c r="T250" i="3"/>
  <c r="T241" i="3"/>
  <c r="T247" i="3"/>
  <c r="T18" i="3"/>
  <c r="T254" i="3"/>
  <c r="T17" i="3"/>
  <c r="T9" i="3"/>
  <c r="T135" i="3"/>
  <c r="T256" i="3"/>
  <c r="T228" i="3"/>
  <c r="T240" i="3"/>
  <c r="T237" i="3"/>
  <c r="T242" i="3"/>
  <c r="T238" i="3"/>
  <c r="T255" i="3"/>
  <c r="T232" i="3"/>
  <c r="T7" i="3"/>
  <c r="AJ258" i="2"/>
  <c r="C6" i="14"/>
  <c r="C10" i="12"/>
  <c r="L50" i="13"/>
  <c r="D16" i="15"/>
  <c r="T262" i="3" l="1"/>
  <c r="S104" i="3"/>
  <c r="A47" i="7"/>
  <c r="A64" i="7"/>
  <c r="A17" i="7"/>
  <c r="A81" i="7"/>
  <c r="A65" i="7"/>
  <c r="A45" i="7"/>
  <c r="A44" i="7"/>
  <c r="S94" i="3" l="1"/>
  <c r="S261" i="3"/>
  <c r="S259" i="3"/>
  <c r="S258" i="3"/>
  <c r="S67" i="3"/>
  <c r="S66" i="3"/>
  <c r="S65" i="3"/>
  <c r="S64" i="3"/>
  <c r="S63" i="3"/>
  <c r="S62" i="3"/>
  <c r="S59" i="3"/>
  <c r="S56" i="3"/>
  <c r="S51" i="3"/>
  <c r="S49" i="3"/>
  <c r="S42" i="3"/>
  <c r="S38" i="3"/>
  <c r="S35" i="3"/>
  <c r="S34" i="3"/>
  <c r="S28" i="3"/>
  <c r="S27" i="3"/>
  <c r="S26" i="3"/>
  <c r="S25" i="3"/>
  <c r="S24" i="3"/>
  <c r="S23" i="3"/>
  <c r="A68" i="7" l="1"/>
  <c r="A80" i="7"/>
  <c r="A78" i="7"/>
  <c r="A67" i="7"/>
  <c r="A32" i="7"/>
  <c r="S125" i="3"/>
  <c r="A29" i="7"/>
  <c r="A63" i="7"/>
  <c r="A31" i="7"/>
  <c r="A30" i="7"/>
  <c r="A43" i="7"/>
  <c r="A34" i="7"/>
  <c r="A49" i="7"/>
  <c r="A117" i="7"/>
  <c r="A51" i="7"/>
  <c r="A116" i="7"/>
  <c r="A77" i="7"/>
  <c r="A76" i="7"/>
  <c r="A75" i="7"/>
  <c r="A74" i="7"/>
  <c r="S114" i="3"/>
  <c r="S113" i="3"/>
  <c r="S111" i="3"/>
  <c r="S119" i="3"/>
  <c r="A61" i="7"/>
  <c r="A57" i="7"/>
  <c r="A56" i="7"/>
  <c r="A59" i="7"/>
  <c r="A58" i="7"/>
  <c r="A50" i="7"/>
  <c r="A27" i="7"/>
  <c r="A28" i="7"/>
  <c r="A26" i="7"/>
  <c r="S12" i="3" l="1"/>
  <c r="S22" i="3"/>
  <c r="S68" i="3"/>
  <c r="S69" i="3"/>
  <c r="S70" i="3"/>
  <c r="S71" i="3"/>
  <c r="S72" i="3"/>
  <c r="S73" i="3"/>
  <c r="S74" i="3"/>
  <c r="S76" i="3"/>
  <c r="S77" i="3"/>
  <c r="S78" i="3"/>
  <c r="S80" i="3"/>
  <c r="S81" i="3"/>
  <c r="S82" i="3"/>
  <c r="S84" i="3"/>
  <c r="S85" i="3"/>
  <c r="S86" i="3"/>
  <c r="S87" i="3"/>
  <c r="S91" i="3"/>
  <c r="S92" i="3"/>
  <c r="S93" i="3"/>
  <c r="S97" i="3"/>
  <c r="S99" i="3"/>
  <c r="S100" i="3"/>
  <c r="S101" i="3"/>
  <c r="S102" i="3"/>
  <c r="S108" i="3"/>
  <c r="S109" i="3"/>
  <c r="S110" i="3"/>
  <c r="S112" i="3"/>
  <c r="S115" i="3"/>
  <c r="S116" i="3"/>
  <c r="S117" i="3"/>
  <c r="S118" i="3"/>
  <c r="S120" i="3"/>
  <c r="S121" i="3"/>
  <c r="S122" i="3"/>
  <c r="S123" i="3"/>
  <c r="S126" i="3"/>
  <c r="S127" i="3"/>
  <c r="S128" i="3"/>
  <c r="S129" i="3"/>
  <c r="S130" i="3"/>
  <c r="S133" i="3"/>
  <c r="S134" i="3"/>
  <c r="S141" i="3"/>
  <c r="S142" i="3"/>
  <c r="S143" i="3"/>
  <c r="S144" i="3"/>
  <c r="S145" i="3"/>
  <c r="S146" i="3"/>
  <c r="S147" i="3"/>
  <c r="S148" i="3"/>
  <c r="S149" i="3"/>
  <c r="S150" i="3"/>
  <c r="S151" i="3"/>
  <c r="S152" i="3"/>
  <c r="S153" i="3"/>
  <c r="S154" i="3"/>
  <c r="S155" i="3"/>
  <c r="S156" i="3"/>
  <c r="S157" i="3"/>
  <c r="S158" i="3"/>
  <c r="S159" i="3"/>
  <c r="S160" i="3"/>
  <c r="S161" i="3"/>
  <c r="S163" i="3"/>
  <c r="S164" i="3"/>
  <c r="S177" i="3"/>
  <c r="S178" i="3"/>
  <c r="S179" i="3"/>
  <c r="S180" i="3"/>
  <c r="S181" i="3"/>
  <c r="S182" i="3"/>
  <c r="S183" i="3"/>
  <c r="S184" i="3"/>
  <c r="S185" i="3"/>
  <c r="S186" i="3"/>
  <c r="S187" i="3"/>
  <c r="S188" i="3"/>
  <c r="S189" i="3"/>
  <c r="S190" i="3"/>
  <c r="S192" i="3"/>
  <c r="S194" i="3"/>
  <c r="S196" i="3"/>
  <c r="S197" i="3"/>
  <c r="S202" i="3"/>
  <c r="S203" i="3"/>
  <c r="S204" i="3"/>
  <c r="S205" i="3"/>
  <c r="S206" i="3"/>
  <c r="S208" i="3"/>
  <c r="S209" i="3"/>
  <c r="S210" i="3"/>
  <c r="S211" i="3"/>
  <c r="S212" i="3"/>
  <c r="S213" i="3"/>
  <c r="S214" i="3"/>
  <c r="S216" i="3"/>
  <c r="S217" i="3"/>
  <c r="S218" i="3"/>
  <c r="S219" i="3"/>
  <c r="S220" i="3"/>
  <c r="S221" i="3"/>
  <c r="S222" i="3"/>
  <c r="S223" i="3"/>
  <c r="A89" i="7" l="1"/>
  <c r="A90" i="7"/>
  <c r="A86" i="7"/>
  <c r="A85" i="7"/>
  <c r="A115" i="7" l="1"/>
  <c r="A91" i="7"/>
  <c r="A54" i="7"/>
  <c r="A55" i="7"/>
  <c r="A53" i="7"/>
  <c r="A93" i="7"/>
  <c r="A96" i="7"/>
  <c r="A33" i="7"/>
  <c r="A3" i="7"/>
  <c r="A2" i="7" l="1"/>
  <c r="X191" i="3" l="1"/>
  <c r="Y191" i="3"/>
  <c r="AA191" i="3"/>
  <c r="Q191" i="3"/>
  <c r="R191" i="3" s="1"/>
  <c r="Z191" i="3"/>
  <c r="U191" i="3" s="1"/>
  <c r="AA176" i="3"/>
  <c r="AA174" i="3"/>
  <c r="AA175" i="3"/>
  <c r="AA96" i="3"/>
  <c r="AA172" i="3"/>
  <c r="AA95" i="3"/>
  <c r="AA173" i="3"/>
  <c r="AA6" i="3"/>
  <c r="Q83" i="3"/>
  <c r="R83" i="3" s="1"/>
  <c r="AA83" i="3"/>
  <c r="AA195" i="3"/>
  <c r="X83" i="3"/>
  <c r="Z83" i="3"/>
  <c r="U83" i="3" s="1"/>
  <c r="Y83" i="3"/>
  <c r="Y195" i="3"/>
  <c r="Q195" i="3"/>
  <c r="R195" i="3" s="1"/>
  <c r="X195" i="3"/>
  <c r="Z195" i="3"/>
  <c r="U195" i="3" s="1"/>
  <c r="AA171" i="3"/>
  <c r="AA170" i="3"/>
  <c r="AA106" i="3"/>
  <c r="AA124" i="3"/>
  <c r="AA54" i="3"/>
  <c r="AA162" i="3"/>
  <c r="AA167" i="3"/>
  <c r="AA168" i="3"/>
  <c r="AA166" i="3"/>
  <c r="AA169" i="3"/>
  <c r="AA11" i="3"/>
  <c r="AA53" i="3"/>
  <c r="AA165" i="3"/>
  <c r="AA132" i="3"/>
  <c r="AA260" i="3"/>
  <c r="AA58" i="3"/>
  <c r="AA57" i="3"/>
  <c r="AA50" i="3"/>
  <c r="AA45" i="3"/>
  <c r="AA39" i="3"/>
  <c r="AA40" i="3"/>
  <c r="AA44" i="3"/>
  <c r="AA41" i="3"/>
  <c r="AA43" i="3"/>
  <c r="AA33" i="3"/>
  <c r="AA30" i="3"/>
  <c r="AA29" i="3"/>
  <c r="AA32" i="3"/>
  <c r="AA31" i="3"/>
  <c r="AA3" i="3"/>
  <c r="AA4" i="3"/>
  <c r="AA5" i="3"/>
  <c r="AA2" i="3"/>
  <c r="AA9" i="3"/>
  <c r="AA16" i="3"/>
  <c r="AA255" i="3"/>
  <c r="AA247" i="3"/>
  <c r="AA21" i="3"/>
  <c r="AA139" i="3"/>
  <c r="AA252" i="3"/>
  <c r="AA244" i="3"/>
  <c r="AA18" i="3"/>
  <c r="AA135" i="3"/>
  <c r="AA249" i="3"/>
  <c r="AA241" i="3"/>
  <c r="AA8" i="3"/>
  <c r="AA15" i="3"/>
  <c r="AA254" i="3"/>
  <c r="AA246" i="3"/>
  <c r="AA237" i="3"/>
  <c r="AA20" i="3"/>
  <c r="AA138" i="3"/>
  <c r="AA251" i="3"/>
  <c r="AA243" i="3"/>
  <c r="AA239" i="3"/>
  <c r="AA17" i="3"/>
  <c r="AA256" i="3"/>
  <c r="AA248" i="3"/>
  <c r="AA240" i="3"/>
  <c r="AA7" i="3"/>
  <c r="AA14" i="3"/>
  <c r="AA253" i="3"/>
  <c r="AA245" i="3"/>
  <c r="AA227" i="3"/>
  <c r="AA137" i="3"/>
  <c r="AA19" i="3"/>
  <c r="AA250" i="3"/>
  <c r="AA242" i="3"/>
  <c r="AA94" i="3"/>
  <c r="AA125" i="3"/>
  <c r="A170" i="9" l="1"/>
  <c r="A73" i="7" l="1"/>
  <c r="A84" i="7"/>
  <c r="A88" i="7"/>
  <c r="A87" i="7"/>
  <c r="AA105" i="3" l="1"/>
  <c r="AA90" i="3"/>
  <c r="AA48" i="3"/>
  <c r="AA55" i="3"/>
  <c r="AA193" i="3"/>
  <c r="AA89" i="3"/>
  <c r="AA88" i="3"/>
  <c r="AA61" i="3"/>
  <c r="AA60" i="3"/>
  <c r="AA52" i="3"/>
  <c r="AA79" i="3"/>
  <c r="AA107" i="3"/>
  <c r="AA131" i="3"/>
  <c r="AA207" i="3"/>
  <c r="AA103" i="3"/>
  <c r="AA75" i="3"/>
  <c r="AA46" i="3"/>
  <c r="AA47" i="3"/>
  <c r="AA36" i="3"/>
  <c r="AA37" i="3"/>
  <c r="AA232" i="3"/>
  <c r="AA257" i="3"/>
  <c r="AA238" i="3"/>
  <c r="AA229" i="3"/>
  <c r="AA230" i="3"/>
  <c r="AA228" i="3"/>
  <c r="AA13" i="3"/>
  <c r="AA231" i="3"/>
  <c r="AA236" i="3"/>
  <c r="AA233" i="3"/>
  <c r="AA140" i="3"/>
  <c r="AA234" i="3"/>
  <c r="AA235" i="3"/>
  <c r="AA136" i="3"/>
  <c r="AA104" i="3"/>
  <c r="AA56" i="3"/>
  <c r="AA24" i="3"/>
  <c r="AA59" i="3"/>
  <c r="AA23" i="3"/>
  <c r="AA49" i="3"/>
  <c r="AA51" i="3"/>
  <c r="AA261" i="3"/>
  <c r="AA38" i="3"/>
  <c r="AA42" i="3"/>
  <c r="AA26" i="3"/>
  <c r="AA27" i="3"/>
  <c r="AA67" i="3"/>
  <c r="AA34" i="3"/>
  <c r="AA258" i="3"/>
  <c r="AA35" i="3"/>
  <c r="AA65" i="3"/>
  <c r="AA28" i="3"/>
  <c r="AA66" i="3"/>
  <c r="AA63" i="3"/>
  <c r="AA259" i="3"/>
  <c r="AA64" i="3"/>
  <c r="AA25" i="3"/>
  <c r="AA62" i="3"/>
  <c r="AA114" i="3"/>
  <c r="AA111" i="3"/>
  <c r="AA113" i="3"/>
  <c r="AA119" i="3"/>
  <c r="AA118" i="3"/>
  <c r="AA221" i="3"/>
  <c r="AA220" i="3"/>
  <c r="AA223" i="3"/>
  <c r="AA222" i="3"/>
  <c r="AA218" i="3"/>
  <c r="AA211" i="3"/>
  <c r="AA203" i="3"/>
  <c r="AA192" i="3"/>
  <c r="AA184" i="3"/>
  <c r="AA179" i="3"/>
  <c r="AA159" i="3"/>
  <c r="AA214" i="3"/>
  <c r="AA208" i="3"/>
  <c r="AA188" i="3"/>
  <c r="AA164" i="3"/>
  <c r="AA156" i="3"/>
  <c r="AA148" i="3"/>
  <c r="AA141" i="3"/>
  <c r="AA130" i="3"/>
  <c r="AA117" i="3"/>
  <c r="AA110" i="3"/>
  <c r="AA102" i="3"/>
  <c r="AA86" i="3"/>
  <c r="AA101" i="3"/>
  <c r="AA82" i="3"/>
  <c r="AA158" i="3"/>
  <c r="AA212" i="3"/>
  <c r="AA205" i="3"/>
  <c r="AA196" i="3"/>
  <c r="AA186" i="3"/>
  <c r="AA161" i="3"/>
  <c r="AA153" i="3"/>
  <c r="AA145" i="3"/>
  <c r="AA128" i="3"/>
  <c r="AA123" i="3"/>
  <c r="AA115" i="3"/>
  <c r="AA69" i="3"/>
  <c r="AA217" i="3"/>
  <c r="AA210" i="3"/>
  <c r="AA202" i="3"/>
  <c r="AA190" i="3"/>
  <c r="AA178" i="3"/>
  <c r="AA150" i="3"/>
  <c r="AA143" i="3"/>
  <c r="AA213" i="3"/>
  <c r="AA182" i="3"/>
  <c r="AA155" i="3"/>
  <c r="AA147" i="3"/>
  <c r="AA134" i="3"/>
  <c r="AA129" i="3"/>
  <c r="AA109" i="3"/>
  <c r="AA99" i="3"/>
  <c r="AA85" i="3"/>
  <c r="AA71" i="3"/>
  <c r="AA216" i="3"/>
  <c r="AA189" i="3"/>
  <c r="AA177" i="3"/>
  <c r="AA219" i="3"/>
  <c r="AA204" i="3"/>
  <c r="AA194" i="3"/>
  <c r="AA180" i="3"/>
  <c r="AA160" i="3"/>
  <c r="AA152" i="3"/>
  <c r="AA144" i="3"/>
  <c r="AA122" i="3"/>
  <c r="AA108" i="3"/>
  <c r="AA93" i="3"/>
  <c r="AA81" i="3"/>
  <c r="AA76" i="3"/>
  <c r="AA68" i="3"/>
  <c r="AA209" i="3"/>
  <c r="AA185" i="3"/>
  <c r="AA183" i="3"/>
  <c r="AA157" i="3"/>
  <c r="AA197" i="3"/>
  <c r="AA127" i="3"/>
  <c r="AA151" i="3"/>
  <c r="AA126" i="3"/>
  <c r="AA87" i="3"/>
  <c r="AA72" i="3"/>
  <c r="AA120" i="3"/>
  <c r="AA78" i="3"/>
  <c r="AA12" i="3"/>
  <c r="AA133" i="3"/>
  <c r="AA92" i="3"/>
  <c r="AA73" i="3"/>
  <c r="AA163" i="3"/>
  <c r="AA149" i="3"/>
  <c r="AA116" i="3"/>
  <c r="AA97" i="3"/>
  <c r="AA142" i="3"/>
  <c r="AA121" i="3"/>
  <c r="AA80" i="3"/>
  <c r="AA22" i="3"/>
  <c r="AA84" i="3"/>
  <c r="AA70" i="3"/>
  <c r="AA181" i="3"/>
  <c r="AA206" i="3"/>
  <c r="AA154" i="3"/>
  <c r="AA100" i="3"/>
  <c r="AA77" i="3"/>
  <c r="AA187" i="3"/>
  <c r="AA146" i="3"/>
  <c r="AA112" i="3"/>
  <c r="AA74" i="3"/>
  <c r="AA91" i="3"/>
  <c r="E2" i="7" l="1"/>
  <c r="E10" i="7"/>
  <c r="Y42" i="3" s="1"/>
  <c r="E20" i="7"/>
  <c r="Y27" i="3" s="1"/>
  <c r="E3" i="7"/>
  <c r="E11" i="7"/>
  <c r="Y31" i="3" s="1"/>
  <c r="E21" i="7"/>
  <c r="Y36" i="3" s="1"/>
  <c r="E4" i="7"/>
  <c r="Y28" i="3" s="1"/>
  <c r="E12" i="7"/>
  <c r="E22" i="7"/>
  <c r="Y33" i="3" s="1"/>
  <c r="E5" i="7"/>
  <c r="Y39" i="3" s="1"/>
  <c r="E14" i="7"/>
  <c r="Y32" i="3" s="1"/>
  <c r="E23" i="7"/>
  <c r="Y34" i="3" s="1"/>
  <c r="E6" i="7"/>
  <c r="Y29" i="3" s="1"/>
  <c r="E15" i="7"/>
  <c r="Y44" i="3" s="1"/>
  <c r="E26" i="7"/>
  <c r="E7" i="7"/>
  <c r="Y40" i="3" s="1"/>
  <c r="E16" i="7"/>
  <c r="Y45" i="3" s="1"/>
  <c r="E27" i="7"/>
  <c r="E8" i="7"/>
  <c r="Y41" i="3" s="1"/>
  <c r="E17" i="7"/>
  <c r="E28" i="7"/>
  <c r="E9" i="7"/>
  <c r="Y30" i="3" s="1"/>
  <c r="E19" i="7"/>
  <c r="Y25" i="3" s="1"/>
  <c r="E30" i="7"/>
  <c r="E97" i="7"/>
  <c r="Y208" i="3" s="1"/>
  <c r="E74" i="7"/>
  <c r="E49" i="7"/>
  <c r="E117" i="7"/>
  <c r="E92" i="7"/>
  <c r="E67" i="7"/>
  <c r="Y134" i="3" s="1"/>
  <c r="E52" i="7"/>
  <c r="Y132" i="3" s="1"/>
  <c r="E36" i="7"/>
  <c r="E104" i="7"/>
  <c r="Y47" i="3" s="1"/>
  <c r="E71" i="7"/>
  <c r="E80" i="7"/>
  <c r="E94" i="7"/>
  <c r="E40" i="7"/>
  <c r="Y54" i="3" s="1"/>
  <c r="E38" i="7"/>
  <c r="E106" i="7"/>
  <c r="Y49" i="3" s="1"/>
  <c r="E82" i="7"/>
  <c r="E57" i="7"/>
  <c r="E33" i="7"/>
  <c r="E100" i="7"/>
  <c r="E77" i="7"/>
  <c r="E61" i="7"/>
  <c r="Y66" i="3" s="1"/>
  <c r="E44" i="7"/>
  <c r="E112" i="7"/>
  <c r="E105" i="7"/>
  <c r="D62" i="7"/>
  <c r="E84" i="7"/>
  <c r="E46" i="7"/>
  <c r="Y50" i="3" s="1"/>
  <c r="E115" i="7"/>
  <c r="E90" i="7"/>
  <c r="Y86" i="3" s="1"/>
  <c r="E66" i="7"/>
  <c r="E41" i="7"/>
  <c r="E109" i="7"/>
  <c r="Y38" i="3" s="1"/>
  <c r="E85" i="7"/>
  <c r="E68" i="7"/>
  <c r="E53" i="7"/>
  <c r="Y92" i="3" s="1"/>
  <c r="E113" i="7"/>
  <c r="E88" i="7"/>
  <c r="E65" i="7"/>
  <c r="Y212" i="3" s="1"/>
  <c r="E111" i="7"/>
  <c r="Y261" i="3" s="1"/>
  <c r="E55" i="7"/>
  <c r="E31" i="7"/>
  <c r="E98" i="7"/>
  <c r="E75" i="7"/>
  <c r="E50" i="7"/>
  <c r="E114" i="7"/>
  <c r="E93" i="7"/>
  <c r="E78" i="7"/>
  <c r="Y133" i="3" s="1"/>
  <c r="E62" i="7"/>
  <c r="Y106" i="3" s="1"/>
  <c r="E29" i="7"/>
  <c r="E96" i="7"/>
  <c r="Y105" i="3" s="1"/>
  <c r="E79" i="7"/>
  <c r="Y207" i="3" s="1"/>
  <c r="E59" i="7"/>
  <c r="E63" i="7"/>
  <c r="E64" i="7"/>
  <c r="Y209" i="3" s="1"/>
  <c r="E39" i="7"/>
  <c r="Y58" i="3" s="1"/>
  <c r="E107" i="7"/>
  <c r="E83" i="7"/>
  <c r="E58" i="7"/>
  <c r="E34" i="7"/>
  <c r="E102" i="7"/>
  <c r="E86" i="7"/>
  <c r="Y84" i="3" s="1"/>
  <c r="E70" i="7"/>
  <c r="Y194" i="3" s="1"/>
  <c r="E37" i="7"/>
  <c r="Y65" i="3" s="1"/>
  <c r="E110" i="7"/>
  <c r="Y48" i="3" s="1"/>
  <c r="E108" i="7"/>
  <c r="E73" i="7"/>
  <c r="E47" i="7"/>
  <c r="E116" i="7"/>
  <c r="E91" i="7"/>
  <c r="E48" i="7"/>
  <c r="Y124" i="3" s="1"/>
  <c r="E42" i="7"/>
  <c r="E45" i="7"/>
  <c r="E43" i="7"/>
  <c r="Y197" i="3" s="1"/>
  <c r="E81" i="7"/>
  <c r="Y210" i="3" s="1"/>
  <c r="E56" i="7"/>
  <c r="E32" i="7"/>
  <c r="E99" i="7"/>
  <c r="E76" i="7"/>
  <c r="E51" i="7"/>
  <c r="E35" i="7"/>
  <c r="E103" i="7"/>
  <c r="E87" i="7"/>
  <c r="Y102" i="3" s="1"/>
  <c r="E54" i="7"/>
  <c r="E89" i="7"/>
  <c r="Y90" i="3" s="1"/>
  <c r="E95" i="7"/>
  <c r="Y114" i="3" s="1"/>
  <c r="D48" i="7"/>
  <c r="D114" i="7"/>
  <c r="F114" i="7" s="1"/>
  <c r="D52" i="7"/>
  <c r="D100" i="7"/>
  <c r="F100" i="7" s="1"/>
  <c r="D92" i="7"/>
  <c r="F92" i="7" s="1"/>
  <c r="D95" i="7"/>
  <c r="D99" i="7"/>
  <c r="F99" i="7" s="1"/>
  <c r="D94" i="7"/>
  <c r="F94" i="7" s="1"/>
  <c r="D98" i="7"/>
  <c r="F98" i="7" s="1"/>
  <c r="D83" i="7"/>
  <c r="F83" i="7" s="1"/>
  <c r="D82" i="7"/>
  <c r="F82" i="7" s="1"/>
  <c r="D79" i="7"/>
  <c r="D97" i="7"/>
  <c r="D2" i="7"/>
  <c r="F2" i="7" s="1"/>
  <c r="D10" i="7"/>
  <c r="D20" i="7"/>
  <c r="D30" i="7"/>
  <c r="D38" i="7"/>
  <c r="D46" i="7"/>
  <c r="D56" i="7"/>
  <c r="F56" i="7" s="1"/>
  <c r="D66" i="7"/>
  <c r="F66" i="7" s="1"/>
  <c r="D76" i="7"/>
  <c r="F76" i="7" s="1"/>
  <c r="D87" i="7"/>
  <c r="D103" i="7"/>
  <c r="D111" i="7"/>
  <c r="D3" i="7"/>
  <c r="D11" i="7"/>
  <c r="D21" i="7"/>
  <c r="D31" i="7"/>
  <c r="D39" i="7"/>
  <c r="D47" i="7"/>
  <c r="F47" i="7" s="1"/>
  <c r="D57" i="7"/>
  <c r="F57" i="7" s="1"/>
  <c r="D67" i="7"/>
  <c r="D77" i="7"/>
  <c r="F77" i="7" s="1"/>
  <c r="D88" i="7"/>
  <c r="F88" i="7" s="1"/>
  <c r="D104" i="7"/>
  <c r="D112" i="7"/>
  <c r="D4" i="7"/>
  <c r="D12" i="7"/>
  <c r="F12" i="7" s="1"/>
  <c r="D22" i="7"/>
  <c r="D32" i="7"/>
  <c r="F32" i="7" s="1"/>
  <c r="D40" i="7"/>
  <c r="D49" i="7"/>
  <c r="F49" i="7" s="1"/>
  <c r="D58" i="7"/>
  <c r="D68" i="7"/>
  <c r="F68" i="7" s="1"/>
  <c r="D78" i="7"/>
  <c r="D89" i="7"/>
  <c r="D105" i="7"/>
  <c r="F105" i="7" s="1"/>
  <c r="D113" i="7"/>
  <c r="F113" i="7" s="1"/>
  <c r="D5" i="7"/>
  <c r="D14" i="7"/>
  <c r="D23" i="7"/>
  <c r="D33" i="7"/>
  <c r="F33" i="7" s="1"/>
  <c r="D41" i="7"/>
  <c r="F41" i="7" s="1"/>
  <c r="D50" i="7"/>
  <c r="F50" i="7" s="1"/>
  <c r="D59" i="7"/>
  <c r="D70" i="7"/>
  <c r="D80" i="7"/>
  <c r="F80" i="7" s="1"/>
  <c r="D90" i="7"/>
  <c r="D106" i="7"/>
  <c r="D115" i="7"/>
  <c r="F115" i="7" s="1"/>
  <c r="D6" i="7"/>
  <c r="D15" i="7"/>
  <c r="D26" i="7"/>
  <c r="D34" i="7"/>
  <c r="F34" i="7" s="1"/>
  <c r="D42" i="7"/>
  <c r="F42" i="7" s="1"/>
  <c r="D51" i="7"/>
  <c r="F51" i="7" s="1"/>
  <c r="D61" i="7"/>
  <c r="D71" i="7"/>
  <c r="F71" i="7" s="1"/>
  <c r="D81" i="7"/>
  <c r="D91" i="7"/>
  <c r="F91" i="7" s="1"/>
  <c r="D107" i="7"/>
  <c r="F107" i="7" s="1"/>
  <c r="D116" i="7"/>
  <c r="F116" i="7" s="1"/>
  <c r="D7" i="7"/>
  <c r="D16" i="7"/>
  <c r="D27" i="7"/>
  <c r="F27" i="7" s="1"/>
  <c r="D35" i="7"/>
  <c r="F35" i="7" s="1"/>
  <c r="D43" i="7"/>
  <c r="D53" i="7"/>
  <c r="D63" i="7"/>
  <c r="D73" i="7"/>
  <c r="F73" i="7" s="1"/>
  <c r="D84" i="7"/>
  <c r="D93" i="7"/>
  <c r="F93" i="7" s="1"/>
  <c r="D108" i="7"/>
  <c r="D117" i="7"/>
  <c r="F117" i="7" s="1"/>
  <c r="D8" i="7"/>
  <c r="D17" i="7"/>
  <c r="D28" i="7"/>
  <c r="F28" i="7" s="1"/>
  <c r="D36" i="7"/>
  <c r="F36" i="7" s="1"/>
  <c r="D44" i="7"/>
  <c r="D54" i="7"/>
  <c r="D64" i="7"/>
  <c r="D74" i="7"/>
  <c r="F74" i="7" s="1"/>
  <c r="D85" i="7"/>
  <c r="F85" i="7" s="1"/>
  <c r="D96" i="7"/>
  <c r="D109" i="7"/>
  <c r="D9" i="7"/>
  <c r="D19" i="7"/>
  <c r="D29" i="7"/>
  <c r="D37" i="7"/>
  <c r="D45" i="7"/>
  <c r="D55" i="7"/>
  <c r="D65" i="7"/>
  <c r="D75" i="7"/>
  <c r="F75" i="7" s="1"/>
  <c r="D86" i="7"/>
  <c r="D102" i="7"/>
  <c r="D110" i="7"/>
  <c r="F96" i="7" l="1"/>
  <c r="Z105" i="3" s="1"/>
  <c r="U105" i="3" s="1"/>
  <c r="Q105" i="3"/>
  <c r="R105" i="3" s="1"/>
  <c r="X105" i="3"/>
  <c r="Q176" i="3"/>
  <c r="R176" i="3" s="1"/>
  <c r="X176" i="3"/>
  <c r="Y173" i="3"/>
  <c r="Y176" i="3"/>
  <c r="Y93" i="3"/>
  <c r="Y96" i="3"/>
  <c r="Y172" i="3"/>
  <c r="Y175" i="3"/>
  <c r="Y174" i="3"/>
  <c r="X174" i="3"/>
  <c r="Q174" i="3"/>
  <c r="R174" i="3" s="1"/>
  <c r="Q175" i="3"/>
  <c r="R175" i="3" s="1"/>
  <c r="X175" i="3"/>
  <c r="X96" i="3"/>
  <c r="Q96" i="3"/>
  <c r="R96" i="3" s="1"/>
  <c r="Y104" i="3"/>
  <c r="X95" i="3"/>
  <c r="Q95" i="3"/>
  <c r="R95" i="3" s="1"/>
  <c r="F89" i="7"/>
  <c r="Z90" i="3" s="1"/>
  <c r="U90" i="3" s="1"/>
  <c r="Q90" i="3"/>
  <c r="R90" i="3" s="1"/>
  <c r="X90" i="3"/>
  <c r="Y94" i="3"/>
  <c r="Y95" i="3"/>
  <c r="Q172" i="3"/>
  <c r="R172" i="3" s="1"/>
  <c r="X172" i="3"/>
  <c r="F31" i="7"/>
  <c r="X173" i="3"/>
  <c r="Q173" i="3"/>
  <c r="R173" i="3" s="1"/>
  <c r="F59" i="7"/>
  <c r="Y118" i="3"/>
  <c r="Y6" i="3"/>
  <c r="Q48" i="3"/>
  <c r="R48" i="3" s="1"/>
  <c r="X48" i="3"/>
  <c r="F102" i="7"/>
  <c r="Z35" i="3" s="1"/>
  <c r="U35" i="3" s="1"/>
  <c r="F58" i="7"/>
  <c r="Z223" i="3" s="1"/>
  <c r="U223" i="3" s="1"/>
  <c r="X6" i="3"/>
  <c r="Q6" i="3"/>
  <c r="R6" i="3" s="1"/>
  <c r="Y74" i="3"/>
  <c r="Q55" i="3"/>
  <c r="R55" i="3" s="1"/>
  <c r="X55" i="3"/>
  <c r="Y55" i="3"/>
  <c r="Y170" i="3"/>
  <c r="Y171" i="3"/>
  <c r="F30" i="7"/>
  <c r="Z157" i="3" s="1"/>
  <c r="U157" i="3" s="1"/>
  <c r="Q170" i="3"/>
  <c r="R170" i="3" s="1"/>
  <c r="Q171" i="3"/>
  <c r="R171" i="3" s="1"/>
  <c r="X170" i="3"/>
  <c r="X171" i="3"/>
  <c r="Y259" i="3"/>
  <c r="Y56" i="3"/>
  <c r="Y192" i="3"/>
  <c r="Y193" i="3"/>
  <c r="Y59" i="3"/>
  <c r="Y37" i="3"/>
  <c r="Y260" i="3"/>
  <c r="Y57" i="3"/>
  <c r="Y181" i="3"/>
  <c r="Y138" i="3"/>
  <c r="Y167" i="3"/>
  <c r="Y187" i="3"/>
  <c r="Y159" i="3"/>
  <c r="Y155" i="3"/>
  <c r="Y240" i="3"/>
  <c r="Y151" i="3"/>
  <c r="Y20" i="3"/>
  <c r="Y8" i="3"/>
  <c r="Y241" i="3"/>
  <c r="Y161" i="3"/>
  <c r="Y165" i="3"/>
  <c r="Y166" i="3"/>
  <c r="Y162" i="3"/>
  <c r="Y164" i="3"/>
  <c r="Y157" i="3"/>
  <c r="Y220" i="3"/>
  <c r="Y168" i="3"/>
  <c r="Y186" i="3"/>
  <c r="Y150" i="3"/>
  <c r="Y163" i="3"/>
  <c r="Y160" i="3"/>
  <c r="Y158" i="3"/>
  <c r="Y53" i="3"/>
  <c r="Y43" i="3"/>
  <c r="Y205" i="3"/>
  <c r="Y130" i="3"/>
  <c r="Y127" i="3"/>
  <c r="Y144" i="3"/>
  <c r="Y145" i="3"/>
  <c r="Y80" i="3"/>
  <c r="Y107" i="3"/>
  <c r="Y119" i="3"/>
  <c r="Y78" i="3"/>
  <c r="Y111" i="3"/>
  <c r="Y113" i="3"/>
  <c r="Y77" i="3"/>
  <c r="Y76" i="3"/>
  <c r="Y99" i="3"/>
  <c r="Y75" i="3"/>
  <c r="Y52" i="3"/>
  <c r="Y60" i="3"/>
  <c r="Y3" i="3"/>
  <c r="Y2" i="3"/>
  <c r="Y135" i="3"/>
  <c r="Y180" i="3"/>
  <c r="Y4" i="3"/>
  <c r="Y178" i="3"/>
  <c r="Y5" i="3"/>
  <c r="Y218" i="3"/>
  <c r="Y237" i="3"/>
  <c r="Y239" i="3"/>
  <c r="Y177" i="3"/>
  <c r="Y87" i="3"/>
  <c r="Y89" i="3"/>
  <c r="Y128" i="3"/>
  <c r="Y131" i="3"/>
  <c r="Y126" i="3"/>
  <c r="Y115" i="3"/>
  <c r="Y46" i="3"/>
  <c r="Y35" i="3"/>
  <c r="Y63" i="3"/>
  <c r="Y217" i="3"/>
  <c r="Y140" i="3"/>
  <c r="Y196" i="3"/>
  <c r="Y62" i="3"/>
  <c r="Y26" i="3"/>
  <c r="Y257" i="3"/>
  <c r="Y231" i="3"/>
  <c r="Y61" i="3"/>
  <c r="Y202" i="3"/>
  <c r="Y213" i="3"/>
  <c r="Y136" i="3"/>
  <c r="Y235" i="3"/>
  <c r="Y232" i="3"/>
  <c r="Y23" i="3"/>
  <c r="Y230" i="3"/>
  <c r="Y141" i="3"/>
  <c r="Y228" i="3"/>
  <c r="Y116" i="3"/>
  <c r="Y214" i="3"/>
  <c r="Y238" i="3"/>
  <c r="Y71" i="3"/>
  <c r="Y112" i="3"/>
  <c r="Y219" i="3"/>
  <c r="Y68" i="3"/>
  <c r="Y229" i="3"/>
  <c r="Y69" i="3"/>
  <c r="Y70" i="3"/>
  <c r="Y13" i="3"/>
  <c r="Y233" i="3"/>
  <c r="Y203" i="3"/>
  <c r="Y234" i="3"/>
  <c r="Y142" i="3"/>
  <c r="Y64" i="3"/>
  <c r="Y51" i="3"/>
  <c r="Y100" i="3"/>
  <c r="Y110" i="3"/>
  <c r="Y222" i="3"/>
  <c r="Y120" i="3"/>
  <c r="Y109" i="3"/>
  <c r="Y143" i="3"/>
  <c r="Y236" i="3"/>
  <c r="Y190" i="3"/>
  <c r="Y206" i="3"/>
  <c r="Y103" i="3"/>
  <c r="Y97" i="3"/>
  <c r="Y108" i="3"/>
  <c r="Y79" i="3"/>
  <c r="Y91" i="3"/>
  <c r="Y72" i="3"/>
  <c r="Y73" i="3"/>
  <c r="Y204" i="3"/>
  <c r="Y211" i="3"/>
  <c r="Y147" i="3"/>
  <c r="Y183" i="3"/>
  <c r="Y123" i="3"/>
  <c r="Y182" i="3"/>
  <c r="Y148" i="3"/>
  <c r="Y122" i="3"/>
  <c r="Y146" i="3"/>
  <c r="Y188" i="3"/>
  <c r="Y149" i="3"/>
  <c r="Y121" i="3"/>
  <c r="Y189" i="3"/>
  <c r="Y179" i="3"/>
  <c r="Y22" i="3"/>
  <c r="Y258" i="3"/>
  <c r="Y67" i="3"/>
  <c r="Y24" i="3"/>
  <c r="Y227" i="3"/>
  <c r="Y81" i="3"/>
  <c r="Y82" i="3"/>
  <c r="Y223" i="3"/>
  <c r="Y11" i="3"/>
  <c r="Y12" i="3"/>
  <c r="Y242" i="3"/>
  <c r="Y251" i="3"/>
  <c r="Y245" i="3"/>
  <c r="Y244" i="3"/>
  <c r="Y185" i="3"/>
  <c r="Y14" i="3"/>
  <c r="Y17" i="3"/>
  <c r="Y243" i="3"/>
  <c r="Y153" i="3"/>
  <c r="Y154" i="3"/>
  <c r="Y221" i="3"/>
  <c r="Y169" i="3"/>
  <c r="Y9" i="3"/>
  <c r="Y15" i="3"/>
  <c r="Y21" i="3"/>
  <c r="Y16" i="3"/>
  <c r="Y184" i="3"/>
  <c r="Y256" i="3"/>
  <c r="Y156" i="3"/>
  <c r="Y252" i="3"/>
  <c r="Y18" i="3"/>
  <c r="Y216" i="3"/>
  <c r="Y7" i="3"/>
  <c r="Y250" i="3"/>
  <c r="Y253" i="3"/>
  <c r="Y254" i="3"/>
  <c r="Y249" i="3"/>
  <c r="Y246" i="3"/>
  <c r="Y247" i="3"/>
  <c r="Y255" i="3"/>
  <c r="Y139" i="3"/>
  <c r="Y152" i="3"/>
  <c r="Y137" i="3"/>
  <c r="Y19" i="3"/>
  <c r="Y248" i="3"/>
  <c r="Y88" i="3"/>
  <c r="Y85" i="3"/>
  <c r="F62" i="7"/>
  <c r="Z106" i="3" s="1"/>
  <c r="U106" i="3" s="1"/>
  <c r="Q106" i="3"/>
  <c r="R106" i="3" s="1"/>
  <c r="X106" i="3"/>
  <c r="Y129" i="3"/>
  <c r="Y125" i="3"/>
  <c r="Y101" i="3"/>
  <c r="Y117" i="3"/>
  <c r="X38" i="3"/>
  <c r="F109" i="7"/>
  <c r="Z38" i="3" s="1"/>
  <c r="U38" i="3" s="1"/>
  <c r="Z192" i="3"/>
  <c r="U192" i="3" s="1"/>
  <c r="Z193" i="3"/>
  <c r="U193" i="3" s="1"/>
  <c r="X74" i="3"/>
  <c r="F26" i="7"/>
  <c r="Z26" i="3"/>
  <c r="U26" i="3" s="1"/>
  <c r="Z62" i="3"/>
  <c r="U62" i="3" s="1"/>
  <c r="Z61" i="3"/>
  <c r="U61" i="3" s="1"/>
  <c r="Z23" i="3"/>
  <c r="U23" i="3" s="1"/>
  <c r="Z63" i="3"/>
  <c r="U63" i="3" s="1"/>
  <c r="Z125" i="3"/>
  <c r="U125" i="3" s="1"/>
  <c r="Z129" i="3"/>
  <c r="U129" i="3" s="1"/>
  <c r="X212" i="3"/>
  <c r="F65" i="7"/>
  <c r="Z212" i="3" s="1"/>
  <c r="U212" i="3" s="1"/>
  <c r="Z99" i="3"/>
  <c r="U99" i="3" s="1"/>
  <c r="Z75" i="3"/>
  <c r="U75" i="3" s="1"/>
  <c r="Z87" i="3"/>
  <c r="U87" i="3" s="1"/>
  <c r="Z205" i="3"/>
  <c r="U205" i="3" s="1"/>
  <c r="Z43" i="3"/>
  <c r="U43" i="3" s="1"/>
  <c r="Z53" i="3"/>
  <c r="U53" i="3" s="1"/>
  <c r="Z236" i="3"/>
  <c r="U236" i="3" s="1"/>
  <c r="Z143" i="3"/>
  <c r="U143" i="3" s="1"/>
  <c r="X102" i="3"/>
  <c r="F87" i="7"/>
  <c r="Z102" i="3" s="1"/>
  <c r="U102" i="3" s="1"/>
  <c r="X42" i="3"/>
  <c r="F10" i="7"/>
  <c r="Z42" i="3" s="1"/>
  <c r="U42" i="3" s="1"/>
  <c r="Z78" i="3"/>
  <c r="U78" i="3" s="1"/>
  <c r="Z77" i="3"/>
  <c r="U77" i="3" s="1"/>
  <c r="Z144" i="3"/>
  <c r="U144" i="3" s="1"/>
  <c r="Z76" i="3"/>
  <c r="U76" i="3" s="1"/>
  <c r="Z80" i="3"/>
  <c r="U80" i="3" s="1"/>
  <c r="Z107" i="3"/>
  <c r="U107" i="3" s="1"/>
  <c r="Z119" i="3"/>
  <c r="U119" i="3" s="1"/>
  <c r="Z145" i="3"/>
  <c r="U145" i="3" s="1"/>
  <c r="Z113" i="3"/>
  <c r="U113" i="3" s="1"/>
  <c r="Z111" i="3"/>
  <c r="U111" i="3" s="1"/>
  <c r="F45" i="7"/>
  <c r="Z239" i="3"/>
  <c r="U239" i="3" s="1"/>
  <c r="Z237" i="3"/>
  <c r="U237" i="3" s="1"/>
  <c r="Z180" i="3"/>
  <c r="U180" i="3" s="1"/>
  <c r="Z5" i="3"/>
  <c r="U5" i="3" s="1"/>
  <c r="Z135" i="3"/>
  <c r="U135" i="3" s="1"/>
  <c r="Z2" i="3"/>
  <c r="U2" i="3" s="1"/>
  <c r="Z177" i="3"/>
  <c r="U177" i="3" s="1"/>
  <c r="Z3" i="3"/>
  <c r="U3" i="3" s="1"/>
  <c r="Z218" i="3"/>
  <c r="U218" i="3" s="1"/>
  <c r="Z178" i="3"/>
  <c r="U178" i="3" s="1"/>
  <c r="Z4" i="3"/>
  <c r="U4" i="3" s="1"/>
  <c r="F63" i="7"/>
  <c r="Z59" i="3"/>
  <c r="U59" i="3" s="1"/>
  <c r="X33" i="3"/>
  <c r="F22" i="7"/>
  <c r="Z33" i="3" s="1"/>
  <c r="U33" i="3" s="1"/>
  <c r="F103" i="7"/>
  <c r="X27" i="3"/>
  <c r="F20" i="7"/>
  <c r="Z27" i="3" s="1"/>
  <c r="U27" i="3" s="1"/>
  <c r="Z79" i="3"/>
  <c r="U79" i="3" s="1"/>
  <c r="Z108" i="3"/>
  <c r="U108" i="3" s="1"/>
  <c r="Z97" i="3"/>
  <c r="U97" i="3" s="1"/>
  <c r="Z103" i="3"/>
  <c r="U103" i="3" s="1"/>
  <c r="F17" i="7"/>
  <c r="X92" i="3"/>
  <c r="F53" i="7"/>
  <c r="Z92" i="3" s="1"/>
  <c r="U92" i="3" s="1"/>
  <c r="X44" i="3"/>
  <c r="F15" i="7"/>
  <c r="Z44" i="3" s="1"/>
  <c r="U44" i="3" s="1"/>
  <c r="X93" i="3"/>
  <c r="F55" i="7"/>
  <c r="Z88" i="3"/>
  <c r="U88" i="3" s="1"/>
  <c r="Z85" i="3"/>
  <c r="U85" i="3" s="1"/>
  <c r="X41" i="3"/>
  <c r="F8" i="7"/>
  <c r="Z41" i="3" s="1"/>
  <c r="U41" i="3" s="1"/>
  <c r="X197" i="3"/>
  <c r="F43" i="7"/>
  <c r="Z197" i="3" s="1"/>
  <c r="U197" i="3" s="1"/>
  <c r="X210" i="3"/>
  <c r="F81" i="7"/>
  <c r="Z210" i="3" s="1"/>
  <c r="U210" i="3" s="1"/>
  <c r="X29" i="3"/>
  <c r="F6" i="7"/>
  <c r="Z29" i="3" s="1"/>
  <c r="U29" i="3" s="1"/>
  <c r="X133" i="3"/>
  <c r="F78" i="7"/>
  <c r="Z133" i="3" s="1"/>
  <c r="U133" i="3" s="1"/>
  <c r="X28" i="3"/>
  <c r="F4" i="7"/>
  <c r="Z28" i="3" s="1"/>
  <c r="U28" i="3" s="1"/>
  <c r="X58" i="3"/>
  <c r="F39" i="7"/>
  <c r="Z58" i="3" s="1"/>
  <c r="U58" i="3" s="1"/>
  <c r="Z117" i="3"/>
  <c r="U117" i="3" s="1"/>
  <c r="Z101" i="3"/>
  <c r="U101" i="3" s="1"/>
  <c r="X114" i="3"/>
  <c r="F95" i="7"/>
  <c r="Z114" i="3" s="1"/>
  <c r="U114" i="3" s="1"/>
  <c r="Z67" i="3"/>
  <c r="U67" i="3" s="1"/>
  <c r="Z24" i="3"/>
  <c r="U24" i="3" s="1"/>
  <c r="Z258" i="3"/>
  <c r="U258" i="3" s="1"/>
  <c r="Z182" i="3"/>
  <c r="U182" i="3" s="1"/>
  <c r="Z188" i="3"/>
  <c r="U188" i="3" s="1"/>
  <c r="Z179" i="3"/>
  <c r="U179" i="3" s="1"/>
  <c r="Z123" i="3"/>
  <c r="U123" i="3" s="1"/>
  <c r="Z148" i="3"/>
  <c r="U148" i="3" s="1"/>
  <c r="Z22" i="3"/>
  <c r="U22" i="3" s="1"/>
  <c r="Z147" i="3"/>
  <c r="U147" i="3" s="1"/>
  <c r="Z149" i="3"/>
  <c r="U149" i="3" s="1"/>
  <c r="Z146" i="3"/>
  <c r="U146" i="3" s="1"/>
  <c r="Z183" i="3"/>
  <c r="U183" i="3" s="1"/>
  <c r="Z121" i="3"/>
  <c r="U121" i="3" s="1"/>
  <c r="Z189" i="3"/>
  <c r="U189" i="3" s="1"/>
  <c r="Z122" i="3"/>
  <c r="U122" i="3" s="1"/>
  <c r="X208" i="3"/>
  <c r="F97" i="7"/>
  <c r="Z208" i="3" s="1"/>
  <c r="U208" i="3" s="1"/>
  <c r="X65" i="3"/>
  <c r="F37" i="7"/>
  <c r="Z65" i="3" s="1"/>
  <c r="U65" i="3" s="1"/>
  <c r="X209" i="3"/>
  <c r="F64" i="7"/>
  <c r="Z209" i="3" s="1"/>
  <c r="U209" i="3" s="1"/>
  <c r="F108" i="7"/>
  <c r="Z227" i="3"/>
  <c r="U227" i="3" s="1"/>
  <c r="Z82" i="3"/>
  <c r="U82" i="3" s="1"/>
  <c r="Z81" i="3"/>
  <c r="U81" i="3" s="1"/>
  <c r="X66" i="3"/>
  <c r="F61" i="7"/>
  <c r="Z66" i="3" s="1"/>
  <c r="U66" i="3" s="1"/>
  <c r="X49" i="3"/>
  <c r="F106" i="7"/>
  <c r="Z49" i="3" s="1"/>
  <c r="U49" i="3" s="1"/>
  <c r="X34" i="3"/>
  <c r="F23" i="7"/>
  <c r="Z34" i="3" s="1"/>
  <c r="U34" i="3" s="1"/>
  <c r="Z12" i="3"/>
  <c r="U12" i="3" s="1"/>
  <c r="X47" i="3"/>
  <c r="F104" i="7"/>
  <c r="Z47" i="3" s="1"/>
  <c r="U47" i="3" s="1"/>
  <c r="X36" i="3"/>
  <c r="F21" i="7"/>
  <c r="Z36" i="3" s="1"/>
  <c r="U36" i="3" s="1"/>
  <c r="Z109" i="3"/>
  <c r="U109" i="3" s="1"/>
  <c r="Z120" i="3"/>
  <c r="U120" i="3" s="1"/>
  <c r="X207" i="3"/>
  <c r="F79" i="7"/>
  <c r="Z207" i="3" s="1"/>
  <c r="U207" i="3" s="1"/>
  <c r="Z100" i="3"/>
  <c r="U100" i="3" s="1"/>
  <c r="Z110" i="3"/>
  <c r="U110" i="3" s="1"/>
  <c r="F112" i="7"/>
  <c r="Z9" i="3"/>
  <c r="U9" i="3" s="1"/>
  <c r="Z137" i="3"/>
  <c r="U137" i="3" s="1"/>
  <c r="Z252" i="3"/>
  <c r="U252" i="3" s="1"/>
  <c r="Z18" i="3"/>
  <c r="U18" i="3" s="1"/>
  <c r="Z244" i="3"/>
  <c r="U244" i="3" s="1"/>
  <c r="Z156" i="3"/>
  <c r="U156" i="3" s="1"/>
  <c r="Z169" i="3"/>
  <c r="U169" i="3" s="1"/>
  <c r="Z185" i="3"/>
  <c r="U185" i="3" s="1"/>
  <c r="Z251" i="3"/>
  <c r="U251" i="3" s="1"/>
  <c r="Z17" i="3"/>
  <c r="U17" i="3" s="1"/>
  <c r="Z16" i="3"/>
  <c r="U16" i="3" s="1"/>
  <c r="Z216" i="3"/>
  <c r="U216" i="3" s="1"/>
  <c r="Z256" i="3"/>
  <c r="U256" i="3" s="1"/>
  <c r="Z254" i="3"/>
  <c r="U254" i="3" s="1"/>
  <c r="Z253" i="3"/>
  <c r="U253" i="3" s="1"/>
  <c r="Z245" i="3"/>
  <c r="U245" i="3" s="1"/>
  <c r="Z152" i="3"/>
  <c r="U152" i="3" s="1"/>
  <c r="Z243" i="3"/>
  <c r="U243" i="3" s="1"/>
  <c r="Z248" i="3"/>
  <c r="U248" i="3" s="1"/>
  <c r="Z14" i="3"/>
  <c r="U14" i="3" s="1"/>
  <c r="Z154" i="3"/>
  <c r="U154" i="3" s="1"/>
  <c r="Z246" i="3"/>
  <c r="U246" i="3" s="1"/>
  <c r="Z139" i="3"/>
  <c r="U139" i="3" s="1"/>
  <c r="Z7" i="3"/>
  <c r="U7" i="3" s="1"/>
  <c r="Z184" i="3"/>
  <c r="U184" i="3" s="1"/>
  <c r="Z21" i="3"/>
  <c r="U21" i="3" s="1"/>
  <c r="Z15" i="3"/>
  <c r="U15" i="3" s="1"/>
  <c r="Z242" i="3"/>
  <c r="U242" i="3" s="1"/>
  <c r="Z249" i="3"/>
  <c r="U249" i="3" s="1"/>
  <c r="Z255" i="3"/>
  <c r="U255" i="3" s="1"/>
  <c r="Z250" i="3"/>
  <c r="U250" i="3" s="1"/>
  <c r="Z247" i="3"/>
  <c r="U247" i="3" s="1"/>
  <c r="Z221" i="3"/>
  <c r="U221" i="3" s="1"/>
  <c r="Z153" i="3"/>
  <c r="U153" i="3" s="1"/>
  <c r="Z19" i="3"/>
  <c r="U19" i="3" s="1"/>
  <c r="F110" i="7"/>
  <c r="Z48" i="3" s="1"/>
  <c r="U48" i="3" s="1"/>
  <c r="F29" i="7"/>
  <c r="X94" i="3"/>
  <c r="F54" i="7"/>
  <c r="X45" i="3"/>
  <c r="F16" i="7"/>
  <c r="Z45" i="3" s="1"/>
  <c r="U45" i="3" s="1"/>
  <c r="Z127" i="3"/>
  <c r="U127" i="3" s="1"/>
  <c r="Z130" i="3"/>
  <c r="U130" i="3" s="1"/>
  <c r="X86" i="3"/>
  <c r="F90" i="7"/>
  <c r="Z86" i="3" s="1"/>
  <c r="U86" i="3" s="1"/>
  <c r="X32" i="3"/>
  <c r="F14" i="7"/>
  <c r="Z32" i="3" s="1"/>
  <c r="U32" i="3" s="1"/>
  <c r="Z206" i="3"/>
  <c r="U206" i="3" s="1"/>
  <c r="Z190" i="3"/>
  <c r="U190" i="3" s="1"/>
  <c r="X31" i="3"/>
  <c r="F11" i="7"/>
  <c r="Z31" i="3" s="1"/>
  <c r="U31" i="3" s="1"/>
  <c r="X50" i="3"/>
  <c r="F46" i="7"/>
  <c r="Z50" i="3" s="1"/>
  <c r="U50" i="3" s="1"/>
  <c r="X132" i="3"/>
  <c r="F52" i="7"/>
  <c r="Z132" i="3" s="1"/>
  <c r="U132" i="3" s="1"/>
  <c r="Z56" i="3"/>
  <c r="U56" i="3" s="1"/>
  <c r="Z259" i="3"/>
  <c r="U259" i="3" s="1"/>
  <c r="Z204" i="3"/>
  <c r="U204" i="3" s="1"/>
  <c r="Z211" i="3"/>
  <c r="U211" i="3" s="1"/>
  <c r="X25" i="3"/>
  <c r="F19" i="7"/>
  <c r="Z25" i="3" s="1"/>
  <c r="U25" i="3" s="1"/>
  <c r="F44" i="7"/>
  <c r="X104" i="3"/>
  <c r="F84" i="7"/>
  <c r="X40" i="3"/>
  <c r="F7" i="7"/>
  <c r="Z40" i="3" s="1"/>
  <c r="U40" i="3" s="1"/>
  <c r="X39" i="3"/>
  <c r="F5" i="7"/>
  <c r="Z39" i="3" s="1"/>
  <c r="U39" i="3" s="1"/>
  <c r="X54" i="3"/>
  <c r="F40" i="7"/>
  <c r="Z54" i="3" s="1"/>
  <c r="U54" i="3" s="1"/>
  <c r="X118" i="3"/>
  <c r="F3" i="7"/>
  <c r="F38" i="7"/>
  <c r="Z52" i="3"/>
  <c r="U52" i="3" s="1"/>
  <c r="Z60" i="3"/>
  <c r="U60" i="3" s="1"/>
  <c r="Z222" i="3"/>
  <c r="U222" i="3" s="1"/>
  <c r="X84" i="3"/>
  <c r="F86" i="7"/>
  <c r="Z84" i="3" s="1"/>
  <c r="U84" i="3" s="1"/>
  <c r="X30" i="3"/>
  <c r="F9" i="7"/>
  <c r="Z30" i="3" s="1"/>
  <c r="U30" i="3" s="1"/>
  <c r="Z57" i="3"/>
  <c r="U57" i="3" s="1"/>
  <c r="Z37" i="3"/>
  <c r="U37" i="3" s="1"/>
  <c r="Z260" i="3"/>
  <c r="U260" i="3" s="1"/>
  <c r="Z126" i="3"/>
  <c r="U126" i="3" s="1"/>
  <c r="Z115" i="3"/>
  <c r="U115" i="3" s="1"/>
  <c r="Z128" i="3"/>
  <c r="U128" i="3" s="1"/>
  <c r="Z131" i="3"/>
  <c r="U131" i="3" s="1"/>
  <c r="X194" i="3"/>
  <c r="F70" i="7"/>
  <c r="Z194" i="3" s="1"/>
  <c r="U194" i="3" s="1"/>
  <c r="Z64" i="3"/>
  <c r="U64" i="3" s="1"/>
  <c r="Z51" i="3"/>
  <c r="U51" i="3" s="1"/>
  <c r="X134" i="3"/>
  <c r="F67" i="7"/>
  <c r="Z134" i="3" s="1"/>
  <c r="U134" i="3" s="1"/>
  <c r="X261" i="3"/>
  <c r="F111" i="7"/>
  <c r="Z261" i="3" s="1"/>
  <c r="U261" i="3" s="1"/>
  <c r="Z72" i="3"/>
  <c r="U72" i="3" s="1"/>
  <c r="Z73" i="3"/>
  <c r="U73" i="3" s="1"/>
  <c r="Z91" i="3"/>
  <c r="U91" i="3" s="1"/>
  <c r="X124" i="3"/>
  <c r="F48" i="7"/>
  <c r="Z124" i="3" s="1"/>
  <c r="U124" i="3" s="1"/>
  <c r="Q99" i="3"/>
  <c r="R99" i="3" s="1"/>
  <c r="X75" i="3"/>
  <c r="X99" i="3"/>
  <c r="X89" i="3"/>
  <c r="X87" i="3"/>
  <c r="X43" i="3"/>
  <c r="X53" i="3"/>
  <c r="X205" i="3"/>
  <c r="X236" i="3"/>
  <c r="X143" i="3"/>
  <c r="X80" i="3"/>
  <c r="X111" i="3"/>
  <c r="X119" i="3"/>
  <c r="X107" i="3"/>
  <c r="X113" i="3"/>
  <c r="X76" i="3"/>
  <c r="X145" i="3"/>
  <c r="X77" i="3"/>
  <c r="X78" i="3"/>
  <c r="X144" i="3"/>
  <c r="X85" i="3"/>
  <c r="X88" i="3"/>
  <c r="X101" i="3"/>
  <c r="X117" i="3"/>
  <c r="X59" i="3"/>
  <c r="X129" i="3"/>
  <c r="X125" i="3"/>
  <c r="X108" i="3"/>
  <c r="X79" i="3"/>
  <c r="X103" i="3"/>
  <c r="X97" i="3"/>
  <c r="X222" i="3"/>
  <c r="X259" i="3"/>
  <c r="X56" i="3"/>
  <c r="X67" i="3"/>
  <c r="X24" i="3"/>
  <c r="X258" i="3"/>
  <c r="X100" i="3"/>
  <c r="X110" i="3"/>
  <c r="X146" i="3"/>
  <c r="X183" i="3"/>
  <c r="X22" i="3"/>
  <c r="X147" i="3"/>
  <c r="X121" i="3"/>
  <c r="X148" i="3"/>
  <c r="X122" i="3"/>
  <c r="X149" i="3"/>
  <c r="X179" i="3"/>
  <c r="X123" i="3"/>
  <c r="X188" i="3"/>
  <c r="X182" i="3"/>
  <c r="X189" i="3"/>
  <c r="X204" i="3"/>
  <c r="X211" i="3"/>
  <c r="X21" i="3"/>
  <c r="X154" i="3"/>
  <c r="X169" i="3"/>
  <c r="X247" i="3"/>
  <c r="X255" i="3"/>
  <c r="X14" i="3"/>
  <c r="X184" i="3"/>
  <c r="X248" i="3"/>
  <c r="X256" i="3"/>
  <c r="X139" i="3"/>
  <c r="X153" i="3"/>
  <c r="X246" i="3"/>
  <c r="X15" i="3"/>
  <c r="X156" i="3"/>
  <c r="X216" i="3"/>
  <c r="X249" i="3"/>
  <c r="X221" i="3"/>
  <c r="X254" i="3"/>
  <c r="X16" i="3"/>
  <c r="X242" i="3"/>
  <c r="X250" i="3"/>
  <c r="X7" i="3"/>
  <c r="X17" i="3"/>
  <c r="X243" i="3"/>
  <c r="X251" i="3"/>
  <c r="X18" i="3"/>
  <c r="X137" i="3"/>
  <c r="X244" i="3"/>
  <c r="X252" i="3"/>
  <c r="X9" i="3"/>
  <c r="X19" i="3"/>
  <c r="X152" i="3"/>
  <c r="X185" i="3"/>
  <c r="X245" i="3"/>
  <c r="X253" i="3"/>
  <c r="X2" i="3"/>
  <c r="X3" i="3"/>
  <c r="X177" i="3"/>
  <c r="X4" i="3"/>
  <c r="X135" i="3"/>
  <c r="X178" i="3"/>
  <c r="X5" i="3"/>
  <c r="X237" i="3"/>
  <c r="X180" i="3"/>
  <c r="X218" i="3"/>
  <c r="X239" i="3"/>
  <c r="X213" i="3"/>
  <c r="X229" i="3"/>
  <c r="X235" i="3"/>
  <c r="X228" i="3"/>
  <c r="X112" i="3"/>
  <c r="X140" i="3"/>
  <c r="X214" i="3"/>
  <c r="X230" i="3"/>
  <c r="X23" i="3"/>
  <c r="X141" i="3"/>
  <c r="X231" i="3"/>
  <c r="X257" i="3"/>
  <c r="X13" i="3"/>
  <c r="X68" i="3"/>
  <c r="X136" i="3"/>
  <c r="X142" i="3"/>
  <c r="X202" i="3"/>
  <c r="X217" i="3"/>
  <c r="X61" i="3"/>
  <c r="X69" i="3"/>
  <c r="X203" i="3"/>
  <c r="X238" i="3"/>
  <c r="X62" i="3"/>
  <c r="X70" i="3"/>
  <c r="X116" i="3"/>
  <c r="X219" i="3"/>
  <c r="X232" i="3"/>
  <c r="X26" i="3"/>
  <c r="X63" i="3"/>
  <c r="X71" i="3"/>
  <c r="X233" i="3"/>
  <c r="X196" i="3"/>
  <c r="X234" i="3"/>
  <c r="X81" i="3"/>
  <c r="X82" i="3"/>
  <c r="X227" i="3"/>
  <c r="X11" i="3"/>
  <c r="X12" i="3"/>
  <c r="X223" i="3"/>
  <c r="X120" i="3"/>
  <c r="X109" i="3"/>
  <c r="X127" i="3"/>
  <c r="X130" i="3"/>
  <c r="X190" i="3"/>
  <c r="X206" i="3"/>
  <c r="Q60" i="3"/>
  <c r="R60" i="3" s="1"/>
  <c r="X52" i="3"/>
  <c r="X60" i="3"/>
  <c r="X192" i="3"/>
  <c r="X193" i="3"/>
  <c r="X35" i="3"/>
  <c r="X46" i="3"/>
  <c r="X57" i="3"/>
  <c r="X37" i="3"/>
  <c r="X260" i="3"/>
  <c r="X128" i="3"/>
  <c r="X115" i="3"/>
  <c r="X126" i="3"/>
  <c r="X131" i="3"/>
  <c r="X51" i="3"/>
  <c r="X64" i="3"/>
  <c r="X162" i="3"/>
  <c r="X155" i="3"/>
  <c r="X163" i="3"/>
  <c r="X240" i="3"/>
  <c r="X186" i="3"/>
  <c r="X241" i="3"/>
  <c r="X157" i="3"/>
  <c r="X164" i="3"/>
  <c r="X187" i="3"/>
  <c r="X20" i="3"/>
  <c r="X168" i="3"/>
  <c r="X150" i="3"/>
  <c r="X158" i="3"/>
  <c r="X165" i="3"/>
  <c r="X8" i="3"/>
  <c r="X151" i="3"/>
  <c r="X159" i="3"/>
  <c r="X166" i="3"/>
  <c r="X181" i="3"/>
  <c r="X138" i="3"/>
  <c r="X160" i="3"/>
  <c r="X167" i="3"/>
  <c r="X220" i="3"/>
  <c r="X161" i="3"/>
  <c r="X73" i="3"/>
  <c r="X91" i="3"/>
  <c r="X72" i="3"/>
  <c r="Q193" i="3"/>
  <c r="R193" i="3" s="1"/>
  <c r="Q54" i="3"/>
  <c r="R54" i="3" s="1"/>
  <c r="Q124" i="3"/>
  <c r="R124" i="3" s="1"/>
  <c r="Q89" i="3"/>
  <c r="R89" i="3" s="1"/>
  <c r="Q168" i="3"/>
  <c r="R168" i="3" s="1"/>
  <c r="Q167" i="3"/>
  <c r="R167" i="3" s="1"/>
  <c r="Q162" i="3"/>
  <c r="R162" i="3" s="1"/>
  <c r="Q166" i="3"/>
  <c r="R166" i="3" s="1"/>
  <c r="Q88" i="3"/>
  <c r="R88" i="3" s="1"/>
  <c r="Q169" i="3"/>
  <c r="R169" i="3" s="1"/>
  <c r="Q11" i="3"/>
  <c r="R11" i="3" s="1"/>
  <c r="Q52" i="3"/>
  <c r="R52" i="3" s="1"/>
  <c r="Q61" i="3"/>
  <c r="R61" i="3" s="1"/>
  <c r="Q53" i="3"/>
  <c r="R53" i="3" s="1"/>
  <c r="Q165" i="3"/>
  <c r="R165" i="3" s="1"/>
  <c r="Q132" i="3"/>
  <c r="R132" i="3" s="1"/>
  <c r="Q131" i="3"/>
  <c r="R131" i="3" s="1"/>
  <c r="Q107" i="3"/>
  <c r="R107" i="3" s="1"/>
  <c r="Q79" i="3"/>
  <c r="R79" i="3" s="1"/>
  <c r="Q27" i="3"/>
  <c r="R27" i="3" s="1"/>
  <c r="Q33" i="3"/>
  <c r="R33" i="3" s="1"/>
  <c r="Q42" i="3"/>
  <c r="R42" i="3" s="1"/>
  <c r="Q94" i="3"/>
  <c r="R94" i="3" s="1"/>
  <c r="Q92" i="3"/>
  <c r="R92" i="3" s="1"/>
  <c r="Q45" i="3"/>
  <c r="R45" i="3" s="1"/>
  <c r="Q32" i="3"/>
  <c r="R32" i="3" s="1"/>
  <c r="Q31" i="3"/>
  <c r="R31" i="3" s="1"/>
  <c r="Q50" i="3"/>
  <c r="R50" i="3" s="1"/>
  <c r="Q103" i="3"/>
  <c r="R103" i="3" s="1"/>
  <c r="Q75" i="3"/>
  <c r="R75" i="3" s="1"/>
  <c r="Q93" i="3"/>
  <c r="R93" i="3" s="1"/>
  <c r="Q25" i="3"/>
  <c r="R25" i="3" s="1"/>
  <c r="Q41" i="3"/>
  <c r="R41" i="3" s="1"/>
  <c r="Q104" i="3"/>
  <c r="R104" i="3" s="1"/>
  <c r="Q197" i="3"/>
  <c r="R197" i="3" s="1"/>
  <c r="Q40" i="3"/>
  <c r="R40" i="3" s="1"/>
  <c r="Q210" i="3"/>
  <c r="R210" i="3" s="1"/>
  <c r="Q29" i="3"/>
  <c r="R29" i="3" s="1"/>
  <c r="Q39" i="3"/>
  <c r="R39" i="3" s="1"/>
  <c r="Q28" i="3"/>
  <c r="R28" i="3" s="1"/>
  <c r="Q58" i="3"/>
  <c r="R58" i="3" s="1"/>
  <c r="Q118" i="3"/>
  <c r="R118" i="3" s="1"/>
  <c r="Q212" i="3"/>
  <c r="R212" i="3" s="1"/>
  <c r="Q44" i="3"/>
  <c r="R44" i="3" s="1"/>
  <c r="Q30" i="3"/>
  <c r="R30" i="3" s="1"/>
  <c r="Q260" i="3"/>
  <c r="R260" i="3" s="1"/>
  <c r="Q128" i="3"/>
  <c r="R128" i="3" s="1"/>
  <c r="Q258" i="3"/>
  <c r="R258" i="3" s="1"/>
  <c r="Q194" i="3"/>
  <c r="R194" i="3" s="1"/>
  <c r="Q134" i="3"/>
  <c r="R134" i="3" s="1"/>
  <c r="Q261" i="3"/>
  <c r="R261" i="3" s="1"/>
  <c r="Q38" i="3"/>
  <c r="R38" i="3" s="1"/>
  <c r="Q209" i="3"/>
  <c r="R209" i="3" s="1"/>
  <c r="Q227" i="3"/>
  <c r="R227" i="3" s="1"/>
  <c r="Q192" i="3"/>
  <c r="R192" i="3" s="1"/>
  <c r="Q66" i="3"/>
  <c r="R66" i="3" s="1"/>
  <c r="Q49" i="3"/>
  <c r="R49" i="3" s="1"/>
  <c r="Q34" i="3"/>
  <c r="R34" i="3" s="1"/>
  <c r="Q47" i="3"/>
  <c r="R47" i="3" s="1"/>
  <c r="Q36" i="3"/>
  <c r="R36" i="3" s="1"/>
  <c r="Q207" i="3"/>
  <c r="R207" i="3" s="1"/>
  <c r="Q56" i="3"/>
  <c r="R56" i="3" s="1"/>
  <c r="Q259" i="3"/>
  <c r="R259" i="3" s="1"/>
  <c r="Q65" i="3"/>
  <c r="R65" i="3" s="1"/>
  <c r="Q51" i="3"/>
  <c r="R51" i="3" s="1"/>
  <c r="Q64" i="3"/>
  <c r="R64" i="3" s="1"/>
  <c r="Q62" i="3"/>
  <c r="R62" i="3" s="1"/>
  <c r="Q63" i="3"/>
  <c r="R63" i="3" s="1"/>
  <c r="Q24" i="3"/>
  <c r="R24" i="3" s="1"/>
  <c r="Q67" i="3"/>
  <c r="R67" i="3" s="1"/>
  <c r="Q59" i="3"/>
  <c r="R59" i="3" s="1"/>
  <c r="Q37" i="3"/>
  <c r="R37" i="3" s="1"/>
  <c r="Q57" i="3"/>
  <c r="R57" i="3" s="1"/>
  <c r="Q205" i="3"/>
  <c r="R205" i="3" s="1"/>
  <c r="Q43" i="3"/>
  <c r="R43" i="3" s="1"/>
  <c r="Q35" i="3"/>
  <c r="R35" i="3" s="1"/>
  <c r="Q46" i="3"/>
  <c r="R46" i="3" s="1"/>
  <c r="Q23" i="3"/>
  <c r="R23" i="3" s="1"/>
  <c r="Q26" i="3"/>
  <c r="R26" i="3" s="1"/>
  <c r="Q238" i="3"/>
  <c r="R238" i="3" s="1"/>
  <c r="Q257" i="3"/>
  <c r="R257" i="3" s="1"/>
  <c r="Q145" i="3"/>
  <c r="R145" i="3" s="1"/>
  <c r="Q143" i="3"/>
  <c r="R143" i="3" s="1"/>
  <c r="Q236" i="3"/>
  <c r="R236" i="3" s="1"/>
  <c r="Q231" i="3"/>
  <c r="R231" i="3" s="1"/>
  <c r="Q229" i="3"/>
  <c r="R229" i="3" s="1"/>
  <c r="Q234" i="3"/>
  <c r="R234" i="3" s="1"/>
  <c r="Q233" i="3"/>
  <c r="R233" i="3" s="1"/>
  <c r="Q228" i="3"/>
  <c r="R228" i="3" s="1"/>
  <c r="Q230" i="3"/>
  <c r="R230" i="3" s="1"/>
  <c r="Q235" i="3"/>
  <c r="R235" i="3" s="1"/>
  <c r="Q232" i="3"/>
  <c r="R232" i="3" s="1"/>
  <c r="Q13" i="3"/>
  <c r="R13" i="3" s="1"/>
  <c r="Q136" i="3"/>
  <c r="R136" i="3" s="1"/>
  <c r="Q140" i="3"/>
  <c r="R140" i="3" s="1"/>
  <c r="Q218" i="3"/>
  <c r="R218" i="3" s="1"/>
  <c r="Q3" i="3"/>
  <c r="R3" i="3" s="1"/>
  <c r="Q5" i="3"/>
  <c r="R5" i="3" s="1"/>
  <c r="Q2" i="3"/>
  <c r="R2" i="3" s="1"/>
  <c r="Q4" i="3"/>
  <c r="R4" i="3" s="1"/>
  <c r="Q239" i="3"/>
  <c r="R239" i="3" s="1"/>
  <c r="Q237" i="3"/>
  <c r="R237" i="3" s="1"/>
  <c r="Q135" i="3"/>
  <c r="R135" i="3" s="1"/>
  <c r="Q8" i="3"/>
  <c r="R8" i="3" s="1"/>
  <c r="Q240" i="3"/>
  <c r="R240" i="3" s="1"/>
  <c r="Q20" i="3"/>
  <c r="R20" i="3" s="1"/>
  <c r="Q138" i="3"/>
  <c r="R138" i="3" s="1"/>
  <c r="Q241" i="3"/>
  <c r="R241" i="3" s="1"/>
  <c r="Q21" i="3"/>
  <c r="R21" i="3" s="1"/>
  <c r="Q19" i="3"/>
  <c r="R19" i="3" s="1"/>
  <c r="Q17" i="3"/>
  <c r="R17" i="3" s="1"/>
  <c r="Q15" i="3"/>
  <c r="R15" i="3" s="1"/>
  <c r="Q139" i="3"/>
  <c r="R139" i="3" s="1"/>
  <c r="Q137" i="3"/>
  <c r="R137" i="3" s="1"/>
  <c r="Q256" i="3"/>
  <c r="R256" i="3" s="1"/>
  <c r="Q254" i="3"/>
  <c r="R254" i="3" s="1"/>
  <c r="Q252" i="3"/>
  <c r="R252" i="3" s="1"/>
  <c r="Q250" i="3"/>
  <c r="R250" i="3" s="1"/>
  <c r="Q248" i="3"/>
  <c r="R248" i="3" s="1"/>
  <c r="Q246" i="3"/>
  <c r="R246" i="3" s="1"/>
  <c r="Q244" i="3"/>
  <c r="R244" i="3" s="1"/>
  <c r="Q242" i="3"/>
  <c r="R242" i="3" s="1"/>
  <c r="Q9" i="3"/>
  <c r="R9" i="3" s="1"/>
  <c r="Q7" i="3"/>
  <c r="R7" i="3" s="1"/>
  <c r="Q18" i="3"/>
  <c r="R18" i="3" s="1"/>
  <c r="Q16" i="3"/>
  <c r="R16" i="3" s="1"/>
  <c r="Q14" i="3"/>
  <c r="R14" i="3" s="1"/>
  <c r="Q255" i="3"/>
  <c r="R255" i="3" s="1"/>
  <c r="Q253" i="3"/>
  <c r="R253" i="3" s="1"/>
  <c r="Q251" i="3"/>
  <c r="R251" i="3" s="1"/>
  <c r="Q249" i="3"/>
  <c r="R249" i="3" s="1"/>
  <c r="Q247" i="3"/>
  <c r="R247" i="3" s="1"/>
  <c r="Q245" i="3"/>
  <c r="R245" i="3" s="1"/>
  <c r="Q243" i="3"/>
  <c r="R243" i="3" s="1"/>
  <c r="Q208" i="3"/>
  <c r="R208" i="3" s="1"/>
  <c r="Q203" i="3"/>
  <c r="R203" i="3" s="1"/>
  <c r="Q204" i="3"/>
  <c r="R204" i="3" s="1"/>
  <c r="Q211" i="3"/>
  <c r="R211" i="3" s="1"/>
  <c r="Q213" i="3"/>
  <c r="R213" i="3" s="1"/>
  <c r="Q214" i="3"/>
  <c r="R214" i="3" s="1"/>
  <c r="Q144" i="3"/>
  <c r="R144" i="3" s="1"/>
  <c r="Q219" i="3"/>
  <c r="R219" i="3" s="1"/>
  <c r="Q217" i="3"/>
  <c r="R217" i="3" s="1"/>
  <c r="Q133" i="3"/>
  <c r="R133" i="3" s="1"/>
  <c r="Q155" i="3"/>
  <c r="R155" i="3" s="1"/>
  <c r="Q187" i="3"/>
  <c r="R187" i="3" s="1"/>
  <c r="Q181" i="3"/>
  <c r="R181" i="3" s="1"/>
  <c r="Q161" i="3"/>
  <c r="R161" i="3" s="1"/>
  <c r="Q158" i="3"/>
  <c r="R158" i="3" s="1"/>
  <c r="Q160" i="3"/>
  <c r="R160" i="3" s="1"/>
  <c r="Q151" i="3"/>
  <c r="R151" i="3" s="1"/>
  <c r="Q220" i="3"/>
  <c r="R220" i="3" s="1"/>
  <c r="Q186" i="3"/>
  <c r="R186" i="3" s="1"/>
  <c r="Q159" i="3"/>
  <c r="R159" i="3" s="1"/>
  <c r="Q163" i="3"/>
  <c r="R163" i="3" s="1"/>
  <c r="Q150" i="3"/>
  <c r="R150" i="3" s="1"/>
  <c r="Q157" i="3"/>
  <c r="R157" i="3" s="1"/>
  <c r="Q164" i="3"/>
  <c r="R164" i="3" s="1"/>
  <c r="Q179" i="3"/>
  <c r="R179" i="3" s="1"/>
  <c r="Q189" i="3"/>
  <c r="R189" i="3" s="1"/>
  <c r="Q183" i="3"/>
  <c r="R183" i="3" s="1"/>
  <c r="Q149" i="3"/>
  <c r="R149" i="3" s="1"/>
  <c r="Q146" i="3"/>
  <c r="R146" i="3" s="1"/>
  <c r="Q182" i="3"/>
  <c r="R182" i="3" s="1"/>
  <c r="Q147" i="3"/>
  <c r="R147" i="3" s="1"/>
  <c r="Q148" i="3"/>
  <c r="R148" i="3" s="1"/>
  <c r="Q188" i="3"/>
  <c r="R188" i="3" s="1"/>
  <c r="Q216" i="3"/>
  <c r="R216" i="3" s="1"/>
  <c r="Q185" i="3"/>
  <c r="R185" i="3" s="1"/>
  <c r="Q153" i="3"/>
  <c r="R153" i="3" s="1"/>
  <c r="Q221" i="3"/>
  <c r="R221" i="3" s="1"/>
  <c r="Q184" i="3"/>
  <c r="R184" i="3" s="1"/>
  <c r="Q156" i="3"/>
  <c r="R156" i="3" s="1"/>
  <c r="Q152" i="3"/>
  <c r="R152" i="3" s="1"/>
  <c r="Q154" i="3"/>
  <c r="R154" i="3" s="1"/>
  <c r="Q102" i="3"/>
  <c r="R102" i="3" s="1"/>
  <c r="Q125" i="3"/>
  <c r="R125" i="3" s="1"/>
  <c r="Q129" i="3"/>
  <c r="R129" i="3" s="1"/>
  <c r="Q177" i="3"/>
  <c r="R177" i="3" s="1"/>
  <c r="Q178" i="3"/>
  <c r="R178" i="3" s="1"/>
  <c r="Q180" i="3"/>
  <c r="R180" i="3" s="1"/>
  <c r="Q196" i="3"/>
  <c r="R196" i="3" s="1"/>
  <c r="Q202" i="3"/>
  <c r="R202" i="3" s="1"/>
  <c r="Q74" i="3"/>
  <c r="R74" i="3" s="1"/>
  <c r="Q206" i="3"/>
  <c r="R206" i="3" s="1"/>
  <c r="Q190" i="3"/>
  <c r="R190" i="3" s="1"/>
  <c r="Q110" i="3"/>
  <c r="R110" i="3" s="1"/>
  <c r="Q115" i="3"/>
  <c r="R115" i="3" s="1"/>
  <c r="Q223" i="3"/>
  <c r="R223" i="3" s="1"/>
  <c r="Q127" i="3"/>
  <c r="R127" i="3" s="1"/>
  <c r="Q130" i="3"/>
  <c r="R130" i="3" s="1"/>
  <c r="Q141" i="3"/>
  <c r="R141" i="3" s="1"/>
  <c r="Q142" i="3"/>
  <c r="R142" i="3" s="1"/>
  <c r="Q222" i="3"/>
  <c r="R222" i="3" s="1"/>
  <c r="Q100" i="3"/>
  <c r="R100" i="3" s="1"/>
  <c r="Q126" i="3"/>
  <c r="R126" i="3" s="1"/>
  <c r="Q22" i="3"/>
  <c r="R22" i="3" s="1"/>
  <c r="Q122" i="3"/>
  <c r="R122" i="3" s="1"/>
  <c r="Q123" i="3"/>
  <c r="R123" i="3" s="1"/>
  <c r="Q121" i="3"/>
  <c r="R121" i="3" s="1"/>
  <c r="Q112" i="3"/>
  <c r="R112" i="3" s="1"/>
  <c r="Q116" i="3"/>
  <c r="R116" i="3" s="1"/>
  <c r="Q119" i="3"/>
  <c r="R119" i="3" s="1"/>
  <c r="Q111" i="3"/>
  <c r="R111" i="3" s="1"/>
  <c r="Q108" i="3"/>
  <c r="R108" i="3" s="1"/>
  <c r="Q114" i="3"/>
  <c r="R114" i="3" s="1"/>
  <c r="Q113" i="3"/>
  <c r="R113" i="3" s="1"/>
  <c r="Q109" i="3"/>
  <c r="R109" i="3" s="1"/>
  <c r="Q120" i="3"/>
  <c r="R120" i="3" s="1"/>
  <c r="Q68" i="3"/>
  <c r="R68" i="3" s="1"/>
  <c r="Q70" i="3"/>
  <c r="R70" i="3" s="1"/>
  <c r="Q69" i="3"/>
  <c r="R69" i="3" s="1"/>
  <c r="Q71" i="3"/>
  <c r="R71" i="3" s="1"/>
  <c r="Q12" i="3"/>
  <c r="R12" i="3" s="1"/>
  <c r="Q81" i="3"/>
  <c r="R81" i="3" s="1"/>
  <c r="Q82" i="3"/>
  <c r="R82" i="3" s="1"/>
  <c r="Q77" i="3"/>
  <c r="R77" i="3" s="1"/>
  <c r="Q97" i="3"/>
  <c r="R97" i="3" s="1"/>
  <c r="Q80" i="3"/>
  <c r="R80" i="3" s="1"/>
  <c r="Q73" i="3"/>
  <c r="R73" i="3" s="1"/>
  <c r="Q72" i="3"/>
  <c r="R72" i="3" s="1"/>
  <c r="Q76" i="3"/>
  <c r="R76" i="3" s="1"/>
  <c r="Q91" i="3"/>
  <c r="R91" i="3" s="1"/>
  <c r="Q78" i="3"/>
  <c r="R78" i="3" s="1"/>
  <c r="Q86" i="3"/>
  <c r="R86" i="3" s="1"/>
  <c r="Q87" i="3"/>
  <c r="R87" i="3" s="1"/>
  <c r="Q85" i="3"/>
  <c r="R85" i="3" s="1"/>
  <c r="Q84" i="3"/>
  <c r="R84" i="3" s="1"/>
  <c r="Q101" i="3"/>
  <c r="R101" i="3" s="1"/>
  <c r="Q117" i="3"/>
  <c r="R117" i="3" s="1"/>
  <c r="Z142" i="3" l="1"/>
  <c r="U142" i="3" s="1"/>
  <c r="Z196" i="3"/>
  <c r="U196" i="3" s="1"/>
  <c r="Z70" i="3"/>
  <c r="U70" i="3" s="1"/>
  <c r="Z89" i="3"/>
  <c r="U89" i="3" s="1"/>
  <c r="Z214" i="3"/>
  <c r="U214" i="3" s="1"/>
  <c r="Z69" i="3"/>
  <c r="U69" i="3" s="1"/>
  <c r="Z202" i="3"/>
  <c r="U202" i="3" s="1"/>
  <c r="Z217" i="3"/>
  <c r="U217" i="3" s="1"/>
  <c r="Z229" i="3"/>
  <c r="U229" i="3" s="1"/>
  <c r="Z232" i="3"/>
  <c r="U232" i="3" s="1"/>
  <c r="Z71" i="3"/>
  <c r="U71" i="3" s="1"/>
  <c r="Z231" i="3"/>
  <c r="U231" i="3" s="1"/>
  <c r="Z238" i="3"/>
  <c r="U238" i="3" s="1"/>
  <c r="Z230" i="3"/>
  <c r="U230" i="3" s="1"/>
  <c r="Z234" i="3"/>
  <c r="U234" i="3" s="1"/>
  <c r="Z203" i="3"/>
  <c r="U203" i="3" s="1"/>
  <c r="Z235" i="3"/>
  <c r="U235" i="3" s="1"/>
  <c r="Z116" i="3"/>
  <c r="U116" i="3" s="1"/>
  <c r="Z150" i="3"/>
  <c r="U150" i="3" s="1"/>
  <c r="Z136" i="3"/>
  <c r="U136" i="3" s="1"/>
  <c r="Z228" i="3"/>
  <c r="U228" i="3" s="1"/>
  <c r="Z140" i="3"/>
  <c r="U140" i="3" s="1"/>
  <c r="Z219" i="3"/>
  <c r="U219" i="3" s="1"/>
  <c r="Z161" i="3"/>
  <c r="U161" i="3" s="1"/>
  <c r="Z233" i="3"/>
  <c r="U233" i="3" s="1"/>
  <c r="Z257" i="3"/>
  <c r="U257" i="3" s="1"/>
  <c r="Z213" i="3"/>
  <c r="U213" i="3" s="1"/>
  <c r="Z141" i="3"/>
  <c r="U141" i="3" s="1"/>
  <c r="Z68" i="3"/>
  <c r="U68" i="3" s="1"/>
  <c r="Z112" i="3"/>
  <c r="U112" i="3" s="1"/>
  <c r="Z13" i="3"/>
  <c r="U13" i="3" s="1"/>
  <c r="Z173" i="3"/>
  <c r="U173" i="3" s="1"/>
  <c r="Z176" i="3"/>
  <c r="U176" i="3" s="1"/>
  <c r="Z104" i="3"/>
  <c r="U104" i="3" s="1"/>
  <c r="Z93" i="3"/>
  <c r="U93" i="3" s="1"/>
  <c r="Z96" i="3"/>
  <c r="U96" i="3" s="1"/>
  <c r="Z175" i="3"/>
  <c r="U175" i="3" s="1"/>
  <c r="Z174" i="3"/>
  <c r="U174" i="3" s="1"/>
  <c r="Z11" i="3"/>
  <c r="U11" i="3" s="1"/>
  <c r="Z46" i="3"/>
  <c r="U46" i="3" s="1"/>
  <c r="Z94" i="3"/>
  <c r="U94" i="3" s="1"/>
  <c r="Z95" i="3"/>
  <c r="U95" i="3" s="1"/>
  <c r="Z171" i="3"/>
  <c r="U171" i="3" s="1"/>
  <c r="Z172" i="3"/>
  <c r="U172" i="3" s="1"/>
  <c r="Z118" i="3"/>
  <c r="U118" i="3" s="1"/>
  <c r="Z6" i="3"/>
  <c r="U6" i="3" s="1"/>
  <c r="Z74" i="3"/>
  <c r="U74" i="3" s="1"/>
  <c r="Z240" i="3"/>
  <c r="U240" i="3" s="1"/>
  <c r="Z167" i="3"/>
  <c r="U167" i="3" s="1"/>
  <c r="Z166" i="3"/>
  <c r="U166" i="3" s="1"/>
  <c r="Z159" i="3"/>
  <c r="U159" i="3" s="1"/>
  <c r="Z163" i="3"/>
  <c r="U163" i="3" s="1"/>
  <c r="Z162" i="3"/>
  <c r="U162" i="3" s="1"/>
  <c r="Z151" i="3"/>
  <c r="U151" i="3" s="1"/>
  <c r="Z20" i="3"/>
  <c r="U20" i="3" s="1"/>
  <c r="Z187" i="3"/>
  <c r="U187" i="3" s="1"/>
  <c r="Z220" i="3"/>
  <c r="U220" i="3" s="1"/>
  <c r="Z8" i="3"/>
  <c r="U8" i="3" s="1"/>
  <c r="Z155" i="3"/>
  <c r="U155" i="3" s="1"/>
  <c r="Z158" i="3"/>
  <c r="U158" i="3" s="1"/>
  <c r="Z168" i="3"/>
  <c r="U168" i="3" s="1"/>
  <c r="Z164" i="3"/>
  <c r="U164" i="3" s="1"/>
  <c r="Z138" i="3"/>
  <c r="U138" i="3" s="1"/>
  <c r="Z241" i="3"/>
  <c r="U241" i="3" s="1"/>
  <c r="Z186" i="3"/>
  <c r="U186" i="3" s="1"/>
  <c r="Z160" i="3"/>
  <c r="U160" i="3" s="1"/>
  <c r="Z165" i="3"/>
  <c r="U165" i="3" s="1"/>
  <c r="Z181" i="3"/>
  <c r="U181" i="3" s="1"/>
  <c r="Z55" i="3"/>
  <c r="U55" i="3" s="1"/>
  <c r="Z170" i="3"/>
  <c r="U170" i="3" s="1"/>
  <c r="U262" i="3" l="1"/>
  <c r="V224" i="3" l="1"/>
  <c r="W224" i="3" s="1"/>
  <c r="V10" i="3"/>
  <c r="W10" i="3" s="1"/>
  <c r="V226" i="3"/>
  <c r="W226" i="3" s="1"/>
  <c r="V225" i="3"/>
  <c r="W225" i="3" s="1"/>
  <c r="V98" i="3"/>
  <c r="W98" i="3" s="1"/>
  <c r="V215" i="3"/>
  <c r="W215" i="3" s="1"/>
  <c r="V199" i="3"/>
  <c r="W199" i="3" s="1"/>
  <c r="V198" i="3"/>
  <c r="W198" i="3" s="1"/>
  <c r="V201" i="3"/>
  <c r="W201" i="3" s="1"/>
  <c r="V200" i="3"/>
  <c r="W200" i="3" s="1"/>
  <c r="V176" i="3"/>
  <c r="W176" i="3" s="1"/>
  <c r="V191" i="3"/>
  <c r="W191" i="3" s="1"/>
  <c r="V174" i="3"/>
  <c r="W174" i="3" s="1"/>
  <c r="V105" i="3"/>
  <c r="W105" i="3" s="1"/>
  <c r="V175" i="3"/>
  <c r="W175" i="3" s="1"/>
  <c r="V96" i="3"/>
  <c r="W96" i="3" s="1"/>
  <c r="V95" i="3"/>
  <c r="W95" i="3" s="1"/>
  <c r="V90" i="3"/>
  <c r="W90" i="3" s="1"/>
  <c r="V173" i="3"/>
  <c r="W173" i="3" s="1"/>
  <c r="V172" i="3"/>
  <c r="W172" i="3" s="1"/>
  <c r="V48" i="3"/>
  <c r="W48" i="3" s="1"/>
  <c r="V6" i="3"/>
  <c r="W6" i="3" s="1"/>
  <c r="V195" i="3"/>
  <c r="W195" i="3" s="1"/>
  <c r="V83" i="3"/>
  <c r="W83" i="3" s="1"/>
  <c r="V91" i="3"/>
  <c r="W91" i="3" s="1"/>
  <c r="V210" i="3"/>
  <c r="W210" i="3" s="1"/>
  <c r="V20" i="3"/>
  <c r="W20" i="3" s="1"/>
  <c r="V234" i="3"/>
  <c r="W234" i="3" s="1"/>
  <c r="V220" i="3"/>
  <c r="W220" i="3" s="1"/>
  <c r="V144" i="3"/>
  <c r="W144" i="3" s="1"/>
  <c r="V50" i="3"/>
  <c r="W50" i="3" s="1"/>
  <c r="V59" i="3"/>
  <c r="W59" i="3" s="1"/>
  <c r="V235" i="3"/>
  <c r="W235" i="3" s="1"/>
  <c r="V33" i="3"/>
  <c r="W33" i="3" s="1"/>
  <c r="V97" i="3"/>
  <c r="W97" i="3" s="1"/>
  <c r="V120" i="3"/>
  <c r="W120" i="3" s="1"/>
  <c r="V151" i="3"/>
  <c r="W151" i="3" s="1"/>
  <c r="V156" i="3"/>
  <c r="W156" i="3" s="1"/>
  <c r="V61" i="3"/>
  <c r="W61" i="3" s="1"/>
  <c r="V213" i="3"/>
  <c r="W213" i="3" s="1"/>
  <c r="V248" i="3"/>
  <c r="W248" i="3" s="1"/>
  <c r="V30" i="3"/>
  <c r="W30" i="3" s="1"/>
  <c r="V246" i="3"/>
  <c r="W246" i="3" s="1"/>
  <c r="V84" i="3"/>
  <c r="W84" i="3" s="1"/>
  <c r="V40" i="3"/>
  <c r="W40" i="3" s="1"/>
  <c r="V109" i="3"/>
  <c r="W109" i="3" s="1"/>
  <c r="V104" i="3"/>
  <c r="W104" i="3" s="1"/>
  <c r="V27" i="3"/>
  <c r="W27" i="3" s="1"/>
  <c r="V8" i="3"/>
  <c r="W8" i="3" s="1"/>
  <c r="V179" i="3"/>
  <c r="W179" i="3" s="1"/>
  <c r="V252" i="3"/>
  <c r="W252" i="3" s="1"/>
  <c r="V94" i="3"/>
  <c r="W94" i="3" s="1"/>
  <c r="V251" i="3"/>
  <c r="W251" i="3" s="1"/>
  <c r="V14" i="3"/>
  <c r="W14" i="3" s="1"/>
  <c r="V56" i="3"/>
  <c r="W56" i="3" s="1"/>
  <c r="V240" i="3"/>
  <c r="W240" i="3" s="1"/>
  <c r="V209" i="3"/>
  <c r="W209" i="3" s="1"/>
  <c r="V100" i="3"/>
  <c r="W100" i="3" s="1"/>
  <c r="V80" i="3"/>
  <c r="W80" i="3" s="1"/>
  <c r="V163" i="3"/>
  <c r="W163" i="3" s="1"/>
  <c r="V153" i="3"/>
  <c r="W153" i="3" s="1"/>
  <c r="V217" i="3"/>
  <c r="W217" i="3" s="1"/>
  <c r="V111" i="3"/>
  <c r="W111" i="3" s="1"/>
  <c r="V78" i="3"/>
  <c r="W78" i="3" s="1"/>
  <c r="V63" i="3"/>
  <c r="W63" i="3" s="1"/>
  <c r="V243" i="3"/>
  <c r="W243" i="3" s="1"/>
  <c r="V106" i="3"/>
  <c r="W106" i="3" s="1"/>
  <c r="V233" i="3"/>
  <c r="W233" i="3" s="1"/>
  <c r="V236" i="3"/>
  <c r="W236" i="3" s="1"/>
  <c r="V231" i="3"/>
  <c r="W231" i="3" s="1"/>
  <c r="V202" i="3"/>
  <c r="W202" i="3" s="1"/>
  <c r="V130" i="3"/>
  <c r="W130" i="3" s="1"/>
  <c r="V184" i="3"/>
  <c r="W184" i="3" s="1"/>
  <c r="V136" i="3"/>
  <c r="W136" i="3" s="1"/>
  <c r="V123" i="3"/>
  <c r="W123" i="3" s="1"/>
  <c r="V260" i="3"/>
  <c r="W260" i="3" s="1"/>
  <c r="V64" i="3"/>
  <c r="W64" i="3" s="1"/>
  <c r="V140" i="3"/>
  <c r="W140" i="3" s="1"/>
  <c r="V82" i="3"/>
  <c r="W82" i="3" s="1"/>
  <c r="V221" i="3"/>
  <c r="W221" i="3" s="1"/>
  <c r="V145" i="3"/>
  <c r="W145" i="3" s="1"/>
  <c r="V165" i="3"/>
  <c r="W165" i="3" s="1"/>
  <c r="V188" i="3"/>
  <c r="W188" i="3" s="1"/>
  <c r="V150" i="3"/>
  <c r="W150" i="3" s="1"/>
  <c r="V227" i="3"/>
  <c r="W227" i="3" s="1"/>
  <c r="V117" i="3"/>
  <c r="W117" i="3" s="1"/>
  <c r="V249" i="3"/>
  <c r="W249" i="3" s="1"/>
  <c r="V18" i="3"/>
  <c r="W18" i="3" s="1"/>
  <c r="V23" i="3"/>
  <c r="W23" i="3" s="1"/>
  <c r="V85" i="3"/>
  <c r="W85" i="3" s="1"/>
  <c r="V216" i="3"/>
  <c r="W216" i="3" s="1"/>
  <c r="V28" i="3"/>
  <c r="W28" i="3" s="1"/>
  <c r="V68" i="3"/>
  <c r="W68" i="3" s="1"/>
  <c r="V190" i="3"/>
  <c r="W190" i="3" s="1"/>
  <c r="V185" i="3"/>
  <c r="W185" i="3" s="1"/>
  <c r="V159" i="3"/>
  <c r="W159" i="3" s="1"/>
  <c r="V178" i="3"/>
  <c r="W178" i="3" s="1"/>
  <c r="V218" i="3"/>
  <c r="W218" i="3" s="1"/>
  <c r="V112" i="3"/>
  <c r="W112" i="3" s="1"/>
  <c r="V121" i="3"/>
  <c r="W121" i="3" s="1"/>
  <c r="V16" i="3"/>
  <c r="W16" i="3" s="1"/>
  <c r="V119" i="3"/>
  <c r="W119" i="3" s="1"/>
  <c r="V44" i="3"/>
  <c r="W44" i="3" s="1"/>
  <c r="V192" i="3"/>
  <c r="W192" i="3" s="1"/>
  <c r="V214" i="3"/>
  <c r="W214" i="3" s="1"/>
  <c r="V137" i="3"/>
  <c r="W137" i="3" s="1"/>
  <c r="V4" i="3"/>
  <c r="W4" i="3" s="1"/>
  <c r="V222" i="3"/>
  <c r="W222" i="3" s="1"/>
  <c r="V5" i="3"/>
  <c r="W5" i="3" s="1"/>
  <c r="V22" i="3"/>
  <c r="W22" i="3" s="1"/>
  <c r="V256" i="3"/>
  <c r="W256" i="3" s="1"/>
  <c r="V238" i="3"/>
  <c r="W238" i="3" s="1"/>
  <c r="V9" i="3"/>
  <c r="W9" i="3" s="1"/>
  <c r="V101" i="3"/>
  <c r="W101" i="3" s="1"/>
  <c r="V194" i="3"/>
  <c r="W194" i="3" s="1"/>
  <c r="V57" i="3"/>
  <c r="W57" i="3" s="1"/>
  <c r="V11" i="3"/>
  <c r="W11" i="3" s="1"/>
  <c r="V196" i="3"/>
  <c r="W196" i="3" s="1"/>
  <c r="V52" i="3"/>
  <c r="W52" i="3" s="1"/>
  <c r="V87" i="3"/>
  <c r="W87" i="3" s="1"/>
  <c r="V73" i="3"/>
  <c r="W73" i="3" s="1"/>
  <c r="V259" i="3"/>
  <c r="W259" i="3" s="1"/>
  <c r="V253" i="3"/>
  <c r="W253" i="3" s="1"/>
  <c r="V186" i="3"/>
  <c r="W186" i="3" s="1"/>
  <c r="V58" i="3"/>
  <c r="W58" i="3" s="1"/>
  <c r="V108" i="3"/>
  <c r="W108" i="3" s="1"/>
  <c r="V72" i="3"/>
  <c r="W72" i="3" s="1"/>
  <c r="V81" i="3"/>
  <c r="W81" i="3" s="1"/>
  <c r="V143" i="3"/>
  <c r="W143" i="3" s="1"/>
  <c r="V197" i="3"/>
  <c r="W197" i="3" s="1"/>
  <c r="V141" i="3"/>
  <c r="W141" i="3" s="1"/>
  <c r="V138" i="3"/>
  <c r="W138" i="3" s="1"/>
  <c r="V102" i="3"/>
  <c r="W102" i="3" s="1"/>
  <c r="V116" i="3"/>
  <c r="W116" i="3" s="1"/>
  <c r="V3" i="3"/>
  <c r="W3" i="3" s="1"/>
  <c r="V170" i="3"/>
  <c r="W170" i="3" s="1"/>
  <c r="V19" i="3"/>
  <c r="W19" i="3" s="1"/>
  <c r="V39" i="3"/>
  <c r="W39" i="3" s="1"/>
  <c r="V34" i="3"/>
  <c r="W34" i="3" s="1"/>
  <c r="V223" i="3"/>
  <c r="W223" i="3" s="1"/>
  <c r="V167" i="3"/>
  <c r="W167" i="3" s="1"/>
  <c r="V154" i="3"/>
  <c r="W154" i="3" s="1"/>
  <c r="V230" i="3"/>
  <c r="W230" i="3" s="1"/>
  <c r="V75" i="3"/>
  <c r="W75" i="3" s="1"/>
  <c r="V203" i="3"/>
  <c r="W203" i="3" s="1"/>
  <c r="V237" i="3"/>
  <c r="W237" i="3" s="1"/>
  <c r="V62" i="3"/>
  <c r="W62" i="3" s="1"/>
  <c r="V254" i="3"/>
  <c r="W254" i="3" s="1"/>
  <c r="V164" i="3"/>
  <c r="W164" i="3" s="1"/>
  <c r="V124" i="3"/>
  <c r="W124" i="3" s="1"/>
  <c r="V206" i="3"/>
  <c r="W206" i="3" s="1"/>
  <c r="V180" i="3"/>
  <c r="W180" i="3" s="1"/>
  <c r="V17" i="3"/>
  <c r="W17" i="3" s="1"/>
  <c r="V142" i="3"/>
  <c r="W142" i="3" s="1"/>
  <c r="V110" i="3"/>
  <c r="W110" i="3" s="1"/>
  <c r="V7" i="3"/>
  <c r="W7" i="3" s="1"/>
  <c r="V219" i="3"/>
  <c r="W219" i="3" s="1"/>
  <c r="V146" i="3"/>
  <c r="W146" i="3" s="1"/>
  <c r="V205" i="3"/>
  <c r="W205" i="3" s="1"/>
  <c r="V125" i="3"/>
  <c r="W125" i="3" s="1"/>
  <c r="V71" i="3"/>
  <c r="W71" i="3" s="1"/>
  <c r="V182" i="3"/>
  <c r="W182" i="3" s="1"/>
  <c r="V152" i="3"/>
  <c r="W152" i="3" s="1"/>
  <c r="V12" i="3"/>
  <c r="W12" i="3" s="1"/>
  <c r="V132" i="3"/>
  <c r="W132" i="3" s="1"/>
  <c r="V60" i="3"/>
  <c r="W60" i="3" s="1"/>
  <c r="V42" i="3"/>
  <c r="W42" i="3" s="1"/>
  <c r="V161" i="3"/>
  <c r="W161" i="3" s="1"/>
  <c r="V122" i="3"/>
  <c r="W122" i="3" s="1"/>
  <c r="V247" i="3"/>
  <c r="W247" i="3" s="1"/>
  <c r="V46" i="3"/>
  <c r="W46" i="3" s="1"/>
  <c r="V239" i="3"/>
  <c r="W239" i="3" s="1"/>
  <c r="V76" i="3"/>
  <c r="W76" i="3" s="1"/>
  <c r="V54" i="3"/>
  <c r="W54" i="3" s="1"/>
  <c r="V189" i="3"/>
  <c r="W189" i="3" s="1"/>
  <c r="V245" i="3"/>
  <c r="W245" i="3" s="1"/>
  <c r="V118" i="3"/>
  <c r="W118" i="3" s="1"/>
  <c r="V168" i="3"/>
  <c r="W168" i="3" s="1"/>
  <c r="V258" i="3"/>
  <c r="W258" i="3" s="1"/>
  <c r="V107" i="3"/>
  <c r="W107" i="3" s="1"/>
  <c r="V38" i="3"/>
  <c r="W38" i="3" s="1"/>
  <c r="V89" i="3"/>
  <c r="W89" i="3" s="1"/>
  <c r="V171" i="3"/>
  <c r="W171" i="3" s="1"/>
  <c r="V25" i="3"/>
  <c r="W25" i="3" s="1"/>
  <c r="V241" i="3"/>
  <c r="W241" i="3" s="1"/>
  <c r="V129" i="3"/>
  <c r="W129" i="3" s="1"/>
  <c r="V66" i="3"/>
  <c r="W66" i="3" s="1"/>
  <c r="V65" i="3"/>
  <c r="W65" i="3" s="1"/>
  <c r="V211" i="3"/>
  <c r="W211" i="3" s="1"/>
  <c r="V204" i="3"/>
  <c r="W204" i="3" s="1"/>
  <c r="V128" i="3"/>
  <c r="W128" i="3" s="1"/>
  <c r="V35" i="3"/>
  <c r="W35" i="3" s="1"/>
  <c r="V208" i="3"/>
  <c r="W208" i="3" s="1"/>
  <c r="V166" i="3"/>
  <c r="W166" i="3" s="1"/>
  <c r="V162" i="3"/>
  <c r="W162" i="3" s="1"/>
  <c r="V92" i="3"/>
  <c r="W92" i="3" s="1"/>
  <c r="V229" i="3"/>
  <c r="W229" i="3" s="1"/>
  <c r="V177" i="3"/>
  <c r="W177" i="3" s="1"/>
  <c r="V147" i="3"/>
  <c r="W147" i="3" s="1"/>
  <c r="V29" i="3"/>
  <c r="W29" i="3" s="1"/>
  <c r="V183" i="3"/>
  <c r="W183" i="3" s="1"/>
  <c r="V99" i="3"/>
  <c r="W99" i="3" s="1"/>
  <c r="V13" i="3"/>
  <c r="W13" i="3" s="1"/>
  <c r="V127" i="3"/>
  <c r="W127" i="3" s="1"/>
  <c r="V244" i="3"/>
  <c r="W244" i="3" s="1"/>
  <c r="V242" i="3"/>
  <c r="W242" i="3" s="1"/>
  <c r="V36" i="3"/>
  <c r="W36" i="3" s="1"/>
  <c r="V212" i="3"/>
  <c r="W212" i="3" s="1"/>
  <c r="V134" i="3"/>
  <c r="W134" i="3" s="1"/>
  <c r="V31" i="3"/>
  <c r="W31" i="3" s="1"/>
  <c r="V70" i="3"/>
  <c r="W70" i="3" s="1"/>
  <c r="V49" i="3"/>
  <c r="W49" i="3" s="1"/>
  <c r="V114" i="3"/>
  <c r="W114" i="3" s="1"/>
  <c r="V24" i="3"/>
  <c r="W24" i="3" s="1"/>
  <c r="V255" i="3"/>
  <c r="W255" i="3" s="1"/>
  <c r="V169" i="3"/>
  <c r="W169" i="3" s="1"/>
  <c r="V69" i="3"/>
  <c r="W69" i="3" s="1"/>
  <c r="V155" i="3"/>
  <c r="W155" i="3" s="1"/>
  <c r="V139" i="3"/>
  <c r="W139" i="3" s="1"/>
  <c r="V149" i="3"/>
  <c r="W149" i="3" s="1"/>
  <c r="V86" i="3"/>
  <c r="W86" i="3" s="1"/>
  <c r="V257" i="3"/>
  <c r="W257" i="3" s="1"/>
  <c r="V207" i="3"/>
  <c r="W207" i="3" s="1"/>
  <c r="V74" i="3"/>
  <c r="W74" i="3" s="1"/>
  <c r="V113" i="3"/>
  <c r="W113" i="3" s="1"/>
  <c r="V55" i="3"/>
  <c r="W55" i="3" s="1"/>
  <c r="V45" i="3"/>
  <c r="W45" i="3" s="1"/>
  <c r="V126" i="3"/>
  <c r="W126" i="3" s="1"/>
  <c r="V37" i="3"/>
  <c r="W37" i="3" s="1"/>
  <c r="V232" i="3"/>
  <c r="W232" i="3" s="1"/>
  <c r="V2" i="3"/>
  <c r="W2" i="3" s="1"/>
  <c r="V228" i="3"/>
  <c r="W228" i="3" s="1"/>
  <c r="V131" i="3"/>
  <c r="W131" i="3" s="1"/>
  <c r="V41" i="3"/>
  <c r="W41" i="3" s="1"/>
  <c r="V158" i="3"/>
  <c r="W158" i="3" s="1"/>
  <c r="V79" i="3"/>
  <c r="W79" i="3" s="1"/>
  <c r="V53" i="3"/>
  <c r="W53" i="3" s="1"/>
  <c r="V43" i="3"/>
  <c r="W43" i="3" s="1"/>
  <c r="V187" i="3"/>
  <c r="W187" i="3" s="1"/>
  <c r="V135" i="3"/>
  <c r="W135" i="3" s="1"/>
  <c r="V32" i="3"/>
  <c r="W32" i="3" s="1"/>
  <c r="V115" i="3"/>
  <c r="W115" i="3" s="1"/>
  <c r="V15" i="3"/>
  <c r="W15" i="3" s="1"/>
  <c r="V193" i="3"/>
  <c r="W193" i="3" s="1"/>
  <c r="V181" i="3"/>
  <c r="W181" i="3" s="1"/>
  <c r="V26" i="3"/>
  <c r="W26" i="3" s="1"/>
  <c r="V88" i="3"/>
  <c r="W88" i="3" s="1"/>
  <c r="V51" i="3"/>
  <c r="W51" i="3" s="1"/>
  <c r="V103" i="3"/>
  <c r="W103" i="3" s="1"/>
  <c r="V157" i="3"/>
  <c r="W157" i="3" s="1"/>
  <c r="V148" i="3"/>
  <c r="W148" i="3" s="1"/>
  <c r="V160" i="3"/>
  <c r="W160" i="3" s="1"/>
  <c r="V93" i="3"/>
  <c r="W93" i="3" s="1"/>
  <c r="V21" i="3"/>
  <c r="W21" i="3" s="1"/>
  <c r="V47" i="3"/>
  <c r="W47" i="3" s="1"/>
  <c r="V133" i="3"/>
  <c r="W133" i="3" s="1"/>
  <c r="V261" i="3"/>
  <c r="W261" i="3" s="1"/>
  <c r="V77" i="3"/>
  <c r="W77" i="3" s="1"/>
  <c r="V250" i="3"/>
  <c r="W250" i="3" s="1"/>
  <c r="V67" i="3"/>
  <c r="W67" i="3" s="1"/>
  <c r="W262" i="3" l="1"/>
  <c r="V262" i="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ThisWorkbookDataModel" description="Modèle de données"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00000000-0015-0000-FFFF-FFFF01000000}" name="WorksheetConnection_Inventaire.xlsx!TabClient" type="102" refreshedVersion="6" minRefreshableVersion="5">
    <extLst>
      <ext xmlns:x15="http://schemas.microsoft.com/office/spreadsheetml/2010/11/main" uri="{DE250136-89BD-433C-8126-D09CA5730AF9}">
        <x15:connection id="TabClient">
          <x15:rangePr sourceName="_xlcn.WorksheetConnection_Inventaire.xlsxTabClient1"/>
        </x15:connection>
      </ext>
    </extLst>
  </connection>
  <connection id="3" xr16:uid="{00000000-0015-0000-FFFF-FFFF02000000}" name="WorksheetConnection_Inventaire.xlsx!TabEnvironnement" type="102" refreshedVersion="6" minRefreshableVersion="5">
    <extLst>
      <ext xmlns:x15="http://schemas.microsoft.com/office/spreadsheetml/2010/11/main" uri="{DE250136-89BD-433C-8126-D09CA5730AF9}">
        <x15:connection id="TabEnvironnement">
          <x15:rangePr sourceName="_xlcn.WorksheetConnection_Inventaire.xlsxTabEnvironnement1"/>
        </x15:connection>
      </ext>
    </extLst>
  </connection>
  <connection id="4" xr16:uid="{00000000-0015-0000-FFFF-FFFF03000000}" name="WorksheetConnection_Inventaire.xlsx!TabProjet" type="102" refreshedVersion="6" minRefreshableVersion="5">
    <extLst>
      <ext xmlns:x15="http://schemas.microsoft.com/office/spreadsheetml/2010/11/main" uri="{DE250136-89BD-433C-8126-D09CA5730AF9}">
        <x15:connection id="TabProjet">
          <x15:rangePr sourceName="_xlcn.WorksheetConnection_Inventaire.xlsxTabProjet1"/>
        </x15:connection>
      </ext>
    </extLst>
  </connection>
  <connection id="5" xr16:uid="{00000000-0015-0000-FFFF-FFFF04000000}" name="WorksheetConnection_Inventaire.xlsx!Utiliser" type="102" refreshedVersion="6" minRefreshableVersion="5">
    <extLst>
      <ext xmlns:x15="http://schemas.microsoft.com/office/spreadsheetml/2010/11/main" uri="{DE250136-89BD-433C-8126-D09CA5730AF9}">
        <x15:connection id="Utiliser">
          <x15:rangePr sourceName="_xlcn.WorksheetConnection_Inventaire.xlsxUtiliser1"/>
        </x15:connection>
      </ext>
    </extLst>
  </connection>
</connections>
</file>

<file path=xl/sharedStrings.xml><?xml version="1.0" encoding="utf-8"?>
<sst xmlns="http://schemas.openxmlformats.org/spreadsheetml/2006/main" count="5914" uniqueCount="1408">
  <si>
    <t>Client/Projet/VM</t>
  </si>
  <si>
    <t>Commentaire</t>
  </si>
  <si>
    <t>Coût hors Licences MS</t>
  </si>
  <si>
    <t>Licences MS</t>
  </si>
  <si>
    <t>Nb VM</t>
  </si>
  <si>
    <t>MINISTERE DE L'EUROPE ET DES AFFAIRES ETRANGERES</t>
  </si>
  <si>
    <t>DEV</t>
  </si>
  <si>
    <t>GD-PSQL-MAE-005</t>
  </si>
  <si>
    <t>Mutualisé SAGAIE (multiplateformes)</t>
  </si>
  <si>
    <t>SOCLE</t>
  </si>
  <si>
    <t>GD-ARO-MAE-001</t>
  </si>
  <si>
    <t>Mutualisé MEAE
(@base) (Debian 5.0.1 / Apache 2 / Tomcat 5.5)</t>
  </si>
  <si>
    <t>GD-MEAE-IDP-001</t>
  </si>
  <si>
    <t>Mutualisé MEAE</t>
  </si>
  <si>
    <t>OBSOLETE</t>
  </si>
  <si>
    <t>GD-PSQL-MAE-003</t>
  </si>
  <si>
    <t xml:space="preserve">A éteindre dans un futur proche
PGSQL non SSL
…. QUID utilisation rendez-vous ?
</t>
  </si>
  <si>
    <t>DEV_RUN</t>
  </si>
  <si>
    <t>GD-HOR5-MAE-006</t>
  </si>
  <si>
    <t>v 4.6</t>
  </si>
  <si>
    <t>DEV_BUILD</t>
  </si>
  <si>
    <t>GD-HOR5-MAE-007</t>
  </si>
  <si>
    <t>v 4.7</t>
  </si>
  <si>
    <t>GD-HOR5-MAE-010</t>
  </si>
  <si>
    <t>(vide)</t>
  </si>
  <si>
    <t>QUAL_RUN</t>
  </si>
  <si>
    <t>GD-HOR5-MAE-008</t>
  </si>
  <si>
    <t>QUAL_BUILD</t>
  </si>
  <si>
    <t>GD-HOR5-MAE-009</t>
  </si>
  <si>
    <t>GD-HOR5-MAE-011</t>
  </si>
  <si>
    <t>PROD</t>
  </si>
  <si>
    <t>MS-PHP-GFI-006</t>
  </si>
  <si>
    <t>GD-MAIL-MAE-001</t>
  </si>
  <si>
    <t xml:space="preserve">
Environnement PostgreSQL à priori utilisé selon Jérôme</t>
  </si>
  <si>
    <t>GD-W7-VISM-001</t>
  </si>
  <si>
    <t>Environnement Windows Vismail
Windows 7</t>
  </si>
  <si>
    <t>GD-ECHC-MAE-004</t>
  </si>
  <si>
    <t>GD-ECHC-MAE-001-NEW</t>
  </si>
  <si>
    <t>Environnement C++ (services d’échange) (dev/qualification)
Windows Server 2003 R2 SP2</t>
  </si>
  <si>
    <t>GD-ECHC-MAE-003</t>
  </si>
  <si>
    <t>Environnement C++ (services d’échange) (dev/qualification)
Windows Server 2008 R2 SP1</t>
  </si>
  <si>
    <t>GD-ECHP-MAE-001</t>
  </si>
  <si>
    <t>GO-JENKINS-001</t>
  </si>
  <si>
    <t>Environnement PIC pour VISMAIL</t>
  </si>
  <si>
    <t>GO-NEXUS-001</t>
  </si>
  <si>
    <t>VMFV France-Visas</t>
  </si>
  <si>
    <t>GO-SVN-001</t>
  </si>
  <si>
    <t>Environnement de gestion des sources pour VISA</t>
  </si>
  <si>
    <t>Pic MEAE Supervisa VISMAIL</t>
  </si>
  <si>
    <t>sources VISMAILWEB</t>
  </si>
  <si>
    <t>GD-SQL-MEAE-003</t>
  </si>
  <si>
    <t>MEAE VISA - Nouvelle VM SQL Standard</t>
  </si>
  <si>
    <t>QUAL</t>
  </si>
  <si>
    <t>GD-A3-MAE-002</t>
  </si>
  <si>
    <t>Environnement A3 (Qualification)
Debian 5.1 / Apache 2 / Tomcat 5.5</t>
  </si>
  <si>
    <t>GD-A3-MAE-003</t>
  </si>
  <si>
    <t>Environnement A3 (Qualification)
Debian 8.1 / Apache 2 / Tomcat 8</t>
  </si>
  <si>
    <t>GD-HOR-MAE-001</t>
  </si>
  <si>
    <t>Environnement Hornet (Qualification)</t>
  </si>
  <si>
    <t>MS-PHP-GFI-004</t>
  </si>
  <si>
    <t>Attention, il y a le Wikicsr !!! Et le WikiMacif pour Niort</t>
  </si>
  <si>
    <t>ARRET</t>
  </si>
  <si>
    <t>GO-PORTAIL-001</t>
  </si>
  <si>
    <t>Extinction longue au cas où Vivesco en aurait besoin</t>
  </si>
  <si>
    <t>ADEME</t>
  </si>
  <si>
    <t>TMA</t>
  </si>
  <si>
    <t>GD-ORA-001</t>
  </si>
  <si>
    <t>CAT'HELIUM VIVESCO</t>
  </si>
  <si>
    <t>GD-MYS-002-2</t>
  </si>
  <si>
    <t>GO-GIT-001</t>
  </si>
  <si>
    <t>A CONFIRMER</t>
  </si>
  <si>
    <t>A archiver si Vivesco migre vers le delivery</t>
  </si>
  <si>
    <t>GQ-MYS-002</t>
  </si>
  <si>
    <t>GQ-PHP-ATMP-001</t>
  </si>
  <si>
    <t>GQ-SFTP-ATMP-001</t>
  </si>
  <si>
    <t>RECETTE</t>
  </si>
  <si>
    <t>MW-SFTP-001</t>
  </si>
  <si>
    <t>MS-MYS-002</t>
  </si>
  <si>
    <t>MS-PHP-GFI-007</t>
  </si>
  <si>
    <t>GQ-DOCKER-002</t>
  </si>
  <si>
    <t>GQ-DOCKER-003</t>
  </si>
  <si>
    <t>GQ-DOCKER-004_2</t>
  </si>
  <si>
    <t>MP-DCK-NEXUS-001_2</t>
  </si>
  <si>
    <t>MP-DCK-TRFK-001</t>
  </si>
  <si>
    <t>MP-DCK-TRFK-002</t>
  </si>
  <si>
    <t>MP-GLPI-FIRM-001</t>
  </si>
  <si>
    <t>MP-MAIL-006</t>
  </si>
  <si>
    <t>MP-MYS-006</t>
  </si>
  <si>
    <t>MP-REBOND-001</t>
  </si>
  <si>
    <t>MP-WDP-ROBO-002</t>
  </si>
  <si>
    <t>MP-CENTREON-002_2</t>
  </si>
  <si>
    <t>MP-DOCKER-003</t>
  </si>
  <si>
    <t>MP-DOCKER-004</t>
  </si>
  <si>
    <t>MP-DOCKER-005</t>
  </si>
  <si>
    <t>MP-DOCKER-007</t>
  </si>
  <si>
    <t>MP-MYS-FRR-001</t>
  </si>
  <si>
    <t>MP-PHP-FRR-001</t>
  </si>
  <si>
    <t>MW-MAIL-004</t>
  </si>
  <si>
    <t>MW-PROXYHTTP-004</t>
  </si>
  <si>
    <t>VLAN_10.20.66.0/254</t>
  </si>
  <si>
    <t>VLAN_10.20.80.0/254</t>
  </si>
  <si>
    <t>VLAN_10.20.81.0/254</t>
  </si>
  <si>
    <t>VLAN_10.20.82.0/254</t>
  </si>
  <si>
    <t>VLAN_10.20.83.0/254</t>
  </si>
  <si>
    <t>VLAN_10.20.84.0/254</t>
  </si>
  <si>
    <t>VLAN_10.20.85.0/254</t>
  </si>
  <si>
    <t>VLAN_10.20.86.0/254</t>
  </si>
  <si>
    <t>VLAN_10.20.87.0/254</t>
  </si>
  <si>
    <t>VLAN_10.20.88.0/254</t>
  </si>
  <si>
    <t>VLAN_10.20.89.0/254</t>
  </si>
  <si>
    <t>VLAN_10.20.90.0/254</t>
  </si>
  <si>
    <t>VLAN_10.20.91.0/254</t>
  </si>
  <si>
    <t>VLAN_10.20.92.0/254</t>
  </si>
  <si>
    <t>VLAN_10.20.93.0/254</t>
  </si>
  <si>
    <t>DNS_gfisocialrobotics.com</t>
  </si>
  <si>
    <t>DNS_labsocialrobotics.com</t>
  </si>
  <si>
    <t>DNS_labsocialrobotics.fr</t>
  </si>
  <si>
    <t>DNS_socialrobotics.fr</t>
  </si>
  <si>
    <t>DNS_socialroboticslab.com</t>
  </si>
  <si>
    <t>DNS_socialroboticslab.fr</t>
  </si>
  <si>
    <t>DNS_sroboticsp.com</t>
  </si>
  <si>
    <t>Cert_*.gfisocialrobotics.com</t>
  </si>
  <si>
    <t>Cert_*.sroboticsp.com</t>
  </si>
  <si>
    <t>MP-DOCKER-022</t>
  </si>
  <si>
    <t>PREPROD</t>
  </si>
  <si>
    <t>MP-DOCKER-001</t>
  </si>
  <si>
    <t>MP-DOCKER-002</t>
  </si>
  <si>
    <t>MP-DOCKER-006</t>
  </si>
  <si>
    <t>MP-DOCKER-008</t>
  </si>
  <si>
    <t>MP-DOCKER-009</t>
  </si>
  <si>
    <t>MP-DOCKER-010</t>
  </si>
  <si>
    <t>MP-DOCKER-011</t>
  </si>
  <si>
    <t>MP-DOCKER-012</t>
  </si>
  <si>
    <t>MP-DOCKER-015</t>
  </si>
  <si>
    <t>MP-DOCKER-017</t>
  </si>
  <si>
    <t>MP-MAIL-003</t>
  </si>
  <si>
    <t>MP-PHP-ROBO-007</t>
  </si>
  <si>
    <t>MP-PHP-ROBO-020</t>
  </si>
  <si>
    <t>MW-PROXYHTTP-003</t>
  </si>
  <si>
    <t>VLAN_10.20.64.0/254</t>
  </si>
  <si>
    <t>VLAN_10.20.65.0/254</t>
  </si>
  <si>
    <t>DNS_sroboticsd.com</t>
  </si>
  <si>
    <t>Cert_*.sroboticsd.com</t>
  </si>
  <si>
    <t>MP-DOCKER-018</t>
  </si>
  <si>
    <t>MP-DOCKER-014</t>
  </si>
  <si>
    <t>MP-DOCKER-019</t>
  </si>
  <si>
    <t>MP-DOCKER-020</t>
  </si>
  <si>
    <t>MP-DOCKER-021</t>
  </si>
  <si>
    <t>FRORDVAP049</t>
  </si>
  <si>
    <t>GFI-Oceanet Infra Réseau - GFI Oceanet Infra Réseau - Jérôme JACOB</t>
  </si>
  <si>
    <t>GA-CENTREON-001</t>
  </si>
  <si>
    <t>GA-DNS172-001</t>
  </si>
  <si>
    <t>GA-DNSLDAP-001</t>
  </si>
  <si>
    <t>GA-SECOURS-001</t>
  </si>
  <si>
    <t>GO-MAIL-001</t>
  </si>
  <si>
    <t>Mutualisé ASCO</t>
  </si>
  <si>
    <t>GO-PROXYHTTP-001</t>
  </si>
  <si>
    <t>MA-DNS172-001</t>
  </si>
  <si>
    <t>MA-DNSLDAP-001</t>
  </si>
  <si>
    <t>MS-DNS-001</t>
  </si>
  <si>
    <t>MS-MAIL-001</t>
  </si>
  <si>
    <t>MS-MYS-001</t>
  </si>
  <si>
    <t>MS-TLK-001</t>
  </si>
  <si>
    <t>MW-FTP-001</t>
  </si>
  <si>
    <t>MW-OPENVPN-001</t>
  </si>
  <si>
    <t>MW-PROXYHTTP-001</t>
  </si>
  <si>
    <t>FRORDVAD002</t>
  </si>
  <si>
    <t>FRORDVAP006</t>
  </si>
  <si>
    <t>FRORDVSV001</t>
  </si>
  <si>
    <t>FRORDVUS001</t>
  </si>
  <si>
    <t>VLAN_10.20.20.0/254</t>
  </si>
  <si>
    <t>VLAN_10.20.21.0/254</t>
  </si>
  <si>
    <t>VLAN_10.20.22.0/254</t>
  </si>
  <si>
    <t>VLAN_10.20.23.0/254</t>
  </si>
  <si>
    <t>VLAN_10.20.32.0/254</t>
  </si>
  <si>
    <t>VLAN_10.20.33.0/254</t>
  </si>
  <si>
    <t>VLAN_10.20.34.0/254</t>
  </si>
  <si>
    <t>VLAN_10.20.35.0/254</t>
  </si>
  <si>
    <t>VLAN_10.20.41.0/254</t>
  </si>
  <si>
    <t>VLAN_10.20.94.0/254</t>
  </si>
  <si>
    <t>DNS_asogfi.fr</t>
  </si>
  <si>
    <t>FRORDVIM001</t>
  </si>
  <si>
    <t>FRORDVAP043</t>
  </si>
  <si>
    <t>MO-GITLAB-001</t>
  </si>
  <si>
    <t>VLAN_10.20.37.0/254</t>
  </si>
  <si>
    <t>FRORLVAP009</t>
  </si>
  <si>
    <t>GQ-JTB-LICS-001</t>
  </si>
  <si>
    <t>MS-DCK-PCE-001</t>
  </si>
  <si>
    <t>MS-PHP-GFI-005</t>
  </si>
  <si>
    <t>MS-RBY-GFI-001</t>
  </si>
  <si>
    <t>W3XXV4598</t>
  </si>
  <si>
    <t>AS24</t>
  </si>
  <si>
    <t>FRR</t>
  </si>
  <si>
    <t>FRORDVAP032</t>
  </si>
  <si>
    <t>FRORDVDB014</t>
  </si>
  <si>
    <t>W3XXV45103</t>
  </si>
  <si>
    <t>FRORLVAP006</t>
  </si>
  <si>
    <t>BRGM</t>
  </si>
  <si>
    <t>FRORDVAP003</t>
  </si>
  <si>
    <t>FRORDVAP007</t>
  </si>
  <si>
    <t>ONEMA</t>
  </si>
  <si>
    <t>FRORDVAP014</t>
  </si>
  <si>
    <t>FRORDVAP039</t>
  </si>
  <si>
    <t>MS-PHP-AFB-001</t>
  </si>
  <si>
    <t>FRORDVAP048</t>
  </si>
  <si>
    <t>FRORDVAP040</t>
  </si>
  <si>
    <t>MS-DCK-CDR-001</t>
  </si>
  <si>
    <t>MS-DCK-CDR-002</t>
  </si>
  <si>
    <t>CA-TITRES</t>
  </si>
  <si>
    <t>FRORDVAP020</t>
  </si>
  <si>
    <t>HEBERG-EDI</t>
  </si>
  <si>
    <t>GD-EDI-001</t>
  </si>
  <si>
    <t>GD-EDI-002</t>
  </si>
  <si>
    <t>VLAN_10.20.19.0/254</t>
  </si>
  <si>
    <t>MP-EDI-004</t>
  </si>
  <si>
    <t>MP-EDI-005</t>
  </si>
  <si>
    <t>MP-MAIL-001</t>
  </si>
  <si>
    <t>MW-PHP-EDI-001</t>
  </si>
  <si>
    <t>VLAN_10.20.40.0/254</t>
  </si>
  <si>
    <t>VLAN_10.20.42.0/254</t>
  </si>
  <si>
    <t>Astreinte_24_24_7_7_MP-EDI-004</t>
  </si>
  <si>
    <t>Astreinte_24_24_7_7_MP-EDI-005</t>
  </si>
  <si>
    <t>Astreinte_24_24_7_7_MP-MAIL-001</t>
  </si>
  <si>
    <t>Astreinte_24_24_7_7_MW-PHP-EDI-001</t>
  </si>
  <si>
    <t>GFI</t>
  </si>
  <si>
    <t>GD-ANSIBLE-001</t>
  </si>
  <si>
    <t>MS-AUT-GFI-001</t>
  </si>
  <si>
    <t>MS-PHP-GFI-001</t>
  </si>
  <si>
    <t>DEBIAN-9.4.0-v04</t>
  </si>
  <si>
    <t>TPL-W2012R2-001</t>
  </si>
  <si>
    <t>DEBIAN-10.0</t>
  </si>
  <si>
    <t>GQ-PHP-GFI-004</t>
  </si>
  <si>
    <t>GO-ADMCLOUD-001</t>
  </si>
  <si>
    <t>GO-W7-VCLD-002</t>
  </si>
  <si>
    <t>GQ-MYS-MP-001</t>
  </si>
  <si>
    <t>GQ-PHP-MP-001</t>
  </si>
  <si>
    <t>GQ-WEB-MP-001</t>
  </si>
  <si>
    <t>GQ-WEB-WESPEC-001</t>
  </si>
  <si>
    <t>MS-EVRDAY-001</t>
  </si>
  <si>
    <t>RECIA</t>
  </si>
  <si>
    <t>MENESR</t>
  </si>
  <si>
    <t>FRORDVAP024</t>
  </si>
  <si>
    <t>FRORDVDB016</t>
  </si>
  <si>
    <t>GFI-NIORT</t>
  </si>
  <si>
    <t>GD-JAV-MBUS-001</t>
  </si>
  <si>
    <t>GD-JAV-MBUS-002</t>
  </si>
  <si>
    <t>GD-JAV-MBUS-003</t>
  </si>
  <si>
    <t>GD-PYT-NIORT-001</t>
  </si>
  <si>
    <t>IT-CE</t>
  </si>
  <si>
    <t>FRORDVAP001</t>
  </si>
  <si>
    <t>FRORLVDB006</t>
  </si>
  <si>
    <t>W3XXD4504</t>
  </si>
  <si>
    <t>LA POSTE</t>
  </si>
  <si>
    <t>GQ-WEB-SIBP-001</t>
  </si>
  <si>
    <t>MACIF</t>
  </si>
  <si>
    <t>STMICRO</t>
  </si>
  <si>
    <t>FRORDVAP047</t>
  </si>
  <si>
    <t>FRORDVDB018</t>
  </si>
  <si>
    <t>FRORDVAP045</t>
  </si>
  <si>
    <t>FRORLVAP005</t>
  </si>
  <si>
    <t>Total général</t>
  </si>
  <si>
    <t>Projets</t>
  </si>
  <si>
    <t>Nb VMs</t>
  </si>
  <si>
    <t>RAM active</t>
  </si>
  <si>
    <t>Nb Go Disque</t>
  </si>
  <si>
    <t>Total</t>
  </si>
  <si>
    <t>CostCenter</t>
  </si>
  <si>
    <t>Fablab</t>
  </si>
  <si>
    <t>CostCenterDI</t>
  </si>
  <si>
    <t>341530-EDI</t>
  </si>
  <si>
    <t>VM</t>
  </si>
  <si>
    <t>Mutualisé</t>
  </si>
  <si>
    <t>EnvProjet</t>
  </si>
  <si>
    <t>NbCoreVMPourLicenceSQLPerCore</t>
  </si>
  <si>
    <t>NbUtilCalTse</t>
  </si>
  <si>
    <t>TypeLicenceSQLServer</t>
  </si>
  <si>
    <t>NbUtilCalSql</t>
  </si>
  <si>
    <t>IsVMDiviseMutual</t>
  </si>
  <si>
    <t>IsVMPoweredOn</t>
  </si>
  <si>
    <t>RamActiveDiviseMutual</t>
  </si>
  <si>
    <t>DisqueDiviseMutual</t>
  </si>
  <si>
    <t>IsWindows</t>
  </si>
  <si>
    <t>CoutLicenceMS</t>
  </si>
  <si>
    <t>SYGES</t>
  </si>
  <si>
    <t>Client</t>
  </si>
  <si>
    <t>Statut_VM_Exists</t>
  </si>
  <si>
    <t>CoutGlobal</t>
  </si>
  <si>
    <t>Projet</t>
  </si>
  <si>
    <t>CP</t>
  </si>
  <si>
    <t>Environnement</t>
  </si>
  <si>
    <t>EDI-MUT-EDI-MUT .:. PROD</t>
  </si>
  <si>
    <t>Fablab-Firmin .:. PROD</t>
  </si>
  <si>
    <t>Fablab-Firmin .:. PREPROD</t>
  </si>
  <si>
    <t>GFI-Oceanet Infra Modèles .:. SOCLE</t>
  </si>
  <si>
    <t>GFI-Oceanet Infra Réseau .:. SOCLE</t>
  </si>
  <si>
    <t>Fablab-Firmin .:. SOCLE</t>
  </si>
  <si>
    <t>IT-CE-TMA .:. TMA</t>
  </si>
  <si>
    <t>BRGM-BDLISA .:. DEV</t>
  </si>
  <si>
    <t>BRGM-BNPE .:. DEV</t>
  </si>
  <si>
    <t>AFB-ASPE .:. TMA</t>
  </si>
  <si>
    <t>AFB-CARHYCE .:. TMA</t>
  </si>
  <si>
    <t>AFB-GEOBS .:. TMA</t>
  </si>
  <si>
    <t>AFB-ONDE .:. TMA</t>
  </si>
  <si>
    <t>AFB-RNT .:. TMA</t>
  </si>
  <si>
    <t>CA-TITRES-CRR .:. DEV</t>
  </si>
  <si>
    <t>Licence CAL SQL Standard par utilisateur en location</t>
  </si>
  <si>
    <t>CA-TITRES-COGNOS .:. DEV</t>
  </si>
  <si>
    <t>MENESR-APAE .:. RECETTE</t>
  </si>
  <si>
    <t>ONEMA-OPALE .:. RECETTE</t>
  </si>
  <si>
    <t>BRGM-DEGATS-MINERS .:. RECETTE</t>
  </si>
  <si>
    <t>FRR-CADENCIER .:. RECETTE</t>
  </si>
  <si>
    <t>AFB-OISON .:. RECETTE</t>
  </si>
  <si>
    <t>MENESR-BNIE .:. RECETTE</t>
  </si>
  <si>
    <t>AFB-Patbiodiv .:. RECETTE</t>
  </si>
  <si>
    <t>AFB-SISPEA .:. RECETTE</t>
  </si>
  <si>
    <t>AFB-BASEINDICATEURS .:. RECETTE</t>
  </si>
  <si>
    <t>AFB-CATALOGUEINDICATEURS .:. RECETTE</t>
  </si>
  <si>
    <t>AFB-SIFLORE .:. RECETTE</t>
  </si>
  <si>
    <t>MENESR-INES .:. RECETTE</t>
  </si>
  <si>
    <t>AFB-ENQUETEDEAU .:. RECETTE</t>
  </si>
  <si>
    <t>ONEMA-ASPE .:. DEV</t>
  </si>
  <si>
    <t>GFI-GFICOFFEE .:. DEV</t>
  </si>
  <si>
    <t>STMICRO-RUN2RUN .:. DEV</t>
  </si>
  <si>
    <t>STMICRO-STARK .:. DEV</t>
  </si>
  <si>
    <t>Gest'ea / OUGC-Gest'ea / OUGC .:. DEV</t>
  </si>
  <si>
    <t>FRR-APPLIFRR .:. DEV</t>
  </si>
  <si>
    <t>FRR-TCPOS .:. DEV</t>
  </si>
  <si>
    <t>MENESR-RNIE .:. DEV</t>
  </si>
  <si>
    <t>FRR-Patapain .:. RECETTE</t>
  </si>
  <si>
    <t>GFI-Oceanet Orléans PIC .:. QUAL_BUILD</t>
  </si>
  <si>
    <t>MEAE-Visa .:. QUAL</t>
  </si>
  <si>
    <t>DIG-Perform .:. SOCLE</t>
  </si>
  <si>
    <t>MEAE-SAGAIE TMA .:. SOCLE</t>
  </si>
  <si>
    <t>MEAE-Visa .:. SOCLE</t>
  </si>
  <si>
    <t>MEAE-Visa .:. DEV</t>
  </si>
  <si>
    <t>MEAE-SAGAIE TMA .:. DEV_RUN</t>
  </si>
  <si>
    <t>MEAE-SAGAIE TMA .:. DEV_BUILD</t>
  </si>
  <si>
    <t>MEAE-SAGAIE TMA .:. QUAL_RUN</t>
  </si>
  <si>
    <t>MEAE-SAGAIE TMA .:. QUAL_BUILD</t>
  </si>
  <si>
    <t>GFI-MY BUSINESS .:. DEV</t>
  </si>
  <si>
    <t>GFI-MY BUSINESS .:. QUAL</t>
  </si>
  <si>
    <t>GFI-MY BUSINESS .:. PROD</t>
  </si>
  <si>
    <t>Vivesco-Vives-taux .:. DEV</t>
  </si>
  <si>
    <t>ADEME-SAGA .:. TMA</t>
  </si>
  <si>
    <t>MEAE-SAGAIE TMA .:. OBSOLETE</t>
  </si>
  <si>
    <t>MEAE-SAGAIE TMA .:. DEV</t>
  </si>
  <si>
    <t>GFI-Outil de notification automatique Jira (Niort) .:. PROD</t>
  </si>
  <si>
    <t>GFI-Oceanet Gestion VM .:. PROD</t>
  </si>
  <si>
    <t>Vivesco-Vives-taux .:. QUAL</t>
  </si>
  <si>
    <t>MEAE-Visa .:. ARRET</t>
  </si>
  <si>
    <t>ADEME-SINOE .:. TMA</t>
  </si>
  <si>
    <t>GFI-Jetbrain serveur licence .:. PROD</t>
  </si>
  <si>
    <t>GFI-Oceanet Gestion VM .:. QUAL_RUN</t>
  </si>
  <si>
    <t>GFI-MARCO POLO .:. DEV_BUILD</t>
  </si>
  <si>
    <t>GFI-MARCO POLO .:. PROD</t>
  </si>
  <si>
    <t>LA POSTE-SIBP .:. QUAL_RUN</t>
  </si>
  <si>
    <t>GFI-WE SPEC .:. QUAL</t>
  </si>
  <si>
    <t>GFI-GitLab Orléans .:. PROD</t>
  </si>
  <si>
    <t>Vivesco-Vives-taux .:. RECETTE</t>
  </si>
  <si>
    <t>GFI-Linkus .:. PROD</t>
  </si>
  <si>
    <t>ONEMA-CDR - TMA WEB .:. TMA</t>
  </si>
  <si>
    <t>GIP RECIA-Plateformes CLOUD / Edition .:. DEV</t>
  </si>
  <si>
    <t>GFI-EveryDaily .:. QUAL_BUILD</t>
  </si>
  <si>
    <t>GIE S-V-Mantis - RR .:. PROD</t>
  </si>
  <si>
    <t>MEAE-Visa .:. OBSOLETE</t>
  </si>
  <si>
    <t>MACIF-Transverse .:. SOCLE</t>
  </si>
  <si>
    <t>GFI-Redmine Niort .:. PROD</t>
  </si>
  <si>
    <t>MEAE-Redmine MEAE .:. PROD</t>
  </si>
  <si>
    <t>GFI-Redmine Orléans .:. PROD</t>
  </si>
  <si>
    <t>PRIZER-TMA .:. TMA</t>
  </si>
  <si>
    <t>VM_name</t>
  </si>
  <si>
    <t>VM_cpu</t>
  </si>
  <si>
    <t>VM_mem</t>
  </si>
  <si>
    <t>VM_disk</t>
  </si>
  <si>
    <t>VM_GuestId</t>
  </si>
  <si>
    <t>Nb_article</t>
  </si>
  <si>
    <t>VM_host</t>
  </si>
  <si>
    <t>VM_datastoreID</t>
  </si>
  <si>
    <t>VM_status</t>
  </si>
  <si>
    <t>Service</t>
  </si>
  <si>
    <t>Entite</t>
  </si>
  <si>
    <t>Astreinte</t>
  </si>
  <si>
    <t>Backup</t>
  </si>
  <si>
    <t>Type</t>
  </si>
  <si>
    <t>Type_tarif</t>
  </si>
  <si>
    <t>isAffecteProjet</t>
  </si>
  <si>
    <t>isCalcVlan</t>
  </si>
  <si>
    <t>CalcVlan</t>
  </si>
  <si>
    <t>isCalcIpPub</t>
  </si>
  <si>
    <t>CalcIpPub</t>
  </si>
  <si>
    <t>isCalcDns</t>
  </si>
  <si>
    <t>CalcDns</t>
  </si>
  <si>
    <t>isCalcCertSimple</t>
  </si>
  <si>
    <t>CalcCertSimple</t>
  </si>
  <si>
    <t>isCalcCertWild</t>
  </si>
  <si>
    <t>CalcCertWild</t>
  </si>
  <si>
    <t>isCalcAstreinte247</t>
  </si>
  <si>
    <t>CalcAstreinte247</t>
  </si>
  <si>
    <t>IsCalcMem</t>
  </si>
  <si>
    <t>CalcCoutMem</t>
  </si>
  <si>
    <t>TypeBAK</t>
  </si>
  <si>
    <t>CalcCoutBAK</t>
  </si>
  <si>
    <t>CalcCoutDD</t>
  </si>
  <si>
    <t>EDI-MUT</t>
  </si>
  <si>
    <t>Astreinte_24_24_7_7</t>
  </si>
  <si>
    <t>Tarif_Astreinte_24_24_7_7</t>
  </si>
  <si>
    <t>FabLab</t>
  </si>
  <si>
    <t>Tarif_Certificat_X509_Wildcard</t>
  </si>
  <si>
    <t>DI</t>
  </si>
  <si>
    <t>Tarif_Certificat_X509_Simple</t>
  </si>
  <si>
    <t>Sans_astreinte</t>
  </si>
  <si>
    <t>BKP_SIMPLIVITY_GFI_10006791_H1_Ve</t>
  </si>
  <si>
    <t>DEDIE_SIMPLIVITY</t>
  </si>
  <si>
    <t>Tarif_VM</t>
  </si>
  <si>
    <t>Freehand</t>
  </si>
  <si>
    <t>Datastore-datastore-26</t>
  </si>
  <si>
    <t>Tarif_DNS</t>
  </si>
  <si>
    <t>BKP_SIMPLIVITY_GFI_10006791_J15</t>
  </si>
  <si>
    <t>windows8Server64Guest</t>
  </si>
  <si>
    <t>PoweredOn</t>
  </si>
  <si>
    <t>BKP_SIMPLIVITY_GFI_10006791_J15_3</t>
  </si>
  <si>
    <t>winNetStandardGuest</t>
  </si>
  <si>
    <t>gfi-ht-ara-spl-cl1-03.pulsation.fr</t>
  </si>
  <si>
    <t>centos64Guest</t>
  </si>
  <si>
    <t>debian7_64Guest</t>
  </si>
  <si>
    <t>rhel7_64Guest</t>
  </si>
  <si>
    <t>ubuntu64Guest</t>
  </si>
  <si>
    <t>rhel6_64Guest</t>
  </si>
  <si>
    <t>centos6_64Guest</t>
  </si>
  <si>
    <t>centos7_64Guest</t>
  </si>
  <si>
    <t>BKP_SIMPLIVITY_GFI_10006791_J15_2</t>
  </si>
  <si>
    <t>otherLinux64Guest</t>
  </si>
  <si>
    <t>windows7Server64Guest</t>
  </si>
  <si>
    <t>debian5_64Guest</t>
  </si>
  <si>
    <t>debian5Guest</t>
  </si>
  <si>
    <t>other3xLinux64Guest</t>
  </si>
  <si>
    <t>PoweredOff</t>
  </si>
  <si>
    <t>winNetEnterpriseGuest</t>
  </si>
  <si>
    <t>24x7</t>
  </si>
  <si>
    <t>debian6Guest</t>
  </si>
  <si>
    <t>debian8_64Guest</t>
  </si>
  <si>
    <t>windows7_64Guest</t>
  </si>
  <si>
    <t>Tarif_IPPUB</t>
  </si>
  <si>
    <t>debian6_64Guest</t>
  </si>
  <si>
    <t>BKP_SIMPLIVITY_GFI_10006791_HOR368</t>
  </si>
  <si>
    <t>Tarif_VLAN</t>
  </si>
  <si>
    <t>winNetEnterprise64Guest</t>
  </si>
  <si>
    <t>IP publique</t>
  </si>
  <si>
    <t>Espace</t>
  </si>
  <si>
    <t>CoutHT</t>
  </si>
  <si>
    <t>80.74.76.142</t>
  </si>
  <si>
    <t>80.74.76.143</t>
  </si>
  <si>
    <t>80.74.76.29</t>
  </si>
  <si>
    <t>80.74.76.208</t>
  </si>
  <si>
    <t>80.74.76.113</t>
  </si>
  <si>
    <t>80.74.76.182</t>
  </si>
  <si>
    <t>80.74.76.159</t>
  </si>
  <si>
    <t>80.74.76.160</t>
  </si>
  <si>
    <t>Nom</t>
  </si>
  <si>
    <t>ID VLAN</t>
  </si>
  <si>
    <t>CIDR</t>
  </si>
  <si>
    <t>Commentaire GFI</t>
  </si>
  <si>
    <t>Statut</t>
  </si>
  <si>
    <t>Liaison de port</t>
  </si>
  <si>
    <t>Profil de protocole réseau</t>
  </si>
  <si>
    <t>Ports</t>
  </si>
  <si>
    <t>dvpg-mgt</t>
  </si>
  <si>
    <t>Accès VLAN : 0</t>
  </si>
  <si>
    <t>???</t>
  </si>
  <si>
    <t>VLAN technique pour l'équipe réseau Oceanet ?</t>
  </si>
  <si>
    <t>Normale</t>
  </si>
  <si>
    <t>Liaison statique (élastique)</t>
  </si>
  <si>
    <t>dvpg-GFI-10006791-VLAN-100-1025</t>
  </si>
  <si>
    <t>Accès VLAN : 1025</t>
  </si>
  <si>
    <t>10.20.100.0/254</t>
  </si>
  <si>
    <t>Aucun</t>
  </si>
  <si>
    <t>Inutilisé pour le moment, aucune règle FW</t>
  </si>
  <si>
    <t>dvpg-GFI-10006791-VLAN-101-1026</t>
  </si>
  <si>
    <t>Accès VLAN : 1026</t>
  </si>
  <si>
    <t>10.20.101.0/254</t>
  </si>
  <si>
    <t>dvpg-GFI-10006791-VLAN-102-1027</t>
  </si>
  <si>
    <t>Accès VLAN : 1027</t>
  </si>
  <si>
    <t>10.20.102.0/254</t>
  </si>
  <si>
    <t>dvpg-GFI-10006791-RES-MODEL-18-554</t>
  </si>
  <si>
    <t>Accès VLAN : 554</t>
  </si>
  <si>
    <t>10.20.18.0/254</t>
  </si>
  <si>
    <t>DI Centre Ouest</t>
  </si>
  <si>
    <t>dvpg-GFI-10006791-RES-VMCLIENT-19-555</t>
  </si>
  <si>
    <t>Accès VLAN : 555</t>
  </si>
  <si>
    <t>10.20.19.0/254</t>
  </si>
  <si>
    <t>dvpg-GFI-10006791-RES-DEV-20-551</t>
  </si>
  <si>
    <t>Accès VLAN : 551</t>
  </si>
  <si>
    <t>10.20.20.0/254</t>
  </si>
  <si>
    <t>dvpg-GFI-10006791-RES-OUTILS-21-550</t>
  </si>
  <si>
    <t>Accès VLAN : 550</t>
  </si>
  <si>
    <t>10.20.21.0/254</t>
  </si>
  <si>
    <t>dvpg-GFI-10006791-RES-QUALIF-22-552</t>
  </si>
  <si>
    <t>Accès VLAN : 552</t>
  </si>
  <si>
    <t>10.20.22.0/254</t>
  </si>
  <si>
    <t>dvpg-GFI-10006791-RES-ADMIN-23-553</t>
  </si>
  <si>
    <t>Accès VLAN : 553</t>
  </si>
  <si>
    <t>10.20.23.0/254</t>
  </si>
  <si>
    <t>dvpg-GFI-10006791-RES-DEV-30-557</t>
  </si>
  <si>
    <t>Accès VLAN : 557</t>
  </si>
  <si>
    <t>10.20.30.0/254</t>
  </si>
  <si>
    <t>dvpg-GFI-10006791-RES-OUTILS-31-556</t>
  </si>
  <si>
    <t>Accès VLAN : 556</t>
  </si>
  <si>
    <t>10.20.31.0/254</t>
  </si>
  <si>
    <t>dvpg-GFI-10006791-RES-QUALIF-32-558</t>
  </si>
  <si>
    <t>Accès VLAN : 558</t>
  </si>
  <si>
    <t>10.20.32.0/254</t>
  </si>
  <si>
    <t>dvpg-GFI-10006791-RES-ADMIN-33-559</t>
  </si>
  <si>
    <t>Accès VLAN : 559</t>
  </si>
  <si>
    <t>10.20.33.0/254</t>
  </si>
  <si>
    <t>dvpg-GFI-10006791-RES-PROTOPUB-34-560</t>
  </si>
  <si>
    <t>Accès VLAN : 560</t>
  </si>
  <si>
    <t>10.20.34.0/254</t>
  </si>
  <si>
    <t>dvpg-GFI-10006791-RES-PROTOPRIV-35-561</t>
  </si>
  <si>
    <t>Accès VLAN : 561</t>
  </si>
  <si>
    <t>10.20.35.0/254</t>
  </si>
  <si>
    <t>dvpg-GFI-10006791-QUALIF-36-MAE-624</t>
  </si>
  <si>
    <t>Accès VLAN : 624</t>
  </si>
  <si>
    <t>10.20.36.0/254</t>
  </si>
  <si>
    <t>dvpg-GFI-10006791-OUTILS-37-625</t>
  </si>
  <si>
    <t>Accès VLAN : 625</t>
  </si>
  <si>
    <t>10.20.37.0/254</t>
  </si>
  <si>
    <t>dvpg-GFI-10006791-RES-PRODEDI-40-562</t>
  </si>
  <si>
    <t>Accès VLAN : 562</t>
  </si>
  <si>
    <t>10.20.40.0/254</t>
  </si>
  <si>
    <t>dvpg-GFI-10006791-RES-NAGIOS-41-622</t>
  </si>
  <si>
    <t>Accès VLAN : 622</t>
  </si>
  <si>
    <t>10.20.41.0/254</t>
  </si>
  <si>
    <t>Je ne l'avais pas comptabilisé à l'époque, car utilisé par un serveur Nagios dont nous n'avons pas l'administration</t>
  </si>
  <si>
    <t>dvpg-GFI-10006791-RES-PRODEDI-910</t>
  </si>
  <si>
    <t>Accès VLAN : 910</t>
  </si>
  <si>
    <t>10.20.42.0/254</t>
  </si>
  <si>
    <t>dvpg-GFI-10006791-VIVESCO-44-638</t>
  </si>
  <si>
    <t>Accès VLAN : 638</t>
  </si>
  <si>
    <t>10.20.44.0/254</t>
  </si>
  <si>
    <t>dvpg-GFI-10006791-VIVESCO-45-639</t>
  </si>
  <si>
    <t>Accès VLAN : 639</t>
  </si>
  <si>
    <t>10.20.45.0/254</t>
  </si>
  <si>
    <t>dvpg-GFI-10006791-OPENVPN-663</t>
  </si>
  <si>
    <t>Accès VLAN : 663</t>
  </si>
  <si>
    <t>10.20.51.0/254</t>
  </si>
  <si>
    <t>dvpg-GFI-10006791-DMZPOP-64-717</t>
  </si>
  <si>
    <t>Accès VLAN : 717</t>
  </si>
  <si>
    <t>10.20.64.0/254</t>
  </si>
  <si>
    <t>dvpg-GFI-10006791-DMZPOP-65-718</t>
  </si>
  <si>
    <t>Accès VLAN : 718</t>
  </si>
  <si>
    <t>10.20.65.0/254</t>
  </si>
  <si>
    <t>dvpg-GFI-10006791-884</t>
  </si>
  <si>
    <t>Accès VLAN : 884</t>
  </si>
  <si>
    <t>10.20.66.0/254</t>
  </si>
  <si>
    <t>dvpg-GFI-10006791-CNAMTS-DMZ-74-734</t>
  </si>
  <si>
    <t>Accès VLAN : 734</t>
  </si>
  <si>
    <t>10.20.74.0/254</t>
  </si>
  <si>
    <t>Avait été supprimé il y a 2 ans de OTCloud</t>
  </si>
  <si>
    <t>dvpg-GFI-10006791-885</t>
  </si>
  <si>
    <t>Accès VLAN : 885</t>
  </si>
  <si>
    <t>10.20.80.0/254</t>
  </si>
  <si>
    <t>dvpg-GFI-10006791-886</t>
  </si>
  <si>
    <t>Accès VLAN : 886</t>
  </si>
  <si>
    <t>10.20.81.0/254</t>
  </si>
  <si>
    <t>dvpg-GFI-10006791-887</t>
  </si>
  <si>
    <t>Accès VLAN : 887</t>
  </si>
  <si>
    <t>10.20.82.0/254</t>
  </si>
  <si>
    <t>dvpg-GFI-10006791-888</t>
  </si>
  <si>
    <t>Accès VLAN : 888</t>
  </si>
  <si>
    <t>10.20.83.0/254</t>
  </si>
  <si>
    <t>Anciennement Vodaphone Prod</t>
  </si>
  <si>
    <t>dvpg-GFI-10006791-SRPRD-SBR84-909</t>
  </si>
  <si>
    <t>Accès VLAN : 909</t>
  </si>
  <si>
    <t>10.20.84.0/254</t>
  </si>
  <si>
    <t>dvpg-GFI-10006791-SRPRD-RTP85-950</t>
  </si>
  <si>
    <t>Accès VLAN : 950</t>
  </si>
  <si>
    <t>10.20.85.0/254</t>
  </si>
  <si>
    <t>dvpg-GFI-10006791-978</t>
  </si>
  <si>
    <t>Accès VLAN : 978</t>
  </si>
  <si>
    <t>10.20.86.0/254</t>
  </si>
  <si>
    <t>Anciennement WTC Prod</t>
  </si>
  <si>
    <t>dvpg-GFI-10006791-SRPRD-AR87-979</t>
  </si>
  <si>
    <t>Accès VLAN : 979</t>
  </si>
  <si>
    <t>10.20.87.0/254</t>
  </si>
  <si>
    <t>dvpg-GFI-10006791-VLAN-88-980</t>
  </si>
  <si>
    <t>Accès VLAN : 980</t>
  </si>
  <si>
    <t>10.20.88.0/254</t>
  </si>
  <si>
    <t>dvpg-GFI-10006791-VLAN-89-981</t>
  </si>
  <si>
    <t>Accès VLAN : 981</t>
  </si>
  <si>
    <t>10.20.89.0/254</t>
  </si>
  <si>
    <t>dvpg-GFI-10006791-VLAN-90-982</t>
  </si>
  <si>
    <t>Accès VLAN : 982</t>
  </si>
  <si>
    <t>10.20.90.0/254</t>
  </si>
  <si>
    <t>dvpg-GFI-10006791-VLAN-91-983</t>
  </si>
  <si>
    <t>Accès VLAN : 983</t>
  </si>
  <si>
    <t>10.20.91.0/254</t>
  </si>
  <si>
    <t>dvpg-GFI-10006791-VLAN-92-984</t>
  </si>
  <si>
    <t>Accès VLAN : 984</t>
  </si>
  <si>
    <t>10.20.92.0/254</t>
  </si>
  <si>
    <t>dvpg-GFI-10006791-VLAN-93-985</t>
  </si>
  <si>
    <t>Accès VLAN : 985</t>
  </si>
  <si>
    <t>10.20.93.0/254</t>
  </si>
  <si>
    <t>dvpg-GFI-10006791-VLAN-94-986</t>
  </si>
  <si>
    <t>Accès VLAN : 986</t>
  </si>
  <si>
    <t>10.20.94.0/254</t>
  </si>
  <si>
    <t>dvpg-GFI-10006791-VLAN-95-987</t>
  </si>
  <si>
    <t>Accès VLAN : 987</t>
  </si>
  <si>
    <t>10.20.95.0/254</t>
  </si>
  <si>
    <t>dvpg-GFI-10006791-VLAN-96-1021</t>
  </si>
  <si>
    <t>Accès VLAN : 1021</t>
  </si>
  <si>
    <t>10.20.96.0/254</t>
  </si>
  <si>
    <t>dvpg-GFI-10006791-VLAN-97-1022</t>
  </si>
  <si>
    <t>Accès VLAN : 1022</t>
  </si>
  <si>
    <t>10.20.97.0/254</t>
  </si>
  <si>
    <t>dvpg-GFI-10006791-VLAN-98-1023</t>
  </si>
  <si>
    <t>Accès VLAN : 1023</t>
  </si>
  <si>
    <t>10.20.98.0/254</t>
  </si>
  <si>
    <t>dvpg-GFI-10006791-VLAN-99-1024</t>
  </si>
  <si>
    <t>Accès VLAN : 1024</t>
  </si>
  <si>
    <t>10.20.99.0/254</t>
  </si>
  <si>
    <t>Gestion domaine</t>
  </si>
  <si>
    <t>asogfi.fr</t>
  </si>
  <si>
    <t>gfidevfight.com</t>
  </si>
  <si>
    <t>gfidevfight.fr</t>
  </si>
  <si>
    <t>gfidevfight.net</t>
  </si>
  <si>
    <t>gfidevfight.org</t>
  </si>
  <si>
    <t>gfidevfight.info</t>
  </si>
  <si>
    <t>socialrobotics.fr</t>
  </si>
  <si>
    <t>socialroboticslab.fr</t>
  </si>
  <si>
    <t>socialroboticslab.com</t>
  </si>
  <si>
    <t>labsocialrobotics.fr</t>
  </si>
  <si>
    <t>labsocialrobotics.com</t>
  </si>
  <si>
    <t>gfisocialrobotics.com</t>
  </si>
  <si>
    <t>sroboticsp.com</t>
  </si>
  <si>
    <t>sroboticsd.com</t>
  </si>
  <si>
    <t>Certficat</t>
  </si>
  <si>
    <t>Certficat SSL simple : www.gfidevfight.com</t>
  </si>
  <si>
    <t>Certficat SSL Wildcard : *.gfisocialrobotics.com</t>
  </si>
  <si>
    <t>Certficat SSL Wildcard : *.sroboticsp.com</t>
  </si>
  <si>
    <t>Certficat SSL Wildcard : *.sroboticsd.com</t>
  </si>
  <si>
    <t>RefProjet</t>
  </si>
  <si>
    <t>RefEnv</t>
  </si>
  <si>
    <t>ADEME-SAGA</t>
  </si>
  <si>
    <t>ADEME-SINOE</t>
  </si>
  <si>
    <t>AFB-ASPE</t>
  </si>
  <si>
    <t>AFB-BASEINDICATEURS</t>
  </si>
  <si>
    <t>AFB-CARHYCE</t>
  </si>
  <si>
    <t>AFB-CATALOGUEINDICATEURS</t>
  </si>
  <si>
    <t>AFB-ENQUETEDEAU</t>
  </si>
  <si>
    <t>AFB-GEOBS</t>
  </si>
  <si>
    <t>AFB-OISON</t>
  </si>
  <si>
    <t>AFB-ONDE</t>
  </si>
  <si>
    <t>AFB-Patbiodiv</t>
  </si>
  <si>
    <t>AFB-RNT</t>
  </si>
  <si>
    <t>AFB-SIFLORE</t>
  </si>
  <si>
    <t>AFB-SISPEA</t>
  </si>
  <si>
    <t>AS24-Redmine</t>
  </si>
  <si>
    <t>BRGM-BDLISA</t>
  </si>
  <si>
    <t>BRGM-BNPE</t>
  </si>
  <si>
    <t>BRGM-DEGATS-MINERS</t>
  </si>
  <si>
    <t>CA-TITRES-COGNOS</t>
  </si>
  <si>
    <t>CA-TITRES-CRR</t>
  </si>
  <si>
    <t>DIG-Perform</t>
  </si>
  <si>
    <t>EDI-MUT-EDI-MUT</t>
  </si>
  <si>
    <t>Fablab-Firmin</t>
  </si>
  <si>
    <t>FOBA-Foba</t>
  </si>
  <si>
    <t>FRR-APPLIFRR</t>
  </si>
  <si>
    <t>FRR-CADENCIER</t>
  </si>
  <si>
    <t>FRR-Patapain</t>
  </si>
  <si>
    <t>FRR-STAGEDATA</t>
  </si>
  <si>
    <t>FRR-TCPOS</t>
  </si>
  <si>
    <t>Gest'ea / OUGC-Gest'ea / OUGC</t>
  </si>
  <si>
    <t>GFI-BASECONTACT</t>
  </si>
  <si>
    <t>GFI-Dev Fight</t>
  </si>
  <si>
    <t>GFI-EveryDaily</t>
  </si>
  <si>
    <t>GFI-Gestionnaire de devis (Niort)</t>
  </si>
  <si>
    <t>GFI-Gestionnaire de tickets (Niort)</t>
  </si>
  <si>
    <t>GFI-GFICOFFEE</t>
  </si>
  <si>
    <t>GFI-GitLab Orléans</t>
  </si>
  <si>
    <t>GFI-Linkus</t>
  </si>
  <si>
    <t>GFI-Lotus Domino</t>
  </si>
  <si>
    <t>GFI-MARCO POLO</t>
  </si>
  <si>
    <t>GFI-MY BUSINESS</t>
  </si>
  <si>
    <t>GFI-Oceanet Gestion VM</t>
  </si>
  <si>
    <t>GFI-Oceanet Infra Modèles</t>
  </si>
  <si>
    <t>GFI-Oceanet Infra Réseau</t>
  </si>
  <si>
    <t>GFI-Oceanet Orléans PIC</t>
  </si>
  <si>
    <t>GFI-Outil de notification automatique Jira (Niort)</t>
  </si>
  <si>
    <t>GFI-POC Android</t>
  </si>
  <si>
    <t>GFI-Redmine Niort</t>
  </si>
  <si>
    <t>GFI-Redmine Orléans</t>
  </si>
  <si>
    <t>GFI-TENDER</t>
  </si>
  <si>
    <t>GFI-Jetbrain serveur licence</t>
  </si>
  <si>
    <t>GFI-WE SPEC</t>
  </si>
  <si>
    <t>GIE S-V-Mantis - RR</t>
  </si>
  <si>
    <t>GIP RECIA-Plateformes CLOUD / Edition</t>
  </si>
  <si>
    <t>IT-CE-TMA</t>
  </si>
  <si>
    <t>LA POSTE-Go ACT</t>
  </si>
  <si>
    <t>LA POSTE-OPOSSUM</t>
  </si>
  <si>
    <t>LA POSTE-OPUS</t>
  </si>
  <si>
    <t>LA POSTE-POP</t>
  </si>
  <si>
    <t>LA POSTE-SIBP</t>
  </si>
  <si>
    <t>MACIF-Transverse</t>
  </si>
  <si>
    <t>MEAE-Hornet</t>
  </si>
  <si>
    <t>MEAE-Redmine MEAE</t>
  </si>
  <si>
    <t>MEAE-SAGAIE TMA</t>
  </si>
  <si>
    <t>ARCHIVE</t>
  </si>
  <si>
    <t>SUPPR</t>
  </si>
  <si>
    <t>TMA-PROD</t>
  </si>
  <si>
    <t>MEAE-Visa</t>
  </si>
  <si>
    <t>MENESR-APAE</t>
  </si>
  <si>
    <t>MENESR-BNIE</t>
  </si>
  <si>
    <t>MENESR-INES</t>
  </si>
  <si>
    <t>MENESR-RNIE</t>
  </si>
  <si>
    <t>ONEMA-ASPE</t>
  </si>
  <si>
    <t>ONEMA-CDR - TMA WEB</t>
  </si>
  <si>
    <t>ONEMA-GEOF-SNPE</t>
  </si>
  <si>
    <t>ONEMA-OPALE</t>
  </si>
  <si>
    <t>PCM-ALS</t>
  </si>
  <si>
    <t>PRIZER-TMA</t>
  </si>
  <si>
    <t>RECIA-GRR</t>
  </si>
  <si>
    <t>STMICRO-RUN2RUN</t>
  </si>
  <si>
    <t>Vivesco-Vives-taux</t>
  </si>
  <si>
    <t>STMICRO-STARK</t>
  </si>
  <si>
    <t>NomProj</t>
  </si>
  <si>
    <t>DateDeb</t>
  </si>
  <si>
    <t>DateFin</t>
  </si>
  <si>
    <t>Référent technique</t>
  </si>
  <si>
    <t>ACOSS</t>
  </si>
  <si>
    <t>CAP2</t>
  </si>
  <si>
    <t>Pierre Maurupt</t>
  </si>
  <si>
    <t>ACOSS/357885-18</t>
  </si>
  <si>
    <t>PMO</t>
  </si>
  <si>
    <t>Xavier ?</t>
  </si>
  <si>
    <t>DECTER</t>
  </si>
  <si>
    <t>Pascale CRINE</t>
  </si>
  <si>
    <t>ADE-DECTER/S348508A</t>
  </si>
  <si>
    <t>PNB</t>
  </si>
  <si>
    <t>ADE-PNB/S356390A</t>
  </si>
  <si>
    <t>SAGA</t>
  </si>
  <si>
    <t>ADE-SAGA/S364196A</t>
  </si>
  <si>
    <t>Simul'Aides</t>
  </si>
  <si>
    <t>ADEME-SIMU/312035-16</t>
  </si>
  <si>
    <t>SINOE</t>
  </si>
  <si>
    <t>ADEME-SIN/16-S240097</t>
  </si>
  <si>
    <t>AFB</t>
  </si>
  <si>
    <t>ASPE</t>
  </si>
  <si>
    <t>Christophe ORLANDO</t>
  </si>
  <si>
    <t>Laurent LE LARDEUX</t>
  </si>
  <si>
    <t>ONEMA/TMADCUA-15</t>
  </si>
  <si>
    <t>Code Syges à valider !!!!</t>
  </si>
  <si>
    <t>BASEINDICATEURS</t>
  </si>
  <si>
    <t>CARHYCE</t>
  </si>
  <si>
    <t>CATALOGUEINDICATEURS</t>
  </si>
  <si>
    <t>ENQUETEDEAU</t>
  </si>
  <si>
    <t>GEOBS</t>
  </si>
  <si>
    <t>OISON</t>
  </si>
  <si>
    <t>ONDE</t>
  </si>
  <si>
    <t>Patbiodiv</t>
  </si>
  <si>
    <t>RNT</t>
  </si>
  <si>
    <t>SIFLORE</t>
  </si>
  <si>
    <t>SISPEA</t>
  </si>
  <si>
    <t>Redmine</t>
  </si>
  <si>
    <t>Florian DUPONT</t>
  </si>
  <si>
    <t>AS24/342220-18</t>
  </si>
  <si>
    <t>TMA PEAGE</t>
  </si>
  <si>
    <t>TRA PEAGE</t>
  </si>
  <si>
    <t>BDLISA</t>
  </si>
  <si>
    <t>BRGM/BDLISA-18</t>
  </si>
  <si>
    <t>BNPE</t>
  </si>
  <si>
    <t>DEGATS-MINERS</t>
  </si>
  <si>
    <t>BRGM/DEGAT-16</t>
  </si>
  <si>
    <t>BYTEL</t>
  </si>
  <si>
    <t>EDI</t>
  </si>
  <si>
    <t>Paul Noitaky</t>
  </si>
  <si>
    <t>BYTEL-TEDI/267975-15</t>
  </si>
  <si>
    <t>COGNOS</t>
  </si>
  <si>
    <t>CA-TITRES/TMA</t>
  </si>
  <si>
    <t>CRR</t>
  </si>
  <si>
    <t>CDA</t>
  </si>
  <si>
    <t>BO pour Nestix</t>
  </si>
  <si>
    <t>CG44</t>
  </si>
  <si>
    <t>Software - SMA</t>
  </si>
  <si>
    <t>CNIEG</t>
  </si>
  <si>
    <t>SIRIUS</t>
  </si>
  <si>
    <t>Marc Daniau</t>
  </si>
  <si>
    <t>DIG</t>
  </si>
  <si>
    <t>Perform</t>
  </si>
  <si>
    <t>Vincent MERIAU</t>
  </si>
  <si>
    <t>SUPP-DIGI - 1530-2018 - 0 - 1 - Tache 1 - Perform</t>
  </si>
  <si>
    <t>David LEMALHEUX</t>
  </si>
  <si>
    <t>HEBERG-EDI  MUT-2018</t>
  </si>
  <si>
    <t>Firmin</t>
  </si>
  <si>
    <t>Pierre-Yves Baloche</t>
  </si>
  <si>
    <t>FOBA</t>
  </si>
  <si>
    <t>Foba</t>
  </si>
  <si>
    <t>Carl PITRE</t>
  </si>
  <si>
    <t>APPLIFRR</t>
  </si>
  <si>
    <t>Rodolphe Habegger</t>
  </si>
  <si>
    <t>FRR/TMASI</t>
  </si>
  <si>
    <t>CADENCIER</t>
  </si>
  <si>
    <t>Patapain</t>
  </si>
  <si>
    <t>STAGEDATA</t>
  </si>
  <si>
    <t>TCPOS</t>
  </si>
  <si>
    <t>Gest'ea / OUGC</t>
  </si>
  <si>
    <t>Quel est le code Syges ?</t>
  </si>
  <si>
    <t>Autres</t>
  </si>
  <si>
    <t>Frabrice SARLAT</t>
  </si>
  <si>
    <t>P&amp;T</t>
  </si>
  <si>
    <t>BASECONTACT</t>
  </si>
  <si>
    <t>projet interne</t>
  </si>
  <si>
    <t>Dev Fight</t>
  </si>
  <si>
    <t>Jérôme JACOB</t>
  </si>
  <si>
    <t>EveryDaily</t>
  </si>
  <si>
    <t>Vincent Fouquet</t>
  </si>
  <si>
    <t>Gestionnaire de devis (Niort)</t>
  </si>
  <si>
    <t>Philippe De Guio</t>
  </si>
  <si>
    <t>GFIINT2019/ NRT-PJINT</t>
  </si>
  <si>
    <t>Gestionnaire de tickets (Niort)</t>
  </si>
  <si>
    <t>GFICOFFEE</t>
  </si>
  <si>
    <t>projet interne Orléans</t>
  </si>
  <si>
    <t>GitLab Orléans</t>
  </si>
  <si>
    <t>Jetbrain serveur licence</t>
  </si>
  <si>
    <t>Linkus</t>
  </si>
  <si>
    <t>Michael Le-Ridant</t>
  </si>
  <si>
    <t>SILICONE - 1530-2018 - 0 - 2 - Tache 2 – ORS</t>
  </si>
  <si>
    <t>Lotus Domino</t>
  </si>
  <si>
    <t>Matthias Rousseau</t>
  </si>
  <si>
    <t>Philippe Perrin</t>
  </si>
  <si>
    <t>GFI Lotus Domino</t>
  </si>
  <si>
    <t>MARCO POLO</t>
  </si>
  <si>
    <t>Nicolas Legros</t>
  </si>
  <si>
    <t>SILICONE - 1530-2018 - 0 - 1 - Tache 1 – MarcoPolo</t>
  </si>
  <si>
    <t>MY BUSINESS</t>
  </si>
  <si>
    <t>Oceanet Gestion VM</t>
  </si>
  <si>
    <t>PID-1530 TPS-2019 -0-1 Projet Administration PID</t>
  </si>
  <si>
    <t>Oceanet Infra Modèles</t>
  </si>
  <si>
    <t>Oceanet Infra Réseau</t>
  </si>
  <si>
    <t>GFI Oceanet Infra Réseau</t>
  </si>
  <si>
    <t>Oceanet Orléans PIC</t>
  </si>
  <si>
    <t>GFI Oceanet Orléans PIC</t>
  </si>
  <si>
    <t>go-svn-001 pour Sinoé et Saga et MEAE TMA SIV
jenkins-001, nexus-001 pour MEAE TMA SIV (et pas de git-001)</t>
  </si>
  <si>
    <t>OK Gfi</t>
  </si>
  <si>
    <t>Outil de notification automatique Jira (Niort)</t>
  </si>
  <si>
    <t>PANGOLIN</t>
  </si>
  <si>
    <t>POC Android</t>
  </si>
  <si>
    <t>Nicolas Guillot</t>
  </si>
  <si>
    <t>Redmine Niort</t>
  </si>
  <si>
    <t>GFI Redmine Niort</t>
  </si>
  <si>
    <t>Redmine Orléans</t>
  </si>
  <si>
    <t>GFI Redmine Orléans</t>
  </si>
  <si>
    <t>TENDER</t>
  </si>
  <si>
    <t>WE SPEC</t>
  </si>
  <si>
    <t>GIE S-V</t>
  </si>
  <si>
    <t>CDS</t>
  </si>
  <si>
    <t>Nicolas Cordier</t>
  </si>
  <si>
    <t>CEAM en RR</t>
  </si>
  <si>
    <t>DYS en RR</t>
  </si>
  <si>
    <t>Mantis - RR</t>
  </si>
  <si>
    <t>GIESV/PCN17-01</t>
  </si>
  <si>
    <t>OPTIMA en RR</t>
  </si>
  <si>
    <t>Site</t>
  </si>
  <si>
    <t>GIP RECIA</t>
  </si>
  <si>
    <t>Plateformes CLOUD / Edition</t>
  </si>
  <si>
    <t>IT-CE/DFA</t>
  </si>
  <si>
    <t>DIGITAL</t>
  </si>
  <si>
    <t>Go ACT</t>
  </si>
  <si>
    <t>Paul Noitaky, Julien</t>
  </si>
  <si>
    <t>OPOSSUM</t>
  </si>
  <si>
    <t>OPUS</t>
  </si>
  <si>
    <t>POC Go-ACT</t>
  </si>
  <si>
    <t>POP</t>
  </si>
  <si>
    <t>SIBP</t>
  </si>
  <si>
    <t>LAPOST-SIB - 382233 - 0 - 1 - Refonte du portail SIBP</t>
  </si>
  <si>
    <t>Transverse</t>
  </si>
  <si>
    <t>Yann-Herve Mauguen</t>
  </si>
  <si>
    <t>MACIF-PHP/284244-17</t>
  </si>
  <si>
    <t>MEAE</t>
  </si>
  <si>
    <t>AIG</t>
  </si>
  <si>
    <t>Cyril PAREIN</t>
  </si>
  <si>
    <t>DIPLO</t>
  </si>
  <si>
    <t>Axel Benoist-Gironiere</t>
  </si>
  <si>
    <t>FVBO</t>
  </si>
  <si>
    <t>Hornet</t>
  </si>
  <si>
    <t>MAE-PII-L2/334179-17</t>
  </si>
  <si>
    <t>Projet à supprimer</t>
  </si>
  <si>
    <t>Migration SAGAIE</t>
  </si>
  <si>
    <t>Axel Benoist-Gironiere, Nicolas Legros</t>
  </si>
  <si>
    <t>Migration VisMail</t>
  </si>
  <si>
    <t>Jerome Lefeuvre</t>
  </si>
  <si>
    <t>Projet à supprimer ?</t>
  </si>
  <si>
    <t>OPT</t>
  </si>
  <si>
    <t>Redmine MEAE</t>
  </si>
  <si>
    <t>MAE-PII-L2/334179</t>
  </si>
  <si>
    <t>SAGAIE TMA</t>
  </si>
  <si>
    <t>Axel Benoist-Gironiere, Vincent MERIAU</t>
  </si>
  <si>
    <t>Visa</t>
  </si>
  <si>
    <t>APAE</t>
  </si>
  <si>
    <t>MENESR/TMA</t>
  </si>
  <si>
    <t>BNIE</t>
  </si>
  <si>
    <t>INES</t>
  </si>
  <si>
    <t>RNIE</t>
  </si>
  <si>
    <t>MIN</t>
  </si>
  <si>
    <t>ANEF</t>
  </si>
  <si>
    <t>Ntes Métro</t>
  </si>
  <si>
    <t>AT MS 15</t>
  </si>
  <si>
    <t>Jean-Baptiste Zalio</t>
  </si>
  <si>
    <t>ONEMA/TMADCIE-15</t>
  </si>
  <si>
    <t>CDR - TMA WEB</t>
  </si>
  <si>
    <t>GEOF-SNPE</t>
  </si>
  <si>
    <t>OPALE</t>
  </si>
  <si>
    <t>PCM</t>
  </si>
  <si>
    <t>ALS</t>
  </si>
  <si>
    <t>PRIZER</t>
  </si>
  <si>
    <t>GRR</t>
  </si>
  <si>
    <t>RECIA/AC-18</t>
  </si>
  <si>
    <t>ROUAIX</t>
  </si>
  <si>
    <t>MVP</t>
  </si>
  <si>
    <t>SG</t>
  </si>
  <si>
    <t>CDR</t>
  </si>
  <si>
    <t>SG/15-CADRE03</t>
  </si>
  <si>
    <t>RUN2RUN</t>
  </si>
  <si>
    <t>STMICRO/TMA-R2R-17</t>
  </si>
  <si>
    <t>STARK</t>
  </si>
  <si>
    <t>Jean-Philippe STROIAZZO</t>
  </si>
  <si>
    <t>Nicolas FAUVET</t>
  </si>
  <si>
    <t>STMICRO/TMASI</t>
  </si>
  <si>
    <t>Vivesco</t>
  </si>
  <si>
    <t>Vives-taux</t>
  </si>
  <si>
    <t>VIVESC-TAU/S240776A</t>
  </si>
  <si>
    <t>Contrat SYGES</t>
  </si>
  <si>
    <t>Cost Center</t>
  </si>
  <si>
    <t>Statut du contrat</t>
  </si>
  <si>
    <t>Type contrat SYGES</t>
  </si>
  <si>
    <t>Type contrat REFPROJ</t>
  </si>
  <si>
    <t>Contrat de référence</t>
  </si>
  <si>
    <t>Ouvert en 2018 et 2019</t>
  </si>
  <si>
    <t>ADEME SAG/S137910A</t>
  </si>
  <si>
    <t>Cloturé</t>
  </si>
  <si>
    <t>Contrat de base</t>
  </si>
  <si>
    <t>ADEME SAG/S137910AA</t>
  </si>
  <si>
    <t>ADEME-DIAG/S290120</t>
  </si>
  <si>
    <t>ADE-MODEC/S359138B</t>
  </si>
  <si>
    <t>ADE-PCAET/S359138A</t>
  </si>
  <si>
    <t>ADE-REFAID/S356391A</t>
  </si>
  <si>
    <t>AGEFIPH/296679-15</t>
  </si>
  <si>
    <t>AGEFIPH</t>
  </si>
  <si>
    <t>AISIN-HEB/42271-18</t>
  </si>
  <si>
    <t>AISIN EUROPE SA</t>
  </si>
  <si>
    <t>TME</t>
  </si>
  <si>
    <t>ALISEO-PEN/84510-17</t>
  </si>
  <si>
    <t>ALISEO</t>
  </si>
  <si>
    <t>ALISEO-PEN/84510-18</t>
  </si>
  <si>
    <t>ALPHA-IBMI/289257-17</t>
  </si>
  <si>
    <t>ALPHA CREDIT</t>
  </si>
  <si>
    <t>ALPHA-IBMI/289257-18</t>
  </si>
  <si>
    <t>AS24/344685-17</t>
  </si>
  <si>
    <t>AS24/366234-18</t>
  </si>
  <si>
    <t>A fermer en 2018</t>
  </si>
  <si>
    <t>AS24/369973-18</t>
  </si>
  <si>
    <t>BRAND-IBMI/260713-18</t>
  </si>
  <si>
    <t>BRANDT FRANCE</t>
  </si>
  <si>
    <t>BYTEL-ATG/267975-17</t>
  </si>
  <si>
    <t>BOUYGUES TELECOM</t>
  </si>
  <si>
    <t>BYTEL-ATG/267975-18</t>
  </si>
  <si>
    <t>CARRE-IBMI/263601-17</t>
  </si>
  <si>
    <t>CARREFOUR CSI</t>
  </si>
  <si>
    <t>CBP-EDI/258249-17</t>
  </si>
  <si>
    <t>GIE CBP</t>
  </si>
  <si>
    <t>CECAB-EDI/217151-17</t>
  </si>
  <si>
    <t>ATG</t>
  </si>
  <si>
    <t>CERA-EDI/238205-17</t>
  </si>
  <si>
    <t>CERA APS</t>
  </si>
  <si>
    <t>CERA-EDI/238205-18</t>
  </si>
  <si>
    <t>CERA-IBMI/159847-18</t>
  </si>
  <si>
    <t>CIRTI/331358-17</t>
  </si>
  <si>
    <t>CIRTI - CENTRE INTER REG.TRAIT.INFORMATION</t>
  </si>
  <si>
    <t>CNAMTS-PA2/S283163B</t>
  </si>
  <si>
    <t>CNAMTS - CAISSE NATIONALE ASS MALADIE</t>
  </si>
  <si>
    <t>CNAMTS-PA2/S283163C</t>
  </si>
  <si>
    <t>CNIEG/16-CADRE-1</t>
  </si>
  <si>
    <t>CNIEG-SIR/302705-17</t>
  </si>
  <si>
    <t>DACHS-IBMI/336867-18</t>
  </si>
  <si>
    <t>DACHSER SE HEAD OFFICE</t>
  </si>
  <si>
    <t>GENITE-HEB/62820-17</t>
  </si>
  <si>
    <t>GENITEC</t>
  </si>
  <si>
    <t>GENITE-HEB/62820-18</t>
  </si>
  <si>
    <t>GIESV/AOR12-07</t>
  </si>
  <si>
    <t>GIESV/AOR16-07</t>
  </si>
  <si>
    <t>LACROI-ADV/S293189A</t>
  </si>
  <si>
    <t>LACROIX ELECTRONICS</t>
  </si>
  <si>
    <t>LACROI-EDI/CDE-2016</t>
  </si>
  <si>
    <t>LACROI-HEB/239498-17</t>
  </si>
  <si>
    <t>LACROI-HEB/239498-18</t>
  </si>
  <si>
    <t>LACTA-IBMI/340185-17</t>
  </si>
  <si>
    <t>LACTALIS INFORMATIQUE</t>
  </si>
  <si>
    <t>LAPOST IMO/S234004A</t>
  </si>
  <si>
    <t>BUILD</t>
  </si>
  <si>
    <t>LAPOST LBP/S234005A</t>
  </si>
  <si>
    <t>LAPOST O14/S229769A</t>
  </si>
  <si>
    <t>LA-POSTE/2000176924</t>
  </si>
  <si>
    <t>LA-POSTE/2000177827</t>
  </si>
  <si>
    <t>LA-POSTE/2000178843</t>
  </si>
  <si>
    <t>LA-POSTE/2000547064</t>
  </si>
  <si>
    <t>LA-POSTE/2000568709</t>
  </si>
  <si>
    <t>LA-POSTE/4600001747</t>
  </si>
  <si>
    <t>LA-POSTE/DED-F14035</t>
  </si>
  <si>
    <t>LA-POSTE/DED-F14036</t>
  </si>
  <si>
    <t>LA-POSTE/EBP-F16011</t>
  </si>
  <si>
    <t>LA-POSTE/EBP-F17004</t>
  </si>
  <si>
    <t>LA-POSTE/POB-F15002</t>
  </si>
  <si>
    <t>LA-POSTE/RBP-F18004</t>
  </si>
  <si>
    <t>LA-POSTE/RFS-14041</t>
  </si>
  <si>
    <t>LA-POSTE/RFS-F16003</t>
  </si>
  <si>
    <t>LA-POSTE/RFS-F16004</t>
  </si>
  <si>
    <t>LA-POSTE/RFS-F16008</t>
  </si>
  <si>
    <t>LA-POSTE/RFS-F16009</t>
  </si>
  <si>
    <t>LA-POSTE/RFSF16009B</t>
  </si>
  <si>
    <t>LA-POSTE/RFS-F16010</t>
  </si>
  <si>
    <t>LA-POSTE/RFS-F16019</t>
  </si>
  <si>
    <t>LA-POSTE/RFS-F16020</t>
  </si>
  <si>
    <t>LA-POSTE/RFS-F16023</t>
  </si>
  <si>
    <t>LA-POSTE/RFS-F17010</t>
  </si>
  <si>
    <t>LA-POSTE/RFS-F17011</t>
  </si>
  <si>
    <t>LA-POSTE/RGP-F17001</t>
  </si>
  <si>
    <t>LA-POSTE/RGP-F18010</t>
  </si>
  <si>
    <t>LA-POSTE/RGP-F18016</t>
  </si>
  <si>
    <t>LAPOST-EDI/CSPCC-17</t>
  </si>
  <si>
    <t>LAPOST-EDI/DAPO-17</t>
  </si>
  <si>
    <t>LAPOST-LEA/S257675B</t>
  </si>
  <si>
    <t>LAPOST-SMO/S323851A</t>
  </si>
  <si>
    <t>LAPOST-SVP/S257675C</t>
  </si>
  <si>
    <t>MACIF/EDI-16</t>
  </si>
  <si>
    <t>MAEDI/263668-15</t>
  </si>
  <si>
    <t>MINISTERE DES AFFAIRES ETRANGERES</t>
  </si>
  <si>
    <t>MAEHOR LT1/S238984A</t>
  </si>
  <si>
    <t>MAEHOR-L3N/S239009A</t>
  </si>
  <si>
    <t>MAE-PII-L1/334179-17</t>
  </si>
  <si>
    <t>MAE-PIL-FV/334179-17</t>
  </si>
  <si>
    <t>MAE-PIL-L5/334179-17</t>
  </si>
  <si>
    <t>MAESIV/DEV</t>
  </si>
  <si>
    <t>MAESIV/MCO</t>
  </si>
  <si>
    <t>MIN-17/341485</t>
  </si>
  <si>
    <t>MMA-TMA/202858-15</t>
  </si>
  <si>
    <t>MMA-TMA-2/202858-15</t>
  </si>
  <si>
    <t>NEXIT-IBMI/315949-17</t>
  </si>
  <si>
    <t>NTES-METRO/358120</t>
  </si>
  <si>
    <t>NTES-METRO/358120-2</t>
  </si>
  <si>
    <t>PCM-SWEB/S262752A</t>
  </si>
  <si>
    <t>PO-EDI/197219-16</t>
  </si>
  <si>
    <t>PLASTIC OMNIUM AUTO EXTERIEUR SERVICES</t>
  </si>
  <si>
    <t>S240097</t>
  </si>
  <si>
    <t>Ademe</t>
  </si>
  <si>
    <t>S293189A</t>
  </si>
  <si>
    <t>LACROIX</t>
  </si>
  <si>
    <t>S364196A</t>
  </si>
  <si>
    <t>SBM-EDI/CDE-2016</t>
  </si>
  <si>
    <t>SBM SERVICES</t>
  </si>
  <si>
    <t>SBM-HEB/311133-16</t>
  </si>
  <si>
    <t>SOCIETE GENERALE</t>
  </si>
  <si>
    <t>SG/ATG-000517</t>
  </si>
  <si>
    <t>SG/ATG-517-02</t>
  </si>
  <si>
    <t>SG/ATG-517-03</t>
  </si>
  <si>
    <t>SRE-TP/311515-16</t>
  </si>
  <si>
    <t>STG-EDI/310462-17</t>
  </si>
  <si>
    <t>STX-GMM/S331345A</t>
  </si>
  <si>
    <t>STX FRANCE SA</t>
  </si>
  <si>
    <t>TECH-EDI/342293</t>
  </si>
  <si>
    <t>TECH DATA Gmbh &amp; Co OHG</t>
  </si>
  <si>
    <t>UMF-EDI/202637-16</t>
  </si>
  <si>
    <t>UNIVERSAL MUSIC FRANCE</t>
  </si>
  <si>
    <t>UMF-EDI/DFF-2017</t>
  </si>
  <si>
    <t>UMF-HEB/202637-18</t>
  </si>
  <si>
    <t>UMF-HEB/DFF-2017</t>
  </si>
  <si>
    <t>UMF-HEB/DMF-18</t>
  </si>
  <si>
    <t>VIVESC-TAU S240776A -14-1 Bon de commande - AMOA 2</t>
  </si>
  <si>
    <t>TOTAL</t>
  </si>
  <si>
    <t>VM archivée, coût 0</t>
  </si>
  <si>
    <t>VM arrêtée mais facturée</t>
  </si>
  <si>
    <t>Développement</t>
  </si>
  <si>
    <t>Développement Build</t>
  </si>
  <si>
    <t>Evolutions</t>
  </si>
  <si>
    <t>Développement Run</t>
  </si>
  <si>
    <t>MCO</t>
  </si>
  <si>
    <t>INT</t>
  </si>
  <si>
    <t>Intégration</t>
  </si>
  <si>
    <t>Obsolète</t>
  </si>
  <si>
    <t>Machine à priori à détruire</t>
  </si>
  <si>
    <t>PERF</t>
  </si>
  <si>
    <t>Performance</t>
  </si>
  <si>
    <t>PréProduction</t>
  </si>
  <si>
    <t>Production</t>
  </si>
  <si>
    <t>Qualification</t>
  </si>
  <si>
    <t>Recette interne</t>
  </si>
  <si>
    <t>Qualification Build</t>
  </si>
  <si>
    <t>Recette interne Build</t>
  </si>
  <si>
    <t>Qualification Run</t>
  </si>
  <si>
    <t>Recette interne MCO</t>
  </si>
  <si>
    <t>Recette</t>
  </si>
  <si>
    <t>Recette externe (TRA)</t>
  </si>
  <si>
    <t>Socle</t>
  </si>
  <si>
    <t>Suppression violente</t>
  </si>
  <si>
    <t>REF</t>
  </si>
  <si>
    <t>Désignation</t>
  </si>
  <si>
    <t>CU</t>
  </si>
  <si>
    <t>Tarif_Ram</t>
  </si>
  <si>
    <t>1 Go de RAM = 1,60 euros en Hyperconvergé</t>
  </si>
  <si>
    <t>Tarif_disque</t>
  </si>
  <si>
    <t>1 Go de disque = gratuit en Hyperconvergé</t>
  </si>
  <si>
    <t>Tarif_Backup_J15</t>
  </si>
  <si>
    <t>1 Go d'espace disque sauvegardé tous les soirs avec historique
à J-15
=
0,23 euro par Go en Hyperconvergé
Les 837 Go Hebdo de sauvegarde ne seraient plus gratuites ?</t>
  </si>
  <si>
    <t>Tarif_Backup_Horaire</t>
  </si>
  <si>
    <t>1 Go d'espace disque sauvegardé Horaire avec historique
à J-7
=
0,23 euro par Go en Hyperconvergé</t>
  </si>
  <si>
    <t>Tarif_Veeam_Backup_par_VM</t>
  </si>
  <si>
    <t>1 VM implique 5,75 €
cependant, comme nous allons partir sur l'achat des licences Veeam, elles seront plutôt refacturées par répartition du Global Infra</t>
  </si>
  <si>
    <t>Tarif_Licence_CAL_SQL_Standard_en_location</t>
  </si>
  <si>
    <t>Tarif_Licence_SQL_Server_Standard_SPLA_4_Cores_en_location</t>
  </si>
  <si>
    <t>Tarif_Licences_CAL_TSE_en_location</t>
  </si>
  <si>
    <t>Nombre d'utilisateurs Windows locaux créés
sans compter l'utilisateur Administrateur = nb licences CAL TSE en location</t>
  </si>
  <si>
    <t>Colonne1</t>
  </si>
  <si>
    <t>Colonne2</t>
  </si>
  <si>
    <t>Colonne3</t>
  </si>
  <si>
    <t>Licence SQL Server Standard SPLA 4 Cores en location</t>
  </si>
  <si>
    <t>Prix net HT</t>
  </si>
  <si>
    <t>BP BGP4 5 Mbits</t>
  </si>
  <si>
    <t>VM02v Firewall Fortigate</t>
  </si>
  <si>
    <t>4 U Espace en baie 2U</t>
  </si>
  <si>
    <t>2 nœuds HPE Simplivity</t>
  </si>
  <si>
    <t>1 socle Administration : Ressources OT Cloud</t>
  </si>
  <si>
    <t>1 Fibre Optique Covage 10 Mbits</t>
  </si>
  <si>
    <t>Service - Support - Astreinte 24/7 - MCO plateforme</t>
  </si>
  <si>
    <t>Service - Support - Astreinte 24/7 - 1 personne référente</t>
  </si>
  <si>
    <t>Lissage Frais mise en service (6320 € au lieu de 7900 € = 20% de remise) restant</t>
  </si>
  <si>
    <r>
      <t xml:space="preserve">Lissage </t>
    </r>
    <r>
      <rPr>
        <b/>
        <sz val="14"/>
        <color theme="1"/>
        <rFont val="Calibri"/>
        <family val="2"/>
        <scheme val="minor"/>
      </rPr>
      <t>2</t>
    </r>
    <r>
      <rPr>
        <sz val="11"/>
        <color theme="1"/>
        <rFont val="Calibri"/>
        <family val="2"/>
        <scheme val="minor"/>
      </rPr>
      <t xml:space="preserve"> licences Windows Datacenter en mode achat (nb VMs OS Windows illimité)</t>
    </r>
  </si>
  <si>
    <t>Onglet</t>
  </si>
  <si>
    <t>Fonctionnalité</t>
  </si>
  <si>
    <t>Action1</t>
  </si>
  <si>
    <t>Action 2</t>
  </si>
  <si>
    <t>Action3</t>
  </si>
  <si>
    <t>Environnements</t>
  </si>
  <si>
    <t>Référencer les environnements</t>
  </si>
  <si>
    <t>Compléter au besoin</t>
  </si>
  <si>
    <t>CONTRATS DI</t>
  </si>
  <si>
    <t>Référencer les contrats SYGES DI</t>
  </si>
  <si>
    <t>Référencer les projets</t>
  </si>
  <si>
    <t>Associer chaque contrat au bon code SYGES</t>
  </si>
  <si>
    <t>Associer Environnement et Projet</t>
  </si>
  <si>
    <t>VMEnvProjet</t>
  </si>
  <si>
    <t>Associer VM et Environnement Projet</t>
  </si>
  <si>
    <t>Oceanet</t>
  </si>
  <si>
    <t>Référencer les VM Oceanet</t>
  </si>
  <si>
    <t>Consolider les données</t>
  </si>
  <si>
    <t>Extraire chaque mois la facture selon modèle MEAE</t>
  </si>
  <si>
    <t>Sous :
0 - Infra
00-Facturation</t>
  </si>
  <si>
    <t>NB1 : les VM mutualisées ont un coût au prorata des projets qui les utilisent</t>
  </si>
  <si>
    <t>NB2 : Dans l'onglet dégonflage, il faut valider l'opération à effectuer sur chaque VM
A choisir entre Arrêt simple (payant), Archive puis suppression (temps exploitation), Suppression violente sans archivage
Actuellement, toutes ces VMs sont existantes et facturées</t>
  </si>
  <si>
    <t>Nicolas CHAMPIOT</t>
  </si>
  <si>
    <t>Frederic DELAIRE</t>
  </si>
  <si>
    <t>Frederic FONDRAS</t>
  </si>
  <si>
    <t>Pierre BOURLIEUX</t>
  </si>
  <si>
    <t>Pierre LEJEUNE</t>
  </si>
  <si>
    <t>Adrien RYSSEN</t>
  </si>
  <si>
    <t>Remi ALVERGNAT</t>
  </si>
  <si>
    <t>Severine MOINET</t>
  </si>
  <si>
    <t>Victor CASTRO-CINTAS</t>
  </si>
  <si>
    <t>Theo BEAUDENON</t>
  </si>
  <si>
    <t>Valerie ASSELIN LOZACHMEUR</t>
  </si>
  <si>
    <t>Fabienne HERNANDEZ</t>
  </si>
  <si>
    <t>CECAB-EDI</t>
  </si>
  <si>
    <t>GIESV</t>
  </si>
  <si>
    <t>Lacroix</t>
  </si>
  <si>
    <t>MMA</t>
  </si>
  <si>
    <t>NEXIT</t>
  </si>
  <si>
    <t>NTES-METRO</t>
  </si>
  <si>
    <t>SRE-TP</t>
  </si>
  <si>
    <t>STG-EDI</t>
  </si>
  <si>
    <t>Alice MARCHAL</t>
  </si>
  <si>
    <t>PCM-WEB</t>
  </si>
  <si>
    <t>WEB</t>
  </si>
  <si>
    <t>DIGIPAT</t>
  </si>
  <si>
    <t>CNAV</t>
  </si>
  <si>
    <t>BI-RGCU</t>
  </si>
  <si>
    <t>Eric PERROUD</t>
  </si>
  <si>
    <t>GFI Oceanet Infra Réseau Orléans</t>
  </si>
  <si>
    <t>PNX</t>
  </si>
  <si>
    <t>PNM</t>
  </si>
  <si>
    <t>CESMIA</t>
  </si>
  <si>
    <t>ONEMA/TMAWEB-16</t>
  </si>
  <si>
    <t>Oceanet Infra Réseau Orléans</t>
  </si>
  <si>
    <t>GFI-Oceanet Infra Réseau Orléans</t>
  </si>
  <si>
    <t>GFI-Oceanet Infra Réseau Orléans .:. SOCLE</t>
  </si>
  <si>
    <t>IsTypeLicenceSQLServerPerCore</t>
  </si>
  <si>
    <t>Chiffrage Migration AWS</t>
  </si>
  <si>
    <t>Commentaire Migration AWS</t>
  </si>
  <si>
    <t>Réinstallation from scratch</t>
  </si>
  <si>
    <t>Route 53</t>
  </si>
  <si>
    <t>Disparition sans migration</t>
  </si>
  <si>
    <t>Pas de migration</t>
  </si>
  <si>
    <t>Terraform + Ansible</t>
  </si>
  <si>
    <t>Terraform + Ansible (accès télé-travail ?)</t>
  </si>
  <si>
    <t>Terraform service RDS</t>
  </si>
  <si>
    <t>Disparition avec migration vers Delivery</t>
  </si>
  <si>
    <t>Pas de migration, utiliser un service SMTP AWS</t>
  </si>
  <si>
    <t>Pas de migration, utiliser un service CloudFront</t>
  </si>
  <si>
    <t>GFI-Oceanet Infra Modèles - GFI Oceanet Infra Réseau - Jérôme JACOB</t>
  </si>
  <si>
    <t>GFI-Oceanet Gestion VM - GFI Oceanet Infra Réseau - Jérôme JACOB</t>
  </si>
  <si>
    <t>Stephane PETIT</t>
  </si>
  <si>
    <t>CoutGlobalFinal</t>
  </si>
  <si>
    <t>CoutGlobalSansCostCenterDI</t>
  </si>
  <si>
    <t>CoutGlobalSupplementaire</t>
  </si>
  <si>
    <t>Coût Licences MS</t>
  </si>
  <si>
    <t>CostCenterDI a un coût nul, car son coût est réparti sur tous les projets</t>
  </si>
  <si>
    <t>Mutualise</t>
  </si>
  <si>
    <t>Synt_Glob_Rep_CostCenter</t>
  </si>
  <si>
    <t>Synthèse_Cout_Ressources</t>
  </si>
  <si>
    <t>Récupérer un export à jour.
Attention, 3 projets sont sur un CostCenter spécial "CostCenterDI". Ce coût est automatiquement ventilé sur l'ensemble des autres projets</t>
  </si>
  <si>
    <t>Récupérer un export du fichier AffectCollabV2.
Attention, la colonne SYGES n'est pas un champ libre. Il faut choisir une valeur existante provenant de l'onget "CONTRATS DI"</t>
  </si>
  <si>
    <t>Récupérer un export à jour à l'aide d'un script VMWare PowerCLI</t>
  </si>
  <si>
    <t>Tarifs</t>
  </si>
  <si>
    <t>GlobalARepartir</t>
  </si>
  <si>
    <t>Tarifs utilisés dans les formules de calcul de coût</t>
  </si>
  <si>
    <t>3 valeurs fixes qui sont automatiquement répartie sur tous les projets :
GlobalARepartirSansMS
GlobalARepartirMSOnly
GlobalARepartirInfraReseau = Coût des 3 projets qui sont sur un CostCenter spécial "CostCenterDI"</t>
  </si>
  <si>
    <t>La répartition des coûts de l'onglet GlobalARepartir sur tous les projets se fait en se basant sur le % du coût des ressources (CPU, RAM, Disque) de chaque projets</t>
  </si>
  <si>
    <t>Plus un projet utilise de ressource, plus ce coût global supplémentaire sera élevé !!</t>
  </si>
  <si>
    <t>Les colonnes exploitées sont :
CoutGlobalFinal (qui contient déjà un % du GlobalARepartir)
CoutLicenceMS
Pour les 3 projets qui sont sur un CostCenter spécial "CostCenterDI", le CoutGlobalFinal est forcé à 0, car leur coût réel (correspondant à GlobalARepartirInfraReseau) est déjà ventilé sur tous les autres projets</t>
  </si>
  <si>
    <t>MS-DCK-PNM-001</t>
  </si>
  <si>
    <t>AFB-PNM</t>
  </si>
  <si>
    <t>Eric RAUCOURT</t>
  </si>
  <si>
    <t>AFB/OFB_LOT2</t>
  </si>
  <si>
    <t>?</t>
  </si>
  <si>
    <t>sans cal sql</t>
  </si>
  <si>
    <t>NbUtilCalSqlTMP</t>
  </si>
  <si>
    <t>aaaaa</t>
  </si>
  <si>
    <t>CAU OS Licences Veeam et Microsoft N°36461 - 19112019.pdf</t>
  </si>
  <si>
    <t>Le tarif des licence Veeam a finalement diminué !!!</t>
  </si>
  <si>
    <t>Le tarif des licence Microsoft a finalement diminué !!!</t>
  </si>
  <si>
    <t>MP-DOCKER-023</t>
  </si>
  <si>
    <t>MP-DOCKER-024</t>
  </si>
  <si>
    <t>DEVIS</t>
  </si>
  <si>
    <t>DEVIS-DEVIS</t>
  </si>
  <si>
    <t>FRORDVDB013</t>
  </si>
  <si>
    <t>GD-GIT-AS24-001</t>
  </si>
  <si>
    <t>AS24/ChantierPIC</t>
  </si>
  <si>
    <t>ChantierPIC</t>
  </si>
  <si>
    <t>AS24-ChantierPIC</t>
  </si>
  <si>
    <t>AS24-ChantierPIC .:. DEV</t>
  </si>
  <si>
    <t>AFB-PNM .:. RECETTE</t>
  </si>
  <si>
    <t>SQASH</t>
  </si>
  <si>
    <t>DEVIS-VM-APPLI-MINI</t>
  </si>
  <si>
    <t>DEVIS-VM-APPLI-MEDIUM</t>
  </si>
  <si>
    <t>DEVIS-VM-APPLI-LARGE</t>
  </si>
  <si>
    <t>DEVIS-VM-APPLI-XLARGE</t>
  </si>
  <si>
    <t>DEVIS-VM-APPLI-2XLARGE</t>
  </si>
  <si>
    <t>DEVIS-VM-BDD-MINI</t>
  </si>
  <si>
    <t>DEVIS-VM-BDD-MEDIUM</t>
  </si>
  <si>
    <t>DEVIS-VM-BDD-LARGE</t>
  </si>
  <si>
    <t>DEVIS-VM-BDD-XLARGE</t>
  </si>
  <si>
    <t>DEVIS-VM-BDD-2XLARGE</t>
  </si>
  <si>
    <t>DEVIS-Certificat x509 simple</t>
  </si>
  <si>
    <t>DEVIS-Certificat x509 wildcard</t>
  </si>
  <si>
    <t>DEVIS-DNS</t>
  </si>
  <si>
    <t>DEVIS-VLAN</t>
  </si>
  <si>
    <t>DEVIS-IPPUB</t>
  </si>
  <si>
    <t>DEVIS-FORFAIT-Build 1j</t>
  </si>
  <si>
    <t>DEVIS-FORFAIT-Build 2j</t>
  </si>
  <si>
    <t>DEVIS-FORFAIT-Build 5j</t>
  </si>
  <si>
    <t>Tarif_Jour_Intervention</t>
  </si>
  <si>
    <t>DEVIS-FORFAIT-Infogérance-Monitoring 0,5j</t>
  </si>
  <si>
    <t>DEVIS-FORFAIT-Infogérance-Monitoring 1j</t>
  </si>
  <si>
    <t>ONE_SHOT</t>
  </si>
  <si>
    <t>AFB/OFB_LOT1</t>
  </si>
  <si>
    <t>CNAV/BI-SIRRGCU</t>
  </si>
  <si>
    <t>CENTOS-8-v01</t>
  </si>
  <si>
    <t>gfi-ht-ara-spl-cl2-01.pulsation.fr</t>
  </si>
  <si>
    <t>Datastore-datastore-77820</t>
  </si>
  <si>
    <t>gfi-ht-ara-spl-cl2-02.pulsation.fr</t>
  </si>
  <si>
    <t>Datastore-datastore-27 Datastore-datastore-77820</t>
  </si>
  <si>
    <t>PCM-ALS .:. RECETTE</t>
  </si>
  <si>
    <t>DOCKER-FIRMIN-v2</t>
  </si>
  <si>
    <t>GD-HOR5-MAE-012</t>
  </si>
  <si>
    <t>GD-JAV-MBUS-004</t>
  </si>
  <si>
    <t>MP-DOCKER-026</t>
  </si>
  <si>
    <t>MP-DOCKER-027</t>
  </si>
  <si>
    <t>sans les licence Veeam déjà payées, pour faire les DA</t>
  </si>
  <si>
    <t>HEBERG-EDI  MUT-2018 - DEV</t>
  </si>
  <si>
    <t>EDI-MUT-DEV</t>
  </si>
  <si>
    <t>EDI-MUT-EDI-MUT-DEV</t>
  </si>
  <si>
    <t>EDI-MUT-EDI-MUT-DEV .:. DEV</t>
  </si>
  <si>
    <t>Pour faire les DA</t>
  </si>
  <si>
    <t>FabLab (ressources)</t>
  </si>
  <si>
    <t>FabLab (licences MS)</t>
  </si>
  <si>
    <t>EDI (ressources)</t>
  </si>
  <si>
    <t>EDI (licences MS)</t>
  </si>
  <si>
    <t>DI (ressources)</t>
  </si>
  <si>
    <t>DI (licences MS)</t>
  </si>
  <si>
    <t>Gobal</t>
  </si>
  <si>
    <t>ok</t>
  </si>
  <si>
    <t>ok, en rajoutant la VM EDI BIS de DEV !!!!!!!!!!!</t>
  </si>
  <si>
    <t>ok, en les projets CostCenterDI</t>
  </si>
  <si>
    <t>ok, en supprimant les licences Veeam et Windows Datacenter déjà payées intégralement et également les projets CostCenterDI</t>
  </si>
  <si>
    <t>Datastore-datastore-90809</t>
  </si>
  <si>
    <t>GD-JAV-MBUS-005</t>
  </si>
  <si>
    <t>MP-DOCKER-028</t>
  </si>
  <si>
    <t>MP-DOCKER-029</t>
  </si>
  <si>
    <t>A archiver ?</t>
  </si>
  <si>
    <t>IPPUB_80.74.66.42</t>
  </si>
  <si>
    <t>IPPUB_80.74.66.61</t>
  </si>
  <si>
    <t>IPPUB_80.74.66.62</t>
  </si>
  <si>
    <t>IPPUB_80.74.66.63</t>
  </si>
  <si>
    <t>IPPUB_80.74.66.44</t>
  </si>
  <si>
    <t>IPPUB_80.74.66.43</t>
  </si>
  <si>
    <t>GD-PSQL-MAE-006</t>
  </si>
  <si>
    <t>MP-DOCKER-030</t>
  </si>
  <si>
    <t>MS-DCK-CDC-001</t>
  </si>
  <si>
    <t>CDC-DRUPAL</t>
  </si>
  <si>
    <t>LA POSTE-CDC-DRUPAL</t>
  </si>
  <si>
    <t>LA POSTE-CDC-DRUPAL .:. DEV</t>
  </si>
  <si>
    <t>LA-POSTE-CDC-DRUPAL</t>
  </si>
  <si>
    <t>DEVIS-VM-WIN-ETUDES</t>
  </si>
  <si>
    <t>TPL-W2019-v01</t>
  </si>
  <si>
    <t>TPL-WIN10-v01</t>
  </si>
  <si>
    <t>UBUNTU-16-04</t>
  </si>
  <si>
    <t>BKP_SIMPLIVITY_GFI_10006791_J15_1</t>
  </si>
  <si>
    <t>GD-MEAE-API-001</t>
  </si>
  <si>
    <t>GD-PIC-MEAE-001</t>
  </si>
  <si>
    <t>GD-SVN-MEAE-001</t>
  </si>
  <si>
    <t>MS-GIE-AD-001</t>
  </si>
  <si>
    <t>windows9Server64Guest</t>
  </si>
  <si>
    <t>MS-GIE-APP-001</t>
  </si>
  <si>
    <t>MS-GIE-CTRX-001</t>
  </si>
  <si>
    <t>MS-GIE-WIN10-001</t>
  </si>
  <si>
    <t>windows9_64Guest</t>
  </si>
  <si>
    <t>MW-GIE-NTSC-001</t>
  </si>
  <si>
    <t>solaris10_64Guest</t>
  </si>
  <si>
    <t>Prevoirh</t>
  </si>
  <si>
    <t>MEAE-Prevoirh</t>
  </si>
  <si>
    <t>Infra Citrix</t>
  </si>
  <si>
    <t>GIE S-V-Infra Citrix</t>
  </si>
  <si>
    <t>GIE S-V-Infra Citrix .:. DEV</t>
  </si>
  <si>
    <t>MEAE-Prevoirh .:. DEV</t>
  </si>
  <si>
    <t>GIE S-V-Infra Citrix - GIESV/PCN17-01 - Nicolas Cordier</t>
  </si>
  <si>
    <t xml:space="preserve">Cert_citrix-gie-sv.asogfi.fr </t>
  </si>
  <si>
    <t>MEAE-SAGAIE TMA - MAE-PII-L2/334179-17 - Axel Benoist-Gironiere, Vincent MERIAU</t>
  </si>
  <si>
    <t>MEAE-Redmine MEAE - MAE-PII-L2/334179 - Axel Benoist-Gironiere</t>
  </si>
  <si>
    <t>MEAE-Visa - MAE-PII-L2/334179-17 - Axel Benoist-Gironiere</t>
  </si>
  <si>
    <t>MEAE-Prevoirh - MAE-PII-L2/334179-17 - Axel Benoist-Gironiere</t>
  </si>
  <si>
    <t>ADEME-SAGA - ADE-SAGA/S364196A - Pascale CRINE</t>
  </si>
  <si>
    <t>ADEME-SINOE - ADEME-SIN/16-S240097 - Pascale CRINE</t>
  </si>
  <si>
    <t>Vivesco-Vives-taux - VIVESC-TAU/S240776A - Pierre Maurupt</t>
  </si>
  <si>
    <t>AS24-ChantierPIC - AS24/ChantierPIC - Florian DUPONT</t>
  </si>
  <si>
    <t>FRR-Patapain - FRR/TMASI - Rodolphe Habegger</t>
  </si>
  <si>
    <t>FRR-CADENCIER - FRR/TMASI - Pierre BOURLIEUX</t>
  </si>
  <si>
    <t>FRR-APPLIFRR - FRR/TMASI - Pierre BOURLIEUX</t>
  </si>
  <si>
    <t>FRR-TCPOS - FRR/TMASI - Pierre BOURLIEUX</t>
  </si>
  <si>
    <t>BRGM-BDLISA - BRGM/BDLISA-18 - Jean-Philippe STROIAZZO</t>
  </si>
  <si>
    <t>BRGM-BNPE - BRGM/BDLISA-18 - Jean-Philippe STROIAZZO</t>
  </si>
  <si>
    <t>BRGM-DEGATS-MINERS - BRGM/DEGAT-16 - Pierre BOURLIEUX</t>
  </si>
  <si>
    <t>AFB-RNT - ONEMA/TMADCUA-15 - Christophe ORLANDO</t>
  </si>
  <si>
    <t>ONEMA-ASPE - ONEMA/TMADCIE-15 - Christophe ORLANDO</t>
  </si>
  <si>
    <t>AFB-ASPE - ONEMA/TMADCUA-15 - Jean-Philippe STROIAZZO</t>
  </si>
  <si>
    <t>AFB-CARHYCE - ONEMA/TMADCUA-15 - Jean-Philippe STROIAZZO</t>
  </si>
  <si>
    <t>AFB-GEOBS - ONEMA/TMADCUA-15 - Jean-Philippe STROIAZZO</t>
  </si>
  <si>
    <t>AFB-ONDE - ONEMA/TMADCUA-15 - Jean-Philippe STROIAZZO</t>
  </si>
  <si>
    <t>ONEMA-OPALE - ONEMA/TMADCIE-15 - Pierre BOURLIEUX</t>
  </si>
  <si>
    <t>AFB-OISON - ONEMA/TMADCUA-15 - Jean-Philippe STROIAZZO</t>
  </si>
  <si>
    <t>AFB-Patbiodiv - ONEMA/TMADCUA-15 - Rodolphe Habegger</t>
  </si>
  <si>
    <t>AFB-SISPEA - ONEMA/TMADCUA-15 - Pierre BOURLIEUX</t>
  </si>
  <si>
    <t>AFB-BASEINDICATEURS - ONEMA/TMADCUA-15 - Pierre BOURLIEUX</t>
  </si>
  <si>
    <t>AFB-CATALOGUEINDICATEURS - ONEMA/TMADCUA-15 - Pierre BOURLIEUX</t>
  </si>
  <si>
    <t>AFB-SIFLORE - ONEMA/TMADCUA-15 - Pierre BOURLIEUX</t>
  </si>
  <si>
    <t>AFB-ENQUETEDEAU - ONEMA/TMADCUA-15 - Jean-Philippe STROIAZZO</t>
  </si>
  <si>
    <t>ONEMA-CDR - TMA WEB - ONEMA/TMAWEB-16 - Pierre BOURLIEUX</t>
  </si>
  <si>
    <t>CA-TITRES-CRR - CA-TITRES/TMA - Jean-Philippe STROIAZZO</t>
  </si>
  <si>
    <t>CA-TITRES-COGNOS - CA-TITRES/TMA - Jean-Philippe STROIAZZO</t>
  </si>
  <si>
    <t>EDI-MUT-EDI-MUT - HEBERG-EDI  MUT-2018 - David LEMALHEUX</t>
  </si>
  <si>
    <t>EDI-MUT-EDI-MUT-DEV - HEBERG-EDI  MUT-2018 - DEV - David LEMALHEUX</t>
  </si>
  <si>
    <t>DIG-Perform - SUPP-DIGI - 1530-2018 - 0 - 1 - Tache 1 - Perform - Vincent MERIAU</t>
  </si>
  <si>
    <t>GFI-Linkus - SILICONE - 1530-2018 - 0 - 2 - Tache 2 – ORS - Michael Le-Ridant</t>
  </si>
  <si>
    <t>GFI-MARCO POLO - SILICONE - 1530-2018 - 0 - 1 - Tache 1 – MarcoPolo - Philippe De Guio</t>
  </si>
  <si>
    <t>GFI-WE SPEC - SILICONE - 1530-2018 - 0 - 2 - Tache 2 – ORS - Vincent MERIAU</t>
  </si>
  <si>
    <t>GFI-EveryDaily - SUPP-DIGI - 1530-2018 - 0 - 1 - Tache 1 - Perform - Vincent MERIAU</t>
  </si>
  <si>
    <t>GFI-GFICOFFEE - projet interne Orléans - Christophe ORLANDO</t>
  </si>
  <si>
    <t>GFI-GitLab Orléans - GitLab Orléans - Christophe ORLANDO</t>
  </si>
  <si>
    <t>GFI-Oceanet Orléans PIC - GFI Oceanet Orléans PIC - Christophe ORLANDO</t>
  </si>
  <si>
    <t>GFI-Jetbrain serveur licence - GFI-Jetbrain serveur licence - Jérôme JACOB</t>
  </si>
  <si>
    <t>GFI-Redmine Niort - GFI Redmine Niort - Philippe De Guio</t>
  </si>
  <si>
    <t>GFI-Redmine Orléans - GFI Redmine Orléans - Christophe ORLANDO</t>
  </si>
  <si>
    <t>GFI-Oceanet Infra Réseau Orléans - GFI Oceanet Infra Réseau Orléans - Christophe ORLANDO</t>
  </si>
  <si>
    <t>MENESR-APAE - MENESR/TMA - Pierre BOURLIEUX</t>
  </si>
  <si>
    <t>MENESR-BNIE - MENESR/TMA - Pierre BOURLIEUX</t>
  </si>
  <si>
    <t>MENESR-INES - MENESR/TMA - Pierre BOURLIEUX</t>
  </si>
  <si>
    <t>MENESR-RNIE - MENESR/TMA - Pierre BOURLIEUX</t>
  </si>
  <si>
    <t>GFI-MY BUSINESS - GFIINT2019/ NRT-PJINT - Philippe De Guio</t>
  </si>
  <si>
    <t>GFI-Outil de notification automatique Jira (Niort) - GFIINT2019/ NRT-PJINT - Philippe De Guio</t>
  </si>
  <si>
    <t>IT-CE-TMA - IT-CE/DFA - Christophe ORLANDO</t>
  </si>
  <si>
    <t>LA POSTE-SIBP - LAPOST-SIB - 382233 - 0 - 1 - Refonte du portail SIBP - Nicolas Legros</t>
  </si>
  <si>
    <t>LA POSTE-CDC-DRUPAL - LA-POSTE-CDC-DRUPAL - Christophe ORLANDO</t>
  </si>
  <si>
    <t>MACIF-Transverse - MACIF-PHP/284244-17 - Yann-Herve Mauguen</t>
  </si>
  <si>
    <t>STMICRO-STARK - STMICRO/TMASI - Jean-Philippe STROIAZZO</t>
  </si>
  <si>
    <t>STMICRO-RUN2RUN - STMICRO/TMA-R2R-17 - Jean-Philippe STROIAZZO</t>
  </si>
  <si>
    <t>Fablab-Firmin - Fablab-Firmin - Pierre-Yves Baloche</t>
  </si>
  <si>
    <t>Gest'ea / OUGC-Gest'ea / OUGC - Gest'ea / OUGC - Jean-Philippe STROIAZZO</t>
  </si>
  <si>
    <t>GIP RECIA-Plateformes CLOUD / Edition - GIP RECIA-Plateformes CLOUD / Edition - Christophe ORLANDO</t>
  </si>
  <si>
    <t>GIE S-V-Mantis - RR - GIESV/PCN17-01 - Nicolas Cordier</t>
  </si>
  <si>
    <t>PRIZER-TMA - PRIZER-TMA - Valerie ASSELIN LOZACHMEUR</t>
  </si>
  <si>
    <t>AFB-PNM - AFB/OFB_LOT2 - Eric RAUCOURT</t>
  </si>
  <si>
    <t>PCM-ALS - PCM-WEB - Alice MARCHAL</t>
  </si>
  <si>
    <t>Lissage Licence Veeam Backup en mode achat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</si>
</sst>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7" formatCode="#,##0.00\ &quot;€&quot;;\-#,##0.00\ &quot;€&quot;"/>
    <numFmt numFmtId="44" formatCode="_-* #,##0.00\ &quot;€&quot;_-;\-* #,##0.00\ &quot;€&quot;_-;_-* &quot;-&quot;??\ &quot;€&quot;_-;_-@_-"/>
    <numFmt numFmtId="164" formatCode="#,##0.0"/>
    <numFmt numFmtId="165" formatCode="#,##0.00\ &quot;€&quot;"/>
    <numFmt numFmtId="166" formatCode="_-* #,##0.00\ \$_-;\-* #,##0.00\ \$_-;_-* &quot;-&quot;??\ \$_-;_-@_-"/>
  </numFmts>
  <fonts count="14" x14ac:knownFonts="1">
    <font>
      <sz val="11"/>
      <color theme="1"/>
      <name val="Calibri"/>
      <family val="2"/>
      <scheme val="minor"/>
    </font>
    <font>
      <sz val="11"/>
      <color theme="0"/>
      <name val="Calibri"/>
      <family val="2"/>
      <scheme val="minor"/>
    </font>
    <font>
      <b/>
      <sz val="11"/>
      <name val="Calibri"/>
      <family val="2"/>
      <scheme val="minor"/>
    </font>
    <font>
      <sz val="11"/>
      <name val="Calibri"/>
      <family val="2"/>
      <scheme val="minor"/>
    </font>
    <font>
      <u/>
      <sz val="11"/>
      <color theme="10"/>
      <name val="Calibri"/>
      <family val="2"/>
      <scheme val="minor"/>
    </font>
    <font>
      <sz val="11"/>
      <color theme="1"/>
      <name val="Calibri"/>
      <family val="2"/>
      <scheme val="minor"/>
    </font>
    <font>
      <b/>
      <sz val="11"/>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sz val="11"/>
      <color theme="10"/>
      <name val="Calibri"/>
      <family val="2"/>
      <scheme val="minor"/>
    </font>
    <font>
      <sz val="16"/>
      <name val="Calibri"/>
      <family val="2"/>
      <scheme val="minor"/>
    </font>
    <font>
      <sz val="16"/>
      <color theme="1"/>
      <name val="Calibri"/>
      <family val="2"/>
      <scheme val="minor"/>
    </font>
    <font>
      <sz val="18"/>
      <color theme="1"/>
      <name val="Calibri"/>
      <family val="2"/>
      <scheme val="minor"/>
    </font>
  </fonts>
  <fills count="16">
    <fill>
      <patternFill patternType="none"/>
    </fill>
    <fill>
      <patternFill patternType="gray125"/>
    </fill>
    <fill>
      <patternFill patternType="solid">
        <fgColor theme="9"/>
      </patternFill>
    </fill>
    <fill>
      <patternFill patternType="solid">
        <fgColor rgb="FF00B0F0"/>
        <bgColor indexed="64"/>
      </patternFill>
    </fill>
    <fill>
      <patternFill patternType="solid">
        <fgColor theme="8"/>
        <bgColor indexed="64"/>
      </patternFill>
    </fill>
    <fill>
      <patternFill patternType="solid">
        <fgColor theme="4" tint="-0.499984740745262"/>
        <bgColor indexed="64"/>
      </patternFill>
    </fill>
    <fill>
      <patternFill patternType="solid">
        <fgColor rgb="FFFFFF00"/>
        <bgColor indexed="64"/>
      </patternFill>
    </fill>
    <fill>
      <patternFill patternType="solid">
        <fgColor rgb="FF92D050"/>
        <bgColor indexed="64"/>
      </patternFill>
    </fill>
    <fill>
      <patternFill patternType="solid">
        <fgColor theme="5" tint="0.39997558519241921"/>
        <bgColor indexed="64"/>
      </patternFill>
    </fill>
    <fill>
      <patternFill patternType="solid">
        <fgColor rgb="FFFFC000"/>
        <bgColor indexed="64"/>
      </patternFill>
    </fill>
    <fill>
      <patternFill patternType="solid">
        <fgColor rgb="FFFF0000"/>
        <bgColor indexed="64"/>
      </patternFill>
    </fill>
    <fill>
      <patternFill patternType="solid">
        <fgColor theme="9" tint="-0.249977111117893"/>
        <bgColor indexed="64"/>
      </patternFill>
    </fill>
    <fill>
      <patternFill patternType="solid">
        <fgColor theme="4" tint="0.39997558519241921"/>
        <bgColor indexed="64"/>
      </patternFill>
    </fill>
    <fill>
      <patternFill patternType="solid">
        <fgColor rgb="FF0070C0"/>
        <bgColor indexed="64"/>
      </patternFill>
    </fill>
    <fill>
      <patternFill patternType="solid">
        <fgColor theme="5" tint="0.59999389629810485"/>
        <bgColor indexed="64"/>
      </patternFill>
    </fill>
    <fill>
      <patternFill patternType="solid">
        <fgColor theme="4" tint="0.59999389629810485"/>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s>
  <cellStyleXfs count="4">
    <xf numFmtId="0" fontId="0" fillId="0" borderId="0"/>
    <xf numFmtId="0" fontId="1" fillId="2" borderId="0" applyNumberFormat="0" applyBorder="0" applyAlignment="0" applyProtection="0"/>
    <xf numFmtId="0" fontId="4" fillId="0" borderId="0" applyNumberFormat="0" applyFill="0" applyBorder="0" applyAlignment="0" applyProtection="0"/>
    <xf numFmtId="44" fontId="5" fillId="0" borderId="0" applyFont="0" applyFill="0" applyBorder="0" applyAlignment="0" applyProtection="0"/>
  </cellStyleXfs>
  <cellXfs count="91">
    <xf numFmtId="0" fontId="0" fillId="0" borderId="0" xfId="0"/>
    <xf numFmtId="0" fontId="0" fillId="0" borderId="0" xfId="0" applyAlignment="1">
      <alignment vertical="center"/>
    </xf>
    <xf numFmtId="0" fontId="0" fillId="3" borderId="0" xfId="0" applyFill="1"/>
    <xf numFmtId="0" fontId="0" fillId="0" borderId="0" xfId="0" applyProtection="1">
      <protection locked="0"/>
    </xf>
    <xf numFmtId="14" fontId="0" fillId="0" borderId="0" xfId="0" applyNumberFormat="1" applyProtection="1">
      <protection locked="0"/>
    </xf>
    <xf numFmtId="0" fontId="0" fillId="0" borderId="0" xfId="0" applyNumberFormat="1"/>
    <xf numFmtId="0" fontId="0" fillId="4" borderId="0" xfId="0" applyFill="1"/>
    <xf numFmtId="0" fontId="0" fillId="0" borderId="0" xfId="0" applyFill="1"/>
    <xf numFmtId="0" fontId="2" fillId="0" borderId="0" xfId="0" applyFont="1" applyFill="1" applyBorder="1" applyAlignment="1">
      <alignment horizontal="left" vertical="top" wrapText="1"/>
    </xf>
    <xf numFmtId="0" fontId="3" fillId="0" borderId="0" xfId="0" applyFont="1" applyFill="1" applyBorder="1" applyAlignment="1">
      <alignment horizontal="left"/>
    </xf>
    <xf numFmtId="0" fontId="3" fillId="0" borderId="0" xfId="0" applyFont="1" applyFill="1" applyBorder="1"/>
    <xf numFmtId="164" fontId="3" fillId="0" borderId="0" xfId="1" applyNumberFormat="1" applyFont="1" applyFill="1" applyBorder="1" applyAlignment="1">
      <alignment horizontal="center" vertical="top" wrapText="1"/>
    </xf>
    <xf numFmtId="0" fontId="4" fillId="0" borderId="0" xfId="2"/>
    <xf numFmtId="0" fontId="0" fillId="0" borderId="0" xfId="0" applyAlignment="1">
      <alignment wrapText="1"/>
    </xf>
    <xf numFmtId="0" fontId="0" fillId="0" borderId="0" xfId="0" applyFill="1" applyBorder="1"/>
    <xf numFmtId="165" fontId="0" fillId="0" borderId="0" xfId="0" applyNumberFormat="1" applyFill="1" applyBorder="1"/>
    <xf numFmtId="0" fontId="0" fillId="0" borderId="0" xfId="0" applyFill="1" applyBorder="1" applyAlignment="1">
      <alignment wrapText="1"/>
    </xf>
    <xf numFmtId="44" fontId="0" fillId="0" borderId="0" xfId="3" applyFont="1"/>
    <xf numFmtId="0" fontId="0" fillId="0" borderId="0" xfId="0" pivotButton="1"/>
    <xf numFmtId="0" fontId="0" fillId="0" borderId="0" xfId="0" applyAlignment="1">
      <alignment horizontal="left"/>
    </xf>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indent="3"/>
    </xf>
    <xf numFmtId="0" fontId="3" fillId="0" borderId="0" xfId="0" applyFont="1" applyFill="1"/>
    <xf numFmtId="0" fontId="6" fillId="0" borderId="0" xfId="0" applyFont="1"/>
    <xf numFmtId="44" fontId="0" fillId="0" borderId="0" xfId="3" applyNumberFormat="1" applyFont="1"/>
    <xf numFmtId="0" fontId="0" fillId="5" borderId="0" xfId="0" applyFill="1"/>
    <xf numFmtId="0" fontId="6" fillId="6" borderId="1" xfId="0" applyFont="1" applyFill="1" applyBorder="1" applyAlignment="1">
      <alignment horizontal="center"/>
    </xf>
    <xf numFmtId="0" fontId="0" fillId="0" borderId="1" xfId="0" applyBorder="1"/>
    <xf numFmtId="0" fontId="0" fillId="7" borderId="1" xfId="0" applyFill="1" applyBorder="1" applyAlignment="1">
      <alignment horizontal="center"/>
    </xf>
    <xf numFmtId="0" fontId="0" fillId="3" borderId="1" xfId="0" applyFill="1" applyBorder="1" applyAlignment="1">
      <alignment horizontal="center"/>
    </xf>
    <xf numFmtId="0" fontId="0" fillId="8" borderId="1" xfId="0" applyFill="1" applyBorder="1" applyAlignment="1">
      <alignment horizontal="center"/>
    </xf>
    <xf numFmtId="0" fontId="6" fillId="0" borderId="1" xfId="0" applyFont="1" applyBorder="1" applyAlignment="1">
      <alignment horizontal="center"/>
    </xf>
    <xf numFmtId="0" fontId="0" fillId="0" borderId="1" xfId="0" applyBorder="1" applyAlignment="1">
      <alignment horizontal="center"/>
    </xf>
    <xf numFmtId="0" fontId="0" fillId="9" borderId="1" xfId="0" applyFill="1" applyBorder="1"/>
    <xf numFmtId="0" fontId="0" fillId="9" borderId="1" xfId="0" applyFill="1" applyBorder="1" applyAlignment="1">
      <alignment horizontal="center"/>
    </xf>
    <xf numFmtId="0" fontId="0" fillId="0" borderId="1" xfId="0" applyBorder="1" applyAlignment="1">
      <alignment wrapText="1"/>
    </xf>
    <xf numFmtId="0" fontId="0" fillId="10" borderId="1" xfId="0" applyFill="1" applyBorder="1" applyAlignment="1">
      <alignment horizontal="center"/>
    </xf>
    <xf numFmtId="0" fontId="0" fillId="10" borderId="1" xfId="0" applyFill="1" applyBorder="1"/>
    <xf numFmtId="0" fontId="0" fillId="0" borderId="0" xfId="0" applyAlignment="1">
      <alignment horizontal="center"/>
    </xf>
    <xf numFmtId="165" fontId="0" fillId="0" borderId="1" xfId="0" applyNumberFormat="1" applyBorder="1"/>
    <xf numFmtId="165" fontId="6" fillId="0" borderId="0" xfId="0" applyNumberFormat="1" applyFont="1"/>
    <xf numFmtId="0" fontId="0" fillId="0" borderId="0" xfId="0" applyAlignment="1" applyProtection="1">
      <alignment wrapText="1"/>
      <protection locked="0"/>
    </xf>
    <xf numFmtId="0" fontId="0" fillId="11" borderId="0" xfId="0" applyFill="1"/>
    <xf numFmtId="165" fontId="0" fillId="0" borderId="0" xfId="0" applyNumberFormat="1" applyFill="1"/>
    <xf numFmtId="0" fontId="7" fillId="0" borderId="0" xfId="0" applyFont="1"/>
    <xf numFmtId="0" fontId="0" fillId="0" borderId="0" xfId="0" applyFont="1"/>
    <xf numFmtId="0" fontId="3" fillId="12" borderId="0" xfId="0" applyFont="1" applyFill="1" applyBorder="1" applyAlignment="1">
      <alignment horizontal="left"/>
    </xf>
    <xf numFmtId="0" fontId="0" fillId="10" borderId="0" xfId="0" applyFill="1" applyProtection="1">
      <protection locked="0"/>
    </xf>
    <xf numFmtId="0" fontId="0" fillId="9" borderId="0" xfId="0" applyFill="1" applyProtection="1">
      <protection locked="0"/>
    </xf>
    <xf numFmtId="0" fontId="0" fillId="0" borderId="0" xfId="0" applyFill="1" applyProtection="1">
      <protection locked="0"/>
    </xf>
    <xf numFmtId="0" fontId="3" fillId="0" borderId="0" xfId="0" applyFont="1" applyFill="1" applyBorder="1" applyAlignment="1">
      <alignment horizontal="left" indent="2"/>
    </xf>
    <xf numFmtId="0" fontId="0" fillId="0" borderId="0" xfId="0" applyFill="1" applyAlignment="1" applyProtection="1">
      <alignment wrapText="1"/>
      <protection locked="0"/>
    </xf>
    <xf numFmtId="165" fontId="0" fillId="0" borderId="0" xfId="0" applyNumberFormat="1"/>
    <xf numFmtId="0" fontId="0" fillId="0" borderId="1" xfId="0" applyFill="1" applyBorder="1"/>
    <xf numFmtId="7" fontId="0" fillId="0" borderId="1" xfId="0" applyNumberFormat="1" applyFill="1" applyBorder="1"/>
    <xf numFmtId="0" fontId="0" fillId="0" borderId="1" xfId="0" applyFill="1" applyBorder="1" applyAlignment="1">
      <alignment wrapText="1"/>
    </xf>
    <xf numFmtId="7" fontId="8" fillId="0" borderId="2" xfId="0" applyNumberFormat="1" applyFont="1" applyBorder="1"/>
    <xf numFmtId="7" fontId="8" fillId="0" borderId="1" xfId="0" applyNumberFormat="1" applyFont="1" applyBorder="1"/>
    <xf numFmtId="0" fontId="6" fillId="0" borderId="1" xfId="0" applyFont="1" applyBorder="1"/>
    <xf numFmtId="0" fontId="0" fillId="0" borderId="0" xfId="0" applyFill="1" applyAlignment="1">
      <alignment wrapText="1"/>
    </xf>
    <xf numFmtId="0" fontId="9" fillId="0" borderId="0" xfId="0" applyFont="1"/>
    <xf numFmtId="0" fontId="3" fillId="10" borderId="0" xfId="0" applyFont="1" applyFill="1" applyBorder="1" applyAlignment="1">
      <alignment horizontal="left"/>
    </xf>
    <xf numFmtId="0" fontId="3" fillId="10" borderId="0" xfId="0" applyFont="1" applyFill="1" applyBorder="1" applyAlignment="1">
      <alignment horizontal="left" indent="2"/>
    </xf>
    <xf numFmtId="0" fontId="3" fillId="10" borderId="0" xfId="0" applyFont="1" applyFill="1" applyBorder="1"/>
    <xf numFmtId="0" fontId="3" fillId="10" borderId="0" xfId="0" applyFont="1" applyFill="1" applyBorder="1" applyAlignment="1">
      <alignment horizontal="right"/>
    </xf>
    <xf numFmtId="0" fontId="0" fillId="0" borderId="3" xfId="0" applyFill="1" applyBorder="1" applyAlignment="1">
      <alignment wrapText="1"/>
    </xf>
    <xf numFmtId="0" fontId="8" fillId="0" borderId="0" xfId="0" applyFont="1"/>
    <xf numFmtId="44" fontId="0" fillId="0" borderId="0" xfId="0" applyNumberFormat="1"/>
    <xf numFmtId="44" fontId="0" fillId="0" borderId="0" xfId="0" applyNumberFormat="1" applyFont="1"/>
    <xf numFmtId="2" fontId="0" fillId="0" borderId="0" xfId="0" applyNumberFormat="1"/>
    <xf numFmtId="0" fontId="0" fillId="6" borderId="0" xfId="0" applyFill="1"/>
    <xf numFmtId="0" fontId="10" fillId="0" borderId="0" xfId="2" applyFont="1"/>
    <xf numFmtId="0" fontId="3" fillId="0" borderId="0" xfId="0" applyFont="1" applyFill="1" applyBorder="1" applyAlignment="1"/>
    <xf numFmtId="0" fontId="6" fillId="0" borderId="0" xfId="0" applyNumberFormat="1" applyFont="1"/>
    <xf numFmtId="0" fontId="0" fillId="13" borderId="0" xfId="0" applyFill="1"/>
    <xf numFmtId="7" fontId="8" fillId="3" borderId="1" xfId="0" applyNumberFormat="1" applyFont="1" applyFill="1" applyBorder="1"/>
    <xf numFmtId="0" fontId="11" fillId="10" borderId="0" xfId="0" applyFont="1" applyFill="1" applyBorder="1" applyAlignment="1">
      <alignment horizontal="left"/>
    </xf>
    <xf numFmtId="0" fontId="11" fillId="10" borderId="0" xfId="0" applyFont="1" applyFill="1" applyBorder="1" applyAlignment="1">
      <alignment horizontal="left" indent="2"/>
    </xf>
    <xf numFmtId="0" fontId="11" fillId="10" borderId="0" xfId="0" applyFont="1" applyFill="1" applyBorder="1"/>
    <xf numFmtId="0" fontId="12" fillId="10" borderId="0" xfId="0" applyFont="1" applyFill="1"/>
    <xf numFmtId="0" fontId="13" fillId="10" borderId="0" xfId="0" applyNumberFormat="1" applyFont="1" applyFill="1"/>
    <xf numFmtId="0" fontId="13" fillId="10" borderId="0" xfId="0" applyFont="1" applyFill="1" applyProtection="1">
      <protection locked="0"/>
    </xf>
    <xf numFmtId="14" fontId="13" fillId="10" borderId="0" xfId="0" applyNumberFormat="1" applyFont="1" applyFill="1" applyProtection="1">
      <protection locked="0"/>
    </xf>
    <xf numFmtId="0" fontId="0" fillId="14" borderId="1" xfId="0" applyFill="1" applyBorder="1"/>
    <xf numFmtId="0" fontId="0" fillId="15" borderId="1" xfId="0" applyFill="1" applyBorder="1"/>
    <xf numFmtId="0" fontId="0" fillId="3" borderId="1" xfId="0" applyFill="1" applyBorder="1"/>
    <xf numFmtId="165" fontId="0" fillId="14" borderId="1" xfId="0" applyNumberFormat="1" applyFill="1" applyBorder="1"/>
    <xf numFmtId="165" fontId="0" fillId="15" borderId="1" xfId="0" applyNumberFormat="1" applyFill="1" applyBorder="1"/>
    <xf numFmtId="165" fontId="0" fillId="3" borderId="1" xfId="0" applyNumberFormat="1" applyFill="1" applyBorder="1"/>
    <xf numFmtId="0" fontId="0" fillId="0" borderId="0" xfId="0" applyAlignment="1">
      <alignment horizontal="left" wrapText="1"/>
    </xf>
  </cellXfs>
  <cellStyles count="4">
    <cellStyle name="Accent6" xfId="1" builtinId="49"/>
    <cellStyle name="Lien hypertexte" xfId="2" builtinId="8"/>
    <cellStyle name="Monétaire" xfId="3" builtinId="4"/>
    <cellStyle name="Normal" xfId="0" builtinId="0"/>
  </cellStyles>
  <dxfs count="156">
    <dxf>
      <font>
        <sz val="10"/>
      </font>
    </dxf>
    <dxf>
      <numFmt numFmtId="165" formatCode="#,##0.00\ &quot;€&quot;"/>
    </dxf>
    <dxf>
      <font>
        <sz val="10"/>
      </font>
    </dxf>
    <dxf>
      <numFmt numFmtId="165" formatCode="#,##0.00\ &quot;€&quot;"/>
    </dxf>
    <dxf>
      <font>
        <sz val="10"/>
      </font>
    </dxf>
    <dxf>
      <numFmt numFmtId="2" formatCode="0.00"/>
    </dxf>
    <dxf>
      <font>
        <sz val="10"/>
      </font>
    </dxf>
    <dxf>
      <numFmt numFmtId="165" formatCode="#,##0.00\ &quot;€&quot;"/>
    </dxf>
    <dxf>
      <font>
        <sz val="10"/>
      </font>
    </dxf>
    <dxf>
      <numFmt numFmtId="165" formatCode="#,##0.00\ &quot;€&quot;"/>
    </dxf>
    <dxf>
      <font>
        <sz val="10"/>
      </font>
    </dxf>
    <dxf>
      <numFmt numFmtId="2" formatCode="0.00"/>
    </dxf>
    <dxf>
      <font>
        <sz val="10"/>
      </font>
    </dxf>
    <dxf>
      <numFmt numFmtId="165" formatCode="#,##0.00\ &quot;€&quot;"/>
    </dxf>
    <dxf>
      <font>
        <sz val="10"/>
      </font>
    </dxf>
    <dxf>
      <numFmt numFmtId="165" formatCode="#,##0.00\ &quot;€&quot;"/>
    </dxf>
    <dxf>
      <font>
        <sz val="10"/>
      </font>
    </dxf>
    <dxf>
      <numFmt numFmtId="2" formatCode="0.00"/>
    </dxf>
    <dxf>
      <font>
        <sz val="10"/>
      </font>
    </dxf>
    <dxf>
      <numFmt numFmtId="165" formatCode="#,##0.00\ &quot;€&quot;"/>
    </dxf>
    <dxf>
      <font>
        <sz val="10"/>
      </font>
    </dxf>
    <dxf>
      <numFmt numFmtId="165" formatCode="#,##0.00\ &quot;€&quot;"/>
    </dxf>
    <dxf>
      <font>
        <sz val="10"/>
      </font>
    </dxf>
    <dxf>
      <numFmt numFmtId="2" formatCode="0.00"/>
    </dxf>
    <dxf>
      <font>
        <sz val="10"/>
      </font>
    </dxf>
    <dxf>
      <numFmt numFmtId="165" formatCode="#,##0.00\ &quot;€&quot;"/>
    </dxf>
    <dxf>
      <font>
        <sz val="10"/>
      </font>
    </dxf>
    <dxf>
      <numFmt numFmtId="165" formatCode="#,##0.00\ &quot;€&quot;"/>
    </dxf>
    <dxf>
      <font>
        <sz val="10"/>
      </font>
    </dxf>
    <dxf>
      <numFmt numFmtId="2" formatCode="0.00"/>
    </dxf>
    <dxf>
      <font>
        <sz val="10"/>
      </font>
    </dxf>
    <dxf>
      <numFmt numFmtId="165" formatCode="#,##0.00\ &quot;€&quot;"/>
    </dxf>
    <dxf>
      <font>
        <sz val="10"/>
      </font>
    </dxf>
    <dxf>
      <numFmt numFmtId="165" formatCode="#,##0.00\ &quot;€&quot;"/>
    </dxf>
    <dxf>
      <font>
        <sz val="10"/>
      </font>
    </dxf>
    <dxf>
      <numFmt numFmtId="2" formatCode="0.00"/>
    </dxf>
    <dxf>
      <font>
        <sz val="10"/>
      </font>
    </dxf>
    <dxf>
      <numFmt numFmtId="165" formatCode="#,##0.00\ &quot;€&quot;"/>
    </dxf>
    <dxf>
      <font>
        <sz val="10"/>
      </font>
    </dxf>
    <dxf>
      <numFmt numFmtId="165" formatCode="#,##0.00\ &quot;€&quot;"/>
    </dxf>
    <dxf>
      <font>
        <sz val="10"/>
      </font>
    </dxf>
    <dxf>
      <numFmt numFmtId="2" formatCode="0.00"/>
    </dxf>
    <dxf>
      <alignment horizontal="left"/>
    </dxf>
    <dxf>
      <numFmt numFmtId="165" formatCode="#,##0.00\ &quot;€&quot;"/>
    </dxf>
    <dxf>
      <numFmt numFmtId="165" formatCode="#,##0.00\ &quot;€&quot;"/>
    </dxf>
    <dxf>
      <font>
        <sz val="10"/>
      </font>
    </dxf>
    <dxf>
      <numFmt numFmtId="165" formatCode="#,##0.00\ &quot;€&quot;"/>
    </dxf>
    <dxf>
      <font>
        <sz val="10"/>
      </font>
    </dxf>
    <dxf>
      <numFmt numFmtId="165" formatCode="#,##0.00\ &quot;€&quot;"/>
    </dxf>
    <dxf>
      <font>
        <sz val="10"/>
      </font>
    </dxf>
    <dxf>
      <numFmt numFmtId="2" formatCode="0.00"/>
    </dxf>
    <dxf>
      <font>
        <sz val="10"/>
      </font>
    </dxf>
    <dxf>
      <numFmt numFmtId="165" formatCode="#,##0.00\ &quot;€&quot;"/>
    </dxf>
    <dxf>
      <font>
        <sz val="10"/>
      </font>
    </dxf>
    <dxf>
      <numFmt numFmtId="2" formatCode="0.00"/>
    </dxf>
    <dxf>
      <font>
        <sz val="10"/>
      </font>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165" formatCode="#,##0.00\ &quot;€&quot;"/>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1"/>
        <color auto="1"/>
        <name val="Calibri"/>
        <family val="2"/>
        <scheme val="minor"/>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1"/>
        <color auto="1"/>
        <name val="Calibri"/>
        <family val="2"/>
        <scheme val="minor"/>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1"/>
        <color auto="1"/>
        <name val="Calibri"/>
        <family val="2"/>
        <scheme val="minor"/>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1"/>
        <color auto="1"/>
        <name val="Calibri"/>
        <family val="2"/>
        <scheme val="minor"/>
      </font>
      <fill>
        <patternFill patternType="none">
          <fgColor indexed="64"/>
          <bgColor auto="1"/>
        </patternFill>
      </fill>
      <alignment horizontal="left" vertical="bottom" textRotation="0" wrapText="0" indent="2"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1"/>
        <color auto="1"/>
        <name val="Calibri"/>
        <family val="2"/>
        <scheme val="minor"/>
      </font>
      <fill>
        <patternFill patternType="none">
          <fgColor indexed="64"/>
          <bgColor auto="1"/>
        </patternFill>
      </fill>
      <alignment horizontal="left" vertical="bottom" textRotation="0" wrapText="0" relativeIndent="-1" justifyLastLine="0" shrinkToFit="0" readingOrder="0"/>
    </dxf>
    <dxf>
      <font>
        <strike val="0"/>
        <outline val="0"/>
        <shadow val="0"/>
        <u val="none"/>
        <vertAlign val="baseline"/>
        <sz val="11"/>
        <color auto="1"/>
        <name val="Calibri"/>
        <family val="2"/>
        <scheme val="minor"/>
      </font>
      <fill>
        <patternFill patternType="none">
          <fgColor indexed="64"/>
          <bgColor auto="1"/>
        </patternFill>
      </fill>
    </dxf>
    <dxf>
      <font>
        <strike val="0"/>
        <outline val="0"/>
        <shadow val="0"/>
        <u val="none"/>
        <vertAlign val="baseline"/>
        <sz val="11"/>
        <color auto="1"/>
        <name val="Calibri"/>
        <family val="2"/>
        <scheme val="minor"/>
      </font>
      <fill>
        <patternFill patternType="none">
          <fgColor indexed="64"/>
          <bgColor auto="1"/>
        </patternFill>
      </fill>
    </dxf>
    <dxf>
      <font>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1" indent="0" justifyLastLine="0" shrinkToFit="0" readingOrder="0"/>
    </dxf>
    <dxf>
      <protection locked="0" hidden="0"/>
    </dxf>
    <dxf>
      <protection locked="0" hidden="0"/>
    </dxf>
    <dxf>
      <protection locked="0" hidden="0"/>
    </dxf>
    <dxf>
      <protection locked="0" hidden="0"/>
    </dxf>
    <dxf>
      <numFmt numFmtId="19" formatCode="dd/mm/yyyy"/>
      <protection locked="0" hidden="0"/>
    </dxf>
    <dxf>
      <numFmt numFmtId="19" formatCode="dd/mm/yyyy"/>
      <protection locked="0" hidden="0"/>
    </dxf>
    <dxf>
      <protection locked="0" hidden="0"/>
    </dxf>
    <dxf>
      <protection locked="0" hidden="0"/>
    </dxf>
    <dxf>
      <numFmt numFmtId="0" formatCode="General"/>
    </dxf>
    <dxf>
      <fill>
        <patternFill>
          <bgColor rgb="FFC00000"/>
        </patternFill>
      </fill>
    </dxf>
    <dxf>
      <fill>
        <patternFill>
          <bgColor rgb="FFC00000"/>
        </patternFill>
      </fill>
    </dxf>
    <dxf>
      <fill>
        <patternFill>
          <bgColor rgb="FFC00000"/>
        </patternFill>
      </fill>
    </dxf>
    <dxf>
      <fill>
        <patternFill>
          <bgColor rgb="FFC00000"/>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family val="2"/>
        <scheme val="minor"/>
      </font>
      <numFmt numFmtId="34" formatCode="_-* #,##0.00\ &quot;€&quot;_-;\-* #,##0.00\ &quot;€&quot;_-;_-* &quot;-&quot;??\ &quot;€&quot;_-;_-@_-"/>
    </dxf>
    <dxf>
      <font>
        <b val="0"/>
        <i val="0"/>
        <strike val="0"/>
        <condense val="0"/>
        <extend val="0"/>
        <outline val="0"/>
        <shadow val="0"/>
        <u val="none"/>
        <vertAlign val="baseline"/>
        <sz val="11"/>
        <color theme="1"/>
        <name val="Calibri"/>
        <family val="2"/>
        <scheme val="minor"/>
      </font>
      <numFmt numFmtId="34" formatCode="_-* #,##0.00\ &quot;€&quot;_-;\-* #,##0.00\ &quot;€&quot;_-;_-* &quot;-&quot;??\ &quot;€&quot;_-;_-@_-"/>
    </dxf>
    <dxf>
      <font>
        <b val="0"/>
        <i val="0"/>
        <strike val="0"/>
        <condense val="0"/>
        <extend val="0"/>
        <outline val="0"/>
        <shadow val="0"/>
        <u val="none"/>
        <vertAlign val="baseline"/>
        <sz val="11"/>
        <color theme="1"/>
        <name val="Calibri"/>
        <family val="2"/>
        <scheme val="minor"/>
      </font>
      <numFmt numFmtId="34" formatCode="_-* #,##0.00\ &quot;€&quot;_-;\-* #,##0.00\ &quot;€&quot;_-;_-* &quot;-&quot;??\ &quot;€&quot;_-;_-@_-"/>
    </dxf>
    <dxf>
      <font>
        <b val="0"/>
        <i val="0"/>
        <strike val="0"/>
        <condense val="0"/>
        <extend val="0"/>
        <outline val="0"/>
        <shadow val="0"/>
        <u val="none"/>
        <vertAlign val="baseline"/>
        <sz val="11"/>
        <color theme="1"/>
        <name val="Calibri"/>
        <family val="2"/>
        <scheme val="minor"/>
      </font>
      <numFmt numFmtId="34" formatCode="_-* #,##0.00\ &quot;€&quot;_-;\-* #,##0.00\ &quot;€&quot;_-;_-* &quot;-&quot;??\ &quot;€&quot;_-;_-@_-"/>
    </dxf>
    <dxf>
      <font>
        <b val="0"/>
        <i val="0"/>
        <strike val="0"/>
        <condense val="0"/>
        <extend val="0"/>
        <outline val="0"/>
        <shadow val="0"/>
        <u val="none"/>
        <vertAlign val="baseline"/>
        <sz val="11"/>
        <color theme="1"/>
        <name val="Calibri"/>
        <family val="2"/>
        <scheme val="minor"/>
      </font>
      <numFmt numFmtId="34" formatCode="_-* #,##0.00\ &quot;€&quot;_-;\-* #,##0.00\ &quot;€&quot;_-;_-* &quot;-&quot;??\ &quot;€&quot;_-;_-@_-"/>
    </dxf>
    <dxf>
      <font>
        <b val="0"/>
        <i val="0"/>
        <strike val="0"/>
        <condense val="0"/>
        <extend val="0"/>
        <outline val="0"/>
        <shadow val="0"/>
        <u val="none"/>
        <vertAlign val="baseline"/>
        <sz val="11"/>
        <color theme="1"/>
        <name val="Calibri"/>
        <family val="2"/>
        <scheme val="minor"/>
      </font>
      <numFmt numFmtId="34" formatCode="_-* #,##0.00\ &quot;€&quot;_-;\-* #,##0.00\ &quot;€&quot;_-;_-* &quot;-&quot;??\ &quot;€&quot;_-;_-@_-"/>
    </dxf>
    <dxf>
      <numFmt numFmtId="34" formatCode="_-* #,##0.00\ &quot;€&quot;_-;\-* #,##0.00\ &quot;€&quot;_-;_-* &quot;-&quot;??\ &quot;€&quot;_-;_-@_-"/>
    </dxf>
    <dxf>
      <numFmt numFmtId="34" formatCode="_-* #,##0.00\ &quot;€&quot;_-;\-* #,##0.00\ &quot;€&quot;_-;_-* &quot;-&quot;??\ &quot;€&quot;_-;_-@_-"/>
    </dxf>
    <dxf>
      <numFmt numFmtId="0" formatCode="General"/>
    </dxf>
    <dxf>
      <numFmt numFmtId="0" formatCode="General"/>
    </dxf>
    <dxf>
      <numFmt numFmtId="165" formatCode="#,##0.00\ &quot;€&quot;"/>
    </dxf>
    <dxf>
      <numFmt numFmtId="165" formatCode="#,##0.00\ &quot;€&quo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34" formatCode="_-* #,##0.00\ &quot;€&quot;_-;\-* #,##0.00\ &quot;€&quot;_-;_-* &quot;-&quot;??\ &quot;€&quot;_-;_-@_-"/>
    </dxf>
    <dxf>
      <numFmt numFmtId="34" formatCode="_-* #,##0.00\ &quot;€&quot;_-;\-* #,##0.00\ &quot;€&quot;_-;_-* &quot;-&quot;??\ &quot;€&quot;_-;_-@_-"/>
    </dxf>
    <dxf>
      <numFmt numFmtId="0" formatCode="General"/>
    </dxf>
    <dxf>
      <numFmt numFmtId="0" formatCode="General"/>
    </dxf>
    <dxf>
      <numFmt numFmtId="34" formatCode="_-* #,##0.00\ &quot;€&quot;_-;\-* #,##0.00\ &quot;€&quot;_-;_-* &quot;-&quot;??\ &quot;€&quot;_-;_-@_-"/>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0.00\ &quot;€&quot;"/>
    </dxf>
    <dxf>
      <numFmt numFmtId="165" formatCode="#,##0.00\ &quot;€&quot;"/>
    </dxf>
    <dxf>
      <alignment horizontal="left"/>
    </dxf>
    <dxf>
      <numFmt numFmtId="2" formatCode="0.00"/>
    </dxf>
    <dxf>
      <font>
        <sz val="10"/>
      </font>
    </dxf>
    <dxf>
      <numFmt numFmtId="165" formatCode="#,##0.00\ &quot;€&quot;"/>
    </dxf>
    <dxf>
      <font>
        <sz val="10"/>
      </font>
    </dxf>
    <dxf>
      <numFmt numFmtId="165" formatCode="#,##0.00\ &quot;€&quot;"/>
    </dxf>
    <dxf>
      <font>
        <sz val="10"/>
      </font>
    </dxf>
    <dxf>
      <font>
        <sz val="10"/>
      </font>
    </dxf>
    <dxf>
      <numFmt numFmtId="2" formatCode="0.00"/>
    </dxf>
    <dxf>
      <font>
        <sz val="10"/>
      </font>
    </dxf>
    <dxf>
      <numFmt numFmtId="165" formatCode="#,##0.00\ &quot;€&quot;"/>
    </dxf>
    <dxf>
      <font>
        <sz val="1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pivotCacheDefinition" Target="pivotCache/pivotCacheDefinition1.xml"/><Relationship Id="rId26" Type="http://schemas.microsoft.com/office/2007/relationships/slicerCache" Target="slicerCaches/slicerCache8.xml"/><Relationship Id="rId3" Type="http://schemas.openxmlformats.org/officeDocument/2006/relationships/worksheet" Target="worksheets/sheet3.xml"/><Relationship Id="rId21" Type="http://schemas.microsoft.com/office/2007/relationships/slicerCache" Target="slicerCaches/slicerCache3.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7.xml"/><Relationship Id="rId33" Type="http://schemas.openxmlformats.org/officeDocument/2006/relationships/powerPivotData" Target="model/item.data"/><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7/relationships/slicerCache" Target="slicerCaches/slicerCache2.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6.xml"/><Relationship Id="rId32" Type="http://schemas.openxmlformats.org/officeDocument/2006/relationships/sharedStrings" Target="sharedStrings.xml"/><Relationship Id="rId37"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7/relationships/slicerCache" Target="slicerCaches/slicerCache5.xml"/><Relationship Id="rId28" Type="http://schemas.microsoft.com/office/2007/relationships/slicerCache" Target="slicerCaches/slicerCache10.xml"/><Relationship Id="rId36" Type="http://schemas.openxmlformats.org/officeDocument/2006/relationships/customXml" Target="../customXml/item2.xml"/><Relationship Id="rId10" Type="http://schemas.openxmlformats.org/officeDocument/2006/relationships/worksheet" Target="worksheets/sheet10.xml"/><Relationship Id="rId19" Type="http://schemas.microsoft.com/office/2007/relationships/slicerCache" Target="slicerCaches/slicerCache1.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7/relationships/slicerCache" Target="slicerCaches/slicerCache4.xml"/><Relationship Id="rId27" Type="http://schemas.microsoft.com/office/2007/relationships/slicerCache" Target="slicerCaches/slicerCache9.xml"/><Relationship Id="rId30" Type="http://schemas.openxmlformats.org/officeDocument/2006/relationships/connections" Target="connections.xml"/><Relationship Id="rId35" Type="http://schemas.openxmlformats.org/officeDocument/2006/relationships/customXml" Target="../customXml/item1.xml"/></Relationships>
</file>

<file path=xl/drawings/drawing1.xml><?xml version="1.0" encoding="utf-8"?>
<xdr:wsDr xmlns:xdr="http://schemas.openxmlformats.org/drawingml/2006/spreadsheetDrawing" xmlns:a="http://schemas.openxmlformats.org/drawingml/2006/main">
  <xdr:twoCellAnchor editAs="oneCell">
    <xdr:from>
      <xdr:col>5</xdr:col>
      <xdr:colOff>66676</xdr:colOff>
      <xdr:row>0</xdr:row>
      <xdr:rowOff>66675</xdr:rowOff>
    </xdr:from>
    <xdr:to>
      <xdr:col>10</xdr:col>
      <xdr:colOff>616884</xdr:colOff>
      <xdr:row>16</xdr:row>
      <xdr:rowOff>180975</xdr:rowOff>
    </xdr:to>
    <mc:AlternateContent xmlns:mc="http://schemas.openxmlformats.org/markup-compatibility/2006" xmlns:a14="http://schemas.microsoft.com/office/drawing/2010/main">
      <mc:Choice Requires="a14">
        <xdr:graphicFrame macro="">
          <xdr:nvGraphicFramePr>
            <xdr:cNvPr id="2" name="SYGES 1">
              <a:extLst>
                <a:ext uri="{FF2B5EF4-FFF2-40B4-BE49-F238E27FC236}">
                  <a16:creationId xmlns:a16="http://schemas.microsoft.com/office/drawing/2014/main" id="{F9CA8BF2-9BF5-4B80-9236-D0FDE4496168}"/>
                </a:ext>
              </a:extLst>
            </xdr:cNvPr>
            <xdr:cNvGraphicFramePr/>
          </xdr:nvGraphicFramePr>
          <xdr:xfrm>
            <a:off x="0" y="0"/>
            <a:ext cx="0" cy="0"/>
          </xdr:xfrm>
          <a:graphic>
            <a:graphicData uri="http://schemas.microsoft.com/office/drawing/2010/slicer">
              <sle:slicer xmlns:sle="http://schemas.microsoft.com/office/drawing/2010/slicer" name="SYGES 1"/>
            </a:graphicData>
          </a:graphic>
        </xdr:graphicFrame>
      </mc:Choice>
      <mc:Fallback xmlns="">
        <xdr:sp macro="" textlink="">
          <xdr:nvSpPr>
            <xdr:cNvPr id="0" name=""/>
            <xdr:cNvSpPr>
              <a:spLocks noTextEdit="1"/>
            </xdr:cNvSpPr>
          </xdr:nvSpPr>
          <xdr:spPr>
            <a:xfrm>
              <a:off x="8415058" y="66675"/>
              <a:ext cx="5200650" cy="3162300"/>
            </a:xfrm>
            <a:prstGeom prst="rect">
              <a:avLst/>
            </a:prstGeom>
            <a:solidFill>
              <a:prstClr val="white"/>
            </a:solidFill>
            <a:ln w="1">
              <a:solidFill>
                <a:prstClr val="green"/>
              </a:solidFill>
            </a:ln>
          </xdr:spPr>
          <xdr:txBody>
            <a:bodyPr vertOverflow="clip" horzOverflow="clip"/>
            <a:lstStyle/>
            <a:p>
              <a:r>
                <a:rPr lang="fr-FR" sz="1100"/>
                <a:t>Cette forme représente un segment. Les segments sont pris en charge dans Excel 2010 ou version ultérieure.
En revanche, si la forme a été modifiée dans une version précédente d’Excel, ou si le classeur a été enregistré dans Excel 2003 ou une version précédente, vous ne pouvez pas utiliser le segment.</a:t>
              </a:r>
            </a:p>
          </xdr:txBody>
        </xdr:sp>
      </mc:Fallback>
    </mc:AlternateContent>
    <xdr:clientData/>
  </xdr:twoCellAnchor>
  <xdr:twoCellAnchor editAs="oneCell">
    <xdr:from>
      <xdr:col>14</xdr:col>
      <xdr:colOff>48746</xdr:colOff>
      <xdr:row>0</xdr:row>
      <xdr:rowOff>65666</xdr:rowOff>
    </xdr:from>
    <xdr:to>
      <xdr:col>17</xdr:col>
      <xdr:colOff>425488</xdr:colOff>
      <xdr:row>9</xdr:row>
      <xdr:rowOff>21851</xdr:rowOff>
    </xdr:to>
    <mc:AlternateContent xmlns:mc="http://schemas.openxmlformats.org/markup-compatibility/2006" xmlns:a14="http://schemas.microsoft.com/office/drawing/2010/main">
      <mc:Choice Requires="a14">
        <xdr:graphicFrame macro="">
          <xdr:nvGraphicFramePr>
            <xdr:cNvPr id="3" name="Environnement 1">
              <a:extLst>
                <a:ext uri="{FF2B5EF4-FFF2-40B4-BE49-F238E27FC236}">
                  <a16:creationId xmlns:a16="http://schemas.microsoft.com/office/drawing/2014/main" id="{2E5AA2C4-CF97-4265-B0C0-BBE42FFD9114}"/>
                </a:ext>
              </a:extLst>
            </xdr:cNvPr>
            <xdr:cNvGraphicFramePr/>
          </xdr:nvGraphicFramePr>
          <xdr:xfrm>
            <a:off x="0" y="0"/>
            <a:ext cx="0" cy="0"/>
          </xdr:xfrm>
          <a:graphic>
            <a:graphicData uri="http://schemas.microsoft.com/office/drawing/2010/slicer">
              <sle:slicer xmlns:sle="http://schemas.microsoft.com/office/drawing/2010/slicer" name="Environnement 1"/>
            </a:graphicData>
          </a:graphic>
        </xdr:graphicFrame>
      </mc:Choice>
      <mc:Fallback xmlns="">
        <xdr:sp macro="" textlink="">
          <xdr:nvSpPr>
            <xdr:cNvPr id="0" name=""/>
            <xdr:cNvSpPr>
              <a:spLocks noTextEdit="1"/>
            </xdr:cNvSpPr>
          </xdr:nvSpPr>
          <xdr:spPr>
            <a:xfrm>
              <a:off x="16095570" y="65666"/>
              <a:ext cx="2662742" cy="1670685"/>
            </a:xfrm>
            <a:prstGeom prst="rect">
              <a:avLst/>
            </a:prstGeom>
            <a:solidFill>
              <a:prstClr val="white"/>
            </a:solidFill>
            <a:ln w="1">
              <a:solidFill>
                <a:prstClr val="green"/>
              </a:solidFill>
            </a:ln>
          </xdr:spPr>
          <xdr:txBody>
            <a:bodyPr vertOverflow="clip" horzOverflow="clip"/>
            <a:lstStyle/>
            <a:p>
              <a:r>
                <a:rPr lang="fr-FR" sz="1100"/>
                <a:t>Cette forme représente un segment. Les segments sont pris en charge dans Excel 2010 ou version ultérieure.
En revanche, si la forme a été modifiée dans une version précédente d’Excel, ou si le classeur a été enregistré dans Excel 2003 ou une version précédente, vous ne pouvez pas utiliser le segment.</a:t>
              </a:r>
            </a:p>
          </xdr:txBody>
        </xdr:sp>
      </mc:Fallback>
    </mc:AlternateContent>
    <xdr:clientData/>
  </xdr:twoCellAnchor>
  <xdr:twoCellAnchor editAs="oneCell">
    <xdr:from>
      <xdr:col>5</xdr:col>
      <xdr:colOff>38100</xdr:colOff>
      <xdr:row>20</xdr:row>
      <xdr:rowOff>28576</xdr:rowOff>
    </xdr:from>
    <xdr:to>
      <xdr:col>10</xdr:col>
      <xdr:colOff>635933</xdr:colOff>
      <xdr:row>32</xdr:row>
      <xdr:rowOff>66676</xdr:rowOff>
    </xdr:to>
    <mc:AlternateContent xmlns:mc="http://schemas.openxmlformats.org/markup-compatibility/2006" xmlns:a14="http://schemas.microsoft.com/office/drawing/2010/main">
      <mc:Choice Requires="a14">
        <xdr:graphicFrame macro="">
          <xdr:nvGraphicFramePr>
            <xdr:cNvPr id="4" name="Client 1">
              <a:extLst>
                <a:ext uri="{FF2B5EF4-FFF2-40B4-BE49-F238E27FC236}">
                  <a16:creationId xmlns:a16="http://schemas.microsoft.com/office/drawing/2014/main" id="{6972EE2D-4DAB-43A1-B03B-1D0C4E195C01}"/>
                </a:ext>
              </a:extLst>
            </xdr:cNvPr>
            <xdr:cNvGraphicFramePr/>
          </xdr:nvGraphicFramePr>
          <xdr:xfrm>
            <a:off x="0" y="0"/>
            <a:ext cx="0" cy="0"/>
          </xdr:xfrm>
          <a:graphic>
            <a:graphicData uri="http://schemas.microsoft.com/office/drawing/2010/slicer">
              <sle:slicer xmlns:sle="http://schemas.microsoft.com/office/drawing/2010/slicer" name="Client 1"/>
            </a:graphicData>
          </a:graphic>
        </xdr:graphicFrame>
      </mc:Choice>
      <mc:Fallback xmlns="">
        <xdr:sp macro="" textlink="">
          <xdr:nvSpPr>
            <xdr:cNvPr id="0" name=""/>
            <xdr:cNvSpPr>
              <a:spLocks noTextEdit="1"/>
            </xdr:cNvSpPr>
          </xdr:nvSpPr>
          <xdr:spPr>
            <a:xfrm>
              <a:off x="8386482" y="3838576"/>
              <a:ext cx="5248275" cy="2324100"/>
            </a:xfrm>
            <a:prstGeom prst="rect">
              <a:avLst/>
            </a:prstGeom>
            <a:solidFill>
              <a:prstClr val="white"/>
            </a:solidFill>
            <a:ln w="1">
              <a:solidFill>
                <a:prstClr val="green"/>
              </a:solidFill>
            </a:ln>
          </xdr:spPr>
          <xdr:txBody>
            <a:bodyPr vertOverflow="clip" horzOverflow="clip"/>
            <a:lstStyle/>
            <a:p>
              <a:r>
                <a:rPr lang="fr-FR" sz="1100"/>
                <a:t>Cette forme représente un segment. Les segments sont pris en charge dans Excel 2010 ou version ultérieure.
En revanche, si la forme a été modifiée dans une version précédente d’Excel, ou si le classeur a été enregistré dans Excel 2003 ou une version précédente, vous ne pouvez pas utiliser le segment.</a:t>
              </a:r>
            </a:p>
          </xdr:txBody>
        </xdr:sp>
      </mc:Fallback>
    </mc:AlternateContent>
    <xdr:clientData/>
  </xdr:twoCellAnchor>
  <xdr:twoCellAnchor editAs="oneCell">
    <xdr:from>
      <xdr:col>12</xdr:col>
      <xdr:colOff>13447</xdr:colOff>
      <xdr:row>12</xdr:row>
      <xdr:rowOff>177052</xdr:rowOff>
    </xdr:from>
    <xdr:to>
      <xdr:col>19</xdr:col>
      <xdr:colOff>698799</xdr:colOff>
      <xdr:row>32</xdr:row>
      <xdr:rowOff>62529</xdr:rowOff>
    </xdr:to>
    <mc:AlternateContent xmlns:mc="http://schemas.openxmlformats.org/markup-compatibility/2006" xmlns:a14="http://schemas.microsoft.com/office/drawing/2010/main">
      <mc:Choice Requires="a14">
        <xdr:graphicFrame macro="">
          <xdr:nvGraphicFramePr>
            <xdr:cNvPr id="5" name="Projet 1">
              <a:extLst>
                <a:ext uri="{FF2B5EF4-FFF2-40B4-BE49-F238E27FC236}">
                  <a16:creationId xmlns:a16="http://schemas.microsoft.com/office/drawing/2014/main" id="{7B55FC81-1D34-4679-AB8B-5E0A6A7BBDFE}"/>
                </a:ext>
              </a:extLst>
            </xdr:cNvPr>
            <xdr:cNvGraphicFramePr/>
          </xdr:nvGraphicFramePr>
          <xdr:xfrm>
            <a:off x="0" y="0"/>
            <a:ext cx="0" cy="0"/>
          </xdr:xfrm>
          <a:graphic>
            <a:graphicData uri="http://schemas.microsoft.com/office/drawing/2010/slicer">
              <sle:slicer xmlns:sle="http://schemas.microsoft.com/office/drawing/2010/slicer" name="Projet 1"/>
            </a:graphicData>
          </a:graphic>
        </xdr:graphicFrame>
      </mc:Choice>
      <mc:Fallback xmlns="">
        <xdr:sp macro="" textlink="">
          <xdr:nvSpPr>
            <xdr:cNvPr id="0" name=""/>
            <xdr:cNvSpPr>
              <a:spLocks noTextEdit="1"/>
            </xdr:cNvSpPr>
          </xdr:nvSpPr>
          <xdr:spPr>
            <a:xfrm>
              <a:off x="14536271" y="2463052"/>
              <a:ext cx="6019352" cy="3695477"/>
            </a:xfrm>
            <a:prstGeom prst="rect">
              <a:avLst/>
            </a:prstGeom>
            <a:solidFill>
              <a:prstClr val="white"/>
            </a:solidFill>
            <a:ln w="1">
              <a:solidFill>
                <a:prstClr val="green"/>
              </a:solidFill>
            </a:ln>
          </xdr:spPr>
          <xdr:txBody>
            <a:bodyPr vertOverflow="clip" horzOverflow="clip"/>
            <a:lstStyle/>
            <a:p>
              <a:r>
                <a:rPr lang="fr-FR" sz="1100"/>
                <a:t>Cette forme représente un segment. Les segments sont pris en charge dans Excel 2010 ou version ultérieure.
En revanche, si la forme a été modifiée dans une version précédente d’Excel, ou si le classeur a été enregistré dans Excel 2003 ou une version précédente, vous ne pouvez pas utiliser le segment.</a:t>
              </a:r>
            </a:p>
          </xdr:txBody>
        </xdr:sp>
      </mc:Fallback>
    </mc:AlternateContent>
    <xdr:clientData/>
  </xdr:twoCellAnchor>
  <xdr:twoCellAnchor editAs="oneCell">
    <xdr:from>
      <xdr:col>12</xdr:col>
      <xdr:colOff>7170</xdr:colOff>
      <xdr:row>0</xdr:row>
      <xdr:rowOff>64546</xdr:rowOff>
    </xdr:from>
    <xdr:to>
      <xdr:col>13</xdr:col>
      <xdr:colOff>757291</xdr:colOff>
      <xdr:row>9</xdr:row>
      <xdr:rowOff>10981</xdr:rowOff>
    </xdr:to>
    <mc:AlternateContent xmlns:mc="http://schemas.openxmlformats.org/markup-compatibility/2006" xmlns:a14="http://schemas.microsoft.com/office/drawing/2010/main">
      <mc:Choice Requires="a14">
        <xdr:graphicFrame macro="">
          <xdr:nvGraphicFramePr>
            <xdr:cNvPr id="6" name="CostCenter 1">
              <a:extLst>
                <a:ext uri="{FF2B5EF4-FFF2-40B4-BE49-F238E27FC236}">
                  <a16:creationId xmlns:a16="http://schemas.microsoft.com/office/drawing/2014/main" id="{1E6E99EA-EC01-42B2-957A-231E9910569D}"/>
                </a:ext>
              </a:extLst>
            </xdr:cNvPr>
            <xdr:cNvGraphicFramePr/>
          </xdr:nvGraphicFramePr>
          <xdr:xfrm>
            <a:off x="0" y="0"/>
            <a:ext cx="0" cy="0"/>
          </xdr:xfrm>
          <a:graphic>
            <a:graphicData uri="http://schemas.microsoft.com/office/drawing/2010/slicer">
              <sle:slicer xmlns:sle="http://schemas.microsoft.com/office/drawing/2010/slicer" name="CostCenter 1"/>
            </a:graphicData>
          </a:graphic>
        </xdr:graphicFrame>
      </mc:Choice>
      <mc:Fallback xmlns="">
        <xdr:sp macro="" textlink="">
          <xdr:nvSpPr>
            <xdr:cNvPr id="0" name=""/>
            <xdr:cNvSpPr>
              <a:spLocks noTextEdit="1"/>
            </xdr:cNvSpPr>
          </xdr:nvSpPr>
          <xdr:spPr>
            <a:xfrm>
              <a:off x="14529994" y="64546"/>
              <a:ext cx="1512121" cy="1660935"/>
            </a:xfrm>
            <a:prstGeom prst="rect">
              <a:avLst/>
            </a:prstGeom>
            <a:solidFill>
              <a:prstClr val="white"/>
            </a:solidFill>
            <a:ln w="1">
              <a:solidFill>
                <a:prstClr val="green"/>
              </a:solidFill>
            </a:ln>
          </xdr:spPr>
          <xdr:txBody>
            <a:bodyPr vertOverflow="clip" horzOverflow="clip"/>
            <a:lstStyle/>
            <a:p>
              <a:r>
                <a:rPr lang="fr-FR" sz="1100"/>
                <a:t>Cette forme représente un segment. Les segments sont pris en charge dans Excel 2010 ou version ultérieure.
En revanche, si la forme a été modifiée dans une version précédente d’Excel, ou si le classeur a été enregistré dans Excel 2003 ou une version précédente, vous ne pouvez pas utiliser le segment.</a:t>
              </a:r>
            </a:p>
          </xdr:txBody>
        </xdr:sp>
      </mc:Fallback>
    </mc:AlternateContent>
    <xdr:clientData/>
  </xdr:twoCellAnchor>
  <xdr:twoCellAnchor>
    <xdr:from>
      <xdr:col>0</xdr:col>
      <xdr:colOff>67236</xdr:colOff>
      <xdr:row>0</xdr:row>
      <xdr:rowOff>54349</xdr:rowOff>
    </xdr:from>
    <xdr:to>
      <xdr:col>0</xdr:col>
      <xdr:colOff>2050341</xdr:colOff>
      <xdr:row>1</xdr:row>
      <xdr:rowOff>136040</xdr:rowOff>
    </xdr:to>
    <xdr:sp macro="[0]!ExportAllContratsBySyges" textlink="">
      <xdr:nvSpPr>
        <xdr:cNvPr id="7" name="Rectangle : coins arrondis 6">
          <a:extLst>
            <a:ext uri="{FF2B5EF4-FFF2-40B4-BE49-F238E27FC236}">
              <a16:creationId xmlns:a16="http://schemas.microsoft.com/office/drawing/2014/main" id="{F34474FF-4D6B-4087-8E97-80A54385ED9D}"/>
            </a:ext>
          </a:extLst>
        </xdr:cNvPr>
        <xdr:cNvSpPr/>
      </xdr:nvSpPr>
      <xdr:spPr>
        <a:xfrm>
          <a:off x="67236" y="54349"/>
          <a:ext cx="1983105" cy="272191"/>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algn="l"/>
          <a:r>
            <a:rPr lang="fr-FR" sz="1100"/>
            <a:t>Exporter coûts par code </a:t>
          </a:r>
          <a:r>
            <a:rPr lang="fr-FR" sz="1100" b="1"/>
            <a:t>SYGES</a:t>
          </a:r>
        </a:p>
      </xdr:txBody>
    </xdr:sp>
    <xdr:clientData/>
  </xdr:twoCellAnchor>
  <xdr:twoCellAnchor>
    <xdr:from>
      <xdr:col>0</xdr:col>
      <xdr:colOff>2174165</xdr:colOff>
      <xdr:row>0</xdr:row>
      <xdr:rowOff>54349</xdr:rowOff>
    </xdr:from>
    <xdr:to>
      <xdr:col>0</xdr:col>
      <xdr:colOff>4469690</xdr:colOff>
      <xdr:row>1</xdr:row>
      <xdr:rowOff>134135</xdr:rowOff>
    </xdr:to>
    <xdr:sp macro="[0]!ExportAllContratsByCostCenter" textlink="">
      <xdr:nvSpPr>
        <xdr:cNvPr id="8" name="Rectangle : coins arrondis 7">
          <a:extLst>
            <a:ext uri="{FF2B5EF4-FFF2-40B4-BE49-F238E27FC236}">
              <a16:creationId xmlns:a16="http://schemas.microsoft.com/office/drawing/2014/main" id="{C53DE53F-624B-4BE1-B0C0-711B3F397E1F}"/>
            </a:ext>
          </a:extLst>
        </xdr:cNvPr>
        <xdr:cNvSpPr/>
      </xdr:nvSpPr>
      <xdr:spPr>
        <a:xfrm>
          <a:off x="2174165" y="54349"/>
          <a:ext cx="2295525" cy="270286"/>
        </a:xfrm>
        <a:prstGeom prst="roundRect">
          <a:avLst/>
        </a:prstGeom>
        <a:ln/>
      </xdr:spPr>
      <xdr:style>
        <a:lnRef idx="0">
          <a:schemeClr val="accent4"/>
        </a:lnRef>
        <a:fillRef idx="3">
          <a:schemeClr val="accent4"/>
        </a:fillRef>
        <a:effectRef idx="3">
          <a:schemeClr val="accent4"/>
        </a:effectRef>
        <a:fontRef idx="minor">
          <a:schemeClr val="lt1"/>
        </a:fontRef>
      </xdr:style>
      <xdr:txBody>
        <a:bodyPr vertOverflow="clip" horzOverflow="clip" rtlCol="0" anchor="t"/>
        <a:lstStyle/>
        <a:p>
          <a:pPr algn="l"/>
          <a:r>
            <a:rPr lang="fr-FR" sz="1100"/>
            <a:t>Exporter coûts par code </a:t>
          </a:r>
          <a:r>
            <a:rPr lang="fr-FR" sz="1100" b="1"/>
            <a:t>Cost Center</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66676</xdr:colOff>
      <xdr:row>0</xdr:row>
      <xdr:rowOff>66675</xdr:rowOff>
    </xdr:from>
    <xdr:to>
      <xdr:col>11</xdr:col>
      <xdr:colOff>695326</xdr:colOff>
      <xdr:row>16</xdr:row>
      <xdr:rowOff>180975</xdr:rowOff>
    </xdr:to>
    <mc:AlternateContent xmlns:mc="http://schemas.openxmlformats.org/markup-compatibility/2006" xmlns:a14="http://schemas.microsoft.com/office/drawing/2010/main">
      <mc:Choice Requires="a14">
        <xdr:graphicFrame macro="">
          <xdr:nvGraphicFramePr>
            <xdr:cNvPr id="2" name="SYGES">
              <a:extLst>
                <a:ext uri="{FF2B5EF4-FFF2-40B4-BE49-F238E27FC236}">
                  <a16:creationId xmlns:a16="http://schemas.microsoft.com/office/drawing/2014/main" id="{65608919-19E9-4C89-B65F-5B360227A4D3}"/>
                </a:ext>
              </a:extLst>
            </xdr:cNvPr>
            <xdr:cNvGraphicFramePr/>
          </xdr:nvGraphicFramePr>
          <xdr:xfrm>
            <a:off x="0" y="0"/>
            <a:ext cx="0" cy="0"/>
          </xdr:xfrm>
          <a:graphic>
            <a:graphicData uri="http://schemas.microsoft.com/office/drawing/2010/slicer">
              <sle:slicer xmlns:sle="http://schemas.microsoft.com/office/drawing/2010/slicer" name="SYGES"/>
            </a:graphicData>
          </a:graphic>
        </xdr:graphicFrame>
      </mc:Choice>
      <mc:Fallback xmlns="">
        <xdr:sp macro="" textlink="">
          <xdr:nvSpPr>
            <xdr:cNvPr id="0" name=""/>
            <xdr:cNvSpPr>
              <a:spLocks noTextEdit="1"/>
            </xdr:cNvSpPr>
          </xdr:nvSpPr>
          <xdr:spPr>
            <a:xfrm>
              <a:off x="8248651" y="66675"/>
              <a:ext cx="5200650" cy="3162300"/>
            </a:xfrm>
            <a:prstGeom prst="rect">
              <a:avLst/>
            </a:prstGeom>
            <a:solidFill>
              <a:prstClr val="white"/>
            </a:solidFill>
            <a:ln w="1">
              <a:solidFill>
                <a:prstClr val="green"/>
              </a:solidFill>
            </a:ln>
          </xdr:spPr>
          <xdr:txBody>
            <a:bodyPr vertOverflow="clip" horzOverflow="clip"/>
            <a:lstStyle/>
            <a:p>
              <a:r>
                <a:rPr lang="fr-FR" sz="1100"/>
                <a:t>Cette forme représente un segment. Les segments sont pris en charge dans Excel 2010 ou version ultérieure.
En revanche, si la forme a été modifiée dans une version précédente d’Excel, ou si le classeur a été enregistré dans Excel 2003 ou une version précédente, vous ne pouvez pas utiliser le segment.</a:t>
              </a:r>
            </a:p>
          </xdr:txBody>
        </xdr:sp>
      </mc:Fallback>
    </mc:AlternateContent>
    <xdr:clientData/>
  </xdr:twoCellAnchor>
  <xdr:twoCellAnchor editAs="oneCell">
    <xdr:from>
      <xdr:col>14</xdr:col>
      <xdr:colOff>48746</xdr:colOff>
      <xdr:row>0</xdr:row>
      <xdr:rowOff>65666</xdr:rowOff>
    </xdr:from>
    <xdr:to>
      <xdr:col>17</xdr:col>
      <xdr:colOff>425488</xdr:colOff>
      <xdr:row>9</xdr:row>
      <xdr:rowOff>21851</xdr:rowOff>
    </xdr:to>
    <mc:AlternateContent xmlns:mc="http://schemas.openxmlformats.org/markup-compatibility/2006" xmlns:a14="http://schemas.microsoft.com/office/drawing/2010/main">
      <mc:Choice Requires="a14">
        <xdr:graphicFrame macro="">
          <xdr:nvGraphicFramePr>
            <xdr:cNvPr id="3" name="Environnement">
              <a:extLst>
                <a:ext uri="{FF2B5EF4-FFF2-40B4-BE49-F238E27FC236}">
                  <a16:creationId xmlns:a16="http://schemas.microsoft.com/office/drawing/2014/main" id="{A332A9CB-FF34-4D84-B660-D1554CFCF140}"/>
                </a:ext>
              </a:extLst>
            </xdr:cNvPr>
            <xdr:cNvGraphicFramePr/>
          </xdr:nvGraphicFramePr>
          <xdr:xfrm>
            <a:off x="0" y="0"/>
            <a:ext cx="0" cy="0"/>
          </xdr:xfrm>
          <a:graphic>
            <a:graphicData uri="http://schemas.microsoft.com/office/drawing/2010/slicer">
              <sle:slicer xmlns:sle="http://schemas.microsoft.com/office/drawing/2010/slicer" name="Environnement"/>
            </a:graphicData>
          </a:graphic>
        </xdr:graphicFrame>
      </mc:Choice>
      <mc:Fallback xmlns="">
        <xdr:sp macro="" textlink="">
          <xdr:nvSpPr>
            <xdr:cNvPr id="0" name=""/>
            <xdr:cNvSpPr>
              <a:spLocks noTextEdit="1"/>
            </xdr:cNvSpPr>
          </xdr:nvSpPr>
          <xdr:spPr>
            <a:xfrm>
              <a:off x="15537180" y="63761"/>
              <a:ext cx="2729978" cy="1567927"/>
            </a:xfrm>
            <a:prstGeom prst="rect">
              <a:avLst/>
            </a:prstGeom>
            <a:solidFill>
              <a:prstClr val="white"/>
            </a:solidFill>
            <a:ln w="1">
              <a:solidFill>
                <a:prstClr val="green"/>
              </a:solidFill>
            </a:ln>
          </xdr:spPr>
          <xdr:txBody>
            <a:bodyPr vertOverflow="clip" horzOverflow="clip"/>
            <a:lstStyle/>
            <a:p>
              <a:r>
                <a:rPr lang="fr-FR" sz="1100"/>
                <a:t>Cette forme représente un segment. Les segments sont pris en charge dans Excel 2010 ou version ultérieure.
En revanche, si la forme a été modifiée dans une version précédente d’Excel, ou si le classeur a été enregistré dans Excel 2003 ou une version précédente, vous ne pouvez pas utiliser le segment.</a:t>
              </a:r>
            </a:p>
          </xdr:txBody>
        </xdr:sp>
      </mc:Fallback>
    </mc:AlternateContent>
    <xdr:clientData/>
  </xdr:twoCellAnchor>
  <xdr:twoCellAnchor editAs="oneCell">
    <xdr:from>
      <xdr:col>5</xdr:col>
      <xdr:colOff>38100</xdr:colOff>
      <xdr:row>20</xdr:row>
      <xdr:rowOff>28576</xdr:rowOff>
    </xdr:from>
    <xdr:to>
      <xdr:col>11</xdr:col>
      <xdr:colOff>714375</xdr:colOff>
      <xdr:row>32</xdr:row>
      <xdr:rowOff>66676</xdr:rowOff>
    </xdr:to>
    <mc:AlternateContent xmlns:mc="http://schemas.openxmlformats.org/markup-compatibility/2006" xmlns:a14="http://schemas.microsoft.com/office/drawing/2010/main">
      <mc:Choice Requires="a14">
        <xdr:graphicFrame macro="">
          <xdr:nvGraphicFramePr>
            <xdr:cNvPr id="5" name="Client">
              <a:extLst>
                <a:ext uri="{FF2B5EF4-FFF2-40B4-BE49-F238E27FC236}">
                  <a16:creationId xmlns:a16="http://schemas.microsoft.com/office/drawing/2014/main" id="{F5ACCC1A-9A59-4550-B7A7-0F07530EE934}"/>
                </a:ext>
              </a:extLst>
            </xdr:cNvPr>
            <xdr:cNvGraphicFramePr/>
          </xdr:nvGraphicFramePr>
          <xdr:xfrm>
            <a:off x="0" y="0"/>
            <a:ext cx="0" cy="0"/>
          </xdr:xfrm>
          <a:graphic>
            <a:graphicData uri="http://schemas.microsoft.com/office/drawing/2010/slicer">
              <sle:slicer xmlns:sle="http://schemas.microsoft.com/office/drawing/2010/slicer" name="Client"/>
            </a:graphicData>
          </a:graphic>
        </xdr:graphicFrame>
      </mc:Choice>
      <mc:Fallback xmlns="">
        <xdr:sp macro="" textlink="">
          <xdr:nvSpPr>
            <xdr:cNvPr id="0" name=""/>
            <xdr:cNvSpPr>
              <a:spLocks noTextEdit="1"/>
            </xdr:cNvSpPr>
          </xdr:nvSpPr>
          <xdr:spPr>
            <a:xfrm>
              <a:off x="8220075" y="3838576"/>
              <a:ext cx="5248275" cy="2324100"/>
            </a:xfrm>
            <a:prstGeom prst="rect">
              <a:avLst/>
            </a:prstGeom>
            <a:solidFill>
              <a:prstClr val="white"/>
            </a:solidFill>
            <a:ln w="1">
              <a:solidFill>
                <a:prstClr val="green"/>
              </a:solidFill>
            </a:ln>
          </xdr:spPr>
          <xdr:txBody>
            <a:bodyPr vertOverflow="clip" horzOverflow="clip"/>
            <a:lstStyle/>
            <a:p>
              <a:r>
                <a:rPr lang="fr-FR" sz="1100"/>
                <a:t>Cette forme représente un segment. Les segments sont pris en charge dans Excel 2010 ou version ultérieure.
En revanche, si la forme a été modifiée dans une version précédente d’Excel, ou si le classeur a été enregistré dans Excel 2003 ou une version précédente, vous ne pouvez pas utiliser le segment.</a:t>
              </a:r>
            </a:p>
          </xdr:txBody>
        </xdr:sp>
      </mc:Fallback>
    </mc:AlternateContent>
    <xdr:clientData/>
  </xdr:twoCellAnchor>
  <xdr:twoCellAnchor editAs="oneCell">
    <xdr:from>
      <xdr:col>12</xdr:col>
      <xdr:colOff>13447</xdr:colOff>
      <xdr:row>12</xdr:row>
      <xdr:rowOff>177052</xdr:rowOff>
    </xdr:from>
    <xdr:to>
      <xdr:col>19</xdr:col>
      <xdr:colOff>698799</xdr:colOff>
      <xdr:row>32</xdr:row>
      <xdr:rowOff>62529</xdr:rowOff>
    </xdr:to>
    <mc:AlternateContent xmlns:mc="http://schemas.openxmlformats.org/markup-compatibility/2006" xmlns:a14="http://schemas.microsoft.com/office/drawing/2010/main">
      <mc:Choice Requires="a14">
        <xdr:graphicFrame macro="">
          <xdr:nvGraphicFramePr>
            <xdr:cNvPr id="4" name="Projet">
              <a:extLst>
                <a:ext uri="{FF2B5EF4-FFF2-40B4-BE49-F238E27FC236}">
                  <a16:creationId xmlns:a16="http://schemas.microsoft.com/office/drawing/2014/main" id="{826E601F-CEF5-4B9C-872F-281113CC5B8F}"/>
                </a:ext>
              </a:extLst>
            </xdr:cNvPr>
            <xdr:cNvGraphicFramePr/>
          </xdr:nvGraphicFramePr>
          <xdr:xfrm>
            <a:off x="0" y="0"/>
            <a:ext cx="0" cy="0"/>
          </xdr:xfrm>
          <a:graphic>
            <a:graphicData uri="http://schemas.microsoft.com/office/drawing/2010/slicer">
              <sle:slicer xmlns:sle="http://schemas.microsoft.com/office/drawing/2010/slicer" name="Projet"/>
            </a:graphicData>
          </a:graphic>
        </xdr:graphicFrame>
      </mc:Choice>
      <mc:Fallback xmlns="">
        <xdr:sp macro="" textlink="">
          <xdr:nvSpPr>
            <xdr:cNvPr id="0" name=""/>
            <xdr:cNvSpPr>
              <a:spLocks noTextEdit="1"/>
            </xdr:cNvSpPr>
          </xdr:nvSpPr>
          <xdr:spPr>
            <a:xfrm>
              <a:off x="13934963" y="2324771"/>
              <a:ext cx="6176234" cy="3471360"/>
            </a:xfrm>
            <a:prstGeom prst="rect">
              <a:avLst/>
            </a:prstGeom>
            <a:solidFill>
              <a:prstClr val="white"/>
            </a:solidFill>
            <a:ln w="1">
              <a:solidFill>
                <a:prstClr val="green"/>
              </a:solidFill>
            </a:ln>
          </xdr:spPr>
          <xdr:txBody>
            <a:bodyPr vertOverflow="clip" horzOverflow="clip"/>
            <a:lstStyle/>
            <a:p>
              <a:r>
                <a:rPr lang="fr-FR" sz="1100"/>
                <a:t>Cette forme représente un segment. Les segments sont pris en charge dans Excel 2010 ou version ultérieure.
En revanche, si la forme a été modifiée dans une version précédente d’Excel, ou si le classeur a été enregistré dans Excel 2003 ou une version précédente, vous ne pouvez pas utiliser le segment.</a:t>
              </a:r>
            </a:p>
          </xdr:txBody>
        </xdr:sp>
      </mc:Fallback>
    </mc:AlternateContent>
    <xdr:clientData/>
  </xdr:twoCellAnchor>
  <xdr:twoCellAnchor editAs="oneCell">
    <xdr:from>
      <xdr:col>12</xdr:col>
      <xdr:colOff>7170</xdr:colOff>
      <xdr:row>0</xdr:row>
      <xdr:rowOff>64546</xdr:rowOff>
    </xdr:from>
    <xdr:to>
      <xdr:col>13</xdr:col>
      <xdr:colOff>757291</xdr:colOff>
      <xdr:row>9</xdr:row>
      <xdr:rowOff>10981</xdr:rowOff>
    </xdr:to>
    <mc:AlternateContent xmlns:mc="http://schemas.openxmlformats.org/markup-compatibility/2006" xmlns:a14="http://schemas.microsoft.com/office/drawing/2010/main">
      <mc:Choice Requires="a14">
        <xdr:graphicFrame macro="">
          <xdr:nvGraphicFramePr>
            <xdr:cNvPr id="6" name="CostCenter">
              <a:extLst>
                <a:ext uri="{FF2B5EF4-FFF2-40B4-BE49-F238E27FC236}">
                  <a16:creationId xmlns:a16="http://schemas.microsoft.com/office/drawing/2014/main" id="{D0A0699C-E6DD-4C51-965D-2D2E9E69E925}"/>
                </a:ext>
              </a:extLst>
            </xdr:cNvPr>
            <xdr:cNvGraphicFramePr/>
          </xdr:nvGraphicFramePr>
          <xdr:xfrm>
            <a:off x="0" y="0"/>
            <a:ext cx="0" cy="0"/>
          </xdr:xfrm>
          <a:graphic>
            <a:graphicData uri="http://schemas.microsoft.com/office/drawing/2010/slicer">
              <sle:slicer xmlns:sle="http://schemas.microsoft.com/office/drawing/2010/slicer" name="CostCenter"/>
            </a:graphicData>
          </a:graphic>
        </xdr:graphicFrame>
      </mc:Choice>
      <mc:Fallback xmlns="">
        <xdr:sp macro="" textlink="">
          <xdr:nvSpPr>
            <xdr:cNvPr id="0" name=""/>
            <xdr:cNvSpPr>
              <a:spLocks noTextEdit="1"/>
            </xdr:cNvSpPr>
          </xdr:nvSpPr>
          <xdr:spPr>
            <a:xfrm>
              <a:off x="13926781" y="60736"/>
              <a:ext cx="1530723" cy="1565797"/>
            </a:xfrm>
            <a:prstGeom prst="rect">
              <a:avLst/>
            </a:prstGeom>
            <a:solidFill>
              <a:prstClr val="white"/>
            </a:solidFill>
            <a:ln w="1">
              <a:solidFill>
                <a:prstClr val="green"/>
              </a:solidFill>
            </a:ln>
          </xdr:spPr>
          <xdr:txBody>
            <a:bodyPr vertOverflow="clip" horzOverflow="clip"/>
            <a:lstStyle/>
            <a:p>
              <a:r>
                <a:rPr lang="fr-FR" sz="1100"/>
                <a:t>Cette forme représente un segment. Les segments sont pris en charge dans Excel 2010 ou version ultérieure.
En revanche, si la forme a été modifiée dans une version précédente d’Excel, ou si le classeur a été enregistré dans Excel 2003 ou une version précédente, vous ne pouvez pas utiliser le segment.</a:t>
              </a:r>
            </a:p>
          </xdr:txBody>
        </xdr:sp>
      </mc:Fallback>
    </mc:AlternateContent>
    <xdr:clientData/>
  </xdr:twoCellAnchor>
  <xdr:twoCellAnchor>
    <xdr:from>
      <xdr:col>0</xdr:col>
      <xdr:colOff>67236</xdr:colOff>
      <xdr:row>0</xdr:row>
      <xdr:rowOff>54349</xdr:rowOff>
    </xdr:from>
    <xdr:to>
      <xdr:col>0</xdr:col>
      <xdr:colOff>2050341</xdr:colOff>
      <xdr:row>1</xdr:row>
      <xdr:rowOff>136040</xdr:rowOff>
    </xdr:to>
    <xdr:sp macro="[0]!ExportAllContratsBySyges" textlink="">
      <xdr:nvSpPr>
        <xdr:cNvPr id="8" name="Rectangle : coins arrondis 7">
          <a:extLst>
            <a:ext uri="{FF2B5EF4-FFF2-40B4-BE49-F238E27FC236}">
              <a16:creationId xmlns:a16="http://schemas.microsoft.com/office/drawing/2014/main" id="{0E2F1647-03DA-44D1-9D23-23BBB8323E10}"/>
            </a:ext>
          </a:extLst>
        </xdr:cNvPr>
        <xdr:cNvSpPr/>
      </xdr:nvSpPr>
      <xdr:spPr>
        <a:xfrm>
          <a:off x="67236" y="54349"/>
          <a:ext cx="1983105" cy="260985"/>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algn="l"/>
          <a:r>
            <a:rPr lang="fr-FR" sz="1100"/>
            <a:t>Exporter coûts par code </a:t>
          </a:r>
          <a:r>
            <a:rPr lang="fr-FR" sz="1100" b="1"/>
            <a:t>SYGES</a:t>
          </a:r>
        </a:p>
      </xdr:txBody>
    </xdr:sp>
    <xdr:clientData/>
  </xdr:twoCellAnchor>
  <xdr:twoCellAnchor>
    <xdr:from>
      <xdr:col>0</xdr:col>
      <xdr:colOff>2174165</xdr:colOff>
      <xdr:row>0</xdr:row>
      <xdr:rowOff>54349</xdr:rowOff>
    </xdr:from>
    <xdr:to>
      <xdr:col>0</xdr:col>
      <xdr:colOff>4469690</xdr:colOff>
      <xdr:row>1</xdr:row>
      <xdr:rowOff>134135</xdr:rowOff>
    </xdr:to>
    <xdr:sp macro="[0]!ExportAllContratsByCostCenter" textlink="">
      <xdr:nvSpPr>
        <xdr:cNvPr id="9" name="Rectangle : coins arrondis 8">
          <a:extLst>
            <a:ext uri="{FF2B5EF4-FFF2-40B4-BE49-F238E27FC236}">
              <a16:creationId xmlns:a16="http://schemas.microsoft.com/office/drawing/2014/main" id="{63D37137-4538-4A58-8AFE-D59E9DBA8953}"/>
            </a:ext>
          </a:extLst>
        </xdr:cNvPr>
        <xdr:cNvSpPr/>
      </xdr:nvSpPr>
      <xdr:spPr>
        <a:xfrm>
          <a:off x="2174165" y="54349"/>
          <a:ext cx="2295525" cy="259080"/>
        </a:xfrm>
        <a:prstGeom prst="roundRect">
          <a:avLst/>
        </a:prstGeom>
        <a:ln/>
      </xdr:spPr>
      <xdr:style>
        <a:lnRef idx="0">
          <a:schemeClr val="accent4"/>
        </a:lnRef>
        <a:fillRef idx="3">
          <a:schemeClr val="accent4"/>
        </a:fillRef>
        <a:effectRef idx="3">
          <a:schemeClr val="accent4"/>
        </a:effectRef>
        <a:fontRef idx="minor">
          <a:schemeClr val="lt1"/>
        </a:fontRef>
      </xdr:style>
      <xdr:txBody>
        <a:bodyPr vertOverflow="clip" horzOverflow="clip" rtlCol="0" anchor="t"/>
        <a:lstStyle/>
        <a:p>
          <a:pPr algn="l"/>
          <a:r>
            <a:rPr lang="fr-FR" sz="1100"/>
            <a:t>Exporter coûts par code </a:t>
          </a:r>
          <a:r>
            <a:rPr lang="fr-FR" sz="1100" b="1"/>
            <a:t>Cost Center</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acob Jerome" refreshedDate="44147.01332233796" createdVersion="6" refreshedVersion="6" minRefreshableVersion="3" recordCount="260" xr:uid="{00000000-000A-0000-FFFF-FFFF00000000}">
  <cacheSource type="worksheet">
    <worksheetSource name="TabVMEnv"/>
  </cacheSource>
  <cacheFields count="28">
    <cacheField name="VM" numFmtId="0">
      <sharedItems count="370">
        <s v="Astreinte_24_24_7_7_MP-EDI-004"/>
        <s v="Astreinte_24_24_7_7_MP-EDI-005"/>
        <s v="Astreinte_24_24_7_7_MP-MAIL-001"/>
        <s v="Astreinte_24_24_7_7_MW-PHP-EDI-001"/>
        <s v="CENTOS-8-v01"/>
        <s v="Cert_*.gfisocialrobotics.com"/>
        <s v="Cert_*.sroboticsd.com"/>
        <s v="Cert_*.sroboticsp.com"/>
        <s v="Cert_citrix-gie-sv.asogfi.fr "/>
        <s v="DEBIAN-10.0"/>
        <s v="DEBIAN-9.4.0-v04"/>
        <s v="DNS_asogfi.fr"/>
        <s v="DNS_gfisocialrobotics.com"/>
        <s v="DNS_labsocialrobotics.com"/>
        <s v="DNS_labsocialrobotics.fr"/>
        <s v="DNS_socialrobotics.fr"/>
        <s v="DNS_socialroboticslab.com"/>
        <s v="DNS_socialroboticslab.fr"/>
        <s v="DNS_sroboticsd.com"/>
        <s v="DNS_sroboticsp.com"/>
        <s v="DOCKER-FIRMIN-v2"/>
        <s v="FRORDVAD002"/>
        <s v="FRORDVAP001"/>
        <s v="FRORDVAP003"/>
        <s v="FRORDVAP006"/>
        <s v="FRORDVAP007"/>
        <s v="FRORDVAP014"/>
        <s v="FRORDVAP020"/>
        <s v="FRORDVAP024"/>
        <s v="FRORDVAP032"/>
        <s v="FRORDVAP039"/>
        <s v="FRORDVAP040"/>
        <s v="FRORDVAP043"/>
        <s v="FRORDVAP045"/>
        <s v="FRORDVAP047"/>
        <s v="FRORDVAP048"/>
        <s v="FRORDVAP049"/>
        <s v="FRORDVDB013"/>
        <s v="FRORDVDB014"/>
        <s v="FRORDVDB016"/>
        <s v="FRORDVDB018"/>
        <s v="FRORDVIM001"/>
        <s v="FRORDVSV001"/>
        <s v="FRORDVUS001"/>
        <s v="FRORLVAP005"/>
        <s v="FRORLVAP006"/>
        <s v="FRORLVAP009"/>
        <s v="FRORLVDB006"/>
        <s v="GA-CENTREON-001"/>
        <s v="GA-DNS172-001"/>
        <s v="GA-DNSLDAP-001"/>
        <s v="GA-SECOURS-001"/>
        <s v="GD-A3-MAE-002"/>
        <s v="GD-A3-MAE-003"/>
        <s v="GD-ANSIBLE-001"/>
        <s v="GD-ARO-MAE-001"/>
        <s v="GD-ECHC-MAE-001-NEW"/>
        <s v="GD-ECHC-MAE-003"/>
        <s v="GD-ECHC-MAE-004"/>
        <s v="GD-ECHP-MAE-001"/>
        <s v="GD-EDI-001"/>
        <s v="GD-EDI-002"/>
        <s v="GD-GIT-AS24-001"/>
        <s v="GD-HOR5-MAE-006"/>
        <s v="GD-HOR5-MAE-007"/>
        <s v="GD-HOR5-MAE-008"/>
        <s v="GD-HOR5-MAE-009"/>
        <s v="GD-HOR5-MAE-010"/>
        <s v="GD-HOR5-MAE-011"/>
        <s v="GD-HOR5-MAE-012"/>
        <s v="GD-HOR-MAE-001"/>
        <s v="GD-JAV-MBUS-001"/>
        <s v="GD-JAV-MBUS-002"/>
        <s v="GD-JAV-MBUS-003"/>
        <s v="GD-JAV-MBUS-004"/>
        <s v="GD-JAV-MBUS-005"/>
        <s v="GD-MAIL-MAE-001"/>
        <s v="GD-MEAE-API-001"/>
        <s v="GD-MEAE-IDP-001"/>
        <s v="GD-MYS-002-2"/>
        <s v="GD-ORA-001"/>
        <s v="GD-PSQL-MAE-003"/>
        <s v="GD-PSQL-MAE-005"/>
        <s v="GD-PSQL-MAE-006"/>
        <s v="GD-PYT-NIORT-001"/>
        <s v="GD-SQL-MEAE-003"/>
        <s v="GD-W7-VISM-001"/>
        <s v="GO-ADMCLOUD-001"/>
        <s v="GO-GIT-001"/>
        <s v="GO-JENKINS-001"/>
        <s v="GO-MAIL-001"/>
        <s v="GO-NEXUS-001"/>
        <s v="GO-PORTAIL-001"/>
        <s v="GO-PROXYHTTP-001"/>
        <s v="GO-SVN-001"/>
        <s v="GO-W7-VCLD-002"/>
        <s v="GQ-DOCKER-002"/>
        <s v="GQ-DOCKER-003"/>
        <s v="GQ-DOCKER-004_2"/>
        <s v="GQ-JTB-LICS-001"/>
        <s v="GQ-MYS-002"/>
        <s v="GQ-MYS-MP-001"/>
        <s v="GQ-PHP-ATMP-001"/>
        <s v="GQ-PHP-GFI-004"/>
        <s v="GQ-PHP-MP-001"/>
        <s v="GQ-SFTP-ATMP-001"/>
        <s v="GQ-WEB-MP-001"/>
        <s v="GQ-WEB-SIBP-001"/>
        <s v="GQ-WEB-WESPEC-001"/>
        <s v="IPPUB_80.74.66.42"/>
        <s v="IPPUB_80.74.66.61"/>
        <s v="IPPUB_80.74.66.62"/>
        <s v="IPPUB_80.74.66.63"/>
        <s v="IPPUB_80.74.66.44"/>
        <s v="IPPUB_80.74.66.43"/>
        <s v="MA-DNS172-001"/>
        <s v="MA-DNSLDAP-001"/>
        <s v="MO-GITLAB-001"/>
        <s v="GD-PIC-MEAE-001"/>
        <s v="GD-SVN-MEAE-001"/>
        <s v="MP-CENTREON-002_2"/>
        <s v="MP-DCK-NEXUS-001_2"/>
        <s v="MP-DCK-TRFK-001"/>
        <s v="MP-DCK-TRFK-002"/>
        <s v="MP-DOCKER-001"/>
        <s v="MP-DOCKER-002"/>
        <s v="MP-DOCKER-003"/>
        <s v="MP-DOCKER-004"/>
        <s v="MP-DOCKER-005"/>
        <s v="MP-DOCKER-006"/>
        <s v="MP-DOCKER-007"/>
        <s v="MP-DOCKER-008"/>
        <s v="MP-DOCKER-009"/>
        <s v="MP-DOCKER-010"/>
        <s v="MP-DOCKER-011"/>
        <s v="MP-DOCKER-012"/>
        <s v="MP-DOCKER-014"/>
        <s v="MP-DOCKER-015"/>
        <s v="MP-DOCKER-017"/>
        <s v="MP-DOCKER-018"/>
        <s v="MP-DOCKER-019"/>
        <s v="MP-DOCKER-020"/>
        <s v="MP-DOCKER-021"/>
        <s v="MP-DOCKER-022"/>
        <s v="MP-DOCKER-023"/>
        <s v="MP-DOCKER-024"/>
        <s v="MP-DOCKER-026"/>
        <s v="MP-DOCKER-027"/>
        <s v="MP-DOCKER-028"/>
        <s v="MP-DOCKER-029"/>
        <s v="MP-DOCKER-030"/>
        <s v="MP-EDI-004"/>
        <s v="MP-EDI-005"/>
        <s v="MP-GLPI-FIRM-001"/>
        <s v="MP-MAIL-001"/>
        <s v="MP-MAIL-003"/>
        <s v="MP-MAIL-006"/>
        <s v="MP-MYS-006"/>
        <s v="MP-MYS-FRR-001"/>
        <s v="MP-PHP-FRR-001"/>
        <s v="MP-PHP-ROBO-007"/>
        <s v="MP-PHP-ROBO-020"/>
        <s v="MP-REBOND-001"/>
        <s v="MP-WDP-ROBO-002"/>
        <s v="MS-AUT-GFI-001"/>
        <s v="MS-DCK-CDC-001"/>
        <s v="MS-DCK-CDR-001"/>
        <s v="MS-DCK-CDR-002"/>
        <s v="MS-DCK-PCE-001"/>
        <s v="MS-DCK-PNM-001"/>
        <s v="MS-DNS-001"/>
        <s v="MS-EVRDAY-001"/>
        <s v="MS-GIE-AD-001"/>
        <s v="MS-GIE-APP-001"/>
        <s v="MS-GIE-CTRX-001"/>
        <s v="MS-GIE-WIN10-001"/>
        <s v="MS-MAIL-001"/>
        <s v="MS-MYS-001"/>
        <s v="MS-MYS-002"/>
        <s v="MS-PHP-AFB-001"/>
        <s v="MS-PHP-GFI-001"/>
        <s v="MS-PHP-GFI-004"/>
        <s v="MS-PHP-GFI-005"/>
        <s v="MS-PHP-GFI-006"/>
        <s v="MS-PHP-GFI-007"/>
        <s v="MS-RBY-GFI-001"/>
        <s v="MS-TLK-001"/>
        <s v="MW-FTP-001"/>
        <s v="MW-GIE-NTSC-001"/>
        <s v="MW-MAIL-004"/>
        <s v="MW-OPENVPN-001"/>
        <s v="MW-PHP-EDI-001"/>
        <s v="MW-PROXYHTTP-001"/>
        <s v="MW-PROXYHTTP-003"/>
        <s v="MW-PROXYHTTP-004"/>
        <s v="MW-SFTP-001"/>
        <s v="TPL-W2012R2-001"/>
        <s v="TPL-W2019-v01"/>
        <s v="TPL-WIN10-v01"/>
        <s v="UBUNTU-16-04"/>
        <s v="VLAN_10.20.19.0/254"/>
        <s v="VLAN_10.20.20.0/254"/>
        <s v="VLAN_10.20.21.0/254"/>
        <s v="VLAN_10.20.22.0/254"/>
        <s v="VLAN_10.20.23.0/254"/>
        <s v="VLAN_10.20.32.0/254"/>
        <s v="VLAN_10.20.33.0/254"/>
        <s v="VLAN_10.20.34.0/254"/>
        <s v="VLAN_10.20.35.0/254"/>
        <s v="VLAN_10.20.37.0/254"/>
        <s v="VLAN_10.20.40.0/254"/>
        <s v="VLAN_10.20.41.0/254"/>
        <s v="VLAN_10.20.42.0/254"/>
        <s v="VLAN_10.20.64.0/254"/>
        <s v="VLAN_10.20.65.0/254"/>
        <s v="VLAN_10.20.66.0/254"/>
        <s v="VLAN_10.20.80.0/254"/>
        <s v="VLAN_10.20.81.0/254"/>
        <s v="VLAN_10.20.82.0/254"/>
        <s v="VLAN_10.20.83.0/254"/>
        <s v="VLAN_10.20.84.0/254"/>
        <s v="VLAN_10.20.85.0/254"/>
        <s v="VLAN_10.20.86.0/254"/>
        <s v="VLAN_10.20.87.0/254"/>
        <s v="VLAN_10.20.88.0/254"/>
        <s v="VLAN_10.20.89.0/254"/>
        <s v="VLAN_10.20.90.0/254"/>
        <s v="VLAN_10.20.91.0/254"/>
        <s v="VLAN_10.20.92.0/254"/>
        <s v="VLAN_10.20.93.0/254"/>
        <s v="VLAN_10.20.94.0/254"/>
        <s v="W3XXD4504"/>
        <s v="W3XXV45103"/>
        <s v="W3XXV4598"/>
        <s v="GD-BDD-FOBA-001" u="1"/>
        <s v="VM-DEVIS-DEV" u="1"/>
        <s v="MP-MAIL-002" u="1"/>
        <s v="MP-PCM-001" u="1"/>
        <s v="GD-MYS-FOBA-001" u="1"/>
        <s v="DEVIS-VM-BDD-LARGE" u="1"/>
        <s v="GM-CENTOS-005" u="1"/>
        <s v="GM-DEBIAN-004" u="1"/>
        <s v="IPPUB_80.74.76.113" u="1"/>
        <s v="MS-PHP-PATP-001" u="1"/>
        <s v="GD-PIC-ANDRO-001" u="1"/>
        <s v="MS-GLPI-GFI-003" u="1"/>
        <s v="GD-GIT-AS24-002" u="1"/>
        <s v="MP-MYS-RATP-001" u="1"/>
        <s v="DEVIS-VM-MINI" u="1"/>
        <s v="GD-PHP-SANDBOX-001" u="1"/>
        <s v="GM-CENTOS-006" u="1"/>
        <s v="MP-DOCKER-016" u="1"/>
        <s v="GM-DEBIAN-005" u="1"/>
        <s v="GO-PROXYSQUID-001" u="1"/>
        <s v="MP-MYS-DAN-001" u="1"/>
        <s v="GQ-ORA-006_2" u="1"/>
        <s v="MS-SUIVIVM-001" u="1"/>
        <s v="MP-PHP-ROBO-010" u="1"/>
        <s v="DNS_gfidevfight.com" u="1"/>
        <s v="MP-MYS-IXXI-001" u="1"/>
        <s v="MP-PHP-ROBO-011" u="1"/>
        <s v="GFI-FWA-FGT-VM02V" u="1"/>
        <s v="MP-PHP-ROBO-012" u="1"/>
        <s v="MP-PHP-ROBO-014" u="1"/>
        <s v="MP-PHP-ROBO-015" u="1"/>
        <s v="GM-DEBIAN-006" u="1"/>
        <s v="GD-PHP-ROBO-001" u="1"/>
        <s v="MP-DOCKER-025" u="1"/>
        <s v="MP-MYS-SBRE-001" u="1"/>
        <s v="MP-PHP-ROBO-016" u="1"/>
        <s v="MP-MYS-001" u="1"/>
        <s v="MP-PHP-ROBO-017" u="1"/>
        <s v="GD-MYS-001" u="1"/>
        <s v="GQ-PHP-PUMA-001" u="1"/>
        <s v="IPPUB_80.74.76.208" u="1"/>
        <s v="MP-PHP-ROBO-019" u="1"/>
        <s v="MP-PHP-ROBO-006" u="1"/>
        <s v="GD-ORA-005" u="1"/>
        <s v="GQ-PHP-OPOSSUM-001" u="1"/>
        <s v="VLAN_10.20.30.0/254" u="1"/>
        <s v="MS-FOBA-001" u="1"/>
        <s v="MW-PROXYHTTP-002" u="1"/>
        <s v="GM-UBUNTU-003" u="1"/>
        <s v="DEBIAN-9.4.0-v02" u="1"/>
        <s v="MP-CENTREON-002" u="1"/>
        <s v="GD-JAV-POP-001" u="1"/>
        <s v="VLAN_10.20.31.0/254" u="1"/>
        <s v="Cert_www.gfidevfight.com" u="1"/>
        <s v="MQ-PHP-ATMP-001" u="1"/>
        <s v="GM-UBUNTU-004" u="1"/>
        <s v="FRORDVAP024-old" u="1"/>
        <s v="GD-ARO-MAE-002" u="1"/>
        <s v="MS-DCK-ALS-001" u="1"/>
        <s v="GQ-PHP-STI5-001" u="1"/>
        <s v="GQ-PHP-ROBO-001" u="1"/>
        <s v="GQ-PHP-ROBO-002" u="1"/>
        <s v="GQ-MYS-001" u="1"/>
        <s v="GD-JAVA-AS24-001" u="1"/>
        <s v="GD-JENK-AS24-001" u="1"/>
        <s v="GQ-PHP-BRET-001" u="1"/>
        <s v="IPPUB_80.74.76.142" u="1"/>
        <s v="IPPUB_80.74.76.143" u="1"/>
        <s v="MQ-MYS-001" u="1"/>
        <s v="GD-DNS-TEST" u="1"/>
        <s v="MP-PHP-RATP-001" u="1"/>
        <s v="GQ-PHP-ADV-001" u="1"/>
        <s v="GO-W7-VCLD-001" u="1"/>
        <s v="GO-JEN-SLAVE-001" u="1"/>
        <s v="GD-PSQL-MAE-002" u="1"/>
        <s v="VLAN_10.20.18.0/254" u="1"/>
        <s v="MP-PHP-DAN-001" u="1"/>
        <s v="MS-AD2012-001" u="1"/>
        <s v="DEVIS-VM-WIN-ETUDES" u="1"/>
        <s v="GD-PSQL-MAE-004" u="1"/>
        <s v="DEVIS-FORFAIT-Infogérance-Monitoring 0,5j" u="1"/>
        <s v="GM-PROXYHTTP-001" u="1"/>
        <s v="GQ-JAV-POP-001" u="1"/>
        <s v="MP-PHP-IXXI-001" u="1"/>
        <s v="DNS_gfidevfight.org" u="1"/>
        <s v="MQ-PROXYHTTP-001" u="1"/>
        <s v="MP-PHP-SBRE-001" u="1"/>
        <s v="VLAN_10.20.51.0/254" u="1"/>
        <s v="IPPUB_80.74.76.159" u="1"/>
        <s v="MO-PIC-MAE-001" u="1"/>
        <s v="GQ-JAV-ORL-001" u="1"/>
        <s v="DNS_gfidevfight.info" u="1"/>
        <s v="DNS_gfidevfight.net" u="1"/>
        <s v="GD-SQL-MAEE-001" u="1"/>
        <s v="GD-TMP-ANSIBLE-001" u="1"/>
        <s v="VLAN_10.20.36.0/254" u="1"/>
        <s v="MS-PHP-GFI-002" u="1"/>
        <s v="VLAN_10.20.44.0/254" u="1"/>
        <s v="GD-HOR5-MAE-004" u="1"/>
        <s v="MO-SVN-001" u="1"/>
        <s v="GD-HOR5-MAE-005" u="1"/>
        <s v="MQ-ARO-MAE-001" u="1"/>
        <s v="IPPUB_80.74.66.45" u="1"/>
        <s v="TPL-WIN7-001" u="1"/>
        <s v="GD-JAVA-AS24-002" u="1"/>
        <s v="GD-JENK-AS24-002" u="1"/>
        <s v="IPPUB_80.74.76.160" u="1"/>
        <s v="VLAN_10.20.45.0/254" u="1"/>
        <s v="GD-A3-MAE-001" u="1"/>
        <s v="IPPUB_80.74.76.29" u="1"/>
        <s v="DOCKER-FIRMIN-v1" u="1"/>
        <s v="MQ-PSQL-MAE-001" u="1"/>
        <s v="GD-AS24-TNL-001" u="1"/>
        <s v="MO-MAIL-001" u="1"/>
        <s v="MS-JAV-NIORT-001" u="1"/>
        <s v="GM-PROXYHTTP-002" u="1"/>
        <s v="FRORDVAP002" u="1"/>
        <s v="FRORDVAP017" u="1"/>
        <s v="GD-DOM-003" u="1"/>
        <s v="FRORDVAP005" u="1"/>
        <s v="GD-VAULT-001" u="1"/>
        <s v="DEVIS-VM-APPLI-MEDIUM" u="1"/>
        <s v="GQ-PHP-SINOE-001" u="1"/>
        <s v="MQ-HOR5-MAE-001" u="1"/>
        <s v="GM-REBOND-001" u="1"/>
        <s v="GD-ORACLE-XE-AS24-001" u="1"/>
        <s v="MQ-SQL-MAEE-002" u="1"/>
        <s v="DNS_gfidevfight.fr" u="1"/>
        <s v="FRORDVDB017" u="1"/>
        <s v="TPL-W2008R2-001" u="1"/>
        <s v="GM-DOCKER-001" u="1"/>
        <s v="TPL-W2008R2-002" u="1"/>
        <s v="GD-ARO-MAE-001_v1" u="1"/>
        <s v="IPPUB_80.74.76.182" u="1"/>
        <s v="DEVIS-FORFAIT-Build 1j" u="1"/>
        <s v="GM-CENTOS-003" u="1"/>
      </sharedItems>
    </cacheField>
    <cacheField name="EnvProjet" numFmtId="0">
      <sharedItems/>
    </cacheField>
    <cacheField name="Commentaire" numFmtId="0">
      <sharedItems containsBlank="1" count="37">
        <m/>
        <s v="SQASH"/>
        <s v="Environnement A3 (Qualification)_x000a_Debian 5.1 / Apache 2 / Tomcat 5.5"/>
        <s v="Environnement A3 (Qualification)_x000a_Debian 8.1 / Apache 2 / Tomcat 8"/>
        <s v="Mutualisé MEAE_x000a_(@base) (Debian 5.0.1 / Apache 2 / Tomcat 5.5)"/>
        <s v="Mutualisé MEAE"/>
        <s v="Environnement C++ (services d’échange) (dev/qualification)_x000a_Windows Server 2003 R2 SP2"/>
        <s v="Environnement C++ (services d’échange) (dev/qualification)_x000a_Windows Server 2008 R2 SP1"/>
        <s v="v 4.6"/>
        <s v="v 4.7"/>
        <s v="Environnement Hornet (Qualification)"/>
        <s v="Mutualisé SAGAIE (multiplateformes)"/>
        <s v="A archiver ?"/>
        <s v="A éteindre dans un futur proche_x000a_PGSQL non SSL_x000a_…. QUID utilisation rendez-vous ?_x000a_"/>
        <s v="_x000a_Environnement PostgreSQL à priori utilisé selon Jérôme"/>
        <s v="MEAE VISA - Nouvelle VM SQL Standard"/>
        <s v="Environnement Windows Vismail_x000a_Windows 7"/>
        <s v="A CONFIRMER"/>
        <s v="Environnement PIC pour VISMAIL"/>
        <s v="Mutualisé ASCO"/>
        <s v="VMFV France-Visas"/>
        <s v="Extinction longue au cas où Vivesco en aurait besoin"/>
        <s v="A archiver si Vivesco migre vers le delivery"/>
        <s v="Environnement de gestion des sources pour VISA"/>
        <s v="Pic MEAE Supervisa VISMAIL"/>
        <s v="sources VISMAILWEB"/>
        <s v="aaaaa"/>
        <s v="Attention, il y a le Wikicsr !!! Et le WikiMacif pour Niort"/>
        <s v="suppr" u="1"/>
        <s v="A archiver" u="1"/>
        <s v="Mutualisé MEAE_x000a_BDD @base) (Windows Server 2003 SP1 / SQL Server 2005 Entreprise Edition" u="1"/>
        <s v="A éteindre dans un futur proche_x000a_bascule Postgresql SSL, non XML_x000a__x000a_A éteindre (du point de vue de la TMA Visa)" u="1"/>
        <s v="Une VM clone de sécurité à priori à supprimer" u="1"/>
        <s v="archivage" u="1"/>
        <s v="A éteindre (du point de vue de la TMA Visa)" u="1"/>
        <s v="fhfghfgh" u="1"/>
        <s v="A supprimer sans archive" u="1"/>
      </sharedItems>
    </cacheField>
    <cacheField name="Chiffrage Migration AWS" numFmtId="0">
      <sharedItems containsString="0" containsBlank="1" containsNumber="1" minValue="0" maxValue="5"/>
    </cacheField>
    <cacheField name="Commentaire Migration AWS" numFmtId="0">
      <sharedItems containsBlank="1"/>
    </cacheField>
    <cacheField name="NbCoreVMPourLicenceSQLPerCore" numFmtId="0">
      <sharedItems containsSemiMixedTypes="0" containsString="0" containsNumber="1" containsInteger="1" minValue="0" maxValue="16"/>
    </cacheField>
    <cacheField name="NbUtilCalTse" numFmtId="0">
      <sharedItems containsSemiMixedTypes="0" containsString="0" containsNumber="1" containsInteger="1" minValue="0" maxValue="40"/>
    </cacheField>
    <cacheField name="IsTypeLicenceSQLServerPerCore" numFmtId="0">
      <sharedItems containsSemiMixedTypes="0" containsString="0" containsNumber="1" containsInteger="1" minValue="0" maxValue="1"/>
    </cacheField>
    <cacheField name="NbUtilCalSql" numFmtId="0">
      <sharedItems containsSemiMixedTypes="0" containsString="0" containsNumber="1" containsInteger="1" minValue="0" maxValue="0"/>
    </cacheField>
    <cacheField name="NbUtilCalSqlTMP" numFmtId="0">
      <sharedItems containsSemiMixedTypes="0" containsString="0" containsNumber="1" containsInteger="1" minValue="0" maxValue="5"/>
    </cacheField>
    <cacheField name="IsVMDiviseMutual" numFmtId="0">
      <sharedItems containsSemiMixedTypes="0" containsString="0" containsNumber="1" minValue="0" maxValue="1"/>
    </cacheField>
    <cacheField name="IsVMPoweredOn" numFmtId="0">
      <sharedItems containsSemiMixedTypes="0" containsString="0" containsNumber="1" containsInteger="1" minValue="0" maxValue="1"/>
    </cacheField>
    <cacheField name="RamActiveDiviseMutual" numFmtId="0">
      <sharedItems containsSemiMixedTypes="0" containsString="0" containsNumber="1" minValue="0" maxValue="16"/>
    </cacheField>
    <cacheField name="DisqueDiviseMutual" numFmtId="0">
      <sharedItems containsSemiMixedTypes="0" containsString="0" containsNumber="1" minValue="0" maxValue="270"/>
    </cacheField>
    <cacheField name="IsWindows" numFmtId="0">
      <sharedItems containsSemiMixedTypes="0" containsString="0" containsNumber="1" containsInteger="1" minValue="0" maxValue="1"/>
    </cacheField>
    <cacheField name="CoutLicenceMS" numFmtId="165">
      <sharedItems containsSemiMixedTypes="0" containsString="0" containsNumber="1" minValue="0" maxValue="321.41000000000003"/>
    </cacheField>
    <cacheField name="SYGES" numFmtId="0">
      <sharedItems containsMixedTypes="1" containsNumber="1" containsInteger="1" minValue="0" maxValue="0" count="42">
        <s v="HEBERG-EDI  MUT-2018"/>
        <s v="GFI Oceanet Infra Réseau"/>
        <s v="Fablab-Firmin"/>
        <s v="GIESV/PCN17-01"/>
        <s v="GFI Oceanet Infra Réseau Orléans"/>
        <s v="IT-CE/DFA"/>
        <s v="BRGM/BDLISA-18"/>
        <s v="ONEMA/TMADCUA-15"/>
        <s v="CA-TITRES/TMA"/>
        <s v="MENESR/TMA"/>
        <s v="BRGM/DEGAT-16"/>
        <s v="FRR/TMASI"/>
        <s v="ONEMA/TMADCIE-15"/>
        <s v="PCM-WEB"/>
        <s v="projet interne Orléans"/>
        <s v="STMICRO/TMA-R2R-17"/>
        <s v="STMICRO/TMASI"/>
        <s v="Gest'ea / OUGC"/>
        <s v="GFI Oceanet Orléans PIC"/>
        <s v="MAE-PII-L2/334179-17"/>
        <s v="SUPP-DIGI - 1530-2018 - 0 - 1 - Tache 1 - Perform"/>
        <s v="HEBERG-EDI  MUT-2018 - DEV"/>
        <s v="AS24/ChantierPIC"/>
        <s v="GFIINT2019/ NRT-PJINT"/>
        <s v="VIVESC-TAU/S240776A"/>
        <s v="ADE-SAGA/S364196A"/>
        <s v="ADEME-SIN/16-S240097"/>
        <s v="GFI-Jetbrain serveur licence"/>
        <s v="SILICONE - 1530-2018 - 0 - 1 - Tache 1 – MarcoPolo"/>
        <s v="LAPOST-SIB - 382233 - 0 - 1 - Refonte du portail SIBP"/>
        <s v="SILICONE - 1530-2018 - 0 - 2 - Tache 2 – ORS"/>
        <s v="GitLab Orléans"/>
        <s v="LA-POSTE-CDC-DRUPAL"/>
        <s v="ONEMA/TMAWEB-16"/>
        <s v="GIP RECIA-Plateformes CLOUD / Edition"/>
        <s v="AFB/OFB_LOT2"/>
        <s v="MACIF-PHP/284244-17"/>
        <s v="GFI Redmine Niort"/>
        <s v="MAE-PII-L2/334179"/>
        <s v="GFI Redmine Orléans"/>
        <s v="PRIZER-TMA"/>
        <n v="0" u="1"/>
      </sharedItems>
    </cacheField>
    <cacheField name="Client" numFmtId="0">
      <sharedItems containsMixedTypes="1" containsNumber="1" containsInteger="1" minValue="0" maxValue="0" count="24">
        <s v="HEBERG-EDI"/>
        <s v="GFI"/>
        <s v="Fablab"/>
        <s v="GIESV"/>
        <s v="IT-CE"/>
        <s v="BRGM"/>
        <s v="ONEMA"/>
        <s v="CA-TITRES"/>
        <s v="MENESR"/>
        <s v="FRR"/>
        <s v="PCM"/>
        <s v="STMICRO"/>
        <s v="Gest'ea / OUGC"/>
        <s v="MINISTERE DE L'EUROPE ET DES AFFAIRES ETRANGERES"/>
        <s v="AS24"/>
        <s v="GFI-NIORT"/>
        <s v="CAT'HELIUM VIVESCO"/>
        <s v="ADEME"/>
        <s v="LA POSTE"/>
        <s v="GIP RECIA"/>
        <s v="AFB"/>
        <s v="MACIF"/>
        <s v="PRIZER"/>
        <n v="0" u="1"/>
      </sharedItems>
    </cacheField>
    <cacheField name="Statut_VM_Exists" numFmtId="0">
      <sharedItems/>
    </cacheField>
    <cacheField name="CoutGlobal" numFmtId="44">
      <sharedItems containsSemiMixedTypes="0" containsString="0" containsNumber="1" minValue="0.92" maxValue="74.900000000000006"/>
    </cacheField>
    <cacheField name="CoutGlobalSansCostCenterDI" numFmtId="44">
      <sharedItems containsSemiMixedTypes="0" containsString="0" containsNumber="1" minValue="0" maxValue="74.900000000000006"/>
    </cacheField>
    <cacheField name="CoutGlobalSupplementaire" numFmtId="44">
      <sharedItems containsSemiMixedTypes="0" containsString="0" containsNumber="1" minValue="0" maxValue="130.73473258631887"/>
    </cacheField>
    <cacheField name="CoutGlobalFinal" numFmtId="44">
      <sharedItems containsSemiMixedTypes="0" containsString="0" containsNumber="1" minValue="0" maxValue="205.63473258631888"/>
    </cacheField>
    <cacheField name="Projet" numFmtId="0">
      <sharedItems count="312">
        <s v="EDI-MUT-EDI-MUT - HEBERG-EDI  MUT-2018 - David LEMALHEUX"/>
        <s v="GFI-Oceanet Infra Modèles - GFI Oceanet Infra Réseau - Jérôme JACOB"/>
        <s v="Fablab-Firmin - Fablab-Firmin - Pierre-Yves Baloche"/>
        <s v="GIE S-V-Infra Citrix - GIESV/PCN17-01 - Nicolas Cordier"/>
        <s v="GFI-Oceanet Infra Réseau - GFI Oceanet Infra Réseau - Jérôme JACOB"/>
        <s v="GFI-Oceanet Infra Réseau Orléans - GFI Oceanet Infra Réseau Orléans - Christophe ORLANDO"/>
        <s v="IT-CE-TMA - IT-CE/DFA - Christophe ORLANDO"/>
        <s v="BRGM-BDLISA - BRGM/BDLISA-18 - Jean-Philippe STROIAZZO"/>
        <s v="BRGM-BNPE - BRGM/BDLISA-18 - Jean-Philippe STROIAZZO"/>
        <s v="AFB-ASPE - ONEMA/TMADCUA-15 - Jean-Philippe STROIAZZO"/>
        <s v="AFB-CARHYCE - ONEMA/TMADCUA-15 - Jean-Philippe STROIAZZO"/>
        <s v="AFB-GEOBS - ONEMA/TMADCUA-15 - Jean-Philippe STROIAZZO"/>
        <s v="AFB-ONDE - ONEMA/TMADCUA-15 - Jean-Philippe STROIAZZO"/>
        <s v="AFB-RNT - ONEMA/TMADCUA-15 - Christophe ORLANDO"/>
        <s v="CA-TITRES-COGNOS - CA-TITRES/TMA - Jean-Philippe STROIAZZO"/>
        <s v="CA-TITRES-CRR - CA-TITRES/TMA - Jean-Philippe STROIAZZO"/>
        <s v="MENESR-APAE - MENESR/TMA - Pierre BOURLIEUX"/>
        <s v="BRGM-DEGATS-MINERS - BRGM/DEGAT-16 - Pierre BOURLIEUX"/>
        <s v="FRR-CADENCIER - FRR/TMASI - Pierre BOURLIEUX"/>
        <s v="ONEMA-OPALE - ONEMA/TMADCIE-15 - Pierre BOURLIEUX"/>
        <s v="AFB-BASEINDICATEURS - ONEMA/TMADCUA-15 - Pierre BOURLIEUX"/>
        <s v="AFB-CATALOGUEINDICATEURS - ONEMA/TMADCUA-15 - Pierre BOURLIEUX"/>
        <s v="AFB-ENQUETEDEAU - ONEMA/TMADCUA-15 - Jean-Philippe STROIAZZO"/>
        <s v="AFB-OISON - ONEMA/TMADCUA-15 - Jean-Philippe STROIAZZO"/>
        <s v="AFB-Patbiodiv - ONEMA/TMADCUA-15 - Rodolphe Habegger"/>
        <s v="AFB-SIFLORE - ONEMA/TMADCUA-15 - Pierre BOURLIEUX"/>
        <s v="AFB-SISPEA - ONEMA/TMADCUA-15 - Pierre BOURLIEUX"/>
        <s v="MENESR-INES - MENESR/TMA - Pierre BOURLIEUX"/>
        <s v="PCM-ALS - PCM-WEB - Alice MARCHAL"/>
        <s v="ONEMA-ASPE - ONEMA/TMADCIE-15 - Christophe ORLANDO"/>
        <s v="GFI-GFICOFFEE - projet interne Orléans - Christophe ORLANDO"/>
        <s v="STMICRO-RUN2RUN - STMICRO/TMA-R2R-17 - Jean-Philippe STROIAZZO"/>
        <s v="STMICRO-STARK - STMICRO/TMASI - Jean-Philippe STROIAZZO"/>
        <s v="Gest'ea / OUGC-Gest'ea / OUGC - Gest'ea / OUGC - Jean-Philippe STROIAZZO"/>
        <s v="MENESR-BNIE - MENESR/TMA - Pierre BOURLIEUX"/>
        <s v="FRR-APPLIFRR - FRR/TMASI - Pierre BOURLIEUX"/>
        <s v="FRR-TCPOS - FRR/TMASI - Pierre BOURLIEUX"/>
        <s v="MENESR-RNIE - MENESR/TMA - Pierre BOURLIEUX"/>
        <s v="FRR-Patapain - FRR/TMASI - Rodolphe Habegger"/>
        <s v="GFI-Oceanet Orléans PIC - GFI Oceanet Orléans PIC - Christophe ORLANDO"/>
        <s v="MEAE-Visa - MAE-PII-L2/334179-17 - Axel Benoist-Gironiere"/>
        <s v="DIG-Perform - SUPP-DIGI - 1530-2018 - 0 - 1 - Tache 1 - Perform - Vincent MERIAU"/>
        <s v="MEAE-SAGAIE TMA - MAE-PII-L2/334179-17 - Axel Benoist-Gironiere, Vincent MERIAU"/>
        <s v="EDI-MUT-EDI-MUT-DEV - HEBERG-EDI  MUT-2018 - DEV - David LEMALHEUX"/>
        <s v="AS24-ChantierPIC - AS24/ChantierPIC - Florian DUPONT"/>
        <s v="GFI-MY BUSINESS - GFIINT2019/ NRT-PJINT - Philippe De Guio"/>
        <s v="MEAE-Prevoirh - MAE-PII-L2/334179-17 - Axel Benoist-Gironiere"/>
        <s v="Vivesco-Vives-taux - VIVESC-TAU/S240776A - Pierre Maurupt"/>
        <s v="ADEME-SAGA - ADE-SAGA/S364196A - Pascale CRINE"/>
        <s v="GFI-Outil de notification automatique Jira (Niort) - GFIINT2019/ NRT-PJINT - Philippe De Guio"/>
        <s v="GFI-Oceanet Gestion VM - GFI Oceanet Infra Réseau - Jérôme JACOB"/>
        <s v="ADEME-SINOE - ADEME-SIN/16-S240097 - Pascale CRINE"/>
        <s v="GFI-Jetbrain serveur licence - GFI-Jetbrain serveur licence - Jérôme JACOB"/>
        <s v="GFI-MARCO POLO - SILICONE - 1530-2018 - 0 - 1 - Tache 1 – MarcoPolo - Philippe De Guio"/>
        <s v="LA POSTE-SIBP - LAPOST-SIB - 382233 - 0 - 1 - Refonte du portail SIBP - Nicolas Legros"/>
        <s v="GFI-WE SPEC - SILICONE - 1530-2018 - 0 - 2 - Tache 2 – ORS - Vincent MERIAU"/>
        <s v="GFI-GitLab Orléans - GitLab Orléans - Christophe ORLANDO"/>
        <s v="GFI-Linkus - SILICONE - 1530-2018 - 0 - 2 - Tache 2 – ORS - Michael Le-Ridant"/>
        <s v="LA POSTE-CDC-DRUPAL - LA-POSTE-CDC-DRUPAL - Christophe ORLANDO"/>
        <s v="ONEMA-CDR - TMA WEB - ONEMA/TMAWEB-16 - Pierre BOURLIEUX"/>
        <s v="GIP RECIA-Plateformes CLOUD / Edition - GIP RECIA-Plateformes CLOUD / Edition - Christophe ORLANDO"/>
        <s v="AFB-PNM - AFB/OFB_LOT2 - Eric RAUCOURT"/>
        <s v="GFI-EveryDaily - SUPP-DIGI - 1530-2018 - 0 - 1 - Tache 1 - Perform - Vincent MERIAU"/>
        <s v="GIE S-V-Mantis - RR - GIESV/PCN17-01 - Nicolas Cordier"/>
        <s v="MACIF-Transverse - MACIF-PHP/284244-17 - Yann-Herve Mauguen"/>
        <s v="GFI-Redmine Niort - GFI Redmine Niort - Philippe De Guio"/>
        <s v="MEAE-Redmine MEAE - MAE-PII-L2/334179 - Axel Benoist-Gironiere"/>
        <s v="GFI-Redmine Orléans - GFI Redmine Orléans - Christophe ORLANDO"/>
        <s v="PRIZER-TMA - PRIZER-TMA - Valerie ASSELIN LOZACHMEUR"/>
        <s v="GFI-Oceanet Gestion VM - PID-1530 TPS-2019 -0-1 Projet Administration PID - Jérôme JACOB" u="1"/>
        <s v="GFI-Linkus" u="1"/>
        <s v="RECIA-GRR - RECIA/AC-18" u="1"/>
        <s v="FRR-CADENCIER - FRR/TMASI" u="1"/>
        <s v="FRR-STAGEDATA - FRR/TMASI" u="1"/>
        <s v="AFB-ASPE - ONEMA/TMADCUA-15" u="1"/>
        <s v="AFB-ONDE - ONEMA/TMADCUA-15" u="1"/>
        <e v="#N/A" u="1"/>
        <s v="LA POSTE-OPUS" u="1"/>
        <s v="ONEMA-CDR - TMA WEB - ONEMA/TMADCIE-15 - Christophe ORLANDO" u="1"/>
        <s v="AFB-Patbiodiv" u="1"/>
        <s v="GFI-Dev Fight - 0 - 0" u="1"/>
        <s v="ONEMA-OPALE - ONEMA/TMADCIE-15 - Christophe ORLANDO" u="1"/>
        <s v="PRIZER-TMA - 0" u="1"/>
        <s v="AFB-ASPE" u="1"/>
        <s v="GFI-Gestionnaire de devis (Niort) - GFIINT2019/ NRT-PJINT - Philippe De Guio" u="1"/>
        <s v="BRGM-DEGATS-MINERS - BRGM/DEGAT-16" u="1"/>
        <s v="GFI-Oceanet Infra Réseau - 0 - 0" u="1"/>
        <s v="Fablab-Firmin - 0 - Pierre-Yves Baloche" u="1"/>
        <s v="Vivesco-Vives-taux" u="1"/>
        <s v="AFB-GEOBS - ONEMA/TMADCUA-15" u="1"/>
        <s v="AFB-OISON - ONEMA/TMADCUA-15" u="1"/>
        <s v="MENESR-APAE - MENESR/TMA - Christophe ORLANDO" u="1"/>
        <s v="MENESR-BNIE - MENESR/TMA - Christophe ORLANDO" u="1"/>
        <s v="MENESR-INES - MENESR/TMA - Christophe ORLANDO" u="1"/>
        <s v="MENESR-RNIE - MENESR/TMA - Christophe ORLANDO" u="1"/>
        <s v="GFI-MARCO POLO - SILICONE - 1530-2018 - 0 - 1 - Tache 1 – MarcoPolo - 0" u="1"/>
        <s v="GFI-Oceanet Orléans PIC - 0 - 0" u="1"/>
        <s v="PCM-ALS - PCM-ALS - Christophe ORLANDO" u="1"/>
        <s v="IT-CE-TMA - IT-CE/DFA" u="1"/>
        <s v="ONEMA-CDR - TMA WEB" u="1"/>
        <s v="FRR-CADENCIER" u="1"/>
        <s v="GFI-GitLab Orléans" u="1"/>
        <s v="GFI-GFICOFFEE - 0 - 0" u="1"/>
        <s v="AFB-ENQUETEDEAU" u="1"/>
        <s v="FRR-CADENCIER - FRR/TMASI - Rodolphe Habegger" u="1"/>
        <s v="FRR-STAGEDATA - FRR/TMASI - Rodolphe Habegger" u="1"/>
        <s v="IT-CE-TMA" u="1"/>
        <s v="DIG-Perform" u="1"/>
        <s v="PCM-ALS" u="1"/>
        <s v="GFI-Dev Fight - projet interne - Jérôme JACOB" u="1"/>
        <s v="AFB-ENQUETEDEAU - ONEMA/TMADCUA-15" u="1"/>
        <s v="GFI-WE SPEC - SILICONE - 1530-2018 - 0 - 2 - Tache 2 – ORS - 0" u="1"/>
        <s v="ONEMA-GEOF-SNPE" u="1"/>
        <s v="GIE S-V-Mantis - RR - GIESV/PCN17-01" u="1"/>
        <s v="ONEMA-CDR - TMA WEB - ONEMA/TMADCIE-15 - 0" u="1"/>
        <s v="FRR-TCPOS" u="1"/>
        <s v="AFB-SISPEA" u="1"/>
        <s v="AFB-ENQUETEDEAU - ONEMA/TMADCUA-15 - Christophe ORLANDO" u="1"/>
        <s v="GFI-EveryDaily - SUPP-DIGI - 1530-2018 - 0 - 1 - Tache 1 - Perform" u="1"/>
        <s v="GFI-Gestionnaire de tickets (Niort)" u="1"/>
        <s v="ONEMA-OPALE" u="1"/>
        <s v="MEAE-Visa - MAE-PII-L2/334179-17 - 0" u="1"/>
        <s v="AS24-Redmine - AS24/342220-18" u="1"/>
        <s v="AFB-SIFLORE" u="1"/>
        <s v="GFI-Oceanet Gestion VM" u="1"/>
        <s v="CA-TITRES-CRR" u="1"/>
        <s v="PCM-ALS - 0" u="1"/>
        <s v="FOBA-Foba - 0" u="1"/>
        <s v="GFI-POC Android - SUPP-DIGI - 1530-2018 - 0 - 1 - Tache 1 - Perform" u="1"/>
        <s v="AFB-GEOBS - ONEMA/TMADCUA-15 - Christophe ORLANDO" u="1"/>
        <s v="AFB-OISON - ONEMA/TMADCUA-15 - Christophe ORLANDO" u="1"/>
        <s v="AFB-BASEINDICATEURS" u="1"/>
        <s v="PRIZER-TMA - PRIZER-TMA - Christophe ORLANDO" u="1"/>
        <s v="GFI-TENDER" u="1"/>
        <s v="GFI-GFICOFFEE" u="1"/>
        <s v="GFI-Redmine Niort" u="1"/>
        <s v="GFI-Redmine Orléans" u="1"/>
        <s v="MENESR-INES" u="1"/>
        <s v="FRR-APPLIFRR - FRR/TMASI" u="1"/>
        <s v="FRR-Patapain - FRR/TMASI" u="1"/>
        <s v="Fablab-Firmin" u="1"/>
        <s v="ONEMA-OPALE - ONEMA/TMADCIE-15" u="1"/>
        <s v="LA POSTE-POP" u="1"/>
        <s v="GFI-GFICOFFEE - 0 - Christophe ORLANDO" u="1"/>
        <s v="AFB-SISPEA - ONEMA/TMADCUA-15 - Christophe ORLANDO" u="1"/>
        <s v="CA-TITRES-CRR - CA-TITRES/TMA - Christophe ORLANDO" u="1"/>
        <s v="GFI-Gestionnaire de tickets (Niort) - GFIINT2019/ NRT-PJINT" u="1"/>
        <s v="GFI-GitLab Orléans - 0" u="1"/>
        <s v="ONEMA-GEOF-SNPE - ONEMA/TMADCIE-15 - Christophe ORLANDO" u="1"/>
        <s v="FRR-Patapain" u="1"/>
        <s v="GFI-Redmine Orléans - 0 - Christophe ORLANDO" u="1"/>
        <s v="ONEMA-OPALE - ONEMA/TMADCIE-15 - 0" u="1"/>
        <s v="GFI-Oceanet Infra Modèles - PID-1530 TPS-2019 -0-1 Projet Administration PID - Jérôme JACOB" u="1"/>
        <s v="GFI-Oceanet Infra Modèles - PID-1530 TPS-2019 -0-1 Projet Administration PID" u="1"/>
        <s v="GFI-Oceanet Infra Modèles" u="1"/>
        <s v="LA POSTE-SIBP" u="1"/>
        <s v="AFB-SISPEA - ONEMA/TMADCUA-15" u="1"/>
        <s v="AFB-CARHYCE" u="1"/>
        <s v="GFI-Oceanet Infra Modèles - PID-1530 TPS-2019 -0-1 Projet Administration PID - 0" u="1"/>
        <s v="MEAE-Redmine MEAE - MAE-PII-L2/334179" u="1"/>
        <s v="FRR-STAGEDATA" u="1"/>
        <s v="MACIF-Transverse" u="1"/>
        <s v="GFI-EveryDaily" u="1"/>
        <s v="FRR-APPLIFRR" u="1"/>
        <s v="MEAE-Hornet" u="1"/>
        <s v="MACIF-Transverse - MACIF-PHP/284244-17" u="1"/>
        <s v="PCM-ALS - 0 - 0" u="1"/>
        <s v="MENESR-APAE - MENESR/TMA - 0" u="1"/>
        <s v="MENESR-BNIE - MENESR/TMA - 0" u="1"/>
        <s v="MENESR-INES - MENESR/TMA - 0" u="1"/>
        <s v="MENESR-RNIE - MENESR/TMA - 0" u="1"/>
        <s v="Gest'ea / OUGC-Gest'ea / OUGC - 0" u="1"/>
        <s v="STIMICRO-RUN2RUN - INCONNU" u="1"/>
        <s v="AFB-OISON" u="1"/>
        <s v="GFI-POC Android" u="1"/>
        <s v="FRR-APPLIFRR - FRR/TMASI - Rodolphe Habegger" u="1"/>
        <s v="BRGM-BDLISA" u="1"/>
        <s v="BRGM-DEGATS-MINERS" u="1"/>
        <s v="AFB-Patbiodiv - ONEMA/TMADCUA-15" u="1"/>
        <s v="STIMICRO-RUN2RUN" u="1"/>
        <s v="GFI-Linkus - SILICONE - 1530-2018 - 0 - 2 - Tache 2 – ORS" u="1"/>
        <s v="AFB-CATALOGUEINDICATEURS - ONEMA/TMADCUA-15 - Christophe ORLANDO" u="1"/>
        <s v="GFI-Dev Fight" u="1"/>
        <s v="DEVIS-DEVIS - DEVIS - DEVIS" u="1"/>
        <s v="GFI-MARCO POLO - SILICONE - 1530-2018 - 0 - 1 - Tache 1 – MarcoPolo" u="1"/>
        <s v="AFB-RNT" u="1"/>
        <s v="GFI-BASECONTACT" u="1"/>
        <s v="GFI-Lotus Domino" u="1"/>
        <s v="GFI-POC Android - SUPP-DIGI - 1530-2018 - 0 - 1 - Tache 1 - Perform - Vincent MERIAU" u="1"/>
        <s v="MENESR-APAE - MENESR/TMA" u="1"/>
        <s v="MENESR-BNIE - MENESR/TMA" u="1"/>
        <s v="MENESR-INES - MENESR/TMA" u="1"/>
        <s v="MENESR-RNIE - MENESR/TMA" u="1"/>
        <s v="CA-TITRES-CRR - CA-TITRES/TMA - 0" u="1"/>
        <s v="EDI-MUT-EDI-MUT - HEBERG-EDI  MUT-2018" u="1"/>
        <s v="RECIA-GRR - RECIA/AC-18 - Christophe ORLANDO" u="1"/>
        <s v="STMICRO-RUN2RUN - STIMICRO/TMA-R2R-17 - Christophe ORLANDO" u="1"/>
        <s v="PRIZER-TMA - 0 - 0" u="1"/>
        <s v="ONEMA-ASPE - ONEMA/TMADCIE-15" u="1"/>
        <s v="MEAE-Redmine MEAE" u="1"/>
        <s v="Gest'ea / OUGC-Gest'ea / OUGC - 0 - 0" u="1"/>
        <s v="LA POSTE-CDC-DRUPAL - LAPOSTE-CDC-DRUPAL - Christophe ORLANDO" u="1"/>
        <s v="FOBA-Foba" u="1"/>
        <s v="LA POSTE-OPOSSUM" u="1"/>
        <s v="IT-CE-TMA - IT-CE/DFA - 0" u="1"/>
        <s v="CA-TITRES-COGNOS - CA-TITRES/TMA" u="1"/>
        <s v="ONEMA-ASPE - ONEMA/TMADCIE-15 - 0" u="1"/>
        <s v="GFI-GitLab Orléans - 0 - Christophe ORLANDO" u="1"/>
        <s v="AFB-CATALOGUEINDICATEURS" u="1"/>
        <s v="GFI-Outil de notification automatique Jira (Niort) - 0 - Philippe De Guio" u="1"/>
        <s v="GFI-MY BUSINESS" u="1"/>
        <s v="ADEME-SINOE" u="1"/>
        <s v="ADEME-SAGA - ADE-SAGA/S364196A" u="1"/>
        <s v="Fablab-Firmin - 0" u="1"/>
        <s v="GFI-Redmine Orléans - 0" u="1"/>
        <s v="LA POSTE-OPOSSUM - 0" u="1"/>
        <s v="GFI-GitLab Orléans - 0 - 0" u="1"/>
        <s v="FRR-TCPOS - FRR/TMASI - Rodolphe Habegger" u="1"/>
        <s v="GFI-Dev Fight - 0 - Jérôme JACOB" u="1"/>
        <s v="AFB-GEOBS" u="1"/>
        <s v="GFI-Dev Fight - 0" u="1"/>
        <s v="GFI-Lotus Domino - 0" u="1"/>
        <s v="GFI-MY BUSINESS - GFIINT2019/ NRT-PJINT" u="1"/>
        <s v="ONEMA-ASPE" u="1"/>
        <s v="GFI-GFICOFFEE - 0" u="1"/>
        <s v="RECIA-GRR - RECIA/AC-18 - 0" u="1"/>
        <s v="GFI-MARCO POLO" u="1"/>
        <s v="BRGM-DEGATS-MINERS - BRGM/DEGAT-16 - Christophe ORLANDO" u="1"/>
        <s v="GFI-Redmine Orléans - 0 - 0" u="1"/>
        <s v="MENESR-BNIE" u="1"/>
        <s v="LA POSTE-SIBP - LAPOST-SIB - 382233 - 0 - 1 - Refonte du portail SIBP" u="1"/>
        <s v="BRGM-BNPE" u="1"/>
        <s v="STMICRO-RUN2RUN - STMICRO/TMA-R2R-17 - Christophe ORLANDO" u="1"/>
        <s v="MENESR-RNIE" u="1"/>
        <s v="BRGM-BDLISA - BRGM/BDLISA-18 - Christophe ORLANDO" u="1"/>
        <s v="CA-TITRES-COGNOS" u="1"/>
        <s v="GFI-Jetbrain serveur licence - 0 - Jérôme JACOB" u="1"/>
        <s v="GFI-Oceanet Gestion VM - PID-1530 TPS-2019 -0-1 Projet Administration PID" u="1"/>
        <s v="MEAE-Visa" u="1"/>
        <s v="ONEMA-GEOF-SNPE - ONEMA/TMADCIE-15" u="1"/>
        <s v="GFI-Oceanet Gestion VM - PID-1530 TPS-2019 -0-1 Projet Administration PID - 0" u="1"/>
        <s v="DIG-Perform - SUPP-DIGI - 1530-2018 - 0 - 1 - Tache 1 - Perform" u="1"/>
        <s v="GFI-Redmine Niort - 0" u="1"/>
        <s v="AFB-Patbiodiv - ONEMA/TMADCUA-15 - Christophe ORLANDO" u="1"/>
        <s v="CA-TITRES-COGNOS - CA-TITRES/TMA - Christophe ORLANDO" u="1"/>
        <s v="GFI-Oceanet Infra Réseau - 0 - Jérôme JACOB" u="1"/>
        <s v="AFB-ASPE - ONEMA/TMADCUA-15 - Christophe ORLANDO" u="1"/>
        <s v="AFB-ONDE - ONEMA/TMADCUA-15 - Christophe ORLANDO" u="1"/>
        <s v="GFI-Outil de notification automatique Jira (Niort) - 0 - 0" u="1"/>
        <s v="ADEME-SINOE - ADEME-SIN/16-S240097" u="1"/>
        <s v="MEAE-SAGAIE TMA" u="1"/>
        <s v="GFI-POC Android - SUPP-DIGI - 1530-2018 - 0 - 1 - Tache 1 - Perform - 0" u="1"/>
        <s v="GFI-MY BUSINESS - GFIINT2019/ NRT-PJINT - 0" u="1"/>
        <s v="LA POSTE-OPUS - 0" u="1"/>
        <s v="STIMICRO-RUN2RUN - INCONNU - INCONNU" u="1"/>
        <s v="GIE S-V-Mantis - RR" u="1"/>
        <s v="GFI-Oceanet Infra Réseau" u="1"/>
        <s v="AFB-ONDE" u="1"/>
        <s v="PRIZER-TMA - 0 - Christophe ORLANDO" u="1"/>
        <s v="GFI-Oceanet Orléans PIC - 0 - Christophe ORLANDO" u="1"/>
        <s v="Gest'ea / OUGC-Gest'ea / OUGC - Gest'ea / OUGC - Christophe ORLANDO" u="1"/>
        <s v="MENESR-APAE" u="1"/>
        <s v="BRGM-BNPE - BRGM/BDLISA-18 - Christophe ORLANDO" u="1"/>
        <s v="PRIZER-TMA" u="1"/>
        <s v="AS24-Redmine" u="1"/>
        <s v="AFB-RNT - ONEMA/TMADCUA-15" u="1"/>
        <s v="GFI-Redmine Niort - 0 - Philippe De Guio" u="1"/>
        <s v="ADEME-SAGA" u="1"/>
        <s v="PCM-ALS - 0 - Christophe ORLANDO" u="1"/>
        <s v="AFB-BASEINDICATEURS - ONEMA/TMADCUA-15" u="1"/>
        <s v="GFI-WE SPEC - SILICONE - 1530-2018 - 0 - 2 - Tache 2 – ORS" u="1"/>
        <s v="GFI-Gestionnaire de tickets (Niort) - GFIINT2019/ NRT-PJINT - Philippe De Guio" u="1"/>
        <s v="ONEMA-CDR - TMA WEB - ONEMA/TMADCIE-15" u="1"/>
        <s v="GFI-Oceanet Orléans PIC" u="1"/>
        <s v="Gest'ea / OUGC-Gest'ea / OUGC - 0 - Christophe ORLANDO" u="1"/>
        <s v="GFI-EveryDaily - SUPP-DIGI - 1530-2018 - 0 - 1 - Tache 1 - Perform - 0" u="1"/>
        <s v="Vivesco-Vives-taux - VIVESC-TAU/S240776A" u="1"/>
        <s v="ONEMA-GEOF-SNPE - ONEMA/TMADCIE-15 - 0" u="1"/>
        <s v="BRGM-BNPE - BRGM/BDLISA-18" u="1"/>
        <s v="EDI-MUT-EDI-MUT" u="1"/>
        <s v="GFI-Jetbrain serveur licence - 0 - 0" u="1"/>
        <s v="FRR-TCPOS - FRR/TMASI" u="1"/>
        <s v="LA POSTE-SIBP - LAPOST-SIB - 382233 - 0 - 1 - Refonte du portail SIBP - 0" u="1"/>
        <s v="AFB-CATALOGUEINDICATEURS - ONEMA/TMADCUA-15" u="1"/>
        <s v="STIMICRO-RUN2RUN - 0" u="1"/>
        <s v="GFI-Oceanet PIC" u="1"/>
        <s v="Gest'ea / OUGC-Gest'ea / OUGC" u="1"/>
        <s v="GIP RECIA-Plateformes CLOUD / Edition - 0 - Christophe ORLANDO" u="1"/>
        <s v="STMICRO-STARK - STMICRO/TMASI" u="1"/>
        <s v="GFI-Jetbrain serveur licence - 0" u="1"/>
        <s v="MEAE-SAGAIE TMA - MAE-PII-L2/334179-17" u="1"/>
        <s v="AFB-BASEINDICATEURS - ONEMA/TMADCUA-15 - Christophe ORLANDO" u="1"/>
        <s v="GFI-Oceanet Orléans PIC - 0" u="1"/>
        <s v="AFB-CARHYCE - ONEMA/TMADCUA-15" u="1"/>
        <s v="AFB-SIFLORE - ONEMA/TMADCUA-15" u="1"/>
        <s v="GIP RECIA-Plateformes CLOUD / Edition - 0" u="1"/>
        <s v="MEAE-Visa - MAE-PII-L2/334179-17" u="1"/>
        <s v="GFI-Gestionnaire de devis (Niort)" u="1"/>
        <s v="CA-TITRES-COGNOS - CA-TITRES/TMA - 0" u="1"/>
        <s v="AFB-CARHYCE - ONEMA/TMADCUA-15 - Christophe ORLANDO" u="1"/>
        <s v="AFB-SIFLORE - ONEMA/TMADCUA-15 - Christophe ORLANDO" u="1"/>
        <s v="GFI-Gestionnaire de devis (Niort) - GFIINT2019/ NRT-PJINT" u="1"/>
        <s v="GIP RECIA-Plateformes CLOUD / Edition - 0 - 0" u="1"/>
        <s v="GFI-WE SPEC" u="1"/>
        <s v="AS24-Redmine - AS24/342220-18 - Florian DUPONT" u="1"/>
        <s v="GIP RECIA-Plateformes CLOUD / Edition" u="1"/>
        <s v="CA-TITRES-CRR - CA-TITRES/TMA" u="1"/>
        <s v="GFI-Outil de notification automatique Jira (Niort) - 0" u="1"/>
        <s v="RECIA-GRR" u="1"/>
        <s v="BRGM-BDLISA - BRGM/BDLISA-18" u="1"/>
        <s v="LA POSTE-POP - 0" u="1"/>
        <s v="GFI-Oceanet Infra Réseau - 0" u="1"/>
      </sharedItems>
    </cacheField>
    <cacheField name="CP" numFmtId="0">
      <sharedItems/>
    </cacheField>
    <cacheField name="CostCenter" numFmtId="0">
      <sharedItems containsMixedTypes="1" containsNumber="1" containsInteger="1" minValue="305704" maxValue="341533" count="7">
        <s v="341530-EDI"/>
        <s v="CostCenterDI"/>
        <s v="Fablab"/>
        <n v="341531"/>
        <n v="305704"/>
        <n v="341530"/>
        <n v="341533" u="1"/>
      </sharedItems>
    </cacheField>
    <cacheField name="Environnement" numFmtId="0">
      <sharedItems count="17">
        <s v="PROD"/>
        <s v="SOCLE"/>
        <s v="PREPROD"/>
        <s v="DEV"/>
        <s v="TMA"/>
        <s v="RECETTE"/>
        <s v="QUAL_BUILD"/>
        <s v="QUAL"/>
        <s v="DEV_RUN"/>
        <s v="DEV_BUILD"/>
        <s v="QUAL_RUN"/>
        <s v="OBSOLETE"/>
        <s v="ARRET"/>
        <s v="SUPPR" u="1"/>
        <s v="TMA-PROD" u="1"/>
        <e v="#N/A" u="1"/>
        <s v="ONE_SHOT" u="1"/>
      </sharedItems>
    </cacheField>
    <cacheField name="Mutualisé" numFmtId="0">
      <sharedItems containsSemiMixedTypes="0" containsString="0" containsNumber="1" containsInteger="1" minValue="1" maxValue="10"/>
    </cacheField>
  </cacheFields>
  <extLst>
    <ext xmlns:x14="http://schemas.microsoft.com/office/spreadsheetml/2009/9/main" uri="{725AE2AE-9491-48be-B2B4-4EB974FC3084}">
      <x14:pivotCacheDefinition pivotCacheId="111407152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60">
  <r>
    <x v="0"/>
    <s v="EDI-MUT-EDI-MUT .:. PROD"/>
    <x v="0"/>
    <m/>
    <m/>
    <n v="0"/>
    <n v="0"/>
    <n v="0"/>
    <n v="0"/>
    <n v="0"/>
    <n v="0"/>
    <n v="0"/>
    <n v="0"/>
    <n v="0"/>
    <n v="0"/>
    <n v="0"/>
    <x v="0"/>
    <x v="0"/>
    <s v=""/>
    <n v="50"/>
    <n v="50"/>
    <n v="87.272852193804297"/>
    <n v="137.27285219380428"/>
    <x v="0"/>
    <s v="David LEMALHEUX"/>
    <x v="0"/>
    <x v="0"/>
    <n v="1"/>
  </r>
  <r>
    <x v="1"/>
    <s v="EDI-MUT-EDI-MUT .:. PROD"/>
    <x v="0"/>
    <m/>
    <m/>
    <n v="0"/>
    <n v="0"/>
    <n v="0"/>
    <n v="0"/>
    <n v="0"/>
    <n v="0"/>
    <n v="0"/>
    <n v="0"/>
    <n v="0"/>
    <n v="0"/>
    <n v="0"/>
    <x v="0"/>
    <x v="0"/>
    <s v=""/>
    <n v="50"/>
    <n v="50"/>
    <n v="87.272852193804297"/>
    <n v="137.27285219380428"/>
    <x v="0"/>
    <s v="David LEMALHEUX"/>
    <x v="0"/>
    <x v="0"/>
    <n v="1"/>
  </r>
  <r>
    <x v="2"/>
    <s v="EDI-MUT-EDI-MUT .:. PROD"/>
    <x v="0"/>
    <m/>
    <m/>
    <n v="0"/>
    <n v="0"/>
    <n v="0"/>
    <n v="0"/>
    <n v="0"/>
    <n v="0"/>
    <n v="0"/>
    <n v="0"/>
    <n v="0"/>
    <n v="0"/>
    <n v="0"/>
    <x v="0"/>
    <x v="0"/>
    <s v=""/>
    <n v="50"/>
    <n v="50"/>
    <n v="87.272852193804297"/>
    <n v="137.27285219380428"/>
    <x v="0"/>
    <s v="David LEMALHEUX"/>
    <x v="0"/>
    <x v="0"/>
    <n v="1"/>
  </r>
  <r>
    <x v="3"/>
    <s v="EDI-MUT-EDI-MUT .:. PROD"/>
    <x v="0"/>
    <m/>
    <m/>
    <n v="0"/>
    <n v="0"/>
    <n v="0"/>
    <n v="0"/>
    <n v="0"/>
    <n v="0"/>
    <n v="0"/>
    <n v="0"/>
    <n v="0"/>
    <n v="0"/>
    <n v="0"/>
    <x v="0"/>
    <x v="0"/>
    <s v=""/>
    <n v="50"/>
    <n v="50"/>
    <n v="87.272852193804297"/>
    <n v="137.27285219380428"/>
    <x v="0"/>
    <s v="David LEMALHEUX"/>
    <x v="0"/>
    <x v="0"/>
    <n v="1"/>
  </r>
  <r>
    <x v="4"/>
    <s v="GFI-Oceanet Infra Modèles .:. SOCLE"/>
    <x v="0"/>
    <m/>
    <m/>
    <n v="4"/>
    <n v="0"/>
    <n v="0"/>
    <n v="0"/>
    <n v="0"/>
    <n v="1"/>
    <n v="0"/>
    <n v="0"/>
    <n v="7"/>
    <n v="0"/>
    <n v="0"/>
    <x v="1"/>
    <x v="1"/>
    <s v=""/>
    <n v="1.61"/>
    <n v="0"/>
    <n v="0"/>
    <n v="0"/>
    <x v="1"/>
    <s v="Jérôme JACOB"/>
    <x v="1"/>
    <x v="1"/>
    <n v="1"/>
  </r>
  <r>
    <x v="5"/>
    <s v="Fablab-Firmin .:. PROD"/>
    <x v="0"/>
    <m/>
    <m/>
    <n v="0"/>
    <n v="0"/>
    <n v="0"/>
    <n v="0"/>
    <n v="0"/>
    <n v="0"/>
    <n v="0"/>
    <n v="0"/>
    <n v="0"/>
    <n v="0"/>
    <n v="0"/>
    <x v="2"/>
    <x v="2"/>
    <s v=""/>
    <n v="45"/>
    <n v="45"/>
    <n v="78.545566974423878"/>
    <n v="123.54556697442388"/>
    <x v="2"/>
    <s v="Pierre-Yves Baloche"/>
    <x v="2"/>
    <x v="0"/>
    <n v="1"/>
  </r>
  <r>
    <x v="6"/>
    <s v="Fablab-Firmin .:. PREPROD"/>
    <x v="0"/>
    <m/>
    <m/>
    <n v="0"/>
    <n v="0"/>
    <n v="0"/>
    <n v="0"/>
    <n v="0"/>
    <n v="0"/>
    <n v="0"/>
    <n v="0"/>
    <n v="0"/>
    <n v="0"/>
    <n v="0"/>
    <x v="2"/>
    <x v="2"/>
    <s v=""/>
    <n v="45"/>
    <n v="45"/>
    <n v="78.545566974423878"/>
    <n v="123.54556697442388"/>
    <x v="2"/>
    <s v="Pierre-Yves Baloche"/>
    <x v="2"/>
    <x v="2"/>
    <n v="1"/>
  </r>
  <r>
    <x v="7"/>
    <s v="Fablab-Firmin .:. PROD"/>
    <x v="0"/>
    <m/>
    <m/>
    <n v="0"/>
    <n v="0"/>
    <n v="0"/>
    <n v="0"/>
    <n v="0"/>
    <n v="0"/>
    <n v="0"/>
    <n v="0"/>
    <n v="0"/>
    <n v="0"/>
    <n v="0"/>
    <x v="2"/>
    <x v="2"/>
    <s v=""/>
    <n v="45"/>
    <n v="45"/>
    <n v="78.545566974423878"/>
    <n v="123.54556697442388"/>
    <x v="2"/>
    <s v="Pierre-Yves Baloche"/>
    <x v="2"/>
    <x v="0"/>
    <n v="1"/>
  </r>
  <r>
    <x v="8"/>
    <s v="GIE S-V-Infra Citrix .:. DEV"/>
    <x v="0"/>
    <m/>
    <m/>
    <n v="0"/>
    <n v="0"/>
    <n v="0"/>
    <n v="0"/>
    <n v="0"/>
    <n v="0"/>
    <n v="0"/>
    <n v="0"/>
    <n v="0"/>
    <n v="0"/>
    <n v="0"/>
    <x v="3"/>
    <x v="3"/>
    <s v=""/>
    <n v="14.08"/>
    <n v="14.08"/>
    <n v="24.576035177775292"/>
    <n v="38.656035177775294"/>
    <x v="3"/>
    <s v="Nicolas Cordier"/>
    <x v="3"/>
    <x v="3"/>
    <n v="1"/>
  </r>
  <r>
    <x v="9"/>
    <s v="GFI-Oceanet Infra Modèles .:. SOCLE"/>
    <x v="0"/>
    <n v="0"/>
    <s v="Disparition sans migration"/>
    <n v="4"/>
    <n v="0"/>
    <n v="0"/>
    <n v="0"/>
    <n v="0"/>
    <n v="1"/>
    <n v="0"/>
    <n v="0"/>
    <n v="6"/>
    <n v="0"/>
    <n v="0"/>
    <x v="1"/>
    <x v="1"/>
    <s v=""/>
    <n v="1.3800000000000001"/>
    <n v="0"/>
    <n v="0"/>
    <n v="0"/>
    <x v="1"/>
    <s v="Jérôme JACOB"/>
    <x v="1"/>
    <x v="1"/>
    <n v="1"/>
  </r>
  <r>
    <x v="10"/>
    <s v="GFI-Oceanet Infra Modèles .:. SOCLE"/>
    <x v="0"/>
    <n v="0"/>
    <s v="Disparition sans migration"/>
    <n v="4"/>
    <n v="0"/>
    <n v="0"/>
    <n v="0"/>
    <n v="0"/>
    <n v="1"/>
    <n v="0"/>
    <n v="0"/>
    <n v="6"/>
    <n v="0"/>
    <n v="0"/>
    <x v="1"/>
    <x v="1"/>
    <s v=""/>
    <n v="1.3800000000000001"/>
    <n v="0"/>
    <n v="0"/>
    <n v="0"/>
    <x v="1"/>
    <s v="Jérôme JACOB"/>
    <x v="1"/>
    <x v="1"/>
    <n v="1"/>
  </r>
  <r>
    <x v="11"/>
    <s v="GFI-Oceanet Infra Réseau .:. SOCLE"/>
    <x v="0"/>
    <m/>
    <m/>
    <n v="0"/>
    <n v="0"/>
    <n v="0"/>
    <n v="0"/>
    <n v="0"/>
    <n v="0"/>
    <n v="0"/>
    <n v="0"/>
    <n v="0"/>
    <n v="0"/>
    <n v="0"/>
    <x v="1"/>
    <x v="1"/>
    <s v=""/>
    <n v="3.5"/>
    <n v="0"/>
    <n v="0"/>
    <n v="0"/>
    <x v="4"/>
    <s v="Jérôme JACOB"/>
    <x v="1"/>
    <x v="1"/>
    <n v="1"/>
  </r>
  <r>
    <x v="12"/>
    <s v="Fablab-Firmin .:. PROD"/>
    <x v="0"/>
    <m/>
    <m/>
    <n v="0"/>
    <n v="0"/>
    <n v="0"/>
    <n v="0"/>
    <n v="0"/>
    <n v="0"/>
    <n v="0"/>
    <n v="0"/>
    <n v="0"/>
    <n v="0"/>
    <n v="0"/>
    <x v="2"/>
    <x v="2"/>
    <s v=""/>
    <n v="3.5"/>
    <n v="3.5"/>
    <n v="6.1090996535663002"/>
    <n v="9.6090996535663002"/>
    <x v="2"/>
    <s v="Pierre-Yves Baloche"/>
    <x v="2"/>
    <x v="0"/>
    <n v="1"/>
  </r>
  <r>
    <x v="13"/>
    <s v="Fablab-Firmin .:. PROD"/>
    <x v="0"/>
    <m/>
    <m/>
    <n v="0"/>
    <n v="0"/>
    <n v="0"/>
    <n v="0"/>
    <n v="0"/>
    <n v="0"/>
    <n v="0"/>
    <n v="0"/>
    <n v="0"/>
    <n v="0"/>
    <n v="0"/>
    <x v="2"/>
    <x v="2"/>
    <s v=""/>
    <n v="3.5"/>
    <n v="3.5"/>
    <n v="6.1090996535663002"/>
    <n v="9.6090996535663002"/>
    <x v="2"/>
    <s v="Pierre-Yves Baloche"/>
    <x v="2"/>
    <x v="0"/>
    <n v="1"/>
  </r>
  <r>
    <x v="14"/>
    <s v="Fablab-Firmin .:. PROD"/>
    <x v="0"/>
    <m/>
    <m/>
    <n v="0"/>
    <n v="0"/>
    <n v="0"/>
    <n v="0"/>
    <n v="0"/>
    <n v="0"/>
    <n v="0"/>
    <n v="0"/>
    <n v="0"/>
    <n v="0"/>
    <n v="0"/>
    <x v="2"/>
    <x v="2"/>
    <s v=""/>
    <n v="3.5"/>
    <n v="3.5"/>
    <n v="6.1090996535663002"/>
    <n v="9.6090996535663002"/>
    <x v="2"/>
    <s v="Pierre-Yves Baloche"/>
    <x v="2"/>
    <x v="0"/>
    <n v="1"/>
  </r>
  <r>
    <x v="15"/>
    <s v="Fablab-Firmin .:. PROD"/>
    <x v="0"/>
    <m/>
    <m/>
    <n v="0"/>
    <n v="0"/>
    <n v="0"/>
    <n v="0"/>
    <n v="0"/>
    <n v="0"/>
    <n v="0"/>
    <n v="0"/>
    <n v="0"/>
    <n v="0"/>
    <n v="0"/>
    <x v="2"/>
    <x v="2"/>
    <s v=""/>
    <n v="3.5"/>
    <n v="3.5"/>
    <n v="6.1090996535663002"/>
    <n v="9.6090996535663002"/>
    <x v="2"/>
    <s v="Pierre-Yves Baloche"/>
    <x v="2"/>
    <x v="0"/>
    <n v="1"/>
  </r>
  <r>
    <x v="16"/>
    <s v="Fablab-Firmin .:. PROD"/>
    <x v="0"/>
    <m/>
    <m/>
    <n v="0"/>
    <n v="0"/>
    <n v="0"/>
    <n v="0"/>
    <n v="0"/>
    <n v="0"/>
    <n v="0"/>
    <n v="0"/>
    <n v="0"/>
    <n v="0"/>
    <n v="0"/>
    <x v="2"/>
    <x v="2"/>
    <s v=""/>
    <n v="3.5"/>
    <n v="3.5"/>
    <n v="6.1090996535663002"/>
    <n v="9.6090996535663002"/>
    <x v="2"/>
    <s v="Pierre-Yves Baloche"/>
    <x v="2"/>
    <x v="0"/>
    <n v="1"/>
  </r>
  <r>
    <x v="17"/>
    <s v="Fablab-Firmin .:. PROD"/>
    <x v="0"/>
    <m/>
    <m/>
    <n v="0"/>
    <n v="0"/>
    <n v="0"/>
    <n v="0"/>
    <n v="0"/>
    <n v="0"/>
    <n v="0"/>
    <n v="0"/>
    <n v="0"/>
    <n v="0"/>
    <n v="0"/>
    <x v="2"/>
    <x v="2"/>
    <s v=""/>
    <n v="3.5"/>
    <n v="3.5"/>
    <n v="6.1090996535663002"/>
    <n v="9.6090996535663002"/>
    <x v="2"/>
    <s v="Pierre-Yves Baloche"/>
    <x v="2"/>
    <x v="0"/>
    <n v="1"/>
  </r>
  <r>
    <x v="18"/>
    <s v="Fablab-Firmin .:. PREPROD"/>
    <x v="0"/>
    <m/>
    <m/>
    <n v="0"/>
    <n v="0"/>
    <n v="0"/>
    <n v="0"/>
    <n v="0"/>
    <n v="0"/>
    <n v="0"/>
    <n v="0"/>
    <n v="0"/>
    <n v="0"/>
    <n v="0"/>
    <x v="2"/>
    <x v="2"/>
    <s v=""/>
    <n v="3.5"/>
    <n v="3.5"/>
    <n v="6.1090996535663002"/>
    <n v="9.6090996535663002"/>
    <x v="2"/>
    <s v="Pierre-Yves Baloche"/>
    <x v="2"/>
    <x v="2"/>
    <n v="1"/>
  </r>
  <r>
    <x v="19"/>
    <s v="Fablab-Firmin .:. PROD"/>
    <x v="0"/>
    <m/>
    <m/>
    <n v="0"/>
    <n v="0"/>
    <n v="0"/>
    <n v="0"/>
    <n v="0"/>
    <n v="0"/>
    <n v="0"/>
    <n v="0"/>
    <n v="0"/>
    <n v="0"/>
    <n v="0"/>
    <x v="2"/>
    <x v="2"/>
    <s v=""/>
    <n v="3.5"/>
    <n v="3.5"/>
    <n v="6.1090996535663002"/>
    <n v="9.6090996535663002"/>
    <x v="2"/>
    <s v="Pierre-Yves Baloche"/>
    <x v="2"/>
    <x v="0"/>
    <n v="1"/>
  </r>
  <r>
    <x v="20"/>
    <s v="Fablab-Firmin .:. SOCLE"/>
    <x v="0"/>
    <m/>
    <m/>
    <n v="4"/>
    <n v="0"/>
    <n v="0"/>
    <n v="0"/>
    <n v="0"/>
    <n v="1"/>
    <n v="0"/>
    <n v="0"/>
    <n v="21"/>
    <n v="0"/>
    <n v="0"/>
    <x v="2"/>
    <x v="2"/>
    <s v=""/>
    <n v="4.83"/>
    <n v="4.83"/>
    <n v="8.4305575219214965"/>
    <n v="13.260557521921497"/>
    <x v="2"/>
    <s v="Pierre-Yves Baloche"/>
    <x v="2"/>
    <x v="1"/>
    <n v="1"/>
  </r>
  <r>
    <x v="21"/>
    <s v="GFI-Oceanet Infra Réseau Orléans .:. SOCLE"/>
    <x v="0"/>
    <m/>
    <m/>
    <n v="4"/>
    <n v="40"/>
    <n v="0"/>
    <n v="0"/>
    <n v="0"/>
    <n v="1"/>
    <n v="1"/>
    <n v="4"/>
    <n v="100"/>
    <n v="1"/>
    <n v="239.20000000000002"/>
    <x v="4"/>
    <x v="1"/>
    <s v=""/>
    <n v="29.4"/>
    <n v="29.4"/>
    <n v="51.316437089956928"/>
    <n v="80.716437089956926"/>
    <x v="5"/>
    <s v="Christophe ORLANDO"/>
    <x v="4"/>
    <x v="1"/>
    <n v="1"/>
  </r>
  <r>
    <x v="22"/>
    <s v="IT-CE-TMA .:. TMA"/>
    <x v="0"/>
    <m/>
    <m/>
    <n v="4"/>
    <n v="0"/>
    <n v="0"/>
    <n v="0"/>
    <n v="0"/>
    <n v="1"/>
    <n v="1"/>
    <n v="2"/>
    <n v="40"/>
    <n v="1"/>
    <n v="0"/>
    <x v="5"/>
    <x v="4"/>
    <s v=""/>
    <n v="12.400000000000002"/>
    <n v="12.400000000000002"/>
    <n v="21.64366734406347"/>
    <n v="34.043667344063472"/>
    <x v="6"/>
    <s v="Christophe ORLANDO"/>
    <x v="4"/>
    <x v="4"/>
    <n v="1"/>
  </r>
  <r>
    <x v="23"/>
    <s v="BRGM-BDLISA .:. DEV"/>
    <x v="0"/>
    <m/>
    <m/>
    <n v="4"/>
    <n v="0"/>
    <n v="0"/>
    <n v="0"/>
    <n v="0"/>
    <n v="1"/>
    <n v="1"/>
    <n v="2"/>
    <n v="40"/>
    <n v="0"/>
    <n v="0"/>
    <x v="6"/>
    <x v="5"/>
    <s v=""/>
    <n v="12.400000000000002"/>
    <n v="12.400000000000002"/>
    <n v="21.64366734406347"/>
    <n v="34.043667344063472"/>
    <x v="7"/>
    <s v="Jean-Philippe STROIAZZO"/>
    <x v="4"/>
    <x v="3"/>
    <n v="1"/>
  </r>
  <r>
    <x v="24"/>
    <s v="GFI-Oceanet Infra Réseau Orléans .:. SOCLE"/>
    <x v="1"/>
    <m/>
    <m/>
    <n v="4"/>
    <n v="0"/>
    <n v="0"/>
    <n v="0"/>
    <n v="0"/>
    <n v="1"/>
    <n v="1"/>
    <n v="2"/>
    <n v="20"/>
    <n v="0"/>
    <n v="0"/>
    <x v="4"/>
    <x v="1"/>
    <s v=""/>
    <n v="7.8000000000000007"/>
    <n v="7.8000000000000007"/>
    <n v="13.614564942233473"/>
    <n v="21.414564942233476"/>
    <x v="5"/>
    <s v="Christophe ORLANDO"/>
    <x v="4"/>
    <x v="1"/>
    <n v="1"/>
  </r>
  <r>
    <x v="25"/>
    <s v="BRGM-BNPE .:. DEV"/>
    <x v="0"/>
    <m/>
    <m/>
    <n v="4"/>
    <n v="0"/>
    <n v="0"/>
    <n v="0"/>
    <n v="0"/>
    <n v="1"/>
    <n v="1"/>
    <n v="4"/>
    <n v="40"/>
    <n v="0"/>
    <n v="0"/>
    <x v="6"/>
    <x v="5"/>
    <s v=""/>
    <n v="15.600000000000001"/>
    <n v="15.600000000000001"/>
    <n v="27.229129884466946"/>
    <n v="42.829129884466951"/>
    <x v="8"/>
    <s v="Jean-Philippe STROIAZZO"/>
    <x v="4"/>
    <x v="3"/>
    <n v="1"/>
  </r>
  <r>
    <x v="26"/>
    <s v="AFB-ASPE .:. TMA"/>
    <x v="0"/>
    <m/>
    <m/>
    <n v="4"/>
    <n v="0"/>
    <n v="0"/>
    <n v="0"/>
    <n v="0"/>
    <n v="0.2"/>
    <n v="1"/>
    <n v="3.2"/>
    <n v="60"/>
    <n v="0"/>
    <n v="0"/>
    <x v="7"/>
    <x v="6"/>
    <s v=""/>
    <n v="18.919999999999998"/>
    <n v="18.919999999999998"/>
    <n v="33.02404727013554"/>
    <n v="51.944047270135542"/>
    <x v="9"/>
    <s v="Jean-Philippe STROIAZZO"/>
    <x v="4"/>
    <x v="4"/>
    <n v="5"/>
  </r>
  <r>
    <x v="26"/>
    <s v="AFB-CARHYCE .:. TMA"/>
    <x v="0"/>
    <m/>
    <m/>
    <n v="4"/>
    <n v="0"/>
    <n v="0"/>
    <n v="0"/>
    <n v="0"/>
    <n v="0.2"/>
    <n v="1"/>
    <n v="3.2"/>
    <n v="60"/>
    <n v="0"/>
    <n v="0"/>
    <x v="7"/>
    <x v="6"/>
    <s v=""/>
    <n v="18.919999999999998"/>
    <n v="18.919999999999998"/>
    <n v="33.02404727013554"/>
    <n v="51.944047270135542"/>
    <x v="10"/>
    <s v="Jean-Philippe STROIAZZO"/>
    <x v="4"/>
    <x v="4"/>
    <n v="5"/>
  </r>
  <r>
    <x v="26"/>
    <s v="AFB-GEOBS .:. TMA"/>
    <x v="0"/>
    <m/>
    <m/>
    <n v="4"/>
    <n v="0"/>
    <n v="0"/>
    <n v="0"/>
    <n v="0"/>
    <n v="0.2"/>
    <n v="1"/>
    <n v="3.2"/>
    <n v="60"/>
    <n v="0"/>
    <n v="0"/>
    <x v="7"/>
    <x v="6"/>
    <s v=""/>
    <n v="18.919999999999998"/>
    <n v="18.919999999999998"/>
    <n v="33.02404727013554"/>
    <n v="51.944047270135542"/>
    <x v="11"/>
    <s v="Jean-Philippe STROIAZZO"/>
    <x v="4"/>
    <x v="4"/>
    <n v="5"/>
  </r>
  <r>
    <x v="26"/>
    <s v="AFB-ONDE .:. TMA"/>
    <x v="0"/>
    <m/>
    <m/>
    <n v="4"/>
    <n v="0"/>
    <n v="0"/>
    <n v="0"/>
    <n v="0"/>
    <n v="0.2"/>
    <n v="1"/>
    <n v="3.2"/>
    <n v="60"/>
    <n v="0"/>
    <n v="0"/>
    <x v="7"/>
    <x v="6"/>
    <s v=""/>
    <n v="18.919999999999998"/>
    <n v="18.919999999999998"/>
    <n v="33.02404727013554"/>
    <n v="51.944047270135542"/>
    <x v="12"/>
    <s v="Jean-Philippe STROIAZZO"/>
    <x v="4"/>
    <x v="4"/>
    <n v="5"/>
  </r>
  <r>
    <x v="26"/>
    <s v="AFB-RNT .:. TMA"/>
    <x v="0"/>
    <m/>
    <m/>
    <n v="4"/>
    <n v="0"/>
    <n v="0"/>
    <n v="0"/>
    <n v="0"/>
    <n v="0.2"/>
    <n v="1"/>
    <n v="3.2"/>
    <n v="60"/>
    <n v="0"/>
    <n v="0"/>
    <x v="7"/>
    <x v="6"/>
    <s v=""/>
    <n v="18.919999999999998"/>
    <n v="18.919999999999998"/>
    <n v="33.02404727013554"/>
    <n v="51.944047270135542"/>
    <x v="13"/>
    <s v="Christophe ORLANDO"/>
    <x v="4"/>
    <x v="4"/>
    <n v="5"/>
  </r>
  <r>
    <x v="27"/>
    <s v="CA-TITRES-COGNOS .:. DEV"/>
    <x v="0"/>
    <m/>
    <m/>
    <n v="4"/>
    <n v="0"/>
    <n v="1"/>
    <n v="0"/>
    <n v="4"/>
    <n v="0.5"/>
    <n v="1"/>
    <n v="2"/>
    <n v="80"/>
    <n v="1"/>
    <n v="148.745"/>
    <x v="8"/>
    <x v="7"/>
    <s v=""/>
    <n v="21.6"/>
    <n v="21.6"/>
    <n v="37.701872147723464"/>
    <n v="59.301872147723465"/>
    <x v="14"/>
    <s v="Jean-Philippe STROIAZZO"/>
    <x v="4"/>
    <x v="3"/>
    <n v="2"/>
  </r>
  <r>
    <x v="27"/>
    <s v="CA-TITRES-CRR .:. DEV"/>
    <x v="0"/>
    <m/>
    <m/>
    <n v="4"/>
    <n v="0"/>
    <n v="1"/>
    <n v="0"/>
    <n v="4"/>
    <n v="0.5"/>
    <n v="1"/>
    <n v="2"/>
    <n v="80"/>
    <n v="1"/>
    <n v="148.745"/>
    <x v="8"/>
    <x v="7"/>
    <s v=""/>
    <n v="21.6"/>
    <n v="21.6"/>
    <n v="37.701872147723464"/>
    <n v="59.301872147723465"/>
    <x v="15"/>
    <s v="Jean-Philippe STROIAZZO"/>
    <x v="4"/>
    <x v="3"/>
    <n v="2"/>
  </r>
  <r>
    <x v="28"/>
    <s v="MENESR-APAE .:. RECETTE"/>
    <x v="0"/>
    <m/>
    <m/>
    <n v="4"/>
    <n v="0"/>
    <n v="0"/>
    <n v="0"/>
    <n v="0"/>
    <n v="1"/>
    <n v="1"/>
    <n v="6"/>
    <n v="250"/>
    <n v="0"/>
    <n v="0"/>
    <x v="9"/>
    <x v="8"/>
    <s v=""/>
    <n v="67.099999999999994"/>
    <n v="67.099999999999994"/>
    <n v="117.12016764408536"/>
    <n v="184.22016764408534"/>
    <x v="16"/>
    <s v="Pierre BOURLIEUX"/>
    <x v="4"/>
    <x v="5"/>
    <n v="1"/>
  </r>
  <r>
    <x v="29"/>
    <s v="BRGM-DEGATS-MINERS .:. RECETTE"/>
    <x v="0"/>
    <m/>
    <m/>
    <n v="4"/>
    <n v="0"/>
    <n v="0"/>
    <n v="0"/>
    <n v="0"/>
    <n v="0.33333333333333331"/>
    <n v="1"/>
    <n v="1.3333333333333333"/>
    <n v="30"/>
    <n v="1"/>
    <n v="0"/>
    <x v="10"/>
    <x v="5"/>
    <s v=""/>
    <n v="9.0333333333333332"/>
    <n v="9.0333333333333332"/>
    <n v="15.76729529634731"/>
    <n v="24.800628629680645"/>
    <x v="17"/>
    <s v="Pierre BOURLIEUX"/>
    <x v="4"/>
    <x v="5"/>
    <n v="3"/>
  </r>
  <r>
    <x v="29"/>
    <s v="FRR-CADENCIER .:. RECETTE"/>
    <x v="0"/>
    <m/>
    <m/>
    <n v="4"/>
    <n v="0"/>
    <n v="0"/>
    <n v="0"/>
    <n v="0"/>
    <n v="0.33333333333333331"/>
    <n v="1"/>
    <n v="1.3333333333333333"/>
    <n v="30"/>
    <n v="1"/>
    <n v="0"/>
    <x v="11"/>
    <x v="9"/>
    <s v=""/>
    <n v="9.0333333333333332"/>
    <n v="9.0333333333333332"/>
    <n v="15.76729529634731"/>
    <n v="24.800628629680645"/>
    <x v="18"/>
    <s v="Pierre BOURLIEUX"/>
    <x v="4"/>
    <x v="5"/>
    <n v="3"/>
  </r>
  <r>
    <x v="29"/>
    <s v="ONEMA-OPALE .:. RECETTE"/>
    <x v="0"/>
    <m/>
    <m/>
    <n v="4"/>
    <n v="0"/>
    <n v="0"/>
    <n v="0"/>
    <n v="0"/>
    <n v="0.33333333333333331"/>
    <n v="1"/>
    <n v="1.3333333333333333"/>
    <n v="30"/>
    <n v="1"/>
    <n v="0"/>
    <x v="12"/>
    <x v="6"/>
    <s v=""/>
    <n v="9.0333333333333332"/>
    <n v="9.0333333333333332"/>
    <n v="15.76729529634731"/>
    <n v="24.800628629680645"/>
    <x v="19"/>
    <s v="Pierre BOURLIEUX"/>
    <x v="4"/>
    <x v="5"/>
    <n v="3"/>
  </r>
  <r>
    <x v="30"/>
    <s v="AFB-BASEINDICATEURS .:. RECETTE"/>
    <x v="0"/>
    <m/>
    <m/>
    <n v="16"/>
    <n v="0"/>
    <n v="0"/>
    <n v="0"/>
    <n v="0"/>
    <n v="0.1"/>
    <n v="1"/>
    <n v="0.8"/>
    <n v="12"/>
    <n v="0"/>
    <n v="0"/>
    <x v="7"/>
    <x v="6"/>
    <s v=""/>
    <n v="4.0400000000000009"/>
    <n v="4.0400000000000009"/>
    <n v="7.0516464572593893"/>
    <n v="11.09164645725939"/>
    <x v="20"/>
    <s v="Pierre BOURLIEUX"/>
    <x v="4"/>
    <x v="5"/>
    <n v="10"/>
  </r>
  <r>
    <x v="30"/>
    <s v="AFB-CATALOGUEINDICATEURS .:. RECETTE"/>
    <x v="0"/>
    <m/>
    <m/>
    <n v="16"/>
    <n v="0"/>
    <n v="0"/>
    <n v="0"/>
    <n v="0"/>
    <n v="0.1"/>
    <n v="1"/>
    <n v="0.8"/>
    <n v="12"/>
    <n v="0"/>
    <n v="0"/>
    <x v="7"/>
    <x v="6"/>
    <s v=""/>
    <n v="4.0400000000000009"/>
    <n v="4.0400000000000009"/>
    <n v="7.0516464572593893"/>
    <n v="11.09164645725939"/>
    <x v="21"/>
    <s v="Pierre BOURLIEUX"/>
    <x v="4"/>
    <x v="5"/>
    <n v="10"/>
  </r>
  <r>
    <x v="30"/>
    <s v="AFB-ENQUETEDEAU .:. RECETTE"/>
    <x v="0"/>
    <m/>
    <m/>
    <n v="16"/>
    <n v="0"/>
    <n v="0"/>
    <n v="0"/>
    <n v="0"/>
    <n v="0.1"/>
    <n v="1"/>
    <n v="0.8"/>
    <n v="12"/>
    <n v="0"/>
    <n v="0"/>
    <x v="7"/>
    <x v="6"/>
    <s v=""/>
    <n v="4.0400000000000009"/>
    <n v="4.0400000000000009"/>
    <n v="7.0516464572593893"/>
    <n v="11.09164645725939"/>
    <x v="22"/>
    <s v="Jean-Philippe STROIAZZO"/>
    <x v="4"/>
    <x v="5"/>
    <n v="10"/>
  </r>
  <r>
    <x v="30"/>
    <s v="AFB-OISON .:. RECETTE"/>
    <x v="0"/>
    <m/>
    <m/>
    <n v="16"/>
    <n v="0"/>
    <n v="0"/>
    <n v="0"/>
    <n v="0"/>
    <n v="0.1"/>
    <n v="1"/>
    <n v="0.8"/>
    <n v="12"/>
    <n v="0"/>
    <n v="0"/>
    <x v="7"/>
    <x v="6"/>
    <s v=""/>
    <n v="4.0400000000000009"/>
    <n v="4.0400000000000009"/>
    <n v="7.0516464572593893"/>
    <n v="11.09164645725939"/>
    <x v="23"/>
    <s v="Jean-Philippe STROIAZZO"/>
    <x v="4"/>
    <x v="5"/>
    <n v="10"/>
  </r>
  <r>
    <x v="30"/>
    <s v="AFB-Patbiodiv .:. RECETTE"/>
    <x v="0"/>
    <m/>
    <m/>
    <n v="16"/>
    <n v="0"/>
    <n v="0"/>
    <n v="0"/>
    <n v="0"/>
    <n v="0.1"/>
    <n v="1"/>
    <n v="0.8"/>
    <n v="12"/>
    <n v="0"/>
    <n v="0"/>
    <x v="7"/>
    <x v="6"/>
    <s v=""/>
    <n v="4.0400000000000009"/>
    <n v="4.0400000000000009"/>
    <n v="7.0516464572593893"/>
    <n v="11.09164645725939"/>
    <x v="24"/>
    <s v="Rodolphe Habegger"/>
    <x v="4"/>
    <x v="5"/>
    <n v="10"/>
  </r>
  <r>
    <x v="30"/>
    <s v="AFB-SIFLORE .:. RECETTE"/>
    <x v="0"/>
    <m/>
    <m/>
    <n v="16"/>
    <n v="0"/>
    <n v="0"/>
    <n v="0"/>
    <n v="0"/>
    <n v="0.1"/>
    <n v="1"/>
    <n v="0.8"/>
    <n v="12"/>
    <n v="0"/>
    <n v="0"/>
    <x v="7"/>
    <x v="6"/>
    <s v=""/>
    <n v="4.0400000000000009"/>
    <n v="4.0400000000000009"/>
    <n v="7.0516464572593893"/>
    <n v="11.09164645725939"/>
    <x v="25"/>
    <s v="Pierre BOURLIEUX"/>
    <x v="4"/>
    <x v="5"/>
    <n v="10"/>
  </r>
  <r>
    <x v="30"/>
    <s v="AFB-SISPEA .:. RECETTE"/>
    <x v="0"/>
    <m/>
    <m/>
    <n v="16"/>
    <n v="0"/>
    <n v="0"/>
    <n v="0"/>
    <n v="0"/>
    <n v="0.1"/>
    <n v="1"/>
    <n v="0.8"/>
    <n v="12"/>
    <n v="0"/>
    <n v="0"/>
    <x v="7"/>
    <x v="6"/>
    <s v=""/>
    <n v="4.0400000000000009"/>
    <n v="4.0400000000000009"/>
    <n v="7.0516464572593893"/>
    <n v="11.09164645725939"/>
    <x v="26"/>
    <s v="Pierre BOURLIEUX"/>
    <x v="4"/>
    <x v="5"/>
    <n v="10"/>
  </r>
  <r>
    <x v="30"/>
    <s v="MENESR-APAE .:. RECETTE"/>
    <x v="0"/>
    <m/>
    <m/>
    <n v="16"/>
    <n v="0"/>
    <n v="0"/>
    <n v="0"/>
    <n v="0"/>
    <n v="0.1"/>
    <n v="1"/>
    <n v="0.8"/>
    <n v="12"/>
    <n v="0"/>
    <n v="0"/>
    <x v="9"/>
    <x v="8"/>
    <s v=""/>
    <n v="4.0400000000000009"/>
    <n v="4.0400000000000009"/>
    <n v="7.0516464572593893"/>
    <n v="11.09164645725939"/>
    <x v="16"/>
    <s v="Pierre BOURLIEUX"/>
    <x v="4"/>
    <x v="5"/>
    <n v="10"/>
  </r>
  <r>
    <x v="30"/>
    <s v="MENESR-INES .:. RECETTE"/>
    <x v="0"/>
    <m/>
    <m/>
    <n v="16"/>
    <n v="0"/>
    <n v="0"/>
    <n v="0"/>
    <n v="0"/>
    <n v="0.1"/>
    <n v="1"/>
    <n v="0.8"/>
    <n v="12"/>
    <n v="0"/>
    <n v="0"/>
    <x v="9"/>
    <x v="8"/>
    <s v=""/>
    <n v="4.0400000000000009"/>
    <n v="4.0400000000000009"/>
    <n v="7.0516464572593893"/>
    <n v="11.09164645725939"/>
    <x v="27"/>
    <s v="Pierre BOURLIEUX"/>
    <x v="4"/>
    <x v="5"/>
    <n v="10"/>
  </r>
  <r>
    <x v="30"/>
    <s v="PCM-ALS .:. RECETTE"/>
    <x v="0"/>
    <m/>
    <m/>
    <n v="16"/>
    <n v="0"/>
    <n v="0"/>
    <n v="0"/>
    <n v="0"/>
    <n v="0.1"/>
    <n v="1"/>
    <n v="0.8"/>
    <n v="12"/>
    <n v="0"/>
    <n v="0"/>
    <x v="13"/>
    <x v="10"/>
    <s v=""/>
    <n v="4.0400000000000009"/>
    <n v="4.0400000000000009"/>
    <n v="7.0516464572593893"/>
    <n v="11.09164645725939"/>
    <x v="28"/>
    <s v="Alice MARCHAL"/>
    <x v="4"/>
    <x v="5"/>
    <n v="10"/>
  </r>
  <r>
    <x v="31"/>
    <s v="ONEMA-ASPE .:. DEV"/>
    <x v="0"/>
    <m/>
    <m/>
    <n v="4"/>
    <n v="0"/>
    <n v="0"/>
    <n v="0"/>
    <n v="0"/>
    <n v="1"/>
    <n v="1"/>
    <n v="8"/>
    <n v="55"/>
    <n v="1"/>
    <n v="0"/>
    <x v="12"/>
    <x v="6"/>
    <s v=""/>
    <n v="25.450000000000003"/>
    <n v="25.450000000000003"/>
    <n v="44.421881766646393"/>
    <n v="69.871881766646396"/>
    <x v="29"/>
    <s v="Christophe ORLANDO"/>
    <x v="4"/>
    <x v="3"/>
    <n v="1"/>
  </r>
  <r>
    <x v="32"/>
    <s v="GFI-GFICOFFEE .:. DEV"/>
    <x v="0"/>
    <m/>
    <m/>
    <n v="4"/>
    <n v="0"/>
    <n v="0"/>
    <n v="0"/>
    <n v="0"/>
    <n v="1"/>
    <n v="1"/>
    <n v="4"/>
    <n v="35"/>
    <n v="0"/>
    <n v="0"/>
    <x v="14"/>
    <x v="1"/>
    <s v=""/>
    <n v="14.450000000000001"/>
    <n v="14.450000000000001"/>
    <n v="25.221854284009446"/>
    <n v="39.671854284009449"/>
    <x v="30"/>
    <s v="Christophe ORLANDO"/>
    <x v="4"/>
    <x v="3"/>
    <n v="1"/>
  </r>
  <r>
    <x v="33"/>
    <s v="STMICRO-RUN2RUN .:. DEV"/>
    <x v="0"/>
    <m/>
    <m/>
    <n v="4"/>
    <n v="0"/>
    <n v="0"/>
    <n v="0"/>
    <n v="0"/>
    <n v="1"/>
    <n v="1"/>
    <n v="2"/>
    <n v="40"/>
    <n v="0"/>
    <n v="0"/>
    <x v="15"/>
    <x v="11"/>
    <s v=""/>
    <n v="12.400000000000002"/>
    <n v="12.400000000000002"/>
    <n v="21.64366734406347"/>
    <n v="34.043667344063472"/>
    <x v="31"/>
    <s v="Jean-Philippe STROIAZZO"/>
    <x v="4"/>
    <x v="3"/>
    <n v="1"/>
  </r>
  <r>
    <x v="34"/>
    <s v="STMICRO-STARK .:. DEV"/>
    <x v="0"/>
    <m/>
    <m/>
    <n v="4"/>
    <n v="0"/>
    <n v="0"/>
    <n v="0"/>
    <n v="0"/>
    <n v="1"/>
    <n v="1"/>
    <n v="2"/>
    <n v="20"/>
    <n v="0"/>
    <n v="0"/>
    <x v="16"/>
    <x v="11"/>
    <s v=""/>
    <n v="7.8000000000000007"/>
    <n v="7.8000000000000007"/>
    <n v="13.614564942233473"/>
    <n v="21.414564942233476"/>
    <x v="32"/>
    <s v="Jean-Philippe STROIAZZO"/>
    <x v="4"/>
    <x v="3"/>
    <n v="1"/>
  </r>
  <r>
    <x v="35"/>
    <s v="AFB-Patbiodiv .:. RECETTE"/>
    <x v="0"/>
    <m/>
    <m/>
    <n v="4"/>
    <n v="0"/>
    <n v="0"/>
    <n v="0"/>
    <n v="0"/>
    <n v="1"/>
    <n v="1"/>
    <n v="6"/>
    <n v="42"/>
    <n v="0"/>
    <n v="0"/>
    <x v="7"/>
    <x v="6"/>
    <s v=""/>
    <n v="19.260000000000002"/>
    <n v="19.260000000000002"/>
    <n v="33.617502665053422"/>
    <n v="52.877502665053427"/>
    <x v="24"/>
    <s v="Rodolphe Habegger"/>
    <x v="4"/>
    <x v="5"/>
    <n v="1"/>
  </r>
  <r>
    <x v="36"/>
    <s v="Gest'ea / OUGC-Gest'ea / OUGC .:. DEV"/>
    <x v="0"/>
    <m/>
    <m/>
    <n v="4"/>
    <n v="0"/>
    <n v="0"/>
    <n v="0"/>
    <n v="0"/>
    <n v="1"/>
    <n v="1"/>
    <n v="4"/>
    <n v="30"/>
    <n v="0"/>
    <n v="0"/>
    <x v="17"/>
    <x v="12"/>
    <s v=""/>
    <n v="13.3"/>
    <n v="13.3"/>
    <n v="23.214578683551945"/>
    <n v="36.514578683551946"/>
    <x v="33"/>
    <s v="Jean-Philippe STROIAZZO"/>
    <x v="4"/>
    <x v="3"/>
    <n v="1"/>
  </r>
  <r>
    <x v="37"/>
    <s v="MENESR-BNIE .:. RECETTE"/>
    <x v="0"/>
    <m/>
    <m/>
    <n v="4"/>
    <n v="0"/>
    <n v="0"/>
    <n v="0"/>
    <n v="0"/>
    <n v="1"/>
    <n v="1"/>
    <n v="2"/>
    <n v="75"/>
    <n v="0"/>
    <n v="0"/>
    <x v="9"/>
    <x v="8"/>
    <s v=""/>
    <n v="20.45"/>
    <n v="20.45"/>
    <n v="35.694596547265959"/>
    <n v="56.144596547265962"/>
    <x v="34"/>
    <s v="Pierre BOURLIEUX"/>
    <x v="4"/>
    <x v="5"/>
    <n v="1"/>
  </r>
  <r>
    <x v="38"/>
    <s v="FRR-APPLIFRR .:. DEV"/>
    <x v="0"/>
    <m/>
    <m/>
    <n v="4"/>
    <n v="0"/>
    <n v="0"/>
    <n v="0"/>
    <n v="0"/>
    <n v="0.33333333333333331"/>
    <n v="1"/>
    <n v="1.3333333333333333"/>
    <n v="95"/>
    <n v="1"/>
    <n v="0"/>
    <x v="11"/>
    <x v="9"/>
    <s v=""/>
    <n v="23.983333333333334"/>
    <n v="23.983333333333334"/>
    <n v="41.861878102294803"/>
    <n v="65.84521143562813"/>
    <x v="35"/>
    <s v="Pierre BOURLIEUX"/>
    <x v="4"/>
    <x v="3"/>
    <n v="3"/>
  </r>
  <r>
    <x v="38"/>
    <s v="FRR-CADENCIER .:. RECETTE"/>
    <x v="0"/>
    <m/>
    <m/>
    <n v="4"/>
    <n v="0"/>
    <n v="0"/>
    <n v="0"/>
    <n v="0"/>
    <n v="0.33333333333333331"/>
    <n v="1"/>
    <n v="1.3333333333333333"/>
    <n v="95"/>
    <n v="1"/>
    <n v="0"/>
    <x v="11"/>
    <x v="9"/>
    <s v=""/>
    <n v="23.983333333333334"/>
    <n v="23.983333333333334"/>
    <n v="41.861878102294803"/>
    <n v="65.84521143562813"/>
    <x v="18"/>
    <s v="Pierre BOURLIEUX"/>
    <x v="4"/>
    <x v="5"/>
    <n v="3"/>
  </r>
  <r>
    <x v="38"/>
    <s v="FRR-TCPOS .:. DEV"/>
    <x v="0"/>
    <m/>
    <m/>
    <n v="4"/>
    <n v="0"/>
    <n v="0"/>
    <n v="0"/>
    <n v="0"/>
    <n v="0.33333333333333331"/>
    <n v="1"/>
    <n v="1.3333333333333333"/>
    <n v="95"/>
    <n v="1"/>
    <n v="0"/>
    <x v="11"/>
    <x v="9"/>
    <s v=""/>
    <n v="23.983333333333334"/>
    <n v="23.983333333333334"/>
    <n v="41.861878102294803"/>
    <n v="65.84521143562813"/>
    <x v="36"/>
    <s v="Pierre BOURLIEUX"/>
    <x v="4"/>
    <x v="3"/>
    <n v="3"/>
  </r>
  <r>
    <x v="39"/>
    <s v="MENESR-RNIE .:. DEV"/>
    <x v="0"/>
    <m/>
    <m/>
    <n v="4"/>
    <n v="0"/>
    <n v="0"/>
    <n v="0"/>
    <n v="0"/>
    <n v="1"/>
    <n v="1"/>
    <n v="2"/>
    <n v="115"/>
    <n v="0"/>
    <n v="0"/>
    <x v="9"/>
    <x v="8"/>
    <s v=""/>
    <n v="29.650000000000002"/>
    <n v="29.650000000000002"/>
    <n v="51.752801350925957"/>
    <n v="81.402801350925955"/>
    <x v="37"/>
    <s v="Pierre BOURLIEUX"/>
    <x v="4"/>
    <x v="3"/>
    <n v="1"/>
  </r>
  <r>
    <x v="40"/>
    <s v="STMICRO-STARK .:. DEV"/>
    <x v="0"/>
    <m/>
    <m/>
    <n v="4"/>
    <n v="0"/>
    <n v="0"/>
    <n v="0"/>
    <n v="0"/>
    <n v="1"/>
    <n v="1"/>
    <n v="4"/>
    <n v="23"/>
    <n v="0"/>
    <n v="0"/>
    <x v="16"/>
    <x v="11"/>
    <s v=""/>
    <n v="11.690000000000001"/>
    <n v="11.690000000000001"/>
    <n v="20.404392842911449"/>
    <n v="32.094392842911446"/>
    <x v="32"/>
    <s v="Jean-Philippe STROIAZZO"/>
    <x v="4"/>
    <x v="3"/>
    <n v="1"/>
  </r>
  <r>
    <x v="41"/>
    <s v="GFI-Oceanet Infra Réseau Orléans .:. SOCLE"/>
    <x v="0"/>
    <m/>
    <m/>
    <n v="4"/>
    <n v="0"/>
    <n v="0"/>
    <n v="0"/>
    <n v="0"/>
    <n v="1"/>
    <n v="1"/>
    <n v="1"/>
    <n v="21"/>
    <n v="0"/>
    <n v="0"/>
    <x v="4"/>
    <x v="1"/>
    <s v=""/>
    <n v="6.43"/>
    <n v="6.43"/>
    <n v="11.223288792123231"/>
    <n v="17.653288792123231"/>
    <x v="5"/>
    <s v="Christophe ORLANDO"/>
    <x v="4"/>
    <x v="1"/>
    <n v="1"/>
  </r>
  <r>
    <x v="42"/>
    <s v="GFI-Oceanet Infra Réseau Orléans .:. SOCLE"/>
    <x v="0"/>
    <m/>
    <m/>
    <n v="4"/>
    <n v="0"/>
    <n v="0"/>
    <n v="0"/>
    <n v="0"/>
    <n v="1"/>
    <n v="1"/>
    <n v="2"/>
    <n v="20"/>
    <n v="0"/>
    <n v="0"/>
    <x v="4"/>
    <x v="1"/>
    <s v=""/>
    <n v="7.8000000000000007"/>
    <n v="7.8000000000000007"/>
    <n v="13.614564942233473"/>
    <n v="21.414564942233476"/>
    <x v="5"/>
    <s v="Christophe ORLANDO"/>
    <x v="4"/>
    <x v="1"/>
    <n v="1"/>
  </r>
  <r>
    <x v="43"/>
    <s v="GFI-Oceanet Infra Réseau Orléans .:. SOCLE"/>
    <x v="0"/>
    <m/>
    <m/>
    <n v="4"/>
    <n v="0"/>
    <n v="0"/>
    <n v="0"/>
    <n v="0"/>
    <n v="1"/>
    <n v="1"/>
    <n v="6"/>
    <n v="220"/>
    <n v="1"/>
    <n v="0"/>
    <x v="4"/>
    <x v="1"/>
    <s v=""/>
    <n v="60.2"/>
    <n v="60.2"/>
    <n v="105.07651404134039"/>
    <n v="165.27651404134039"/>
    <x v="5"/>
    <s v="Christophe ORLANDO"/>
    <x v="4"/>
    <x v="1"/>
    <n v="1"/>
  </r>
  <r>
    <x v="44"/>
    <s v="STMICRO-RUN2RUN .:. DEV"/>
    <x v="0"/>
    <m/>
    <m/>
    <n v="4"/>
    <n v="0"/>
    <n v="0"/>
    <n v="0"/>
    <n v="0"/>
    <n v="1"/>
    <n v="1"/>
    <n v="2"/>
    <n v="40"/>
    <n v="0"/>
    <n v="0"/>
    <x v="15"/>
    <x v="11"/>
    <s v=""/>
    <n v="12.400000000000002"/>
    <n v="12.400000000000002"/>
    <n v="21.64366734406347"/>
    <n v="34.043667344063472"/>
    <x v="31"/>
    <s v="Jean-Philippe STROIAZZO"/>
    <x v="4"/>
    <x v="3"/>
    <n v="1"/>
  </r>
  <r>
    <x v="45"/>
    <s v="FRR-Patapain .:. RECETTE"/>
    <x v="0"/>
    <m/>
    <m/>
    <n v="4"/>
    <n v="0"/>
    <n v="0"/>
    <n v="0"/>
    <n v="0"/>
    <n v="1"/>
    <n v="1"/>
    <n v="2"/>
    <n v="50"/>
    <n v="0"/>
    <n v="0"/>
    <x v="11"/>
    <x v="9"/>
    <s v=""/>
    <n v="14.7"/>
    <n v="14.7"/>
    <n v="25.658218544978464"/>
    <n v="40.358218544978463"/>
    <x v="38"/>
    <s v="Rodolphe Habegger"/>
    <x v="4"/>
    <x v="5"/>
    <n v="1"/>
  </r>
  <r>
    <x v="46"/>
    <s v="GFI-Oceanet Orléans PIC .:. QUAL_BUILD"/>
    <x v="0"/>
    <m/>
    <m/>
    <n v="4"/>
    <n v="0"/>
    <n v="0"/>
    <n v="0"/>
    <n v="0"/>
    <n v="1"/>
    <n v="1"/>
    <n v="2"/>
    <n v="60"/>
    <n v="0"/>
    <n v="0"/>
    <x v="18"/>
    <x v="1"/>
    <s v=""/>
    <n v="17"/>
    <n v="17"/>
    <n v="29.672769745893461"/>
    <n v="46.672769745893461"/>
    <x v="39"/>
    <s v="Christophe ORLANDO"/>
    <x v="4"/>
    <x v="6"/>
    <n v="1"/>
  </r>
  <r>
    <x v="47"/>
    <s v="IT-CE-TMA .:. TMA"/>
    <x v="0"/>
    <m/>
    <m/>
    <n v="4"/>
    <n v="0"/>
    <n v="1"/>
    <n v="0"/>
    <n v="4"/>
    <n v="1"/>
    <n v="1"/>
    <n v="8"/>
    <n v="270"/>
    <n v="1"/>
    <n v="297.49"/>
    <x v="5"/>
    <x v="4"/>
    <s v=""/>
    <n v="74.900000000000006"/>
    <n v="74.900000000000006"/>
    <n v="130.73473258631887"/>
    <n v="205.63473258631888"/>
    <x v="6"/>
    <s v="Christophe ORLANDO"/>
    <x v="4"/>
    <x v="4"/>
    <n v="1"/>
  </r>
  <r>
    <x v="48"/>
    <s v="GFI-Oceanet Infra Réseau .:. SOCLE"/>
    <x v="0"/>
    <n v="5"/>
    <s v="Réinstallation from scratch"/>
    <n v="4"/>
    <n v="0"/>
    <n v="0"/>
    <n v="0"/>
    <n v="0"/>
    <n v="1"/>
    <n v="1"/>
    <n v="2"/>
    <n v="19"/>
    <n v="0"/>
    <n v="0"/>
    <x v="1"/>
    <x v="1"/>
    <s v=""/>
    <n v="7.57"/>
    <n v="0"/>
    <n v="0"/>
    <n v="0"/>
    <x v="4"/>
    <s v="Jérôme JACOB"/>
    <x v="1"/>
    <x v="1"/>
    <n v="1"/>
  </r>
  <r>
    <x v="49"/>
    <s v="GFI-Oceanet Infra Réseau .:. SOCLE"/>
    <x v="0"/>
    <n v="2"/>
    <s v="Route 53"/>
    <n v="4"/>
    <n v="0"/>
    <n v="0"/>
    <n v="0"/>
    <n v="0"/>
    <n v="1"/>
    <n v="1"/>
    <n v="1"/>
    <n v="4"/>
    <n v="0"/>
    <n v="0"/>
    <x v="1"/>
    <x v="1"/>
    <s v=""/>
    <n v="2.52"/>
    <n v="0"/>
    <n v="0"/>
    <n v="0"/>
    <x v="4"/>
    <s v="Jérôme JACOB"/>
    <x v="1"/>
    <x v="1"/>
    <n v="1"/>
  </r>
  <r>
    <x v="50"/>
    <s v="GFI-Oceanet Infra Réseau .:. SOCLE"/>
    <x v="0"/>
    <n v="0"/>
    <s v="Route 53"/>
    <n v="4"/>
    <n v="0"/>
    <n v="0"/>
    <n v="0"/>
    <n v="0"/>
    <n v="1"/>
    <n v="1"/>
    <n v="1"/>
    <n v="4"/>
    <n v="0"/>
    <n v="0"/>
    <x v="1"/>
    <x v="1"/>
    <s v=""/>
    <n v="2.52"/>
    <n v="0"/>
    <n v="0"/>
    <n v="0"/>
    <x v="4"/>
    <s v="Jérôme JACOB"/>
    <x v="1"/>
    <x v="1"/>
    <n v="1"/>
  </r>
  <r>
    <x v="51"/>
    <s v="GFI-Oceanet Infra Réseau .:. SOCLE"/>
    <x v="0"/>
    <n v="0"/>
    <s v="Disparition sans migration"/>
    <n v="4"/>
    <n v="0"/>
    <n v="0"/>
    <n v="0"/>
    <n v="0"/>
    <n v="1"/>
    <n v="1"/>
    <n v="1"/>
    <n v="4"/>
    <n v="0"/>
    <n v="0"/>
    <x v="1"/>
    <x v="1"/>
    <s v=""/>
    <n v="2.52"/>
    <n v="0"/>
    <n v="0"/>
    <n v="0"/>
    <x v="4"/>
    <s v="Jérôme JACOB"/>
    <x v="1"/>
    <x v="1"/>
    <n v="1"/>
  </r>
  <r>
    <x v="52"/>
    <s v="MEAE-Visa .:. QUAL"/>
    <x v="2"/>
    <n v="0"/>
    <s v="Pas de migration"/>
    <n v="4"/>
    <n v="0"/>
    <n v="0"/>
    <n v="0"/>
    <n v="0"/>
    <n v="1"/>
    <n v="1"/>
    <n v="2"/>
    <n v="8"/>
    <n v="0"/>
    <n v="0"/>
    <x v="19"/>
    <x v="13"/>
    <s v=""/>
    <n v="5.04"/>
    <n v="5.04"/>
    <n v="8.7971035011354743"/>
    <n v="13.837103501135473"/>
    <x v="40"/>
    <s v="Axel Benoist-Gironiere"/>
    <x v="3"/>
    <x v="7"/>
    <n v="1"/>
  </r>
  <r>
    <x v="53"/>
    <s v="MEAE-Visa .:. QUAL"/>
    <x v="3"/>
    <n v="0"/>
    <s v="Pas de migration"/>
    <n v="4"/>
    <n v="0"/>
    <n v="0"/>
    <n v="0"/>
    <n v="0"/>
    <n v="1"/>
    <n v="1"/>
    <n v="2"/>
    <n v="7"/>
    <n v="0"/>
    <n v="0"/>
    <x v="19"/>
    <x v="13"/>
    <s v=""/>
    <n v="4.8100000000000005"/>
    <n v="4.8100000000000005"/>
    <n v="8.3956483810439746"/>
    <n v="13.205648381043975"/>
    <x v="40"/>
    <s v="Axel Benoist-Gironiere"/>
    <x v="3"/>
    <x v="7"/>
    <n v="1"/>
  </r>
  <r>
    <x v="54"/>
    <s v="DIG-Perform .:. SOCLE"/>
    <x v="0"/>
    <n v="0"/>
    <m/>
    <n v="4"/>
    <n v="0"/>
    <n v="0"/>
    <n v="0"/>
    <n v="0"/>
    <n v="1"/>
    <n v="1"/>
    <n v="1"/>
    <n v="6"/>
    <n v="0"/>
    <n v="0"/>
    <x v="20"/>
    <x v="1"/>
    <s v=""/>
    <n v="2.9800000000000004"/>
    <n v="2.9800000000000004"/>
    <n v="5.2014619907507376"/>
    <n v="8.1814619907507371"/>
    <x v="41"/>
    <s v="Vincent MERIAU"/>
    <x v="3"/>
    <x v="1"/>
    <n v="1"/>
  </r>
  <r>
    <x v="55"/>
    <s v="MEAE-SAGAIE TMA .:. SOCLE"/>
    <x v="4"/>
    <n v="0"/>
    <s v="Pas de migration"/>
    <n v="4"/>
    <n v="0"/>
    <n v="0"/>
    <n v="0"/>
    <n v="0"/>
    <n v="0.5"/>
    <n v="1"/>
    <n v="1"/>
    <n v="4"/>
    <n v="0"/>
    <n v="0"/>
    <x v="19"/>
    <x v="13"/>
    <s v=""/>
    <n v="2.52"/>
    <n v="2.52"/>
    <n v="4.3985517505677372"/>
    <n v="6.9185517505677367"/>
    <x v="42"/>
    <s v="Axel Benoist-Gironiere, Vincent MERIAU"/>
    <x v="3"/>
    <x v="1"/>
    <n v="2"/>
  </r>
  <r>
    <x v="55"/>
    <s v="MEAE-Visa .:. SOCLE"/>
    <x v="5"/>
    <n v="0"/>
    <s v="Pas de migration"/>
    <n v="4"/>
    <n v="0"/>
    <n v="0"/>
    <n v="0"/>
    <n v="0"/>
    <n v="0.5"/>
    <n v="1"/>
    <n v="1"/>
    <n v="4"/>
    <n v="0"/>
    <n v="0"/>
    <x v="19"/>
    <x v="13"/>
    <s v=""/>
    <n v="2.52"/>
    <n v="2.52"/>
    <n v="4.3985517505677372"/>
    <n v="6.9185517505677367"/>
    <x v="40"/>
    <s v="Axel Benoist-Gironiere"/>
    <x v="3"/>
    <x v="1"/>
    <n v="2"/>
  </r>
  <r>
    <x v="56"/>
    <s v="MEAE-Visa .:. SOCLE"/>
    <x v="6"/>
    <n v="0"/>
    <s v="Pas de migration"/>
    <n v="4"/>
    <n v="2"/>
    <n v="0"/>
    <n v="0"/>
    <n v="0"/>
    <n v="1"/>
    <n v="1"/>
    <n v="4"/>
    <n v="65"/>
    <n v="1"/>
    <n v="11.96"/>
    <x v="19"/>
    <x v="13"/>
    <s v=""/>
    <n v="21.35"/>
    <n v="21.35"/>
    <n v="37.265507886754442"/>
    <n v="58.615507886754443"/>
    <x v="40"/>
    <s v="Axel Benoist-Gironiere"/>
    <x v="3"/>
    <x v="1"/>
    <n v="1"/>
  </r>
  <r>
    <x v="57"/>
    <s v="MEAE-Visa .:. SOCLE"/>
    <x v="7"/>
    <n v="0"/>
    <s v="Pas de migration"/>
    <n v="4"/>
    <n v="0"/>
    <n v="0"/>
    <n v="0"/>
    <n v="0"/>
    <n v="1"/>
    <n v="0"/>
    <n v="0"/>
    <n v="40"/>
    <n v="1"/>
    <n v="0"/>
    <x v="19"/>
    <x v="13"/>
    <s v=""/>
    <n v="9.2000000000000011"/>
    <n v="9.2000000000000011"/>
    <n v="16.058204803659994"/>
    <n v="25.258204803659993"/>
    <x v="40"/>
    <s v="Axel Benoist-Gironiere"/>
    <x v="3"/>
    <x v="1"/>
    <n v="1"/>
  </r>
  <r>
    <x v="58"/>
    <s v="MEAE-Visa .:. DEV"/>
    <x v="0"/>
    <n v="0"/>
    <s v="Pas de migration"/>
    <n v="4"/>
    <n v="0"/>
    <n v="0"/>
    <n v="0"/>
    <n v="0"/>
    <n v="1"/>
    <n v="1"/>
    <n v="4"/>
    <n v="60"/>
    <n v="1"/>
    <n v="0"/>
    <x v="19"/>
    <x v="13"/>
    <s v=""/>
    <n v="20.200000000000003"/>
    <n v="20.200000000000003"/>
    <n v="35.258232286296945"/>
    <n v="55.458232286296948"/>
    <x v="40"/>
    <s v="Axel Benoist-Gironiere"/>
    <x v="3"/>
    <x v="3"/>
    <n v="1"/>
  </r>
  <r>
    <x v="59"/>
    <s v="MEAE-Visa .:. SOCLE"/>
    <x v="6"/>
    <n v="0"/>
    <s v="Pas de migration"/>
    <n v="4"/>
    <n v="0"/>
    <n v="0"/>
    <n v="0"/>
    <n v="0"/>
    <n v="1"/>
    <n v="1"/>
    <n v="2"/>
    <n v="50"/>
    <n v="1"/>
    <n v="0"/>
    <x v="19"/>
    <x v="13"/>
    <s v=""/>
    <n v="14.7"/>
    <n v="14.7"/>
    <n v="25.658218544978464"/>
    <n v="40.358218544978463"/>
    <x v="40"/>
    <s v="Axel Benoist-Gironiere"/>
    <x v="3"/>
    <x v="1"/>
    <n v="1"/>
  </r>
  <r>
    <x v="60"/>
    <s v="EDI-MUT-EDI-MUT-DEV .:. DEV"/>
    <x v="0"/>
    <n v="0"/>
    <s v="Pas de migration"/>
    <n v="4"/>
    <n v="2"/>
    <n v="0"/>
    <n v="0"/>
    <n v="0"/>
    <n v="1"/>
    <n v="1"/>
    <n v="3"/>
    <n v="55"/>
    <n v="1"/>
    <n v="11.96"/>
    <x v="21"/>
    <x v="0"/>
    <s v=""/>
    <n v="17.450000000000003"/>
    <n v="17.450000000000003"/>
    <n v="30.458225415637706"/>
    <n v="47.908225415637709"/>
    <x v="43"/>
    <s v="David LEMALHEUX"/>
    <x v="5"/>
    <x v="3"/>
    <n v="1"/>
  </r>
  <r>
    <x v="61"/>
    <s v="EDI-MUT-EDI-MUT .:. PROD"/>
    <x v="0"/>
    <n v="0"/>
    <s v="Pas de migration"/>
    <n v="4"/>
    <n v="2"/>
    <n v="1"/>
    <n v="0"/>
    <n v="5"/>
    <n v="1"/>
    <n v="1"/>
    <n v="4"/>
    <n v="100"/>
    <n v="1"/>
    <n v="309.45"/>
    <x v="0"/>
    <x v="0"/>
    <s v=""/>
    <n v="29.4"/>
    <n v="29.4"/>
    <n v="51.316437089956928"/>
    <n v="80.716437089956926"/>
    <x v="0"/>
    <s v="David LEMALHEUX"/>
    <x v="0"/>
    <x v="0"/>
    <n v="1"/>
  </r>
  <r>
    <x v="62"/>
    <s v="AS24-ChantierPIC .:. DEV"/>
    <x v="0"/>
    <m/>
    <m/>
    <n v="4"/>
    <n v="0"/>
    <n v="0"/>
    <n v="0"/>
    <n v="0"/>
    <n v="1"/>
    <n v="1"/>
    <n v="4"/>
    <n v="31"/>
    <n v="0"/>
    <n v="0"/>
    <x v="22"/>
    <x v="14"/>
    <s v=""/>
    <n v="13.530000000000001"/>
    <n v="13.530000000000001"/>
    <n v="23.616033803643447"/>
    <n v="37.146033803643448"/>
    <x v="44"/>
    <s v="Florian DUPONT"/>
    <x v="5"/>
    <x v="3"/>
    <n v="1"/>
  </r>
  <r>
    <x v="63"/>
    <s v="MEAE-SAGAIE TMA .:. DEV_RUN"/>
    <x v="8"/>
    <n v="0"/>
    <s v="Pas de migration"/>
    <n v="4"/>
    <n v="0"/>
    <n v="0"/>
    <n v="0"/>
    <n v="0"/>
    <n v="1"/>
    <n v="1"/>
    <n v="8"/>
    <n v="17"/>
    <n v="0"/>
    <n v="0"/>
    <x v="19"/>
    <x v="13"/>
    <s v=""/>
    <n v="16.71"/>
    <n v="16.71"/>
    <n v="29.166587203169399"/>
    <n v="45.8765872031694"/>
    <x v="42"/>
    <s v="Axel Benoist-Gironiere, Vincent MERIAU"/>
    <x v="3"/>
    <x v="8"/>
    <n v="1"/>
  </r>
  <r>
    <x v="64"/>
    <s v="MEAE-SAGAIE TMA .:. DEV_BUILD"/>
    <x v="9"/>
    <n v="0"/>
    <s v="Pas de migration"/>
    <n v="4"/>
    <n v="0"/>
    <n v="0"/>
    <n v="0"/>
    <n v="0"/>
    <n v="1"/>
    <n v="1"/>
    <n v="8"/>
    <n v="17"/>
    <n v="0"/>
    <n v="0"/>
    <x v="19"/>
    <x v="13"/>
    <s v=""/>
    <n v="16.71"/>
    <n v="16.71"/>
    <n v="29.166587203169399"/>
    <n v="45.8765872031694"/>
    <x v="42"/>
    <s v="Axel Benoist-Gironiere, Vincent MERIAU"/>
    <x v="3"/>
    <x v="9"/>
    <n v="1"/>
  </r>
  <r>
    <x v="65"/>
    <s v="MEAE-SAGAIE TMA .:. QUAL_RUN"/>
    <x v="8"/>
    <n v="0"/>
    <s v="Pas de migration"/>
    <n v="4"/>
    <n v="0"/>
    <n v="0"/>
    <n v="0"/>
    <n v="0"/>
    <n v="1"/>
    <n v="1"/>
    <n v="8"/>
    <n v="17"/>
    <n v="0"/>
    <n v="0"/>
    <x v="19"/>
    <x v="13"/>
    <s v=""/>
    <n v="16.71"/>
    <n v="16.71"/>
    <n v="29.166587203169399"/>
    <n v="45.8765872031694"/>
    <x v="42"/>
    <s v="Axel Benoist-Gironiere, Vincent MERIAU"/>
    <x v="3"/>
    <x v="10"/>
    <n v="1"/>
  </r>
  <r>
    <x v="66"/>
    <s v="MEAE-SAGAIE TMA .:. QUAL_BUILD"/>
    <x v="9"/>
    <n v="0"/>
    <s v="Pas de migration"/>
    <n v="4"/>
    <n v="0"/>
    <n v="0"/>
    <n v="0"/>
    <n v="0"/>
    <n v="1"/>
    <n v="1"/>
    <n v="8"/>
    <n v="17"/>
    <n v="0"/>
    <n v="0"/>
    <x v="19"/>
    <x v="13"/>
    <s v=""/>
    <n v="16.71"/>
    <n v="16.71"/>
    <n v="29.166587203169399"/>
    <n v="45.8765872031694"/>
    <x v="42"/>
    <s v="Axel Benoist-Gironiere, Vincent MERIAU"/>
    <x v="3"/>
    <x v="6"/>
    <n v="1"/>
  </r>
  <r>
    <x v="67"/>
    <s v="MEAE-SAGAIE TMA .:. DEV_BUILD"/>
    <x v="0"/>
    <n v="0"/>
    <s v="Pas de migration"/>
    <n v="4"/>
    <n v="0"/>
    <n v="0"/>
    <n v="0"/>
    <n v="0"/>
    <n v="1"/>
    <n v="1"/>
    <n v="4"/>
    <n v="12"/>
    <n v="0"/>
    <n v="0"/>
    <x v="19"/>
    <x v="13"/>
    <s v=""/>
    <n v="9.16"/>
    <n v="9.16"/>
    <n v="15.988386521904948"/>
    <n v="25.148386521904946"/>
    <x v="42"/>
    <s v="Axel Benoist-Gironiere, Vincent MERIAU"/>
    <x v="3"/>
    <x v="9"/>
    <n v="1"/>
  </r>
  <r>
    <x v="68"/>
    <s v="MEAE-SAGAIE TMA .:. QUAL_BUILD"/>
    <x v="0"/>
    <n v="0"/>
    <s v="Pas de migration"/>
    <n v="4"/>
    <n v="0"/>
    <n v="0"/>
    <n v="0"/>
    <n v="0"/>
    <n v="1"/>
    <n v="1"/>
    <n v="4"/>
    <n v="12"/>
    <n v="0"/>
    <n v="0"/>
    <x v="19"/>
    <x v="13"/>
    <s v=""/>
    <n v="9.16"/>
    <n v="9.16"/>
    <n v="15.988386521904948"/>
    <n v="25.148386521904946"/>
    <x v="42"/>
    <s v="Axel Benoist-Gironiere, Vincent MERIAU"/>
    <x v="3"/>
    <x v="6"/>
    <n v="1"/>
  </r>
  <r>
    <x v="69"/>
    <s v="MEAE-SAGAIE TMA .:. QUAL_BUILD"/>
    <x v="0"/>
    <m/>
    <m/>
    <n v="4"/>
    <n v="0"/>
    <n v="0"/>
    <n v="0"/>
    <n v="0"/>
    <n v="1"/>
    <n v="1"/>
    <n v="2"/>
    <n v="12"/>
    <n v="0"/>
    <n v="0"/>
    <x v="19"/>
    <x v="13"/>
    <s v=""/>
    <n v="5.9600000000000009"/>
    <n v="5.9600000000000009"/>
    <n v="10.402923981501475"/>
    <n v="16.362923981501474"/>
    <x v="42"/>
    <s v="Axel Benoist-Gironiere, Vincent MERIAU"/>
    <x v="3"/>
    <x v="6"/>
    <n v="1"/>
  </r>
  <r>
    <x v="70"/>
    <s v="MEAE-Visa .:. QUAL"/>
    <x v="10"/>
    <n v="0"/>
    <s v="Pas de migration"/>
    <n v="4"/>
    <n v="0"/>
    <n v="0"/>
    <n v="0"/>
    <n v="0"/>
    <n v="1"/>
    <n v="1"/>
    <n v="2"/>
    <n v="6"/>
    <n v="0"/>
    <n v="0"/>
    <x v="19"/>
    <x v="13"/>
    <s v=""/>
    <n v="4.58"/>
    <n v="4.58"/>
    <n v="7.994193260952474"/>
    <n v="12.574193260952473"/>
    <x v="40"/>
    <s v="Axel Benoist-Gironiere"/>
    <x v="3"/>
    <x v="7"/>
    <n v="1"/>
  </r>
  <r>
    <x v="71"/>
    <s v="GFI-MY BUSINESS .:. DEV"/>
    <x v="0"/>
    <n v="2"/>
    <s v="Terraform + Ansible (accès télé-travail ?)"/>
    <n v="4"/>
    <n v="0"/>
    <n v="0"/>
    <n v="0"/>
    <n v="0"/>
    <n v="1"/>
    <n v="1"/>
    <n v="4"/>
    <n v="14"/>
    <n v="0"/>
    <n v="0"/>
    <x v="23"/>
    <x v="15"/>
    <s v=""/>
    <n v="9.620000000000001"/>
    <n v="9.620000000000001"/>
    <n v="16.791296762087949"/>
    <n v="26.41129676208795"/>
    <x v="45"/>
    <s v="Philippe De Guio"/>
    <x v="5"/>
    <x v="3"/>
    <n v="1"/>
  </r>
  <r>
    <x v="72"/>
    <s v="GFI-MY BUSINESS .:. QUAL"/>
    <x v="0"/>
    <n v="0.5"/>
    <s v="Terraform + Ansible (accès télé-travail ?)"/>
    <n v="4"/>
    <n v="0"/>
    <n v="0"/>
    <n v="0"/>
    <n v="0"/>
    <n v="1"/>
    <n v="1"/>
    <n v="4"/>
    <n v="14"/>
    <n v="0"/>
    <n v="0"/>
    <x v="23"/>
    <x v="15"/>
    <s v=""/>
    <n v="9.620000000000001"/>
    <n v="9.620000000000001"/>
    <n v="16.791296762087949"/>
    <n v="26.41129676208795"/>
    <x v="45"/>
    <s v="Philippe De Guio"/>
    <x v="5"/>
    <x v="7"/>
    <n v="1"/>
  </r>
  <r>
    <x v="73"/>
    <s v="GFI-MY BUSINESS .:. PROD"/>
    <x v="0"/>
    <n v="0.5"/>
    <s v="Terraform + Ansible (accès télé-travail ?)"/>
    <n v="4"/>
    <n v="0"/>
    <n v="0"/>
    <n v="0"/>
    <n v="0"/>
    <n v="1"/>
    <n v="1"/>
    <n v="4"/>
    <n v="14"/>
    <n v="0"/>
    <n v="0"/>
    <x v="23"/>
    <x v="15"/>
    <s v=""/>
    <n v="9.620000000000001"/>
    <n v="9.620000000000001"/>
    <n v="16.791296762087949"/>
    <n v="26.41129676208795"/>
    <x v="45"/>
    <s v="Philippe De Guio"/>
    <x v="5"/>
    <x v="0"/>
    <n v="1"/>
  </r>
  <r>
    <x v="74"/>
    <s v="GFI-MY BUSINESS .:. PROD"/>
    <x v="0"/>
    <m/>
    <m/>
    <n v="4"/>
    <n v="0"/>
    <n v="0"/>
    <n v="0"/>
    <n v="0"/>
    <n v="1"/>
    <n v="1"/>
    <n v="4"/>
    <n v="14"/>
    <n v="0"/>
    <n v="0"/>
    <x v="23"/>
    <x v="15"/>
    <s v=""/>
    <n v="9.620000000000001"/>
    <n v="9.620000000000001"/>
    <n v="16.791296762087949"/>
    <n v="26.41129676208795"/>
    <x v="45"/>
    <s v="Philippe De Guio"/>
    <x v="5"/>
    <x v="0"/>
    <n v="1"/>
  </r>
  <r>
    <x v="75"/>
    <s v="GFI-MY BUSINESS .:. QUAL"/>
    <x v="0"/>
    <m/>
    <m/>
    <n v="4"/>
    <n v="0"/>
    <n v="0"/>
    <n v="0"/>
    <n v="0"/>
    <n v="1"/>
    <n v="1"/>
    <n v="4"/>
    <n v="14"/>
    <n v="0"/>
    <n v="0"/>
    <x v="23"/>
    <x v="15"/>
    <s v=""/>
    <n v="9.620000000000001"/>
    <n v="9.620000000000001"/>
    <n v="16.791296762087949"/>
    <n v="26.41129676208795"/>
    <x v="45"/>
    <s v="Philippe De Guio"/>
    <x v="5"/>
    <x v="7"/>
    <n v="1"/>
  </r>
  <r>
    <x v="76"/>
    <s v="MEAE-Visa .:. DEV"/>
    <x v="0"/>
    <n v="0"/>
    <s v="Pas de migration"/>
    <n v="4"/>
    <n v="0"/>
    <n v="0"/>
    <n v="0"/>
    <n v="0"/>
    <n v="1"/>
    <n v="1"/>
    <n v="1"/>
    <n v="21"/>
    <n v="0"/>
    <n v="0"/>
    <x v="19"/>
    <x v="13"/>
    <s v=""/>
    <n v="6.43"/>
    <n v="6.43"/>
    <n v="11.223288792123231"/>
    <n v="17.653288792123231"/>
    <x v="40"/>
    <s v="Axel Benoist-Gironiere"/>
    <x v="3"/>
    <x v="3"/>
    <n v="1"/>
  </r>
  <r>
    <x v="77"/>
    <s v="MEAE-Prevoirh .:. DEV"/>
    <x v="0"/>
    <m/>
    <m/>
    <n v="4"/>
    <n v="0"/>
    <n v="0"/>
    <n v="0"/>
    <n v="0"/>
    <n v="1"/>
    <n v="1"/>
    <n v="2"/>
    <n v="11"/>
    <n v="0"/>
    <n v="0"/>
    <x v="19"/>
    <x v="13"/>
    <s v=""/>
    <n v="5.73"/>
    <n v="5.73"/>
    <n v="10.001468861409974"/>
    <n v="15.731468861409974"/>
    <x v="46"/>
    <s v="Axel Benoist-Gironiere"/>
    <x v="3"/>
    <x v="3"/>
    <n v="1"/>
  </r>
  <r>
    <x v="78"/>
    <s v="MEAE-SAGAIE TMA .:. SOCLE"/>
    <x v="11"/>
    <n v="0"/>
    <s v="Pas de migration"/>
    <n v="4"/>
    <n v="0"/>
    <n v="0"/>
    <n v="0"/>
    <n v="0"/>
    <n v="1"/>
    <n v="1"/>
    <n v="1"/>
    <n v="6"/>
    <n v="0"/>
    <n v="0"/>
    <x v="19"/>
    <x v="13"/>
    <s v=""/>
    <n v="2.9800000000000004"/>
    <n v="2.9800000000000004"/>
    <n v="5.2014619907507376"/>
    <n v="8.1814619907507371"/>
    <x v="42"/>
    <s v="Axel Benoist-Gironiere, Vincent MERIAU"/>
    <x v="3"/>
    <x v="1"/>
    <n v="1"/>
  </r>
  <r>
    <x v="79"/>
    <s v="Vivesco-Vives-taux .:. DEV"/>
    <x v="0"/>
    <n v="2"/>
    <s v="Terraform service RDS"/>
    <n v="4"/>
    <n v="0"/>
    <n v="0"/>
    <n v="0"/>
    <n v="0"/>
    <n v="1"/>
    <n v="1"/>
    <n v="1"/>
    <n v="4"/>
    <n v="0"/>
    <n v="0"/>
    <x v="24"/>
    <x v="16"/>
    <s v=""/>
    <n v="2.52"/>
    <n v="2.52"/>
    <n v="4.3985517505677372"/>
    <n v="6.9185517505677367"/>
    <x v="47"/>
    <s v="Pierre Maurupt"/>
    <x v="5"/>
    <x v="3"/>
    <n v="1"/>
  </r>
  <r>
    <x v="80"/>
    <s v="ADEME-SAGA .:. TMA"/>
    <x v="12"/>
    <n v="0"/>
    <s v="Pas de migration"/>
    <n v="4"/>
    <n v="0"/>
    <n v="0"/>
    <n v="0"/>
    <n v="0"/>
    <n v="1"/>
    <n v="0"/>
    <n v="0"/>
    <n v="179"/>
    <n v="0"/>
    <n v="0"/>
    <x v="25"/>
    <x v="17"/>
    <s v=""/>
    <n v="41.17"/>
    <n v="41.17"/>
    <n v="71.860466496378464"/>
    <n v="113.03046649637847"/>
    <x v="48"/>
    <s v="Pascale CRINE"/>
    <x v="3"/>
    <x v="4"/>
    <n v="1"/>
  </r>
  <r>
    <x v="81"/>
    <s v="MEAE-SAGAIE TMA .:. OBSOLETE"/>
    <x v="13"/>
    <n v="0"/>
    <s v="Pas de migration"/>
    <n v="4"/>
    <n v="0"/>
    <n v="0"/>
    <n v="0"/>
    <n v="0"/>
    <n v="0.5"/>
    <n v="1"/>
    <n v="0.5"/>
    <n v="9.5"/>
    <n v="0"/>
    <n v="0"/>
    <x v="19"/>
    <x v="13"/>
    <s v=""/>
    <n v="2.9850000000000003"/>
    <n v="2.9850000000000003"/>
    <n v="5.2101892759701176"/>
    <n v="8.1951892759701188"/>
    <x v="42"/>
    <s v="Axel Benoist-Gironiere, Vincent MERIAU"/>
    <x v="3"/>
    <x v="11"/>
    <n v="2"/>
  </r>
  <r>
    <x v="81"/>
    <s v="MEAE-Visa .:. DEV"/>
    <x v="14"/>
    <n v="0"/>
    <s v="Pas de migration"/>
    <n v="4"/>
    <n v="0"/>
    <n v="0"/>
    <n v="0"/>
    <n v="0"/>
    <n v="0.5"/>
    <n v="1"/>
    <n v="0.5"/>
    <n v="9.5"/>
    <n v="0"/>
    <n v="0"/>
    <x v="19"/>
    <x v="13"/>
    <s v=""/>
    <n v="2.9850000000000003"/>
    <n v="2.9850000000000003"/>
    <n v="5.2101892759701176"/>
    <n v="8.1951892759701188"/>
    <x v="40"/>
    <s v="Axel Benoist-Gironiere"/>
    <x v="3"/>
    <x v="3"/>
    <n v="2"/>
  </r>
  <r>
    <x v="82"/>
    <s v="MEAE-SAGAIE TMA .:. DEV"/>
    <x v="11"/>
    <n v="0"/>
    <s v="Pas de migration"/>
    <n v="4"/>
    <n v="0"/>
    <n v="0"/>
    <n v="0"/>
    <n v="0"/>
    <n v="1"/>
    <n v="1"/>
    <n v="1"/>
    <n v="56"/>
    <n v="0"/>
    <n v="0"/>
    <x v="19"/>
    <x v="13"/>
    <s v=""/>
    <n v="14.48"/>
    <n v="14.48"/>
    <n v="25.274217995325728"/>
    <n v="39.754217995325732"/>
    <x v="42"/>
    <s v="Axel Benoist-Gironiere, Vincent MERIAU"/>
    <x v="3"/>
    <x v="3"/>
    <n v="1"/>
  </r>
  <r>
    <x v="83"/>
    <s v="MEAE-Visa .:. DEV"/>
    <x v="0"/>
    <m/>
    <m/>
    <n v="4"/>
    <n v="0"/>
    <n v="0"/>
    <n v="0"/>
    <n v="0"/>
    <n v="1"/>
    <n v="1"/>
    <n v="2"/>
    <n v="27"/>
    <n v="0"/>
    <n v="0"/>
    <x v="19"/>
    <x v="13"/>
    <s v=""/>
    <n v="9.41"/>
    <n v="9.41"/>
    <n v="16.424750782873971"/>
    <n v="25.834750782873972"/>
    <x v="40"/>
    <s v="Axel Benoist-Gironiere"/>
    <x v="3"/>
    <x v="3"/>
    <n v="1"/>
  </r>
  <r>
    <x v="84"/>
    <s v="GFI-Outil de notification automatique Jira (Niort) .:. PROD"/>
    <x v="0"/>
    <n v="0.5"/>
    <s v="Terraform + Ansible"/>
    <n v="4"/>
    <n v="0"/>
    <n v="0"/>
    <n v="0"/>
    <n v="0"/>
    <n v="1"/>
    <n v="1"/>
    <n v="1"/>
    <n v="6"/>
    <n v="0"/>
    <n v="0"/>
    <x v="23"/>
    <x v="15"/>
    <s v=""/>
    <n v="2.9800000000000004"/>
    <n v="2.9800000000000004"/>
    <n v="5.2014619907507376"/>
    <n v="8.1814619907507371"/>
    <x v="49"/>
    <s v="Philippe De Guio"/>
    <x v="5"/>
    <x v="0"/>
    <n v="1"/>
  </r>
  <r>
    <x v="85"/>
    <s v="MEAE-Visa .:. SOCLE"/>
    <x v="15"/>
    <n v="0"/>
    <s v="Pas de migration"/>
    <n v="4"/>
    <n v="2"/>
    <n v="1"/>
    <n v="0"/>
    <n v="4"/>
    <n v="1"/>
    <n v="1"/>
    <n v="4"/>
    <n v="240"/>
    <n v="1"/>
    <n v="309.45"/>
    <x v="19"/>
    <x v="13"/>
    <s v=""/>
    <n v="61.6"/>
    <n v="61.6"/>
    <n v="107.52015390276689"/>
    <n v="169.1201539027669"/>
    <x v="40"/>
    <s v="Axel Benoist-Gironiere"/>
    <x v="3"/>
    <x v="1"/>
    <n v="1"/>
  </r>
  <r>
    <x v="86"/>
    <s v="MEAE-Visa .:. DEV"/>
    <x v="16"/>
    <n v="0"/>
    <s v="Pas de migration"/>
    <n v="4"/>
    <n v="2"/>
    <n v="0"/>
    <n v="0"/>
    <n v="0"/>
    <n v="1"/>
    <n v="1"/>
    <n v="2"/>
    <n v="40"/>
    <n v="1"/>
    <n v="11.96"/>
    <x v="19"/>
    <x v="13"/>
    <s v=""/>
    <n v="12.400000000000002"/>
    <n v="12.400000000000002"/>
    <n v="21.64366734406347"/>
    <n v="34.043667344063472"/>
    <x v="40"/>
    <s v="Axel Benoist-Gironiere"/>
    <x v="3"/>
    <x v="3"/>
    <n v="1"/>
  </r>
  <r>
    <x v="87"/>
    <s v="GFI-Oceanet Gestion VM .:. PROD"/>
    <x v="0"/>
    <n v="3"/>
    <s v="Terraform + Ansible"/>
    <n v="4"/>
    <n v="0"/>
    <n v="0"/>
    <n v="0"/>
    <n v="0"/>
    <n v="1"/>
    <n v="1"/>
    <n v="1"/>
    <n v="4"/>
    <n v="0"/>
    <n v="0"/>
    <x v="1"/>
    <x v="1"/>
    <s v=""/>
    <n v="2.52"/>
    <n v="0"/>
    <n v="0"/>
    <n v="0"/>
    <x v="50"/>
    <s v="Jérôme JACOB"/>
    <x v="1"/>
    <x v="0"/>
    <n v="1"/>
  </r>
  <r>
    <x v="88"/>
    <s v="Vivesco-Vives-taux .:. DEV"/>
    <x v="17"/>
    <n v="5"/>
    <s v="Disparition avec migration vers Delivery"/>
    <n v="4"/>
    <n v="0"/>
    <n v="0"/>
    <n v="0"/>
    <n v="0"/>
    <n v="1"/>
    <n v="1"/>
    <n v="2"/>
    <n v="20"/>
    <n v="0"/>
    <n v="0"/>
    <x v="24"/>
    <x v="16"/>
    <s v=""/>
    <n v="7.8000000000000007"/>
    <n v="7.8000000000000007"/>
    <n v="13.614564942233473"/>
    <n v="21.414564942233476"/>
    <x v="47"/>
    <s v="Pierre Maurupt"/>
    <x v="5"/>
    <x v="3"/>
    <n v="1"/>
  </r>
  <r>
    <x v="89"/>
    <s v="MEAE-Visa .:. SOCLE"/>
    <x v="18"/>
    <n v="5"/>
    <s v="Disparition avec migration vers Delivery"/>
    <n v="6"/>
    <n v="0"/>
    <n v="0"/>
    <n v="0"/>
    <n v="0"/>
    <n v="1"/>
    <n v="1"/>
    <n v="4"/>
    <n v="120"/>
    <n v="0"/>
    <n v="0"/>
    <x v="19"/>
    <x v="13"/>
    <s v=""/>
    <n v="34"/>
    <n v="34"/>
    <n v="59.345539491786923"/>
    <n v="93.345539491786923"/>
    <x v="40"/>
    <s v="Axel Benoist-Gironiere"/>
    <x v="3"/>
    <x v="1"/>
    <n v="1"/>
  </r>
  <r>
    <x v="90"/>
    <s v="GFI-Oceanet Infra Réseau .:. SOCLE"/>
    <x v="19"/>
    <n v="2"/>
    <s v="Pas de migration, utiliser un service SMTP AWS"/>
    <n v="4"/>
    <n v="0"/>
    <n v="0"/>
    <n v="0"/>
    <n v="0"/>
    <n v="1"/>
    <n v="1"/>
    <n v="1"/>
    <n v="4"/>
    <n v="0"/>
    <n v="0"/>
    <x v="1"/>
    <x v="1"/>
    <s v=""/>
    <n v="2.52"/>
    <n v="0"/>
    <n v="0"/>
    <n v="0"/>
    <x v="4"/>
    <s v="Jérôme JACOB"/>
    <x v="1"/>
    <x v="1"/>
    <n v="1"/>
  </r>
  <r>
    <x v="91"/>
    <s v="MEAE-Visa .:. SOCLE"/>
    <x v="20"/>
    <n v="5"/>
    <s v="Disparition avec migration vers Delivery"/>
    <n v="4"/>
    <n v="0"/>
    <n v="0"/>
    <n v="0"/>
    <n v="0"/>
    <n v="1"/>
    <n v="1"/>
    <n v="1"/>
    <n v="38"/>
    <n v="0"/>
    <n v="0"/>
    <x v="19"/>
    <x v="13"/>
    <s v=""/>
    <n v="10.34"/>
    <n v="10.34"/>
    <n v="18.048025833678732"/>
    <n v="28.388025833678732"/>
    <x v="40"/>
    <s v="Axel Benoist-Gironiere"/>
    <x v="3"/>
    <x v="1"/>
    <n v="1"/>
  </r>
  <r>
    <x v="92"/>
    <s v="MEAE-Visa .:. ARRET"/>
    <x v="21"/>
    <n v="0"/>
    <s v="Disparition sans migration"/>
    <n v="4"/>
    <n v="0"/>
    <n v="0"/>
    <n v="0"/>
    <n v="0"/>
    <n v="0.5"/>
    <n v="1"/>
    <n v="0.5"/>
    <n v="2"/>
    <n v="0"/>
    <n v="0"/>
    <x v="19"/>
    <x v="13"/>
    <s v=""/>
    <n v="1.26"/>
    <n v="1.26"/>
    <n v="2.1992758752838686"/>
    <n v="3.4592758752838684"/>
    <x v="40"/>
    <s v="Axel Benoist-Gironiere"/>
    <x v="3"/>
    <x v="12"/>
    <n v="2"/>
  </r>
  <r>
    <x v="92"/>
    <s v="Vivesco-Vives-taux .:. QUAL"/>
    <x v="22"/>
    <n v="0"/>
    <s v="Disparition sans migration"/>
    <n v="4"/>
    <n v="0"/>
    <n v="0"/>
    <n v="0"/>
    <n v="0"/>
    <n v="0.5"/>
    <n v="1"/>
    <n v="0.5"/>
    <n v="2"/>
    <n v="0"/>
    <n v="0"/>
    <x v="24"/>
    <x v="16"/>
    <s v=""/>
    <n v="1.26"/>
    <n v="1.26"/>
    <n v="2.1992758752838686"/>
    <n v="3.4592758752838684"/>
    <x v="47"/>
    <s v="Pierre Maurupt"/>
    <x v="5"/>
    <x v="7"/>
    <n v="2"/>
  </r>
  <r>
    <x v="93"/>
    <s v="GFI-Oceanet Infra Réseau .:. SOCLE"/>
    <x v="0"/>
    <n v="0"/>
    <s v="Disparition sans migration"/>
    <n v="4"/>
    <n v="0"/>
    <n v="0"/>
    <n v="0"/>
    <n v="0"/>
    <n v="1"/>
    <n v="1"/>
    <n v="1"/>
    <n v="4"/>
    <n v="0"/>
    <n v="0"/>
    <x v="1"/>
    <x v="1"/>
    <s v=""/>
    <n v="2.52"/>
    <n v="0"/>
    <n v="0"/>
    <n v="0"/>
    <x v="4"/>
    <s v="Jérôme JACOB"/>
    <x v="1"/>
    <x v="1"/>
    <n v="1"/>
  </r>
  <r>
    <x v="94"/>
    <s v="ADEME-SAGA .:. TMA"/>
    <x v="0"/>
    <n v="5"/>
    <s v="Disparition avec migration vers Delivery"/>
    <n v="4"/>
    <n v="0"/>
    <n v="0"/>
    <n v="0"/>
    <n v="0"/>
    <n v="0.33333333333333331"/>
    <n v="1"/>
    <n v="0.33333333333333331"/>
    <n v="7.333333333333333"/>
    <n v="0"/>
    <n v="0"/>
    <x v="25"/>
    <x v="17"/>
    <s v=""/>
    <n v="2.2200000000000002"/>
    <n v="2.2200000000000002"/>
    <n v="3.8749146374049115"/>
    <n v="6.0949146374049121"/>
    <x v="48"/>
    <s v="Pascale CRINE"/>
    <x v="3"/>
    <x v="4"/>
    <n v="3"/>
  </r>
  <r>
    <x v="94"/>
    <s v="ADEME-SINOE .:. TMA"/>
    <x v="0"/>
    <m/>
    <m/>
    <n v="4"/>
    <n v="0"/>
    <n v="0"/>
    <n v="0"/>
    <n v="0"/>
    <n v="0.33333333333333331"/>
    <n v="1"/>
    <n v="0.33333333333333331"/>
    <n v="7.333333333333333"/>
    <n v="0"/>
    <n v="0"/>
    <x v="26"/>
    <x v="17"/>
    <s v=""/>
    <n v="2.2200000000000002"/>
    <n v="2.2200000000000002"/>
    <n v="3.8749146374049115"/>
    <n v="6.0949146374049121"/>
    <x v="51"/>
    <s v="Pascale CRINE"/>
    <x v="3"/>
    <x v="4"/>
    <n v="3"/>
  </r>
  <r>
    <x v="94"/>
    <s v="MEAE-Visa .:. SOCLE"/>
    <x v="23"/>
    <m/>
    <m/>
    <n v="4"/>
    <n v="0"/>
    <n v="0"/>
    <n v="0"/>
    <n v="0"/>
    <n v="0.33333333333333331"/>
    <n v="1"/>
    <n v="0.33333333333333331"/>
    <n v="7.333333333333333"/>
    <n v="0"/>
    <n v="0"/>
    <x v="19"/>
    <x v="13"/>
    <s v=""/>
    <n v="2.2200000000000002"/>
    <n v="2.2200000000000002"/>
    <n v="3.8749146374049115"/>
    <n v="6.0949146374049121"/>
    <x v="40"/>
    <s v="Axel Benoist-Gironiere"/>
    <x v="3"/>
    <x v="1"/>
    <n v="3"/>
  </r>
  <r>
    <x v="95"/>
    <s v="GFI-Oceanet Gestion VM .:. PROD"/>
    <x v="0"/>
    <n v="0"/>
    <s v="Pas de migration"/>
    <n v="4"/>
    <n v="0"/>
    <n v="0"/>
    <n v="0"/>
    <n v="0"/>
    <n v="1"/>
    <n v="0"/>
    <n v="0"/>
    <n v="40"/>
    <n v="1"/>
    <n v="0"/>
    <x v="1"/>
    <x v="1"/>
    <s v=""/>
    <n v="9.2000000000000011"/>
    <n v="0"/>
    <n v="0"/>
    <n v="0"/>
    <x v="50"/>
    <s v="Jérôme JACOB"/>
    <x v="1"/>
    <x v="0"/>
    <n v="1"/>
  </r>
  <r>
    <x v="96"/>
    <s v="Fablab-Firmin .:. SOCLE"/>
    <x v="0"/>
    <m/>
    <m/>
    <n v="4"/>
    <n v="0"/>
    <n v="0"/>
    <n v="0"/>
    <n v="0"/>
    <n v="1"/>
    <n v="1"/>
    <n v="16"/>
    <n v="127"/>
    <n v="0"/>
    <n v="0"/>
    <x v="2"/>
    <x v="2"/>
    <s v=""/>
    <n v="54.81"/>
    <n v="54.81"/>
    <n v="95.668500574848281"/>
    <n v="150.47850057484828"/>
    <x v="2"/>
    <s v="Pierre-Yves Baloche"/>
    <x v="2"/>
    <x v="1"/>
    <n v="1"/>
  </r>
  <r>
    <x v="97"/>
    <s v="Fablab-Firmin .:. SOCLE"/>
    <x v="0"/>
    <m/>
    <m/>
    <n v="4"/>
    <n v="0"/>
    <n v="0"/>
    <n v="0"/>
    <n v="0"/>
    <n v="1"/>
    <n v="1"/>
    <n v="4"/>
    <n v="27"/>
    <n v="0"/>
    <n v="0"/>
    <x v="2"/>
    <x v="2"/>
    <s v=""/>
    <n v="12.61"/>
    <n v="12.61"/>
    <n v="22.010213323277448"/>
    <n v="34.620213323277447"/>
    <x v="2"/>
    <s v="Pierre-Yves Baloche"/>
    <x v="2"/>
    <x v="1"/>
    <n v="1"/>
  </r>
  <r>
    <x v="98"/>
    <s v="Fablab-Firmin .:. SOCLE"/>
    <x v="0"/>
    <m/>
    <m/>
    <n v="4"/>
    <n v="0"/>
    <n v="0"/>
    <n v="0"/>
    <n v="0"/>
    <n v="1"/>
    <n v="1"/>
    <n v="16"/>
    <n v="47"/>
    <n v="0"/>
    <n v="0"/>
    <x v="2"/>
    <x v="2"/>
    <s v=""/>
    <n v="36.410000000000004"/>
    <n v="36.410000000000004"/>
    <n v="63.552090967528301"/>
    <n v="99.962090967528297"/>
    <x v="2"/>
    <s v="Pierre-Yves Baloche"/>
    <x v="2"/>
    <x v="1"/>
    <n v="1"/>
  </r>
  <r>
    <x v="99"/>
    <s v="GFI-Jetbrain serveur licence .:. PROD"/>
    <x v="0"/>
    <n v="2"/>
    <s v="Terraform + Ansible"/>
    <n v="4"/>
    <n v="0"/>
    <n v="0"/>
    <n v="0"/>
    <n v="0"/>
    <n v="1"/>
    <n v="1"/>
    <n v="4"/>
    <n v="6"/>
    <n v="0"/>
    <n v="0"/>
    <x v="27"/>
    <x v="1"/>
    <s v=""/>
    <n v="7.78"/>
    <n v="7.78"/>
    <n v="13.579655801355949"/>
    <n v="21.359655801355949"/>
    <x v="52"/>
    <s v="Jérôme JACOB"/>
    <x v="3"/>
    <x v="0"/>
    <n v="1"/>
  </r>
  <r>
    <x v="100"/>
    <s v="GFI-Oceanet Gestion VM .:. QUAL_RUN"/>
    <x v="0"/>
    <m/>
    <m/>
    <n v="4"/>
    <n v="0"/>
    <n v="0"/>
    <n v="0"/>
    <n v="0"/>
    <n v="0.5"/>
    <n v="1"/>
    <n v="0.5"/>
    <n v="9.5"/>
    <n v="0"/>
    <n v="0"/>
    <x v="1"/>
    <x v="1"/>
    <s v=""/>
    <n v="2.9850000000000003"/>
    <n v="0"/>
    <n v="0"/>
    <n v="0"/>
    <x v="50"/>
    <s v="Jérôme JACOB"/>
    <x v="1"/>
    <x v="10"/>
    <n v="2"/>
  </r>
  <r>
    <x v="100"/>
    <s v="Vivesco-Vives-taux .:. QUAL"/>
    <x v="0"/>
    <n v="0.5"/>
    <s v="Terraform service RDS"/>
    <n v="4"/>
    <n v="0"/>
    <n v="0"/>
    <n v="0"/>
    <n v="0"/>
    <n v="0.5"/>
    <n v="1"/>
    <n v="0.5"/>
    <n v="9.5"/>
    <n v="0"/>
    <n v="0"/>
    <x v="24"/>
    <x v="16"/>
    <s v=""/>
    <n v="2.9850000000000003"/>
    <n v="2.9850000000000003"/>
    <n v="5.2101892759701176"/>
    <n v="8.1951892759701188"/>
    <x v="47"/>
    <s v="Pierre Maurupt"/>
    <x v="5"/>
    <x v="7"/>
    <n v="2"/>
  </r>
  <r>
    <x v="101"/>
    <s v="GFI-MARCO POLO .:. DEV_BUILD"/>
    <x v="0"/>
    <n v="2"/>
    <s v="Terraform + Ansible"/>
    <n v="4"/>
    <n v="0"/>
    <n v="0"/>
    <n v="0"/>
    <n v="0"/>
    <n v="1"/>
    <n v="1"/>
    <n v="2"/>
    <n v="14"/>
    <n v="0"/>
    <n v="0"/>
    <x v="28"/>
    <x v="1"/>
    <s v=""/>
    <n v="6.42"/>
    <n v="6.42"/>
    <n v="11.205834221684471"/>
    <n v="17.625834221684471"/>
    <x v="53"/>
    <s v="Philippe De Guio"/>
    <x v="3"/>
    <x v="9"/>
    <n v="1"/>
  </r>
  <r>
    <x v="102"/>
    <s v="Vivesco-Vives-taux .:. QUAL"/>
    <x v="0"/>
    <n v="2"/>
    <s v="Terraform + Ansible"/>
    <n v="4"/>
    <n v="0"/>
    <n v="0"/>
    <n v="0"/>
    <n v="0"/>
    <n v="1"/>
    <n v="1"/>
    <n v="1"/>
    <n v="4"/>
    <n v="0"/>
    <n v="0"/>
    <x v="24"/>
    <x v="16"/>
    <s v=""/>
    <n v="2.52"/>
    <n v="2.52"/>
    <n v="4.3985517505677372"/>
    <n v="6.9185517505677367"/>
    <x v="47"/>
    <s v="Pierre Maurupt"/>
    <x v="5"/>
    <x v="7"/>
    <n v="1"/>
  </r>
  <r>
    <x v="103"/>
    <s v="GFI-Oceanet Gestion VM .:. QUAL_RUN"/>
    <x v="0"/>
    <n v="2"/>
    <s v="Terraform + Ansible"/>
    <n v="4"/>
    <n v="0"/>
    <n v="0"/>
    <n v="0"/>
    <n v="0"/>
    <n v="1"/>
    <n v="0"/>
    <n v="0"/>
    <n v="4"/>
    <n v="0"/>
    <n v="0"/>
    <x v="1"/>
    <x v="1"/>
    <s v=""/>
    <n v="0.92"/>
    <n v="0"/>
    <n v="0"/>
    <n v="0"/>
    <x v="50"/>
    <s v="Jérôme JACOB"/>
    <x v="1"/>
    <x v="10"/>
    <n v="1"/>
  </r>
  <r>
    <x v="104"/>
    <s v="GFI-MARCO POLO .:. DEV_BUILD"/>
    <x v="0"/>
    <n v="2"/>
    <s v="Terraform + Ansible"/>
    <n v="4"/>
    <n v="0"/>
    <n v="0"/>
    <n v="0"/>
    <n v="0"/>
    <n v="1"/>
    <n v="1"/>
    <n v="2"/>
    <n v="14"/>
    <n v="0"/>
    <n v="0"/>
    <x v="28"/>
    <x v="1"/>
    <s v=""/>
    <n v="6.42"/>
    <n v="6.42"/>
    <n v="11.205834221684471"/>
    <n v="17.625834221684471"/>
    <x v="53"/>
    <s v="Philippe De Guio"/>
    <x v="3"/>
    <x v="9"/>
    <n v="1"/>
  </r>
  <r>
    <x v="105"/>
    <s v="Vivesco-Vives-taux .:. QUAL"/>
    <x v="0"/>
    <n v="2"/>
    <s v="Terraform + Ansible"/>
    <n v="4"/>
    <n v="0"/>
    <n v="0"/>
    <n v="0"/>
    <n v="0"/>
    <n v="1"/>
    <n v="1"/>
    <n v="1"/>
    <n v="8"/>
    <n v="0"/>
    <n v="0"/>
    <x v="24"/>
    <x v="16"/>
    <s v=""/>
    <n v="3.4400000000000004"/>
    <n v="3.4400000000000004"/>
    <n v="6.0043722309337362"/>
    <n v="9.4443722309337375"/>
    <x v="47"/>
    <s v="Pierre Maurupt"/>
    <x v="5"/>
    <x v="7"/>
    <n v="1"/>
  </r>
  <r>
    <x v="106"/>
    <s v="GFI-MARCO POLO .:. PROD"/>
    <x v="0"/>
    <n v="2"/>
    <s v="Terraform + Ansible"/>
    <n v="4"/>
    <n v="0"/>
    <n v="0"/>
    <n v="0"/>
    <n v="0"/>
    <n v="1"/>
    <n v="1"/>
    <n v="2"/>
    <n v="9"/>
    <n v="0"/>
    <n v="0"/>
    <x v="28"/>
    <x v="1"/>
    <s v=""/>
    <n v="5.2700000000000005"/>
    <n v="5.2700000000000005"/>
    <n v="9.1985586212269741"/>
    <n v="14.468558621226975"/>
    <x v="53"/>
    <s v="Philippe De Guio"/>
    <x v="3"/>
    <x v="0"/>
    <n v="1"/>
  </r>
  <r>
    <x v="107"/>
    <s v="LA POSTE-SIBP .:. QUAL_RUN"/>
    <x v="0"/>
    <n v="2"/>
    <s v="Terraform + Ansible"/>
    <n v="4"/>
    <n v="0"/>
    <n v="0"/>
    <n v="0"/>
    <n v="0"/>
    <n v="1"/>
    <n v="1"/>
    <n v="2"/>
    <n v="6"/>
    <n v="0"/>
    <n v="0"/>
    <x v="29"/>
    <x v="18"/>
    <s v=""/>
    <n v="4.58"/>
    <n v="4.58"/>
    <n v="7.994193260952474"/>
    <n v="12.574193260952473"/>
    <x v="54"/>
    <s v="Nicolas Legros"/>
    <x v="5"/>
    <x v="10"/>
    <n v="1"/>
  </r>
  <r>
    <x v="108"/>
    <s v="GFI-WE SPEC .:. QUAL"/>
    <x v="0"/>
    <n v="2"/>
    <s v="Terraform + Ansible"/>
    <n v="4"/>
    <n v="0"/>
    <n v="0"/>
    <n v="0"/>
    <n v="0"/>
    <n v="1"/>
    <n v="1"/>
    <n v="2"/>
    <n v="26"/>
    <n v="0"/>
    <n v="0"/>
    <x v="30"/>
    <x v="1"/>
    <s v=""/>
    <n v="9.18"/>
    <n v="9.18"/>
    <n v="16.02329566278247"/>
    <n v="25.20329566278247"/>
    <x v="55"/>
    <s v="Vincent MERIAU"/>
    <x v="3"/>
    <x v="7"/>
    <n v="1"/>
  </r>
  <r>
    <x v="109"/>
    <s v="EDI-MUT-EDI-MUT .:. PROD"/>
    <x v="0"/>
    <m/>
    <m/>
    <n v="0"/>
    <n v="0"/>
    <n v="0"/>
    <n v="0"/>
    <n v="0"/>
    <n v="0"/>
    <n v="0"/>
    <n v="0"/>
    <n v="0"/>
    <n v="0"/>
    <n v="0"/>
    <x v="0"/>
    <x v="0"/>
    <s v=""/>
    <n v="2"/>
    <n v="2"/>
    <n v="3.4909140877521723"/>
    <n v="5.4909140877521718"/>
    <x v="0"/>
    <s v="David LEMALHEUX"/>
    <x v="0"/>
    <x v="0"/>
    <n v="1"/>
  </r>
  <r>
    <x v="110"/>
    <s v="GFI-Oceanet Infra Réseau .:. SOCLE"/>
    <x v="0"/>
    <m/>
    <m/>
    <n v="0"/>
    <n v="0"/>
    <n v="0"/>
    <n v="0"/>
    <n v="0"/>
    <n v="0"/>
    <n v="0"/>
    <n v="0"/>
    <n v="0"/>
    <n v="0"/>
    <n v="0"/>
    <x v="1"/>
    <x v="1"/>
    <s v=""/>
    <n v="2"/>
    <n v="0"/>
    <n v="0"/>
    <n v="0"/>
    <x v="4"/>
    <s v="Jérôme JACOB"/>
    <x v="1"/>
    <x v="1"/>
    <n v="1"/>
  </r>
  <r>
    <x v="111"/>
    <s v="Fablab-Firmin .:. PROD"/>
    <x v="0"/>
    <m/>
    <m/>
    <n v="0"/>
    <n v="0"/>
    <n v="0"/>
    <n v="0"/>
    <n v="0"/>
    <n v="0"/>
    <n v="0"/>
    <n v="0"/>
    <n v="0"/>
    <n v="0"/>
    <n v="0"/>
    <x v="2"/>
    <x v="2"/>
    <s v=""/>
    <n v="2"/>
    <n v="2"/>
    <n v="3.4909140877521723"/>
    <n v="5.4909140877521718"/>
    <x v="2"/>
    <s v="Pierre-Yves Baloche"/>
    <x v="2"/>
    <x v="0"/>
    <n v="1"/>
  </r>
  <r>
    <x v="112"/>
    <s v="Fablab-Firmin .:. PREPROD"/>
    <x v="0"/>
    <m/>
    <m/>
    <n v="0"/>
    <n v="0"/>
    <n v="0"/>
    <n v="0"/>
    <n v="0"/>
    <n v="0"/>
    <n v="0"/>
    <n v="0"/>
    <n v="0"/>
    <n v="0"/>
    <n v="0"/>
    <x v="2"/>
    <x v="2"/>
    <s v=""/>
    <n v="2"/>
    <n v="2"/>
    <n v="3.4909140877521723"/>
    <n v="5.4909140877521718"/>
    <x v="2"/>
    <s v="Pierre-Yves Baloche"/>
    <x v="2"/>
    <x v="2"/>
    <n v="1"/>
  </r>
  <r>
    <x v="113"/>
    <s v="Fablab-Firmin .:. PROD"/>
    <x v="0"/>
    <m/>
    <m/>
    <n v="0"/>
    <n v="0"/>
    <n v="0"/>
    <n v="0"/>
    <n v="0"/>
    <n v="0"/>
    <n v="0"/>
    <n v="0"/>
    <n v="0"/>
    <n v="0"/>
    <n v="0"/>
    <x v="2"/>
    <x v="2"/>
    <s v=""/>
    <n v="2"/>
    <n v="2"/>
    <n v="3.4909140877521723"/>
    <n v="5.4909140877521718"/>
    <x v="2"/>
    <s v="Pierre-Yves Baloche"/>
    <x v="2"/>
    <x v="0"/>
    <n v="1"/>
  </r>
  <r>
    <x v="114"/>
    <s v="GFI-Oceanet Infra Réseau .:. SOCLE"/>
    <x v="0"/>
    <m/>
    <m/>
    <n v="0"/>
    <n v="0"/>
    <n v="0"/>
    <n v="0"/>
    <n v="0"/>
    <n v="0"/>
    <n v="0"/>
    <n v="0"/>
    <n v="0"/>
    <n v="0"/>
    <n v="0"/>
    <x v="1"/>
    <x v="1"/>
    <s v=""/>
    <n v="2"/>
    <n v="0"/>
    <n v="0"/>
    <n v="0"/>
    <x v="4"/>
    <s v="Jérôme JACOB"/>
    <x v="1"/>
    <x v="1"/>
    <n v="1"/>
  </r>
  <r>
    <x v="115"/>
    <s v="GFI-Oceanet Infra Réseau .:. SOCLE"/>
    <x v="0"/>
    <n v="2"/>
    <s v="Route 53"/>
    <n v="4"/>
    <n v="0"/>
    <n v="0"/>
    <n v="0"/>
    <n v="0"/>
    <n v="1"/>
    <n v="1"/>
    <n v="1"/>
    <n v="4"/>
    <n v="0"/>
    <n v="0"/>
    <x v="1"/>
    <x v="1"/>
    <s v=""/>
    <n v="2.52"/>
    <n v="0"/>
    <n v="0"/>
    <n v="0"/>
    <x v="4"/>
    <s v="Jérôme JACOB"/>
    <x v="1"/>
    <x v="1"/>
    <n v="1"/>
  </r>
  <r>
    <x v="116"/>
    <s v="GFI-Oceanet Infra Réseau .:. SOCLE"/>
    <x v="0"/>
    <n v="0"/>
    <s v="Route 53"/>
    <n v="4"/>
    <n v="0"/>
    <n v="0"/>
    <n v="0"/>
    <n v="0"/>
    <n v="1"/>
    <n v="1"/>
    <n v="1"/>
    <n v="4"/>
    <n v="0"/>
    <n v="0"/>
    <x v="1"/>
    <x v="1"/>
    <s v=""/>
    <n v="2.52"/>
    <n v="0"/>
    <n v="0"/>
    <n v="0"/>
    <x v="4"/>
    <s v="Jérôme JACOB"/>
    <x v="1"/>
    <x v="1"/>
    <n v="1"/>
  </r>
  <r>
    <x v="117"/>
    <s v="GFI-GitLab Orléans .:. PROD"/>
    <x v="0"/>
    <n v="2"/>
    <s v="Terraform + Ansible"/>
    <n v="4"/>
    <n v="0"/>
    <n v="0"/>
    <n v="0"/>
    <n v="0"/>
    <n v="1"/>
    <n v="1"/>
    <n v="4"/>
    <n v="28"/>
    <n v="0"/>
    <n v="0"/>
    <x v="31"/>
    <x v="1"/>
    <s v=""/>
    <n v="12.84"/>
    <n v="12.84"/>
    <n v="22.411668443368942"/>
    <n v="35.251668443368942"/>
    <x v="56"/>
    <s v="Christophe ORLANDO"/>
    <x v="4"/>
    <x v="0"/>
    <n v="1"/>
  </r>
  <r>
    <x v="118"/>
    <s v="MEAE-Visa .:. SOCLE"/>
    <x v="24"/>
    <n v="0"/>
    <s v="Pas de migration"/>
    <n v="4"/>
    <n v="0"/>
    <n v="0"/>
    <n v="0"/>
    <n v="0"/>
    <n v="1"/>
    <n v="1"/>
    <n v="8"/>
    <n v="48"/>
    <n v="0"/>
    <n v="0"/>
    <x v="19"/>
    <x v="13"/>
    <s v=""/>
    <n v="23.840000000000003"/>
    <n v="23.840000000000003"/>
    <n v="41.611695926005901"/>
    <n v="65.451695926005897"/>
    <x v="40"/>
    <s v="Axel Benoist-Gironiere"/>
    <x v="3"/>
    <x v="1"/>
    <n v="1"/>
  </r>
  <r>
    <x v="119"/>
    <s v="MEAE-Visa .:. SOCLE"/>
    <x v="25"/>
    <n v="0"/>
    <s v="Pas de migration"/>
    <n v="4"/>
    <n v="0"/>
    <n v="0"/>
    <n v="0"/>
    <n v="0"/>
    <n v="1"/>
    <n v="1"/>
    <n v="1"/>
    <n v="14"/>
    <n v="0"/>
    <n v="0"/>
    <x v="19"/>
    <x v="13"/>
    <s v=""/>
    <n v="4.82"/>
    <n v="4.82"/>
    <n v="8.4131029514827347"/>
    <n v="13.233102951482735"/>
    <x v="40"/>
    <s v="Axel Benoist-Gironiere"/>
    <x v="3"/>
    <x v="1"/>
    <n v="1"/>
  </r>
  <r>
    <x v="120"/>
    <s v="Fablab-Firmin .:. SOCLE"/>
    <x v="0"/>
    <m/>
    <m/>
    <n v="4"/>
    <n v="0"/>
    <n v="0"/>
    <n v="0"/>
    <n v="0"/>
    <n v="1"/>
    <n v="1"/>
    <n v="4"/>
    <n v="20"/>
    <n v="0"/>
    <n v="0"/>
    <x v="2"/>
    <x v="2"/>
    <s v=""/>
    <n v="11"/>
    <n v="11"/>
    <n v="19.200027482636948"/>
    <n v="30.200027482636948"/>
    <x v="2"/>
    <s v="Pierre-Yves Baloche"/>
    <x v="2"/>
    <x v="1"/>
    <n v="1"/>
  </r>
  <r>
    <x v="121"/>
    <s v="Fablab-Firmin .:. SOCLE"/>
    <x v="0"/>
    <m/>
    <m/>
    <n v="4"/>
    <n v="0"/>
    <n v="0"/>
    <n v="0"/>
    <n v="0"/>
    <n v="1"/>
    <n v="1"/>
    <n v="4"/>
    <n v="107"/>
    <n v="0"/>
    <n v="0"/>
    <x v="2"/>
    <x v="2"/>
    <s v=""/>
    <n v="31.009999999999998"/>
    <n v="31.009999999999998"/>
    <n v="54.126622930597428"/>
    <n v="85.136622930597426"/>
    <x v="2"/>
    <s v="Pierre-Yves Baloche"/>
    <x v="2"/>
    <x v="1"/>
    <n v="1"/>
  </r>
  <r>
    <x v="122"/>
    <s v="Fablab-Firmin .:. SOCLE"/>
    <x v="0"/>
    <m/>
    <m/>
    <n v="4"/>
    <n v="0"/>
    <n v="0"/>
    <n v="0"/>
    <n v="0"/>
    <n v="1"/>
    <n v="1"/>
    <n v="4"/>
    <n v="12"/>
    <n v="0"/>
    <n v="0"/>
    <x v="2"/>
    <x v="2"/>
    <s v=""/>
    <n v="9.16"/>
    <n v="9.16"/>
    <n v="15.988386521904948"/>
    <n v="25.148386521904946"/>
    <x v="2"/>
    <s v="Pierre-Yves Baloche"/>
    <x v="2"/>
    <x v="1"/>
    <n v="1"/>
  </r>
  <r>
    <x v="123"/>
    <s v="Fablab-Firmin .:. SOCLE"/>
    <x v="0"/>
    <m/>
    <m/>
    <n v="4"/>
    <n v="0"/>
    <n v="0"/>
    <n v="0"/>
    <n v="0"/>
    <n v="1"/>
    <n v="1"/>
    <n v="4"/>
    <n v="12"/>
    <n v="0"/>
    <n v="0"/>
    <x v="2"/>
    <x v="2"/>
    <s v=""/>
    <n v="9.16"/>
    <n v="9.16"/>
    <n v="15.988386521904948"/>
    <n v="25.148386521904946"/>
    <x v="2"/>
    <s v="Pierre-Yves Baloche"/>
    <x v="2"/>
    <x v="1"/>
    <n v="1"/>
  </r>
  <r>
    <x v="124"/>
    <s v="Fablab-Firmin .:. PREPROD"/>
    <x v="0"/>
    <m/>
    <m/>
    <n v="4"/>
    <n v="0"/>
    <n v="0"/>
    <n v="0"/>
    <n v="0"/>
    <n v="1"/>
    <n v="1"/>
    <n v="4"/>
    <n v="16"/>
    <n v="0"/>
    <n v="0"/>
    <x v="2"/>
    <x v="2"/>
    <s v=""/>
    <n v="10.08"/>
    <n v="10.08"/>
    <n v="17.594207002270949"/>
    <n v="27.674207002270947"/>
    <x v="2"/>
    <s v="Pierre-Yves Baloche"/>
    <x v="2"/>
    <x v="2"/>
    <n v="1"/>
  </r>
  <r>
    <x v="125"/>
    <s v="Fablab-Firmin .:. PREPROD"/>
    <x v="0"/>
    <m/>
    <m/>
    <n v="4"/>
    <n v="0"/>
    <n v="0"/>
    <n v="0"/>
    <n v="0"/>
    <n v="1"/>
    <n v="1"/>
    <n v="4"/>
    <n v="21"/>
    <n v="0"/>
    <n v="0"/>
    <x v="2"/>
    <x v="2"/>
    <s v=""/>
    <n v="11.23"/>
    <n v="11.23"/>
    <n v="19.601482602728449"/>
    <n v="30.83148260272845"/>
    <x v="2"/>
    <s v="Pierre-Yves Baloche"/>
    <x v="2"/>
    <x v="2"/>
    <n v="1"/>
  </r>
  <r>
    <x v="126"/>
    <s v="Fablab-Firmin .:. PROD"/>
    <x v="0"/>
    <m/>
    <m/>
    <n v="4"/>
    <n v="0"/>
    <n v="0"/>
    <n v="0"/>
    <n v="0"/>
    <n v="1"/>
    <n v="1"/>
    <n v="4"/>
    <n v="16"/>
    <n v="0"/>
    <n v="0"/>
    <x v="2"/>
    <x v="2"/>
    <s v=""/>
    <n v="10.08"/>
    <n v="10.08"/>
    <n v="17.594207002270949"/>
    <n v="27.674207002270947"/>
    <x v="2"/>
    <s v="Pierre-Yves Baloche"/>
    <x v="2"/>
    <x v="0"/>
    <n v="1"/>
  </r>
  <r>
    <x v="127"/>
    <s v="Fablab-Firmin .:. PROD"/>
    <x v="0"/>
    <m/>
    <m/>
    <n v="4"/>
    <n v="0"/>
    <n v="0"/>
    <n v="0"/>
    <n v="0"/>
    <n v="1"/>
    <n v="1"/>
    <n v="4"/>
    <n v="16"/>
    <n v="0"/>
    <n v="0"/>
    <x v="2"/>
    <x v="2"/>
    <s v=""/>
    <n v="10.08"/>
    <n v="10.08"/>
    <n v="17.594207002270949"/>
    <n v="27.674207002270947"/>
    <x v="2"/>
    <s v="Pierre-Yves Baloche"/>
    <x v="2"/>
    <x v="0"/>
    <n v="1"/>
  </r>
  <r>
    <x v="128"/>
    <s v="Fablab-Firmin .:. PROD"/>
    <x v="0"/>
    <m/>
    <m/>
    <n v="4"/>
    <n v="0"/>
    <n v="0"/>
    <n v="0"/>
    <n v="0"/>
    <n v="1"/>
    <n v="0"/>
    <n v="0"/>
    <n v="16"/>
    <n v="0"/>
    <n v="0"/>
    <x v="2"/>
    <x v="2"/>
    <s v=""/>
    <n v="3.68"/>
    <n v="3.68"/>
    <n v="6.4232819214639969"/>
    <n v="10.103281921463998"/>
    <x v="2"/>
    <s v="Pierre-Yves Baloche"/>
    <x v="2"/>
    <x v="0"/>
    <n v="1"/>
  </r>
  <r>
    <x v="129"/>
    <s v="Fablab-Firmin .:. PREPROD"/>
    <x v="0"/>
    <m/>
    <m/>
    <n v="4"/>
    <n v="0"/>
    <n v="0"/>
    <n v="0"/>
    <n v="0"/>
    <n v="1"/>
    <n v="1"/>
    <n v="4"/>
    <n v="16"/>
    <n v="0"/>
    <n v="0"/>
    <x v="2"/>
    <x v="2"/>
    <s v=""/>
    <n v="10.08"/>
    <n v="10.08"/>
    <n v="17.594207002270949"/>
    <n v="27.674207002270947"/>
    <x v="2"/>
    <s v="Pierre-Yves Baloche"/>
    <x v="2"/>
    <x v="2"/>
    <n v="1"/>
  </r>
  <r>
    <x v="130"/>
    <s v="Fablab-Firmin .:. PROD"/>
    <x v="0"/>
    <m/>
    <m/>
    <n v="4"/>
    <n v="0"/>
    <n v="0"/>
    <n v="0"/>
    <n v="0"/>
    <n v="1"/>
    <n v="1"/>
    <n v="4"/>
    <n v="16"/>
    <n v="0"/>
    <n v="0"/>
    <x v="2"/>
    <x v="2"/>
    <s v=""/>
    <n v="10.08"/>
    <n v="10.08"/>
    <n v="17.594207002270949"/>
    <n v="27.674207002270947"/>
    <x v="2"/>
    <s v="Pierre-Yves Baloche"/>
    <x v="2"/>
    <x v="0"/>
    <n v="1"/>
  </r>
  <r>
    <x v="131"/>
    <s v="Fablab-Firmin .:. PREPROD"/>
    <x v="0"/>
    <m/>
    <m/>
    <n v="4"/>
    <n v="0"/>
    <n v="0"/>
    <n v="0"/>
    <n v="0"/>
    <n v="1"/>
    <n v="1"/>
    <n v="4"/>
    <n v="21"/>
    <n v="0"/>
    <n v="0"/>
    <x v="2"/>
    <x v="2"/>
    <s v=""/>
    <n v="11.23"/>
    <n v="11.23"/>
    <n v="19.601482602728449"/>
    <n v="30.83148260272845"/>
    <x v="2"/>
    <s v="Pierre-Yves Baloche"/>
    <x v="2"/>
    <x v="2"/>
    <n v="1"/>
  </r>
  <r>
    <x v="132"/>
    <s v="Fablab-Firmin .:. PREPROD"/>
    <x v="0"/>
    <m/>
    <m/>
    <n v="4"/>
    <n v="0"/>
    <n v="0"/>
    <n v="0"/>
    <n v="0"/>
    <n v="1"/>
    <n v="1"/>
    <n v="4"/>
    <n v="16"/>
    <n v="0"/>
    <n v="0"/>
    <x v="2"/>
    <x v="2"/>
    <s v=""/>
    <n v="10.08"/>
    <n v="10.08"/>
    <n v="17.594207002270949"/>
    <n v="27.674207002270947"/>
    <x v="2"/>
    <s v="Pierre-Yves Baloche"/>
    <x v="2"/>
    <x v="2"/>
    <n v="1"/>
  </r>
  <r>
    <x v="133"/>
    <s v="Fablab-Firmin .:. PREPROD"/>
    <x v="0"/>
    <m/>
    <m/>
    <n v="4"/>
    <n v="0"/>
    <n v="0"/>
    <n v="0"/>
    <n v="0"/>
    <n v="1"/>
    <n v="1"/>
    <n v="4"/>
    <n v="21"/>
    <n v="0"/>
    <n v="0"/>
    <x v="2"/>
    <x v="2"/>
    <s v=""/>
    <n v="11.23"/>
    <n v="11.23"/>
    <n v="19.601482602728449"/>
    <n v="30.83148260272845"/>
    <x v="2"/>
    <s v="Pierre-Yves Baloche"/>
    <x v="2"/>
    <x v="2"/>
    <n v="1"/>
  </r>
  <r>
    <x v="134"/>
    <s v="Fablab-Firmin .:. PREPROD"/>
    <x v="0"/>
    <m/>
    <m/>
    <n v="4"/>
    <n v="0"/>
    <n v="0"/>
    <n v="0"/>
    <n v="0"/>
    <n v="1"/>
    <n v="1"/>
    <n v="4"/>
    <n v="16"/>
    <n v="0"/>
    <n v="0"/>
    <x v="2"/>
    <x v="2"/>
    <s v=""/>
    <n v="10.08"/>
    <n v="10.08"/>
    <n v="17.594207002270949"/>
    <n v="27.674207002270947"/>
    <x v="2"/>
    <s v="Pierre-Yves Baloche"/>
    <x v="2"/>
    <x v="2"/>
    <n v="1"/>
  </r>
  <r>
    <x v="135"/>
    <s v="Fablab-Firmin .:. PREPROD"/>
    <x v="0"/>
    <m/>
    <m/>
    <n v="4"/>
    <n v="0"/>
    <n v="0"/>
    <n v="0"/>
    <n v="0"/>
    <n v="1"/>
    <n v="1"/>
    <n v="4"/>
    <n v="21"/>
    <n v="0"/>
    <n v="0"/>
    <x v="2"/>
    <x v="2"/>
    <s v=""/>
    <n v="11.23"/>
    <n v="11.23"/>
    <n v="19.601482602728449"/>
    <n v="30.83148260272845"/>
    <x v="2"/>
    <s v="Pierre-Yves Baloche"/>
    <x v="2"/>
    <x v="2"/>
    <n v="1"/>
  </r>
  <r>
    <x v="136"/>
    <s v="Fablab-Firmin .:. PREPROD"/>
    <x v="0"/>
    <m/>
    <m/>
    <n v="4"/>
    <n v="0"/>
    <n v="0"/>
    <n v="0"/>
    <n v="0"/>
    <n v="1"/>
    <n v="1"/>
    <n v="4"/>
    <n v="21"/>
    <n v="0"/>
    <n v="0"/>
    <x v="2"/>
    <x v="2"/>
    <s v=""/>
    <n v="11.23"/>
    <n v="11.23"/>
    <n v="19.601482602728449"/>
    <n v="30.83148260272845"/>
    <x v="2"/>
    <s v="Pierre-Yves Baloche"/>
    <x v="2"/>
    <x v="2"/>
    <n v="1"/>
  </r>
  <r>
    <x v="137"/>
    <s v="Fablab-Firmin .:. PREPROD"/>
    <x v="0"/>
    <m/>
    <m/>
    <n v="4"/>
    <n v="0"/>
    <n v="0"/>
    <n v="0"/>
    <n v="0"/>
    <n v="1"/>
    <n v="1"/>
    <n v="4"/>
    <n v="16"/>
    <n v="0"/>
    <n v="0"/>
    <x v="2"/>
    <x v="2"/>
    <s v=""/>
    <n v="10.08"/>
    <n v="10.08"/>
    <n v="17.594207002270949"/>
    <n v="27.674207002270947"/>
    <x v="2"/>
    <s v="Pierre-Yves Baloche"/>
    <x v="2"/>
    <x v="2"/>
    <n v="1"/>
  </r>
  <r>
    <x v="138"/>
    <s v="Fablab-Firmin .:. PREPROD"/>
    <x v="0"/>
    <m/>
    <m/>
    <n v="4"/>
    <n v="0"/>
    <n v="0"/>
    <n v="0"/>
    <n v="0"/>
    <n v="1"/>
    <n v="1"/>
    <n v="4"/>
    <n v="21"/>
    <n v="0"/>
    <n v="0"/>
    <x v="2"/>
    <x v="2"/>
    <s v=""/>
    <n v="11.23"/>
    <n v="11.23"/>
    <n v="19.601482602728449"/>
    <n v="30.83148260272845"/>
    <x v="2"/>
    <s v="Pierre-Yves Baloche"/>
    <x v="2"/>
    <x v="2"/>
    <n v="1"/>
  </r>
  <r>
    <x v="139"/>
    <s v="Fablab-Firmin .:. PREPROD"/>
    <x v="0"/>
    <m/>
    <m/>
    <n v="4"/>
    <n v="0"/>
    <n v="0"/>
    <n v="0"/>
    <n v="0"/>
    <n v="1"/>
    <n v="1"/>
    <n v="4"/>
    <n v="21"/>
    <n v="0"/>
    <n v="0"/>
    <x v="2"/>
    <x v="2"/>
    <s v=""/>
    <n v="11.23"/>
    <n v="11.23"/>
    <n v="19.601482602728449"/>
    <n v="30.83148260272845"/>
    <x v="2"/>
    <s v="Pierre-Yves Baloche"/>
    <x v="2"/>
    <x v="2"/>
    <n v="1"/>
  </r>
  <r>
    <x v="140"/>
    <s v="Fablab-Firmin .:. PREPROD"/>
    <x v="0"/>
    <m/>
    <m/>
    <n v="4"/>
    <n v="0"/>
    <n v="0"/>
    <n v="0"/>
    <n v="0"/>
    <n v="1"/>
    <n v="1"/>
    <n v="4"/>
    <n v="21"/>
    <n v="0"/>
    <n v="0"/>
    <x v="2"/>
    <x v="2"/>
    <s v=""/>
    <n v="11.23"/>
    <n v="11.23"/>
    <n v="19.601482602728449"/>
    <n v="30.83148260272845"/>
    <x v="2"/>
    <s v="Pierre-Yves Baloche"/>
    <x v="2"/>
    <x v="2"/>
    <n v="1"/>
  </r>
  <r>
    <x v="141"/>
    <s v="Fablab-Firmin .:. PREPROD"/>
    <x v="0"/>
    <m/>
    <m/>
    <n v="4"/>
    <n v="0"/>
    <n v="0"/>
    <n v="0"/>
    <n v="0"/>
    <n v="1"/>
    <n v="1"/>
    <n v="4"/>
    <n v="21"/>
    <n v="0"/>
    <n v="0"/>
    <x v="2"/>
    <x v="2"/>
    <s v=""/>
    <n v="11.23"/>
    <n v="11.23"/>
    <n v="19.601482602728449"/>
    <n v="30.83148260272845"/>
    <x v="2"/>
    <s v="Pierre-Yves Baloche"/>
    <x v="2"/>
    <x v="2"/>
    <n v="1"/>
  </r>
  <r>
    <x v="142"/>
    <s v="Fablab-Firmin .:. PREPROD"/>
    <x v="0"/>
    <m/>
    <m/>
    <n v="4"/>
    <n v="0"/>
    <n v="0"/>
    <n v="0"/>
    <n v="0"/>
    <n v="1"/>
    <n v="1"/>
    <n v="4"/>
    <n v="21"/>
    <n v="0"/>
    <n v="0"/>
    <x v="2"/>
    <x v="2"/>
    <s v=""/>
    <n v="11.23"/>
    <n v="11.23"/>
    <n v="19.601482602728449"/>
    <n v="30.83148260272845"/>
    <x v="2"/>
    <s v="Pierre-Yves Baloche"/>
    <x v="2"/>
    <x v="2"/>
    <n v="1"/>
  </r>
  <r>
    <x v="143"/>
    <s v="Fablab-Firmin .:. PROD"/>
    <x v="0"/>
    <m/>
    <m/>
    <n v="4"/>
    <n v="0"/>
    <n v="0"/>
    <n v="0"/>
    <n v="0"/>
    <n v="1"/>
    <n v="1"/>
    <n v="4"/>
    <n v="21"/>
    <n v="0"/>
    <n v="0"/>
    <x v="2"/>
    <x v="2"/>
    <s v=""/>
    <n v="11.23"/>
    <n v="11.23"/>
    <n v="19.601482602728449"/>
    <n v="30.83148260272845"/>
    <x v="2"/>
    <s v="Pierre-Yves Baloche"/>
    <x v="2"/>
    <x v="0"/>
    <n v="1"/>
  </r>
  <r>
    <x v="144"/>
    <s v="Fablab-Firmin .:. PREPROD"/>
    <x v="0"/>
    <m/>
    <m/>
    <n v="4"/>
    <n v="0"/>
    <n v="0"/>
    <n v="0"/>
    <n v="0"/>
    <n v="1"/>
    <n v="1"/>
    <n v="4"/>
    <n v="21"/>
    <n v="0"/>
    <n v="0"/>
    <x v="2"/>
    <x v="2"/>
    <s v=""/>
    <n v="11.23"/>
    <n v="11.23"/>
    <n v="19.601482602728449"/>
    <n v="30.83148260272845"/>
    <x v="2"/>
    <s v="Pierre-Yves Baloche"/>
    <x v="2"/>
    <x v="2"/>
    <n v="1"/>
  </r>
  <r>
    <x v="145"/>
    <s v="Fablab-Firmin .:. PREPROD"/>
    <x v="0"/>
    <m/>
    <m/>
    <n v="4"/>
    <n v="0"/>
    <n v="0"/>
    <n v="0"/>
    <n v="0"/>
    <n v="1"/>
    <n v="1"/>
    <n v="4"/>
    <n v="21"/>
    <n v="0"/>
    <n v="0"/>
    <x v="2"/>
    <x v="2"/>
    <s v=""/>
    <n v="11.23"/>
    <n v="11.23"/>
    <n v="19.601482602728449"/>
    <n v="30.83148260272845"/>
    <x v="2"/>
    <s v="Pierre-Yves Baloche"/>
    <x v="2"/>
    <x v="2"/>
    <n v="1"/>
  </r>
  <r>
    <x v="146"/>
    <s v="Fablab-Firmin .:. PREPROD"/>
    <x v="0"/>
    <m/>
    <m/>
    <n v="4"/>
    <n v="0"/>
    <n v="0"/>
    <n v="0"/>
    <n v="0"/>
    <n v="1"/>
    <n v="1"/>
    <n v="4"/>
    <n v="21"/>
    <n v="0"/>
    <n v="0"/>
    <x v="2"/>
    <x v="2"/>
    <s v=""/>
    <n v="11.23"/>
    <n v="11.23"/>
    <n v="19.601482602728449"/>
    <n v="30.83148260272845"/>
    <x v="2"/>
    <s v="Pierre-Yves Baloche"/>
    <x v="2"/>
    <x v="2"/>
    <n v="1"/>
  </r>
  <r>
    <x v="147"/>
    <s v="Fablab-Firmin .:. PROD"/>
    <x v="0"/>
    <m/>
    <m/>
    <n v="4"/>
    <n v="0"/>
    <n v="0"/>
    <n v="0"/>
    <n v="0"/>
    <n v="1"/>
    <n v="1"/>
    <n v="4"/>
    <n v="21"/>
    <n v="0"/>
    <n v="0"/>
    <x v="2"/>
    <x v="2"/>
    <s v=""/>
    <n v="11.23"/>
    <n v="11.23"/>
    <n v="19.601482602728449"/>
    <n v="30.83148260272845"/>
    <x v="2"/>
    <s v="Pierre-Yves Baloche"/>
    <x v="2"/>
    <x v="0"/>
    <n v="1"/>
  </r>
  <r>
    <x v="148"/>
    <s v="Fablab-Firmin .:. PREPROD"/>
    <x v="0"/>
    <m/>
    <m/>
    <n v="4"/>
    <n v="0"/>
    <n v="0"/>
    <n v="0"/>
    <n v="0"/>
    <n v="1"/>
    <n v="1"/>
    <n v="4"/>
    <n v="21"/>
    <n v="0"/>
    <n v="0"/>
    <x v="2"/>
    <x v="2"/>
    <s v=""/>
    <n v="11.23"/>
    <n v="11.23"/>
    <n v="19.601482602728449"/>
    <n v="30.83148260272845"/>
    <x v="2"/>
    <s v="Pierre-Yves Baloche"/>
    <x v="2"/>
    <x v="2"/>
    <n v="1"/>
  </r>
  <r>
    <x v="149"/>
    <s v="Fablab-Firmin .:. PREPROD"/>
    <x v="0"/>
    <m/>
    <m/>
    <n v="4"/>
    <n v="0"/>
    <n v="0"/>
    <n v="0"/>
    <n v="0"/>
    <n v="1"/>
    <n v="1"/>
    <n v="4"/>
    <n v="21"/>
    <n v="0"/>
    <n v="0"/>
    <x v="2"/>
    <x v="2"/>
    <s v=""/>
    <n v="11.23"/>
    <n v="11.23"/>
    <n v="19.601482602728449"/>
    <n v="30.83148260272845"/>
    <x v="2"/>
    <s v="Pierre-Yves Baloche"/>
    <x v="2"/>
    <x v="2"/>
    <n v="1"/>
  </r>
  <r>
    <x v="150"/>
    <s v="Fablab-Firmin .:. PROD"/>
    <x v="0"/>
    <m/>
    <m/>
    <n v="4"/>
    <n v="0"/>
    <n v="0"/>
    <n v="0"/>
    <n v="0"/>
    <n v="1"/>
    <n v="1"/>
    <n v="4"/>
    <n v="21"/>
    <n v="0"/>
    <n v="0"/>
    <x v="2"/>
    <x v="2"/>
    <s v=""/>
    <n v="11.23"/>
    <n v="11.23"/>
    <n v="19.601482602728449"/>
    <n v="30.83148260272845"/>
    <x v="2"/>
    <s v="Pierre-Yves Baloche"/>
    <x v="2"/>
    <x v="0"/>
    <n v="1"/>
  </r>
  <r>
    <x v="151"/>
    <s v="EDI-MUT-EDI-MUT .:. PROD"/>
    <x v="0"/>
    <n v="0"/>
    <s v="Pas de migration"/>
    <n v="4"/>
    <n v="4"/>
    <n v="1"/>
    <n v="0"/>
    <n v="0"/>
    <n v="1"/>
    <n v="1"/>
    <n v="4"/>
    <n v="200"/>
    <n v="1"/>
    <n v="321.41000000000003"/>
    <x v="0"/>
    <x v="0"/>
    <s v=""/>
    <n v="52.4"/>
    <n v="52.4"/>
    <n v="91.461949099106903"/>
    <n v="143.86194909910691"/>
    <x v="0"/>
    <s v="David LEMALHEUX"/>
    <x v="0"/>
    <x v="0"/>
    <n v="1"/>
  </r>
  <r>
    <x v="152"/>
    <s v="EDI-MUT-EDI-MUT .:. PROD"/>
    <x v="0"/>
    <n v="0"/>
    <s v="Pas de migration"/>
    <n v="4"/>
    <n v="0"/>
    <n v="0"/>
    <n v="0"/>
    <n v="0"/>
    <n v="1"/>
    <n v="1"/>
    <n v="4"/>
    <n v="55"/>
    <n v="1"/>
    <n v="0"/>
    <x v="0"/>
    <x v="0"/>
    <s v=""/>
    <n v="19.05"/>
    <n v="19.05"/>
    <n v="33.250956685839441"/>
    <n v="52.300956685839438"/>
    <x v="0"/>
    <s v="David LEMALHEUX"/>
    <x v="0"/>
    <x v="0"/>
    <n v="1"/>
  </r>
  <r>
    <x v="153"/>
    <s v="Fablab-Firmin .:. SOCLE"/>
    <x v="0"/>
    <m/>
    <m/>
    <n v="4"/>
    <n v="0"/>
    <n v="0"/>
    <n v="0"/>
    <n v="0"/>
    <n v="1"/>
    <n v="1"/>
    <n v="2"/>
    <n v="10"/>
    <n v="0"/>
    <n v="0"/>
    <x v="2"/>
    <x v="2"/>
    <s v=""/>
    <n v="5.5"/>
    <n v="5.5"/>
    <n v="9.6000137413184738"/>
    <n v="15.100013741318474"/>
    <x v="2"/>
    <s v="Pierre-Yves Baloche"/>
    <x v="2"/>
    <x v="1"/>
    <n v="1"/>
  </r>
  <r>
    <x v="154"/>
    <s v="EDI-MUT-EDI-MUT .:. PROD"/>
    <x v="0"/>
    <n v="0"/>
    <s v="Pas de migration"/>
    <n v="4"/>
    <n v="0"/>
    <n v="0"/>
    <n v="0"/>
    <n v="0"/>
    <n v="1"/>
    <n v="1"/>
    <n v="1"/>
    <n v="4"/>
    <n v="0"/>
    <n v="0"/>
    <x v="0"/>
    <x v="0"/>
    <s v=""/>
    <n v="2.52"/>
    <n v="2.52"/>
    <n v="4.3985517505677372"/>
    <n v="6.9185517505677367"/>
    <x v="0"/>
    <s v="David LEMALHEUX"/>
    <x v="0"/>
    <x v="0"/>
    <n v="1"/>
  </r>
  <r>
    <x v="155"/>
    <s v="Fablab-Firmin .:. PREPROD"/>
    <x v="0"/>
    <m/>
    <m/>
    <n v="4"/>
    <n v="0"/>
    <n v="0"/>
    <n v="0"/>
    <n v="0"/>
    <n v="1"/>
    <n v="1"/>
    <n v="1"/>
    <n v="4"/>
    <n v="0"/>
    <n v="0"/>
    <x v="2"/>
    <x v="2"/>
    <s v=""/>
    <n v="2.52"/>
    <n v="2.52"/>
    <n v="4.3985517505677372"/>
    <n v="6.9185517505677367"/>
    <x v="2"/>
    <s v="Pierre-Yves Baloche"/>
    <x v="2"/>
    <x v="2"/>
    <n v="1"/>
  </r>
  <r>
    <x v="156"/>
    <s v="Fablab-Firmin .:. SOCLE"/>
    <x v="0"/>
    <m/>
    <m/>
    <n v="4"/>
    <n v="0"/>
    <n v="0"/>
    <n v="0"/>
    <n v="0"/>
    <n v="1"/>
    <n v="1"/>
    <n v="1"/>
    <n v="4"/>
    <n v="0"/>
    <n v="0"/>
    <x v="2"/>
    <x v="2"/>
    <s v=""/>
    <n v="2.52"/>
    <n v="2.52"/>
    <n v="4.3985517505677372"/>
    <n v="6.9185517505677367"/>
    <x v="2"/>
    <s v="Pierre-Yves Baloche"/>
    <x v="2"/>
    <x v="1"/>
    <n v="1"/>
  </r>
  <r>
    <x v="157"/>
    <s v="Fablab-Firmin .:. SOCLE"/>
    <x v="0"/>
    <m/>
    <m/>
    <n v="4"/>
    <n v="0"/>
    <n v="0"/>
    <n v="0"/>
    <n v="0"/>
    <n v="1"/>
    <n v="1"/>
    <n v="1"/>
    <n v="4"/>
    <n v="0"/>
    <n v="0"/>
    <x v="2"/>
    <x v="2"/>
    <s v=""/>
    <n v="2.52"/>
    <n v="2.52"/>
    <n v="4.3985517505677372"/>
    <n v="6.9185517505677367"/>
    <x v="2"/>
    <s v="Pierre-Yves Baloche"/>
    <x v="2"/>
    <x v="1"/>
    <n v="1"/>
  </r>
  <r>
    <x v="158"/>
    <s v="Fablab-Firmin .:. PROD"/>
    <x v="0"/>
    <m/>
    <m/>
    <n v="4"/>
    <n v="0"/>
    <n v="0"/>
    <n v="0"/>
    <n v="0"/>
    <n v="1"/>
    <n v="1"/>
    <n v="4"/>
    <n v="4"/>
    <n v="0"/>
    <n v="0"/>
    <x v="2"/>
    <x v="2"/>
    <s v=""/>
    <n v="7.32"/>
    <n v="7.32"/>
    <n v="12.776745561172952"/>
    <n v="20.096745561172952"/>
    <x v="2"/>
    <s v="Pierre-Yves Baloche"/>
    <x v="2"/>
    <x v="0"/>
    <n v="1"/>
  </r>
  <r>
    <x v="159"/>
    <s v="Fablab-Firmin .:. PROD"/>
    <x v="0"/>
    <m/>
    <m/>
    <n v="4"/>
    <n v="0"/>
    <n v="0"/>
    <n v="0"/>
    <n v="0"/>
    <n v="1"/>
    <n v="1"/>
    <n v="4"/>
    <n v="8"/>
    <n v="0"/>
    <n v="0"/>
    <x v="2"/>
    <x v="2"/>
    <s v=""/>
    <n v="8.24"/>
    <n v="8.24"/>
    <n v="14.382566041538949"/>
    <n v="22.622566041538949"/>
    <x v="2"/>
    <s v="Pierre-Yves Baloche"/>
    <x v="2"/>
    <x v="0"/>
    <n v="1"/>
  </r>
  <r>
    <x v="160"/>
    <s v="Fablab-Firmin .:. PREPROD"/>
    <x v="0"/>
    <m/>
    <m/>
    <n v="4"/>
    <n v="0"/>
    <n v="0"/>
    <n v="0"/>
    <n v="0"/>
    <n v="1"/>
    <n v="0"/>
    <n v="0"/>
    <n v="8"/>
    <n v="0"/>
    <n v="0"/>
    <x v="2"/>
    <x v="2"/>
    <s v=""/>
    <n v="1.84"/>
    <n v="1.84"/>
    <n v="3.2116409607319985"/>
    <n v="5.0516409607319988"/>
    <x v="2"/>
    <s v="Pierre-Yves Baloche"/>
    <x v="2"/>
    <x v="2"/>
    <n v="1"/>
  </r>
  <r>
    <x v="161"/>
    <s v="Fablab-Firmin .:. PREPROD"/>
    <x v="0"/>
    <m/>
    <m/>
    <n v="4"/>
    <n v="0"/>
    <n v="0"/>
    <n v="0"/>
    <n v="0"/>
    <n v="1"/>
    <n v="1"/>
    <n v="4"/>
    <n v="8"/>
    <n v="0"/>
    <n v="0"/>
    <x v="2"/>
    <x v="2"/>
    <s v=""/>
    <n v="8.24"/>
    <n v="8.24"/>
    <n v="14.382566041538949"/>
    <n v="22.622566041538949"/>
    <x v="2"/>
    <s v="Pierre-Yves Baloche"/>
    <x v="2"/>
    <x v="2"/>
    <n v="1"/>
  </r>
  <r>
    <x v="162"/>
    <s v="Fablab-Firmin .:. SOCLE"/>
    <x v="0"/>
    <m/>
    <m/>
    <n v="4"/>
    <n v="0"/>
    <n v="0"/>
    <n v="0"/>
    <n v="0"/>
    <n v="1"/>
    <n v="1"/>
    <n v="1"/>
    <n v="4"/>
    <n v="0"/>
    <n v="0"/>
    <x v="2"/>
    <x v="2"/>
    <s v=""/>
    <n v="2.52"/>
    <n v="2.52"/>
    <n v="4.3985517505677372"/>
    <n v="6.9185517505677367"/>
    <x v="2"/>
    <s v="Pierre-Yves Baloche"/>
    <x v="2"/>
    <x v="1"/>
    <n v="1"/>
  </r>
  <r>
    <x v="163"/>
    <s v="Fablab-Firmin .:. SOCLE"/>
    <x v="0"/>
    <m/>
    <m/>
    <n v="4"/>
    <n v="0"/>
    <n v="0"/>
    <n v="0"/>
    <n v="0"/>
    <n v="1"/>
    <n v="1"/>
    <n v="4"/>
    <n v="24"/>
    <n v="0"/>
    <n v="0"/>
    <x v="2"/>
    <x v="2"/>
    <s v=""/>
    <n v="11.920000000000002"/>
    <n v="11.920000000000002"/>
    <n v="20.80584796300295"/>
    <n v="32.725847963002948"/>
    <x v="2"/>
    <s v="Pierre-Yves Baloche"/>
    <x v="2"/>
    <x v="1"/>
    <n v="1"/>
  </r>
  <r>
    <x v="164"/>
    <s v="GFI-Linkus .:. PROD"/>
    <x v="26"/>
    <n v="0"/>
    <s v="Pas de migration"/>
    <n v="4"/>
    <n v="0"/>
    <n v="0"/>
    <n v="0"/>
    <n v="0"/>
    <n v="1"/>
    <n v="1"/>
    <n v="2"/>
    <n v="40"/>
    <n v="1"/>
    <n v="0"/>
    <x v="30"/>
    <x v="1"/>
    <s v=""/>
    <n v="12.400000000000002"/>
    <n v="12.400000000000002"/>
    <n v="21.64366734406347"/>
    <n v="34.043667344063472"/>
    <x v="57"/>
    <s v="Michael Le-Ridant"/>
    <x v="3"/>
    <x v="0"/>
    <n v="1"/>
  </r>
  <r>
    <x v="165"/>
    <s v="LA POSTE-CDC-DRUPAL .:. DEV"/>
    <x v="0"/>
    <m/>
    <m/>
    <n v="4"/>
    <n v="0"/>
    <n v="0"/>
    <n v="0"/>
    <n v="0"/>
    <n v="1"/>
    <n v="1"/>
    <n v="4"/>
    <n v="100"/>
    <n v="0"/>
    <n v="0"/>
    <x v="32"/>
    <x v="18"/>
    <s v=""/>
    <n v="29.4"/>
    <n v="29.4"/>
    <n v="51.316437089956928"/>
    <n v="80.716437089956926"/>
    <x v="58"/>
    <s v="Christophe ORLANDO"/>
    <x v="4"/>
    <x v="3"/>
    <n v="1"/>
  </r>
  <r>
    <x v="166"/>
    <s v="ONEMA-CDR - TMA WEB .:. TMA"/>
    <x v="0"/>
    <m/>
    <m/>
    <n v="4"/>
    <n v="0"/>
    <n v="0"/>
    <n v="0"/>
    <n v="0"/>
    <n v="1"/>
    <n v="1"/>
    <n v="2"/>
    <n v="34"/>
    <n v="0"/>
    <n v="0"/>
    <x v="33"/>
    <x v="6"/>
    <s v=""/>
    <n v="11.02"/>
    <n v="11.02"/>
    <n v="19.234936623514468"/>
    <n v="30.254936623514467"/>
    <x v="59"/>
    <s v="Pierre BOURLIEUX"/>
    <x v="4"/>
    <x v="4"/>
    <n v="1"/>
  </r>
  <r>
    <x v="167"/>
    <s v="ONEMA-CDR - TMA WEB .:. TMA"/>
    <x v="0"/>
    <m/>
    <m/>
    <n v="4"/>
    <n v="0"/>
    <n v="0"/>
    <n v="0"/>
    <n v="0"/>
    <n v="1"/>
    <n v="1"/>
    <n v="2"/>
    <n v="34"/>
    <n v="0"/>
    <n v="0"/>
    <x v="33"/>
    <x v="6"/>
    <s v=""/>
    <n v="11.02"/>
    <n v="11.02"/>
    <n v="19.234936623514468"/>
    <n v="30.254936623514467"/>
    <x v="59"/>
    <s v="Pierre BOURLIEUX"/>
    <x v="4"/>
    <x v="4"/>
    <n v="1"/>
  </r>
  <r>
    <x v="168"/>
    <s v="GIP RECIA-Plateformes CLOUD / Edition .:. DEV"/>
    <x v="0"/>
    <m/>
    <m/>
    <n v="4"/>
    <n v="0"/>
    <n v="0"/>
    <n v="0"/>
    <n v="0"/>
    <n v="1"/>
    <n v="1"/>
    <n v="16"/>
    <n v="74"/>
    <n v="0"/>
    <n v="0"/>
    <x v="34"/>
    <x v="19"/>
    <s v=""/>
    <n v="42.620000000000005"/>
    <n v="42.620000000000005"/>
    <n v="74.391379209998789"/>
    <n v="117.01137920999879"/>
    <x v="60"/>
    <s v="Christophe ORLANDO"/>
    <x v="4"/>
    <x v="3"/>
    <n v="1"/>
  </r>
  <r>
    <x v="169"/>
    <s v="AFB-PNM .:. RECETTE"/>
    <x v="0"/>
    <m/>
    <m/>
    <n v="4"/>
    <n v="0"/>
    <n v="0"/>
    <n v="0"/>
    <n v="0"/>
    <n v="1"/>
    <n v="1"/>
    <n v="2"/>
    <n v="16"/>
    <n v="0"/>
    <n v="0"/>
    <x v="35"/>
    <x v="20"/>
    <s v=""/>
    <n v="6.8800000000000008"/>
    <n v="6.8800000000000008"/>
    <n v="12.008744461867472"/>
    <n v="18.888744461867475"/>
    <x v="61"/>
    <s v="Eric RAUCOURT"/>
    <x v="4"/>
    <x v="5"/>
    <n v="1"/>
  </r>
  <r>
    <x v="170"/>
    <s v="GFI-Oceanet Infra Réseau .:. SOCLE"/>
    <x v="0"/>
    <n v="2"/>
    <s v="Route 53"/>
    <n v="4"/>
    <n v="0"/>
    <n v="0"/>
    <n v="0"/>
    <n v="0"/>
    <n v="1"/>
    <n v="1"/>
    <n v="1"/>
    <n v="4"/>
    <n v="0"/>
    <n v="0"/>
    <x v="1"/>
    <x v="1"/>
    <s v=""/>
    <n v="2.52"/>
    <n v="0"/>
    <n v="0"/>
    <n v="0"/>
    <x v="4"/>
    <s v="Jérôme JACOB"/>
    <x v="1"/>
    <x v="1"/>
    <n v="1"/>
  </r>
  <r>
    <x v="171"/>
    <s v="GFI-EveryDaily .:. QUAL_BUILD"/>
    <x v="0"/>
    <n v="2"/>
    <s v="Terraform + Ansible"/>
    <n v="4"/>
    <n v="0"/>
    <n v="0"/>
    <n v="0"/>
    <n v="0"/>
    <n v="1"/>
    <n v="1"/>
    <n v="1"/>
    <n v="35"/>
    <n v="0"/>
    <n v="0"/>
    <x v="20"/>
    <x v="1"/>
    <s v=""/>
    <n v="9.65"/>
    <n v="9.65"/>
    <n v="16.843660473404231"/>
    <n v="26.493660473404233"/>
    <x v="62"/>
    <s v="Vincent MERIAU"/>
    <x v="3"/>
    <x v="6"/>
    <n v="1"/>
  </r>
  <r>
    <x v="172"/>
    <s v="GIE S-V-Infra Citrix .:. DEV"/>
    <x v="0"/>
    <m/>
    <m/>
    <n v="4"/>
    <n v="10"/>
    <n v="0"/>
    <n v="0"/>
    <n v="0"/>
    <n v="1"/>
    <n v="1"/>
    <n v="4"/>
    <n v="60"/>
    <n v="1"/>
    <n v="59.800000000000004"/>
    <x v="3"/>
    <x v="3"/>
    <s v=""/>
    <n v="20.200000000000003"/>
    <n v="20.200000000000003"/>
    <n v="35.258232286296945"/>
    <n v="55.458232286296948"/>
    <x v="3"/>
    <s v="Nicolas Cordier"/>
    <x v="3"/>
    <x v="3"/>
    <n v="1"/>
  </r>
  <r>
    <x v="173"/>
    <s v="GIE S-V-Infra Citrix .:. DEV"/>
    <x v="0"/>
    <m/>
    <m/>
    <n v="4"/>
    <n v="0"/>
    <n v="0"/>
    <n v="0"/>
    <n v="0"/>
    <n v="1"/>
    <n v="1"/>
    <n v="8"/>
    <n v="60"/>
    <n v="1"/>
    <n v="0"/>
    <x v="3"/>
    <x v="3"/>
    <s v=""/>
    <n v="26.6"/>
    <n v="26.6"/>
    <n v="46.42915736710389"/>
    <n v="73.029157367103892"/>
    <x v="3"/>
    <s v="Nicolas Cordier"/>
    <x v="3"/>
    <x v="3"/>
    <n v="1"/>
  </r>
  <r>
    <x v="174"/>
    <s v="GIE S-V-Infra Citrix .:. DEV"/>
    <x v="0"/>
    <m/>
    <m/>
    <n v="4"/>
    <n v="0"/>
    <n v="0"/>
    <n v="0"/>
    <n v="0"/>
    <n v="1"/>
    <n v="1"/>
    <n v="8"/>
    <n v="60"/>
    <n v="1"/>
    <n v="0"/>
    <x v="3"/>
    <x v="3"/>
    <s v=""/>
    <n v="26.6"/>
    <n v="26.6"/>
    <n v="46.42915736710389"/>
    <n v="73.029157367103892"/>
    <x v="3"/>
    <s v="Nicolas Cordier"/>
    <x v="3"/>
    <x v="3"/>
    <n v="1"/>
  </r>
  <r>
    <x v="175"/>
    <s v="GIE S-V-Infra Citrix .:. DEV"/>
    <x v="0"/>
    <m/>
    <m/>
    <n v="4"/>
    <n v="0"/>
    <n v="0"/>
    <n v="0"/>
    <n v="0"/>
    <n v="1"/>
    <n v="1"/>
    <n v="4"/>
    <n v="40"/>
    <n v="1"/>
    <n v="0"/>
    <x v="3"/>
    <x v="3"/>
    <s v=""/>
    <n v="15.600000000000001"/>
    <n v="15.600000000000001"/>
    <n v="27.229129884466946"/>
    <n v="42.829129884466951"/>
    <x v="3"/>
    <s v="Nicolas Cordier"/>
    <x v="3"/>
    <x v="3"/>
    <n v="1"/>
  </r>
  <r>
    <x v="176"/>
    <s v="GFI-Oceanet Infra Réseau .:. SOCLE"/>
    <x v="0"/>
    <n v="2"/>
    <s v="Pas de migration, utiliser un service SMTP AWS"/>
    <n v="4"/>
    <n v="0"/>
    <n v="0"/>
    <n v="0"/>
    <n v="0"/>
    <n v="1"/>
    <n v="1"/>
    <n v="1"/>
    <n v="4"/>
    <n v="0"/>
    <n v="0"/>
    <x v="1"/>
    <x v="1"/>
    <s v=""/>
    <n v="2.52"/>
    <n v="0"/>
    <n v="0"/>
    <n v="0"/>
    <x v="4"/>
    <s v="Jérôme JACOB"/>
    <x v="1"/>
    <x v="1"/>
    <n v="1"/>
  </r>
  <r>
    <x v="177"/>
    <s v="GFI-Oceanet Infra Réseau .:. SOCLE"/>
    <x v="0"/>
    <n v="0.5"/>
    <s v="Terraform service RDS"/>
    <n v="4"/>
    <n v="0"/>
    <n v="0"/>
    <n v="0"/>
    <n v="0"/>
    <n v="1"/>
    <n v="1"/>
    <n v="4"/>
    <n v="14"/>
    <n v="0"/>
    <n v="0"/>
    <x v="1"/>
    <x v="1"/>
    <s v=""/>
    <n v="9.620000000000001"/>
    <n v="0"/>
    <n v="0"/>
    <n v="0"/>
    <x v="4"/>
    <s v="Jérôme JACOB"/>
    <x v="1"/>
    <x v="1"/>
    <n v="1"/>
  </r>
  <r>
    <x v="178"/>
    <s v="GIE S-V-Mantis - RR .:. PROD"/>
    <x v="0"/>
    <n v="0.5"/>
    <s v="Terraform service RDS"/>
    <n v="4"/>
    <n v="0"/>
    <n v="0"/>
    <n v="0"/>
    <n v="0"/>
    <n v="1"/>
    <n v="1"/>
    <n v="1"/>
    <n v="6"/>
    <n v="0"/>
    <n v="0"/>
    <x v="3"/>
    <x v="3"/>
    <s v=""/>
    <n v="2.9800000000000004"/>
    <n v="2.9800000000000004"/>
    <n v="5.2014619907507376"/>
    <n v="8.1814619907507371"/>
    <x v="63"/>
    <s v="Nicolas Cordier"/>
    <x v="3"/>
    <x v="0"/>
    <n v="1"/>
  </r>
  <r>
    <x v="179"/>
    <s v="AFB-Patbiodiv .:. RECETTE"/>
    <x v="0"/>
    <m/>
    <m/>
    <n v="4"/>
    <n v="0"/>
    <n v="0"/>
    <n v="0"/>
    <n v="0"/>
    <n v="1"/>
    <n v="1"/>
    <n v="4"/>
    <n v="39"/>
    <n v="0"/>
    <n v="0"/>
    <x v="7"/>
    <x v="6"/>
    <s v=""/>
    <n v="15.370000000000001"/>
    <n v="15.370000000000001"/>
    <n v="26.827674764375445"/>
    <n v="42.197674764375449"/>
    <x v="24"/>
    <s v="Rodolphe Habegger"/>
    <x v="4"/>
    <x v="5"/>
    <n v="1"/>
  </r>
  <r>
    <x v="180"/>
    <s v="GFI-Linkus .:. PROD"/>
    <x v="0"/>
    <n v="0"/>
    <s v="Pas de migration"/>
    <n v="4"/>
    <n v="0"/>
    <n v="0"/>
    <n v="0"/>
    <n v="0"/>
    <n v="1"/>
    <n v="1"/>
    <n v="2"/>
    <n v="12"/>
    <n v="0"/>
    <n v="0"/>
    <x v="30"/>
    <x v="1"/>
    <s v=""/>
    <n v="5.9600000000000009"/>
    <n v="5.9600000000000009"/>
    <n v="10.402923981501475"/>
    <n v="16.362923981501474"/>
    <x v="57"/>
    <s v="Michael Le-Ridant"/>
    <x v="3"/>
    <x v="0"/>
    <n v="1"/>
  </r>
  <r>
    <x v="181"/>
    <s v="MACIF-Transverse .:. SOCLE"/>
    <x v="27"/>
    <m/>
    <m/>
    <n v="4"/>
    <n v="0"/>
    <n v="0"/>
    <n v="0"/>
    <n v="0"/>
    <n v="0.5"/>
    <n v="1"/>
    <n v="0.5"/>
    <n v="20.5"/>
    <n v="0"/>
    <n v="0"/>
    <x v="36"/>
    <x v="21"/>
    <s v=""/>
    <n v="5.5149999999999997"/>
    <n v="5.5149999999999997"/>
    <n v="9.6261955969766149"/>
    <n v="15.141195596976615"/>
    <x v="64"/>
    <s v="Yann-Herve Mauguen"/>
    <x v="5"/>
    <x v="1"/>
    <n v="2"/>
  </r>
  <r>
    <x v="181"/>
    <s v="MEAE-Visa .:. OBSOLETE"/>
    <x v="27"/>
    <n v="4"/>
    <s v="Terraform + Ansible"/>
    <n v="4"/>
    <n v="0"/>
    <n v="0"/>
    <n v="0"/>
    <n v="0"/>
    <n v="0.5"/>
    <n v="1"/>
    <n v="0.5"/>
    <n v="20.5"/>
    <n v="0"/>
    <n v="0"/>
    <x v="19"/>
    <x v="13"/>
    <s v=""/>
    <n v="5.5149999999999997"/>
    <n v="5.5149999999999997"/>
    <n v="9.6261955969766149"/>
    <n v="15.141195596976615"/>
    <x v="40"/>
    <s v="Axel Benoist-Gironiere"/>
    <x v="3"/>
    <x v="11"/>
    <n v="2"/>
  </r>
  <r>
    <x v="182"/>
    <s v="GFI-Redmine Niort .:. PROD"/>
    <x v="0"/>
    <n v="4"/>
    <s v="Terraform + Ansible"/>
    <n v="4"/>
    <n v="0"/>
    <n v="0"/>
    <n v="0"/>
    <n v="0"/>
    <n v="1"/>
    <n v="1"/>
    <n v="4"/>
    <n v="17"/>
    <n v="0"/>
    <n v="0"/>
    <x v="37"/>
    <x v="1"/>
    <s v=""/>
    <n v="10.31"/>
    <n v="10.31"/>
    <n v="17.995662122362447"/>
    <n v="28.305662122362449"/>
    <x v="65"/>
    <s v="Philippe De Guio"/>
    <x v="5"/>
    <x v="0"/>
    <n v="1"/>
  </r>
  <r>
    <x v="183"/>
    <s v="MEAE-Redmine MEAE .:. PROD"/>
    <x v="0"/>
    <n v="4"/>
    <s v="Terraform + Ansible"/>
    <n v="4"/>
    <n v="0"/>
    <n v="0"/>
    <n v="0"/>
    <n v="0"/>
    <n v="1"/>
    <n v="1"/>
    <n v="1"/>
    <n v="8"/>
    <n v="0"/>
    <n v="0"/>
    <x v="38"/>
    <x v="13"/>
    <s v=""/>
    <n v="3.4400000000000004"/>
    <n v="3.4400000000000004"/>
    <n v="6.0043722309337362"/>
    <n v="9.4443722309337375"/>
    <x v="66"/>
    <s v="Axel Benoist-Gironiere"/>
    <x v="3"/>
    <x v="0"/>
    <n v="1"/>
  </r>
  <r>
    <x v="184"/>
    <s v="GIE S-V-Mantis - RR .:. PROD"/>
    <x v="0"/>
    <n v="2"/>
    <s v="Terraform + Ansible"/>
    <n v="4"/>
    <n v="0"/>
    <n v="0"/>
    <n v="0"/>
    <n v="0"/>
    <n v="1"/>
    <n v="1"/>
    <n v="1"/>
    <n v="5"/>
    <n v="0"/>
    <n v="0"/>
    <x v="3"/>
    <x v="3"/>
    <s v=""/>
    <n v="2.75"/>
    <n v="2.75"/>
    <n v="4.8000068706592369"/>
    <n v="7.5500068706592369"/>
    <x v="63"/>
    <s v="Nicolas Cordier"/>
    <x v="3"/>
    <x v="0"/>
    <n v="1"/>
  </r>
  <r>
    <x v="185"/>
    <s v="GFI-Redmine Orléans .:. PROD"/>
    <x v="0"/>
    <n v="4"/>
    <s v="Terraform + Ansible"/>
    <n v="4"/>
    <n v="0"/>
    <n v="0"/>
    <n v="0"/>
    <n v="0"/>
    <n v="1"/>
    <n v="1"/>
    <n v="1"/>
    <n v="21"/>
    <n v="0"/>
    <n v="0"/>
    <x v="39"/>
    <x v="1"/>
    <s v=""/>
    <n v="6.43"/>
    <n v="6.43"/>
    <n v="11.223288792123231"/>
    <n v="17.653288792123231"/>
    <x v="67"/>
    <s v="Christophe ORLANDO"/>
    <x v="4"/>
    <x v="0"/>
    <n v="1"/>
  </r>
  <r>
    <x v="186"/>
    <s v="GFI-Oceanet Infra Réseau .:. SOCLE"/>
    <x v="0"/>
    <n v="2"/>
    <s v="Terraform + Ansible"/>
    <n v="4"/>
    <n v="0"/>
    <n v="0"/>
    <n v="0"/>
    <n v="0"/>
    <n v="1"/>
    <n v="1"/>
    <n v="1"/>
    <n v="4"/>
    <n v="0"/>
    <n v="0"/>
    <x v="1"/>
    <x v="1"/>
    <s v=""/>
    <n v="2.52"/>
    <n v="0"/>
    <n v="0"/>
    <n v="0"/>
    <x v="4"/>
    <s v="Jérôme JACOB"/>
    <x v="1"/>
    <x v="1"/>
    <n v="1"/>
  </r>
  <r>
    <x v="187"/>
    <s v="GFI-Oceanet Infra Réseau .:. SOCLE"/>
    <x v="0"/>
    <n v="2"/>
    <s v="Terraform + Ansible"/>
    <n v="4"/>
    <n v="0"/>
    <n v="0"/>
    <n v="0"/>
    <n v="0"/>
    <n v="1"/>
    <n v="1"/>
    <n v="1"/>
    <n v="124"/>
    <n v="0"/>
    <n v="0"/>
    <x v="1"/>
    <x v="1"/>
    <s v=""/>
    <n v="30.12"/>
    <n v="0"/>
    <n v="0"/>
    <n v="0"/>
    <x v="4"/>
    <s v="Jérôme JACOB"/>
    <x v="1"/>
    <x v="1"/>
    <n v="1"/>
  </r>
  <r>
    <x v="188"/>
    <s v="GIE S-V-Infra Citrix .:. DEV"/>
    <x v="0"/>
    <m/>
    <m/>
    <n v="4"/>
    <n v="0"/>
    <n v="0"/>
    <n v="0"/>
    <n v="0"/>
    <n v="1"/>
    <n v="1"/>
    <n v="2"/>
    <n v="20"/>
    <n v="0"/>
    <n v="0"/>
    <x v="3"/>
    <x v="3"/>
    <s v=""/>
    <n v="7.8000000000000007"/>
    <n v="7.8000000000000007"/>
    <n v="13.614564942233473"/>
    <n v="21.414564942233476"/>
    <x v="3"/>
    <s v="Nicolas Cordier"/>
    <x v="3"/>
    <x v="3"/>
    <n v="1"/>
  </r>
  <r>
    <x v="189"/>
    <s v="Fablab-Firmin .:. PROD"/>
    <x v="0"/>
    <m/>
    <m/>
    <n v="4"/>
    <n v="0"/>
    <n v="0"/>
    <n v="0"/>
    <n v="0"/>
    <n v="1"/>
    <n v="1"/>
    <n v="1"/>
    <n v="4"/>
    <n v="0"/>
    <n v="0"/>
    <x v="2"/>
    <x v="2"/>
    <s v=""/>
    <n v="2.52"/>
    <n v="2.52"/>
    <n v="4.3985517505677372"/>
    <n v="6.9185517505677367"/>
    <x v="2"/>
    <s v="Pierre-Yves Baloche"/>
    <x v="2"/>
    <x v="0"/>
    <n v="1"/>
  </r>
  <r>
    <x v="190"/>
    <s v="GFI-Oceanet Infra Réseau .:. SOCLE"/>
    <x v="0"/>
    <n v="0"/>
    <s v="Disparition sans migration"/>
    <n v="4"/>
    <n v="0"/>
    <n v="0"/>
    <n v="0"/>
    <n v="0"/>
    <n v="1"/>
    <n v="0"/>
    <n v="0"/>
    <n v="4"/>
    <n v="0"/>
    <n v="0"/>
    <x v="1"/>
    <x v="1"/>
    <s v=""/>
    <n v="0.92"/>
    <n v="0"/>
    <n v="0"/>
    <n v="0"/>
    <x v="4"/>
    <s v="Jérôme JACOB"/>
    <x v="1"/>
    <x v="1"/>
    <n v="1"/>
  </r>
  <r>
    <x v="191"/>
    <s v="EDI-MUT-EDI-MUT .:. PROD"/>
    <x v="0"/>
    <n v="0"/>
    <s v="Pas de migration"/>
    <n v="4"/>
    <n v="0"/>
    <n v="0"/>
    <n v="0"/>
    <n v="0"/>
    <n v="1"/>
    <n v="1"/>
    <n v="1"/>
    <n v="19"/>
    <n v="0"/>
    <n v="0"/>
    <x v="0"/>
    <x v="0"/>
    <s v=""/>
    <n v="5.9700000000000006"/>
    <n v="5.9700000000000006"/>
    <n v="10.420378551940235"/>
    <n v="16.390378551940238"/>
    <x v="0"/>
    <s v="David LEMALHEUX"/>
    <x v="0"/>
    <x v="0"/>
    <n v="1"/>
  </r>
  <r>
    <x v="192"/>
    <s v="GFI-Oceanet Infra Réseau .:. SOCLE"/>
    <x v="0"/>
    <n v="4"/>
    <s v="Pas de migration, utiliser un service CloudFront"/>
    <n v="4"/>
    <n v="0"/>
    <n v="0"/>
    <n v="0"/>
    <n v="0"/>
    <n v="1"/>
    <n v="1"/>
    <n v="2"/>
    <n v="4"/>
    <n v="0"/>
    <n v="0"/>
    <x v="1"/>
    <x v="1"/>
    <s v=""/>
    <n v="4.12"/>
    <n v="0"/>
    <n v="0"/>
    <n v="0"/>
    <x v="4"/>
    <s v="Jérôme JACOB"/>
    <x v="1"/>
    <x v="1"/>
    <n v="1"/>
  </r>
  <r>
    <x v="193"/>
    <s v="Fablab-Firmin .:. PREPROD"/>
    <x v="0"/>
    <m/>
    <m/>
    <n v="4"/>
    <n v="0"/>
    <n v="0"/>
    <n v="0"/>
    <n v="0"/>
    <n v="1"/>
    <n v="1"/>
    <n v="1"/>
    <n v="4"/>
    <n v="0"/>
    <n v="0"/>
    <x v="2"/>
    <x v="2"/>
    <s v=""/>
    <n v="2.52"/>
    <n v="2.52"/>
    <n v="4.3985517505677372"/>
    <n v="6.9185517505677367"/>
    <x v="2"/>
    <s v="Pierre-Yves Baloche"/>
    <x v="2"/>
    <x v="2"/>
    <n v="1"/>
  </r>
  <r>
    <x v="194"/>
    <s v="Fablab-Firmin .:. PROD"/>
    <x v="0"/>
    <m/>
    <m/>
    <n v="4"/>
    <n v="0"/>
    <n v="0"/>
    <n v="0"/>
    <n v="0"/>
    <n v="1"/>
    <n v="1"/>
    <n v="1"/>
    <n v="4"/>
    <n v="0"/>
    <n v="0"/>
    <x v="2"/>
    <x v="2"/>
    <s v=""/>
    <n v="2.52"/>
    <n v="2.52"/>
    <n v="4.3985517505677372"/>
    <n v="6.9185517505677367"/>
    <x v="2"/>
    <s v="Pierre-Yves Baloche"/>
    <x v="2"/>
    <x v="0"/>
    <n v="1"/>
  </r>
  <r>
    <x v="195"/>
    <s v="Vivesco-Vives-taux .:. RECETTE"/>
    <x v="0"/>
    <n v="2"/>
    <s v="Terraform + Ansible"/>
    <n v="4"/>
    <n v="0"/>
    <n v="0"/>
    <n v="0"/>
    <n v="0"/>
    <n v="1"/>
    <n v="1"/>
    <n v="1"/>
    <n v="10"/>
    <n v="0"/>
    <n v="0"/>
    <x v="24"/>
    <x v="16"/>
    <s v=""/>
    <n v="3.9000000000000004"/>
    <n v="3.9000000000000004"/>
    <n v="6.8072824711167366"/>
    <n v="10.707282471116738"/>
    <x v="47"/>
    <s v="Pierre Maurupt"/>
    <x v="5"/>
    <x v="5"/>
    <n v="1"/>
  </r>
  <r>
    <x v="196"/>
    <s v="GFI-Oceanet Infra Modèles .:. SOCLE"/>
    <x v="0"/>
    <n v="0"/>
    <s v="Disparition sans migration"/>
    <n v="4"/>
    <n v="0"/>
    <n v="0"/>
    <n v="0"/>
    <n v="0"/>
    <n v="1"/>
    <n v="0"/>
    <n v="0"/>
    <n v="60"/>
    <n v="0"/>
    <n v="0"/>
    <x v="1"/>
    <x v="1"/>
    <s v=""/>
    <n v="13.8"/>
    <n v="0"/>
    <n v="0"/>
    <n v="0"/>
    <x v="1"/>
    <s v="Jérôme JACOB"/>
    <x v="1"/>
    <x v="1"/>
    <n v="1"/>
  </r>
  <r>
    <x v="197"/>
    <s v="GFI-Oceanet Infra Modèles .:. SOCLE"/>
    <x v="0"/>
    <m/>
    <m/>
    <n v="4"/>
    <n v="0"/>
    <n v="0"/>
    <n v="0"/>
    <n v="0"/>
    <n v="1"/>
    <n v="0"/>
    <n v="0"/>
    <n v="60"/>
    <n v="0"/>
    <n v="0"/>
    <x v="1"/>
    <x v="1"/>
    <s v=""/>
    <n v="13.8"/>
    <n v="0"/>
    <n v="0"/>
    <n v="0"/>
    <x v="1"/>
    <s v="Jérôme JACOB"/>
    <x v="1"/>
    <x v="1"/>
    <n v="1"/>
  </r>
  <r>
    <x v="198"/>
    <s v="GFI-Oceanet Infra Modèles .:. SOCLE"/>
    <x v="0"/>
    <m/>
    <m/>
    <n v="4"/>
    <n v="0"/>
    <n v="0"/>
    <n v="0"/>
    <n v="0"/>
    <n v="1"/>
    <n v="0"/>
    <n v="0"/>
    <n v="40"/>
    <n v="0"/>
    <n v="0"/>
    <x v="1"/>
    <x v="1"/>
    <s v=""/>
    <n v="9.2000000000000011"/>
    <n v="0"/>
    <n v="0"/>
    <n v="0"/>
    <x v="1"/>
    <s v="Jérôme JACOB"/>
    <x v="1"/>
    <x v="1"/>
    <n v="1"/>
  </r>
  <r>
    <x v="199"/>
    <s v="GFI-Oceanet Infra Modèles .:. SOCLE"/>
    <x v="0"/>
    <m/>
    <m/>
    <n v="4"/>
    <n v="0"/>
    <n v="0"/>
    <n v="0"/>
    <n v="0"/>
    <n v="1"/>
    <n v="0"/>
    <n v="0"/>
    <n v="4"/>
    <n v="0"/>
    <n v="0"/>
    <x v="1"/>
    <x v="1"/>
    <s v=""/>
    <n v="0.92"/>
    <n v="0"/>
    <n v="0"/>
    <n v="0"/>
    <x v="1"/>
    <s v="Jérôme JACOB"/>
    <x v="1"/>
    <x v="1"/>
    <n v="1"/>
  </r>
  <r>
    <x v="200"/>
    <s v="EDI-MUT-EDI-MUT .:. PROD"/>
    <x v="0"/>
    <m/>
    <m/>
    <n v="0"/>
    <n v="0"/>
    <n v="0"/>
    <n v="0"/>
    <n v="0"/>
    <n v="0"/>
    <n v="0"/>
    <n v="0"/>
    <n v="0"/>
    <n v="0"/>
    <n v="0"/>
    <x v="0"/>
    <x v="0"/>
    <s v=""/>
    <n v="10"/>
    <n v="10"/>
    <n v="17.454570438760861"/>
    <n v="27.454570438760861"/>
    <x v="0"/>
    <s v="David LEMALHEUX"/>
    <x v="0"/>
    <x v="0"/>
    <n v="1"/>
  </r>
  <r>
    <x v="201"/>
    <s v="GFI-Oceanet Infra Réseau .:. SOCLE"/>
    <x v="0"/>
    <m/>
    <m/>
    <n v="0"/>
    <n v="0"/>
    <n v="0"/>
    <n v="0"/>
    <n v="0"/>
    <n v="0"/>
    <n v="0"/>
    <n v="0"/>
    <n v="0"/>
    <n v="0"/>
    <n v="0"/>
    <x v="1"/>
    <x v="1"/>
    <s v=""/>
    <n v="10"/>
    <n v="0"/>
    <n v="0"/>
    <n v="0"/>
    <x v="4"/>
    <s v="Jérôme JACOB"/>
    <x v="1"/>
    <x v="1"/>
    <n v="1"/>
  </r>
  <r>
    <x v="202"/>
    <s v="GFI-Oceanet Infra Réseau .:. SOCLE"/>
    <x v="0"/>
    <m/>
    <m/>
    <n v="0"/>
    <n v="0"/>
    <n v="0"/>
    <n v="0"/>
    <n v="0"/>
    <n v="0"/>
    <n v="0"/>
    <n v="0"/>
    <n v="0"/>
    <n v="0"/>
    <n v="0"/>
    <x v="1"/>
    <x v="1"/>
    <s v=""/>
    <n v="10"/>
    <n v="0"/>
    <n v="0"/>
    <n v="0"/>
    <x v="4"/>
    <s v="Jérôme JACOB"/>
    <x v="1"/>
    <x v="1"/>
    <n v="1"/>
  </r>
  <r>
    <x v="203"/>
    <s v="GFI-Oceanet Infra Réseau .:. SOCLE"/>
    <x v="0"/>
    <m/>
    <m/>
    <n v="0"/>
    <n v="0"/>
    <n v="0"/>
    <n v="0"/>
    <n v="0"/>
    <n v="0"/>
    <n v="0"/>
    <n v="0"/>
    <n v="0"/>
    <n v="0"/>
    <n v="0"/>
    <x v="1"/>
    <x v="1"/>
    <s v=""/>
    <n v="10"/>
    <n v="0"/>
    <n v="0"/>
    <n v="0"/>
    <x v="4"/>
    <s v="Jérôme JACOB"/>
    <x v="1"/>
    <x v="1"/>
    <n v="1"/>
  </r>
  <r>
    <x v="204"/>
    <s v="GFI-Oceanet Infra Réseau .:. SOCLE"/>
    <x v="0"/>
    <m/>
    <m/>
    <n v="0"/>
    <n v="0"/>
    <n v="0"/>
    <n v="0"/>
    <n v="0"/>
    <n v="0"/>
    <n v="0"/>
    <n v="0"/>
    <n v="0"/>
    <n v="0"/>
    <n v="0"/>
    <x v="1"/>
    <x v="1"/>
    <s v=""/>
    <n v="10"/>
    <n v="0"/>
    <n v="0"/>
    <n v="0"/>
    <x v="4"/>
    <s v="Jérôme JACOB"/>
    <x v="1"/>
    <x v="1"/>
    <n v="1"/>
  </r>
  <r>
    <x v="205"/>
    <s v="GFI-Oceanet Infra Réseau .:. SOCLE"/>
    <x v="0"/>
    <m/>
    <m/>
    <n v="0"/>
    <n v="0"/>
    <n v="0"/>
    <n v="0"/>
    <n v="0"/>
    <n v="0"/>
    <n v="0"/>
    <n v="0"/>
    <n v="0"/>
    <n v="0"/>
    <n v="0"/>
    <x v="1"/>
    <x v="1"/>
    <s v=""/>
    <n v="10"/>
    <n v="0"/>
    <n v="0"/>
    <n v="0"/>
    <x v="4"/>
    <s v="Jérôme JACOB"/>
    <x v="1"/>
    <x v="1"/>
    <n v="1"/>
  </r>
  <r>
    <x v="206"/>
    <s v="GFI-Oceanet Infra Réseau .:. SOCLE"/>
    <x v="0"/>
    <m/>
    <m/>
    <n v="0"/>
    <n v="0"/>
    <n v="0"/>
    <n v="0"/>
    <n v="0"/>
    <n v="0"/>
    <n v="0"/>
    <n v="0"/>
    <n v="0"/>
    <n v="0"/>
    <n v="0"/>
    <x v="1"/>
    <x v="1"/>
    <s v=""/>
    <n v="10"/>
    <n v="0"/>
    <n v="0"/>
    <n v="0"/>
    <x v="4"/>
    <s v="Jérôme JACOB"/>
    <x v="1"/>
    <x v="1"/>
    <n v="1"/>
  </r>
  <r>
    <x v="207"/>
    <s v="GFI-Oceanet Infra Réseau .:. SOCLE"/>
    <x v="0"/>
    <m/>
    <m/>
    <n v="0"/>
    <n v="0"/>
    <n v="0"/>
    <n v="0"/>
    <n v="0"/>
    <n v="0"/>
    <n v="0"/>
    <n v="0"/>
    <n v="0"/>
    <n v="0"/>
    <n v="0"/>
    <x v="1"/>
    <x v="1"/>
    <s v=""/>
    <n v="10"/>
    <n v="0"/>
    <n v="0"/>
    <n v="0"/>
    <x v="4"/>
    <s v="Jérôme JACOB"/>
    <x v="1"/>
    <x v="1"/>
    <n v="1"/>
  </r>
  <r>
    <x v="208"/>
    <s v="GFI-Oceanet Infra Réseau .:. SOCLE"/>
    <x v="0"/>
    <m/>
    <m/>
    <n v="0"/>
    <n v="0"/>
    <n v="0"/>
    <n v="0"/>
    <n v="0"/>
    <n v="0"/>
    <n v="0"/>
    <n v="0"/>
    <n v="0"/>
    <n v="0"/>
    <n v="0"/>
    <x v="1"/>
    <x v="1"/>
    <s v=""/>
    <n v="10"/>
    <n v="0"/>
    <n v="0"/>
    <n v="0"/>
    <x v="4"/>
    <s v="Jérôme JACOB"/>
    <x v="1"/>
    <x v="1"/>
    <n v="1"/>
  </r>
  <r>
    <x v="209"/>
    <s v="GFI-GitLab Orléans .:. PROD"/>
    <x v="0"/>
    <m/>
    <m/>
    <n v="0"/>
    <n v="0"/>
    <n v="0"/>
    <n v="0"/>
    <n v="0"/>
    <n v="0"/>
    <n v="0"/>
    <n v="0"/>
    <n v="0"/>
    <n v="0"/>
    <n v="0"/>
    <x v="31"/>
    <x v="1"/>
    <s v=""/>
    <n v="10"/>
    <n v="10"/>
    <n v="17.454570438760861"/>
    <n v="27.454570438760861"/>
    <x v="56"/>
    <s v="Christophe ORLANDO"/>
    <x v="4"/>
    <x v="0"/>
    <n v="1"/>
  </r>
  <r>
    <x v="210"/>
    <s v="EDI-MUT-EDI-MUT .:. PROD"/>
    <x v="0"/>
    <m/>
    <m/>
    <n v="0"/>
    <n v="0"/>
    <n v="0"/>
    <n v="0"/>
    <n v="0"/>
    <n v="0"/>
    <n v="0"/>
    <n v="0"/>
    <n v="0"/>
    <n v="0"/>
    <n v="0"/>
    <x v="0"/>
    <x v="0"/>
    <s v=""/>
    <n v="10"/>
    <n v="10"/>
    <n v="17.454570438760861"/>
    <n v="27.454570438760861"/>
    <x v="0"/>
    <s v="David LEMALHEUX"/>
    <x v="0"/>
    <x v="0"/>
    <n v="1"/>
  </r>
  <r>
    <x v="211"/>
    <s v="GFI-Oceanet Infra Réseau .:. SOCLE"/>
    <x v="0"/>
    <m/>
    <m/>
    <n v="0"/>
    <n v="0"/>
    <n v="0"/>
    <n v="0"/>
    <n v="0"/>
    <n v="0"/>
    <n v="0"/>
    <n v="0"/>
    <n v="0"/>
    <n v="0"/>
    <n v="0"/>
    <x v="1"/>
    <x v="1"/>
    <s v=""/>
    <n v="10"/>
    <n v="0"/>
    <n v="0"/>
    <n v="0"/>
    <x v="4"/>
    <s v="Jérôme JACOB"/>
    <x v="1"/>
    <x v="1"/>
    <n v="1"/>
  </r>
  <r>
    <x v="212"/>
    <s v="EDI-MUT-EDI-MUT .:. PROD"/>
    <x v="0"/>
    <m/>
    <m/>
    <n v="0"/>
    <n v="0"/>
    <n v="0"/>
    <n v="0"/>
    <n v="0"/>
    <n v="0"/>
    <n v="0"/>
    <n v="0"/>
    <n v="0"/>
    <n v="0"/>
    <n v="0"/>
    <x v="0"/>
    <x v="0"/>
    <s v=""/>
    <n v="10"/>
    <n v="10"/>
    <n v="17.454570438760861"/>
    <n v="27.454570438760861"/>
    <x v="0"/>
    <s v="David LEMALHEUX"/>
    <x v="0"/>
    <x v="0"/>
    <n v="1"/>
  </r>
  <r>
    <x v="213"/>
    <s v="Fablab-Firmin .:. PREPROD"/>
    <x v="0"/>
    <m/>
    <m/>
    <n v="0"/>
    <n v="0"/>
    <n v="0"/>
    <n v="0"/>
    <n v="0"/>
    <n v="0"/>
    <n v="0"/>
    <n v="0"/>
    <n v="0"/>
    <n v="0"/>
    <n v="0"/>
    <x v="2"/>
    <x v="2"/>
    <s v=""/>
    <n v="10"/>
    <n v="10"/>
    <n v="17.454570438760861"/>
    <n v="27.454570438760861"/>
    <x v="2"/>
    <s v="Pierre-Yves Baloche"/>
    <x v="2"/>
    <x v="2"/>
    <n v="1"/>
  </r>
  <r>
    <x v="214"/>
    <s v="Fablab-Firmin .:. PREPROD"/>
    <x v="0"/>
    <m/>
    <m/>
    <n v="0"/>
    <n v="0"/>
    <n v="0"/>
    <n v="0"/>
    <n v="0"/>
    <n v="0"/>
    <n v="0"/>
    <n v="0"/>
    <n v="0"/>
    <n v="0"/>
    <n v="0"/>
    <x v="2"/>
    <x v="2"/>
    <s v=""/>
    <n v="10"/>
    <n v="10"/>
    <n v="17.454570438760861"/>
    <n v="27.454570438760861"/>
    <x v="2"/>
    <s v="Pierre-Yves Baloche"/>
    <x v="2"/>
    <x v="2"/>
    <n v="1"/>
  </r>
  <r>
    <x v="215"/>
    <s v="Fablab-Firmin .:. PROD"/>
    <x v="0"/>
    <m/>
    <m/>
    <n v="0"/>
    <n v="0"/>
    <n v="0"/>
    <n v="0"/>
    <n v="0"/>
    <n v="0"/>
    <n v="0"/>
    <n v="0"/>
    <n v="0"/>
    <n v="0"/>
    <n v="0"/>
    <x v="2"/>
    <x v="2"/>
    <s v=""/>
    <n v="10"/>
    <n v="10"/>
    <n v="17.454570438760861"/>
    <n v="27.454570438760861"/>
    <x v="2"/>
    <s v="Pierre-Yves Baloche"/>
    <x v="2"/>
    <x v="0"/>
    <n v="1"/>
  </r>
  <r>
    <x v="216"/>
    <s v="Fablab-Firmin .:. PROD"/>
    <x v="0"/>
    <m/>
    <m/>
    <n v="0"/>
    <n v="0"/>
    <n v="0"/>
    <n v="0"/>
    <n v="0"/>
    <n v="0"/>
    <n v="0"/>
    <n v="0"/>
    <n v="0"/>
    <n v="0"/>
    <n v="0"/>
    <x v="2"/>
    <x v="2"/>
    <s v=""/>
    <n v="10"/>
    <n v="10"/>
    <n v="17.454570438760861"/>
    <n v="27.454570438760861"/>
    <x v="2"/>
    <s v="Pierre-Yves Baloche"/>
    <x v="2"/>
    <x v="0"/>
    <n v="1"/>
  </r>
  <r>
    <x v="217"/>
    <s v="Fablab-Firmin .:. PROD"/>
    <x v="0"/>
    <m/>
    <m/>
    <n v="0"/>
    <n v="0"/>
    <n v="0"/>
    <n v="0"/>
    <n v="0"/>
    <n v="0"/>
    <n v="0"/>
    <n v="0"/>
    <n v="0"/>
    <n v="0"/>
    <n v="0"/>
    <x v="2"/>
    <x v="2"/>
    <s v=""/>
    <n v="10"/>
    <n v="10"/>
    <n v="17.454570438760861"/>
    <n v="27.454570438760861"/>
    <x v="2"/>
    <s v="Pierre-Yves Baloche"/>
    <x v="2"/>
    <x v="0"/>
    <n v="1"/>
  </r>
  <r>
    <x v="218"/>
    <s v="Fablab-Firmin .:. PROD"/>
    <x v="0"/>
    <m/>
    <m/>
    <n v="0"/>
    <n v="0"/>
    <n v="0"/>
    <n v="0"/>
    <n v="0"/>
    <n v="0"/>
    <n v="0"/>
    <n v="0"/>
    <n v="0"/>
    <n v="0"/>
    <n v="0"/>
    <x v="2"/>
    <x v="2"/>
    <s v=""/>
    <n v="10"/>
    <n v="10"/>
    <n v="17.454570438760861"/>
    <n v="27.454570438760861"/>
    <x v="2"/>
    <s v="Pierre-Yves Baloche"/>
    <x v="2"/>
    <x v="0"/>
    <n v="1"/>
  </r>
  <r>
    <x v="219"/>
    <s v="Fablab-Firmin .:. PROD"/>
    <x v="0"/>
    <m/>
    <m/>
    <n v="0"/>
    <n v="0"/>
    <n v="0"/>
    <n v="0"/>
    <n v="0"/>
    <n v="0"/>
    <n v="0"/>
    <n v="0"/>
    <n v="0"/>
    <n v="0"/>
    <n v="0"/>
    <x v="2"/>
    <x v="2"/>
    <s v=""/>
    <n v="10"/>
    <n v="10"/>
    <n v="17.454570438760861"/>
    <n v="27.454570438760861"/>
    <x v="2"/>
    <s v="Pierre-Yves Baloche"/>
    <x v="2"/>
    <x v="0"/>
    <n v="1"/>
  </r>
  <r>
    <x v="220"/>
    <s v="Fablab-Firmin .:. PROD"/>
    <x v="0"/>
    <m/>
    <m/>
    <n v="0"/>
    <n v="0"/>
    <n v="0"/>
    <n v="0"/>
    <n v="0"/>
    <n v="0"/>
    <n v="0"/>
    <n v="0"/>
    <n v="0"/>
    <n v="0"/>
    <n v="0"/>
    <x v="2"/>
    <x v="2"/>
    <s v=""/>
    <n v="10"/>
    <n v="10"/>
    <n v="17.454570438760861"/>
    <n v="27.454570438760861"/>
    <x v="2"/>
    <s v="Pierre-Yves Baloche"/>
    <x v="2"/>
    <x v="0"/>
    <n v="1"/>
  </r>
  <r>
    <x v="221"/>
    <s v="Fablab-Firmin .:. PROD"/>
    <x v="0"/>
    <m/>
    <m/>
    <n v="0"/>
    <n v="0"/>
    <n v="0"/>
    <n v="0"/>
    <n v="0"/>
    <n v="0"/>
    <n v="0"/>
    <n v="0"/>
    <n v="0"/>
    <n v="0"/>
    <n v="0"/>
    <x v="2"/>
    <x v="2"/>
    <s v=""/>
    <n v="10"/>
    <n v="10"/>
    <n v="17.454570438760861"/>
    <n v="27.454570438760861"/>
    <x v="2"/>
    <s v="Pierre-Yves Baloche"/>
    <x v="2"/>
    <x v="0"/>
    <n v="1"/>
  </r>
  <r>
    <x v="222"/>
    <s v="Fablab-Firmin .:. PROD"/>
    <x v="0"/>
    <m/>
    <m/>
    <n v="0"/>
    <n v="0"/>
    <n v="0"/>
    <n v="0"/>
    <n v="0"/>
    <n v="0"/>
    <n v="0"/>
    <n v="0"/>
    <n v="0"/>
    <n v="0"/>
    <n v="0"/>
    <x v="2"/>
    <x v="2"/>
    <s v=""/>
    <n v="10"/>
    <n v="10"/>
    <n v="17.454570438760861"/>
    <n v="27.454570438760861"/>
    <x v="2"/>
    <s v="Pierre-Yves Baloche"/>
    <x v="2"/>
    <x v="0"/>
    <n v="1"/>
  </r>
  <r>
    <x v="223"/>
    <s v="Fablab-Firmin .:. PROD"/>
    <x v="0"/>
    <m/>
    <m/>
    <n v="0"/>
    <n v="0"/>
    <n v="0"/>
    <n v="0"/>
    <n v="0"/>
    <n v="0"/>
    <n v="0"/>
    <n v="0"/>
    <n v="0"/>
    <n v="0"/>
    <n v="0"/>
    <x v="2"/>
    <x v="2"/>
    <s v=""/>
    <n v="10"/>
    <n v="10"/>
    <n v="17.454570438760861"/>
    <n v="27.454570438760861"/>
    <x v="2"/>
    <s v="Pierre-Yves Baloche"/>
    <x v="2"/>
    <x v="0"/>
    <n v="1"/>
  </r>
  <r>
    <x v="224"/>
    <s v="Fablab-Firmin .:. PROD"/>
    <x v="0"/>
    <m/>
    <m/>
    <n v="0"/>
    <n v="0"/>
    <n v="0"/>
    <n v="0"/>
    <n v="0"/>
    <n v="0"/>
    <n v="0"/>
    <n v="0"/>
    <n v="0"/>
    <n v="0"/>
    <n v="0"/>
    <x v="2"/>
    <x v="2"/>
    <s v=""/>
    <n v="10"/>
    <n v="10"/>
    <n v="17.454570438760861"/>
    <n v="27.454570438760861"/>
    <x v="2"/>
    <s v="Pierre-Yves Baloche"/>
    <x v="2"/>
    <x v="0"/>
    <n v="1"/>
  </r>
  <r>
    <x v="225"/>
    <s v="Fablab-Firmin .:. PROD"/>
    <x v="0"/>
    <m/>
    <m/>
    <n v="0"/>
    <n v="0"/>
    <n v="0"/>
    <n v="0"/>
    <n v="0"/>
    <n v="0"/>
    <n v="0"/>
    <n v="0"/>
    <n v="0"/>
    <n v="0"/>
    <n v="0"/>
    <x v="2"/>
    <x v="2"/>
    <s v=""/>
    <n v="10"/>
    <n v="10"/>
    <n v="17.454570438760861"/>
    <n v="27.454570438760861"/>
    <x v="2"/>
    <s v="Pierre-Yves Baloche"/>
    <x v="2"/>
    <x v="0"/>
    <n v="1"/>
  </r>
  <r>
    <x v="226"/>
    <s v="Fablab-Firmin .:. PROD"/>
    <x v="0"/>
    <m/>
    <m/>
    <n v="0"/>
    <n v="0"/>
    <n v="0"/>
    <n v="0"/>
    <n v="0"/>
    <n v="0"/>
    <n v="0"/>
    <n v="0"/>
    <n v="0"/>
    <n v="0"/>
    <n v="0"/>
    <x v="2"/>
    <x v="2"/>
    <s v=""/>
    <n v="10"/>
    <n v="10"/>
    <n v="17.454570438760861"/>
    <n v="27.454570438760861"/>
    <x v="2"/>
    <s v="Pierre-Yves Baloche"/>
    <x v="2"/>
    <x v="0"/>
    <n v="1"/>
  </r>
  <r>
    <x v="227"/>
    <s v="Fablab-Firmin .:. PROD"/>
    <x v="0"/>
    <m/>
    <m/>
    <n v="0"/>
    <n v="0"/>
    <n v="0"/>
    <n v="0"/>
    <n v="0"/>
    <n v="0"/>
    <n v="0"/>
    <n v="0"/>
    <n v="0"/>
    <n v="0"/>
    <n v="0"/>
    <x v="2"/>
    <x v="2"/>
    <s v=""/>
    <n v="10"/>
    <n v="10"/>
    <n v="17.454570438760861"/>
    <n v="27.454570438760861"/>
    <x v="2"/>
    <s v="Pierre-Yves Baloche"/>
    <x v="2"/>
    <x v="0"/>
    <n v="1"/>
  </r>
  <r>
    <x v="228"/>
    <s v="Fablab-Firmin .:. PROD"/>
    <x v="0"/>
    <m/>
    <m/>
    <n v="0"/>
    <n v="0"/>
    <n v="0"/>
    <n v="0"/>
    <n v="0"/>
    <n v="0"/>
    <n v="0"/>
    <n v="0"/>
    <n v="0"/>
    <n v="0"/>
    <n v="0"/>
    <x v="2"/>
    <x v="2"/>
    <s v=""/>
    <n v="10"/>
    <n v="10"/>
    <n v="17.454570438760861"/>
    <n v="27.454570438760861"/>
    <x v="2"/>
    <s v="Pierre-Yves Baloche"/>
    <x v="2"/>
    <x v="0"/>
    <n v="1"/>
  </r>
  <r>
    <x v="229"/>
    <s v="Fablab-Firmin .:. PROD"/>
    <x v="0"/>
    <m/>
    <m/>
    <n v="0"/>
    <n v="0"/>
    <n v="0"/>
    <n v="0"/>
    <n v="0"/>
    <n v="0"/>
    <n v="0"/>
    <n v="0"/>
    <n v="0"/>
    <n v="0"/>
    <n v="0"/>
    <x v="2"/>
    <x v="2"/>
    <s v=""/>
    <n v="10"/>
    <n v="10"/>
    <n v="17.454570438760861"/>
    <n v="27.454570438760861"/>
    <x v="2"/>
    <s v="Pierre-Yves Baloche"/>
    <x v="2"/>
    <x v="0"/>
    <n v="1"/>
  </r>
  <r>
    <x v="230"/>
    <s v="GFI-Oceanet Infra Réseau .:. SOCLE"/>
    <x v="0"/>
    <m/>
    <m/>
    <n v="0"/>
    <n v="0"/>
    <n v="0"/>
    <n v="0"/>
    <n v="0"/>
    <n v="0"/>
    <n v="0"/>
    <n v="0"/>
    <n v="0"/>
    <n v="0"/>
    <n v="0"/>
    <x v="1"/>
    <x v="1"/>
    <s v=""/>
    <n v="10"/>
    <n v="0"/>
    <n v="0"/>
    <n v="0"/>
    <x v="4"/>
    <s v="Jérôme JACOB"/>
    <x v="1"/>
    <x v="1"/>
    <n v="1"/>
  </r>
  <r>
    <x v="231"/>
    <s v="IT-CE-TMA .:. TMA"/>
    <x v="0"/>
    <m/>
    <m/>
    <n v="4"/>
    <n v="0"/>
    <n v="0"/>
    <n v="0"/>
    <n v="0"/>
    <n v="1"/>
    <n v="1"/>
    <n v="2"/>
    <n v="80"/>
    <n v="1"/>
    <n v="0"/>
    <x v="5"/>
    <x v="4"/>
    <s v=""/>
    <n v="21.6"/>
    <n v="21.6"/>
    <n v="37.701872147723464"/>
    <n v="59.301872147723465"/>
    <x v="6"/>
    <s v="Christophe ORLANDO"/>
    <x v="4"/>
    <x v="4"/>
    <n v="1"/>
  </r>
  <r>
    <x v="232"/>
    <s v="FRR-APPLIFRR .:. DEV"/>
    <x v="0"/>
    <m/>
    <m/>
    <n v="4"/>
    <n v="0"/>
    <n v="0"/>
    <n v="0"/>
    <n v="0"/>
    <n v="0.5"/>
    <n v="1"/>
    <n v="3"/>
    <n v="170"/>
    <n v="1"/>
    <n v="0"/>
    <x v="11"/>
    <x v="9"/>
    <s v=""/>
    <n v="43.900000000000006"/>
    <n v="43.900000000000006"/>
    <n v="76.625564226160193"/>
    <n v="120.5255642261602"/>
    <x v="35"/>
    <s v="Pierre BOURLIEUX"/>
    <x v="4"/>
    <x v="3"/>
    <n v="2"/>
  </r>
  <r>
    <x v="232"/>
    <s v="FRR-CADENCIER .:. RECETTE"/>
    <x v="0"/>
    <m/>
    <m/>
    <n v="4"/>
    <n v="0"/>
    <n v="0"/>
    <n v="0"/>
    <n v="0"/>
    <n v="0.5"/>
    <n v="1"/>
    <n v="3"/>
    <n v="170"/>
    <n v="1"/>
    <n v="0"/>
    <x v="11"/>
    <x v="9"/>
    <s v=""/>
    <n v="43.900000000000006"/>
    <n v="43.900000000000006"/>
    <n v="76.625564226160193"/>
    <n v="120.5255642261602"/>
    <x v="18"/>
    <s v="Pierre BOURLIEUX"/>
    <x v="4"/>
    <x v="5"/>
    <n v="2"/>
  </r>
  <r>
    <x v="233"/>
    <s v="PRIZER-TMA .:. TMA"/>
    <x v="0"/>
    <m/>
    <m/>
    <n v="4"/>
    <n v="0"/>
    <n v="1"/>
    <n v="0"/>
    <n v="4"/>
    <n v="1"/>
    <n v="1"/>
    <n v="2"/>
    <n v="120"/>
    <n v="1"/>
    <n v="297.49"/>
    <x v="40"/>
    <x v="22"/>
    <s v=""/>
    <n v="30.8"/>
    <n v="30.8"/>
    <n v="53.760076951383446"/>
    <n v="84.560076951383451"/>
    <x v="68"/>
    <s v="Valerie ASSELIN LOZACHMEUR"/>
    <x v="4"/>
    <x v="4"/>
    <n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47F7C72-3B6F-4456-9A0A-44F6B5471716}" name="Tableau croisé dynamique1" cacheId="39" applyNumberFormats="0" applyBorderFormats="0" applyFontFormats="0" applyPatternFormats="0" applyAlignmentFormats="0" applyWidthHeightFormats="1" dataCaption="Valeurs" updatedVersion="6" minRefreshableVersion="3" itemPrintTitles="1" createdVersion="6" indent="0" outline="1" outlineData="1" multipleFieldFilters="0" rowHeaderCaption="Client/Projet/VM">
  <location ref="A3:E443" firstHeaderRow="0" firstDataRow="1" firstDataCol="2"/>
  <pivotFields count="28">
    <pivotField axis="axisRow" outline="0" showAll="0" defaultSubtotal="0">
      <items count="370">
        <item m="1" x="332"/>
        <item m="1" x="334"/>
        <item m="1" x="283"/>
        <item x="10"/>
        <item m="1" x="344"/>
        <item x="48"/>
        <item x="49"/>
        <item x="50"/>
        <item x="51"/>
        <item m="1" x="342"/>
        <item x="52"/>
        <item x="53"/>
        <item x="54"/>
        <item x="55"/>
        <item m="1" x="291"/>
        <item m="1" x="234"/>
        <item m="1" x="303"/>
        <item m="1" x="352"/>
        <item x="56"/>
        <item x="57"/>
        <item x="59"/>
        <item x="60"/>
        <item x="61"/>
        <item x="63"/>
        <item x="64"/>
        <item x="65"/>
        <item x="66"/>
        <item x="70"/>
        <item x="71"/>
        <item x="72"/>
        <item m="1" x="285"/>
        <item x="76"/>
        <item x="78"/>
        <item m="1" x="272"/>
        <item x="79"/>
        <item m="1" x="238"/>
        <item x="80"/>
        <item m="1" x="277"/>
        <item m="1" x="266"/>
        <item m="1" x="249"/>
        <item m="1" x="244"/>
        <item m="1" x="308"/>
        <item x="81"/>
        <item m="1" x="313"/>
        <item m="1" x="327"/>
        <item m="1" x="354"/>
        <item x="86"/>
        <item m="1" x="369"/>
        <item m="1" x="240"/>
        <item m="1" x="241"/>
        <item m="1" x="252"/>
        <item m="1" x="364"/>
        <item m="1" x="315"/>
        <item m="1" x="349"/>
        <item m="1" x="358"/>
        <item m="1" x="282"/>
        <item m="1" x="289"/>
        <item x="87"/>
        <item x="88"/>
        <item x="89"/>
        <item m="1" x="307"/>
        <item x="90"/>
        <item x="91"/>
        <item x="92"/>
        <item x="93"/>
        <item m="1" x="253"/>
        <item x="94"/>
        <item m="1" x="306"/>
        <item x="95"/>
        <item x="96"/>
        <item x="97"/>
        <item x="98"/>
        <item m="1" x="324"/>
        <item m="1" x="316"/>
        <item m="1" x="296"/>
        <item x="100"/>
        <item x="101"/>
        <item m="1" x="255"/>
        <item m="1" x="305"/>
        <item x="102"/>
        <item m="1" x="299"/>
        <item x="103"/>
        <item x="104"/>
        <item m="1" x="278"/>
        <item m="1" x="273"/>
        <item m="1" x="294"/>
        <item m="1" x="295"/>
        <item m="1" x="293"/>
        <item x="107"/>
        <item x="108"/>
        <item x="115"/>
        <item x="116"/>
        <item x="117"/>
        <item m="1" x="347"/>
        <item m="1" x="323"/>
        <item m="1" x="333"/>
        <item m="1" x="284"/>
        <item x="121"/>
        <item x="122"/>
        <item x="123"/>
        <item x="124"/>
        <item x="125"/>
        <item x="126"/>
        <item x="127"/>
        <item x="128"/>
        <item x="129"/>
        <item x="130"/>
        <item x="131"/>
        <item x="132"/>
        <item x="133"/>
        <item x="134"/>
        <item x="135"/>
        <item x="137"/>
        <item m="1" x="251"/>
        <item x="138"/>
        <item x="151"/>
        <item x="152"/>
        <item x="153"/>
        <item x="154"/>
        <item m="1" x="236"/>
        <item x="155"/>
        <item x="156"/>
        <item m="1" x="270"/>
        <item x="157"/>
        <item m="1" x="254"/>
        <item x="158"/>
        <item m="1" x="259"/>
        <item m="1" x="247"/>
        <item m="1" x="268"/>
        <item m="1" x="237"/>
        <item m="1" x="310"/>
        <item x="159"/>
        <item m="1" x="317"/>
        <item m="1" x="304"/>
        <item m="1" x="276"/>
        <item x="160"/>
        <item m="1" x="257"/>
        <item m="1" x="260"/>
        <item m="1" x="262"/>
        <item m="1" x="263"/>
        <item m="1" x="264"/>
        <item m="1" x="269"/>
        <item m="1" x="271"/>
        <item m="1" x="275"/>
        <item x="161"/>
        <item m="1" x="320"/>
        <item x="162"/>
        <item x="163"/>
        <item m="1" x="335"/>
        <item m="1" x="357"/>
        <item m="1" x="302"/>
        <item m="1" x="288"/>
        <item m="1" x="319"/>
        <item m="1" x="345"/>
        <item m="1" x="360"/>
        <item m="1" x="311"/>
        <item x="164"/>
        <item x="166"/>
        <item x="168"/>
        <item x="170"/>
        <item x="171"/>
        <item m="1" x="280"/>
        <item m="1" x="245"/>
        <item m="1" x="348"/>
        <item x="176"/>
        <item x="177"/>
        <item x="178"/>
        <item x="179"/>
        <item x="180"/>
        <item m="1" x="330"/>
        <item x="181"/>
        <item x="182"/>
        <item x="183"/>
        <item x="184"/>
        <item m="1" x="243"/>
        <item x="185"/>
        <item m="1" x="256"/>
        <item x="186"/>
        <item x="187"/>
        <item x="189"/>
        <item x="190"/>
        <item x="191"/>
        <item x="192"/>
        <item m="1" x="281"/>
        <item x="193"/>
        <item x="194"/>
        <item x="195"/>
        <item m="1" x="363"/>
        <item m="1" x="365"/>
        <item x="196"/>
        <item m="1" x="337"/>
        <item x="21"/>
        <item x="22"/>
        <item m="1" x="350"/>
        <item x="23"/>
        <item m="1" x="353"/>
        <item x="24"/>
        <item x="25"/>
        <item x="26"/>
        <item m="1" x="351"/>
        <item x="27"/>
        <item x="28"/>
        <item x="29"/>
        <item x="30"/>
        <item x="31"/>
        <item x="32"/>
        <item x="33"/>
        <item x="37"/>
        <item x="38"/>
        <item x="39"/>
        <item m="1" x="362"/>
        <item x="42"/>
        <item x="43"/>
        <item x="44"/>
        <item x="45"/>
        <item x="46"/>
        <item x="47"/>
        <item x="231"/>
        <item x="232"/>
        <item x="233"/>
        <item x="73"/>
        <item x="82"/>
        <item m="1" x="309"/>
        <item x="200"/>
        <item x="201"/>
        <item x="202"/>
        <item x="203"/>
        <item x="204"/>
        <item m="1" x="279"/>
        <item m="1" x="286"/>
        <item x="205"/>
        <item x="206"/>
        <item x="207"/>
        <item x="208"/>
        <item m="1" x="329"/>
        <item x="209"/>
        <item x="210"/>
        <item x="211"/>
        <item x="212"/>
        <item m="1" x="331"/>
        <item m="1" x="341"/>
        <item m="1" x="321"/>
        <item x="213"/>
        <item x="214"/>
        <item x="215"/>
        <item x="216"/>
        <item x="217"/>
        <item x="218"/>
        <item x="219"/>
        <item x="220"/>
        <item x="221"/>
        <item x="222"/>
        <item x="223"/>
        <item x="224"/>
        <item x="225"/>
        <item x="226"/>
        <item x="227"/>
        <item x="228"/>
        <item x="229"/>
        <item x="230"/>
        <item m="1" x="242"/>
        <item m="1" x="300"/>
        <item m="1" x="301"/>
        <item m="1" x="322"/>
        <item m="1" x="340"/>
        <item m="1" x="367"/>
        <item m="1" x="274"/>
        <item m="1" x="343"/>
        <item x="11"/>
        <item m="1" x="258"/>
        <item m="1" x="361"/>
        <item m="1" x="325"/>
        <item m="1" x="326"/>
        <item m="1" x="318"/>
        <item x="12"/>
        <item x="13"/>
        <item x="14"/>
        <item x="15"/>
        <item x="16"/>
        <item x="17"/>
        <item x="18"/>
        <item x="19"/>
        <item x="5"/>
        <item x="6"/>
        <item x="7"/>
        <item m="1" x="287"/>
        <item x="0"/>
        <item x="1"/>
        <item x="2"/>
        <item x="3"/>
        <item m="1" x="292"/>
        <item x="120"/>
        <item x="85"/>
        <item x="58"/>
        <item x="105"/>
        <item x="106"/>
        <item x="139"/>
        <item x="34"/>
        <item x="35"/>
        <item x="41"/>
        <item x="40"/>
        <item x="9"/>
        <item x="36"/>
        <item m="1" x="366"/>
        <item x="67"/>
        <item x="68"/>
        <item x="84"/>
        <item m="1" x="265"/>
        <item x="99"/>
        <item x="136"/>
        <item x="140"/>
        <item x="141"/>
        <item x="142"/>
        <item x="143"/>
        <item x="167"/>
        <item x="144"/>
        <item x="145"/>
        <item m="1" x="267"/>
        <item m="1" x="235"/>
        <item m="1" x="297"/>
        <item m="1" x="338"/>
        <item x="62"/>
        <item m="1" x="246"/>
        <item m="1" x="298"/>
        <item m="1" x="339"/>
        <item m="1" x="359"/>
        <item m="1" x="328"/>
        <item x="169"/>
        <item m="1" x="248"/>
        <item m="1" x="355"/>
        <item m="1" x="239"/>
        <item m="1" x="368"/>
        <item m="1" x="314"/>
        <item x="4"/>
        <item m="1" x="290"/>
        <item m="1" x="261"/>
        <item m="1" x="250"/>
        <item m="1" x="356"/>
        <item x="20"/>
        <item x="69"/>
        <item x="74"/>
        <item x="146"/>
        <item x="147"/>
        <item m="1" x="346"/>
        <item x="75"/>
        <item x="83"/>
        <item x="148"/>
        <item x="149"/>
        <item x="109"/>
        <item x="110"/>
        <item m="1" x="336"/>
        <item x="111"/>
        <item x="112"/>
        <item x="113"/>
        <item x="114"/>
        <item x="150"/>
        <item x="165"/>
        <item m="1" x="312"/>
        <item x="77"/>
        <item x="118"/>
        <item x="119"/>
        <item x="172"/>
        <item x="173"/>
        <item x="174"/>
        <item x="175"/>
        <item x="188"/>
        <item x="197"/>
        <item x="198"/>
        <item x="199"/>
        <item x="8"/>
      </items>
    </pivotField>
    <pivotField showAll="0"/>
    <pivotField axis="axisRow" showAll="0">
      <items count="38">
        <item x="14"/>
        <item m="1" x="29"/>
        <item m="1" x="34"/>
        <item m="1" x="31"/>
        <item x="13"/>
        <item x="27"/>
        <item x="2"/>
        <item x="3"/>
        <item x="6"/>
        <item x="7"/>
        <item x="23"/>
        <item x="10"/>
        <item x="18"/>
        <item x="16"/>
        <item x="21"/>
        <item x="19"/>
        <item x="5"/>
        <item x="4"/>
        <item m="1" x="30"/>
        <item x="11"/>
        <item x="24"/>
        <item x="25"/>
        <item x="8"/>
        <item x="9"/>
        <item x="20"/>
        <item x="0"/>
        <item x="17"/>
        <item x="22"/>
        <item m="1" x="36"/>
        <item m="1" x="28"/>
        <item m="1" x="33"/>
        <item x="15"/>
        <item m="1" x="32"/>
        <item x="26"/>
        <item m="1" x="35"/>
        <item x="1"/>
        <item x="12"/>
        <item t="default"/>
      </items>
    </pivotField>
    <pivotField showAll="0"/>
    <pivotField showAll="0"/>
    <pivotField showAll="0"/>
    <pivotField showAll="0"/>
    <pivotField showAll="0"/>
    <pivotField showAll="0"/>
    <pivotField showAll="0"/>
    <pivotField dataField="1" showAll="0"/>
    <pivotField showAll="0"/>
    <pivotField showAll="0"/>
    <pivotField showAll="0"/>
    <pivotField showAll="0"/>
    <pivotField dataField="1" showAll="0"/>
    <pivotField showAll="0">
      <items count="43">
        <item m="1" x="41"/>
        <item x="26"/>
        <item x="25"/>
        <item x="35"/>
        <item x="22"/>
        <item x="6"/>
        <item x="10"/>
        <item x="8"/>
        <item x="2"/>
        <item x="11"/>
        <item x="17"/>
        <item x="1"/>
        <item x="4"/>
        <item x="18"/>
        <item x="37"/>
        <item x="39"/>
        <item x="23"/>
        <item x="27"/>
        <item x="3"/>
        <item x="34"/>
        <item x="31"/>
        <item x="0"/>
        <item x="21"/>
        <item x="5"/>
        <item x="32"/>
        <item x="29"/>
        <item x="36"/>
        <item x="38"/>
        <item x="19"/>
        <item x="9"/>
        <item x="12"/>
        <item x="7"/>
        <item x="33"/>
        <item x="13"/>
        <item x="40"/>
        <item x="14"/>
        <item x="28"/>
        <item x="30"/>
        <item x="15"/>
        <item x="16"/>
        <item x="20"/>
        <item x="24"/>
        <item t="default"/>
      </items>
    </pivotField>
    <pivotField axis="axisRow" showAll="0">
      <items count="25">
        <item x="13"/>
        <item x="17"/>
        <item x="16"/>
        <item m="1" x="23"/>
        <item x="14"/>
        <item x="9"/>
        <item x="5"/>
        <item x="6"/>
        <item x="7"/>
        <item x="0"/>
        <item x="1"/>
        <item x="8"/>
        <item x="15"/>
        <item x="4"/>
        <item x="18"/>
        <item x="21"/>
        <item x="11"/>
        <item x="2"/>
        <item x="12"/>
        <item x="19"/>
        <item x="3"/>
        <item x="22"/>
        <item x="20"/>
        <item x="10"/>
        <item t="default"/>
      </items>
    </pivotField>
    <pivotField showAll="0"/>
    <pivotField dataField="1" numFmtId="166" showAll="0"/>
    <pivotField numFmtId="44" showAll="0"/>
    <pivotField numFmtId="44" showAll="0"/>
    <pivotField numFmtId="44" showAll="0"/>
    <pivotField axis="axisRow" showAll="0">
      <items count="313">
        <item m="1" x="250"/>
        <item m="1" x="76"/>
        <item m="1" x="267"/>
        <item m="1" x="211"/>
        <item m="1" x="140"/>
        <item m="1" x="238"/>
        <item m="1" x="210"/>
        <item m="1" x="88"/>
        <item m="1" x="154"/>
        <item m="1" x="256"/>
        <item m="1" x="187"/>
        <item m="1" x="279"/>
        <item m="1" x="124"/>
        <item m="1" x="285"/>
        <item m="1" x="107"/>
        <item m="1" x="202"/>
        <item m="1" x="142"/>
        <item m="1" x="77"/>
        <item m="1" x="226"/>
        <item m="1" x="203"/>
        <item m="1" x="70"/>
        <item m="1" x="162"/>
        <item m="1" x="174"/>
        <item m="1" x="155"/>
        <item m="1" x="303"/>
        <item m="1" x="164"/>
        <item m="1" x="255"/>
        <item m="1" x="297"/>
        <item m="1" x="119"/>
        <item m="1" x="135"/>
        <item m="1" x="199"/>
        <item m="1" x="264"/>
        <item m="1" x="136"/>
        <item m="1" x="101"/>
        <item m="1" x="182"/>
        <item m="1" x="286"/>
        <item m="1" x="79"/>
        <item m="1" x="149"/>
        <item m="1" x="106"/>
        <item m="1" x="186"/>
        <item m="1" x="133"/>
        <item m="1" x="176"/>
        <item m="1" x="308"/>
        <item m="1" x="108"/>
        <item m="1" x="99"/>
        <item m="1" x="305"/>
        <item m="1" x="231"/>
        <item m="1" x="83"/>
        <item m="1" x="157"/>
        <item m="1" x="219"/>
        <item m="1" x="257"/>
        <item m="1" x="185"/>
        <item m="1" x="112"/>
        <item m="1" x="125"/>
        <item m="1" x="235"/>
        <item m="1" x="261"/>
        <item m="1" x="120"/>
        <item m="1" x="177"/>
        <item m="1" x="100"/>
        <item m="1" x="173"/>
        <item m="1" x="229"/>
        <item m="1" x="116"/>
        <item m="1" x="131"/>
        <item m="1" x="208"/>
        <item m="1" x="123"/>
        <item m="1" x="137"/>
        <item m="1" x="103"/>
        <item m="1" x="223"/>
        <item m="1" x="134"/>
        <item m="1" x="179"/>
        <item m="1" x="233"/>
        <item m="1" x="163"/>
        <item m="1" x="115"/>
        <item m="1" x="160"/>
        <item m="1" x="263"/>
        <item m="1" x="161"/>
        <item m="1" x="273"/>
        <item m="1" x="194"/>
        <item m="1" x="213"/>
        <item m="1" x="220"/>
        <item m="1" x="153"/>
        <item m="1" x="311"/>
        <item m="1" x="98"/>
        <item m="1" x="309"/>
        <item m="1" x="71"/>
        <item m="1" x="278"/>
        <item m="1" x="74"/>
        <item m="1" x="293"/>
        <item m="1" x="89"/>
        <item m="1" x="75"/>
        <item m="1" x="265"/>
        <item m="1" x="239"/>
        <item m="1" x="306"/>
        <item m="1" x="205"/>
        <item m="1" x="189"/>
        <item m="1" x="141"/>
        <item m="1" x="85"/>
        <item m="1" x="72"/>
        <item m="1" x="90"/>
        <item m="1" x="190"/>
        <item m="1" x="178"/>
        <item m="1" x="156"/>
        <item m="1" x="269"/>
        <item m="1" x="283"/>
        <item m="1" x="294"/>
        <item m="1" x="191"/>
        <item m="1" x="110"/>
        <item m="1" x="198"/>
        <item m="1" x="224"/>
        <item m="1" x="284"/>
        <item m="1" x="192"/>
        <item m="1" x="138"/>
        <item m="1" x="281"/>
        <item m="1" x="73"/>
        <item m="1" x="139"/>
        <item m="1" x="292"/>
        <item m="1" x="296"/>
        <item m="1" x="241"/>
        <item m="1" x="290"/>
        <item m="1" x="127"/>
        <item m="1" x="221"/>
        <item m="1" x="222"/>
        <item m="1" x="310"/>
        <item m="1" x="215"/>
        <item m="1" x="276"/>
        <item m="1" x="212"/>
        <item m="1" x="128"/>
        <item m="1" x="237"/>
        <item m="1" x="249"/>
        <item m="1" x="171"/>
        <item m="1" x="253"/>
        <item m="1" x="184"/>
        <item m="1" x="230"/>
        <item m="1" x="270"/>
        <item m="1" x="147"/>
        <item m="1" x="180"/>
        <item m="1" x="126"/>
        <item m="1" x="272"/>
        <item m="1" x="295"/>
        <item m="1" x="118"/>
        <item m="1" x="301"/>
        <item m="1" x="146"/>
        <item m="1" x="113"/>
        <item m="1" x="165"/>
        <item m="1" x="242"/>
        <item m="1" x="159"/>
        <item m="1" x="122"/>
        <item m="1" x="214"/>
        <item m="1" x="82"/>
        <item m="1" x="172"/>
        <item m="1" x="288"/>
        <item m="1" x="307"/>
        <item m="1" x="289"/>
        <item x="0"/>
        <item m="1" x="87"/>
        <item m="1" x="80"/>
        <item m="1" x="158"/>
        <item m="1" x="86"/>
        <item m="1" x="204"/>
        <item m="1" x="234"/>
        <item m="1" x="225"/>
        <item m="1" x="262"/>
        <item m="1" x="246"/>
        <item m="1" x="299"/>
        <item m="1" x="129"/>
        <item m="1" x="247"/>
        <item x="13"/>
        <item m="1" x="277"/>
        <item m="1" x="193"/>
        <item m="1" x="298"/>
        <item m="1" x="167"/>
        <item m="1" x="151"/>
        <item m="1" x="227"/>
        <item m="1" x="104"/>
        <item m="1" x="130"/>
        <item m="1" x="168"/>
        <item m="1" x="243"/>
        <item m="1" x="144"/>
        <item m="1" x="291"/>
        <item m="1" x="181"/>
        <item m="1" x="300"/>
        <item m="1" x="169"/>
        <item m="1" x="117"/>
        <item m="1" x="206"/>
        <item m="1" x="102"/>
        <item x="32"/>
        <item m="1" x="200"/>
        <item m="1" x="170"/>
        <item m="1" x="175"/>
        <item m="1" x="217"/>
        <item m="1" x="105"/>
        <item x="38"/>
        <item m="1" x="96"/>
        <item m="1" x="121"/>
        <item x="41"/>
        <item x="42"/>
        <item m="1" x="252"/>
        <item x="47"/>
        <item x="48"/>
        <item m="1" x="251"/>
        <item m="1" x="248"/>
        <item m="1" x="240"/>
        <item x="51"/>
        <item m="1" x="280"/>
        <item m="1" x="95"/>
        <item m="1" x="282"/>
        <item m="1" x="111"/>
        <item m="1" x="216"/>
        <item x="57"/>
        <item m="1" x="166"/>
        <item m="1" x="114"/>
        <item m="1" x="302"/>
        <item m="1" x="275"/>
        <item m="1" x="84"/>
        <item m="1" x="271"/>
        <item x="63"/>
        <item x="64"/>
        <item m="1" x="266"/>
        <item x="66"/>
        <item m="1" x="304"/>
        <item m="1" x="228"/>
        <item m="1" x="197"/>
        <item m="1" x="254"/>
        <item m="1" x="218"/>
        <item m="1" x="152"/>
        <item m="1" x="245"/>
        <item x="6"/>
        <item m="1" x="195"/>
        <item m="1" x="148"/>
        <item m="1" x="145"/>
        <item m="1" x="244"/>
        <item m="1" x="91"/>
        <item m="1" x="81"/>
        <item m="1" x="92"/>
        <item m="1" x="93"/>
        <item x="29"/>
        <item m="1" x="143"/>
        <item m="1" x="274"/>
        <item m="1" x="94"/>
        <item m="1" x="259"/>
        <item x="40"/>
        <item x="45"/>
        <item m="1" x="188"/>
        <item m="1" x="209"/>
        <item m="1" x="69"/>
        <item m="1" x="236"/>
        <item x="53"/>
        <item x="54"/>
        <item x="55"/>
        <item m="1" x="207"/>
        <item m="1" x="268"/>
        <item m="1" x="78"/>
        <item m="1" x="287"/>
        <item x="62"/>
        <item m="1" x="150"/>
        <item m="1" x="258"/>
        <item m="1" x="196"/>
        <item x="2"/>
        <item m="1" x="109"/>
        <item m="1" x="260"/>
        <item x="4"/>
        <item x="30"/>
        <item x="56"/>
        <item x="39"/>
        <item x="49"/>
        <item x="52"/>
        <item x="60"/>
        <item x="65"/>
        <item x="67"/>
        <item m="1" x="232"/>
        <item m="1" x="97"/>
        <item m="1" x="132"/>
        <item x="7"/>
        <item x="8"/>
        <item x="9"/>
        <item x="10"/>
        <item x="11"/>
        <item x="12"/>
        <item x="15"/>
        <item x="14"/>
        <item x="16"/>
        <item x="19"/>
        <item x="17"/>
        <item x="18"/>
        <item x="23"/>
        <item x="34"/>
        <item x="24"/>
        <item x="26"/>
        <item x="20"/>
        <item x="21"/>
        <item x="25"/>
        <item x="27"/>
        <item x="22"/>
        <item x="31"/>
        <item x="33"/>
        <item x="35"/>
        <item x="36"/>
        <item x="37"/>
        <item x="68"/>
        <item x="5"/>
        <item x="59"/>
        <item x="1"/>
        <item x="50"/>
        <item m="1" x="183"/>
        <item x="44"/>
        <item x="61"/>
        <item x="28"/>
        <item x="43"/>
        <item m="1" x="201"/>
        <item x="58"/>
        <item x="46"/>
        <item x="3"/>
        <item t="default"/>
      </items>
    </pivotField>
    <pivotField showAll="0"/>
    <pivotField showAll="0">
      <items count="8">
        <item x="4"/>
        <item x="5"/>
        <item x="3"/>
        <item m="1" x="6"/>
        <item x="0"/>
        <item x="1"/>
        <item x="2"/>
        <item t="default"/>
      </items>
    </pivotField>
    <pivotField axis="axisRow" showAll="0">
      <items count="18">
        <item x="3"/>
        <item m="1" x="15"/>
        <item x="4"/>
        <item x="1"/>
        <item m="1" x="14"/>
        <item x="7"/>
        <item x="11"/>
        <item x="8"/>
        <item x="9"/>
        <item x="10"/>
        <item x="6"/>
        <item x="0"/>
        <item x="5"/>
        <item x="2"/>
        <item m="1" x="13"/>
        <item x="12"/>
        <item m="1" x="16"/>
        <item t="default"/>
      </items>
    </pivotField>
    <pivotField showAll="0"/>
  </pivotFields>
  <rowFields count="5">
    <field x="17"/>
    <field x="23"/>
    <field x="26"/>
    <field x="0"/>
    <field x="2"/>
  </rowFields>
  <rowItems count="440">
    <i>
      <x/>
    </i>
    <i r="1">
      <x v="195"/>
    </i>
    <i r="2">
      <x/>
    </i>
    <i r="3">
      <x v="221"/>
      <x v="19"/>
    </i>
    <i r="2">
      <x v="3"/>
    </i>
    <i r="3">
      <x v="13"/>
      <x v="17"/>
    </i>
    <i r="3">
      <x v="32"/>
      <x v="19"/>
    </i>
    <i r="2">
      <x v="6"/>
    </i>
    <i r="3">
      <x v="42"/>
      <x v="4"/>
    </i>
    <i r="2">
      <x v="7"/>
    </i>
    <i r="3">
      <x v="23"/>
      <x v="22"/>
    </i>
    <i r="2">
      <x v="8"/>
    </i>
    <i r="3">
      <x v="24"/>
      <x v="23"/>
    </i>
    <i r="3">
      <x v="304"/>
      <x v="25"/>
    </i>
    <i r="2">
      <x v="9"/>
    </i>
    <i r="3">
      <x v="25"/>
      <x v="22"/>
    </i>
    <i r="2">
      <x v="10"/>
    </i>
    <i r="3">
      <x v="26"/>
      <x v="23"/>
    </i>
    <i r="3">
      <x v="305"/>
      <x v="25"/>
    </i>
    <i r="3">
      <x v="339"/>
      <x v="25"/>
    </i>
    <i r="1">
      <x v="218"/>
    </i>
    <i r="2">
      <x v="11"/>
    </i>
    <i r="3">
      <x v="172"/>
      <x v="25"/>
    </i>
    <i r="1">
      <x v="240"/>
    </i>
    <i r="2">
      <x/>
    </i>
    <i r="3">
      <x v="31"/>
      <x v="25"/>
    </i>
    <i r="3">
      <x v="42"/>
      <x/>
    </i>
    <i r="3">
      <x v="46"/>
      <x v="13"/>
    </i>
    <i r="3">
      <x v="293"/>
      <x v="25"/>
    </i>
    <i r="3">
      <x v="345"/>
      <x v="25"/>
    </i>
    <i r="2">
      <x v="3"/>
    </i>
    <i r="3">
      <x v="13"/>
      <x v="16"/>
    </i>
    <i r="3">
      <x v="18"/>
      <x v="8"/>
    </i>
    <i r="3">
      <x v="19"/>
      <x v="9"/>
    </i>
    <i r="3">
      <x v="20"/>
      <x v="8"/>
    </i>
    <i r="3">
      <x v="59"/>
      <x v="12"/>
    </i>
    <i r="3">
      <x v="62"/>
      <x v="24"/>
    </i>
    <i r="3">
      <x v="66"/>
      <x v="10"/>
    </i>
    <i r="3">
      <x v="292"/>
      <x v="31"/>
    </i>
    <i r="3">
      <x v="359"/>
      <x v="20"/>
    </i>
    <i r="3">
      <x v="360"/>
      <x v="21"/>
    </i>
    <i r="2">
      <x v="5"/>
    </i>
    <i r="3">
      <x v="10"/>
      <x v="6"/>
    </i>
    <i r="3">
      <x v="11"/>
      <x v="7"/>
    </i>
    <i r="3">
      <x v="27"/>
      <x v="11"/>
    </i>
    <i r="2">
      <x v="6"/>
    </i>
    <i r="3">
      <x v="170"/>
      <x v="5"/>
    </i>
    <i r="2">
      <x v="15"/>
    </i>
    <i r="3">
      <x v="63"/>
      <x v="14"/>
    </i>
    <i r="1">
      <x v="310"/>
    </i>
    <i r="2">
      <x/>
    </i>
    <i r="3">
      <x v="358"/>
      <x v="25"/>
    </i>
    <i>
      <x v="1"/>
    </i>
    <i r="1">
      <x v="198"/>
    </i>
    <i r="2">
      <x v="2"/>
    </i>
    <i r="3">
      <x v="36"/>
      <x v="36"/>
    </i>
    <i r="3">
      <x v="66"/>
      <x v="25"/>
    </i>
    <i r="1">
      <x v="202"/>
    </i>
    <i r="2">
      <x v="2"/>
    </i>
    <i r="3">
      <x v="66"/>
      <x v="25"/>
    </i>
    <i>
      <x v="2"/>
    </i>
    <i r="1">
      <x v="197"/>
    </i>
    <i r="2">
      <x/>
    </i>
    <i r="3">
      <x v="34"/>
      <x v="25"/>
    </i>
    <i r="3">
      <x v="58"/>
      <x v="26"/>
    </i>
    <i r="2">
      <x v="5"/>
    </i>
    <i r="3">
      <x v="63"/>
      <x v="27"/>
    </i>
    <i r="3">
      <x v="75"/>
      <x v="25"/>
    </i>
    <i r="3">
      <x v="79"/>
      <x v="25"/>
    </i>
    <i r="3">
      <x v="294"/>
      <x v="25"/>
    </i>
    <i r="2">
      <x v="12"/>
    </i>
    <i r="3">
      <x v="186"/>
      <x v="25"/>
    </i>
    <i>
      <x v="4"/>
    </i>
    <i r="1">
      <x v="304"/>
    </i>
    <i r="2">
      <x/>
    </i>
    <i r="3">
      <x v="321"/>
      <x v="25"/>
    </i>
    <i>
      <x v="5"/>
    </i>
    <i r="1">
      <x v="191"/>
    </i>
    <i r="2">
      <x v="12"/>
    </i>
    <i r="3">
      <x v="214"/>
      <x v="25"/>
    </i>
    <i r="1">
      <x v="283"/>
    </i>
    <i r="2">
      <x v="12"/>
    </i>
    <i r="3">
      <x v="202"/>
      <x v="25"/>
    </i>
    <i r="3">
      <x v="208"/>
      <x v="25"/>
    </i>
    <i r="3">
      <x v="218"/>
      <x v="25"/>
    </i>
    <i r="1">
      <x v="295"/>
    </i>
    <i r="2">
      <x/>
    </i>
    <i r="3">
      <x v="208"/>
      <x v="25"/>
    </i>
    <i r="3">
      <x v="218"/>
      <x v="25"/>
    </i>
    <i r="1">
      <x v="296"/>
    </i>
    <i r="2">
      <x/>
    </i>
    <i r="3">
      <x v="208"/>
      <x v="25"/>
    </i>
    <i>
      <x v="6"/>
    </i>
    <i r="1">
      <x v="272"/>
    </i>
    <i r="2">
      <x/>
    </i>
    <i r="3">
      <x v="194"/>
      <x v="25"/>
    </i>
    <i r="1">
      <x v="273"/>
    </i>
    <i r="2">
      <x/>
    </i>
    <i r="3">
      <x v="197"/>
      <x v="25"/>
    </i>
    <i r="1">
      <x v="282"/>
    </i>
    <i r="2">
      <x v="12"/>
    </i>
    <i r="3">
      <x v="202"/>
      <x v="25"/>
    </i>
    <i>
      <x v="7"/>
    </i>
    <i r="1">
      <x v="166"/>
    </i>
    <i r="2">
      <x v="2"/>
    </i>
    <i r="3">
      <x v="198"/>
      <x v="25"/>
    </i>
    <i r="1">
      <x v="235"/>
    </i>
    <i r="2">
      <x/>
    </i>
    <i r="3">
      <x v="204"/>
      <x v="25"/>
    </i>
    <i r="1">
      <x v="274"/>
    </i>
    <i r="2">
      <x v="2"/>
    </i>
    <i r="3">
      <x v="198"/>
      <x v="25"/>
    </i>
    <i r="1">
      <x v="275"/>
    </i>
    <i r="2">
      <x v="2"/>
    </i>
    <i r="3">
      <x v="198"/>
      <x v="25"/>
    </i>
    <i r="1">
      <x v="276"/>
    </i>
    <i r="2">
      <x v="2"/>
    </i>
    <i r="3">
      <x v="198"/>
      <x v="25"/>
    </i>
    <i r="1">
      <x v="277"/>
    </i>
    <i r="2">
      <x v="2"/>
    </i>
    <i r="3">
      <x v="198"/>
      <x v="25"/>
    </i>
    <i r="1">
      <x v="281"/>
    </i>
    <i r="2">
      <x v="12"/>
    </i>
    <i r="3">
      <x v="202"/>
      <x v="25"/>
    </i>
    <i r="1">
      <x v="284"/>
    </i>
    <i r="2">
      <x v="12"/>
    </i>
    <i r="3">
      <x v="203"/>
      <x v="25"/>
    </i>
    <i r="1">
      <x v="286"/>
    </i>
    <i r="2">
      <x v="12"/>
    </i>
    <i r="3">
      <x v="167"/>
      <x v="25"/>
    </i>
    <i r="3">
      <x v="203"/>
      <x v="25"/>
    </i>
    <i r="3">
      <x v="298"/>
      <x v="25"/>
    </i>
    <i r="1">
      <x v="287"/>
    </i>
    <i r="2">
      <x v="12"/>
    </i>
    <i r="3">
      <x v="203"/>
      <x v="25"/>
    </i>
    <i r="1">
      <x v="288"/>
    </i>
    <i r="2">
      <x v="12"/>
    </i>
    <i r="3">
      <x v="203"/>
      <x v="25"/>
    </i>
    <i r="1">
      <x v="289"/>
    </i>
    <i r="2">
      <x v="12"/>
    </i>
    <i r="3">
      <x v="203"/>
      <x v="25"/>
    </i>
    <i r="1">
      <x v="290"/>
    </i>
    <i r="2">
      <x v="12"/>
    </i>
    <i r="3">
      <x v="203"/>
      <x v="25"/>
    </i>
    <i r="1">
      <x v="292"/>
    </i>
    <i r="2">
      <x v="12"/>
    </i>
    <i r="3">
      <x v="203"/>
      <x v="25"/>
    </i>
    <i r="1">
      <x v="300"/>
    </i>
    <i r="2">
      <x v="2"/>
    </i>
    <i r="3">
      <x v="157"/>
      <x v="25"/>
    </i>
    <i r="3">
      <x v="314"/>
      <x v="25"/>
    </i>
    <i>
      <x v="8"/>
    </i>
    <i r="1">
      <x v="278"/>
    </i>
    <i r="2">
      <x/>
    </i>
    <i r="3">
      <x v="200"/>
      <x v="25"/>
    </i>
    <i r="1">
      <x v="279"/>
    </i>
    <i r="2">
      <x/>
    </i>
    <i r="3">
      <x v="200"/>
      <x v="25"/>
    </i>
    <i>
      <x v="9"/>
    </i>
    <i r="1">
      <x v="153"/>
    </i>
    <i r="2">
      <x v="11"/>
    </i>
    <i r="3">
      <x v="22"/>
      <x v="25"/>
    </i>
    <i r="3">
      <x v="115"/>
      <x v="25"/>
    </i>
    <i r="3">
      <x v="116"/>
      <x v="25"/>
    </i>
    <i r="3">
      <x v="118"/>
      <x v="25"/>
    </i>
    <i r="3">
      <x v="181"/>
      <x v="25"/>
    </i>
    <i r="3">
      <x v="223"/>
      <x v="25"/>
    </i>
    <i r="3">
      <x v="236"/>
      <x v="25"/>
    </i>
    <i r="3">
      <x v="238"/>
      <x v="25"/>
    </i>
    <i r="3">
      <x v="286"/>
      <x v="25"/>
    </i>
    <i r="3">
      <x v="287"/>
      <x v="25"/>
    </i>
    <i r="3">
      <x v="288"/>
      <x v="25"/>
    </i>
    <i r="3">
      <x v="289"/>
      <x v="25"/>
    </i>
    <i r="3">
      <x v="348"/>
      <x v="25"/>
    </i>
    <i r="1">
      <x v="307"/>
    </i>
    <i r="2">
      <x/>
    </i>
    <i r="3">
      <x v="21"/>
      <x v="25"/>
    </i>
    <i>
      <x v="10"/>
    </i>
    <i r="1">
      <x v="194"/>
    </i>
    <i r="2">
      <x v="3"/>
    </i>
    <i r="3">
      <x v="12"/>
      <x v="25"/>
    </i>
    <i r="1">
      <x v="208"/>
    </i>
    <i r="2">
      <x v="11"/>
    </i>
    <i r="3">
      <x v="156"/>
      <x v="33"/>
    </i>
    <i r="3">
      <x v="168"/>
      <x v="25"/>
    </i>
    <i r="1">
      <x v="246"/>
    </i>
    <i r="2">
      <x v="8"/>
    </i>
    <i r="3">
      <x v="76"/>
      <x v="25"/>
    </i>
    <i r="3">
      <x v="82"/>
      <x v="25"/>
    </i>
    <i r="2">
      <x v="11"/>
    </i>
    <i r="3">
      <x v="295"/>
      <x v="25"/>
    </i>
    <i r="1">
      <x v="248"/>
    </i>
    <i r="2">
      <x v="5"/>
    </i>
    <i r="3">
      <x v="89"/>
      <x v="25"/>
    </i>
    <i r="1">
      <x v="253"/>
    </i>
    <i r="2">
      <x v="10"/>
    </i>
    <i r="3">
      <x v="160"/>
      <x v="25"/>
    </i>
    <i r="1">
      <x v="260"/>
    </i>
    <i r="2">
      <x v="3"/>
    </i>
    <i r="3">
      <x v="5"/>
      <x v="25"/>
    </i>
    <i r="3">
      <x v="6"/>
      <x v="25"/>
    </i>
    <i r="3">
      <x v="7"/>
      <x v="25"/>
    </i>
    <i r="3">
      <x v="8"/>
      <x v="25"/>
    </i>
    <i r="3">
      <x v="61"/>
      <x v="15"/>
    </i>
    <i r="3">
      <x v="64"/>
      <x v="25"/>
    </i>
    <i r="3">
      <x v="90"/>
      <x v="25"/>
    </i>
    <i r="3">
      <x v="91"/>
      <x v="25"/>
    </i>
    <i r="3">
      <x v="159"/>
      <x v="25"/>
    </i>
    <i r="3">
      <x v="164"/>
      <x v="25"/>
    </i>
    <i r="3">
      <x v="165"/>
      <x v="25"/>
    </i>
    <i r="3">
      <x v="177"/>
      <x v="25"/>
    </i>
    <i r="3">
      <x v="178"/>
      <x v="25"/>
    </i>
    <i r="3">
      <x v="180"/>
      <x v="25"/>
    </i>
    <i r="3">
      <x v="182"/>
      <x v="25"/>
    </i>
    <i r="3">
      <x v="224"/>
      <x v="25"/>
    </i>
    <i r="3">
      <x v="225"/>
      <x v="25"/>
    </i>
    <i r="3">
      <x v="226"/>
      <x v="25"/>
    </i>
    <i r="3">
      <x v="227"/>
      <x v="25"/>
    </i>
    <i r="3">
      <x v="230"/>
      <x v="25"/>
    </i>
    <i r="3">
      <x v="231"/>
      <x v="25"/>
    </i>
    <i r="3">
      <x v="232"/>
      <x v="25"/>
    </i>
    <i r="3">
      <x v="233"/>
      <x v="25"/>
    </i>
    <i r="3">
      <x v="237"/>
      <x v="25"/>
    </i>
    <i r="3">
      <x v="259"/>
      <x v="25"/>
    </i>
    <i r="3">
      <x v="268"/>
      <x v="25"/>
    </i>
    <i r="3">
      <x v="349"/>
      <x v="25"/>
    </i>
    <i r="3">
      <x v="354"/>
      <x v="25"/>
    </i>
    <i r="1">
      <x v="261"/>
    </i>
    <i r="2">
      <x/>
    </i>
    <i r="3">
      <x v="205"/>
      <x v="25"/>
    </i>
    <i r="1">
      <x v="262"/>
    </i>
    <i r="2">
      <x v="11"/>
    </i>
    <i r="3">
      <x v="92"/>
      <x v="25"/>
    </i>
    <i r="3">
      <x v="235"/>
      <x v="25"/>
    </i>
    <i r="1">
      <x v="263"/>
    </i>
    <i r="2">
      <x v="10"/>
    </i>
    <i r="3">
      <x v="215"/>
      <x v="25"/>
    </i>
    <i r="1">
      <x v="265"/>
    </i>
    <i r="2">
      <x v="11"/>
    </i>
    <i r="3">
      <x v="308"/>
      <x v="25"/>
    </i>
    <i r="1">
      <x v="267"/>
    </i>
    <i r="2">
      <x v="11"/>
    </i>
    <i r="3">
      <x v="171"/>
      <x v="25"/>
    </i>
    <i r="1">
      <x v="268"/>
    </i>
    <i r="2">
      <x v="11"/>
    </i>
    <i r="3">
      <x v="175"/>
      <x v="25"/>
    </i>
    <i r="1">
      <x v="299"/>
    </i>
    <i r="2">
      <x v="3"/>
    </i>
    <i r="3">
      <x v="191"/>
      <x v="25"/>
    </i>
    <i r="3">
      <x v="196"/>
      <x v="35"/>
    </i>
    <i r="3">
      <x v="211"/>
      <x v="25"/>
    </i>
    <i r="3">
      <x v="212"/>
      <x v="25"/>
    </i>
    <i r="3">
      <x v="299"/>
      <x v="25"/>
    </i>
    <i r="1">
      <x v="301"/>
    </i>
    <i r="2">
      <x v="3"/>
    </i>
    <i r="3">
      <x v="3"/>
      <x v="25"/>
    </i>
    <i r="3">
      <x v="189"/>
      <x v="25"/>
    </i>
    <i r="3">
      <x v="301"/>
      <x v="25"/>
    </i>
    <i r="3">
      <x v="333"/>
      <x v="25"/>
    </i>
    <i r="3">
      <x v="366"/>
      <x v="25"/>
    </i>
    <i r="3">
      <x v="367"/>
      <x v="25"/>
    </i>
    <i r="3">
      <x v="368"/>
      <x v="25"/>
    </i>
    <i r="1">
      <x v="302"/>
    </i>
    <i r="2">
      <x v="9"/>
    </i>
    <i r="3">
      <x v="75"/>
      <x v="25"/>
    </i>
    <i r="3">
      <x v="81"/>
      <x v="25"/>
    </i>
    <i r="2">
      <x v="11"/>
    </i>
    <i r="3">
      <x v="57"/>
      <x v="25"/>
    </i>
    <i r="3">
      <x v="68"/>
      <x v="25"/>
    </i>
    <i>
      <x v="11"/>
    </i>
    <i r="1">
      <x v="280"/>
    </i>
    <i r="2">
      <x v="12"/>
    </i>
    <i r="3">
      <x v="201"/>
      <x v="25"/>
    </i>
    <i r="3">
      <x v="203"/>
      <x v="25"/>
    </i>
    <i r="1">
      <x v="285"/>
    </i>
    <i r="2">
      <x v="12"/>
    </i>
    <i r="3">
      <x v="207"/>
      <x v="25"/>
    </i>
    <i r="1">
      <x v="291"/>
    </i>
    <i r="2">
      <x v="12"/>
    </i>
    <i r="3">
      <x v="203"/>
      <x v="25"/>
    </i>
    <i r="1">
      <x v="297"/>
    </i>
    <i r="2">
      <x/>
    </i>
    <i r="3">
      <x v="209"/>
      <x v="25"/>
    </i>
    <i>
      <x v="12"/>
    </i>
    <i r="1">
      <x v="241"/>
    </i>
    <i r="2">
      <x/>
    </i>
    <i r="3">
      <x v="28"/>
      <x v="25"/>
    </i>
    <i r="2">
      <x v="5"/>
    </i>
    <i r="3">
      <x v="29"/>
      <x v="25"/>
    </i>
    <i r="3">
      <x v="344"/>
      <x v="25"/>
    </i>
    <i r="2">
      <x v="11"/>
    </i>
    <i r="3">
      <x v="220"/>
      <x v="25"/>
    </i>
    <i r="3">
      <x v="340"/>
      <x v="25"/>
    </i>
    <i r="1">
      <x v="264"/>
    </i>
    <i r="2">
      <x v="11"/>
    </i>
    <i r="3">
      <x v="306"/>
      <x v="25"/>
    </i>
    <i>
      <x v="13"/>
    </i>
    <i r="1">
      <x v="226"/>
    </i>
    <i r="2">
      <x v="2"/>
    </i>
    <i r="3">
      <x v="192"/>
      <x v="25"/>
    </i>
    <i r="3">
      <x v="216"/>
      <x v="25"/>
    </i>
    <i r="3">
      <x v="217"/>
      <x v="25"/>
    </i>
    <i>
      <x v="14"/>
    </i>
    <i r="1">
      <x v="247"/>
    </i>
    <i r="2">
      <x v="9"/>
    </i>
    <i r="3">
      <x v="88"/>
      <x v="25"/>
    </i>
    <i r="1">
      <x v="309"/>
    </i>
    <i r="2">
      <x/>
    </i>
    <i r="3">
      <x v="356"/>
      <x v="25"/>
    </i>
    <i>
      <x v="15"/>
    </i>
    <i r="1">
      <x v="216"/>
    </i>
    <i r="2">
      <x v="3"/>
    </i>
    <i r="3">
      <x v="170"/>
      <x v="5"/>
    </i>
    <i>
      <x v="16"/>
    </i>
    <i r="1">
      <x v="185"/>
    </i>
    <i r="2">
      <x/>
    </i>
    <i r="3">
      <x v="297"/>
      <x v="25"/>
    </i>
    <i r="3">
      <x v="300"/>
      <x v="25"/>
    </i>
    <i r="1">
      <x v="293"/>
    </i>
    <i r="2">
      <x/>
    </i>
    <i r="3">
      <x v="206"/>
      <x v="25"/>
    </i>
    <i r="3">
      <x v="213"/>
      <x v="25"/>
    </i>
    <i>
      <x v="17"/>
    </i>
    <i r="1">
      <x v="257"/>
    </i>
    <i r="2">
      <x v="3"/>
    </i>
    <i r="3">
      <x v="69"/>
      <x v="25"/>
    </i>
    <i r="3">
      <x v="70"/>
      <x v="25"/>
    </i>
    <i r="3">
      <x v="71"/>
      <x v="25"/>
    </i>
    <i r="3">
      <x v="97"/>
      <x v="25"/>
    </i>
    <i r="3">
      <x v="98"/>
      <x v="25"/>
    </i>
    <i r="3">
      <x v="99"/>
      <x v="25"/>
    </i>
    <i r="3">
      <x v="117"/>
      <x v="25"/>
    </i>
    <i r="3">
      <x v="121"/>
      <x v="25"/>
    </i>
    <i r="3">
      <x v="123"/>
      <x v="25"/>
    </i>
    <i r="3">
      <x v="146"/>
      <x v="25"/>
    </i>
    <i r="3">
      <x v="147"/>
      <x v="25"/>
    </i>
    <i r="3">
      <x v="291"/>
      <x v="25"/>
    </i>
    <i r="3">
      <x v="338"/>
      <x v="25"/>
    </i>
    <i r="2">
      <x v="11"/>
    </i>
    <i r="3">
      <x v="102"/>
      <x v="25"/>
    </i>
    <i r="3">
      <x v="103"/>
      <x v="25"/>
    </i>
    <i r="3">
      <x v="104"/>
      <x v="25"/>
    </i>
    <i r="3">
      <x v="106"/>
      <x v="25"/>
    </i>
    <i r="3">
      <x v="125"/>
      <x v="25"/>
    </i>
    <i r="3">
      <x v="131"/>
      <x v="25"/>
    </i>
    <i r="3">
      <x v="179"/>
      <x v="25"/>
    </i>
    <i r="3">
      <x v="185"/>
      <x v="25"/>
    </i>
    <i r="3">
      <x v="244"/>
      <x v="25"/>
    </i>
    <i r="3">
      <x v="245"/>
      <x v="25"/>
    </i>
    <i r="3">
      <x v="246"/>
      <x v="25"/>
    </i>
    <i r="3">
      <x v="247"/>
      <x v="25"/>
    </i>
    <i r="3">
      <x v="248"/>
      <x v="25"/>
    </i>
    <i r="3">
      <x v="249"/>
      <x v="25"/>
    </i>
    <i r="3">
      <x v="250"/>
      <x v="25"/>
    </i>
    <i r="3">
      <x v="251"/>
      <x v="25"/>
    </i>
    <i r="3">
      <x v="252"/>
      <x v="25"/>
    </i>
    <i r="3">
      <x v="253"/>
      <x v="25"/>
    </i>
    <i r="3">
      <x v="254"/>
      <x v="25"/>
    </i>
    <i r="3">
      <x v="255"/>
      <x v="25"/>
    </i>
    <i r="3">
      <x v="256"/>
      <x v="25"/>
    </i>
    <i r="3">
      <x v="257"/>
      <x v="25"/>
    </i>
    <i r="3">
      <x v="258"/>
      <x v="25"/>
    </i>
    <i r="3">
      <x v="274"/>
      <x v="25"/>
    </i>
    <i r="3">
      <x v="275"/>
      <x v="25"/>
    </i>
    <i r="3">
      <x v="276"/>
      <x v="25"/>
    </i>
    <i r="3">
      <x v="277"/>
      <x v="25"/>
    </i>
    <i r="3">
      <x v="278"/>
      <x v="25"/>
    </i>
    <i r="3">
      <x v="279"/>
      <x v="25"/>
    </i>
    <i r="3">
      <x v="281"/>
      <x v="25"/>
    </i>
    <i r="3">
      <x v="282"/>
      <x v="25"/>
    </i>
    <i r="3">
      <x v="284"/>
      <x v="25"/>
    </i>
    <i r="3">
      <x v="313"/>
      <x v="25"/>
    </i>
    <i r="3">
      <x v="342"/>
      <x v="25"/>
    </i>
    <i r="3">
      <x v="351"/>
      <x v="25"/>
    </i>
    <i r="3">
      <x v="353"/>
      <x v="25"/>
    </i>
    <i r="3">
      <x v="355"/>
      <x v="25"/>
    </i>
    <i r="2">
      <x v="13"/>
    </i>
    <i r="3">
      <x v="100"/>
      <x v="25"/>
    </i>
    <i r="3">
      <x v="101"/>
      <x v="25"/>
    </i>
    <i r="3">
      <x v="105"/>
      <x v="25"/>
    </i>
    <i r="3">
      <x v="107"/>
      <x v="25"/>
    </i>
    <i r="3">
      <x v="108"/>
      <x v="25"/>
    </i>
    <i r="3">
      <x v="109"/>
      <x v="25"/>
    </i>
    <i r="3">
      <x v="110"/>
      <x v="25"/>
    </i>
    <i r="3">
      <x v="111"/>
      <x v="25"/>
    </i>
    <i r="3">
      <x v="112"/>
      <x v="25"/>
    </i>
    <i r="3">
      <x v="114"/>
      <x v="25"/>
    </i>
    <i r="3">
      <x v="120"/>
      <x v="25"/>
    </i>
    <i r="3">
      <x v="135"/>
      <x v="25"/>
    </i>
    <i r="3">
      <x v="144"/>
      <x v="25"/>
    </i>
    <i r="3">
      <x v="184"/>
      <x v="25"/>
    </i>
    <i r="3">
      <x v="242"/>
      <x v="25"/>
    </i>
    <i r="3">
      <x v="243"/>
      <x v="25"/>
    </i>
    <i r="3">
      <x v="280"/>
      <x v="25"/>
    </i>
    <i r="3">
      <x v="283"/>
      <x v="25"/>
    </i>
    <i r="3">
      <x v="296"/>
      <x v="25"/>
    </i>
    <i r="3">
      <x v="309"/>
      <x v="25"/>
    </i>
    <i r="3">
      <x v="310"/>
      <x v="25"/>
    </i>
    <i r="3">
      <x v="311"/>
      <x v="25"/>
    </i>
    <i r="3">
      <x v="312"/>
      <x v="25"/>
    </i>
    <i r="3">
      <x v="315"/>
      <x v="25"/>
    </i>
    <i r="3">
      <x v="316"/>
      <x v="25"/>
    </i>
    <i r="3">
      <x v="341"/>
      <x v="25"/>
    </i>
    <i r="3">
      <x v="346"/>
      <x v="25"/>
    </i>
    <i r="3">
      <x v="347"/>
      <x v="25"/>
    </i>
    <i r="3">
      <x v="352"/>
      <x v="25"/>
    </i>
    <i>
      <x v="18"/>
    </i>
    <i r="1">
      <x v="294"/>
    </i>
    <i r="2">
      <x/>
    </i>
    <i r="3">
      <x v="302"/>
      <x v="25"/>
    </i>
    <i>
      <x v="19"/>
    </i>
    <i r="1">
      <x v="266"/>
    </i>
    <i r="2">
      <x/>
    </i>
    <i r="3">
      <x v="158"/>
      <x v="25"/>
    </i>
    <i>
      <x v="20"/>
    </i>
    <i r="1">
      <x v="215"/>
    </i>
    <i r="2">
      <x v="11"/>
    </i>
    <i r="3">
      <x v="166"/>
      <x v="25"/>
    </i>
    <i r="3">
      <x v="173"/>
      <x v="25"/>
    </i>
    <i r="1">
      <x v="311"/>
    </i>
    <i r="2">
      <x/>
    </i>
    <i r="3">
      <x v="361"/>
      <x v="25"/>
    </i>
    <i r="3">
      <x v="362"/>
      <x v="25"/>
    </i>
    <i r="3">
      <x v="363"/>
      <x v="25"/>
    </i>
    <i r="3">
      <x v="364"/>
      <x v="25"/>
    </i>
    <i r="3">
      <x v="365"/>
      <x v="25"/>
    </i>
    <i r="3">
      <x v="369"/>
      <x v="25"/>
    </i>
    <i>
      <x v="21"/>
    </i>
    <i r="1">
      <x v="298"/>
    </i>
    <i r="2">
      <x v="2"/>
    </i>
    <i r="3">
      <x v="219"/>
      <x v="25"/>
    </i>
    <i>
      <x v="22"/>
    </i>
    <i r="1">
      <x v="305"/>
    </i>
    <i r="2">
      <x v="12"/>
    </i>
    <i r="3">
      <x v="327"/>
      <x v="25"/>
    </i>
    <i>
      <x v="23"/>
    </i>
    <i r="1">
      <x v="306"/>
    </i>
    <i r="2">
      <x v="12"/>
    </i>
    <i r="3">
      <x v="203"/>
      <x v="25"/>
    </i>
    <i t="grand">
      <x/>
    </i>
  </rowItems>
  <colFields count="1">
    <field x="-2"/>
  </colFields>
  <colItems count="3">
    <i>
      <x/>
    </i>
    <i i="1">
      <x v="1"/>
    </i>
    <i i="2">
      <x v="2"/>
    </i>
  </colItems>
  <dataFields count="3">
    <dataField name="Coût hors Licences MS" fld="19" baseField="17" baseItem="0"/>
    <dataField name="Licences MS" fld="15" baseField="8" baseItem="0" numFmtId="165"/>
    <dataField name="Nb VM" fld="10" baseField="16" baseItem="0" numFmtId="2"/>
  </dataFields>
  <formats count="5">
    <format dxfId="155">
      <pivotArea dataOnly="0" labelOnly="1" outline="0" fieldPosition="0">
        <references count="1">
          <reference field="4294967294" count="1">
            <x v="1"/>
          </reference>
        </references>
      </pivotArea>
    </format>
    <format dxfId="154">
      <pivotArea outline="0" fieldPosition="0">
        <references count="1">
          <reference field="4294967294" count="1">
            <x v="1"/>
          </reference>
        </references>
      </pivotArea>
    </format>
    <format dxfId="153">
      <pivotArea dataOnly="0" labelOnly="1" outline="0" fieldPosition="0">
        <references count="1">
          <reference field="4294967294" count="1">
            <x v="2"/>
          </reference>
        </references>
      </pivotArea>
    </format>
    <format dxfId="152">
      <pivotArea outline="0" fieldPosition="0">
        <references count="1">
          <reference field="4294967294" count="1">
            <x v="2"/>
          </reference>
        </references>
      </pivotArea>
    </format>
    <format dxfId="151">
      <pivotArea dataOnly="0" labelOnly="1" outline="0" fieldPosition="0">
        <references count="1">
          <reference field="4294967294" count="1">
            <x v="0"/>
          </reference>
        </references>
      </pivotArea>
    </format>
  </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000-000000000000}" name="Tableau croisé dynamique1" cacheId="39" applyNumberFormats="0" applyBorderFormats="0" applyFontFormats="0" applyPatternFormats="0" applyAlignmentFormats="0" applyWidthHeightFormats="1" dataCaption="Valeurs" updatedVersion="6" minRefreshableVersion="3" itemPrintTitles="1" createdVersion="6" indent="0" outline="1" outlineData="1" multipleFieldFilters="0" rowHeaderCaption="Client/Projet/VM">
  <location ref="A3:E88" firstHeaderRow="0" firstDataRow="1" firstDataCol="2"/>
  <pivotFields count="28">
    <pivotField axis="axisRow" outline="0" showAll="0" defaultSubtotal="0">
      <items count="370">
        <item m="1" x="332"/>
        <item m="1" x="334"/>
        <item m="1" x="283"/>
        <item x="10"/>
        <item m="1" x="344"/>
        <item x="48"/>
        <item x="49"/>
        <item x="50"/>
        <item x="51"/>
        <item m="1" x="342"/>
        <item x="52"/>
        <item x="53"/>
        <item x="54"/>
        <item x="55"/>
        <item m="1" x="291"/>
        <item m="1" x="234"/>
        <item m="1" x="303"/>
        <item m="1" x="352"/>
        <item x="56"/>
        <item x="57"/>
        <item x="59"/>
        <item x="60"/>
        <item x="61"/>
        <item x="63"/>
        <item x="64"/>
        <item x="65"/>
        <item x="66"/>
        <item x="70"/>
        <item x="71"/>
        <item x="72"/>
        <item m="1" x="285"/>
        <item x="76"/>
        <item x="78"/>
        <item m="1" x="272"/>
        <item x="79"/>
        <item m="1" x="238"/>
        <item x="80"/>
        <item m="1" x="277"/>
        <item m="1" x="266"/>
        <item m="1" x="249"/>
        <item m="1" x="244"/>
        <item m="1" x="308"/>
        <item x="81"/>
        <item m="1" x="313"/>
        <item m="1" x="327"/>
        <item m="1" x="354"/>
        <item x="86"/>
        <item m="1" x="369"/>
        <item m="1" x="240"/>
        <item m="1" x="241"/>
        <item m="1" x="252"/>
        <item m="1" x="364"/>
        <item m="1" x="315"/>
        <item m="1" x="349"/>
        <item m="1" x="358"/>
        <item m="1" x="282"/>
        <item m="1" x="289"/>
        <item x="87"/>
        <item x="88"/>
        <item x="89"/>
        <item m="1" x="307"/>
        <item x="90"/>
        <item x="91"/>
        <item x="92"/>
        <item x="93"/>
        <item m="1" x="253"/>
        <item x="94"/>
        <item m="1" x="306"/>
        <item x="95"/>
        <item x="96"/>
        <item x="97"/>
        <item x="98"/>
        <item m="1" x="324"/>
        <item m="1" x="316"/>
        <item m="1" x="296"/>
        <item x="100"/>
        <item x="101"/>
        <item m="1" x="255"/>
        <item m="1" x="305"/>
        <item x="102"/>
        <item m="1" x="299"/>
        <item x="103"/>
        <item x="104"/>
        <item m="1" x="278"/>
        <item m="1" x="273"/>
        <item m="1" x="294"/>
        <item m="1" x="295"/>
        <item m="1" x="293"/>
        <item x="107"/>
        <item x="108"/>
        <item x="115"/>
        <item x="116"/>
        <item x="117"/>
        <item m="1" x="347"/>
        <item m="1" x="323"/>
        <item m="1" x="333"/>
        <item m="1" x="284"/>
        <item x="121"/>
        <item x="122"/>
        <item x="123"/>
        <item x="124"/>
        <item x="125"/>
        <item x="126"/>
        <item x="127"/>
        <item x="128"/>
        <item x="129"/>
        <item x="130"/>
        <item x="131"/>
        <item x="132"/>
        <item x="133"/>
        <item x="134"/>
        <item x="135"/>
        <item x="137"/>
        <item m="1" x="251"/>
        <item x="138"/>
        <item x="151"/>
        <item x="152"/>
        <item x="153"/>
        <item x="154"/>
        <item m="1" x="236"/>
        <item x="155"/>
        <item x="156"/>
        <item m="1" x="270"/>
        <item x="157"/>
        <item m="1" x="254"/>
        <item x="158"/>
        <item m="1" x="259"/>
        <item m="1" x="247"/>
        <item m="1" x="268"/>
        <item m="1" x="237"/>
        <item m="1" x="310"/>
        <item x="159"/>
        <item m="1" x="317"/>
        <item m="1" x="304"/>
        <item m="1" x="276"/>
        <item x="160"/>
        <item m="1" x="257"/>
        <item m="1" x="260"/>
        <item m="1" x="262"/>
        <item m="1" x="263"/>
        <item m="1" x="264"/>
        <item m="1" x="269"/>
        <item m="1" x="271"/>
        <item m="1" x="275"/>
        <item x="161"/>
        <item m="1" x="320"/>
        <item x="162"/>
        <item x="163"/>
        <item m="1" x="335"/>
        <item m="1" x="357"/>
        <item m="1" x="302"/>
        <item m="1" x="288"/>
        <item m="1" x="319"/>
        <item m="1" x="345"/>
        <item m="1" x="360"/>
        <item m="1" x="311"/>
        <item x="164"/>
        <item x="166"/>
        <item x="168"/>
        <item x="170"/>
        <item x="171"/>
        <item m="1" x="280"/>
        <item m="1" x="245"/>
        <item m="1" x="348"/>
        <item x="176"/>
        <item x="177"/>
        <item x="178"/>
        <item x="179"/>
        <item x="180"/>
        <item m="1" x="330"/>
        <item x="181"/>
        <item x="182"/>
        <item x="183"/>
        <item x="184"/>
        <item m="1" x="243"/>
        <item x="185"/>
        <item m="1" x="256"/>
        <item x="186"/>
        <item x="187"/>
        <item x="189"/>
        <item x="190"/>
        <item x="191"/>
        <item x="192"/>
        <item m="1" x="281"/>
        <item x="193"/>
        <item x="194"/>
        <item x="195"/>
        <item m="1" x="363"/>
        <item m="1" x="365"/>
        <item x="196"/>
        <item m="1" x="337"/>
        <item x="21"/>
        <item x="22"/>
        <item m="1" x="350"/>
        <item x="23"/>
        <item m="1" x="353"/>
        <item x="24"/>
        <item x="25"/>
        <item x="26"/>
        <item m="1" x="351"/>
        <item x="27"/>
        <item x="28"/>
        <item x="29"/>
        <item x="30"/>
        <item x="31"/>
        <item x="32"/>
        <item x="33"/>
        <item x="37"/>
        <item x="38"/>
        <item x="39"/>
        <item m="1" x="362"/>
        <item x="42"/>
        <item x="43"/>
        <item x="44"/>
        <item x="45"/>
        <item x="46"/>
        <item x="47"/>
        <item x="231"/>
        <item x="232"/>
        <item x="233"/>
        <item x="73"/>
        <item x="82"/>
        <item m="1" x="309"/>
        <item x="200"/>
        <item x="201"/>
        <item x="202"/>
        <item x="203"/>
        <item x="204"/>
        <item m="1" x="279"/>
        <item m="1" x="286"/>
        <item x="205"/>
        <item x="206"/>
        <item x="207"/>
        <item x="208"/>
        <item m="1" x="329"/>
        <item x="209"/>
        <item x="210"/>
        <item x="211"/>
        <item x="212"/>
        <item m="1" x="331"/>
        <item m="1" x="341"/>
        <item m="1" x="321"/>
        <item x="213"/>
        <item x="214"/>
        <item x="215"/>
        <item x="216"/>
        <item x="217"/>
        <item x="218"/>
        <item x="219"/>
        <item x="220"/>
        <item x="221"/>
        <item x="222"/>
        <item x="223"/>
        <item x="224"/>
        <item x="225"/>
        <item x="226"/>
        <item x="227"/>
        <item x="228"/>
        <item x="229"/>
        <item x="230"/>
        <item m="1" x="242"/>
        <item m="1" x="300"/>
        <item m="1" x="301"/>
        <item m="1" x="322"/>
        <item m="1" x="340"/>
        <item m="1" x="367"/>
        <item m="1" x="274"/>
        <item m="1" x="343"/>
        <item x="11"/>
        <item m="1" x="258"/>
        <item m="1" x="361"/>
        <item m="1" x="325"/>
        <item m="1" x="326"/>
        <item m="1" x="318"/>
        <item x="12"/>
        <item x="13"/>
        <item x="14"/>
        <item x="15"/>
        <item x="16"/>
        <item x="17"/>
        <item x="18"/>
        <item x="19"/>
        <item x="5"/>
        <item x="6"/>
        <item x="7"/>
        <item m="1" x="287"/>
        <item x="0"/>
        <item x="1"/>
        <item x="2"/>
        <item x="3"/>
        <item m="1" x="292"/>
        <item x="120"/>
        <item x="85"/>
        <item x="58"/>
        <item x="105"/>
        <item x="106"/>
        <item x="139"/>
        <item x="34"/>
        <item x="35"/>
        <item x="41"/>
        <item x="40"/>
        <item x="9"/>
        <item x="36"/>
        <item m="1" x="366"/>
        <item x="67"/>
        <item x="68"/>
        <item x="84"/>
        <item m="1" x="265"/>
        <item x="99"/>
        <item x="136"/>
        <item x="140"/>
        <item x="141"/>
        <item x="142"/>
        <item x="143"/>
        <item x="167"/>
        <item x="144"/>
        <item x="145"/>
        <item m="1" x="267"/>
        <item m="1" x="235"/>
        <item m="1" x="297"/>
        <item m="1" x="338"/>
        <item x="62"/>
        <item m="1" x="246"/>
        <item m="1" x="298"/>
        <item m="1" x="339"/>
        <item m="1" x="359"/>
        <item m="1" x="328"/>
        <item x="169"/>
        <item m="1" x="248"/>
        <item m="1" x="355"/>
        <item m="1" x="239"/>
        <item m="1" x="368"/>
        <item m="1" x="314"/>
        <item x="4"/>
        <item m="1" x="290"/>
        <item m="1" x="261"/>
        <item m="1" x="250"/>
        <item m="1" x="356"/>
        <item x="20"/>
        <item x="69"/>
        <item x="74"/>
        <item x="146"/>
        <item x="147"/>
        <item m="1" x="346"/>
        <item x="75"/>
        <item x="83"/>
        <item x="148"/>
        <item x="149"/>
        <item x="109"/>
        <item x="110"/>
        <item m="1" x="336"/>
        <item x="111"/>
        <item x="112"/>
        <item x="113"/>
        <item x="114"/>
        <item x="150"/>
        <item x="165"/>
        <item m="1" x="312"/>
        <item x="77"/>
        <item x="118"/>
        <item x="119"/>
        <item x="172"/>
        <item x="173"/>
        <item x="174"/>
        <item x="175"/>
        <item x="188"/>
        <item x="197"/>
        <item x="198"/>
        <item x="199"/>
        <item x="8"/>
      </items>
    </pivotField>
    <pivotField showAll="0"/>
    <pivotField axis="axisRow" showAll="0">
      <items count="38">
        <item x="14"/>
        <item m="1" x="29"/>
        <item m="1" x="34"/>
        <item m="1" x="31"/>
        <item x="13"/>
        <item x="27"/>
        <item x="2"/>
        <item x="3"/>
        <item x="6"/>
        <item x="7"/>
        <item x="23"/>
        <item x="10"/>
        <item x="18"/>
        <item x="16"/>
        <item x="21"/>
        <item x="19"/>
        <item x="5"/>
        <item x="4"/>
        <item m="1" x="30"/>
        <item x="11"/>
        <item x="24"/>
        <item x="25"/>
        <item x="8"/>
        <item x="9"/>
        <item x="20"/>
        <item x="0"/>
        <item x="17"/>
        <item x="22"/>
        <item m="1" x="36"/>
        <item m="1" x="28"/>
        <item m="1" x="33"/>
        <item x="15"/>
        <item m="1" x="32"/>
        <item x="26"/>
        <item m="1" x="35"/>
        <item x="1"/>
        <item x="12"/>
        <item t="default"/>
      </items>
    </pivotField>
    <pivotField showAll="0"/>
    <pivotField showAll="0"/>
    <pivotField showAll="0"/>
    <pivotField showAll="0"/>
    <pivotField showAll="0"/>
    <pivotField showAll="0"/>
    <pivotField showAll="0"/>
    <pivotField dataField="1" showAll="0"/>
    <pivotField showAll="0"/>
    <pivotField showAll="0"/>
    <pivotField showAll="0"/>
    <pivotField showAll="0"/>
    <pivotField dataField="1" showAll="0"/>
    <pivotField showAll="0">
      <items count="43">
        <item m="1" x="41"/>
        <item x="26"/>
        <item x="25"/>
        <item x="35"/>
        <item x="22"/>
        <item x="6"/>
        <item x="10"/>
        <item x="8"/>
        <item x="2"/>
        <item x="11"/>
        <item x="17"/>
        <item x="1"/>
        <item x="4"/>
        <item x="18"/>
        <item x="37"/>
        <item x="39"/>
        <item x="23"/>
        <item x="27"/>
        <item x="3"/>
        <item x="34"/>
        <item x="31"/>
        <item x="0"/>
        <item x="21"/>
        <item x="5"/>
        <item x="32"/>
        <item x="29"/>
        <item x="36"/>
        <item x="38"/>
        <item x="19"/>
        <item x="9"/>
        <item x="12"/>
        <item x="7"/>
        <item x="33"/>
        <item x="13"/>
        <item x="40"/>
        <item x="14"/>
        <item x="28"/>
        <item x="30"/>
        <item x="15"/>
        <item x="16"/>
        <item x="20"/>
        <item x="24"/>
        <item t="default"/>
      </items>
    </pivotField>
    <pivotField axis="axisRow" showAll="0">
      <items count="25">
        <item x="13"/>
        <item x="17"/>
        <item x="16"/>
        <item m="1" x="23"/>
        <item x="14"/>
        <item x="9"/>
        <item x="5"/>
        <item x="6"/>
        <item x="7"/>
        <item x="0"/>
        <item x="1"/>
        <item x="8"/>
        <item x="15"/>
        <item x="4"/>
        <item x="18"/>
        <item x="21"/>
        <item x="11"/>
        <item x="2"/>
        <item x="12"/>
        <item x="19"/>
        <item x="3"/>
        <item x="22"/>
        <item x="20"/>
        <item x="10"/>
        <item t="default"/>
      </items>
    </pivotField>
    <pivotField showAll="0"/>
    <pivotField numFmtId="166" showAll="0"/>
    <pivotField numFmtId="44" showAll="0"/>
    <pivotField numFmtId="44" showAll="0"/>
    <pivotField dataField="1" numFmtId="44" showAll="0"/>
    <pivotField axis="axisRow" showAll="0">
      <items count="313">
        <item m="1" x="250"/>
        <item m="1" x="76"/>
        <item m="1" x="267"/>
        <item m="1" x="211"/>
        <item m="1" x="140"/>
        <item m="1" x="238"/>
        <item m="1" x="210"/>
        <item m="1" x="88"/>
        <item m="1" x="154"/>
        <item m="1" x="256"/>
        <item m="1" x="187"/>
        <item m="1" x="279"/>
        <item m="1" x="124"/>
        <item m="1" x="285"/>
        <item m="1" x="107"/>
        <item m="1" x="202"/>
        <item m="1" x="142"/>
        <item m="1" x="77"/>
        <item m="1" x="226"/>
        <item m="1" x="203"/>
        <item m="1" x="70"/>
        <item m="1" x="162"/>
        <item m="1" x="174"/>
        <item m="1" x="155"/>
        <item m="1" x="303"/>
        <item m="1" x="164"/>
        <item m="1" x="255"/>
        <item m="1" x="297"/>
        <item m="1" x="119"/>
        <item m="1" x="135"/>
        <item m="1" x="199"/>
        <item m="1" x="264"/>
        <item m="1" x="136"/>
        <item m="1" x="101"/>
        <item m="1" x="182"/>
        <item m="1" x="286"/>
        <item m="1" x="79"/>
        <item m="1" x="149"/>
        <item m="1" x="106"/>
        <item m="1" x="186"/>
        <item m="1" x="133"/>
        <item m="1" x="176"/>
        <item m="1" x="308"/>
        <item m="1" x="108"/>
        <item m="1" x="99"/>
        <item m="1" x="305"/>
        <item m="1" x="231"/>
        <item m="1" x="83"/>
        <item m="1" x="157"/>
        <item m="1" x="219"/>
        <item m="1" x="257"/>
        <item m="1" x="185"/>
        <item m="1" x="112"/>
        <item m="1" x="125"/>
        <item m="1" x="235"/>
        <item m="1" x="261"/>
        <item m="1" x="120"/>
        <item m="1" x="177"/>
        <item m="1" x="100"/>
        <item m="1" x="173"/>
        <item m="1" x="229"/>
        <item m="1" x="116"/>
        <item m="1" x="131"/>
        <item m="1" x="208"/>
        <item m="1" x="123"/>
        <item m="1" x="137"/>
        <item m="1" x="103"/>
        <item m="1" x="223"/>
        <item m="1" x="134"/>
        <item m="1" x="179"/>
        <item m="1" x="233"/>
        <item m="1" x="163"/>
        <item m="1" x="115"/>
        <item m="1" x="160"/>
        <item m="1" x="263"/>
        <item m="1" x="161"/>
        <item m="1" x="273"/>
        <item m="1" x="194"/>
        <item m="1" x="213"/>
        <item m="1" x="220"/>
        <item m="1" x="153"/>
        <item m="1" x="311"/>
        <item m="1" x="98"/>
        <item m="1" x="309"/>
        <item m="1" x="71"/>
        <item m="1" x="278"/>
        <item m="1" x="74"/>
        <item m="1" x="293"/>
        <item m="1" x="89"/>
        <item m="1" x="75"/>
        <item m="1" x="265"/>
        <item m="1" x="239"/>
        <item m="1" x="306"/>
        <item m="1" x="205"/>
        <item m="1" x="189"/>
        <item m="1" x="141"/>
        <item m="1" x="85"/>
        <item m="1" x="72"/>
        <item m="1" x="90"/>
        <item m="1" x="190"/>
        <item m="1" x="178"/>
        <item m="1" x="156"/>
        <item m="1" x="269"/>
        <item m="1" x="283"/>
        <item m="1" x="294"/>
        <item m="1" x="191"/>
        <item m="1" x="110"/>
        <item m="1" x="198"/>
        <item m="1" x="224"/>
        <item m="1" x="284"/>
        <item m="1" x="192"/>
        <item m="1" x="138"/>
        <item m="1" x="281"/>
        <item m="1" x="73"/>
        <item m="1" x="139"/>
        <item m="1" x="292"/>
        <item m="1" x="296"/>
        <item m="1" x="241"/>
        <item m="1" x="290"/>
        <item m="1" x="127"/>
        <item m="1" x="221"/>
        <item m="1" x="222"/>
        <item m="1" x="310"/>
        <item m="1" x="215"/>
        <item m="1" x="276"/>
        <item m="1" x="212"/>
        <item m="1" x="128"/>
        <item m="1" x="237"/>
        <item m="1" x="249"/>
        <item m="1" x="171"/>
        <item m="1" x="253"/>
        <item m="1" x="184"/>
        <item m="1" x="230"/>
        <item m="1" x="270"/>
        <item m="1" x="147"/>
        <item m="1" x="180"/>
        <item m="1" x="126"/>
        <item m="1" x="272"/>
        <item m="1" x="295"/>
        <item m="1" x="118"/>
        <item m="1" x="301"/>
        <item m="1" x="146"/>
        <item m="1" x="113"/>
        <item m="1" x="165"/>
        <item m="1" x="242"/>
        <item m="1" x="159"/>
        <item m="1" x="122"/>
        <item m="1" x="214"/>
        <item m="1" x="82"/>
        <item m="1" x="172"/>
        <item m="1" x="288"/>
        <item m="1" x="307"/>
        <item m="1" x="289"/>
        <item x="0"/>
        <item m="1" x="87"/>
        <item m="1" x="80"/>
        <item m="1" x="158"/>
        <item m="1" x="86"/>
        <item m="1" x="204"/>
        <item m="1" x="234"/>
        <item m="1" x="225"/>
        <item m="1" x="262"/>
        <item m="1" x="246"/>
        <item m="1" x="299"/>
        <item m="1" x="129"/>
        <item m="1" x="247"/>
        <item x="13"/>
        <item m="1" x="277"/>
        <item m="1" x="193"/>
        <item m="1" x="298"/>
        <item m="1" x="167"/>
        <item m="1" x="151"/>
        <item m="1" x="227"/>
        <item m="1" x="104"/>
        <item m="1" x="130"/>
        <item m="1" x="168"/>
        <item m="1" x="243"/>
        <item m="1" x="144"/>
        <item m="1" x="291"/>
        <item m="1" x="181"/>
        <item m="1" x="300"/>
        <item m="1" x="169"/>
        <item m="1" x="117"/>
        <item m="1" x="206"/>
        <item m="1" x="102"/>
        <item x="32"/>
        <item m="1" x="200"/>
        <item m="1" x="170"/>
        <item m="1" x="175"/>
        <item m="1" x="217"/>
        <item m="1" x="105"/>
        <item x="38"/>
        <item m="1" x="96"/>
        <item m="1" x="121"/>
        <item x="41"/>
        <item x="42"/>
        <item m="1" x="252"/>
        <item x="47"/>
        <item x="48"/>
        <item m="1" x="251"/>
        <item m="1" x="248"/>
        <item m="1" x="240"/>
        <item x="51"/>
        <item m="1" x="280"/>
        <item m="1" x="95"/>
        <item m="1" x="282"/>
        <item m="1" x="111"/>
        <item m="1" x="216"/>
        <item x="57"/>
        <item m="1" x="166"/>
        <item m="1" x="114"/>
        <item m="1" x="302"/>
        <item m="1" x="275"/>
        <item m="1" x="84"/>
        <item m="1" x="271"/>
        <item x="63"/>
        <item x="64"/>
        <item m="1" x="266"/>
        <item x="66"/>
        <item m="1" x="304"/>
        <item m="1" x="228"/>
        <item m="1" x="197"/>
        <item m="1" x="254"/>
        <item m="1" x="218"/>
        <item m="1" x="152"/>
        <item m="1" x="245"/>
        <item x="6"/>
        <item m="1" x="195"/>
        <item m="1" x="148"/>
        <item m="1" x="145"/>
        <item m="1" x="244"/>
        <item m="1" x="91"/>
        <item m="1" x="81"/>
        <item m="1" x="92"/>
        <item m="1" x="93"/>
        <item x="29"/>
        <item m="1" x="143"/>
        <item m="1" x="274"/>
        <item m="1" x="94"/>
        <item m="1" x="259"/>
        <item x="40"/>
        <item x="45"/>
        <item m="1" x="188"/>
        <item m="1" x="209"/>
        <item m="1" x="69"/>
        <item m="1" x="236"/>
        <item x="53"/>
        <item x="54"/>
        <item x="55"/>
        <item m="1" x="207"/>
        <item m="1" x="268"/>
        <item m="1" x="78"/>
        <item m="1" x="287"/>
        <item x="62"/>
        <item m="1" x="150"/>
        <item m="1" x="258"/>
        <item m="1" x="196"/>
        <item x="2"/>
        <item m="1" x="109"/>
        <item m="1" x="260"/>
        <item x="4"/>
        <item x="30"/>
        <item x="56"/>
        <item x="39"/>
        <item x="49"/>
        <item x="52"/>
        <item x="60"/>
        <item x="65"/>
        <item x="67"/>
        <item m="1" x="232"/>
        <item m="1" x="97"/>
        <item m="1" x="132"/>
        <item x="7"/>
        <item x="8"/>
        <item x="9"/>
        <item x="10"/>
        <item x="11"/>
        <item x="12"/>
        <item x="15"/>
        <item x="14"/>
        <item x="16"/>
        <item x="19"/>
        <item x="17"/>
        <item x="18"/>
        <item x="23"/>
        <item x="34"/>
        <item x="24"/>
        <item x="26"/>
        <item x="20"/>
        <item x="21"/>
        <item x="25"/>
        <item x="27"/>
        <item x="22"/>
        <item x="31"/>
        <item x="33"/>
        <item x="35"/>
        <item x="36"/>
        <item x="37"/>
        <item x="68"/>
        <item x="5"/>
        <item x="59"/>
        <item x="1"/>
        <item x="50"/>
        <item m="1" x="183"/>
        <item x="44"/>
        <item x="61"/>
        <item x="28"/>
        <item x="43"/>
        <item m="1" x="201"/>
        <item x="58"/>
        <item x="46"/>
        <item x="3"/>
        <item t="default"/>
      </items>
    </pivotField>
    <pivotField showAll="0"/>
    <pivotField showAll="0">
      <items count="8">
        <item h="1" x="4"/>
        <item h="1" x="5"/>
        <item h="1" x="3"/>
        <item h="1" m="1" x="6"/>
        <item h="1" x="0"/>
        <item h="1" x="1"/>
        <item x="2"/>
        <item t="default"/>
      </items>
    </pivotField>
    <pivotField axis="axisRow" showAll="0">
      <items count="18">
        <item x="3"/>
        <item m="1" x="15"/>
        <item x="4"/>
        <item x="1"/>
        <item m="1" x="14"/>
        <item x="7"/>
        <item x="11"/>
        <item x="8"/>
        <item x="9"/>
        <item x="10"/>
        <item x="6"/>
        <item x="0"/>
        <item x="5"/>
        <item x="2"/>
        <item m="1" x="13"/>
        <item x="12"/>
        <item m="1" x="16"/>
        <item t="default"/>
      </items>
    </pivotField>
    <pivotField showAll="0"/>
  </pivotFields>
  <rowFields count="5">
    <field x="17"/>
    <field x="23"/>
    <field x="26"/>
    <field x="0"/>
    <field x="2"/>
  </rowFields>
  <rowItems count="85">
    <i>
      <x v="17"/>
    </i>
    <i r="1">
      <x v="257"/>
    </i>
    <i r="2">
      <x v="3"/>
    </i>
    <i r="3">
      <x v="69"/>
      <x v="25"/>
    </i>
    <i r="3">
      <x v="70"/>
      <x v="25"/>
    </i>
    <i r="3">
      <x v="71"/>
      <x v="25"/>
    </i>
    <i r="3">
      <x v="97"/>
      <x v="25"/>
    </i>
    <i r="3">
      <x v="98"/>
      <x v="25"/>
    </i>
    <i r="3">
      <x v="99"/>
      <x v="25"/>
    </i>
    <i r="3">
      <x v="117"/>
      <x v="25"/>
    </i>
    <i r="3">
      <x v="121"/>
      <x v="25"/>
    </i>
    <i r="3">
      <x v="123"/>
      <x v="25"/>
    </i>
    <i r="3">
      <x v="146"/>
      <x v="25"/>
    </i>
    <i r="3">
      <x v="147"/>
      <x v="25"/>
    </i>
    <i r="3">
      <x v="291"/>
      <x v="25"/>
    </i>
    <i r="3">
      <x v="338"/>
      <x v="25"/>
    </i>
    <i r="2">
      <x v="11"/>
    </i>
    <i r="3">
      <x v="102"/>
      <x v="25"/>
    </i>
    <i r="3">
      <x v="103"/>
      <x v="25"/>
    </i>
    <i r="3">
      <x v="104"/>
      <x v="25"/>
    </i>
    <i r="3">
      <x v="106"/>
      <x v="25"/>
    </i>
    <i r="3">
      <x v="125"/>
      <x v="25"/>
    </i>
    <i r="3">
      <x v="131"/>
      <x v="25"/>
    </i>
    <i r="3">
      <x v="179"/>
      <x v="25"/>
    </i>
    <i r="3">
      <x v="185"/>
      <x v="25"/>
    </i>
    <i r="3">
      <x v="244"/>
      <x v="25"/>
    </i>
    <i r="3">
      <x v="245"/>
      <x v="25"/>
    </i>
    <i r="3">
      <x v="246"/>
      <x v="25"/>
    </i>
    <i r="3">
      <x v="247"/>
      <x v="25"/>
    </i>
    <i r="3">
      <x v="248"/>
      <x v="25"/>
    </i>
    <i r="3">
      <x v="249"/>
      <x v="25"/>
    </i>
    <i r="3">
      <x v="250"/>
      <x v="25"/>
    </i>
    <i r="3">
      <x v="251"/>
      <x v="25"/>
    </i>
    <i r="3">
      <x v="252"/>
      <x v="25"/>
    </i>
    <i r="3">
      <x v="253"/>
      <x v="25"/>
    </i>
    <i r="3">
      <x v="254"/>
      <x v="25"/>
    </i>
    <i r="3">
      <x v="255"/>
      <x v="25"/>
    </i>
    <i r="3">
      <x v="256"/>
      <x v="25"/>
    </i>
    <i r="3">
      <x v="257"/>
      <x v="25"/>
    </i>
    <i r="3">
      <x v="258"/>
      <x v="25"/>
    </i>
    <i r="3">
      <x v="274"/>
      <x v="25"/>
    </i>
    <i r="3">
      <x v="275"/>
      <x v="25"/>
    </i>
    <i r="3">
      <x v="276"/>
      <x v="25"/>
    </i>
    <i r="3">
      <x v="277"/>
      <x v="25"/>
    </i>
    <i r="3">
      <x v="278"/>
      <x v="25"/>
    </i>
    <i r="3">
      <x v="279"/>
      <x v="25"/>
    </i>
    <i r="3">
      <x v="281"/>
      <x v="25"/>
    </i>
    <i r="3">
      <x v="282"/>
      <x v="25"/>
    </i>
    <i r="3">
      <x v="284"/>
      <x v="25"/>
    </i>
    <i r="3">
      <x v="313"/>
      <x v="25"/>
    </i>
    <i r="3">
      <x v="342"/>
      <x v="25"/>
    </i>
    <i r="3">
      <x v="351"/>
      <x v="25"/>
    </i>
    <i r="3">
      <x v="353"/>
      <x v="25"/>
    </i>
    <i r="3">
      <x v="355"/>
      <x v="25"/>
    </i>
    <i r="2">
      <x v="13"/>
    </i>
    <i r="3">
      <x v="100"/>
      <x v="25"/>
    </i>
    <i r="3">
      <x v="101"/>
      <x v="25"/>
    </i>
    <i r="3">
      <x v="105"/>
      <x v="25"/>
    </i>
    <i r="3">
      <x v="107"/>
      <x v="25"/>
    </i>
    <i r="3">
      <x v="108"/>
      <x v="25"/>
    </i>
    <i r="3">
      <x v="109"/>
      <x v="25"/>
    </i>
    <i r="3">
      <x v="110"/>
      <x v="25"/>
    </i>
    <i r="3">
      <x v="111"/>
      <x v="25"/>
    </i>
    <i r="3">
      <x v="112"/>
      <x v="25"/>
    </i>
    <i r="3">
      <x v="114"/>
      <x v="25"/>
    </i>
    <i r="3">
      <x v="120"/>
      <x v="25"/>
    </i>
    <i r="3">
      <x v="135"/>
      <x v="25"/>
    </i>
    <i r="3">
      <x v="144"/>
      <x v="25"/>
    </i>
    <i r="3">
      <x v="184"/>
      <x v="25"/>
    </i>
    <i r="3">
      <x v="242"/>
      <x v="25"/>
    </i>
    <i r="3">
      <x v="243"/>
      <x v="25"/>
    </i>
    <i r="3">
      <x v="280"/>
      <x v="25"/>
    </i>
    <i r="3">
      <x v="283"/>
      <x v="25"/>
    </i>
    <i r="3">
      <x v="296"/>
      <x v="25"/>
    </i>
    <i r="3">
      <x v="309"/>
      <x v="25"/>
    </i>
    <i r="3">
      <x v="310"/>
      <x v="25"/>
    </i>
    <i r="3">
      <x v="311"/>
      <x v="25"/>
    </i>
    <i r="3">
      <x v="312"/>
      <x v="25"/>
    </i>
    <i r="3">
      <x v="315"/>
      <x v="25"/>
    </i>
    <i r="3">
      <x v="316"/>
      <x v="25"/>
    </i>
    <i r="3">
      <x v="341"/>
      <x v="25"/>
    </i>
    <i r="3">
      <x v="346"/>
      <x v="25"/>
    </i>
    <i r="3">
      <x v="347"/>
      <x v="25"/>
    </i>
    <i r="3">
      <x v="352"/>
      <x v="25"/>
    </i>
    <i t="grand">
      <x/>
    </i>
  </rowItems>
  <colFields count="1">
    <field x="-2"/>
  </colFields>
  <colItems count="3">
    <i>
      <x/>
    </i>
    <i i="1">
      <x v="1"/>
    </i>
    <i i="2">
      <x v="2"/>
    </i>
  </colItems>
  <dataFields count="3">
    <dataField name="Coût hors Licences MS" fld="22" baseField="16" baseItem="0" numFmtId="165"/>
    <dataField name="Licences MS" fld="15" baseField="8" baseItem="0" numFmtId="165"/>
    <dataField name="Nb VM" fld="10" baseField="16" baseItem="0" numFmtId="2"/>
  </dataFields>
  <formats count="6">
    <format dxfId="150">
      <pivotArea dataOnly="0" labelOnly="1" outline="0" fieldPosition="0">
        <references count="1">
          <reference field="4294967294" count="1">
            <x v="1"/>
          </reference>
        </references>
      </pivotArea>
    </format>
    <format dxfId="149">
      <pivotArea outline="0" fieldPosition="0">
        <references count="1">
          <reference field="4294967294" count="1">
            <x v="1"/>
          </reference>
        </references>
      </pivotArea>
    </format>
    <format dxfId="148">
      <pivotArea dataOnly="0" labelOnly="1" outline="0" fieldPosition="0">
        <references count="1">
          <reference field="4294967294" count="1">
            <x v="2"/>
          </reference>
        </references>
      </pivotArea>
    </format>
    <format dxfId="147">
      <pivotArea outline="0" fieldPosition="0">
        <references count="1">
          <reference field="4294967294" count="1">
            <x v="0"/>
          </reference>
        </references>
      </pivotArea>
    </format>
    <format dxfId="146">
      <pivotArea dataOnly="0" labelOnly="1" outline="0" fieldPosition="0">
        <references count="1">
          <reference field="4294967294" count="1">
            <x v="0"/>
          </reference>
        </references>
      </pivotArea>
    </format>
    <format dxfId="145">
      <pivotArea outline="0" fieldPosition="0">
        <references count="1">
          <reference field="4294967294" count="1">
            <x v="2"/>
          </reference>
        </references>
      </pivotArea>
    </format>
  </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D3BFD1D-48D9-4890-AE45-03F6DDD15396}" name="Tableau croisé dynamique2" cacheId="39" applyNumberFormats="0" applyBorderFormats="0" applyFontFormats="0" applyPatternFormats="0" applyAlignmentFormats="0" applyWidthHeightFormats="1" dataCaption="Valeurs" updatedVersion="6" minRefreshableVersion="3" useAutoFormatting="1" itemPrintTitles="1" createdVersion="6" indent="0" outline="1" outlineData="1" multipleFieldFilters="0" rowHeaderCaption="CostCenter">
  <location ref="A2:F9" firstHeaderRow="0" firstDataRow="1" firstDataCol="1"/>
  <pivotFields count="28">
    <pivotField showAll="0"/>
    <pivotField showAll="0"/>
    <pivotField showAll="0"/>
    <pivotField showAll="0"/>
    <pivotField showAll="0"/>
    <pivotField showAll="0"/>
    <pivotField showAll="0"/>
    <pivotField showAll="0"/>
    <pivotField showAll="0"/>
    <pivotField showAll="0"/>
    <pivotField dataField="1" showAll="0"/>
    <pivotField showAll="0"/>
    <pivotField dataField="1" showAll="0"/>
    <pivotField dataField="1" showAll="0"/>
    <pivotField showAll="0"/>
    <pivotField dataField="1" numFmtId="165" showAll="0"/>
    <pivotField showAll="0"/>
    <pivotField showAll="0"/>
    <pivotField showAll="0"/>
    <pivotField numFmtId="44" showAll="0"/>
    <pivotField numFmtId="44" showAll="0"/>
    <pivotField numFmtId="44" showAll="0"/>
    <pivotField dataField="1" numFmtId="44" showAll="0"/>
    <pivotField showAll="0"/>
    <pivotField showAll="0"/>
    <pivotField axis="axisRow" outline="0" showAll="0" defaultSubtotal="0">
      <items count="7">
        <item x="4"/>
        <item x="5"/>
        <item x="2"/>
        <item x="1"/>
        <item m="1" x="6"/>
        <item x="0"/>
        <item x="3"/>
      </items>
    </pivotField>
    <pivotField showAll="0"/>
    <pivotField showAll="0"/>
  </pivotFields>
  <rowFields count="1">
    <field x="25"/>
  </rowFields>
  <rowItems count="7">
    <i>
      <x/>
    </i>
    <i>
      <x v="1"/>
    </i>
    <i>
      <x v="2"/>
    </i>
    <i>
      <x v="3"/>
    </i>
    <i>
      <x v="5"/>
    </i>
    <i>
      <x v="6"/>
    </i>
    <i t="grand">
      <x/>
    </i>
  </rowItems>
  <colFields count="1">
    <field x="-2"/>
  </colFields>
  <colItems count="5">
    <i>
      <x/>
    </i>
    <i i="1">
      <x v="1"/>
    </i>
    <i i="2">
      <x v="2"/>
    </i>
    <i i="3">
      <x v="3"/>
    </i>
    <i i="4">
      <x v="4"/>
    </i>
  </colItems>
  <dataFields count="5">
    <dataField name="Coût hors Licences MS" fld="22" baseField="24" baseItem="0" numFmtId="165"/>
    <dataField name="Coût Licences MS" fld="15" baseField="24" baseItem="0" numFmtId="165"/>
    <dataField name="Nb VMs" fld="10" baseField="17" baseItem="0"/>
    <dataField name="RAM active" fld="12" baseField="19" baseItem="0"/>
    <dataField name="Nb Go Disque" fld="13" baseField="19" baseItem="0"/>
  </dataFields>
  <formats count="3">
    <format dxfId="144">
      <pivotArea dataOnly="0" labelOnly="1" fieldPosition="0">
        <references count="1">
          <reference field="25" count="0"/>
        </references>
      </pivotArea>
    </format>
    <format dxfId="143">
      <pivotArea outline="0" fieldPosition="0">
        <references count="1">
          <reference field="4294967294" count="1">
            <x v="0"/>
          </reference>
        </references>
      </pivotArea>
    </format>
    <format dxfId="142">
      <pivotArea outline="0" fieldPosition="0">
        <references count="1">
          <reference field="4294967294" count="1">
            <x v="1"/>
          </reference>
        </references>
      </pivotArea>
    </format>
  </formats>
  <pivotTableStyleInfo name="PivotStyleDark7"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100-000000000000}" name="Tableau croisé dynamique1" cacheId="39" applyNumberFormats="0" applyBorderFormats="0" applyFontFormats="0" applyPatternFormats="0" applyAlignmentFormats="0" applyWidthHeightFormats="1" dataCaption="Valeurs" updatedVersion="6" minRefreshableVersion="3" itemPrintTitles="1" createdVersion="6" indent="0" outline="1" outlineData="1" multipleFieldFilters="0" rowHeaderCaption="VM">
  <location ref="A1:B236" firstHeaderRow="1" firstDataRow="1" firstDataCol="1"/>
  <pivotFields count="28">
    <pivotField axis="axisRow" showAll="0" sortType="descending">
      <items count="371">
        <item x="0"/>
        <item x="1"/>
        <item x="2"/>
        <item x="3"/>
        <item x="5"/>
        <item x="6"/>
        <item x="7"/>
        <item m="1" x="287"/>
        <item m="1" x="283"/>
        <item x="10"/>
        <item x="11"/>
        <item m="1" x="258"/>
        <item m="1" x="361"/>
        <item m="1" x="325"/>
        <item m="1" x="326"/>
        <item m="1" x="318"/>
        <item x="12"/>
        <item x="13"/>
        <item x="14"/>
        <item x="15"/>
        <item x="16"/>
        <item x="17"/>
        <item x="18"/>
        <item x="19"/>
        <item m="1" x="344"/>
        <item x="21"/>
        <item x="22"/>
        <item m="1" x="350"/>
        <item x="23"/>
        <item m="1" x="353"/>
        <item x="24"/>
        <item x="25"/>
        <item x="26"/>
        <item m="1" x="351"/>
        <item x="27"/>
        <item x="28"/>
        <item x="29"/>
        <item x="30"/>
        <item x="31"/>
        <item x="32"/>
        <item x="33"/>
        <item x="37"/>
        <item x="38"/>
        <item x="39"/>
        <item m="1" x="362"/>
        <item x="42"/>
        <item x="43"/>
        <item x="44"/>
        <item x="45"/>
        <item x="46"/>
        <item x="47"/>
        <item x="48"/>
        <item x="49"/>
        <item x="50"/>
        <item x="51"/>
        <item m="1" x="342"/>
        <item x="52"/>
        <item x="53"/>
        <item x="54"/>
        <item x="55"/>
        <item m="1" x="291"/>
        <item m="1" x="234"/>
        <item m="1" x="303"/>
        <item m="1" x="352"/>
        <item x="56"/>
        <item x="57"/>
        <item x="59"/>
        <item x="60"/>
        <item x="61"/>
        <item m="1" x="332"/>
        <item m="1" x="334"/>
        <item x="63"/>
        <item x="64"/>
        <item x="65"/>
        <item x="66"/>
        <item x="70"/>
        <item x="71"/>
        <item x="72"/>
        <item x="73"/>
        <item m="1" x="285"/>
        <item x="76"/>
        <item x="78"/>
        <item m="1" x="272"/>
        <item x="79"/>
        <item m="1" x="238"/>
        <item x="80"/>
        <item m="1" x="277"/>
        <item m="1" x="266"/>
        <item m="1" x="249"/>
        <item m="1" x="244"/>
        <item m="1" x="308"/>
        <item x="81"/>
        <item m="1" x="313"/>
        <item x="82"/>
        <item m="1" x="327"/>
        <item m="1" x="354"/>
        <item x="86"/>
        <item m="1" x="369"/>
        <item m="1" x="240"/>
        <item m="1" x="241"/>
        <item m="1" x="252"/>
        <item m="1" x="364"/>
        <item m="1" x="315"/>
        <item m="1" x="349"/>
        <item m="1" x="358"/>
        <item m="1" x="282"/>
        <item m="1" x="289"/>
        <item x="87"/>
        <item x="88"/>
        <item x="89"/>
        <item m="1" x="307"/>
        <item x="90"/>
        <item x="91"/>
        <item x="92"/>
        <item x="93"/>
        <item m="1" x="253"/>
        <item x="94"/>
        <item m="1" x="306"/>
        <item x="95"/>
        <item x="96"/>
        <item x="97"/>
        <item x="98"/>
        <item m="1" x="324"/>
        <item m="1" x="316"/>
        <item m="1" x="296"/>
        <item x="100"/>
        <item x="101"/>
        <item m="1" x="255"/>
        <item m="1" x="305"/>
        <item x="102"/>
        <item m="1" x="299"/>
        <item x="103"/>
        <item x="104"/>
        <item m="1" x="278"/>
        <item m="1" x="273"/>
        <item m="1" x="294"/>
        <item m="1" x="295"/>
        <item m="1" x="293"/>
        <item x="107"/>
        <item x="108"/>
        <item m="1" x="242"/>
        <item m="1" x="300"/>
        <item m="1" x="301"/>
        <item m="1" x="322"/>
        <item m="1" x="340"/>
        <item m="1" x="367"/>
        <item m="1" x="274"/>
        <item m="1" x="343"/>
        <item x="115"/>
        <item x="116"/>
        <item x="117"/>
        <item m="1" x="347"/>
        <item m="1" x="323"/>
        <item m="1" x="333"/>
        <item m="1" x="284"/>
        <item x="121"/>
        <item x="122"/>
        <item x="123"/>
        <item x="124"/>
        <item x="125"/>
        <item x="126"/>
        <item x="127"/>
        <item x="128"/>
        <item x="129"/>
        <item x="130"/>
        <item x="131"/>
        <item x="132"/>
        <item x="133"/>
        <item x="134"/>
        <item x="135"/>
        <item x="137"/>
        <item m="1" x="251"/>
        <item x="138"/>
        <item x="151"/>
        <item x="152"/>
        <item x="153"/>
        <item x="154"/>
        <item m="1" x="236"/>
        <item x="155"/>
        <item x="156"/>
        <item m="1" x="270"/>
        <item x="157"/>
        <item m="1" x="254"/>
        <item x="158"/>
        <item m="1" x="259"/>
        <item m="1" x="247"/>
        <item m="1" x="268"/>
        <item m="1" x="237"/>
        <item m="1" x="310"/>
        <item x="159"/>
        <item m="1" x="317"/>
        <item m="1" x="304"/>
        <item m="1" x="276"/>
        <item x="160"/>
        <item m="1" x="257"/>
        <item m="1" x="260"/>
        <item m="1" x="262"/>
        <item m="1" x="263"/>
        <item m="1" x="264"/>
        <item m="1" x="269"/>
        <item m="1" x="271"/>
        <item m="1" x="275"/>
        <item x="161"/>
        <item m="1" x="320"/>
        <item x="162"/>
        <item x="163"/>
        <item m="1" x="335"/>
        <item m="1" x="357"/>
        <item m="1" x="302"/>
        <item m="1" x="288"/>
        <item m="1" x="319"/>
        <item m="1" x="345"/>
        <item m="1" x="360"/>
        <item m="1" x="311"/>
        <item x="164"/>
        <item m="1" x="292"/>
        <item x="166"/>
        <item x="168"/>
        <item x="170"/>
        <item x="171"/>
        <item m="1" x="280"/>
        <item m="1" x="245"/>
        <item m="1" x="348"/>
        <item x="176"/>
        <item x="177"/>
        <item x="178"/>
        <item x="179"/>
        <item x="180"/>
        <item m="1" x="330"/>
        <item x="181"/>
        <item x="182"/>
        <item x="183"/>
        <item x="184"/>
        <item m="1" x="243"/>
        <item x="185"/>
        <item m="1" x="256"/>
        <item x="186"/>
        <item x="187"/>
        <item x="189"/>
        <item x="190"/>
        <item x="191"/>
        <item x="192"/>
        <item m="1" x="281"/>
        <item x="193"/>
        <item x="194"/>
        <item x="195"/>
        <item m="1" x="363"/>
        <item m="1" x="365"/>
        <item x="196"/>
        <item m="1" x="337"/>
        <item m="1" x="309"/>
        <item x="200"/>
        <item x="201"/>
        <item x="202"/>
        <item x="203"/>
        <item x="204"/>
        <item m="1" x="279"/>
        <item m="1" x="286"/>
        <item x="205"/>
        <item x="206"/>
        <item x="207"/>
        <item x="208"/>
        <item m="1" x="329"/>
        <item x="209"/>
        <item x="210"/>
        <item x="211"/>
        <item x="212"/>
        <item m="1" x="331"/>
        <item m="1" x="341"/>
        <item m="1" x="321"/>
        <item x="213"/>
        <item x="214"/>
        <item x="215"/>
        <item x="216"/>
        <item x="217"/>
        <item x="218"/>
        <item x="219"/>
        <item x="220"/>
        <item x="221"/>
        <item x="222"/>
        <item x="223"/>
        <item x="224"/>
        <item x="225"/>
        <item x="226"/>
        <item x="227"/>
        <item x="228"/>
        <item x="229"/>
        <item x="230"/>
        <item x="231"/>
        <item x="232"/>
        <item x="233"/>
        <item x="120"/>
        <item x="85"/>
        <item x="58"/>
        <item x="105"/>
        <item x="106"/>
        <item x="139"/>
        <item x="34"/>
        <item x="35"/>
        <item x="41"/>
        <item x="40"/>
        <item x="9"/>
        <item x="36"/>
        <item m="1" x="366"/>
        <item x="67"/>
        <item x="68"/>
        <item x="84"/>
        <item m="1" x="265"/>
        <item x="99"/>
        <item x="136"/>
        <item x="140"/>
        <item x="141"/>
        <item x="142"/>
        <item x="143"/>
        <item x="167"/>
        <item x="144"/>
        <item x="145"/>
        <item m="1" x="267"/>
        <item m="1" x="235"/>
        <item m="1" x="297"/>
        <item m="1" x="338"/>
        <item x="62"/>
        <item m="1" x="246"/>
        <item m="1" x="298"/>
        <item m="1" x="339"/>
        <item m="1" x="359"/>
        <item m="1" x="328"/>
        <item x="169"/>
        <item m="1" x="248"/>
        <item m="1" x="355"/>
        <item m="1" x="239"/>
        <item m="1" x="368"/>
        <item m="1" x="314"/>
        <item x="4"/>
        <item m="1" x="290"/>
        <item m="1" x="261"/>
        <item m="1" x="250"/>
        <item m="1" x="356"/>
        <item x="20"/>
        <item x="69"/>
        <item x="74"/>
        <item x="146"/>
        <item x="147"/>
        <item m="1" x="346"/>
        <item x="75"/>
        <item x="83"/>
        <item x="148"/>
        <item x="149"/>
        <item x="109"/>
        <item x="110"/>
        <item m="1" x="336"/>
        <item x="111"/>
        <item x="112"/>
        <item x="113"/>
        <item x="114"/>
        <item x="150"/>
        <item x="165"/>
        <item m="1" x="312"/>
        <item x="77"/>
        <item x="118"/>
        <item x="119"/>
        <item x="172"/>
        <item x="173"/>
        <item x="174"/>
        <item x="175"/>
        <item x="188"/>
        <item x="197"/>
        <item x="198"/>
        <item x="199"/>
        <item x="8"/>
        <item t="default"/>
      </items>
      <autoSortScope>
        <pivotArea dataOnly="0" outline="0" fieldPosition="0">
          <references count="1">
            <reference field="4294967294" count="1" selected="0">
              <x v="0"/>
            </reference>
          </references>
        </pivotArea>
      </autoSortScope>
    </pivotField>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44" showAll="0"/>
    <pivotField numFmtId="44" showAll="0"/>
    <pivotField numFmtId="44" showAll="0"/>
    <pivotField numFmtId="44" showAll="0"/>
    <pivotField showAll="0"/>
    <pivotField showAll="0"/>
    <pivotField showAll="0"/>
    <pivotField showAll="0"/>
    <pivotField name="Mutualisé2" showAll="0"/>
  </pivotFields>
  <rowFields count="1">
    <field x="0"/>
  </rowFields>
  <rowItems count="235">
    <i>
      <x v="37"/>
    </i>
    <i>
      <x v="32"/>
    </i>
    <i>
      <x v="116"/>
    </i>
    <i>
      <x v="36"/>
    </i>
    <i>
      <x v="42"/>
    </i>
    <i>
      <x v="113"/>
    </i>
    <i>
      <x v="125"/>
    </i>
    <i>
      <x v="34"/>
    </i>
    <i>
      <x v="59"/>
    </i>
    <i>
      <x v="229"/>
    </i>
    <i>
      <x v="91"/>
    </i>
    <i>
      <x v="289"/>
    </i>
    <i>
      <x v="241"/>
    </i>
    <i>
      <x v="349"/>
    </i>
    <i>
      <x v="284"/>
    </i>
    <i>
      <x v="20"/>
    </i>
    <i>
      <x v="219"/>
    </i>
    <i>
      <x v="21"/>
    </i>
    <i>
      <x v="265"/>
    </i>
    <i>
      <x v="22"/>
    </i>
    <i>
      <x v="314"/>
    </i>
    <i>
      <x v="23"/>
    </i>
    <i>
      <x v="367"/>
    </i>
    <i>
      <x v="25"/>
    </i>
    <i>
      <x v="231"/>
    </i>
    <i>
      <x v="26"/>
    </i>
    <i>
      <x v="254"/>
    </i>
    <i>
      <x v="28"/>
    </i>
    <i>
      <x v="276"/>
    </i>
    <i>
      <x v="30"/>
    </i>
    <i>
      <x v="305"/>
    </i>
    <i>
      <x v="31"/>
    </i>
    <i>
      <x v="340"/>
    </i>
    <i>
      <x v="1"/>
    </i>
    <i>
      <x v="359"/>
    </i>
    <i>
      <x v="2"/>
    </i>
    <i>
      <x v="214"/>
    </i>
    <i>
      <x v="35"/>
    </i>
    <i>
      <x v="226"/>
    </i>
    <i>
      <x v="3"/>
    </i>
    <i>
      <x v="237"/>
    </i>
    <i>
      <x v="4"/>
    </i>
    <i>
      <x v="248"/>
    </i>
    <i>
      <x v="38"/>
    </i>
    <i>
      <x v="260"/>
    </i>
    <i>
      <x v="39"/>
    </i>
    <i>
      <x v="272"/>
    </i>
    <i>
      <x v="40"/>
    </i>
    <i>
      <x v="280"/>
    </i>
    <i>
      <x v="41"/>
    </i>
    <i>
      <x v="19"/>
    </i>
    <i>
      <x v="5"/>
    </i>
    <i>
      <x v="310"/>
    </i>
    <i>
      <x v="43"/>
    </i>
    <i>
      <x v="327"/>
    </i>
    <i>
      <x v="45"/>
    </i>
    <i>
      <x v="345"/>
    </i>
    <i>
      <x v="46"/>
    </i>
    <i>
      <x v="354"/>
    </i>
    <i>
      <x v="47"/>
    </i>
    <i>
      <x v="363"/>
    </i>
    <i>
      <x v="48"/>
    </i>
    <i>
      <x v="204"/>
    </i>
    <i>
      <x v="49"/>
    </i>
    <i>
      <x v="217"/>
    </i>
    <i>
      <x v="50"/>
    </i>
    <i>
      <x v="224"/>
    </i>
    <i>
      <x v="51"/>
    </i>
    <i>
      <x v="18"/>
    </i>
    <i>
      <x v="52"/>
    </i>
    <i>
      <x v="234"/>
    </i>
    <i>
      <x v="53"/>
    </i>
    <i>
      <x v="239"/>
    </i>
    <i>
      <x v="54"/>
    </i>
    <i>
      <x v="244"/>
    </i>
    <i>
      <x v="56"/>
    </i>
    <i>
      <x v="252"/>
    </i>
    <i>
      <x v="57"/>
    </i>
    <i>
      <x v="258"/>
    </i>
    <i>
      <x v="58"/>
    </i>
    <i>
      <x v="263"/>
    </i>
    <i>
      <x v="6"/>
    </i>
    <i>
      <x v="270"/>
    </i>
    <i>
      <x v="64"/>
    </i>
    <i>
      <x v="274"/>
    </i>
    <i>
      <x v="65"/>
    </i>
    <i>
      <x v="278"/>
    </i>
    <i>
      <x v="66"/>
    </i>
    <i>
      <x v="282"/>
    </i>
    <i>
      <x v="67"/>
    </i>
    <i>
      <x v="286"/>
    </i>
    <i>
      <x v="68"/>
    </i>
    <i>
      <x v="302"/>
    </i>
    <i>
      <x v="71"/>
    </i>
    <i>
      <x v="308"/>
    </i>
    <i>
      <x v="72"/>
    </i>
    <i>
      <x v="312"/>
    </i>
    <i>
      <x v="73"/>
    </i>
    <i>
      <x v="316"/>
    </i>
    <i>
      <x v="74"/>
    </i>
    <i>
      <x v="338"/>
    </i>
    <i>
      <x v="75"/>
    </i>
    <i>
      <x v="342"/>
    </i>
    <i>
      <x v="76"/>
    </i>
    <i>
      <x v="347"/>
    </i>
    <i>
      <x v="77"/>
    </i>
    <i>
      <x v="352"/>
    </i>
    <i>
      <x v="78"/>
    </i>
    <i>
      <x v="356"/>
    </i>
    <i>
      <x v="80"/>
    </i>
    <i>
      <x v="361"/>
    </i>
    <i>
      <x v="81"/>
    </i>
    <i>
      <x v="365"/>
    </i>
    <i>
      <x v="83"/>
    </i>
    <i>
      <x v="369"/>
    </i>
    <i>
      <x v="85"/>
    </i>
    <i>
      <x v="205"/>
    </i>
    <i>
      <x v="9"/>
    </i>
    <i>
      <x v="216"/>
    </i>
    <i>
      <x v="93"/>
    </i>
    <i>
      <x v="218"/>
    </i>
    <i>
      <x v="96"/>
    </i>
    <i>
      <x v="223"/>
    </i>
    <i>
      <x v="107"/>
    </i>
    <i>
      <x v="225"/>
    </i>
    <i>
      <x v="108"/>
    </i>
    <i>
      <x v="227"/>
    </i>
    <i>
      <x v="109"/>
    </i>
    <i>
      <x v="230"/>
    </i>
    <i>
      <x v="111"/>
    </i>
    <i>
      <x v="232"/>
    </i>
    <i>
      <x v="112"/>
    </i>
    <i>
      <x v="236"/>
    </i>
    <i>
      <x v="10"/>
    </i>
    <i>
      <x v="238"/>
    </i>
    <i>
      <x v="114"/>
    </i>
    <i>
      <x v="240"/>
    </i>
    <i>
      <x v="16"/>
    </i>
    <i>
      <x v="243"/>
    </i>
    <i>
      <x v="118"/>
    </i>
    <i>
      <x v="245"/>
    </i>
    <i>
      <x v="119"/>
    </i>
    <i>
      <x v="251"/>
    </i>
    <i>
      <x v="120"/>
    </i>
    <i>
      <x v="253"/>
    </i>
    <i>
      <x v="121"/>
    </i>
    <i>
      <x v="255"/>
    </i>
    <i>
      <x v="17"/>
    </i>
    <i>
      <x v="259"/>
    </i>
    <i>
      <x v="126"/>
    </i>
    <i>
      <x v="261"/>
    </i>
    <i>
      <x v="129"/>
    </i>
    <i>
      <x v="264"/>
    </i>
    <i>
      <x v="131"/>
    </i>
    <i>
      <x v="266"/>
    </i>
    <i>
      <x v="132"/>
    </i>
    <i>
      <x v="271"/>
    </i>
    <i>
      <x v="138"/>
    </i>
    <i>
      <x v="273"/>
    </i>
    <i>
      <x v="139"/>
    </i>
    <i>
      <x v="275"/>
    </i>
    <i>
      <x v="148"/>
    </i>
    <i>
      <x v="277"/>
    </i>
    <i>
      <x v="288"/>
    </i>
    <i>
      <x v="279"/>
    </i>
    <i>
      <x v="290"/>
    </i>
    <i>
      <x v="281"/>
    </i>
    <i>
      <x v="292"/>
    </i>
    <i>
      <x v="283"/>
    </i>
    <i>
      <x v="294"/>
    </i>
    <i>
      <x v="285"/>
    </i>
    <i>
      <x v="296"/>
    </i>
    <i>
      <x v="287"/>
    </i>
    <i>
      <x v="298"/>
    </i>
    <i>
      <x v="300"/>
    </i>
    <i>
      <x v="149"/>
    </i>
    <i>
      <x v="291"/>
    </i>
    <i>
      <x v="150"/>
    </i>
    <i>
      <x v="293"/>
    </i>
    <i>
      <x v="155"/>
    </i>
    <i>
      <x v="295"/>
    </i>
    <i>
      <x v="156"/>
    </i>
    <i>
      <x v="297"/>
    </i>
    <i>
      <x v="157"/>
    </i>
    <i>
      <x v="299"/>
    </i>
    <i>
      <x v="158"/>
    </i>
    <i>
      <x v="301"/>
    </i>
    <i>
      <x v="159"/>
    </i>
    <i>
      <x v="304"/>
    </i>
    <i>
      <x v="160"/>
    </i>
    <i>
      <x v="306"/>
    </i>
    <i>
      <x v="161"/>
    </i>
    <i>
      <x v="309"/>
    </i>
    <i>
      <x v="162"/>
    </i>
    <i>
      <x v="311"/>
    </i>
    <i>
      <x v="163"/>
    </i>
    <i>
      <x v="313"/>
    </i>
    <i>
      <x v="164"/>
    </i>
    <i>
      <x v="315"/>
    </i>
    <i>
      <x v="165"/>
    </i>
    <i>
      <x v="321"/>
    </i>
    <i>
      <x v="166"/>
    </i>
    <i>
      <x v="333"/>
    </i>
    <i>
      <x v="167"/>
    </i>
    <i>
      <x v="339"/>
    </i>
    <i>
      <x v="168"/>
    </i>
    <i>
      <x v="341"/>
    </i>
    <i>
      <x v="169"/>
    </i>
    <i>
      <x v="344"/>
    </i>
    <i>
      <x v="170"/>
    </i>
    <i>
      <x v="346"/>
    </i>
    <i>
      <x v="172"/>
    </i>
    <i>
      <x v="348"/>
    </i>
    <i>
      <x v="173"/>
    </i>
    <i>
      <x v="351"/>
    </i>
    <i>
      <x v="174"/>
    </i>
    <i>
      <x v="353"/>
    </i>
    <i>
      <x v="175"/>
    </i>
    <i>
      <x v="355"/>
    </i>
    <i>
      <x v="176"/>
    </i>
    <i>
      <x v="358"/>
    </i>
    <i>
      <x v="178"/>
    </i>
    <i>
      <x v="360"/>
    </i>
    <i>
      <x v="179"/>
    </i>
    <i>
      <x v="362"/>
    </i>
    <i>
      <x v="181"/>
    </i>
    <i>
      <x v="364"/>
    </i>
    <i>
      <x v="183"/>
    </i>
    <i>
      <x v="366"/>
    </i>
    <i>
      <x v="189"/>
    </i>
    <i>
      <x v="368"/>
    </i>
    <i>
      <x v="193"/>
    </i>
    <i>
      <x/>
    </i>
    <i>
      <x v="202"/>
    </i>
    <i t="grand">
      <x/>
    </i>
  </rowItems>
  <colItems count="1">
    <i/>
  </colItems>
  <dataFields count="1">
    <dataField name="Mutualisé" fld="1" subtotal="count" baseField="0" baseItem="0"/>
  </dataFields>
  <conditionalFormats count="1">
    <conditionalFormat priority="1">
      <pivotAreas count="1">
        <pivotArea type="data" collapsedLevelsAreSubtotals="1" fieldPosition="0">
          <references count="2">
            <reference field="4294967294" count="1" selected="0">
              <x v="0"/>
            </reference>
            <reference field="0" count="281">
              <x v="0"/>
              <x v="1"/>
              <x v="2"/>
              <x v="3"/>
              <x v="4"/>
              <x v="5"/>
              <x v="6"/>
              <x v="7"/>
              <x v="8"/>
              <x v="9"/>
              <x v="10"/>
              <x v="11"/>
              <x v="12"/>
              <x v="13"/>
              <x v="14"/>
              <x v="15"/>
              <x v="16"/>
              <x v="17"/>
              <x v="18"/>
              <x v="19"/>
              <x v="20"/>
              <x v="21"/>
              <x v="22"/>
              <x v="23"/>
              <x v="24"/>
              <x v="25"/>
              <x v="26"/>
              <x v="28"/>
              <x v="29"/>
              <x v="30"/>
              <x v="31"/>
              <x v="32"/>
              <x v="33"/>
              <x v="34"/>
              <x v="35"/>
              <x v="36"/>
              <x v="37"/>
              <x v="38"/>
              <x v="39"/>
              <x v="40"/>
              <x v="41"/>
              <x v="42"/>
              <x v="43"/>
              <x v="44"/>
              <x v="45"/>
              <x v="46"/>
              <x v="47"/>
              <x v="48"/>
              <x v="49"/>
              <x v="50"/>
              <x v="51"/>
              <x v="52"/>
              <x v="53"/>
              <x v="54"/>
              <x v="55"/>
              <x v="56"/>
              <x v="57"/>
              <x v="58"/>
              <x v="59"/>
              <x v="60"/>
              <x v="61"/>
              <x v="63"/>
              <x v="64"/>
              <x v="65"/>
              <x v="66"/>
              <x v="67"/>
              <x v="68"/>
              <x v="69"/>
              <x v="70"/>
              <x v="71"/>
              <x v="72"/>
              <x v="73"/>
              <x v="74"/>
              <x v="75"/>
              <x v="76"/>
              <x v="77"/>
              <x v="78"/>
              <x v="79"/>
              <x v="80"/>
              <x v="81"/>
              <x v="82"/>
              <x v="83"/>
              <x v="84"/>
              <x v="85"/>
              <x v="86"/>
              <x v="87"/>
              <x v="88"/>
              <x v="89"/>
              <x v="90"/>
              <x v="91"/>
              <x v="92"/>
              <x v="93"/>
              <x v="94"/>
              <x v="95"/>
              <x v="96"/>
              <x v="97"/>
              <x v="98"/>
              <x v="99"/>
              <x v="100"/>
              <x v="101"/>
              <x v="102"/>
              <x v="103"/>
              <x v="104"/>
              <x v="105"/>
              <x v="106"/>
              <x v="107"/>
              <x v="108"/>
              <x v="109"/>
              <x v="110"/>
              <x v="111"/>
              <x v="112"/>
              <x v="113"/>
              <x v="114"/>
              <x v="115"/>
              <x v="116"/>
              <x v="117"/>
              <x v="118"/>
              <x v="119"/>
              <x v="120"/>
              <x v="121"/>
              <x v="122"/>
              <x v="123"/>
              <x v="124"/>
              <x v="125"/>
              <x v="126"/>
              <x v="127"/>
              <x v="129"/>
              <x v="130"/>
              <x v="131"/>
              <x v="132"/>
              <x v="133"/>
              <x v="134"/>
              <x v="135"/>
              <x v="136"/>
              <x v="137"/>
              <x v="138"/>
              <x v="139"/>
              <x v="140"/>
              <x v="141"/>
              <x v="142"/>
              <x v="143"/>
              <x v="144"/>
              <x v="145"/>
              <x v="146"/>
              <x v="147"/>
              <x v="148"/>
              <x v="149"/>
              <x v="150"/>
              <x v="151"/>
              <x v="152"/>
              <x v="153"/>
              <x v="154"/>
              <x v="155"/>
              <x v="156"/>
              <x v="157"/>
              <x v="158"/>
              <x v="159"/>
              <x v="160"/>
              <x v="161"/>
              <x v="162"/>
              <x v="163"/>
              <x v="164"/>
              <x v="165"/>
              <x v="166"/>
              <x v="167"/>
              <x v="168"/>
              <x v="169"/>
              <x v="170"/>
              <x v="171"/>
              <x v="172"/>
              <x v="173"/>
              <x v="174"/>
              <x v="175"/>
              <x v="176"/>
              <x v="178"/>
              <x v="179"/>
              <x v="181"/>
              <x v="182"/>
              <x v="183"/>
              <x v="184"/>
              <x v="185"/>
              <x v="186"/>
              <x v="188"/>
              <x v="189"/>
              <x v="190"/>
              <x v="191"/>
              <x v="192"/>
              <x v="193"/>
              <x v="194"/>
              <x v="195"/>
              <x v="196"/>
              <x v="197"/>
              <x v="198"/>
              <x v="199"/>
              <x v="200"/>
              <x v="201"/>
              <x v="202"/>
              <x v="203"/>
              <x v="204"/>
              <x v="205"/>
              <x v="206"/>
              <x v="207"/>
              <x v="208"/>
              <x v="209"/>
              <x v="210"/>
              <x v="211"/>
              <x v="212"/>
              <x v="214"/>
              <x v="215"/>
              <x v="216"/>
              <x v="217"/>
              <x v="218"/>
              <x v="219"/>
              <x v="220"/>
              <x v="222"/>
              <x v="223"/>
              <x v="224"/>
              <x v="225"/>
              <x v="226"/>
              <x v="227"/>
              <x v="229"/>
              <x v="230"/>
              <x v="231"/>
              <x v="232"/>
              <x v="233"/>
              <x v="234"/>
              <x v="235"/>
              <x v="236"/>
              <x v="237"/>
              <x v="238"/>
              <x v="239"/>
              <x v="240"/>
              <x v="241"/>
              <x v="243"/>
              <x v="244"/>
              <x v="245"/>
              <x v="246"/>
              <x v="247"/>
              <x v="248"/>
              <x v="249"/>
              <x v="250"/>
              <x v="251"/>
              <x v="252"/>
              <x v="253"/>
              <x v="254"/>
              <x v="255"/>
              <x v="256"/>
              <x v="257"/>
              <x v="258"/>
              <x v="259"/>
              <x v="260"/>
              <x v="261"/>
              <x v="262"/>
              <x v="263"/>
              <x v="264"/>
              <x v="265"/>
              <x v="266"/>
              <x v="267"/>
              <x v="268"/>
              <x v="269"/>
              <x v="270"/>
              <x v="271"/>
              <x v="272"/>
              <x v="273"/>
              <x v="274"/>
              <x v="275"/>
              <x v="276"/>
              <x v="277"/>
              <x v="278"/>
              <x v="279"/>
              <x v="280"/>
              <x v="281"/>
              <x v="282"/>
              <x v="283"/>
              <x v="284"/>
              <x v="285"/>
              <x v="286"/>
              <x v="287"/>
              <x v="288"/>
              <x v="289"/>
              <x v="290"/>
            </reference>
          </references>
        </pivotArea>
      </pivotAreas>
    </conditionalFormat>
  </conditionalFormats>
  <pivotTableStyleInfo name="PivotStyleMedium10"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_SYGES" xr10:uid="{00000000-0013-0000-FFFF-FFFF01000000}" sourceName="SYGES">
  <pivotTables>
    <pivotTable tabId="1" name="Tableau croisé dynamique1"/>
  </pivotTables>
  <data>
    <tabular pivotCacheId="1114071526">
      <items count="42">
        <i x="2" s="1"/>
        <i x="41" s="1" nd="1"/>
        <i x="26" s="1" nd="1"/>
        <i x="25" s="1" nd="1"/>
        <i x="35" s="1" nd="1"/>
        <i x="22" s="1" nd="1"/>
        <i x="6" s="1" nd="1"/>
        <i x="10" s="1" nd="1"/>
        <i x="8" s="1" nd="1"/>
        <i x="11" s="1" nd="1"/>
        <i x="17" s="1" nd="1"/>
        <i x="1" s="1" nd="1"/>
        <i x="4" s="1" nd="1"/>
        <i x="18" s="1" nd="1"/>
        <i x="37" s="1" nd="1"/>
        <i x="39" s="1" nd="1"/>
        <i x="23" s="1" nd="1"/>
        <i x="27" s="1" nd="1"/>
        <i x="3" s="1" nd="1"/>
        <i x="34" s="1" nd="1"/>
        <i x="31" s="1" nd="1"/>
        <i x="0" s="1" nd="1"/>
        <i x="21" s="1" nd="1"/>
        <i x="5" s="1" nd="1"/>
        <i x="32" s="1" nd="1"/>
        <i x="29" s="1" nd="1"/>
        <i x="36" s="1" nd="1"/>
        <i x="38" s="1" nd="1"/>
        <i x="19" s="1" nd="1"/>
        <i x="9" s="1" nd="1"/>
        <i x="12" s="1" nd="1"/>
        <i x="7" s="1" nd="1"/>
        <i x="33" s="1" nd="1"/>
        <i x="13" s="1" nd="1"/>
        <i x="40" s="1" nd="1"/>
        <i x="14" s="1" nd="1"/>
        <i x="28" s="1" nd="1"/>
        <i x="30" s="1" nd="1"/>
        <i x="15" s="1" nd="1"/>
        <i x="16" s="1" nd="1"/>
        <i x="20" s="1" nd="1"/>
        <i x="24"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_Environnement" xr10:uid="{00000000-0013-0000-FFFF-FFFF02000000}" sourceName="Environnement">
  <pivotTables>
    <pivotTable tabId="1" name="Tableau croisé dynamique1"/>
  </pivotTables>
  <data>
    <tabular pivotCacheId="1114071526">
      <items count="17">
        <i x="2" s="1"/>
        <i x="0" s="1"/>
        <i x="1" s="1"/>
        <i x="12" s="1" nd="1"/>
        <i x="3" s="1" nd="1"/>
        <i x="9" s="1" nd="1"/>
        <i x="8" s="1" nd="1"/>
        <i x="11" s="1" nd="1"/>
        <i x="16" s="1" nd="1"/>
        <i x="7" s="1" nd="1"/>
        <i x="6" s="1" nd="1"/>
        <i x="10" s="1" nd="1"/>
        <i x="5" s="1" nd="1"/>
        <i x="13" s="1" nd="1"/>
        <i x="4" s="1" nd="1"/>
        <i x="14" s="1" nd="1"/>
        <i x="15"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_Projet" xr10:uid="{00000000-0013-0000-FFFF-FFFF03000000}" sourceName="Projet">
  <pivotTables>
    <pivotTable tabId="1" name="Tableau croisé dynamique1"/>
  </pivotTables>
  <data>
    <tabular pivotCacheId="1114071526">
      <items count="312">
        <i x="2" s="1"/>
        <i x="267" s="1" nd="1"/>
        <i x="212" s="1" nd="1"/>
        <i x="48" s="1" nd="1"/>
        <i x="211" s="1" nd="1"/>
        <i x="249" s="1" nd="1"/>
        <i x="51" s="1" nd="1"/>
        <i x="83" s="1" nd="1"/>
        <i x="74" s="1" nd="1"/>
        <i x="246" s="1" nd="1"/>
        <i x="9" s="1" nd="1"/>
        <i x="131" s="1" nd="1"/>
        <i x="269" s="1" nd="1"/>
        <i x="291" s="1" nd="1"/>
        <i x="20" s="1" nd="1"/>
        <i x="157" s="1" nd="1"/>
        <i x="293" s="1" nd="1"/>
        <i x="299" s="1" nd="1"/>
        <i x="10" s="1" nd="1"/>
        <i x="208" s="1" nd="1"/>
        <i x="283" s="1" nd="1"/>
        <i x="181" s="1" nd="1"/>
        <i x="21" s="1" nd="1"/>
        <i x="103" s="1" nd="1"/>
        <i x="110" s="1" nd="1"/>
        <i x="117" s="1" nd="1"/>
        <i x="22" s="1" nd="1"/>
        <i x="219" s="1" nd="1"/>
        <i x="89" s="1" nd="1"/>
        <i x="129" s="1" nd="1"/>
        <i x="11" s="1" nd="1"/>
        <i x="173" s="1" nd="1"/>
        <i x="90" s="1" nd="1"/>
        <i x="130" s="1" nd="1"/>
        <i x="23" s="1" nd="1"/>
        <i x="257" s="1" nd="1"/>
        <i x="75" s="1" nd="1"/>
        <i x="247" s="1" nd="1"/>
        <i x="12" s="1" nd="1"/>
        <i x="79" s="1" nd="1"/>
        <i x="178" s="1" nd="1"/>
        <i x="243" s="1" nd="1"/>
        <i x="24" s="1" nd="1"/>
        <i x="61" s="1" nd="1"/>
        <i x="185" s="1" nd="1"/>
        <i x="265" s="1" nd="1"/>
        <i x="13" s="1" nd="1"/>
        <i x="123" s="1" nd="1"/>
        <i x="294" s="1" nd="1"/>
        <i x="300" s="1" nd="1"/>
        <i x="25" s="1" nd="1"/>
        <i x="116" s="1" nd="1"/>
        <i x="156" s="1" nd="1"/>
        <i x="144" s="1" nd="1"/>
        <i x="26" s="1" nd="1"/>
        <i x="44" s="1" nd="1"/>
        <i x="264" s="1" nd="1"/>
        <i x="122" s="1" nd="1"/>
        <i x="304" s="1" nd="1"/>
        <i x="176" s="1" nd="1"/>
        <i x="309" s="1" nd="1"/>
        <i x="234" s="1" nd="1"/>
        <i x="7" s="1" nd="1"/>
        <i x="231" s="1" nd="1"/>
        <i x="278" s="1" nd="1"/>
        <i x="262" s="1" nd="1"/>
        <i x="8" s="1" nd="1"/>
        <i x="177" s="1" nd="1"/>
        <i x="85" s="1" nd="1"/>
        <i x="227" s="1" nd="1"/>
        <i x="17" s="1" nd="1"/>
        <i x="235" s="1" nd="1"/>
        <i x="205" s="1" nd="1"/>
        <i x="298" s="1" nd="1"/>
        <i x="244" s="1" nd="1"/>
        <i x="14" s="1" nd="1"/>
        <i x="125" s="1" nd="1"/>
        <i x="306" s="1" nd="1"/>
        <i x="193" s="1" nd="1"/>
        <i x="145" s="1" nd="1"/>
        <i x="15" s="1" nd="1"/>
        <i x="183" s="1" nd="1"/>
        <i x="107" s="1" nd="1"/>
        <i x="241" s="1" nd="1"/>
        <i x="41" s="1" nd="1"/>
        <i x="279" s="1" nd="1"/>
        <i x="194" s="1" nd="1"/>
        <i x="0" s="1" nd="1"/>
        <i x="43" s="1" nd="1"/>
        <i x="140" s="1" nd="1"/>
        <i x="213" s="1" nd="1"/>
        <i x="87" s="1" nd="1"/>
        <i x="202" s="1" nd="1"/>
        <i x="127" s="1" nd="1"/>
        <i x="163" s="1" nd="1"/>
        <i x="138" s="1" nd="1"/>
        <i x="35" s="1" nd="1"/>
        <i x="175" s="1" nd="1"/>
        <i x="100" s="1" nd="1"/>
        <i x="72" s="1" nd="1"/>
        <i x="18" s="1" nd="1"/>
        <i x="104" s="1" nd="1"/>
        <i x="149" s="1" nd="1"/>
        <i x="139" s="1" nd="1"/>
        <i x="38" s="1" nd="1"/>
        <i x="160" s="1" nd="1"/>
        <i x="73" s="1" nd="1"/>
        <i x="105" s="1" nd="1"/>
        <i x="115" s="1" nd="1"/>
        <i x="281" s="1" nd="1"/>
        <i x="36" s="1" nd="1"/>
        <i x="217" s="1" nd="1"/>
        <i x="286" s="1" nd="1"/>
        <i x="171" s="1" nd="1"/>
        <i x="200" s="1" nd="1"/>
        <i x="274" s="1" nd="1"/>
        <i x="260" s="1" nd="1"/>
        <i x="33" s="1" nd="1"/>
        <i x="186" s="1" nd="1"/>
        <i x="182" s="1" nd="1"/>
        <i x="220" s="1" nd="1"/>
        <i x="80" s="1" nd="1"/>
        <i x="218" s="1" nd="1"/>
        <i x="109" s="1" nd="1"/>
        <i x="162" s="1" nd="1"/>
        <i x="118" s="1" nd="1"/>
        <i x="275" s="1" nd="1"/>
        <i x="62" s="1" nd="1"/>
        <i x="297" s="1" nd="1"/>
        <i x="301" s="1" nd="1"/>
        <i x="84" s="1" nd="1"/>
        <i x="119" s="1" nd="1"/>
        <i x="146" s="1" nd="1"/>
        <i x="271" s="1" nd="1"/>
        <i x="134" s="1" nd="1"/>
        <i x="224" s="1" nd="1"/>
        <i x="102" s="1" nd="1"/>
        <i x="143" s="1" nd="1"/>
        <i x="30" s="1" nd="1"/>
        <i x="101" s="1" nd="1"/>
        <i x="147" s="1" nd="1"/>
        <i x="216" s="1" nd="1"/>
        <i x="207" s="1" nd="1"/>
        <i x="56" s="1" nd="1"/>
        <i x="289" s="1" nd="1"/>
        <i x="280" s="1" nd="1"/>
        <i x="236" s="1" nd="1"/>
        <i x="52" s="1" nd="1"/>
        <i x="70" s="1" nd="1"/>
        <i x="180" s="1" nd="1"/>
        <i x="57" s="1" nd="1"/>
        <i x="187" s="1" nd="1"/>
        <i x="221" s="1" nd="1"/>
        <i x="226" s="1" nd="1"/>
        <i x="184" s="1" nd="1"/>
        <i x="95" s="1" nd="1"/>
        <i x="53" s="1" nd="1"/>
        <i x="210" s="1" nd="1"/>
        <i x="222" s="1" nd="1"/>
        <i x="252" s="1" nd="1"/>
        <i x="45" s="1" nd="1"/>
        <i x="124" s="1" nd="1"/>
        <i x="50" s="1" nd="1"/>
        <i x="237" s="1" nd="1"/>
        <i x="240" s="1" nd="1"/>
        <i x="69" s="1" nd="1"/>
        <i x="154" s="1" nd="1"/>
        <i x="1" s="1" nd="1"/>
        <i x="153" s="1" nd="1"/>
        <i x="158" s="1" nd="1"/>
        <i x="152" s="1" nd="1"/>
        <i x="256" s="1" nd="1"/>
        <i x="311" s="1" nd="1"/>
        <i x="86" s="1" nd="1"/>
        <i x="245" s="1" nd="1"/>
        <i x="4" s="1" nd="1"/>
        <i x="5" s="1" nd="1"/>
        <i x="273" s="1" nd="1"/>
        <i x="292" s="1" nd="1"/>
        <i x="96" s="1" nd="1"/>
        <i x="259" s="1" nd="1"/>
        <i x="39" s="1" nd="1"/>
        <i x="285" s="1" nd="1"/>
        <i x="307" s="1" nd="1"/>
        <i x="248" s="1" nd="1"/>
        <i x="209" s="1" nd="1"/>
        <i x="49" s="1" nd="1"/>
        <i x="174" s="1" nd="1"/>
        <i x="128" s="1" nd="1"/>
        <i x="251" s="1" nd="1"/>
        <i x="188" s="1" nd="1"/>
        <i x="135" s="1" nd="1"/>
        <i x="242" s="1" nd="1"/>
        <i x="266" s="1" nd="1"/>
        <i x="65" s="1" nd="1"/>
        <i x="136" s="1" nd="1"/>
        <i x="214" s="1" nd="1"/>
        <i x="228" s="1" nd="1"/>
        <i x="150" s="1" nd="1"/>
        <i x="67" s="1" nd="1"/>
        <i x="133" s="1" nd="1"/>
        <i x="303" s="1" nd="1"/>
        <i x="270" s="1" nd="1"/>
        <i x="111" s="1" nd="1"/>
        <i x="55" s="1" nd="1"/>
        <i x="3" s="1" nd="1"/>
        <i x="255" s="1" nd="1"/>
        <i x="113" s="1" nd="1"/>
        <i x="63" s="1" nd="1"/>
        <i x="305" s="1" nd="1"/>
        <i x="295" s="1" nd="1"/>
        <i x="302" s="1" nd="1"/>
        <i x="287" s="1" nd="1"/>
        <i x="60" s="1" nd="1"/>
        <i x="106" s="1" nd="1"/>
        <i x="98" s="1" nd="1"/>
        <i x="204" s="1" nd="1"/>
        <i x="6" s="1" nd="1"/>
        <i x="201" s="1" nd="1"/>
        <i x="58" s="1" nd="1"/>
        <i x="203" s="1" nd="1"/>
        <i x="215" s="1" nd="1"/>
        <i x="77" s="1" nd="1"/>
        <i x="253" s="1" nd="1"/>
        <i x="142" s="1" nd="1"/>
        <i x="310" s="1" nd="1"/>
        <i x="155" s="1" nd="1"/>
        <i x="230" s="1" nd="1"/>
        <i x="282" s="1" nd="1"/>
        <i x="54" s="1" nd="1"/>
        <i x="161" s="1" nd="1"/>
        <i x="165" s="1" nd="1"/>
        <i x="64" s="1" nd="1"/>
        <i x="164" s="1" nd="1"/>
        <i x="46" s="1" nd="1"/>
        <i x="199" s="1" nd="1"/>
        <i x="159" s="1" nd="1"/>
        <i x="66" s="1" nd="1"/>
        <i x="250" s="1" nd="1"/>
        <i x="290" s="1" nd="1"/>
        <i x="42" s="1" nd="1"/>
        <i x="238" s="1" nd="1"/>
        <i x="296" s="1" nd="1"/>
        <i x="121" s="1" nd="1"/>
        <i x="40" s="1" nd="1"/>
        <i x="261" s="1" nd="1"/>
        <i x="189" s="1" nd="1"/>
        <i x="167" s="1" nd="1"/>
        <i x="91" s="1" nd="1"/>
        <i x="16" s="1" nd="1"/>
        <i x="229" s="1" nd="1"/>
        <i x="190" s="1" nd="1"/>
        <i x="168" s="1" nd="1"/>
        <i x="92" s="1" nd="1"/>
        <i x="34" s="1" nd="1"/>
        <i x="137" s="1" nd="1"/>
        <i x="191" s="1" nd="1"/>
        <i x="169" s="1" nd="1"/>
        <i x="93" s="1" nd="1"/>
        <i x="27" s="1" nd="1"/>
        <i x="233" s="1" nd="1"/>
        <i x="192" s="1" nd="1"/>
        <i x="170" s="1" nd="1"/>
        <i x="94" s="1" nd="1"/>
        <i x="37" s="1" nd="1"/>
        <i x="223" s="1" nd="1"/>
        <i x="198" s="1" nd="1"/>
        <i x="206" s="1" nd="1"/>
        <i x="29" s="1" nd="1"/>
        <i x="99" s="1" nd="1"/>
        <i x="272" s="1" nd="1"/>
        <i x="114" s="1" nd="1"/>
        <i x="78" s="1" nd="1"/>
        <i x="59" s="1" nd="1"/>
        <i x="112" s="1" nd="1"/>
        <i x="239" s="1" nd="1"/>
        <i x="277" s="1" nd="1"/>
        <i x="148" s="1" nd="1"/>
        <i x="120" s="1" nd="1"/>
        <i x="141" s="1" nd="1"/>
        <i x="151" s="1" nd="1"/>
        <i x="81" s="1" nd="1"/>
        <i x="19" s="1" nd="1"/>
        <i x="108" s="1" nd="1"/>
        <i x="126" s="1" nd="1"/>
        <i x="166" s="1" nd="1"/>
        <i x="268" s="1" nd="1"/>
        <i x="97" s="1" nd="1"/>
        <i x="28" s="1" nd="1"/>
        <i x="263" s="1" nd="1"/>
        <i x="82" s="1" nd="1"/>
        <i x="197" s="1" nd="1"/>
        <i x="258" s="1" nd="1"/>
        <i x="132" s="1" nd="1"/>
        <i x="68" s="1" nd="1"/>
        <i x="308" s="1" nd="1"/>
        <i x="71" s="1" nd="1"/>
        <i x="225" s="1" nd="1"/>
        <i x="195" s="1" nd="1"/>
        <i x="179" s="1" nd="1"/>
        <i x="284" s="1" nd="1"/>
        <i x="172" s="1" nd="1"/>
        <i x="254" s="1" nd="1"/>
        <i x="196" s="1" nd="1"/>
        <i x="232" s="1" nd="1"/>
        <i x="31" s="1" nd="1"/>
        <i x="288" s="1" nd="1"/>
        <i x="32" s="1" nd="1"/>
        <i x="88" s="1" nd="1"/>
        <i x="276" s="1" nd="1"/>
        <i x="47" s="1" nd="1"/>
        <i x="76" s="1" nd="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_Client" xr10:uid="{00000000-0013-0000-FFFF-FFFF04000000}" sourceName="Client">
  <pivotTables>
    <pivotTable tabId="1" name="Tableau croisé dynamique1"/>
  </pivotTables>
  <data>
    <tabular pivotCacheId="1114071526">
      <items count="24">
        <i x="2" s="1"/>
        <i x="23" s="1" nd="1"/>
        <i x="17" s="1" nd="1"/>
        <i x="20" s="1" nd="1"/>
        <i x="14" s="1" nd="1"/>
        <i x="5" s="1" nd="1"/>
        <i x="16" s="1" nd="1"/>
        <i x="7" s="1" nd="1"/>
        <i x="9" s="1" nd="1"/>
        <i x="12" s="1" nd="1"/>
        <i x="1" s="1" nd="1"/>
        <i x="15" s="1" nd="1"/>
        <i x="3" s="1" nd="1"/>
        <i x="19" s="1" nd="1"/>
        <i x="0" s="1" nd="1"/>
        <i x="4" s="1" nd="1"/>
        <i x="18" s="1" nd="1"/>
        <i x="21" s="1" nd="1"/>
        <i x="8" s="1" nd="1"/>
        <i x="13" s="1" nd="1"/>
        <i x="6" s="1" nd="1"/>
        <i x="10" s="1" nd="1"/>
        <i x="22" s="1" nd="1"/>
        <i x="11" s="1" nd="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_CostCenter" xr10:uid="{650910C7-E2F7-4FE1-820D-4C31747E4BC1}" sourceName="CostCenter">
  <pivotTables>
    <pivotTable tabId="1" name="Tableau croisé dynamique1"/>
  </pivotTables>
  <data>
    <tabular pivotCacheId="1114071526">
      <items count="7">
        <i x="4"/>
        <i x="5"/>
        <i x="3"/>
        <i x="0"/>
        <i x="1"/>
        <i x="2" s="1"/>
        <i x="6" nd="1"/>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_SYGES1" xr10:uid="{6F50611D-5184-4F14-97D1-7DC75B4DDBAE}" sourceName="SYGES">
  <pivotTables>
    <pivotTable tabId="23" name="Tableau croisé dynamique1"/>
  </pivotTables>
  <data>
    <tabular pivotCacheId="1114071526">
      <items count="42">
        <i x="26" s="1"/>
        <i x="25" s="1"/>
        <i x="35" s="1"/>
        <i x="22" s="1"/>
        <i x="6" s="1"/>
        <i x="10" s="1"/>
        <i x="8" s="1"/>
        <i x="2" s="1"/>
        <i x="11" s="1"/>
        <i x="17" s="1"/>
        <i x="1" s="1"/>
        <i x="4" s="1"/>
        <i x="18" s="1"/>
        <i x="37" s="1"/>
        <i x="39" s="1"/>
        <i x="23" s="1"/>
        <i x="27" s="1"/>
        <i x="3" s="1"/>
        <i x="34" s="1"/>
        <i x="31" s="1"/>
        <i x="0" s="1"/>
        <i x="21" s="1"/>
        <i x="5" s="1"/>
        <i x="32" s="1"/>
        <i x="29" s="1"/>
        <i x="36" s="1"/>
        <i x="38" s="1"/>
        <i x="19" s="1"/>
        <i x="9" s="1"/>
        <i x="12" s="1"/>
        <i x="7" s="1"/>
        <i x="33" s="1"/>
        <i x="13" s="1"/>
        <i x="40" s="1"/>
        <i x="14" s="1"/>
        <i x="28" s="1"/>
        <i x="30" s="1"/>
        <i x="15" s="1"/>
        <i x="16" s="1"/>
        <i x="20" s="1"/>
        <i x="24" s="1"/>
        <i x="41" s="1" nd="1"/>
      </items>
    </tabular>
  </data>
  <extLs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_Environnement1" xr10:uid="{15F04E38-E77E-4EE0-B137-9DA9323D35B1}" sourceName="Environnement">
  <pivotTables>
    <pivotTable tabId="23" name="Tableau croisé dynamique1"/>
  </pivotTables>
  <data>
    <tabular pivotCacheId="1114071526">
      <items count="17">
        <i x="12" s="1"/>
        <i x="3" s="1"/>
        <i x="9" s="1"/>
        <i x="8" s="1"/>
        <i x="11" s="1"/>
        <i x="2" s="1"/>
        <i x="0" s="1"/>
        <i x="7" s="1"/>
        <i x="6" s="1"/>
        <i x="10" s="1"/>
        <i x="5" s="1"/>
        <i x="1" s="1"/>
        <i x="4" s="1"/>
        <i x="16" s="1" nd="1"/>
        <i x="13" s="1" nd="1"/>
        <i x="14" s="1" nd="1"/>
        <i x="15" s="1" nd="1"/>
      </items>
    </tabular>
  </data>
  <extLs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_Client1" xr10:uid="{2609C986-141D-443A-BB9C-74B286551BDE}" sourceName="Client">
  <pivotTables>
    <pivotTable tabId="23" name="Tableau croisé dynamique1"/>
  </pivotTables>
  <data>
    <tabular pivotCacheId="1114071526">
      <items count="24">
        <i x="17" s="1"/>
        <i x="20" s="1"/>
        <i x="14" s="1"/>
        <i x="5" s="1"/>
        <i x="16" s="1"/>
        <i x="7" s="1"/>
        <i x="2" s="1"/>
        <i x="9" s="1"/>
        <i x="12" s="1"/>
        <i x="1" s="1"/>
        <i x="15" s="1"/>
        <i x="3" s="1"/>
        <i x="19" s="1"/>
        <i x="0" s="1"/>
        <i x="4" s="1"/>
        <i x="18" s="1"/>
        <i x="21" s="1"/>
        <i x="8" s="1"/>
        <i x="13" s="1"/>
        <i x="6" s="1"/>
        <i x="10" s="1"/>
        <i x="22" s="1"/>
        <i x="11" s="1"/>
        <i x="23" s="1" nd="1"/>
      </items>
    </tabular>
  </data>
  <extLst>
    <x:ext xmlns:x15="http://schemas.microsoft.com/office/spreadsheetml/2010/11/main" uri="{470722E0-AACD-4C17-9CDC-17EF765DBC7E}">
      <x15:slicerCacheHideItemsWithNoData/>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_Projet1" xr10:uid="{2F3D7488-D205-43A7-B08B-64BE56281CB2}" sourceName="Projet">
  <pivotTables>
    <pivotTable tabId="23" name="Tableau croisé dynamique1"/>
  </pivotTables>
  <data>
    <tabular pivotCacheId="1114071526">
      <items count="312">
        <i x="48" s="1"/>
        <i x="51" s="1"/>
        <i x="9" s="1"/>
        <i x="20" s="1"/>
        <i x="10" s="1"/>
        <i x="21" s="1"/>
        <i x="22" s="1"/>
        <i x="11" s="1"/>
        <i x="23" s="1"/>
        <i x="12" s="1"/>
        <i x="24" s="1"/>
        <i x="61" s="1"/>
        <i x="13" s="1"/>
        <i x="25" s="1"/>
        <i x="26" s="1"/>
        <i x="44" s="1"/>
        <i x="7" s="1"/>
        <i x="8" s="1"/>
        <i x="17" s="1"/>
        <i x="14" s="1"/>
        <i x="15" s="1"/>
        <i x="41" s="1"/>
        <i x="0" s="1"/>
        <i x="43" s="1"/>
        <i x="2" s="1"/>
        <i x="35" s="1"/>
        <i x="18" s="1"/>
        <i x="38" s="1"/>
        <i x="36" s="1"/>
        <i x="33" s="1"/>
        <i x="62" s="1"/>
        <i x="30" s="1"/>
        <i x="56" s="1"/>
        <i x="52" s="1"/>
        <i x="57" s="1"/>
        <i x="53" s="1"/>
        <i x="45" s="1"/>
        <i x="50" s="1"/>
        <i x="1" s="1"/>
        <i x="4" s="1"/>
        <i x="5" s="1"/>
        <i x="39" s="1"/>
        <i x="49" s="1"/>
        <i x="65" s="1"/>
        <i x="67" s="1"/>
        <i x="55" s="1"/>
        <i x="3" s="1"/>
        <i x="63" s="1"/>
        <i x="60" s="1"/>
        <i x="6" s="1"/>
        <i x="58" s="1"/>
        <i x="54" s="1"/>
        <i x="64" s="1"/>
        <i x="46" s="1"/>
        <i x="66" s="1"/>
        <i x="42" s="1"/>
        <i x="40" s="1"/>
        <i x="16" s="1"/>
        <i x="34" s="1"/>
        <i x="27" s="1"/>
        <i x="37" s="1"/>
        <i x="29" s="1"/>
        <i x="59" s="1"/>
        <i x="19" s="1"/>
        <i x="28" s="1"/>
        <i x="68" s="1"/>
        <i x="31" s="1"/>
        <i x="32" s="1"/>
        <i x="47" s="1"/>
        <i x="267" s="1" nd="1"/>
        <i x="212" s="1" nd="1"/>
        <i x="211" s="1" nd="1"/>
        <i x="249" s="1" nd="1"/>
        <i x="83" s="1" nd="1"/>
        <i x="74" s="1" nd="1"/>
        <i x="246" s="1" nd="1"/>
        <i x="131" s="1" nd="1"/>
        <i x="269" s="1" nd="1"/>
        <i x="291" s="1" nd="1"/>
        <i x="157" s="1" nd="1"/>
        <i x="293" s="1" nd="1"/>
        <i x="299" s="1" nd="1"/>
        <i x="208" s="1" nd="1"/>
        <i x="283" s="1" nd="1"/>
        <i x="181" s="1" nd="1"/>
        <i x="103" s="1" nd="1"/>
        <i x="110" s="1" nd="1"/>
        <i x="117" s="1" nd="1"/>
        <i x="219" s="1" nd="1"/>
        <i x="89" s="1" nd="1"/>
        <i x="129" s="1" nd="1"/>
        <i x="173" s="1" nd="1"/>
        <i x="90" s="1" nd="1"/>
        <i x="130" s="1" nd="1"/>
        <i x="257" s="1" nd="1"/>
        <i x="75" s="1" nd="1"/>
        <i x="247" s="1" nd="1"/>
        <i x="79" s="1" nd="1"/>
        <i x="178" s="1" nd="1"/>
        <i x="243" s="1" nd="1"/>
        <i x="185" s="1" nd="1"/>
        <i x="265" s="1" nd="1"/>
        <i x="123" s="1" nd="1"/>
        <i x="294" s="1" nd="1"/>
        <i x="300" s="1" nd="1"/>
        <i x="116" s="1" nd="1"/>
        <i x="156" s="1" nd="1"/>
        <i x="144" s="1" nd="1"/>
        <i x="264" s="1" nd="1"/>
        <i x="122" s="1" nd="1"/>
        <i x="304" s="1" nd="1"/>
        <i x="176" s="1" nd="1"/>
        <i x="309" s="1" nd="1"/>
        <i x="234" s="1" nd="1"/>
        <i x="231" s="1" nd="1"/>
        <i x="278" s="1" nd="1"/>
        <i x="262" s="1" nd="1"/>
        <i x="177" s="1" nd="1"/>
        <i x="85" s="1" nd="1"/>
        <i x="227" s="1" nd="1"/>
        <i x="235" s="1" nd="1"/>
        <i x="205" s="1" nd="1"/>
        <i x="298" s="1" nd="1"/>
        <i x="244" s="1" nd="1"/>
        <i x="125" s="1" nd="1"/>
        <i x="306" s="1" nd="1"/>
        <i x="193" s="1" nd="1"/>
        <i x="145" s="1" nd="1"/>
        <i x="183" s="1" nd="1"/>
        <i x="107" s="1" nd="1"/>
        <i x="241" s="1" nd="1"/>
        <i x="279" s="1" nd="1"/>
        <i x="194" s="1" nd="1"/>
        <i x="140" s="1" nd="1"/>
        <i x="213" s="1" nd="1"/>
        <i x="87" s="1" nd="1"/>
        <i x="202" s="1" nd="1"/>
        <i x="127" s="1" nd="1"/>
        <i x="163" s="1" nd="1"/>
        <i x="138" s="1" nd="1"/>
        <i x="175" s="1" nd="1"/>
        <i x="100" s="1" nd="1"/>
        <i x="72" s="1" nd="1"/>
        <i x="104" s="1" nd="1"/>
        <i x="149" s="1" nd="1"/>
        <i x="139" s="1" nd="1"/>
        <i x="160" s="1" nd="1"/>
        <i x="73" s="1" nd="1"/>
        <i x="105" s="1" nd="1"/>
        <i x="115" s="1" nd="1"/>
        <i x="281" s="1" nd="1"/>
        <i x="217" s="1" nd="1"/>
        <i x="286" s="1" nd="1"/>
        <i x="171" s="1" nd="1"/>
        <i x="200" s="1" nd="1"/>
        <i x="274" s="1" nd="1"/>
        <i x="260" s="1" nd="1"/>
        <i x="186" s="1" nd="1"/>
        <i x="182" s="1" nd="1"/>
        <i x="220" s="1" nd="1"/>
        <i x="80" s="1" nd="1"/>
        <i x="218" s="1" nd="1"/>
        <i x="109" s="1" nd="1"/>
        <i x="162" s="1" nd="1"/>
        <i x="118" s="1" nd="1"/>
        <i x="275" s="1" nd="1"/>
        <i x="297" s="1" nd="1"/>
        <i x="301" s="1" nd="1"/>
        <i x="84" s="1" nd="1"/>
        <i x="119" s="1" nd="1"/>
        <i x="146" s="1" nd="1"/>
        <i x="271" s="1" nd="1"/>
        <i x="134" s="1" nd="1"/>
        <i x="224" s="1" nd="1"/>
        <i x="102" s="1" nd="1"/>
        <i x="143" s="1" nd="1"/>
        <i x="101" s="1" nd="1"/>
        <i x="147" s="1" nd="1"/>
        <i x="216" s="1" nd="1"/>
        <i x="207" s="1" nd="1"/>
        <i x="289" s="1" nd="1"/>
        <i x="280" s="1" nd="1"/>
        <i x="236" s="1" nd="1"/>
        <i x="70" s="1" nd="1"/>
        <i x="180" s="1" nd="1"/>
        <i x="187" s="1" nd="1"/>
        <i x="221" s="1" nd="1"/>
        <i x="226" s="1" nd="1"/>
        <i x="184" s="1" nd="1"/>
        <i x="95" s="1" nd="1"/>
        <i x="210" s="1" nd="1"/>
        <i x="222" s="1" nd="1"/>
        <i x="252" s="1" nd="1"/>
        <i x="124" s="1" nd="1"/>
        <i x="237" s="1" nd="1"/>
        <i x="240" s="1" nd="1"/>
        <i x="69" s="1" nd="1"/>
        <i x="154" s="1" nd="1"/>
        <i x="153" s="1" nd="1"/>
        <i x="158" s="1" nd="1"/>
        <i x="152" s="1" nd="1"/>
        <i x="256" s="1" nd="1"/>
        <i x="311" s="1" nd="1"/>
        <i x="86" s="1" nd="1"/>
        <i x="245" s="1" nd="1"/>
        <i x="273" s="1" nd="1"/>
        <i x="292" s="1" nd="1"/>
        <i x="96" s="1" nd="1"/>
        <i x="259" s="1" nd="1"/>
        <i x="285" s="1" nd="1"/>
        <i x="307" s="1" nd="1"/>
        <i x="248" s="1" nd="1"/>
        <i x="209" s="1" nd="1"/>
        <i x="174" s="1" nd="1"/>
        <i x="128" s="1" nd="1"/>
        <i x="251" s="1" nd="1"/>
        <i x="188" s="1" nd="1"/>
        <i x="135" s="1" nd="1"/>
        <i x="242" s="1" nd="1"/>
        <i x="266" s="1" nd="1"/>
        <i x="136" s="1" nd="1"/>
        <i x="214" s="1" nd="1"/>
        <i x="228" s="1" nd="1"/>
        <i x="150" s="1" nd="1"/>
        <i x="133" s="1" nd="1"/>
        <i x="303" s="1" nd="1"/>
        <i x="270" s="1" nd="1"/>
        <i x="111" s="1" nd="1"/>
        <i x="255" s="1" nd="1"/>
        <i x="113" s="1" nd="1"/>
        <i x="305" s="1" nd="1"/>
        <i x="295" s="1" nd="1"/>
        <i x="302" s="1" nd="1"/>
        <i x="287" s="1" nd="1"/>
        <i x="106" s="1" nd="1"/>
        <i x="98" s="1" nd="1"/>
        <i x="204" s="1" nd="1"/>
        <i x="201" s="1" nd="1"/>
        <i x="203" s="1" nd="1"/>
        <i x="215" s="1" nd="1"/>
        <i x="77" s="1" nd="1"/>
        <i x="253" s="1" nd="1"/>
        <i x="142" s="1" nd="1"/>
        <i x="310" s="1" nd="1"/>
        <i x="155" s="1" nd="1"/>
        <i x="230" s="1" nd="1"/>
        <i x="282" s="1" nd="1"/>
        <i x="161" s="1" nd="1"/>
        <i x="165" s="1" nd="1"/>
        <i x="164" s="1" nd="1"/>
        <i x="199" s="1" nd="1"/>
        <i x="159" s="1" nd="1"/>
        <i x="250" s="1" nd="1"/>
        <i x="290" s="1" nd="1"/>
        <i x="238" s="1" nd="1"/>
        <i x="296" s="1" nd="1"/>
        <i x="121" s="1" nd="1"/>
        <i x="261" s="1" nd="1"/>
        <i x="189" s="1" nd="1"/>
        <i x="167" s="1" nd="1"/>
        <i x="91" s="1" nd="1"/>
        <i x="229" s="1" nd="1"/>
        <i x="190" s="1" nd="1"/>
        <i x="168" s="1" nd="1"/>
        <i x="92" s="1" nd="1"/>
        <i x="137" s="1" nd="1"/>
        <i x="191" s="1" nd="1"/>
        <i x="169" s="1" nd="1"/>
        <i x="93" s="1" nd="1"/>
        <i x="233" s="1" nd="1"/>
        <i x="192" s="1" nd="1"/>
        <i x="170" s="1" nd="1"/>
        <i x="94" s="1" nd="1"/>
        <i x="223" s="1" nd="1"/>
        <i x="198" s="1" nd="1"/>
        <i x="206" s="1" nd="1"/>
        <i x="99" s="1" nd="1"/>
        <i x="272" s="1" nd="1"/>
        <i x="114" s="1" nd="1"/>
        <i x="78" s="1" nd="1"/>
        <i x="112" s="1" nd="1"/>
        <i x="239" s="1" nd="1"/>
        <i x="277" s="1" nd="1"/>
        <i x="148" s="1" nd="1"/>
        <i x="120" s="1" nd="1"/>
        <i x="141" s="1" nd="1"/>
        <i x="151" s="1" nd="1"/>
        <i x="81" s="1" nd="1"/>
        <i x="108" s="1" nd="1"/>
        <i x="126" s="1" nd="1"/>
        <i x="166" s="1" nd="1"/>
        <i x="268" s="1" nd="1"/>
        <i x="97" s="1" nd="1"/>
        <i x="263" s="1" nd="1"/>
        <i x="82" s="1" nd="1"/>
        <i x="197" s="1" nd="1"/>
        <i x="258" s="1" nd="1"/>
        <i x="132" s="1" nd="1"/>
        <i x="308" s="1" nd="1"/>
        <i x="71" s="1" nd="1"/>
        <i x="225" s="1" nd="1"/>
        <i x="195" s="1" nd="1"/>
        <i x="179" s="1" nd="1"/>
        <i x="284" s="1" nd="1"/>
        <i x="172" s="1" nd="1"/>
        <i x="254" s="1" nd="1"/>
        <i x="196" s="1" nd="1"/>
        <i x="232" s="1" nd="1"/>
        <i x="288" s="1" nd="1"/>
        <i x="88" s="1" nd="1"/>
        <i x="276" s="1" nd="1"/>
        <i x="76" s="1" nd="1"/>
      </items>
    </tabular>
  </data>
  <extLst>
    <x:ext xmlns:x15="http://schemas.microsoft.com/office/spreadsheetml/2010/11/main" uri="{470722E0-AACD-4C17-9CDC-17EF765DBC7E}">
      <x15:slicerCacheHideItemsWithNoData/>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_CostCenter1" xr10:uid="{76979369-F71F-4225-85F8-C428DF6A0917}" sourceName="CostCenter">
  <pivotTables>
    <pivotTable tabId="23" name="Tableau croisé dynamique1"/>
  </pivotTables>
  <data>
    <tabular pivotCacheId="1114071526">
      <items count="7">
        <i x="4" s="1"/>
        <i x="5" s="1"/>
        <i x="3" s="1"/>
        <i x="0" s="1"/>
        <i x="1" s="1"/>
        <i x="2" s="1"/>
        <i x="6"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YGES 1" xr10:uid="{7BBBC1B2-D142-4638-8A5C-58C75D8B115F}" cache="Segment_SYGES1" caption="SYGES" columnCount="2" style="SlicerStyleDark2" rowHeight="144000"/>
  <slicer name="Environnement 1" xr10:uid="{E4B4BB42-C96F-462D-A928-C3548C2B4F44}" cache="Segment_Environnement1" caption="Environnement" columnCount="2" style="SlicerStyleDark5" rowHeight="144000"/>
  <slicer name="Client 1" xr10:uid="{E0FCED8F-E11C-4E46-97A3-CD504F48F059}" cache="Segment_Client1" caption="Client" columnCount="2" style="SlicerStyleDark6" rowHeight="144000"/>
  <slicer name="Projet 1" xr10:uid="{52218046-2884-4CB8-A450-E358A106231C}" cache="Segment_Projet1" caption="Projet" columnCount="4" style="SlicerStyleDark1" rowHeight="144000"/>
  <slicer name="CostCenter 1" xr10:uid="{A42BEE13-6D9F-4F23-9A8B-3A65BF45272F}" cache="Segment_CostCenter1" caption="CostCenter" style="SlicerStyleDark4" rowHeight="1440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YGES" xr10:uid="{00000000-0014-0000-FFFF-FFFF01000000}" cache="Segment_SYGES" caption="SYGES" columnCount="2" style="SlicerStyleDark2" rowHeight="144000"/>
  <slicer name="Environnement" xr10:uid="{00000000-0014-0000-FFFF-FFFF02000000}" cache="Segment_Environnement" caption="Environnement" columnCount="2" style="SlicerStyleDark5" rowHeight="144000"/>
  <slicer name="Projet" xr10:uid="{00000000-0014-0000-FFFF-FFFF03000000}" cache="Segment_Projet" caption="Projet" columnCount="4" style="SlicerStyleDark1" rowHeight="144000"/>
  <slicer name="Client" xr10:uid="{00000000-0014-0000-FFFF-FFFF04000000}" cache="Segment_Client" caption="Client" columnCount="2" style="SlicerStyleDark6" rowHeight="144000"/>
  <slicer name="CostCenter" xr10:uid="{F846811B-2743-4921-AB3D-D9D1EA20932A}" cache="Segment_CostCenter" caption="CostCenter" style="SlicerStyleDark4" rowHeight="1440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Oceanet" displayName="TabOceanet" ref="A2:AJ258" totalsRowCount="1">
  <autoFilter ref="A2:AJ257" xr:uid="{C4212B0B-A173-4CCB-BA37-26CB51F2FF04}">
    <filterColumn colId="10">
      <filters>
        <filter val="DI"/>
      </filters>
    </filterColumn>
    <filterColumn colId="15">
      <filters>
        <filter val="Tarif_VM"/>
      </filters>
    </filterColumn>
  </autoFilter>
  <sortState ref="A3:AJ257">
    <sortCondition ref="A2:A257"/>
  </sortState>
  <tableColumns count="36">
    <tableColumn id="1" xr3:uid="{00000000-0010-0000-0000-000001000000}" name="VM_name" totalsRowLabel="Total"/>
    <tableColumn id="2" xr3:uid="{00000000-0010-0000-0000-000002000000}" name="VM_cpu"/>
    <tableColumn id="3" xr3:uid="{00000000-0010-0000-0000-000003000000}" name="VM_mem" totalsRowFunction="sum"/>
    <tableColumn id="4" xr3:uid="{00000000-0010-0000-0000-000004000000}" name="VM_disk" totalsRowFunction="sum"/>
    <tableColumn id="36" xr3:uid="{579FAAA8-3EDD-48BC-BCE5-0DC8556EE2CC}" name="VM_GuestId"/>
    <tableColumn id="22" xr3:uid="{00000000-0010-0000-0000-000016000000}" name="Nb_article"/>
    <tableColumn id="5" xr3:uid="{00000000-0010-0000-0000-000005000000}" name="VM_host"/>
    <tableColumn id="6" xr3:uid="{00000000-0010-0000-0000-000006000000}" name="VM_datastoreID"/>
    <tableColumn id="7" xr3:uid="{00000000-0010-0000-0000-000007000000}" name="VM_status"/>
    <tableColumn id="8" xr3:uid="{00000000-0010-0000-0000-000008000000}" name="Service"/>
    <tableColumn id="9" xr3:uid="{00000000-0010-0000-0000-000009000000}" name="Entite"/>
    <tableColumn id="10" xr3:uid="{00000000-0010-0000-0000-00000A000000}" name="Astreinte"/>
    <tableColumn id="11" xr3:uid="{00000000-0010-0000-0000-00000B000000}" name="Backup"/>
    <tableColumn id="12" xr3:uid="{00000000-0010-0000-0000-00000C000000}" name="Type"/>
    <tableColumn id="13" xr3:uid="{00000000-0010-0000-0000-00000D000000}" name="Client"/>
    <tableColumn id="23" xr3:uid="{00000000-0010-0000-0000-000017000000}" name="Type_tarif"/>
    <tableColumn id="21" xr3:uid="{00000000-0010-0000-0000-000015000000}" name="Commentaire" dataDxfId="141">
      <calculatedColumnFormula>VLOOKUP(TabOceanet[VM_name],TabVMEnv[],3,FALSE)</calculatedColumnFormula>
    </tableColumn>
    <tableColumn id="20" xr3:uid="{00000000-0010-0000-0000-000014000000}" name="isAffecteProjet" dataDxfId="140">
      <calculatedColumnFormula>IF(VLOOKUP(TabOceanet[VM_name],TabVMEnv[],2,FALSE) = "","Non","")</calculatedColumnFormula>
    </tableColumn>
    <tableColumn id="33" xr3:uid="{00000000-0010-0000-0000-000021000000}" name="isCalcVlan" dataDxfId="139">
      <calculatedColumnFormula>IF(TabOceanet[[#This Row],[Type_tarif]]="Tarif_VLAN",1,0)</calculatedColumnFormula>
    </tableColumn>
    <tableColumn id="32" xr3:uid="{00000000-0010-0000-0000-000020000000}" name="CalcVlan" dataDxfId="138">
      <calculatedColumnFormula>TabOceanet[[#This Row],[isCalcVlan]]*TabOceanet[[#This Row],[Nb_article]]*Tarif_VLAN</calculatedColumnFormula>
    </tableColumn>
    <tableColumn id="31" xr3:uid="{00000000-0010-0000-0000-00001F000000}" name="isCalcIpPub" dataDxfId="137">
      <calculatedColumnFormula>IF(TabOceanet[[#This Row],[Type_tarif]]="Tarif_IPPUB",1,0)</calculatedColumnFormula>
    </tableColumn>
    <tableColumn id="30" xr3:uid="{00000000-0010-0000-0000-00001E000000}" name="CalcIpPub" dataDxfId="136">
      <calculatedColumnFormula>TabOceanet[[#This Row],[isCalcIpPub]]*TabOceanet[[#This Row],[Nb_article]]*Tarif_IPPUB</calculatedColumnFormula>
    </tableColumn>
    <tableColumn id="29" xr3:uid="{00000000-0010-0000-0000-00001D000000}" name="isCalcDns" dataDxfId="135">
      <calculatedColumnFormula>IF(TabOceanet[[#This Row],[Type_tarif]]="Tarif_DNS",1,0)</calculatedColumnFormula>
    </tableColumn>
    <tableColumn id="28" xr3:uid="{00000000-0010-0000-0000-00001C000000}" name="CalcDns" dataDxfId="134">
      <calculatedColumnFormula>TabOceanet[[#This Row],[isCalcDns]]*TabOceanet[[#This Row],[Nb_article]]*Tarif_DNS</calculatedColumnFormula>
    </tableColumn>
    <tableColumn id="27" xr3:uid="{00000000-0010-0000-0000-00001B000000}" name="isCalcCertSimple" dataDxfId="133">
      <calculatedColumnFormula>IF(TabOceanet[[#This Row],[Type_tarif]]="Tarif_Certificat_X509_Simple",1,0)</calculatedColumnFormula>
    </tableColumn>
    <tableColumn id="26" xr3:uid="{00000000-0010-0000-0000-00001A000000}" name="CalcCertSimple" dataDxfId="132">
      <calculatedColumnFormula>TabOceanet[[#This Row],[isCalcCertSimple]]*TabOceanet[[#This Row],[Nb_article]]*Tarif_Certificat_X509_Simple</calculatedColumnFormula>
    </tableColumn>
    <tableColumn id="25" xr3:uid="{00000000-0010-0000-0000-000019000000}" name="isCalcCertWild" dataDxfId="131">
      <calculatedColumnFormula>IF(TabOceanet[[#This Row],[Type_tarif]]="Tarif_Certificat_X509_Wildcard",1,0)</calculatedColumnFormula>
    </tableColumn>
    <tableColumn id="24" xr3:uid="{00000000-0010-0000-0000-000018000000}" name="CalcCertWild" dataDxfId="130">
      <calculatedColumnFormula>TabOceanet[[#This Row],[isCalcCertWild]]*TabOceanet[[#This Row],[Nb_article]]*Tarif_Certificat_X509_Wildcard</calculatedColumnFormula>
    </tableColumn>
    <tableColumn id="35" xr3:uid="{00000000-0010-0000-0000-000023000000}" name="isCalcAstreinte247" dataDxfId="129">
      <calculatedColumnFormula>IF(TabOceanet[[#This Row],[Type_tarif]]="Tarif_Astreinte_24_24_7_7",1,0)</calculatedColumnFormula>
    </tableColumn>
    <tableColumn id="34" xr3:uid="{00000000-0010-0000-0000-000022000000}" name="CalcAstreinte247" dataDxfId="128">
      <calculatedColumnFormula>TabOceanet[[#This Row],[isCalcAstreinte247]]*TabOceanet[[#This Row],[Nb_article]]*Tarif_Astreinte_24_24_7_7</calculatedColumnFormula>
    </tableColumn>
    <tableColumn id="14" xr3:uid="{00000000-0010-0000-0000-00000E000000}" name="IsCalcMem" dataDxfId="127">
      <calculatedColumnFormula>IF(TabOceanet[[#This Row],[VM_status]]="PoweredOn",1,0)</calculatedColumnFormula>
    </tableColumn>
    <tableColumn id="15" xr3:uid="{00000000-0010-0000-0000-00000F000000}" name="CalcCoutMem" totalsRowDxfId="126" dataCellStyle="Monétaire">
      <calculatedColumnFormula>TabOceanet[[#This Row],[VM_mem]]*Tarif_Ram</calculatedColumnFormula>
    </tableColumn>
    <tableColumn id="16" xr3:uid="{00000000-0010-0000-0000-000010000000}" name="TypeBAK" dataDxfId="125">
      <calculatedColumnFormula>MID(TabOceanet[[#This Row],[Backup]],29,20)</calculatedColumnFormula>
    </tableColumn>
    <tableColumn id="17" xr3:uid="{00000000-0010-0000-0000-000011000000}" name="CalcCoutBAK" dataDxfId="124" totalsRowDxfId="123" dataCellStyle="Monétaire">
      <calculatedColumnFormula>IF(LEFT(TabOceanet[[#This Row],[TypeBAK]],3)="HOR",Tarif_Backup_Horaire*TabOceanet[[#This Row],[VM_disk]],IF(LEFT(TabOceanet[[#This Row],[TypeBAK]],3)="J15",Tarif_Backup_J15*TabOceanet[[#This Row],[VM_disk]],IF(LEFT(TabOceanet[[#This Row],[TypeBAK]],3)="H1_",Tarif_Backup_J15*TabOceanet[[#This Row],[VM_disk]],0)))</calculatedColumnFormula>
    </tableColumn>
    <tableColumn id="18" xr3:uid="{00000000-0010-0000-0000-000012000000}" name="CalcCoutDD" totalsRowDxfId="122" dataCellStyle="Monétaire">
      <calculatedColumnFormula>TabOceanet[[#This Row],[VM_disk]]*Tarif_disque</calculatedColumnFormula>
    </tableColumn>
    <tableColumn id="19" xr3:uid="{00000000-0010-0000-0000-000013000000}" name="CoutGlobal" totalsRowFunction="sum" dataDxfId="121" totalsRowDxfId="120" dataCellStyle="Monétaire">
      <calculatedColumnFormula>(TabOceanet[[#This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calculatedColumnFormula>
    </tableColumn>
  </tableColumns>
  <tableStyleInfo name="TableStyleMedium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1000000}" name="TabVMEnv" displayName="TabVMEnv" ref="A1:AB262" totalsRowCount="1">
  <autoFilter ref="A1:AB261" xr:uid="{90F50347-1A0D-4435-9379-53518C3171E6}"/>
  <sortState ref="A2:AB261">
    <sortCondition ref="A2:A261"/>
  </sortState>
  <tableColumns count="28">
    <tableColumn id="3" xr3:uid="{00000000-0010-0000-0100-000003000000}" name="VM" totalsRowLabel="Total"/>
    <tableColumn id="2" xr3:uid="{00000000-0010-0000-0100-000002000000}" name="EnvProjet"/>
    <tableColumn id="8" xr3:uid="{00000000-0010-0000-0100-000008000000}" name="Commentaire"/>
    <tableColumn id="23" xr3:uid="{EA012D1A-8B1E-48AD-8F48-7EE5D9B30090}" name="Chiffrage Migration AWS"/>
    <tableColumn id="24" xr3:uid="{F5CBCB69-AAF3-41D7-859D-4F89F9731295}" name="Commentaire Migration AWS"/>
    <tableColumn id="17" xr3:uid="{D25FCC1A-2FD7-450E-80B0-33C24C226E76}" name="NbCoreVMPourLicenceSQLPerCore" dataDxfId="119">
      <calculatedColumnFormula>IF(VLOOKUP(TabVMEnv[VM],TabOceanet[],16,FALSE) = "Tarif_VM",IF(VLOOKUP(TabVMEnv[VM],TabOceanet[],2,FALSE)&lt;4,4,VLOOKUP(TabVMEnv[VM],TabOceanet[],2,FALSE)),0)</calculatedColumnFormula>
    </tableColumn>
    <tableColumn id="12" xr3:uid="{5E2E1D8C-0646-4736-814D-059255D2D980}" name="NbUtilCalTse" totalsRowFunction="sum"/>
    <tableColumn id="11" xr3:uid="{95832BCF-DDC0-4FD7-A953-86FC88216E0E}" name="IsTypeLicenceSQLServerPerCore" totalsRowFunction="sum"/>
    <tableColumn id="14" xr3:uid="{A8E00BF1-BC69-43FE-B80A-86CBBBB80544}" name="NbUtilCalSql" totalsRowFunction="sum"/>
    <tableColumn id="28" xr3:uid="{501639E9-D9EB-4E55-8831-41F20C711B65}" name="NbUtilCalSqlTMP" totalsRowFunction="sum"/>
    <tableColumn id="20" xr3:uid="{3742C039-9C95-425B-A719-20BDA183ECE9}" name="IsVMDiviseMutual" totalsRowFunction="sum" dataDxfId="118">
      <calculatedColumnFormula>IF(VLOOKUP(TabVMEnv[VM],TabOceanet[],16,FALSE) = "Tarif_VM",1,0)/TabVMEnv[[#This Row],[Mutualisé]]</calculatedColumnFormula>
    </tableColumn>
    <tableColumn id="18" xr3:uid="{378920DE-BEE2-4312-B1E0-7E7E509A475F}" name="IsVMPoweredOn" dataDxfId="117">
      <calculatedColumnFormula>IF(VLOOKUP(TabVMEnv[VM],TabOceanet[],9,FALSE) = "PoweredOn",1,0)</calculatedColumnFormula>
    </tableColumn>
    <tableColumn id="22" xr3:uid="{3148295F-3EED-4381-AD1C-67DECC0EA4EE}" name="RamActiveDiviseMutual" totalsRowFunction="sum" dataDxfId="116">
      <calculatedColumnFormula>TabVMEnv[[#This Row],[IsVMPoweredOn]]*VLOOKUP(TabVMEnv[VM],TabOceanet[],3,FALSE)/TabVMEnv[[#This Row],[Mutualisé]]</calculatedColumnFormula>
    </tableColumn>
    <tableColumn id="21" xr3:uid="{3149C5EF-631E-4141-ABCB-C1E47C208C0A}" name="DisqueDiviseMutual" dataDxfId="115">
      <calculatedColumnFormula>VLOOKUP(TabVMEnv[VM],TabOceanet[],4,FALSE)/TabVMEnv[[#This Row],[Mutualisé]]</calculatedColumnFormula>
    </tableColumn>
    <tableColumn id="19" xr3:uid="{0772836F-E1E2-4059-9B25-6BA56CDE0D9D}" name="IsWindows" dataDxfId="114">
      <calculatedColumnFormula>IF(LEFT(VLOOKUP(TabVMEnv[VM],TabOceanet[],5,FALSE),3)="win",1,0)</calculatedColumnFormula>
    </tableColumn>
    <tableColumn id="15" xr3:uid="{F47EB34E-2CF0-403D-BB21-3F4031484F7C}" name="CoutLicenceMS" totalsRowFunction="sum" dataDxfId="113" totalsRowDxfId="112">
      <calculatedColumnFormula>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calculatedColumnFormula>
    </tableColumn>
    <tableColumn id="4" xr3:uid="{00000000-0010-0000-0100-000004000000}" name="SYGES">
      <calculatedColumnFormula>VLOOKUP(TabVMEnv[EnvProjet],TabEnvProjet[],4,FALSE)</calculatedColumnFormula>
    </tableColumn>
    <tableColumn id="7" xr3:uid="{00000000-0010-0000-0100-000007000000}" name="Client" dataDxfId="111">
      <calculatedColumnFormula>VLOOKUP(TabVMEnv[[#This Row],[SYGES]],TabContrat[],2,FALSE)</calculatedColumnFormula>
    </tableColumn>
    <tableColumn id="10" xr3:uid="{00000000-0010-0000-0100-00000A000000}" name="Statut_VM_Exists" dataDxfId="110">
      <calculatedColumnFormula>IF(VLOOKUP(TabVMEnv[[#This Row],[VM]],TabOceanet[],1,FALSE) = "","Disparue","")</calculatedColumnFormula>
    </tableColumn>
    <tableColumn id="1" xr3:uid="{00000000-0010-0000-0100-000001000000}" name="CoutGlobal" totalsRowFunction="sum" dataDxfId="109" totalsRowDxfId="108" dataCellStyle="Monétaire">
      <calculatedColumnFormula>VLOOKUP(TabVMEnv[[#This Row],[VM]],TabOceanet[],36,FALSE)/TabVMEnv[[#This Row],[Mutualisé]]</calculatedColumnFormula>
    </tableColumn>
    <tableColumn id="25" xr3:uid="{44A2BA30-7E05-4085-8797-533074C39EE7}" name="CoutGlobalSansCostCenterDI" totalsRowFunction="sum" dataDxfId="107" totalsRowDxfId="106" dataCellStyle="Monétaire">
      <calculatedColumnFormula>IF(TabVMEnv[[#This Row],[CostCenter]]="CostCenterDI",0,TabVMEnv[[#This Row],[CoutGlobal]])</calculatedColumnFormula>
    </tableColumn>
    <tableColumn id="26" xr3:uid="{2C28594D-F975-45C9-B7B7-FD54E03FD0E9}" name="CoutGlobalSupplementaire" totalsRowFunction="sum" dataDxfId="105" totalsRowDxfId="104" dataCellStyle="Monétaire">
      <calculatedColumnFormula>TabVMEnv[[#This Row],[CoutGlobalSansCostCenterDI]]/TabVMEnv[[#Totals],[CoutGlobalSansCostCenterDI]]*(GlobalARepartirSansMS+GlobalARepartirMSOnly+GlobalARepartirInfraReseau)</calculatedColumnFormula>
    </tableColumn>
    <tableColumn id="27" xr3:uid="{42656648-FE35-42A5-97C6-22381426395E}" name="CoutGlobalFinal" totalsRowFunction="sum" dataDxfId="103" totalsRowDxfId="102" dataCellStyle="Monétaire">
      <calculatedColumnFormula>TabVMEnv[[#This Row],[CoutGlobalSansCostCenterDI]]+TabVMEnv[[#This Row],[CoutGlobalSupplementaire]]</calculatedColumnFormula>
    </tableColumn>
    <tableColumn id="5" xr3:uid="{00000000-0010-0000-0100-000005000000}" name="Projet" dataDxfId="101">
      <calculatedColumnFormula>VLOOKUP(TabVMEnv[[#This Row],[EnvProjet]],TabEnvProjet[],2,FALSE) &amp; " - " &amp; IFERROR(VLOOKUP(TabVMEnv[[#This Row],[EnvProjet]],TabEnvProjet[],4,FALSE),"INCONNU") &amp; " - " &amp; IFERROR(VLOOKUP(TabVMEnv[[#This Row],[EnvProjet]],TabEnvProjet[],5,FALSE),"INCONNU")</calculatedColumnFormula>
    </tableColumn>
    <tableColumn id="13" xr3:uid="{6A921E75-649B-436D-8991-25B2517F3D43}" name="CP" dataDxfId="100">
      <calculatedColumnFormula>VLOOKUP(TabVMEnv[EnvProjet],TabEnvProjet[],5,FALSE)</calculatedColumnFormula>
    </tableColumn>
    <tableColumn id="16" xr3:uid="{73BE6526-44B0-4C3B-A15B-65A31F085DF0}" name="CostCenter" dataDxfId="99">
      <calculatedColumnFormula>VLOOKUP(TabVMEnv[EnvProjet],TabEnvProjet[],6,FALSE)</calculatedColumnFormula>
    </tableColumn>
    <tableColumn id="6" xr3:uid="{00000000-0010-0000-0100-000006000000}" name="Environnement" dataDxfId="98">
      <calculatedColumnFormula>VLOOKUP(TabVMEnv[[#This Row],[EnvProjet]],TabEnvProjet[],3,FALSE)</calculatedColumnFormula>
    </tableColumn>
    <tableColumn id="9" xr3:uid="{00000000-0010-0000-0100-000009000000}" name="Mutualisé" totalsRowFunction="sum" dataDxfId="97">
      <calculatedColumnFormula>COUNTIF(TabVMEnv[VM],TabVMEnv[VM])</calculatedColumnFormula>
    </tableColumn>
  </tableColumns>
  <tableStyleInfo name="TableStyleMedium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2000000}" name="TabEnvProjet" displayName="TabEnvProjet" ref="A1:F117" totalsRowShown="0">
  <sortState ref="A2:F117">
    <sortCondition ref="A2:A117"/>
  </sortState>
  <tableColumns count="6">
    <tableColumn id="3" xr3:uid="{00000000-0010-0000-0200-000003000000}" name="EnvProjet" dataDxfId="96">
      <calculatedColumnFormula>TabEnvProjet[[#This Row],[RefProjet]] &amp; " .:. " &amp; TabEnvProjet[[#This Row],[RefEnv]]</calculatedColumnFormula>
    </tableColumn>
    <tableColumn id="1" xr3:uid="{00000000-0010-0000-0200-000001000000}" name="RefProjet"/>
    <tableColumn id="2" xr3:uid="{00000000-0010-0000-0200-000002000000}" name="RefEnv"/>
    <tableColumn id="4" xr3:uid="{00000000-0010-0000-0200-000004000000}" name="SYGES" dataDxfId="95">
      <calculatedColumnFormula>VLOOKUP(TabEnvProjet[[#This Row],[RefProjet]],TabProjet[],8,FALSE)</calculatedColumnFormula>
    </tableColumn>
    <tableColumn id="5" xr3:uid="{70FFCC33-5D62-4C4D-851C-3103B318A0FC}" name="CP" dataDxfId="94">
      <calculatedColumnFormula>VLOOKUP(TabEnvProjet[[#This Row],[RefProjet]],TabProjet[],6,FALSE)</calculatedColumnFormula>
    </tableColumn>
    <tableColumn id="6" xr3:uid="{7A190903-BE96-4FE4-BC6F-1F9200F1A4BB}" name="CostCenter" dataDxfId="93">
      <calculatedColumnFormula>VLOOKUP(TabEnvProjet[[#This Row],[SYGES]],TabContrat[],3,FALSE)</calculatedColumnFormula>
    </tableColumn>
  </tableColumns>
  <tableStyleInfo name="TableStyleMedium3"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3000000}" name="TabProjet" displayName="TabProjet" ref="A2:I125" totalsRowShown="0">
  <sortState ref="A3:I125">
    <sortCondition ref="A3:A125"/>
  </sortState>
  <tableColumns count="9">
    <tableColumn id="5" xr3:uid="{00000000-0010-0000-0300-000005000000}" name="NomProj" dataDxfId="88">
      <calculatedColumnFormula>TabProjet[[#This Row],[Client]] &amp; "-" &amp; TabProjet[[#This Row],[Projet]]</calculatedColumnFormula>
    </tableColumn>
    <tableColumn id="4" xr3:uid="{00000000-0010-0000-0300-000004000000}" name="Client" dataDxfId="87"/>
    <tableColumn id="1" xr3:uid="{00000000-0010-0000-0300-000001000000}" name="Projet" dataDxfId="86"/>
    <tableColumn id="2" xr3:uid="{00000000-0010-0000-0300-000002000000}" name="DateDeb" dataDxfId="85"/>
    <tableColumn id="3" xr3:uid="{00000000-0010-0000-0300-000003000000}" name="DateFin" dataDxfId="84"/>
    <tableColumn id="6" xr3:uid="{00000000-0010-0000-0300-000006000000}" name="CP" dataDxfId="83"/>
    <tableColumn id="10" xr3:uid="{00000000-0010-0000-0300-00000A000000}" name="Référent technique" dataDxfId="82"/>
    <tableColumn id="7" xr3:uid="{00000000-0010-0000-0300-000007000000}" name="SYGES" dataDxfId="81"/>
    <tableColumn id="8" xr3:uid="{00000000-0010-0000-0300-000008000000}" name="Commentaire" dataDxfId="80"/>
  </tableColumns>
  <tableStyleInfo name="TableStyleMedium3"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4000000}" name="TabContrat" displayName="TabContrat" ref="A2:F170" totalsRowCount="1" headerRowDxfId="79" dataDxfId="78" totalsRowDxfId="77">
  <sortState ref="A3:F169">
    <sortCondition ref="A3:A169"/>
  </sortState>
  <tableColumns count="6">
    <tableColumn id="1" xr3:uid="{00000000-0010-0000-0400-000001000000}" name="Contrat SYGES" totalsRowFunction="count" dataDxfId="76" totalsRowDxfId="75"/>
    <tableColumn id="21" xr3:uid="{00000000-0010-0000-0400-000015000000}" name="Client" totalsRowLabel="TOTAL" dataDxfId="74" totalsRowDxfId="73"/>
    <tableColumn id="2" xr3:uid="{00000000-0010-0000-0400-000002000000}" name="Cost Center" dataDxfId="72" totalsRowDxfId="71"/>
    <tableColumn id="9" xr3:uid="{00000000-0010-0000-0400-000009000000}" name="Statut du contrat" dataDxfId="70" totalsRowDxfId="69"/>
    <tableColumn id="10" xr3:uid="{00000000-0010-0000-0400-00000A000000}" name="Type contrat SYGES" dataDxfId="68" totalsRowDxfId="67"/>
    <tableColumn id="11" xr3:uid="{00000000-0010-0000-0400-00000B000000}" name="Type contrat REFPROJ" dataDxfId="66" totalsRowDxfId="65"/>
  </tableColumns>
  <tableStyleInfo name="TableStyleMedium5"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5000000}" name="TabEnvironnement" displayName="TabEnvironnement" ref="A1:C20" totalsRowShown="0">
  <autoFilter ref="A1:C20" xr:uid="{00000000-0009-0000-0100-000003000000}"/>
  <sortState ref="A2:C20">
    <sortCondition ref="A1:A20"/>
  </sortState>
  <tableColumns count="3">
    <tableColumn id="1" xr3:uid="{00000000-0010-0000-0500-000001000000}" name="RefEnv"/>
    <tableColumn id="2" xr3:uid="{00000000-0010-0000-0500-000002000000}" name="Nom"/>
    <tableColumn id="3" xr3:uid="{00000000-0010-0000-0500-000003000000}" name="Commentaire"/>
  </tableColumns>
  <tableStyleInfo name="TableStyleMedium13"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6000000}" name="TabCU" displayName="TabCU" ref="A1:C15" totalsRowShown="0" headerRowDxfId="64" dataDxfId="63">
  <autoFilter ref="A1:C15" xr:uid="{00000000-0009-0000-0100-000008000000}"/>
  <tableColumns count="3">
    <tableColumn id="3" xr3:uid="{00000000-0010-0000-0600-000003000000}" name="REF" dataDxfId="62"/>
    <tableColumn id="1" xr3:uid="{00000000-0010-0000-0600-000001000000}" name="Désignation" dataDxfId="61"/>
    <tableColumn id="2" xr3:uid="{00000000-0010-0000-0600-000002000000}" name="CU" dataDxfId="60"/>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7000000}" name="TabClient" displayName="TabClient" ref="A18:C20" totalsRowShown="0">
  <autoFilter ref="A18:C20" xr:uid="{00000000-0009-0000-0100-000009000000}"/>
  <tableColumns count="3">
    <tableColumn id="1" xr3:uid="{00000000-0010-0000-0700-000001000000}" name="Colonne1"/>
    <tableColumn id="2" xr3:uid="{00000000-0010-0000-0700-000002000000}" name="Colonne2"/>
    <tableColumn id="3" xr3:uid="{00000000-0010-0000-0700-000003000000}" name="Colonne3"/>
  </tableColumns>
  <tableStyleInfo name="TableStyleLight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8000000}" name="TabModOp" displayName="TabModOp" ref="A1:E12" totalsRowShown="0">
  <autoFilter ref="A1:E12" xr:uid="{00000000-0009-0000-0100-000002000000}"/>
  <tableColumns count="5">
    <tableColumn id="1" xr3:uid="{00000000-0010-0000-0800-000001000000}" name="Onglet" dataCellStyle="Lien hypertexte"/>
    <tableColumn id="2" xr3:uid="{00000000-0010-0000-0800-000002000000}" name="Fonctionnalité" dataDxfId="59"/>
    <tableColumn id="3" xr3:uid="{00000000-0010-0000-0800-000003000000}" name="Action1" dataDxfId="58"/>
    <tableColumn id="4" xr3:uid="{00000000-0010-0000-0800-000004000000}" name="Action 2" dataDxfId="57"/>
    <tableColumn id="5" xr3:uid="{00000000-0010-0000-0800-000005000000}" name="Action3" dataDxfId="56"/>
  </tableColumns>
  <tableStyleInfo name="TableStyleMedium3"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pivotTable" Target="../pivotTables/pivotTable2.xml"/><Relationship Id="rId4" Type="http://schemas.microsoft.com/office/2007/relationships/slicer" Target="../slicers/slicer2.xml"/></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pivotTable" Target="../pivotTables/pivotTable3.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199AAE-A044-420A-A26B-B5607D775896}">
  <sheetPr codeName="Feuil17">
    <tabColor rgb="FF92D050"/>
    <pageSetUpPr fitToPage="1"/>
  </sheetPr>
  <dimension ref="A3:L443"/>
  <sheetViews>
    <sheetView zoomScale="85" zoomScaleNormal="85" workbookViewId="0">
      <selection activeCell="G43" sqref="G43"/>
    </sheetView>
  </sheetViews>
  <sheetFormatPr baseColWidth="10" defaultColWidth="11.42578125" defaultRowHeight="15" outlineLevelCol="1" x14ac:dyDescent="0.25"/>
  <cols>
    <col min="1" max="1" width="81" bestFit="1" customWidth="1"/>
    <col min="2" max="2" width="59.140625" hidden="1" customWidth="1" outlineLevel="1"/>
    <col min="3" max="3" width="21.28515625" bestFit="1" customWidth="1" collapsed="1"/>
    <col min="10" max="10" width="24" customWidth="1"/>
  </cols>
  <sheetData>
    <row r="3" spans="1:5" x14ac:dyDescent="0.25">
      <c r="A3" s="18" t="s">
        <v>0</v>
      </c>
      <c r="B3" s="18" t="s">
        <v>1</v>
      </c>
      <c r="C3" s="61" t="s">
        <v>2</v>
      </c>
      <c r="D3" s="61" t="s">
        <v>3</v>
      </c>
      <c r="E3" s="61" t="s">
        <v>4</v>
      </c>
    </row>
    <row r="4" spans="1:5" x14ac:dyDescent="0.25">
      <c r="A4" s="19" t="s">
        <v>5</v>
      </c>
      <c r="C4" s="5">
        <v>380.47500000000002</v>
      </c>
      <c r="D4" s="53">
        <v>333.37</v>
      </c>
      <c r="E4" s="70">
        <v>29.333333333333332</v>
      </c>
    </row>
    <row r="5" spans="1:5" x14ac:dyDescent="0.25">
      <c r="A5" s="20" t="s">
        <v>1342</v>
      </c>
      <c r="C5" s="5">
        <v>114.08500000000001</v>
      </c>
      <c r="D5" s="53">
        <v>0</v>
      </c>
      <c r="E5" s="70">
        <v>10</v>
      </c>
    </row>
    <row r="6" spans="1:5" x14ac:dyDescent="0.25">
      <c r="A6" s="21" t="s">
        <v>6</v>
      </c>
      <c r="C6" s="5">
        <v>14.48</v>
      </c>
      <c r="D6" s="53">
        <v>0</v>
      </c>
      <c r="E6" s="70">
        <v>1</v>
      </c>
    </row>
    <row r="7" spans="1:5" x14ac:dyDescent="0.25">
      <c r="A7" s="22" t="s">
        <v>7</v>
      </c>
      <c r="B7" s="19" t="s">
        <v>8</v>
      </c>
      <c r="C7" s="5">
        <v>14.48</v>
      </c>
      <c r="D7" s="53">
        <v>0</v>
      </c>
      <c r="E7" s="70">
        <v>1</v>
      </c>
    </row>
    <row r="8" spans="1:5" x14ac:dyDescent="0.25">
      <c r="A8" s="21" t="s">
        <v>9</v>
      </c>
      <c r="C8" s="5">
        <v>5.5</v>
      </c>
      <c r="D8" s="53">
        <v>0</v>
      </c>
      <c r="E8" s="70">
        <v>1.5</v>
      </c>
    </row>
    <row r="9" spans="1:5" x14ac:dyDescent="0.25">
      <c r="A9" s="22" t="s">
        <v>10</v>
      </c>
      <c r="B9" s="19" t="s">
        <v>11</v>
      </c>
      <c r="C9" s="5">
        <v>2.52</v>
      </c>
      <c r="D9" s="53">
        <v>0</v>
      </c>
      <c r="E9" s="70">
        <v>0.5</v>
      </c>
    </row>
    <row r="10" spans="1:5" x14ac:dyDescent="0.25">
      <c r="A10" s="22" t="s">
        <v>12</v>
      </c>
      <c r="B10" s="19" t="s">
        <v>8</v>
      </c>
      <c r="C10" s="5">
        <v>2.9800000000000004</v>
      </c>
      <c r="D10" s="53">
        <v>0</v>
      </c>
      <c r="E10" s="70">
        <v>1</v>
      </c>
    </row>
    <row r="11" spans="1:5" x14ac:dyDescent="0.25">
      <c r="A11" s="21" t="s">
        <v>14</v>
      </c>
      <c r="C11" s="5">
        <v>2.9850000000000003</v>
      </c>
      <c r="D11" s="53">
        <v>0</v>
      </c>
      <c r="E11" s="70">
        <v>0.5</v>
      </c>
    </row>
    <row r="12" spans="1:5" x14ac:dyDescent="0.25">
      <c r="A12" s="22" t="s">
        <v>15</v>
      </c>
      <c r="B12" s="19" t="s">
        <v>16</v>
      </c>
      <c r="C12" s="5">
        <v>2.9850000000000003</v>
      </c>
      <c r="D12" s="53">
        <v>0</v>
      </c>
      <c r="E12" s="70">
        <v>0.5</v>
      </c>
    </row>
    <row r="13" spans="1:5" x14ac:dyDescent="0.25">
      <c r="A13" s="21" t="s">
        <v>17</v>
      </c>
      <c r="C13" s="5">
        <v>16.71</v>
      </c>
      <c r="D13" s="53">
        <v>0</v>
      </c>
      <c r="E13" s="70">
        <v>1</v>
      </c>
    </row>
    <row r="14" spans="1:5" x14ac:dyDescent="0.25">
      <c r="A14" s="22" t="s">
        <v>18</v>
      </c>
      <c r="B14" s="19" t="s">
        <v>19</v>
      </c>
      <c r="C14" s="5">
        <v>16.71</v>
      </c>
      <c r="D14" s="53">
        <v>0</v>
      </c>
      <c r="E14" s="70">
        <v>1</v>
      </c>
    </row>
    <row r="15" spans="1:5" x14ac:dyDescent="0.25">
      <c r="A15" s="21" t="s">
        <v>20</v>
      </c>
      <c r="C15" s="5">
        <v>25.87</v>
      </c>
      <c r="D15" s="53">
        <v>0</v>
      </c>
      <c r="E15" s="70">
        <v>2</v>
      </c>
    </row>
    <row r="16" spans="1:5" x14ac:dyDescent="0.25">
      <c r="A16" s="22" t="s">
        <v>21</v>
      </c>
      <c r="B16" s="19" t="s">
        <v>22</v>
      </c>
      <c r="C16" s="5">
        <v>16.71</v>
      </c>
      <c r="D16" s="53">
        <v>0</v>
      </c>
      <c r="E16" s="70">
        <v>1</v>
      </c>
    </row>
    <row r="17" spans="1:5" x14ac:dyDescent="0.25">
      <c r="A17" s="22" t="s">
        <v>23</v>
      </c>
      <c r="B17" s="19" t="s">
        <v>24</v>
      </c>
      <c r="C17" s="5">
        <v>9.16</v>
      </c>
      <c r="D17" s="53">
        <v>0</v>
      </c>
      <c r="E17" s="70">
        <v>1</v>
      </c>
    </row>
    <row r="18" spans="1:5" x14ac:dyDescent="0.25">
      <c r="A18" s="21" t="s">
        <v>25</v>
      </c>
      <c r="C18" s="5">
        <v>16.71</v>
      </c>
      <c r="D18" s="53">
        <v>0</v>
      </c>
      <c r="E18" s="70">
        <v>1</v>
      </c>
    </row>
    <row r="19" spans="1:5" x14ac:dyDescent="0.25">
      <c r="A19" s="22" t="s">
        <v>26</v>
      </c>
      <c r="B19" s="19" t="s">
        <v>19</v>
      </c>
      <c r="C19" s="5">
        <v>16.71</v>
      </c>
      <c r="D19" s="53">
        <v>0</v>
      </c>
      <c r="E19" s="70">
        <v>1</v>
      </c>
    </row>
    <row r="20" spans="1:5" x14ac:dyDescent="0.25">
      <c r="A20" s="21" t="s">
        <v>27</v>
      </c>
      <c r="C20" s="5">
        <v>31.830000000000002</v>
      </c>
      <c r="D20" s="53">
        <v>0</v>
      </c>
      <c r="E20" s="70">
        <v>3</v>
      </c>
    </row>
    <row r="21" spans="1:5" x14ac:dyDescent="0.25">
      <c r="A21" s="22" t="s">
        <v>28</v>
      </c>
      <c r="B21" s="19" t="s">
        <v>22</v>
      </c>
      <c r="C21" s="5">
        <v>16.71</v>
      </c>
      <c r="D21" s="53">
        <v>0</v>
      </c>
      <c r="E21" s="70">
        <v>1</v>
      </c>
    </row>
    <row r="22" spans="1:5" x14ac:dyDescent="0.25">
      <c r="A22" s="22" t="s">
        <v>29</v>
      </c>
      <c r="B22" s="19" t="s">
        <v>24</v>
      </c>
      <c r="C22" s="5">
        <v>9.16</v>
      </c>
      <c r="D22" s="53">
        <v>0</v>
      </c>
      <c r="E22" s="70">
        <v>1</v>
      </c>
    </row>
    <row r="23" spans="1:5" x14ac:dyDescent="0.25">
      <c r="A23" s="22" t="s">
        <v>1279</v>
      </c>
      <c r="B23" s="19" t="s">
        <v>24</v>
      </c>
      <c r="C23" s="5">
        <v>5.9600000000000009</v>
      </c>
      <c r="D23" s="53">
        <v>0</v>
      </c>
      <c r="E23" s="70">
        <v>1</v>
      </c>
    </row>
    <row r="24" spans="1:5" x14ac:dyDescent="0.25">
      <c r="A24" s="20" t="s">
        <v>1343</v>
      </c>
      <c r="C24" s="5">
        <v>3.4400000000000004</v>
      </c>
      <c r="D24" s="53">
        <v>0</v>
      </c>
      <c r="E24" s="70">
        <v>1</v>
      </c>
    </row>
    <row r="25" spans="1:5" x14ac:dyDescent="0.25">
      <c r="A25" s="21" t="s">
        <v>30</v>
      </c>
      <c r="C25" s="5">
        <v>3.4400000000000004</v>
      </c>
      <c r="D25" s="53">
        <v>0</v>
      </c>
      <c r="E25" s="70">
        <v>1</v>
      </c>
    </row>
    <row r="26" spans="1:5" x14ac:dyDescent="0.25">
      <c r="A26" s="22" t="s">
        <v>31</v>
      </c>
      <c r="B26" s="19" t="s">
        <v>24</v>
      </c>
      <c r="C26" s="5">
        <v>3.4400000000000004</v>
      </c>
      <c r="D26" s="53">
        <v>0</v>
      </c>
      <c r="E26" s="70">
        <v>1</v>
      </c>
    </row>
    <row r="27" spans="1:5" x14ac:dyDescent="0.25">
      <c r="A27" s="20" t="s">
        <v>1344</v>
      </c>
      <c r="C27" s="5">
        <v>257.21999999999997</v>
      </c>
      <c r="D27" s="53">
        <v>333.37</v>
      </c>
      <c r="E27" s="70">
        <v>17.333333333333336</v>
      </c>
    </row>
    <row r="28" spans="1:5" x14ac:dyDescent="0.25">
      <c r="A28" s="21" t="s">
        <v>6</v>
      </c>
      <c r="C28" s="5">
        <v>51.424999999999997</v>
      </c>
      <c r="D28" s="53">
        <v>11.96</v>
      </c>
      <c r="E28" s="70">
        <v>4.5</v>
      </c>
    </row>
    <row r="29" spans="1:5" x14ac:dyDescent="0.25">
      <c r="A29" s="22" t="s">
        <v>32</v>
      </c>
      <c r="B29" s="19" t="s">
        <v>24</v>
      </c>
      <c r="C29" s="5">
        <v>6.43</v>
      </c>
      <c r="D29" s="53">
        <v>0</v>
      </c>
      <c r="E29" s="70">
        <v>1</v>
      </c>
    </row>
    <row r="30" spans="1:5" x14ac:dyDescent="0.25">
      <c r="A30" s="22" t="s">
        <v>15</v>
      </c>
      <c r="B30" s="19" t="s">
        <v>33</v>
      </c>
      <c r="C30" s="5">
        <v>2.9850000000000003</v>
      </c>
      <c r="D30" s="53">
        <v>0</v>
      </c>
      <c r="E30" s="70">
        <v>0.5</v>
      </c>
    </row>
    <row r="31" spans="1:5" x14ac:dyDescent="0.25">
      <c r="A31" s="22" t="s">
        <v>34</v>
      </c>
      <c r="B31" s="19" t="s">
        <v>35</v>
      </c>
      <c r="C31" s="5">
        <v>12.400000000000002</v>
      </c>
      <c r="D31" s="53">
        <v>11.96</v>
      </c>
      <c r="E31" s="70">
        <v>1</v>
      </c>
    </row>
    <row r="32" spans="1:5" x14ac:dyDescent="0.25">
      <c r="A32" s="22" t="s">
        <v>36</v>
      </c>
      <c r="B32" s="19" t="s">
        <v>24</v>
      </c>
      <c r="C32" s="5">
        <v>20.200000000000003</v>
      </c>
      <c r="D32" s="53">
        <v>0</v>
      </c>
      <c r="E32" s="70">
        <v>1</v>
      </c>
    </row>
    <row r="33" spans="1:12" x14ac:dyDescent="0.25">
      <c r="A33" s="22" t="s">
        <v>1311</v>
      </c>
      <c r="B33" s="19" t="s">
        <v>24</v>
      </c>
      <c r="C33" s="5">
        <v>9.41</v>
      </c>
      <c r="D33" s="53">
        <v>0</v>
      </c>
      <c r="E33" s="70">
        <v>1</v>
      </c>
    </row>
    <row r="34" spans="1:12" x14ac:dyDescent="0.25">
      <c r="A34" s="21" t="s">
        <v>9</v>
      </c>
      <c r="C34" s="5">
        <v>184.59</v>
      </c>
      <c r="D34" s="53">
        <v>321.40999999999997</v>
      </c>
      <c r="E34" s="70">
        <v>8.8333333333333321</v>
      </c>
    </row>
    <row r="35" spans="1:12" x14ac:dyDescent="0.25">
      <c r="A35" s="22" t="s">
        <v>10</v>
      </c>
      <c r="B35" s="19" t="s">
        <v>13</v>
      </c>
      <c r="C35" s="5">
        <v>2.52</v>
      </c>
      <c r="D35" s="53">
        <v>0</v>
      </c>
      <c r="E35" s="70">
        <v>0.5</v>
      </c>
    </row>
    <row r="36" spans="1:12" x14ac:dyDescent="0.25">
      <c r="A36" s="22" t="s">
        <v>37</v>
      </c>
      <c r="B36" s="19" t="s">
        <v>38</v>
      </c>
      <c r="C36" s="5">
        <v>21.35</v>
      </c>
      <c r="D36" s="53">
        <v>11.96</v>
      </c>
      <c r="E36" s="70">
        <v>1</v>
      </c>
      <c r="J36" s="24" t="s">
        <v>1288</v>
      </c>
    </row>
    <row r="37" spans="1:12" x14ac:dyDescent="0.25">
      <c r="A37" s="22" t="s">
        <v>39</v>
      </c>
      <c r="B37" s="19" t="s">
        <v>40</v>
      </c>
      <c r="C37" s="5">
        <v>9.2000000000000011</v>
      </c>
      <c r="D37" s="53">
        <v>0</v>
      </c>
      <c r="E37" s="70">
        <v>1</v>
      </c>
      <c r="J37" s="84" t="s">
        <v>1289</v>
      </c>
      <c r="K37" s="87">
        <v>855.15</v>
      </c>
      <c r="L37" t="s">
        <v>1296</v>
      </c>
    </row>
    <row r="38" spans="1:12" x14ac:dyDescent="0.25">
      <c r="A38" s="22" t="s">
        <v>41</v>
      </c>
      <c r="B38" s="19" t="s">
        <v>38</v>
      </c>
      <c r="C38" s="5">
        <v>14.7</v>
      </c>
      <c r="D38" s="53">
        <v>0</v>
      </c>
      <c r="E38" s="70">
        <v>1</v>
      </c>
      <c r="J38" s="84" t="s">
        <v>1290</v>
      </c>
      <c r="K38" s="87">
        <v>0</v>
      </c>
      <c r="L38" t="s">
        <v>1296</v>
      </c>
    </row>
    <row r="39" spans="1:12" x14ac:dyDescent="0.25">
      <c r="A39" s="22" t="s">
        <v>42</v>
      </c>
      <c r="B39" s="19" t="s">
        <v>43</v>
      </c>
      <c r="C39" s="5">
        <v>34</v>
      </c>
      <c r="D39" s="53">
        <v>0</v>
      </c>
      <c r="E39" s="70">
        <v>1</v>
      </c>
      <c r="J39" s="85" t="s">
        <v>1291</v>
      </c>
      <c r="K39" s="88">
        <v>341.34</v>
      </c>
      <c r="L39" t="s">
        <v>1297</v>
      </c>
    </row>
    <row r="40" spans="1:12" x14ac:dyDescent="0.25">
      <c r="A40" s="22" t="s">
        <v>44</v>
      </c>
      <c r="B40" s="19" t="s">
        <v>45</v>
      </c>
      <c r="C40" s="5">
        <v>10.34</v>
      </c>
      <c r="D40" s="53">
        <v>0</v>
      </c>
      <c r="E40" s="70">
        <v>1</v>
      </c>
      <c r="J40" s="85" t="s">
        <v>1292</v>
      </c>
      <c r="K40" s="88">
        <v>630.86</v>
      </c>
      <c r="L40" t="s">
        <v>1297</v>
      </c>
    </row>
    <row r="41" spans="1:12" x14ac:dyDescent="0.25">
      <c r="A41" s="22" t="s">
        <v>46</v>
      </c>
      <c r="B41" s="19" t="s">
        <v>47</v>
      </c>
      <c r="C41" s="5">
        <v>2.2200000000000002</v>
      </c>
      <c r="D41" s="53">
        <v>0</v>
      </c>
      <c r="E41" s="70">
        <v>0.33333333333333331</v>
      </c>
      <c r="J41" s="84" t="s">
        <v>1293</v>
      </c>
      <c r="K41" s="87">
        <v>2034.02</v>
      </c>
      <c r="L41" t="s">
        <v>1298</v>
      </c>
    </row>
    <row r="42" spans="1:12" x14ac:dyDescent="0.25">
      <c r="A42" s="22" t="s">
        <v>50</v>
      </c>
      <c r="B42" s="19" t="s">
        <v>51</v>
      </c>
      <c r="C42" s="5">
        <v>61.6</v>
      </c>
      <c r="D42" s="53">
        <v>309.45</v>
      </c>
      <c r="E42" s="70">
        <v>1</v>
      </c>
      <c r="J42" s="84" t="s">
        <v>1294</v>
      </c>
      <c r="K42" s="87">
        <v>1536.8</v>
      </c>
      <c r="L42" t="s">
        <v>1298</v>
      </c>
    </row>
    <row r="43" spans="1:12" x14ac:dyDescent="0.25">
      <c r="A43" s="22" t="s">
        <v>1324</v>
      </c>
      <c r="B43" s="19" t="s">
        <v>48</v>
      </c>
      <c r="C43" s="5">
        <v>23.840000000000003</v>
      </c>
      <c r="D43" s="53">
        <v>0</v>
      </c>
      <c r="E43" s="70">
        <v>1</v>
      </c>
      <c r="J43" s="85" t="s">
        <v>1295</v>
      </c>
      <c r="K43" s="88">
        <f>GlobalARepartirSansMSEtSansVeeam</f>
        <v>4894.025555555555</v>
      </c>
      <c r="L43" t="s">
        <v>1299</v>
      </c>
    </row>
    <row r="44" spans="1:12" x14ac:dyDescent="0.25">
      <c r="A44" s="22" t="s">
        <v>1325</v>
      </c>
      <c r="B44" s="19" t="s">
        <v>49</v>
      </c>
      <c r="C44" s="5">
        <v>4.82</v>
      </c>
      <c r="D44" s="53">
        <v>0</v>
      </c>
      <c r="E44" s="70">
        <v>1</v>
      </c>
      <c r="J44" s="86" t="s">
        <v>265</v>
      </c>
      <c r="K44" s="89">
        <f>SUM(K37:K43)</f>
        <v>10292.195555555554</v>
      </c>
    </row>
    <row r="45" spans="1:12" x14ac:dyDescent="0.25">
      <c r="A45" s="21" t="s">
        <v>52</v>
      </c>
      <c r="C45" s="5">
        <v>14.430000000000001</v>
      </c>
      <c r="D45" s="53">
        <v>0</v>
      </c>
      <c r="E45" s="70">
        <v>3</v>
      </c>
    </row>
    <row r="46" spans="1:12" x14ac:dyDescent="0.25">
      <c r="A46" s="22" t="s">
        <v>53</v>
      </c>
      <c r="B46" s="19" t="s">
        <v>54</v>
      </c>
      <c r="C46" s="5">
        <v>5.04</v>
      </c>
      <c r="D46" s="53">
        <v>0</v>
      </c>
      <c r="E46" s="70">
        <v>1</v>
      </c>
    </row>
    <row r="47" spans="1:12" x14ac:dyDescent="0.25">
      <c r="A47" s="22" t="s">
        <v>55</v>
      </c>
      <c r="B47" s="19" t="s">
        <v>56</v>
      </c>
      <c r="C47" s="5">
        <v>4.8100000000000005</v>
      </c>
      <c r="D47" s="53">
        <v>0</v>
      </c>
      <c r="E47" s="70">
        <v>1</v>
      </c>
    </row>
    <row r="48" spans="1:12" x14ac:dyDescent="0.25">
      <c r="A48" s="22" t="s">
        <v>57</v>
      </c>
      <c r="B48" s="19" t="s">
        <v>58</v>
      </c>
      <c r="C48" s="5">
        <v>4.58</v>
      </c>
      <c r="D48" s="53">
        <v>0</v>
      </c>
      <c r="E48" s="70">
        <v>1</v>
      </c>
    </row>
    <row r="49" spans="1:5" x14ac:dyDescent="0.25">
      <c r="A49" s="21" t="s">
        <v>14</v>
      </c>
      <c r="C49" s="5">
        <v>5.5149999999999997</v>
      </c>
      <c r="D49" s="53">
        <v>0</v>
      </c>
      <c r="E49" s="70">
        <v>0.5</v>
      </c>
    </row>
    <row r="50" spans="1:5" x14ac:dyDescent="0.25">
      <c r="A50" s="22" t="s">
        <v>59</v>
      </c>
      <c r="B50" s="19" t="s">
        <v>60</v>
      </c>
      <c r="C50" s="5">
        <v>5.5149999999999997</v>
      </c>
      <c r="D50" s="53">
        <v>0</v>
      </c>
      <c r="E50" s="70">
        <v>0.5</v>
      </c>
    </row>
    <row r="51" spans="1:5" x14ac:dyDescent="0.25">
      <c r="A51" s="21" t="s">
        <v>61</v>
      </c>
      <c r="C51" s="5">
        <v>1.26</v>
      </c>
      <c r="D51" s="53">
        <v>0</v>
      </c>
      <c r="E51" s="70">
        <v>0.5</v>
      </c>
    </row>
    <row r="52" spans="1:5" x14ac:dyDescent="0.25">
      <c r="A52" s="22" t="s">
        <v>62</v>
      </c>
      <c r="B52" s="19" t="s">
        <v>63</v>
      </c>
      <c r="C52" s="5">
        <v>1.26</v>
      </c>
      <c r="D52" s="53">
        <v>0</v>
      </c>
      <c r="E52" s="70">
        <v>0.5</v>
      </c>
    </row>
    <row r="53" spans="1:5" x14ac:dyDescent="0.25">
      <c r="A53" s="20" t="s">
        <v>1345</v>
      </c>
      <c r="C53" s="5">
        <v>5.73</v>
      </c>
      <c r="D53" s="53">
        <v>0</v>
      </c>
      <c r="E53" s="70">
        <v>1</v>
      </c>
    </row>
    <row r="54" spans="1:5" x14ac:dyDescent="0.25">
      <c r="A54" s="21" t="s">
        <v>6</v>
      </c>
      <c r="C54" s="5">
        <v>5.73</v>
      </c>
      <c r="D54" s="53">
        <v>0</v>
      </c>
      <c r="E54" s="70">
        <v>1</v>
      </c>
    </row>
    <row r="55" spans="1:5" x14ac:dyDescent="0.25">
      <c r="A55" s="22" t="s">
        <v>1323</v>
      </c>
      <c r="B55" s="19" t="s">
        <v>24</v>
      </c>
      <c r="C55" s="5">
        <v>5.73</v>
      </c>
      <c r="D55" s="53">
        <v>0</v>
      </c>
      <c r="E55" s="70">
        <v>1</v>
      </c>
    </row>
    <row r="56" spans="1:5" x14ac:dyDescent="0.25">
      <c r="A56" s="19" t="s">
        <v>64</v>
      </c>
      <c r="C56" s="5">
        <v>45.61</v>
      </c>
      <c r="D56" s="53">
        <v>0</v>
      </c>
      <c r="E56" s="70">
        <v>1.6666666666666665</v>
      </c>
    </row>
    <row r="57" spans="1:5" x14ac:dyDescent="0.25">
      <c r="A57" s="20" t="s">
        <v>1346</v>
      </c>
      <c r="C57" s="5">
        <v>43.39</v>
      </c>
      <c r="D57" s="53">
        <v>0</v>
      </c>
      <c r="E57" s="70">
        <v>1.3333333333333333</v>
      </c>
    </row>
    <row r="58" spans="1:5" x14ac:dyDescent="0.25">
      <c r="A58" s="21" t="s">
        <v>65</v>
      </c>
      <c r="C58" s="5">
        <v>43.39</v>
      </c>
      <c r="D58" s="53">
        <v>0</v>
      </c>
      <c r="E58" s="70">
        <v>1.3333333333333333</v>
      </c>
    </row>
    <row r="59" spans="1:5" x14ac:dyDescent="0.25">
      <c r="A59" s="22" t="s">
        <v>66</v>
      </c>
      <c r="B59" s="19" t="s">
        <v>1304</v>
      </c>
      <c r="C59" s="5">
        <v>41.17</v>
      </c>
      <c r="D59" s="53">
        <v>0</v>
      </c>
      <c r="E59" s="70">
        <v>1</v>
      </c>
    </row>
    <row r="60" spans="1:5" x14ac:dyDescent="0.25">
      <c r="A60" s="22" t="s">
        <v>46</v>
      </c>
      <c r="B60" s="19" t="s">
        <v>24</v>
      </c>
      <c r="C60" s="5">
        <v>2.2200000000000002</v>
      </c>
      <c r="D60" s="53">
        <v>0</v>
      </c>
      <c r="E60" s="70">
        <v>0.33333333333333331</v>
      </c>
    </row>
    <row r="61" spans="1:5" x14ac:dyDescent="0.25">
      <c r="A61" s="20" t="s">
        <v>1347</v>
      </c>
      <c r="C61" s="5">
        <v>2.2200000000000002</v>
      </c>
      <c r="D61" s="53">
        <v>0</v>
      </c>
      <c r="E61" s="70">
        <v>0.33333333333333331</v>
      </c>
    </row>
    <row r="62" spans="1:5" x14ac:dyDescent="0.25">
      <c r="A62" s="21" t="s">
        <v>65</v>
      </c>
      <c r="C62" s="5">
        <v>2.2200000000000002</v>
      </c>
      <c r="D62" s="53">
        <v>0</v>
      </c>
      <c r="E62" s="70">
        <v>0.33333333333333331</v>
      </c>
    </row>
    <row r="63" spans="1:5" x14ac:dyDescent="0.25">
      <c r="A63" s="22" t="s">
        <v>46</v>
      </c>
      <c r="B63" s="19" t="s">
        <v>24</v>
      </c>
      <c r="C63" s="5">
        <v>2.2200000000000002</v>
      </c>
      <c r="D63" s="53">
        <v>0</v>
      </c>
      <c r="E63" s="70">
        <v>0.33333333333333331</v>
      </c>
    </row>
    <row r="64" spans="1:5" x14ac:dyDescent="0.25">
      <c r="A64" s="19" t="s">
        <v>67</v>
      </c>
      <c r="C64" s="5">
        <v>24.425000000000004</v>
      </c>
      <c r="D64" s="53">
        <v>0</v>
      </c>
      <c r="E64" s="70">
        <v>6</v>
      </c>
    </row>
    <row r="65" spans="1:5" x14ac:dyDescent="0.25">
      <c r="A65" s="20" t="s">
        <v>1348</v>
      </c>
      <c r="C65" s="5">
        <v>24.425000000000004</v>
      </c>
      <c r="D65" s="53">
        <v>0</v>
      </c>
      <c r="E65" s="70">
        <v>6</v>
      </c>
    </row>
    <row r="66" spans="1:5" x14ac:dyDescent="0.25">
      <c r="A66" s="21" t="s">
        <v>6</v>
      </c>
      <c r="C66" s="5">
        <v>10.32</v>
      </c>
      <c r="D66" s="53">
        <v>0</v>
      </c>
      <c r="E66" s="70">
        <v>2</v>
      </c>
    </row>
    <row r="67" spans="1:5" x14ac:dyDescent="0.25">
      <c r="A67" s="22" t="s">
        <v>68</v>
      </c>
      <c r="B67" s="19" t="s">
        <v>24</v>
      </c>
      <c r="C67" s="5">
        <v>2.52</v>
      </c>
      <c r="D67" s="53">
        <v>0</v>
      </c>
      <c r="E67" s="70">
        <v>1</v>
      </c>
    </row>
    <row r="68" spans="1:5" x14ac:dyDescent="0.25">
      <c r="A68" s="22" t="s">
        <v>69</v>
      </c>
      <c r="B68" s="19" t="s">
        <v>70</v>
      </c>
      <c r="C68" s="5">
        <v>7.8000000000000007</v>
      </c>
      <c r="D68" s="53">
        <v>0</v>
      </c>
      <c r="E68" s="70">
        <v>1</v>
      </c>
    </row>
    <row r="69" spans="1:5" x14ac:dyDescent="0.25">
      <c r="A69" s="21" t="s">
        <v>52</v>
      </c>
      <c r="C69" s="5">
        <v>10.205000000000002</v>
      </c>
      <c r="D69" s="53">
        <v>0</v>
      </c>
      <c r="E69" s="70">
        <v>3</v>
      </c>
    </row>
    <row r="70" spans="1:5" x14ac:dyDescent="0.25">
      <c r="A70" s="22" t="s">
        <v>62</v>
      </c>
      <c r="B70" s="19" t="s">
        <v>71</v>
      </c>
      <c r="C70" s="5">
        <v>1.26</v>
      </c>
      <c r="D70" s="53">
        <v>0</v>
      </c>
      <c r="E70" s="70">
        <v>0.5</v>
      </c>
    </row>
    <row r="71" spans="1:5" x14ac:dyDescent="0.25">
      <c r="A71" s="22" t="s">
        <v>72</v>
      </c>
      <c r="B71" s="19" t="s">
        <v>24</v>
      </c>
      <c r="C71" s="5">
        <v>2.9850000000000003</v>
      </c>
      <c r="D71" s="53">
        <v>0</v>
      </c>
      <c r="E71" s="70">
        <v>0.5</v>
      </c>
    </row>
    <row r="72" spans="1:5" x14ac:dyDescent="0.25">
      <c r="A72" s="22" t="s">
        <v>73</v>
      </c>
      <c r="B72" s="19" t="s">
        <v>24</v>
      </c>
      <c r="C72" s="5">
        <v>2.52</v>
      </c>
      <c r="D72" s="53">
        <v>0</v>
      </c>
      <c r="E72" s="70">
        <v>1</v>
      </c>
    </row>
    <row r="73" spans="1:5" x14ac:dyDescent="0.25">
      <c r="A73" s="22" t="s">
        <v>74</v>
      </c>
      <c r="B73" s="19" t="s">
        <v>24</v>
      </c>
      <c r="C73" s="5">
        <v>3.4400000000000004</v>
      </c>
      <c r="D73" s="53">
        <v>0</v>
      </c>
      <c r="E73" s="70">
        <v>1</v>
      </c>
    </row>
    <row r="74" spans="1:5" x14ac:dyDescent="0.25">
      <c r="A74" s="21" t="s">
        <v>75</v>
      </c>
      <c r="C74" s="5">
        <v>3.9000000000000004</v>
      </c>
      <c r="D74" s="53">
        <v>0</v>
      </c>
      <c r="E74" s="70">
        <v>1</v>
      </c>
    </row>
    <row r="75" spans="1:5" x14ac:dyDescent="0.25">
      <c r="A75" s="22" t="s">
        <v>76</v>
      </c>
      <c r="B75" s="19" t="s">
        <v>24</v>
      </c>
      <c r="C75" s="5">
        <v>3.9000000000000004</v>
      </c>
      <c r="D75" s="53">
        <v>0</v>
      </c>
      <c r="E75" s="70">
        <v>1</v>
      </c>
    </row>
    <row r="76" spans="1:5" x14ac:dyDescent="0.25">
      <c r="A76" s="19" t="s">
        <v>191</v>
      </c>
      <c r="C76" s="5">
        <v>13.530000000000001</v>
      </c>
      <c r="D76" s="53">
        <v>0</v>
      </c>
      <c r="E76" s="70">
        <v>1</v>
      </c>
    </row>
    <row r="77" spans="1:5" x14ac:dyDescent="0.25">
      <c r="A77" s="20" t="s">
        <v>1349</v>
      </c>
      <c r="C77" s="5">
        <v>13.530000000000001</v>
      </c>
      <c r="D77" s="53">
        <v>0</v>
      </c>
      <c r="E77" s="70">
        <v>1</v>
      </c>
    </row>
    <row r="78" spans="1:5" x14ac:dyDescent="0.25">
      <c r="A78" s="21" t="s">
        <v>6</v>
      </c>
      <c r="C78" s="5">
        <v>13.530000000000001</v>
      </c>
      <c r="D78" s="53">
        <v>0</v>
      </c>
      <c r="E78" s="70">
        <v>1</v>
      </c>
    </row>
    <row r="79" spans="1:5" x14ac:dyDescent="0.25">
      <c r="A79" s="22" t="s">
        <v>1241</v>
      </c>
      <c r="B79" s="19" t="s">
        <v>24</v>
      </c>
      <c r="C79" s="5">
        <v>13.530000000000001</v>
      </c>
      <c r="D79" s="53">
        <v>0</v>
      </c>
      <c r="E79" s="70">
        <v>1</v>
      </c>
    </row>
    <row r="80" spans="1:5" x14ac:dyDescent="0.25">
      <c r="A80" s="19" t="s">
        <v>192</v>
      </c>
      <c r="C80" s="5">
        <v>183.48333333333335</v>
      </c>
      <c r="D80" s="53">
        <v>0</v>
      </c>
      <c r="E80" s="70">
        <v>3.3333333333333335</v>
      </c>
    </row>
    <row r="81" spans="1:5" x14ac:dyDescent="0.25">
      <c r="A81" s="20" t="s">
        <v>1350</v>
      </c>
      <c r="C81" s="5">
        <v>14.7</v>
      </c>
      <c r="D81" s="53">
        <v>0</v>
      </c>
      <c r="E81" s="70">
        <v>1</v>
      </c>
    </row>
    <row r="82" spans="1:5" x14ac:dyDescent="0.25">
      <c r="A82" s="21" t="s">
        <v>75</v>
      </c>
      <c r="C82" s="5">
        <v>14.7</v>
      </c>
      <c r="D82" s="53">
        <v>0</v>
      </c>
      <c r="E82" s="70">
        <v>1</v>
      </c>
    </row>
    <row r="83" spans="1:5" x14ac:dyDescent="0.25">
      <c r="A83" s="22" t="s">
        <v>196</v>
      </c>
      <c r="B83" s="19" t="s">
        <v>24</v>
      </c>
      <c r="C83" s="5">
        <v>14.7</v>
      </c>
      <c r="D83" s="53">
        <v>0</v>
      </c>
      <c r="E83" s="70">
        <v>1</v>
      </c>
    </row>
    <row r="84" spans="1:5" x14ac:dyDescent="0.25">
      <c r="A84" s="20" t="s">
        <v>1351</v>
      </c>
      <c r="C84" s="5">
        <v>76.916666666666671</v>
      </c>
      <c r="D84" s="53">
        <v>0</v>
      </c>
      <c r="E84" s="70">
        <v>1.1666666666666665</v>
      </c>
    </row>
    <row r="85" spans="1:5" x14ac:dyDescent="0.25">
      <c r="A85" s="21" t="s">
        <v>75</v>
      </c>
      <c r="C85" s="5">
        <v>76.916666666666671</v>
      </c>
      <c r="D85" s="53">
        <v>0</v>
      </c>
      <c r="E85" s="70">
        <v>1.1666666666666665</v>
      </c>
    </row>
    <row r="86" spans="1:5" x14ac:dyDescent="0.25">
      <c r="A86" s="22" t="s">
        <v>193</v>
      </c>
      <c r="B86" s="19" t="s">
        <v>24</v>
      </c>
      <c r="C86" s="5">
        <v>9.0333333333333332</v>
      </c>
      <c r="D86" s="53">
        <v>0</v>
      </c>
      <c r="E86" s="70">
        <v>0.33333333333333331</v>
      </c>
    </row>
    <row r="87" spans="1:5" x14ac:dyDescent="0.25">
      <c r="A87" s="22" t="s">
        <v>194</v>
      </c>
      <c r="B87" s="19" t="s">
        <v>24</v>
      </c>
      <c r="C87" s="5">
        <v>23.983333333333334</v>
      </c>
      <c r="D87" s="53">
        <v>0</v>
      </c>
      <c r="E87" s="70">
        <v>0.33333333333333331</v>
      </c>
    </row>
    <row r="88" spans="1:5" x14ac:dyDescent="0.25">
      <c r="A88" s="22" t="s">
        <v>195</v>
      </c>
      <c r="B88" s="19" t="s">
        <v>24</v>
      </c>
      <c r="C88" s="5">
        <v>43.900000000000006</v>
      </c>
      <c r="D88" s="53">
        <v>0</v>
      </c>
      <c r="E88" s="70">
        <v>0.5</v>
      </c>
    </row>
    <row r="89" spans="1:5" x14ac:dyDescent="0.25">
      <c r="A89" s="20" t="s">
        <v>1352</v>
      </c>
      <c r="C89" s="5">
        <v>67.88333333333334</v>
      </c>
      <c r="D89" s="53">
        <v>0</v>
      </c>
      <c r="E89" s="70">
        <v>0.83333333333333326</v>
      </c>
    </row>
    <row r="90" spans="1:5" x14ac:dyDescent="0.25">
      <c r="A90" s="21" t="s">
        <v>6</v>
      </c>
      <c r="C90" s="5">
        <v>67.88333333333334</v>
      </c>
      <c r="D90" s="53">
        <v>0</v>
      </c>
      <c r="E90" s="70">
        <v>0.83333333333333326</v>
      </c>
    </row>
    <row r="91" spans="1:5" x14ac:dyDescent="0.25">
      <c r="A91" s="22" t="s">
        <v>194</v>
      </c>
      <c r="B91" s="19" t="s">
        <v>24</v>
      </c>
      <c r="C91" s="5">
        <v>23.983333333333334</v>
      </c>
      <c r="D91" s="53">
        <v>0</v>
      </c>
      <c r="E91" s="70">
        <v>0.33333333333333331</v>
      </c>
    </row>
    <row r="92" spans="1:5" x14ac:dyDescent="0.25">
      <c r="A92" s="22" t="s">
        <v>195</v>
      </c>
      <c r="B92" s="19" t="s">
        <v>24</v>
      </c>
      <c r="C92" s="5">
        <v>43.900000000000006</v>
      </c>
      <c r="D92" s="53">
        <v>0</v>
      </c>
      <c r="E92" s="70">
        <v>0.5</v>
      </c>
    </row>
    <row r="93" spans="1:5" x14ac:dyDescent="0.25">
      <c r="A93" s="20" t="s">
        <v>1353</v>
      </c>
      <c r="C93" s="5">
        <v>23.983333333333334</v>
      </c>
      <c r="D93" s="53">
        <v>0</v>
      </c>
      <c r="E93" s="70">
        <v>0.33333333333333331</v>
      </c>
    </row>
    <row r="94" spans="1:5" x14ac:dyDescent="0.25">
      <c r="A94" s="21" t="s">
        <v>6</v>
      </c>
      <c r="C94" s="5">
        <v>23.983333333333334</v>
      </c>
      <c r="D94" s="53">
        <v>0</v>
      </c>
      <c r="E94" s="70">
        <v>0.33333333333333331</v>
      </c>
    </row>
    <row r="95" spans="1:5" x14ac:dyDescent="0.25">
      <c r="A95" s="22" t="s">
        <v>194</v>
      </c>
      <c r="B95" s="19" t="s">
        <v>24</v>
      </c>
      <c r="C95" s="5">
        <v>23.983333333333334</v>
      </c>
      <c r="D95" s="53">
        <v>0</v>
      </c>
      <c r="E95" s="70">
        <v>0.33333333333333331</v>
      </c>
    </row>
    <row r="96" spans="1:5" x14ac:dyDescent="0.25">
      <c r="A96" s="19" t="s">
        <v>197</v>
      </c>
      <c r="C96" s="5">
        <v>37.033333333333339</v>
      </c>
      <c r="D96" s="53">
        <v>0</v>
      </c>
      <c r="E96" s="70">
        <v>2.3333333333333335</v>
      </c>
    </row>
    <row r="97" spans="1:5" x14ac:dyDescent="0.25">
      <c r="A97" s="20" t="s">
        <v>1354</v>
      </c>
      <c r="C97" s="5">
        <v>12.400000000000002</v>
      </c>
      <c r="D97" s="53">
        <v>0</v>
      </c>
      <c r="E97" s="70">
        <v>1</v>
      </c>
    </row>
    <row r="98" spans="1:5" x14ac:dyDescent="0.25">
      <c r="A98" s="21" t="s">
        <v>6</v>
      </c>
      <c r="C98" s="5">
        <v>12.400000000000002</v>
      </c>
      <c r="D98" s="53">
        <v>0</v>
      </c>
      <c r="E98" s="70">
        <v>1</v>
      </c>
    </row>
    <row r="99" spans="1:5" x14ac:dyDescent="0.25">
      <c r="A99" s="22" t="s">
        <v>198</v>
      </c>
      <c r="B99" s="19" t="s">
        <v>24</v>
      </c>
      <c r="C99" s="5">
        <v>12.400000000000002</v>
      </c>
      <c r="D99" s="53">
        <v>0</v>
      </c>
      <c r="E99" s="70">
        <v>1</v>
      </c>
    </row>
    <row r="100" spans="1:5" x14ac:dyDescent="0.25">
      <c r="A100" s="20" t="s">
        <v>1355</v>
      </c>
      <c r="C100" s="5">
        <v>15.600000000000001</v>
      </c>
      <c r="D100" s="53">
        <v>0</v>
      </c>
      <c r="E100" s="70">
        <v>1</v>
      </c>
    </row>
    <row r="101" spans="1:5" x14ac:dyDescent="0.25">
      <c r="A101" s="21" t="s">
        <v>6</v>
      </c>
      <c r="C101" s="5">
        <v>15.600000000000001</v>
      </c>
      <c r="D101" s="53">
        <v>0</v>
      </c>
      <c r="E101" s="70">
        <v>1</v>
      </c>
    </row>
    <row r="102" spans="1:5" x14ac:dyDescent="0.25">
      <c r="A102" s="22" t="s">
        <v>199</v>
      </c>
      <c r="B102" s="19" t="s">
        <v>24</v>
      </c>
      <c r="C102" s="5">
        <v>15.600000000000001</v>
      </c>
      <c r="D102" s="53">
        <v>0</v>
      </c>
      <c r="E102" s="70">
        <v>1</v>
      </c>
    </row>
    <row r="103" spans="1:5" x14ac:dyDescent="0.25">
      <c r="A103" s="20" t="s">
        <v>1356</v>
      </c>
      <c r="C103" s="5">
        <v>9.0333333333333332</v>
      </c>
      <c r="D103" s="53">
        <v>0</v>
      </c>
      <c r="E103" s="70">
        <v>0.33333333333333331</v>
      </c>
    </row>
    <row r="104" spans="1:5" x14ac:dyDescent="0.25">
      <c r="A104" s="21" t="s">
        <v>75</v>
      </c>
      <c r="C104" s="5">
        <v>9.0333333333333332</v>
      </c>
      <c r="D104" s="53">
        <v>0</v>
      </c>
      <c r="E104" s="70">
        <v>0.33333333333333331</v>
      </c>
    </row>
    <row r="105" spans="1:5" x14ac:dyDescent="0.25">
      <c r="A105" s="22" t="s">
        <v>193</v>
      </c>
      <c r="B105" s="19" t="s">
        <v>24</v>
      </c>
      <c r="C105" s="5">
        <v>9.0333333333333332</v>
      </c>
      <c r="D105" s="53">
        <v>0</v>
      </c>
      <c r="E105" s="70">
        <v>0.33333333333333331</v>
      </c>
    </row>
    <row r="106" spans="1:5" x14ac:dyDescent="0.25">
      <c r="A106" s="19" t="s">
        <v>200</v>
      </c>
      <c r="C106" s="5">
        <v>214.0333333333333</v>
      </c>
      <c r="D106" s="53">
        <v>0</v>
      </c>
      <c r="E106" s="70">
        <v>7.0333333333333314</v>
      </c>
    </row>
    <row r="107" spans="1:5" x14ac:dyDescent="0.25">
      <c r="A107" s="20" t="s">
        <v>1357</v>
      </c>
      <c r="C107" s="5">
        <v>18.919999999999998</v>
      </c>
      <c r="D107" s="53">
        <v>0</v>
      </c>
      <c r="E107" s="70">
        <v>0.2</v>
      </c>
    </row>
    <row r="108" spans="1:5" x14ac:dyDescent="0.25">
      <c r="A108" s="21" t="s">
        <v>65</v>
      </c>
      <c r="C108" s="5">
        <v>18.919999999999998</v>
      </c>
      <c r="D108" s="53">
        <v>0</v>
      </c>
      <c r="E108" s="70">
        <v>0.2</v>
      </c>
    </row>
    <row r="109" spans="1:5" x14ac:dyDescent="0.25">
      <c r="A109" s="22" t="s">
        <v>201</v>
      </c>
      <c r="B109" s="19" t="s">
        <v>24</v>
      </c>
      <c r="C109" s="5">
        <v>18.919999999999998</v>
      </c>
      <c r="D109" s="53">
        <v>0</v>
      </c>
      <c r="E109" s="70">
        <v>0.2</v>
      </c>
    </row>
    <row r="110" spans="1:5" x14ac:dyDescent="0.25">
      <c r="A110" s="20" t="s">
        <v>1358</v>
      </c>
      <c r="C110" s="5">
        <v>25.450000000000003</v>
      </c>
      <c r="D110" s="53">
        <v>0</v>
      </c>
      <c r="E110" s="70">
        <v>1</v>
      </c>
    </row>
    <row r="111" spans="1:5" x14ac:dyDescent="0.25">
      <c r="A111" s="21" t="s">
        <v>6</v>
      </c>
      <c r="C111" s="5">
        <v>25.450000000000003</v>
      </c>
      <c r="D111" s="53">
        <v>0</v>
      </c>
      <c r="E111" s="70">
        <v>1</v>
      </c>
    </row>
    <row r="112" spans="1:5" x14ac:dyDescent="0.25">
      <c r="A112" s="22" t="s">
        <v>205</v>
      </c>
      <c r="B112" s="19" t="s">
        <v>24</v>
      </c>
      <c r="C112" s="5">
        <v>25.450000000000003</v>
      </c>
      <c r="D112" s="53">
        <v>0</v>
      </c>
      <c r="E112" s="70">
        <v>1</v>
      </c>
    </row>
    <row r="113" spans="1:5" x14ac:dyDescent="0.25">
      <c r="A113" s="20" t="s">
        <v>1359</v>
      </c>
      <c r="C113" s="5">
        <v>18.919999999999998</v>
      </c>
      <c r="D113" s="53">
        <v>0</v>
      </c>
      <c r="E113" s="70">
        <v>0.2</v>
      </c>
    </row>
    <row r="114" spans="1:5" x14ac:dyDescent="0.25">
      <c r="A114" s="21" t="s">
        <v>65</v>
      </c>
      <c r="C114" s="5">
        <v>18.919999999999998</v>
      </c>
      <c r="D114" s="53">
        <v>0</v>
      </c>
      <c r="E114" s="70">
        <v>0.2</v>
      </c>
    </row>
    <row r="115" spans="1:5" x14ac:dyDescent="0.25">
      <c r="A115" s="22" t="s">
        <v>201</v>
      </c>
      <c r="B115" s="19" t="s">
        <v>24</v>
      </c>
      <c r="C115" s="5">
        <v>18.919999999999998</v>
      </c>
      <c r="D115" s="53">
        <v>0</v>
      </c>
      <c r="E115" s="70">
        <v>0.2</v>
      </c>
    </row>
    <row r="116" spans="1:5" x14ac:dyDescent="0.25">
      <c r="A116" s="20" t="s">
        <v>1360</v>
      </c>
      <c r="C116" s="5">
        <v>18.919999999999998</v>
      </c>
      <c r="D116" s="53">
        <v>0</v>
      </c>
      <c r="E116" s="70">
        <v>0.2</v>
      </c>
    </row>
    <row r="117" spans="1:5" x14ac:dyDescent="0.25">
      <c r="A117" s="21" t="s">
        <v>65</v>
      </c>
      <c r="C117" s="5">
        <v>18.919999999999998</v>
      </c>
      <c r="D117" s="53">
        <v>0</v>
      </c>
      <c r="E117" s="70">
        <v>0.2</v>
      </c>
    </row>
    <row r="118" spans="1:5" x14ac:dyDescent="0.25">
      <c r="A118" s="22" t="s">
        <v>201</v>
      </c>
      <c r="B118" s="19" t="s">
        <v>24</v>
      </c>
      <c r="C118" s="5">
        <v>18.919999999999998</v>
      </c>
      <c r="D118" s="53">
        <v>0</v>
      </c>
      <c r="E118" s="70">
        <v>0.2</v>
      </c>
    </row>
    <row r="119" spans="1:5" x14ac:dyDescent="0.25">
      <c r="A119" s="20" t="s">
        <v>1361</v>
      </c>
      <c r="C119" s="5">
        <v>18.919999999999998</v>
      </c>
      <c r="D119" s="53">
        <v>0</v>
      </c>
      <c r="E119" s="70">
        <v>0.2</v>
      </c>
    </row>
    <row r="120" spans="1:5" x14ac:dyDescent="0.25">
      <c r="A120" s="21" t="s">
        <v>65</v>
      </c>
      <c r="C120" s="5">
        <v>18.919999999999998</v>
      </c>
      <c r="D120" s="53">
        <v>0</v>
      </c>
      <c r="E120" s="70">
        <v>0.2</v>
      </c>
    </row>
    <row r="121" spans="1:5" x14ac:dyDescent="0.25">
      <c r="A121" s="22" t="s">
        <v>201</v>
      </c>
      <c r="B121" s="19" t="s">
        <v>24</v>
      </c>
      <c r="C121" s="5">
        <v>18.919999999999998</v>
      </c>
      <c r="D121" s="53">
        <v>0</v>
      </c>
      <c r="E121" s="70">
        <v>0.2</v>
      </c>
    </row>
    <row r="122" spans="1:5" x14ac:dyDescent="0.25">
      <c r="A122" s="20" t="s">
        <v>1362</v>
      </c>
      <c r="C122" s="5">
        <v>18.919999999999998</v>
      </c>
      <c r="D122" s="53">
        <v>0</v>
      </c>
      <c r="E122" s="70">
        <v>0.2</v>
      </c>
    </row>
    <row r="123" spans="1:5" x14ac:dyDescent="0.25">
      <c r="A123" s="21" t="s">
        <v>65</v>
      </c>
      <c r="C123" s="5">
        <v>18.919999999999998</v>
      </c>
      <c r="D123" s="53">
        <v>0</v>
      </c>
      <c r="E123" s="70">
        <v>0.2</v>
      </c>
    </row>
    <row r="124" spans="1:5" x14ac:dyDescent="0.25">
      <c r="A124" s="22" t="s">
        <v>201</v>
      </c>
      <c r="B124" s="19" t="s">
        <v>24</v>
      </c>
      <c r="C124" s="5">
        <v>18.919999999999998</v>
      </c>
      <c r="D124" s="53">
        <v>0</v>
      </c>
      <c r="E124" s="70">
        <v>0.2</v>
      </c>
    </row>
    <row r="125" spans="1:5" x14ac:dyDescent="0.25">
      <c r="A125" s="20" t="s">
        <v>1363</v>
      </c>
      <c r="C125" s="5">
        <v>9.0333333333333332</v>
      </c>
      <c r="D125" s="53">
        <v>0</v>
      </c>
      <c r="E125" s="70">
        <v>0.33333333333333331</v>
      </c>
    </row>
    <row r="126" spans="1:5" x14ac:dyDescent="0.25">
      <c r="A126" s="21" t="s">
        <v>75</v>
      </c>
      <c r="C126" s="5">
        <v>9.0333333333333332</v>
      </c>
      <c r="D126" s="53">
        <v>0</v>
      </c>
      <c r="E126" s="70">
        <v>0.33333333333333331</v>
      </c>
    </row>
    <row r="127" spans="1:5" x14ac:dyDescent="0.25">
      <c r="A127" s="22" t="s">
        <v>193</v>
      </c>
      <c r="B127" s="19" t="s">
        <v>24</v>
      </c>
      <c r="C127" s="5">
        <v>9.0333333333333332</v>
      </c>
      <c r="D127" s="53">
        <v>0</v>
      </c>
      <c r="E127" s="70">
        <v>0.33333333333333331</v>
      </c>
    </row>
    <row r="128" spans="1:5" x14ac:dyDescent="0.25">
      <c r="A128" s="20" t="s">
        <v>1364</v>
      </c>
      <c r="C128" s="5">
        <v>4.0400000000000009</v>
      </c>
      <c r="D128" s="53">
        <v>0</v>
      </c>
      <c r="E128" s="70">
        <v>0.1</v>
      </c>
    </row>
    <row r="129" spans="1:5" x14ac:dyDescent="0.25">
      <c r="A129" s="21" t="s">
        <v>75</v>
      </c>
      <c r="C129" s="5">
        <v>4.0400000000000009</v>
      </c>
      <c r="D129" s="53">
        <v>0</v>
      </c>
      <c r="E129" s="70">
        <v>0.1</v>
      </c>
    </row>
    <row r="130" spans="1:5" x14ac:dyDescent="0.25">
      <c r="A130" s="22" t="s">
        <v>202</v>
      </c>
      <c r="B130" s="19" t="s">
        <v>24</v>
      </c>
      <c r="C130" s="5">
        <v>4.0400000000000009</v>
      </c>
      <c r="D130" s="53">
        <v>0</v>
      </c>
      <c r="E130" s="70">
        <v>0.1</v>
      </c>
    </row>
    <row r="131" spans="1:5" x14ac:dyDescent="0.25">
      <c r="A131" s="20" t="s">
        <v>1365</v>
      </c>
      <c r="C131" s="5">
        <v>38.67</v>
      </c>
      <c r="D131" s="53">
        <v>0</v>
      </c>
      <c r="E131" s="70">
        <v>2.1</v>
      </c>
    </row>
    <row r="132" spans="1:5" x14ac:dyDescent="0.25">
      <c r="A132" s="21" t="s">
        <v>75</v>
      </c>
      <c r="C132" s="5">
        <v>38.67</v>
      </c>
      <c r="D132" s="53">
        <v>0</v>
      </c>
      <c r="E132" s="70">
        <v>2.1</v>
      </c>
    </row>
    <row r="133" spans="1:5" x14ac:dyDescent="0.25">
      <c r="A133" s="22" t="s">
        <v>203</v>
      </c>
      <c r="B133" s="19" t="s">
        <v>24</v>
      </c>
      <c r="C133" s="5">
        <v>15.370000000000001</v>
      </c>
      <c r="D133" s="53">
        <v>0</v>
      </c>
      <c r="E133" s="70">
        <v>1</v>
      </c>
    </row>
    <row r="134" spans="1:5" x14ac:dyDescent="0.25">
      <c r="A134" s="22" t="s">
        <v>202</v>
      </c>
      <c r="B134" s="19" t="s">
        <v>24</v>
      </c>
      <c r="C134" s="5">
        <v>4.0400000000000009</v>
      </c>
      <c r="D134" s="53">
        <v>0</v>
      </c>
      <c r="E134" s="70">
        <v>0.1</v>
      </c>
    </row>
    <row r="135" spans="1:5" x14ac:dyDescent="0.25">
      <c r="A135" s="22" t="s">
        <v>204</v>
      </c>
      <c r="B135" s="19" t="s">
        <v>24</v>
      </c>
      <c r="C135" s="5">
        <v>19.260000000000002</v>
      </c>
      <c r="D135" s="53">
        <v>0</v>
      </c>
      <c r="E135" s="70">
        <v>1</v>
      </c>
    </row>
    <row r="136" spans="1:5" x14ac:dyDescent="0.25">
      <c r="A136" s="20" t="s">
        <v>1366</v>
      </c>
      <c r="C136" s="5">
        <v>4.0400000000000009</v>
      </c>
      <c r="D136" s="53">
        <v>0</v>
      </c>
      <c r="E136" s="70">
        <v>0.1</v>
      </c>
    </row>
    <row r="137" spans="1:5" x14ac:dyDescent="0.25">
      <c r="A137" s="21" t="s">
        <v>75</v>
      </c>
      <c r="C137" s="5">
        <v>4.0400000000000009</v>
      </c>
      <c r="D137" s="53">
        <v>0</v>
      </c>
      <c r="E137" s="70">
        <v>0.1</v>
      </c>
    </row>
    <row r="138" spans="1:5" x14ac:dyDescent="0.25">
      <c r="A138" s="22" t="s">
        <v>202</v>
      </c>
      <c r="B138" s="19" t="s">
        <v>24</v>
      </c>
      <c r="C138" s="5">
        <v>4.0400000000000009</v>
      </c>
      <c r="D138" s="53">
        <v>0</v>
      </c>
      <c r="E138" s="70">
        <v>0.1</v>
      </c>
    </row>
    <row r="139" spans="1:5" x14ac:dyDescent="0.25">
      <c r="A139" s="20" t="s">
        <v>1367</v>
      </c>
      <c r="C139" s="5">
        <v>4.0400000000000009</v>
      </c>
      <c r="D139" s="53">
        <v>0</v>
      </c>
      <c r="E139" s="70">
        <v>0.1</v>
      </c>
    </row>
    <row r="140" spans="1:5" x14ac:dyDescent="0.25">
      <c r="A140" s="21" t="s">
        <v>75</v>
      </c>
      <c r="C140" s="5">
        <v>4.0400000000000009</v>
      </c>
      <c r="D140" s="53">
        <v>0</v>
      </c>
      <c r="E140" s="70">
        <v>0.1</v>
      </c>
    </row>
    <row r="141" spans="1:5" x14ac:dyDescent="0.25">
      <c r="A141" s="22" t="s">
        <v>202</v>
      </c>
      <c r="B141" s="19" t="s">
        <v>24</v>
      </c>
      <c r="C141" s="5">
        <v>4.0400000000000009</v>
      </c>
      <c r="D141" s="53">
        <v>0</v>
      </c>
      <c r="E141" s="70">
        <v>0.1</v>
      </c>
    </row>
    <row r="142" spans="1:5" x14ac:dyDescent="0.25">
      <c r="A142" s="20" t="s">
        <v>1368</v>
      </c>
      <c r="C142" s="5">
        <v>4.0400000000000009</v>
      </c>
      <c r="D142" s="53">
        <v>0</v>
      </c>
      <c r="E142" s="70">
        <v>0.1</v>
      </c>
    </row>
    <row r="143" spans="1:5" x14ac:dyDescent="0.25">
      <c r="A143" s="21" t="s">
        <v>75</v>
      </c>
      <c r="C143" s="5">
        <v>4.0400000000000009</v>
      </c>
      <c r="D143" s="53">
        <v>0</v>
      </c>
      <c r="E143" s="70">
        <v>0.1</v>
      </c>
    </row>
    <row r="144" spans="1:5" x14ac:dyDescent="0.25">
      <c r="A144" s="22" t="s">
        <v>202</v>
      </c>
      <c r="B144" s="19" t="s">
        <v>24</v>
      </c>
      <c r="C144" s="5">
        <v>4.0400000000000009</v>
      </c>
      <c r="D144" s="53">
        <v>0</v>
      </c>
      <c r="E144" s="70">
        <v>0.1</v>
      </c>
    </row>
    <row r="145" spans="1:5" x14ac:dyDescent="0.25">
      <c r="A145" s="20" t="s">
        <v>1369</v>
      </c>
      <c r="C145" s="5">
        <v>4.0400000000000009</v>
      </c>
      <c r="D145" s="53">
        <v>0</v>
      </c>
      <c r="E145" s="70">
        <v>0.1</v>
      </c>
    </row>
    <row r="146" spans="1:5" x14ac:dyDescent="0.25">
      <c r="A146" s="21" t="s">
        <v>75</v>
      </c>
      <c r="C146" s="5">
        <v>4.0400000000000009</v>
      </c>
      <c r="D146" s="53">
        <v>0</v>
      </c>
      <c r="E146" s="70">
        <v>0.1</v>
      </c>
    </row>
    <row r="147" spans="1:5" x14ac:dyDescent="0.25">
      <c r="A147" s="22" t="s">
        <v>202</v>
      </c>
      <c r="B147" s="19" t="s">
        <v>24</v>
      </c>
      <c r="C147" s="5">
        <v>4.0400000000000009</v>
      </c>
      <c r="D147" s="53">
        <v>0</v>
      </c>
      <c r="E147" s="70">
        <v>0.1</v>
      </c>
    </row>
    <row r="148" spans="1:5" x14ac:dyDescent="0.25">
      <c r="A148" s="20" t="s">
        <v>1370</v>
      </c>
      <c r="C148" s="5">
        <v>4.0400000000000009</v>
      </c>
      <c r="D148" s="53">
        <v>0</v>
      </c>
      <c r="E148" s="70">
        <v>0.1</v>
      </c>
    </row>
    <row r="149" spans="1:5" x14ac:dyDescent="0.25">
      <c r="A149" s="21" t="s">
        <v>75</v>
      </c>
      <c r="C149" s="5">
        <v>4.0400000000000009</v>
      </c>
      <c r="D149" s="53">
        <v>0</v>
      </c>
      <c r="E149" s="70">
        <v>0.1</v>
      </c>
    </row>
    <row r="150" spans="1:5" x14ac:dyDescent="0.25">
      <c r="A150" s="22" t="s">
        <v>202</v>
      </c>
      <c r="B150" s="19" t="s">
        <v>24</v>
      </c>
      <c r="C150" s="5">
        <v>4.0400000000000009</v>
      </c>
      <c r="D150" s="53">
        <v>0</v>
      </c>
      <c r="E150" s="70">
        <v>0.1</v>
      </c>
    </row>
    <row r="151" spans="1:5" x14ac:dyDescent="0.25">
      <c r="A151" s="20" t="s">
        <v>1371</v>
      </c>
      <c r="C151" s="5">
        <v>22.04</v>
      </c>
      <c r="D151" s="53">
        <v>0</v>
      </c>
      <c r="E151" s="70">
        <v>2</v>
      </c>
    </row>
    <row r="152" spans="1:5" x14ac:dyDescent="0.25">
      <c r="A152" s="21" t="s">
        <v>65</v>
      </c>
      <c r="C152" s="5">
        <v>22.04</v>
      </c>
      <c r="D152" s="53">
        <v>0</v>
      </c>
      <c r="E152" s="70">
        <v>2</v>
      </c>
    </row>
    <row r="153" spans="1:5" x14ac:dyDescent="0.25">
      <c r="A153" s="22" t="s">
        <v>206</v>
      </c>
      <c r="B153" s="19" t="s">
        <v>24</v>
      </c>
      <c r="C153" s="5">
        <v>11.02</v>
      </c>
      <c r="D153" s="53">
        <v>0</v>
      </c>
      <c r="E153" s="70">
        <v>1</v>
      </c>
    </row>
    <row r="154" spans="1:5" x14ac:dyDescent="0.25">
      <c r="A154" s="22" t="s">
        <v>207</v>
      </c>
      <c r="B154" s="19" t="s">
        <v>24</v>
      </c>
      <c r="C154" s="5">
        <v>11.02</v>
      </c>
      <c r="D154" s="53">
        <v>0</v>
      </c>
      <c r="E154" s="70">
        <v>1</v>
      </c>
    </row>
    <row r="155" spans="1:5" x14ac:dyDescent="0.25">
      <c r="A155" s="19" t="s">
        <v>208</v>
      </c>
      <c r="C155" s="5">
        <v>43.2</v>
      </c>
      <c r="D155" s="53">
        <v>297.49</v>
      </c>
      <c r="E155" s="70">
        <v>1</v>
      </c>
    </row>
    <row r="156" spans="1:5" x14ac:dyDescent="0.25">
      <c r="A156" s="20" t="s">
        <v>1372</v>
      </c>
      <c r="C156" s="5">
        <v>21.6</v>
      </c>
      <c r="D156" s="53">
        <v>148.745</v>
      </c>
      <c r="E156" s="70">
        <v>0.5</v>
      </c>
    </row>
    <row r="157" spans="1:5" x14ac:dyDescent="0.25">
      <c r="A157" s="21" t="s">
        <v>6</v>
      </c>
      <c r="C157" s="5">
        <v>21.6</v>
      </c>
      <c r="D157" s="53">
        <v>148.745</v>
      </c>
      <c r="E157" s="70">
        <v>0.5</v>
      </c>
    </row>
    <row r="158" spans="1:5" x14ac:dyDescent="0.25">
      <c r="A158" s="22" t="s">
        <v>209</v>
      </c>
      <c r="B158" s="19" t="s">
        <v>24</v>
      </c>
      <c r="C158" s="5">
        <v>21.6</v>
      </c>
      <c r="D158" s="53">
        <v>148.745</v>
      </c>
      <c r="E158" s="70">
        <v>0.5</v>
      </c>
    </row>
    <row r="159" spans="1:5" x14ac:dyDescent="0.25">
      <c r="A159" s="20" t="s">
        <v>1373</v>
      </c>
      <c r="C159" s="5">
        <v>21.6</v>
      </c>
      <c r="D159" s="53">
        <v>148.745</v>
      </c>
      <c r="E159" s="70">
        <v>0.5</v>
      </c>
    </row>
    <row r="160" spans="1:5" x14ac:dyDescent="0.25">
      <c r="A160" s="21" t="s">
        <v>6</v>
      </c>
      <c r="C160" s="5">
        <v>21.6</v>
      </c>
      <c r="D160" s="53">
        <v>148.745</v>
      </c>
      <c r="E160" s="70">
        <v>0.5</v>
      </c>
    </row>
    <row r="161" spans="1:5" x14ac:dyDescent="0.25">
      <c r="A161" s="22" t="s">
        <v>209</v>
      </c>
      <c r="B161" s="19" t="s">
        <v>24</v>
      </c>
      <c r="C161" s="5">
        <v>21.6</v>
      </c>
      <c r="D161" s="53">
        <v>148.745</v>
      </c>
      <c r="E161" s="70">
        <v>0.5</v>
      </c>
    </row>
    <row r="162" spans="1:5" x14ac:dyDescent="0.25">
      <c r="A162" s="19" t="s">
        <v>210</v>
      </c>
      <c r="C162" s="5">
        <v>358.78999999999996</v>
      </c>
      <c r="D162" s="53">
        <v>642.82000000000005</v>
      </c>
      <c r="E162" s="70">
        <v>6</v>
      </c>
    </row>
    <row r="163" spans="1:5" x14ac:dyDescent="0.25">
      <c r="A163" s="20" t="s">
        <v>1374</v>
      </c>
      <c r="C163" s="5">
        <v>341.34</v>
      </c>
      <c r="D163" s="53">
        <v>630.86</v>
      </c>
      <c r="E163" s="70">
        <v>5</v>
      </c>
    </row>
    <row r="164" spans="1:5" x14ac:dyDescent="0.25">
      <c r="A164" s="21" t="s">
        <v>30</v>
      </c>
      <c r="C164" s="5">
        <v>341.34</v>
      </c>
      <c r="D164" s="53">
        <v>630.86</v>
      </c>
      <c r="E164" s="70">
        <v>5</v>
      </c>
    </row>
    <row r="165" spans="1:5" x14ac:dyDescent="0.25">
      <c r="A165" s="22" t="s">
        <v>212</v>
      </c>
      <c r="B165" s="19" t="s">
        <v>24</v>
      </c>
      <c r="C165" s="5">
        <v>29.4</v>
      </c>
      <c r="D165" s="53">
        <v>309.45</v>
      </c>
      <c r="E165" s="70">
        <v>1</v>
      </c>
    </row>
    <row r="166" spans="1:5" x14ac:dyDescent="0.25">
      <c r="A166" s="22" t="s">
        <v>214</v>
      </c>
      <c r="B166" s="19" t="s">
        <v>24</v>
      </c>
      <c r="C166" s="5">
        <v>52.4</v>
      </c>
      <c r="D166" s="53">
        <v>321.41000000000003</v>
      </c>
      <c r="E166" s="70">
        <v>1</v>
      </c>
    </row>
    <row r="167" spans="1:5" x14ac:dyDescent="0.25">
      <c r="A167" s="22" t="s">
        <v>215</v>
      </c>
      <c r="B167" s="19" t="s">
        <v>24</v>
      </c>
      <c r="C167" s="5">
        <v>19.05</v>
      </c>
      <c r="D167" s="53">
        <v>0</v>
      </c>
      <c r="E167" s="70">
        <v>1</v>
      </c>
    </row>
    <row r="168" spans="1:5" x14ac:dyDescent="0.25">
      <c r="A168" s="22" t="s">
        <v>216</v>
      </c>
      <c r="B168" s="19" t="s">
        <v>24</v>
      </c>
      <c r="C168" s="5">
        <v>2.52</v>
      </c>
      <c r="D168" s="53">
        <v>0</v>
      </c>
      <c r="E168" s="70">
        <v>1</v>
      </c>
    </row>
    <row r="169" spans="1:5" x14ac:dyDescent="0.25">
      <c r="A169" s="22" t="s">
        <v>217</v>
      </c>
      <c r="B169" s="19" t="s">
        <v>24</v>
      </c>
      <c r="C169" s="5">
        <v>5.9700000000000006</v>
      </c>
      <c r="D169" s="53">
        <v>0</v>
      </c>
      <c r="E169" s="70">
        <v>1</v>
      </c>
    </row>
    <row r="170" spans="1:5" x14ac:dyDescent="0.25">
      <c r="A170" s="22" t="s">
        <v>213</v>
      </c>
      <c r="B170" s="19" t="s">
        <v>24</v>
      </c>
      <c r="C170" s="5">
        <v>10</v>
      </c>
      <c r="D170" s="53">
        <v>0</v>
      </c>
      <c r="E170" s="70">
        <v>0</v>
      </c>
    </row>
    <row r="171" spans="1:5" x14ac:dyDescent="0.25">
      <c r="A171" s="22" t="s">
        <v>218</v>
      </c>
      <c r="B171" s="19" t="s">
        <v>24</v>
      </c>
      <c r="C171" s="5">
        <v>10</v>
      </c>
      <c r="D171" s="53">
        <v>0</v>
      </c>
      <c r="E171" s="70">
        <v>0</v>
      </c>
    </row>
    <row r="172" spans="1:5" x14ac:dyDescent="0.25">
      <c r="A172" s="22" t="s">
        <v>219</v>
      </c>
      <c r="B172" s="19" t="s">
        <v>24</v>
      </c>
      <c r="C172" s="5">
        <v>10</v>
      </c>
      <c r="D172" s="53">
        <v>0</v>
      </c>
      <c r="E172" s="70">
        <v>0</v>
      </c>
    </row>
    <row r="173" spans="1:5" x14ac:dyDescent="0.25">
      <c r="A173" s="22" t="s">
        <v>220</v>
      </c>
      <c r="B173" s="19" t="s">
        <v>24</v>
      </c>
      <c r="C173" s="5">
        <v>50</v>
      </c>
      <c r="D173" s="53">
        <v>0</v>
      </c>
      <c r="E173" s="70">
        <v>0</v>
      </c>
    </row>
    <row r="174" spans="1:5" x14ac:dyDescent="0.25">
      <c r="A174" s="22" t="s">
        <v>221</v>
      </c>
      <c r="B174" s="19" t="s">
        <v>24</v>
      </c>
      <c r="C174" s="5">
        <v>50</v>
      </c>
      <c r="D174" s="53">
        <v>0</v>
      </c>
      <c r="E174" s="70">
        <v>0</v>
      </c>
    </row>
    <row r="175" spans="1:5" x14ac:dyDescent="0.25">
      <c r="A175" s="22" t="s">
        <v>222</v>
      </c>
      <c r="B175" s="19" t="s">
        <v>24</v>
      </c>
      <c r="C175" s="5">
        <v>50</v>
      </c>
      <c r="D175" s="53">
        <v>0</v>
      </c>
      <c r="E175" s="70">
        <v>0</v>
      </c>
    </row>
    <row r="176" spans="1:5" x14ac:dyDescent="0.25">
      <c r="A176" s="22" t="s">
        <v>223</v>
      </c>
      <c r="B176" s="19" t="s">
        <v>24</v>
      </c>
      <c r="C176" s="5">
        <v>50</v>
      </c>
      <c r="D176" s="53">
        <v>0</v>
      </c>
      <c r="E176" s="70">
        <v>0</v>
      </c>
    </row>
    <row r="177" spans="1:5" x14ac:dyDescent="0.25">
      <c r="A177" s="22" t="s">
        <v>1305</v>
      </c>
      <c r="B177" s="19" t="s">
        <v>24</v>
      </c>
      <c r="C177" s="5">
        <v>2</v>
      </c>
      <c r="D177" s="53">
        <v>0</v>
      </c>
      <c r="E177" s="70">
        <v>0</v>
      </c>
    </row>
    <row r="178" spans="1:5" x14ac:dyDescent="0.25">
      <c r="A178" s="20" t="s">
        <v>1375</v>
      </c>
      <c r="C178" s="5">
        <v>17.450000000000003</v>
      </c>
      <c r="D178" s="53">
        <v>11.96</v>
      </c>
      <c r="E178" s="70">
        <v>1</v>
      </c>
    </row>
    <row r="179" spans="1:5" x14ac:dyDescent="0.25">
      <c r="A179" s="21" t="s">
        <v>6</v>
      </c>
      <c r="C179" s="5">
        <v>17.450000000000003</v>
      </c>
      <c r="D179" s="53">
        <v>11.96</v>
      </c>
      <c r="E179" s="70">
        <v>1</v>
      </c>
    </row>
    <row r="180" spans="1:5" x14ac:dyDescent="0.25">
      <c r="A180" s="22" t="s">
        <v>211</v>
      </c>
      <c r="B180" s="19" t="s">
        <v>24</v>
      </c>
      <c r="C180" s="5">
        <v>17.450000000000003</v>
      </c>
      <c r="D180" s="53">
        <v>11.96</v>
      </c>
      <c r="E180" s="70">
        <v>1</v>
      </c>
    </row>
    <row r="181" spans="1:5" x14ac:dyDescent="0.25">
      <c r="A181" s="19" t="s">
        <v>224</v>
      </c>
      <c r="C181" s="5">
        <v>491.48499999999996</v>
      </c>
      <c r="D181" s="53">
        <v>239.20000000000002</v>
      </c>
      <c r="E181" s="70">
        <v>44.5</v>
      </c>
    </row>
    <row r="182" spans="1:5" x14ac:dyDescent="0.25">
      <c r="A182" s="20" t="s">
        <v>1376</v>
      </c>
      <c r="C182" s="5">
        <v>2.9800000000000004</v>
      </c>
      <c r="D182" s="53">
        <v>0</v>
      </c>
      <c r="E182" s="70">
        <v>1</v>
      </c>
    </row>
    <row r="183" spans="1:5" x14ac:dyDescent="0.25">
      <c r="A183" s="21" t="s">
        <v>9</v>
      </c>
      <c r="C183" s="5">
        <v>2.9800000000000004</v>
      </c>
      <c r="D183" s="53">
        <v>0</v>
      </c>
      <c r="E183" s="70">
        <v>1</v>
      </c>
    </row>
    <row r="184" spans="1:5" x14ac:dyDescent="0.25">
      <c r="A184" s="22" t="s">
        <v>225</v>
      </c>
      <c r="B184" s="19" t="s">
        <v>24</v>
      </c>
      <c r="C184" s="5">
        <v>2.9800000000000004</v>
      </c>
      <c r="D184" s="53">
        <v>0</v>
      </c>
      <c r="E184" s="70">
        <v>1</v>
      </c>
    </row>
    <row r="185" spans="1:5" x14ac:dyDescent="0.25">
      <c r="A185" s="20" t="s">
        <v>1377</v>
      </c>
      <c r="C185" s="5">
        <v>18.360000000000003</v>
      </c>
      <c r="D185" s="53">
        <v>0</v>
      </c>
      <c r="E185" s="70">
        <v>2</v>
      </c>
    </row>
    <row r="186" spans="1:5" x14ac:dyDescent="0.25">
      <c r="A186" s="21" t="s">
        <v>30</v>
      </c>
      <c r="C186" s="5">
        <v>18.360000000000003</v>
      </c>
      <c r="D186" s="53">
        <v>0</v>
      </c>
      <c r="E186" s="70">
        <v>2</v>
      </c>
    </row>
    <row r="187" spans="1:5" x14ac:dyDescent="0.25">
      <c r="A187" s="22" t="s">
        <v>226</v>
      </c>
      <c r="B187" s="19" t="s">
        <v>1232</v>
      </c>
      <c r="C187" s="5">
        <v>12.400000000000002</v>
      </c>
      <c r="D187" s="53">
        <v>0</v>
      </c>
      <c r="E187" s="70">
        <v>1</v>
      </c>
    </row>
    <row r="188" spans="1:5" x14ac:dyDescent="0.25">
      <c r="A188" s="22" t="s">
        <v>227</v>
      </c>
      <c r="B188" s="19" t="s">
        <v>24</v>
      </c>
      <c r="C188" s="5">
        <v>5.9600000000000009</v>
      </c>
      <c r="D188" s="53">
        <v>0</v>
      </c>
      <c r="E188" s="70">
        <v>1</v>
      </c>
    </row>
    <row r="189" spans="1:5" x14ac:dyDescent="0.25">
      <c r="A189" s="20" t="s">
        <v>1378</v>
      </c>
      <c r="C189" s="5">
        <v>18.11</v>
      </c>
      <c r="D189" s="53">
        <v>0</v>
      </c>
      <c r="E189" s="70">
        <v>3</v>
      </c>
    </row>
    <row r="190" spans="1:5" x14ac:dyDescent="0.25">
      <c r="A190" s="21" t="s">
        <v>20</v>
      </c>
      <c r="C190" s="5">
        <v>12.84</v>
      </c>
      <c r="D190" s="53">
        <v>0</v>
      </c>
      <c r="E190" s="70">
        <v>2</v>
      </c>
    </row>
    <row r="191" spans="1:5" x14ac:dyDescent="0.25">
      <c r="A191" s="22" t="s">
        <v>234</v>
      </c>
      <c r="B191" s="19" t="s">
        <v>24</v>
      </c>
      <c r="C191" s="5">
        <v>6.42</v>
      </c>
      <c r="D191" s="53">
        <v>0</v>
      </c>
      <c r="E191" s="70">
        <v>1</v>
      </c>
    </row>
    <row r="192" spans="1:5" x14ac:dyDescent="0.25">
      <c r="A192" s="22" t="s">
        <v>235</v>
      </c>
      <c r="B192" s="19" t="s">
        <v>24</v>
      </c>
      <c r="C192" s="5">
        <v>6.42</v>
      </c>
      <c r="D192" s="53">
        <v>0</v>
      </c>
      <c r="E192" s="70">
        <v>1</v>
      </c>
    </row>
    <row r="193" spans="1:5" x14ac:dyDescent="0.25">
      <c r="A193" s="21" t="s">
        <v>30</v>
      </c>
      <c r="C193" s="5">
        <v>5.2700000000000005</v>
      </c>
      <c r="D193" s="53">
        <v>0</v>
      </c>
      <c r="E193" s="70">
        <v>1</v>
      </c>
    </row>
    <row r="194" spans="1:5" x14ac:dyDescent="0.25">
      <c r="A194" s="22" t="s">
        <v>236</v>
      </c>
      <c r="B194" s="19" t="s">
        <v>24</v>
      </c>
      <c r="C194" s="5">
        <v>5.2700000000000005</v>
      </c>
      <c r="D194" s="53">
        <v>0</v>
      </c>
      <c r="E194" s="70">
        <v>1</v>
      </c>
    </row>
    <row r="195" spans="1:5" x14ac:dyDescent="0.25">
      <c r="A195" s="20" t="s">
        <v>1379</v>
      </c>
      <c r="C195" s="5">
        <v>9.18</v>
      </c>
      <c r="D195" s="53">
        <v>0</v>
      </c>
      <c r="E195" s="70">
        <v>1</v>
      </c>
    </row>
    <row r="196" spans="1:5" x14ac:dyDescent="0.25">
      <c r="A196" s="21" t="s">
        <v>52</v>
      </c>
      <c r="C196" s="5">
        <v>9.18</v>
      </c>
      <c r="D196" s="53">
        <v>0</v>
      </c>
      <c r="E196" s="70">
        <v>1</v>
      </c>
    </row>
    <row r="197" spans="1:5" x14ac:dyDescent="0.25">
      <c r="A197" s="22" t="s">
        <v>237</v>
      </c>
      <c r="B197" s="19" t="s">
        <v>24</v>
      </c>
      <c r="C197" s="5">
        <v>9.18</v>
      </c>
      <c r="D197" s="53">
        <v>0</v>
      </c>
      <c r="E197" s="70">
        <v>1</v>
      </c>
    </row>
    <row r="198" spans="1:5" x14ac:dyDescent="0.25">
      <c r="A198" s="20" t="s">
        <v>1380</v>
      </c>
      <c r="C198" s="5">
        <v>9.65</v>
      </c>
      <c r="D198" s="53">
        <v>0</v>
      </c>
      <c r="E198" s="70">
        <v>1</v>
      </c>
    </row>
    <row r="199" spans="1:5" x14ac:dyDescent="0.25">
      <c r="A199" s="21" t="s">
        <v>27</v>
      </c>
      <c r="C199" s="5">
        <v>9.65</v>
      </c>
      <c r="D199" s="53">
        <v>0</v>
      </c>
      <c r="E199" s="70">
        <v>1</v>
      </c>
    </row>
    <row r="200" spans="1:5" x14ac:dyDescent="0.25">
      <c r="A200" s="22" t="s">
        <v>238</v>
      </c>
      <c r="B200" s="19" t="s">
        <v>24</v>
      </c>
      <c r="C200" s="5">
        <v>9.65</v>
      </c>
      <c r="D200" s="53">
        <v>0</v>
      </c>
      <c r="E200" s="70">
        <v>1</v>
      </c>
    </row>
    <row r="201" spans="1:5" x14ac:dyDescent="0.25">
      <c r="A201" s="20" t="s">
        <v>149</v>
      </c>
      <c r="C201" s="5">
        <v>185.05</v>
      </c>
      <c r="D201" s="53">
        <v>0</v>
      </c>
      <c r="E201" s="70">
        <v>15</v>
      </c>
    </row>
    <row r="202" spans="1:5" x14ac:dyDescent="0.25">
      <c r="A202" s="21" t="s">
        <v>9</v>
      </c>
      <c r="C202" s="5">
        <v>185.05</v>
      </c>
      <c r="D202" s="53">
        <v>0</v>
      </c>
      <c r="E202" s="70">
        <v>15</v>
      </c>
    </row>
    <row r="203" spans="1:5" x14ac:dyDescent="0.25">
      <c r="A203" s="22" t="s">
        <v>150</v>
      </c>
      <c r="B203" s="19" t="s">
        <v>24</v>
      </c>
      <c r="C203" s="5">
        <v>7.57</v>
      </c>
      <c r="D203" s="53">
        <v>0</v>
      </c>
      <c r="E203" s="70">
        <v>1</v>
      </c>
    </row>
    <row r="204" spans="1:5" x14ac:dyDescent="0.25">
      <c r="A204" s="22" t="s">
        <v>151</v>
      </c>
      <c r="B204" s="19" t="s">
        <v>24</v>
      </c>
      <c r="C204" s="5">
        <v>2.52</v>
      </c>
      <c r="D204" s="53">
        <v>0</v>
      </c>
      <c r="E204" s="70">
        <v>1</v>
      </c>
    </row>
    <row r="205" spans="1:5" x14ac:dyDescent="0.25">
      <c r="A205" s="22" t="s">
        <v>152</v>
      </c>
      <c r="B205" s="19" t="s">
        <v>24</v>
      </c>
      <c r="C205" s="5">
        <v>2.52</v>
      </c>
      <c r="D205" s="53">
        <v>0</v>
      </c>
      <c r="E205" s="70">
        <v>1</v>
      </c>
    </row>
    <row r="206" spans="1:5" x14ac:dyDescent="0.25">
      <c r="A206" s="22" t="s">
        <v>153</v>
      </c>
      <c r="B206" s="19" t="s">
        <v>24</v>
      </c>
      <c r="C206" s="5">
        <v>2.52</v>
      </c>
      <c r="D206" s="53">
        <v>0</v>
      </c>
      <c r="E206" s="70">
        <v>1</v>
      </c>
    </row>
    <row r="207" spans="1:5" x14ac:dyDescent="0.25">
      <c r="A207" s="22" t="s">
        <v>154</v>
      </c>
      <c r="B207" s="19" t="s">
        <v>155</v>
      </c>
      <c r="C207" s="5">
        <v>2.52</v>
      </c>
      <c r="D207" s="53">
        <v>0</v>
      </c>
      <c r="E207" s="70">
        <v>1</v>
      </c>
    </row>
    <row r="208" spans="1:5" x14ac:dyDescent="0.25">
      <c r="A208" s="22" t="s">
        <v>156</v>
      </c>
      <c r="B208" s="19" t="s">
        <v>24</v>
      </c>
      <c r="C208" s="5">
        <v>2.52</v>
      </c>
      <c r="D208" s="53">
        <v>0</v>
      </c>
      <c r="E208" s="70">
        <v>1</v>
      </c>
    </row>
    <row r="209" spans="1:5" x14ac:dyDescent="0.25">
      <c r="A209" s="22" t="s">
        <v>157</v>
      </c>
      <c r="B209" s="19" t="s">
        <v>24</v>
      </c>
      <c r="C209" s="5">
        <v>2.52</v>
      </c>
      <c r="D209" s="53">
        <v>0</v>
      </c>
      <c r="E209" s="70">
        <v>1</v>
      </c>
    </row>
    <row r="210" spans="1:5" x14ac:dyDescent="0.25">
      <c r="A210" s="22" t="s">
        <v>158</v>
      </c>
      <c r="B210" s="19" t="s">
        <v>24</v>
      </c>
      <c r="C210" s="5">
        <v>2.52</v>
      </c>
      <c r="D210" s="53">
        <v>0</v>
      </c>
      <c r="E210" s="70">
        <v>1</v>
      </c>
    </row>
    <row r="211" spans="1:5" x14ac:dyDescent="0.25">
      <c r="A211" s="22" t="s">
        <v>159</v>
      </c>
      <c r="B211" s="19" t="s">
        <v>24</v>
      </c>
      <c r="C211" s="5">
        <v>2.52</v>
      </c>
      <c r="D211" s="53">
        <v>0</v>
      </c>
      <c r="E211" s="70">
        <v>1</v>
      </c>
    </row>
    <row r="212" spans="1:5" x14ac:dyDescent="0.25">
      <c r="A212" s="22" t="s">
        <v>160</v>
      </c>
      <c r="B212" s="19" t="s">
        <v>24</v>
      </c>
      <c r="C212" s="5">
        <v>2.52</v>
      </c>
      <c r="D212" s="53">
        <v>0</v>
      </c>
      <c r="E212" s="70">
        <v>1</v>
      </c>
    </row>
    <row r="213" spans="1:5" x14ac:dyDescent="0.25">
      <c r="A213" s="22" t="s">
        <v>161</v>
      </c>
      <c r="B213" s="19" t="s">
        <v>24</v>
      </c>
      <c r="C213" s="5">
        <v>9.620000000000001</v>
      </c>
      <c r="D213" s="53">
        <v>0</v>
      </c>
      <c r="E213" s="70">
        <v>1</v>
      </c>
    </row>
    <row r="214" spans="1:5" x14ac:dyDescent="0.25">
      <c r="A214" s="22" t="s">
        <v>162</v>
      </c>
      <c r="B214" s="19" t="s">
        <v>24</v>
      </c>
      <c r="C214" s="5">
        <v>2.52</v>
      </c>
      <c r="D214" s="53">
        <v>0</v>
      </c>
      <c r="E214" s="70">
        <v>1</v>
      </c>
    </row>
    <row r="215" spans="1:5" x14ac:dyDescent="0.25">
      <c r="A215" s="22" t="s">
        <v>163</v>
      </c>
      <c r="B215" s="19" t="s">
        <v>24</v>
      </c>
      <c r="C215" s="5">
        <v>30.12</v>
      </c>
      <c r="D215" s="53">
        <v>0</v>
      </c>
      <c r="E215" s="70">
        <v>1</v>
      </c>
    </row>
    <row r="216" spans="1:5" x14ac:dyDescent="0.25">
      <c r="A216" s="22" t="s">
        <v>164</v>
      </c>
      <c r="B216" s="19" t="s">
        <v>24</v>
      </c>
      <c r="C216" s="5">
        <v>0.92</v>
      </c>
      <c r="D216" s="53">
        <v>0</v>
      </c>
      <c r="E216" s="70">
        <v>1</v>
      </c>
    </row>
    <row r="217" spans="1:5" x14ac:dyDescent="0.25">
      <c r="A217" s="22" t="s">
        <v>165</v>
      </c>
      <c r="B217" s="19" t="s">
        <v>24</v>
      </c>
      <c r="C217" s="5">
        <v>4.12</v>
      </c>
      <c r="D217" s="53">
        <v>0</v>
      </c>
      <c r="E217" s="70">
        <v>1</v>
      </c>
    </row>
    <row r="218" spans="1:5" x14ac:dyDescent="0.25">
      <c r="A218" s="22" t="s">
        <v>170</v>
      </c>
      <c r="B218" s="19" t="s">
        <v>24</v>
      </c>
      <c r="C218" s="5">
        <v>10</v>
      </c>
      <c r="D218" s="53">
        <v>0</v>
      </c>
      <c r="E218" s="70">
        <v>0</v>
      </c>
    </row>
    <row r="219" spans="1:5" x14ac:dyDescent="0.25">
      <c r="A219" s="22" t="s">
        <v>171</v>
      </c>
      <c r="B219" s="19" t="s">
        <v>24</v>
      </c>
      <c r="C219" s="5">
        <v>10</v>
      </c>
      <c r="D219" s="53">
        <v>0</v>
      </c>
      <c r="E219" s="70">
        <v>0</v>
      </c>
    </row>
    <row r="220" spans="1:5" x14ac:dyDescent="0.25">
      <c r="A220" s="22" t="s">
        <v>172</v>
      </c>
      <c r="B220" s="19" t="s">
        <v>24</v>
      </c>
      <c r="C220" s="5">
        <v>10</v>
      </c>
      <c r="D220" s="53">
        <v>0</v>
      </c>
      <c r="E220" s="70">
        <v>0</v>
      </c>
    </row>
    <row r="221" spans="1:5" x14ac:dyDescent="0.25">
      <c r="A221" s="22" t="s">
        <v>173</v>
      </c>
      <c r="B221" s="19" t="s">
        <v>24</v>
      </c>
      <c r="C221" s="5">
        <v>10</v>
      </c>
      <c r="D221" s="53">
        <v>0</v>
      </c>
      <c r="E221" s="70">
        <v>0</v>
      </c>
    </row>
    <row r="222" spans="1:5" x14ac:dyDescent="0.25">
      <c r="A222" s="22" t="s">
        <v>174</v>
      </c>
      <c r="B222" s="19" t="s">
        <v>24</v>
      </c>
      <c r="C222" s="5">
        <v>10</v>
      </c>
      <c r="D222" s="53">
        <v>0</v>
      </c>
      <c r="E222" s="70">
        <v>0</v>
      </c>
    </row>
    <row r="223" spans="1:5" x14ac:dyDescent="0.25">
      <c r="A223" s="22" t="s">
        <v>175</v>
      </c>
      <c r="B223" s="19" t="s">
        <v>24</v>
      </c>
      <c r="C223" s="5">
        <v>10</v>
      </c>
      <c r="D223" s="53">
        <v>0</v>
      </c>
      <c r="E223" s="70">
        <v>0</v>
      </c>
    </row>
    <row r="224" spans="1:5" x14ac:dyDescent="0.25">
      <c r="A224" s="22" t="s">
        <v>176</v>
      </c>
      <c r="B224" s="19" t="s">
        <v>24</v>
      </c>
      <c r="C224" s="5">
        <v>10</v>
      </c>
      <c r="D224" s="53">
        <v>0</v>
      </c>
      <c r="E224" s="70">
        <v>0</v>
      </c>
    </row>
    <row r="225" spans="1:5" x14ac:dyDescent="0.25">
      <c r="A225" s="22" t="s">
        <v>177</v>
      </c>
      <c r="B225" s="19" t="s">
        <v>24</v>
      </c>
      <c r="C225" s="5">
        <v>10</v>
      </c>
      <c r="D225" s="53">
        <v>0</v>
      </c>
      <c r="E225" s="70">
        <v>0</v>
      </c>
    </row>
    <row r="226" spans="1:5" x14ac:dyDescent="0.25">
      <c r="A226" s="22" t="s">
        <v>178</v>
      </c>
      <c r="B226" s="19" t="s">
        <v>24</v>
      </c>
      <c r="C226" s="5">
        <v>10</v>
      </c>
      <c r="D226" s="53">
        <v>0</v>
      </c>
      <c r="E226" s="70">
        <v>0</v>
      </c>
    </row>
    <row r="227" spans="1:5" x14ac:dyDescent="0.25">
      <c r="A227" s="22" t="s">
        <v>179</v>
      </c>
      <c r="B227" s="19" t="s">
        <v>24</v>
      </c>
      <c r="C227" s="5">
        <v>10</v>
      </c>
      <c r="D227" s="53">
        <v>0</v>
      </c>
      <c r="E227" s="70">
        <v>0</v>
      </c>
    </row>
    <row r="228" spans="1:5" x14ac:dyDescent="0.25">
      <c r="A228" s="22" t="s">
        <v>180</v>
      </c>
      <c r="B228" s="19" t="s">
        <v>24</v>
      </c>
      <c r="C228" s="5">
        <v>3.5</v>
      </c>
      <c r="D228" s="53">
        <v>0</v>
      </c>
      <c r="E228" s="70">
        <v>0</v>
      </c>
    </row>
    <row r="229" spans="1:5" x14ac:dyDescent="0.25">
      <c r="A229" s="22" t="s">
        <v>1306</v>
      </c>
      <c r="B229" s="19" t="s">
        <v>24</v>
      </c>
      <c r="C229" s="5">
        <v>2</v>
      </c>
      <c r="D229" s="53">
        <v>0</v>
      </c>
      <c r="E229" s="70">
        <v>0</v>
      </c>
    </row>
    <row r="230" spans="1:5" x14ac:dyDescent="0.25">
      <c r="A230" s="22" t="s">
        <v>1310</v>
      </c>
      <c r="B230" s="19" t="s">
        <v>24</v>
      </c>
      <c r="C230" s="5">
        <v>2</v>
      </c>
      <c r="D230" s="53">
        <v>0</v>
      </c>
      <c r="E230" s="70">
        <v>0</v>
      </c>
    </row>
    <row r="231" spans="1:5" x14ac:dyDescent="0.25">
      <c r="A231" s="20" t="s">
        <v>1381</v>
      </c>
      <c r="C231" s="5">
        <v>14.450000000000001</v>
      </c>
      <c r="D231" s="53">
        <v>0</v>
      </c>
      <c r="E231" s="70">
        <v>1</v>
      </c>
    </row>
    <row r="232" spans="1:5" x14ac:dyDescent="0.25">
      <c r="A232" s="21" t="s">
        <v>6</v>
      </c>
      <c r="C232" s="5">
        <v>14.450000000000001</v>
      </c>
      <c r="D232" s="53">
        <v>0</v>
      </c>
      <c r="E232" s="70">
        <v>1</v>
      </c>
    </row>
    <row r="233" spans="1:5" x14ac:dyDescent="0.25">
      <c r="A233" s="22" t="s">
        <v>182</v>
      </c>
      <c r="B233" s="19" t="s">
        <v>24</v>
      </c>
      <c r="C233" s="5">
        <v>14.450000000000001</v>
      </c>
      <c r="D233" s="53">
        <v>0</v>
      </c>
      <c r="E233" s="70">
        <v>1</v>
      </c>
    </row>
    <row r="234" spans="1:5" x14ac:dyDescent="0.25">
      <c r="A234" s="20" t="s">
        <v>1382</v>
      </c>
      <c r="C234" s="5">
        <v>22.84</v>
      </c>
      <c r="D234" s="53">
        <v>0</v>
      </c>
      <c r="E234" s="70">
        <v>1</v>
      </c>
    </row>
    <row r="235" spans="1:5" x14ac:dyDescent="0.25">
      <c r="A235" s="21" t="s">
        <v>30</v>
      </c>
      <c r="C235" s="5">
        <v>22.84</v>
      </c>
      <c r="D235" s="53">
        <v>0</v>
      </c>
      <c r="E235" s="70">
        <v>1</v>
      </c>
    </row>
    <row r="236" spans="1:5" x14ac:dyDescent="0.25">
      <c r="A236" s="22" t="s">
        <v>183</v>
      </c>
      <c r="B236" s="19" t="s">
        <v>24</v>
      </c>
      <c r="C236" s="5">
        <v>12.84</v>
      </c>
      <c r="D236" s="53">
        <v>0</v>
      </c>
      <c r="E236" s="70">
        <v>1</v>
      </c>
    </row>
    <row r="237" spans="1:5" x14ac:dyDescent="0.25">
      <c r="A237" s="22" t="s">
        <v>184</v>
      </c>
      <c r="B237" s="19" t="s">
        <v>24</v>
      </c>
      <c r="C237" s="5">
        <v>10</v>
      </c>
      <c r="D237" s="53">
        <v>0</v>
      </c>
      <c r="E237" s="70">
        <v>0</v>
      </c>
    </row>
    <row r="238" spans="1:5" x14ac:dyDescent="0.25">
      <c r="A238" s="20" t="s">
        <v>1383</v>
      </c>
      <c r="C238" s="5">
        <v>17</v>
      </c>
      <c r="D238" s="53">
        <v>0</v>
      </c>
      <c r="E238" s="70">
        <v>1</v>
      </c>
    </row>
    <row r="239" spans="1:5" x14ac:dyDescent="0.25">
      <c r="A239" s="21" t="s">
        <v>27</v>
      </c>
      <c r="C239" s="5">
        <v>17</v>
      </c>
      <c r="D239" s="53">
        <v>0</v>
      </c>
      <c r="E239" s="70">
        <v>1</v>
      </c>
    </row>
    <row r="240" spans="1:5" x14ac:dyDescent="0.25">
      <c r="A240" s="22" t="s">
        <v>185</v>
      </c>
      <c r="B240" s="19" t="s">
        <v>24</v>
      </c>
      <c r="C240" s="5">
        <v>17</v>
      </c>
      <c r="D240" s="53">
        <v>0</v>
      </c>
      <c r="E240" s="70">
        <v>1</v>
      </c>
    </row>
    <row r="241" spans="1:5" x14ac:dyDescent="0.25">
      <c r="A241" s="20" t="s">
        <v>1384</v>
      </c>
      <c r="C241" s="5">
        <v>7.78</v>
      </c>
      <c r="D241" s="53">
        <v>0</v>
      </c>
      <c r="E241" s="70">
        <v>1</v>
      </c>
    </row>
    <row r="242" spans="1:5" x14ac:dyDescent="0.25">
      <c r="A242" s="21" t="s">
        <v>30</v>
      </c>
      <c r="C242" s="5">
        <v>7.78</v>
      </c>
      <c r="D242" s="53">
        <v>0</v>
      </c>
      <c r="E242" s="70">
        <v>1</v>
      </c>
    </row>
    <row r="243" spans="1:5" x14ac:dyDescent="0.25">
      <c r="A243" s="22" t="s">
        <v>186</v>
      </c>
      <c r="B243" s="19" t="s">
        <v>24</v>
      </c>
      <c r="C243" s="5">
        <v>7.78</v>
      </c>
      <c r="D243" s="53">
        <v>0</v>
      </c>
      <c r="E243" s="70">
        <v>1</v>
      </c>
    </row>
    <row r="244" spans="1:5" x14ac:dyDescent="0.25">
      <c r="A244" s="20" t="s">
        <v>1385</v>
      </c>
      <c r="C244" s="5">
        <v>10.31</v>
      </c>
      <c r="D244" s="53">
        <v>0</v>
      </c>
      <c r="E244" s="70">
        <v>1</v>
      </c>
    </row>
    <row r="245" spans="1:5" x14ac:dyDescent="0.25">
      <c r="A245" s="21" t="s">
        <v>30</v>
      </c>
      <c r="C245" s="5">
        <v>10.31</v>
      </c>
      <c r="D245" s="53">
        <v>0</v>
      </c>
      <c r="E245" s="70">
        <v>1</v>
      </c>
    </row>
    <row r="246" spans="1:5" x14ac:dyDescent="0.25">
      <c r="A246" s="22" t="s">
        <v>188</v>
      </c>
      <c r="B246" s="19" t="s">
        <v>24</v>
      </c>
      <c r="C246" s="5">
        <v>10.31</v>
      </c>
      <c r="D246" s="53">
        <v>0</v>
      </c>
      <c r="E246" s="70">
        <v>1</v>
      </c>
    </row>
    <row r="247" spans="1:5" x14ac:dyDescent="0.25">
      <c r="A247" s="20" t="s">
        <v>1386</v>
      </c>
      <c r="C247" s="5">
        <v>6.43</v>
      </c>
      <c r="D247" s="53">
        <v>0</v>
      </c>
      <c r="E247" s="70">
        <v>1</v>
      </c>
    </row>
    <row r="248" spans="1:5" x14ac:dyDescent="0.25">
      <c r="A248" s="21" t="s">
        <v>30</v>
      </c>
      <c r="C248" s="5">
        <v>6.43</v>
      </c>
      <c r="D248" s="53">
        <v>0</v>
      </c>
      <c r="E248" s="70">
        <v>1</v>
      </c>
    </row>
    <row r="249" spans="1:5" x14ac:dyDescent="0.25">
      <c r="A249" s="22" t="s">
        <v>189</v>
      </c>
      <c r="B249" s="19" t="s">
        <v>24</v>
      </c>
      <c r="C249" s="5">
        <v>6.43</v>
      </c>
      <c r="D249" s="53">
        <v>0</v>
      </c>
      <c r="E249" s="70">
        <v>1</v>
      </c>
    </row>
    <row r="250" spans="1:5" x14ac:dyDescent="0.25">
      <c r="A250" s="20" t="s">
        <v>1387</v>
      </c>
      <c r="C250" s="5">
        <v>111.63</v>
      </c>
      <c r="D250" s="53">
        <v>239.20000000000002</v>
      </c>
      <c r="E250" s="70">
        <v>5</v>
      </c>
    </row>
    <row r="251" spans="1:5" x14ac:dyDescent="0.25">
      <c r="A251" s="21" t="s">
        <v>9</v>
      </c>
      <c r="C251" s="5">
        <v>111.63</v>
      </c>
      <c r="D251" s="53">
        <v>239.20000000000002</v>
      </c>
      <c r="E251" s="70">
        <v>5</v>
      </c>
    </row>
    <row r="252" spans="1:5" x14ac:dyDescent="0.25">
      <c r="A252" s="22" t="s">
        <v>166</v>
      </c>
      <c r="B252" s="19" t="s">
        <v>24</v>
      </c>
      <c r="C252" s="5">
        <v>29.4</v>
      </c>
      <c r="D252" s="53">
        <v>239.20000000000002</v>
      </c>
      <c r="E252" s="70">
        <v>1</v>
      </c>
    </row>
    <row r="253" spans="1:5" x14ac:dyDescent="0.25">
      <c r="A253" s="22" t="s">
        <v>167</v>
      </c>
      <c r="B253" s="19" t="s">
        <v>1247</v>
      </c>
      <c r="C253" s="5">
        <v>7.8000000000000007</v>
      </c>
      <c r="D253" s="53">
        <v>0</v>
      </c>
      <c r="E253" s="70">
        <v>1</v>
      </c>
    </row>
    <row r="254" spans="1:5" x14ac:dyDescent="0.25">
      <c r="A254" s="22" t="s">
        <v>168</v>
      </c>
      <c r="B254" s="19" t="s">
        <v>24</v>
      </c>
      <c r="C254" s="5">
        <v>7.8000000000000007</v>
      </c>
      <c r="D254" s="53">
        <v>0</v>
      </c>
      <c r="E254" s="70">
        <v>1</v>
      </c>
    </row>
    <row r="255" spans="1:5" x14ac:dyDescent="0.25">
      <c r="A255" s="22" t="s">
        <v>169</v>
      </c>
      <c r="B255" s="19" t="s">
        <v>24</v>
      </c>
      <c r="C255" s="5">
        <v>60.2</v>
      </c>
      <c r="D255" s="53">
        <v>0</v>
      </c>
      <c r="E255" s="70">
        <v>1</v>
      </c>
    </row>
    <row r="256" spans="1:5" x14ac:dyDescent="0.25">
      <c r="A256" s="22" t="s">
        <v>181</v>
      </c>
      <c r="B256" s="19" t="s">
        <v>24</v>
      </c>
      <c r="C256" s="5">
        <v>6.43</v>
      </c>
      <c r="D256" s="53">
        <v>0</v>
      </c>
      <c r="E256" s="70">
        <v>1</v>
      </c>
    </row>
    <row r="257" spans="1:5" x14ac:dyDescent="0.25">
      <c r="A257" s="20" t="s">
        <v>1204</v>
      </c>
      <c r="C257" s="5">
        <v>42.09</v>
      </c>
      <c r="D257" s="53">
        <v>0</v>
      </c>
      <c r="E257" s="70">
        <v>7</v>
      </c>
    </row>
    <row r="258" spans="1:5" x14ac:dyDescent="0.25">
      <c r="A258" s="21" t="s">
        <v>9</v>
      </c>
      <c r="C258" s="5">
        <v>42.09</v>
      </c>
      <c r="D258" s="53">
        <v>0</v>
      </c>
      <c r="E258" s="70">
        <v>7</v>
      </c>
    </row>
    <row r="259" spans="1:5" x14ac:dyDescent="0.25">
      <c r="A259" s="22" t="s">
        <v>228</v>
      </c>
      <c r="B259" s="19" t="s">
        <v>24</v>
      </c>
      <c r="C259" s="5">
        <v>1.3800000000000001</v>
      </c>
      <c r="D259" s="53">
        <v>0</v>
      </c>
      <c r="E259" s="70">
        <v>1</v>
      </c>
    </row>
    <row r="260" spans="1:5" x14ac:dyDescent="0.25">
      <c r="A260" s="22" t="s">
        <v>229</v>
      </c>
      <c r="B260" s="19" t="s">
        <v>24</v>
      </c>
      <c r="C260" s="5">
        <v>13.8</v>
      </c>
      <c r="D260" s="53">
        <v>0</v>
      </c>
      <c r="E260" s="70">
        <v>1</v>
      </c>
    </row>
    <row r="261" spans="1:5" x14ac:dyDescent="0.25">
      <c r="A261" s="22" t="s">
        <v>230</v>
      </c>
      <c r="B261" s="19" t="s">
        <v>24</v>
      </c>
      <c r="C261" s="5">
        <v>1.3800000000000001</v>
      </c>
      <c r="D261" s="53">
        <v>0</v>
      </c>
      <c r="E261" s="70">
        <v>1</v>
      </c>
    </row>
    <row r="262" spans="1:5" x14ac:dyDescent="0.25">
      <c r="A262" s="22" t="s">
        <v>1272</v>
      </c>
      <c r="B262" s="19" t="s">
        <v>24</v>
      </c>
      <c r="C262" s="5">
        <v>1.61</v>
      </c>
      <c r="D262" s="53">
        <v>0</v>
      </c>
      <c r="E262" s="70">
        <v>1</v>
      </c>
    </row>
    <row r="263" spans="1:5" x14ac:dyDescent="0.25">
      <c r="A263" s="22" t="s">
        <v>1319</v>
      </c>
      <c r="B263" s="19" t="s">
        <v>24</v>
      </c>
      <c r="C263" s="5">
        <v>13.8</v>
      </c>
      <c r="D263" s="53">
        <v>0</v>
      </c>
      <c r="E263" s="70">
        <v>1</v>
      </c>
    </row>
    <row r="264" spans="1:5" x14ac:dyDescent="0.25">
      <c r="A264" s="22" t="s">
        <v>1320</v>
      </c>
      <c r="B264" s="19" t="s">
        <v>24</v>
      </c>
      <c r="C264" s="5">
        <v>9.2000000000000011</v>
      </c>
      <c r="D264" s="53">
        <v>0</v>
      </c>
      <c r="E264" s="70">
        <v>1</v>
      </c>
    </row>
    <row r="265" spans="1:5" x14ac:dyDescent="0.25">
      <c r="A265" s="22" t="s">
        <v>1321</v>
      </c>
      <c r="B265" s="19" t="s">
        <v>24</v>
      </c>
      <c r="C265" s="5">
        <v>0.92</v>
      </c>
      <c r="D265" s="53">
        <v>0</v>
      </c>
      <c r="E265" s="70">
        <v>1</v>
      </c>
    </row>
    <row r="266" spans="1:5" x14ac:dyDescent="0.25">
      <c r="A266" s="20" t="s">
        <v>1205</v>
      </c>
      <c r="C266" s="5">
        <v>15.625000000000002</v>
      </c>
      <c r="D266" s="53">
        <v>0</v>
      </c>
      <c r="E266" s="70">
        <v>3.5</v>
      </c>
    </row>
    <row r="267" spans="1:5" x14ac:dyDescent="0.25">
      <c r="A267" s="21" t="s">
        <v>25</v>
      </c>
      <c r="C267" s="5">
        <v>3.9050000000000002</v>
      </c>
      <c r="D267" s="53">
        <v>0</v>
      </c>
      <c r="E267" s="70">
        <v>1.5</v>
      </c>
    </row>
    <row r="268" spans="1:5" x14ac:dyDescent="0.25">
      <c r="A268" s="22" t="s">
        <v>72</v>
      </c>
      <c r="B268" s="19" t="s">
        <v>24</v>
      </c>
      <c r="C268" s="5">
        <v>2.9850000000000003</v>
      </c>
      <c r="D268" s="53">
        <v>0</v>
      </c>
      <c r="E268" s="70">
        <v>0.5</v>
      </c>
    </row>
    <row r="269" spans="1:5" x14ac:dyDescent="0.25">
      <c r="A269" s="22" t="s">
        <v>231</v>
      </c>
      <c r="B269" s="19" t="s">
        <v>24</v>
      </c>
      <c r="C269" s="5">
        <v>0.92</v>
      </c>
      <c r="D269" s="53">
        <v>0</v>
      </c>
      <c r="E269" s="70">
        <v>1</v>
      </c>
    </row>
    <row r="270" spans="1:5" x14ac:dyDescent="0.25">
      <c r="A270" s="21" t="s">
        <v>30</v>
      </c>
      <c r="C270" s="5">
        <v>11.72</v>
      </c>
      <c r="D270" s="53">
        <v>0</v>
      </c>
      <c r="E270" s="70">
        <v>2</v>
      </c>
    </row>
    <row r="271" spans="1:5" x14ac:dyDescent="0.25">
      <c r="A271" s="22" t="s">
        <v>232</v>
      </c>
      <c r="B271" s="19" t="s">
        <v>24</v>
      </c>
      <c r="C271" s="5">
        <v>2.52</v>
      </c>
      <c r="D271" s="53">
        <v>0</v>
      </c>
      <c r="E271" s="70">
        <v>1</v>
      </c>
    </row>
    <row r="272" spans="1:5" x14ac:dyDescent="0.25">
      <c r="A272" s="22" t="s">
        <v>233</v>
      </c>
      <c r="B272" s="19" t="s">
        <v>24</v>
      </c>
      <c r="C272" s="5">
        <v>9.2000000000000011</v>
      </c>
      <c r="D272" s="53">
        <v>0</v>
      </c>
      <c r="E272" s="70">
        <v>1</v>
      </c>
    </row>
    <row r="273" spans="1:5" x14ac:dyDescent="0.25">
      <c r="A273" s="19" t="s">
        <v>240</v>
      </c>
      <c r="C273" s="5">
        <v>125.28000000000002</v>
      </c>
      <c r="D273" s="53">
        <v>0</v>
      </c>
      <c r="E273" s="70">
        <v>3.2</v>
      </c>
    </row>
    <row r="274" spans="1:5" x14ac:dyDescent="0.25">
      <c r="A274" s="20" t="s">
        <v>1388</v>
      </c>
      <c r="C274" s="5">
        <v>71.14</v>
      </c>
      <c r="D274" s="53">
        <v>0</v>
      </c>
      <c r="E274" s="70">
        <v>1.1000000000000001</v>
      </c>
    </row>
    <row r="275" spans="1:5" x14ac:dyDescent="0.25">
      <c r="A275" s="21" t="s">
        <v>75</v>
      </c>
      <c r="C275" s="5">
        <v>71.14</v>
      </c>
      <c r="D275" s="53">
        <v>0</v>
      </c>
      <c r="E275" s="70">
        <v>1.1000000000000001</v>
      </c>
    </row>
    <row r="276" spans="1:5" x14ac:dyDescent="0.25">
      <c r="A276" s="22" t="s">
        <v>241</v>
      </c>
      <c r="B276" s="19" t="s">
        <v>24</v>
      </c>
      <c r="C276" s="5">
        <v>67.099999999999994</v>
      </c>
      <c r="D276" s="53">
        <v>0</v>
      </c>
      <c r="E276" s="70">
        <v>1</v>
      </c>
    </row>
    <row r="277" spans="1:5" x14ac:dyDescent="0.25">
      <c r="A277" s="22" t="s">
        <v>202</v>
      </c>
      <c r="B277" s="19" t="s">
        <v>24</v>
      </c>
      <c r="C277" s="5">
        <v>4.0400000000000009</v>
      </c>
      <c r="D277" s="53">
        <v>0</v>
      </c>
      <c r="E277" s="70">
        <v>0.1</v>
      </c>
    </row>
    <row r="278" spans="1:5" x14ac:dyDescent="0.25">
      <c r="A278" s="20" t="s">
        <v>1389</v>
      </c>
      <c r="C278" s="5">
        <v>20.45</v>
      </c>
      <c r="D278" s="53">
        <v>0</v>
      </c>
      <c r="E278" s="70">
        <v>1</v>
      </c>
    </row>
    <row r="279" spans="1:5" x14ac:dyDescent="0.25">
      <c r="A279" s="21" t="s">
        <v>75</v>
      </c>
      <c r="C279" s="5">
        <v>20.45</v>
      </c>
      <c r="D279" s="53">
        <v>0</v>
      </c>
      <c r="E279" s="70">
        <v>1</v>
      </c>
    </row>
    <row r="280" spans="1:5" x14ac:dyDescent="0.25">
      <c r="A280" s="22" t="s">
        <v>1240</v>
      </c>
      <c r="B280" s="19" t="s">
        <v>24</v>
      </c>
      <c r="C280" s="5">
        <v>20.45</v>
      </c>
      <c r="D280" s="53">
        <v>0</v>
      </c>
      <c r="E280" s="70">
        <v>1</v>
      </c>
    </row>
    <row r="281" spans="1:5" x14ac:dyDescent="0.25">
      <c r="A281" s="20" t="s">
        <v>1390</v>
      </c>
      <c r="C281" s="5">
        <v>4.0400000000000009</v>
      </c>
      <c r="D281" s="53">
        <v>0</v>
      </c>
      <c r="E281" s="70">
        <v>0.1</v>
      </c>
    </row>
    <row r="282" spans="1:5" x14ac:dyDescent="0.25">
      <c r="A282" s="21" t="s">
        <v>75</v>
      </c>
      <c r="C282" s="5">
        <v>4.0400000000000009</v>
      </c>
      <c r="D282" s="53">
        <v>0</v>
      </c>
      <c r="E282" s="70">
        <v>0.1</v>
      </c>
    </row>
    <row r="283" spans="1:5" x14ac:dyDescent="0.25">
      <c r="A283" s="22" t="s">
        <v>202</v>
      </c>
      <c r="B283" s="19" t="s">
        <v>24</v>
      </c>
      <c r="C283" s="5">
        <v>4.0400000000000009</v>
      </c>
      <c r="D283" s="53">
        <v>0</v>
      </c>
      <c r="E283" s="70">
        <v>0.1</v>
      </c>
    </row>
    <row r="284" spans="1:5" x14ac:dyDescent="0.25">
      <c r="A284" s="20" t="s">
        <v>1391</v>
      </c>
      <c r="C284" s="5">
        <v>29.650000000000002</v>
      </c>
      <c r="D284" s="53">
        <v>0</v>
      </c>
      <c r="E284" s="70">
        <v>1</v>
      </c>
    </row>
    <row r="285" spans="1:5" x14ac:dyDescent="0.25">
      <c r="A285" s="21" t="s">
        <v>6</v>
      </c>
      <c r="C285" s="5">
        <v>29.650000000000002</v>
      </c>
      <c r="D285" s="53">
        <v>0</v>
      </c>
      <c r="E285" s="70">
        <v>1</v>
      </c>
    </row>
    <row r="286" spans="1:5" x14ac:dyDescent="0.25">
      <c r="A286" s="22" t="s">
        <v>242</v>
      </c>
      <c r="B286" s="19" t="s">
        <v>24</v>
      </c>
      <c r="C286" s="5">
        <v>29.650000000000002</v>
      </c>
      <c r="D286" s="53">
        <v>0</v>
      </c>
      <c r="E286" s="70">
        <v>1</v>
      </c>
    </row>
    <row r="287" spans="1:5" x14ac:dyDescent="0.25">
      <c r="A287" s="19" t="s">
        <v>243</v>
      </c>
      <c r="C287" s="5">
        <v>51.080000000000013</v>
      </c>
      <c r="D287" s="53">
        <v>0</v>
      </c>
      <c r="E287" s="70">
        <v>6</v>
      </c>
    </row>
    <row r="288" spans="1:5" x14ac:dyDescent="0.25">
      <c r="A288" s="20" t="s">
        <v>1392</v>
      </c>
      <c r="C288" s="5">
        <v>48.100000000000009</v>
      </c>
      <c r="D288" s="53">
        <v>0</v>
      </c>
      <c r="E288" s="70">
        <v>5</v>
      </c>
    </row>
    <row r="289" spans="1:5" x14ac:dyDescent="0.25">
      <c r="A289" s="21" t="s">
        <v>6</v>
      </c>
      <c r="C289" s="5">
        <v>9.620000000000001</v>
      </c>
      <c r="D289" s="53">
        <v>0</v>
      </c>
      <c r="E289" s="70">
        <v>1</v>
      </c>
    </row>
    <row r="290" spans="1:5" x14ac:dyDescent="0.25">
      <c r="A290" s="22" t="s">
        <v>244</v>
      </c>
      <c r="B290" s="19" t="s">
        <v>24</v>
      </c>
      <c r="C290" s="5">
        <v>9.620000000000001</v>
      </c>
      <c r="D290" s="53">
        <v>0</v>
      </c>
      <c r="E290" s="70">
        <v>1</v>
      </c>
    </row>
    <row r="291" spans="1:5" x14ac:dyDescent="0.25">
      <c r="A291" s="21" t="s">
        <v>52</v>
      </c>
      <c r="C291" s="5">
        <v>19.240000000000002</v>
      </c>
      <c r="D291" s="53">
        <v>0</v>
      </c>
      <c r="E291" s="70">
        <v>2</v>
      </c>
    </row>
    <row r="292" spans="1:5" x14ac:dyDescent="0.25">
      <c r="A292" s="22" t="s">
        <v>245</v>
      </c>
      <c r="B292" s="19" t="s">
        <v>24</v>
      </c>
      <c r="C292" s="5">
        <v>9.620000000000001</v>
      </c>
      <c r="D292" s="53">
        <v>0</v>
      </c>
      <c r="E292" s="70">
        <v>1</v>
      </c>
    </row>
    <row r="293" spans="1:5" x14ac:dyDescent="0.25">
      <c r="A293" s="22" t="s">
        <v>1301</v>
      </c>
      <c r="B293" s="19" t="s">
        <v>24</v>
      </c>
      <c r="C293" s="5">
        <v>9.620000000000001</v>
      </c>
      <c r="D293" s="53">
        <v>0</v>
      </c>
      <c r="E293" s="70">
        <v>1</v>
      </c>
    </row>
    <row r="294" spans="1:5" x14ac:dyDescent="0.25">
      <c r="A294" s="21" t="s">
        <v>30</v>
      </c>
      <c r="C294" s="5">
        <v>19.240000000000002</v>
      </c>
      <c r="D294" s="53">
        <v>0</v>
      </c>
      <c r="E294" s="70">
        <v>2</v>
      </c>
    </row>
    <row r="295" spans="1:5" x14ac:dyDescent="0.25">
      <c r="A295" s="22" t="s">
        <v>246</v>
      </c>
      <c r="B295" s="19" t="s">
        <v>24</v>
      </c>
      <c r="C295" s="5">
        <v>9.620000000000001</v>
      </c>
      <c r="D295" s="53">
        <v>0</v>
      </c>
      <c r="E295" s="70">
        <v>1</v>
      </c>
    </row>
    <row r="296" spans="1:5" x14ac:dyDescent="0.25">
      <c r="A296" s="22" t="s">
        <v>1280</v>
      </c>
      <c r="B296" s="19" t="s">
        <v>24</v>
      </c>
      <c r="C296" s="5">
        <v>9.620000000000001</v>
      </c>
      <c r="D296" s="53">
        <v>0</v>
      </c>
      <c r="E296" s="70">
        <v>1</v>
      </c>
    </row>
    <row r="297" spans="1:5" x14ac:dyDescent="0.25">
      <c r="A297" s="20" t="s">
        <v>1393</v>
      </c>
      <c r="C297" s="5">
        <v>2.9800000000000004</v>
      </c>
      <c r="D297" s="53">
        <v>0</v>
      </c>
      <c r="E297" s="70">
        <v>1</v>
      </c>
    </row>
    <row r="298" spans="1:5" x14ac:dyDescent="0.25">
      <c r="A298" s="21" t="s">
        <v>30</v>
      </c>
      <c r="C298" s="5">
        <v>2.9800000000000004</v>
      </c>
      <c r="D298" s="53">
        <v>0</v>
      </c>
      <c r="E298" s="70">
        <v>1</v>
      </c>
    </row>
    <row r="299" spans="1:5" x14ac:dyDescent="0.25">
      <c r="A299" s="22" t="s">
        <v>247</v>
      </c>
      <c r="B299" s="19" t="s">
        <v>24</v>
      </c>
      <c r="C299" s="5">
        <v>2.9800000000000004</v>
      </c>
      <c r="D299" s="53">
        <v>0</v>
      </c>
      <c r="E299" s="70">
        <v>1</v>
      </c>
    </row>
    <row r="300" spans="1:5" x14ac:dyDescent="0.25">
      <c r="A300" s="19" t="s">
        <v>248</v>
      </c>
      <c r="C300" s="5">
        <v>108.9</v>
      </c>
      <c r="D300" s="53">
        <v>297.49</v>
      </c>
      <c r="E300" s="70">
        <v>3</v>
      </c>
    </row>
    <row r="301" spans="1:5" x14ac:dyDescent="0.25">
      <c r="A301" s="20" t="s">
        <v>1394</v>
      </c>
      <c r="C301" s="5">
        <v>108.9</v>
      </c>
      <c r="D301" s="53">
        <v>297.49</v>
      </c>
      <c r="E301" s="70">
        <v>3</v>
      </c>
    </row>
    <row r="302" spans="1:5" x14ac:dyDescent="0.25">
      <c r="A302" s="21" t="s">
        <v>65</v>
      </c>
      <c r="C302" s="5">
        <v>108.9</v>
      </c>
      <c r="D302" s="53">
        <v>297.49</v>
      </c>
      <c r="E302" s="70">
        <v>3</v>
      </c>
    </row>
    <row r="303" spans="1:5" x14ac:dyDescent="0.25">
      <c r="A303" s="22" t="s">
        <v>249</v>
      </c>
      <c r="B303" s="19" t="s">
        <v>24</v>
      </c>
      <c r="C303" s="5">
        <v>12.400000000000002</v>
      </c>
      <c r="D303" s="53">
        <v>0</v>
      </c>
      <c r="E303" s="70">
        <v>1</v>
      </c>
    </row>
    <row r="304" spans="1:5" x14ac:dyDescent="0.25">
      <c r="A304" s="22" t="s">
        <v>250</v>
      </c>
      <c r="B304" s="19" t="s">
        <v>24</v>
      </c>
      <c r="C304" s="5">
        <v>74.900000000000006</v>
      </c>
      <c r="D304" s="53">
        <v>297.49</v>
      </c>
      <c r="E304" s="70">
        <v>1</v>
      </c>
    </row>
    <row r="305" spans="1:5" x14ac:dyDescent="0.25">
      <c r="A305" s="22" t="s">
        <v>251</v>
      </c>
      <c r="B305" s="19" t="s">
        <v>24</v>
      </c>
      <c r="C305" s="5">
        <v>21.6</v>
      </c>
      <c r="D305" s="53">
        <v>0</v>
      </c>
      <c r="E305" s="70">
        <v>1</v>
      </c>
    </row>
    <row r="306" spans="1:5" x14ac:dyDescent="0.25">
      <c r="A306" s="19" t="s">
        <v>252</v>
      </c>
      <c r="C306" s="5">
        <v>33.979999999999997</v>
      </c>
      <c r="D306" s="53">
        <v>0</v>
      </c>
      <c r="E306" s="70">
        <v>2</v>
      </c>
    </row>
    <row r="307" spans="1:5" x14ac:dyDescent="0.25">
      <c r="A307" s="20" t="s">
        <v>1395</v>
      </c>
      <c r="C307" s="5">
        <v>4.58</v>
      </c>
      <c r="D307" s="53">
        <v>0</v>
      </c>
      <c r="E307" s="70">
        <v>1</v>
      </c>
    </row>
    <row r="308" spans="1:5" x14ac:dyDescent="0.25">
      <c r="A308" s="21" t="s">
        <v>25</v>
      </c>
      <c r="C308" s="5">
        <v>4.58</v>
      </c>
      <c r="D308" s="53">
        <v>0</v>
      </c>
      <c r="E308" s="70">
        <v>1</v>
      </c>
    </row>
    <row r="309" spans="1:5" x14ac:dyDescent="0.25">
      <c r="A309" s="22" t="s">
        <v>253</v>
      </c>
      <c r="B309" s="19" t="s">
        <v>24</v>
      </c>
      <c r="C309" s="5">
        <v>4.58</v>
      </c>
      <c r="D309" s="53">
        <v>0</v>
      </c>
      <c r="E309" s="70">
        <v>1</v>
      </c>
    </row>
    <row r="310" spans="1:5" x14ac:dyDescent="0.25">
      <c r="A310" s="20" t="s">
        <v>1396</v>
      </c>
      <c r="C310" s="5">
        <v>29.4</v>
      </c>
      <c r="D310" s="53">
        <v>0</v>
      </c>
      <c r="E310" s="70">
        <v>1</v>
      </c>
    </row>
    <row r="311" spans="1:5" x14ac:dyDescent="0.25">
      <c r="A311" s="21" t="s">
        <v>6</v>
      </c>
      <c r="C311" s="5">
        <v>29.4</v>
      </c>
      <c r="D311" s="53">
        <v>0</v>
      </c>
      <c r="E311" s="70">
        <v>1</v>
      </c>
    </row>
    <row r="312" spans="1:5" x14ac:dyDescent="0.25">
      <c r="A312" s="22" t="s">
        <v>1313</v>
      </c>
      <c r="B312" s="19" t="s">
        <v>24</v>
      </c>
      <c r="C312" s="5">
        <v>29.4</v>
      </c>
      <c r="D312" s="53">
        <v>0</v>
      </c>
      <c r="E312" s="70">
        <v>1</v>
      </c>
    </row>
    <row r="313" spans="1:5" x14ac:dyDescent="0.25">
      <c r="A313" s="19" t="s">
        <v>254</v>
      </c>
      <c r="C313" s="5">
        <v>5.5149999999999997</v>
      </c>
      <c r="D313" s="53">
        <v>0</v>
      </c>
      <c r="E313" s="70">
        <v>0.5</v>
      </c>
    </row>
    <row r="314" spans="1:5" x14ac:dyDescent="0.25">
      <c r="A314" s="20" t="s">
        <v>1397</v>
      </c>
      <c r="C314" s="5">
        <v>5.5149999999999997</v>
      </c>
      <c r="D314" s="53">
        <v>0</v>
      </c>
      <c r="E314" s="70">
        <v>0.5</v>
      </c>
    </row>
    <row r="315" spans="1:5" x14ac:dyDescent="0.25">
      <c r="A315" s="21" t="s">
        <v>9</v>
      </c>
      <c r="C315" s="5">
        <v>5.5149999999999997</v>
      </c>
      <c r="D315" s="53">
        <v>0</v>
      </c>
      <c r="E315" s="70">
        <v>0.5</v>
      </c>
    </row>
    <row r="316" spans="1:5" x14ac:dyDescent="0.25">
      <c r="A316" s="22" t="s">
        <v>59</v>
      </c>
      <c r="B316" s="19" t="s">
        <v>60</v>
      </c>
      <c r="C316" s="5">
        <v>5.5149999999999997</v>
      </c>
      <c r="D316" s="53">
        <v>0</v>
      </c>
      <c r="E316" s="70">
        <v>0.5</v>
      </c>
    </row>
    <row r="317" spans="1:5" x14ac:dyDescent="0.25">
      <c r="A317" s="19" t="s">
        <v>255</v>
      </c>
      <c r="C317" s="5">
        <v>44.290000000000006</v>
      </c>
      <c r="D317" s="53">
        <v>0</v>
      </c>
      <c r="E317" s="70">
        <v>4</v>
      </c>
    </row>
    <row r="318" spans="1:5" x14ac:dyDescent="0.25">
      <c r="A318" s="20" t="s">
        <v>1398</v>
      </c>
      <c r="C318" s="5">
        <v>19.490000000000002</v>
      </c>
      <c r="D318" s="53">
        <v>0</v>
      </c>
      <c r="E318" s="70">
        <v>2</v>
      </c>
    </row>
    <row r="319" spans="1:5" x14ac:dyDescent="0.25">
      <c r="A319" s="21" t="s">
        <v>6</v>
      </c>
      <c r="C319" s="5">
        <v>19.490000000000002</v>
      </c>
      <c r="D319" s="53">
        <v>0</v>
      </c>
      <c r="E319" s="70">
        <v>2</v>
      </c>
    </row>
    <row r="320" spans="1:5" x14ac:dyDescent="0.25">
      <c r="A320" s="22" t="s">
        <v>256</v>
      </c>
      <c r="B320" s="19" t="s">
        <v>24</v>
      </c>
      <c r="C320" s="5">
        <v>7.8000000000000007</v>
      </c>
      <c r="D320" s="53">
        <v>0</v>
      </c>
      <c r="E320" s="70">
        <v>1</v>
      </c>
    </row>
    <row r="321" spans="1:5" x14ac:dyDescent="0.25">
      <c r="A321" s="22" t="s">
        <v>257</v>
      </c>
      <c r="B321" s="19" t="s">
        <v>24</v>
      </c>
      <c r="C321" s="5">
        <v>11.690000000000001</v>
      </c>
      <c r="D321" s="53">
        <v>0</v>
      </c>
      <c r="E321" s="70">
        <v>1</v>
      </c>
    </row>
    <row r="322" spans="1:5" x14ac:dyDescent="0.25">
      <c r="A322" s="20" t="s">
        <v>1399</v>
      </c>
      <c r="C322" s="5">
        <v>24.800000000000004</v>
      </c>
      <c r="D322" s="53">
        <v>0</v>
      </c>
      <c r="E322" s="70">
        <v>2</v>
      </c>
    </row>
    <row r="323" spans="1:5" x14ac:dyDescent="0.25">
      <c r="A323" s="21" t="s">
        <v>6</v>
      </c>
      <c r="C323" s="5">
        <v>24.800000000000004</v>
      </c>
      <c r="D323" s="53">
        <v>0</v>
      </c>
      <c r="E323" s="70">
        <v>2</v>
      </c>
    </row>
    <row r="324" spans="1:5" x14ac:dyDescent="0.25">
      <c r="A324" s="22" t="s">
        <v>258</v>
      </c>
      <c r="B324" s="19" t="s">
        <v>24</v>
      </c>
      <c r="C324" s="5">
        <v>12.400000000000002</v>
      </c>
      <c r="D324" s="53">
        <v>0</v>
      </c>
      <c r="E324" s="70">
        <v>1</v>
      </c>
    </row>
    <row r="325" spans="1:5" x14ac:dyDescent="0.25">
      <c r="A325" s="22" t="s">
        <v>259</v>
      </c>
      <c r="B325" s="19" t="s">
        <v>24</v>
      </c>
      <c r="C325" s="5">
        <v>12.400000000000002</v>
      </c>
      <c r="D325" s="53">
        <v>0</v>
      </c>
      <c r="E325" s="70">
        <v>1</v>
      </c>
    </row>
    <row r="326" spans="1:5" x14ac:dyDescent="0.25">
      <c r="A326" s="19" t="s">
        <v>267</v>
      </c>
      <c r="C326" s="5">
        <v>855.15000000000066</v>
      </c>
      <c r="D326" s="53">
        <v>0</v>
      </c>
      <c r="E326" s="70">
        <v>48</v>
      </c>
    </row>
    <row r="327" spans="1:5" x14ac:dyDescent="0.25">
      <c r="A327" s="20" t="s">
        <v>1400</v>
      </c>
      <c r="C327" s="5">
        <v>855.15000000000066</v>
      </c>
      <c r="D327" s="53">
        <v>0</v>
      </c>
      <c r="E327" s="70">
        <v>48</v>
      </c>
    </row>
    <row r="328" spans="1:5" x14ac:dyDescent="0.25">
      <c r="A328" s="21" t="s">
        <v>9</v>
      </c>
      <c r="C328" s="5">
        <v>193.97000000000006</v>
      </c>
      <c r="D328" s="53">
        <v>0</v>
      </c>
      <c r="E328" s="70">
        <v>13</v>
      </c>
    </row>
    <row r="329" spans="1:5" x14ac:dyDescent="0.25">
      <c r="A329" s="22" t="s">
        <v>79</v>
      </c>
      <c r="B329" s="19" t="s">
        <v>24</v>
      </c>
      <c r="C329" s="5">
        <v>54.81</v>
      </c>
      <c r="D329" s="53">
        <v>0</v>
      </c>
      <c r="E329" s="70">
        <v>1</v>
      </c>
    </row>
    <row r="330" spans="1:5" x14ac:dyDescent="0.25">
      <c r="A330" s="22" t="s">
        <v>80</v>
      </c>
      <c r="B330" s="19" t="s">
        <v>24</v>
      </c>
      <c r="C330" s="5">
        <v>12.61</v>
      </c>
      <c r="D330" s="53">
        <v>0</v>
      </c>
      <c r="E330" s="70">
        <v>1</v>
      </c>
    </row>
    <row r="331" spans="1:5" x14ac:dyDescent="0.25">
      <c r="A331" s="22" t="s">
        <v>81</v>
      </c>
      <c r="B331" s="19" t="s">
        <v>24</v>
      </c>
      <c r="C331" s="5">
        <v>36.410000000000004</v>
      </c>
      <c r="D331" s="53">
        <v>0</v>
      </c>
      <c r="E331" s="70">
        <v>1</v>
      </c>
    </row>
    <row r="332" spans="1:5" x14ac:dyDescent="0.25">
      <c r="A332" s="22" t="s">
        <v>82</v>
      </c>
      <c r="B332" s="19" t="s">
        <v>24</v>
      </c>
      <c r="C332" s="5">
        <v>31.009999999999998</v>
      </c>
      <c r="D332" s="53">
        <v>0</v>
      </c>
      <c r="E332" s="70">
        <v>1</v>
      </c>
    </row>
    <row r="333" spans="1:5" x14ac:dyDescent="0.25">
      <c r="A333" s="22" t="s">
        <v>83</v>
      </c>
      <c r="B333" s="19" t="s">
        <v>24</v>
      </c>
      <c r="C333" s="5">
        <v>9.16</v>
      </c>
      <c r="D333" s="53">
        <v>0</v>
      </c>
      <c r="E333" s="70">
        <v>1</v>
      </c>
    </row>
    <row r="334" spans="1:5" x14ac:dyDescent="0.25">
      <c r="A334" s="22" t="s">
        <v>84</v>
      </c>
      <c r="B334" s="19" t="s">
        <v>24</v>
      </c>
      <c r="C334" s="5">
        <v>9.16</v>
      </c>
      <c r="D334" s="53">
        <v>0</v>
      </c>
      <c r="E334" s="70">
        <v>1</v>
      </c>
    </row>
    <row r="335" spans="1:5" x14ac:dyDescent="0.25">
      <c r="A335" s="22" t="s">
        <v>85</v>
      </c>
      <c r="B335" s="19" t="s">
        <v>24</v>
      </c>
      <c r="C335" s="5">
        <v>5.5</v>
      </c>
      <c r="D335" s="53">
        <v>0</v>
      </c>
      <c r="E335" s="70">
        <v>1</v>
      </c>
    </row>
    <row r="336" spans="1:5" x14ac:dyDescent="0.25">
      <c r="A336" s="22" t="s">
        <v>86</v>
      </c>
      <c r="B336" s="19" t="s">
        <v>24</v>
      </c>
      <c r="C336" s="5">
        <v>2.52</v>
      </c>
      <c r="D336" s="53">
        <v>0</v>
      </c>
      <c r="E336" s="70">
        <v>1</v>
      </c>
    </row>
    <row r="337" spans="1:5" x14ac:dyDescent="0.25">
      <c r="A337" s="22" t="s">
        <v>87</v>
      </c>
      <c r="B337" s="19" t="s">
        <v>24</v>
      </c>
      <c r="C337" s="5">
        <v>2.52</v>
      </c>
      <c r="D337" s="53">
        <v>0</v>
      </c>
      <c r="E337" s="70">
        <v>1</v>
      </c>
    </row>
    <row r="338" spans="1:5" x14ac:dyDescent="0.25">
      <c r="A338" s="22" t="s">
        <v>88</v>
      </c>
      <c r="B338" s="19" t="s">
        <v>24</v>
      </c>
      <c r="C338" s="5">
        <v>2.52</v>
      </c>
      <c r="D338" s="53">
        <v>0</v>
      </c>
      <c r="E338" s="70">
        <v>1</v>
      </c>
    </row>
    <row r="339" spans="1:5" x14ac:dyDescent="0.25">
      <c r="A339" s="22" t="s">
        <v>89</v>
      </c>
      <c r="B339" s="19" t="s">
        <v>24</v>
      </c>
      <c r="C339" s="5">
        <v>11.920000000000002</v>
      </c>
      <c r="D339" s="53">
        <v>0</v>
      </c>
      <c r="E339" s="70">
        <v>1</v>
      </c>
    </row>
    <row r="340" spans="1:5" x14ac:dyDescent="0.25">
      <c r="A340" s="22" t="s">
        <v>90</v>
      </c>
      <c r="B340" s="19" t="s">
        <v>24</v>
      </c>
      <c r="C340" s="5">
        <v>11</v>
      </c>
      <c r="D340" s="53">
        <v>0</v>
      </c>
      <c r="E340" s="70">
        <v>1</v>
      </c>
    </row>
    <row r="341" spans="1:5" x14ac:dyDescent="0.25">
      <c r="A341" s="22" t="s">
        <v>1278</v>
      </c>
      <c r="B341" s="19" t="s">
        <v>24</v>
      </c>
      <c r="C341" s="5">
        <v>4.83</v>
      </c>
      <c r="D341" s="53">
        <v>0</v>
      </c>
      <c r="E341" s="70">
        <v>1</v>
      </c>
    </row>
    <row r="342" spans="1:5" x14ac:dyDescent="0.25">
      <c r="A342" s="21" t="s">
        <v>30</v>
      </c>
      <c r="C342" s="5">
        <v>356.71000000000004</v>
      </c>
      <c r="D342" s="53">
        <v>0</v>
      </c>
      <c r="E342" s="70">
        <v>11</v>
      </c>
    </row>
    <row r="343" spans="1:5" x14ac:dyDescent="0.25">
      <c r="A343" s="22" t="s">
        <v>91</v>
      </c>
      <c r="B343" s="19" t="s">
        <v>24</v>
      </c>
      <c r="C343" s="5">
        <v>10.08</v>
      </c>
      <c r="D343" s="53">
        <v>0</v>
      </c>
      <c r="E343" s="70">
        <v>1</v>
      </c>
    </row>
    <row r="344" spans="1:5" x14ac:dyDescent="0.25">
      <c r="A344" s="22" t="s">
        <v>92</v>
      </c>
      <c r="B344" s="19" t="s">
        <v>24</v>
      </c>
      <c r="C344" s="5">
        <v>10.08</v>
      </c>
      <c r="D344" s="53">
        <v>0</v>
      </c>
      <c r="E344" s="70">
        <v>1</v>
      </c>
    </row>
    <row r="345" spans="1:5" x14ac:dyDescent="0.25">
      <c r="A345" s="22" t="s">
        <v>93</v>
      </c>
      <c r="B345" s="19" t="s">
        <v>24</v>
      </c>
      <c r="C345" s="5">
        <v>3.68</v>
      </c>
      <c r="D345" s="53">
        <v>0</v>
      </c>
      <c r="E345" s="70">
        <v>1</v>
      </c>
    </row>
    <row r="346" spans="1:5" x14ac:dyDescent="0.25">
      <c r="A346" s="22" t="s">
        <v>94</v>
      </c>
      <c r="B346" s="19" t="s">
        <v>24</v>
      </c>
      <c r="C346" s="5">
        <v>10.08</v>
      </c>
      <c r="D346" s="53">
        <v>0</v>
      </c>
      <c r="E346" s="70">
        <v>1</v>
      </c>
    </row>
    <row r="347" spans="1:5" x14ac:dyDescent="0.25">
      <c r="A347" s="22" t="s">
        <v>95</v>
      </c>
      <c r="B347" s="19" t="s">
        <v>24</v>
      </c>
      <c r="C347" s="5">
        <v>7.32</v>
      </c>
      <c r="D347" s="53">
        <v>0</v>
      </c>
      <c r="E347" s="70">
        <v>1</v>
      </c>
    </row>
    <row r="348" spans="1:5" x14ac:dyDescent="0.25">
      <c r="A348" s="22" t="s">
        <v>96</v>
      </c>
      <c r="B348" s="19" t="s">
        <v>24</v>
      </c>
      <c r="C348" s="5">
        <v>8.24</v>
      </c>
      <c r="D348" s="53">
        <v>0</v>
      </c>
      <c r="E348" s="70">
        <v>1</v>
      </c>
    </row>
    <row r="349" spans="1:5" x14ac:dyDescent="0.25">
      <c r="A349" s="22" t="s">
        <v>97</v>
      </c>
      <c r="B349" s="19" t="s">
        <v>24</v>
      </c>
      <c r="C349" s="5">
        <v>2.52</v>
      </c>
      <c r="D349" s="53">
        <v>0</v>
      </c>
      <c r="E349" s="70">
        <v>1</v>
      </c>
    </row>
    <row r="350" spans="1:5" x14ac:dyDescent="0.25">
      <c r="A350" s="22" t="s">
        <v>98</v>
      </c>
      <c r="B350" s="19" t="s">
        <v>24</v>
      </c>
      <c r="C350" s="5">
        <v>2.52</v>
      </c>
      <c r="D350" s="53">
        <v>0</v>
      </c>
      <c r="E350" s="70">
        <v>1</v>
      </c>
    </row>
    <row r="351" spans="1:5" x14ac:dyDescent="0.25">
      <c r="A351" s="22" t="s">
        <v>99</v>
      </c>
      <c r="B351" s="19" t="s">
        <v>24</v>
      </c>
      <c r="C351" s="5">
        <v>10</v>
      </c>
      <c r="D351" s="53">
        <v>0</v>
      </c>
      <c r="E351" s="70">
        <v>0</v>
      </c>
    </row>
    <row r="352" spans="1:5" x14ac:dyDescent="0.25">
      <c r="A352" s="22" t="s">
        <v>100</v>
      </c>
      <c r="B352" s="19" t="s">
        <v>24</v>
      </c>
      <c r="C352" s="5">
        <v>10</v>
      </c>
      <c r="D352" s="53">
        <v>0</v>
      </c>
      <c r="E352" s="70">
        <v>0</v>
      </c>
    </row>
    <row r="353" spans="1:5" x14ac:dyDescent="0.25">
      <c r="A353" s="22" t="s">
        <v>101</v>
      </c>
      <c r="B353" s="19" t="s">
        <v>24</v>
      </c>
      <c r="C353" s="5">
        <v>10</v>
      </c>
      <c r="D353" s="53">
        <v>0</v>
      </c>
      <c r="E353" s="70">
        <v>0</v>
      </c>
    </row>
    <row r="354" spans="1:5" x14ac:dyDescent="0.25">
      <c r="A354" s="22" t="s">
        <v>102</v>
      </c>
      <c r="B354" s="19" t="s">
        <v>24</v>
      </c>
      <c r="C354" s="5">
        <v>10</v>
      </c>
      <c r="D354" s="53">
        <v>0</v>
      </c>
      <c r="E354" s="70">
        <v>0</v>
      </c>
    </row>
    <row r="355" spans="1:5" x14ac:dyDescent="0.25">
      <c r="A355" s="22" t="s">
        <v>103</v>
      </c>
      <c r="B355" s="19" t="s">
        <v>24</v>
      </c>
      <c r="C355" s="5">
        <v>10</v>
      </c>
      <c r="D355" s="53">
        <v>0</v>
      </c>
      <c r="E355" s="70">
        <v>0</v>
      </c>
    </row>
    <row r="356" spans="1:5" x14ac:dyDescent="0.25">
      <c r="A356" s="22" t="s">
        <v>104</v>
      </c>
      <c r="B356" s="19" t="s">
        <v>24</v>
      </c>
      <c r="C356" s="5">
        <v>10</v>
      </c>
      <c r="D356" s="53">
        <v>0</v>
      </c>
      <c r="E356" s="70">
        <v>0</v>
      </c>
    </row>
    <row r="357" spans="1:5" x14ac:dyDescent="0.25">
      <c r="A357" s="22" t="s">
        <v>105</v>
      </c>
      <c r="B357" s="19" t="s">
        <v>24</v>
      </c>
      <c r="C357" s="5">
        <v>10</v>
      </c>
      <c r="D357" s="53">
        <v>0</v>
      </c>
      <c r="E357" s="70">
        <v>0</v>
      </c>
    </row>
    <row r="358" spans="1:5" x14ac:dyDescent="0.25">
      <c r="A358" s="22" t="s">
        <v>106</v>
      </c>
      <c r="B358" s="19" t="s">
        <v>24</v>
      </c>
      <c r="C358" s="5">
        <v>10</v>
      </c>
      <c r="D358" s="53">
        <v>0</v>
      </c>
      <c r="E358" s="70">
        <v>0</v>
      </c>
    </row>
    <row r="359" spans="1:5" x14ac:dyDescent="0.25">
      <c r="A359" s="22" t="s">
        <v>107</v>
      </c>
      <c r="B359" s="19" t="s">
        <v>24</v>
      </c>
      <c r="C359" s="5">
        <v>10</v>
      </c>
      <c r="D359" s="53">
        <v>0</v>
      </c>
      <c r="E359" s="70">
        <v>0</v>
      </c>
    </row>
    <row r="360" spans="1:5" x14ac:dyDescent="0.25">
      <c r="A360" s="22" t="s">
        <v>108</v>
      </c>
      <c r="B360" s="19" t="s">
        <v>24</v>
      </c>
      <c r="C360" s="5">
        <v>10</v>
      </c>
      <c r="D360" s="53">
        <v>0</v>
      </c>
      <c r="E360" s="70">
        <v>0</v>
      </c>
    </row>
    <row r="361" spans="1:5" x14ac:dyDescent="0.25">
      <c r="A361" s="22" t="s">
        <v>109</v>
      </c>
      <c r="B361" s="19" t="s">
        <v>24</v>
      </c>
      <c r="C361" s="5">
        <v>10</v>
      </c>
      <c r="D361" s="53">
        <v>0</v>
      </c>
      <c r="E361" s="70">
        <v>0</v>
      </c>
    </row>
    <row r="362" spans="1:5" x14ac:dyDescent="0.25">
      <c r="A362" s="22" t="s">
        <v>110</v>
      </c>
      <c r="B362" s="19" t="s">
        <v>24</v>
      </c>
      <c r="C362" s="5">
        <v>10</v>
      </c>
      <c r="D362" s="53">
        <v>0</v>
      </c>
      <c r="E362" s="70">
        <v>0</v>
      </c>
    </row>
    <row r="363" spans="1:5" x14ac:dyDescent="0.25">
      <c r="A363" s="22" t="s">
        <v>111</v>
      </c>
      <c r="B363" s="19" t="s">
        <v>24</v>
      </c>
      <c r="C363" s="5">
        <v>10</v>
      </c>
      <c r="D363" s="53">
        <v>0</v>
      </c>
      <c r="E363" s="70">
        <v>0</v>
      </c>
    </row>
    <row r="364" spans="1:5" x14ac:dyDescent="0.25">
      <c r="A364" s="22" t="s">
        <v>112</v>
      </c>
      <c r="B364" s="19" t="s">
        <v>24</v>
      </c>
      <c r="C364" s="5">
        <v>10</v>
      </c>
      <c r="D364" s="53">
        <v>0</v>
      </c>
      <c r="E364" s="70">
        <v>0</v>
      </c>
    </row>
    <row r="365" spans="1:5" x14ac:dyDescent="0.25">
      <c r="A365" s="22" t="s">
        <v>113</v>
      </c>
      <c r="B365" s="19" t="s">
        <v>24</v>
      </c>
      <c r="C365" s="5">
        <v>10</v>
      </c>
      <c r="D365" s="53">
        <v>0</v>
      </c>
      <c r="E365" s="70">
        <v>0</v>
      </c>
    </row>
    <row r="366" spans="1:5" x14ac:dyDescent="0.25">
      <c r="A366" s="22" t="s">
        <v>114</v>
      </c>
      <c r="B366" s="19" t="s">
        <v>24</v>
      </c>
      <c r="C366" s="5">
        <v>3.5</v>
      </c>
      <c r="D366" s="53">
        <v>0</v>
      </c>
      <c r="E366" s="70">
        <v>0</v>
      </c>
    </row>
    <row r="367" spans="1:5" x14ac:dyDescent="0.25">
      <c r="A367" s="22" t="s">
        <v>115</v>
      </c>
      <c r="B367" s="19" t="s">
        <v>24</v>
      </c>
      <c r="C367" s="5">
        <v>3.5</v>
      </c>
      <c r="D367" s="53">
        <v>0</v>
      </c>
      <c r="E367" s="70">
        <v>0</v>
      </c>
    </row>
    <row r="368" spans="1:5" x14ac:dyDescent="0.25">
      <c r="A368" s="22" t="s">
        <v>116</v>
      </c>
      <c r="B368" s="19" t="s">
        <v>24</v>
      </c>
      <c r="C368" s="5">
        <v>3.5</v>
      </c>
      <c r="D368" s="53">
        <v>0</v>
      </c>
      <c r="E368" s="70">
        <v>0</v>
      </c>
    </row>
    <row r="369" spans="1:5" x14ac:dyDescent="0.25">
      <c r="A369" s="22" t="s">
        <v>117</v>
      </c>
      <c r="B369" s="19" t="s">
        <v>24</v>
      </c>
      <c r="C369" s="5">
        <v>3.5</v>
      </c>
      <c r="D369" s="53">
        <v>0</v>
      </c>
      <c r="E369" s="70">
        <v>0</v>
      </c>
    </row>
    <row r="370" spans="1:5" x14ac:dyDescent="0.25">
      <c r="A370" s="22" t="s">
        <v>118</v>
      </c>
      <c r="B370" s="19" t="s">
        <v>24</v>
      </c>
      <c r="C370" s="5">
        <v>3.5</v>
      </c>
      <c r="D370" s="53">
        <v>0</v>
      </c>
      <c r="E370" s="70">
        <v>0</v>
      </c>
    </row>
    <row r="371" spans="1:5" x14ac:dyDescent="0.25">
      <c r="A371" s="22" t="s">
        <v>119</v>
      </c>
      <c r="B371" s="19" t="s">
        <v>24</v>
      </c>
      <c r="C371" s="5">
        <v>3.5</v>
      </c>
      <c r="D371" s="53">
        <v>0</v>
      </c>
      <c r="E371" s="70">
        <v>0</v>
      </c>
    </row>
    <row r="372" spans="1:5" x14ac:dyDescent="0.25">
      <c r="A372" s="22" t="s">
        <v>120</v>
      </c>
      <c r="B372" s="19" t="s">
        <v>24</v>
      </c>
      <c r="C372" s="5">
        <v>3.5</v>
      </c>
      <c r="D372" s="53">
        <v>0</v>
      </c>
      <c r="E372" s="70">
        <v>0</v>
      </c>
    </row>
    <row r="373" spans="1:5" x14ac:dyDescent="0.25">
      <c r="A373" s="22" t="s">
        <v>121</v>
      </c>
      <c r="B373" s="19" t="s">
        <v>24</v>
      </c>
      <c r="C373" s="5">
        <v>45</v>
      </c>
      <c r="D373" s="53">
        <v>0</v>
      </c>
      <c r="E373" s="70">
        <v>0</v>
      </c>
    </row>
    <row r="374" spans="1:5" x14ac:dyDescent="0.25">
      <c r="A374" s="22" t="s">
        <v>122</v>
      </c>
      <c r="B374" s="19" t="s">
        <v>24</v>
      </c>
      <c r="C374" s="5">
        <v>45</v>
      </c>
      <c r="D374" s="53">
        <v>0</v>
      </c>
      <c r="E374" s="70">
        <v>0</v>
      </c>
    </row>
    <row r="375" spans="1:5" x14ac:dyDescent="0.25">
      <c r="A375" s="22" t="s">
        <v>123</v>
      </c>
      <c r="B375" s="19" t="s">
        <v>24</v>
      </c>
      <c r="C375" s="5">
        <v>11.23</v>
      </c>
      <c r="D375" s="53">
        <v>0</v>
      </c>
      <c r="E375" s="70">
        <v>1</v>
      </c>
    </row>
    <row r="376" spans="1:5" x14ac:dyDescent="0.25">
      <c r="A376" s="22" t="s">
        <v>1282</v>
      </c>
      <c r="B376" s="19" t="s">
        <v>24</v>
      </c>
      <c r="C376" s="5">
        <v>11.23</v>
      </c>
      <c r="D376" s="53">
        <v>0</v>
      </c>
      <c r="E376" s="70">
        <v>1</v>
      </c>
    </row>
    <row r="377" spans="1:5" x14ac:dyDescent="0.25">
      <c r="A377" s="22" t="s">
        <v>1307</v>
      </c>
      <c r="B377" s="19" t="s">
        <v>24</v>
      </c>
      <c r="C377" s="5">
        <v>2</v>
      </c>
      <c r="D377" s="53">
        <v>0</v>
      </c>
      <c r="E377" s="70">
        <v>0</v>
      </c>
    </row>
    <row r="378" spans="1:5" x14ac:dyDescent="0.25">
      <c r="A378" s="22" t="s">
        <v>1309</v>
      </c>
      <c r="B378" s="19" t="s">
        <v>24</v>
      </c>
      <c r="C378" s="5">
        <v>2</v>
      </c>
      <c r="D378" s="53">
        <v>0</v>
      </c>
      <c r="E378" s="70">
        <v>0</v>
      </c>
    </row>
    <row r="379" spans="1:5" x14ac:dyDescent="0.25">
      <c r="A379" s="22" t="s">
        <v>1312</v>
      </c>
      <c r="B379" s="19" t="s">
        <v>24</v>
      </c>
      <c r="C379" s="5">
        <v>11.23</v>
      </c>
      <c r="D379" s="53">
        <v>0</v>
      </c>
      <c r="E379" s="70">
        <v>1</v>
      </c>
    </row>
    <row r="380" spans="1:5" x14ac:dyDescent="0.25">
      <c r="A380" s="21" t="s">
        <v>124</v>
      </c>
      <c r="C380" s="5">
        <v>304.47000000000003</v>
      </c>
      <c r="D380" s="53">
        <v>0</v>
      </c>
      <c r="E380" s="70">
        <v>24</v>
      </c>
    </row>
    <row r="381" spans="1:5" x14ac:dyDescent="0.25">
      <c r="A381" s="22" t="s">
        <v>125</v>
      </c>
      <c r="B381" s="19" t="s">
        <v>24</v>
      </c>
      <c r="C381" s="5">
        <v>10.08</v>
      </c>
      <c r="D381" s="53">
        <v>0</v>
      </c>
      <c r="E381" s="70">
        <v>1</v>
      </c>
    </row>
    <row r="382" spans="1:5" x14ac:dyDescent="0.25">
      <c r="A382" s="22" t="s">
        <v>126</v>
      </c>
      <c r="B382" s="19" t="s">
        <v>24</v>
      </c>
      <c r="C382" s="5">
        <v>11.23</v>
      </c>
      <c r="D382" s="53">
        <v>0</v>
      </c>
      <c r="E382" s="70">
        <v>1</v>
      </c>
    </row>
    <row r="383" spans="1:5" x14ac:dyDescent="0.25">
      <c r="A383" s="22" t="s">
        <v>127</v>
      </c>
      <c r="B383" s="19" t="s">
        <v>24</v>
      </c>
      <c r="C383" s="5">
        <v>10.08</v>
      </c>
      <c r="D383" s="53">
        <v>0</v>
      </c>
      <c r="E383" s="70">
        <v>1</v>
      </c>
    </row>
    <row r="384" spans="1:5" x14ac:dyDescent="0.25">
      <c r="A384" s="22" t="s">
        <v>128</v>
      </c>
      <c r="B384" s="19" t="s">
        <v>24</v>
      </c>
      <c r="C384" s="5">
        <v>11.23</v>
      </c>
      <c r="D384" s="53">
        <v>0</v>
      </c>
      <c r="E384" s="70">
        <v>1</v>
      </c>
    </row>
    <row r="385" spans="1:5" x14ac:dyDescent="0.25">
      <c r="A385" s="22" t="s">
        <v>129</v>
      </c>
      <c r="B385" s="19" t="s">
        <v>24</v>
      </c>
      <c r="C385" s="5">
        <v>10.08</v>
      </c>
      <c r="D385" s="53">
        <v>0</v>
      </c>
      <c r="E385" s="70">
        <v>1</v>
      </c>
    </row>
    <row r="386" spans="1:5" x14ac:dyDescent="0.25">
      <c r="A386" s="22" t="s">
        <v>130</v>
      </c>
      <c r="B386" s="19" t="s">
        <v>24</v>
      </c>
      <c r="C386" s="5">
        <v>11.23</v>
      </c>
      <c r="D386" s="53">
        <v>0</v>
      </c>
      <c r="E386" s="70">
        <v>1</v>
      </c>
    </row>
    <row r="387" spans="1:5" x14ac:dyDescent="0.25">
      <c r="A387" s="22" t="s">
        <v>131</v>
      </c>
      <c r="B387" s="19" t="s">
        <v>24</v>
      </c>
      <c r="C387" s="5">
        <v>10.08</v>
      </c>
      <c r="D387" s="53">
        <v>0</v>
      </c>
      <c r="E387" s="70">
        <v>1</v>
      </c>
    </row>
    <row r="388" spans="1:5" x14ac:dyDescent="0.25">
      <c r="A388" s="22" t="s">
        <v>132</v>
      </c>
      <c r="B388" s="19" t="s">
        <v>24</v>
      </c>
      <c r="C388" s="5">
        <v>11.23</v>
      </c>
      <c r="D388" s="53">
        <v>0</v>
      </c>
      <c r="E388" s="70">
        <v>1</v>
      </c>
    </row>
    <row r="389" spans="1:5" x14ac:dyDescent="0.25">
      <c r="A389" s="22" t="s">
        <v>133</v>
      </c>
      <c r="B389" s="19" t="s">
        <v>24</v>
      </c>
      <c r="C389" s="5">
        <v>10.08</v>
      </c>
      <c r="D389" s="53">
        <v>0</v>
      </c>
      <c r="E389" s="70">
        <v>1</v>
      </c>
    </row>
    <row r="390" spans="1:5" x14ac:dyDescent="0.25">
      <c r="A390" s="22" t="s">
        <v>134</v>
      </c>
      <c r="B390" s="19" t="s">
        <v>24</v>
      </c>
      <c r="C390" s="5">
        <v>11.23</v>
      </c>
      <c r="D390" s="53">
        <v>0</v>
      </c>
      <c r="E390" s="70">
        <v>1</v>
      </c>
    </row>
    <row r="391" spans="1:5" x14ac:dyDescent="0.25">
      <c r="A391" s="22" t="s">
        <v>135</v>
      </c>
      <c r="B391" s="19" t="s">
        <v>24</v>
      </c>
      <c r="C391" s="5">
        <v>2.52</v>
      </c>
      <c r="D391" s="53">
        <v>0</v>
      </c>
      <c r="E391" s="70">
        <v>1</v>
      </c>
    </row>
    <row r="392" spans="1:5" x14ac:dyDescent="0.25">
      <c r="A392" s="22" t="s">
        <v>136</v>
      </c>
      <c r="B392" s="19" t="s">
        <v>24</v>
      </c>
      <c r="C392" s="5">
        <v>1.84</v>
      </c>
      <c r="D392" s="53">
        <v>0</v>
      </c>
      <c r="E392" s="70">
        <v>1</v>
      </c>
    </row>
    <row r="393" spans="1:5" x14ac:dyDescent="0.25">
      <c r="A393" s="22" t="s">
        <v>137</v>
      </c>
      <c r="B393" s="19" t="s">
        <v>24</v>
      </c>
      <c r="C393" s="5">
        <v>8.24</v>
      </c>
      <c r="D393" s="53">
        <v>0</v>
      </c>
      <c r="E393" s="70">
        <v>1</v>
      </c>
    </row>
    <row r="394" spans="1:5" x14ac:dyDescent="0.25">
      <c r="A394" s="22" t="s">
        <v>138</v>
      </c>
      <c r="B394" s="19" t="s">
        <v>24</v>
      </c>
      <c r="C394" s="5">
        <v>2.52</v>
      </c>
      <c r="D394" s="53">
        <v>0</v>
      </c>
      <c r="E394" s="70">
        <v>1</v>
      </c>
    </row>
    <row r="395" spans="1:5" x14ac:dyDescent="0.25">
      <c r="A395" s="22" t="s">
        <v>139</v>
      </c>
      <c r="B395" s="19" t="s">
        <v>24</v>
      </c>
      <c r="C395" s="5">
        <v>10</v>
      </c>
      <c r="D395" s="53">
        <v>0</v>
      </c>
      <c r="E395" s="70">
        <v>0</v>
      </c>
    </row>
    <row r="396" spans="1:5" x14ac:dyDescent="0.25">
      <c r="A396" s="22" t="s">
        <v>140</v>
      </c>
      <c r="B396" s="19" t="s">
        <v>24</v>
      </c>
      <c r="C396" s="5">
        <v>10</v>
      </c>
      <c r="D396" s="53">
        <v>0</v>
      </c>
      <c r="E396" s="70">
        <v>0</v>
      </c>
    </row>
    <row r="397" spans="1:5" x14ac:dyDescent="0.25">
      <c r="A397" s="22" t="s">
        <v>141</v>
      </c>
      <c r="B397" s="19" t="s">
        <v>24</v>
      </c>
      <c r="C397" s="5">
        <v>3.5</v>
      </c>
      <c r="D397" s="53">
        <v>0</v>
      </c>
      <c r="E397" s="70">
        <v>0</v>
      </c>
    </row>
    <row r="398" spans="1:5" x14ac:dyDescent="0.25">
      <c r="A398" s="22" t="s">
        <v>142</v>
      </c>
      <c r="B398" s="19" t="s">
        <v>24</v>
      </c>
      <c r="C398" s="5">
        <v>45</v>
      </c>
      <c r="D398" s="53">
        <v>0</v>
      </c>
      <c r="E398" s="70">
        <v>0</v>
      </c>
    </row>
    <row r="399" spans="1:5" x14ac:dyDescent="0.25">
      <c r="A399" s="22" t="s">
        <v>143</v>
      </c>
      <c r="B399" s="19" t="s">
        <v>24</v>
      </c>
      <c r="C399" s="5">
        <v>11.23</v>
      </c>
      <c r="D399" s="53">
        <v>0</v>
      </c>
      <c r="E399" s="70">
        <v>1</v>
      </c>
    </row>
    <row r="400" spans="1:5" x14ac:dyDescent="0.25">
      <c r="A400" s="22" t="s">
        <v>144</v>
      </c>
      <c r="B400" s="19" t="s">
        <v>24</v>
      </c>
      <c r="C400" s="5">
        <v>11.23</v>
      </c>
      <c r="D400" s="53">
        <v>0</v>
      </c>
      <c r="E400" s="70">
        <v>1</v>
      </c>
    </row>
    <row r="401" spans="1:5" x14ac:dyDescent="0.25">
      <c r="A401" s="22" t="s">
        <v>145</v>
      </c>
      <c r="B401" s="19" t="s">
        <v>24</v>
      </c>
      <c r="C401" s="5">
        <v>11.23</v>
      </c>
      <c r="D401" s="53">
        <v>0</v>
      </c>
      <c r="E401" s="70">
        <v>1</v>
      </c>
    </row>
    <row r="402" spans="1:5" x14ac:dyDescent="0.25">
      <c r="A402" s="22" t="s">
        <v>146</v>
      </c>
      <c r="B402" s="19" t="s">
        <v>24</v>
      </c>
      <c r="C402" s="5">
        <v>11.23</v>
      </c>
      <c r="D402" s="53">
        <v>0</v>
      </c>
      <c r="E402" s="70">
        <v>1</v>
      </c>
    </row>
    <row r="403" spans="1:5" x14ac:dyDescent="0.25">
      <c r="A403" s="22" t="s">
        <v>147</v>
      </c>
      <c r="B403" s="19" t="s">
        <v>24</v>
      </c>
      <c r="C403" s="5">
        <v>11.23</v>
      </c>
      <c r="D403" s="53">
        <v>0</v>
      </c>
      <c r="E403" s="70">
        <v>1</v>
      </c>
    </row>
    <row r="404" spans="1:5" x14ac:dyDescent="0.25">
      <c r="A404" s="22" t="s">
        <v>1236</v>
      </c>
      <c r="B404" s="19" t="s">
        <v>24</v>
      </c>
      <c r="C404" s="5">
        <v>11.23</v>
      </c>
      <c r="D404" s="53">
        <v>0</v>
      </c>
      <c r="E404" s="70">
        <v>1</v>
      </c>
    </row>
    <row r="405" spans="1:5" x14ac:dyDescent="0.25">
      <c r="A405" s="22" t="s">
        <v>1237</v>
      </c>
      <c r="B405" s="19" t="s">
        <v>24</v>
      </c>
      <c r="C405" s="5">
        <v>11.23</v>
      </c>
      <c r="D405" s="53">
        <v>0</v>
      </c>
      <c r="E405" s="70">
        <v>1</v>
      </c>
    </row>
    <row r="406" spans="1:5" x14ac:dyDescent="0.25">
      <c r="A406" s="22" t="s">
        <v>1281</v>
      </c>
      <c r="B406" s="19" t="s">
        <v>24</v>
      </c>
      <c r="C406" s="5">
        <v>11.23</v>
      </c>
      <c r="D406" s="53">
        <v>0</v>
      </c>
      <c r="E406" s="70">
        <v>1</v>
      </c>
    </row>
    <row r="407" spans="1:5" x14ac:dyDescent="0.25">
      <c r="A407" s="22" t="s">
        <v>1302</v>
      </c>
      <c r="B407" s="19" t="s">
        <v>24</v>
      </c>
      <c r="C407" s="5">
        <v>11.23</v>
      </c>
      <c r="D407" s="53">
        <v>0</v>
      </c>
      <c r="E407" s="70">
        <v>1</v>
      </c>
    </row>
    <row r="408" spans="1:5" x14ac:dyDescent="0.25">
      <c r="A408" s="22" t="s">
        <v>1303</v>
      </c>
      <c r="B408" s="19" t="s">
        <v>24</v>
      </c>
      <c r="C408" s="5">
        <v>11.23</v>
      </c>
      <c r="D408" s="53">
        <v>0</v>
      </c>
      <c r="E408" s="70">
        <v>1</v>
      </c>
    </row>
    <row r="409" spans="1:5" x14ac:dyDescent="0.25">
      <c r="A409" s="22" t="s">
        <v>1308</v>
      </c>
      <c r="B409" s="19" t="s">
        <v>24</v>
      </c>
      <c r="C409" s="5">
        <v>2</v>
      </c>
      <c r="D409" s="53">
        <v>0</v>
      </c>
      <c r="E409" s="70">
        <v>0</v>
      </c>
    </row>
    <row r="410" spans="1:5" x14ac:dyDescent="0.25">
      <c r="A410" s="19" t="s">
        <v>804</v>
      </c>
      <c r="C410" s="5">
        <v>13.3</v>
      </c>
      <c r="D410" s="53">
        <v>0</v>
      </c>
      <c r="E410" s="70">
        <v>1</v>
      </c>
    </row>
    <row r="411" spans="1:5" x14ac:dyDescent="0.25">
      <c r="A411" s="20" t="s">
        <v>1401</v>
      </c>
      <c r="C411" s="5">
        <v>13.3</v>
      </c>
      <c r="D411" s="53">
        <v>0</v>
      </c>
      <c r="E411" s="70">
        <v>1</v>
      </c>
    </row>
    <row r="412" spans="1:5" x14ac:dyDescent="0.25">
      <c r="A412" s="21" t="s">
        <v>6</v>
      </c>
      <c r="C412" s="5">
        <v>13.3</v>
      </c>
      <c r="D412" s="53">
        <v>0</v>
      </c>
      <c r="E412" s="70">
        <v>1</v>
      </c>
    </row>
    <row r="413" spans="1:5" x14ac:dyDescent="0.25">
      <c r="A413" s="22" t="s">
        <v>148</v>
      </c>
      <c r="B413" s="19" t="s">
        <v>24</v>
      </c>
      <c r="C413" s="5">
        <v>13.3</v>
      </c>
      <c r="D413" s="53">
        <v>0</v>
      </c>
      <c r="E413" s="70">
        <v>1</v>
      </c>
    </row>
    <row r="414" spans="1:5" x14ac:dyDescent="0.25">
      <c r="A414" s="19" t="s">
        <v>862</v>
      </c>
      <c r="C414" s="5">
        <v>42.620000000000005</v>
      </c>
      <c r="D414" s="53">
        <v>0</v>
      </c>
      <c r="E414" s="70">
        <v>1</v>
      </c>
    </row>
    <row r="415" spans="1:5" x14ac:dyDescent="0.25">
      <c r="A415" s="20" t="s">
        <v>1402</v>
      </c>
      <c r="C415" s="5">
        <v>42.620000000000005</v>
      </c>
      <c r="D415" s="53">
        <v>0</v>
      </c>
      <c r="E415" s="70">
        <v>1</v>
      </c>
    </row>
    <row r="416" spans="1:5" x14ac:dyDescent="0.25">
      <c r="A416" s="21" t="s">
        <v>6</v>
      </c>
      <c r="C416" s="5">
        <v>42.620000000000005</v>
      </c>
      <c r="D416" s="53">
        <v>0</v>
      </c>
      <c r="E416" s="70">
        <v>1</v>
      </c>
    </row>
    <row r="417" spans="1:5" x14ac:dyDescent="0.25">
      <c r="A417" s="22" t="s">
        <v>187</v>
      </c>
      <c r="B417" s="19" t="s">
        <v>24</v>
      </c>
      <c r="C417" s="5">
        <v>42.620000000000005</v>
      </c>
      <c r="D417" s="53">
        <v>0</v>
      </c>
      <c r="E417" s="70">
        <v>1</v>
      </c>
    </row>
    <row r="418" spans="1:5" x14ac:dyDescent="0.25">
      <c r="A418" s="19" t="s">
        <v>1169</v>
      </c>
      <c r="C418" s="5">
        <v>116.60999999999999</v>
      </c>
      <c r="D418" s="53">
        <v>59.800000000000004</v>
      </c>
      <c r="E418" s="70">
        <v>7</v>
      </c>
    </row>
    <row r="419" spans="1:5" x14ac:dyDescent="0.25">
      <c r="A419" s="20" t="s">
        <v>1403</v>
      </c>
      <c r="C419" s="5">
        <v>5.73</v>
      </c>
      <c r="D419" s="53">
        <v>0</v>
      </c>
      <c r="E419" s="70">
        <v>2</v>
      </c>
    </row>
    <row r="420" spans="1:5" x14ac:dyDescent="0.25">
      <c r="A420" s="21" t="s">
        <v>30</v>
      </c>
      <c r="C420" s="5">
        <v>5.73</v>
      </c>
      <c r="D420" s="53">
        <v>0</v>
      </c>
      <c r="E420" s="70">
        <v>2</v>
      </c>
    </row>
    <row r="421" spans="1:5" x14ac:dyDescent="0.25">
      <c r="A421" s="22" t="s">
        <v>77</v>
      </c>
      <c r="B421" s="19" t="s">
        <v>24</v>
      </c>
      <c r="C421" s="5">
        <v>2.9800000000000004</v>
      </c>
      <c r="D421" s="53">
        <v>0</v>
      </c>
      <c r="E421" s="70">
        <v>1</v>
      </c>
    </row>
    <row r="422" spans="1:5" x14ac:dyDescent="0.25">
      <c r="A422" s="22" t="s">
        <v>78</v>
      </c>
      <c r="B422" s="19" t="s">
        <v>24</v>
      </c>
      <c r="C422" s="5">
        <v>2.75</v>
      </c>
      <c r="D422" s="53">
        <v>0</v>
      </c>
      <c r="E422" s="70">
        <v>1</v>
      </c>
    </row>
    <row r="423" spans="1:5" x14ac:dyDescent="0.25">
      <c r="A423" s="20" t="s">
        <v>1340</v>
      </c>
      <c r="C423" s="5">
        <v>110.88</v>
      </c>
      <c r="D423" s="53">
        <v>59.800000000000004</v>
      </c>
      <c r="E423" s="70">
        <v>5</v>
      </c>
    </row>
    <row r="424" spans="1:5" x14ac:dyDescent="0.25">
      <c r="A424" s="21" t="s">
        <v>6</v>
      </c>
      <c r="C424" s="5">
        <v>110.88</v>
      </c>
      <c r="D424" s="53">
        <v>59.800000000000004</v>
      </c>
      <c r="E424" s="70">
        <v>5</v>
      </c>
    </row>
    <row r="425" spans="1:5" x14ac:dyDescent="0.25">
      <c r="A425" s="22" t="s">
        <v>1326</v>
      </c>
      <c r="B425" s="19" t="s">
        <v>24</v>
      </c>
      <c r="C425" s="5">
        <v>20.200000000000003</v>
      </c>
      <c r="D425" s="53">
        <v>59.800000000000004</v>
      </c>
      <c r="E425" s="70">
        <v>1</v>
      </c>
    </row>
    <row r="426" spans="1:5" x14ac:dyDescent="0.25">
      <c r="A426" s="22" t="s">
        <v>1328</v>
      </c>
      <c r="B426" s="19" t="s">
        <v>24</v>
      </c>
      <c r="C426" s="5">
        <v>26.6</v>
      </c>
      <c r="D426" s="53">
        <v>0</v>
      </c>
      <c r="E426" s="70">
        <v>1</v>
      </c>
    </row>
    <row r="427" spans="1:5" x14ac:dyDescent="0.25">
      <c r="A427" s="22" t="s">
        <v>1329</v>
      </c>
      <c r="B427" s="19" t="s">
        <v>24</v>
      </c>
      <c r="C427" s="5">
        <v>26.6</v>
      </c>
      <c r="D427" s="53">
        <v>0</v>
      </c>
      <c r="E427" s="70">
        <v>1</v>
      </c>
    </row>
    <row r="428" spans="1:5" x14ac:dyDescent="0.25">
      <c r="A428" s="22" t="s">
        <v>1330</v>
      </c>
      <c r="B428" s="19" t="s">
        <v>24</v>
      </c>
      <c r="C428" s="5">
        <v>15.600000000000001</v>
      </c>
      <c r="D428" s="53">
        <v>0</v>
      </c>
      <c r="E428" s="70">
        <v>1</v>
      </c>
    </row>
    <row r="429" spans="1:5" x14ac:dyDescent="0.25">
      <c r="A429" s="22" t="s">
        <v>1332</v>
      </c>
      <c r="B429" s="19" t="s">
        <v>24</v>
      </c>
      <c r="C429" s="5">
        <v>7.8000000000000007</v>
      </c>
      <c r="D429" s="53">
        <v>0</v>
      </c>
      <c r="E429" s="70">
        <v>1</v>
      </c>
    </row>
    <row r="430" spans="1:5" x14ac:dyDescent="0.25">
      <c r="A430" s="22" t="s">
        <v>1341</v>
      </c>
      <c r="B430" s="19" t="s">
        <v>24</v>
      </c>
      <c r="C430" s="5">
        <v>14.08</v>
      </c>
      <c r="D430" s="53">
        <v>0</v>
      </c>
      <c r="E430" s="70">
        <v>0</v>
      </c>
    </row>
    <row r="431" spans="1:5" x14ac:dyDescent="0.25">
      <c r="A431" s="19" t="s">
        <v>913</v>
      </c>
      <c r="C431" s="5">
        <v>30.8</v>
      </c>
      <c r="D431" s="53">
        <v>297.49</v>
      </c>
      <c r="E431" s="70">
        <v>1</v>
      </c>
    </row>
    <row r="432" spans="1:5" x14ac:dyDescent="0.25">
      <c r="A432" s="20" t="s">
        <v>1404</v>
      </c>
      <c r="C432" s="5">
        <v>30.8</v>
      </c>
      <c r="D432" s="53">
        <v>297.49</v>
      </c>
      <c r="E432" s="70">
        <v>1</v>
      </c>
    </row>
    <row r="433" spans="1:5" x14ac:dyDescent="0.25">
      <c r="A433" s="21" t="s">
        <v>65</v>
      </c>
      <c r="C433" s="5">
        <v>30.8</v>
      </c>
      <c r="D433" s="53">
        <v>297.49</v>
      </c>
      <c r="E433" s="70">
        <v>1</v>
      </c>
    </row>
    <row r="434" spans="1:5" x14ac:dyDescent="0.25">
      <c r="A434" s="22" t="s">
        <v>190</v>
      </c>
      <c r="B434" s="19" t="s">
        <v>24</v>
      </c>
      <c r="C434" s="5">
        <v>30.8</v>
      </c>
      <c r="D434" s="53">
        <v>297.49</v>
      </c>
      <c r="E434" s="70">
        <v>1</v>
      </c>
    </row>
    <row r="435" spans="1:5" x14ac:dyDescent="0.25">
      <c r="A435" s="19" t="s">
        <v>745</v>
      </c>
      <c r="C435" s="5">
        <v>6.8800000000000008</v>
      </c>
      <c r="D435" s="53">
        <v>0</v>
      </c>
      <c r="E435" s="70">
        <v>1</v>
      </c>
    </row>
    <row r="436" spans="1:5" x14ac:dyDescent="0.25">
      <c r="A436" s="20" t="s">
        <v>1405</v>
      </c>
      <c r="C436" s="5">
        <v>6.8800000000000008</v>
      </c>
      <c r="D436" s="53">
        <v>0</v>
      </c>
      <c r="E436" s="70">
        <v>1</v>
      </c>
    </row>
    <row r="437" spans="1:5" x14ac:dyDescent="0.25">
      <c r="A437" s="21" t="s">
        <v>75</v>
      </c>
      <c r="C437" s="5">
        <v>6.8800000000000008</v>
      </c>
      <c r="D437" s="53">
        <v>0</v>
      </c>
      <c r="E437" s="70">
        <v>1</v>
      </c>
    </row>
    <row r="438" spans="1:5" x14ac:dyDescent="0.25">
      <c r="A438" s="22" t="s">
        <v>1225</v>
      </c>
      <c r="B438" s="19" t="s">
        <v>24</v>
      </c>
      <c r="C438" s="5">
        <v>6.8800000000000008</v>
      </c>
      <c r="D438" s="53">
        <v>0</v>
      </c>
      <c r="E438" s="70">
        <v>1</v>
      </c>
    </row>
    <row r="439" spans="1:5" x14ac:dyDescent="0.25">
      <c r="A439" s="19" t="s">
        <v>911</v>
      </c>
      <c r="C439" s="5">
        <v>4.0400000000000009</v>
      </c>
      <c r="D439" s="53">
        <v>0</v>
      </c>
      <c r="E439" s="70">
        <v>0.1</v>
      </c>
    </row>
    <row r="440" spans="1:5" x14ac:dyDescent="0.25">
      <c r="A440" s="20" t="s">
        <v>1406</v>
      </c>
      <c r="C440" s="5">
        <v>4.0400000000000009</v>
      </c>
      <c r="D440" s="53">
        <v>0</v>
      </c>
      <c r="E440" s="70">
        <v>0.1</v>
      </c>
    </row>
    <row r="441" spans="1:5" x14ac:dyDescent="0.25">
      <c r="A441" s="21" t="s">
        <v>75</v>
      </c>
      <c r="C441" s="5">
        <v>4.0400000000000009</v>
      </c>
      <c r="D441" s="53">
        <v>0</v>
      </c>
      <c r="E441" s="70">
        <v>0.1</v>
      </c>
    </row>
    <row r="442" spans="1:5" x14ac:dyDescent="0.25">
      <c r="A442" s="22" t="s">
        <v>202</v>
      </c>
      <c r="B442" s="19" t="s">
        <v>24</v>
      </c>
      <c r="C442" s="5">
        <v>4.0400000000000009</v>
      </c>
      <c r="D442" s="53">
        <v>0</v>
      </c>
      <c r="E442" s="70">
        <v>0.1</v>
      </c>
    </row>
    <row r="443" spans="1:5" x14ac:dyDescent="0.25">
      <c r="A443" s="19" t="s">
        <v>260</v>
      </c>
      <c r="C443" s="5">
        <v>3230.5099999999989</v>
      </c>
      <c r="D443" s="53">
        <v>2167.66</v>
      </c>
      <c r="E443" s="70">
        <v>180.00000000000003</v>
      </c>
    </row>
  </sheetData>
  <pageMargins left="0.7" right="0.7" top="0.75" bottom="0.75" header="0.3" footer="0.3"/>
  <pageSetup paperSize="9" scale="72" fitToHeight="0" orientation="portrait" horizontalDpi="300" verticalDpi="300" r:id="rId2"/>
  <headerFooter>
    <oddHeader>&amp;C2020-02 Fablab</oddHeader>
  </headerFooter>
  <drawing r:id="rId3"/>
  <extLst>
    <ext xmlns:x14="http://schemas.microsoft.com/office/spreadsheetml/2009/9/main" uri="{A8765BA9-456A-4dab-B4F3-ACF838C121DE}">
      <x14:slicerList>
        <x14:slicer r:id="rId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tabColor rgb="FF92D050"/>
    <pageSetUpPr fitToPage="1"/>
  </sheetPr>
  <dimension ref="A3:E88"/>
  <sheetViews>
    <sheetView tabSelected="1" topLeftCell="A64" zoomScale="85" zoomScaleNormal="85" workbookViewId="0">
      <selection activeCell="S84" sqref="S84"/>
    </sheetView>
  </sheetViews>
  <sheetFormatPr baseColWidth="10" defaultColWidth="11.42578125" defaultRowHeight="15" outlineLevelCol="1" x14ac:dyDescent="0.25"/>
  <cols>
    <col min="1" max="1" width="81" bestFit="1" customWidth="1"/>
    <col min="2" max="2" width="59.140625" hidden="1" customWidth="1" outlineLevel="1"/>
    <col min="3" max="3" width="18.85546875" customWidth="1" collapsed="1"/>
  </cols>
  <sheetData>
    <row r="3" spans="1:5" x14ac:dyDescent="0.25">
      <c r="A3" s="18" t="s">
        <v>0</v>
      </c>
      <c r="B3" s="18" t="s">
        <v>1</v>
      </c>
      <c r="C3" s="61" t="s">
        <v>2</v>
      </c>
      <c r="D3" s="61" t="s">
        <v>3</v>
      </c>
      <c r="E3" s="61" t="s">
        <v>4</v>
      </c>
    </row>
    <row r="4" spans="1:5" x14ac:dyDescent="0.25">
      <c r="A4" s="19" t="s">
        <v>267</v>
      </c>
      <c r="C4" s="53">
        <v>2347.7775910706364</v>
      </c>
      <c r="D4" s="53">
        <v>0</v>
      </c>
      <c r="E4" s="70">
        <v>48</v>
      </c>
    </row>
    <row r="5" spans="1:5" x14ac:dyDescent="0.25">
      <c r="A5" s="20" t="s">
        <v>1400</v>
      </c>
      <c r="C5" s="53">
        <v>2347.7775910706364</v>
      </c>
      <c r="D5" s="53">
        <v>0</v>
      </c>
      <c r="E5" s="70">
        <v>48</v>
      </c>
    </row>
    <row r="6" spans="1:5" x14ac:dyDescent="0.25">
      <c r="A6" s="21" t="s">
        <v>9</v>
      </c>
      <c r="C6" s="53">
        <v>532.53630280064453</v>
      </c>
      <c r="D6" s="53">
        <v>0</v>
      </c>
      <c r="E6" s="70">
        <v>13</v>
      </c>
    </row>
    <row r="7" spans="1:5" x14ac:dyDescent="0.25">
      <c r="A7" s="22" t="s">
        <v>79</v>
      </c>
      <c r="B7" s="19" t="s">
        <v>24</v>
      </c>
      <c r="C7" s="53">
        <v>150.47850057484828</v>
      </c>
      <c r="D7" s="53">
        <v>0</v>
      </c>
      <c r="E7" s="70">
        <v>1</v>
      </c>
    </row>
    <row r="8" spans="1:5" x14ac:dyDescent="0.25">
      <c r="A8" s="22" t="s">
        <v>80</v>
      </c>
      <c r="B8" s="19" t="s">
        <v>24</v>
      </c>
      <c r="C8" s="53">
        <v>34.620213323277447</v>
      </c>
      <c r="D8" s="53">
        <v>0</v>
      </c>
      <c r="E8" s="70">
        <v>1</v>
      </c>
    </row>
    <row r="9" spans="1:5" x14ac:dyDescent="0.25">
      <c r="A9" s="22" t="s">
        <v>81</v>
      </c>
      <c r="B9" s="19" t="s">
        <v>24</v>
      </c>
      <c r="C9" s="53">
        <v>99.962090967528297</v>
      </c>
      <c r="D9" s="53">
        <v>0</v>
      </c>
      <c r="E9" s="70">
        <v>1</v>
      </c>
    </row>
    <row r="10" spans="1:5" x14ac:dyDescent="0.25">
      <c r="A10" s="22" t="s">
        <v>82</v>
      </c>
      <c r="B10" s="19" t="s">
        <v>24</v>
      </c>
      <c r="C10" s="53">
        <v>85.136622930597426</v>
      </c>
      <c r="D10" s="53">
        <v>0</v>
      </c>
      <c r="E10" s="70">
        <v>1</v>
      </c>
    </row>
    <row r="11" spans="1:5" x14ac:dyDescent="0.25">
      <c r="A11" s="22" t="s">
        <v>83</v>
      </c>
      <c r="B11" s="19" t="s">
        <v>24</v>
      </c>
      <c r="C11" s="53">
        <v>25.148386521904946</v>
      </c>
      <c r="D11" s="53">
        <v>0</v>
      </c>
      <c r="E11" s="70">
        <v>1</v>
      </c>
    </row>
    <row r="12" spans="1:5" x14ac:dyDescent="0.25">
      <c r="A12" s="22" t="s">
        <v>84</v>
      </c>
      <c r="B12" s="19" t="s">
        <v>24</v>
      </c>
      <c r="C12" s="53">
        <v>25.148386521904946</v>
      </c>
      <c r="D12" s="53">
        <v>0</v>
      </c>
      <c r="E12" s="70">
        <v>1</v>
      </c>
    </row>
    <row r="13" spans="1:5" x14ac:dyDescent="0.25">
      <c r="A13" s="22" t="s">
        <v>85</v>
      </c>
      <c r="B13" s="19" t="s">
        <v>24</v>
      </c>
      <c r="C13" s="53">
        <v>15.100013741318474</v>
      </c>
      <c r="D13" s="53">
        <v>0</v>
      </c>
      <c r="E13" s="70">
        <v>1</v>
      </c>
    </row>
    <row r="14" spans="1:5" x14ac:dyDescent="0.25">
      <c r="A14" s="22" t="s">
        <v>86</v>
      </c>
      <c r="B14" s="19" t="s">
        <v>24</v>
      </c>
      <c r="C14" s="53">
        <v>6.9185517505677367</v>
      </c>
      <c r="D14" s="53">
        <v>0</v>
      </c>
      <c r="E14" s="70">
        <v>1</v>
      </c>
    </row>
    <row r="15" spans="1:5" x14ac:dyDescent="0.25">
      <c r="A15" s="22" t="s">
        <v>87</v>
      </c>
      <c r="B15" s="19" t="s">
        <v>24</v>
      </c>
      <c r="C15" s="53">
        <v>6.9185517505677367</v>
      </c>
      <c r="D15" s="53">
        <v>0</v>
      </c>
      <c r="E15" s="70">
        <v>1</v>
      </c>
    </row>
    <row r="16" spans="1:5" x14ac:dyDescent="0.25">
      <c r="A16" s="22" t="s">
        <v>88</v>
      </c>
      <c r="B16" s="19" t="s">
        <v>24</v>
      </c>
      <c r="C16" s="53">
        <v>6.9185517505677367</v>
      </c>
      <c r="D16" s="53">
        <v>0</v>
      </c>
      <c r="E16" s="70">
        <v>1</v>
      </c>
    </row>
    <row r="17" spans="1:5" x14ac:dyDescent="0.25">
      <c r="A17" s="22" t="s">
        <v>89</v>
      </c>
      <c r="B17" s="19" t="s">
        <v>24</v>
      </c>
      <c r="C17" s="53">
        <v>32.725847963002948</v>
      </c>
      <c r="D17" s="53">
        <v>0</v>
      </c>
      <c r="E17" s="70">
        <v>1</v>
      </c>
    </row>
    <row r="18" spans="1:5" x14ac:dyDescent="0.25">
      <c r="A18" s="22" t="s">
        <v>90</v>
      </c>
      <c r="B18" s="19" t="s">
        <v>24</v>
      </c>
      <c r="C18" s="53">
        <v>30.200027482636948</v>
      </c>
      <c r="D18" s="53">
        <v>0</v>
      </c>
      <c r="E18" s="70">
        <v>1</v>
      </c>
    </row>
    <row r="19" spans="1:5" x14ac:dyDescent="0.25">
      <c r="A19" s="22" t="s">
        <v>1278</v>
      </c>
      <c r="B19" s="19" t="s">
        <v>24</v>
      </c>
      <c r="C19" s="53">
        <v>13.260557521921497</v>
      </c>
      <c r="D19" s="53">
        <v>0</v>
      </c>
      <c r="E19" s="70">
        <v>1</v>
      </c>
    </row>
    <row r="20" spans="1:5" x14ac:dyDescent="0.25">
      <c r="A20" s="21" t="s">
        <v>30</v>
      </c>
      <c r="C20" s="53">
        <v>979.33198212103866</v>
      </c>
      <c r="D20" s="53">
        <v>0</v>
      </c>
      <c r="E20" s="70">
        <v>11</v>
      </c>
    </row>
    <row r="21" spans="1:5" x14ac:dyDescent="0.25">
      <c r="A21" s="22" t="s">
        <v>91</v>
      </c>
      <c r="B21" s="19" t="s">
        <v>24</v>
      </c>
      <c r="C21" s="53">
        <v>27.674207002270947</v>
      </c>
      <c r="D21" s="53">
        <v>0</v>
      </c>
      <c r="E21" s="70">
        <v>1</v>
      </c>
    </row>
    <row r="22" spans="1:5" x14ac:dyDescent="0.25">
      <c r="A22" s="22" t="s">
        <v>92</v>
      </c>
      <c r="B22" s="19" t="s">
        <v>24</v>
      </c>
      <c r="C22" s="53">
        <v>27.674207002270947</v>
      </c>
      <c r="D22" s="53">
        <v>0</v>
      </c>
      <c r="E22" s="70">
        <v>1</v>
      </c>
    </row>
    <row r="23" spans="1:5" x14ac:dyDescent="0.25">
      <c r="A23" s="22" t="s">
        <v>93</v>
      </c>
      <c r="B23" s="19" t="s">
        <v>24</v>
      </c>
      <c r="C23" s="53">
        <v>10.103281921463998</v>
      </c>
      <c r="D23" s="53">
        <v>0</v>
      </c>
      <c r="E23" s="70">
        <v>1</v>
      </c>
    </row>
    <row r="24" spans="1:5" x14ac:dyDescent="0.25">
      <c r="A24" s="22" t="s">
        <v>94</v>
      </c>
      <c r="B24" s="19" t="s">
        <v>24</v>
      </c>
      <c r="C24" s="53">
        <v>27.674207002270947</v>
      </c>
      <c r="D24" s="53">
        <v>0</v>
      </c>
      <c r="E24" s="70">
        <v>1</v>
      </c>
    </row>
    <row r="25" spans="1:5" x14ac:dyDescent="0.25">
      <c r="A25" s="22" t="s">
        <v>95</v>
      </c>
      <c r="B25" s="19" t="s">
        <v>24</v>
      </c>
      <c r="C25" s="53">
        <v>20.096745561172952</v>
      </c>
      <c r="D25" s="53">
        <v>0</v>
      </c>
      <c r="E25" s="70">
        <v>1</v>
      </c>
    </row>
    <row r="26" spans="1:5" x14ac:dyDescent="0.25">
      <c r="A26" s="22" t="s">
        <v>96</v>
      </c>
      <c r="B26" s="19" t="s">
        <v>24</v>
      </c>
      <c r="C26" s="53">
        <v>22.622566041538949</v>
      </c>
      <c r="D26" s="53">
        <v>0</v>
      </c>
      <c r="E26" s="70">
        <v>1</v>
      </c>
    </row>
    <row r="27" spans="1:5" x14ac:dyDescent="0.25">
      <c r="A27" s="22" t="s">
        <v>97</v>
      </c>
      <c r="B27" s="19" t="s">
        <v>24</v>
      </c>
      <c r="C27" s="53">
        <v>6.9185517505677367</v>
      </c>
      <c r="D27" s="53">
        <v>0</v>
      </c>
      <c r="E27" s="70">
        <v>1</v>
      </c>
    </row>
    <row r="28" spans="1:5" x14ac:dyDescent="0.25">
      <c r="A28" s="22" t="s">
        <v>98</v>
      </c>
      <c r="B28" s="19" t="s">
        <v>24</v>
      </c>
      <c r="C28" s="53">
        <v>6.9185517505677367</v>
      </c>
      <c r="D28" s="53">
        <v>0</v>
      </c>
      <c r="E28" s="70">
        <v>1</v>
      </c>
    </row>
    <row r="29" spans="1:5" x14ac:dyDescent="0.25">
      <c r="A29" s="22" t="s">
        <v>99</v>
      </c>
      <c r="B29" s="19" t="s">
        <v>24</v>
      </c>
      <c r="C29" s="53">
        <v>27.454570438760861</v>
      </c>
      <c r="D29" s="53">
        <v>0</v>
      </c>
      <c r="E29" s="70">
        <v>0</v>
      </c>
    </row>
    <row r="30" spans="1:5" x14ac:dyDescent="0.25">
      <c r="A30" s="22" t="s">
        <v>100</v>
      </c>
      <c r="B30" s="19" t="s">
        <v>24</v>
      </c>
      <c r="C30" s="53">
        <v>27.454570438760861</v>
      </c>
      <c r="D30" s="53">
        <v>0</v>
      </c>
      <c r="E30" s="70">
        <v>0</v>
      </c>
    </row>
    <row r="31" spans="1:5" x14ac:dyDescent="0.25">
      <c r="A31" s="22" t="s">
        <v>101</v>
      </c>
      <c r="B31" s="19" t="s">
        <v>24</v>
      </c>
      <c r="C31" s="53">
        <v>27.454570438760861</v>
      </c>
      <c r="D31" s="53">
        <v>0</v>
      </c>
      <c r="E31" s="70">
        <v>0</v>
      </c>
    </row>
    <row r="32" spans="1:5" x14ac:dyDescent="0.25">
      <c r="A32" s="22" t="s">
        <v>102</v>
      </c>
      <c r="B32" s="19" t="s">
        <v>24</v>
      </c>
      <c r="C32" s="53">
        <v>27.454570438760861</v>
      </c>
      <c r="D32" s="53">
        <v>0</v>
      </c>
      <c r="E32" s="70">
        <v>0</v>
      </c>
    </row>
    <row r="33" spans="1:5" x14ac:dyDescent="0.25">
      <c r="A33" s="22" t="s">
        <v>103</v>
      </c>
      <c r="B33" s="19" t="s">
        <v>24</v>
      </c>
      <c r="C33" s="53">
        <v>27.454570438760861</v>
      </c>
      <c r="D33" s="53">
        <v>0</v>
      </c>
      <c r="E33" s="70">
        <v>0</v>
      </c>
    </row>
    <row r="34" spans="1:5" x14ac:dyDescent="0.25">
      <c r="A34" s="22" t="s">
        <v>104</v>
      </c>
      <c r="B34" s="19" t="s">
        <v>24</v>
      </c>
      <c r="C34" s="53">
        <v>27.454570438760861</v>
      </c>
      <c r="D34" s="53">
        <v>0</v>
      </c>
      <c r="E34" s="70">
        <v>0</v>
      </c>
    </row>
    <row r="35" spans="1:5" x14ac:dyDescent="0.25">
      <c r="A35" s="22" t="s">
        <v>105</v>
      </c>
      <c r="B35" s="19" t="s">
        <v>24</v>
      </c>
      <c r="C35" s="53">
        <v>27.454570438760861</v>
      </c>
      <c r="D35" s="53">
        <v>0</v>
      </c>
      <c r="E35" s="70">
        <v>0</v>
      </c>
    </row>
    <row r="36" spans="1:5" x14ac:dyDescent="0.25">
      <c r="A36" s="22" t="s">
        <v>106</v>
      </c>
      <c r="B36" s="19" t="s">
        <v>24</v>
      </c>
      <c r="C36" s="53">
        <v>27.454570438760861</v>
      </c>
      <c r="D36" s="53">
        <v>0</v>
      </c>
      <c r="E36" s="70">
        <v>0</v>
      </c>
    </row>
    <row r="37" spans="1:5" x14ac:dyDescent="0.25">
      <c r="A37" s="22" t="s">
        <v>107</v>
      </c>
      <c r="B37" s="19" t="s">
        <v>24</v>
      </c>
      <c r="C37" s="53">
        <v>27.454570438760861</v>
      </c>
      <c r="D37" s="53">
        <v>0</v>
      </c>
      <c r="E37" s="70">
        <v>0</v>
      </c>
    </row>
    <row r="38" spans="1:5" x14ac:dyDescent="0.25">
      <c r="A38" s="22" t="s">
        <v>108</v>
      </c>
      <c r="B38" s="19" t="s">
        <v>24</v>
      </c>
      <c r="C38" s="53">
        <v>27.454570438760861</v>
      </c>
      <c r="D38" s="53">
        <v>0</v>
      </c>
      <c r="E38" s="70">
        <v>0</v>
      </c>
    </row>
    <row r="39" spans="1:5" x14ac:dyDescent="0.25">
      <c r="A39" s="22" t="s">
        <v>109</v>
      </c>
      <c r="B39" s="19" t="s">
        <v>24</v>
      </c>
      <c r="C39" s="53">
        <v>27.454570438760861</v>
      </c>
      <c r="D39" s="53">
        <v>0</v>
      </c>
      <c r="E39" s="70">
        <v>0</v>
      </c>
    </row>
    <row r="40" spans="1:5" x14ac:dyDescent="0.25">
      <c r="A40" s="22" t="s">
        <v>110</v>
      </c>
      <c r="B40" s="19" t="s">
        <v>24</v>
      </c>
      <c r="C40" s="53">
        <v>27.454570438760861</v>
      </c>
      <c r="D40" s="53">
        <v>0</v>
      </c>
      <c r="E40" s="70">
        <v>0</v>
      </c>
    </row>
    <row r="41" spans="1:5" x14ac:dyDescent="0.25">
      <c r="A41" s="22" t="s">
        <v>111</v>
      </c>
      <c r="B41" s="19" t="s">
        <v>24</v>
      </c>
      <c r="C41" s="53">
        <v>27.454570438760861</v>
      </c>
      <c r="D41" s="53">
        <v>0</v>
      </c>
      <c r="E41" s="70">
        <v>0</v>
      </c>
    </row>
    <row r="42" spans="1:5" x14ac:dyDescent="0.25">
      <c r="A42" s="22" t="s">
        <v>112</v>
      </c>
      <c r="B42" s="19" t="s">
        <v>24</v>
      </c>
      <c r="C42" s="53">
        <v>27.454570438760861</v>
      </c>
      <c r="D42" s="53">
        <v>0</v>
      </c>
      <c r="E42" s="70">
        <v>0</v>
      </c>
    </row>
    <row r="43" spans="1:5" x14ac:dyDescent="0.25">
      <c r="A43" s="22" t="s">
        <v>113</v>
      </c>
      <c r="B43" s="19" t="s">
        <v>24</v>
      </c>
      <c r="C43" s="53">
        <v>27.454570438760861</v>
      </c>
      <c r="D43" s="53">
        <v>0</v>
      </c>
      <c r="E43" s="70">
        <v>0</v>
      </c>
    </row>
    <row r="44" spans="1:5" x14ac:dyDescent="0.25">
      <c r="A44" s="22" t="s">
        <v>114</v>
      </c>
      <c r="B44" s="19" t="s">
        <v>24</v>
      </c>
      <c r="C44" s="53">
        <v>9.6090996535663002</v>
      </c>
      <c r="D44" s="53">
        <v>0</v>
      </c>
      <c r="E44" s="70">
        <v>0</v>
      </c>
    </row>
    <row r="45" spans="1:5" x14ac:dyDescent="0.25">
      <c r="A45" s="22" t="s">
        <v>115</v>
      </c>
      <c r="B45" s="19" t="s">
        <v>24</v>
      </c>
      <c r="C45" s="53">
        <v>9.6090996535663002</v>
      </c>
      <c r="D45" s="53">
        <v>0</v>
      </c>
      <c r="E45" s="70">
        <v>0</v>
      </c>
    </row>
    <row r="46" spans="1:5" x14ac:dyDescent="0.25">
      <c r="A46" s="22" t="s">
        <v>116</v>
      </c>
      <c r="B46" s="19" t="s">
        <v>24</v>
      </c>
      <c r="C46" s="53">
        <v>9.6090996535663002</v>
      </c>
      <c r="D46" s="53">
        <v>0</v>
      </c>
      <c r="E46" s="70">
        <v>0</v>
      </c>
    </row>
    <row r="47" spans="1:5" x14ac:dyDescent="0.25">
      <c r="A47" s="22" t="s">
        <v>117</v>
      </c>
      <c r="B47" s="19" t="s">
        <v>24</v>
      </c>
      <c r="C47" s="53">
        <v>9.6090996535663002</v>
      </c>
      <c r="D47" s="53">
        <v>0</v>
      </c>
      <c r="E47" s="70">
        <v>0</v>
      </c>
    </row>
    <row r="48" spans="1:5" x14ac:dyDescent="0.25">
      <c r="A48" s="22" t="s">
        <v>118</v>
      </c>
      <c r="B48" s="19" t="s">
        <v>24</v>
      </c>
      <c r="C48" s="53">
        <v>9.6090996535663002</v>
      </c>
      <c r="D48" s="53">
        <v>0</v>
      </c>
      <c r="E48" s="70">
        <v>0</v>
      </c>
    </row>
    <row r="49" spans="1:5" x14ac:dyDescent="0.25">
      <c r="A49" s="22" t="s">
        <v>119</v>
      </c>
      <c r="B49" s="19" t="s">
        <v>24</v>
      </c>
      <c r="C49" s="53">
        <v>9.6090996535663002</v>
      </c>
      <c r="D49" s="53">
        <v>0</v>
      </c>
      <c r="E49" s="70">
        <v>0</v>
      </c>
    </row>
    <row r="50" spans="1:5" x14ac:dyDescent="0.25">
      <c r="A50" s="22" t="s">
        <v>120</v>
      </c>
      <c r="B50" s="19" t="s">
        <v>24</v>
      </c>
      <c r="C50" s="53">
        <v>9.6090996535663002</v>
      </c>
      <c r="D50" s="53">
        <v>0</v>
      </c>
      <c r="E50" s="70">
        <v>0</v>
      </c>
    </row>
    <row r="51" spans="1:5" x14ac:dyDescent="0.25">
      <c r="A51" s="22" t="s">
        <v>121</v>
      </c>
      <c r="B51" s="19" t="s">
        <v>24</v>
      </c>
      <c r="C51" s="53">
        <v>123.54556697442388</v>
      </c>
      <c r="D51" s="53">
        <v>0</v>
      </c>
      <c r="E51" s="70">
        <v>0</v>
      </c>
    </row>
    <row r="52" spans="1:5" x14ac:dyDescent="0.25">
      <c r="A52" s="22" t="s">
        <v>122</v>
      </c>
      <c r="B52" s="19" t="s">
        <v>24</v>
      </c>
      <c r="C52" s="53">
        <v>123.54556697442388</v>
      </c>
      <c r="D52" s="53">
        <v>0</v>
      </c>
      <c r="E52" s="70">
        <v>0</v>
      </c>
    </row>
    <row r="53" spans="1:5" x14ac:dyDescent="0.25">
      <c r="A53" s="22" t="s">
        <v>123</v>
      </c>
      <c r="B53" s="19" t="s">
        <v>24</v>
      </c>
      <c r="C53" s="53">
        <v>30.83148260272845</v>
      </c>
      <c r="D53" s="53">
        <v>0</v>
      </c>
      <c r="E53" s="70">
        <v>1</v>
      </c>
    </row>
    <row r="54" spans="1:5" x14ac:dyDescent="0.25">
      <c r="A54" s="22" t="s">
        <v>1282</v>
      </c>
      <c r="B54" s="19" t="s">
        <v>24</v>
      </c>
      <c r="C54" s="53">
        <v>30.83148260272845</v>
      </c>
      <c r="D54" s="53">
        <v>0</v>
      </c>
      <c r="E54" s="70">
        <v>1</v>
      </c>
    </row>
    <row r="55" spans="1:5" x14ac:dyDescent="0.25">
      <c r="A55" s="22" t="s">
        <v>1307</v>
      </c>
      <c r="B55" s="19" t="s">
        <v>24</v>
      </c>
      <c r="C55" s="53">
        <v>5.4909140877521718</v>
      </c>
      <c r="D55" s="53">
        <v>0</v>
      </c>
      <c r="E55" s="70">
        <v>0</v>
      </c>
    </row>
    <row r="56" spans="1:5" x14ac:dyDescent="0.25">
      <c r="A56" s="22" t="s">
        <v>1309</v>
      </c>
      <c r="B56" s="19" t="s">
        <v>24</v>
      </c>
      <c r="C56" s="53">
        <v>5.4909140877521718</v>
      </c>
      <c r="D56" s="53">
        <v>0</v>
      </c>
      <c r="E56" s="70">
        <v>0</v>
      </c>
    </row>
    <row r="57" spans="1:5" x14ac:dyDescent="0.25">
      <c r="A57" s="22" t="s">
        <v>1312</v>
      </c>
      <c r="B57" s="19" t="s">
        <v>24</v>
      </c>
      <c r="C57" s="53">
        <v>30.83148260272845</v>
      </c>
      <c r="D57" s="53">
        <v>0</v>
      </c>
      <c r="E57" s="70">
        <v>1</v>
      </c>
    </row>
    <row r="58" spans="1:5" x14ac:dyDescent="0.25">
      <c r="A58" s="21" t="s">
        <v>124</v>
      </c>
      <c r="C58" s="53">
        <v>835.90930614895183</v>
      </c>
      <c r="D58" s="53">
        <v>0</v>
      </c>
      <c r="E58" s="70">
        <v>24</v>
      </c>
    </row>
    <row r="59" spans="1:5" x14ac:dyDescent="0.25">
      <c r="A59" s="22" t="s">
        <v>125</v>
      </c>
      <c r="B59" s="19" t="s">
        <v>24</v>
      </c>
      <c r="C59" s="53">
        <v>27.674207002270947</v>
      </c>
      <c r="D59" s="53">
        <v>0</v>
      </c>
      <c r="E59" s="70">
        <v>1</v>
      </c>
    </row>
    <row r="60" spans="1:5" x14ac:dyDescent="0.25">
      <c r="A60" s="22" t="s">
        <v>126</v>
      </c>
      <c r="B60" s="19" t="s">
        <v>24</v>
      </c>
      <c r="C60" s="53">
        <v>30.83148260272845</v>
      </c>
      <c r="D60" s="53">
        <v>0</v>
      </c>
      <c r="E60" s="70">
        <v>1</v>
      </c>
    </row>
    <row r="61" spans="1:5" x14ac:dyDescent="0.25">
      <c r="A61" s="22" t="s">
        <v>127</v>
      </c>
      <c r="B61" s="19" t="s">
        <v>24</v>
      </c>
      <c r="C61" s="53">
        <v>27.674207002270947</v>
      </c>
      <c r="D61" s="53">
        <v>0</v>
      </c>
      <c r="E61" s="70">
        <v>1</v>
      </c>
    </row>
    <row r="62" spans="1:5" x14ac:dyDescent="0.25">
      <c r="A62" s="22" t="s">
        <v>128</v>
      </c>
      <c r="B62" s="19" t="s">
        <v>24</v>
      </c>
      <c r="C62" s="53">
        <v>30.83148260272845</v>
      </c>
      <c r="D62" s="53">
        <v>0</v>
      </c>
      <c r="E62" s="70">
        <v>1</v>
      </c>
    </row>
    <row r="63" spans="1:5" x14ac:dyDescent="0.25">
      <c r="A63" s="22" t="s">
        <v>129</v>
      </c>
      <c r="B63" s="19" t="s">
        <v>24</v>
      </c>
      <c r="C63" s="53">
        <v>27.674207002270947</v>
      </c>
      <c r="D63" s="53">
        <v>0</v>
      </c>
      <c r="E63" s="70">
        <v>1</v>
      </c>
    </row>
    <row r="64" spans="1:5" x14ac:dyDescent="0.25">
      <c r="A64" s="22" t="s">
        <v>130</v>
      </c>
      <c r="B64" s="19" t="s">
        <v>24</v>
      </c>
      <c r="C64" s="53">
        <v>30.83148260272845</v>
      </c>
      <c r="D64" s="53">
        <v>0</v>
      </c>
      <c r="E64" s="70">
        <v>1</v>
      </c>
    </row>
    <row r="65" spans="1:5" x14ac:dyDescent="0.25">
      <c r="A65" s="22" t="s">
        <v>131</v>
      </c>
      <c r="B65" s="19" t="s">
        <v>24</v>
      </c>
      <c r="C65" s="53">
        <v>27.674207002270947</v>
      </c>
      <c r="D65" s="53">
        <v>0</v>
      </c>
      <c r="E65" s="70">
        <v>1</v>
      </c>
    </row>
    <row r="66" spans="1:5" x14ac:dyDescent="0.25">
      <c r="A66" s="22" t="s">
        <v>132</v>
      </c>
      <c r="B66" s="19" t="s">
        <v>24</v>
      </c>
      <c r="C66" s="53">
        <v>30.83148260272845</v>
      </c>
      <c r="D66" s="53">
        <v>0</v>
      </c>
      <c r="E66" s="70">
        <v>1</v>
      </c>
    </row>
    <row r="67" spans="1:5" x14ac:dyDescent="0.25">
      <c r="A67" s="22" t="s">
        <v>133</v>
      </c>
      <c r="B67" s="19" t="s">
        <v>24</v>
      </c>
      <c r="C67" s="53">
        <v>27.674207002270947</v>
      </c>
      <c r="D67" s="53">
        <v>0</v>
      </c>
      <c r="E67" s="70">
        <v>1</v>
      </c>
    </row>
    <row r="68" spans="1:5" x14ac:dyDescent="0.25">
      <c r="A68" s="22" t="s">
        <v>134</v>
      </c>
      <c r="B68" s="19" t="s">
        <v>24</v>
      </c>
      <c r="C68" s="53">
        <v>30.83148260272845</v>
      </c>
      <c r="D68" s="53">
        <v>0</v>
      </c>
      <c r="E68" s="70">
        <v>1</v>
      </c>
    </row>
    <row r="69" spans="1:5" x14ac:dyDescent="0.25">
      <c r="A69" s="22" t="s">
        <v>135</v>
      </c>
      <c r="B69" s="19" t="s">
        <v>24</v>
      </c>
      <c r="C69" s="53">
        <v>6.9185517505677367</v>
      </c>
      <c r="D69" s="53">
        <v>0</v>
      </c>
      <c r="E69" s="70">
        <v>1</v>
      </c>
    </row>
    <row r="70" spans="1:5" x14ac:dyDescent="0.25">
      <c r="A70" s="22" t="s">
        <v>136</v>
      </c>
      <c r="B70" s="19" t="s">
        <v>24</v>
      </c>
      <c r="C70" s="53">
        <v>5.0516409607319988</v>
      </c>
      <c r="D70" s="53">
        <v>0</v>
      </c>
      <c r="E70" s="70">
        <v>1</v>
      </c>
    </row>
    <row r="71" spans="1:5" x14ac:dyDescent="0.25">
      <c r="A71" s="22" t="s">
        <v>137</v>
      </c>
      <c r="B71" s="19" t="s">
        <v>24</v>
      </c>
      <c r="C71" s="53">
        <v>22.622566041538949</v>
      </c>
      <c r="D71" s="53">
        <v>0</v>
      </c>
      <c r="E71" s="70">
        <v>1</v>
      </c>
    </row>
    <row r="72" spans="1:5" x14ac:dyDescent="0.25">
      <c r="A72" s="22" t="s">
        <v>138</v>
      </c>
      <c r="B72" s="19" t="s">
        <v>24</v>
      </c>
      <c r="C72" s="53">
        <v>6.9185517505677367</v>
      </c>
      <c r="D72" s="53">
        <v>0</v>
      </c>
      <c r="E72" s="70">
        <v>1</v>
      </c>
    </row>
    <row r="73" spans="1:5" x14ac:dyDescent="0.25">
      <c r="A73" s="22" t="s">
        <v>139</v>
      </c>
      <c r="B73" s="19" t="s">
        <v>24</v>
      </c>
      <c r="C73" s="53">
        <v>27.454570438760861</v>
      </c>
      <c r="D73" s="53">
        <v>0</v>
      </c>
      <c r="E73" s="70">
        <v>0</v>
      </c>
    </row>
    <row r="74" spans="1:5" x14ac:dyDescent="0.25">
      <c r="A74" s="22" t="s">
        <v>140</v>
      </c>
      <c r="B74" s="19" t="s">
        <v>24</v>
      </c>
      <c r="C74" s="53">
        <v>27.454570438760861</v>
      </c>
      <c r="D74" s="53">
        <v>0</v>
      </c>
      <c r="E74" s="70">
        <v>0</v>
      </c>
    </row>
    <row r="75" spans="1:5" x14ac:dyDescent="0.25">
      <c r="A75" s="22" t="s">
        <v>141</v>
      </c>
      <c r="B75" s="19" t="s">
        <v>24</v>
      </c>
      <c r="C75" s="53">
        <v>9.6090996535663002</v>
      </c>
      <c r="D75" s="53">
        <v>0</v>
      </c>
      <c r="E75" s="70">
        <v>0</v>
      </c>
    </row>
    <row r="76" spans="1:5" x14ac:dyDescent="0.25">
      <c r="A76" s="22" t="s">
        <v>142</v>
      </c>
      <c r="B76" s="19" t="s">
        <v>24</v>
      </c>
      <c r="C76" s="53">
        <v>123.54556697442388</v>
      </c>
      <c r="D76" s="53">
        <v>0</v>
      </c>
      <c r="E76" s="70">
        <v>0</v>
      </c>
    </row>
    <row r="77" spans="1:5" x14ac:dyDescent="0.25">
      <c r="A77" s="22" t="s">
        <v>143</v>
      </c>
      <c r="B77" s="19" t="s">
        <v>24</v>
      </c>
      <c r="C77" s="53">
        <v>30.83148260272845</v>
      </c>
      <c r="D77" s="53">
        <v>0</v>
      </c>
      <c r="E77" s="70">
        <v>1</v>
      </c>
    </row>
    <row r="78" spans="1:5" x14ac:dyDescent="0.25">
      <c r="A78" s="22" t="s">
        <v>144</v>
      </c>
      <c r="B78" s="19" t="s">
        <v>24</v>
      </c>
      <c r="C78" s="53">
        <v>30.83148260272845</v>
      </c>
      <c r="D78" s="53">
        <v>0</v>
      </c>
      <c r="E78" s="70">
        <v>1</v>
      </c>
    </row>
    <row r="79" spans="1:5" x14ac:dyDescent="0.25">
      <c r="A79" s="22" t="s">
        <v>145</v>
      </c>
      <c r="B79" s="19" t="s">
        <v>24</v>
      </c>
      <c r="C79" s="53">
        <v>30.83148260272845</v>
      </c>
      <c r="D79" s="53">
        <v>0</v>
      </c>
      <c r="E79" s="70">
        <v>1</v>
      </c>
    </row>
    <row r="80" spans="1:5" x14ac:dyDescent="0.25">
      <c r="A80" s="22" t="s">
        <v>146</v>
      </c>
      <c r="B80" s="19" t="s">
        <v>24</v>
      </c>
      <c r="C80" s="53">
        <v>30.83148260272845</v>
      </c>
      <c r="D80" s="53">
        <v>0</v>
      </c>
      <c r="E80" s="70">
        <v>1</v>
      </c>
    </row>
    <row r="81" spans="1:5" x14ac:dyDescent="0.25">
      <c r="A81" s="22" t="s">
        <v>147</v>
      </c>
      <c r="B81" s="19" t="s">
        <v>24</v>
      </c>
      <c r="C81" s="53">
        <v>30.83148260272845</v>
      </c>
      <c r="D81" s="53">
        <v>0</v>
      </c>
      <c r="E81" s="70">
        <v>1</v>
      </c>
    </row>
    <row r="82" spans="1:5" x14ac:dyDescent="0.25">
      <c r="A82" s="22" t="s">
        <v>1236</v>
      </c>
      <c r="B82" s="19" t="s">
        <v>24</v>
      </c>
      <c r="C82" s="53">
        <v>30.83148260272845</v>
      </c>
      <c r="D82" s="53">
        <v>0</v>
      </c>
      <c r="E82" s="70">
        <v>1</v>
      </c>
    </row>
    <row r="83" spans="1:5" x14ac:dyDescent="0.25">
      <c r="A83" s="22" t="s">
        <v>1237</v>
      </c>
      <c r="B83" s="19" t="s">
        <v>24</v>
      </c>
      <c r="C83" s="53">
        <v>30.83148260272845</v>
      </c>
      <c r="D83" s="53">
        <v>0</v>
      </c>
      <c r="E83" s="70">
        <v>1</v>
      </c>
    </row>
    <row r="84" spans="1:5" x14ac:dyDescent="0.25">
      <c r="A84" s="22" t="s">
        <v>1281</v>
      </c>
      <c r="B84" s="19" t="s">
        <v>24</v>
      </c>
      <c r="C84" s="53">
        <v>30.83148260272845</v>
      </c>
      <c r="D84" s="53">
        <v>0</v>
      </c>
      <c r="E84" s="70">
        <v>1</v>
      </c>
    </row>
    <row r="85" spans="1:5" x14ac:dyDescent="0.25">
      <c r="A85" s="22" t="s">
        <v>1302</v>
      </c>
      <c r="B85" s="19" t="s">
        <v>24</v>
      </c>
      <c r="C85" s="53">
        <v>30.83148260272845</v>
      </c>
      <c r="D85" s="53">
        <v>0</v>
      </c>
      <c r="E85" s="70">
        <v>1</v>
      </c>
    </row>
    <row r="86" spans="1:5" x14ac:dyDescent="0.25">
      <c r="A86" s="22" t="s">
        <v>1303</v>
      </c>
      <c r="B86" s="19" t="s">
        <v>24</v>
      </c>
      <c r="C86" s="53">
        <v>30.83148260272845</v>
      </c>
      <c r="D86" s="53">
        <v>0</v>
      </c>
      <c r="E86" s="70">
        <v>1</v>
      </c>
    </row>
    <row r="87" spans="1:5" x14ac:dyDescent="0.25">
      <c r="A87" s="22" t="s">
        <v>1308</v>
      </c>
      <c r="B87" s="19" t="s">
        <v>24</v>
      </c>
      <c r="C87" s="53">
        <v>5.4909140877521718</v>
      </c>
      <c r="D87" s="53">
        <v>0</v>
      </c>
      <c r="E87" s="70">
        <v>0</v>
      </c>
    </row>
    <row r="88" spans="1:5" x14ac:dyDescent="0.25">
      <c r="A88" s="19" t="s">
        <v>260</v>
      </c>
      <c r="C88" s="53">
        <v>2347.7775910706364</v>
      </c>
      <c r="D88" s="53">
        <v>0</v>
      </c>
      <c r="E88" s="70">
        <v>48</v>
      </c>
    </row>
  </sheetData>
  <pageMargins left="0.7" right="0.7" top="0.75" bottom="0.75" header="0.3" footer="0.3"/>
  <pageSetup paperSize="9" scale="71" fitToHeight="0" orientation="portrait" horizontalDpi="300" verticalDpi="300" r:id="rId2"/>
  <headerFooter>
    <oddHeader>&amp;C2020-06 GFI Oceanet Infra Réseau Orléans - OT</oddHeader>
  </headerFooter>
  <drawing r:id="rId3"/>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4DE575-A34F-4EFF-9EAE-B49D5B87B15C}">
  <sheetPr codeName="Feuil2"/>
  <dimension ref="A2:M9"/>
  <sheetViews>
    <sheetView workbookViewId="0">
      <selection activeCell="D22" sqref="D22"/>
    </sheetView>
  </sheetViews>
  <sheetFormatPr baseColWidth="10" defaultColWidth="11.42578125" defaultRowHeight="15" x14ac:dyDescent="0.25"/>
  <cols>
    <col min="1" max="1" width="13.140625" bestFit="1" customWidth="1"/>
    <col min="2" max="2" width="20.7109375" bestFit="1" customWidth="1"/>
    <col min="3" max="3" width="16.42578125" bestFit="1" customWidth="1"/>
    <col min="4" max="4" width="8" bestFit="1" customWidth="1"/>
    <col min="5" max="5" width="11" bestFit="1" customWidth="1"/>
    <col min="6" max="7" width="13.140625" bestFit="1" customWidth="1"/>
  </cols>
  <sheetData>
    <row r="2" spans="1:13" x14ac:dyDescent="0.25">
      <c r="A2" s="18" t="s">
        <v>266</v>
      </c>
      <c r="B2" t="s">
        <v>2</v>
      </c>
      <c r="C2" t="s">
        <v>1210</v>
      </c>
      <c r="D2" t="s">
        <v>262</v>
      </c>
      <c r="E2" t="s">
        <v>263</v>
      </c>
      <c r="F2" t="s">
        <v>264</v>
      </c>
    </row>
    <row r="3" spans="1:13" x14ac:dyDescent="0.25">
      <c r="A3" s="19">
        <v>305704</v>
      </c>
      <c r="B3" s="53">
        <v>2898.1319100860342</v>
      </c>
      <c r="C3" s="53">
        <v>1131.67</v>
      </c>
      <c r="D3" s="5">
        <v>38</v>
      </c>
      <c r="E3" s="5">
        <v>157.99999999999994</v>
      </c>
      <c r="F3" s="5">
        <v>3447</v>
      </c>
    </row>
    <row r="4" spans="1:13" x14ac:dyDescent="0.25">
      <c r="A4" s="19">
        <v>341530</v>
      </c>
      <c r="B4" s="53">
        <v>348.37104429743658</v>
      </c>
      <c r="C4" s="53">
        <v>11.96</v>
      </c>
      <c r="D4" s="5">
        <v>16.5</v>
      </c>
      <c r="E4" s="5">
        <v>41.5</v>
      </c>
      <c r="F4" s="5">
        <v>263</v>
      </c>
    </row>
    <row r="5" spans="1:13" x14ac:dyDescent="0.25">
      <c r="A5" s="19" t="s">
        <v>267</v>
      </c>
      <c r="B5" s="53">
        <v>2347.7775910706391</v>
      </c>
      <c r="C5" s="53">
        <v>0</v>
      </c>
      <c r="D5" s="5">
        <v>48</v>
      </c>
      <c r="E5" s="5">
        <v>181</v>
      </c>
      <c r="F5" s="5">
        <v>985</v>
      </c>
    </row>
    <row r="6" spans="1:13" x14ac:dyDescent="0.25">
      <c r="A6" s="19" t="s">
        <v>268</v>
      </c>
      <c r="B6" s="53">
        <v>0</v>
      </c>
      <c r="C6" s="53">
        <v>0</v>
      </c>
      <c r="D6" s="5">
        <v>25.5</v>
      </c>
      <c r="E6" s="5">
        <v>20.5</v>
      </c>
      <c r="F6" s="5">
        <v>445.5</v>
      </c>
      <c r="H6" s="71" t="s">
        <v>1211</v>
      </c>
      <c r="I6" s="71"/>
      <c r="J6" s="71"/>
      <c r="K6" s="71"/>
      <c r="L6" s="71"/>
      <c r="M6" s="71"/>
    </row>
    <row r="7" spans="1:13" x14ac:dyDescent="0.25">
      <c r="A7" s="19" t="s">
        <v>269</v>
      </c>
      <c r="B7" s="53">
        <v>937.13430735666293</v>
      </c>
      <c r="C7" s="53">
        <v>630.86</v>
      </c>
      <c r="D7" s="5">
        <v>5</v>
      </c>
      <c r="E7" s="5">
        <v>14</v>
      </c>
      <c r="F7" s="5">
        <v>378</v>
      </c>
    </row>
    <row r="8" spans="1:13" x14ac:dyDescent="0.25">
      <c r="A8" s="19">
        <v>341531</v>
      </c>
      <c r="B8" s="53">
        <v>1671.3107027447868</v>
      </c>
      <c r="C8" s="53">
        <v>393.16999999999996</v>
      </c>
      <c r="D8" s="5">
        <v>47</v>
      </c>
      <c r="E8" s="5">
        <v>137</v>
      </c>
      <c r="F8" s="5">
        <v>1632.4999999999998</v>
      </c>
    </row>
    <row r="9" spans="1:13" x14ac:dyDescent="0.25">
      <c r="A9" t="s">
        <v>260</v>
      </c>
      <c r="B9" s="53">
        <v>8202.7255555555603</v>
      </c>
      <c r="C9" s="53">
        <v>2167.6600000000003</v>
      </c>
      <c r="D9" s="5">
        <v>180</v>
      </c>
      <c r="E9" s="5">
        <v>552</v>
      </c>
      <c r="F9" s="5">
        <v>7151</v>
      </c>
    </row>
  </sheetData>
  <pageMargins left="0.7" right="0.7" top="0.75" bottom="0.75" header="0.3" footer="0.3"/>
  <pageSetup paperSize="9" orientation="portrait" horizontalDpi="300" verticalDpi="300"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3"/>
  <dimension ref="A1:B236"/>
  <sheetViews>
    <sheetView topLeftCell="A13" workbookViewId="0">
      <selection activeCell="A114" sqref="A114"/>
    </sheetView>
  </sheetViews>
  <sheetFormatPr baseColWidth="10" defaultColWidth="11.42578125" defaultRowHeight="15" x14ac:dyDescent="0.25"/>
  <cols>
    <col min="1" max="1" width="36" bestFit="1" customWidth="1"/>
    <col min="2" max="2" width="10" bestFit="1" customWidth="1"/>
  </cols>
  <sheetData>
    <row r="1" spans="1:2" x14ac:dyDescent="0.25">
      <c r="A1" s="18" t="s">
        <v>270</v>
      </c>
      <c r="B1" t="s">
        <v>271</v>
      </c>
    </row>
    <row r="2" spans="1:2" x14ac:dyDescent="0.25">
      <c r="A2" s="19" t="s">
        <v>202</v>
      </c>
      <c r="B2" s="5">
        <v>10</v>
      </c>
    </row>
    <row r="3" spans="1:2" x14ac:dyDescent="0.25">
      <c r="A3" s="19" t="s">
        <v>201</v>
      </c>
      <c r="B3" s="5">
        <v>5</v>
      </c>
    </row>
    <row r="4" spans="1:2" x14ac:dyDescent="0.25">
      <c r="A4" s="19" t="s">
        <v>46</v>
      </c>
      <c r="B4" s="5">
        <v>3</v>
      </c>
    </row>
    <row r="5" spans="1:2" x14ac:dyDescent="0.25">
      <c r="A5" s="19" t="s">
        <v>193</v>
      </c>
      <c r="B5" s="5">
        <v>3</v>
      </c>
    </row>
    <row r="6" spans="1:2" x14ac:dyDescent="0.25">
      <c r="A6" s="19" t="s">
        <v>194</v>
      </c>
      <c r="B6" s="5">
        <v>3</v>
      </c>
    </row>
    <row r="7" spans="1:2" x14ac:dyDescent="0.25">
      <c r="A7" s="19" t="s">
        <v>62</v>
      </c>
      <c r="B7" s="5">
        <v>2</v>
      </c>
    </row>
    <row r="8" spans="1:2" x14ac:dyDescent="0.25">
      <c r="A8" s="19" t="s">
        <v>72</v>
      </c>
      <c r="B8" s="5">
        <v>2</v>
      </c>
    </row>
    <row r="9" spans="1:2" x14ac:dyDescent="0.25">
      <c r="A9" s="19" t="s">
        <v>209</v>
      </c>
      <c r="B9" s="5">
        <v>2</v>
      </c>
    </row>
    <row r="10" spans="1:2" x14ac:dyDescent="0.25">
      <c r="A10" s="19" t="s">
        <v>10</v>
      </c>
      <c r="B10" s="5">
        <v>2</v>
      </c>
    </row>
    <row r="11" spans="1:2" x14ac:dyDescent="0.25">
      <c r="A11" s="19" t="s">
        <v>59</v>
      </c>
      <c r="B11" s="5">
        <v>2</v>
      </c>
    </row>
    <row r="12" spans="1:2" x14ac:dyDescent="0.25">
      <c r="A12" s="19" t="s">
        <v>15</v>
      </c>
      <c r="B12" s="5">
        <v>2</v>
      </c>
    </row>
    <row r="13" spans="1:2" x14ac:dyDescent="0.25">
      <c r="A13" s="19" t="s">
        <v>195</v>
      </c>
      <c r="B13" s="5">
        <v>2</v>
      </c>
    </row>
    <row r="14" spans="1:2" x14ac:dyDescent="0.25">
      <c r="A14" s="19" t="s">
        <v>165</v>
      </c>
      <c r="B14" s="5">
        <v>1</v>
      </c>
    </row>
    <row r="15" spans="1:2" x14ac:dyDescent="0.25">
      <c r="A15" s="19" t="s">
        <v>1306</v>
      </c>
      <c r="B15" s="5">
        <v>1</v>
      </c>
    </row>
    <row r="16" spans="1:2" x14ac:dyDescent="0.25">
      <c r="A16" s="19" t="s">
        <v>111</v>
      </c>
      <c r="B16" s="5">
        <v>1</v>
      </c>
    </row>
    <row r="17" spans="1:2" x14ac:dyDescent="0.25">
      <c r="A17" s="19" t="s">
        <v>118</v>
      </c>
      <c r="B17" s="5">
        <v>1</v>
      </c>
    </row>
    <row r="18" spans="1:2" x14ac:dyDescent="0.25">
      <c r="A18" s="19" t="s">
        <v>238</v>
      </c>
      <c r="B18" s="5">
        <v>1</v>
      </c>
    </row>
    <row r="19" spans="1:2" x14ac:dyDescent="0.25">
      <c r="A19" s="19" t="s">
        <v>119</v>
      </c>
      <c r="B19" s="5">
        <v>1</v>
      </c>
    </row>
    <row r="20" spans="1:2" x14ac:dyDescent="0.25">
      <c r="A20" s="19" t="s">
        <v>178</v>
      </c>
      <c r="B20" s="5">
        <v>1</v>
      </c>
    </row>
    <row r="21" spans="1:2" x14ac:dyDescent="0.25">
      <c r="A21" s="19" t="s">
        <v>141</v>
      </c>
      <c r="B21" s="5">
        <v>1</v>
      </c>
    </row>
    <row r="22" spans="1:2" x14ac:dyDescent="0.25">
      <c r="A22" s="19" t="s">
        <v>207</v>
      </c>
      <c r="B22" s="5">
        <v>1</v>
      </c>
    </row>
    <row r="23" spans="1:2" x14ac:dyDescent="0.25">
      <c r="A23" s="19" t="s">
        <v>120</v>
      </c>
      <c r="B23" s="5">
        <v>1</v>
      </c>
    </row>
    <row r="24" spans="1:2" x14ac:dyDescent="0.25">
      <c r="A24" s="19" t="s">
        <v>1320</v>
      </c>
      <c r="B24" s="5">
        <v>1</v>
      </c>
    </row>
    <row r="25" spans="1:2" x14ac:dyDescent="0.25">
      <c r="A25" s="19" t="s">
        <v>166</v>
      </c>
      <c r="B25" s="5">
        <v>1</v>
      </c>
    </row>
    <row r="26" spans="1:2" x14ac:dyDescent="0.25">
      <c r="A26" s="19" t="s">
        <v>31</v>
      </c>
      <c r="B26" s="5">
        <v>1</v>
      </c>
    </row>
    <row r="27" spans="1:2" x14ac:dyDescent="0.25">
      <c r="A27" s="19" t="s">
        <v>249</v>
      </c>
      <c r="B27" s="5">
        <v>1</v>
      </c>
    </row>
    <row r="28" spans="1:2" x14ac:dyDescent="0.25">
      <c r="A28" s="19" t="s">
        <v>172</v>
      </c>
      <c r="B28" s="5">
        <v>1</v>
      </c>
    </row>
    <row r="29" spans="1:2" x14ac:dyDescent="0.25">
      <c r="A29" s="19" t="s">
        <v>198</v>
      </c>
      <c r="B29" s="5">
        <v>1</v>
      </c>
    </row>
    <row r="30" spans="1:2" x14ac:dyDescent="0.25">
      <c r="A30" s="19" t="s">
        <v>103</v>
      </c>
      <c r="B30" s="5">
        <v>1</v>
      </c>
    </row>
    <row r="31" spans="1:2" x14ac:dyDescent="0.25">
      <c r="A31" s="19" t="s">
        <v>167</v>
      </c>
      <c r="B31" s="5">
        <v>1</v>
      </c>
    </row>
    <row r="32" spans="1:2" x14ac:dyDescent="0.25">
      <c r="A32" s="19" t="s">
        <v>29</v>
      </c>
      <c r="B32" s="5">
        <v>1</v>
      </c>
    </row>
    <row r="33" spans="1:2" x14ac:dyDescent="0.25">
      <c r="A33" s="19" t="s">
        <v>199</v>
      </c>
      <c r="B33" s="5">
        <v>1</v>
      </c>
    </row>
    <row r="34" spans="1:2" x14ac:dyDescent="0.25">
      <c r="A34" s="19" t="s">
        <v>1280</v>
      </c>
      <c r="B34" s="5">
        <v>1</v>
      </c>
    </row>
    <row r="35" spans="1:2" x14ac:dyDescent="0.25">
      <c r="A35" s="19" t="s">
        <v>221</v>
      </c>
      <c r="B35" s="5">
        <v>1</v>
      </c>
    </row>
    <row r="36" spans="1:2" x14ac:dyDescent="0.25">
      <c r="A36" s="19" t="s">
        <v>1324</v>
      </c>
      <c r="B36" s="5">
        <v>1</v>
      </c>
    </row>
    <row r="37" spans="1:2" x14ac:dyDescent="0.25">
      <c r="A37" s="19" t="s">
        <v>222</v>
      </c>
      <c r="B37" s="5">
        <v>1</v>
      </c>
    </row>
    <row r="38" spans="1:2" x14ac:dyDescent="0.25">
      <c r="A38" s="19" t="s">
        <v>226</v>
      </c>
      <c r="B38" s="5">
        <v>1</v>
      </c>
    </row>
    <row r="39" spans="1:2" x14ac:dyDescent="0.25">
      <c r="A39" s="19" t="s">
        <v>241</v>
      </c>
      <c r="B39" s="5">
        <v>1</v>
      </c>
    </row>
    <row r="40" spans="1:2" x14ac:dyDescent="0.25">
      <c r="A40" s="19" t="s">
        <v>203</v>
      </c>
      <c r="B40" s="5">
        <v>1</v>
      </c>
    </row>
    <row r="41" spans="1:2" x14ac:dyDescent="0.25">
      <c r="A41" s="19" t="s">
        <v>223</v>
      </c>
      <c r="B41" s="5">
        <v>1</v>
      </c>
    </row>
    <row r="42" spans="1:2" x14ac:dyDescent="0.25">
      <c r="A42" s="19" t="s">
        <v>163</v>
      </c>
      <c r="B42" s="5">
        <v>1</v>
      </c>
    </row>
    <row r="43" spans="1:2" x14ac:dyDescent="0.25">
      <c r="A43" s="19" t="s">
        <v>121</v>
      </c>
      <c r="B43" s="5">
        <v>1</v>
      </c>
    </row>
    <row r="44" spans="1:2" x14ac:dyDescent="0.25">
      <c r="A44" s="19" t="s">
        <v>229</v>
      </c>
      <c r="B44" s="5">
        <v>1</v>
      </c>
    </row>
    <row r="45" spans="1:2" x14ac:dyDescent="0.25">
      <c r="A45" s="19" t="s">
        <v>205</v>
      </c>
      <c r="B45" s="5">
        <v>1</v>
      </c>
    </row>
    <row r="46" spans="1:2" x14ac:dyDescent="0.25">
      <c r="A46" s="19" t="s">
        <v>176</v>
      </c>
      <c r="B46" s="5">
        <v>1</v>
      </c>
    </row>
    <row r="47" spans="1:2" x14ac:dyDescent="0.25">
      <c r="A47" s="19" t="s">
        <v>182</v>
      </c>
      <c r="B47" s="5">
        <v>1</v>
      </c>
    </row>
    <row r="48" spans="1:2" x14ac:dyDescent="0.25">
      <c r="A48" s="19" t="s">
        <v>99</v>
      </c>
      <c r="B48" s="5">
        <v>1</v>
      </c>
    </row>
    <row r="49" spans="1:2" x14ac:dyDescent="0.25">
      <c r="A49" s="19" t="s">
        <v>258</v>
      </c>
      <c r="B49" s="5">
        <v>1</v>
      </c>
    </row>
    <row r="50" spans="1:2" x14ac:dyDescent="0.25">
      <c r="A50" s="19" t="s">
        <v>107</v>
      </c>
      <c r="B50" s="5">
        <v>1</v>
      </c>
    </row>
    <row r="51" spans="1:2" x14ac:dyDescent="0.25">
      <c r="A51" s="19" t="s">
        <v>1240</v>
      </c>
      <c r="B51" s="5">
        <v>1</v>
      </c>
    </row>
    <row r="52" spans="1:2" x14ac:dyDescent="0.25">
      <c r="A52" s="19" t="s">
        <v>117</v>
      </c>
      <c r="B52" s="5">
        <v>1</v>
      </c>
    </row>
    <row r="53" spans="1:2" x14ac:dyDescent="0.25">
      <c r="A53" s="19" t="s">
        <v>142</v>
      </c>
      <c r="B53" s="5">
        <v>1</v>
      </c>
    </row>
    <row r="54" spans="1:2" x14ac:dyDescent="0.25">
      <c r="A54" s="19" t="s">
        <v>145</v>
      </c>
      <c r="B54" s="5">
        <v>1</v>
      </c>
    </row>
    <row r="55" spans="1:2" x14ac:dyDescent="0.25">
      <c r="A55" s="19" t="s">
        <v>242</v>
      </c>
      <c r="B55" s="5">
        <v>1</v>
      </c>
    </row>
    <row r="56" spans="1:2" x14ac:dyDescent="0.25">
      <c r="A56" s="19" t="s">
        <v>1225</v>
      </c>
      <c r="B56" s="5">
        <v>1</v>
      </c>
    </row>
    <row r="57" spans="1:2" x14ac:dyDescent="0.25">
      <c r="A57" s="19" t="s">
        <v>168</v>
      </c>
      <c r="B57" s="5">
        <v>1</v>
      </c>
    </row>
    <row r="58" spans="1:2" x14ac:dyDescent="0.25">
      <c r="A58" s="19" t="s">
        <v>1311</v>
      </c>
      <c r="B58" s="5">
        <v>1</v>
      </c>
    </row>
    <row r="59" spans="1:2" x14ac:dyDescent="0.25">
      <c r="A59" s="19" t="s">
        <v>169</v>
      </c>
      <c r="B59" s="5">
        <v>1</v>
      </c>
    </row>
    <row r="60" spans="1:2" x14ac:dyDescent="0.25">
      <c r="A60" s="19" t="s">
        <v>1310</v>
      </c>
      <c r="B60" s="5">
        <v>1</v>
      </c>
    </row>
    <row r="61" spans="1:2" x14ac:dyDescent="0.25">
      <c r="A61" s="19" t="s">
        <v>259</v>
      </c>
      <c r="B61" s="5">
        <v>1</v>
      </c>
    </row>
    <row r="62" spans="1:2" x14ac:dyDescent="0.25">
      <c r="A62" s="19" t="s">
        <v>1329</v>
      </c>
      <c r="B62" s="5">
        <v>1</v>
      </c>
    </row>
    <row r="63" spans="1:2" x14ac:dyDescent="0.25">
      <c r="A63" s="19" t="s">
        <v>196</v>
      </c>
      <c r="B63" s="5">
        <v>1</v>
      </c>
    </row>
    <row r="64" spans="1:2" x14ac:dyDescent="0.25">
      <c r="A64" s="19" t="s">
        <v>88</v>
      </c>
      <c r="B64" s="5">
        <v>1</v>
      </c>
    </row>
    <row r="65" spans="1:2" x14ac:dyDescent="0.25">
      <c r="A65" s="19" t="s">
        <v>185</v>
      </c>
      <c r="B65" s="5">
        <v>1</v>
      </c>
    </row>
    <row r="66" spans="1:2" x14ac:dyDescent="0.25">
      <c r="A66" s="19" t="s">
        <v>187</v>
      </c>
      <c r="B66" s="5">
        <v>1</v>
      </c>
    </row>
    <row r="67" spans="1:2" x14ac:dyDescent="0.25">
      <c r="A67" s="19" t="s">
        <v>250</v>
      </c>
      <c r="B67" s="5">
        <v>1</v>
      </c>
    </row>
    <row r="68" spans="1:2" x14ac:dyDescent="0.25">
      <c r="A68" s="19" t="s">
        <v>161</v>
      </c>
      <c r="B68" s="5">
        <v>1</v>
      </c>
    </row>
    <row r="69" spans="1:2" x14ac:dyDescent="0.25">
      <c r="A69" s="19" t="s">
        <v>150</v>
      </c>
      <c r="B69" s="5">
        <v>1</v>
      </c>
    </row>
    <row r="70" spans="1:2" x14ac:dyDescent="0.25">
      <c r="A70" s="19" t="s">
        <v>116</v>
      </c>
      <c r="B70" s="5">
        <v>1</v>
      </c>
    </row>
    <row r="71" spans="1:2" x14ac:dyDescent="0.25">
      <c r="A71" s="19" t="s">
        <v>151</v>
      </c>
      <c r="B71" s="5">
        <v>1</v>
      </c>
    </row>
    <row r="72" spans="1:2" x14ac:dyDescent="0.25">
      <c r="A72" s="19" t="s">
        <v>189</v>
      </c>
      <c r="B72" s="5">
        <v>1</v>
      </c>
    </row>
    <row r="73" spans="1:2" x14ac:dyDescent="0.25">
      <c r="A73" s="19" t="s">
        <v>152</v>
      </c>
      <c r="B73" s="5">
        <v>1</v>
      </c>
    </row>
    <row r="74" spans="1:2" x14ac:dyDescent="0.25">
      <c r="A74" s="19" t="s">
        <v>164</v>
      </c>
      <c r="B74" s="5">
        <v>1</v>
      </c>
    </row>
    <row r="75" spans="1:2" x14ac:dyDescent="0.25">
      <c r="A75" s="19" t="s">
        <v>153</v>
      </c>
      <c r="B75" s="5">
        <v>1</v>
      </c>
    </row>
    <row r="76" spans="1:2" x14ac:dyDescent="0.25">
      <c r="A76" s="19" t="s">
        <v>98</v>
      </c>
      <c r="B76" s="5">
        <v>1</v>
      </c>
    </row>
    <row r="77" spans="1:2" x14ac:dyDescent="0.25">
      <c r="A77" s="19" t="s">
        <v>53</v>
      </c>
      <c r="B77" s="5">
        <v>1</v>
      </c>
    </row>
    <row r="78" spans="1:2" x14ac:dyDescent="0.25">
      <c r="A78" s="19" t="s">
        <v>170</v>
      </c>
      <c r="B78" s="5">
        <v>1</v>
      </c>
    </row>
    <row r="79" spans="1:2" x14ac:dyDescent="0.25">
      <c r="A79" s="19" t="s">
        <v>55</v>
      </c>
      <c r="B79" s="5">
        <v>1</v>
      </c>
    </row>
    <row r="80" spans="1:2" x14ac:dyDescent="0.25">
      <c r="A80" s="19" t="s">
        <v>174</v>
      </c>
      <c r="B80" s="5">
        <v>1</v>
      </c>
    </row>
    <row r="81" spans="1:2" x14ac:dyDescent="0.25">
      <c r="A81" s="19" t="s">
        <v>225</v>
      </c>
      <c r="B81" s="5">
        <v>1</v>
      </c>
    </row>
    <row r="82" spans="1:2" x14ac:dyDescent="0.25">
      <c r="A82" s="19" t="s">
        <v>184</v>
      </c>
      <c r="B82" s="5">
        <v>1</v>
      </c>
    </row>
    <row r="83" spans="1:2" x14ac:dyDescent="0.25">
      <c r="A83" s="19" t="s">
        <v>122</v>
      </c>
      <c r="B83" s="5">
        <v>1</v>
      </c>
    </row>
    <row r="84" spans="1:2" x14ac:dyDescent="0.25">
      <c r="A84" s="19" t="s">
        <v>139</v>
      </c>
      <c r="B84" s="5">
        <v>1</v>
      </c>
    </row>
    <row r="85" spans="1:2" x14ac:dyDescent="0.25">
      <c r="A85" s="19" t="s">
        <v>37</v>
      </c>
      <c r="B85" s="5">
        <v>1</v>
      </c>
    </row>
    <row r="86" spans="1:2" x14ac:dyDescent="0.25">
      <c r="A86" s="19" t="s">
        <v>101</v>
      </c>
      <c r="B86" s="5">
        <v>1</v>
      </c>
    </row>
    <row r="87" spans="1:2" x14ac:dyDescent="0.25">
      <c r="A87" s="19" t="s">
        <v>39</v>
      </c>
      <c r="B87" s="5">
        <v>1</v>
      </c>
    </row>
    <row r="88" spans="1:2" x14ac:dyDescent="0.25">
      <c r="A88" s="19" t="s">
        <v>105</v>
      </c>
      <c r="B88" s="5">
        <v>1</v>
      </c>
    </row>
    <row r="89" spans="1:2" x14ac:dyDescent="0.25">
      <c r="A89" s="19" t="s">
        <v>41</v>
      </c>
      <c r="B89" s="5">
        <v>1</v>
      </c>
    </row>
    <row r="90" spans="1:2" x14ac:dyDescent="0.25">
      <c r="A90" s="19" t="s">
        <v>109</v>
      </c>
      <c r="B90" s="5">
        <v>1</v>
      </c>
    </row>
    <row r="91" spans="1:2" x14ac:dyDescent="0.25">
      <c r="A91" s="19" t="s">
        <v>211</v>
      </c>
      <c r="B91" s="5">
        <v>1</v>
      </c>
    </row>
    <row r="92" spans="1:2" x14ac:dyDescent="0.25">
      <c r="A92" s="19" t="s">
        <v>113</v>
      </c>
      <c r="B92" s="5">
        <v>1</v>
      </c>
    </row>
    <row r="93" spans="1:2" x14ac:dyDescent="0.25">
      <c r="A93" s="19" t="s">
        <v>212</v>
      </c>
      <c r="B93" s="5">
        <v>1</v>
      </c>
    </row>
    <row r="94" spans="1:2" x14ac:dyDescent="0.25">
      <c r="A94" s="19" t="s">
        <v>148</v>
      </c>
      <c r="B94" s="5">
        <v>1</v>
      </c>
    </row>
    <row r="95" spans="1:2" x14ac:dyDescent="0.25">
      <c r="A95" s="19" t="s">
        <v>18</v>
      </c>
      <c r="B95" s="5">
        <v>1</v>
      </c>
    </row>
    <row r="96" spans="1:2" x14ac:dyDescent="0.25">
      <c r="A96" s="19" t="s">
        <v>186</v>
      </c>
      <c r="B96" s="5">
        <v>1</v>
      </c>
    </row>
    <row r="97" spans="1:2" x14ac:dyDescent="0.25">
      <c r="A97" s="19" t="s">
        <v>21</v>
      </c>
      <c r="B97" s="5">
        <v>1</v>
      </c>
    </row>
    <row r="98" spans="1:2" x14ac:dyDescent="0.25">
      <c r="A98" s="19" t="s">
        <v>147</v>
      </c>
      <c r="B98" s="5">
        <v>1</v>
      </c>
    </row>
    <row r="99" spans="1:2" x14ac:dyDescent="0.25">
      <c r="A99" s="19" t="s">
        <v>26</v>
      </c>
      <c r="B99" s="5">
        <v>1</v>
      </c>
    </row>
    <row r="100" spans="1:2" x14ac:dyDescent="0.25">
      <c r="A100" s="19" t="s">
        <v>1237</v>
      </c>
      <c r="B100" s="5">
        <v>1</v>
      </c>
    </row>
    <row r="101" spans="1:2" x14ac:dyDescent="0.25">
      <c r="A101" s="19" t="s">
        <v>28</v>
      </c>
      <c r="B101" s="5">
        <v>1</v>
      </c>
    </row>
    <row r="102" spans="1:2" x14ac:dyDescent="0.25">
      <c r="A102" s="19" t="s">
        <v>1278</v>
      </c>
      <c r="B102" s="5">
        <v>1</v>
      </c>
    </row>
    <row r="103" spans="1:2" x14ac:dyDescent="0.25">
      <c r="A103" s="19" t="s">
        <v>57</v>
      </c>
      <c r="B103" s="5">
        <v>1</v>
      </c>
    </row>
    <row r="104" spans="1:2" x14ac:dyDescent="0.25">
      <c r="A104" s="19" t="s">
        <v>1282</v>
      </c>
      <c r="B104" s="5">
        <v>1</v>
      </c>
    </row>
    <row r="105" spans="1:2" x14ac:dyDescent="0.25">
      <c r="A105" s="19" t="s">
        <v>244</v>
      </c>
      <c r="B105" s="5">
        <v>1</v>
      </c>
    </row>
    <row r="106" spans="1:2" x14ac:dyDescent="0.25">
      <c r="A106" s="19" t="s">
        <v>1303</v>
      </c>
      <c r="B106" s="5">
        <v>1</v>
      </c>
    </row>
    <row r="107" spans="1:2" x14ac:dyDescent="0.25">
      <c r="A107" s="19" t="s">
        <v>245</v>
      </c>
      <c r="B107" s="5">
        <v>1</v>
      </c>
    </row>
    <row r="108" spans="1:2" x14ac:dyDescent="0.25">
      <c r="A108" s="19" t="s">
        <v>1308</v>
      </c>
      <c r="B108" s="5">
        <v>1</v>
      </c>
    </row>
    <row r="109" spans="1:2" x14ac:dyDescent="0.25">
      <c r="A109" s="19" t="s">
        <v>246</v>
      </c>
      <c r="B109" s="5">
        <v>1</v>
      </c>
    </row>
    <row r="110" spans="1:2" x14ac:dyDescent="0.25">
      <c r="A110" s="19" t="s">
        <v>1313</v>
      </c>
      <c r="B110" s="5">
        <v>1</v>
      </c>
    </row>
    <row r="111" spans="1:2" x14ac:dyDescent="0.25">
      <c r="A111" s="19" t="s">
        <v>32</v>
      </c>
      <c r="B111" s="5">
        <v>1</v>
      </c>
    </row>
    <row r="112" spans="1:2" x14ac:dyDescent="0.25">
      <c r="A112" s="19" t="s">
        <v>1326</v>
      </c>
      <c r="B112" s="5">
        <v>1</v>
      </c>
    </row>
    <row r="113" spans="1:2" x14ac:dyDescent="0.25">
      <c r="A113" s="19" t="s">
        <v>12</v>
      </c>
      <c r="B113" s="5">
        <v>1</v>
      </c>
    </row>
    <row r="114" spans="1:2" x14ac:dyDescent="0.25">
      <c r="A114" s="19" t="s">
        <v>1332</v>
      </c>
      <c r="B114" s="5">
        <v>1</v>
      </c>
    </row>
    <row r="115" spans="1:2" x14ac:dyDescent="0.25">
      <c r="A115" s="19" t="s">
        <v>68</v>
      </c>
      <c r="B115" s="5">
        <v>1</v>
      </c>
    </row>
    <row r="116" spans="1:2" x14ac:dyDescent="0.25">
      <c r="A116" s="19" t="s">
        <v>1341</v>
      </c>
      <c r="B116" s="5">
        <v>1</v>
      </c>
    </row>
    <row r="117" spans="1:2" x14ac:dyDescent="0.25">
      <c r="A117" s="19" t="s">
        <v>66</v>
      </c>
      <c r="B117" s="5">
        <v>1</v>
      </c>
    </row>
    <row r="118" spans="1:2" x14ac:dyDescent="0.25">
      <c r="A118" s="19" t="s">
        <v>89</v>
      </c>
      <c r="B118" s="5">
        <v>1</v>
      </c>
    </row>
    <row r="119" spans="1:2" x14ac:dyDescent="0.25">
      <c r="A119" s="19" t="s">
        <v>228</v>
      </c>
      <c r="B119" s="5">
        <v>1</v>
      </c>
    </row>
    <row r="120" spans="1:2" x14ac:dyDescent="0.25">
      <c r="A120" s="19" t="s">
        <v>206</v>
      </c>
      <c r="B120" s="5">
        <v>1</v>
      </c>
    </row>
    <row r="121" spans="1:2" x14ac:dyDescent="0.25">
      <c r="A121" s="19" t="s">
        <v>7</v>
      </c>
      <c r="B121" s="5">
        <v>1</v>
      </c>
    </row>
    <row r="122" spans="1:2" x14ac:dyDescent="0.25">
      <c r="A122" s="19" t="s">
        <v>159</v>
      </c>
      <c r="B122" s="5">
        <v>1</v>
      </c>
    </row>
    <row r="123" spans="1:2" x14ac:dyDescent="0.25">
      <c r="A123" s="19" t="s">
        <v>34</v>
      </c>
      <c r="B123" s="5">
        <v>1</v>
      </c>
    </row>
    <row r="124" spans="1:2" x14ac:dyDescent="0.25">
      <c r="A124" s="19" t="s">
        <v>160</v>
      </c>
      <c r="B124" s="5">
        <v>1</v>
      </c>
    </row>
    <row r="125" spans="1:2" x14ac:dyDescent="0.25">
      <c r="A125" s="19" t="s">
        <v>232</v>
      </c>
      <c r="B125" s="5">
        <v>1</v>
      </c>
    </row>
    <row r="126" spans="1:2" x14ac:dyDescent="0.25">
      <c r="A126" s="19" t="s">
        <v>77</v>
      </c>
      <c r="B126" s="5">
        <v>1</v>
      </c>
    </row>
    <row r="127" spans="1:2" x14ac:dyDescent="0.25">
      <c r="A127" s="19" t="s">
        <v>69</v>
      </c>
      <c r="B127" s="5">
        <v>1</v>
      </c>
    </row>
    <row r="128" spans="1:2" x14ac:dyDescent="0.25">
      <c r="A128" s="19" t="s">
        <v>227</v>
      </c>
      <c r="B128" s="5">
        <v>1</v>
      </c>
    </row>
    <row r="129" spans="1:2" x14ac:dyDescent="0.25">
      <c r="A129" s="19" t="s">
        <v>42</v>
      </c>
      <c r="B129" s="5">
        <v>1</v>
      </c>
    </row>
    <row r="130" spans="1:2" x14ac:dyDescent="0.25">
      <c r="A130" s="19" t="s">
        <v>188</v>
      </c>
      <c r="B130" s="5">
        <v>1</v>
      </c>
    </row>
    <row r="131" spans="1:2" x14ac:dyDescent="0.25">
      <c r="A131" s="19" t="s">
        <v>154</v>
      </c>
      <c r="B131" s="5">
        <v>1</v>
      </c>
    </row>
    <row r="132" spans="1:2" x14ac:dyDescent="0.25">
      <c r="A132" s="19" t="s">
        <v>78</v>
      </c>
      <c r="B132" s="5">
        <v>1</v>
      </c>
    </row>
    <row r="133" spans="1:2" x14ac:dyDescent="0.25">
      <c r="A133" s="19" t="s">
        <v>44</v>
      </c>
      <c r="B133" s="5">
        <v>1</v>
      </c>
    </row>
    <row r="134" spans="1:2" x14ac:dyDescent="0.25">
      <c r="A134" s="19" t="s">
        <v>162</v>
      </c>
      <c r="B134" s="5">
        <v>1</v>
      </c>
    </row>
    <row r="135" spans="1:2" x14ac:dyDescent="0.25">
      <c r="A135" s="19" t="s">
        <v>180</v>
      </c>
      <c r="B135" s="5">
        <v>1</v>
      </c>
    </row>
    <row r="136" spans="1:2" x14ac:dyDescent="0.25">
      <c r="A136" s="19" t="s">
        <v>97</v>
      </c>
      <c r="B136" s="5">
        <v>1</v>
      </c>
    </row>
    <row r="137" spans="1:2" x14ac:dyDescent="0.25">
      <c r="A137" s="19" t="s">
        <v>156</v>
      </c>
      <c r="B137" s="5">
        <v>1</v>
      </c>
    </row>
    <row r="138" spans="1:2" x14ac:dyDescent="0.25">
      <c r="A138" s="19" t="s">
        <v>217</v>
      </c>
      <c r="B138" s="5">
        <v>1</v>
      </c>
    </row>
    <row r="139" spans="1:2" x14ac:dyDescent="0.25">
      <c r="A139" s="19" t="s">
        <v>114</v>
      </c>
      <c r="B139" s="5">
        <v>1</v>
      </c>
    </row>
    <row r="140" spans="1:2" x14ac:dyDescent="0.25">
      <c r="A140" s="19" t="s">
        <v>138</v>
      </c>
      <c r="B140" s="5">
        <v>1</v>
      </c>
    </row>
    <row r="141" spans="1:2" x14ac:dyDescent="0.25">
      <c r="A141" s="19" t="s">
        <v>233</v>
      </c>
      <c r="B141" s="5">
        <v>1</v>
      </c>
    </row>
    <row r="142" spans="1:2" x14ac:dyDescent="0.25">
      <c r="A142" s="19" t="s">
        <v>76</v>
      </c>
      <c r="B142" s="5">
        <v>1</v>
      </c>
    </row>
    <row r="143" spans="1:2" x14ac:dyDescent="0.25">
      <c r="A143" s="19" t="s">
        <v>79</v>
      </c>
      <c r="B143" s="5">
        <v>1</v>
      </c>
    </row>
    <row r="144" spans="1:2" x14ac:dyDescent="0.25">
      <c r="A144" s="19" t="s">
        <v>213</v>
      </c>
      <c r="B144" s="5">
        <v>1</v>
      </c>
    </row>
    <row r="145" spans="1:2" x14ac:dyDescent="0.25">
      <c r="A145" s="19" t="s">
        <v>80</v>
      </c>
      <c r="B145" s="5">
        <v>1</v>
      </c>
    </row>
    <row r="146" spans="1:2" x14ac:dyDescent="0.25">
      <c r="A146" s="19" t="s">
        <v>171</v>
      </c>
      <c r="B146" s="5">
        <v>1</v>
      </c>
    </row>
    <row r="147" spans="1:2" x14ac:dyDescent="0.25">
      <c r="A147" s="19" t="s">
        <v>81</v>
      </c>
      <c r="B147" s="5">
        <v>1</v>
      </c>
    </row>
    <row r="148" spans="1:2" x14ac:dyDescent="0.25">
      <c r="A148" s="19" t="s">
        <v>173</v>
      </c>
      <c r="B148" s="5">
        <v>1</v>
      </c>
    </row>
    <row r="149" spans="1:2" x14ac:dyDescent="0.25">
      <c r="A149" s="19" t="s">
        <v>115</v>
      </c>
      <c r="B149" s="5">
        <v>1</v>
      </c>
    </row>
    <row r="150" spans="1:2" x14ac:dyDescent="0.25">
      <c r="A150" s="19" t="s">
        <v>175</v>
      </c>
      <c r="B150" s="5">
        <v>1</v>
      </c>
    </row>
    <row r="151" spans="1:2" x14ac:dyDescent="0.25">
      <c r="A151" s="19" t="s">
        <v>234</v>
      </c>
      <c r="B151" s="5">
        <v>1</v>
      </c>
    </row>
    <row r="152" spans="1:2" x14ac:dyDescent="0.25">
      <c r="A152" s="19" t="s">
        <v>177</v>
      </c>
      <c r="B152" s="5">
        <v>1</v>
      </c>
    </row>
    <row r="153" spans="1:2" x14ac:dyDescent="0.25">
      <c r="A153" s="19" t="s">
        <v>73</v>
      </c>
      <c r="B153" s="5">
        <v>1</v>
      </c>
    </row>
    <row r="154" spans="1:2" x14ac:dyDescent="0.25">
      <c r="A154" s="19" t="s">
        <v>218</v>
      </c>
      <c r="B154" s="5">
        <v>1</v>
      </c>
    </row>
    <row r="155" spans="1:2" x14ac:dyDescent="0.25">
      <c r="A155" s="19" t="s">
        <v>231</v>
      </c>
      <c r="B155" s="5">
        <v>1</v>
      </c>
    </row>
    <row r="156" spans="1:2" x14ac:dyDescent="0.25">
      <c r="A156" s="19" t="s">
        <v>219</v>
      </c>
      <c r="B156" s="5">
        <v>1</v>
      </c>
    </row>
    <row r="157" spans="1:2" x14ac:dyDescent="0.25">
      <c r="A157" s="19" t="s">
        <v>235</v>
      </c>
      <c r="B157" s="5">
        <v>1</v>
      </c>
    </row>
    <row r="158" spans="1:2" x14ac:dyDescent="0.25">
      <c r="A158" s="19" t="s">
        <v>140</v>
      </c>
      <c r="B158" s="5">
        <v>1</v>
      </c>
    </row>
    <row r="159" spans="1:2" x14ac:dyDescent="0.25">
      <c r="A159" s="19" t="s">
        <v>253</v>
      </c>
      <c r="B159" s="5">
        <v>1</v>
      </c>
    </row>
    <row r="160" spans="1:2" x14ac:dyDescent="0.25">
      <c r="A160" s="19" t="s">
        <v>100</v>
      </c>
      <c r="B160" s="5">
        <v>1</v>
      </c>
    </row>
    <row r="161" spans="1:2" x14ac:dyDescent="0.25">
      <c r="A161" s="19" t="s">
        <v>237</v>
      </c>
      <c r="B161" s="5">
        <v>1</v>
      </c>
    </row>
    <row r="162" spans="1:2" x14ac:dyDescent="0.25">
      <c r="A162" s="19" t="s">
        <v>102</v>
      </c>
      <c r="B162" s="5">
        <v>1</v>
      </c>
    </row>
    <row r="163" spans="1:2" x14ac:dyDescent="0.25">
      <c r="A163" s="19" t="s">
        <v>157</v>
      </c>
      <c r="B163" s="5">
        <v>1</v>
      </c>
    </row>
    <row r="164" spans="1:2" x14ac:dyDescent="0.25">
      <c r="A164" s="19" t="s">
        <v>104</v>
      </c>
      <c r="B164" s="5">
        <v>1</v>
      </c>
    </row>
    <row r="165" spans="1:2" x14ac:dyDescent="0.25">
      <c r="A165" s="19" t="s">
        <v>251</v>
      </c>
      <c r="B165" s="5">
        <v>1</v>
      </c>
    </row>
    <row r="166" spans="1:2" x14ac:dyDescent="0.25">
      <c r="A166" s="19" t="s">
        <v>106</v>
      </c>
      <c r="B166" s="5">
        <v>1</v>
      </c>
    </row>
    <row r="167" spans="1:2" x14ac:dyDescent="0.25">
      <c r="A167" s="19" t="s">
        <v>190</v>
      </c>
      <c r="B167" s="5">
        <v>1</v>
      </c>
    </row>
    <row r="168" spans="1:2" x14ac:dyDescent="0.25">
      <c r="A168" s="19" t="s">
        <v>108</v>
      </c>
      <c r="B168" s="5">
        <v>1</v>
      </c>
    </row>
    <row r="169" spans="1:2" x14ac:dyDescent="0.25">
      <c r="A169" s="19" t="s">
        <v>50</v>
      </c>
      <c r="B169" s="5">
        <v>1</v>
      </c>
    </row>
    <row r="170" spans="1:2" x14ac:dyDescent="0.25">
      <c r="A170" s="19" t="s">
        <v>110</v>
      </c>
      <c r="B170" s="5">
        <v>1</v>
      </c>
    </row>
    <row r="171" spans="1:2" x14ac:dyDescent="0.25">
      <c r="A171" s="19" t="s">
        <v>74</v>
      </c>
      <c r="B171" s="5">
        <v>1</v>
      </c>
    </row>
    <row r="172" spans="1:2" x14ac:dyDescent="0.25">
      <c r="A172" s="19" t="s">
        <v>112</v>
      </c>
      <c r="B172" s="5">
        <v>1</v>
      </c>
    </row>
    <row r="173" spans="1:2" x14ac:dyDescent="0.25">
      <c r="A173" s="19" t="s">
        <v>143</v>
      </c>
      <c r="B173" s="5">
        <v>1</v>
      </c>
    </row>
    <row r="174" spans="1:2" x14ac:dyDescent="0.25">
      <c r="A174" s="19" t="s">
        <v>179</v>
      </c>
      <c r="B174" s="5">
        <v>1</v>
      </c>
    </row>
    <row r="175" spans="1:2" x14ac:dyDescent="0.25">
      <c r="A175" s="19" t="s">
        <v>204</v>
      </c>
      <c r="B175" s="5">
        <v>1</v>
      </c>
    </row>
    <row r="176" spans="1:2" x14ac:dyDescent="0.25">
      <c r="A176" s="19" t="s">
        <v>257</v>
      </c>
      <c r="B176" s="5">
        <v>1</v>
      </c>
    </row>
    <row r="177" spans="1:2" x14ac:dyDescent="0.25">
      <c r="A177" s="19" t="s">
        <v>158</v>
      </c>
      <c r="B177" s="5">
        <v>1</v>
      </c>
    </row>
    <row r="178" spans="1:2" x14ac:dyDescent="0.25">
      <c r="A178" s="19" t="s">
        <v>90</v>
      </c>
      <c r="B178" s="5">
        <v>1</v>
      </c>
    </row>
    <row r="179" spans="1:2" x14ac:dyDescent="0.25">
      <c r="A179" s="19" t="s">
        <v>183</v>
      </c>
      <c r="B179" s="5">
        <v>1</v>
      </c>
    </row>
    <row r="180" spans="1:2" x14ac:dyDescent="0.25">
      <c r="A180" s="19" t="s">
        <v>36</v>
      </c>
      <c r="B180" s="5">
        <v>1</v>
      </c>
    </row>
    <row r="181" spans="1:2" x14ac:dyDescent="0.25">
      <c r="A181" s="19" t="s">
        <v>82</v>
      </c>
      <c r="B181" s="5">
        <v>1</v>
      </c>
    </row>
    <row r="182" spans="1:2" x14ac:dyDescent="0.25">
      <c r="A182" s="19" t="s">
        <v>236</v>
      </c>
      <c r="B182" s="5">
        <v>1</v>
      </c>
    </row>
    <row r="183" spans="1:2" x14ac:dyDescent="0.25">
      <c r="A183" s="19" t="s">
        <v>83</v>
      </c>
      <c r="B183" s="5">
        <v>1</v>
      </c>
    </row>
    <row r="184" spans="1:2" x14ac:dyDescent="0.25">
      <c r="A184" s="19" t="s">
        <v>256</v>
      </c>
      <c r="B184" s="5">
        <v>1</v>
      </c>
    </row>
    <row r="185" spans="1:2" x14ac:dyDescent="0.25">
      <c r="A185" s="19" t="s">
        <v>84</v>
      </c>
      <c r="B185" s="5">
        <v>1</v>
      </c>
    </row>
    <row r="186" spans="1:2" x14ac:dyDescent="0.25">
      <c r="A186" s="19" t="s">
        <v>181</v>
      </c>
      <c r="B186" s="5">
        <v>1</v>
      </c>
    </row>
    <row r="187" spans="1:2" x14ac:dyDescent="0.25">
      <c r="A187" s="19" t="s">
        <v>125</v>
      </c>
      <c r="B187" s="5">
        <v>1</v>
      </c>
    </row>
    <row r="188" spans="1:2" x14ac:dyDescent="0.25">
      <c r="A188" s="19" t="s">
        <v>230</v>
      </c>
      <c r="B188" s="5">
        <v>1</v>
      </c>
    </row>
    <row r="189" spans="1:2" x14ac:dyDescent="0.25">
      <c r="A189" s="19" t="s">
        <v>126</v>
      </c>
      <c r="B189" s="5">
        <v>1</v>
      </c>
    </row>
    <row r="190" spans="1:2" x14ac:dyDescent="0.25">
      <c r="A190" s="19" t="s">
        <v>23</v>
      </c>
      <c r="B190" s="5">
        <v>1</v>
      </c>
    </row>
    <row r="191" spans="1:2" x14ac:dyDescent="0.25">
      <c r="A191" s="19" t="s">
        <v>91</v>
      </c>
      <c r="B191" s="5">
        <v>1</v>
      </c>
    </row>
    <row r="192" spans="1:2" x14ac:dyDescent="0.25">
      <c r="A192" s="19" t="s">
        <v>247</v>
      </c>
      <c r="B192" s="5">
        <v>1</v>
      </c>
    </row>
    <row r="193" spans="1:2" x14ac:dyDescent="0.25">
      <c r="A193" s="19" t="s">
        <v>92</v>
      </c>
      <c r="B193" s="5">
        <v>1</v>
      </c>
    </row>
    <row r="194" spans="1:2" x14ac:dyDescent="0.25">
      <c r="A194" s="19" t="s">
        <v>144</v>
      </c>
      <c r="B194" s="5">
        <v>1</v>
      </c>
    </row>
    <row r="195" spans="1:2" x14ac:dyDescent="0.25">
      <c r="A195" s="19" t="s">
        <v>93</v>
      </c>
      <c r="B195" s="5">
        <v>1</v>
      </c>
    </row>
    <row r="196" spans="1:2" x14ac:dyDescent="0.25">
      <c r="A196" s="19" t="s">
        <v>146</v>
      </c>
      <c r="B196" s="5">
        <v>1</v>
      </c>
    </row>
    <row r="197" spans="1:2" x14ac:dyDescent="0.25">
      <c r="A197" s="19" t="s">
        <v>127</v>
      </c>
      <c r="B197" s="5">
        <v>1</v>
      </c>
    </row>
    <row r="198" spans="1:2" x14ac:dyDescent="0.25">
      <c r="A198" s="19" t="s">
        <v>123</v>
      </c>
      <c r="B198" s="5">
        <v>1</v>
      </c>
    </row>
    <row r="199" spans="1:2" x14ac:dyDescent="0.25">
      <c r="A199" s="19" t="s">
        <v>94</v>
      </c>
      <c r="B199" s="5">
        <v>1</v>
      </c>
    </row>
    <row r="200" spans="1:2" x14ac:dyDescent="0.25">
      <c r="A200" s="19" t="s">
        <v>1236</v>
      </c>
      <c r="B200" s="5">
        <v>1</v>
      </c>
    </row>
    <row r="201" spans="1:2" x14ac:dyDescent="0.25">
      <c r="A201" s="19" t="s">
        <v>128</v>
      </c>
      <c r="B201" s="5">
        <v>1</v>
      </c>
    </row>
    <row r="202" spans="1:2" x14ac:dyDescent="0.25">
      <c r="A202" s="19" t="s">
        <v>1241</v>
      </c>
      <c r="B202" s="5">
        <v>1</v>
      </c>
    </row>
    <row r="203" spans="1:2" x14ac:dyDescent="0.25">
      <c r="A203" s="19" t="s">
        <v>129</v>
      </c>
      <c r="B203" s="5">
        <v>1</v>
      </c>
    </row>
    <row r="204" spans="1:2" x14ac:dyDescent="0.25">
      <c r="A204" s="19" t="s">
        <v>1272</v>
      </c>
      <c r="B204" s="5">
        <v>1</v>
      </c>
    </row>
    <row r="205" spans="1:2" x14ac:dyDescent="0.25">
      <c r="A205" s="19" t="s">
        <v>130</v>
      </c>
      <c r="B205" s="5">
        <v>1</v>
      </c>
    </row>
    <row r="206" spans="1:2" x14ac:dyDescent="0.25">
      <c r="A206" s="19" t="s">
        <v>1279</v>
      </c>
      <c r="B206" s="5">
        <v>1</v>
      </c>
    </row>
    <row r="207" spans="1:2" x14ac:dyDescent="0.25">
      <c r="A207" s="19" t="s">
        <v>131</v>
      </c>
      <c r="B207" s="5">
        <v>1</v>
      </c>
    </row>
    <row r="208" spans="1:2" x14ac:dyDescent="0.25">
      <c r="A208" s="19" t="s">
        <v>1281</v>
      </c>
      <c r="B208" s="5">
        <v>1</v>
      </c>
    </row>
    <row r="209" spans="1:2" x14ac:dyDescent="0.25">
      <c r="A209" s="19" t="s">
        <v>132</v>
      </c>
      <c r="B209" s="5">
        <v>1</v>
      </c>
    </row>
    <row r="210" spans="1:2" x14ac:dyDescent="0.25">
      <c r="A210" s="19" t="s">
        <v>1301</v>
      </c>
      <c r="B210" s="5">
        <v>1</v>
      </c>
    </row>
    <row r="211" spans="1:2" x14ac:dyDescent="0.25">
      <c r="A211" s="19" t="s">
        <v>133</v>
      </c>
      <c r="B211" s="5">
        <v>1</v>
      </c>
    </row>
    <row r="212" spans="1:2" x14ac:dyDescent="0.25">
      <c r="A212" s="19" t="s">
        <v>1302</v>
      </c>
      <c r="B212" s="5">
        <v>1</v>
      </c>
    </row>
    <row r="213" spans="1:2" x14ac:dyDescent="0.25">
      <c r="A213" s="19" t="s">
        <v>134</v>
      </c>
      <c r="B213" s="5">
        <v>1</v>
      </c>
    </row>
    <row r="214" spans="1:2" x14ac:dyDescent="0.25">
      <c r="A214" s="19" t="s">
        <v>1305</v>
      </c>
      <c r="B214" s="5">
        <v>1</v>
      </c>
    </row>
    <row r="215" spans="1:2" x14ac:dyDescent="0.25">
      <c r="A215" s="19" t="s">
        <v>214</v>
      </c>
      <c r="B215" s="5">
        <v>1</v>
      </c>
    </row>
    <row r="216" spans="1:2" x14ac:dyDescent="0.25">
      <c r="A216" s="19" t="s">
        <v>1307</v>
      </c>
      <c r="B216" s="5">
        <v>1</v>
      </c>
    </row>
    <row r="217" spans="1:2" x14ac:dyDescent="0.25">
      <c r="A217" s="19" t="s">
        <v>215</v>
      </c>
      <c r="B217" s="5">
        <v>1</v>
      </c>
    </row>
    <row r="218" spans="1:2" x14ac:dyDescent="0.25">
      <c r="A218" s="19" t="s">
        <v>1309</v>
      </c>
      <c r="B218" s="5">
        <v>1</v>
      </c>
    </row>
    <row r="219" spans="1:2" x14ac:dyDescent="0.25">
      <c r="A219" s="19" t="s">
        <v>85</v>
      </c>
      <c r="B219" s="5">
        <v>1</v>
      </c>
    </row>
    <row r="220" spans="1:2" x14ac:dyDescent="0.25">
      <c r="A220" s="19" t="s">
        <v>1312</v>
      </c>
      <c r="B220" s="5">
        <v>1</v>
      </c>
    </row>
    <row r="221" spans="1:2" x14ac:dyDescent="0.25">
      <c r="A221" s="19" t="s">
        <v>216</v>
      </c>
      <c r="B221" s="5">
        <v>1</v>
      </c>
    </row>
    <row r="222" spans="1:2" x14ac:dyDescent="0.25">
      <c r="A222" s="19" t="s">
        <v>1323</v>
      </c>
      <c r="B222" s="5">
        <v>1</v>
      </c>
    </row>
    <row r="223" spans="1:2" x14ac:dyDescent="0.25">
      <c r="A223" s="19" t="s">
        <v>135</v>
      </c>
      <c r="B223" s="5">
        <v>1</v>
      </c>
    </row>
    <row r="224" spans="1:2" x14ac:dyDescent="0.25">
      <c r="A224" s="19" t="s">
        <v>1325</v>
      </c>
      <c r="B224" s="5">
        <v>1</v>
      </c>
    </row>
    <row r="225" spans="1:2" x14ac:dyDescent="0.25">
      <c r="A225" s="19" t="s">
        <v>86</v>
      </c>
      <c r="B225" s="5">
        <v>1</v>
      </c>
    </row>
    <row r="226" spans="1:2" x14ac:dyDescent="0.25">
      <c r="A226" s="19" t="s">
        <v>1328</v>
      </c>
      <c r="B226" s="5">
        <v>1</v>
      </c>
    </row>
    <row r="227" spans="1:2" x14ac:dyDescent="0.25">
      <c r="A227" s="19" t="s">
        <v>87</v>
      </c>
      <c r="B227" s="5">
        <v>1</v>
      </c>
    </row>
    <row r="228" spans="1:2" x14ac:dyDescent="0.25">
      <c r="A228" s="19" t="s">
        <v>1330</v>
      </c>
      <c r="B228" s="5">
        <v>1</v>
      </c>
    </row>
    <row r="229" spans="1:2" x14ac:dyDescent="0.25">
      <c r="A229" s="19" t="s">
        <v>95</v>
      </c>
      <c r="B229" s="5">
        <v>1</v>
      </c>
    </row>
    <row r="230" spans="1:2" x14ac:dyDescent="0.25">
      <c r="A230" s="19" t="s">
        <v>1319</v>
      </c>
      <c r="B230" s="5">
        <v>1</v>
      </c>
    </row>
    <row r="231" spans="1:2" x14ac:dyDescent="0.25">
      <c r="A231" s="19" t="s">
        <v>96</v>
      </c>
      <c r="B231" s="5">
        <v>1</v>
      </c>
    </row>
    <row r="232" spans="1:2" x14ac:dyDescent="0.25">
      <c r="A232" s="19" t="s">
        <v>1321</v>
      </c>
      <c r="B232" s="5">
        <v>1</v>
      </c>
    </row>
    <row r="233" spans="1:2" x14ac:dyDescent="0.25">
      <c r="A233" s="19" t="s">
        <v>136</v>
      </c>
      <c r="B233" s="5">
        <v>1</v>
      </c>
    </row>
    <row r="234" spans="1:2" x14ac:dyDescent="0.25">
      <c r="A234" s="19" t="s">
        <v>220</v>
      </c>
      <c r="B234" s="5">
        <v>1</v>
      </c>
    </row>
    <row r="235" spans="1:2" x14ac:dyDescent="0.25">
      <c r="A235" s="19" t="s">
        <v>137</v>
      </c>
      <c r="B235" s="5">
        <v>1</v>
      </c>
    </row>
    <row r="236" spans="1:2" x14ac:dyDescent="0.25">
      <c r="A236" s="19" t="s">
        <v>260</v>
      </c>
      <c r="B236" s="5">
        <v>260</v>
      </c>
    </row>
  </sheetData>
  <conditionalFormatting pivot="1" sqref="B2:B14 B16:B21 B23 B25:B31 B33 B35 B37:B53 B55 B57 B59 B61 B63:B93 B95 B97 B99 B101 B103 B105 B107 B109 B111 B113 B115 B117:B168 B170 B172 B174 B177 B179 B181 B183 B185 B187 B189 B191 B193 B195 B197 B199 B201 B203 B205 B207 B209 B211 B213 B215 B217 B219 B221 B223 B225 B227 B229 B231 B233:B235">
    <cfRule type="colorScale" priority="1">
      <colorScale>
        <cfvo type="min"/>
        <cfvo type="percentile" val="50"/>
        <cfvo type="max"/>
        <color rgb="FF63BE7B"/>
        <color rgb="FFFFEB84"/>
        <color rgb="FFF8696B"/>
      </colorScale>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5">
    <tabColor rgb="FF0070C0"/>
  </sheetPr>
  <dimension ref="A1:AJ258"/>
  <sheetViews>
    <sheetView workbookViewId="0">
      <pane xSplit="1" ySplit="2" topLeftCell="B192" activePane="bottomRight" state="frozen"/>
      <selection pane="topRight" activeCell="B1" sqref="B1"/>
      <selection pane="bottomLeft" activeCell="A3" sqref="A3"/>
      <selection pane="bottomRight" activeCell="D258" sqref="D258"/>
    </sheetView>
  </sheetViews>
  <sheetFormatPr baseColWidth="10" defaultColWidth="11.42578125" defaultRowHeight="15" x14ac:dyDescent="0.25"/>
  <cols>
    <col min="1" max="1" width="43.28515625" customWidth="1"/>
    <col min="5" max="5" width="24.140625" bestFit="1" customWidth="1"/>
    <col min="6" max="6" width="14.42578125" customWidth="1"/>
    <col min="7" max="7" width="21.28515625" customWidth="1"/>
    <col min="8" max="8" width="16.28515625" customWidth="1"/>
    <col min="12" max="12" width="22.28515625" customWidth="1"/>
    <col min="13" max="13" width="39.28515625" customWidth="1"/>
    <col min="15" max="15" width="14.140625" customWidth="1"/>
    <col min="16" max="16" width="27.85546875" customWidth="1"/>
    <col min="17" max="17" width="26.85546875" customWidth="1"/>
    <col min="18" max="28" width="18" customWidth="1"/>
    <col min="29" max="29" width="22.5703125" customWidth="1"/>
    <col min="30" max="30" width="18" customWidth="1"/>
    <col min="31" max="31" width="13.7109375" customWidth="1"/>
    <col min="32" max="32" width="13.85546875" customWidth="1"/>
    <col min="34" max="34" width="14.140625" customWidth="1"/>
    <col min="35" max="35" width="14" customWidth="1"/>
    <col min="36" max="36" width="19.28515625" customWidth="1"/>
  </cols>
  <sheetData>
    <row r="1" spans="1:36" ht="23.25" x14ac:dyDescent="0.35">
      <c r="A1" s="45"/>
    </row>
    <row r="2" spans="1:36" x14ac:dyDescent="0.25">
      <c r="A2" t="s">
        <v>370</v>
      </c>
      <c r="B2" t="s">
        <v>371</v>
      </c>
      <c r="C2" t="s">
        <v>372</v>
      </c>
      <c r="D2" t="s">
        <v>373</v>
      </c>
      <c r="E2" t="s">
        <v>374</v>
      </c>
      <c r="F2" s="43" t="s">
        <v>375</v>
      </c>
      <c r="G2" t="s">
        <v>376</v>
      </c>
      <c r="H2" t="s">
        <v>377</v>
      </c>
      <c r="I2" t="s">
        <v>378</v>
      </c>
      <c r="J2" t="s">
        <v>379</v>
      </c>
      <c r="K2" t="s">
        <v>380</v>
      </c>
      <c r="L2" t="s">
        <v>381</v>
      </c>
      <c r="M2" t="s">
        <v>382</v>
      </c>
      <c r="N2" t="s">
        <v>383</v>
      </c>
      <c r="O2" t="s">
        <v>284</v>
      </c>
      <c r="P2" t="s">
        <v>384</v>
      </c>
      <c r="Q2" s="2" t="s">
        <v>1</v>
      </c>
      <c r="R2" s="75" t="s">
        <v>385</v>
      </c>
      <c r="S2" s="2" t="s">
        <v>386</v>
      </c>
      <c r="T2" s="2" t="s">
        <v>387</v>
      </c>
      <c r="U2" s="2" t="s">
        <v>388</v>
      </c>
      <c r="V2" s="2" t="s">
        <v>389</v>
      </c>
      <c r="W2" s="2" t="s">
        <v>390</v>
      </c>
      <c r="X2" s="2" t="s">
        <v>391</v>
      </c>
      <c r="Y2" s="2" t="s">
        <v>392</v>
      </c>
      <c r="Z2" s="2" t="s">
        <v>393</v>
      </c>
      <c r="AA2" s="2" t="s">
        <v>394</v>
      </c>
      <c r="AB2" s="2" t="s">
        <v>395</v>
      </c>
      <c r="AC2" s="2" t="s">
        <v>396</v>
      </c>
      <c r="AD2" s="2" t="s">
        <v>397</v>
      </c>
      <c r="AE2" s="2" t="s">
        <v>398</v>
      </c>
      <c r="AF2" s="2" t="s">
        <v>399</v>
      </c>
      <c r="AG2" s="2" t="s">
        <v>400</v>
      </c>
      <c r="AH2" s="2" t="s">
        <v>401</v>
      </c>
      <c r="AI2" s="2" t="s">
        <v>402</v>
      </c>
      <c r="AJ2" s="2" t="s">
        <v>286</v>
      </c>
    </row>
    <row r="3" spans="1:36" hidden="1" x14ac:dyDescent="0.25">
      <c r="A3" t="s">
        <v>220</v>
      </c>
      <c r="F3">
        <v>1</v>
      </c>
      <c r="K3" t="s">
        <v>403</v>
      </c>
      <c r="L3" t="s">
        <v>404</v>
      </c>
      <c r="O3">
        <v>10006791</v>
      </c>
      <c r="P3" t="s">
        <v>405</v>
      </c>
      <c r="Q3">
        <f>VLOOKUP(TabOceanet[VM_name],TabVMEnv[],3,FALSE)</f>
        <v>0</v>
      </c>
      <c r="R3" s="5" t="str">
        <f>IF(VLOOKUP(TabOceanet[VM_name],TabVMEnv[],2,FALSE) = "","Non","")</f>
        <v/>
      </c>
      <c r="S3" s="5">
        <f>IF(TabOceanet[[#This Row],[Type_tarif]]="Tarif_VLAN",1,0)</f>
        <v>0</v>
      </c>
      <c r="T3" s="5">
        <f>TabOceanet[[#This Row],[isCalcVlan]]*TabOceanet[[#This Row],[Nb_article]]*Tarif_VLAN</f>
        <v>0</v>
      </c>
      <c r="U3" s="5">
        <f>IF(TabOceanet[[#This Row],[Type_tarif]]="Tarif_IPPUB",1,0)</f>
        <v>0</v>
      </c>
      <c r="V3" s="5">
        <f>TabOceanet[[#This Row],[isCalcIpPub]]*TabOceanet[[#This Row],[Nb_article]]*Tarif_IPPUB</f>
        <v>0</v>
      </c>
      <c r="W3" s="5">
        <f>IF(TabOceanet[[#This Row],[Type_tarif]]="Tarif_DNS",1,0)</f>
        <v>0</v>
      </c>
      <c r="X3" s="5">
        <f>TabOceanet[[#This Row],[isCalcDns]]*TabOceanet[[#This Row],[Nb_article]]*Tarif_DNS</f>
        <v>0</v>
      </c>
      <c r="Y3" s="5">
        <f>IF(TabOceanet[[#This Row],[Type_tarif]]="Tarif_Certificat_X509_Simple",1,0)</f>
        <v>0</v>
      </c>
      <c r="Z3" s="5">
        <f>TabOceanet[[#This Row],[isCalcCertSimple]]*TabOceanet[[#This Row],[Nb_article]]*Tarif_Certificat_X509_Simple</f>
        <v>0</v>
      </c>
      <c r="AA3" s="5">
        <f>IF(TabOceanet[[#This Row],[Type_tarif]]="Tarif_Certificat_X509_Wildcard",1,0)</f>
        <v>0</v>
      </c>
      <c r="AB3" s="5">
        <f>TabOceanet[[#This Row],[isCalcCertWild]]*TabOceanet[[#This Row],[Nb_article]]*Tarif_Certificat_X509_Wildcard</f>
        <v>0</v>
      </c>
      <c r="AC3" s="5">
        <f>IF(TabOceanet[[#This Row],[Type_tarif]]="Tarif_Astreinte_24_24_7_7",1,0)</f>
        <v>1</v>
      </c>
      <c r="AD3" s="5">
        <f>TabOceanet[[#This Row],[isCalcAstreinte247]]*TabOceanet[[#This Row],[Nb_article]]*Tarif_Astreinte_24_24_7_7</f>
        <v>50</v>
      </c>
      <c r="AE3" s="5">
        <f>IF(TabOceanet[[#This Row],[VM_status]]="PoweredOn",1,0)</f>
        <v>0</v>
      </c>
      <c r="AF3" s="17">
        <f>TabOceanet[[#This Row],[VM_mem]]*Tarif_Ram</f>
        <v>0</v>
      </c>
      <c r="AG3" s="5" t="str">
        <f>MID(TabOceanet[[#This Row],[Backup]],29,20)</f>
        <v/>
      </c>
      <c r="AH3" s="17">
        <f>IF(LEFT(TabOceanet[[#This Row],[TypeBAK]],3)="HOR",Tarif_Backup_Horaire*TabOceanet[[#This Row],[VM_disk]],IF(LEFT(TabOceanet[[#This Row],[TypeBAK]],3)="J15",Tarif_Backup_J15*TabOceanet[[#This Row],[VM_disk]],IF(LEFT(TabOceanet[[#This Row],[TypeBAK]],3)="H1_",Tarif_Backup_J15*TabOceanet[[#This Row],[VM_disk]],0)))</f>
        <v>0</v>
      </c>
      <c r="AI3" s="17">
        <f>TabOceanet[[#This Row],[VM_disk]]*Tarif_disque</f>
        <v>0</v>
      </c>
      <c r="AJ3"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50</v>
      </c>
    </row>
    <row r="4" spans="1:36" hidden="1" x14ac:dyDescent="0.25">
      <c r="A4" t="s">
        <v>221</v>
      </c>
      <c r="F4">
        <v>1</v>
      </c>
      <c r="K4" t="s">
        <v>403</v>
      </c>
      <c r="L4" t="s">
        <v>404</v>
      </c>
      <c r="O4">
        <v>10006791</v>
      </c>
      <c r="P4" t="s">
        <v>405</v>
      </c>
      <c r="Q4">
        <f>VLOOKUP(TabOceanet[VM_name],TabVMEnv[],3,FALSE)</f>
        <v>0</v>
      </c>
      <c r="R4" s="5" t="str">
        <f>IF(VLOOKUP(TabOceanet[VM_name],TabVMEnv[],2,FALSE) = "","Non","")</f>
        <v/>
      </c>
      <c r="S4" s="5">
        <f>IF(TabOceanet[[#This Row],[Type_tarif]]="Tarif_VLAN",1,0)</f>
        <v>0</v>
      </c>
      <c r="T4" s="5">
        <f>TabOceanet[[#This Row],[isCalcVlan]]*TabOceanet[[#This Row],[Nb_article]]*Tarif_VLAN</f>
        <v>0</v>
      </c>
      <c r="U4" s="5">
        <f>IF(TabOceanet[[#This Row],[Type_tarif]]="Tarif_IPPUB",1,0)</f>
        <v>0</v>
      </c>
      <c r="V4" s="5">
        <f>TabOceanet[[#This Row],[isCalcIpPub]]*TabOceanet[[#This Row],[Nb_article]]*Tarif_IPPUB</f>
        <v>0</v>
      </c>
      <c r="W4" s="5">
        <f>IF(TabOceanet[[#This Row],[Type_tarif]]="Tarif_DNS",1,0)</f>
        <v>0</v>
      </c>
      <c r="X4" s="5">
        <f>TabOceanet[[#This Row],[isCalcDns]]*TabOceanet[[#This Row],[Nb_article]]*Tarif_DNS</f>
        <v>0</v>
      </c>
      <c r="Y4" s="5">
        <f>IF(TabOceanet[[#This Row],[Type_tarif]]="Tarif_Certificat_X509_Simple",1,0)</f>
        <v>0</v>
      </c>
      <c r="Z4" s="5">
        <f>TabOceanet[[#This Row],[isCalcCertSimple]]*TabOceanet[[#This Row],[Nb_article]]*Tarif_Certificat_X509_Simple</f>
        <v>0</v>
      </c>
      <c r="AA4" s="5">
        <f>IF(TabOceanet[[#This Row],[Type_tarif]]="Tarif_Certificat_X509_Wildcard",1,0)</f>
        <v>0</v>
      </c>
      <c r="AB4" s="5">
        <f>TabOceanet[[#This Row],[isCalcCertWild]]*TabOceanet[[#This Row],[Nb_article]]*Tarif_Certificat_X509_Wildcard</f>
        <v>0</v>
      </c>
      <c r="AC4" s="5">
        <f>IF(TabOceanet[[#This Row],[Type_tarif]]="Tarif_Astreinte_24_24_7_7",1,0)</f>
        <v>1</v>
      </c>
      <c r="AD4" s="5">
        <f>TabOceanet[[#This Row],[isCalcAstreinte247]]*TabOceanet[[#This Row],[Nb_article]]*Tarif_Astreinte_24_24_7_7</f>
        <v>50</v>
      </c>
      <c r="AE4" s="5">
        <f>IF(TabOceanet[[#This Row],[VM_status]]="PoweredOn",1,0)</f>
        <v>0</v>
      </c>
      <c r="AF4" s="17">
        <f>TabOceanet[[#This Row],[VM_mem]]*Tarif_Ram</f>
        <v>0</v>
      </c>
      <c r="AG4" s="5" t="str">
        <f>MID(TabOceanet[[#This Row],[Backup]],29,20)</f>
        <v/>
      </c>
      <c r="AH4" s="17">
        <f>IF(LEFT(TabOceanet[[#This Row],[TypeBAK]],3)="HOR",Tarif_Backup_Horaire*TabOceanet[[#This Row],[VM_disk]],IF(LEFT(TabOceanet[[#This Row],[TypeBAK]],3)="J15",Tarif_Backup_J15*TabOceanet[[#This Row],[VM_disk]],IF(LEFT(TabOceanet[[#This Row],[TypeBAK]],3)="H1_",Tarif_Backup_J15*TabOceanet[[#This Row],[VM_disk]],0)))</f>
        <v>0</v>
      </c>
      <c r="AI4" s="17">
        <f>TabOceanet[[#This Row],[VM_disk]]*Tarif_disque</f>
        <v>0</v>
      </c>
      <c r="AJ4"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50</v>
      </c>
    </row>
    <row r="5" spans="1:36" hidden="1" x14ac:dyDescent="0.25">
      <c r="A5" t="s">
        <v>222</v>
      </c>
      <c r="F5">
        <v>1</v>
      </c>
      <c r="K5" t="s">
        <v>403</v>
      </c>
      <c r="L5" t="s">
        <v>404</v>
      </c>
      <c r="O5">
        <v>10006791</v>
      </c>
      <c r="P5" t="s">
        <v>405</v>
      </c>
      <c r="Q5">
        <f>VLOOKUP(TabOceanet[VM_name],TabVMEnv[],3,FALSE)</f>
        <v>0</v>
      </c>
      <c r="R5" s="5" t="str">
        <f>IF(VLOOKUP(TabOceanet[VM_name],TabVMEnv[],2,FALSE) = "","Non","")</f>
        <v/>
      </c>
      <c r="S5" s="5">
        <f>IF(TabOceanet[[#This Row],[Type_tarif]]="Tarif_VLAN",1,0)</f>
        <v>0</v>
      </c>
      <c r="T5" s="5">
        <f>TabOceanet[[#This Row],[isCalcVlan]]*TabOceanet[[#This Row],[Nb_article]]*Tarif_VLAN</f>
        <v>0</v>
      </c>
      <c r="U5" s="5">
        <f>IF(TabOceanet[[#This Row],[Type_tarif]]="Tarif_IPPUB",1,0)</f>
        <v>0</v>
      </c>
      <c r="V5" s="5">
        <f>TabOceanet[[#This Row],[isCalcIpPub]]*TabOceanet[[#This Row],[Nb_article]]*Tarif_IPPUB</f>
        <v>0</v>
      </c>
      <c r="W5" s="5">
        <f>IF(TabOceanet[[#This Row],[Type_tarif]]="Tarif_DNS",1,0)</f>
        <v>0</v>
      </c>
      <c r="X5" s="5">
        <f>TabOceanet[[#This Row],[isCalcDns]]*TabOceanet[[#This Row],[Nb_article]]*Tarif_DNS</f>
        <v>0</v>
      </c>
      <c r="Y5" s="5">
        <f>IF(TabOceanet[[#This Row],[Type_tarif]]="Tarif_Certificat_X509_Simple",1,0)</f>
        <v>0</v>
      </c>
      <c r="Z5" s="5">
        <f>TabOceanet[[#This Row],[isCalcCertSimple]]*TabOceanet[[#This Row],[Nb_article]]*Tarif_Certificat_X509_Simple</f>
        <v>0</v>
      </c>
      <c r="AA5" s="5">
        <f>IF(TabOceanet[[#This Row],[Type_tarif]]="Tarif_Certificat_X509_Wildcard",1,0)</f>
        <v>0</v>
      </c>
      <c r="AB5" s="5">
        <f>TabOceanet[[#This Row],[isCalcCertWild]]*TabOceanet[[#This Row],[Nb_article]]*Tarif_Certificat_X509_Wildcard</f>
        <v>0</v>
      </c>
      <c r="AC5" s="5">
        <f>IF(TabOceanet[[#This Row],[Type_tarif]]="Tarif_Astreinte_24_24_7_7",1,0)</f>
        <v>1</v>
      </c>
      <c r="AD5" s="5">
        <f>TabOceanet[[#This Row],[isCalcAstreinte247]]*TabOceanet[[#This Row],[Nb_article]]*Tarif_Astreinte_24_24_7_7</f>
        <v>50</v>
      </c>
      <c r="AE5" s="5">
        <f>IF(TabOceanet[[#This Row],[VM_status]]="PoweredOn",1,0)</f>
        <v>0</v>
      </c>
      <c r="AF5" s="17">
        <f>TabOceanet[[#This Row],[VM_mem]]*Tarif_Ram</f>
        <v>0</v>
      </c>
      <c r="AG5" s="5" t="str">
        <f>MID(TabOceanet[[#This Row],[Backup]],29,20)</f>
        <v/>
      </c>
      <c r="AH5" s="17">
        <f>IF(LEFT(TabOceanet[[#This Row],[TypeBAK]],3)="HOR",Tarif_Backup_Horaire*TabOceanet[[#This Row],[VM_disk]],IF(LEFT(TabOceanet[[#This Row],[TypeBAK]],3)="J15",Tarif_Backup_J15*TabOceanet[[#This Row],[VM_disk]],IF(LEFT(TabOceanet[[#This Row],[TypeBAK]],3)="H1_",Tarif_Backup_J15*TabOceanet[[#This Row],[VM_disk]],0)))</f>
        <v>0</v>
      </c>
      <c r="AI5" s="17">
        <f>TabOceanet[[#This Row],[VM_disk]]*Tarif_disque</f>
        <v>0</v>
      </c>
      <c r="AJ5"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50</v>
      </c>
    </row>
    <row r="6" spans="1:36" hidden="1" x14ac:dyDescent="0.25">
      <c r="A6" t="s">
        <v>223</v>
      </c>
      <c r="F6">
        <v>1</v>
      </c>
      <c r="K6" t="s">
        <v>403</v>
      </c>
      <c r="L6" t="s">
        <v>404</v>
      </c>
      <c r="O6">
        <v>10006791</v>
      </c>
      <c r="P6" t="s">
        <v>405</v>
      </c>
      <c r="Q6">
        <f>VLOOKUP(TabOceanet[VM_name],TabVMEnv[],3,FALSE)</f>
        <v>0</v>
      </c>
      <c r="R6" s="5" t="str">
        <f>IF(VLOOKUP(TabOceanet[VM_name],TabVMEnv[],2,FALSE) = "","Non","")</f>
        <v/>
      </c>
      <c r="S6" s="5">
        <f>IF(TabOceanet[[#This Row],[Type_tarif]]="Tarif_VLAN",1,0)</f>
        <v>0</v>
      </c>
      <c r="T6" s="5">
        <f>TabOceanet[[#This Row],[isCalcVlan]]*TabOceanet[[#This Row],[Nb_article]]*Tarif_VLAN</f>
        <v>0</v>
      </c>
      <c r="U6" s="5">
        <f>IF(TabOceanet[[#This Row],[Type_tarif]]="Tarif_IPPUB",1,0)</f>
        <v>0</v>
      </c>
      <c r="V6" s="5">
        <f>TabOceanet[[#This Row],[isCalcIpPub]]*TabOceanet[[#This Row],[Nb_article]]*Tarif_IPPUB</f>
        <v>0</v>
      </c>
      <c r="W6" s="5">
        <f>IF(TabOceanet[[#This Row],[Type_tarif]]="Tarif_DNS",1,0)</f>
        <v>0</v>
      </c>
      <c r="X6" s="5">
        <f>TabOceanet[[#This Row],[isCalcDns]]*TabOceanet[[#This Row],[Nb_article]]*Tarif_DNS</f>
        <v>0</v>
      </c>
      <c r="Y6" s="5">
        <f>IF(TabOceanet[[#This Row],[Type_tarif]]="Tarif_Certificat_X509_Simple",1,0)</f>
        <v>0</v>
      </c>
      <c r="Z6" s="5">
        <f>TabOceanet[[#This Row],[isCalcCertSimple]]*TabOceanet[[#This Row],[Nb_article]]*Tarif_Certificat_X509_Simple</f>
        <v>0</v>
      </c>
      <c r="AA6" s="5">
        <f>IF(TabOceanet[[#This Row],[Type_tarif]]="Tarif_Certificat_X509_Wildcard",1,0)</f>
        <v>0</v>
      </c>
      <c r="AB6" s="5">
        <f>TabOceanet[[#This Row],[isCalcCertWild]]*TabOceanet[[#This Row],[Nb_article]]*Tarif_Certificat_X509_Wildcard</f>
        <v>0</v>
      </c>
      <c r="AC6" s="5">
        <f>IF(TabOceanet[[#This Row],[Type_tarif]]="Tarif_Astreinte_24_24_7_7",1,0)</f>
        <v>1</v>
      </c>
      <c r="AD6" s="5">
        <f>TabOceanet[[#This Row],[isCalcAstreinte247]]*TabOceanet[[#This Row],[Nb_article]]*Tarif_Astreinte_24_24_7_7</f>
        <v>50</v>
      </c>
      <c r="AE6" s="5">
        <f>IF(TabOceanet[[#This Row],[VM_status]]="PoweredOn",1,0)</f>
        <v>0</v>
      </c>
      <c r="AF6" s="17">
        <f>TabOceanet[[#This Row],[VM_mem]]*Tarif_Ram</f>
        <v>0</v>
      </c>
      <c r="AG6" s="5" t="str">
        <f>MID(TabOceanet[[#This Row],[Backup]],29,20)</f>
        <v/>
      </c>
      <c r="AH6" s="17">
        <f>IF(LEFT(TabOceanet[[#This Row],[TypeBAK]],3)="HOR",Tarif_Backup_Horaire*TabOceanet[[#This Row],[VM_disk]],IF(LEFT(TabOceanet[[#This Row],[TypeBAK]],3)="J15",Tarif_Backup_J15*TabOceanet[[#This Row],[VM_disk]],IF(LEFT(TabOceanet[[#This Row],[TypeBAK]],3)="H1_",Tarif_Backup_J15*TabOceanet[[#This Row],[VM_disk]],0)))</f>
        <v>0</v>
      </c>
      <c r="AI6" s="17">
        <f>TabOceanet[[#This Row],[VM_disk]]*Tarif_disque</f>
        <v>0</v>
      </c>
      <c r="AJ6"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50</v>
      </c>
    </row>
    <row r="7" spans="1:36" x14ac:dyDescent="0.25">
      <c r="A7" t="s">
        <v>1272</v>
      </c>
      <c r="B7">
        <v>0</v>
      </c>
      <c r="C7">
        <v>0</v>
      </c>
      <c r="D7">
        <v>7</v>
      </c>
      <c r="H7" t="s">
        <v>1274</v>
      </c>
      <c r="J7" t="s">
        <v>414</v>
      </c>
      <c r="K7" t="s">
        <v>408</v>
      </c>
      <c r="L7" t="s">
        <v>410</v>
      </c>
      <c r="M7" t="s">
        <v>411</v>
      </c>
      <c r="N7" t="s">
        <v>412</v>
      </c>
      <c r="O7">
        <v>10006791</v>
      </c>
      <c r="P7" t="s">
        <v>413</v>
      </c>
      <c r="Q7" s="5">
        <f>VLOOKUP(TabOceanet[VM_name],TabVMEnv[],3,FALSE)</f>
        <v>0</v>
      </c>
      <c r="R7" s="5" t="str">
        <f>IF(VLOOKUP(TabOceanet[VM_name],TabVMEnv[],2,FALSE) = "","Non","")</f>
        <v/>
      </c>
      <c r="S7" s="5">
        <f>IF(TabOceanet[[#This Row],[Type_tarif]]="Tarif_VLAN",1,0)</f>
        <v>0</v>
      </c>
      <c r="T7" s="5">
        <f>TabOceanet[[#This Row],[isCalcVlan]]*TabOceanet[[#This Row],[Nb_article]]*Tarif_VLAN</f>
        <v>0</v>
      </c>
      <c r="U7" s="5">
        <f>IF(TabOceanet[[#This Row],[Type_tarif]]="Tarif_IPPUB",1,0)</f>
        <v>0</v>
      </c>
      <c r="V7" s="5">
        <f>TabOceanet[[#This Row],[isCalcIpPub]]*TabOceanet[[#This Row],[Nb_article]]*Tarif_IPPUB</f>
        <v>0</v>
      </c>
      <c r="W7" s="5">
        <f>IF(TabOceanet[[#This Row],[Type_tarif]]="Tarif_DNS",1,0)</f>
        <v>0</v>
      </c>
      <c r="X7" s="5">
        <f>TabOceanet[[#This Row],[isCalcDns]]*TabOceanet[[#This Row],[Nb_article]]*Tarif_DNS</f>
        <v>0</v>
      </c>
      <c r="Y7" s="5">
        <f>IF(TabOceanet[[#This Row],[Type_tarif]]="Tarif_Certificat_X509_Simple",1,0)</f>
        <v>0</v>
      </c>
      <c r="Z7" s="5">
        <f>TabOceanet[[#This Row],[isCalcCertSimple]]*TabOceanet[[#This Row],[Nb_article]]*Tarif_Certificat_X509_Simple</f>
        <v>0</v>
      </c>
      <c r="AA7" s="5">
        <f>IF(TabOceanet[[#This Row],[Type_tarif]]="Tarif_Certificat_X509_Wildcard",1,0)</f>
        <v>0</v>
      </c>
      <c r="AB7" s="5">
        <f>TabOceanet[[#This Row],[isCalcCertWild]]*TabOceanet[[#This Row],[Nb_article]]*Tarif_Certificat_X509_Wildcard</f>
        <v>0</v>
      </c>
      <c r="AC7" s="5">
        <f>IF(TabOceanet[[#This Row],[Type_tarif]]="Tarif_Astreinte_24_24_7_7",1,0)</f>
        <v>0</v>
      </c>
      <c r="AD7" s="5">
        <f>TabOceanet[[#This Row],[isCalcAstreinte247]]*TabOceanet[[#This Row],[Nb_article]]*Tarif_Astreinte_24_24_7_7</f>
        <v>0</v>
      </c>
      <c r="AE7" s="5">
        <f>IF(TabOceanet[[#This Row],[VM_status]]="PoweredOn",1,0)</f>
        <v>0</v>
      </c>
      <c r="AF7" s="17">
        <f>TabOceanet[[#This Row],[VM_mem]]*Tarif_Ram</f>
        <v>0</v>
      </c>
      <c r="AG7" s="5" t="str">
        <f>MID(TabOceanet[[#This Row],[Backup]],29,20)</f>
        <v>H1_Ve</v>
      </c>
      <c r="AH7" s="25">
        <f>IF(LEFT(TabOceanet[[#This Row],[TypeBAK]],3)="HOR",Tarif_Backup_Horaire*TabOceanet[[#This Row],[VM_disk]],IF(LEFT(TabOceanet[[#This Row],[TypeBAK]],3)="J15",Tarif_Backup_J15*TabOceanet[[#This Row],[VM_disk]],IF(LEFT(TabOceanet[[#This Row],[TypeBAK]],3)="H1_",Tarif_Backup_J15*TabOceanet[[#This Row],[VM_disk]],0)))</f>
        <v>1.61</v>
      </c>
      <c r="AI7" s="17">
        <f>TabOceanet[[#This Row],[VM_disk]]*Tarif_disque</f>
        <v>0</v>
      </c>
      <c r="AJ7"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1.61</v>
      </c>
    </row>
    <row r="8" spans="1:36" hidden="1" x14ac:dyDescent="0.25">
      <c r="A8" t="s">
        <v>121</v>
      </c>
      <c r="F8">
        <v>1</v>
      </c>
      <c r="K8" t="s">
        <v>406</v>
      </c>
      <c r="O8">
        <v>10006791</v>
      </c>
      <c r="P8" t="s">
        <v>407</v>
      </c>
      <c r="Q8">
        <f>VLOOKUP(TabOceanet[VM_name],TabVMEnv[],3,FALSE)</f>
        <v>0</v>
      </c>
      <c r="R8" s="5" t="str">
        <f>IF(VLOOKUP(TabOceanet[VM_name],TabVMEnv[],2,FALSE) = "","Non","")</f>
        <v/>
      </c>
      <c r="S8" s="5">
        <f>IF(TabOceanet[[#This Row],[Type_tarif]]="Tarif_VLAN",1,0)</f>
        <v>0</v>
      </c>
      <c r="T8" s="5">
        <f>TabOceanet[[#This Row],[isCalcVlan]]*TabOceanet[[#This Row],[Nb_article]]*Tarif_VLAN</f>
        <v>0</v>
      </c>
      <c r="U8" s="5">
        <f>IF(TabOceanet[[#This Row],[Type_tarif]]="Tarif_IPPUB",1,0)</f>
        <v>0</v>
      </c>
      <c r="V8" s="5">
        <f>TabOceanet[[#This Row],[isCalcIpPub]]*TabOceanet[[#This Row],[Nb_article]]*Tarif_IPPUB</f>
        <v>0</v>
      </c>
      <c r="W8" s="5">
        <f>IF(TabOceanet[[#This Row],[Type_tarif]]="Tarif_DNS",1,0)</f>
        <v>0</v>
      </c>
      <c r="X8" s="5">
        <f>TabOceanet[[#This Row],[isCalcDns]]*TabOceanet[[#This Row],[Nb_article]]*Tarif_DNS</f>
        <v>0</v>
      </c>
      <c r="Y8" s="5">
        <f>IF(TabOceanet[[#This Row],[Type_tarif]]="Tarif_Certificat_X509_Simple",1,0)</f>
        <v>0</v>
      </c>
      <c r="Z8" s="5">
        <f>TabOceanet[[#This Row],[isCalcCertSimple]]*TabOceanet[[#This Row],[Nb_article]]*Tarif_Certificat_X509_Simple</f>
        <v>0</v>
      </c>
      <c r="AA8" s="5">
        <f>IF(TabOceanet[[#This Row],[Type_tarif]]="Tarif_Certificat_X509_Wildcard",1,0)</f>
        <v>1</v>
      </c>
      <c r="AB8" s="5">
        <f>TabOceanet[[#This Row],[isCalcCertWild]]*TabOceanet[[#This Row],[Nb_article]]*Tarif_Certificat_X509_Wildcard</f>
        <v>45</v>
      </c>
      <c r="AC8" s="5">
        <f>IF(TabOceanet[[#This Row],[Type_tarif]]="Tarif_Astreinte_24_24_7_7",1,0)</f>
        <v>0</v>
      </c>
      <c r="AD8" s="5">
        <f>TabOceanet[[#This Row],[isCalcAstreinte247]]*TabOceanet[[#This Row],[Nb_article]]*Tarif_Astreinte_24_24_7_7</f>
        <v>0</v>
      </c>
      <c r="AE8" s="5">
        <f>IF(TabOceanet[[#This Row],[VM_status]]="PoweredOn",1,0)</f>
        <v>0</v>
      </c>
      <c r="AF8" s="17">
        <f>TabOceanet[[#This Row],[VM_mem]]*Tarif_Ram</f>
        <v>0</v>
      </c>
      <c r="AG8" s="5" t="str">
        <f>MID(TabOceanet[[#This Row],[Backup]],29,20)</f>
        <v/>
      </c>
      <c r="AH8" s="17">
        <f>IF(LEFT(TabOceanet[[#This Row],[TypeBAK]],3)="HOR",Tarif_Backup_Horaire*TabOceanet[[#This Row],[VM_disk]],IF(LEFT(TabOceanet[[#This Row],[TypeBAK]],3)="J15",Tarif_Backup_J15*TabOceanet[[#This Row],[VM_disk]],IF(LEFT(TabOceanet[[#This Row],[TypeBAK]],3)="H1_",Tarif_Backup_J15*TabOceanet[[#This Row],[VM_disk]],0)))</f>
        <v>0</v>
      </c>
      <c r="AI8" s="17">
        <f>TabOceanet[[#This Row],[VM_disk]]*Tarif_disque</f>
        <v>0</v>
      </c>
      <c r="AJ8"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45</v>
      </c>
    </row>
    <row r="9" spans="1:36" hidden="1" x14ac:dyDescent="0.25">
      <c r="A9" t="s">
        <v>142</v>
      </c>
      <c r="F9">
        <v>1</v>
      </c>
      <c r="K9" t="s">
        <v>406</v>
      </c>
      <c r="O9">
        <v>10006791</v>
      </c>
      <c r="P9" t="s">
        <v>407</v>
      </c>
      <c r="Q9">
        <f>VLOOKUP(TabOceanet[VM_name],TabVMEnv[],3,FALSE)</f>
        <v>0</v>
      </c>
      <c r="R9" s="5" t="str">
        <f>IF(VLOOKUP(TabOceanet[VM_name],TabVMEnv[],2,FALSE) = "","Non","")</f>
        <v/>
      </c>
      <c r="S9" s="5">
        <f>IF(TabOceanet[[#This Row],[Type_tarif]]="Tarif_VLAN",1,0)</f>
        <v>0</v>
      </c>
      <c r="T9" s="5">
        <f>TabOceanet[[#This Row],[isCalcVlan]]*TabOceanet[[#This Row],[Nb_article]]*Tarif_VLAN</f>
        <v>0</v>
      </c>
      <c r="U9" s="5">
        <f>IF(TabOceanet[[#This Row],[Type_tarif]]="Tarif_IPPUB",1,0)</f>
        <v>0</v>
      </c>
      <c r="V9" s="5">
        <f>TabOceanet[[#This Row],[isCalcIpPub]]*TabOceanet[[#This Row],[Nb_article]]*Tarif_IPPUB</f>
        <v>0</v>
      </c>
      <c r="W9" s="5">
        <f>IF(TabOceanet[[#This Row],[Type_tarif]]="Tarif_DNS",1,0)</f>
        <v>0</v>
      </c>
      <c r="X9" s="5">
        <f>TabOceanet[[#This Row],[isCalcDns]]*TabOceanet[[#This Row],[Nb_article]]*Tarif_DNS</f>
        <v>0</v>
      </c>
      <c r="Y9" s="5">
        <f>IF(TabOceanet[[#This Row],[Type_tarif]]="Tarif_Certificat_X509_Simple",1,0)</f>
        <v>0</v>
      </c>
      <c r="Z9" s="5">
        <f>TabOceanet[[#This Row],[isCalcCertSimple]]*TabOceanet[[#This Row],[Nb_article]]*Tarif_Certificat_X509_Simple</f>
        <v>0</v>
      </c>
      <c r="AA9" s="5">
        <f>IF(TabOceanet[[#This Row],[Type_tarif]]="Tarif_Certificat_X509_Wildcard",1,0)</f>
        <v>1</v>
      </c>
      <c r="AB9" s="5">
        <f>TabOceanet[[#This Row],[isCalcCertWild]]*TabOceanet[[#This Row],[Nb_article]]*Tarif_Certificat_X509_Wildcard</f>
        <v>45</v>
      </c>
      <c r="AC9" s="5">
        <f>IF(TabOceanet[[#This Row],[Type_tarif]]="Tarif_Astreinte_24_24_7_7",1,0)</f>
        <v>0</v>
      </c>
      <c r="AD9" s="5">
        <f>TabOceanet[[#This Row],[isCalcAstreinte247]]*TabOceanet[[#This Row],[Nb_article]]*Tarif_Astreinte_24_24_7_7</f>
        <v>0</v>
      </c>
      <c r="AE9" s="5">
        <f>IF(TabOceanet[[#This Row],[VM_status]]="PoweredOn",1,0)</f>
        <v>0</v>
      </c>
      <c r="AF9" s="17">
        <f>TabOceanet[[#This Row],[VM_mem]]*Tarif_Ram</f>
        <v>0</v>
      </c>
      <c r="AG9" s="5" t="str">
        <f>MID(TabOceanet[[#This Row],[Backup]],29,20)</f>
        <v/>
      </c>
      <c r="AH9" s="17">
        <f>IF(LEFT(TabOceanet[[#This Row],[TypeBAK]],3)="HOR",Tarif_Backup_Horaire*TabOceanet[[#This Row],[VM_disk]],IF(LEFT(TabOceanet[[#This Row],[TypeBAK]],3)="J15",Tarif_Backup_J15*TabOceanet[[#This Row],[VM_disk]],IF(LEFT(TabOceanet[[#This Row],[TypeBAK]],3)="H1_",Tarif_Backup_J15*TabOceanet[[#This Row],[VM_disk]],0)))</f>
        <v>0</v>
      </c>
      <c r="AI9" s="17">
        <f>TabOceanet[[#This Row],[VM_disk]]*Tarif_disque</f>
        <v>0</v>
      </c>
      <c r="AJ9"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45</v>
      </c>
    </row>
    <row r="10" spans="1:36" hidden="1" x14ac:dyDescent="0.25">
      <c r="A10" t="s">
        <v>122</v>
      </c>
      <c r="F10">
        <v>1</v>
      </c>
      <c r="K10" t="s">
        <v>406</v>
      </c>
      <c r="O10">
        <v>10006791</v>
      </c>
      <c r="P10" t="s">
        <v>407</v>
      </c>
      <c r="Q10">
        <f>VLOOKUP(TabOceanet[VM_name],TabVMEnv[],3,FALSE)</f>
        <v>0</v>
      </c>
      <c r="R10" s="5" t="str">
        <f>IF(VLOOKUP(TabOceanet[VM_name],TabVMEnv[],2,FALSE) = "","Non","")</f>
        <v/>
      </c>
      <c r="S10" s="5">
        <f>IF(TabOceanet[[#This Row],[Type_tarif]]="Tarif_VLAN",1,0)</f>
        <v>0</v>
      </c>
      <c r="T10" s="5">
        <f>TabOceanet[[#This Row],[isCalcVlan]]*TabOceanet[[#This Row],[Nb_article]]*Tarif_VLAN</f>
        <v>0</v>
      </c>
      <c r="U10" s="5">
        <f>IF(TabOceanet[[#This Row],[Type_tarif]]="Tarif_IPPUB",1,0)</f>
        <v>0</v>
      </c>
      <c r="V10" s="5">
        <f>TabOceanet[[#This Row],[isCalcIpPub]]*TabOceanet[[#This Row],[Nb_article]]*Tarif_IPPUB</f>
        <v>0</v>
      </c>
      <c r="W10" s="5">
        <f>IF(TabOceanet[[#This Row],[Type_tarif]]="Tarif_DNS",1,0)</f>
        <v>0</v>
      </c>
      <c r="X10" s="5">
        <f>TabOceanet[[#This Row],[isCalcDns]]*TabOceanet[[#This Row],[Nb_article]]*Tarif_DNS</f>
        <v>0</v>
      </c>
      <c r="Y10" s="5">
        <f>IF(TabOceanet[[#This Row],[Type_tarif]]="Tarif_Certificat_X509_Simple",1,0)</f>
        <v>0</v>
      </c>
      <c r="Z10" s="5">
        <f>TabOceanet[[#This Row],[isCalcCertSimple]]*TabOceanet[[#This Row],[Nb_article]]*Tarif_Certificat_X509_Simple</f>
        <v>0</v>
      </c>
      <c r="AA10" s="5">
        <f>IF(TabOceanet[[#This Row],[Type_tarif]]="Tarif_Certificat_X509_Wildcard",1,0)</f>
        <v>1</v>
      </c>
      <c r="AB10" s="5">
        <f>TabOceanet[[#This Row],[isCalcCertWild]]*TabOceanet[[#This Row],[Nb_article]]*Tarif_Certificat_X509_Wildcard</f>
        <v>45</v>
      </c>
      <c r="AC10" s="5">
        <f>IF(TabOceanet[[#This Row],[Type_tarif]]="Tarif_Astreinte_24_24_7_7",1,0)</f>
        <v>0</v>
      </c>
      <c r="AD10" s="5">
        <f>TabOceanet[[#This Row],[isCalcAstreinte247]]*TabOceanet[[#This Row],[Nb_article]]*Tarif_Astreinte_24_24_7_7</f>
        <v>0</v>
      </c>
      <c r="AE10" s="5">
        <f>IF(TabOceanet[[#This Row],[VM_status]]="PoweredOn",1,0)</f>
        <v>0</v>
      </c>
      <c r="AF10" s="17">
        <f>TabOceanet[[#This Row],[VM_mem]]*Tarif_Ram</f>
        <v>0</v>
      </c>
      <c r="AG10" s="5" t="str">
        <f>MID(TabOceanet[[#This Row],[Backup]],29,20)</f>
        <v/>
      </c>
      <c r="AH10" s="17">
        <f>IF(LEFT(TabOceanet[[#This Row],[TypeBAK]],3)="HOR",Tarif_Backup_Horaire*TabOceanet[[#This Row],[VM_disk]],IF(LEFT(TabOceanet[[#This Row],[TypeBAK]],3)="J15",Tarif_Backup_J15*TabOceanet[[#This Row],[VM_disk]],IF(LEFT(TabOceanet[[#This Row],[TypeBAK]],3)="H1_",Tarif_Backup_J15*TabOceanet[[#This Row],[VM_disk]],0)))</f>
        <v>0</v>
      </c>
      <c r="AI10" s="17">
        <f>TabOceanet[[#This Row],[VM_disk]]*Tarif_disque</f>
        <v>0</v>
      </c>
      <c r="AJ10"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45</v>
      </c>
    </row>
    <row r="11" spans="1:36" hidden="1" x14ac:dyDescent="0.25">
      <c r="A11" t="s">
        <v>1341</v>
      </c>
      <c r="F11">
        <v>1</v>
      </c>
      <c r="K11" t="s">
        <v>408</v>
      </c>
      <c r="P11" t="s">
        <v>409</v>
      </c>
      <c r="Q11" s="5">
        <f>VLOOKUP(TabOceanet[VM_name],TabVMEnv[],3,FALSE)</f>
        <v>0</v>
      </c>
      <c r="R11" s="5" t="str">
        <f>IF(VLOOKUP(TabOceanet[VM_name],TabVMEnv[],2,FALSE) = "","Non","")</f>
        <v/>
      </c>
      <c r="S11" s="5">
        <f>IF(TabOceanet[[#This Row],[Type_tarif]]="Tarif_VLAN",1,0)</f>
        <v>0</v>
      </c>
      <c r="T11" s="5">
        <f>TabOceanet[[#This Row],[isCalcVlan]]*TabOceanet[[#This Row],[Nb_article]]*Tarif_VLAN</f>
        <v>0</v>
      </c>
      <c r="U11" s="5">
        <f>IF(TabOceanet[[#This Row],[Type_tarif]]="Tarif_IPPUB",1,0)</f>
        <v>0</v>
      </c>
      <c r="V11" s="5">
        <f>TabOceanet[[#This Row],[isCalcIpPub]]*TabOceanet[[#This Row],[Nb_article]]*Tarif_IPPUB</f>
        <v>0</v>
      </c>
      <c r="W11" s="5">
        <f>IF(TabOceanet[[#This Row],[Type_tarif]]="Tarif_DNS",1,0)</f>
        <v>0</v>
      </c>
      <c r="X11" s="5">
        <f>TabOceanet[[#This Row],[isCalcDns]]*TabOceanet[[#This Row],[Nb_article]]*Tarif_DNS</f>
        <v>0</v>
      </c>
      <c r="Y11" s="5">
        <f>IF(TabOceanet[[#This Row],[Type_tarif]]="Tarif_Certificat_X509_Simple",1,0)</f>
        <v>1</v>
      </c>
      <c r="Z11" s="5">
        <f>TabOceanet[[#This Row],[isCalcCertSimple]]*TabOceanet[[#This Row],[Nb_article]]*Tarif_Certificat_X509_Simple</f>
        <v>14.08</v>
      </c>
      <c r="AA11" s="5">
        <f>IF(TabOceanet[[#This Row],[Type_tarif]]="Tarif_Certificat_X509_Wildcard",1,0)</f>
        <v>0</v>
      </c>
      <c r="AB11" s="5">
        <f>TabOceanet[[#This Row],[isCalcCertWild]]*TabOceanet[[#This Row],[Nb_article]]*Tarif_Certificat_X509_Wildcard</f>
        <v>0</v>
      </c>
      <c r="AC11" s="5">
        <f>IF(TabOceanet[[#This Row],[Type_tarif]]="Tarif_Astreinte_24_24_7_7",1,0)</f>
        <v>0</v>
      </c>
      <c r="AD11" s="5">
        <f>TabOceanet[[#This Row],[isCalcAstreinte247]]*TabOceanet[[#This Row],[Nb_article]]*Tarif_Astreinte_24_24_7_7</f>
        <v>0</v>
      </c>
      <c r="AE11" s="5">
        <f>IF(TabOceanet[[#This Row],[VM_status]]="PoweredOn",1,0)</f>
        <v>0</v>
      </c>
      <c r="AF11" s="17">
        <f>TabOceanet[[#This Row],[VM_mem]]*Tarif_Ram</f>
        <v>0</v>
      </c>
      <c r="AG11" s="5" t="str">
        <f>MID(TabOceanet[[#This Row],[Backup]],29,20)</f>
        <v/>
      </c>
      <c r="AH11" s="25">
        <f>IF(LEFT(TabOceanet[[#This Row],[TypeBAK]],3)="HOR",Tarif_Backup_Horaire*TabOceanet[[#This Row],[VM_disk]],IF(LEFT(TabOceanet[[#This Row],[TypeBAK]],3)="J15",Tarif_Backup_J15*TabOceanet[[#This Row],[VM_disk]],IF(LEFT(TabOceanet[[#This Row],[TypeBAK]],3)="H1_",Tarif_Backup_J15*TabOceanet[[#This Row],[VM_disk]],0)))</f>
        <v>0</v>
      </c>
      <c r="AI11" s="17">
        <f>TabOceanet[[#This Row],[VM_disk]]*Tarif_disque</f>
        <v>0</v>
      </c>
      <c r="AJ11"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14.08</v>
      </c>
    </row>
    <row r="12" spans="1:36" x14ac:dyDescent="0.25">
      <c r="A12" t="s">
        <v>230</v>
      </c>
      <c r="B12">
        <v>0</v>
      </c>
      <c r="C12">
        <v>0</v>
      </c>
      <c r="D12">
        <v>6</v>
      </c>
      <c r="H12" t="s">
        <v>1274</v>
      </c>
      <c r="J12" t="s">
        <v>414</v>
      </c>
      <c r="K12" t="s">
        <v>408</v>
      </c>
      <c r="L12" t="s">
        <v>410</v>
      </c>
      <c r="M12" t="s">
        <v>411</v>
      </c>
      <c r="N12" t="s">
        <v>412</v>
      </c>
      <c r="O12">
        <v>10006791</v>
      </c>
      <c r="P12" t="s">
        <v>413</v>
      </c>
      <c r="Q12" s="5">
        <f>VLOOKUP(TabOceanet[VM_name],TabVMEnv[],3,FALSE)</f>
        <v>0</v>
      </c>
      <c r="R12" s="5" t="str">
        <f>IF(VLOOKUP(TabOceanet[VM_name],TabVMEnv[],2,FALSE) = "","Non","")</f>
        <v/>
      </c>
      <c r="S12" s="5">
        <f>IF(TabOceanet[[#This Row],[Type_tarif]]="Tarif_VLAN",1,0)</f>
        <v>0</v>
      </c>
      <c r="T12" s="5">
        <f>TabOceanet[[#This Row],[isCalcVlan]]*TabOceanet[[#This Row],[Nb_article]]*Tarif_VLAN</f>
        <v>0</v>
      </c>
      <c r="U12" s="5">
        <f>IF(TabOceanet[[#This Row],[Type_tarif]]="Tarif_IPPUB",1,0)</f>
        <v>0</v>
      </c>
      <c r="V12" s="5">
        <f>TabOceanet[[#This Row],[isCalcIpPub]]*TabOceanet[[#This Row],[Nb_article]]*Tarif_IPPUB</f>
        <v>0</v>
      </c>
      <c r="W12" s="5">
        <f>IF(TabOceanet[[#This Row],[Type_tarif]]="Tarif_DNS",1,0)</f>
        <v>0</v>
      </c>
      <c r="X12" s="5">
        <f>TabOceanet[[#This Row],[isCalcDns]]*TabOceanet[[#This Row],[Nb_article]]*Tarif_DNS</f>
        <v>0</v>
      </c>
      <c r="Y12" s="5">
        <f>IF(TabOceanet[[#This Row],[Type_tarif]]="Tarif_Certificat_X509_Simple",1,0)</f>
        <v>0</v>
      </c>
      <c r="Z12" s="5">
        <f>TabOceanet[[#This Row],[isCalcCertSimple]]*TabOceanet[[#This Row],[Nb_article]]*Tarif_Certificat_X509_Simple</f>
        <v>0</v>
      </c>
      <c r="AA12" s="5">
        <f>IF(TabOceanet[[#This Row],[Type_tarif]]="Tarif_Certificat_X509_Wildcard",1,0)</f>
        <v>0</v>
      </c>
      <c r="AB12" s="5">
        <f>TabOceanet[[#This Row],[isCalcCertWild]]*TabOceanet[[#This Row],[Nb_article]]*Tarif_Certificat_X509_Wildcard</f>
        <v>0</v>
      </c>
      <c r="AC12" s="5">
        <f>IF(TabOceanet[[#This Row],[Type_tarif]]="Tarif_Astreinte_24_24_7_7",1,0)</f>
        <v>0</v>
      </c>
      <c r="AD12" s="5">
        <f>TabOceanet[[#This Row],[isCalcAstreinte247]]*TabOceanet[[#This Row],[Nb_article]]*Tarif_Astreinte_24_24_7_7</f>
        <v>0</v>
      </c>
      <c r="AE12" s="5">
        <f>IF(TabOceanet[[#This Row],[VM_status]]="PoweredOn",1,0)</f>
        <v>0</v>
      </c>
      <c r="AF12" s="17">
        <f>TabOceanet[[#This Row],[VM_mem]]*Tarif_Ram</f>
        <v>0</v>
      </c>
      <c r="AG12" s="5" t="str">
        <f>MID(TabOceanet[[#This Row],[Backup]],29,20)</f>
        <v>H1_Ve</v>
      </c>
      <c r="AH12" s="25">
        <f>IF(LEFT(TabOceanet[[#This Row],[TypeBAK]],3)="HOR",Tarif_Backup_Horaire*TabOceanet[[#This Row],[VM_disk]],IF(LEFT(TabOceanet[[#This Row],[TypeBAK]],3)="J15",Tarif_Backup_J15*TabOceanet[[#This Row],[VM_disk]],IF(LEFT(TabOceanet[[#This Row],[TypeBAK]],3)="H1_",Tarif_Backup_J15*TabOceanet[[#This Row],[VM_disk]],0)))</f>
        <v>1.3800000000000001</v>
      </c>
      <c r="AI12" s="17">
        <f>TabOceanet[[#This Row],[VM_disk]]*Tarif_disque</f>
        <v>0</v>
      </c>
      <c r="AJ12"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1.3800000000000001</v>
      </c>
    </row>
    <row r="13" spans="1:36" x14ac:dyDescent="0.25">
      <c r="A13" t="s">
        <v>228</v>
      </c>
      <c r="B13">
        <v>0</v>
      </c>
      <c r="C13">
        <v>0</v>
      </c>
      <c r="D13">
        <v>6</v>
      </c>
      <c r="H13" t="s">
        <v>1274</v>
      </c>
      <c r="J13" t="s">
        <v>414</v>
      </c>
      <c r="K13" t="s">
        <v>408</v>
      </c>
      <c r="L13" t="s">
        <v>410</v>
      </c>
      <c r="M13" t="s">
        <v>411</v>
      </c>
      <c r="N13" t="s">
        <v>412</v>
      </c>
      <c r="O13">
        <v>10006791</v>
      </c>
      <c r="P13" t="s">
        <v>413</v>
      </c>
      <c r="Q13" s="5">
        <f>VLOOKUP(TabOceanet[VM_name],TabVMEnv[],3,FALSE)</f>
        <v>0</v>
      </c>
      <c r="R13" s="5" t="str">
        <f>IF(VLOOKUP(TabOceanet[VM_name],TabVMEnv[],2,FALSE) = "","Non","")</f>
        <v/>
      </c>
      <c r="S13" s="5">
        <f>IF(TabOceanet[[#This Row],[Type_tarif]]="Tarif_VLAN",1,0)</f>
        <v>0</v>
      </c>
      <c r="T13" s="5">
        <f>TabOceanet[[#This Row],[isCalcVlan]]*TabOceanet[[#This Row],[Nb_article]]*Tarif_VLAN</f>
        <v>0</v>
      </c>
      <c r="U13" s="5">
        <f>IF(TabOceanet[[#This Row],[Type_tarif]]="Tarif_IPPUB",1,0)</f>
        <v>0</v>
      </c>
      <c r="V13" s="5">
        <f>TabOceanet[[#This Row],[isCalcIpPub]]*TabOceanet[[#This Row],[Nb_article]]*Tarif_IPPUB</f>
        <v>0</v>
      </c>
      <c r="W13" s="5">
        <f>IF(TabOceanet[[#This Row],[Type_tarif]]="Tarif_DNS",1,0)</f>
        <v>0</v>
      </c>
      <c r="X13" s="5">
        <f>TabOceanet[[#This Row],[isCalcDns]]*TabOceanet[[#This Row],[Nb_article]]*Tarif_DNS</f>
        <v>0</v>
      </c>
      <c r="Y13" s="5">
        <f>IF(TabOceanet[[#This Row],[Type_tarif]]="Tarif_Certificat_X509_Simple",1,0)</f>
        <v>0</v>
      </c>
      <c r="Z13" s="5">
        <f>TabOceanet[[#This Row],[isCalcCertSimple]]*TabOceanet[[#This Row],[Nb_article]]*Tarif_Certificat_X509_Simple</f>
        <v>0</v>
      </c>
      <c r="AA13" s="5">
        <f>IF(TabOceanet[[#This Row],[Type_tarif]]="Tarif_Certificat_X509_Wildcard",1,0)</f>
        <v>0</v>
      </c>
      <c r="AB13" s="5">
        <f>TabOceanet[[#This Row],[isCalcCertWild]]*TabOceanet[[#This Row],[Nb_article]]*Tarif_Certificat_X509_Wildcard</f>
        <v>0</v>
      </c>
      <c r="AC13" s="5">
        <f>IF(TabOceanet[[#This Row],[Type_tarif]]="Tarif_Astreinte_24_24_7_7",1,0)</f>
        <v>0</v>
      </c>
      <c r="AD13" s="5">
        <f>TabOceanet[[#This Row],[isCalcAstreinte247]]*TabOceanet[[#This Row],[Nb_article]]*Tarif_Astreinte_24_24_7_7</f>
        <v>0</v>
      </c>
      <c r="AE13" s="5">
        <f>IF(TabOceanet[[#This Row],[VM_status]]="PoweredOn",1,0)</f>
        <v>0</v>
      </c>
      <c r="AF13" s="17">
        <f>TabOceanet[[#This Row],[VM_mem]]*Tarif_Ram</f>
        <v>0</v>
      </c>
      <c r="AG13" s="5" t="str">
        <f>MID(TabOceanet[[#This Row],[Backup]],29,20)</f>
        <v>H1_Ve</v>
      </c>
      <c r="AH13" s="25">
        <f>IF(LEFT(TabOceanet[[#This Row],[TypeBAK]],3)="HOR",Tarif_Backup_Horaire*TabOceanet[[#This Row],[VM_disk]],IF(LEFT(TabOceanet[[#This Row],[TypeBAK]],3)="J15",Tarif_Backup_J15*TabOceanet[[#This Row],[VM_disk]],IF(LEFT(TabOceanet[[#This Row],[TypeBAK]],3)="H1_",Tarif_Backup_J15*TabOceanet[[#This Row],[VM_disk]],0)))</f>
        <v>1.3800000000000001</v>
      </c>
      <c r="AI13" s="17">
        <f>TabOceanet[[#This Row],[VM_disk]]*Tarif_disque</f>
        <v>0</v>
      </c>
      <c r="AJ13"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1.3800000000000001</v>
      </c>
    </row>
    <row r="14" spans="1:36" hidden="1" x14ac:dyDescent="0.25">
      <c r="A14" t="s">
        <v>1258</v>
      </c>
      <c r="F14">
        <v>1</v>
      </c>
      <c r="P14" t="s">
        <v>409</v>
      </c>
      <c r="Q14" s="5" t="e">
        <f>VLOOKUP(TabOceanet[VM_name],TabVMEnv[],3,FALSE)</f>
        <v>#N/A</v>
      </c>
      <c r="R14" s="5" t="e">
        <f>IF(VLOOKUP(TabOceanet[VM_name],TabVMEnv[],2,FALSE) = "","Non","")</f>
        <v>#N/A</v>
      </c>
      <c r="S14" s="5">
        <f>IF(TabOceanet[[#This Row],[Type_tarif]]="Tarif_VLAN",1,0)</f>
        <v>0</v>
      </c>
      <c r="T14" s="5">
        <f>TabOceanet[[#This Row],[isCalcVlan]]*TabOceanet[[#This Row],[Nb_article]]*Tarif_VLAN</f>
        <v>0</v>
      </c>
      <c r="U14" s="5">
        <f>IF(TabOceanet[[#This Row],[Type_tarif]]="Tarif_IPPUB",1,0)</f>
        <v>0</v>
      </c>
      <c r="V14" s="5">
        <f>TabOceanet[[#This Row],[isCalcIpPub]]*TabOceanet[[#This Row],[Nb_article]]*Tarif_IPPUB</f>
        <v>0</v>
      </c>
      <c r="W14" s="5">
        <f>IF(TabOceanet[[#This Row],[Type_tarif]]="Tarif_DNS",1,0)</f>
        <v>0</v>
      </c>
      <c r="X14" s="5">
        <f>TabOceanet[[#This Row],[isCalcDns]]*TabOceanet[[#This Row],[Nb_article]]*Tarif_DNS</f>
        <v>0</v>
      </c>
      <c r="Y14" s="5">
        <f>IF(TabOceanet[[#This Row],[Type_tarif]]="Tarif_Certificat_X509_Simple",1,0)</f>
        <v>1</v>
      </c>
      <c r="Z14" s="5">
        <f>TabOceanet[[#This Row],[isCalcCertSimple]]*TabOceanet[[#This Row],[Nb_article]]*Tarif_Certificat_X509_Simple</f>
        <v>14.08</v>
      </c>
      <c r="AA14" s="5">
        <f>IF(TabOceanet[[#This Row],[Type_tarif]]="Tarif_Certificat_X509_Wildcard",1,0)</f>
        <v>0</v>
      </c>
      <c r="AB14" s="5">
        <f>TabOceanet[[#This Row],[isCalcCertWild]]*TabOceanet[[#This Row],[Nb_article]]*Tarif_Certificat_X509_Wildcard</f>
        <v>0</v>
      </c>
      <c r="AC14" s="5">
        <f>IF(TabOceanet[[#This Row],[Type_tarif]]="Tarif_Astreinte_24_24_7_7",1,0)</f>
        <v>0</v>
      </c>
      <c r="AD14" s="5">
        <f>TabOceanet[[#This Row],[isCalcAstreinte247]]*TabOceanet[[#This Row],[Nb_article]]*Tarif_Astreinte_24_24_7_7</f>
        <v>0</v>
      </c>
      <c r="AE14" s="5">
        <f>IF(TabOceanet[[#This Row],[VM_status]]="PoweredOn",1,0)</f>
        <v>0</v>
      </c>
      <c r="AF14" s="17">
        <f>TabOceanet[[#This Row],[VM_mem]]*Tarif_Ram</f>
        <v>0</v>
      </c>
      <c r="AG14" s="5" t="str">
        <f>MID(TabOceanet[[#This Row],[Backup]],29,20)</f>
        <v/>
      </c>
      <c r="AH14" s="25">
        <f>IF(LEFT(TabOceanet[[#This Row],[TypeBAK]],3)="HOR",Tarif_Backup_Horaire*TabOceanet[[#This Row],[VM_disk]],IF(LEFT(TabOceanet[[#This Row],[TypeBAK]],3)="J15",Tarif_Backup_J15*TabOceanet[[#This Row],[VM_disk]],IF(LEFT(TabOceanet[[#This Row],[TypeBAK]],3)="H1_",Tarif_Backup_J15*TabOceanet[[#This Row],[VM_disk]],0)))</f>
        <v>0</v>
      </c>
      <c r="AI14" s="17">
        <f>TabOceanet[[#This Row],[VM_disk]]*Tarif_disque</f>
        <v>0</v>
      </c>
      <c r="AJ14"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14.08</v>
      </c>
    </row>
    <row r="15" spans="1:36" hidden="1" x14ac:dyDescent="0.25">
      <c r="A15" t="s">
        <v>1259</v>
      </c>
      <c r="F15">
        <v>1</v>
      </c>
      <c r="P15" t="s">
        <v>407</v>
      </c>
      <c r="Q15" s="5" t="e">
        <f>VLOOKUP(TabOceanet[VM_name],TabVMEnv[],3,FALSE)</f>
        <v>#N/A</v>
      </c>
      <c r="R15" s="5" t="e">
        <f>IF(VLOOKUP(TabOceanet[VM_name],TabVMEnv[],2,FALSE) = "","Non","")</f>
        <v>#N/A</v>
      </c>
      <c r="S15" s="5">
        <f>IF(TabOceanet[[#This Row],[Type_tarif]]="Tarif_VLAN",1,0)</f>
        <v>0</v>
      </c>
      <c r="T15" s="5">
        <f>TabOceanet[[#This Row],[isCalcVlan]]*TabOceanet[[#This Row],[Nb_article]]*Tarif_VLAN</f>
        <v>0</v>
      </c>
      <c r="U15" s="5">
        <f>IF(TabOceanet[[#This Row],[Type_tarif]]="Tarif_IPPUB",1,0)</f>
        <v>0</v>
      </c>
      <c r="V15" s="5">
        <f>TabOceanet[[#This Row],[isCalcIpPub]]*TabOceanet[[#This Row],[Nb_article]]*Tarif_IPPUB</f>
        <v>0</v>
      </c>
      <c r="W15" s="5">
        <f>IF(TabOceanet[[#This Row],[Type_tarif]]="Tarif_DNS",1,0)</f>
        <v>0</v>
      </c>
      <c r="X15" s="5">
        <f>TabOceanet[[#This Row],[isCalcDns]]*TabOceanet[[#This Row],[Nb_article]]*Tarif_DNS</f>
        <v>0</v>
      </c>
      <c r="Y15" s="5">
        <f>IF(TabOceanet[[#This Row],[Type_tarif]]="Tarif_Certificat_X509_Simple",1,0)</f>
        <v>0</v>
      </c>
      <c r="Z15" s="5">
        <f>TabOceanet[[#This Row],[isCalcCertSimple]]*TabOceanet[[#This Row],[Nb_article]]*Tarif_Certificat_X509_Simple</f>
        <v>0</v>
      </c>
      <c r="AA15" s="5">
        <f>IF(TabOceanet[[#This Row],[Type_tarif]]="Tarif_Certificat_X509_Wildcard",1,0)</f>
        <v>1</v>
      </c>
      <c r="AB15" s="5">
        <f>TabOceanet[[#This Row],[isCalcCertWild]]*TabOceanet[[#This Row],[Nb_article]]*Tarif_Certificat_X509_Wildcard</f>
        <v>45</v>
      </c>
      <c r="AC15" s="5">
        <f>IF(TabOceanet[[#This Row],[Type_tarif]]="Tarif_Astreinte_24_24_7_7",1,0)</f>
        <v>0</v>
      </c>
      <c r="AD15" s="5">
        <f>TabOceanet[[#This Row],[isCalcAstreinte247]]*TabOceanet[[#This Row],[Nb_article]]*Tarif_Astreinte_24_24_7_7</f>
        <v>0</v>
      </c>
      <c r="AE15" s="5">
        <f>IF(TabOceanet[[#This Row],[VM_status]]="PoweredOn",1,0)</f>
        <v>0</v>
      </c>
      <c r="AF15" s="17">
        <f>TabOceanet[[#This Row],[VM_mem]]*Tarif_Ram</f>
        <v>0</v>
      </c>
      <c r="AG15" s="5" t="str">
        <f>MID(TabOceanet[[#This Row],[Backup]],29,20)</f>
        <v/>
      </c>
      <c r="AH15" s="25">
        <f>IF(LEFT(TabOceanet[[#This Row],[TypeBAK]],3)="HOR",Tarif_Backup_Horaire*TabOceanet[[#This Row],[VM_disk]],IF(LEFT(TabOceanet[[#This Row],[TypeBAK]],3)="J15",Tarif_Backup_J15*TabOceanet[[#This Row],[VM_disk]],IF(LEFT(TabOceanet[[#This Row],[TypeBAK]],3)="H1_",Tarif_Backup_J15*TabOceanet[[#This Row],[VM_disk]],0)))</f>
        <v>0</v>
      </c>
      <c r="AI15" s="17">
        <f>TabOceanet[[#This Row],[VM_disk]]*Tarif_disque</f>
        <v>0</v>
      </c>
      <c r="AJ15"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45</v>
      </c>
    </row>
    <row r="16" spans="1:36" hidden="1" x14ac:dyDescent="0.25">
      <c r="A16" t="s">
        <v>1260</v>
      </c>
      <c r="F16">
        <v>1</v>
      </c>
      <c r="P16" t="s">
        <v>416</v>
      </c>
      <c r="Q16" s="5" t="e">
        <f>VLOOKUP(TabOceanet[VM_name],TabVMEnv[],3,FALSE)</f>
        <v>#N/A</v>
      </c>
      <c r="R16" s="5" t="e">
        <f>IF(VLOOKUP(TabOceanet[VM_name],TabVMEnv[],2,FALSE) = "","Non","")</f>
        <v>#N/A</v>
      </c>
      <c r="S16" s="5">
        <f>IF(TabOceanet[[#This Row],[Type_tarif]]="Tarif_VLAN",1,0)</f>
        <v>0</v>
      </c>
      <c r="T16" s="5">
        <f>TabOceanet[[#This Row],[isCalcVlan]]*TabOceanet[[#This Row],[Nb_article]]*Tarif_VLAN</f>
        <v>0</v>
      </c>
      <c r="U16" s="5">
        <f>IF(TabOceanet[[#This Row],[Type_tarif]]="Tarif_IPPUB",1,0)</f>
        <v>0</v>
      </c>
      <c r="V16" s="5">
        <f>TabOceanet[[#This Row],[isCalcIpPub]]*TabOceanet[[#This Row],[Nb_article]]*Tarif_IPPUB</f>
        <v>0</v>
      </c>
      <c r="W16" s="5">
        <f>IF(TabOceanet[[#This Row],[Type_tarif]]="Tarif_DNS",1,0)</f>
        <v>1</v>
      </c>
      <c r="X16" s="5">
        <f>TabOceanet[[#This Row],[isCalcDns]]*TabOceanet[[#This Row],[Nb_article]]*Tarif_DNS</f>
        <v>3.5</v>
      </c>
      <c r="Y16" s="5">
        <f>IF(TabOceanet[[#This Row],[Type_tarif]]="Tarif_Certificat_X509_Simple",1,0)</f>
        <v>0</v>
      </c>
      <c r="Z16" s="5">
        <f>TabOceanet[[#This Row],[isCalcCertSimple]]*TabOceanet[[#This Row],[Nb_article]]*Tarif_Certificat_X509_Simple</f>
        <v>0</v>
      </c>
      <c r="AA16" s="5">
        <f>IF(TabOceanet[[#This Row],[Type_tarif]]="Tarif_Certificat_X509_Wildcard",1,0)</f>
        <v>0</v>
      </c>
      <c r="AB16" s="5">
        <f>TabOceanet[[#This Row],[isCalcCertWild]]*TabOceanet[[#This Row],[Nb_article]]*Tarif_Certificat_X509_Wildcard</f>
        <v>0</v>
      </c>
      <c r="AC16" s="5">
        <f>IF(TabOceanet[[#This Row],[Type_tarif]]="Tarif_Astreinte_24_24_7_7",1,0)</f>
        <v>0</v>
      </c>
      <c r="AD16" s="5">
        <f>TabOceanet[[#This Row],[isCalcAstreinte247]]*TabOceanet[[#This Row],[Nb_article]]*Tarif_Astreinte_24_24_7_7</f>
        <v>0</v>
      </c>
      <c r="AE16" s="5">
        <f>IF(TabOceanet[[#This Row],[VM_status]]="PoweredOn",1,0)</f>
        <v>0</v>
      </c>
      <c r="AF16" s="17">
        <f>TabOceanet[[#This Row],[VM_mem]]*Tarif_Ram</f>
        <v>0</v>
      </c>
      <c r="AG16" s="5" t="str">
        <f>MID(TabOceanet[[#This Row],[Backup]],29,20)</f>
        <v/>
      </c>
      <c r="AH16" s="25">
        <f>IF(LEFT(TabOceanet[[#This Row],[TypeBAK]],3)="HOR",Tarif_Backup_Horaire*TabOceanet[[#This Row],[VM_disk]],IF(LEFT(TabOceanet[[#This Row],[TypeBAK]],3)="J15",Tarif_Backup_J15*TabOceanet[[#This Row],[VM_disk]],IF(LEFT(TabOceanet[[#This Row],[TypeBAK]],3)="H1_",Tarif_Backup_J15*TabOceanet[[#This Row],[VM_disk]],0)))</f>
        <v>0</v>
      </c>
      <c r="AI16" s="17">
        <f>TabOceanet[[#This Row],[VM_disk]]*Tarif_disque</f>
        <v>0</v>
      </c>
      <c r="AJ16"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3.5</v>
      </c>
    </row>
    <row r="17" spans="1:36" hidden="1" x14ac:dyDescent="0.25">
      <c r="A17" t="s">
        <v>1263</v>
      </c>
      <c r="F17">
        <v>1</v>
      </c>
      <c r="P17" t="s">
        <v>1266</v>
      </c>
      <c r="Q17" s="5" t="e">
        <f>VLOOKUP(TabOceanet[VM_name],TabVMEnv[],3,FALSE)</f>
        <v>#N/A</v>
      </c>
      <c r="R17" s="5" t="e">
        <f>IF(VLOOKUP(TabOceanet[VM_name],TabVMEnv[],2,FALSE) = "","Non","")</f>
        <v>#N/A</v>
      </c>
      <c r="S17" s="5">
        <f>IF(TabOceanet[[#This Row],[Type_tarif]]="Tarif_VLAN",1,0)</f>
        <v>0</v>
      </c>
      <c r="T17" s="5">
        <f>TabOceanet[[#This Row],[isCalcVlan]]*TabOceanet[[#This Row],[Nb_article]]*Tarif_VLAN</f>
        <v>0</v>
      </c>
      <c r="U17" s="5">
        <f>IF(TabOceanet[[#This Row],[Type_tarif]]="Tarif_IPPUB",1,0)</f>
        <v>0</v>
      </c>
      <c r="V17" s="5">
        <f>TabOceanet[[#This Row],[isCalcIpPub]]*TabOceanet[[#This Row],[Nb_article]]*Tarif_IPPUB</f>
        <v>0</v>
      </c>
      <c r="W17" s="5">
        <f>IF(TabOceanet[[#This Row],[Type_tarif]]="Tarif_DNS",1,0)</f>
        <v>0</v>
      </c>
      <c r="X17" s="5">
        <f>TabOceanet[[#This Row],[isCalcDns]]*TabOceanet[[#This Row],[Nb_article]]*Tarif_DNS</f>
        <v>0</v>
      </c>
      <c r="Y17" s="5">
        <f>IF(TabOceanet[[#This Row],[Type_tarif]]="Tarif_Certificat_X509_Simple",1,0)</f>
        <v>0</v>
      </c>
      <c r="Z17" s="5">
        <f>TabOceanet[[#This Row],[isCalcCertSimple]]*TabOceanet[[#This Row],[Nb_article]]*Tarif_Certificat_X509_Simple</f>
        <v>0</v>
      </c>
      <c r="AA17" s="5">
        <f>IF(TabOceanet[[#This Row],[Type_tarif]]="Tarif_Certificat_X509_Wildcard",1,0)</f>
        <v>0</v>
      </c>
      <c r="AB17" s="5">
        <f>TabOceanet[[#This Row],[isCalcCertWild]]*TabOceanet[[#This Row],[Nb_article]]*Tarif_Certificat_X509_Wildcard</f>
        <v>0</v>
      </c>
      <c r="AC17" s="5">
        <f>IF(TabOceanet[[#This Row],[Type_tarif]]="Tarif_Astreinte_24_24_7_7",1,0)</f>
        <v>0</v>
      </c>
      <c r="AD17" s="5">
        <f>TabOceanet[[#This Row],[isCalcAstreinte247]]*TabOceanet[[#This Row],[Nb_article]]*Tarif_Astreinte_24_24_7_7</f>
        <v>0</v>
      </c>
      <c r="AE17" s="5">
        <f>IF(TabOceanet[[#This Row],[VM_status]]="PoweredOn",1,0)</f>
        <v>0</v>
      </c>
      <c r="AF17" s="17">
        <f>TabOceanet[[#This Row],[VM_mem]]*Tarif_Ram</f>
        <v>0</v>
      </c>
      <c r="AG17" s="5" t="str">
        <f>MID(TabOceanet[[#This Row],[Backup]],29,20)</f>
        <v/>
      </c>
      <c r="AH17" s="25">
        <f>IF(LEFT(TabOceanet[[#This Row],[TypeBAK]],3)="HOR",Tarif_Backup_Horaire*TabOceanet[[#This Row],[VM_disk]],IF(LEFT(TabOceanet[[#This Row],[TypeBAK]],3)="J15",Tarif_Backup_J15*TabOceanet[[#This Row],[VM_disk]],IF(LEFT(TabOceanet[[#This Row],[TypeBAK]],3)="H1_",Tarif_Backup_J15*TabOceanet[[#This Row],[VM_disk]],0)))</f>
        <v>0</v>
      </c>
      <c r="AI17" s="17">
        <f>TabOceanet[[#This Row],[VM_disk]]*Tarif_disque</f>
        <v>0</v>
      </c>
      <c r="AJ17"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0</v>
      </c>
    </row>
    <row r="18" spans="1:36" hidden="1" x14ac:dyDescent="0.25">
      <c r="A18" t="s">
        <v>1264</v>
      </c>
      <c r="F18">
        <v>2</v>
      </c>
      <c r="P18" t="s">
        <v>1266</v>
      </c>
      <c r="Q18" s="5" t="e">
        <f>VLOOKUP(TabOceanet[VM_name],TabVMEnv[],3,FALSE)</f>
        <v>#N/A</v>
      </c>
      <c r="R18" s="5" t="e">
        <f>IF(VLOOKUP(TabOceanet[VM_name],TabVMEnv[],2,FALSE) = "","Non","")</f>
        <v>#N/A</v>
      </c>
      <c r="S18" s="5">
        <f>IF(TabOceanet[[#This Row],[Type_tarif]]="Tarif_VLAN",1,0)</f>
        <v>0</v>
      </c>
      <c r="T18" s="5">
        <f>TabOceanet[[#This Row],[isCalcVlan]]*TabOceanet[[#This Row],[Nb_article]]*Tarif_VLAN</f>
        <v>0</v>
      </c>
      <c r="U18" s="5">
        <f>IF(TabOceanet[[#This Row],[Type_tarif]]="Tarif_IPPUB",1,0)</f>
        <v>0</v>
      </c>
      <c r="V18" s="5">
        <f>TabOceanet[[#This Row],[isCalcIpPub]]*TabOceanet[[#This Row],[Nb_article]]*Tarif_IPPUB</f>
        <v>0</v>
      </c>
      <c r="W18" s="5">
        <f>IF(TabOceanet[[#This Row],[Type_tarif]]="Tarif_DNS",1,0)</f>
        <v>0</v>
      </c>
      <c r="X18" s="5">
        <f>TabOceanet[[#This Row],[isCalcDns]]*TabOceanet[[#This Row],[Nb_article]]*Tarif_DNS</f>
        <v>0</v>
      </c>
      <c r="Y18" s="5">
        <f>IF(TabOceanet[[#This Row],[Type_tarif]]="Tarif_Certificat_X509_Simple",1,0)</f>
        <v>0</v>
      </c>
      <c r="Z18" s="5">
        <f>TabOceanet[[#This Row],[isCalcCertSimple]]*TabOceanet[[#This Row],[Nb_article]]*Tarif_Certificat_X509_Simple</f>
        <v>0</v>
      </c>
      <c r="AA18" s="5">
        <f>IF(TabOceanet[[#This Row],[Type_tarif]]="Tarif_Certificat_X509_Wildcard",1,0)</f>
        <v>0</v>
      </c>
      <c r="AB18" s="5">
        <f>TabOceanet[[#This Row],[isCalcCertWild]]*TabOceanet[[#This Row],[Nb_article]]*Tarif_Certificat_X509_Wildcard</f>
        <v>0</v>
      </c>
      <c r="AC18" s="5">
        <f>IF(TabOceanet[[#This Row],[Type_tarif]]="Tarif_Astreinte_24_24_7_7",1,0)</f>
        <v>0</v>
      </c>
      <c r="AD18" s="5">
        <f>TabOceanet[[#This Row],[isCalcAstreinte247]]*TabOceanet[[#This Row],[Nb_article]]*Tarif_Astreinte_24_24_7_7</f>
        <v>0</v>
      </c>
      <c r="AE18" s="5">
        <f>IF(TabOceanet[[#This Row],[VM_status]]="PoweredOn",1,0)</f>
        <v>0</v>
      </c>
      <c r="AF18" s="17">
        <f>TabOceanet[[#This Row],[VM_mem]]*Tarif_Ram</f>
        <v>0</v>
      </c>
      <c r="AG18" s="5" t="str">
        <f>MID(TabOceanet[[#This Row],[Backup]],29,20)</f>
        <v/>
      </c>
      <c r="AH18" s="25">
        <f>IF(LEFT(TabOceanet[[#This Row],[TypeBAK]],3)="HOR",Tarif_Backup_Horaire*TabOceanet[[#This Row],[VM_disk]],IF(LEFT(TabOceanet[[#This Row],[TypeBAK]],3)="J15",Tarif_Backup_J15*TabOceanet[[#This Row],[VM_disk]],IF(LEFT(TabOceanet[[#This Row],[TypeBAK]],3)="H1_",Tarif_Backup_J15*TabOceanet[[#This Row],[VM_disk]],0)))</f>
        <v>0</v>
      </c>
      <c r="AI18" s="17">
        <f>TabOceanet[[#This Row],[VM_disk]]*Tarif_disque</f>
        <v>0</v>
      </c>
      <c r="AJ18"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0</v>
      </c>
    </row>
    <row r="19" spans="1:36" hidden="1" x14ac:dyDescent="0.25">
      <c r="A19" t="s">
        <v>1265</v>
      </c>
      <c r="F19">
        <v>5</v>
      </c>
      <c r="P19" t="s">
        <v>1266</v>
      </c>
      <c r="Q19" s="5" t="e">
        <f>VLOOKUP(TabOceanet[VM_name],TabVMEnv[],3,FALSE)</f>
        <v>#N/A</v>
      </c>
      <c r="R19" s="5" t="e">
        <f>IF(VLOOKUP(TabOceanet[VM_name],TabVMEnv[],2,FALSE) = "","Non","")</f>
        <v>#N/A</v>
      </c>
      <c r="S19" s="5">
        <f>IF(TabOceanet[[#This Row],[Type_tarif]]="Tarif_VLAN",1,0)</f>
        <v>0</v>
      </c>
      <c r="T19" s="5">
        <f>TabOceanet[[#This Row],[isCalcVlan]]*TabOceanet[[#This Row],[Nb_article]]*Tarif_VLAN</f>
        <v>0</v>
      </c>
      <c r="U19" s="5">
        <f>IF(TabOceanet[[#This Row],[Type_tarif]]="Tarif_IPPUB",1,0)</f>
        <v>0</v>
      </c>
      <c r="V19" s="5">
        <f>TabOceanet[[#This Row],[isCalcIpPub]]*TabOceanet[[#This Row],[Nb_article]]*Tarif_IPPUB</f>
        <v>0</v>
      </c>
      <c r="W19" s="5">
        <f>IF(TabOceanet[[#This Row],[Type_tarif]]="Tarif_DNS",1,0)</f>
        <v>0</v>
      </c>
      <c r="X19" s="5">
        <f>TabOceanet[[#This Row],[isCalcDns]]*TabOceanet[[#This Row],[Nb_article]]*Tarif_DNS</f>
        <v>0</v>
      </c>
      <c r="Y19" s="5">
        <f>IF(TabOceanet[[#This Row],[Type_tarif]]="Tarif_Certificat_X509_Simple",1,0)</f>
        <v>0</v>
      </c>
      <c r="Z19" s="5">
        <f>TabOceanet[[#This Row],[isCalcCertSimple]]*TabOceanet[[#This Row],[Nb_article]]*Tarif_Certificat_X509_Simple</f>
        <v>0</v>
      </c>
      <c r="AA19" s="5">
        <f>IF(TabOceanet[[#This Row],[Type_tarif]]="Tarif_Certificat_X509_Wildcard",1,0)</f>
        <v>0</v>
      </c>
      <c r="AB19" s="5">
        <f>TabOceanet[[#This Row],[isCalcCertWild]]*TabOceanet[[#This Row],[Nb_article]]*Tarif_Certificat_X509_Wildcard</f>
        <v>0</v>
      </c>
      <c r="AC19" s="5">
        <f>IF(TabOceanet[[#This Row],[Type_tarif]]="Tarif_Astreinte_24_24_7_7",1,0)</f>
        <v>0</v>
      </c>
      <c r="AD19" s="5">
        <f>TabOceanet[[#This Row],[isCalcAstreinte247]]*TabOceanet[[#This Row],[Nb_article]]*Tarif_Astreinte_24_24_7_7</f>
        <v>0</v>
      </c>
      <c r="AE19" s="5">
        <f>IF(TabOceanet[[#This Row],[VM_status]]="PoweredOn",1,0)</f>
        <v>0</v>
      </c>
      <c r="AF19" s="17">
        <f>TabOceanet[[#This Row],[VM_mem]]*Tarif_Ram</f>
        <v>0</v>
      </c>
      <c r="AG19" s="5" t="str">
        <f>MID(TabOceanet[[#This Row],[Backup]],29,20)</f>
        <v/>
      </c>
      <c r="AH19" s="25">
        <f>IF(LEFT(TabOceanet[[#This Row],[TypeBAK]],3)="HOR",Tarif_Backup_Horaire*TabOceanet[[#This Row],[VM_disk]],IF(LEFT(TabOceanet[[#This Row],[TypeBAK]],3)="J15",Tarif_Backup_J15*TabOceanet[[#This Row],[VM_disk]],IF(LEFT(TabOceanet[[#This Row],[TypeBAK]],3)="H1_",Tarif_Backup_J15*TabOceanet[[#This Row],[VM_disk]],0)))</f>
        <v>0</v>
      </c>
      <c r="AI19" s="17">
        <f>TabOceanet[[#This Row],[VM_disk]]*Tarif_disque</f>
        <v>0</v>
      </c>
      <c r="AJ19"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0</v>
      </c>
    </row>
    <row r="20" spans="1:36" hidden="1" x14ac:dyDescent="0.25">
      <c r="A20" t="s">
        <v>1267</v>
      </c>
      <c r="F20">
        <v>0.5</v>
      </c>
      <c r="P20" t="s">
        <v>1266</v>
      </c>
      <c r="Q20" s="5" t="e">
        <f>VLOOKUP(TabOceanet[VM_name],TabVMEnv[],3,FALSE)</f>
        <v>#N/A</v>
      </c>
      <c r="R20" s="5" t="e">
        <f>IF(VLOOKUP(TabOceanet[VM_name],TabVMEnv[],2,FALSE) = "","Non","")</f>
        <v>#N/A</v>
      </c>
      <c r="S20" s="5">
        <f>IF(TabOceanet[[#This Row],[Type_tarif]]="Tarif_VLAN",1,0)</f>
        <v>0</v>
      </c>
      <c r="T20" s="5">
        <f>TabOceanet[[#This Row],[isCalcVlan]]*TabOceanet[[#This Row],[Nb_article]]*Tarif_VLAN</f>
        <v>0</v>
      </c>
      <c r="U20" s="5">
        <f>IF(TabOceanet[[#This Row],[Type_tarif]]="Tarif_IPPUB",1,0)</f>
        <v>0</v>
      </c>
      <c r="V20" s="5">
        <f>TabOceanet[[#This Row],[isCalcIpPub]]*TabOceanet[[#This Row],[Nb_article]]*Tarif_IPPUB</f>
        <v>0</v>
      </c>
      <c r="W20" s="5">
        <f>IF(TabOceanet[[#This Row],[Type_tarif]]="Tarif_DNS",1,0)</f>
        <v>0</v>
      </c>
      <c r="X20" s="5">
        <f>TabOceanet[[#This Row],[isCalcDns]]*TabOceanet[[#This Row],[Nb_article]]*Tarif_DNS</f>
        <v>0</v>
      </c>
      <c r="Y20" s="5">
        <f>IF(TabOceanet[[#This Row],[Type_tarif]]="Tarif_Certificat_X509_Simple",1,0)</f>
        <v>0</v>
      </c>
      <c r="Z20" s="5">
        <f>TabOceanet[[#This Row],[isCalcCertSimple]]*TabOceanet[[#This Row],[Nb_article]]*Tarif_Certificat_X509_Simple</f>
        <v>0</v>
      </c>
      <c r="AA20" s="5">
        <f>IF(TabOceanet[[#This Row],[Type_tarif]]="Tarif_Certificat_X509_Wildcard",1,0)</f>
        <v>0</v>
      </c>
      <c r="AB20" s="5">
        <f>TabOceanet[[#This Row],[isCalcCertWild]]*TabOceanet[[#This Row],[Nb_article]]*Tarif_Certificat_X509_Wildcard</f>
        <v>0</v>
      </c>
      <c r="AC20" s="5">
        <f>IF(TabOceanet[[#This Row],[Type_tarif]]="Tarif_Astreinte_24_24_7_7",1,0)</f>
        <v>0</v>
      </c>
      <c r="AD20" s="5">
        <f>TabOceanet[[#This Row],[isCalcAstreinte247]]*TabOceanet[[#This Row],[Nb_article]]*Tarif_Astreinte_24_24_7_7</f>
        <v>0</v>
      </c>
      <c r="AE20" s="5">
        <f>IF(TabOceanet[[#This Row],[VM_status]]="PoweredOn",1,0)</f>
        <v>0</v>
      </c>
      <c r="AF20" s="17">
        <f>TabOceanet[[#This Row],[VM_mem]]*Tarif_Ram</f>
        <v>0</v>
      </c>
      <c r="AG20" s="5" t="str">
        <f>MID(TabOceanet[[#This Row],[Backup]],29,20)</f>
        <v/>
      </c>
      <c r="AH20" s="25">
        <f>IF(LEFT(TabOceanet[[#This Row],[TypeBAK]],3)="HOR",Tarif_Backup_Horaire*TabOceanet[[#This Row],[VM_disk]],IF(LEFT(TabOceanet[[#This Row],[TypeBAK]],3)="J15",Tarif_Backup_J15*TabOceanet[[#This Row],[VM_disk]],IF(LEFT(TabOceanet[[#This Row],[TypeBAK]],3)="H1_",Tarif_Backup_J15*TabOceanet[[#This Row],[VM_disk]],0)))</f>
        <v>0</v>
      </c>
      <c r="AI20" s="17">
        <f>TabOceanet[[#This Row],[VM_disk]]*Tarif_disque</f>
        <v>0</v>
      </c>
      <c r="AJ20"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0</v>
      </c>
    </row>
    <row r="21" spans="1:36" hidden="1" x14ac:dyDescent="0.25">
      <c r="A21" t="s">
        <v>1268</v>
      </c>
      <c r="F21">
        <v>1</v>
      </c>
      <c r="P21" t="s">
        <v>1266</v>
      </c>
      <c r="Q21" s="5" t="e">
        <f>VLOOKUP(TabOceanet[VM_name],TabVMEnv[],3,FALSE)</f>
        <v>#N/A</v>
      </c>
      <c r="R21" s="5" t="e">
        <f>IF(VLOOKUP(TabOceanet[VM_name],TabVMEnv[],2,FALSE) = "","Non","")</f>
        <v>#N/A</v>
      </c>
      <c r="S21" s="5">
        <f>IF(TabOceanet[[#This Row],[Type_tarif]]="Tarif_VLAN",1,0)</f>
        <v>0</v>
      </c>
      <c r="T21" s="5">
        <f>TabOceanet[[#This Row],[isCalcVlan]]*TabOceanet[[#This Row],[Nb_article]]*Tarif_VLAN</f>
        <v>0</v>
      </c>
      <c r="U21" s="5">
        <f>IF(TabOceanet[[#This Row],[Type_tarif]]="Tarif_IPPUB",1,0)</f>
        <v>0</v>
      </c>
      <c r="V21" s="5">
        <f>TabOceanet[[#This Row],[isCalcIpPub]]*TabOceanet[[#This Row],[Nb_article]]*Tarif_IPPUB</f>
        <v>0</v>
      </c>
      <c r="W21" s="5">
        <f>IF(TabOceanet[[#This Row],[Type_tarif]]="Tarif_DNS",1,0)</f>
        <v>0</v>
      </c>
      <c r="X21" s="5">
        <f>TabOceanet[[#This Row],[isCalcDns]]*TabOceanet[[#This Row],[Nb_article]]*Tarif_DNS</f>
        <v>0</v>
      </c>
      <c r="Y21" s="5">
        <f>IF(TabOceanet[[#This Row],[Type_tarif]]="Tarif_Certificat_X509_Simple",1,0)</f>
        <v>0</v>
      </c>
      <c r="Z21" s="5">
        <f>TabOceanet[[#This Row],[isCalcCertSimple]]*TabOceanet[[#This Row],[Nb_article]]*Tarif_Certificat_X509_Simple</f>
        <v>0</v>
      </c>
      <c r="AA21" s="5">
        <f>IF(TabOceanet[[#This Row],[Type_tarif]]="Tarif_Certificat_X509_Wildcard",1,0)</f>
        <v>0</v>
      </c>
      <c r="AB21" s="5">
        <f>TabOceanet[[#This Row],[isCalcCertWild]]*TabOceanet[[#This Row],[Nb_article]]*Tarif_Certificat_X509_Wildcard</f>
        <v>0</v>
      </c>
      <c r="AC21" s="5">
        <f>IF(TabOceanet[[#This Row],[Type_tarif]]="Tarif_Astreinte_24_24_7_7",1,0)</f>
        <v>0</v>
      </c>
      <c r="AD21" s="5">
        <f>TabOceanet[[#This Row],[isCalcAstreinte247]]*TabOceanet[[#This Row],[Nb_article]]*Tarif_Astreinte_24_24_7_7</f>
        <v>0</v>
      </c>
      <c r="AE21" s="5">
        <f>IF(TabOceanet[[#This Row],[VM_status]]="PoweredOn",1,0)</f>
        <v>0</v>
      </c>
      <c r="AF21" s="17">
        <f>TabOceanet[[#This Row],[VM_mem]]*Tarif_Ram</f>
        <v>0</v>
      </c>
      <c r="AG21" s="5" t="str">
        <f>MID(TabOceanet[[#This Row],[Backup]],29,20)</f>
        <v/>
      </c>
      <c r="AH21" s="25">
        <f>IF(LEFT(TabOceanet[[#This Row],[TypeBAK]],3)="HOR",Tarif_Backup_Horaire*TabOceanet[[#This Row],[VM_disk]],IF(LEFT(TabOceanet[[#This Row],[TypeBAK]],3)="J15",Tarif_Backup_J15*TabOceanet[[#This Row],[VM_disk]],IF(LEFT(TabOceanet[[#This Row],[TypeBAK]],3)="H1_",Tarif_Backup_J15*TabOceanet[[#This Row],[VM_disk]],0)))</f>
        <v>0</v>
      </c>
      <c r="AI21" s="17">
        <f>TabOceanet[[#This Row],[VM_disk]]*Tarif_disque</f>
        <v>0</v>
      </c>
      <c r="AJ21"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0</v>
      </c>
    </row>
    <row r="22" spans="1:36" hidden="1" x14ac:dyDescent="0.25">
      <c r="A22" t="s">
        <v>1262</v>
      </c>
      <c r="F22">
        <v>1</v>
      </c>
      <c r="P22" t="s">
        <v>442</v>
      </c>
      <c r="Q22" s="5" t="e">
        <f>VLOOKUP(TabOceanet[VM_name],TabVMEnv[],3,FALSE)</f>
        <v>#N/A</v>
      </c>
      <c r="R22" s="5" t="e">
        <f>IF(VLOOKUP(TabOceanet[VM_name],TabVMEnv[],2,FALSE) = "","Non","")</f>
        <v>#N/A</v>
      </c>
      <c r="S22" s="5">
        <f>IF(TabOceanet[[#This Row],[Type_tarif]]="Tarif_VLAN",1,0)</f>
        <v>0</v>
      </c>
      <c r="T22" s="5">
        <f>TabOceanet[[#This Row],[isCalcVlan]]*TabOceanet[[#This Row],[Nb_article]]*Tarif_VLAN</f>
        <v>0</v>
      </c>
      <c r="U22" s="5">
        <f>IF(TabOceanet[[#This Row],[Type_tarif]]="Tarif_IPPUB",1,0)</f>
        <v>1</v>
      </c>
      <c r="V22" s="5">
        <f>TabOceanet[[#This Row],[isCalcIpPub]]*TabOceanet[[#This Row],[Nb_article]]*Tarif_IPPUB</f>
        <v>2</v>
      </c>
      <c r="W22" s="5">
        <f>IF(TabOceanet[[#This Row],[Type_tarif]]="Tarif_DNS",1,0)</f>
        <v>0</v>
      </c>
      <c r="X22" s="5">
        <f>TabOceanet[[#This Row],[isCalcDns]]*TabOceanet[[#This Row],[Nb_article]]*Tarif_DNS</f>
        <v>0</v>
      </c>
      <c r="Y22" s="5">
        <f>IF(TabOceanet[[#This Row],[Type_tarif]]="Tarif_Certificat_X509_Simple",1,0)</f>
        <v>0</v>
      </c>
      <c r="Z22" s="5">
        <f>TabOceanet[[#This Row],[isCalcCertSimple]]*TabOceanet[[#This Row],[Nb_article]]*Tarif_Certificat_X509_Simple</f>
        <v>0</v>
      </c>
      <c r="AA22" s="5">
        <f>IF(TabOceanet[[#This Row],[Type_tarif]]="Tarif_Certificat_X509_Wildcard",1,0)</f>
        <v>0</v>
      </c>
      <c r="AB22" s="5">
        <f>TabOceanet[[#This Row],[isCalcCertWild]]*TabOceanet[[#This Row],[Nb_article]]*Tarif_Certificat_X509_Wildcard</f>
        <v>0</v>
      </c>
      <c r="AC22" s="5">
        <f>IF(TabOceanet[[#This Row],[Type_tarif]]="Tarif_Astreinte_24_24_7_7",1,0)</f>
        <v>0</v>
      </c>
      <c r="AD22" s="5">
        <f>TabOceanet[[#This Row],[isCalcAstreinte247]]*TabOceanet[[#This Row],[Nb_article]]*Tarif_Astreinte_24_24_7_7</f>
        <v>0</v>
      </c>
      <c r="AE22" s="5">
        <f>IF(TabOceanet[[#This Row],[VM_status]]="PoweredOn",1,0)</f>
        <v>0</v>
      </c>
      <c r="AF22" s="17">
        <f>TabOceanet[[#This Row],[VM_mem]]*Tarif_Ram</f>
        <v>0</v>
      </c>
      <c r="AG22" s="5" t="str">
        <f>MID(TabOceanet[[#This Row],[Backup]],29,20)</f>
        <v/>
      </c>
      <c r="AH22" s="25">
        <f>IF(LEFT(TabOceanet[[#This Row],[TypeBAK]],3)="HOR",Tarif_Backup_Horaire*TabOceanet[[#This Row],[VM_disk]],IF(LEFT(TabOceanet[[#This Row],[TypeBAK]],3)="J15",Tarif_Backup_J15*TabOceanet[[#This Row],[VM_disk]],IF(LEFT(TabOceanet[[#This Row],[TypeBAK]],3)="H1_",Tarif_Backup_J15*TabOceanet[[#This Row],[VM_disk]],0)))</f>
        <v>0</v>
      </c>
      <c r="AI22" s="17">
        <f>TabOceanet[[#This Row],[VM_disk]]*Tarif_disque</f>
        <v>0</v>
      </c>
      <c r="AJ22"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v>
      </c>
    </row>
    <row r="23" spans="1:36" hidden="1" x14ac:dyDescent="0.25">
      <c r="A23" t="s">
        <v>1261</v>
      </c>
      <c r="F23">
        <v>1</v>
      </c>
      <c r="P23" t="s">
        <v>445</v>
      </c>
      <c r="Q23" s="5" t="e">
        <f>VLOOKUP(TabOceanet[VM_name],TabVMEnv[],3,FALSE)</f>
        <v>#N/A</v>
      </c>
      <c r="R23" s="5" t="e">
        <f>IF(VLOOKUP(TabOceanet[VM_name],TabVMEnv[],2,FALSE) = "","Non","")</f>
        <v>#N/A</v>
      </c>
      <c r="S23" s="5">
        <f>IF(TabOceanet[[#This Row],[Type_tarif]]="Tarif_VLAN",1,0)</f>
        <v>1</v>
      </c>
      <c r="T23" s="5">
        <f>TabOceanet[[#This Row],[isCalcVlan]]*TabOceanet[[#This Row],[Nb_article]]*Tarif_VLAN</f>
        <v>10</v>
      </c>
      <c r="U23" s="5">
        <f>IF(TabOceanet[[#This Row],[Type_tarif]]="Tarif_IPPUB",1,0)</f>
        <v>0</v>
      </c>
      <c r="V23" s="5">
        <f>TabOceanet[[#This Row],[isCalcIpPub]]*TabOceanet[[#This Row],[Nb_article]]*Tarif_IPPUB</f>
        <v>0</v>
      </c>
      <c r="W23" s="5">
        <f>IF(TabOceanet[[#This Row],[Type_tarif]]="Tarif_DNS",1,0)</f>
        <v>0</v>
      </c>
      <c r="X23" s="5">
        <f>TabOceanet[[#This Row],[isCalcDns]]*TabOceanet[[#This Row],[Nb_article]]*Tarif_DNS</f>
        <v>0</v>
      </c>
      <c r="Y23" s="5">
        <f>IF(TabOceanet[[#This Row],[Type_tarif]]="Tarif_Certificat_X509_Simple",1,0)</f>
        <v>0</v>
      </c>
      <c r="Z23" s="5">
        <f>TabOceanet[[#This Row],[isCalcCertSimple]]*TabOceanet[[#This Row],[Nb_article]]*Tarif_Certificat_X509_Simple</f>
        <v>0</v>
      </c>
      <c r="AA23" s="5">
        <f>IF(TabOceanet[[#This Row],[Type_tarif]]="Tarif_Certificat_X509_Wildcard",1,0)</f>
        <v>0</v>
      </c>
      <c r="AB23" s="5">
        <f>TabOceanet[[#This Row],[isCalcCertWild]]*TabOceanet[[#This Row],[Nb_article]]*Tarif_Certificat_X509_Wildcard</f>
        <v>0</v>
      </c>
      <c r="AC23" s="5">
        <f>IF(TabOceanet[[#This Row],[Type_tarif]]="Tarif_Astreinte_24_24_7_7",1,0)</f>
        <v>0</v>
      </c>
      <c r="AD23" s="5">
        <f>TabOceanet[[#This Row],[isCalcAstreinte247]]*TabOceanet[[#This Row],[Nb_article]]*Tarif_Astreinte_24_24_7_7</f>
        <v>0</v>
      </c>
      <c r="AE23" s="5">
        <f>IF(TabOceanet[[#This Row],[VM_status]]="PoweredOn",1,0)</f>
        <v>0</v>
      </c>
      <c r="AF23" s="17">
        <f>TabOceanet[[#This Row],[VM_mem]]*Tarif_Ram</f>
        <v>0</v>
      </c>
      <c r="AG23" s="5" t="str">
        <f>MID(TabOceanet[[#This Row],[Backup]],29,20)</f>
        <v/>
      </c>
      <c r="AH23" s="25">
        <f>IF(LEFT(TabOceanet[[#This Row],[TypeBAK]],3)="HOR",Tarif_Backup_Horaire*TabOceanet[[#This Row],[VM_disk]],IF(LEFT(TabOceanet[[#This Row],[TypeBAK]],3)="J15",Tarif_Backup_J15*TabOceanet[[#This Row],[VM_disk]],IF(LEFT(TabOceanet[[#This Row],[TypeBAK]],3)="H1_",Tarif_Backup_J15*TabOceanet[[#This Row],[VM_disk]],0)))</f>
        <v>0</v>
      </c>
      <c r="AI23" s="17">
        <f>TabOceanet[[#This Row],[VM_disk]]*Tarif_disque</f>
        <v>0</v>
      </c>
      <c r="AJ23"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v>
      </c>
    </row>
    <row r="24" spans="1:36" x14ac:dyDescent="0.25">
      <c r="A24" t="s">
        <v>1252</v>
      </c>
      <c r="B24">
        <v>4</v>
      </c>
      <c r="C24">
        <v>16</v>
      </c>
      <c r="D24">
        <v>200</v>
      </c>
      <c r="E24" t="s">
        <v>426</v>
      </c>
      <c r="G24" t="s">
        <v>422</v>
      </c>
      <c r="H24" t="s">
        <v>415</v>
      </c>
      <c r="I24" t="s">
        <v>419</v>
      </c>
      <c r="J24" t="s">
        <v>414</v>
      </c>
      <c r="K24" t="s">
        <v>408</v>
      </c>
      <c r="L24" t="s">
        <v>410</v>
      </c>
      <c r="M24" t="s">
        <v>417</v>
      </c>
      <c r="N24" t="s">
        <v>412</v>
      </c>
      <c r="O24">
        <v>10006791</v>
      </c>
      <c r="P24" t="s">
        <v>413</v>
      </c>
      <c r="Q24" s="5" t="e">
        <f>VLOOKUP(TabOceanet[VM_name],TabVMEnv[],3,FALSE)</f>
        <v>#N/A</v>
      </c>
      <c r="R24" s="5" t="e">
        <f>IF(VLOOKUP(TabOceanet[VM_name],TabVMEnv[],2,FALSE) = "","Non","")</f>
        <v>#N/A</v>
      </c>
      <c r="S24" s="5">
        <f>IF(TabOceanet[[#This Row],[Type_tarif]]="Tarif_VLAN",1,0)</f>
        <v>0</v>
      </c>
      <c r="T24" s="5">
        <f>TabOceanet[[#This Row],[isCalcVlan]]*TabOceanet[[#This Row],[Nb_article]]*Tarif_VLAN</f>
        <v>0</v>
      </c>
      <c r="U24" s="5">
        <f>IF(TabOceanet[[#This Row],[Type_tarif]]="Tarif_IPPUB",1,0)</f>
        <v>0</v>
      </c>
      <c r="V24" s="5">
        <f>TabOceanet[[#This Row],[isCalcIpPub]]*TabOceanet[[#This Row],[Nb_article]]*Tarif_IPPUB</f>
        <v>0</v>
      </c>
      <c r="W24" s="5">
        <f>IF(TabOceanet[[#This Row],[Type_tarif]]="Tarif_DNS",1,0)</f>
        <v>0</v>
      </c>
      <c r="X24" s="5">
        <f>TabOceanet[[#This Row],[isCalcDns]]*TabOceanet[[#This Row],[Nb_article]]*Tarif_DNS</f>
        <v>0</v>
      </c>
      <c r="Y24" s="5">
        <f>IF(TabOceanet[[#This Row],[Type_tarif]]="Tarif_Certificat_X509_Simple",1,0)</f>
        <v>0</v>
      </c>
      <c r="Z24" s="5">
        <f>TabOceanet[[#This Row],[isCalcCertSimple]]*TabOceanet[[#This Row],[Nb_article]]*Tarif_Certificat_X509_Simple</f>
        <v>0</v>
      </c>
      <c r="AA24" s="5">
        <f>IF(TabOceanet[[#This Row],[Type_tarif]]="Tarif_Certificat_X509_Wildcard",1,0)</f>
        <v>0</v>
      </c>
      <c r="AB24" s="5">
        <f>TabOceanet[[#This Row],[isCalcCertWild]]*TabOceanet[[#This Row],[Nb_article]]*Tarif_Certificat_X509_Wildcard</f>
        <v>0</v>
      </c>
      <c r="AC24" s="5">
        <f>IF(TabOceanet[[#This Row],[Type_tarif]]="Tarif_Astreinte_24_24_7_7",1,0)</f>
        <v>0</v>
      </c>
      <c r="AD24" s="5">
        <f>TabOceanet[[#This Row],[isCalcAstreinte247]]*TabOceanet[[#This Row],[Nb_article]]*Tarif_Astreinte_24_24_7_7</f>
        <v>0</v>
      </c>
      <c r="AE24" s="5">
        <f>IF(TabOceanet[[#This Row],[VM_status]]="PoweredOn",1,0)</f>
        <v>1</v>
      </c>
      <c r="AF24" s="17">
        <f>TabOceanet[[#This Row],[VM_mem]]*Tarif_Ram</f>
        <v>25.6</v>
      </c>
      <c r="AG24" s="5" t="str">
        <f>MID(TabOceanet[[#This Row],[Backup]],29,20)</f>
        <v>J15</v>
      </c>
      <c r="AH24" s="25">
        <f>IF(LEFT(TabOceanet[[#This Row],[TypeBAK]],3)="HOR",Tarif_Backup_Horaire*TabOceanet[[#This Row],[VM_disk]],IF(LEFT(TabOceanet[[#This Row],[TypeBAK]],3)="J15",Tarif_Backup_J15*TabOceanet[[#This Row],[VM_disk]],IF(LEFT(TabOceanet[[#This Row],[TypeBAK]],3)="H1_",Tarif_Backup_J15*TabOceanet[[#This Row],[VM_disk]],0)))</f>
        <v>46</v>
      </c>
      <c r="AI24" s="17">
        <f>TabOceanet[[#This Row],[VM_disk]]*Tarif_disque</f>
        <v>0</v>
      </c>
      <c r="AJ24"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71.599999999999994</v>
      </c>
    </row>
    <row r="25" spans="1:36" x14ac:dyDescent="0.25">
      <c r="A25" t="s">
        <v>1250</v>
      </c>
      <c r="B25">
        <v>2</v>
      </c>
      <c r="C25">
        <v>4</v>
      </c>
      <c r="D25">
        <v>30</v>
      </c>
      <c r="E25" t="s">
        <v>426</v>
      </c>
      <c r="G25" t="s">
        <v>422</v>
      </c>
      <c r="H25" t="s">
        <v>415</v>
      </c>
      <c r="I25" t="s">
        <v>419</v>
      </c>
      <c r="J25" t="s">
        <v>414</v>
      </c>
      <c r="K25" t="s">
        <v>408</v>
      </c>
      <c r="L25" t="s">
        <v>410</v>
      </c>
      <c r="M25" t="s">
        <v>417</v>
      </c>
      <c r="N25" t="s">
        <v>412</v>
      </c>
      <c r="O25">
        <v>10006791</v>
      </c>
      <c r="P25" t="s">
        <v>413</v>
      </c>
      <c r="Q25" s="5" t="e">
        <f>VLOOKUP(TabOceanet[VM_name],TabVMEnv[],3,FALSE)</f>
        <v>#N/A</v>
      </c>
      <c r="R25" s="5" t="e">
        <f>IF(VLOOKUP(TabOceanet[VM_name],TabVMEnv[],2,FALSE) = "","Non","")</f>
        <v>#N/A</v>
      </c>
      <c r="S25" s="5">
        <f>IF(TabOceanet[[#This Row],[Type_tarif]]="Tarif_VLAN",1,0)</f>
        <v>0</v>
      </c>
      <c r="T25" s="5">
        <f>TabOceanet[[#This Row],[isCalcVlan]]*TabOceanet[[#This Row],[Nb_article]]*Tarif_VLAN</f>
        <v>0</v>
      </c>
      <c r="U25" s="5">
        <f>IF(TabOceanet[[#This Row],[Type_tarif]]="Tarif_IPPUB",1,0)</f>
        <v>0</v>
      </c>
      <c r="V25" s="5">
        <f>TabOceanet[[#This Row],[isCalcIpPub]]*TabOceanet[[#This Row],[Nb_article]]*Tarif_IPPUB</f>
        <v>0</v>
      </c>
      <c r="W25" s="5">
        <f>IF(TabOceanet[[#This Row],[Type_tarif]]="Tarif_DNS",1,0)</f>
        <v>0</v>
      </c>
      <c r="X25" s="5">
        <f>TabOceanet[[#This Row],[isCalcDns]]*TabOceanet[[#This Row],[Nb_article]]*Tarif_DNS</f>
        <v>0</v>
      </c>
      <c r="Y25" s="5">
        <f>IF(TabOceanet[[#This Row],[Type_tarif]]="Tarif_Certificat_X509_Simple",1,0)</f>
        <v>0</v>
      </c>
      <c r="Z25" s="5">
        <f>TabOceanet[[#This Row],[isCalcCertSimple]]*TabOceanet[[#This Row],[Nb_article]]*Tarif_Certificat_X509_Simple</f>
        <v>0</v>
      </c>
      <c r="AA25" s="5">
        <f>IF(TabOceanet[[#This Row],[Type_tarif]]="Tarif_Certificat_X509_Wildcard",1,0)</f>
        <v>0</v>
      </c>
      <c r="AB25" s="5">
        <f>TabOceanet[[#This Row],[isCalcCertWild]]*TabOceanet[[#This Row],[Nb_article]]*Tarif_Certificat_X509_Wildcard</f>
        <v>0</v>
      </c>
      <c r="AC25" s="5">
        <f>IF(TabOceanet[[#This Row],[Type_tarif]]="Tarif_Astreinte_24_24_7_7",1,0)</f>
        <v>0</v>
      </c>
      <c r="AD25" s="5">
        <f>TabOceanet[[#This Row],[isCalcAstreinte247]]*TabOceanet[[#This Row],[Nb_article]]*Tarif_Astreinte_24_24_7_7</f>
        <v>0</v>
      </c>
      <c r="AE25" s="5">
        <f>IF(TabOceanet[[#This Row],[VM_status]]="PoweredOn",1,0)</f>
        <v>1</v>
      </c>
      <c r="AF25" s="17">
        <f>TabOceanet[[#This Row],[VM_mem]]*Tarif_Ram</f>
        <v>6.4</v>
      </c>
      <c r="AG25" s="5" t="str">
        <f>MID(TabOceanet[[#This Row],[Backup]],29,20)</f>
        <v>J15</v>
      </c>
      <c r="AH25" s="25">
        <f>IF(LEFT(TabOceanet[[#This Row],[TypeBAK]],3)="HOR",Tarif_Backup_Horaire*TabOceanet[[#This Row],[VM_disk]],IF(LEFT(TabOceanet[[#This Row],[TypeBAK]],3)="J15",Tarif_Backup_J15*TabOceanet[[#This Row],[VM_disk]],IF(LEFT(TabOceanet[[#This Row],[TypeBAK]],3)="H1_",Tarif_Backup_J15*TabOceanet[[#This Row],[VM_disk]],0)))</f>
        <v>6.9</v>
      </c>
      <c r="AI25" s="17">
        <f>TabOceanet[[#This Row],[VM_disk]]*Tarif_disque</f>
        <v>0</v>
      </c>
      <c r="AJ25"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13.3</v>
      </c>
    </row>
    <row r="26" spans="1:36" x14ac:dyDescent="0.25">
      <c r="A26" t="s">
        <v>1249</v>
      </c>
      <c r="B26">
        <v>2</v>
      </c>
      <c r="C26">
        <v>2</v>
      </c>
      <c r="D26">
        <v>10</v>
      </c>
      <c r="E26" t="s">
        <v>426</v>
      </c>
      <c r="G26" t="s">
        <v>422</v>
      </c>
      <c r="H26" t="s">
        <v>415</v>
      </c>
      <c r="I26" t="s">
        <v>419</v>
      </c>
      <c r="J26" t="s">
        <v>414</v>
      </c>
      <c r="K26" t="s">
        <v>408</v>
      </c>
      <c r="L26" t="s">
        <v>410</v>
      </c>
      <c r="M26" t="s">
        <v>417</v>
      </c>
      <c r="N26" t="s">
        <v>412</v>
      </c>
      <c r="O26">
        <v>10006791</v>
      </c>
      <c r="P26" t="s">
        <v>413</v>
      </c>
      <c r="Q26" s="5" t="e">
        <f>VLOOKUP(TabOceanet[VM_name],TabVMEnv[],3,FALSE)</f>
        <v>#N/A</v>
      </c>
      <c r="R26" s="5" t="e">
        <f>IF(VLOOKUP(TabOceanet[VM_name],TabVMEnv[],2,FALSE) = "","Non","")</f>
        <v>#N/A</v>
      </c>
      <c r="S26" s="5">
        <f>IF(TabOceanet[[#This Row],[Type_tarif]]="Tarif_VLAN",1,0)</f>
        <v>0</v>
      </c>
      <c r="T26" s="5">
        <f>TabOceanet[[#This Row],[isCalcVlan]]*TabOceanet[[#This Row],[Nb_article]]*Tarif_VLAN</f>
        <v>0</v>
      </c>
      <c r="U26" s="5">
        <f>IF(TabOceanet[[#This Row],[Type_tarif]]="Tarif_IPPUB",1,0)</f>
        <v>0</v>
      </c>
      <c r="V26" s="5">
        <f>TabOceanet[[#This Row],[isCalcIpPub]]*TabOceanet[[#This Row],[Nb_article]]*Tarif_IPPUB</f>
        <v>0</v>
      </c>
      <c r="W26" s="5">
        <f>IF(TabOceanet[[#This Row],[Type_tarif]]="Tarif_DNS",1,0)</f>
        <v>0</v>
      </c>
      <c r="X26" s="5">
        <f>TabOceanet[[#This Row],[isCalcDns]]*TabOceanet[[#This Row],[Nb_article]]*Tarif_DNS</f>
        <v>0</v>
      </c>
      <c r="Y26" s="5">
        <f>IF(TabOceanet[[#This Row],[Type_tarif]]="Tarif_Certificat_X509_Simple",1,0)</f>
        <v>0</v>
      </c>
      <c r="Z26" s="5">
        <f>TabOceanet[[#This Row],[isCalcCertSimple]]*TabOceanet[[#This Row],[Nb_article]]*Tarif_Certificat_X509_Simple</f>
        <v>0</v>
      </c>
      <c r="AA26" s="5">
        <f>IF(TabOceanet[[#This Row],[Type_tarif]]="Tarif_Certificat_X509_Wildcard",1,0)</f>
        <v>0</v>
      </c>
      <c r="AB26" s="5">
        <f>TabOceanet[[#This Row],[isCalcCertWild]]*TabOceanet[[#This Row],[Nb_article]]*Tarif_Certificat_X509_Wildcard</f>
        <v>0</v>
      </c>
      <c r="AC26" s="5">
        <f>IF(TabOceanet[[#This Row],[Type_tarif]]="Tarif_Astreinte_24_24_7_7",1,0)</f>
        <v>0</v>
      </c>
      <c r="AD26" s="5">
        <f>TabOceanet[[#This Row],[isCalcAstreinte247]]*TabOceanet[[#This Row],[Nb_article]]*Tarif_Astreinte_24_24_7_7</f>
        <v>0</v>
      </c>
      <c r="AE26" s="5">
        <f>IF(TabOceanet[[#This Row],[VM_status]]="PoweredOn",1,0)</f>
        <v>1</v>
      </c>
      <c r="AF26" s="17">
        <f>TabOceanet[[#This Row],[VM_mem]]*Tarif_Ram</f>
        <v>3.2</v>
      </c>
      <c r="AG26" s="5" t="str">
        <f>MID(TabOceanet[[#This Row],[Backup]],29,20)</f>
        <v>J15</v>
      </c>
      <c r="AH26" s="25">
        <f>IF(LEFT(TabOceanet[[#This Row],[TypeBAK]],3)="HOR",Tarif_Backup_Horaire*TabOceanet[[#This Row],[VM_disk]],IF(LEFT(TabOceanet[[#This Row],[TypeBAK]],3)="J15",Tarif_Backup_J15*TabOceanet[[#This Row],[VM_disk]],IF(LEFT(TabOceanet[[#This Row],[TypeBAK]],3)="H1_",Tarif_Backup_J15*TabOceanet[[#This Row],[VM_disk]],0)))</f>
        <v>2.3000000000000003</v>
      </c>
      <c r="AI26" s="17">
        <f>TabOceanet[[#This Row],[VM_disk]]*Tarif_disque</f>
        <v>0</v>
      </c>
      <c r="AJ26"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5.5</v>
      </c>
    </row>
    <row r="27" spans="1:36" x14ac:dyDescent="0.25">
      <c r="A27" t="s">
        <v>1248</v>
      </c>
      <c r="B27">
        <v>1</v>
      </c>
      <c r="C27">
        <v>1</v>
      </c>
      <c r="D27">
        <v>6.5</v>
      </c>
      <c r="E27" t="s">
        <v>426</v>
      </c>
      <c r="G27" t="s">
        <v>422</v>
      </c>
      <c r="H27" t="s">
        <v>415</v>
      </c>
      <c r="I27" t="s">
        <v>419</v>
      </c>
      <c r="J27" t="s">
        <v>414</v>
      </c>
      <c r="K27" t="s">
        <v>408</v>
      </c>
      <c r="L27" t="s">
        <v>410</v>
      </c>
      <c r="M27" t="s">
        <v>417</v>
      </c>
      <c r="N27" t="s">
        <v>412</v>
      </c>
      <c r="O27">
        <v>10006791</v>
      </c>
      <c r="P27" t="s">
        <v>413</v>
      </c>
      <c r="Q27" s="5" t="e">
        <f>VLOOKUP(TabOceanet[VM_name],TabVMEnv[],3,FALSE)</f>
        <v>#N/A</v>
      </c>
      <c r="R27" s="5" t="e">
        <f>IF(VLOOKUP(TabOceanet[VM_name],TabVMEnv[],2,FALSE) = "","Non","")</f>
        <v>#N/A</v>
      </c>
      <c r="S27" s="5">
        <f>IF(TabOceanet[[#This Row],[Type_tarif]]="Tarif_VLAN",1,0)</f>
        <v>0</v>
      </c>
      <c r="T27" s="5">
        <f>TabOceanet[[#This Row],[isCalcVlan]]*TabOceanet[[#This Row],[Nb_article]]*Tarif_VLAN</f>
        <v>0</v>
      </c>
      <c r="U27" s="5">
        <f>IF(TabOceanet[[#This Row],[Type_tarif]]="Tarif_IPPUB",1,0)</f>
        <v>0</v>
      </c>
      <c r="V27" s="5">
        <f>TabOceanet[[#This Row],[isCalcIpPub]]*TabOceanet[[#This Row],[Nb_article]]*Tarif_IPPUB</f>
        <v>0</v>
      </c>
      <c r="W27" s="5">
        <f>IF(TabOceanet[[#This Row],[Type_tarif]]="Tarif_DNS",1,0)</f>
        <v>0</v>
      </c>
      <c r="X27" s="5">
        <f>TabOceanet[[#This Row],[isCalcDns]]*TabOceanet[[#This Row],[Nb_article]]*Tarif_DNS</f>
        <v>0</v>
      </c>
      <c r="Y27" s="5">
        <f>IF(TabOceanet[[#This Row],[Type_tarif]]="Tarif_Certificat_X509_Simple",1,0)</f>
        <v>0</v>
      </c>
      <c r="Z27" s="5">
        <f>TabOceanet[[#This Row],[isCalcCertSimple]]*TabOceanet[[#This Row],[Nb_article]]*Tarif_Certificat_X509_Simple</f>
        <v>0</v>
      </c>
      <c r="AA27" s="5">
        <f>IF(TabOceanet[[#This Row],[Type_tarif]]="Tarif_Certificat_X509_Wildcard",1,0)</f>
        <v>0</v>
      </c>
      <c r="AB27" s="5">
        <f>TabOceanet[[#This Row],[isCalcCertWild]]*TabOceanet[[#This Row],[Nb_article]]*Tarif_Certificat_X509_Wildcard</f>
        <v>0</v>
      </c>
      <c r="AC27" s="5">
        <f>IF(TabOceanet[[#This Row],[Type_tarif]]="Tarif_Astreinte_24_24_7_7",1,0)</f>
        <v>0</v>
      </c>
      <c r="AD27" s="5">
        <f>TabOceanet[[#This Row],[isCalcAstreinte247]]*TabOceanet[[#This Row],[Nb_article]]*Tarif_Astreinte_24_24_7_7</f>
        <v>0</v>
      </c>
      <c r="AE27" s="5">
        <f>IF(TabOceanet[[#This Row],[VM_status]]="PoweredOn",1,0)</f>
        <v>1</v>
      </c>
      <c r="AF27" s="17">
        <f>TabOceanet[[#This Row],[VM_mem]]*Tarif_Ram</f>
        <v>1.6</v>
      </c>
      <c r="AG27" s="5" t="str">
        <f>MID(TabOceanet[[#This Row],[Backup]],29,20)</f>
        <v>J15</v>
      </c>
      <c r="AH27" s="25">
        <f>IF(LEFT(TabOceanet[[#This Row],[TypeBAK]],3)="HOR",Tarif_Backup_Horaire*TabOceanet[[#This Row],[VM_disk]],IF(LEFT(TabOceanet[[#This Row],[TypeBAK]],3)="J15",Tarif_Backup_J15*TabOceanet[[#This Row],[VM_disk]],IF(LEFT(TabOceanet[[#This Row],[TypeBAK]],3)="H1_",Tarif_Backup_J15*TabOceanet[[#This Row],[VM_disk]],0)))</f>
        <v>1.4950000000000001</v>
      </c>
      <c r="AI27" s="17">
        <f>TabOceanet[[#This Row],[VM_disk]]*Tarif_disque</f>
        <v>0</v>
      </c>
      <c r="AJ27"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3.0950000000000002</v>
      </c>
    </row>
    <row r="28" spans="1:36" x14ac:dyDescent="0.25">
      <c r="A28" t="s">
        <v>1251</v>
      </c>
      <c r="B28">
        <v>4</v>
      </c>
      <c r="C28">
        <v>8</v>
      </c>
      <c r="D28">
        <v>60</v>
      </c>
      <c r="E28" t="s">
        <v>426</v>
      </c>
      <c r="G28" t="s">
        <v>422</v>
      </c>
      <c r="H28" t="s">
        <v>415</v>
      </c>
      <c r="I28" t="s">
        <v>419</v>
      </c>
      <c r="J28" t="s">
        <v>414</v>
      </c>
      <c r="K28" t="s">
        <v>408</v>
      </c>
      <c r="L28" t="s">
        <v>410</v>
      </c>
      <c r="M28" t="s">
        <v>417</v>
      </c>
      <c r="N28" t="s">
        <v>412</v>
      </c>
      <c r="O28">
        <v>10006791</v>
      </c>
      <c r="P28" t="s">
        <v>413</v>
      </c>
      <c r="Q28" s="5" t="e">
        <f>VLOOKUP(TabOceanet[VM_name],TabVMEnv[],3,FALSE)</f>
        <v>#N/A</v>
      </c>
      <c r="R28" s="5" t="e">
        <f>IF(VLOOKUP(TabOceanet[VM_name],TabVMEnv[],2,FALSE) = "","Non","")</f>
        <v>#N/A</v>
      </c>
      <c r="S28" s="5">
        <f>IF(TabOceanet[[#This Row],[Type_tarif]]="Tarif_VLAN",1,0)</f>
        <v>0</v>
      </c>
      <c r="T28" s="5">
        <f>TabOceanet[[#This Row],[isCalcVlan]]*TabOceanet[[#This Row],[Nb_article]]*Tarif_VLAN</f>
        <v>0</v>
      </c>
      <c r="U28" s="5">
        <f>IF(TabOceanet[[#This Row],[Type_tarif]]="Tarif_IPPUB",1,0)</f>
        <v>0</v>
      </c>
      <c r="V28" s="5">
        <f>TabOceanet[[#This Row],[isCalcIpPub]]*TabOceanet[[#This Row],[Nb_article]]*Tarif_IPPUB</f>
        <v>0</v>
      </c>
      <c r="W28" s="5">
        <f>IF(TabOceanet[[#This Row],[Type_tarif]]="Tarif_DNS",1,0)</f>
        <v>0</v>
      </c>
      <c r="X28" s="5">
        <f>TabOceanet[[#This Row],[isCalcDns]]*TabOceanet[[#This Row],[Nb_article]]*Tarif_DNS</f>
        <v>0</v>
      </c>
      <c r="Y28" s="5">
        <f>IF(TabOceanet[[#This Row],[Type_tarif]]="Tarif_Certificat_X509_Simple",1,0)</f>
        <v>0</v>
      </c>
      <c r="Z28" s="5">
        <f>TabOceanet[[#This Row],[isCalcCertSimple]]*TabOceanet[[#This Row],[Nb_article]]*Tarif_Certificat_X509_Simple</f>
        <v>0</v>
      </c>
      <c r="AA28" s="5">
        <f>IF(TabOceanet[[#This Row],[Type_tarif]]="Tarif_Certificat_X509_Wildcard",1,0)</f>
        <v>0</v>
      </c>
      <c r="AB28" s="5">
        <f>TabOceanet[[#This Row],[isCalcCertWild]]*TabOceanet[[#This Row],[Nb_article]]*Tarif_Certificat_X509_Wildcard</f>
        <v>0</v>
      </c>
      <c r="AC28" s="5">
        <f>IF(TabOceanet[[#This Row],[Type_tarif]]="Tarif_Astreinte_24_24_7_7",1,0)</f>
        <v>0</v>
      </c>
      <c r="AD28" s="5">
        <f>TabOceanet[[#This Row],[isCalcAstreinte247]]*TabOceanet[[#This Row],[Nb_article]]*Tarif_Astreinte_24_24_7_7</f>
        <v>0</v>
      </c>
      <c r="AE28" s="5">
        <f>IF(TabOceanet[[#This Row],[VM_status]]="PoweredOn",1,0)</f>
        <v>1</v>
      </c>
      <c r="AF28" s="17">
        <f>TabOceanet[[#This Row],[VM_mem]]*Tarif_Ram</f>
        <v>12.8</v>
      </c>
      <c r="AG28" s="5" t="str">
        <f>MID(TabOceanet[[#This Row],[Backup]],29,20)</f>
        <v>J15</v>
      </c>
      <c r="AH28" s="25">
        <f>IF(LEFT(TabOceanet[[#This Row],[TypeBAK]],3)="HOR",Tarif_Backup_Horaire*TabOceanet[[#This Row],[VM_disk]],IF(LEFT(TabOceanet[[#This Row],[TypeBAK]],3)="J15",Tarif_Backup_J15*TabOceanet[[#This Row],[VM_disk]],IF(LEFT(TabOceanet[[#This Row],[TypeBAK]],3)="H1_",Tarif_Backup_J15*TabOceanet[[#This Row],[VM_disk]],0)))</f>
        <v>13.8</v>
      </c>
      <c r="AI28" s="17">
        <f>TabOceanet[[#This Row],[VM_disk]]*Tarif_disque</f>
        <v>0</v>
      </c>
      <c r="AJ28"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26.6</v>
      </c>
    </row>
    <row r="29" spans="1:36" x14ac:dyDescent="0.25">
      <c r="A29" t="s">
        <v>1257</v>
      </c>
      <c r="B29">
        <v>4</v>
      </c>
      <c r="C29">
        <v>16</v>
      </c>
      <c r="D29">
        <v>200</v>
      </c>
      <c r="E29" t="s">
        <v>426</v>
      </c>
      <c r="G29" t="s">
        <v>422</v>
      </c>
      <c r="H29" t="s">
        <v>415</v>
      </c>
      <c r="I29" t="s">
        <v>419</v>
      </c>
      <c r="J29" t="s">
        <v>414</v>
      </c>
      <c r="K29" t="s">
        <v>408</v>
      </c>
      <c r="L29" t="s">
        <v>410</v>
      </c>
      <c r="M29" t="s">
        <v>417</v>
      </c>
      <c r="N29" t="s">
        <v>412</v>
      </c>
      <c r="O29">
        <v>10006791</v>
      </c>
      <c r="P29" t="s">
        <v>413</v>
      </c>
      <c r="Q29" s="5" t="e">
        <f>VLOOKUP(TabOceanet[VM_name],TabVMEnv[],3,FALSE)</f>
        <v>#N/A</v>
      </c>
      <c r="R29" s="5" t="e">
        <f>IF(VLOOKUP(TabOceanet[VM_name],TabVMEnv[],2,FALSE) = "","Non","")</f>
        <v>#N/A</v>
      </c>
      <c r="S29" s="5">
        <f>IF(TabOceanet[[#This Row],[Type_tarif]]="Tarif_VLAN",1,0)</f>
        <v>0</v>
      </c>
      <c r="T29" s="5">
        <f>TabOceanet[[#This Row],[isCalcVlan]]*TabOceanet[[#This Row],[Nb_article]]*Tarif_VLAN</f>
        <v>0</v>
      </c>
      <c r="U29" s="5">
        <f>IF(TabOceanet[[#This Row],[Type_tarif]]="Tarif_IPPUB",1,0)</f>
        <v>0</v>
      </c>
      <c r="V29" s="5">
        <f>TabOceanet[[#This Row],[isCalcIpPub]]*TabOceanet[[#This Row],[Nb_article]]*Tarif_IPPUB</f>
        <v>0</v>
      </c>
      <c r="W29" s="5">
        <f>IF(TabOceanet[[#This Row],[Type_tarif]]="Tarif_DNS",1,0)</f>
        <v>0</v>
      </c>
      <c r="X29" s="5">
        <f>TabOceanet[[#This Row],[isCalcDns]]*TabOceanet[[#This Row],[Nb_article]]*Tarif_DNS</f>
        <v>0</v>
      </c>
      <c r="Y29" s="5">
        <f>IF(TabOceanet[[#This Row],[Type_tarif]]="Tarif_Certificat_X509_Simple",1,0)</f>
        <v>0</v>
      </c>
      <c r="Z29" s="5">
        <f>TabOceanet[[#This Row],[isCalcCertSimple]]*TabOceanet[[#This Row],[Nb_article]]*Tarif_Certificat_X509_Simple</f>
        <v>0</v>
      </c>
      <c r="AA29" s="5">
        <f>IF(TabOceanet[[#This Row],[Type_tarif]]="Tarif_Certificat_X509_Wildcard",1,0)</f>
        <v>0</v>
      </c>
      <c r="AB29" s="5">
        <f>TabOceanet[[#This Row],[isCalcCertWild]]*TabOceanet[[#This Row],[Nb_article]]*Tarif_Certificat_X509_Wildcard</f>
        <v>0</v>
      </c>
      <c r="AC29" s="5">
        <f>IF(TabOceanet[[#This Row],[Type_tarif]]="Tarif_Astreinte_24_24_7_7",1,0)</f>
        <v>0</v>
      </c>
      <c r="AD29" s="5">
        <f>TabOceanet[[#This Row],[isCalcAstreinte247]]*TabOceanet[[#This Row],[Nb_article]]*Tarif_Astreinte_24_24_7_7</f>
        <v>0</v>
      </c>
      <c r="AE29" s="5">
        <f>IF(TabOceanet[[#This Row],[VM_status]]="PoweredOn",1,0)</f>
        <v>1</v>
      </c>
      <c r="AF29" s="17">
        <f>TabOceanet[[#This Row],[VM_mem]]*Tarif_Ram</f>
        <v>25.6</v>
      </c>
      <c r="AG29" s="5" t="str">
        <f>MID(TabOceanet[[#This Row],[Backup]],29,20)</f>
        <v>J15</v>
      </c>
      <c r="AH29" s="25">
        <f>IF(LEFT(TabOceanet[[#This Row],[TypeBAK]],3)="HOR",Tarif_Backup_Horaire*TabOceanet[[#This Row],[VM_disk]],IF(LEFT(TabOceanet[[#This Row],[TypeBAK]],3)="J15",Tarif_Backup_J15*TabOceanet[[#This Row],[VM_disk]],IF(LEFT(TabOceanet[[#This Row],[TypeBAK]],3)="H1_",Tarif_Backup_J15*TabOceanet[[#This Row],[VM_disk]],0)))</f>
        <v>46</v>
      </c>
      <c r="AI29" s="17">
        <f>TabOceanet[[#This Row],[VM_disk]]*Tarif_disque</f>
        <v>0</v>
      </c>
      <c r="AJ29"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71.599999999999994</v>
      </c>
    </row>
    <row r="30" spans="1:36" x14ac:dyDescent="0.25">
      <c r="A30" t="s">
        <v>1255</v>
      </c>
      <c r="B30">
        <v>2</v>
      </c>
      <c r="C30">
        <v>4</v>
      </c>
      <c r="D30">
        <v>30</v>
      </c>
      <c r="E30" t="s">
        <v>426</v>
      </c>
      <c r="G30" t="s">
        <v>422</v>
      </c>
      <c r="H30" t="s">
        <v>415</v>
      </c>
      <c r="I30" t="s">
        <v>419</v>
      </c>
      <c r="J30" t="s">
        <v>414</v>
      </c>
      <c r="K30" t="s">
        <v>408</v>
      </c>
      <c r="L30" t="s">
        <v>410</v>
      </c>
      <c r="M30" t="s">
        <v>417</v>
      </c>
      <c r="N30" t="s">
        <v>412</v>
      </c>
      <c r="O30">
        <v>10006791</v>
      </c>
      <c r="P30" t="s">
        <v>413</v>
      </c>
      <c r="Q30" s="5" t="e">
        <f>VLOOKUP(TabOceanet[VM_name],TabVMEnv[],3,FALSE)</f>
        <v>#N/A</v>
      </c>
      <c r="R30" s="5" t="e">
        <f>IF(VLOOKUP(TabOceanet[VM_name],TabVMEnv[],2,FALSE) = "","Non","")</f>
        <v>#N/A</v>
      </c>
      <c r="S30" s="5">
        <f>IF(TabOceanet[[#This Row],[Type_tarif]]="Tarif_VLAN",1,0)</f>
        <v>0</v>
      </c>
      <c r="T30" s="5">
        <f>TabOceanet[[#This Row],[isCalcVlan]]*TabOceanet[[#This Row],[Nb_article]]*Tarif_VLAN</f>
        <v>0</v>
      </c>
      <c r="U30" s="5">
        <f>IF(TabOceanet[[#This Row],[Type_tarif]]="Tarif_IPPUB",1,0)</f>
        <v>0</v>
      </c>
      <c r="V30" s="5">
        <f>TabOceanet[[#This Row],[isCalcIpPub]]*TabOceanet[[#This Row],[Nb_article]]*Tarif_IPPUB</f>
        <v>0</v>
      </c>
      <c r="W30" s="5">
        <f>IF(TabOceanet[[#This Row],[Type_tarif]]="Tarif_DNS",1,0)</f>
        <v>0</v>
      </c>
      <c r="X30" s="5">
        <f>TabOceanet[[#This Row],[isCalcDns]]*TabOceanet[[#This Row],[Nb_article]]*Tarif_DNS</f>
        <v>0</v>
      </c>
      <c r="Y30" s="5">
        <f>IF(TabOceanet[[#This Row],[Type_tarif]]="Tarif_Certificat_X509_Simple",1,0)</f>
        <v>0</v>
      </c>
      <c r="Z30" s="5">
        <f>TabOceanet[[#This Row],[isCalcCertSimple]]*TabOceanet[[#This Row],[Nb_article]]*Tarif_Certificat_X509_Simple</f>
        <v>0</v>
      </c>
      <c r="AA30" s="5">
        <f>IF(TabOceanet[[#This Row],[Type_tarif]]="Tarif_Certificat_X509_Wildcard",1,0)</f>
        <v>0</v>
      </c>
      <c r="AB30" s="5">
        <f>TabOceanet[[#This Row],[isCalcCertWild]]*TabOceanet[[#This Row],[Nb_article]]*Tarif_Certificat_X509_Wildcard</f>
        <v>0</v>
      </c>
      <c r="AC30" s="5">
        <f>IF(TabOceanet[[#This Row],[Type_tarif]]="Tarif_Astreinte_24_24_7_7",1,0)</f>
        <v>0</v>
      </c>
      <c r="AD30" s="5">
        <f>TabOceanet[[#This Row],[isCalcAstreinte247]]*TabOceanet[[#This Row],[Nb_article]]*Tarif_Astreinte_24_24_7_7</f>
        <v>0</v>
      </c>
      <c r="AE30" s="5">
        <f>IF(TabOceanet[[#This Row],[VM_status]]="PoweredOn",1,0)</f>
        <v>1</v>
      </c>
      <c r="AF30" s="17">
        <f>TabOceanet[[#This Row],[VM_mem]]*Tarif_Ram</f>
        <v>6.4</v>
      </c>
      <c r="AG30" s="5" t="str">
        <f>MID(TabOceanet[[#This Row],[Backup]],29,20)</f>
        <v>J15</v>
      </c>
      <c r="AH30" s="25">
        <f>IF(LEFT(TabOceanet[[#This Row],[TypeBAK]],3)="HOR",Tarif_Backup_Horaire*TabOceanet[[#This Row],[VM_disk]],IF(LEFT(TabOceanet[[#This Row],[TypeBAK]],3)="J15",Tarif_Backup_J15*TabOceanet[[#This Row],[VM_disk]],IF(LEFT(TabOceanet[[#This Row],[TypeBAK]],3)="H1_",Tarif_Backup_J15*TabOceanet[[#This Row],[VM_disk]],0)))</f>
        <v>6.9</v>
      </c>
      <c r="AI30" s="17">
        <f>TabOceanet[[#This Row],[VM_disk]]*Tarif_disque</f>
        <v>0</v>
      </c>
      <c r="AJ30"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13.3</v>
      </c>
    </row>
    <row r="31" spans="1:36" x14ac:dyDescent="0.25">
      <c r="A31" t="s">
        <v>1254</v>
      </c>
      <c r="B31">
        <v>2</v>
      </c>
      <c r="C31">
        <v>2</v>
      </c>
      <c r="D31">
        <v>10</v>
      </c>
      <c r="E31" t="s">
        <v>426</v>
      </c>
      <c r="G31" t="s">
        <v>422</v>
      </c>
      <c r="H31" t="s">
        <v>415</v>
      </c>
      <c r="I31" t="s">
        <v>419</v>
      </c>
      <c r="J31" t="s">
        <v>414</v>
      </c>
      <c r="K31" t="s">
        <v>408</v>
      </c>
      <c r="L31" t="s">
        <v>410</v>
      </c>
      <c r="M31" t="s">
        <v>417</v>
      </c>
      <c r="N31" t="s">
        <v>412</v>
      </c>
      <c r="O31">
        <v>10006791</v>
      </c>
      <c r="P31" t="s">
        <v>413</v>
      </c>
      <c r="Q31" s="5" t="e">
        <f>VLOOKUP(TabOceanet[VM_name],TabVMEnv[],3,FALSE)</f>
        <v>#N/A</v>
      </c>
      <c r="R31" s="5" t="e">
        <f>IF(VLOOKUP(TabOceanet[VM_name],TabVMEnv[],2,FALSE) = "","Non","")</f>
        <v>#N/A</v>
      </c>
      <c r="S31" s="5">
        <f>IF(TabOceanet[[#This Row],[Type_tarif]]="Tarif_VLAN",1,0)</f>
        <v>0</v>
      </c>
      <c r="T31" s="5">
        <f>TabOceanet[[#This Row],[isCalcVlan]]*TabOceanet[[#This Row],[Nb_article]]*Tarif_VLAN</f>
        <v>0</v>
      </c>
      <c r="U31" s="5">
        <f>IF(TabOceanet[[#This Row],[Type_tarif]]="Tarif_IPPUB",1,0)</f>
        <v>0</v>
      </c>
      <c r="V31" s="5">
        <f>TabOceanet[[#This Row],[isCalcIpPub]]*TabOceanet[[#This Row],[Nb_article]]*Tarif_IPPUB</f>
        <v>0</v>
      </c>
      <c r="W31" s="5">
        <f>IF(TabOceanet[[#This Row],[Type_tarif]]="Tarif_DNS",1,0)</f>
        <v>0</v>
      </c>
      <c r="X31" s="5">
        <f>TabOceanet[[#This Row],[isCalcDns]]*TabOceanet[[#This Row],[Nb_article]]*Tarif_DNS</f>
        <v>0</v>
      </c>
      <c r="Y31" s="5">
        <f>IF(TabOceanet[[#This Row],[Type_tarif]]="Tarif_Certificat_X509_Simple",1,0)</f>
        <v>0</v>
      </c>
      <c r="Z31" s="5">
        <f>TabOceanet[[#This Row],[isCalcCertSimple]]*TabOceanet[[#This Row],[Nb_article]]*Tarif_Certificat_X509_Simple</f>
        <v>0</v>
      </c>
      <c r="AA31" s="5">
        <f>IF(TabOceanet[[#This Row],[Type_tarif]]="Tarif_Certificat_X509_Wildcard",1,0)</f>
        <v>0</v>
      </c>
      <c r="AB31" s="5">
        <f>TabOceanet[[#This Row],[isCalcCertWild]]*TabOceanet[[#This Row],[Nb_article]]*Tarif_Certificat_X509_Wildcard</f>
        <v>0</v>
      </c>
      <c r="AC31" s="5">
        <f>IF(TabOceanet[[#This Row],[Type_tarif]]="Tarif_Astreinte_24_24_7_7",1,0)</f>
        <v>0</v>
      </c>
      <c r="AD31" s="5">
        <f>TabOceanet[[#This Row],[isCalcAstreinte247]]*TabOceanet[[#This Row],[Nb_article]]*Tarif_Astreinte_24_24_7_7</f>
        <v>0</v>
      </c>
      <c r="AE31" s="5">
        <f>IF(TabOceanet[[#This Row],[VM_status]]="PoweredOn",1,0)</f>
        <v>1</v>
      </c>
      <c r="AF31" s="17">
        <f>TabOceanet[[#This Row],[VM_mem]]*Tarif_Ram</f>
        <v>3.2</v>
      </c>
      <c r="AG31" s="5" t="str">
        <f>MID(TabOceanet[[#This Row],[Backup]],29,20)</f>
        <v>J15</v>
      </c>
      <c r="AH31" s="25">
        <f>IF(LEFT(TabOceanet[[#This Row],[TypeBAK]],3)="HOR",Tarif_Backup_Horaire*TabOceanet[[#This Row],[VM_disk]],IF(LEFT(TabOceanet[[#This Row],[TypeBAK]],3)="J15",Tarif_Backup_J15*TabOceanet[[#This Row],[VM_disk]],IF(LEFT(TabOceanet[[#This Row],[TypeBAK]],3)="H1_",Tarif_Backup_J15*TabOceanet[[#This Row],[VM_disk]],0)))</f>
        <v>2.3000000000000003</v>
      </c>
      <c r="AI31" s="17">
        <f>TabOceanet[[#This Row],[VM_disk]]*Tarif_disque</f>
        <v>0</v>
      </c>
      <c r="AJ31"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5.5</v>
      </c>
    </row>
    <row r="32" spans="1:36" x14ac:dyDescent="0.25">
      <c r="A32" t="s">
        <v>1253</v>
      </c>
      <c r="B32">
        <v>1</v>
      </c>
      <c r="C32">
        <v>1</v>
      </c>
      <c r="D32">
        <v>6.5</v>
      </c>
      <c r="E32" t="s">
        <v>426</v>
      </c>
      <c r="G32" t="s">
        <v>422</v>
      </c>
      <c r="H32" t="s">
        <v>415</v>
      </c>
      <c r="I32" t="s">
        <v>419</v>
      </c>
      <c r="J32" t="s">
        <v>414</v>
      </c>
      <c r="K32" t="s">
        <v>408</v>
      </c>
      <c r="L32" t="s">
        <v>410</v>
      </c>
      <c r="M32" t="s">
        <v>417</v>
      </c>
      <c r="N32" t="s">
        <v>412</v>
      </c>
      <c r="O32">
        <v>10006791</v>
      </c>
      <c r="P32" t="s">
        <v>413</v>
      </c>
      <c r="Q32" s="5" t="e">
        <f>VLOOKUP(TabOceanet[VM_name],TabVMEnv[],3,FALSE)</f>
        <v>#N/A</v>
      </c>
      <c r="R32" s="5" t="e">
        <f>IF(VLOOKUP(TabOceanet[VM_name],TabVMEnv[],2,FALSE) = "","Non","")</f>
        <v>#N/A</v>
      </c>
      <c r="S32" s="5">
        <f>IF(TabOceanet[[#This Row],[Type_tarif]]="Tarif_VLAN",1,0)</f>
        <v>0</v>
      </c>
      <c r="T32" s="5">
        <f>TabOceanet[[#This Row],[isCalcVlan]]*TabOceanet[[#This Row],[Nb_article]]*Tarif_VLAN</f>
        <v>0</v>
      </c>
      <c r="U32" s="5">
        <f>IF(TabOceanet[[#This Row],[Type_tarif]]="Tarif_IPPUB",1,0)</f>
        <v>0</v>
      </c>
      <c r="V32" s="5">
        <f>TabOceanet[[#This Row],[isCalcIpPub]]*TabOceanet[[#This Row],[Nb_article]]*Tarif_IPPUB</f>
        <v>0</v>
      </c>
      <c r="W32" s="5">
        <f>IF(TabOceanet[[#This Row],[Type_tarif]]="Tarif_DNS",1,0)</f>
        <v>0</v>
      </c>
      <c r="X32" s="5">
        <f>TabOceanet[[#This Row],[isCalcDns]]*TabOceanet[[#This Row],[Nb_article]]*Tarif_DNS</f>
        <v>0</v>
      </c>
      <c r="Y32" s="5">
        <f>IF(TabOceanet[[#This Row],[Type_tarif]]="Tarif_Certificat_X509_Simple",1,0)</f>
        <v>0</v>
      </c>
      <c r="Z32" s="5">
        <f>TabOceanet[[#This Row],[isCalcCertSimple]]*TabOceanet[[#This Row],[Nb_article]]*Tarif_Certificat_X509_Simple</f>
        <v>0</v>
      </c>
      <c r="AA32" s="5">
        <f>IF(TabOceanet[[#This Row],[Type_tarif]]="Tarif_Certificat_X509_Wildcard",1,0)</f>
        <v>0</v>
      </c>
      <c r="AB32" s="5">
        <f>TabOceanet[[#This Row],[isCalcCertWild]]*TabOceanet[[#This Row],[Nb_article]]*Tarif_Certificat_X509_Wildcard</f>
        <v>0</v>
      </c>
      <c r="AC32" s="5">
        <f>IF(TabOceanet[[#This Row],[Type_tarif]]="Tarif_Astreinte_24_24_7_7",1,0)</f>
        <v>0</v>
      </c>
      <c r="AD32" s="5">
        <f>TabOceanet[[#This Row],[isCalcAstreinte247]]*TabOceanet[[#This Row],[Nb_article]]*Tarif_Astreinte_24_24_7_7</f>
        <v>0</v>
      </c>
      <c r="AE32" s="5">
        <f>IF(TabOceanet[[#This Row],[VM_status]]="PoweredOn",1,0)</f>
        <v>1</v>
      </c>
      <c r="AF32" s="17">
        <f>TabOceanet[[#This Row],[VM_mem]]*Tarif_Ram</f>
        <v>1.6</v>
      </c>
      <c r="AG32" s="5" t="str">
        <f>MID(TabOceanet[[#This Row],[Backup]],29,20)</f>
        <v>J15</v>
      </c>
      <c r="AH32" s="25">
        <f>IF(LEFT(TabOceanet[[#This Row],[TypeBAK]],3)="HOR",Tarif_Backup_Horaire*TabOceanet[[#This Row],[VM_disk]],IF(LEFT(TabOceanet[[#This Row],[TypeBAK]],3)="J15",Tarif_Backup_J15*TabOceanet[[#This Row],[VM_disk]],IF(LEFT(TabOceanet[[#This Row],[TypeBAK]],3)="H1_",Tarif_Backup_J15*TabOceanet[[#This Row],[VM_disk]],0)))</f>
        <v>1.4950000000000001</v>
      </c>
      <c r="AI32" s="17">
        <f>TabOceanet[[#This Row],[VM_disk]]*Tarif_disque</f>
        <v>0</v>
      </c>
      <c r="AJ32"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3.0950000000000002</v>
      </c>
    </row>
    <row r="33" spans="1:36" x14ac:dyDescent="0.25">
      <c r="A33" t="s">
        <v>1256</v>
      </c>
      <c r="B33">
        <v>4</v>
      </c>
      <c r="C33">
        <v>8</v>
      </c>
      <c r="D33">
        <v>60</v>
      </c>
      <c r="E33" t="s">
        <v>426</v>
      </c>
      <c r="G33" t="s">
        <v>422</v>
      </c>
      <c r="H33" t="s">
        <v>415</v>
      </c>
      <c r="I33" t="s">
        <v>419</v>
      </c>
      <c r="J33" t="s">
        <v>414</v>
      </c>
      <c r="K33" t="s">
        <v>408</v>
      </c>
      <c r="L33" t="s">
        <v>410</v>
      </c>
      <c r="M33" t="s">
        <v>417</v>
      </c>
      <c r="N33" t="s">
        <v>412</v>
      </c>
      <c r="O33">
        <v>10006791</v>
      </c>
      <c r="P33" t="s">
        <v>413</v>
      </c>
      <c r="Q33" s="5" t="e">
        <f>VLOOKUP(TabOceanet[VM_name],TabVMEnv[],3,FALSE)</f>
        <v>#N/A</v>
      </c>
      <c r="R33" s="5" t="e">
        <f>IF(VLOOKUP(TabOceanet[VM_name],TabVMEnv[],2,FALSE) = "","Non","")</f>
        <v>#N/A</v>
      </c>
      <c r="S33" s="5">
        <f>IF(TabOceanet[[#This Row],[Type_tarif]]="Tarif_VLAN",1,0)</f>
        <v>0</v>
      </c>
      <c r="T33" s="5">
        <f>TabOceanet[[#This Row],[isCalcVlan]]*TabOceanet[[#This Row],[Nb_article]]*Tarif_VLAN</f>
        <v>0</v>
      </c>
      <c r="U33" s="5">
        <f>IF(TabOceanet[[#This Row],[Type_tarif]]="Tarif_IPPUB",1,0)</f>
        <v>0</v>
      </c>
      <c r="V33" s="5">
        <f>TabOceanet[[#This Row],[isCalcIpPub]]*TabOceanet[[#This Row],[Nb_article]]*Tarif_IPPUB</f>
        <v>0</v>
      </c>
      <c r="W33" s="5">
        <f>IF(TabOceanet[[#This Row],[Type_tarif]]="Tarif_DNS",1,0)</f>
        <v>0</v>
      </c>
      <c r="X33" s="5">
        <f>TabOceanet[[#This Row],[isCalcDns]]*TabOceanet[[#This Row],[Nb_article]]*Tarif_DNS</f>
        <v>0</v>
      </c>
      <c r="Y33" s="5">
        <f>IF(TabOceanet[[#This Row],[Type_tarif]]="Tarif_Certificat_X509_Simple",1,0)</f>
        <v>0</v>
      </c>
      <c r="Z33" s="5">
        <f>TabOceanet[[#This Row],[isCalcCertSimple]]*TabOceanet[[#This Row],[Nb_article]]*Tarif_Certificat_X509_Simple</f>
        <v>0</v>
      </c>
      <c r="AA33" s="5">
        <f>IF(TabOceanet[[#This Row],[Type_tarif]]="Tarif_Certificat_X509_Wildcard",1,0)</f>
        <v>0</v>
      </c>
      <c r="AB33" s="5">
        <f>TabOceanet[[#This Row],[isCalcCertWild]]*TabOceanet[[#This Row],[Nb_article]]*Tarif_Certificat_X509_Wildcard</f>
        <v>0</v>
      </c>
      <c r="AC33" s="5">
        <f>IF(TabOceanet[[#This Row],[Type_tarif]]="Tarif_Astreinte_24_24_7_7",1,0)</f>
        <v>0</v>
      </c>
      <c r="AD33" s="5">
        <f>TabOceanet[[#This Row],[isCalcAstreinte247]]*TabOceanet[[#This Row],[Nb_article]]*Tarif_Astreinte_24_24_7_7</f>
        <v>0</v>
      </c>
      <c r="AE33" s="5">
        <f>IF(TabOceanet[[#This Row],[VM_status]]="PoweredOn",1,0)</f>
        <v>1</v>
      </c>
      <c r="AF33" s="17">
        <f>TabOceanet[[#This Row],[VM_mem]]*Tarif_Ram</f>
        <v>12.8</v>
      </c>
      <c r="AG33" s="5" t="str">
        <f>MID(TabOceanet[[#This Row],[Backup]],29,20)</f>
        <v>J15</v>
      </c>
      <c r="AH33" s="25">
        <f>IF(LEFT(TabOceanet[[#This Row],[TypeBAK]],3)="HOR",Tarif_Backup_Horaire*TabOceanet[[#This Row],[VM_disk]],IF(LEFT(TabOceanet[[#This Row],[TypeBAK]],3)="J15",Tarif_Backup_J15*TabOceanet[[#This Row],[VM_disk]],IF(LEFT(TabOceanet[[#This Row],[TypeBAK]],3)="H1_",Tarif_Backup_J15*TabOceanet[[#This Row],[VM_disk]],0)))</f>
        <v>13.8</v>
      </c>
      <c r="AI33" s="17">
        <f>TabOceanet[[#This Row],[VM_disk]]*Tarif_disque</f>
        <v>0</v>
      </c>
      <c r="AJ33"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26.6</v>
      </c>
    </row>
    <row r="34" spans="1:36" x14ac:dyDescent="0.25">
      <c r="A34" t="s">
        <v>1318</v>
      </c>
      <c r="B34">
        <v>1</v>
      </c>
      <c r="C34">
        <v>2</v>
      </c>
      <c r="D34">
        <v>128</v>
      </c>
      <c r="E34" t="s">
        <v>418</v>
      </c>
      <c r="G34" t="s">
        <v>422</v>
      </c>
      <c r="H34" t="s">
        <v>415</v>
      </c>
      <c r="I34" t="s">
        <v>419</v>
      </c>
      <c r="J34" t="s">
        <v>414</v>
      </c>
      <c r="K34" t="s">
        <v>408</v>
      </c>
      <c r="L34" t="s">
        <v>410</v>
      </c>
      <c r="M34" t="s">
        <v>417</v>
      </c>
      <c r="N34" t="s">
        <v>412</v>
      </c>
      <c r="O34">
        <v>10006791</v>
      </c>
      <c r="P34" t="s">
        <v>413</v>
      </c>
      <c r="Q34" s="5" t="e">
        <f>VLOOKUP(TabOceanet[VM_name],TabVMEnv[],3,FALSE)</f>
        <v>#N/A</v>
      </c>
      <c r="R34" s="5" t="e">
        <f>IF(VLOOKUP(TabOceanet[VM_name],TabVMEnv[],2,FALSE) = "","Non","")</f>
        <v>#N/A</v>
      </c>
      <c r="S34" s="5">
        <f>IF(TabOceanet[[#This Row],[Type_tarif]]="Tarif_VLAN",1,0)</f>
        <v>0</v>
      </c>
      <c r="T34" s="5">
        <f>TabOceanet[[#This Row],[isCalcVlan]]*TabOceanet[[#This Row],[Nb_article]]*Tarif_VLAN</f>
        <v>0</v>
      </c>
      <c r="U34" s="5">
        <f>IF(TabOceanet[[#This Row],[Type_tarif]]="Tarif_IPPUB",1,0)</f>
        <v>0</v>
      </c>
      <c r="V34" s="5">
        <f>TabOceanet[[#This Row],[isCalcIpPub]]*TabOceanet[[#This Row],[Nb_article]]*Tarif_IPPUB</f>
        <v>0</v>
      </c>
      <c r="W34" s="5">
        <f>IF(TabOceanet[[#This Row],[Type_tarif]]="Tarif_DNS",1,0)</f>
        <v>0</v>
      </c>
      <c r="X34" s="5">
        <f>TabOceanet[[#This Row],[isCalcDns]]*TabOceanet[[#This Row],[Nb_article]]*Tarif_DNS</f>
        <v>0</v>
      </c>
      <c r="Y34" s="5">
        <f>IF(TabOceanet[[#This Row],[Type_tarif]]="Tarif_Certificat_X509_Simple",1,0)</f>
        <v>0</v>
      </c>
      <c r="Z34" s="5">
        <f>TabOceanet[[#This Row],[isCalcCertSimple]]*TabOceanet[[#This Row],[Nb_article]]*Tarif_Certificat_X509_Simple</f>
        <v>0</v>
      </c>
      <c r="AA34" s="5">
        <f>IF(TabOceanet[[#This Row],[Type_tarif]]="Tarif_Certificat_X509_Wildcard",1,0)</f>
        <v>0</v>
      </c>
      <c r="AB34" s="5">
        <f>TabOceanet[[#This Row],[isCalcCertWild]]*TabOceanet[[#This Row],[Nb_article]]*Tarif_Certificat_X509_Wildcard</f>
        <v>0</v>
      </c>
      <c r="AC34" s="5">
        <f>IF(TabOceanet[[#This Row],[Type_tarif]]="Tarif_Astreinte_24_24_7_7",1,0)</f>
        <v>0</v>
      </c>
      <c r="AD34" s="5">
        <f>TabOceanet[[#This Row],[isCalcAstreinte247]]*TabOceanet[[#This Row],[Nb_article]]*Tarif_Astreinte_24_24_7_7</f>
        <v>0</v>
      </c>
      <c r="AE34" s="5">
        <f>IF(TabOceanet[[#This Row],[VM_status]]="PoweredOn",1,0)</f>
        <v>1</v>
      </c>
      <c r="AF34" s="17">
        <f>TabOceanet[[#This Row],[VM_mem]]*Tarif_Ram</f>
        <v>3.2</v>
      </c>
      <c r="AG34" s="5" t="str">
        <f>MID(TabOceanet[[#This Row],[Backup]],29,20)</f>
        <v>J15</v>
      </c>
      <c r="AH34" s="25">
        <f>IF(LEFT(TabOceanet[[#This Row],[TypeBAK]],3)="HOR",Tarif_Backup_Horaire*TabOceanet[[#This Row],[VM_disk]],IF(LEFT(TabOceanet[[#This Row],[TypeBAK]],3)="J15",Tarif_Backup_J15*TabOceanet[[#This Row],[VM_disk]],IF(LEFT(TabOceanet[[#This Row],[TypeBAK]],3)="H1_",Tarif_Backup_J15*TabOceanet[[#This Row],[VM_disk]],0)))</f>
        <v>29.44</v>
      </c>
      <c r="AI34" s="17">
        <f>TabOceanet[[#This Row],[VM_disk]]*Tarif_disque</f>
        <v>0</v>
      </c>
      <c r="AJ34"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32.64</v>
      </c>
    </row>
    <row r="35" spans="1:36" hidden="1" x14ac:dyDescent="0.25">
      <c r="A35" t="s">
        <v>180</v>
      </c>
      <c r="F35">
        <v>1</v>
      </c>
      <c r="K35" t="s">
        <v>408</v>
      </c>
      <c r="O35">
        <v>10006791</v>
      </c>
      <c r="P35" t="s">
        <v>416</v>
      </c>
      <c r="Q35">
        <f>VLOOKUP(TabOceanet[VM_name],TabVMEnv[],3,FALSE)</f>
        <v>0</v>
      </c>
      <c r="R35" s="5" t="str">
        <f>IF(VLOOKUP(TabOceanet[VM_name],TabVMEnv[],2,FALSE) = "","Non","")</f>
        <v/>
      </c>
      <c r="S35" s="5">
        <f>IF(TabOceanet[[#This Row],[Type_tarif]]="Tarif_VLAN",1,0)</f>
        <v>0</v>
      </c>
      <c r="T35" s="5">
        <f>TabOceanet[[#This Row],[isCalcVlan]]*TabOceanet[[#This Row],[Nb_article]]*Tarif_VLAN</f>
        <v>0</v>
      </c>
      <c r="U35" s="5">
        <f>IF(TabOceanet[[#This Row],[Type_tarif]]="Tarif_IPPUB",1,0)</f>
        <v>0</v>
      </c>
      <c r="V35" s="5">
        <f>TabOceanet[[#This Row],[isCalcIpPub]]*TabOceanet[[#This Row],[Nb_article]]*Tarif_IPPUB</f>
        <v>0</v>
      </c>
      <c r="W35" s="5">
        <f>IF(TabOceanet[[#This Row],[Type_tarif]]="Tarif_DNS",1,0)</f>
        <v>1</v>
      </c>
      <c r="X35" s="5">
        <f>TabOceanet[[#This Row],[isCalcDns]]*TabOceanet[[#This Row],[Nb_article]]*Tarif_DNS</f>
        <v>3.5</v>
      </c>
      <c r="Y35" s="5">
        <f>IF(TabOceanet[[#This Row],[Type_tarif]]="Tarif_Certificat_X509_Simple",1,0)</f>
        <v>0</v>
      </c>
      <c r="Z35" s="5">
        <f>TabOceanet[[#This Row],[isCalcCertSimple]]*TabOceanet[[#This Row],[Nb_article]]*Tarif_Certificat_X509_Simple</f>
        <v>0</v>
      </c>
      <c r="AA35" s="5">
        <f>IF(TabOceanet[[#This Row],[Type_tarif]]="Tarif_Certificat_X509_Wildcard",1,0)</f>
        <v>0</v>
      </c>
      <c r="AB35" s="5">
        <f>TabOceanet[[#This Row],[isCalcCertWild]]*TabOceanet[[#This Row],[Nb_article]]*Tarif_Certificat_X509_Wildcard</f>
        <v>0</v>
      </c>
      <c r="AC35" s="5">
        <f>IF(TabOceanet[[#This Row],[Type_tarif]]="Tarif_Astreinte_24_24_7_7",1,0)</f>
        <v>0</v>
      </c>
      <c r="AD35" s="5">
        <f>TabOceanet[[#This Row],[isCalcAstreinte247]]*TabOceanet[[#This Row],[Nb_article]]*Tarif_Astreinte_24_24_7_7</f>
        <v>0</v>
      </c>
      <c r="AE35" s="5">
        <f>IF(TabOceanet[[#This Row],[VM_status]]="PoweredOn",1,0)</f>
        <v>0</v>
      </c>
      <c r="AF35" s="17">
        <f>TabOceanet[[#This Row],[VM_mem]]*Tarif_Ram</f>
        <v>0</v>
      </c>
      <c r="AG35" s="5" t="str">
        <f>MID(TabOceanet[[#This Row],[Backup]],29,20)</f>
        <v/>
      </c>
      <c r="AH35" s="17">
        <f>IF(LEFT(TabOceanet[[#This Row],[TypeBAK]],3)="HOR",Tarif_Backup_Horaire*TabOceanet[[#This Row],[VM_disk]],IF(LEFT(TabOceanet[[#This Row],[TypeBAK]],3)="J15",Tarif_Backup_J15*TabOceanet[[#This Row],[VM_disk]],IF(LEFT(TabOceanet[[#This Row],[TypeBAK]],3)="H1_",Tarif_Backup_J15*TabOceanet[[#This Row],[VM_disk]],0)))</f>
        <v>0</v>
      </c>
      <c r="AI35" s="17">
        <f>TabOceanet[[#This Row],[VM_disk]]*Tarif_disque</f>
        <v>0</v>
      </c>
      <c r="AJ35"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3.5</v>
      </c>
    </row>
    <row r="36" spans="1:36" hidden="1" x14ac:dyDescent="0.25">
      <c r="A36" t="s">
        <v>114</v>
      </c>
      <c r="F36">
        <v>1</v>
      </c>
      <c r="K36" t="s">
        <v>406</v>
      </c>
      <c r="O36">
        <v>10006791</v>
      </c>
      <c r="P36" t="s">
        <v>416</v>
      </c>
      <c r="Q36">
        <f>VLOOKUP(TabOceanet[VM_name],TabVMEnv[],3,FALSE)</f>
        <v>0</v>
      </c>
      <c r="R36" s="5" t="str">
        <f>IF(VLOOKUP(TabOceanet[VM_name],TabVMEnv[],2,FALSE) = "","Non","")</f>
        <v/>
      </c>
      <c r="S36" s="5">
        <f>IF(TabOceanet[[#This Row],[Type_tarif]]="Tarif_VLAN",1,0)</f>
        <v>0</v>
      </c>
      <c r="T36" s="5">
        <f>TabOceanet[[#This Row],[isCalcVlan]]*TabOceanet[[#This Row],[Nb_article]]*Tarif_VLAN</f>
        <v>0</v>
      </c>
      <c r="U36" s="5">
        <f>IF(TabOceanet[[#This Row],[Type_tarif]]="Tarif_IPPUB",1,0)</f>
        <v>0</v>
      </c>
      <c r="V36" s="5">
        <f>TabOceanet[[#This Row],[isCalcIpPub]]*TabOceanet[[#This Row],[Nb_article]]*Tarif_IPPUB</f>
        <v>0</v>
      </c>
      <c r="W36" s="5">
        <f>IF(TabOceanet[[#This Row],[Type_tarif]]="Tarif_DNS",1,0)</f>
        <v>1</v>
      </c>
      <c r="X36" s="5">
        <f>TabOceanet[[#This Row],[isCalcDns]]*TabOceanet[[#This Row],[Nb_article]]*Tarif_DNS</f>
        <v>3.5</v>
      </c>
      <c r="Y36" s="5">
        <f>IF(TabOceanet[[#This Row],[Type_tarif]]="Tarif_Certificat_X509_Simple",1,0)</f>
        <v>0</v>
      </c>
      <c r="Z36" s="5">
        <f>TabOceanet[[#This Row],[isCalcCertSimple]]*TabOceanet[[#This Row],[Nb_article]]*Tarif_Certificat_X509_Simple</f>
        <v>0</v>
      </c>
      <c r="AA36" s="5">
        <f>IF(TabOceanet[[#This Row],[Type_tarif]]="Tarif_Certificat_X509_Wildcard",1,0)</f>
        <v>0</v>
      </c>
      <c r="AB36" s="5">
        <f>TabOceanet[[#This Row],[isCalcCertWild]]*TabOceanet[[#This Row],[Nb_article]]*Tarif_Certificat_X509_Wildcard</f>
        <v>0</v>
      </c>
      <c r="AC36" s="5">
        <f>IF(TabOceanet[[#This Row],[Type_tarif]]="Tarif_Astreinte_24_24_7_7",1,0)</f>
        <v>0</v>
      </c>
      <c r="AD36" s="5">
        <f>TabOceanet[[#This Row],[isCalcAstreinte247]]*TabOceanet[[#This Row],[Nb_article]]*Tarif_Astreinte_24_24_7_7</f>
        <v>0</v>
      </c>
      <c r="AE36" s="5">
        <f>IF(TabOceanet[[#This Row],[VM_status]]="PoweredOn",1,0)</f>
        <v>0</v>
      </c>
      <c r="AF36" s="17">
        <f>TabOceanet[[#This Row],[VM_mem]]*Tarif_Ram</f>
        <v>0</v>
      </c>
      <c r="AG36" s="5" t="str">
        <f>MID(TabOceanet[[#This Row],[Backup]],29,20)</f>
        <v/>
      </c>
      <c r="AH36" s="17">
        <f>IF(LEFT(TabOceanet[[#This Row],[TypeBAK]],3)="HOR",Tarif_Backup_Horaire*TabOceanet[[#This Row],[VM_disk]],IF(LEFT(TabOceanet[[#This Row],[TypeBAK]],3)="J15",Tarif_Backup_J15*TabOceanet[[#This Row],[VM_disk]],IF(LEFT(TabOceanet[[#This Row],[TypeBAK]],3)="H1_",Tarif_Backup_J15*TabOceanet[[#This Row],[VM_disk]],0)))</f>
        <v>0</v>
      </c>
      <c r="AI36" s="17">
        <f>TabOceanet[[#This Row],[VM_disk]]*Tarif_disque</f>
        <v>0</v>
      </c>
      <c r="AJ36"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3.5</v>
      </c>
    </row>
    <row r="37" spans="1:36" hidden="1" x14ac:dyDescent="0.25">
      <c r="A37" t="s">
        <v>115</v>
      </c>
      <c r="F37">
        <v>1</v>
      </c>
      <c r="K37" t="s">
        <v>406</v>
      </c>
      <c r="O37">
        <v>10006791</v>
      </c>
      <c r="P37" t="s">
        <v>416</v>
      </c>
      <c r="Q37">
        <f>VLOOKUP(TabOceanet[VM_name],TabVMEnv[],3,FALSE)</f>
        <v>0</v>
      </c>
      <c r="R37" s="5" t="str">
        <f>IF(VLOOKUP(TabOceanet[VM_name],TabVMEnv[],2,FALSE) = "","Non","")</f>
        <v/>
      </c>
      <c r="S37" s="5">
        <f>IF(TabOceanet[[#This Row],[Type_tarif]]="Tarif_VLAN",1,0)</f>
        <v>0</v>
      </c>
      <c r="T37" s="5">
        <f>TabOceanet[[#This Row],[isCalcVlan]]*TabOceanet[[#This Row],[Nb_article]]*Tarif_VLAN</f>
        <v>0</v>
      </c>
      <c r="U37" s="5">
        <f>IF(TabOceanet[[#This Row],[Type_tarif]]="Tarif_IPPUB",1,0)</f>
        <v>0</v>
      </c>
      <c r="V37" s="5">
        <f>TabOceanet[[#This Row],[isCalcIpPub]]*TabOceanet[[#This Row],[Nb_article]]*Tarif_IPPUB</f>
        <v>0</v>
      </c>
      <c r="W37" s="5">
        <f>IF(TabOceanet[[#This Row],[Type_tarif]]="Tarif_DNS",1,0)</f>
        <v>1</v>
      </c>
      <c r="X37" s="5">
        <f>TabOceanet[[#This Row],[isCalcDns]]*TabOceanet[[#This Row],[Nb_article]]*Tarif_DNS</f>
        <v>3.5</v>
      </c>
      <c r="Y37" s="5">
        <f>IF(TabOceanet[[#This Row],[Type_tarif]]="Tarif_Certificat_X509_Simple",1,0)</f>
        <v>0</v>
      </c>
      <c r="Z37" s="5">
        <f>TabOceanet[[#This Row],[isCalcCertSimple]]*TabOceanet[[#This Row],[Nb_article]]*Tarif_Certificat_X509_Simple</f>
        <v>0</v>
      </c>
      <c r="AA37" s="5">
        <f>IF(TabOceanet[[#This Row],[Type_tarif]]="Tarif_Certificat_X509_Wildcard",1,0)</f>
        <v>0</v>
      </c>
      <c r="AB37" s="5">
        <f>TabOceanet[[#This Row],[isCalcCertWild]]*TabOceanet[[#This Row],[Nb_article]]*Tarif_Certificat_X509_Wildcard</f>
        <v>0</v>
      </c>
      <c r="AC37" s="5">
        <f>IF(TabOceanet[[#This Row],[Type_tarif]]="Tarif_Astreinte_24_24_7_7",1,0)</f>
        <v>0</v>
      </c>
      <c r="AD37" s="5">
        <f>TabOceanet[[#This Row],[isCalcAstreinte247]]*TabOceanet[[#This Row],[Nb_article]]*Tarif_Astreinte_24_24_7_7</f>
        <v>0</v>
      </c>
      <c r="AE37" s="5">
        <f>IF(TabOceanet[[#This Row],[VM_status]]="PoweredOn",1,0)</f>
        <v>0</v>
      </c>
      <c r="AF37" s="17">
        <f>TabOceanet[[#This Row],[VM_mem]]*Tarif_Ram</f>
        <v>0</v>
      </c>
      <c r="AG37" s="5" t="str">
        <f>MID(TabOceanet[[#This Row],[Backup]],29,20)</f>
        <v/>
      </c>
      <c r="AH37" s="17">
        <f>IF(LEFT(TabOceanet[[#This Row],[TypeBAK]],3)="HOR",Tarif_Backup_Horaire*TabOceanet[[#This Row],[VM_disk]],IF(LEFT(TabOceanet[[#This Row],[TypeBAK]],3)="J15",Tarif_Backup_J15*TabOceanet[[#This Row],[VM_disk]],IF(LEFT(TabOceanet[[#This Row],[TypeBAK]],3)="H1_",Tarif_Backup_J15*TabOceanet[[#This Row],[VM_disk]],0)))</f>
        <v>0</v>
      </c>
      <c r="AI37" s="17">
        <f>TabOceanet[[#This Row],[VM_disk]]*Tarif_disque</f>
        <v>0</v>
      </c>
      <c r="AJ37"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3.5</v>
      </c>
    </row>
    <row r="38" spans="1:36" hidden="1" x14ac:dyDescent="0.25">
      <c r="A38" t="s">
        <v>116</v>
      </c>
      <c r="F38">
        <v>1</v>
      </c>
      <c r="K38" t="s">
        <v>406</v>
      </c>
      <c r="O38">
        <v>10006791</v>
      </c>
      <c r="P38" t="s">
        <v>416</v>
      </c>
      <c r="Q38">
        <f>VLOOKUP(TabOceanet[VM_name],TabVMEnv[],3,FALSE)</f>
        <v>0</v>
      </c>
      <c r="R38" s="5" t="str">
        <f>IF(VLOOKUP(TabOceanet[VM_name],TabVMEnv[],2,FALSE) = "","Non","")</f>
        <v/>
      </c>
      <c r="S38" s="5">
        <f>IF(TabOceanet[[#This Row],[Type_tarif]]="Tarif_VLAN",1,0)</f>
        <v>0</v>
      </c>
      <c r="T38" s="5">
        <f>TabOceanet[[#This Row],[isCalcVlan]]*TabOceanet[[#This Row],[Nb_article]]*Tarif_VLAN</f>
        <v>0</v>
      </c>
      <c r="U38" s="5">
        <f>IF(TabOceanet[[#This Row],[Type_tarif]]="Tarif_IPPUB",1,0)</f>
        <v>0</v>
      </c>
      <c r="V38" s="5">
        <f>TabOceanet[[#This Row],[isCalcIpPub]]*TabOceanet[[#This Row],[Nb_article]]*Tarif_IPPUB</f>
        <v>0</v>
      </c>
      <c r="W38" s="5">
        <f>IF(TabOceanet[[#This Row],[Type_tarif]]="Tarif_DNS",1,0)</f>
        <v>1</v>
      </c>
      <c r="X38" s="5">
        <f>TabOceanet[[#This Row],[isCalcDns]]*TabOceanet[[#This Row],[Nb_article]]*Tarif_DNS</f>
        <v>3.5</v>
      </c>
      <c r="Y38" s="5">
        <f>IF(TabOceanet[[#This Row],[Type_tarif]]="Tarif_Certificat_X509_Simple",1,0)</f>
        <v>0</v>
      </c>
      <c r="Z38" s="5">
        <f>TabOceanet[[#This Row],[isCalcCertSimple]]*TabOceanet[[#This Row],[Nb_article]]*Tarif_Certificat_X509_Simple</f>
        <v>0</v>
      </c>
      <c r="AA38" s="5">
        <f>IF(TabOceanet[[#This Row],[Type_tarif]]="Tarif_Certificat_X509_Wildcard",1,0)</f>
        <v>0</v>
      </c>
      <c r="AB38" s="5">
        <f>TabOceanet[[#This Row],[isCalcCertWild]]*TabOceanet[[#This Row],[Nb_article]]*Tarif_Certificat_X509_Wildcard</f>
        <v>0</v>
      </c>
      <c r="AC38" s="5">
        <f>IF(TabOceanet[[#This Row],[Type_tarif]]="Tarif_Astreinte_24_24_7_7",1,0)</f>
        <v>0</v>
      </c>
      <c r="AD38" s="5">
        <f>TabOceanet[[#This Row],[isCalcAstreinte247]]*TabOceanet[[#This Row],[Nb_article]]*Tarif_Astreinte_24_24_7_7</f>
        <v>0</v>
      </c>
      <c r="AE38" s="5">
        <f>IF(TabOceanet[[#This Row],[VM_status]]="PoweredOn",1,0)</f>
        <v>0</v>
      </c>
      <c r="AF38" s="17">
        <f>TabOceanet[[#This Row],[VM_mem]]*Tarif_Ram</f>
        <v>0</v>
      </c>
      <c r="AG38" s="5" t="str">
        <f>MID(TabOceanet[[#This Row],[Backup]],29,20)</f>
        <v/>
      </c>
      <c r="AH38" s="17">
        <f>IF(LEFT(TabOceanet[[#This Row],[TypeBAK]],3)="HOR",Tarif_Backup_Horaire*TabOceanet[[#This Row],[VM_disk]],IF(LEFT(TabOceanet[[#This Row],[TypeBAK]],3)="J15",Tarif_Backup_J15*TabOceanet[[#This Row],[VM_disk]],IF(LEFT(TabOceanet[[#This Row],[TypeBAK]],3)="H1_",Tarif_Backup_J15*TabOceanet[[#This Row],[VM_disk]],0)))</f>
        <v>0</v>
      </c>
      <c r="AI38" s="17">
        <f>TabOceanet[[#This Row],[VM_disk]]*Tarif_disque</f>
        <v>0</v>
      </c>
      <c r="AJ38"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3.5</v>
      </c>
    </row>
    <row r="39" spans="1:36" hidden="1" x14ac:dyDescent="0.25">
      <c r="A39" t="s">
        <v>117</v>
      </c>
      <c r="F39">
        <v>1</v>
      </c>
      <c r="K39" t="s">
        <v>406</v>
      </c>
      <c r="O39">
        <v>10006791</v>
      </c>
      <c r="P39" t="s">
        <v>416</v>
      </c>
      <c r="Q39">
        <f>VLOOKUP(TabOceanet[VM_name],TabVMEnv[],3,FALSE)</f>
        <v>0</v>
      </c>
      <c r="R39" s="5" t="str">
        <f>IF(VLOOKUP(TabOceanet[VM_name],TabVMEnv[],2,FALSE) = "","Non","")</f>
        <v/>
      </c>
      <c r="S39" s="5">
        <f>IF(TabOceanet[[#This Row],[Type_tarif]]="Tarif_VLAN",1,0)</f>
        <v>0</v>
      </c>
      <c r="T39" s="5">
        <f>TabOceanet[[#This Row],[isCalcVlan]]*TabOceanet[[#This Row],[Nb_article]]*Tarif_VLAN</f>
        <v>0</v>
      </c>
      <c r="U39" s="5">
        <f>IF(TabOceanet[[#This Row],[Type_tarif]]="Tarif_IPPUB",1,0)</f>
        <v>0</v>
      </c>
      <c r="V39" s="5">
        <f>TabOceanet[[#This Row],[isCalcIpPub]]*TabOceanet[[#This Row],[Nb_article]]*Tarif_IPPUB</f>
        <v>0</v>
      </c>
      <c r="W39" s="5">
        <f>IF(TabOceanet[[#This Row],[Type_tarif]]="Tarif_DNS",1,0)</f>
        <v>1</v>
      </c>
      <c r="X39" s="5">
        <f>TabOceanet[[#This Row],[isCalcDns]]*TabOceanet[[#This Row],[Nb_article]]*Tarif_DNS</f>
        <v>3.5</v>
      </c>
      <c r="Y39" s="5">
        <f>IF(TabOceanet[[#This Row],[Type_tarif]]="Tarif_Certificat_X509_Simple",1,0)</f>
        <v>0</v>
      </c>
      <c r="Z39" s="5">
        <f>TabOceanet[[#This Row],[isCalcCertSimple]]*TabOceanet[[#This Row],[Nb_article]]*Tarif_Certificat_X509_Simple</f>
        <v>0</v>
      </c>
      <c r="AA39" s="5">
        <f>IF(TabOceanet[[#This Row],[Type_tarif]]="Tarif_Certificat_X509_Wildcard",1,0)</f>
        <v>0</v>
      </c>
      <c r="AB39" s="5">
        <f>TabOceanet[[#This Row],[isCalcCertWild]]*TabOceanet[[#This Row],[Nb_article]]*Tarif_Certificat_X509_Wildcard</f>
        <v>0</v>
      </c>
      <c r="AC39" s="5">
        <f>IF(TabOceanet[[#This Row],[Type_tarif]]="Tarif_Astreinte_24_24_7_7",1,0)</f>
        <v>0</v>
      </c>
      <c r="AD39" s="5">
        <f>TabOceanet[[#This Row],[isCalcAstreinte247]]*TabOceanet[[#This Row],[Nb_article]]*Tarif_Astreinte_24_24_7_7</f>
        <v>0</v>
      </c>
      <c r="AE39" s="5">
        <f>IF(TabOceanet[[#This Row],[VM_status]]="PoweredOn",1,0)</f>
        <v>0</v>
      </c>
      <c r="AF39" s="17">
        <f>TabOceanet[[#This Row],[VM_mem]]*Tarif_Ram</f>
        <v>0</v>
      </c>
      <c r="AG39" s="5" t="str">
        <f>MID(TabOceanet[[#This Row],[Backup]],29,20)</f>
        <v/>
      </c>
      <c r="AH39" s="17">
        <f>IF(LEFT(TabOceanet[[#This Row],[TypeBAK]],3)="HOR",Tarif_Backup_Horaire*TabOceanet[[#This Row],[VM_disk]],IF(LEFT(TabOceanet[[#This Row],[TypeBAK]],3)="J15",Tarif_Backup_J15*TabOceanet[[#This Row],[VM_disk]],IF(LEFT(TabOceanet[[#This Row],[TypeBAK]],3)="H1_",Tarif_Backup_J15*TabOceanet[[#This Row],[VM_disk]],0)))</f>
        <v>0</v>
      </c>
      <c r="AI39" s="17">
        <f>TabOceanet[[#This Row],[VM_disk]]*Tarif_disque</f>
        <v>0</v>
      </c>
      <c r="AJ39"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3.5</v>
      </c>
    </row>
    <row r="40" spans="1:36" hidden="1" x14ac:dyDescent="0.25">
      <c r="A40" t="s">
        <v>118</v>
      </c>
      <c r="F40">
        <v>1</v>
      </c>
      <c r="K40" t="s">
        <v>406</v>
      </c>
      <c r="O40">
        <v>10006791</v>
      </c>
      <c r="P40" t="s">
        <v>416</v>
      </c>
      <c r="Q40">
        <f>VLOOKUP(TabOceanet[VM_name],TabVMEnv[],3,FALSE)</f>
        <v>0</v>
      </c>
      <c r="R40" s="5" t="str">
        <f>IF(VLOOKUP(TabOceanet[VM_name],TabVMEnv[],2,FALSE) = "","Non","")</f>
        <v/>
      </c>
      <c r="S40" s="5">
        <f>IF(TabOceanet[[#This Row],[Type_tarif]]="Tarif_VLAN",1,0)</f>
        <v>0</v>
      </c>
      <c r="T40" s="5">
        <f>TabOceanet[[#This Row],[isCalcVlan]]*TabOceanet[[#This Row],[Nb_article]]*Tarif_VLAN</f>
        <v>0</v>
      </c>
      <c r="U40" s="5">
        <f>IF(TabOceanet[[#This Row],[Type_tarif]]="Tarif_IPPUB",1,0)</f>
        <v>0</v>
      </c>
      <c r="V40" s="5">
        <f>TabOceanet[[#This Row],[isCalcIpPub]]*TabOceanet[[#This Row],[Nb_article]]*Tarif_IPPUB</f>
        <v>0</v>
      </c>
      <c r="W40" s="5">
        <f>IF(TabOceanet[[#This Row],[Type_tarif]]="Tarif_DNS",1,0)</f>
        <v>1</v>
      </c>
      <c r="X40" s="5">
        <f>TabOceanet[[#This Row],[isCalcDns]]*TabOceanet[[#This Row],[Nb_article]]*Tarif_DNS</f>
        <v>3.5</v>
      </c>
      <c r="Y40" s="5">
        <f>IF(TabOceanet[[#This Row],[Type_tarif]]="Tarif_Certificat_X509_Simple",1,0)</f>
        <v>0</v>
      </c>
      <c r="Z40" s="5">
        <f>TabOceanet[[#This Row],[isCalcCertSimple]]*TabOceanet[[#This Row],[Nb_article]]*Tarif_Certificat_X509_Simple</f>
        <v>0</v>
      </c>
      <c r="AA40" s="5">
        <f>IF(TabOceanet[[#This Row],[Type_tarif]]="Tarif_Certificat_X509_Wildcard",1,0)</f>
        <v>0</v>
      </c>
      <c r="AB40" s="5">
        <f>TabOceanet[[#This Row],[isCalcCertWild]]*TabOceanet[[#This Row],[Nb_article]]*Tarif_Certificat_X509_Wildcard</f>
        <v>0</v>
      </c>
      <c r="AC40" s="5">
        <f>IF(TabOceanet[[#This Row],[Type_tarif]]="Tarif_Astreinte_24_24_7_7",1,0)</f>
        <v>0</v>
      </c>
      <c r="AD40" s="5">
        <f>TabOceanet[[#This Row],[isCalcAstreinte247]]*TabOceanet[[#This Row],[Nb_article]]*Tarif_Astreinte_24_24_7_7</f>
        <v>0</v>
      </c>
      <c r="AE40" s="5">
        <f>IF(TabOceanet[[#This Row],[VM_status]]="PoweredOn",1,0)</f>
        <v>0</v>
      </c>
      <c r="AF40" s="17">
        <f>TabOceanet[[#This Row],[VM_mem]]*Tarif_Ram</f>
        <v>0</v>
      </c>
      <c r="AG40" s="5" t="str">
        <f>MID(TabOceanet[[#This Row],[Backup]],29,20)</f>
        <v/>
      </c>
      <c r="AH40" s="17">
        <f>IF(LEFT(TabOceanet[[#This Row],[TypeBAK]],3)="HOR",Tarif_Backup_Horaire*TabOceanet[[#This Row],[VM_disk]],IF(LEFT(TabOceanet[[#This Row],[TypeBAK]],3)="J15",Tarif_Backup_J15*TabOceanet[[#This Row],[VM_disk]],IF(LEFT(TabOceanet[[#This Row],[TypeBAK]],3)="H1_",Tarif_Backup_J15*TabOceanet[[#This Row],[VM_disk]],0)))</f>
        <v>0</v>
      </c>
      <c r="AI40" s="17">
        <f>TabOceanet[[#This Row],[VM_disk]]*Tarif_disque</f>
        <v>0</v>
      </c>
      <c r="AJ40"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3.5</v>
      </c>
    </row>
    <row r="41" spans="1:36" hidden="1" x14ac:dyDescent="0.25">
      <c r="A41" t="s">
        <v>119</v>
      </c>
      <c r="F41">
        <v>1</v>
      </c>
      <c r="K41" t="s">
        <v>406</v>
      </c>
      <c r="O41">
        <v>10006791</v>
      </c>
      <c r="P41" t="s">
        <v>416</v>
      </c>
      <c r="Q41">
        <f>VLOOKUP(TabOceanet[VM_name],TabVMEnv[],3,FALSE)</f>
        <v>0</v>
      </c>
      <c r="R41" s="5" t="str">
        <f>IF(VLOOKUP(TabOceanet[VM_name],TabVMEnv[],2,FALSE) = "","Non","")</f>
        <v/>
      </c>
      <c r="S41" s="5">
        <f>IF(TabOceanet[[#This Row],[Type_tarif]]="Tarif_VLAN",1,0)</f>
        <v>0</v>
      </c>
      <c r="T41" s="5">
        <f>TabOceanet[[#This Row],[isCalcVlan]]*TabOceanet[[#This Row],[Nb_article]]*Tarif_VLAN</f>
        <v>0</v>
      </c>
      <c r="U41" s="5">
        <f>IF(TabOceanet[[#This Row],[Type_tarif]]="Tarif_IPPUB",1,0)</f>
        <v>0</v>
      </c>
      <c r="V41" s="5">
        <f>TabOceanet[[#This Row],[isCalcIpPub]]*TabOceanet[[#This Row],[Nb_article]]*Tarif_IPPUB</f>
        <v>0</v>
      </c>
      <c r="W41" s="5">
        <f>IF(TabOceanet[[#This Row],[Type_tarif]]="Tarif_DNS",1,0)</f>
        <v>1</v>
      </c>
      <c r="X41" s="5">
        <f>TabOceanet[[#This Row],[isCalcDns]]*TabOceanet[[#This Row],[Nb_article]]*Tarif_DNS</f>
        <v>3.5</v>
      </c>
      <c r="Y41" s="5">
        <f>IF(TabOceanet[[#This Row],[Type_tarif]]="Tarif_Certificat_X509_Simple",1,0)</f>
        <v>0</v>
      </c>
      <c r="Z41" s="5">
        <f>TabOceanet[[#This Row],[isCalcCertSimple]]*TabOceanet[[#This Row],[Nb_article]]*Tarif_Certificat_X509_Simple</f>
        <v>0</v>
      </c>
      <c r="AA41" s="5">
        <f>IF(TabOceanet[[#This Row],[Type_tarif]]="Tarif_Certificat_X509_Wildcard",1,0)</f>
        <v>0</v>
      </c>
      <c r="AB41" s="5">
        <f>TabOceanet[[#This Row],[isCalcCertWild]]*TabOceanet[[#This Row],[Nb_article]]*Tarif_Certificat_X509_Wildcard</f>
        <v>0</v>
      </c>
      <c r="AC41" s="5">
        <f>IF(TabOceanet[[#This Row],[Type_tarif]]="Tarif_Astreinte_24_24_7_7",1,0)</f>
        <v>0</v>
      </c>
      <c r="AD41" s="5">
        <f>TabOceanet[[#This Row],[isCalcAstreinte247]]*TabOceanet[[#This Row],[Nb_article]]*Tarif_Astreinte_24_24_7_7</f>
        <v>0</v>
      </c>
      <c r="AE41" s="5">
        <f>IF(TabOceanet[[#This Row],[VM_status]]="PoweredOn",1,0)</f>
        <v>0</v>
      </c>
      <c r="AF41" s="17">
        <f>TabOceanet[[#This Row],[VM_mem]]*Tarif_Ram</f>
        <v>0</v>
      </c>
      <c r="AG41" s="5" t="str">
        <f>MID(TabOceanet[[#This Row],[Backup]],29,20)</f>
        <v/>
      </c>
      <c r="AH41" s="17">
        <f>IF(LEFT(TabOceanet[[#This Row],[TypeBAK]],3)="HOR",Tarif_Backup_Horaire*TabOceanet[[#This Row],[VM_disk]],IF(LEFT(TabOceanet[[#This Row],[TypeBAK]],3)="J15",Tarif_Backup_J15*TabOceanet[[#This Row],[VM_disk]],IF(LEFT(TabOceanet[[#This Row],[TypeBAK]],3)="H1_",Tarif_Backup_J15*TabOceanet[[#This Row],[VM_disk]],0)))</f>
        <v>0</v>
      </c>
      <c r="AI41" s="17">
        <f>TabOceanet[[#This Row],[VM_disk]]*Tarif_disque</f>
        <v>0</v>
      </c>
      <c r="AJ41"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3.5</v>
      </c>
    </row>
    <row r="42" spans="1:36" hidden="1" x14ac:dyDescent="0.25">
      <c r="A42" t="s">
        <v>141</v>
      </c>
      <c r="F42">
        <v>1</v>
      </c>
      <c r="K42" t="s">
        <v>406</v>
      </c>
      <c r="O42">
        <v>10006791</v>
      </c>
      <c r="P42" t="s">
        <v>416</v>
      </c>
      <c r="Q42">
        <f>VLOOKUP(TabOceanet[VM_name],TabVMEnv[],3,FALSE)</f>
        <v>0</v>
      </c>
      <c r="R42" s="5" t="str">
        <f>IF(VLOOKUP(TabOceanet[VM_name],TabVMEnv[],2,FALSE) = "","Non","")</f>
        <v/>
      </c>
      <c r="S42" s="5">
        <f>IF(TabOceanet[[#This Row],[Type_tarif]]="Tarif_VLAN",1,0)</f>
        <v>0</v>
      </c>
      <c r="T42" s="5">
        <f>TabOceanet[[#This Row],[isCalcVlan]]*TabOceanet[[#This Row],[Nb_article]]*Tarif_VLAN</f>
        <v>0</v>
      </c>
      <c r="U42" s="5">
        <f>IF(TabOceanet[[#This Row],[Type_tarif]]="Tarif_IPPUB",1,0)</f>
        <v>0</v>
      </c>
      <c r="V42" s="5">
        <f>TabOceanet[[#This Row],[isCalcIpPub]]*TabOceanet[[#This Row],[Nb_article]]*Tarif_IPPUB</f>
        <v>0</v>
      </c>
      <c r="W42" s="5">
        <f>IF(TabOceanet[[#This Row],[Type_tarif]]="Tarif_DNS",1,0)</f>
        <v>1</v>
      </c>
      <c r="X42" s="5">
        <f>TabOceanet[[#This Row],[isCalcDns]]*TabOceanet[[#This Row],[Nb_article]]*Tarif_DNS</f>
        <v>3.5</v>
      </c>
      <c r="Y42" s="5">
        <f>IF(TabOceanet[[#This Row],[Type_tarif]]="Tarif_Certificat_X509_Simple",1,0)</f>
        <v>0</v>
      </c>
      <c r="Z42" s="5">
        <f>TabOceanet[[#This Row],[isCalcCertSimple]]*TabOceanet[[#This Row],[Nb_article]]*Tarif_Certificat_X509_Simple</f>
        <v>0</v>
      </c>
      <c r="AA42" s="5">
        <f>IF(TabOceanet[[#This Row],[Type_tarif]]="Tarif_Certificat_X509_Wildcard",1,0)</f>
        <v>0</v>
      </c>
      <c r="AB42" s="5">
        <f>TabOceanet[[#This Row],[isCalcCertWild]]*TabOceanet[[#This Row],[Nb_article]]*Tarif_Certificat_X509_Wildcard</f>
        <v>0</v>
      </c>
      <c r="AC42" s="5">
        <f>IF(TabOceanet[[#This Row],[Type_tarif]]="Tarif_Astreinte_24_24_7_7",1,0)</f>
        <v>0</v>
      </c>
      <c r="AD42" s="5">
        <f>TabOceanet[[#This Row],[isCalcAstreinte247]]*TabOceanet[[#This Row],[Nb_article]]*Tarif_Astreinte_24_24_7_7</f>
        <v>0</v>
      </c>
      <c r="AE42" s="5">
        <f>IF(TabOceanet[[#This Row],[VM_status]]="PoweredOn",1,0)</f>
        <v>0</v>
      </c>
      <c r="AF42" s="17">
        <f>TabOceanet[[#This Row],[VM_mem]]*Tarif_Ram</f>
        <v>0</v>
      </c>
      <c r="AG42" s="5" t="str">
        <f>MID(TabOceanet[[#This Row],[Backup]],29,20)</f>
        <v/>
      </c>
      <c r="AH42" s="17">
        <f>IF(LEFT(TabOceanet[[#This Row],[TypeBAK]],3)="HOR",Tarif_Backup_Horaire*TabOceanet[[#This Row],[VM_disk]],IF(LEFT(TabOceanet[[#This Row],[TypeBAK]],3)="J15",Tarif_Backup_J15*TabOceanet[[#This Row],[VM_disk]],IF(LEFT(TabOceanet[[#This Row],[TypeBAK]],3)="H1_",Tarif_Backup_J15*TabOceanet[[#This Row],[VM_disk]],0)))</f>
        <v>0</v>
      </c>
      <c r="AI42" s="17">
        <f>TabOceanet[[#This Row],[VM_disk]]*Tarif_disque</f>
        <v>0</v>
      </c>
      <c r="AJ42"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3.5</v>
      </c>
    </row>
    <row r="43" spans="1:36" hidden="1" x14ac:dyDescent="0.25">
      <c r="A43" t="s">
        <v>120</v>
      </c>
      <c r="F43">
        <v>1</v>
      </c>
      <c r="K43" t="s">
        <v>406</v>
      </c>
      <c r="O43">
        <v>10006791</v>
      </c>
      <c r="P43" t="s">
        <v>416</v>
      </c>
      <c r="Q43">
        <f>VLOOKUP(TabOceanet[VM_name],TabVMEnv[],3,FALSE)</f>
        <v>0</v>
      </c>
      <c r="R43" s="5" t="str">
        <f>IF(VLOOKUP(TabOceanet[VM_name],TabVMEnv[],2,FALSE) = "","Non","")</f>
        <v/>
      </c>
      <c r="S43" s="5">
        <f>IF(TabOceanet[[#This Row],[Type_tarif]]="Tarif_VLAN",1,0)</f>
        <v>0</v>
      </c>
      <c r="T43" s="5">
        <f>TabOceanet[[#This Row],[isCalcVlan]]*TabOceanet[[#This Row],[Nb_article]]*Tarif_VLAN</f>
        <v>0</v>
      </c>
      <c r="U43" s="5">
        <f>IF(TabOceanet[[#This Row],[Type_tarif]]="Tarif_IPPUB",1,0)</f>
        <v>0</v>
      </c>
      <c r="V43" s="5">
        <f>TabOceanet[[#This Row],[isCalcIpPub]]*TabOceanet[[#This Row],[Nb_article]]*Tarif_IPPUB</f>
        <v>0</v>
      </c>
      <c r="W43" s="5">
        <f>IF(TabOceanet[[#This Row],[Type_tarif]]="Tarif_DNS",1,0)</f>
        <v>1</v>
      </c>
      <c r="X43" s="5">
        <f>TabOceanet[[#This Row],[isCalcDns]]*TabOceanet[[#This Row],[Nb_article]]*Tarif_DNS</f>
        <v>3.5</v>
      </c>
      <c r="Y43" s="5">
        <f>IF(TabOceanet[[#This Row],[Type_tarif]]="Tarif_Certificat_X509_Simple",1,0)</f>
        <v>0</v>
      </c>
      <c r="Z43" s="5">
        <f>TabOceanet[[#This Row],[isCalcCertSimple]]*TabOceanet[[#This Row],[Nb_article]]*Tarif_Certificat_X509_Simple</f>
        <v>0</v>
      </c>
      <c r="AA43" s="5">
        <f>IF(TabOceanet[[#This Row],[Type_tarif]]="Tarif_Certificat_X509_Wildcard",1,0)</f>
        <v>0</v>
      </c>
      <c r="AB43" s="5">
        <f>TabOceanet[[#This Row],[isCalcCertWild]]*TabOceanet[[#This Row],[Nb_article]]*Tarif_Certificat_X509_Wildcard</f>
        <v>0</v>
      </c>
      <c r="AC43" s="5">
        <f>IF(TabOceanet[[#This Row],[Type_tarif]]="Tarif_Astreinte_24_24_7_7",1,0)</f>
        <v>0</v>
      </c>
      <c r="AD43" s="5">
        <f>TabOceanet[[#This Row],[isCalcAstreinte247]]*TabOceanet[[#This Row],[Nb_article]]*Tarif_Astreinte_24_24_7_7</f>
        <v>0</v>
      </c>
      <c r="AE43" s="5">
        <f>IF(TabOceanet[[#This Row],[VM_status]]="PoweredOn",1,0)</f>
        <v>0</v>
      </c>
      <c r="AF43" s="17">
        <f>TabOceanet[[#This Row],[VM_mem]]*Tarif_Ram</f>
        <v>0</v>
      </c>
      <c r="AG43" s="5" t="str">
        <f>MID(TabOceanet[[#This Row],[Backup]],29,20)</f>
        <v/>
      </c>
      <c r="AH43" s="17">
        <f>IF(LEFT(TabOceanet[[#This Row],[TypeBAK]],3)="HOR",Tarif_Backup_Horaire*TabOceanet[[#This Row],[VM_disk]],IF(LEFT(TabOceanet[[#This Row],[TypeBAK]],3)="J15",Tarif_Backup_J15*TabOceanet[[#This Row],[VM_disk]],IF(LEFT(TabOceanet[[#This Row],[TypeBAK]],3)="H1_",Tarif_Backup_J15*TabOceanet[[#This Row],[VM_disk]],0)))</f>
        <v>0</v>
      </c>
      <c r="AI43" s="17">
        <f>TabOceanet[[#This Row],[VM_disk]]*Tarif_disque</f>
        <v>0</v>
      </c>
      <c r="AJ43"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3.5</v>
      </c>
    </row>
    <row r="44" spans="1:36" hidden="1" x14ac:dyDescent="0.25">
      <c r="A44" t="s">
        <v>1278</v>
      </c>
      <c r="B44">
        <v>0</v>
      </c>
      <c r="C44">
        <v>0</v>
      </c>
      <c r="D44">
        <v>21</v>
      </c>
      <c r="H44" t="s">
        <v>1276</v>
      </c>
      <c r="K44" t="s">
        <v>406</v>
      </c>
      <c r="L44" t="s">
        <v>410</v>
      </c>
      <c r="M44" t="s">
        <v>411</v>
      </c>
      <c r="N44" t="s">
        <v>412</v>
      </c>
      <c r="O44">
        <v>10006791</v>
      </c>
      <c r="P44" t="s">
        <v>413</v>
      </c>
      <c r="Q44" s="5">
        <f>VLOOKUP(TabOceanet[VM_name],TabVMEnv[],3,FALSE)</f>
        <v>0</v>
      </c>
      <c r="R44" s="5" t="str">
        <f>IF(VLOOKUP(TabOceanet[VM_name],TabVMEnv[],2,FALSE) = "","Non","")</f>
        <v/>
      </c>
      <c r="S44" s="5">
        <f>IF(TabOceanet[[#This Row],[Type_tarif]]="Tarif_VLAN",1,0)</f>
        <v>0</v>
      </c>
      <c r="T44" s="5">
        <f>TabOceanet[[#This Row],[isCalcVlan]]*TabOceanet[[#This Row],[Nb_article]]*Tarif_VLAN</f>
        <v>0</v>
      </c>
      <c r="U44" s="5">
        <f>IF(TabOceanet[[#This Row],[Type_tarif]]="Tarif_IPPUB",1,0)</f>
        <v>0</v>
      </c>
      <c r="V44" s="5">
        <f>TabOceanet[[#This Row],[isCalcIpPub]]*TabOceanet[[#This Row],[Nb_article]]*Tarif_IPPUB</f>
        <v>0</v>
      </c>
      <c r="W44" s="5">
        <f>IF(TabOceanet[[#This Row],[Type_tarif]]="Tarif_DNS",1,0)</f>
        <v>0</v>
      </c>
      <c r="X44" s="5">
        <f>TabOceanet[[#This Row],[isCalcDns]]*TabOceanet[[#This Row],[Nb_article]]*Tarif_DNS</f>
        <v>0</v>
      </c>
      <c r="Y44" s="5">
        <f>IF(TabOceanet[[#This Row],[Type_tarif]]="Tarif_Certificat_X509_Simple",1,0)</f>
        <v>0</v>
      </c>
      <c r="Z44" s="5">
        <f>TabOceanet[[#This Row],[isCalcCertSimple]]*TabOceanet[[#This Row],[Nb_article]]*Tarif_Certificat_X509_Simple</f>
        <v>0</v>
      </c>
      <c r="AA44" s="5">
        <f>IF(TabOceanet[[#This Row],[Type_tarif]]="Tarif_Certificat_X509_Wildcard",1,0)</f>
        <v>0</v>
      </c>
      <c r="AB44" s="5">
        <f>TabOceanet[[#This Row],[isCalcCertWild]]*TabOceanet[[#This Row],[Nb_article]]*Tarif_Certificat_X509_Wildcard</f>
        <v>0</v>
      </c>
      <c r="AC44" s="5">
        <f>IF(TabOceanet[[#This Row],[Type_tarif]]="Tarif_Astreinte_24_24_7_7",1,0)</f>
        <v>0</v>
      </c>
      <c r="AD44" s="5">
        <f>TabOceanet[[#This Row],[isCalcAstreinte247]]*TabOceanet[[#This Row],[Nb_article]]*Tarif_Astreinte_24_24_7_7</f>
        <v>0</v>
      </c>
      <c r="AE44" s="5">
        <f>IF(TabOceanet[[#This Row],[VM_status]]="PoweredOn",1,0)</f>
        <v>0</v>
      </c>
      <c r="AF44" s="17">
        <f>TabOceanet[[#This Row],[VM_mem]]*Tarif_Ram</f>
        <v>0</v>
      </c>
      <c r="AG44" s="5" t="str">
        <f>MID(TabOceanet[[#This Row],[Backup]],29,20)</f>
        <v>H1_Ve</v>
      </c>
      <c r="AH44" s="25">
        <f>IF(LEFT(TabOceanet[[#This Row],[TypeBAK]],3)="HOR",Tarif_Backup_Horaire*TabOceanet[[#This Row],[VM_disk]],IF(LEFT(TabOceanet[[#This Row],[TypeBAK]],3)="J15",Tarif_Backup_J15*TabOceanet[[#This Row],[VM_disk]],IF(LEFT(TabOceanet[[#This Row],[TypeBAK]],3)="H1_",Tarif_Backup_J15*TabOceanet[[#This Row],[VM_disk]],0)))</f>
        <v>4.83</v>
      </c>
      <c r="AI44" s="17">
        <f>TabOceanet[[#This Row],[VM_disk]]*Tarif_disque</f>
        <v>0</v>
      </c>
      <c r="AJ44"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4.83</v>
      </c>
    </row>
    <row r="45" spans="1:36" x14ac:dyDescent="0.25">
      <c r="A45" t="s">
        <v>166</v>
      </c>
      <c r="B45">
        <v>2</v>
      </c>
      <c r="C45">
        <v>4</v>
      </c>
      <c r="D45">
        <v>100</v>
      </c>
      <c r="E45" t="s">
        <v>418</v>
      </c>
      <c r="G45" t="s">
        <v>1273</v>
      </c>
      <c r="H45" t="s">
        <v>1274</v>
      </c>
      <c r="I45" t="s">
        <v>419</v>
      </c>
      <c r="J45" t="s">
        <v>414</v>
      </c>
      <c r="K45" t="s">
        <v>408</v>
      </c>
      <c r="L45" t="s">
        <v>410</v>
      </c>
      <c r="M45" t="s">
        <v>430</v>
      </c>
      <c r="N45" t="s">
        <v>412</v>
      </c>
      <c r="O45">
        <v>10006791</v>
      </c>
      <c r="P45" t="s">
        <v>413</v>
      </c>
      <c r="Q45" s="5">
        <f>VLOOKUP(TabOceanet[VM_name],TabVMEnv[],3,FALSE)</f>
        <v>0</v>
      </c>
      <c r="R45" s="5" t="str">
        <f>IF(VLOOKUP(TabOceanet[VM_name],TabVMEnv[],2,FALSE) = "","Non","")</f>
        <v/>
      </c>
      <c r="S45" s="5">
        <f>IF(TabOceanet[[#This Row],[Type_tarif]]="Tarif_VLAN",1,0)</f>
        <v>0</v>
      </c>
      <c r="T45" s="5">
        <f>TabOceanet[[#This Row],[isCalcVlan]]*TabOceanet[[#This Row],[Nb_article]]*Tarif_VLAN</f>
        <v>0</v>
      </c>
      <c r="U45" s="5">
        <f>IF(TabOceanet[[#This Row],[Type_tarif]]="Tarif_IPPUB",1,0)</f>
        <v>0</v>
      </c>
      <c r="V45" s="5">
        <f>TabOceanet[[#This Row],[isCalcIpPub]]*TabOceanet[[#This Row],[Nb_article]]*Tarif_IPPUB</f>
        <v>0</v>
      </c>
      <c r="W45" s="5">
        <f>IF(TabOceanet[[#This Row],[Type_tarif]]="Tarif_DNS",1,0)</f>
        <v>0</v>
      </c>
      <c r="X45" s="5">
        <f>TabOceanet[[#This Row],[isCalcDns]]*TabOceanet[[#This Row],[Nb_article]]*Tarif_DNS</f>
        <v>0</v>
      </c>
      <c r="Y45" s="5">
        <f>IF(TabOceanet[[#This Row],[Type_tarif]]="Tarif_Certificat_X509_Simple",1,0)</f>
        <v>0</v>
      </c>
      <c r="Z45" s="5">
        <f>TabOceanet[[#This Row],[isCalcCertSimple]]*TabOceanet[[#This Row],[Nb_article]]*Tarif_Certificat_X509_Simple</f>
        <v>0</v>
      </c>
      <c r="AA45" s="5">
        <f>IF(TabOceanet[[#This Row],[Type_tarif]]="Tarif_Certificat_X509_Wildcard",1,0)</f>
        <v>0</v>
      </c>
      <c r="AB45" s="5">
        <f>TabOceanet[[#This Row],[isCalcCertWild]]*TabOceanet[[#This Row],[Nb_article]]*Tarif_Certificat_X509_Wildcard</f>
        <v>0</v>
      </c>
      <c r="AC45" s="5">
        <f>IF(TabOceanet[[#This Row],[Type_tarif]]="Tarif_Astreinte_24_24_7_7",1,0)</f>
        <v>0</v>
      </c>
      <c r="AD45" s="5">
        <f>TabOceanet[[#This Row],[isCalcAstreinte247]]*TabOceanet[[#This Row],[Nb_article]]*Tarif_Astreinte_24_24_7_7</f>
        <v>0</v>
      </c>
      <c r="AE45" s="5">
        <f>IF(TabOceanet[[#This Row],[VM_status]]="PoweredOn",1,0)</f>
        <v>1</v>
      </c>
      <c r="AF45" s="17">
        <f>TabOceanet[[#This Row],[VM_mem]]*Tarif_Ram</f>
        <v>6.4</v>
      </c>
      <c r="AG45" s="5" t="str">
        <f>MID(TabOceanet[[#This Row],[Backup]],29,20)</f>
        <v>J15_2</v>
      </c>
      <c r="AH45" s="25">
        <f>IF(LEFT(TabOceanet[[#This Row],[TypeBAK]],3)="HOR",Tarif_Backup_Horaire*TabOceanet[[#This Row],[VM_disk]],IF(LEFT(TabOceanet[[#This Row],[TypeBAK]],3)="J15",Tarif_Backup_J15*TabOceanet[[#This Row],[VM_disk]],IF(LEFT(TabOceanet[[#This Row],[TypeBAK]],3)="H1_",Tarif_Backup_J15*TabOceanet[[#This Row],[VM_disk]],0)))</f>
        <v>23</v>
      </c>
      <c r="AI45" s="17">
        <f>TabOceanet[[#This Row],[VM_disk]]*Tarif_disque</f>
        <v>0</v>
      </c>
      <c r="AJ45"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29.4</v>
      </c>
    </row>
    <row r="46" spans="1:36" x14ac:dyDescent="0.25">
      <c r="A46" t="s">
        <v>249</v>
      </c>
      <c r="B46">
        <v>1</v>
      </c>
      <c r="C46">
        <v>2</v>
      </c>
      <c r="D46">
        <v>40</v>
      </c>
      <c r="E46" t="s">
        <v>421</v>
      </c>
      <c r="G46" t="s">
        <v>1275</v>
      </c>
      <c r="H46" t="s">
        <v>1274</v>
      </c>
      <c r="I46" t="s">
        <v>419</v>
      </c>
      <c r="J46" t="s">
        <v>414</v>
      </c>
      <c r="K46" t="s">
        <v>408</v>
      </c>
      <c r="L46" t="s">
        <v>410</v>
      </c>
      <c r="M46" t="s">
        <v>420</v>
      </c>
      <c r="N46" t="s">
        <v>412</v>
      </c>
      <c r="O46">
        <v>10006791</v>
      </c>
      <c r="P46" t="s">
        <v>413</v>
      </c>
      <c r="Q46" s="5">
        <f>VLOOKUP(TabOceanet[VM_name],TabVMEnv[],3,FALSE)</f>
        <v>0</v>
      </c>
      <c r="R46" s="5" t="str">
        <f>IF(VLOOKUP(TabOceanet[VM_name],TabVMEnv[],2,FALSE) = "","Non","")</f>
        <v/>
      </c>
      <c r="S46" s="5">
        <f>IF(TabOceanet[[#This Row],[Type_tarif]]="Tarif_VLAN",1,0)</f>
        <v>0</v>
      </c>
      <c r="T46" s="5">
        <f>TabOceanet[[#This Row],[isCalcVlan]]*TabOceanet[[#This Row],[Nb_article]]*Tarif_VLAN</f>
        <v>0</v>
      </c>
      <c r="U46" s="5">
        <f>IF(TabOceanet[[#This Row],[Type_tarif]]="Tarif_IPPUB",1,0)</f>
        <v>0</v>
      </c>
      <c r="V46" s="5">
        <f>TabOceanet[[#This Row],[isCalcIpPub]]*TabOceanet[[#This Row],[Nb_article]]*Tarif_IPPUB</f>
        <v>0</v>
      </c>
      <c r="W46" s="5">
        <f>IF(TabOceanet[[#This Row],[Type_tarif]]="Tarif_DNS",1,0)</f>
        <v>0</v>
      </c>
      <c r="X46" s="5">
        <f>TabOceanet[[#This Row],[isCalcDns]]*TabOceanet[[#This Row],[Nb_article]]*Tarif_DNS</f>
        <v>0</v>
      </c>
      <c r="Y46" s="5">
        <f>IF(TabOceanet[[#This Row],[Type_tarif]]="Tarif_Certificat_X509_Simple",1,0)</f>
        <v>0</v>
      </c>
      <c r="Z46" s="5">
        <f>TabOceanet[[#This Row],[isCalcCertSimple]]*TabOceanet[[#This Row],[Nb_article]]*Tarif_Certificat_X509_Simple</f>
        <v>0</v>
      </c>
      <c r="AA46" s="5">
        <f>IF(TabOceanet[[#This Row],[Type_tarif]]="Tarif_Certificat_X509_Wildcard",1,0)</f>
        <v>0</v>
      </c>
      <c r="AB46" s="5">
        <f>TabOceanet[[#This Row],[isCalcCertWild]]*TabOceanet[[#This Row],[Nb_article]]*Tarif_Certificat_X509_Wildcard</f>
        <v>0</v>
      </c>
      <c r="AC46" s="5">
        <f>IF(TabOceanet[[#This Row],[Type_tarif]]="Tarif_Astreinte_24_24_7_7",1,0)</f>
        <v>0</v>
      </c>
      <c r="AD46" s="5">
        <f>TabOceanet[[#This Row],[isCalcAstreinte247]]*TabOceanet[[#This Row],[Nb_article]]*Tarif_Astreinte_24_24_7_7</f>
        <v>0</v>
      </c>
      <c r="AE46" s="5">
        <f>IF(TabOceanet[[#This Row],[VM_status]]="PoweredOn",1,0)</f>
        <v>1</v>
      </c>
      <c r="AF46" s="17">
        <f>TabOceanet[[#This Row],[VM_mem]]*Tarif_Ram</f>
        <v>3.2</v>
      </c>
      <c r="AG46" s="5" t="str">
        <f>MID(TabOceanet[[#This Row],[Backup]],29,20)</f>
        <v>J15_3</v>
      </c>
      <c r="AH46" s="25">
        <f>IF(LEFT(TabOceanet[[#This Row],[TypeBAK]],3)="HOR",Tarif_Backup_Horaire*TabOceanet[[#This Row],[VM_disk]],IF(LEFT(TabOceanet[[#This Row],[TypeBAK]],3)="J15",Tarif_Backup_J15*TabOceanet[[#This Row],[VM_disk]],IF(LEFT(TabOceanet[[#This Row],[TypeBAK]],3)="H1_",Tarif_Backup_J15*TabOceanet[[#This Row],[VM_disk]],0)))</f>
        <v>9.2000000000000011</v>
      </c>
      <c r="AI46" s="17">
        <f>TabOceanet[[#This Row],[VM_disk]]*Tarif_disque</f>
        <v>0</v>
      </c>
      <c r="AJ46"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12.400000000000002</v>
      </c>
    </row>
    <row r="47" spans="1:36" x14ac:dyDescent="0.25">
      <c r="A47" t="s">
        <v>198</v>
      </c>
      <c r="B47">
        <v>2</v>
      </c>
      <c r="C47">
        <v>2</v>
      </c>
      <c r="D47">
        <v>40</v>
      </c>
      <c r="E47" t="s">
        <v>423</v>
      </c>
      <c r="G47" t="s">
        <v>1275</v>
      </c>
      <c r="H47" t="s">
        <v>1274</v>
      </c>
      <c r="I47" t="s">
        <v>419</v>
      </c>
      <c r="J47" t="s">
        <v>414</v>
      </c>
      <c r="K47" t="s">
        <v>408</v>
      </c>
      <c r="L47" t="s">
        <v>410</v>
      </c>
      <c r="M47" t="s">
        <v>430</v>
      </c>
      <c r="N47" t="s">
        <v>412</v>
      </c>
      <c r="O47">
        <v>10006791</v>
      </c>
      <c r="P47" t="s">
        <v>413</v>
      </c>
      <c r="Q47" s="5">
        <f>VLOOKUP(TabOceanet[VM_name],TabVMEnv[],3,FALSE)</f>
        <v>0</v>
      </c>
      <c r="R47" s="5" t="str">
        <f>IF(VLOOKUP(TabOceanet[VM_name],TabVMEnv[],2,FALSE) = "","Non","")</f>
        <v/>
      </c>
      <c r="S47" s="5">
        <f>IF(TabOceanet[[#This Row],[Type_tarif]]="Tarif_VLAN",1,0)</f>
        <v>0</v>
      </c>
      <c r="T47" s="5">
        <f>TabOceanet[[#This Row],[isCalcVlan]]*TabOceanet[[#This Row],[Nb_article]]*Tarif_VLAN</f>
        <v>0</v>
      </c>
      <c r="U47" s="5">
        <f>IF(TabOceanet[[#This Row],[Type_tarif]]="Tarif_IPPUB",1,0)</f>
        <v>0</v>
      </c>
      <c r="V47" s="5">
        <f>TabOceanet[[#This Row],[isCalcIpPub]]*TabOceanet[[#This Row],[Nb_article]]*Tarif_IPPUB</f>
        <v>0</v>
      </c>
      <c r="W47" s="5">
        <f>IF(TabOceanet[[#This Row],[Type_tarif]]="Tarif_DNS",1,0)</f>
        <v>0</v>
      </c>
      <c r="X47" s="5">
        <f>TabOceanet[[#This Row],[isCalcDns]]*TabOceanet[[#This Row],[Nb_article]]*Tarif_DNS</f>
        <v>0</v>
      </c>
      <c r="Y47" s="5">
        <f>IF(TabOceanet[[#This Row],[Type_tarif]]="Tarif_Certificat_X509_Simple",1,0)</f>
        <v>0</v>
      </c>
      <c r="Z47" s="5">
        <f>TabOceanet[[#This Row],[isCalcCertSimple]]*TabOceanet[[#This Row],[Nb_article]]*Tarif_Certificat_X509_Simple</f>
        <v>0</v>
      </c>
      <c r="AA47" s="5">
        <f>IF(TabOceanet[[#This Row],[Type_tarif]]="Tarif_Certificat_X509_Wildcard",1,0)</f>
        <v>0</v>
      </c>
      <c r="AB47" s="5">
        <f>TabOceanet[[#This Row],[isCalcCertWild]]*TabOceanet[[#This Row],[Nb_article]]*Tarif_Certificat_X509_Wildcard</f>
        <v>0</v>
      </c>
      <c r="AC47" s="5">
        <f>IF(TabOceanet[[#This Row],[Type_tarif]]="Tarif_Astreinte_24_24_7_7",1,0)</f>
        <v>0</v>
      </c>
      <c r="AD47" s="5">
        <f>TabOceanet[[#This Row],[isCalcAstreinte247]]*TabOceanet[[#This Row],[Nb_article]]*Tarif_Astreinte_24_24_7_7</f>
        <v>0</v>
      </c>
      <c r="AE47" s="5">
        <f>IF(TabOceanet[[#This Row],[VM_status]]="PoweredOn",1,0)</f>
        <v>1</v>
      </c>
      <c r="AF47" s="17">
        <f>TabOceanet[[#This Row],[VM_mem]]*Tarif_Ram</f>
        <v>3.2</v>
      </c>
      <c r="AG47" s="5" t="str">
        <f>MID(TabOceanet[[#This Row],[Backup]],29,20)</f>
        <v>J15_2</v>
      </c>
      <c r="AH47" s="25">
        <f>IF(LEFT(TabOceanet[[#This Row],[TypeBAK]],3)="HOR",Tarif_Backup_Horaire*TabOceanet[[#This Row],[VM_disk]],IF(LEFT(TabOceanet[[#This Row],[TypeBAK]],3)="J15",Tarif_Backup_J15*TabOceanet[[#This Row],[VM_disk]],IF(LEFT(TabOceanet[[#This Row],[TypeBAK]],3)="H1_",Tarif_Backup_J15*TabOceanet[[#This Row],[VM_disk]],0)))</f>
        <v>9.2000000000000011</v>
      </c>
      <c r="AI47" s="17">
        <f>TabOceanet[[#This Row],[VM_disk]]*Tarif_disque</f>
        <v>0</v>
      </c>
      <c r="AJ47"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12.400000000000002</v>
      </c>
    </row>
    <row r="48" spans="1:36" x14ac:dyDescent="0.25">
      <c r="A48" t="s">
        <v>167</v>
      </c>
      <c r="B48">
        <v>1</v>
      </c>
      <c r="C48">
        <v>2</v>
      </c>
      <c r="D48">
        <v>20</v>
      </c>
      <c r="E48" t="s">
        <v>424</v>
      </c>
      <c r="G48" t="s">
        <v>1275</v>
      </c>
      <c r="H48" t="s">
        <v>1274</v>
      </c>
      <c r="I48" t="s">
        <v>419</v>
      </c>
      <c r="J48" t="s">
        <v>414</v>
      </c>
      <c r="K48" t="s">
        <v>408</v>
      </c>
      <c r="L48" t="s">
        <v>410</v>
      </c>
      <c r="M48" t="s">
        <v>420</v>
      </c>
      <c r="N48" t="s">
        <v>412</v>
      </c>
      <c r="O48">
        <v>10006791</v>
      </c>
      <c r="P48" t="s">
        <v>413</v>
      </c>
      <c r="Q48" s="5" t="str">
        <f>VLOOKUP(TabOceanet[VM_name],TabVMEnv[],3,FALSE)</f>
        <v>SQASH</v>
      </c>
      <c r="R48" s="5" t="str">
        <f>IF(VLOOKUP(TabOceanet[VM_name],TabVMEnv[],2,FALSE) = "","Non","")</f>
        <v/>
      </c>
      <c r="S48" s="5">
        <f>IF(TabOceanet[[#This Row],[Type_tarif]]="Tarif_VLAN",1,0)</f>
        <v>0</v>
      </c>
      <c r="T48" s="5">
        <f>TabOceanet[[#This Row],[isCalcVlan]]*TabOceanet[[#This Row],[Nb_article]]*Tarif_VLAN</f>
        <v>0</v>
      </c>
      <c r="U48" s="5">
        <f>IF(TabOceanet[[#This Row],[Type_tarif]]="Tarif_IPPUB",1,0)</f>
        <v>0</v>
      </c>
      <c r="V48" s="5">
        <f>TabOceanet[[#This Row],[isCalcIpPub]]*TabOceanet[[#This Row],[Nb_article]]*Tarif_IPPUB</f>
        <v>0</v>
      </c>
      <c r="W48" s="5">
        <f>IF(TabOceanet[[#This Row],[Type_tarif]]="Tarif_DNS",1,0)</f>
        <v>0</v>
      </c>
      <c r="X48" s="5">
        <f>TabOceanet[[#This Row],[isCalcDns]]*TabOceanet[[#This Row],[Nb_article]]*Tarif_DNS</f>
        <v>0</v>
      </c>
      <c r="Y48" s="5">
        <f>IF(TabOceanet[[#This Row],[Type_tarif]]="Tarif_Certificat_X509_Simple",1,0)</f>
        <v>0</v>
      </c>
      <c r="Z48" s="5">
        <f>TabOceanet[[#This Row],[isCalcCertSimple]]*TabOceanet[[#This Row],[Nb_article]]*Tarif_Certificat_X509_Simple</f>
        <v>0</v>
      </c>
      <c r="AA48" s="5">
        <f>IF(TabOceanet[[#This Row],[Type_tarif]]="Tarif_Certificat_X509_Wildcard",1,0)</f>
        <v>0</v>
      </c>
      <c r="AB48" s="5">
        <f>TabOceanet[[#This Row],[isCalcCertWild]]*TabOceanet[[#This Row],[Nb_article]]*Tarif_Certificat_X509_Wildcard</f>
        <v>0</v>
      </c>
      <c r="AC48" s="5">
        <f>IF(TabOceanet[[#This Row],[Type_tarif]]="Tarif_Astreinte_24_24_7_7",1,0)</f>
        <v>0</v>
      </c>
      <c r="AD48" s="5">
        <f>TabOceanet[[#This Row],[isCalcAstreinte247]]*TabOceanet[[#This Row],[Nb_article]]*Tarif_Astreinte_24_24_7_7</f>
        <v>0</v>
      </c>
      <c r="AE48" s="5">
        <f>IF(TabOceanet[[#This Row],[VM_status]]="PoweredOn",1,0)</f>
        <v>1</v>
      </c>
      <c r="AF48" s="17">
        <f>TabOceanet[[#This Row],[VM_mem]]*Tarif_Ram</f>
        <v>3.2</v>
      </c>
      <c r="AG48" s="5" t="str">
        <f>MID(TabOceanet[[#This Row],[Backup]],29,20)</f>
        <v>J15_3</v>
      </c>
      <c r="AH48" s="25">
        <f>IF(LEFT(TabOceanet[[#This Row],[TypeBAK]],3)="HOR",Tarif_Backup_Horaire*TabOceanet[[#This Row],[VM_disk]],IF(LEFT(TabOceanet[[#This Row],[TypeBAK]],3)="J15",Tarif_Backup_J15*TabOceanet[[#This Row],[VM_disk]],IF(LEFT(TabOceanet[[#This Row],[TypeBAK]],3)="H1_",Tarif_Backup_J15*TabOceanet[[#This Row],[VM_disk]],0)))</f>
        <v>4.6000000000000005</v>
      </c>
      <c r="AI48" s="17">
        <f>TabOceanet[[#This Row],[VM_disk]]*Tarif_disque</f>
        <v>0</v>
      </c>
      <c r="AJ48"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7.8000000000000007</v>
      </c>
    </row>
    <row r="49" spans="1:36" x14ac:dyDescent="0.25">
      <c r="A49" t="s">
        <v>199</v>
      </c>
      <c r="B49">
        <v>2</v>
      </c>
      <c r="C49">
        <v>4</v>
      </c>
      <c r="D49">
        <v>40</v>
      </c>
      <c r="E49" t="s">
        <v>423</v>
      </c>
      <c r="G49" t="s">
        <v>1273</v>
      </c>
      <c r="H49" t="s">
        <v>1274</v>
      </c>
      <c r="I49" t="s">
        <v>419</v>
      </c>
      <c r="J49" t="s">
        <v>414</v>
      </c>
      <c r="K49" t="s">
        <v>408</v>
      </c>
      <c r="L49" t="s">
        <v>410</v>
      </c>
      <c r="M49" t="s">
        <v>420</v>
      </c>
      <c r="N49" t="s">
        <v>412</v>
      </c>
      <c r="O49">
        <v>10006791</v>
      </c>
      <c r="P49" t="s">
        <v>413</v>
      </c>
      <c r="Q49" s="5">
        <f>VLOOKUP(TabOceanet[VM_name],TabVMEnv[],3,FALSE)</f>
        <v>0</v>
      </c>
      <c r="R49" s="5" t="str">
        <f>IF(VLOOKUP(TabOceanet[VM_name],TabVMEnv[],2,FALSE) = "","Non","")</f>
        <v/>
      </c>
      <c r="S49" s="5">
        <f>IF(TabOceanet[[#This Row],[Type_tarif]]="Tarif_VLAN",1,0)</f>
        <v>0</v>
      </c>
      <c r="T49" s="5">
        <f>TabOceanet[[#This Row],[isCalcVlan]]*TabOceanet[[#This Row],[Nb_article]]*Tarif_VLAN</f>
        <v>0</v>
      </c>
      <c r="U49" s="5">
        <f>IF(TabOceanet[[#This Row],[Type_tarif]]="Tarif_IPPUB",1,0)</f>
        <v>0</v>
      </c>
      <c r="V49" s="5">
        <f>TabOceanet[[#This Row],[isCalcIpPub]]*TabOceanet[[#This Row],[Nb_article]]*Tarif_IPPUB</f>
        <v>0</v>
      </c>
      <c r="W49" s="5">
        <f>IF(TabOceanet[[#This Row],[Type_tarif]]="Tarif_DNS",1,0)</f>
        <v>0</v>
      </c>
      <c r="X49" s="5">
        <f>TabOceanet[[#This Row],[isCalcDns]]*TabOceanet[[#This Row],[Nb_article]]*Tarif_DNS</f>
        <v>0</v>
      </c>
      <c r="Y49" s="5">
        <f>IF(TabOceanet[[#This Row],[Type_tarif]]="Tarif_Certificat_X509_Simple",1,0)</f>
        <v>0</v>
      </c>
      <c r="Z49" s="5">
        <f>TabOceanet[[#This Row],[isCalcCertSimple]]*TabOceanet[[#This Row],[Nb_article]]*Tarif_Certificat_X509_Simple</f>
        <v>0</v>
      </c>
      <c r="AA49" s="5">
        <f>IF(TabOceanet[[#This Row],[Type_tarif]]="Tarif_Certificat_X509_Wildcard",1,0)</f>
        <v>0</v>
      </c>
      <c r="AB49" s="5">
        <f>TabOceanet[[#This Row],[isCalcCertWild]]*TabOceanet[[#This Row],[Nb_article]]*Tarif_Certificat_X509_Wildcard</f>
        <v>0</v>
      </c>
      <c r="AC49" s="5">
        <f>IF(TabOceanet[[#This Row],[Type_tarif]]="Tarif_Astreinte_24_24_7_7",1,0)</f>
        <v>0</v>
      </c>
      <c r="AD49" s="5">
        <f>TabOceanet[[#This Row],[isCalcAstreinte247]]*TabOceanet[[#This Row],[Nb_article]]*Tarif_Astreinte_24_24_7_7</f>
        <v>0</v>
      </c>
      <c r="AE49" s="5">
        <f>IF(TabOceanet[[#This Row],[VM_status]]="PoweredOn",1,0)</f>
        <v>1</v>
      </c>
      <c r="AF49" s="17">
        <f>TabOceanet[[#This Row],[VM_mem]]*Tarif_Ram</f>
        <v>6.4</v>
      </c>
      <c r="AG49" s="5" t="str">
        <f>MID(TabOceanet[[#This Row],[Backup]],29,20)</f>
        <v>J15_3</v>
      </c>
      <c r="AH49" s="25">
        <f>IF(LEFT(TabOceanet[[#This Row],[TypeBAK]],3)="HOR",Tarif_Backup_Horaire*TabOceanet[[#This Row],[VM_disk]],IF(LEFT(TabOceanet[[#This Row],[TypeBAK]],3)="J15",Tarif_Backup_J15*TabOceanet[[#This Row],[VM_disk]],IF(LEFT(TabOceanet[[#This Row],[TypeBAK]],3)="H1_",Tarif_Backup_J15*TabOceanet[[#This Row],[VM_disk]],0)))</f>
        <v>9.2000000000000011</v>
      </c>
      <c r="AI49" s="17">
        <f>TabOceanet[[#This Row],[VM_disk]]*Tarif_disque</f>
        <v>0</v>
      </c>
      <c r="AJ49"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15.600000000000001</v>
      </c>
    </row>
    <row r="50" spans="1:36" x14ac:dyDescent="0.25">
      <c r="A50" t="s">
        <v>201</v>
      </c>
      <c r="B50">
        <v>2</v>
      </c>
      <c r="C50">
        <v>16</v>
      </c>
      <c r="D50">
        <v>300</v>
      </c>
      <c r="E50" t="s">
        <v>425</v>
      </c>
      <c r="G50" t="s">
        <v>1275</v>
      </c>
      <c r="H50" t="s">
        <v>1274</v>
      </c>
      <c r="I50" t="s">
        <v>419</v>
      </c>
      <c r="J50" t="s">
        <v>414</v>
      </c>
      <c r="K50" t="s">
        <v>408</v>
      </c>
      <c r="L50" t="s">
        <v>410</v>
      </c>
      <c r="M50" t="s">
        <v>430</v>
      </c>
      <c r="N50" t="s">
        <v>412</v>
      </c>
      <c r="O50">
        <v>10006791</v>
      </c>
      <c r="P50" t="s">
        <v>413</v>
      </c>
      <c r="Q50" s="5">
        <f>VLOOKUP(TabOceanet[VM_name],TabVMEnv[],3,FALSE)</f>
        <v>0</v>
      </c>
      <c r="R50" s="5" t="str">
        <f>IF(VLOOKUP(TabOceanet[VM_name],TabVMEnv[],2,FALSE) = "","Non","")</f>
        <v/>
      </c>
      <c r="S50" s="5">
        <f>IF(TabOceanet[[#This Row],[Type_tarif]]="Tarif_VLAN",1,0)</f>
        <v>0</v>
      </c>
      <c r="T50" s="5">
        <f>TabOceanet[[#This Row],[isCalcVlan]]*TabOceanet[[#This Row],[Nb_article]]*Tarif_VLAN</f>
        <v>0</v>
      </c>
      <c r="U50" s="5">
        <f>IF(TabOceanet[[#This Row],[Type_tarif]]="Tarif_IPPUB",1,0)</f>
        <v>0</v>
      </c>
      <c r="V50" s="5">
        <f>TabOceanet[[#This Row],[isCalcIpPub]]*TabOceanet[[#This Row],[Nb_article]]*Tarif_IPPUB</f>
        <v>0</v>
      </c>
      <c r="W50" s="5">
        <f>IF(TabOceanet[[#This Row],[Type_tarif]]="Tarif_DNS",1,0)</f>
        <v>0</v>
      </c>
      <c r="X50" s="5">
        <f>TabOceanet[[#This Row],[isCalcDns]]*TabOceanet[[#This Row],[Nb_article]]*Tarif_DNS</f>
        <v>0</v>
      </c>
      <c r="Y50" s="5">
        <f>IF(TabOceanet[[#This Row],[Type_tarif]]="Tarif_Certificat_X509_Simple",1,0)</f>
        <v>0</v>
      </c>
      <c r="Z50" s="5">
        <f>TabOceanet[[#This Row],[isCalcCertSimple]]*TabOceanet[[#This Row],[Nb_article]]*Tarif_Certificat_X509_Simple</f>
        <v>0</v>
      </c>
      <c r="AA50" s="5">
        <f>IF(TabOceanet[[#This Row],[Type_tarif]]="Tarif_Certificat_X509_Wildcard",1,0)</f>
        <v>0</v>
      </c>
      <c r="AB50" s="5">
        <f>TabOceanet[[#This Row],[isCalcCertWild]]*TabOceanet[[#This Row],[Nb_article]]*Tarif_Certificat_X509_Wildcard</f>
        <v>0</v>
      </c>
      <c r="AC50" s="5">
        <f>IF(TabOceanet[[#This Row],[Type_tarif]]="Tarif_Astreinte_24_24_7_7",1,0)</f>
        <v>0</v>
      </c>
      <c r="AD50" s="5">
        <f>TabOceanet[[#This Row],[isCalcAstreinte247]]*TabOceanet[[#This Row],[Nb_article]]*Tarif_Astreinte_24_24_7_7</f>
        <v>0</v>
      </c>
      <c r="AE50" s="5">
        <f>IF(TabOceanet[[#This Row],[VM_status]]="PoweredOn",1,0)</f>
        <v>1</v>
      </c>
      <c r="AF50" s="17">
        <f>TabOceanet[[#This Row],[VM_mem]]*Tarif_Ram</f>
        <v>25.6</v>
      </c>
      <c r="AG50" s="5" t="str">
        <f>MID(TabOceanet[[#This Row],[Backup]],29,20)</f>
        <v>J15_2</v>
      </c>
      <c r="AH50" s="25">
        <f>IF(LEFT(TabOceanet[[#This Row],[TypeBAK]],3)="HOR",Tarif_Backup_Horaire*TabOceanet[[#This Row],[VM_disk]],IF(LEFT(TabOceanet[[#This Row],[TypeBAK]],3)="J15",Tarif_Backup_J15*TabOceanet[[#This Row],[VM_disk]],IF(LEFT(TabOceanet[[#This Row],[TypeBAK]],3)="H1_",Tarif_Backup_J15*TabOceanet[[#This Row],[VM_disk]],0)))</f>
        <v>69</v>
      </c>
      <c r="AI50" s="17">
        <f>TabOceanet[[#This Row],[VM_disk]]*Tarif_disque</f>
        <v>0</v>
      </c>
      <c r="AJ50"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94.6</v>
      </c>
    </row>
    <row r="51" spans="1:36" x14ac:dyDescent="0.25">
      <c r="A51" t="s">
        <v>209</v>
      </c>
      <c r="B51">
        <v>2</v>
      </c>
      <c r="C51">
        <v>4</v>
      </c>
      <c r="D51">
        <v>160</v>
      </c>
      <c r="E51" t="s">
        <v>418</v>
      </c>
      <c r="G51" t="s">
        <v>1273</v>
      </c>
      <c r="H51" t="s">
        <v>1274</v>
      </c>
      <c r="I51" t="s">
        <v>419</v>
      </c>
      <c r="J51" t="s">
        <v>414</v>
      </c>
      <c r="K51" t="s">
        <v>408</v>
      </c>
      <c r="L51" t="s">
        <v>410</v>
      </c>
      <c r="M51" t="s">
        <v>420</v>
      </c>
      <c r="N51" t="s">
        <v>412</v>
      </c>
      <c r="O51">
        <v>10006791</v>
      </c>
      <c r="P51" t="s">
        <v>413</v>
      </c>
      <c r="Q51" s="5">
        <f>VLOOKUP(TabOceanet[VM_name],TabVMEnv[],3,FALSE)</f>
        <v>0</v>
      </c>
      <c r="R51" s="5" t="str">
        <f>IF(VLOOKUP(TabOceanet[VM_name],TabVMEnv[],2,FALSE) = "","Non","")</f>
        <v/>
      </c>
      <c r="S51" s="5">
        <f>IF(TabOceanet[[#This Row],[Type_tarif]]="Tarif_VLAN",1,0)</f>
        <v>0</v>
      </c>
      <c r="T51" s="5">
        <f>TabOceanet[[#This Row],[isCalcVlan]]*TabOceanet[[#This Row],[Nb_article]]*Tarif_VLAN</f>
        <v>0</v>
      </c>
      <c r="U51" s="5">
        <f>IF(TabOceanet[[#This Row],[Type_tarif]]="Tarif_IPPUB",1,0)</f>
        <v>0</v>
      </c>
      <c r="V51" s="5">
        <f>TabOceanet[[#This Row],[isCalcIpPub]]*TabOceanet[[#This Row],[Nb_article]]*Tarif_IPPUB</f>
        <v>0</v>
      </c>
      <c r="W51" s="5">
        <f>IF(TabOceanet[[#This Row],[Type_tarif]]="Tarif_DNS",1,0)</f>
        <v>0</v>
      </c>
      <c r="X51" s="5">
        <f>TabOceanet[[#This Row],[isCalcDns]]*TabOceanet[[#This Row],[Nb_article]]*Tarif_DNS</f>
        <v>0</v>
      </c>
      <c r="Y51" s="5">
        <f>IF(TabOceanet[[#This Row],[Type_tarif]]="Tarif_Certificat_X509_Simple",1,0)</f>
        <v>0</v>
      </c>
      <c r="Z51" s="5">
        <f>TabOceanet[[#This Row],[isCalcCertSimple]]*TabOceanet[[#This Row],[Nb_article]]*Tarif_Certificat_X509_Simple</f>
        <v>0</v>
      </c>
      <c r="AA51" s="5">
        <f>IF(TabOceanet[[#This Row],[Type_tarif]]="Tarif_Certificat_X509_Wildcard",1,0)</f>
        <v>0</v>
      </c>
      <c r="AB51" s="5">
        <f>TabOceanet[[#This Row],[isCalcCertWild]]*TabOceanet[[#This Row],[Nb_article]]*Tarif_Certificat_X509_Wildcard</f>
        <v>0</v>
      </c>
      <c r="AC51" s="5">
        <f>IF(TabOceanet[[#This Row],[Type_tarif]]="Tarif_Astreinte_24_24_7_7",1,0)</f>
        <v>0</v>
      </c>
      <c r="AD51" s="5">
        <f>TabOceanet[[#This Row],[isCalcAstreinte247]]*TabOceanet[[#This Row],[Nb_article]]*Tarif_Astreinte_24_24_7_7</f>
        <v>0</v>
      </c>
      <c r="AE51" s="5">
        <f>IF(TabOceanet[[#This Row],[VM_status]]="PoweredOn",1,0)</f>
        <v>1</v>
      </c>
      <c r="AF51" s="17">
        <f>TabOceanet[[#This Row],[VM_mem]]*Tarif_Ram</f>
        <v>6.4</v>
      </c>
      <c r="AG51" s="5" t="str">
        <f>MID(TabOceanet[[#This Row],[Backup]],29,20)</f>
        <v>J15_3</v>
      </c>
      <c r="AH51" s="25">
        <f>IF(LEFT(TabOceanet[[#This Row],[TypeBAK]],3)="HOR",Tarif_Backup_Horaire*TabOceanet[[#This Row],[VM_disk]],IF(LEFT(TabOceanet[[#This Row],[TypeBAK]],3)="J15",Tarif_Backup_J15*TabOceanet[[#This Row],[VM_disk]],IF(LEFT(TabOceanet[[#This Row],[TypeBAK]],3)="H1_",Tarif_Backup_J15*TabOceanet[[#This Row],[VM_disk]],0)))</f>
        <v>36.800000000000004</v>
      </c>
      <c r="AI51" s="17">
        <f>TabOceanet[[#This Row],[VM_disk]]*Tarif_disque</f>
        <v>0</v>
      </c>
      <c r="AJ51"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43.2</v>
      </c>
    </row>
    <row r="52" spans="1:36" x14ac:dyDescent="0.25">
      <c r="A52" t="s">
        <v>241</v>
      </c>
      <c r="B52">
        <v>2</v>
      </c>
      <c r="C52">
        <v>6</v>
      </c>
      <c r="D52">
        <v>250</v>
      </c>
      <c r="E52" t="s">
        <v>423</v>
      </c>
      <c r="G52" t="s">
        <v>1273</v>
      </c>
      <c r="H52" t="s">
        <v>1274</v>
      </c>
      <c r="I52" t="s">
        <v>419</v>
      </c>
      <c r="J52" t="s">
        <v>414</v>
      </c>
      <c r="K52" t="s">
        <v>408</v>
      </c>
      <c r="L52" t="s">
        <v>410</v>
      </c>
      <c r="M52" t="s">
        <v>430</v>
      </c>
      <c r="N52" t="s">
        <v>412</v>
      </c>
      <c r="O52">
        <v>10006791</v>
      </c>
      <c r="P52" t="s">
        <v>413</v>
      </c>
      <c r="Q52" s="5">
        <f>VLOOKUP(TabOceanet[VM_name],TabVMEnv[],3,FALSE)</f>
        <v>0</v>
      </c>
      <c r="R52" s="5" t="str">
        <f>IF(VLOOKUP(TabOceanet[VM_name],TabVMEnv[],2,FALSE) = "","Non","")</f>
        <v/>
      </c>
      <c r="S52" s="5">
        <f>IF(TabOceanet[[#This Row],[Type_tarif]]="Tarif_VLAN",1,0)</f>
        <v>0</v>
      </c>
      <c r="T52" s="5">
        <f>TabOceanet[[#This Row],[isCalcVlan]]*TabOceanet[[#This Row],[Nb_article]]*Tarif_VLAN</f>
        <v>0</v>
      </c>
      <c r="U52" s="5">
        <f>IF(TabOceanet[[#This Row],[Type_tarif]]="Tarif_IPPUB",1,0)</f>
        <v>0</v>
      </c>
      <c r="V52" s="5">
        <f>TabOceanet[[#This Row],[isCalcIpPub]]*TabOceanet[[#This Row],[Nb_article]]*Tarif_IPPUB</f>
        <v>0</v>
      </c>
      <c r="W52" s="5">
        <f>IF(TabOceanet[[#This Row],[Type_tarif]]="Tarif_DNS",1,0)</f>
        <v>0</v>
      </c>
      <c r="X52" s="5">
        <f>TabOceanet[[#This Row],[isCalcDns]]*TabOceanet[[#This Row],[Nb_article]]*Tarif_DNS</f>
        <v>0</v>
      </c>
      <c r="Y52" s="5">
        <f>IF(TabOceanet[[#This Row],[Type_tarif]]="Tarif_Certificat_X509_Simple",1,0)</f>
        <v>0</v>
      </c>
      <c r="Z52" s="5">
        <f>TabOceanet[[#This Row],[isCalcCertSimple]]*TabOceanet[[#This Row],[Nb_article]]*Tarif_Certificat_X509_Simple</f>
        <v>0</v>
      </c>
      <c r="AA52" s="5">
        <f>IF(TabOceanet[[#This Row],[Type_tarif]]="Tarif_Certificat_X509_Wildcard",1,0)</f>
        <v>0</v>
      </c>
      <c r="AB52" s="5">
        <f>TabOceanet[[#This Row],[isCalcCertWild]]*TabOceanet[[#This Row],[Nb_article]]*Tarif_Certificat_X509_Wildcard</f>
        <v>0</v>
      </c>
      <c r="AC52" s="5">
        <f>IF(TabOceanet[[#This Row],[Type_tarif]]="Tarif_Astreinte_24_24_7_7",1,0)</f>
        <v>0</v>
      </c>
      <c r="AD52" s="5">
        <f>TabOceanet[[#This Row],[isCalcAstreinte247]]*TabOceanet[[#This Row],[Nb_article]]*Tarif_Astreinte_24_24_7_7</f>
        <v>0</v>
      </c>
      <c r="AE52" s="5">
        <f>IF(TabOceanet[[#This Row],[VM_status]]="PoweredOn",1,0)</f>
        <v>1</v>
      </c>
      <c r="AF52" s="17">
        <f>TabOceanet[[#This Row],[VM_mem]]*Tarif_Ram</f>
        <v>9.6000000000000014</v>
      </c>
      <c r="AG52" s="5" t="str">
        <f>MID(TabOceanet[[#This Row],[Backup]],29,20)</f>
        <v>J15_2</v>
      </c>
      <c r="AH52" s="25">
        <f>IF(LEFT(TabOceanet[[#This Row],[TypeBAK]],3)="HOR",Tarif_Backup_Horaire*TabOceanet[[#This Row],[VM_disk]],IF(LEFT(TabOceanet[[#This Row],[TypeBAK]],3)="J15",Tarif_Backup_J15*TabOceanet[[#This Row],[VM_disk]],IF(LEFT(TabOceanet[[#This Row],[TypeBAK]],3)="H1_",Tarif_Backup_J15*TabOceanet[[#This Row],[VM_disk]],0)))</f>
        <v>57.5</v>
      </c>
      <c r="AI52" s="17">
        <f>TabOceanet[[#This Row],[VM_disk]]*Tarif_disque</f>
        <v>0</v>
      </c>
      <c r="AJ52"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67.099999999999994</v>
      </c>
    </row>
    <row r="53" spans="1:36" x14ac:dyDescent="0.25">
      <c r="A53" t="s">
        <v>193</v>
      </c>
      <c r="B53">
        <v>2</v>
      </c>
      <c r="C53">
        <v>4</v>
      </c>
      <c r="D53">
        <v>90</v>
      </c>
      <c r="E53" t="s">
        <v>418</v>
      </c>
      <c r="G53" t="s">
        <v>1275</v>
      </c>
      <c r="H53" t="s">
        <v>1274</v>
      </c>
      <c r="I53" t="s">
        <v>419</v>
      </c>
      <c r="J53" t="s">
        <v>414</v>
      </c>
      <c r="K53" t="s">
        <v>408</v>
      </c>
      <c r="L53" t="s">
        <v>410</v>
      </c>
      <c r="M53" t="s">
        <v>420</v>
      </c>
      <c r="N53" t="s">
        <v>412</v>
      </c>
      <c r="O53">
        <v>10006791</v>
      </c>
      <c r="P53" t="s">
        <v>413</v>
      </c>
      <c r="Q53" s="5">
        <f>VLOOKUP(TabOceanet[VM_name],TabVMEnv[],3,FALSE)</f>
        <v>0</v>
      </c>
      <c r="R53" s="5" t="str">
        <f>IF(VLOOKUP(TabOceanet[VM_name],TabVMEnv[],2,FALSE) = "","Non","")</f>
        <v/>
      </c>
      <c r="S53" s="5">
        <f>IF(TabOceanet[[#This Row],[Type_tarif]]="Tarif_VLAN",1,0)</f>
        <v>0</v>
      </c>
      <c r="T53" s="5">
        <f>TabOceanet[[#This Row],[isCalcVlan]]*TabOceanet[[#This Row],[Nb_article]]*Tarif_VLAN</f>
        <v>0</v>
      </c>
      <c r="U53" s="5">
        <f>IF(TabOceanet[[#This Row],[Type_tarif]]="Tarif_IPPUB",1,0)</f>
        <v>0</v>
      </c>
      <c r="V53" s="5">
        <f>TabOceanet[[#This Row],[isCalcIpPub]]*TabOceanet[[#This Row],[Nb_article]]*Tarif_IPPUB</f>
        <v>0</v>
      </c>
      <c r="W53" s="5">
        <f>IF(TabOceanet[[#This Row],[Type_tarif]]="Tarif_DNS",1,0)</f>
        <v>0</v>
      </c>
      <c r="X53" s="5">
        <f>TabOceanet[[#This Row],[isCalcDns]]*TabOceanet[[#This Row],[Nb_article]]*Tarif_DNS</f>
        <v>0</v>
      </c>
      <c r="Y53" s="5">
        <f>IF(TabOceanet[[#This Row],[Type_tarif]]="Tarif_Certificat_X509_Simple",1,0)</f>
        <v>0</v>
      </c>
      <c r="Z53" s="5">
        <f>TabOceanet[[#This Row],[isCalcCertSimple]]*TabOceanet[[#This Row],[Nb_article]]*Tarif_Certificat_X509_Simple</f>
        <v>0</v>
      </c>
      <c r="AA53" s="5">
        <f>IF(TabOceanet[[#This Row],[Type_tarif]]="Tarif_Certificat_X509_Wildcard",1,0)</f>
        <v>0</v>
      </c>
      <c r="AB53" s="5">
        <f>TabOceanet[[#This Row],[isCalcCertWild]]*TabOceanet[[#This Row],[Nb_article]]*Tarif_Certificat_X509_Wildcard</f>
        <v>0</v>
      </c>
      <c r="AC53" s="5">
        <f>IF(TabOceanet[[#This Row],[Type_tarif]]="Tarif_Astreinte_24_24_7_7",1,0)</f>
        <v>0</v>
      </c>
      <c r="AD53" s="5">
        <f>TabOceanet[[#This Row],[isCalcAstreinte247]]*TabOceanet[[#This Row],[Nb_article]]*Tarif_Astreinte_24_24_7_7</f>
        <v>0</v>
      </c>
      <c r="AE53" s="5">
        <f>IF(TabOceanet[[#This Row],[VM_status]]="PoweredOn",1,0)</f>
        <v>1</v>
      </c>
      <c r="AF53" s="17">
        <f>TabOceanet[[#This Row],[VM_mem]]*Tarif_Ram</f>
        <v>6.4</v>
      </c>
      <c r="AG53" s="5" t="str">
        <f>MID(TabOceanet[[#This Row],[Backup]],29,20)</f>
        <v>J15_3</v>
      </c>
      <c r="AH53" s="25">
        <f>IF(LEFT(TabOceanet[[#This Row],[TypeBAK]],3)="HOR",Tarif_Backup_Horaire*TabOceanet[[#This Row],[VM_disk]],IF(LEFT(TabOceanet[[#This Row],[TypeBAK]],3)="J15",Tarif_Backup_J15*TabOceanet[[#This Row],[VM_disk]],IF(LEFT(TabOceanet[[#This Row],[TypeBAK]],3)="H1_",Tarif_Backup_J15*TabOceanet[[#This Row],[VM_disk]],0)))</f>
        <v>20.7</v>
      </c>
      <c r="AI53" s="17">
        <f>TabOceanet[[#This Row],[VM_disk]]*Tarif_disque</f>
        <v>0</v>
      </c>
      <c r="AJ53"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27.1</v>
      </c>
    </row>
    <row r="54" spans="1:36" x14ac:dyDescent="0.25">
      <c r="A54" t="s">
        <v>202</v>
      </c>
      <c r="B54">
        <v>16</v>
      </c>
      <c r="C54">
        <v>8</v>
      </c>
      <c r="D54">
        <v>120</v>
      </c>
      <c r="E54" t="s">
        <v>426</v>
      </c>
      <c r="G54" t="s">
        <v>1275</v>
      </c>
      <c r="H54" t="s">
        <v>1274</v>
      </c>
      <c r="I54" t="s">
        <v>419</v>
      </c>
      <c r="J54" t="s">
        <v>414</v>
      </c>
      <c r="K54" t="s">
        <v>408</v>
      </c>
      <c r="L54" t="s">
        <v>410</v>
      </c>
      <c r="M54" t="s">
        <v>420</v>
      </c>
      <c r="N54" t="s">
        <v>412</v>
      </c>
      <c r="O54">
        <v>10006791</v>
      </c>
      <c r="P54" t="s">
        <v>413</v>
      </c>
      <c r="Q54" s="5">
        <f>VLOOKUP(TabOceanet[VM_name],TabVMEnv[],3,FALSE)</f>
        <v>0</v>
      </c>
      <c r="R54" s="5" t="str">
        <f>IF(VLOOKUP(TabOceanet[VM_name],TabVMEnv[],2,FALSE) = "","Non","")</f>
        <v/>
      </c>
      <c r="S54" s="5">
        <f>IF(TabOceanet[[#This Row],[Type_tarif]]="Tarif_VLAN",1,0)</f>
        <v>0</v>
      </c>
      <c r="T54" s="5">
        <f>TabOceanet[[#This Row],[isCalcVlan]]*TabOceanet[[#This Row],[Nb_article]]*Tarif_VLAN</f>
        <v>0</v>
      </c>
      <c r="U54" s="5">
        <f>IF(TabOceanet[[#This Row],[Type_tarif]]="Tarif_IPPUB",1,0)</f>
        <v>0</v>
      </c>
      <c r="V54" s="5">
        <f>TabOceanet[[#This Row],[isCalcIpPub]]*TabOceanet[[#This Row],[Nb_article]]*Tarif_IPPUB</f>
        <v>0</v>
      </c>
      <c r="W54" s="5">
        <f>IF(TabOceanet[[#This Row],[Type_tarif]]="Tarif_DNS",1,0)</f>
        <v>0</v>
      </c>
      <c r="X54" s="5">
        <f>TabOceanet[[#This Row],[isCalcDns]]*TabOceanet[[#This Row],[Nb_article]]*Tarif_DNS</f>
        <v>0</v>
      </c>
      <c r="Y54" s="5">
        <f>IF(TabOceanet[[#This Row],[Type_tarif]]="Tarif_Certificat_X509_Simple",1,0)</f>
        <v>0</v>
      </c>
      <c r="Z54" s="5">
        <f>TabOceanet[[#This Row],[isCalcCertSimple]]*TabOceanet[[#This Row],[Nb_article]]*Tarif_Certificat_X509_Simple</f>
        <v>0</v>
      </c>
      <c r="AA54" s="5">
        <f>IF(TabOceanet[[#This Row],[Type_tarif]]="Tarif_Certificat_X509_Wildcard",1,0)</f>
        <v>0</v>
      </c>
      <c r="AB54" s="5">
        <f>TabOceanet[[#This Row],[isCalcCertWild]]*TabOceanet[[#This Row],[Nb_article]]*Tarif_Certificat_X509_Wildcard</f>
        <v>0</v>
      </c>
      <c r="AC54" s="5">
        <f>IF(TabOceanet[[#This Row],[Type_tarif]]="Tarif_Astreinte_24_24_7_7",1,0)</f>
        <v>0</v>
      </c>
      <c r="AD54" s="5">
        <f>TabOceanet[[#This Row],[isCalcAstreinte247]]*TabOceanet[[#This Row],[Nb_article]]*Tarif_Astreinte_24_24_7_7</f>
        <v>0</v>
      </c>
      <c r="AE54" s="5">
        <f>IF(TabOceanet[[#This Row],[VM_status]]="PoweredOn",1,0)</f>
        <v>1</v>
      </c>
      <c r="AF54" s="17">
        <f>TabOceanet[[#This Row],[VM_mem]]*Tarif_Ram</f>
        <v>12.8</v>
      </c>
      <c r="AG54" s="5" t="str">
        <f>MID(TabOceanet[[#This Row],[Backup]],29,20)</f>
        <v>J15_3</v>
      </c>
      <c r="AH54" s="25">
        <f>IF(LEFT(TabOceanet[[#This Row],[TypeBAK]],3)="HOR",Tarif_Backup_Horaire*TabOceanet[[#This Row],[VM_disk]],IF(LEFT(TabOceanet[[#This Row],[TypeBAK]],3)="J15",Tarif_Backup_J15*TabOceanet[[#This Row],[VM_disk]],IF(LEFT(TabOceanet[[#This Row],[TypeBAK]],3)="H1_",Tarif_Backup_J15*TabOceanet[[#This Row],[VM_disk]],0)))</f>
        <v>27.6</v>
      </c>
      <c r="AI54" s="17">
        <f>TabOceanet[[#This Row],[VM_disk]]*Tarif_disque</f>
        <v>0</v>
      </c>
      <c r="AJ54"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40.400000000000006</v>
      </c>
    </row>
    <row r="55" spans="1:36" x14ac:dyDescent="0.25">
      <c r="A55" t="s">
        <v>205</v>
      </c>
      <c r="B55">
        <v>4</v>
      </c>
      <c r="C55">
        <v>8</v>
      </c>
      <c r="D55">
        <v>55</v>
      </c>
      <c r="E55" t="s">
        <v>418</v>
      </c>
      <c r="G55" t="s">
        <v>1275</v>
      </c>
      <c r="H55" t="s">
        <v>1274</v>
      </c>
      <c r="I55" t="s">
        <v>419</v>
      </c>
      <c r="J55" t="s">
        <v>414</v>
      </c>
      <c r="K55" t="s">
        <v>408</v>
      </c>
      <c r="L55" t="s">
        <v>410</v>
      </c>
      <c r="M55" t="s">
        <v>420</v>
      </c>
      <c r="N55" t="s">
        <v>412</v>
      </c>
      <c r="O55">
        <v>10006791</v>
      </c>
      <c r="P55" t="s">
        <v>413</v>
      </c>
      <c r="Q55" s="5">
        <f>VLOOKUP(TabOceanet[VM_name],TabVMEnv[],3,FALSE)</f>
        <v>0</v>
      </c>
      <c r="R55" s="5" t="str">
        <f>IF(VLOOKUP(TabOceanet[VM_name],TabVMEnv[],2,FALSE) = "","Non","")</f>
        <v/>
      </c>
      <c r="S55" s="5">
        <f>IF(TabOceanet[[#This Row],[Type_tarif]]="Tarif_VLAN",1,0)</f>
        <v>0</v>
      </c>
      <c r="T55" s="5">
        <f>TabOceanet[[#This Row],[isCalcVlan]]*TabOceanet[[#This Row],[Nb_article]]*Tarif_VLAN</f>
        <v>0</v>
      </c>
      <c r="U55" s="5">
        <f>IF(TabOceanet[[#This Row],[Type_tarif]]="Tarif_IPPUB",1,0)</f>
        <v>0</v>
      </c>
      <c r="V55" s="5">
        <f>TabOceanet[[#This Row],[isCalcIpPub]]*TabOceanet[[#This Row],[Nb_article]]*Tarif_IPPUB</f>
        <v>0</v>
      </c>
      <c r="W55" s="5">
        <f>IF(TabOceanet[[#This Row],[Type_tarif]]="Tarif_DNS",1,0)</f>
        <v>0</v>
      </c>
      <c r="X55" s="5">
        <f>TabOceanet[[#This Row],[isCalcDns]]*TabOceanet[[#This Row],[Nb_article]]*Tarif_DNS</f>
        <v>0</v>
      </c>
      <c r="Y55" s="5">
        <f>IF(TabOceanet[[#This Row],[Type_tarif]]="Tarif_Certificat_X509_Simple",1,0)</f>
        <v>0</v>
      </c>
      <c r="Z55" s="5">
        <f>TabOceanet[[#This Row],[isCalcCertSimple]]*TabOceanet[[#This Row],[Nb_article]]*Tarif_Certificat_X509_Simple</f>
        <v>0</v>
      </c>
      <c r="AA55" s="5">
        <f>IF(TabOceanet[[#This Row],[Type_tarif]]="Tarif_Certificat_X509_Wildcard",1,0)</f>
        <v>0</v>
      </c>
      <c r="AB55" s="5">
        <f>TabOceanet[[#This Row],[isCalcCertWild]]*TabOceanet[[#This Row],[Nb_article]]*Tarif_Certificat_X509_Wildcard</f>
        <v>0</v>
      </c>
      <c r="AC55" s="5">
        <f>IF(TabOceanet[[#This Row],[Type_tarif]]="Tarif_Astreinte_24_24_7_7",1,0)</f>
        <v>0</v>
      </c>
      <c r="AD55" s="5">
        <f>TabOceanet[[#This Row],[isCalcAstreinte247]]*TabOceanet[[#This Row],[Nb_article]]*Tarif_Astreinte_24_24_7_7</f>
        <v>0</v>
      </c>
      <c r="AE55" s="5">
        <f>IF(TabOceanet[[#This Row],[VM_status]]="PoweredOn",1,0)</f>
        <v>1</v>
      </c>
      <c r="AF55" s="17">
        <f>TabOceanet[[#This Row],[VM_mem]]*Tarif_Ram</f>
        <v>12.8</v>
      </c>
      <c r="AG55" s="5" t="str">
        <f>MID(TabOceanet[[#This Row],[Backup]],29,20)</f>
        <v>J15_3</v>
      </c>
      <c r="AH55" s="25">
        <f>IF(LEFT(TabOceanet[[#This Row],[TypeBAK]],3)="HOR",Tarif_Backup_Horaire*TabOceanet[[#This Row],[VM_disk]],IF(LEFT(TabOceanet[[#This Row],[TypeBAK]],3)="J15",Tarif_Backup_J15*TabOceanet[[#This Row],[VM_disk]],IF(LEFT(TabOceanet[[#This Row],[TypeBAK]],3)="H1_",Tarif_Backup_J15*TabOceanet[[#This Row],[VM_disk]],0)))</f>
        <v>12.65</v>
      </c>
      <c r="AI55" s="17">
        <f>TabOceanet[[#This Row],[VM_disk]]*Tarif_disque</f>
        <v>0</v>
      </c>
      <c r="AJ55"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25.450000000000003</v>
      </c>
    </row>
    <row r="56" spans="1:36" x14ac:dyDescent="0.25">
      <c r="A56" t="s">
        <v>182</v>
      </c>
      <c r="B56">
        <v>4</v>
      </c>
      <c r="C56">
        <v>4</v>
      </c>
      <c r="D56">
        <v>35</v>
      </c>
      <c r="E56" t="s">
        <v>426</v>
      </c>
      <c r="G56" t="s">
        <v>1275</v>
      </c>
      <c r="H56" t="s">
        <v>1274</v>
      </c>
      <c r="I56" t="s">
        <v>419</v>
      </c>
      <c r="J56" t="s">
        <v>414</v>
      </c>
      <c r="K56" t="s">
        <v>408</v>
      </c>
      <c r="L56" t="s">
        <v>410</v>
      </c>
      <c r="M56" t="s">
        <v>430</v>
      </c>
      <c r="N56" t="s">
        <v>412</v>
      </c>
      <c r="O56">
        <v>10006791</v>
      </c>
      <c r="P56" t="s">
        <v>413</v>
      </c>
      <c r="Q56" s="5">
        <f>VLOOKUP(TabOceanet[VM_name],TabVMEnv[],3,FALSE)</f>
        <v>0</v>
      </c>
      <c r="R56" s="5" t="str">
        <f>IF(VLOOKUP(TabOceanet[VM_name],TabVMEnv[],2,FALSE) = "","Non","")</f>
        <v/>
      </c>
      <c r="S56" s="5">
        <f>IF(TabOceanet[[#This Row],[Type_tarif]]="Tarif_VLAN",1,0)</f>
        <v>0</v>
      </c>
      <c r="T56" s="5">
        <f>TabOceanet[[#This Row],[isCalcVlan]]*TabOceanet[[#This Row],[Nb_article]]*Tarif_VLAN</f>
        <v>0</v>
      </c>
      <c r="U56" s="5">
        <f>IF(TabOceanet[[#This Row],[Type_tarif]]="Tarif_IPPUB",1,0)</f>
        <v>0</v>
      </c>
      <c r="V56" s="5">
        <f>TabOceanet[[#This Row],[isCalcIpPub]]*TabOceanet[[#This Row],[Nb_article]]*Tarif_IPPUB</f>
        <v>0</v>
      </c>
      <c r="W56" s="5">
        <f>IF(TabOceanet[[#This Row],[Type_tarif]]="Tarif_DNS",1,0)</f>
        <v>0</v>
      </c>
      <c r="X56" s="5">
        <f>TabOceanet[[#This Row],[isCalcDns]]*TabOceanet[[#This Row],[Nb_article]]*Tarif_DNS</f>
        <v>0</v>
      </c>
      <c r="Y56" s="5">
        <f>IF(TabOceanet[[#This Row],[Type_tarif]]="Tarif_Certificat_X509_Simple",1,0)</f>
        <v>0</v>
      </c>
      <c r="Z56" s="5">
        <f>TabOceanet[[#This Row],[isCalcCertSimple]]*TabOceanet[[#This Row],[Nb_article]]*Tarif_Certificat_X509_Simple</f>
        <v>0</v>
      </c>
      <c r="AA56" s="5">
        <f>IF(TabOceanet[[#This Row],[Type_tarif]]="Tarif_Certificat_X509_Wildcard",1,0)</f>
        <v>0</v>
      </c>
      <c r="AB56" s="5">
        <f>TabOceanet[[#This Row],[isCalcCertWild]]*TabOceanet[[#This Row],[Nb_article]]*Tarif_Certificat_X509_Wildcard</f>
        <v>0</v>
      </c>
      <c r="AC56" s="5">
        <f>IF(TabOceanet[[#This Row],[Type_tarif]]="Tarif_Astreinte_24_24_7_7",1,0)</f>
        <v>0</v>
      </c>
      <c r="AD56" s="5">
        <f>TabOceanet[[#This Row],[isCalcAstreinte247]]*TabOceanet[[#This Row],[Nb_article]]*Tarif_Astreinte_24_24_7_7</f>
        <v>0</v>
      </c>
      <c r="AE56" s="5">
        <f>IF(TabOceanet[[#This Row],[VM_status]]="PoweredOn",1,0)</f>
        <v>1</v>
      </c>
      <c r="AF56" s="17">
        <f>TabOceanet[[#This Row],[VM_mem]]*Tarif_Ram</f>
        <v>6.4</v>
      </c>
      <c r="AG56" s="5" t="str">
        <f>MID(TabOceanet[[#This Row],[Backup]],29,20)</f>
        <v>J15_2</v>
      </c>
      <c r="AH56" s="25">
        <f>IF(LEFT(TabOceanet[[#This Row],[TypeBAK]],3)="HOR",Tarif_Backup_Horaire*TabOceanet[[#This Row],[VM_disk]],IF(LEFT(TabOceanet[[#This Row],[TypeBAK]],3)="J15",Tarif_Backup_J15*TabOceanet[[#This Row],[VM_disk]],IF(LEFT(TabOceanet[[#This Row],[TypeBAK]],3)="H1_",Tarif_Backup_J15*TabOceanet[[#This Row],[VM_disk]],0)))</f>
        <v>8.0500000000000007</v>
      </c>
      <c r="AI56" s="17">
        <f>TabOceanet[[#This Row],[VM_disk]]*Tarif_disque</f>
        <v>0</v>
      </c>
      <c r="AJ56"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14.450000000000001</v>
      </c>
    </row>
    <row r="57" spans="1:36" x14ac:dyDescent="0.25">
      <c r="A57" t="s">
        <v>258</v>
      </c>
      <c r="B57">
        <v>1</v>
      </c>
      <c r="C57">
        <v>2</v>
      </c>
      <c r="D57">
        <v>40</v>
      </c>
      <c r="E57" t="s">
        <v>427</v>
      </c>
      <c r="G57" t="s">
        <v>1273</v>
      </c>
      <c r="H57" t="s">
        <v>1274</v>
      </c>
      <c r="I57" t="s">
        <v>419</v>
      </c>
      <c r="J57" t="s">
        <v>414</v>
      </c>
      <c r="K57" t="s">
        <v>408</v>
      </c>
      <c r="L57" t="s">
        <v>410</v>
      </c>
      <c r="M57" t="s">
        <v>420</v>
      </c>
      <c r="N57" t="s">
        <v>412</v>
      </c>
      <c r="O57">
        <v>10006791</v>
      </c>
      <c r="P57" t="s">
        <v>413</v>
      </c>
      <c r="Q57" s="5">
        <f>VLOOKUP(TabOceanet[VM_name],TabVMEnv[],3,FALSE)</f>
        <v>0</v>
      </c>
      <c r="R57" s="5" t="str">
        <f>IF(VLOOKUP(TabOceanet[VM_name],TabVMEnv[],2,FALSE) = "","Non","")</f>
        <v/>
      </c>
      <c r="S57" s="5">
        <f>IF(TabOceanet[[#This Row],[Type_tarif]]="Tarif_VLAN",1,0)</f>
        <v>0</v>
      </c>
      <c r="T57" s="5">
        <f>TabOceanet[[#This Row],[isCalcVlan]]*TabOceanet[[#This Row],[Nb_article]]*Tarif_VLAN</f>
        <v>0</v>
      </c>
      <c r="U57" s="5">
        <f>IF(TabOceanet[[#This Row],[Type_tarif]]="Tarif_IPPUB",1,0)</f>
        <v>0</v>
      </c>
      <c r="V57" s="5">
        <f>TabOceanet[[#This Row],[isCalcIpPub]]*TabOceanet[[#This Row],[Nb_article]]*Tarif_IPPUB</f>
        <v>0</v>
      </c>
      <c r="W57" s="5">
        <f>IF(TabOceanet[[#This Row],[Type_tarif]]="Tarif_DNS",1,0)</f>
        <v>0</v>
      </c>
      <c r="X57" s="5">
        <f>TabOceanet[[#This Row],[isCalcDns]]*TabOceanet[[#This Row],[Nb_article]]*Tarif_DNS</f>
        <v>0</v>
      </c>
      <c r="Y57" s="5">
        <f>IF(TabOceanet[[#This Row],[Type_tarif]]="Tarif_Certificat_X509_Simple",1,0)</f>
        <v>0</v>
      </c>
      <c r="Z57" s="5">
        <f>TabOceanet[[#This Row],[isCalcCertSimple]]*TabOceanet[[#This Row],[Nb_article]]*Tarif_Certificat_X509_Simple</f>
        <v>0</v>
      </c>
      <c r="AA57" s="5">
        <f>IF(TabOceanet[[#This Row],[Type_tarif]]="Tarif_Certificat_X509_Wildcard",1,0)</f>
        <v>0</v>
      </c>
      <c r="AB57" s="5">
        <f>TabOceanet[[#This Row],[isCalcCertWild]]*TabOceanet[[#This Row],[Nb_article]]*Tarif_Certificat_X509_Wildcard</f>
        <v>0</v>
      </c>
      <c r="AC57" s="5">
        <f>IF(TabOceanet[[#This Row],[Type_tarif]]="Tarif_Astreinte_24_24_7_7",1,0)</f>
        <v>0</v>
      </c>
      <c r="AD57" s="5">
        <f>TabOceanet[[#This Row],[isCalcAstreinte247]]*TabOceanet[[#This Row],[Nb_article]]*Tarif_Astreinte_24_24_7_7</f>
        <v>0</v>
      </c>
      <c r="AE57" s="5">
        <f>IF(TabOceanet[[#This Row],[VM_status]]="PoweredOn",1,0)</f>
        <v>1</v>
      </c>
      <c r="AF57" s="17">
        <f>TabOceanet[[#This Row],[VM_mem]]*Tarif_Ram</f>
        <v>3.2</v>
      </c>
      <c r="AG57" s="5" t="str">
        <f>MID(TabOceanet[[#This Row],[Backup]],29,20)</f>
        <v>J15_3</v>
      </c>
      <c r="AH57" s="25">
        <f>IF(LEFT(TabOceanet[[#This Row],[TypeBAK]],3)="HOR",Tarif_Backup_Horaire*TabOceanet[[#This Row],[VM_disk]],IF(LEFT(TabOceanet[[#This Row],[TypeBAK]],3)="J15",Tarif_Backup_J15*TabOceanet[[#This Row],[VM_disk]],IF(LEFT(TabOceanet[[#This Row],[TypeBAK]],3)="H1_",Tarif_Backup_J15*TabOceanet[[#This Row],[VM_disk]],0)))</f>
        <v>9.2000000000000011</v>
      </c>
      <c r="AI57" s="17">
        <f>TabOceanet[[#This Row],[VM_disk]]*Tarif_disque</f>
        <v>0</v>
      </c>
      <c r="AJ57"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12.400000000000002</v>
      </c>
    </row>
    <row r="58" spans="1:36" x14ac:dyDescent="0.25">
      <c r="A58" t="s">
        <v>256</v>
      </c>
      <c r="B58">
        <v>1</v>
      </c>
      <c r="C58">
        <v>2</v>
      </c>
      <c r="D58">
        <v>20</v>
      </c>
      <c r="E58" t="s">
        <v>428</v>
      </c>
      <c r="G58" t="s">
        <v>1273</v>
      </c>
      <c r="H58" t="s">
        <v>1274</v>
      </c>
      <c r="I58" t="s">
        <v>419</v>
      </c>
      <c r="J58" t="s">
        <v>414</v>
      </c>
      <c r="K58" t="s">
        <v>408</v>
      </c>
      <c r="L58" t="s">
        <v>410</v>
      </c>
      <c r="M58" t="s">
        <v>420</v>
      </c>
      <c r="N58" t="s">
        <v>412</v>
      </c>
      <c r="O58">
        <v>10006791</v>
      </c>
      <c r="P58" t="s">
        <v>413</v>
      </c>
      <c r="Q58" s="5">
        <f>VLOOKUP(TabOceanet[VM_name],TabVMEnv[],3,FALSE)</f>
        <v>0</v>
      </c>
      <c r="R58" s="5" t="str">
        <f>IF(VLOOKUP(TabOceanet[VM_name],TabVMEnv[],2,FALSE) = "","Non","")</f>
        <v/>
      </c>
      <c r="S58" s="5">
        <f>IF(TabOceanet[[#This Row],[Type_tarif]]="Tarif_VLAN",1,0)</f>
        <v>0</v>
      </c>
      <c r="T58" s="5">
        <f>TabOceanet[[#This Row],[isCalcVlan]]*TabOceanet[[#This Row],[Nb_article]]*Tarif_VLAN</f>
        <v>0</v>
      </c>
      <c r="U58" s="5">
        <f>IF(TabOceanet[[#This Row],[Type_tarif]]="Tarif_IPPUB",1,0)</f>
        <v>0</v>
      </c>
      <c r="V58" s="5">
        <f>TabOceanet[[#This Row],[isCalcIpPub]]*TabOceanet[[#This Row],[Nb_article]]*Tarif_IPPUB</f>
        <v>0</v>
      </c>
      <c r="W58" s="5">
        <f>IF(TabOceanet[[#This Row],[Type_tarif]]="Tarif_DNS",1,0)</f>
        <v>0</v>
      </c>
      <c r="X58" s="5">
        <f>TabOceanet[[#This Row],[isCalcDns]]*TabOceanet[[#This Row],[Nb_article]]*Tarif_DNS</f>
        <v>0</v>
      </c>
      <c r="Y58" s="5">
        <f>IF(TabOceanet[[#This Row],[Type_tarif]]="Tarif_Certificat_X509_Simple",1,0)</f>
        <v>0</v>
      </c>
      <c r="Z58" s="5">
        <f>TabOceanet[[#This Row],[isCalcCertSimple]]*TabOceanet[[#This Row],[Nb_article]]*Tarif_Certificat_X509_Simple</f>
        <v>0</v>
      </c>
      <c r="AA58" s="5">
        <f>IF(TabOceanet[[#This Row],[Type_tarif]]="Tarif_Certificat_X509_Wildcard",1,0)</f>
        <v>0</v>
      </c>
      <c r="AB58" s="5">
        <f>TabOceanet[[#This Row],[isCalcCertWild]]*TabOceanet[[#This Row],[Nb_article]]*Tarif_Certificat_X509_Wildcard</f>
        <v>0</v>
      </c>
      <c r="AC58" s="5">
        <f>IF(TabOceanet[[#This Row],[Type_tarif]]="Tarif_Astreinte_24_24_7_7",1,0)</f>
        <v>0</v>
      </c>
      <c r="AD58" s="5">
        <f>TabOceanet[[#This Row],[isCalcAstreinte247]]*TabOceanet[[#This Row],[Nb_article]]*Tarif_Astreinte_24_24_7_7</f>
        <v>0</v>
      </c>
      <c r="AE58" s="5">
        <f>IF(TabOceanet[[#This Row],[VM_status]]="PoweredOn",1,0)</f>
        <v>1</v>
      </c>
      <c r="AF58" s="17">
        <f>TabOceanet[[#This Row],[VM_mem]]*Tarif_Ram</f>
        <v>3.2</v>
      </c>
      <c r="AG58" s="5" t="str">
        <f>MID(TabOceanet[[#This Row],[Backup]],29,20)</f>
        <v>J15_3</v>
      </c>
      <c r="AH58" s="25">
        <f>IF(LEFT(TabOceanet[[#This Row],[TypeBAK]],3)="HOR",Tarif_Backup_Horaire*TabOceanet[[#This Row],[VM_disk]],IF(LEFT(TabOceanet[[#This Row],[TypeBAK]],3)="J15",Tarif_Backup_J15*TabOceanet[[#This Row],[VM_disk]],IF(LEFT(TabOceanet[[#This Row],[TypeBAK]],3)="H1_",Tarif_Backup_J15*TabOceanet[[#This Row],[VM_disk]],0)))</f>
        <v>4.6000000000000005</v>
      </c>
      <c r="AI58" s="17">
        <f>TabOceanet[[#This Row],[VM_disk]]*Tarif_disque</f>
        <v>0</v>
      </c>
      <c r="AJ58"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7.8000000000000007</v>
      </c>
    </row>
    <row r="59" spans="1:36" x14ac:dyDescent="0.25">
      <c r="A59" t="s">
        <v>204</v>
      </c>
      <c r="B59">
        <v>4</v>
      </c>
      <c r="C59">
        <v>6</v>
      </c>
      <c r="D59">
        <v>42</v>
      </c>
      <c r="E59" t="s">
        <v>429</v>
      </c>
      <c r="G59" t="s">
        <v>1273</v>
      </c>
      <c r="H59" t="s">
        <v>1300</v>
      </c>
      <c r="I59" t="s">
        <v>419</v>
      </c>
      <c r="K59" t="s">
        <v>408</v>
      </c>
      <c r="L59" t="s">
        <v>410</v>
      </c>
      <c r="M59" t="s">
        <v>1322</v>
      </c>
      <c r="N59" t="s">
        <v>412</v>
      </c>
      <c r="O59">
        <v>10006791</v>
      </c>
      <c r="P59" t="s">
        <v>413</v>
      </c>
      <c r="Q59" s="5">
        <f>VLOOKUP(TabOceanet[VM_name],TabVMEnv[],3,FALSE)</f>
        <v>0</v>
      </c>
      <c r="R59" s="5" t="str">
        <f>IF(VLOOKUP(TabOceanet[VM_name],TabVMEnv[],2,FALSE) = "","Non","")</f>
        <v/>
      </c>
      <c r="S59" s="5">
        <f>IF(TabOceanet[[#This Row],[Type_tarif]]="Tarif_VLAN",1,0)</f>
        <v>0</v>
      </c>
      <c r="T59" s="5">
        <f>TabOceanet[[#This Row],[isCalcVlan]]*TabOceanet[[#This Row],[Nb_article]]*Tarif_VLAN</f>
        <v>0</v>
      </c>
      <c r="U59" s="5">
        <f>IF(TabOceanet[[#This Row],[Type_tarif]]="Tarif_IPPUB",1,0)</f>
        <v>0</v>
      </c>
      <c r="V59" s="5">
        <f>TabOceanet[[#This Row],[isCalcIpPub]]*TabOceanet[[#This Row],[Nb_article]]*Tarif_IPPUB</f>
        <v>0</v>
      </c>
      <c r="W59" s="5">
        <f>IF(TabOceanet[[#This Row],[Type_tarif]]="Tarif_DNS",1,0)</f>
        <v>0</v>
      </c>
      <c r="X59" s="5">
        <f>TabOceanet[[#This Row],[isCalcDns]]*TabOceanet[[#This Row],[Nb_article]]*Tarif_DNS</f>
        <v>0</v>
      </c>
      <c r="Y59" s="5">
        <f>IF(TabOceanet[[#This Row],[Type_tarif]]="Tarif_Certificat_X509_Simple",1,0)</f>
        <v>0</v>
      </c>
      <c r="Z59" s="5">
        <f>TabOceanet[[#This Row],[isCalcCertSimple]]*TabOceanet[[#This Row],[Nb_article]]*Tarif_Certificat_X509_Simple</f>
        <v>0</v>
      </c>
      <c r="AA59" s="5">
        <f>IF(TabOceanet[[#This Row],[Type_tarif]]="Tarif_Certificat_X509_Wildcard",1,0)</f>
        <v>0</v>
      </c>
      <c r="AB59" s="5">
        <f>TabOceanet[[#This Row],[isCalcCertWild]]*TabOceanet[[#This Row],[Nb_article]]*Tarif_Certificat_X509_Wildcard</f>
        <v>0</v>
      </c>
      <c r="AC59" s="5">
        <f>IF(TabOceanet[[#This Row],[Type_tarif]]="Tarif_Astreinte_24_24_7_7",1,0)</f>
        <v>0</v>
      </c>
      <c r="AD59" s="5">
        <f>TabOceanet[[#This Row],[isCalcAstreinte247]]*TabOceanet[[#This Row],[Nb_article]]*Tarif_Astreinte_24_24_7_7</f>
        <v>0</v>
      </c>
      <c r="AE59" s="5">
        <f>IF(TabOceanet[[#This Row],[VM_status]]="PoweredOn",1,0)</f>
        <v>1</v>
      </c>
      <c r="AF59" s="17">
        <f>TabOceanet[[#This Row],[VM_mem]]*Tarif_Ram</f>
        <v>9.6000000000000014</v>
      </c>
      <c r="AG59" s="5" t="str">
        <f>MID(TabOceanet[[#This Row],[Backup]],29,20)</f>
        <v>J15_1</v>
      </c>
      <c r="AH59" s="25">
        <f>IF(LEFT(TabOceanet[[#This Row],[TypeBAK]],3)="HOR",Tarif_Backup_Horaire*TabOceanet[[#This Row],[VM_disk]],IF(LEFT(TabOceanet[[#This Row],[TypeBAK]],3)="J15",Tarif_Backup_J15*TabOceanet[[#This Row],[VM_disk]],IF(LEFT(TabOceanet[[#This Row],[TypeBAK]],3)="H1_",Tarif_Backup_J15*TabOceanet[[#This Row],[VM_disk]],0)))</f>
        <v>9.66</v>
      </c>
      <c r="AI59" s="17">
        <f>TabOceanet[[#This Row],[VM_disk]]*Tarif_disque</f>
        <v>0</v>
      </c>
      <c r="AJ59"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19.260000000000002</v>
      </c>
    </row>
    <row r="60" spans="1:36" x14ac:dyDescent="0.25">
      <c r="A60" t="s">
        <v>148</v>
      </c>
      <c r="B60">
        <v>2</v>
      </c>
      <c r="C60">
        <v>4</v>
      </c>
      <c r="D60">
        <v>30</v>
      </c>
      <c r="E60" t="s">
        <v>431</v>
      </c>
      <c r="G60" t="s">
        <v>1273</v>
      </c>
      <c r="H60" t="s">
        <v>1274</v>
      </c>
      <c r="I60" t="s">
        <v>419</v>
      </c>
      <c r="J60" t="s">
        <v>414</v>
      </c>
      <c r="K60" t="s">
        <v>408</v>
      </c>
      <c r="L60" t="s">
        <v>410</v>
      </c>
      <c r="M60" t="s">
        <v>1322</v>
      </c>
      <c r="N60" t="s">
        <v>412</v>
      </c>
      <c r="O60">
        <v>10006791</v>
      </c>
      <c r="P60" t="s">
        <v>413</v>
      </c>
      <c r="Q60" s="5">
        <f>VLOOKUP(TabOceanet[VM_name],TabVMEnv[],3,FALSE)</f>
        <v>0</v>
      </c>
      <c r="R60" s="5" t="str">
        <f>IF(VLOOKUP(TabOceanet[VM_name],TabVMEnv[],2,FALSE) = "","Non","")</f>
        <v/>
      </c>
      <c r="S60" s="5">
        <f>IF(TabOceanet[[#This Row],[Type_tarif]]="Tarif_VLAN",1,0)</f>
        <v>0</v>
      </c>
      <c r="T60" s="5">
        <f>TabOceanet[[#This Row],[isCalcVlan]]*TabOceanet[[#This Row],[Nb_article]]*Tarif_VLAN</f>
        <v>0</v>
      </c>
      <c r="U60" s="5">
        <f>IF(TabOceanet[[#This Row],[Type_tarif]]="Tarif_IPPUB",1,0)</f>
        <v>0</v>
      </c>
      <c r="V60" s="5">
        <f>TabOceanet[[#This Row],[isCalcIpPub]]*TabOceanet[[#This Row],[Nb_article]]*Tarif_IPPUB</f>
        <v>0</v>
      </c>
      <c r="W60" s="5">
        <f>IF(TabOceanet[[#This Row],[Type_tarif]]="Tarif_DNS",1,0)</f>
        <v>0</v>
      </c>
      <c r="X60" s="5">
        <f>TabOceanet[[#This Row],[isCalcDns]]*TabOceanet[[#This Row],[Nb_article]]*Tarif_DNS</f>
        <v>0</v>
      </c>
      <c r="Y60" s="5">
        <f>IF(TabOceanet[[#This Row],[Type_tarif]]="Tarif_Certificat_X509_Simple",1,0)</f>
        <v>0</v>
      </c>
      <c r="Z60" s="5">
        <f>TabOceanet[[#This Row],[isCalcCertSimple]]*TabOceanet[[#This Row],[Nb_article]]*Tarif_Certificat_X509_Simple</f>
        <v>0</v>
      </c>
      <c r="AA60" s="5">
        <f>IF(TabOceanet[[#This Row],[Type_tarif]]="Tarif_Certificat_X509_Wildcard",1,0)</f>
        <v>0</v>
      </c>
      <c r="AB60" s="5">
        <f>TabOceanet[[#This Row],[isCalcCertWild]]*TabOceanet[[#This Row],[Nb_article]]*Tarif_Certificat_X509_Wildcard</f>
        <v>0</v>
      </c>
      <c r="AC60" s="5">
        <f>IF(TabOceanet[[#This Row],[Type_tarif]]="Tarif_Astreinte_24_24_7_7",1,0)</f>
        <v>0</v>
      </c>
      <c r="AD60" s="5">
        <f>TabOceanet[[#This Row],[isCalcAstreinte247]]*TabOceanet[[#This Row],[Nb_article]]*Tarif_Astreinte_24_24_7_7</f>
        <v>0</v>
      </c>
      <c r="AE60" s="5">
        <f>IF(TabOceanet[[#This Row],[VM_status]]="PoweredOn",1,0)</f>
        <v>1</v>
      </c>
      <c r="AF60" s="17">
        <f>TabOceanet[[#This Row],[VM_mem]]*Tarif_Ram</f>
        <v>6.4</v>
      </c>
      <c r="AG60" s="5" t="str">
        <f>MID(TabOceanet[[#This Row],[Backup]],29,20)</f>
        <v>J15_1</v>
      </c>
      <c r="AH60" s="25">
        <f>IF(LEFT(TabOceanet[[#This Row],[TypeBAK]],3)="HOR",Tarif_Backup_Horaire*TabOceanet[[#This Row],[VM_disk]],IF(LEFT(TabOceanet[[#This Row],[TypeBAK]],3)="J15",Tarif_Backup_J15*TabOceanet[[#This Row],[VM_disk]],IF(LEFT(TabOceanet[[#This Row],[TypeBAK]],3)="H1_",Tarif_Backup_J15*TabOceanet[[#This Row],[VM_disk]],0)))</f>
        <v>6.9</v>
      </c>
      <c r="AI60" s="17">
        <f>TabOceanet[[#This Row],[VM_disk]]*Tarif_disque</f>
        <v>0</v>
      </c>
      <c r="AJ60"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13.3</v>
      </c>
    </row>
    <row r="61" spans="1:36" x14ac:dyDescent="0.25">
      <c r="A61" t="s">
        <v>1240</v>
      </c>
      <c r="B61">
        <v>4</v>
      </c>
      <c r="C61">
        <v>2</v>
      </c>
      <c r="D61">
        <v>75</v>
      </c>
      <c r="E61" t="s">
        <v>428</v>
      </c>
      <c r="G61" t="s">
        <v>1273</v>
      </c>
      <c r="H61" t="s">
        <v>1274</v>
      </c>
      <c r="I61" t="s">
        <v>419</v>
      </c>
      <c r="J61" t="s">
        <v>414</v>
      </c>
      <c r="K61" t="s">
        <v>408</v>
      </c>
      <c r="L61" t="s">
        <v>410</v>
      </c>
      <c r="M61" t="s">
        <v>1322</v>
      </c>
      <c r="N61" t="s">
        <v>412</v>
      </c>
      <c r="O61">
        <v>10006791</v>
      </c>
      <c r="P61" t="s">
        <v>413</v>
      </c>
      <c r="Q61" s="5">
        <f>VLOOKUP(TabOceanet[VM_name],TabVMEnv[],3,FALSE)</f>
        <v>0</v>
      </c>
      <c r="R61" s="5" t="str">
        <f>IF(VLOOKUP(TabOceanet[VM_name],TabVMEnv[],2,FALSE) = "","Non","")</f>
        <v/>
      </c>
      <c r="S61" s="5">
        <f>IF(TabOceanet[[#This Row],[Type_tarif]]="Tarif_VLAN",1,0)</f>
        <v>0</v>
      </c>
      <c r="T61" s="5">
        <f>TabOceanet[[#This Row],[isCalcVlan]]*TabOceanet[[#This Row],[Nb_article]]*Tarif_VLAN</f>
        <v>0</v>
      </c>
      <c r="U61" s="5">
        <f>IF(TabOceanet[[#This Row],[Type_tarif]]="Tarif_IPPUB",1,0)</f>
        <v>0</v>
      </c>
      <c r="V61" s="5">
        <f>TabOceanet[[#This Row],[isCalcIpPub]]*TabOceanet[[#This Row],[Nb_article]]*Tarif_IPPUB</f>
        <v>0</v>
      </c>
      <c r="W61" s="5">
        <f>IF(TabOceanet[[#This Row],[Type_tarif]]="Tarif_DNS",1,0)</f>
        <v>0</v>
      </c>
      <c r="X61" s="5">
        <f>TabOceanet[[#This Row],[isCalcDns]]*TabOceanet[[#This Row],[Nb_article]]*Tarif_DNS</f>
        <v>0</v>
      </c>
      <c r="Y61" s="5">
        <f>IF(TabOceanet[[#This Row],[Type_tarif]]="Tarif_Certificat_X509_Simple",1,0)</f>
        <v>0</v>
      </c>
      <c r="Z61" s="5">
        <f>TabOceanet[[#This Row],[isCalcCertSimple]]*TabOceanet[[#This Row],[Nb_article]]*Tarif_Certificat_X509_Simple</f>
        <v>0</v>
      </c>
      <c r="AA61" s="5">
        <f>IF(TabOceanet[[#This Row],[Type_tarif]]="Tarif_Certificat_X509_Wildcard",1,0)</f>
        <v>0</v>
      </c>
      <c r="AB61" s="5">
        <f>TabOceanet[[#This Row],[isCalcCertWild]]*TabOceanet[[#This Row],[Nb_article]]*Tarif_Certificat_X509_Wildcard</f>
        <v>0</v>
      </c>
      <c r="AC61" s="5">
        <f>IF(TabOceanet[[#This Row],[Type_tarif]]="Tarif_Astreinte_24_24_7_7",1,0)</f>
        <v>0</v>
      </c>
      <c r="AD61" s="5">
        <f>TabOceanet[[#This Row],[isCalcAstreinte247]]*TabOceanet[[#This Row],[Nb_article]]*Tarif_Astreinte_24_24_7_7</f>
        <v>0</v>
      </c>
      <c r="AE61" s="5">
        <f>IF(TabOceanet[[#This Row],[VM_status]]="PoweredOn",1,0)</f>
        <v>1</v>
      </c>
      <c r="AF61" s="17">
        <f>TabOceanet[[#This Row],[VM_mem]]*Tarif_Ram</f>
        <v>3.2</v>
      </c>
      <c r="AG61" s="5" t="str">
        <f>MID(TabOceanet[[#This Row],[Backup]],29,20)</f>
        <v>J15_1</v>
      </c>
      <c r="AH61" s="25">
        <f>IF(LEFT(TabOceanet[[#This Row],[TypeBAK]],3)="HOR",Tarif_Backup_Horaire*TabOceanet[[#This Row],[VM_disk]],IF(LEFT(TabOceanet[[#This Row],[TypeBAK]],3)="J15",Tarif_Backup_J15*TabOceanet[[#This Row],[VM_disk]],IF(LEFT(TabOceanet[[#This Row],[TypeBAK]],3)="H1_",Tarif_Backup_J15*TabOceanet[[#This Row],[VM_disk]],0)))</f>
        <v>17.25</v>
      </c>
      <c r="AI61" s="17">
        <f>TabOceanet[[#This Row],[VM_disk]]*Tarif_disque</f>
        <v>0</v>
      </c>
      <c r="AJ61"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20.45</v>
      </c>
    </row>
    <row r="62" spans="1:36" x14ac:dyDescent="0.25">
      <c r="A62" t="s">
        <v>194</v>
      </c>
      <c r="B62">
        <v>4</v>
      </c>
      <c r="C62">
        <v>4</v>
      </c>
      <c r="D62">
        <v>285</v>
      </c>
      <c r="E62" t="s">
        <v>432</v>
      </c>
      <c r="G62" t="s">
        <v>1275</v>
      </c>
      <c r="H62" t="s">
        <v>1274</v>
      </c>
      <c r="I62" t="s">
        <v>419</v>
      </c>
      <c r="J62" t="s">
        <v>414</v>
      </c>
      <c r="K62" t="s">
        <v>408</v>
      </c>
      <c r="L62" t="s">
        <v>410</v>
      </c>
      <c r="M62" t="s">
        <v>430</v>
      </c>
      <c r="N62" t="s">
        <v>412</v>
      </c>
      <c r="O62">
        <v>10006791</v>
      </c>
      <c r="P62" t="s">
        <v>413</v>
      </c>
      <c r="Q62" s="5">
        <f>VLOOKUP(TabOceanet[VM_name],TabVMEnv[],3,FALSE)</f>
        <v>0</v>
      </c>
      <c r="R62" s="5" t="str">
        <f>IF(VLOOKUP(TabOceanet[VM_name],TabVMEnv[],2,FALSE) = "","Non","")</f>
        <v/>
      </c>
      <c r="S62" s="5">
        <f>IF(TabOceanet[[#This Row],[Type_tarif]]="Tarif_VLAN",1,0)</f>
        <v>0</v>
      </c>
      <c r="T62" s="5">
        <f>TabOceanet[[#This Row],[isCalcVlan]]*TabOceanet[[#This Row],[Nb_article]]*Tarif_VLAN</f>
        <v>0</v>
      </c>
      <c r="U62" s="5">
        <f>IF(TabOceanet[[#This Row],[Type_tarif]]="Tarif_IPPUB",1,0)</f>
        <v>0</v>
      </c>
      <c r="V62" s="5">
        <f>TabOceanet[[#This Row],[isCalcIpPub]]*TabOceanet[[#This Row],[Nb_article]]*Tarif_IPPUB</f>
        <v>0</v>
      </c>
      <c r="W62" s="5">
        <f>IF(TabOceanet[[#This Row],[Type_tarif]]="Tarif_DNS",1,0)</f>
        <v>0</v>
      </c>
      <c r="X62" s="5">
        <f>TabOceanet[[#This Row],[isCalcDns]]*TabOceanet[[#This Row],[Nb_article]]*Tarif_DNS</f>
        <v>0</v>
      </c>
      <c r="Y62" s="5">
        <f>IF(TabOceanet[[#This Row],[Type_tarif]]="Tarif_Certificat_X509_Simple",1,0)</f>
        <v>0</v>
      </c>
      <c r="Z62" s="5">
        <f>TabOceanet[[#This Row],[isCalcCertSimple]]*TabOceanet[[#This Row],[Nb_article]]*Tarif_Certificat_X509_Simple</f>
        <v>0</v>
      </c>
      <c r="AA62" s="5">
        <f>IF(TabOceanet[[#This Row],[Type_tarif]]="Tarif_Certificat_X509_Wildcard",1,0)</f>
        <v>0</v>
      </c>
      <c r="AB62" s="5">
        <f>TabOceanet[[#This Row],[isCalcCertWild]]*TabOceanet[[#This Row],[Nb_article]]*Tarif_Certificat_X509_Wildcard</f>
        <v>0</v>
      </c>
      <c r="AC62" s="5">
        <f>IF(TabOceanet[[#This Row],[Type_tarif]]="Tarif_Astreinte_24_24_7_7",1,0)</f>
        <v>0</v>
      </c>
      <c r="AD62" s="5">
        <f>TabOceanet[[#This Row],[isCalcAstreinte247]]*TabOceanet[[#This Row],[Nb_article]]*Tarif_Astreinte_24_24_7_7</f>
        <v>0</v>
      </c>
      <c r="AE62" s="5">
        <f>IF(TabOceanet[[#This Row],[VM_status]]="PoweredOn",1,0)</f>
        <v>1</v>
      </c>
      <c r="AF62" s="17">
        <f>TabOceanet[[#This Row],[VM_mem]]*Tarif_Ram</f>
        <v>6.4</v>
      </c>
      <c r="AG62" s="5" t="str">
        <f>MID(TabOceanet[[#This Row],[Backup]],29,20)</f>
        <v>J15_2</v>
      </c>
      <c r="AH62" s="25">
        <f>IF(LEFT(TabOceanet[[#This Row],[TypeBAK]],3)="HOR",Tarif_Backup_Horaire*TabOceanet[[#This Row],[VM_disk]],IF(LEFT(TabOceanet[[#This Row],[TypeBAK]],3)="J15",Tarif_Backup_J15*TabOceanet[[#This Row],[VM_disk]],IF(LEFT(TabOceanet[[#This Row],[TypeBAK]],3)="H1_",Tarif_Backup_J15*TabOceanet[[#This Row],[VM_disk]],0)))</f>
        <v>65.55</v>
      </c>
      <c r="AI62" s="17">
        <f>TabOceanet[[#This Row],[VM_disk]]*Tarif_disque</f>
        <v>0</v>
      </c>
      <c r="AJ62"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71.95</v>
      </c>
    </row>
    <row r="63" spans="1:36" x14ac:dyDescent="0.25">
      <c r="A63" t="s">
        <v>242</v>
      </c>
      <c r="B63">
        <v>1</v>
      </c>
      <c r="C63">
        <v>2</v>
      </c>
      <c r="D63">
        <v>115</v>
      </c>
      <c r="E63" t="s">
        <v>423</v>
      </c>
      <c r="G63" t="s">
        <v>1275</v>
      </c>
      <c r="H63" t="s">
        <v>1274</v>
      </c>
      <c r="I63" t="s">
        <v>419</v>
      </c>
      <c r="J63" t="s">
        <v>414</v>
      </c>
      <c r="K63" t="s">
        <v>408</v>
      </c>
      <c r="L63" t="s">
        <v>410</v>
      </c>
      <c r="M63" t="s">
        <v>420</v>
      </c>
      <c r="N63" t="s">
        <v>412</v>
      </c>
      <c r="O63">
        <v>10006791</v>
      </c>
      <c r="P63" t="s">
        <v>413</v>
      </c>
      <c r="Q63" s="5">
        <f>VLOOKUP(TabOceanet[VM_name],TabVMEnv[],3,FALSE)</f>
        <v>0</v>
      </c>
      <c r="R63" s="5" t="str">
        <f>IF(VLOOKUP(TabOceanet[VM_name],TabVMEnv[],2,FALSE) = "","Non","")</f>
        <v/>
      </c>
      <c r="S63" s="5">
        <f>IF(TabOceanet[[#This Row],[Type_tarif]]="Tarif_VLAN",1,0)</f>
        <v>0</v>
      </c>
      <c r="T63" s="5">
        <f>TabOceanet[[#This Row],[isCalcVlan]]*TabOceanet[[#This Row],[Nb_article]]*Tarif_VLAN</f>
        <v>0</v>
      </c>
      <c r="U63" s="5">
        <f>IF(TabOceanet[[#This Row],[Type_tarif]]="Tarif_IPPUB",1,0)</f>
        <v>0</v>
      </c>
      <c r="V63" s="5">
        <f>TabOceanet[[#This Row],[isCalcIpPub]]*TabOceanet[[#This Row],[Nb_article]]*Tarif_IPPUB</f>
        <v>0</v>
      </c>
      <c r="W63" s="5">
        <f>IF(TabOceanet[[#This Row],[Type_tarif]]="Tarif_DNS",1,0)</f>
        <v>0</v>
      </c>
      <c r="X63" s="5">
        <f>TabOceanet[[#This Row],[isCalcDns]]*TabOceanet[[#This Row],[Nb_article]]*Tarif_DNS</f>
        <v>0</v>
      </c>
      <c r="Y63" s="5">
        <f>IF(TabOceanet[[#This Row],[Type_tarif]]="Tarif_Certificat_X509_Simple",1,0)</f>
        <v>0</v>
      </c>
      <c r="Z63" s="5">
        <f>TabOceanet[[#This Row],[isCalcCertSimple]]*TabOceanet[[#This Row],[Nb_article]]*Tarif_Certificat_X509_Simple</f>
        <v>0</v>
      </c>
      <c r="AA63" s="5">
        <f>IF(TabOceanet[[#This Row],[Type_tarif]]="Tarif_Certificat_X509_Wildcard",1,0)</f>
        <v>0</v>
      </c>
      <c r="AB63" s="5">
        <f>TabOceanet[[#This Row],[isCalcCertWild]]*TabOceanet[[#This Row],[Nb_article]]*Tarif_Certificat_X509_Wildcard</f>
        <v>0</v>
      </c>
      <c r="AC63" s="5">
        <f>IF(TabOceanet[[#This Row],[Type_tarif]]="Tarif_Astreinte_24_24_7_7",1,0)</f>
        <v>0</v>
      </c>
      <c r="AD63" s="5">
        <f>TabOceanet[[#This Row],[isCalcAstreinte247]]*TabOceanet[[#This Row],[Nb_article]]*Tarif_Astreinte_24_24_7_7</f>
        <v>0</v>
      </c>
      <c r="AE63" s="5">
        <f>IF(TabOceanet[[#This Row],[VM_status]]="PoweredOn",1,0)</f>
        <v>1</v>
      </c>
      <c r="AF63" s="17">
        <f>TabOceanet[[#This Row],[VM_mem]]*Tarif_Ram</f>
        <v>3.2</v>
      </c>
      <c r="AG63" s="5" t="str">
        <f>MID(TabOceanet[[#This Row],[Backup]],29,20)</f>
        <v>J15_3</v>
      </c>
      <c r="AH63" s="25">
        <f>IF(LEFT(TabOceanet[[#This Row],[TypeBAK]],3)="HOR",Tarif_Backup_Horaire*TabOceanet[[#This Row],[VM_disk]],IF(LEFT(TabOceanet[[#This Row],[TypeBAK]],3)="J15",Tarif_Backup_J15*TabOceanet[[#This Row],[VM_disk]],IF(LEFT(TabOceanet[[#This Row],[TypeBAK]],3)="H1_",Tarif_Backup_J15*TabOceanet[[#This Row],[VM_disk]],0)))</f>
        <v>26.450000000000003</v>
      </c>
      <c r="AI63" s="17">
        <f>TabOceanet[[#This Row],[VM_disk]]*Tarif_disque</f>
        <v>0</v>
      </c>
      <c r="AJ63"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29.650000000000002</v>
      </c>
    </row>
    <row r="64" spans="1:36" x14ac:dyDescent="0.25">
      <c r="A64" t="s">
        <v>257</v>
      </c>
      <c r="B64">
        <v>4</v>
      </c>
      <c r="C64">
        <v>4</v>
      </c>
      <c r="D64">
        <v>23</v>
      </c>
      <c r="E64" t="s">
        <v>423</v>
      </c>
      <c r="G64" t="s">
        <v>1275</v>
      </c>
      <c r="H64" t="s">
        <v>1274</v>
      </c>
      <c r="I64" t="s">
        <v>419</v>
      </c>
      <c r="J64" t="s">
        <v>414</v>
      </c>
      <c r="K64" t="s">
        <v>408</v>
      </c>
      <c r="L64" t="s">
        <v>410</v>
      </c>
      <c r="M64" t="s">
        <v>420</v>
      </c>
      <c r="N64" t="s">
        <v>412</v>
      </c>
      <c r="O64">
        <v>10006791</v>
      </c>
      <c r="P64" t="s">
        <v>413</v>
      </c>
      <c r="Q64" s="5">
        <f>VLOOKUP(TabOceanet[VM_name],TabVMEnv[],3,FALSE)</f>
        <v>0</v>
      </c>
      <c r="R64" s="5" t="str">
        <f>IF(VLOOKUP(TabOceanet[VM_name],TabVMEnv[],2,FALSE) = "","Non","")</f>
        <v/>
      </c>
      <c r="S64" s="5">
        <f>IF(TabOceanet[[#This Row],[Type_tarif]]="Tarif_VLAN",1,0)</f>
        <v>0</v>
      </c>
      <c r="T64" s="5">
        <f>TabOceanet[[#This Row],[isCalcVlan]]*TabOceanet[[#This Row],[Nb_article]]*Tarif_VLAN</f>
        <v>0</v>
      </c>
      <c r="U64" s="5">
        <f>IF(TabOceanet[[#This Row],[Type_tarif]]="Tarif_IPPUB",1,0)</f>
        <v>0</v>
      </c>
      <c r="V64" s="5">
        <f>TabOceanet[[#This Row],[isCalcIpPub]]*TabOceanet[[#This Row],[Nb_article]]*Tarif_IPPUB</f>
        <v>0</v>
      </c>
      <c r="W64" s="5">
        <f>IF(TabOceanet[[#This Row],[Type_tarif]]="Tarif_DNS",1,0)</f>
        <v>0</v>
      </c>
      <c r="X64" s="5">
        <f>TabOceanet[[#This Row],[isCalcDns]]*TabOceanet[[#This Row],[Nb_article]]*Tarif_DNS</f>
        <v>0</v>
      </c>
      <c r="Y64" s="5">
        <f>IF(TabOceanet[[#This Row],[Type_tarif]]="Tarif_Certificat_X509_Simple",1,0)</f>
        <v>0</v>
      </c>
      <c r="Z64" s="5">
        <f>TabOceanet[[#This Row],[isCalcCertSimple]]*TabOceanet[[#This Row],[Nb_article]]*Tarif_Certificat_X509_Simple</f>
        <v>0</v>
      </c>
      <c r="AA64" s="5">
        <f>IF(TabOceanet[[#This Row],[Type_tarif]]="Tarif_Certificat_X509_Wildcard",1,0)</f>
        <v>0</v>
      </c>
      <c r="AB64" s="5">
        <f>TabOceanet[[#This Row],[isCalcCertWild]]*TabOceanet[[#This Row],[Nb_article]]*Tarif_Certificat_X509_Wildcard</f>
        <v>0</v>
      </c>
      <c r="AC64" s="5">
        <f>IF(TabOceanet[[#This Row],[Type_tarif]]="Tarif_Astreinte_24_24_7_7",1,0)</f>
        <v>0</v>
      </c>
      <c r="AD64" s="5">
        <f>TabOceanet[[#This Row],[isCalcAstreinte247]]*TabOceanet[[#This Row],[Nb_article]]*Tarif_Astreinte_24_24_7_7</f>
        <v>0</v>
      </c>
      <c r="AE64" s="5">
        <f>IF(TabOceanet[[#This Row],[VM_status]]="PoweredOn",1,0)</f>
        <v>1</v>
      </c>
      <c r="AF64" s="17">
        <f>TabOceanet[[#This Row],[VM_mem]]*Tarif_Ram</f>
        <v>6.4</v>
      </c>
      <c r="AG64" s="5" t="str">
        <f>MID(TabOceanet[[#This Row],[Backup]],29,20)</f>
        <v>J15_3</v>
      </c>
      <c r="AH64" s="25">
        <f>IF(LEFT(TabOceanet[[#This Row],[TypeBAK]],3)="HOR",Tarif_Backup_Horaire*TabOceanet[[#This Row],[VM_disk]],IF(LEFT(TabOceanet[[#This Row],[TypeBAK]],3)="J15",Tarif_Backup_J15*TabOceanet[[#This Row],[VM_disk]],IF(LEFT(TabOceanet[[#This Row],[TypeBAK]],3)="H1_",Tarif_Backup_J15*TabOceanet[[#This Row],[VM_disk]],0)))</f>
        <v>5.29</v>
      </c>
      <c r="AI64" s="17">
        <f>TabOceanet[[#This Row],[VM_disk]]*Tarif_disque</f>
        <v>0</v>
      </c>
      <c r="AJ64"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11.690000000000001</v>
      </c>
    </row>
    <row r="65" spans="1:36" x14ac:dyDescent="0.25">
      <c r="A65" t="s">
        <v>181</v>
      </c>
      <c r="B65">
        <v>1</v>
      </c>
      <c r="C65">
        <v>1</v>
      </c>
      <c r="D65">
        <v>21</v>
      </c>
      <c r="E65" t="s">
        <v>426</v>
      </c>
      <c r="G65" t="s">
        <v>1275</v>
      </c>
      <c r="H65" t="s">
        <v>1274</v>
      </c>
      <c r="I65" t="s">
        <v>419</v>
      </c>
      <c r="J65" t="s">
        <v>414</v>
      </c>
      <c r="K65" t="s">
        <v>408</v>
      </c>
      <c r="L65" t="s">
        <v>410</v>
      </c>
      <c r="M65" t="s">
        <v>1322</v>
      </c>
      <c r="N65" t="s">
        <v>412</v>
      </c>
      <c r="O65">
        <v>10006791</v>
      </c>
      <c r="P65" t="s">
        <v>413</v>
      </c>
      <c r="Q65" s="5">
        <f>VLOOKUP(TabOceanet[VM_name],TabVMEnv[],3,FALSE)</f>
        <v>0</v>
      </c>
      <c r="R65" s="5" t="str">
        <f>IF(VLOOKUP(TabOceanet[VM_name],TabVMEnv[],2,FALSE) = "","Non","")</f>
        <v/>
      </c>
      <c r="S65" s="5">
        <f>IF(TabOceanet[[#This Row],[Type_tarif]]="Tarif_VLAN",1,0)</f>
        <v>0</v>
      </c>
      <c r="T65" s="5">
        <f>TabOceanet[[#This Row],[isCalcVlan]]*TabOceanet[[#This Row],[Nb_article]]*Tarif_VLAN</f>
        <v>0</v>
      </c>
      <c r="U65" s="5">
        <f>IF(TabOceanet[[#This Row],[Type_tarif]]="Tarif_IPPUB",1,0)</f>
        <v>0</v>
      </c>
      <c r="V65" s="5">
        <f>TabOceanet[[#This Row],[isCalcIpPub]]*TabOceanet[[#This Row],[Nb_article]]*Tarif_IPPUB</f>
        <v>0</v>
      </c>
      <c r="W65" s="5">
        <f>IF(TabOceanet[[#This Row],[Type_tarif]]="Tarif_DNS",1,0)</f>
        <v>0</v>
      </c>
      <c r="X65" s="5">
        <f>TabOceanet[[#This Row],[isCalcDns]]*TabOceanet[[#This Row],[Nb_article]]*Tarif_DNS</f>
        <v>0</v>
      </c>
      <c r="Y65" s="5">
        <f>IF(TabOceanet[[#This Row],[Type_tarif]]="Tarif_Certificat_X509_Simple",1,0)</f>
        <v>0</v>
      </c>
      <c r="Z65" s="5">
        <f>TabOceanet[[#This Row],[isCalcCertSimple]]*TabOceanet[[#This Row],[Nb_article]]*Tarif_Certificat_X509_Simple</f>
        <v>0</v>
      </c>
      <c r="AA65" s="5">
        <f>IF(TabOceanet[[#This Row],[Type_tarif]]="Tarif_Certificat_X509_Wildcard",1,0)</f>
        <v>0</v>
      </c>
      <c r="AB65" s="5">
        <f>TabOceanet[[#This Row],[isCalcCertWild]]*TabOceanet[[#This Row],[Nb_article]]*Tarif_Certificat_X509_Wildcard</f>
        <v>0</v>
      </c>
      <c r="AC65" s="5">
        <f>IF(TabOceanet[[#This Row],[Type_tarif]]="Tarif_Astreinte_24_24_7_7",1,0)</f>
        <v>0</v>
      </c>
      <c r="AD65" s="5">
        <f>TabOceanet[[#This Row],[isCalcAstreinte247]]*TabOceanet[[#This Row],[Nb_article]]*Tarif_Astreinte_24_24_7_7</f>
        <v>0</v>
      </c>
      <c r="AE65" s="5">
        <f>IF(TabOceanet[[#This Row],[VM_status]]="PoweredOn",1,0)</f>
        <v>1</v>
      </c>
      <c r="AF65" s="17">
        <f>TabOceanet[[#This Row],[VM_mem]]*Tarif_Ram</f>
        <v>1.6</v>
      </c>
      <c r="AG65" s="5" t="str">
        <f>MID(TabOceanet[[#This Row],[Backup]],29,20)</f>
        <v>J15_1</v>
      </c>
      <c r="AH65" s="25">
        <f>IF(LEFT(TabOceanet[[#This Row],[TypeBAK]],3)="HOR",Tarif_Backup_Horaire*TabOceanet[[#This Row],[VM_disk]],IF(LEFT(TabOceanet[[#This Row],[TypeBAK]],3)="J15",Tarif_Backup_J15*TabOceanet[[#This Row],[VM_disk]],IF(LEFT(TabOceanet[[#This Row],[TypeBAK]],3)="H1_",Tarif_Backup_J15*TabOceanet[[#This Row],[VM_disk]],0)))</f>
        <v>4.83</v>
      </c>
      <c r="AI65" s="17">
        <f>TabOceanet[[#This Row],[VM_disk]]*Tarif_disque</f>
        <v>0</v>
      </c>
      <c r="AJ65"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6.43</v>
      </c>
    </row>
    <row r="66" spans="1:36" x14ac:dyDescent="0.25">
      <c r="A66" t="s">
        <v>168</v>
      </c>
      <c r="B66">
        <v>1</v>
      </c>
      <c r="C66">
        <v>2</v>
      </c>
      <c r="D66">
        <v>20</v>
      </c>
      <c r="E66" t="s">
        <v>423</v>
      </c>
      <c r="G66" t="s">
        <v>1273</v>
      </c>
      <c r="H66" t="s">
        <v>1274</v>
      </c>
      <c r="I66" t="s">
        <v>419</v>
      </c>
      <c r="J66" t="s">
        <v>414</v>
      </c>
      <c r="K66" t="s">
        <v>408</v>
      </c>
      <c r="L66" t="s">
        <v>410</v>
      </c>
      <c r="M66" t="s">
        <v>420</v>
      </c>
      <c r="N66" t="s">
        <v>412</v>
      </c>
      <c r="O66">
        <v>10006791</v>
      </c>
      <c r="P66" t="s">
        <v>413</v>
      </c>
      <c r="Q66" s="5">
        <f>VLOOKUP(TabOceanet[VM_name],TabVMEnv[],3,FALSE)</f>
        <v>0</v>
      </c>
      <c r="R66" s="5" t="str">
        <f>IF(VLOOKUP(TabOceanet[VM_name],TabVMEnv[],2,FALSE) = "","Non","")</f>
        <v/>
      </c>
      <c r="S66" s="5">
        <f>IF(TabOceanet[[#This Row],[Type_tarif]]="Tarif_VLAN",1,0)</f>
        <v>0</v>
      </c>
      <c r="T66" s="5">
        <f>TabOceanet[[#This Row],[isCalcVlan]]*TabOceanet[[#This Row],[Nb_article]]*Tarif_VLAN</f>
        <v>0</v>
      </c>
      <c r="U66" s="5">
        <f>IF(TabOceanet[[#This Row],[Type_tarif]]="Tarif_IPPUB",1,0)</f>
        <v>0</v>
      </c>
      <c r="V66" s="5">
        <f>TabOceanet[[#This Row],[isCalcIpPub]]*TabOceanet[[#This Row],[Nb_article]]*Tarif_IPPUB</f>
        <v>0</v>
      </c>
      <c r="W66" s="5">
        <f>IF(TabOceanet[[#This Row],[Type_tarif]]="Tarif_DNS",1,0)</f>
        <v>0</v>
      </c>
      <c r="X66" s="5">
        <f>TabOceanet[[#This Row],[isCalcDns]]*TabOceanet[[#This Row],[Nb_article]]*Tarif_DNS</f>
        <v>0</v>
      </c>
      <c r="Y66" s="5">
        <f>IF(TabOceanet[[#This Row],[Type_tarif]]="Tarif_Certificat_X509_Simple",1,0)</f>
        <v>0</v>
      </c>
      <c r="Z66" s="5">
        <f>TabOceanet[[#This Row],[isCalcCertSimple]]*TabOceanet[[#This Row],[Nb_article]]*Tarif_Certificat_X509_Simple</f>
        <v>0</v>
      </c>
      <c r="AA66" s="5">
        <f>IF(TabOceanet[[#This Row],[Type_tarif]]="Tarif_Certificat_X509_Wildcard",1,0)</f>
        <v>0</v>
      </c>
      <c r="AB66" s="5">
        <f>TabOceanet[[#This Row],[isCalcCertWild]]*TabOceanet[[#This Row],[Nb_article]]*Tarif_Certificat_X509_Wildcard</f>
        <v>0</v>
      </c>
      <c r="AC66" s="5">
        <f>IF(TabOceanet[[#This Row],[Type_tarif]]="Tarif_Astreinte_24_24_7_7",1,0)</f>
        <v>0</v>
      </c>
      <c r="AD66" s="5">
        <f>TabOceanet[[#This Row],[isCalcAstreinte247]]*TabOceanet[[#This Row],[Nb_article]]*Tarif_Astreinte_24_24_7_7</f>
        <v>0</v>
      </c>
      <c r="AE66" s="5">
        <f>IF(TabOceanet[[#This Row],[VM_status]]="PoweredOn",1,0)</f>
        <v>1</v>
      </c>
      <c r="AF66" s="17">
        <f>TabOceanet[[#This Row],[VM_mem]]*Tarif_Ram</f>
        <v>3.2</v>
      </c>
      <c r="AG66" s="5" t="str">
        <f>MID(TabOceanet[[#This Row],[Backup]],29,20)</f>
        <v>J15_3</v>
      </c>
      <c r="AH66" s="25">
        <f>IF(LEFT(TabOceanet[[#This Row],[TypeBAK]],3)="HOR",Tarif_Backup_Horaire*TabOceanet[[#This Row],[VM_disk]],IF(LEFT(TabOceanet[[#This Row],[TypeBAK]],3)="J15",Tarif_Backup_J15*TabOceanet[[#This Row],[VM_disk]],IF(LEFT(TabOceanet[[#This Row],[TypeBAK]],3)="H1_",Tarif_Backup_J15*TabOceanet[[#This Row],[VM_disk]],0)))</f>
        <v>4.6000000000000005</v>
      </c>
      <c r="AI66" s="17">
        <f>TabOceanet[[#This Row],[VM_disk]]*Tarif_disque</f>
        <v>0</v>
      </c>
      <c r="AJ66"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7.8000000000000007</v>
      </c>
    </row>
    <row r="67" spans="1:36" x14ac:dyDescent="0.25">
      <c r="A67" t="s">
        <v>169</v>
      </c>
      <c r="B67">
        <v>4</v>
      </c>
      <c r="C67">
        <v>6</v>
      </c>
      <c r="D67">
        <v>220</v>
      </c>
      <c r="E67" t="s">
        <v>418</v>
      </c>
      <c r="G67" t="s">
        <v>1273</v>
      </c>
      <c r="H67" t="s">
        <v>1274</v>
      </c>
      <c r="I67" t="s">
        <v>419</v>
      </c>
      <c r="J67" t="s">
        <v>414</v>
      </c>
      <c r="K67" t="s">
        <v>408</v>
      </c>
      <c r="L67" t="s">
        <v>410</v>
      </c>
      <c r="M67" t="s">
        <v>420</v>
      </c>
      <c r="N67" t="s">
        <v>412</v>
      </c>
      <c r="O67">
        <v>10006791</v>
      </c>
      <c r="P67" t="s">
        <v>413</v>
      </c>
      <c r="Q67" s="5">
        <f>VLOOKUP(TabOceanet[VM_name],TabVMEnv[],3,FALSE)</f>
        <v>0</v>
      </c>
      <c r="R67" s="5" t="str">
        <f>IF(VLOOKUP(TabOceanet[VM_name],TabVMEnv[],2,FALSE) = "","Non","")</f>
        <v/>
      </c>
      <c r="S67" s="5">
        <f>IF(TabOceanet[[#This Row],[Type_tarif]]="Tarif_VLAN",1,0)</f>
        <v>0</v>
      </c>
      <c r="T67" s="5">
        <f>TabOceanet[[#This Row],[isCalcVlan]]*TabOceanet[[#This Row],[Nb_article]]*Tarif_VLAN</f>
        <v>0</v>
      </c>
      <c r="U67" s="5">
        <f>IF(TabOceanet[[#This Row],[Type_tarif]]="Tarif_IPPUB",1,0)</f>
        <v>0</v>
      </c>
      <c r="V67" s="5">
        <f>TabOceanet[[#This Row],[isCalcIpPub]]*TabOceanet[[#This Row],[Nb_article]]*Tarif_IPPUB</f>
        <v>0</v>
      </c>
      <c r="W67" s="5">
        <f>IF(TabOceanet[[#This Row],[Type_tarif]]="Tarif_DNS",1,0)</f>
        <v>0</v>
      </c>
      <c r="X67" s="5">
        <f>TabOceanet[[#This Row],[isCalcDns]]*TabOceanet[[#This Row],[Nb_article]]*Tarif_DNS</f>
        <v>0</v>
      </c>
      <c r="Y67" s="5">
        <f>IF(TabOceanet[[#This Row],[Type_tarif]]="Tarif_Certificat_X509_Simple",1,0)</f>
        <v>0</v>
      </c>
      <c r="Z67" s="5">
        <f>TabOceanet[[#This Row],[isCalcCertSimple]]*TabOceanet[[#This Row],[Nb_article]]*Tarif_Certificat_X509_Simple</f>
        <v>0</v>
      </c>
      <c r="AA67" s="5">
        <f>IF(TabOceanet[[#This Row],[Type_tarif]]="Tarif_Certificat_X509_Wildcard",1,0)</f>
        <v>0</v>
      </c>
      <c r="AB67" s="5">
        <f>TabOceanet[[#This Row],[isCalcCertWild]]*TabOceanet[[#This Row],[Nb_article]]*Tarif_Certificat_X509_Wildcard</f>
        <v>0</v>
      </c>
      <c r="AC67" s="5">
        <f>IF(TabOceanet[[#This Row],[Type_tarif]]="Tarif_Astreinte_24_24_7_7",1,0)</f>
        <v>0</v>
      </c>
      <c r="AD67" s="5">
        <f>TabOceanet[[#This Row],[isCalcAstreinte247]]*TabOceanet[[#This Row],[Nb_article]]*Tarif_Astreinte_24_24_7_7</f>
        <v>0</v>
      </c>
      <c r="AE67" s="5">
        <f>IF(TabOceanet[[#This Row],[VM_status]]="PoweredOn",1,0)</f>
        <v>1</v>
      </c>
      <c r="AF67" s="17">
        <f>TabOceanet[[#This Row],[VM_mem]]*Tarif_Ram</f>
        <v>9.6000000000000014</v>
      </c>
      <c r="AG67" s="5" t="str">
        <f>MID(TabOceanet[[#This Row],[Backup]],29,20)</f>
        <v>J15_3</v>
      </c>
      <c r="AH67" s="25">
        <f>IF(LEFT(TabOceanet[[#This Row],[TypeBAK]],3)="HOR",Tarif_Backup_Horaire*TabOceanet[[#This Row],[VM_disk]],IF(LEFT(TabOceanet[[#This Row],[TypeBAK]],3)="J15",Tarif_Backup_J15*TabOceanet[[#This Row],[VM_disk]],IF(LEFT(TabOceanet[[#This Row],[TypeBAK]],3)="H1_",Tarif_Backup_J15*TabOceanet[[#This Row],[VM_disk]],0)))</f>
        <v>50.6</v>
      </c>
      <c r="AI67" s="17">
        <f>TabOceanet[[#This Row],[VM_disk]]*Tarif_disque</f>
        <v>0</v>
      </c>
      <c r="AJ67"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60.2</v>
      </c>
    </row>
    <row r="68" spans="1:36" x14ac:dyDescent="0.25">
      <c r="A68" t="s">
        <v>259</v>
      </c>
      <c r="B68">
        <v>1</v>
      </c>
      <c r="C68">
        <v>2</v>
      </c>
      <c r="D68">
        <v>40</v>
      </c>
      <c r="E68" t="s">
        <v>427</v>
      </c>
      <c r="G68" t="s">
        <v>1273</v>
      </c>
      <c r="H68" t="s">
        <v>1274</v>
      </c>
      <c r="I68" t="s">
        <v>419</v>
      </c>
      <c r="J68" t="s">
        <v>414</v>
      </c>
      <c r="K68" t="s">
        <v>408</v>
      </c>
      <c r="L68" t="s">
        <v>410</v>
      </c>
      <c r="M68" t="s">
        <v>420</v>
      </c>
      <c r="N68" t="s">
        <v>412</v>
      </c>
      <c r="O68">
        <v>10006791</v>
      </c>
      <c r="P68" t="s">
        <v>413</v>
      </c>
      <c r="Q68" s="5">
        <f>VLOOKUP(TabOceanet[VM_name],TabVMEnv[],3,FALSE)</f>
        <v>0</v>
      </c>
      <c r="R68" s="5" t="str">
        <f>IF(VLOOKUP(TabOceanet[VM_name],TabVMEnv[],2,FALSE) = "","Non","")</f>
        <v/>
      </c>
      <c r="S68" s="5">
        <f>IF(TabOceanet[[#This Row],[Type_tarif]]="Tarif_VLAN",1,0)</f>
        <v>0</v>
      </c>
      <c r="T68" s="5">
        <f>TabOceanet[[#This Row],[isCalcVlan]]*TabOceanet[[#This Row],[Nb_article]]*Tarif_VLAN</f>
        <v>0</v>
      </c>
      <c r="U68" s="5">
        <f>IF(TabOceanet[[#This Row],[Type_tarif]]="Tarif_IPPUB",1,0)</f>
        <v>0</v>
      </c>
      <c r="V68" s="5">
        <f>TabOceanet[[#This Row],[isCalcIpPub]]*TabOceanet[[#This Row],[Nb_article]]*Tarif_IPPUB</f>
        <v>0</v>
      </c>
      <c r="W68" s="5">
        <f>IF(TabOceanet[[#This Row],[Type_tarif]]="Tarif_DNS",1,0)</f>
        <v>0</v>
      </c>
      <c r="X68" s="5">
        <f>TabOceanet[[#This Row],[isCalcDns]]*TabOceanet[[#This Row],[Nb_article]]*Tarif_DNS</f>
        <v>0</v>
      </c>
      <c r="Y68" s="5">
        <f>IF(TabOceanet[[#This Row],[Type_tarif]]="Tarif_Certificat_X509_Simple",1,0)</f>
        <v>0</v>
      </c>
      <c r="Z68" s="5">
        <f>TabOceanet[[#This Row],[isCalcCertSimple]]*TabOceanet[[#This Row],[Nb_article]]*Tarif_Certificat_X509_Simple</f>
        <v>0</v>
      </c>
      <c r="AA68" s="5">
        <f>IF(TabOceanet[[#This Row],[Type_tarif]]="Tarif_Certificat_X509_Wildcard",1,0)</f>
        <v>0</v>
      </c>
      <c r="AB68" s="5">
        <f>TabOceanet[[#This Row],[isCalcCertWild]]*TabOceanet[[#This Row],[Nb_article]]*Tarif_Certificat_X509_Wildcard</f>
        <v>0</v>
      </c>
      <c r="AC68" s="5">
        <f>IF(TabOceanet[[#This Row],[Type_tarif]]="Tarif_Astreinte_24_24_7_7",1,0)</f>
        <v>0</v>
      </c>
      <c r="AD68" s="5">
        <f>TabOceanet[[#This Row],[isCalcAstreinte247]]*TabOceanet[[#This Row],[Nb_article]]*Tarif_Astreinte_24_24_7_7</f>
        <v>0</v>
      </c>
      <c r="AE68" s="5">
        <f>IF(TabOceanet[[#This Row],[VM_status]]="PoweredOn",1,0)</f>
        <v>1</v>
      </c>
      <c r="AF68" s="17">
        <f>TabOceanet[[#This Row],[VM_mem]]*Tarif_Ram</f>
        <v>3.2</v>
      </c>
      <c r="AG68" s="5" t="str">
        <f>MID(TabOceanet[[#This Row],[Backup]],29,20)</f>
        <v>J15_3</v>
      </c>
      <c r="AH68" s="25">
        <f>IF(LEFT(TabOceanet[[#This Row],[TypeBAK]],3)="HOR",Tarif_Backup_Horaire*TabOceanet[[#This Row],[VM_disk]],IF(LEFT(TabOceanet[[#This Row],[TypeBAK]],3)="J15",Tarif_Backup_J15*TabOceanet[[#This Row],[VM_disk]],IF(LEFT(TabOceanet[[#This Row],[TypeBAK]],3)="H1_",Tarif_Backup_J15*TabOceanet[[#This Row],[VM_disk]],0)))</f>
        <v>9.2000000000000011</v>
      </c>
      <c r="AI68" s="17">
        <f>TabOceanet[[#This Row],[VM_disk]]*Tarif_disque</f>
        <v>0</v>
      </c>
      <c r="AJ68"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12.400000000000002</v>
      </c>
    </row>
    <row r="69" spans="1:36" x14ac:dyDescent="0.25">
      <c r="A69" t="s">
        <v>196</v>
      </c>
      <c r="B69">
        <v>2</v>
      </c>
      <c r="C69">
        <v>2</v>
      </c>
      <c r="D69">
        <v>50</v>
      </c>
      <c r="E69" t="s">
        <v>427</v>
      </c>
      <c r="G69" t="s">
        <v>1275</v>
      </c>
      <c r="H69" t="s">
        <v>1274</v>
      </c>
      <c r="I69" t="s">
        <v>419</v>
      </c>
      <c r="J69" t="s">
        <v>414</v>
      </c>
      <c r="K69" t="s">
        <v>408</v>
      </c>
      <c r="L69" t="s">
        <v>410</v>
      </c>
      <c r="M69" t="s">
        <v>420</v>
      </c>
      <c r="N69" t="s">
        <v>412</v>
      </c>
      <c r="O69">
        <v>10006791</v>
      </c>
      <c r="P69" t="s">
        <v>413</v>
      </c>
      <c r="Q69" s="5">
        <f>VLOOKUP(TabOceanet[VM_name],TabVMEnv[],3,FALSE)</f>
        <v>0</v>
      </c>
      <c r="R69" s="5" t="str">
        <f>IF(VLOOKUP(TabOceanet[VM_name],TabVMEnv[],2,FALSE) = "","Non","")</f>
        <v/>
      </c>
      <c r="S69" s="5">
        <f>IF(TabOceanet[[#This Row],[Type_tarif]]="Tarif_VLAN",1,0)</f>
        <v>0</v>
      </c>
      <c r="T69" s="5">
        <f>TabOceanet[[#This Row],[isCalcVlan]]*TabOceanet[[#This Row],[Nb_article]]*Tarif_VLAN</f>
        <v>0</v>
      </c>
      <c r="U69" s="5">
        <f>IF(TabOceanet[[#This Row],[Type_tarif]]="Tarif_IPPUB",1,0)</f>
        <v>0</v>
      </c>
      <c r="V69" s="5">
        <f>TabOceanet[[#This Row],[isCalcIpPub]]*TabOceanet[[#This Row],[Nb_article]]*Tarif_IPPUB</f>
        <v>0</v>
      </c>
      <c r="W69" s="5">
        <f>IF(TabOceanet[[#This Row],[Type_tarif]]="Tarif_DNS",1,0)</f>
        <v>0</v>
      </c>
      <c r="X69" s="5">
        <f>TabOceanet[[#This Row],[isCalcDns]]*TabOceanet[[#This Row],[Nb_article]]*Tarif_DNS</f>
        <v>0</v>
      </c>
      <c r="Y69" s="5">
        <f>IF(TabOceanet[[#This Row],[Type_tarif]]="Tarif_Certificat_X509_Simple",1,0)</f>
        <v>0</v>
      </c>
      <c r="Z69" s="5">
        <f>TabOceanet[[#This Row],[isCalcCertSimple]]*TabOceanet[[#This Row],[Nb_article]]*Tarif_Certificat_X509_Simple</f>
        <v>0</v>
      </c>
      <c r="AA69" s="5">
        <f>IF(TabOceanet[[#This Row],[Type_tarif]]="Tarif_Certificat_X509_Wildcard",1,0)</f>
        <v>0</v>
      </c>
      <c r="AB69" s="5">
        <f>TabOceanet[[#This Row],[isCalcCertWild]]*TabOceanet[[#This Row],[Nb_article]]*Tarif_Certificat_X509_Wildcard</f>
        <v>0</v>
      </c>
      <c r="AC69" s="5">
        <f>IF(TabOceanet[[#This Row],[Type_tarif]]="Tarif_Astreinte_24_24_7_7",1,0)</f>
        <v>0</v>
      </c>
      <c r="AD69" s="5">
        <f>TabOceanet[[#This Row],[isCalcAstreinte247]]*TabOceanet[[#This Row],[Nb_article]]*Tarif_Astreinte_24_24_7_7</f>
        <v>0</v>
      </c>
      <c r="AE69" s="5">
        <f>IF(TabOceanet[[#This Row],[VM_status]]="PoweredOn",1,0)</f>
        <v>1</v>
      </c>
      <c r="AF69" s="17">
        <f>TabOceanet[[#This Row],[VM_mem]]*Tarif_Ram</f>
        <v>3.2</v>
      </c>
      <c r="AG69" s="5" t="str">
        <f>MID(TabOceanet[[#This Row],[Backup]],29,20)</f>
        <v>J15_3</v>
      </c>
      <c r="AH69" s="25">
        <f>IF(LEFT(TabOceanet[[#This Row],[TypeBAK]],3)="HOR",Tarif_Backup_Horaire*TabOceanet[[#This Row],[VM_disk]],IF(LEFT(TabOceanet[[#This Row],[TypeBAK]],3)="J15",Tarif_Backup_J15*TabOceanet[[#This Row],[VM_disk]],IF(LEFT(TabOceanet[[#This Row],[TypeBAK]],3)="H1_",Tarif_Backup_J15*TabOceanet[[#This Row],[VM_disk]],0)))</f>
        <v>11.5</v>
      </c>
      <c r="AI69" s="17">
        <f>TabOceanet[[#This Row],[VM_disk]]*Tarif_disque</f>
        <v>0</v>
      </c>
      <c r="AJ69"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14.7</v>
      </c>
    </row>
    <row r="70" spans="1:36" x14ac:dyDescent="0.25">
      <c r="A70" t="s">
        <v>185</v>
      </c>
      <c r="B70">
        <v>1</v>
      </c>
      <c r="C70">
        <v>2</v>
      </c>
      <c r="D70">
        <v>60</v>
      </c>
      <c r="E70" t="s">
        <v>433</v>
      </c>
      <c r="G70" t="s">
        <v>1275</v>
      </c>
      <c r="H70" t="s">
        <v>1274</v>
      </c>
      <c r="I70" t="s">
        <v>419</v>
      </c>
      <c r="J70" t="s">
        <v>414</v>
      </c>
      <c r="K70" t="s">
        <v>408</v>
      </c>
      <c r="L70" t="s">
        <v>410</v>
      </c>
      <c r="M70" t="s">
        <v>430</v>
      </c>
      <c r="N70" t="s">
        <v>412</v>
      </c>
      <c r="O70">
        <v>10006791</v>
      </c>
      <c r="P70" t="s">
        <v>413</v>
      </c>
      <c r="Q70" s="5">
        <f>VLOOKUP(TabOceanet[VM_name],TabVMEnv[],3,FALSE)</f>
        <v>0</v>
      </c>
      <c r="R70" s="5" t="str">
        <f>IF(VLOOKUP(TabOceanet[VM_name],TabVMEnv[],2,FALSE) = "","Non","")</f>
        <v/>
      </c>
      <c r="S70" s="5">
        <f>IF(TabOceanet[[#This Row],[Type_tarif]]="Tarif_VLAN",1,0)</f>
        <v>0</v>
      </c>
      <c r="T70" s="5">
        <f>TabOceanet[[#This Row],[isCalcVlan]]*TabOceanet[[#This Row],[Nb_article]]*Tarif_VLAN</f>
        <v>0</v>
      </c>
      <c r="U70" s="5">
        <f>IF(TabOceanet[[#This Row],[Type_tarif]]="Tarif_IPPUB",1,0)</f>
        <v>0</v>
      </c>
      <c r="V70" s="5">
        <f>TabOceanet[[#This Row],[isCalcIpPub]]*TabOceanet[[#This Row],[Nb_article]]*Tarif_IPPUB</f>
        <v>0</v>
      </c>
      <c r="W70" s="5">
        <f>IF(TabOceanet[[#This Row],[Type_tarif]]="Tarif_DNS",1,0)</f>
        <v>0</v>
      </c>
      <c r="X70" s="5">
        <f>TabOceanet[[#This Row],[isCalcDns]]*TabOceanet[[#This Row],[Nb_article]]*Tarif_DNS</f>
        <v>0</v>
      </c>
      <c r="Y70" s="5">
        <f>IF(TabOceanet[[#This Row],[Type_tarif]]="Tarif_Certificat_X509_Simple",1,0)</f>
        <v>0</v>
      </c>
      <c r="Z70" s="5">
        <f>TabOceanet[[#This Row],[isCalcCertSimple]]*TabOceanet[[#This Row],[Nb_article]]*Tarif_Certificat_X509_Simple</f>
        <v>0</v>
      </c>
      <c r="AA70" s="5">
        <f>IF(TabOceanet[[#This Row],[Type_tarif]]="Tarif_Certificat_X509_Wildcard",1,0)</f>
        <v>0</v>
      </c>
      <c r="AB70" s="5">
        <f>TabOceanet[[#This Row],[isCalcCertWild]]*TabOceanet[[#This Row],[Nb_article]]*Tarif_Certificat_X509_Wildcard</f>
        <v>0</v>
      </c>
      <c r="AC70" s="5">
        <f>IF(TabOceanet[[#This Row],[Type_tarif]]="Tarif_Astreinte_24_24_7_7",1,0)</f>
        <v>0</v>
      </c>
      <c r="AD70" s="5">
        <f>TabOceanet[[#This Row],[isCalcAstreinte247]]*TabOceanet[[#This Row],[Nb_article]]*Tarif_Astreinte_24_24_7_7</f>
        <v>0</v>
      </c>
      <c r="AE70" s="5">
        <f>IF(TabOceanet[[#This Row],[VM_status]]="PoweredOn",1,0)</f>
        <v>1</v>
      </c>
      <c r="AF70" s="17">
        <f>TabOceanet[[#This Row],[VM_mem]]*Tarif_Ram</f>
        <v>3.2</v>
      </c>
      <c r="AG70" s="5" t="str">
        <f>MID(TabOceanet[[#This Row],[Backup]],29,20)</f>
        <v>J15_2</v>
      </c>
      <c r="AH70" s="25">
        <f>IF(LEFT(TabOceanet[[#This Row],[TypeBAK]],3)="HOR",Tarif_Backup_Horaire*TabOceanet[[#This Row],[VM_disk]],IF(LEFT(TabOceanet[[#This Row],[TypeBAK]],3)="J15",Tarif_Backup_J15*TabOceanet[[#This Row],[VM_disk]],IF(LEFT(TabOceanet[[#This Row],[TypeBAK]],3)="H1_",Tarif_Backup_J15*TabOceanet[[#This Row],[VM_disk]],0)))</f>
        <v>13.8</v>
      </c>
      <c r="AI70" s="17">
        <f>TabOceanet[[#This Row],[VM_disk]]*Tarif_disque</f>
        <v>0</v>
      </c>
      <c r="AJ70"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17</v>
      </c>
    </row>
    <row r="71" spans="1:36" x14ac:dyDescent="0.25">
      <c r="A71" t="s">
        <v>250</v>
      </c>
      <c r="B71">
        <v>2</v>
      </c>
      <c r="C71">
        <v>8</v>
      </c>
      <c r="D71">
        <v>270</v>
      </c>
      <c r="E71" t="s">
        <v>432</v>
      </c>
      <c r="G71" t="s">
        <v>1273</v>
      </c>
      <c r="H71" t="s">
        <v>1274</v>
      </c>
      <c r="I71" t="s">
        <v>419</v>
      </c>
      <c r="J71" t="s">
        <v>414</v>
      </c>
      <c r="K71" t="s">
        <v>408</v>
      </c>
      <c r="L71" t="s">
        <v>410</v>
      </c>
      <c r="M71" t="s">
        <v>420</v>
      </c>
      <c r="N71" t="s">
        <v>412</v>
      </c>
      <c r="O71">
        <v>10006791</v>
      </c>
      <c r="P71" t="s">
        <v>413</v>
      </c>
      <c r="Q71" s="5">
        <f>VLOOKUP(TabOceanet[VM_name],TabVMEnv[],3,FALSE)</f>
        <v>0</v>
      </c>
      <c r="R71" s="5" t="str">
        <f>IF(VLOOKUP(TabOceanet[VM_name],TabVMEnv[],2,FALSE) = "","Non","")</f>
        <v/>
      </c>
      <c r="S71" s="5">
        <f>IF(TabOceanet[[#This Row],[Type_tarif]]="Tarif_VLAN",1,0)</f>
        <v>0</v>
      </c>
      <c r="T71" s="5">
        <f>TabOceanet[[#This Row],[isCalcVlan]]*TabOceanet[[#This Row],[Nb_article]]*Tarif_VLAN</f>
        <v>0</v>
      </c>
      <c r="U71" s="5">
        <f>IF(TabOceanet[[#This Row],[Type_tarif]]="Tarif_IPPUB",1,0)</f>
        <v>0</v>
      </c>
      <c r="V71" s="5">
        <f>TabOceanet[[#This Row],[isCalcIpPub]]*TabOceanet[[#This Row],[Nb_article]]*Tarif_IPPUB</f>
        <v>0</v>
      </c>
      <c r="W71" s="5">
        <f>IF(TabOceanet[[#This Row],[Type_tarif]]="Tarif_DNS",1,0)</f>
        <v>0</v>
      </c>
      <c r="X71" s="5">
        <f>TabOceanet[[#This Row],[isCalcDns]]*TabOceanet[[#This Row],[Nb_article]]*Tarif_DNS</f>
        <v>0</v>
      </c>
      <c r="Y71" s="5">
        <f>IF(TabOceanet[[#This Row],[Type_tarif]]="Tarif_Certificat_X509_Simple",1,0)</f>
        <v>0</v>
      </c>
      <c r="Z71" s="5">
        <f>TabOceanet[[#This Row],[isCalcCertSimple]]*TabOceanet[[#This Row],[Nb_article]]*Tarif_Certificat_X509_Simple</f>
        <v>0</v>
      </c>
      <c r="AA71" s="5">
        <f>IF(TabOceanet[[#This Row],[Type_tarif]]="Tarif_Certificat_X509_Wildcard",1,0)</f>
        <v>0</v>
      </c>
      <c r="AB71" s="5">
        <f>TabOceanet[[#This Row],[isCalcCertWild]]*TabOceanet[[#This Row],[Nb_article]]*Tarif_Certificat_X509_Wildcard</f>
        <v>0</v>
      </c>
      <c r="AC71" s="5">
        <f>IF(TabOceanet[[#This Row],[Type_tarif]]="Tarif_Astreinte_24_24_7_7",1,0)</f>
        <v>0</v>
      </c>
      <c r="AD71" s="5">
        <f>TabOceanet[[#This Row],[isCalcAstreinte247]]*TabOceanet[[#This Row],[Nb_article]]*Tarif_Astreinte_24_24_7_7</f>
        <v>0</v>
      </c>
      <c r="AE71" s="5">
        <f>IF(TabOceanet[[#This Row],[VM_status]]="PoweredOn",1,0)</f>
        <v>1</v>
      </c>
      <c r="AF71" s="17">
        <f>TabOceanet[[#This Row],[VM_mem]]*Tarif_Ram</f>
        <v>12.8</v>
      </c>
      <c r="AG71" s="5" t="str">
        <f>MID(TabOceanet[[#This Row],[Backup]],29,20)</f>
        <v>J15_3</v>
      </c>
      <c r="AH71" s="25">
        <f>IF(LEFT(TabOceanet[[#This Row],[TypeBAK]],3)="HOR",Tarif_Backup_Horaire*TabOceanet[[#This Row],[VM_disk]],IF(LEFT(TabOceanet[[#This Row],[TypeBAK]],3)="J15",Tarif_Backup_J15*TabOceanet[[#This Row],[VM_disk]],IF(LEFT(TabOceanet[[#This Row],[TypeBAK]],3)="H1_",Tarif_Backup_J15*TabOceanet[[#This Row],[VM_disk]],0)))</f>
        <v>62.1</v>
      </c>
      <c r="AI71" s="17">
        <f>TabOceanet[[#This Row],[VM_disk]]*Tarif_disque</f>
        <v>0</v>
      </c>
      <c r="AJ71"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74.900000000000006</v>
      </c>
    </row>
    <row r="72" spans="1:36" x14ac:dyDescent="0.25">
      <c r="A72" t="s">
        <v>150</v>
      </c>
      <c r="B72">
        <v>1</v>
      </c>
      <c r="C72">
        <v>2</v>
      </c>
      <c r="D72">
        <v>19</v>
      </c>
      <c r="E72" t="s">
        <v>423</v>
      </c>
      <c r="G72" t="s">
        <v>1273</v>
      </c>
      <c r="H72" t="s">
        <v>1274</v>
      </c>
      <c r="I72" t="s">
        <v>419</v>
      </c>
      <c r="J72" t="s">
        <v>414</v>
      </c>
      <c r="K72" t="s">
        <v>408</v>
      </c>
      <c r="L72" t="s">
        <v>410</v>
      </c>
      <c r="M72" t="s">
        <v>1322</v>
      </c>
      <c r="N72" t="s">
        <v>412</v>
      </c>
      <c r="O72">
        <v>10006791</v>
      </c>
      <c r="P72" t="s">
        <v>413</v>
      </c>
      <c r="Q72" s="5">
        <f>VLOOKUP(TabOceanet[VM_name],TabVMEnv[],3,FALSE)</f>
        <v>0</v>
      </c>
      <c r="R72" s="5" t="str">
        <f>IF(VLOOKUP(TabOceanet[VM_name],TabVMEnv[],2,FALSE) = "","Non","")</f>
        <v/>
      </c>
      <c r="S72" s="5">
        <f>IF(TabOceanet[[#This Row],[Type_tarif]]="Tarif_VLAN",1,0)</f>
        <v>0</v>
      </c>
      <c r="T72" s="5">
        <f>TabOceanet[[#This Row],[isCalcVlan]]*TabOceanet[[#This Row],[Nb_article]]*Tarif_VLAN</f>
        <v>0</v>
      </c>
      <c r="U72" s="5">
        <f>IF(TabOceanet[[#This Row],[Type_tarif]]="Tarif_IPPUB",1,0)</f>
        <v>0</v>
      </c>
      <c r="V72" s="5">
        <f>TabOceanet[[#This Row],[isCalcIpPub]]*TabOceanet[[#This Row],[Nb_article]]*Tarif_IPPUB</f>
        <v>0</v>
      </c>
      <c r="W72" s="5">
        <f>IF(TabOceanet[[#This Row],[Type_tarif]]="Tarif_DNS",1,0)</f>
        <v>0</v>
      </c>
      <c r="X72" s="5">
        <f>TabOceanet[[#This Row],[isCalcDns]]*TabOceanet[[#This Row],[Nb_article]]*Tarif_DNS</f>
        <v>0</v>
      </c>
      <c r="Y72" s="5">
        <f>IF(TabOceanet[[#This Row],[Type_tarif]]="Tarif_Certificat_X509_Simple",1,0)</f>
        <v>0</v>
      </c>
      <c r="Z72" s="5">
        <f>TabOceanet[[#This Row],[isCalcCertSimple]]*TabOceanet[[#This Row],[Nb_article]]*Tarif_Certificat_X509_Simple</f>
        <v>0</v>
      </c>
      <c r="AA72" s="5">
        <f>IF(TabOceanet[[#This Row],[Type_tarif]]="Tarif_Certificat_X509_Wildcard",1,0)</f>
        <v>0</v>
      </c>
      <c r="AB72" s="5">
        <f>TabOceanet[[#This Row],[isCalcCertWild]]*TabOceanet[[#This Row],[Nb_article]]*Tarif_Certificat_X509_Wildcard</f>
        <v>0</v>
      </c>
      <c r="AC72" s="5">
        <f>IF(TabOceanet[[#This Row],[Type_tarif]]="Tarif_Astreinte_24_24_7_7",1,0)</f>
        <v>0</v>
      </c>
      <c r="AD72" s="5">
        <f>TabOceanet[[#This Row],[isCalcAstreinte247]]*TabOceanet[[#This Row],[Nb_article]]*Tarif_Astreinte_24_24_7_7</f>
        <v>0</v>
      </c>
      <c r="AE72" s="5">
        <f>IF(TabOceanet[[#This Row],[VM_status]]="PoweredOn",1,0)</f>
        <v>1</v>
      </c>
      <c r="AF72" s="17">
        <f>TabOceanet[[#This Row],[VM_mem]]*Tarif_Ram</f>
        <v>3.2</v>
      </c>
      <c r="AG72" s="5" t="str">
        <f>MID(TabOceanet[[#This Row],[Backup]],29,20)</f>
        <v>J15_1</v>
      </c>
      <c r="AH72" s="25">
        <f>IF(LEFT(TabOceanet[[#This Row],[TypeBAK]],3)="HOR",Tarif_Backup_Horaire*TabOceanet[[#This Row],[VM_disk]],IF(LEFT(TabOceanet[[#This Row],[TypeBAK]],3)="J15",Tarif_Backup_J15*TabOceanet[[#This Row],[VM_disk]],IF(LEFT(TabOceanet[[#This Row],[TypeBAK]],3)="H1_",Tarif_Backup_J15*TabOceanet[[#This Row],[VM_disk]],0)))</f>
        <v>4.37</v>
      </c>
      <c r="AI72" s="17">
        <f>TabOceanet[[#This Row],[VM_disk]]*Tarif_disque</f>
        <v>0</v>
      </c>
      <c r="AJ72"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7.57</v>
      </c>
    </row>
    <row r="73" spans="1:36" x14ac:dyDescent="0.25">
      <c r="A73" t="s">
        <v>151</v>
      </c>
      <c r="B73">
        <v>1</v>
      </c>
      <c r="C73">
        <v>1</v>
      </c>
      <c r="D73">
        <v>4</v>
      </c>
      <c r="E73" t="s">
        <v>423</v>
      </c>
      <c r="G73" t="s">
        <v>1275</v>
      </c>
      <c r="H73" t="s">
        <v>1274</v>
      </c>
      <c r="I73" t="s">
        <v>419</v>
      </c>
      <c r="J73" t="s">
        <v>414</v>
      </c>
      <c r="K73" t="s">
        <v>408</v>
      </c>
      <c r="L73" t="s">
        <v>410</v>
      </c>
      <c r="M73" t="s">
        <v>430</v>
      </c>
      <c r="N73" t="s">
        <v>412</v>
      </c>
      <c r="O73">
        <v>10006791</v>
      </c>
      <c r="P73" t="s">
        <v>413</v>
      </c>
      <c r="Q73" s="5">
        <f>VLOOKUP(TabOceanet[VM_name],TabVMEnv[],3,FALSE)</f>
        <v>0</v>
      </c>
      <c r="R73" s="5" t="str">
        <f>IF(VLOOKUP(TabOceanet[VM_name],TabVMEnv[],2,FALSE) = "","Non","")</f>
        <v/>
      </c>
      <c r="S73" s="5">
        <f>IF(TabOceanet[[#This Row],[Type_tarif]]="Tarif_VLAN",1,0)</f>
        <v>0</v>
      </c>
      <c r="T73" s="5">
        <f>TabOceanet[[#This Row],[isCalcVlan]]*TabOceanet[[#This Row],[Nb_article]]*Tarif_VLAN</f>
        <v>0</v>
      </c>
      <c r="U73" s="5">
        <f>IF(TabOceanet[[#This Row],[Type_tarif]]="Tarif_IPPUB",1,0)</f>
        <v>0</v>
      </c>
      <c r="V73" s="5">
        <f>TabOceanet[[#This Row],[isCalcIpPub]]*TabOceanet[[#This Row],[Nb_article]]*Tarif_IPPUB</f>
        <v>0</v>
      </c>
      <c r="W73" s="5">
        <f>IF(TabOceanet[[#This Row],[Type_tarif]]="Tarif_DNS",1,0)</f>
        <v>0</v>
      </c>
      <c r="X73" s="5">
        <f>TabOceanet[[#This Row],[isCalcDns]]*TabOceanet[[#This Row],[Nb_article]]*Tarif_DNS</f>
        <v>0</v>
      </c>
      <c r="Y73" s="5">
        <f>IF(TabOceanet[[#This Row],[Type_tarif]]="Tarif_Certificat_X509_Simple",1,0)</f>
        <v>0</v>
      </c>
      <c r="Z73" s="5">
        <f>TabOceanet[[#This Row],[isCalcCertSimple]]*TabOceanet[[#This Row],[Nb_article]]*Tarif_Certificat_X509_Simple</f>
        <v>0</v>
      </c>
      <c r="AA73" s="5">
        <f>IF(TabOceanet[[#This Row],[Type_tarif]]="Tarif_Certificat_X509_Wildcard",1,0)</f>
        <v>0</v>
      </c>
      <c r="AB73" s="5">
        <f>TabOceanet[[#This Row],[isCalcCertWild]]*TabOceanet[[#This Row],[Nb_article]]*Tarif_Certificat_X509_Wildcard</f>
        <v>0</v>
      </c>
      <c r="AC73" s="5">
        <f>IF(TabOceanet[[#This Row],[Type_tarif]]="Tarif_Astreinte_24_24_7_7",1,0)</f>
        <v>0</v>
      </c>
      <c r="AD73" s="5">
        <f>TabOceanet[[#This Row],[isCalcAstreinte247]]*TabOceanet[[#This Row],[Nb_article]]*Tarif_Astreinte_24_24_7_7</f>
        <v>0</v>
      </c>
      <c r="AE73" s="5">
        <f>IF(TabOceanet[[#This Row],[VM_status]]="PoweredOn",1,0)</f>
        <v>1</v>
      </c>
      <c r="AF73" s="17">
        <f>TabOceanet[[#This Row],[VM_mem]]*Tarif_Ram</f>
        <v>1.6</v>
      </c>
      <c r="AG73" s="5" t="str">
        <f>MID(TabOceanet[[#This Row],[Backup]],29,20)</f>
        <v>J15_2</v>
      </c>
      <c r="AH73" s="25">
        <f>IF(LEFT(TabOceanet[[#This Row],[TypeBAK]],3)="HOR",Tarif_Backup_Horaire*TabOceanet[[#This Row],[VM_disk]],IF(LEFT(TabOceanet[[#This Row],[TypeBAK]],3)="J15",Tarif_Backup_J15*TabOceanet[[#This Row],[VM_disk]],IF(LEFT(TabOceanet[[#This Row],[TypeBAK]],3)="H1_",Tarif_Backup_J15*TabOceanet[[#This Row],[VM_disk]],0)))</f>
        <v>0.92</v>
      </c>
      <c r="AI73" s="17">
        <f>TabOceanet[[#This Row],[VM_disk]]*Tarif_disque</f>
        <v>0</v>
      </c>
      <c r="AJ73"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2.52</v>
      </c>
    </row>
    <row r="74" spans="1:36" x14ac:dyDescent="0.25">
      <c r="A74" t="s">
        <v>152</v>
      </c>
      <c r="B74">
        <v>1</v>
      </c>
      <c r="C74">
        <v>1</v>
      </c>
      <c r="D74">
        <v>4</v>
      </c>
      <c r="E74" t="s">
        <v>423</v>
      </c>
      <c r="G74" t="s">
        <v>1273</v>
      </c>
      <c r="H74" t="s">
        <v>1274</v>
      </c>
      <c r="I74" t="s">
        <v>419</v>
      </c>
      <c r="J74" t="s">
        <v>414</v>
      </c>
      <c r="K74" t="s">
        <v>408</v>
      </c>
      <c r="L74" t="s">
        <v>410</v>
      </c>
      <c r="M74" t="s">
        <v>430</v>
      </c>
      <c r="N74" t="s">
        <v>412</v>
      </c>
      <c r="O74">
        <v>10006791</v>
      </c>
      <c r="P74" t="s">
        <v>413</v>
      </c>
      <c r="Q74" s="5">
        <f>VLOOKUP(TabOceanet[VM_name],TabVMEnv[],3,FALSE)</f>
        <v>0</v>
      </c>
      <c r="R74" s="5" t="str">
        <f>IF(VLOOKUP(TabOceanet[VM_name],TabVMEnv[],2,FALSE) = "","Non","")</f>
        <v/>
      </c>
      <c r="S74" s="5">
        <f>IF(TabOceanet[[#This Row],[Type_tarif]]="Tarif_VLAN",1,0)</f>
        <v>0</v>
      </c>
      <c r="T74" s="5">
        <f>TabOceanet[[#This Row],[isCalcVlan]]*TabOceanet[[#This Row],[Nb_article]]*Tarif_VLAN</f>
        <v>0</v>
      </c>
      <c r="U74" s="5">
        <f>IF(TabOceanet[[#This Row],[Type_tarif]]="Tarif_IPPUB",1,0)</f>
        <v>0</v>
      </c>
      <c r="V74" s="5">
        <f>TabOceanet[[#This Row],[isCalcIpPub]]*TabOceanet[[#This Row],[Nb_article]]*Tarif_IPPUB</f>
        <v>0</v>
      </c>
      <c r="W74" s="5">
        <f>IF(TabOceanet[[#This Row],[Type_tarif]]="Tarif_DNS",1,0)</f>
        <v>0</v>
      </c>
      <c r="X74" s="5">
        <f>TabOceanet[[#This Row],[isCalcDns]]*TabOceanet[[#This Row],[Nb_article]]*Tarif_DNS</f>
        <v>0</v>
      </c>
      <c r="Y74" s="5">
        <f>IF(TabOceanet[[#This Row],[Type_tarif]]="Tarif_Certificat_X509_Simple",1,0)</f>
        <v>0</v>
      </c>
      <c r="Z74" s="5">
        <f>TabOceanet[[#This Row],[isCalcCertSimple]]*TabOceanet[[#This Row],[Nb_article]]*Tarif_Certificat_X509_Simple</f>
        <v>0</v>
      </c>
      <c r="AA74" s="5">
        <f>IF(TabOceanet[[#This Row],[Type_tarif]]="Tarif_Certificat_X509_Wildcard",1,0)</f>
        <v>0</v>
      </c>
      <c r="AB74" s="5">
        <f>TabOceanet[[#This Row],[isCalcCertWild]]*TabOceanet[[#This Row],[Nb_article]]*Tarif_Certificat_X509_Wildcard</f>
        <v>0</v>
      </c>
      <c r="AC74" s="5">
        <f>IF(TabOceanet[[#This Row],[Type_tarif]]="Tarif_Astreinte_24_24_7_7",1,0)</f>
        <v>0</v>
      </c>
      <c r="AD74" s="5">
        <f>TabOceanet[[#This Row],[isCalcAstreinte247]]*TabOceanet[[#This Row],[Nb_article]]*Tarif_Astreinte_24_24_7_7</f>
        <v>0</v>
      </c>
      <c r="AE74" s="5">
        <f>IF(TabOceanet[[#This Row],[VM_status]]="PoweredOn",1,0)</f>
        <v>1</v>
      </c>
      <c r="AF74" s="17">
        <f>TabOceanet[[#This Row],[VM_mem]]*Tarif_Ram</f>
        <v>1.6</v>
      </c>
      <c r="AG74" s="5" t="str">
        <f>MID(TabOceanet[[#This Row],[Backup]],29,20)</f>
        <v>J15_2</v>
      </c>
      <c r="AH74" s="25">
        <f>IF(LEFT(TabOceanet[[#This Row],[TypeBAK]],3)="HOR",Tarif_Backup_Horaire*TabOceanet[[#This Row],[VM_disk]],IF(LEFT(TabOceanet[[#This Row],[TypeBAK]],3)="J15",Tarif_Backup_J15*TabOceanet[[#This Row],[VM_disk]],IF(LEFT(TabOceanet[[#This Row],[TypeBAK]],3)="H1_",Tarif_Backup_J15*TabOceanet[[#This Row],[VM_disk]],0)))</f>
        <v>0.92</v>
      </c>
      <c r="AI74" s="17">
        <f>TabOceanet[[#This Row],[VM_disk]]*Tarif_disque</f>
        <v>0</v>
      </c>
      <c r="AJ74"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2.52</v>
      </c>
    </row>
    <row r="75" spans="1:36" x14ac:dyDescent="0.25">
      <c r="A75" t="s">
        <v>153</v>
      </c>
      <c r="B75">
        <v>1</v>
      </c>
      <c r="C75">
        <v>1</v>
      </c>
      <c r="D75">
        <v>4</v>
      </c>
      <c r="E75" t="s">
        <v>426</v>
      </c>
      <c r="G75" t="s">
        <v>1273</v>
      </c>
      <c r="H75" t="s">
        <v>1274</v>
      </c>
      <c r="I75" t="s">
        <v>419</v>
      </c>
      <c r="J75" t="s">
        <v>414</v>
      </c>
      <c r="K75" t="s">
        <v>408</v>
      </c>
      <c r="L75" t="s">
        <v>410</v>
      </c>
      <c r="M75" t="s">
        <v>430</v>
      </c>
      <c r="N75" t="s">
        <v>412</v>
      </c>
      <c r="O75">
        <v>10006791</v>
      </c>
      <c r="P75" t="s">
        <v>413</v>
      </c>
      <c r="Q75" s="5">
        <f>VLOOKUP(TabOceanet[VM_name],TabVMEnv[],3,FALSE)</f>
        <v>0</v>
      </c>
      <c r="R75" s="5" t="str">
        <f>IF(VLOOKUP(TabOceanet[VM_name],TabVMEnv[],2,FALSE) = "","Non","")</f>
        <v/>
      </c>
      <c r="S75" s="5">
        <f>IF(TabOceanet[[#This Row],[Type_tarif]]="Tarif_VLAN",1,0)</f>
        <v>0</v>
      </c>
      <c r="T75" s="5">
        <f>TabOceanet[[#This Row],[isCalcVlan]]*TabOceanet[[#This Row],[Nb_article]]*Tarif_VLAN</f>
        <v>0</v>
      </c>
      <c r="U75" s="5">
        <f>IF(TabOceanet[[#This Row],[Type_tarif]]="Tarif_IPPUB",1,0)</f>
        <v>0</v>
      </c>
      <c r="V75" s="5">
        <f>TabOceanet[[#This Row],[isCalcIpPub]]*TabOceanet[[#This Row],[Nb_article]]*Tarif_IPPUB</f>
        <v>0</v>
      </c>
      <c r="W75" s="5">
        <f>IF(TabOceanet[[#This Row],[Type_tarif]]="Tarif_DNS",1,0)</f>
        <v>0</v>
      </c>
      <c r="X75" s="5">
        <f>TabOceanet[[#This Row],[isCalcDns]]*TabOceanet[[#This Row],[Nb_article]]*Tarif_DNS</f>
        <v>0</v>
      </c>
      <c r="Y75" s="5">
        <f>IF(TabOceanet[[#This Row],[Type_tarif]]="Tarif_Certificat_X509_Simple",1,0)</f>
        <v>0</v>
      </c>
      <c r="Z75" s="5">
        <f>TabOceanet[[#This Row],[isCalcCertSimple]]*TabOceanet[[#This Row],[Nb_article]]*Tarif_Certificat_X509_Simple</f>
        <v>0</v>
      </c>
      <c r="AA75" s="5">
        <f>IF(TabOceanet[[#This Row],[Type_tarif]]="Tarif_Certificat_X509_Wildcard",1,0)</f>
        <v>0</v>
      </c>
      <c r="AB75" s="5">
        <f>TabOceanet[[#This Row],[isCalcCertWild]]*TabOceanet[[#This Row],[Nb_article]]*Tarif_Certificat_X509_Wildcard</f>
        <v>0</v>
      </c>
      <c r="AC75" s="5">
        <f>IF(TabOceanet[[#This Row],[Type_tarif]]="Tarif_Astreinte_24_24_7_7",1,0)</f>
        <v>0</v>
      </c>
      <c r="AD75" s="5">
        <f>TabOceanet[[#This Row],[isCalcAstreinte247]]*TabOceanet[[#This Row],[Nb_article]]*Tarif_Astreinte_24_24_7_7</f>
        <v>0</v>
      </c>
      <c r="AE75" s="5">
        <f>IF(TabOceanet[[#This Row],[VM_status]]="PoweredOn",1,0)</f>
        <v>1</v>
      </c>
      <c r="AF75" s="17">
        <f>TabOceanet[[#This Row],[VM_mem]]*Tarif_Ram</f>
        <v>1.6</v>
      </c>
      <c r="AG75" s="5" t="str">
        <f>MID(TabOceanet[[#This Row],[Backup]],29,20)</f>
        <v>J15_2</v>
      </c>
      <c r="AH75" s="25">
        <f>IF(LEFT(TabOceanet[[#This Row],[TypeBAK]],3)="HOR",Tarif_Backup_Horaire*TabOceanet[[#This Row],[VM_disk]],IF(LEFT(TabOceanet[[#This Row],[TypeBAK]],3)="J15",Tarif_Backup_J15*TabOceanet[[#This Row],[VM_disk]],IF(LEFT(TabOceanet[[#This Row],[TypeBAK]],3)="H1_",Tarif_Backup_J15*TabOceanet[[#This Row],[VM_disk]],0)))</f>
        <v>0.92</v>
      </c>
      <c r="AI75" s="17">
        <f>TabOceanet[[#This Row],[VM_disk]]*Tarif_disque</f>
        <v>0</v>
      </c>
      <c r="AJ75"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2.52</v>
      </c>
    </row>
    <row r="76" spans="1:36" x14ac:dyDescent="0.25">
      <c r="A76" t="s">
        <v>53</v>
      </c>
      <c r="B76">
        <v>1</v>
      </c>
      <c r="C76">
        <v>2</v>
      </c>
      <c r="D76">
        <v>8</v>
      </c>
      <c r="E76" t="s">
        <v>434</v>
      </c>
      <c r="G76" t="s">
        <v>1273</v>
      </c>
      <c r="H76" t="s">
        <v>1274</v>
      </c>
      <c r="I76" t="s">
        <v>419</v>
      </c>
      <c r="J76" t="s">
        <v>414</v>
      </c>
      <c r="K76" t="s">
        <v>408</v>
      </c>
      <c r="L76" t="s">
        <v>410</v>
      </c>
      <c r="M76" t="s">
        <v>430</v>
      </c>
      <c r="N76" t="s">
        <v>412</v>
      </c>
      <c r="O76">
        <v>10006791</v>
      </c>
      <c r="P76" t="s">
        <v>413</v>
      </c>
      <c r="Q76" s="5" t="str">
        <f>VLOOKUP(TabOceanet[VM_name],TabVMEnv[],3,FALSE)</f>
        <v>Environnement A3 (Qualification)
Debian 5.1 / Apache 2 / Tomcat 5.5</v>
      </c>
      <c r="R76" s="5" t="str">
        <f>IF(VLOOKUP(TabOceanet[VM_name],TabVMEnv[],2,FALSE) = "","Non","")</f>
        <v/>
      </c>
      <c r="S76" s="5">
        <f>IF(TabOceanet[[#This Row],[Type_tarif]]="Tarif_VLAN",1,0)</f>
        <v>0</v>
      </c>
      <c r="T76" s="5">
        <f>TabOceanet[[#This Row],[isCalcVlan]]*TabOceanet[[#This Row],[Nb_article]]*Tarif_VLAN</f>
        <v>0</v>
      </c>
      <c r="U76" s="5">
        <f>IF(TabOceanet[[#This Row],[Type_tarif]]="Tarif_IPPUB",1,0)</f>
        <v>0</v>
      </c>
      <c r="V76" s="5">
        <f>TabOceanet[[#This Row],[isCalcIpPub]]*TabOceanet[[#This Row],[Nb_article]]*Tarif_IPPUB</f>
        <v>0</v>
      </c>
      <c r="W76" s="5">
        <f>IF(TabOceanet[[#This Row],[Type_tarif]]="Tarif_DNS",1,0)</f>
        <v>0</v>
      </c>
      <c r="X76" s="5">
        <f>TabOceanet[[#This Row],[isCalcDns]]*TabOceanet[[#This Row],[Nb_article]]*Tarif_DNS</f>
        <v>0</v>
      </c>
      <c r="Y76" s="5">
        <f>IF(TabOceanet[[#This Row],[Type_tarif]]="Tarif_Certificat_X509_Simple",1,0)</f>
        <v>0</v>
      </c>
      <c r="Z76" s="5">
        <f>TabOceanet[[#This Row],[isCalcCertSimple]]*TabOceanet[[#This Row],[Nb_article]]*Tarif_Certificat_X509_Simple</f>
        <v>0</v>
      </c>
      <c r="AA76" s="5">
        <f>IF(TabOceanet[[#This Row],[Type_tarif]]="Tarif_Certificat_X509_Wildcard",1,0)</f>
        <v>0</v>
      </c>
      <c r="AB76" s="5">
        <f>TabOceanet[[#This Row],[isCalcCertWild]]*TabOceanet[[#This Row],[Nb_article]]*Tarif_Certificat_X509_Wildcard</f>
        <v>0</v>
      </c>
      <c r="AC76" s="5">
        <f>IF(TabOceanet[[#This Row],[Type_tarif]]="Tarif_Astreinte_24_24_7_7",1,0)</f>
        <v>0</v>
      </c>
      <c r="AD76" s="5">
        <f>TabOceanet[[#This Row],[isCalcAstreinte247]]*TabOceanet[[#This Row],[Nb_article]]*Tarif_Astreinte_24_24_7_7</f>
        <v>0</v>
      </c>
      <c r="AE76" s="5">
        <f>IF(TabOceanet[[#This Row],[VM_status]]="PoweredOn",1,0)</f>
        <v>1</v>
      </c>
      <c r="AF76" s="17">
        <f>TabOceanet[[#This Row],[VM_mem]]*Tarif_Ram</f>
        <v>3.2</v>
      </c>
      <c r="AG76" s="5" t="str">
        <f>MID(TabOceanet[[#This Row],[Backup]],29,20)</f>
        <v>J15_2</v>
      </c>
      <c r="AH76" s="25">
        <f>IF(LEFT(TabOceanet[[#This Row],[TypeBAK]],3)="HOR",Tarif_Backup_Horaire*TabOceanet[[#This Row],[VM_disk]],IF(LEFT(TabOceanet[[#This Row],[TypeBAK]],3)="J15",Tarif_Backup_J15*TabOceanet[[#This Row],[VM_disk]],IF(LEFT(TabOceanet[[#This Row],[TypeBAK]],3)="H1_",Tarif_Backup_J15*TabOceanet[[#This Row],[VM_disk]],0)))</f>
        <v>1.84</v>
      </c>
      <c r="AI76" s="17">
        <f>TabOceanet[[#This Row],[VM_disk]]*Tarif_disque</f>
        <v>0</v>
      </c>
      <c r="AJ76"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5.04</v>
      </c>
    </row>
    <row r="77" spans="1:36" x14ac:dyDescent="0.25">
      <c r="A77" t="s">
        <v>55</v>
      </c>
      <c r="B77">
        <v>1</v>
      </c>
      <c r="C77">
        <v>2</v>
      </c>
      <c r="D77">
        <v>7</v>
      </c>
      <c r="E77" t="s">
        <v>424</v>
      </c>
      <c r="G77" t="s">
        <v>1275</v>
      </c>
      <c r="H77" t="s">
        <v>1274</v>
      </c>
      <c r="I77" t="s">
        <v>419</v>
      </c>
      <c r="J77" t="s">
        <v>414</v>
      </c>
      <c r="K77" t="s">
        <v>408</v>
      </c>
      <c r="L77" t="s">
        <v>410</v>
      </c>
      <c r="M77" t="s">
        <v>430</v>
      </c>
      <c r="N77" t="s">
        <v>412</v>
      </c>
      <c r="O77">
        <v>10006791</v>
      </c>
      <c r="P77" t="s">
        <v>413</v>
      </c>
      <c r="Q77" s="5" t="str">
        <f>VLOOKUP(TabOceanet[VM_name],TabVMEnv[],3,FALSE)</f>
        <v>Environnement A3 (Qualification)
Debian 8.1 / Apache 2 / Tomcat 8</v>
      </c>
      <c r="R77" s="5" t="str">
        <f>IF(VLOOKUP(TabOceanet[VM_name],TabVMEnv[],2,FALSE) = "","Non","")</f>
        <v/>
      </c>
      <c r="S77" s="5">
        <f>IF(TabOceanet[[#This Row],[Type_tarif]]="Tarif_VLAN",1,0)</f>
        <v>0</v>
      </c>
      <c r="T77" s="5">
        <f>TabOceanet[[#This Row],[isCalcVlan]]*TabOceanet[[#This Row],[Nb_article]]*Tarif_VLAN</f>
        <v>0</v>
      </c>
      <c r="U77" s="5">
        <f>IF(TabOceanet[[#This Row],[Type_tarif]]="Tarif_IPPUB",1,0)</f>
        <v>0</v>
      </c>
      <c r="V77" s="5">
        <f>TabOceanet[[#This Row],[isCalcIpPub]]*TabOceanet[[#This Row],[Nb_article]]*Tarif_IPPUB</f>
        <v>0</v>
      </c>
      <c r="W77" s="5">
        <f>IF(TabOceanet[[#This Row],[Type_tarif]]="Tarif_DNS",1,0)</f>
        <v>0</v>
      </c>
      <c r="X77" s="5">
        <f>TabOceanet[[#This Row],[isCalcDns]]*TabOceanet[[#This Row],[Nb_article]]*Tarif_DNS</f>
        <v>0</v>
      </c>
      <c r="Y77" s="5">
        <f>IF(TabOceanet[[#This Row],[Type_tarif]]="Tarif_Certificat_X509_Simple",1,0)</f>
        <v>0</v>
      </c>
      <c r="Z77" s="5">
        <f>TabOceanet[[#This Row],[isCalcCertSimple]]*TabOceanet[[#This Row],[Nb_article]]*Tarif_Certificat_X509_Simple</f>
        <v>0</v>
      </c>
      <c r="AA77" s="5">
        <f>IF(TabOceanet[[#This Row],[Type_tarif]]="Tarif_Certificat_X509_Wildcard",1,0)</f>
        <v>0</v>
      </c>
      <c r="AB77" s="5">
        <f>TabOceanet[[#This Row],[isCalcCertWild]]*TabOceanet[[#This Row],[Nb_article]]*Tarif_Certificat_X509_Wildcard</f>
        <v>0</v>
      </c>
      <c r="AC77" s="5">
        <f>IF(TabOceanet[[#This Row],[Type_tarif]]="Tarif_Astreinte_24_24_7_7",1,0)</f>
        <v>0</v>
      </c>
      <c r="AD77" s="5">
        <f>TabOceanet[[#This Row],[isCalcAstreinte247]]*TabOceanet[[#This Row],[Nb_article]]*Tarif_Astreinte_24_24_7_7</f>
        <v>0</v>
      </c>
      <c r="AE77" s="5">
        <f>IF(TabOceanet[[#This Row],[VM_status]]="PoweredOn",1,0)</f>
        <v>1</v>
      </c>
      <c r="AF77" s="17">
        <f>TabOceanet[[#This Row],[VM_mem]]*Tarif_Ram</f>
        <v>3.2</v>
      </c>
      <c r="AG77" s="5" t="str">
        <f>MID(TabOceanet[[#This Row],[Backup]],29,20)</f>
        <v>J15_2</v>
      </c>
      <c r="AH77" s="25">
        <f>IF(LEFT(TabOceanet[[#This Row],[TypeBAK]],3)="HOR",Tarif_Backup_Horaire*TabOceanet[[#This Row],[VM_disk]],IF(LEFT(TabOceanet[[#This Row],[TypeBAK]],3)="J15",Tarif_Backup_J15*TabOceanet[[#This Row],[VM_disk]],IF(LEFT(TabOceanet[[#This Row],[TypeBAK]],3)="H1_",Tarif_Backup_J15*TabOceanet[[#This Row],[VM_disk]],0)))</f>
        <v>1.61</v>
      </c>
      <c r="AI77" s="17">
        <f>TabOceanet[[#This Row],[VM_disk]]*Tarif_disque</f>
        <v>0</v>
      </c>
      <c r="AJ77"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4.8100000000000005</v>
      </c>
    </row>
    <row r="78" spans="1:36" x14ac:dyDescent="0.25">
      <c r="A78" t="s">
        <v>225</v>
      </c>
      <c r="B78">
        <v>1</v>
      </c>
      <c r="C78">
        <v>1</v>
      </c>
      <c r="D78">
        <v>6</v>
      </c>
      <c r="E78" t="s">
        <v>435</v>
      </c>
      <c r="G78" t="s">
        <v>1273</v>
      </c>
      <c r="H78" t="s">
        <v>1274</v>
      </c>
      <c r="I78" t="s">
        <v>419</v>
      </c>
      <c r="J78" t="s">
        <v>414</v>
      </c>
      <c r="K78" t="s">
        <v>408</v>
      </c>
      <c r="L78" t="s">
        <v>410</v>
      </c>
      <c r="M78" t="s">
        <v>430</v>
      </c>
      <c r="N78" t="s">
        <v>412</v>
      </c>
      <c r="O78">
        <v>10006791</v>
      </c>
      <c r="P78" t="s">
        <v>413</v>
      </c>
      <c r="Q78" s="5">
        <f>VLOOKUP(TabOceanet[VM_name],TabVMEnv[],3,FALSE)</f>
        <v>0</v>
      </c>
      <c r="R78" s="5" t="str">
        <f>IF(VLOOKUP(TabOceanet[VM_name],TabVMEnv[],2,FALSE) = "","Non","")</f>
        <v/>
      </c>
      <c r="S78" s="5">
        <f>IF(TabOceanet[[#This Row],[Type_tarif]]="Tarif_VLAN",1,0)</f>
        <v>0</v>
      </c>
      <c r="T78" s="5">
        <f>TabOceanet[[#This Row],[isCalcVlan]]*TabOceanet[[#This Row],[Nb_article]]*Tarif_VLAN</f>
        <v>0</v>
      </c>
      <c r="U78" s="5">
        <f>IF(TabOceanet[[#This Row],[Type_tarif]]="Tarif_IPPUB",1,0)</f>
        <v>0</v>
      </c>
      <c r="V78" s="5">
        <f>TabOceanet[[#This Row],[isCalcIpPub]]*TabOceanet[[#This Row],[Nb_article]]*Tarif_IPPUB</f>
        <v>0</v>
      </c>
      <c r="W78" s="5">
        <f>IF(TabOceanet[[#This Row],[Type_tarif]]="Tarif_DNS",1,0)</f>
        <v>0</v>
      </c>
      <c r="X78" s="5">
        <f>TabOceanet[[#This Row],[isCalcDns]]*TabOceanet[[#This Row],[Nb_article]]*Tarif_DNS</f>
        <v>0</v>
      </c>
      <c r="Y78" s="5">
        <f>IF(TabOceanet[[#This Row],[Type_tarif]]="Tarif_Certificat_X509_Simple",1,0)</f>
        <v>0</v>
      </c>
      <c r="Z78" s="5">
        <f>TabOceanet[[#This Row],[isCalcCertSimple]]*TabOceanet[[#This Row],[Nb_article]]*Tarif_Certificat_X509_Simple</f>
        <v>0</v>
      </c>
      <c r="AA78" s="5">
        <f>IF(TabOceanet[[#This Row],[Type_tarif]]="Tarif_Certificat_X509_Wildcard",1,0)</f>
        <v>0</v>
      </c>
      <c r="AB78" s="5">
        <f>TabOceanet[[#This Row],[isCalcCertWild]]*TabOceanet[[#This Row],[Nb_article]]*Tarif_Certificat_X509_Wildcard</f>
        <v>0</v>
      </c>
      <c r="AC78" s="5">
        <f>IF(TabOceanet[[#This Row],[Type_tarif]]="Tarif_Astreinte_24_24_7_7",1,0)</f>
        <v>0</v>
      </c>
      <c r="AD78" s="5">
        <f>TabOceanet[[#This Row],[isCalcAstreinte247]]*TabOceanet[[#This Row],[Nb_article]]*Tarif_Astreinte_24_24_7_7</f>
        <v>0</v>
      </c>
      <c r="AE78" s="5">
        <f>IF(TabOceanet[[#This Row],[VM_status]]="PoweredOn",1,0)</f>
        <v>1</v>
      </c>
      <c r="AF78" s="17">
        <f>TabOceanet[[#This Row],[VM_mem]]*Tarif_Ram</f>
        <v>1.6</v>
      </c>
      <c r="AG78" s="5" t="str">
        <f>MID(TabOceanet[[#This Row],[Backup]],29,20)</f>
        <v>J15_2</v>
      </c>
      <c r="AH78" s="25">
        <f>IF(LEFT(TabOceanet[[#This Row],[TypeBAK]],3)="HOR",Tarif_Backup_Horaire*TabOceanet[[#This Row],[VM_disk]],IF(LEFT(TabOceanet[[#This Row],[TypeBAK]],3)="J15",Tarif_Backup_J15*TabOceanet[[#This Row],[VM_disk]],IF(LEFT(TabOceanet[[#This Row],[TypeBAK]],3)="H1_",Tarif_Backup_J15*TabOceanet[[#This Row],[VM_disk]],0)))</f>
        <v>1.3800000000000001</v>
      </c>
      <c r="AI78" s="17">
        <f>TabOceanet[[#This Row],[VM_disk]]*Tarif_disque</f>
        <v>0</v>
      </c>
      <c r="AJ78"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2.9800000000000004</v>
      </c>
    </row>
    <row r="79" spans="1:36" x14ac:dyDescent="0.25">
      <c r="A79" t="s">
        <v>10</v>
      </c>
      <c r="B79">
        <v>1</v>
      </c>
      <c r="C79">
        <v>2</v>
      </c>
      <c r="D79">
        <v>8</v>
      </c>
      <c r="E79" t="s">
        <v>434</v>
      </c>
      <c r="G79" t="s">
        <v>1275</v>
      </c>
      <c r="H79" t="s">
        <v>1274</v>
      </c>
      <c r="I79" t="s">
        <v>419</v>
      </c>
      <c r="J79" t="s">
        <v>414</v>
      </c>
      <c r="K79" t="s">
        <v>408</v>
      </c>
      <c r="L79" t="s">
        <v>410</v>
      </c>
      <c r="M79" t="s">
        <v>430</v>
      </c>
      <c r="N79" t="s">
        <v>412</v>
      </c>
      <c r="O79">
        <v>10006791</v>
      </c>
      <c r="P79" t="s">
        <v>413</v>
      </c>
      <c r="Q79" s="5" t="str">
        <f>VLOOKUP(TabOceanet[VM_name],TabVMEnv[],3,FALSE)</f>
        <v>Mutualisé MEAE
(@base) (Debian 5.0.1 / Apache 2 / Tomcat 5.5)</v>
      </c>
      <c r="R79" s="5" t="str">
        <f>IF(VLOOKUP(TabOceanet[VM_name],TabVMEnv[],2,FALSE) = "","Non","")</f>
        <v/>
      </c>
      <c r="S79" s="5">
        <f>IF(TabOceanet[[#This Row],[Type_tarif]]="Tarif_VLAN",1,0)</f>
        <v>0</v>
      </c>
      <c r="T79" s="5">
        <f>TabOceanet[[#This Row],[isCalcVlan]]*TabOceanet[[#This Row],[Nb_article]]*Tarif_VLAN</f>
        <v>0</v>
      </c>
      <c r="U79" s="5">
        <f>IF(TabOceanet[[#This Row],[Type_tarif]]="Tarif_IPPUB",1,0)</f>
        <v>0</v>
      </c>
      <c r="V79" s="5">
        <f>TabOceanet[[#This Row],[isCalcIpPub]]*TabOceanet[[#This Row],[Nb_article]]*Tarif_IPPUB</f>
        <v>0</v>
      </c>
      <c r="W79" s="5">
        <f>IF(TabOceanet[[#This Row],[Type_tarif]]="Tarif_DNS",1,0)</f>
        <v>0</v>
      </c>
      <c r="X79" s="5">
        <f>TabOceanet[[#This Row],[isCalcDns]]*TabOceanet[[#This Row],[Nb_article]]*Tarif_DNS</f>
        <v>0</v>
      </c>
      <c r="Y79" s="5">
        <f>IF(TabOceanet[[#This Row],[Type_tarif]]="Tarif_Certificat_X509_Simple",1,0)</f>
        <v>0</v>
      </c>
      <c r="Z79" s="5">
        <f>TabOceanet[[#This Row],[isCalcCertSimple]]*TabOceanet[[#This Row],[Nb_article]]*Tarif_Certificat_X509_Simple</f>
        <v>0</v>
      </c>
      <c r="AA79" s="5">
        <f>IF(TabOceanet[[#This Row],[Type_tarif]]="Tarif_Certificat_X509_Wildcard",1,0)</f>
        <v>0</v>
      </c>
      <c r="AB79" s="5">
        <f>TabOceanet[[#This Row],[isCalcCertWild]]*TabOceanet[[#This Row],[Nb_article]]*Tarif_Certificat_X509_Wildcard</f>
        <v>0</v>
      </c>
      <c r="AC79" s="5">
        <f>IF(TabOceanet[[#This Row],[Type_tarif]]="Tarif_Astreinte_24_24_7_7",1,0)</f>
        <v>0</v>
      </c>
      <c r="AD79" s="5">
        <f>TabOceanet[[#This Row],[isCalcAstreinte247]]*TabOceanet[[#This Row],[Nb_article]]*Tarif_Astreinte_24_24_7_7</f>
        <v>0</v>
      </c>
      <c r="AE79" s="5">
        <f>IF(TabOceanet[[#This Row],[VM_status]]="PoweredOn",1,0)</f>
        <v>1</v>
      </c>
      <c r="AF79" s="17">
        <f>TabOceanet[[#This Row],[VM_mem]]*Tarif_Ram</f>
        <v>3.2</v>
      </c>
      <c r="AG79" s="5" t="str">
        <f>MID(TabOceanet[[#This Row],[Backup]],29,20)</f>
        <v>J15_2</v>
      </c>
      <c r="AH79" s="25">
        <f>IF(LEFT(TabOceanet[[#This Row],[TypeBAK]],3)="HOR",Tarif_Backup_Horaire*TabOceanet[[#This Row],[VM_disk]],IF(LEFT(TabOceanet[[#This Row],[TypeBAK]],3)="J15",Tarif_Backup_J15*TabOceanet[[#This Row],[VM_disk]],IF(LEFT(TabOceanet[[#This Row],[TypeBAK]],3)="H1_",Tarif_Backup_J15*TabOceanet[[#This Row],[VM_disk]],0)))</f>
        <v>1.84</v>
      </c>
      <c r="AI79" s="17">
        <f>TabOceanet[[#This Row],[VM_disk]]*Tarif_disque</f>
        <v>0</v>
      </c>
      <c r="AJ79"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5.04</v>
      </c>
    </row>
    <row r="80" spans="1:36" x14ac:dyDescent="0.25">
      <c r="A80" t="s">
        <v>37</v>
      </c>
      <c r="B80">
        <v>4</v>
      </c>
      <c r="C80">
        <v>4</v>
      </c>
      <c r="D80">
        <v>65</v>
      </c>
      <c r="E80" t="s">
        <v>437</v>
      </c>
      <c r="G80" t="s">
        <v>1273</v>
      </c>
      <c r="H80" t="s">
        <v>1274</v>
      </c>
      <c r="I80" t="s">
        <v>419</v>
      </c>
      <c r="J80" t="s">
        <v>414</v>
      </c>
      <c r="K80" t="s">
        <v>408</v>
      </c>
      <c r="L80" t="s">
        <v>410</v>
      </c>
      <c r="M80" t="s">
        <v>411</v>
      </c>
      <c r="N80" t="s">
        <v>412</v>
      </c>
      <c r="O80">
        <v>10006791</v>
      </c>
      <c r="P80" t="s">
        <v>413</v>
      </c>
      <c r="Q80" s="5" t="str">
        <f>VLOOKUP(TabOceanet[VM_name],TabVMEnv[],3,FALSE)</f>
        <v>Environnement C++ (services d’échange) (dev/qualification)
Windows Server 2003 R2 SP2</v>
      </c>
      <c r="R80" s="5" t="str">
        <f>IF(VLOOKUP(TabOceanet[VM_name],TabVMEnv[],2,FALSE) = "","Non","")</f>
        <v/>
      </c>
      <c r="S80" s="5">
        <f>IF(TabOceanet[[#This Row],[Type_tarif]]="Tarif_VLAN",1,0)</f>
        <v>0</v>
      </c>
      <c r="T80" s="5">
        <f>TabOceanet[[#This Row],[isCalcVlan]]*TabOceanet[[#This Row],[Nb_article]]*Tarif_VLAN</f>
        <v>0</v>
      </c>
      <c r="U80" s="5">
        <f>IF(TabOceanet[[#This Row],[Type_tarif]]="Tarif_IPPUB",1,0)</f>
        <v>0</v>
      </c>
      <c r="V80" s="5">
        <f>TabOceanet[[#This Row],[isCalcIpPub]]*TabOceanet[[#This Row],[Nb_article]]*Tarif_IPPUB</f>
        <v>0</v>
      </c>
      <c r="W80" s="5">
        <f>IF(TabOceanet[[#This Row],[Type_tarif]]="Tarif_DNS",1,0)</f>
        <v>0</v>
      </c>
      <c r="X80" s="5">
        <f>TabOceanet[[#This Row],[isCalcDns]]*TabOceanet[[#This Row],[Nb_article]]*Tarif_DNS</f>
        <v>0</v>
      </c>
      <c r="Y80" s="5">
        <f>IF(TabOceanet[[#This Row],[Type_tarif]]="Tarif_Certificat_X509_Simple",1,0)</f>
        <v>0</v>
      </c>
      <c r="Z80" s="5">
        <f>TabOceanet[[#This Row],[isCalcCertSimple]]*TabOceanet[[#This Row],[Nb_article]]*Tarif_Certificat_X509_Simple</f>
        <v>0</v>
      </c>
      <c r="AA80" s="5">
        <f>IF(TabOceanet[[#This Row],[Type_tarif]]="Tarif_Certificat_X509_Wildcard",1,0)</f>
        <v>0</v>
      </c>
      <c r="AB80" s="5">
        <f>TabOceanet[[#This Row],[isCalcCertWild]]*TabOceanet[[#This Row],[Nb_article]]*Tarif_Certificat_X509_Wildcard</f>
        <v>0</v>
      </c>
      <c r="AC80" s="5">
        <f>IF(TabOceanet[[#This Row],[Type_tarif]]="Tarif_Astreinte_24_24_7_7",1,0)</f>
        <v>0</v>
      </c>
      <c r="AD80" s="5">
        <f>TabOceanet[[#This Row],[isCalcAstreinte247]]*TabOceanet[[#This Row],[Nb_article]]*Tarif_Astreinte_24_24_7_7</f>
        <v>0</v>
      </c>
      <c r="AE80" s="5">
        <f>IF(TabOceanet[[#This Row],[VM_status]]="PoweredOn",1,0)</f>
        <v>1</v>
      </c>
      <c r="AF80" s="17">
        <f>TabOceanet[[#This Row],[VM_mem]]*Tarif_Ram</f>
        <v>6.4</v>
      </c>
      <c r="AG80" s="5" t="str">
        <f>MID(TabOceanet[[#This Row],[Backup]],29,20)</f>
        <v>H1_Ve</v>
      </c>
      <c r="AH80" s="25">
        <f>IF(LEFT(TabOceanet[[#This Row],[TypeBAK]],3)="HOR",Tarif_Backup_Horaire*TabOceanet[[#This Row],[VM_disk]],IF(LEFT(TabOceanet[[#This Row],[TypeBAK]],3)="J15",Tarif_Backup_J15*TabOceanet[[#This Row],[VM_disk]],IF(LEFT(TabOceanet[[#This Row],[TypeBAK]],3)="H1_",Tarif_Backup_J15*TabOceanet[[#This Row],[VM_disk]],0)))</f>
        <v>14.950000000000001</v>
      </c>
      <c r="AI80" s="17">
        <f>TabOceanet[[#This Row],[VM_disk]]*Tarif_disque</f>
        <v>0</v>
      </c>
      <c r="AJ80"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21.35</v>
      </c>
    </row>
    <row r="81" spans="1:36" x14ac:dyDescent="0.25">
      <c r="A81" t="s">
        <v>39</v>
      </c>
      <c r="B81">
        <v>2</v>
      </c>
      <c r="C81">
        <v>4</v>
      </c>
      <c r="D81">
        <v>40</v>
      </c>
      <c r="E81" t="s">
        <v>432</v>
      </c>
      <c r="G81" t="s">
        <v>1275</v>
      </c>
      <c r="H81" t="s">
        <v>1274</v>
      </c>
      <c r="I81" t="s">
        <v>436</v>
      </c>
      <c r="J81" t="s">
        <v>414</v>
      </c>
      <c r="K81" t="s">
        <v>408</v>
      </c>
      <c r="L81" t="s">
        <v>410</v>
      </c>
      <c r="M81" t="s">
        <v>1322</v>
      </c>
      <c r="N81" t="s">
        <v>412</v>
      </c>
      <c r="O81">
        <v>10006791</v>
      </c>
      <c r="P81" t="s">
        <v>413</v>
      </c>
      <c r="Q81" s="5" t="str">
        <f>VLOOKUP(TabOceanet[VM_name],TabVMEnv[],3,FALSE)</f>
        <v>Environnement C++ (services d’échange) (dev/qualification)
Windows Server 2008 R2 SP1</v>
      </c>
      <c r="R81" s="5" t="str">
        <f>IF(VLOOKUP(TabOceanet[VM_name],TabVMEnv[],2,FALSE) = "","Non","")</f>
        <v/>
      </c>
      <c r="S81" s="5">
        <f>IF(TabOceanet[[#This Row],[Type_tarif]]="Tarif_VLAN",1,0)</f>
        <v>0</v>
      </c>
      <c r="T81" s="5">
        <f>TabOceanet[[#This Row],[isCalcVlan]]*TabOceanet[[#This Row],[Nb_article]]*Tarif_VLAN</f>
        <v>0</v>
      </c>
      <c r="U81" s="5">
        <f>IF(TabOceanet[[#This Row],[Type_tarif]]="Tarif_IPPUB",1,0)</f>
        <v>0</v>
      </c>
      <c r="V81" s="5">
        <f>TabOceanet[[#This Row],[isCalcIpPub]]*TabOceanet[[#This Row],[Nb_article]]*Tarif_IPPUB</f>
        <v>0</v>
      </c>
      <c r="W81" s="5">
        <f>IF(TabOceanet[[#This Row],[Type_tarif]]="Tarif_DNS",1,0)</f>
        <v>0</v>
      </c>
      <c r="X81" s="5">
        <f>TabOceanet[[#This Row],[isCalcDns]]*TabOceanet[[#This Row],[Nb_article]]*Tarif_DNS</f>
        <v>0</v>
      </c>
      <c r="Y81" s="5">
        <f>IF(TabOceanet[[#This Row],[Type_tarif]]="Tarif_Certificat_X509_Simple",1,0)</f>
        <v>0</v>
      </c>
      <c r="Z81" s="5">
        <f>TabOceanet[[#This Row],[isCalcCertSimple]]*TabOceanet[[#This Row],[Nb_article]]*Tarif_Certificat_X509_Simple</f>
        <v>0</v>
      </c>
      <c r="AA81" s="5">
        <f>IF(TabOceanet[[#This Row],[Type_tarif]]="Tarif_Certificat_X509_Wildcard",1,0)</f>
        <v>0</v>
      </c>
      <c r="AB81" s="5">
        <f>TabOceanet[[#This Row],[isCalcCertWild]]*TabOceanet[[#This Row],[Nb_article]]*Tarif_Certificat_X509_Wildcard</f>
        <v>0</v>
      </c>
      <c r="AC81" s="5">
        <f>IF(TabOceanet[[#This Row],[Type_tarif]]="Tarif_Astreinte_24_24_7_7",1,0)</f>
        <v>0</v>
      </c>
      <c r="AD81" s="5">
        <f>TabOceanet[[#This Row],[isCalcAstreinte247]]*TabOceanet[[#This Row],[Nb_article]]*Tarif_Astreinte_24_24_7_7</f>
        <v>0</v>
      </c>
      <c r="AE81" s="5">
        <f>IF(TabOceanet[[#This Row],[VM_status]]="PoweredOn",1,0)</f>
        <v>0</v>
      </c>
      <c r="AF81" s="17">
        <f>TabOceanet[[#This Row],[VM_mem]]*Tarif_Ram</f>
        <v>6.4</v>
      </c>
      <c r="AG81" s="5" t="str">
        <f>MID(TabOceanet[[#This Row],[Backup]],29,20)</f>
        <v>J15_1</v>
      </c>
      <c r="AH81" s="25">
        <f>IF(LEFT(TabOceanet[[#This Row],[TypeBAK]],3)="HOR",Tarif_Backup_Horaire*TabOceanet[[#This Row],[VM_disk]],IF(LEFT(TabOceanet[[#This Row],[TypeBAK]],3)="J15",Tarif_Backup_J15*TabOceanet[[#This Row],[VM_disk]],IF(LEFT(TabOceanet[[#This Row],[TypeBAK]],3)="H1_",Tarif_Backup_J15*TabOceanet[[#This Row],[VM_disk]],0)))</f>
        <v>9.2000000000000011</v>
      </c>
      <c r="AI81" s="17">
        <f>TabOceanet[[#This Row],[VM_disk]]*Tarif_disque</f>
        <v>0</v>
      </c>
      <c r="AJ81"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9.2000000000000011</v>
      </c>
    </row>
    <row r="82" spans="1:36" x14ac:dyDescent="0.25">
      <c r="A82" t="s">
        <v>36</v>
      </c>
      <c r="B82">
        <v>2</v>
      </c>
      <c r="C82">
        <v>4</v>
      </c>
      <c r="D82">
        <v>60</v>
      </c>
      <c r="E82" t="s">
        <v>418</v>
      </c>
      <c r="G82" t="s">
        <v>1275</v>
      </c>
      <c r="H82" t="s">
        <v>1274</v>
      </c>
      <c r="I82" t="s">
        <v>419</v>
      </c>
      <c r="J82" t="s">
        <v>414</v>
      </c>
      <c r="K82" t="s">
        <v>408</v>
      </c>
      <c r="L82" t="s">
        <v>410</v>
      </c>
      <c r="M82" t="s">
        <v>430</v>
      </c>
      <c r="N82" t="s">
        <v>412</v>
      </c>
      <c r="O82">
        <v>10006791</v>
      </c>
      <c r="P82" t="s">
        <v>413</v>
      </c>
      <c r="Q82" s="5">
        <f>VLOOKUP(TabOceanet[VM_name],TabVMEnv[],3,FALSE)</f>
        <v>0</v>
      </c>
      <c r="R82" s="5" t="str">
        <f>IF(VLOOKUP(TabOceanet[VM_name],TabVMEnv[],2,FALSE) = "","Non","")</f>
        <v/>
      </c>
      <c r="S82" s="5">
        <f>IF(TabOceanet[[#This Row],[Type_tarif]]="Tarif_VLAN",1,0)</f>
        <v>0</v>
      </c>
      <c r="T82" s="5">
        <f>TabOceanet[[#This Row],[isCalcVlan]]*TabOceanet[[#This Row],[Nb_article]]*Tarif_VLAN</f>
        <v>0</v>
      </c>
      <c r="U82" s="5">
        <f>IF(TabOceanet[[#This Row],[Type_tarif]]="Tarif_IPPUB",1,0)</f>
        <v>0</v>
      </c>
      <c r="V82" s="5">
        <f>TabOceanet[[#This Row],[isCalcIpPub]]*TabOceanet[[#This Row],[Nb_article]]*Tarif_IPPUB</f>
        <v>0</v>
      </c>
      <c r="W82" s="5">
        <f>IF(TabOceanet[[#This Row],[Type_tarif]]="Tarif_DNS",1,0)</f>
        <v>0</v>
      </c>
      <c r="X82" s="5">
        <f>TabOceanet[[#This Row],[isCalcDns]]*TabOceanet[[#This Row],[Nb_article]]*Tarif_DNS</f>
        <v>0</v>
      </c>
      <c r="Y82" s="5">
        <f>IF(TabOceanet[[#This Row],[Type_tarif]]="Tarif_Certificat_X509_Simple",1,0)</f>
        <v>0</v>
      </c>
      <c r="Z82" s="5">
        <f>TabOceanet[[#This Row],[isCalcCertSimple]]*TabOceanet[[#This Row],[Nb_article]]*Tarif_Certificat_X509_Simple</f>
        <v>0</v>
      </c>
      <c r="AA82" s="5">
        <f>IF(TabOceanet[[#This Row],[Type_tarif]]="Tarif_Certificat_X509_Wildcard",1,0)</f>
        <v>0</v>
      </c>
      <c r="AB82" s="5">
        <f>TabOceanet[[#This Row],[isCalcCertWild]]*TabOceanet[[#This Row],[Nb_article]]*Tarif_Certificat_X509_Wildcard</f>
        <v>0</v>
      </c>
      <c r="AC82" s="5">
        <f>IF(TabOceanet[[#This Row],[Type_tarif]]="Tarif_Astreinte_24_24_7_7",1,0)</f>
        <v>0</v>
      </c>
      <c r="AD82" s="5">
        <f>TabOceanet[[#This Row],[isCalcAstreinte247]]*TabOceanet[[#This Row],[Nb_article]]*Tarif_Astreinte_24_24_7_7</f>
        <v>0</v>
      </c>
      <c r="AE82" s="5">
        <f>IF(TabOceanet[[#This Row],[VM_status]]="PoweredOn",1,0)</f>
        <v>1</v>
      </c>
      <c r="AF82" s="17">
        <f>TabOceanet[[#This Row],[VM_mem]]*Tarif_Ram</f>
        <v>6.4</v>
      </c>
      <c r="AG82" s="5" t="str">
        <f>MID(TabOceanet[[#This Row],[Backup]],29,20)</f>
        <v>J15_2</v>
      </c>
      <c r="AH82" s="25">
        <f>IF(LEFT(TabOceanet[[#This Row],[TypeBAK]],3)="HOR",Tarif_Backup_Horaire*TabOceanet[[#This Row],[VM_disk]],IF(LEFT(TabOceanet[[#This Row],[TypeBAK]],3)="J15",Tarif_Backup_J15*TabOceanet[[#This Row],[VM_disk]],IF(LEFT(TabOceanet[[#This Row],[TypeBAK]],3)="H1_",Tarif_Backup_J15*TabOceanet[[#This Row],[VM_disk]],0)))</f>
        <v>13.8</v>
      </c>
      <c r="AI82" s="17">
        <f>TabOceanet[[#This Row],[VM_disk]]*Tarif_disque</f>
        <v>0</v>
      </c>
      <c r="AJ82"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20.200000000000003</v>
      </c>
    </row>
    <row r="83" spans="1:36" x14ac:dyDescent="0.25">
      <c r="A83" t="s">
        <v>41</v>
      </c>
      <c r="B83">
        <v>1</v>
      </c>
      <c r="C83">
        <v>2</v>
      </c>
      <c r="D83">
        <v>50</v>
      </c>
      <c r="E83" t="s">
        <v>437</v>
      </c>
      <c r="G83" t="s">
        <v>1273</v>
      </c>
      <c r="H83" t="s">
        <v>1274</v>
      </c>
      <c r="I83" t="s">
        <v>419</v>
      </c>
      <c r="J83" t="s">
        <v>414</v>
      </c>
      <c r="K83" t="s">
        <v>408</v>
      </c>
      <c r="L83" t="s">
        <v>410</v>
      </c>
      <c r="M83" t="s">
        <v>411</v>
      </c>
      <c r="N83" t="s">
        <v>412</v>
      </c>
      <c r="O83">
        <v>10006791</v>
      </c>
      <c r="P83" t="s">
        <v>413</v>
      </c>
      <c r="Q83" s="5" t="str">
        <f>VLOOKUP(TabOceanet[VM_name],TabVMEnv[],3,FALSE)</f>
        <v>Environnement C++ (services d’échange) (dev/qualification)
Windows Server 2003 R2 SP2</v>
      </c>
      <c r="R83" s="5" t="str">
        <f>IF(VLOOKUP(TabOceanet[VM_name],TabVMEnv[],2,FALSE) = "","Non","")</f>
        <v/>
      </c>
      <c r="S83" s="5">
        <f>IF(TabOceanet[[#This Row],[Type_tarif]]="Tarif_VLAN",1,0)</f>
        <v>0</v>
      </c>
      <c r="T83" s="5">
        <f>TabOceanet[[#This Row],[isCalcVlan]]*TabOceanet[[#This Row],[Nb_article]]*Tarif_VLAN</f>
        <v>0</v>
      </c>
      <c r="U83" s="5">
        <f>IF(TabOceanet[[#This Row],[Type_tarif]]="Tarif_IPPUB",1,0)</f>
        <v>0</v>
      </c>
      <c r="V83" s="5">
        <f>TabOceanet[[#This Row],[isCalcIpPub]]*TabOceanet[[#This Row],[Nb_article]]*Tarif_IPPUB</f>
        <v>0</v>
      </c>
      <c r="W83" s="5">
        <f>IF(TabOceanet[[#This Row],[Type_tarif]]="Tarif_DNS",1,0)</f>
        <v>0</v>
      </c>
      <c r="X83" s="5">
        <f>TabOceanet[[#This Row],[isCalcDns]]*TabOceanet[[#This Row],[Nb_article]]*Tarif_DNS</f>
        <v>0</v>
      </c>
      <c r="Y83" s="5">
        <f>IF(TabOceanet[[#This Row],[Type_tarif]]="Tarif_Certificat_X509_Simple",1,0)</f>
        <v>0</v>
      </c>
      <c r="Z83" s="5">
        <f>TabOceanet[[#This Row],[isCalcCertSimple]]*TabOceanet[[#This Row],[Nb_article]]*Tarif_Certificat_X509_Simple</f>
        <v>0</v>
      </c>
      <c r="AA83" s="5">
        <f>IF(TabOceanet[[#This Row],[Type_tarif]]="Tarif_Certificat_X509_Wildcard",1,0)</f>
        <v>0</v>
      </c>
      <c r="AB83" s="5">
        <f>TabOceanet[[#This Row],[isCalcCertWild]]*TabOceanet[[#This Row],[Nb_article]]*Tarif_Certificat_X509_Wildcard</f>
        <v>0</v>
      </c>
      <c r="AC83" s="5">
        <f>IF(TabOceanet[[#This Row],[Type_tarif]]="Tarif_Astreinte_24_24_7_7",1,0)</f>
        <v>0</v>
      </c>
      <c r="AD83" s="5">
        <f>TabOceanet[[#This Row],[isCalcAstreinte247]]*TabOceanet[[#This Row],[Nb_article]]*Tarif_Astreinte_24_24_7_7</f>
        <v>0</v>
      </c>
      <c r="AE83" s="5">
        <f>IF(TabOceanet[[#This Row],[VM_status]]="PoweredOn",1,0)</f>
        <v>1</v>
      </c>
      <c r="AF83" s="17">
        <f>TabOceanet[[#This Row],[VM_mem]]*Tarif_Ram</f>
        <v>3.2</v>
      </c>
      <c r="AG83" s="5" t="str">
        <f>MID(TabOceanet[[#This Row],[Backup]],29,20)</f>
        <v>H1_Ve</v>
      </c>
      <c r="AH83" s="25">
        <f>IF(LEFT(TabOceanet[[#This Row],[TypeBAK]],3)="HOR",Tarif_Backup_Horaire*TabOceanet[[#This Row],[VM_disk]],IF(LEFT(TabOceanet[[#This Row],[TypeBAK]],3)="J15",Tarif_Backup_J15*TabOceanet[[#This Row],[VM_disk]],IF(LEFT(TabOceanet[[#This Row],[TypeBAK]],3)="H1_",Tarif_Backup_J15*TabOceanet[[#This Row],[VM_disk]],0)))</f>
        <v>11.5</v>
      </c>
      <c r="AI83" s="17">
        <f>TabOceanet[[#This Row],[VM_disk]]*Tarif_disque</f>
        <v>0</v>
      </c>
      <c r="AJ83"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14.7</v>
      </c>
    </row>
    <row r="84" spans="1:36" x14ac:dyDescent="0.25">
      <c r="A84" t="s">
        <v>211</v>
      </c>
      <c r="B84">
        <v>2</v>
      </c>
      <c r="C84">
        <v>3</v>
      </c>
      <c r="D84">
        <v>55</v>
      </c>
      <c r="E84" t="s">
        <v>421</v>
      </c>
      <c r="G84" t="s">
        <v>1273</v>
      </c>
      <c r="H84" t="s">
        <v>1274</v>
      </c>
      <c r="I84" t="s">
        <v>419</v>
      </c>
      <c r="J84" t="s">
        <v>414</v>
      </c>
      <c r="K84" t="s">
        <v>408</v>
      </c>
      <c r="L84" t="s">
        <v>410</v>
      </c>
      <c r="M84" t="s">
        <v>1322</v>
      </c>
      <c r="N84" t="s">
        <v>412</v>
      </c>
      <c r="O84">
        <v>10006791</v>
      </c>
      <c r="P84" t="s">
        <v>413</v>
      </c>
      <c r="Q84" s="5">
        <f>VLOOKUP(TabOceanet[VM_name],TabVMEnv[],3,FALSE)</f>
        <v>0</v>
      </c>
      <c r="R84" s="5" t="str">
        <f>IF(VLOOKUP(TabOceanet[VM_name],TabVMEnv[],2,FALSE) = "","Non","")</f>
        <v/>
      </c>
      <c r="S84" s="5">
        <f>IF(TabOceanet[[#This Row],[Type_tarif]]="Tarif_VLAN",1,0)</f>
        <v>0</v>
      </c>
      <c r="T84" s="5">
        <f>TabOceanet[[#This Row],[isCalcVlan]]*TabOceanet[[#This Row],[Nb_article]]*Tarif_VLAN</f>
        <v>0</v>
      </c>
      <c r="U84" s="5">
        <f>IF(TabOceanet[[#This Row],[Type_tarif]]="Tarif_IPPUB",1,0)</f>
        <v>0</v>
      </c>
      <c r="V84" s="5">
        <f>TabOceanet[[#This Row],[isCalcIpPub]]*TabOceanet[[#This Row],[Nb_article]]*Tarif_IPPUB</f>
        <v>0</v>
      </c>
      <c r="W84" s="5">
        <f>IF(TabOceanet[[#This Row],[Type_tarif]]="Tarif_DNS",1,0)</f>
        <v>0</v>
      </c>
      <c r="X84" s="5">
        <f>TabOceanet[[#This Row],[isCalcDns]]*TabOceanet[[#This Row],[Nb_article]]*Tarif_DNS</f>
        <v>0</v>
      </c>
      <c r="Y84" s="5">
        <f>IF(TabOceanet[[#This Row],[Type_tarif]]="Tarif_Certificat_X509_Simple",1,0)</f>
        <v>0</v>
      </c>
      <c r="Z84" s="5">
        <f>TabOceanet[[#This Row],[isCalcCertSimple]]*TabOceanet[[#This Row],[Nb_article]]*Tarif_Certificat_X509_Simple</f>
        <v>0</v>
      </c>
      <c r="AA84" s="5">
        <f>IF(TabOceanet[[#This Row],[Type_tarif]]="Tarif_Certificat_X509_Wildcard",1,0)</f>
        <v>0</v>
      </c>
      <c r="AB84" s="5">
        <f>TabOceanet[[#This Row],[isCalcCertWild]]*TabOceanet[[#This Row],[Nb_article]]*Tarif_Certificat_X509_Wildcard</f>
        <v>0</v>
      </c>
      <c r="AC84" s="5">
        <f>IF(TabOceanet[[#This Row],[Type_tarif]]="Tarif_Astreinte_24_24_7_7",1,0)</f>
        <v>0</v>
      </c>
      <c r="AD84" s="5">
        <f>TabOceanet[[#This Row],[isCalcAstreinte247]]*TabOceanet[[#This Row],[Nb_article]]*Tarif_Astreinte_24_24_7_7</f>
        <v>0</v>
      </c>
      <c r="AE84" s="5">
        <f>IF(TabOceanet[[#This Row],[VM_status]]="PoweredOn",1,0)</f>
        <v>1</v>
      </c>
      <c r="AF84" s="17">
        <f>TabOceanet[[#This Row],[VM_mem]]*Tarif_Ram</f>
        <v>4.8000000000000007</v>
      </c>
      <c r="AG84" s="5" t="str">
        <f>MID(TabOceanet[[#This Row],[Backup]],29,20)</f>
        <v>J15_1</v>
      </c>
      <c r="AH84" s="25">
        <f>IF(LEFT(TabOceanet[[#This Row],[TypeBAK]],3)="HOR",Tarif_Backup_Horaire*TabOceanet[[#This Row],[VM_disk]],IF(LEFT(TabOceanet[[#This Row],[TypeBAK]],3)="J15",Tarif_Backup_J15*TabOceanet[[#This Row],[VM_disk]],IF(LEFT(TabOceanet[[#This Row],[TypeBAK]],3)="H1_",Tarif_Backup_J15*TabOceanet[[#This Row],[VM_disk]],0)))</f>
        <v>12.65</v>
      </c>
      <c r="AI84" s="17">
        <f>TabOceanet[[#This Row],[VM_disk]]*Tarif_disque</f>
        <v>0</v>
      </c>
      <c r="AJ84"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17.450000000000003</v>
      </c>
    </row>
    <row r="85" spans="1:36" x14ac:dyDescent="0.25">
      <c r="A85" t="s">
        <v>212</v>
      </c>
      <c r="B85">
        <v>2</v>
      </c>
      <c r="C85">
        <v>4</v>
      </c>
      <c r="D85">
        <v>100</v>
      </c>
      <c r="E85" t="s">
        <v>421</v>
      </c>
      <c r="G85" t="s">
        <v>1273</v>
      </c>
      <c r="H85" t="s">
        <v>1274</v>
      </c>
      <c r="I85" t="s">
        <v>419</v>
      </c>
      <c r="J85" t="s">
        <v>414</v>
      </c>
      <c r="K85" t="s">
        <v>408</v>
      </c>
      <c r="L85" t="s">
        <v>410</v>
      </c>
      <c r="M85" t="s">
        <v>1322</v>
      </c>
      <c r="N85" t="s">
        <v>412</v>
      </c>
      <c r="O85">
        <v>10006791</v>
      </c>
      <c r="P85" t="s">
        <v>413</v>
      </c>
      <c r="Q85" s="5">
        <f>VLOOKUP(TabOceanet[VM_name],TabVMEnv[],3,FALSE)</f>
        <v>0</v>
      </c>
      <c r="R85" s="5" t="str">
        <f>IF(VLOOKUP(TabOceanet[VM_name],TabVMEnv[],2,FALSE) = "","Non","")</f>
        <v/>
      </c>
      <c r="S85" s="5">
        <f>IF(TabOceanet[[#This Row],[Type_tarif]]="Tarif_VLAN",1,0)</f>
        <v>0</v>
      </c>
      <c r="T85" s="5">
        <f>TabOceanet[[#This Row],[isCalcVlan]]*TabOceanet[[#This Row],[Nb_article]]*Tarif_VLAN</f>
        <v>0</v>
      </c>
      <c r="U85" s="5">
        <f>IF(TabOceanet[[#This Row],[Type_tarif]]="Tarif_IPPUB",1,0)</f>
        <v>0</v>
      </c>
      <c r="V85" s="5">
        <f>TabOceanet[[#This Row],[isCalcIpPub]]*TabOceanet[[#This Row],[Nb_article]]*Tarif_IPPUB</f>
        <v>0</v>
      </c>
      <c r="W85" s="5">
        <f>IF(TabOceanet[[#This Row],[Type_tarif]]="Tarif_DNS",1,0)</f>
        <v>0</v>
      </c>
      <c r="X85" s="5">
        <f>TabOceanet[[#This Row],[isCalcDns]]*TabOceanet[[#This Row],[Nb_article]]*Tarif_DNS</f>
        <v>0</v>
      </c>
      <c r="Y85" s="5">
        <f>IF(TabOceanet[[#This Row],[Type_tarif]]="Tarif_Certificat_X509_Simple",1,0)</f>
        <v>0</v>
      </c>
      <c r="Z85" s="5">
        <f>TabOceanet[[#This Row],[isCalcCertSimple]]*TabOceanet[[#This Row],[Nb_article]]*Tarif_Certificat_X509_Simple</f>
        <v>0</v>
      </c>
      <c r="AA85" s="5">
        <f>IF(TabOceanet[[#This Row],[Type_tarif]]="Tarif_Certificat_X509_Wildcard",1,0)</f>
        <v>0</v>
      </c>
      <c r="AB85" s="5">
        <f>TabOceanet[[#This Row],[isCalcCertWild]]*TabOceanet[[#This Row],[Nb_article]]*Tarif_Certificat_X509_Wildcard</f>
        <v>0</v>
      </c>
      <c r="AC85" s="5">
        <f>IF(TabOceanet[[#This Row],[Type_tarif]]="Tarif_Astreinte_24_24_7_7",1,0)</f>
        <v>0</v>
      </c>
      <c r="AD85" s="5">
        <f>TabOceanet[[#This Row],[isCalcAstreinte247]]*TabOceanet[[#This Row],[Nb_article]]*Tarif_Astreinte_24_24_7_7</f>
        <v>0</v>
      </c>
      <c r="AE85" s="5">
        <f>IF(TabOceanet[[#This Row],[VM_status]]="PoweredOn",1,0)</f>
        <v>1</v>
      </c>
      <c r="AF85" s="17">
        <f>TabOceanet[[#This Row],[VM_mem]]*Tarif_Ram</f>
        <v>6.4</v>
      </c>
      <c r="AG85" s="5" t="str">
        <f>MID(TabOceanet[[#This Row],[Backup]],29,20)</f>
        <v>J15_1</v>
      </c>
      <c r="AH85" s="25">
        <f>IF(LEFT(TabOceanet[[#This Row],[TypeBAK]],3)="HOR",Tarif_Backup_Horaire*TabOceanet[[#This Row],[VM_disk]],IF(LEFT(TabOceanet[[#This Row],[TypeBAK]],3)="J15",Tarif_Backup_J15*TabOceanet[[#This Row],[VM_disk]],IF(LEFT(TabOceanet[[#This Row],[TypeBAK]],3)="H1_",Tarif_Backup_J15*TabOceanet[[#This Row],[VM_disk]],0)))</f>
        <v>23</v>
      </c>
      <c r="AI85" s="17">
        <f>TabOceanet[[#This Row],[VM_disk]]*Tarif_disque</f>
        <v>0</v>
      </c>
      <c r="AJ85"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29.4</v>
      </c>
    </row>
    <row r="86" spans="1:36" x14ac:dyDescent="0.25">
      <c r="A86" t="s">
        <v>1241</v>
      </c>
      <c r="B86">
        <v>4</v>
      </c>
      <c r="C86">
        <v>4</v>
      </c>
      <c r="D86">
        <v>31</v>
      </c>
      <c r="E86" t="s">
        <v>426</v>
      </c>
      <c r="G86" t="s">
        <v>1273</v>
      </c>
      <c r="H86" t="s">
        <v>1274</v>
      </c>
      <c r="I86" t="s">
        <v>419</v>
      </c>
      <c r="K86" t="s">
        <v>408</v>
      </c>
      <c r="L86" t="s">
        <v>410</v>
      </c>
      <c r="M86" t="s">
        <v>430</v>
      </c>
      <c r="N86" t="s">
        <v>412</v>
      </c>
      <c r="O86">
        <v>10006791</v>
      </c>
      <c r="P86" t="s">
        <v>413</v>
      </c>
      <c r="Q86" s="5">
        <f>VLOOKUP(TabOceanet[VM_name],TabVMEnv[],3,FALSE)</f>
        <v>0</v>
      </c>
      <c r="R86" s="5" t="str">
        <f>IF(VLOOKUP(TabOceanet[VM_name],TabVMEnv[],2,FALSE) = "","Non","")</f>
        <v/>
      </c>
      <c r="S86" s="5">
        <f>IF(TabOceanet[[#This Row],[Type_tarif]]="Tarif_VLAN",1,0)</f>
        <v>0</v>
      </c>
      <c r="T86" s="5">
        <f>TabOceanet[[#This Row],[isCalcVlan]]*TabOceanet[[#This Row],[Nb_article]]*Tarif_VLAN</f>
        <v>0</v>
      </c>
      <c r="U86" s="5">
        <f>IF(TabOceanet[[#This Row],[Type_tarif]]="Tarif_IPPUB",1,0)</f>
        <v>0</v>
      </c>
      <c r="V86" s="5">
        <f>TabOceanet[[#This Row],[isCalcIpPub]]*TabOceanet[[#This Row],[Nb_article]]*Tarif_IPPUB</f>
        <v>0</v>
      </c>
      <c r="W86" s="5">
        <f>IF(TabOceanet[[#This Row],[Type_tarif]]="Tarif_DNS",1,0)</f>
        <v>0</v>
      </c>
      <c r="X86" s="5">
        <f>TabOceanet[[#This Row],[isCalcDns]]*TabOceanet[[#This Row],[Nb_article]]*Tarif_DNS</f>
        <v>0</v>
      </c>
      <c r="Y86" s="5">
        <f>IF(TabOceanet[[#This Row],[Type_tarif]]="Tarif_Certificat_X509_Simple",1,0)</f>
        <v>0</v>
      </c>
      <c r="Z86" s="5">
        <f>TabOceanet[[#This Row],[isCalcCertSimple]]*TabOceanet[[#This Row],[Nb_article]]*Tarif_Certificat_X509_Simple</f>
        <v>0</v>
      </c>
      <c r="AA86" s="5">
        <f>IF(TabOceanet[[#This Row],[Type_tarif]]="Tarif_Certificat_X509_Wildcard",1,0)</f>
        <v>0</v>
      </c>
      <c r="AB86" s="5">
        <f>TabOceanet[[#This Row],[isCalcCertWild]]*TabOceanet[[#This Row],[Nb_article]]*Tarif_Certificat_X509_Wildcard</f>
        <v>0</v>
      </c>
      <c r="AC86" s="5">
        <f>IF(TabOceanet[[#This Row],[Type_tarif]]="Tarif_Astreinte_24_24_7_7",1,0)</f>
        <v>0</v>
      </c>
      <c r="AD86" s="5">
        <f>TabOceanet[[#This Row],[isCalcAstreinte247]]*TabOceanet[[#This Row],[Nb_article]]*Tarif_Astreinte_24_24_7_7</f>
        <v>0</v>
      </c>
      <c r="AE86" s="5">
        <f>IF(TabOceanet[[#This Row],[VM_status]]="PoweredOn",1,0)</f>
        <v>1</v>
      </c>
      <c r="AF86" s="17">
        <f>TabOceanet[[#This Row],[VM_mem]]*Tarif_Ram</f>
        <v>6.4</v>
      </c>
      <c r="AG86" s="5" t="str">
        <f>MID(TabOceanet[[#This Row],[Backup]],29,20)</f>
        <v>J15_2</v>
      </c>
      <c r="AH86" s="25">
        <f>IF(LEFT(TabOceanet[[#This Row],[TypeBAK]],3)="HOR",Tarif_Backup_Horaire*TabOceanet[[#This Row],[VM_disk]],IF(LEFT(TabOceanet[[#This Row],[TypeBAK]],3)="J15",Tarif_Backup_J15*TabOceanet[[#This Row],[VM_disk]],IF(LEFT(TabOceanet[[#This Row],[TypeBAK]],3)="H1_",Tarif_Backup_J15*TabOceanet[[#This Row],[VM_disk]],0)))</f>
        <v>7.13</v>
      </c>
      <c r="AI86" s="17">
        <f>TabOceanet[[#This Row],[VM_disk]]*Tarif_disque</f>
        <v>0</v>
      </c>
      <c r="AJ86"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13.530000000000001</v>
      </c>
    </row>
    <row r="87" spans="1:36" x14ac:dyDescent="0.25">
      <c r="A87" t="s">
        <v>18</v>
      </c>
      <c r="B87">
        <v>1</v>
      </c>
      <c r="C87">
        <v>8</v>
      </c>
      <c r="D87">
        <v>17</v>
      </c>
      <c r="E87" t="s">
        <v>426</v>
      </c>
      <c r="G87" t="s">
        <v>1273</v>
      </c>
      <c r="H87" t="s">
        <v>1274</v>
      </c>
      <c r="I87" t="s">
        <v>419</v>
      </c>
      <c r="K87" t="s">
        <v>408</v>
      </c>
      <c r="L87" t="s">
        <v>410</v>
      </c>
      <c r="M87" t="s">
        <v>1322</v>
      </c>
      <c r="N87" t="s">
        <v>412</v>
      </c>
      <c r="O87">
        <v>10006791</v>
      </c>
      <c r="P87" t="s">
        <v>413</v>
      </c>
      <c r="Q87" s="5" t="str">
        <f>VLOOKUP(TabOceanet[VM_name],TabVMEnv[],3,FALSE)</f>
        <v>v 4.6</v>
      </c>
      <c r="R87" s="5" t="str">
        <f>IF(VLOOKUP(TabOceanet[VM_name],TabVMEnv[],2,FALSE) = "","Non","")</f>
        <v/>
      </c>
      <c r="S87" s="5">
        <f>IF(TabOceanet[[#This Row],[Type_tarif]]="Tarif_VLAN",1,0)</f>
        <v>0</v>
      </c>
      <c r="T87" s="5">
        <f>TabOceanet[[#This Row],[isCalcVlan]]*TabOceanet[[#This Row],[Nb_article]]*Tarif_VLAN</f>
        <v>0</v>
      </c>
      <c r="U87" s="5">
        <f>IF(TabOceanet[[#This Row],[Type_tarif]]="Tarif_IPPUB",1,0)</f>
        <v>0</v>
      </c>
      <c r="V87" s="5">
        <f>TabOceanet[[#This Row],[isCalcIpPub]]*TabOceanet[[#This Row],[Nb_article]]*Tarif_IPPUB</f>
        <v>0</v>
      </c>
      <c r="W87" s="5">
        <f>IF(TabOceanet[[#This Row],[Type_tarif]]="Tarif_DNS",1,0)</f>
        <v>0</v>
      </c>
      <c r="X87" s="5">
        <f>TabOceanet[[#This Row],[isCalcDns]]*TabOceanet[[#This Row],[Nb_article]]*Tarif_DNS</f>
        <v>0</v>
      </c>
      <c r="Y87" s="5">
        <f>IF(TabOceanet[[#This Row],[Type_tarif]]="Tarif_Certificat_X509_Simple",1,0)</f>
        <v>0</v>
      </c>
      <c r="Z87" s="5">
        <f>TabOceanet[[#This Row],[isCalcCertSimple]]*TabOceanet[[#This Row],[Nb_article]]*Tarif_Certificat_X509_Simple</f>
        <v>0</v>
      </c>
      <c r="AA87" s="5">
        <f>IF(TabOceanet[[#This Row],[Type_tarif]]="Tarif_Certificat_X509_Wildcard",1,0)</f>
        <v>0</v>
      </c>
      <c r="AB87" s="5">
        <f>TabOceanet[[#This Row],[isCalcCertWild]]*TabOceanet[[#This Row],[Nb_article]]*Tarif_Certificat_X509_Wildcard</f>
        <v>0</v>
      </c>
      <c r="AC87" s="5">
        <f>IF(TabOceanet[[#This Row],[Type_tarif]]="Tarif_Astreinte_24_24_7_7",1,0)</f>
        <v>0</v>
      </c>
      <c r="AD87" s="5">
        <f>TabOceanet[[#This Row],[isCalcAstreinte247]]*TabOceanet[[#This Row],[Nb_article]]*Tarif_Astreinte_24_24_7_7</f>
        <v>0</v>
      </c>
      <c r="AE87" s="5">
        <f>IF(TabOceanet[[#This Row],[VM_status]]="PoweredOn",1,0)</f>
        <v>1</v>
      </c>
      <c r="AF87" s="17">
        <f>TabOceanet[[#This Row],[VM_mem]]*Tarif_Ram</f>
        <v>12.8</v>
      </c>
      <c r="AG87" s="5" t="str">
        <f>MID(TabOceanet[[#This Row],[Backup]],29,20)</f>
        <v>J15_1</v>
      </c>
      <c r="AH87" s="25">
        <f>IF(LEFT(TabOceanet[[#This Row],[TypeBAK]],3)="HOR",Tarif_Backup_Horaire*TabOceanet[[#This Row],[VM_disk]],IF(LEFT(TabOceanet[[#This Row],[TypeBAK]],3)="J15",Tarif_Backup_J15*TabOceanet[[#This Row],[VM_disk]],IF(LEFT(TabOceanet[[#This Row],[TypeBAK]],3)="H1_",Tarif_Backup_J15*TabOceanet[[#This Row],[VM_disk]],0)))</f>
        <v>3.91</v>
      </c>
      <c r="AI87" s="17">
        <f>TabOceanet[[#This Row],[VM_disk]]*Tarif_disque</f>
        <v>0</v>
      </c>
      <c r="AJ87"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16.71</v>
      </c>
    </row>
    <row r="88" spans="1:36" x14ac:dyDescent="0.25">
      <c r="A88" t="s">
        <v>21</v>
      </c>
      <c r="B88">
        <v>1</v>
      </c>
      <c r="C88">
        <v>8</v>
      </c>
      <c r="D88">
        <v>17</v>
      </c>
      <c r="E88" t="s">
        <v>426</v>
      </c>
      <c r="G88" t="s">
        <v>1273</v>
      </c>
      <c r="H88" t="s">
        <v>1274</v>
      </c>
      <c r="I88" t="s">
        <v>419</v>
      </c>
      <c r="K88" t="s">
        <v>408</v>
      </c>
      <c r="L88" t="s">
        <v>410</v>
      </c>
      <c r="M88" t="s">
        <v>1322</v>
      </c>
      <c r="N88" t="s">
        <v>412</v>
      </c>
      <c r="O88">
        <v>10006791</v>
      </c>
      <c r="P88" t="s">
        <v>413</v>
      </c>
      <c r="Q88" s="5" t="str">
        <f>VLOOKUP(TabOceanet[VM_name],TabVMEnv[],3,FALSE)</f>
        <v>v 4.7</v>
      </c>
      <c r="R88" s="5" t="str">
        <f>IF(VLOOKUP(TabOceanet[VM_name],TabVMEnv[],2,FALSE) = "","Non","")</f>
        <v/>
      </c>
      <c r="S88" s="5">
        <f>IF(TabOceanet[[#This Row],[Type_tarif]]="Tarif_VLAN",1,0)</f>
        <v>0</v>
      </c>
      <c r="T88" s="5">
        <f>TabOceanet[[#This Row],[isCalcVlan]]*TabOceanet[[#This Row],[Nb_article]]*Tarif_VLAN</f>
        <v>0</v>
      </c>
      <c r="U88" s="5">
        <f>IF(TabOceanet[[#This Row],[Type_tarif]]="Tarif_IPPUB",1,0)</f>
        <v>0</v>
      </c>
      <c r="V88" s="5">
        <f>TabOceanet[[#This Row],[isCalcIpPub]]*TabOceanet[[#This Row],[Nb_article]]*Tarif_IPPUB</f>
        <v>0</v>
      </c>
      <c r="W88" s="5">
        <f>IF(TabOceanet[[#This Row],[Type_tarif]]="Tarif_DNS",1,0)</f>
        <v>0</v>
      </c>
      <c r="X88" s="5">
        <f>TabOceanet[[#This Row],[isCalcDns]]*TabOceanet[[#This Row],[Nb_article]]*Tarif_DNS</f>
        <v>0</v>
      </c>
      <c r="Y88" s="5">
        <f>IF(TabOceanet[[#This Row],[Type_tarif]]="Tarif_Certificat_X509_Simple",1,0)</f>
        <v>0</v>
      </c>
      <c r="Z88" s="5">
        <f>TabOceanet[[#This Row],[isCalcCertSimple]]*TabOceanet[[#This Row],[Nb_article]]*Tarif_Certificat_X509_Simple</f>
        <v>0</v>
      </c>
      <c r="AA88" s="5">
        <f>IF(TabOceanet[[#This Row],[Type_tarif]]="Tarif_Certificat_X509_Wildcard",1,0)</f>
        <v>0</v>
      </c>
      <c r="AB88" s="5">
        <f>TabOceanet[[#This Row],[isCalcCertWild]]*TabOceanet[[#This Row],[Nb_article]]*Tarif_Certificat_X509_Wildcard</f>
        <v>0</v>
      </c>
      <c r="AC88" s="5">
        <f>IF(TabOceanet[[#This Row],[Type_tarif]]="Tarif_Astreinte_24_24_7_7",1,0)</f>
        <v>0</v>
      </c>
      <c r="AD88" s="5">
        <f>TabOceanet[[#This Row],[isCalcAstreinte247]]*TabOceanet[[#This Row],[Nb_article]]*Tarif_Astreinte_24_24_7_7</f>
        <v>0</v>
      </c>
      <c r="AE88" s="5">
        <f>IF(TabOceanet[[#This Row],[VM_status]]="PoweredOn",1,0)</f>
        <v>1</v>
      </c>
      <c r="AF88" s="17">
        <f>TabOceanet[[#This Row],[VM_mem]]*Tarif_Ram</f>
        <v>12.8</v>
      </c>
      <c r="AG88" s="5" t="str">
        <f>MID(TabOceanet[[#This Row],[Backup]],29,20)</f>
        <v>J15_1</v>
      </c>
      <c r="AH88" s="25">
        <f>IF(LEFT(TabOceanet[[#This Row],[TypeBAK]],3)="HOR",Tarif_Backup_Horaire*TabOceanet[[#This Row],[VM_disk]],IF(LEFT(TabOceanet[[#This Row],[TypeBAK]],3)="J15",Tarif_Backup_J15*TabOceanet[[#This Row],[VM_disk]],IF(LEFT(TabOceanet[[#This Row],[TypeBAK]],3)="H1_",Tarif_Backup_J15*TabOceanet[[#This Row],[VM_disk]],0)))</f>
        <v>3.91</v>
      </c>
      <c r="AI88" s="17">
        <f>TabOceanet[[#This Row],[VM_disk]]*Tarif_disque</f>
        <v>0</v>
      </c>
      <c r="AJ88"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16.71</v>
      </c>
    </row>
    <row r="89" spans="1:36" x14ac:dyDescent="0.25">
      <c r="A89" t="s">
        <v>26</v>
      </c>
      <c r="B89">
        <v>1</v>
      </c>
      <c r="C89">
        <v>8</v>
      </c>
      <c r="D89">
        <v>17</v>
      </c>
      <c r="E89" t="s">
        <v>426</v>
      </c>
      <c r="G89" t="s">
        <v>1275</v>
      </c>
      <c r="H89" t="s">
        <v>1274</v>
      </c>
      <c r="I89" t="s">
        <v>419</v>
      </c>
      <c r="K89" t="s">
        <v>408</v>
      </c>
      <c r="L89" t="s">
        <v>410</v>
      </c>
      <c r="M89" t="s">
        <v>1322</v>
      </c>
      <c r="N89" t="s">
        <v>412</v>
      </c>
      <c r="O89">
        <v>10006791</v>
      </c>
      <c r="P89" t="s">
        <v>413</v>
      </c>
      <c r="Q89" s="5" t="str">
        <f>VLOOKUP(TabOceanet[VM_name],TabVMEnv[],3,FALSE)</f>
        <v>v 4.6</v>
      </c>
      <c r="R89" s="5" t="str">
        <f>IF(VLOOKUP(TabOceanet[VM_name],TabVMEnv[],2,FALSE) = "","Non","")</f>
        <v/>
      </c>
      <c r="S89" s="5">
        <f>IF(TabOceanet[[#This Row],[Type_tarif]]="Tarif_VLAN",1,0)</f>
        <v>0</v>
      </c>
      <c r="T89" s="5">
        <f>TabOceanet[[#This Row],[isCalcVlan]]*TabOceanet[[#This Row],[Nb_article]]*Tarif_VLAN</f>
        <v>0</v>
      </c>
      <c r="U89" s="5">
        <f>IF(TabOceanet[[#This Row],[Type_tarif]]="Tarif_IPPUB",1,0)</f>
        <v>0</v>
      </c>
      <c r="V89" s="5">
        <f>TabOceanet[[#This Row],[isCalcIpPub]]*TabOceanet[[#This Row],[Nb_article]]*Tarif_IPPUB</f>
        <v>0</v>
      </c>
      <c r="W89" s="5">
        <f>IF(TabOceanet[[#This Row],[Type_tarif]]="Tarif_DNS",1,0)</f>
        <v>0</v>
      </c>
      <c r="X89" s="5">
        <f>TabOceanet[[#This Row],[isCalcDns]]*TabOceanet[[#This Row],[Nb_article]]*Tarif_DNS</f>
        <v>0</v>
      </c>
      <c r="Y89" s="5">
        <f>IF(TabOceanet[[#This Row],[Type_tarif]]="Tarif_Certificat_X509_Simple",1,0)</f>
        <v>0</v>
      </c>
      <c r="Z89" s="5">
        <f>TabOceanet[[#This Row],[isCalcCertSimple]]*TabOceanet[[#This Row],[Nb_article]]*Tarif_Certificat_X509_Simple</f>
        <v>0</v>
      </c>
      <c r="AA89" s="5">
        <f>IF(TabOceanet[[#This Row],[Type_tarif]]="Tarif_Certificat_X509_Wildcard",1,0)</f>
        <v>0</v>
      </c>
      <c r="AB89" s="5">
        <f>TabOceanet[[#This Row],[isCalcCertWild]]*TabOceanet[[#This Row],[Nb_article]]*Tarif_Certificat_X509_Wildcard</f>
        <v>0</v>
      </c>
      <c r="AC89" s="5">
        <f>IF(TabOceanet[[#This Row],[Type_tarif]]="Tarif_Astreinte_24_24_7_7",1,0)</f>
        <v>0</v>
      </c>
      <c r="AD89" s="5">
        <f>TabOceanet[[#This Row],[isCalcAstreinte247]]*TabOceanet[[#This Row],[Nb_article]]*Tarif_Astreinte_24_24_7_7</f>
        <v>0</v>
      </c>
      <c r="AE89" s="5">
        <f>IF(TabOceanet[[#This Row],[VM_status]]="PoweredOn",1,0)</f>
        <v>1</v>
      </c>
      <c r="AF89" s="17">
        <f>TabOceanet[[#This Row],[VM_mem]]*Tarif_Ram</f>
        <v>12.8</v>
      </c>
      <c r="AG89" s="5" t="str">
        <f>MID(TabOceanet[[#This Row],[Backup]],29,20)</f>
        <v>J15_1</v>
      </c>
      <c r="AH89" s="25">
        <f>IF(LEFT(TabOceanet[[#This Row],[TypeBAK]],3)="HOR",Tarif_Backup_Horaire*TabOceanet[[#This Row],[VM_disk]],IF(LEFT(TabOceanet[[#This Row],[TypeBAK]],3)="J15",Tarif_Backup_J15*TabOceanet[[#This Row],[VM_disk]],IF(LEFT(TabOceanet[[#This Row],[TypeBAK]],3)="H1_",Tarif_Backup_J15*TabOceanet[[#This Row],[VM_disk]],0)))</f>
        <v>3.91</v>
      </c>
      <c r="AI89" s="17">
        <f>TabOceanet[[#This Row],[VM_disk]]*Tarif_disque</f>
        <v>0</v>
      </c>
      <c r="AJ89"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16.71</v>
      </c>
    </row>
    <row r="90" spans="1:36" x14ac:dyDescent="0.25">
      <c r="A90" t="s">
        <v>28</v>
      </c>
      <c r="B90">
        <v>1</v>
      </c>
      <c r="C90">
        <v>8</v>
      </c>
      <c r="D90">
        <v>17</v>
      </c>
      <c r="E90" t="s">
        <v>426</v>
      </c>
      <c r="G90" t="s">
        <v>1273</v>
      </c>
      <c r="H90" t="s">
        <v>1300</v>
      </c>
      <c r="I90" t="s">
        <v>419</v>
      </c>
      <c r="K90" t="s">
        <v>408</v>
      </c>
      <c r="L90" t="s">
        <v>410</v>
      </c>
      <c r="M90" t="s">
        <v>430</v>
      </c>
      <c r="N90" t="s">
        <v>412</v>
      </c>
      <c r="O90">
        <v>10006791</v>
      </c>
      <c r="P90" t="s">
        <v>413</v>
      </c>
      <c r="Q90" s="5" t="str">
        <f>VLOOKUP(TabOceanet[VM_name],TabVMEnv[],3,FALSE)</f>
        <v>v 4.7</v>
      </c>
      <c r="R90" s="5" t="str">
        <f>IF(VLOOKUP(TabOceanet[VM_name],TabVMEnv[],2,FALSE) = "","Non","")</f>
        <v/>
      </c>
      <c r="S90" s="5">
        <f>IF(TabOceanet[[#This Row],[Type_tarif]]="Tarif_VLAN",1,0)</f>
        <v>0</v>
      </c>
      <c r="T90" s="5">
        <f>TabOceanet[[#This Row],[isCalcVlan]]*TabOceanet[[#This Row],[Nb_article]]*Tarif_VLAN</f>
        <v>0</v>
      </c>
      <c r="U90" s="5">
        <f>IF(TabOceanet[[#This Row],[Type_tarif]]="Tarif_IPPUB",1,0)</f>
        <v>0</v>
      </c>
      <c r="V90" s="5">
        <f>TabOceanet[[#This Row],[isCalcIpPub]]*TabOceanet[[#This Row],[Nb_article]]*Tarif_IPPUB</f>
        <v>0</v>
      </c>
      <c r="W90" s="5">
        <f>IF(TabOceanet[[#This Row],[Type_tarif]]="Tarif_DNS",1,0)</f>
        <v>0</v>
      </c>
      <c r="X90" s="5">
        <f>TabOceanet[[#This Row],[isCalcDns]]*TabOceanet[[#This Row],[Nb_article]]*Tarif_DNS</f>
        <v>0</v>
      </c>
      <c r="Y90" s="5">
        <f>IF(TabOceanet[[#This Row],[Type_tarif]]="Tarif_Certificat_X509_Simple",1,0)</f>
        <v>0</v>
      </c>
      <c r="Z90" s="5">
        <f>TabOceanet[[#This Row],[isCalcCertSimple]]*TabOceanet[[#This Row],[Nb_article]]*Tarif_Certificat_X509_Simple</f>
        <v>0</v>
      </c>
      <c r="AA90" s="5">
        <f>IF(TabOceanet[[#This Row],[Type_tarif]]="Tarif_Certificat_X509_Wildcard",1,0)</f>
        <v>0</v>
      </c>
      <c r="AB90" s="5">
        <f>TabOceanet[[#This Row],[isCalcCertWild]]*TabOceanet[[#This Row],[Nb_article]]*Tarif_Certificat_X509_Wildcard</f>
        <v>0</v>
      </c>
      <c r="AC90" s="5">
        <f>IF(TabOceanet[[#This Row],[Type_tarif]]="Tarif_Astreinte_24_24_7_7",1,0)</f>
        <v>0</v>
      </c>
      <c r="AD90" s="5">
        <f>TabOceanet[[#This Row],[isCalcAstreinte247]]*TabOceanet[[#This Row],[Nb_article]]*Tarif_Astreinte_24_24_7_7</f>
        <v>0</v>
      </c>
      <c r="AE90" s="5">
        <f>IF(TabOceanet[[#This Row],[VM_status]]="PoweredOn",1,0)</f>
        <v>1</v>
      </c>
      <c r="AF90" s="17">
        <f>TabOceanet[[#This Row],[VM_mem]]*Tarif_Ram</f>
        <v>12.8</v>
      </c>
      <c r="AG90" s="5" t="str">
        <f>MID(TabOceanet[[#This Row],[Backup]],29,20)</f>
        <v>J15_2</v>
      </c>
      <c r="AH90" s="25">
        <f>IF(LEFT(TabOceanet[[#This Row],[TypeBAK]],3)="HOR",Tarif_Backup_Horaire*TabOceanet[[#This Row],[VM_disk]],IF(LEFT(TabOceanet[[#This Row],[TypeBAK]],3)="J15",Tarif_Backup_J15*TabOceanet[[#This Row],[VM_disk]],IF(LEFT(TabOceanet[[#This Row],[TypeBAK]],3)="H1_",Tarif_Backup_J15*TabOceanet[[#This Row],[VM_disk]],0)))</f>
        <v>3.91</v>
      </c>
      <c r="AI90" s="17">
        <f>TabOceanet[[#This Row],[VM_disk]]*Tarif_disque</f>
        <v>0</v>
      </c>
      <c r="AJ90"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16.71</v>
      </c>
    </row>
    <row r="91" spans="1:36" x14ac:dyDescent="0.25">
      <c r="A91" t="s">
        <v>23</v>
      </c>
      <c r="B91">
        <v>1</v>
      </c>
      <c r="C91">
        <v>4</v>
      </c>
      <c r="D91">
        <v>12</v>
      </c>
      <c r="E91" t="s">
        <v>426</v>
      </c>
      <c r="G91" t="s">
        <v>1273</v>
      </c>
      <c r="H91" t="s">
        <v>1300</v>
      </c>
      <c r="I91" t="s">
        <v>419</v>
      </c>
      <c r="K91" t="s">
        <v>408</v>
      </c>
      <c r="L91" t="s">
        <v>410</v>
      </c>
      <c r="M91" t="s">
        <v>430</v>
      </c>
      <c r="N91" t="s">
        <v>412</v>
      </c>
      <c r="O91">
        <v>10006791</v>
      </c>
      <c r="P91" t="s">
        <v>413</v>
      </c>
      <c r="Q91" s="5">
        <f>VLOOKUP(TabOceanet[VM_name],TabVMEnv[],3,FALSE)</f>
        <v>0</v>
      </c>
      <c r="R91" s="5" t="str">
        <f>IF(VLOOKUP(TabOceanet[VM_name],TabVMEnv[],2,FALSE) = "","Non","")</f>
        <v/>
      </c>
      <c r="S91" s="5">
        <f>IF(TabOceanet[[#This Row],[Type_tarif]]="Tarif_VLAN",1,0)</f>
        <v>0</v>
      </c>
      <c r="T91" s="5">
        <f>TabOceanet[[#This Row],[isCalcVlan]]*TabOceanet[[#This Row],[Nb_article]]*Tarif_VLAN</f>
        <v>0</v>
      </c>
      <c r="U91" s="5">
        <f>IF(TabOceanet[[#This Row],[Type_tarif]]="Tarif_IPPUB",1,0)</f>
        <v>0</v>
      </c>
      <c r="V91" s="5">
        <f>TabOceanet[[#This Row],[isCalcIpPub]]*TabOceanet[[#This Row],[Nb_article]]*Tarif_IPPUB</f>
        <v>0</v>
      </c>
      <c r="W91" s="5">
        <f>IF(TabOceanet[[#This Row],[Type_tarif]]="Tarif_DNS",1,0)</f>
        <v>0</v>
      </c>
      <c r="X91" s="5">
        <f>TabOceanet[[#This Row],[isCalcDns]]*TabOceanet[[#This Row],[Nb_article]]*Tarif_DNS</f>
        <v>0</v>
      </c>
      <c r="Y91" s="5">
        <f>IF(TabOceanet[[#This Row],[Type_tarif]]="Tarif_Certificat_X509_Simple",1,0)</f>
        <v>0</v>
      </c>
      <c r="Z91" s="5">
        <f>TabOceanet[[#This Row],[isCalcCertSimple]]*TabOceanet[[#This Row],[Nb_article]]*Tarif_Certificat_X509_Simple</f>
        <v>0</v>
      </c>
      <c r="AA91" s="5">
        <f>IF(TabOceanet[[#This Row],[Type_tarif]]="Tarif_Certificat_X509_Wildcard",1,0)</f>
        <v>0</v>
      </c>
      <c r="AB91" s="5">
        <f>TabOceanet[[#This Row],[isCalcCertWild]]*TabOceanet[[#This Row],[Nb_article]]*Tarif_Certificat_X509_Wildcard</f>
        <v>0</v>
      </c>
      <c r="AC91" s="5">
        <f>IF(TabOceanet[[#This Row],[Type_tarif]]="Tarif_Astreinte_24_24_7_7",1,0)</f>
        <v>0</v>
      </c>
      <c r="AD91" s="5">
        <f>TabOceanet[[#This Row],[isCalcAstreinte247]]*TabOceanet[[#This Row],[Nb_article]]*Tarif_Astreinte_24_24_7_7</f>
        <v>0</v>
      </c>
      <c r="AE91" s="5">
        <f>IF(TabOceanet[[#This Row],[VM_status]]="PoweredOn",1,0)</f>
        <v>1</v>
      </c>
      <c r="AF91" s="17">
        <f>TabOceanet[[#This Row],[VM_mem]]*Tarif_Ram</f>
        <v>6.4</v>
      </c>
      <c r="AG91" s="5" t="str">
        <f>MID(TabOceanet[[#This Row],[Backup]],29,20)</f>
        <v>J15_2</v>
      </c>
      <c r="AH91" s="25">
        <f>IF(LEFT(TabOceanet[[#This Row],[TypeBAK]],3)="HOR",Tarif_Backup_Horaire*TabOceanet[[#This Row],[VM_disk]],IF(LEFT(TabOceanet[[#This Row],[TypeBAK]],3)="J15",Tarif_Backup_J15*TabOceanet[[#This Row],[VM_disk]],IF(LEFT(TabOceanet[[#This Row],[TypeBAK]],3)="H1_",Tarif_Backup_J15*TabOceanet[[#This Row],[VM_disk]],0)))</f>
        <v>2.7600000000000002</v>
      </c>
      <c r="AI91" s="17">
        <f>TabOceanet[[#This Row],[VM_disk]]*Tarif_disque</f>
        <v>0</v>
      </c>
      <c r="AJ91"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9.16</v>
      </c>
    </row>
    <row r="92" spans="1:36" x14ac:dyDescent="0.25">
      <c r="A92" t="s">
        <v>29</v>
      </c>
      <c r="B92">
        <v>1</v>
      </c>
      <c r="C92">
        <v>4</v>
      </c>
      <c r="D92">
        <v>12</v>
      </c>
      <c r="E92" t="s">
        <v>426</v>
      </c>
      <c r="G92" t="s">
        <v>1273</v>
      </c>
      <c r="H92" t="s">
        <v>1300</v>
      </c>
      <c r="I92" t="s">
        <v>419</v>
      </c>
      <c r="K92" t="s">
        <v>408</v>
      </c>
      <c r="L92" t="s">
        <v>410</v>
      </c>
      <c r="M92" t="s">
        <v>430</v>
      </c>
      <c r="N92" t="s">
        <v>412</v>
      </c>
      <c r="O92">
        <v>10006791</v>
      </c>
      <c r="P92" t="s">
        <v>413</v>
      </c>
      <c r="Q92" s="5">
        <f>VLOOKUP(TabOceanet[VM_name],TabVMEnv[],3,FALSE)</f>
        <v>0</v>
      </c>
      <c r="R92" s="5" t="str">
        <f>IF(VLOOKUP(TabOceanet[VM_name],TabVMEnv[],2,FALSE) = "","Non","")</f>
        <v/>
      </c>
      <c r="S92" s="5">
        <f>IF(TabOceanet[[#This Row],[Type_tarif]]="Tarif_VLAN",1,0)</f>
        <v>0</v>
      </c>
      <c r="T92" s="5">
        <f>TabOceanet[[#This Row],[isCalcVlan]]*TabOceanet[[#This Row],[Nb_article]]*Tarif_VLAN</f>
        <v>0</v>
      </c>
      <c r="U92" s="5">
        <f>IF(TabOceanet[[#This Row],[Type_tarif]]="Tarif_IPPUB",1,0)</f>
        <v>0</v>
      </c>
      <c r="V92" s="5">
        <f>TabOceanet[[#This Row],[isCalcIpPub]]*TabOceanet[[#This Row],[Nb_article]]*Tarif_IPPUB</f>
        <v>0</v>
      </c>
      <c r="W92" s="5">
        <f>IF(TabOceanet[[#This Row],[Type_tarif]]="Tarif_DNS",1,0)</f>
        <v>0</v>
      </c>
      <c r="X92" s="5">
        <f>TabOceanet[[#This Row],[isCalcDns]]*TabOceanet[[#This Row],[Nb_article]]*Tarif_DNS</f>
        <v>0</v>
      </c>
      <c r="Y92" s="5">
        <f>IF(TabOceanet[[#This Row],[Type_tarif]]="Tarif_Certificat_X509_Simple",1,0)</f>
        <v>0</v>
      </c>
      <c r="Z92" s="5">
        <f>TabOceanet[[#This Row],[isCalcCertSimple]]*TabOceanet[[#This Row],[Nb_article]]*Tarif_Certificat_X509_Simple</f>
        <v>0</v>
      </c>
      <c r="AA92" s="5">
        <f>IF(TabOceanet[[#This Row],[Type_tarif]]="Tarif_Certificat_X509_Wildcard",1,0)</f>
        <v>0</v>
      </c>
      <c r="AB92" s="5">
        <f>TabOceanet[[#This Row],[isCalcCertWild]]*TabOceanet[[#This Row],[Nb_article]]*Tarif_Certificat_X509_Wildcard</f>
        <v>0</v>
      </c>
      <c r="AC92" s="5">
        <f>IF(TabOceanet[[#This Row],[Type_tarif]]="Tarif_Astreinte_24_24_7_7",1,0)</f>
        <v>0</v>
      </c>
      <c r="AD92" s="5">
        <f>TabOceanet[[#This Row],[isCalcAstreinte247]]*TabOceanet[[#This Row],[Nb_article]]*Tarif_Astreinte_24_24_7_7</f>
        <v>0</v>
      </c>
      <c r="AE92" s="5">
        <f>IF(TabOceanet[[#This Row],[VM_status]]="PoweredOn",1,0)</f>
        <v>1</v>
      </c>
      <c r="AF92" s="17">
        <f>TabOceanet[[#This Row],[VM_mem]]*Tarif_Ram</f>
        <v>6.4</v>
      </c>
      <c r="AG92" s="5" t="str">
        <f>MID(TabOceanet[[#This Row],[Backup]],29,20)</f>
        <v>J15_2</v>
      </c>
      <c r="AH92" s="25">
        <f>IF(LEFT(TabOceanet[[#This Row],[TypeBAK]],3)="HOR",Tarif_Backup_Horaire*TabOceanet[[#This Row],[VM_disk]],IF(LEFT(TabOceanet[[#This Row],[TypeBAK]],3)="J15",Tarif_Backup_J15*TabOceanet[[#This Row],[VM_disk]],IF(LEFT(TabOceanet[[#This Row],[TypeBAK]],3)="H1_",Tarif_Backup_J15*TabOceanet[[#This Row],[VM_disk]],0)))</f>
        <v>2.7600000000000002</v>
      </c>
      <c r="AI92" s="17">
        <f>TabOceanet[[#This Row],[VM_disk]]*Tarif_disque</f>
        <v>0</v>
      </c>
      <c r="AJ92"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9.16</v>
      </c>
    </row>
    <row r="93" spans="1:36" x14ac:dyDescent="0.25">
      <c r="A93" t="s">
        <v>1279</v>
      </c>
      <c r="B93">
        <v>1</v>
      </c>
      <c r="C93">
        <v>2</v>
      </c>
      <c r="D93">
        <v>12</v>
      </c>
      <c r="E93" t="s">
        <v>426</v>
      </c>
      <c r="G93" t="s">
        <v>1273</v>
      </c>
      <c r="H93" t="s">
        <v>1274</v>
      </c>
      <c r="I93" t="s">
        <v>419</v>
      </c>
      <c r="K93" t="s">
        <v>408</v>
      </c>
      <c r="L93" t="s">
        <v>410</v>
      </c>
      <c r="M93" t="s">
        <v>1322</v>
      </c>
      <c r="N93" t="s">
        <v>412</v>
      </c>
      <c r="O93">
        <v>10006791</v>
      </c>
      <c r="P93" t="s">
        <v>413</v>
      </c>
      <c r="Q93" s="5">
        <f>VLOOKUP(TabOceanet[VM_name],TabVMEnv[],3,FALSE)</f>
        <v>0</v>
      </c>
      <c r="R93" s="5" t="str">
        <f>IF(VLOOKUP(TabOceanet[VM_name],TabVMEnv[],2,FALSE) = "","Non","")</f>
        <v/>
      </c>
      <c r="S93" s="5">
        <f>IF(TabOceanet[[#This Row],[Type_tarif]]="Tarif_VLAN",1,0)</f>
        <v>0</v>
      </c>
      <c r="T93" s="5">
        <f>TabOceanet[[#This Row],[isCalcVlan]]*TabOceanet[[#This Row],[Nb_article]]*Tarif_VLAN</f>
        <v>0</v>
      </c>
      <c r="U93" s="5">
        <f>IF(TabOceanet[[#This Row],[Type_tarif]]="Tarif_IPPUB",1,0)</f>
        <v>0</v>
      </c>
      <c r="V93" s="5">
        <f>TabOceanet[[#This Row],[isCalcIpPub]]*TabOceanet[[#This Row],[Nb_article]]*Tarif_IPPUB</f>
        <v>0</v>
      </c>
      <c r="W93" s="5">
        <f>IF(TabOceanet[[#This Row],[Type_tarif]]="Tarif_DNS",1,0)</f>
        <v>0</v>
      </c>
      <c r="X93" s="5">
        <f>TabOceanet[[#This Row],[isCalcDns]]*TabOceanet[[#This Row],[Nb_article]]*Tarif_DNS</f>
        <v>0</v>
      </c>
      <c r="Y93" s="5">
        <f>IF(TabOceanet[[#This Row],[Type_tarif]]="Tarif_Certificat_X509_Simple",1,0)</f>
        <v>0</v>
      </c>
      <c r="Z93" s="5">
        <f>TabOceanet[[#This Row],[isCalcCertSimple]]*TabOceanet[[#This Row],[Nb_article]]*Tarif_Certificat_X509_Simple</f>
        <v>0</v>
      </c>
      <c r="AA93" s="5">
        <f>IF(TabOceanet[[#This Row],[Type_tarif]]="Tarif_Certificat_X509_Wildcard",1,0)</f>
        <v>0</v>
      </c>
      <c r="AB93" s="5">
        <f>TabOceanet[[#This Row],[isCalcCertWild]]*TabOceanet[[#This Row],[Nb_article]]*Tarif_Certificat_X509_Wildcard</f>
        <v>0</v>
      </c>
      <c r="AC93" s="5">
        <f>IF(TabOceanet[[#This Row],[Type_tarif]]="Tarif_Astreinte_24_24_7_7",1,0)</f>
        <v>0</v>
      </c>
      <c r="AD93" s="5">
        <f>TabOceanet[[#This Row],[isCalcAstreinte247]]*TabOceanet[[#This Row],[Nb_article]]*Tarif_Astreinte_24_24_7_7</f>
        <v>0</v>
      </c>
      <c r="AE93" s="5">
        <f>IF(TabOceanet[[#This Row],[VM_status]]="PoweredOn",1,0)</f>
        <v>1</v>
      </c>
      <c r="AF93" s="17">
        <f>TabOceanet[[#This Row],[VM_mem]]*Tarif_Ram</f>
        <v>3.2</v>
      </c>
      <c r="AG93" s="5" t="str">
        <f>MID(TabOceanet[[#This Row],[Backup]],29,20)</f>
        <v>J15_1</v>
      </c>
      <c r="AH93" s="25">
        <f>IF(LEFT(TabOceanet[[#This Row],[TypeBAK]],3)="HOR",Tarif_Backup_Horaire*TabOceanet[[#This Row],[VM_disk]],IF(LEFT(TabOceanet[[#This Row],[TypeBAK]],3)="J15",Tarif_Backup_J15*TabOceanet[[#This Row],[VM_disk]],IF(LEFT(TabOceanet[[#This Row],[TypeBAK]],3)="H1_",Tarif_Backup_J15*TabOceanet[[#This Row],[VM_disk]],0)))</f>
        <v>2.7600000000000002</v>
      </c>
      <c r="AI93" s="17">
        <f>TabOceanet[[#This Row],[VM_disk]]*Tarif_disque</f>
        <v>0</v>
      </c>
      <c r="AJ93"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5.9600000000000009</v>
      </c>
    </row>
    <row r="94" spans="1:36" x14ac:dyDescent="0.25">
      <c r="A94" t="s">
        <v>57</v>
      </c>
      <c r="B94">
        <v>2</v>
      </c>
      <c r="C94">
        <v>2</v>
      </c>
      <c r="D94">
        <v>6</v>
      </c>
      <c r="E94" t="s">
        <v>439</v>
      </c>
      <c r="G94" t="s">
        <v>1275</v>
      </c>
      <c r="H94" t="s">
        <v>1274</v>
      </c>
      <c r="I94" t="s">
        <v>419</v>
      </c>
      <c r="J94" t="s">
        <v>414</v>
      </c>
      <c r="K94" t="s">
        <v>408</v>
      </c>
      <c r="L94" t="s">
        <v>410</v>
      </c>
      <c r="M94" t="s">
        <v>430</v>
      </c>
      <c r="N94" t="s">
        <v>412</v>
      </c>
      <c r="O94">
        <v>10006791</v>
      </c>
      <c r="P94" t="s">
        <v>413</v>
      </c>
      <c r="Q94" s="5" t="str">
        <f>VLOOKUP(TabOceanet[VM_name],TabVMEnv[],3,FALSE)</f>
        <v>Environnement Hornet (Qualification)</v>
      </c>
      <c r="R94" s="5" t="str">
        <f>IF(VLOOKUP(TabOceanet[VM_name],TabVMEnv[],2,FALSE) = "","Non","")</f>
        <v/>
      </c>
      <c r="S94" s="5">
        <f>IF(TabOceanet[[#This Row],[Type_tarif]]="Tarif_VLAN",1,0)</f>
        <v>0</v>
      </c>
      <c r="T94" s="5">
        <f>TabOceanet[[#This Row],[isCalcVlan]]*TabOceanet[[#This Row],[Nb_article]]*Tarif_VLAN</f>
        <v>0</v>
      </c>
      <c r="U94" s="5">
        <f>IF(TabOceanet[[#This Row],[Type_tarif]]="Tarif_IPPUB",1,0)</f>
        <v>0</v>
      </c>
      <c r="V94" s="5">
        <f>TabOceanet[[#This Row],[isCalcIpPub]]*TabOceanet[[#This Row],[Nb_article]]*Tarif_IPPUB</f>
        <v>0</v>
      </c>
      <c r="W94" s="5">
        <f>IF(TabOceanet[[#This Row],[Type_tarif]]="Tarif_DNS",1,0)</f>
        <v>0</v>
      </c>
      <c r="X94" s="5">
        <f>TabOceanet[[#This Row],[isCalcDns]]*TabOceanet[[#This Row],[Nb_article]]*Tarif_DNS</f>
        <v>0</v>
      </c>
      <c r="Y94" s="5">
        <f>IF(TabOceanet[[#This Row],[Type_tarif]]="Tarif_Certificat_X509_Simple",1,0)</f>
        <v>0</v>
      </c>
      <c r="Z94" s="5">
        <f>TabOceanet[[#This Row],[isCalcCertSimple]]*TabOceanet[[#This Row],[Nb_article]]*Tarif_Certificat_X509_Simple</f>
        <v>0</v>
      </c>
      <c r="AA94" s="5">
        <f>IF(TabOceanet[[#This Row],[Type_tarif]]="Tarif_Certificat_X509_Wildcard",1,0)</f>
        <v>0</v>
      </c>
      <c r="AB94" s="5">
        <f>TabOceanet[[#This Row],[isCalcCertWild]]*TabOceanet[[#This Row],[Nb_article]]*Tarif_Certificat_X509_Wildcard</f>
        <v>0</v>
      </c>
      <c r="AC94" s="5">
        <f>IF(TabOceanet[[#This Row],[Type_tarif]]="Tarif_Astreinte_24_24_7_7",1,0)</f>
        <v>0</v>
      </c>
      <c r="AD94" s="5">
        <f>TabOceanet[[#This Row],[isCalcAstreinte247]]*TabOceanet[[#This Row],[Nb_article]]*Tarif_Astreinte_24_24_7_7</f>
        <v>0</v>
      </c>
      <c r="AE94" s="5">
        <f>IF(TabOceanet[[#This Row],[VM_status]]="PoweredOn",1,0)</f>
        <v>1</v>
      </c>
      <c r="AF94" s="17">
        <f>TabOceanet[[#This Row],[VM_mem]]*Tarif_Ram</f>
        <v>3.2</v>
      </c>
      <c r="AG94" s="5" t="str">
        <f>MID(TabOceanet[[#This Row],[Backup]],29,20)</f>
        <v>J15_2</v>
      </c>
      <c r="AH94" s="25">
        <f>IF(LEFT(TabOceanet[[#This Row],[TypeBAK]],3)="HOR",Tarif_Backup_Horaire*TabOceanet[[#This Row],[VM_disk]],IF(LEFT(TabOceanet[[#This Row],[TypeBAK]],3)="J15",Tarif_Backup_J15*TabOceanet[[#This Row],[VM_disk]],IF(LEFT(TabOceanet[[#This Row],[TypeBAK]],3)="H1_",Tarif_Backup_J15*TabOceanet[[#This Row],[VM_disk]],0)))</f>
        <v>1.3800000000000001</v>
      </c>
      <c r="AI94" s="17">
        <f>TabOceanet[[#This Row],[VM_disk]]*Tarif_disque</f>
        <v>0</v>
      </c>
      <c r="AJ94"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4.58</v>
      </c>
    </row>
    <row r="95" spans="1:36" x14ac:dyDescent="0.25">
      <c r="A95" t="s">
        <v>244</v>
      </c>
      <c r="B95">
        <v>2</v>
      </c>
      <c r="C95">
        <v>4</v>
      </c>
      <c r="D95">
        <v>14</v>
      </c>
      <c r="E95" t="s">
        <v>426</v>
      </c>
      <c r="G95" t="s">
        <v>1275</v>
      </c>
      <c r="H95" t="s">
        <v>1300</v>
      </c>
      <c r="I95" t="s">
        <v>419</v>
      </c>
      <c r="J95" t="s">
        <v>414</v>
      </c>
      <c r="K95" t="s">
        <v>408</v>
      </c>
      <c r="L95" t="s">
        <v>410</v>
      </c>
      <c r="M95" t="s">
        <v>420</v>
      </c>
      <c r="N95" t="s">
        <v>412</v>
      </c>
      <c r="O95">
        <v>10006791</v>
      </c>
      <c r="P95" t="s">
        <v>413</v>
      </c>
      <c r="Q95" s="5">
        <f>VLOOKUP(TabOceanet[VM_name],TabVMEnv[],3,FALSE)</f>
        <v>0</v>
      </c>
      <c r="R95" s="5" t="str">
        <f>IF(VLOOKUP(TabOceanet[VM_name],TabVMEnv[],2,FALSE) = "","Non","")</f>
        <v/>
      </c>
      <c r="S95" s="5">
        <f>IF(TabOceanet[[#This Row],[Type_tarif]]="Tarif_VLAN",1,0)</f>
        <v>0</v>
      </c>
      <c r="T95" s="5">
        <f>TabOceanet[[#This Row],[isCalcVlan]]*TabOceanet[[#This Row],[Nb_article]]*Tarif_VLAN</f>
        <v>0</v>
      </c>
      <c r="U95" s="5">
        <f>IF(TabOceanet[[#This Row],[Type_tarif]]="Tarif_IPPUB",1,0)</f>
        <v>0</v>
      </c>
      <c r="V95" s="5">
        <f>TabOceanet[[#This Row],[isCalcIpPub]]*TabOceanet[[#This Row],[Nb_article]]*Tarif_IPPUB</f>
        <v>0</v>
      </c>
      <c r="W95" s="5">
        <f>IF(TabOceanet[[#This Row],[Type_tarif]]="Tarif_DNS",1,0)</f>
        <v>0</v>
      </c>
      <c r="X95" s="5">
        <f>TabOceanet[[#This Row],[isCalcDns]]*TabOceanet[[#This Row],[Nb_article]]*Tarif_DNS</f>
        <v>0</v>
      </c>
      <c r="Y95" s="5">
        <f>IF(TabOceanet[[#This Row],[Type_tarif]]="Tarif_Certificat_X509_Simple",1,0)</f>
        <v>0</v>
      </c>
      <c r="Z95" s="5">
        <f>TabOceanet[[#This Row],[isCalcCertSimple]]*TabOceanet[[#This Row],[Nb_article]]*Tarif_Certificat_X509_Simple</f>
        <v>0</v>
      </c>
      <c r="AA95" s="5">
        <f>IF(TabOceanet[[#This Row],[Type_tarif]]="Tarif_Certificat_X509_Wildcard",1,0)</f>
        <v>0</v>
      </c>
      <c r="AB95" s="5">
        <f>TabOceanet[[#This Row],[isCalcCertWild]]*TabOceanet[[#This Row],[Nb_article]]*Tarif_Certificat_X509_Wildcard</f>
        <v>0</v>
      </c>
      <c r="AC95" s="5">
        <f>IF(TabOceanet[[#This Row],[Type_tarif]]="Tarif_Astreinte_24_24_7_7",1,0)</f>
        <v>0</v>
      </c>
      <c r="AD95" s="5">
        <f>TabOceanet[[#This Row],[isCalcAstreinte247]]*TabOceanet[[#This Row],[Nb_article]]*Tarif_Astreinte_24_24_7_7</f>
        <v>0</v>
      </c>
      <c r="AE95" s="5">
        <f>IF(TabOceanet[[#This Row],[VM_status]]="PoweredOn",1,0)</f>
        <v>1</v>
      </c>
      <c r="AF95" s="17">
        <f>TabOceanet[[#This Row],[VM_mem]]*Tarif_Ram</f>
        <v>6.4</v>
      </c>
      <c r="AG95" s="5" t="str">
        <f>MID(TabOceanet[[#This Row],[Backup]],29,20)</f>
        <v>J15_3</v>
      </c>
      <c r="AH95" s="25">
        <f>IF(LEFT(TabOceanet[[#This Row],[TypeBAK]],3)="HOR",Tarif_Backup_Horaire*TabOceanet[[#This Row],[VM_disk]],IF(LEFT(TabOceanet[[#This Row],[TypeBAK]],3)="J15",Tarif_Backup_J15*TabOceanet[[#This Row],[VM_disk]],IF(LEFT(TabOceanet[[#This Row],[TypeBAK]],3)="H1_",Tarif_Backup_J15*TabOceanet[[#This Row],[VM_disk]],0)))</f>
        <v>3.22</v>
      </c>
      <c r="AI95" s="17">
        <f>TabOceanet[[#This Row],[VM_disk]]*Tarif_disque</f>
        <v>0</v>
      </c>
      <c r="AJ95"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9.620000000000001</v>
      </c>
    </row>
    <row r="96" spans="1:36" x14ac:dyDescent="0.25">
      <c r="A96" t="s">
        <v>245</v>
      </c>
      <c r="B96">
        <v>2</v>
      </c>
      <c r="C96">
        <v>4</v>
      </c>
      <c r="D96">
        <v>14</v>
      </c>
      <c r="E96" t="s">
        <v>426</v>
      </c>
      <c r="G96" t="s">
        <v>1275</v>
      </c>
      <c r="H96" t="s">
        <v>1274</v>
      </c>
      <c r="I96" t="s">
        <v>419</v>
      </c>
      <c r="K96" t="s">
        <v>408</v>
      </c>
      <c r="L96" t="s">
        <v>410</v>
      </c>
      <c r="M96" t="s">
        <v>1322</v>
      </c>
      <c r="N96" t="s">
        <v>412</v>
      </c>
      <c r="O96">
        <v>10006791</v>
      </c>
      <c r="P96" t="s">
        <v>413</v>
      </c>
      <c r="Q96" s="5">
        <f>VLOOKUP(TabOceanet[VM_name],TabVMEnv[],3,FALSE)</f>
        <v>0</v>
      </c>
      <c r="R96" s="5" t="str">
        <f>IF(VLOOKUP(TabOceanet[VM_name],TabVMEnv[],2,FALSE) = "","Non","")</f>
        <v/>
      </c>
      <c r="S96" s="5">
        <f>IF(TabOceanet[[#This Row],[Type_tarif]]="Tarif_VLAN",1,0)</f>
        <v>0</v>
      </c>
      <c r="T96" s="5">
        <f>TabOceanet[[#This Row],[isCalcVlan]]*TabOceanet[[#This Row],[Nb_article]]*Tarif_VLAN</f>
        <v>0</v>
      </c>
      <c r="U96" s="5">
        <f>IF(TabOceanet[[#This Row],[Type_tarif]]="Tarif_IPPUB",1,0)</f>
        <v>0</v>
      </c>
      <c r="V96" s="5">
        <f>TabOceanet[[#This Row],[isCalcIpPub]]*TabOceanet[[#This Row],[Nb_article]]*Tarif_IPPUB</f>
        <v>0</v>
      </c>
      <c r="W96" s="5">
        <f>IF(TabOceanet[[#This Row],[Type_tarif]]="Tarif_DNS",1,0)</f>
        <v>0</v>
      </c>
      <c r="X96" s="5">
        <f>TabOceanet[[#This Row],[isCalcDns]]*TabOceanet[[#This Row],[Nb_article]]*Tarif_DNS</f>
        <v>0</v>
      </c>
      <c r="Y96" s="5">
        <f>IF(TabOceanet[[#This Row],[Type_tarif]]="Tarif_Certificat_X509_Simple",1,0)</f>
        <v>0</v>
      </c>
      <c r="Z96" s="5">
        <f>TabOceanet[[#This Row],[isCalcCertSimple]]*TabOceanet[[#This Row],[Nb_article]]*Tarif_Certificat_X509_Simple</f>
        <v>0</v>
      </c>
      <c r="AA96" s="5">
        <f>IF(TabOceanet[[#This Row],[Type_tarif]]="Tarif_Certificat_X509_Wildcard",1,0)</f>
        <v>0</v>
      </c>
      <c r="AB96" s="5">
        <f>TabOceanet[[#This Row],[isCalcCertWild]]*TabOceanet[[#This Row],[Nb_article]]*Tarif_Certificat_X509_Wildcard</f>
        <v>0</v>
      </c>
      <c r="AC96" s="5">
        <f>IF(TabOceanet[[#This Row],[Type_tarif]]="Tarif_Astreinte_24_24_7_7",1,0)</f>
        <v>0</v>
      </c>
      <c r="AD96" s="5">
        <f>TabOceanet[[#This Row],[isCalcAstreinte247]]*TabOceanet[[#This Row],[Nb_article]]*Tarif_Astreinte_24_24_7_7</f>
        <v>0</v>
      </c>
      <c r="AE96" s="5">
        <f>IF(TabOceanet[[#This Row],[VM_status]]="PoweredOn",1,0)</f>
        <v>1</v>
      </c>
      <c r="AF96" s="17">
        <f>TabOceanet[[#This Row],[VM_mem]]*Tarif_Ram</f>
        <v>6.4</v>
      </c>
      <c r="AG96" s="5" t="str">
        <f>MID(TabOceanet[[#This Row],[Backup]],29,20)</f>
        <v>J15_1</v>
      </c>
      <c r="AH96" s="25">
        <f>IF(LEFT(TabOceanet[[#This Row],[TypeBAK]],3)="HOR",Tarif_Backup_Horaire*TabOceanet[[#This Row],[VM_disk]],IF(LEFT(TabOceanet[[#This Row],[TypeBAK]],3)="J15",Tarif_Backup_J15*TabOceanet[[#This Row],[VM_disk]],IF(LEFT(TabOceanet[[#This Row],[TypeBAK]],3)="H1_",Tarif_Backup_J15*TabOceanet[[#This Row],[VM_disk]],0)))</f>
        <v>3.22</v>
      </c>
      <c r="AI96" s="17">
        <f>TabOceanet[[#This Row],[VM_disk]]*Tarif_disque</f>
        <v>0</v>
      </c>
      <c r="AJ96"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9.620000000000001</v>
      </c>
    </row>
    <row r="97" spans="1:36" x14ac:dyDescent="0.25">
      <c r="A97" t="s">
        <v>246</v>
      </c>
      <c r="B97">
        <v>2</v>
      </c>
      <c r="C97">
        <v>4</v>
      </c>
      <c r="D97">
        <v>14</v>
      </c>
      <c r="E97" t="s">
        <v>426</v>
      </c>
      <c r="G97" t="s">
        <v>1275</v>
      </c>
      <c r="H97" t="s">
        <v>1274</v>
      </c>
      <c r="I97" t="s">
        <v>419</v>
      </c>
      <c r="K97" t="s">
        <v>408</v>
      </c>
      <c r="L97" t="s">
        <v>410</v>
      </c>
      <c r="M97" t="s">
        <v>430</v>
      </c>
      <c r="N97" t="s">
        <v>412</v>
      </c>
      <c r="O97">
        <v>10006791</v>
      </c>
      <c r="P97" t="s">
        <v>413</v>
      </c>
      <c r="Q97" s="5">
        <f>VLOOKUP(TabOceanet[VM_name],TabVMEnv[],3,FALSE)</f>
        <v>0</v>
      </c>
      <c r="R97" s="5" t="str">
        <f>IF(VLOOKUP(TabOceanet[VM_name],TabVMEnv[],2,FALSE) = "","Non","")</f>
        <v/>
      </c>
      <c r="S97" s="5">
        <f>IF(TabOceanet[[#This Row],[Type_tarif]]="Tarif_VLAN",1,0)</f>
        <v>0</v>
      </c>
      <c r="T97" s="5">
        <f>TabOceanet[[#This Row],[isCalcVlan]]*TabOceanet[[#This Row],[Nb_article]]*Tarif_VLAN</f>
        <v>0</v>
      </c>
      <c r="U97" s="5">
        <f>IF(TabOceanet[[#This Row],[Type_tarif]]="Tarif_IPPUB",1,0)</f>
        <v>0</v>
      </c>
      <c r="V97" s="5">
        <f>TabOceanet[[#This Row],[isCalcIpPub]]*TabOceanet[[#This Row],[Nb_article]]*Tarif_IPPUB</f>
        <v>0</v>
      </c>
      <c r="W97" s="5">
        <f>IF(TabOceanet[[#This Row],[Type_tarif]]="Tarif_DNS",1,0)</f>
        <v>0</v>
      </c>
      <c r="X97" s="5">
        <f>TabOceanet[[#This Row],[isCalcDns]]*TabOceanet[[#This Row],[Nb_article]]*Tarif_DNS</f>
        <v>0</v>
      </c>
      <c r="Y97" s="5">
        <f>IF(TabOceanet[[#This Row],[Type_tarif]]="Tarif_Certificat_X509_Simple",1,0)</f>
        <v>0</v>
      </c>
      <c r="Z97" s="5">
        <f>TabOceanet[[#This Row],[isCalcCertSimple]]*TabOceanet[[#This Row],[Nb_article]]*Tarif_Certificat_X509_Simple</f>
        <v>0</v>
      </c>
      <c r="AA97" s="5">
        <f>IF(TabOceanet[[#This Row],[Type_tarif]]="Tarif_Certificat_X509_Wildcard",1,0)</f>
        <v>0</v>
      </c>
      <c r="AB97" s="5">
        <f>TabOceanet[[#This Row],[isCalcCertWild]]*TabOceanet[[#This Row],[Nb_article]]*Tarif_Certificat_X509_Wildcard</f>
        <v>0</v>
      </c>
      <c r="AC97" s="5">
        <f>IF(TabOceanet[[#This Row],[Type_tarif]]="Tarif_Astreinte_24_24_7_7",1,0)</f>
        <v>0</v>
      </c>
      <c r="AD97" s="5">
        <f>TabOceanet[[#This Row],[isCalcAstreinte247]]*TabOceanet[[#This Row],[Nb_article]]*Tarif_Astreinte_24_24_7_7</f>
        <v>0</v>
      </c>
      <c r="AE97" s="5">
        <f>IF(TabOceanet[[#This Row],[VM_status]]="PoweredOn",1,0)</f>
        <v>1</v>
      </c>
      <c r="AF97" s="17">
        <f>TabOceanet[[#This Row],[VM_mem]]*Tarif_Ram</f>
        <v>6.4</v>
      </c>
      <c r="AG97" s="5" t="str">
        <f>MID(TabOceanet[[#This Row],[Backup]],29,20)</f>
        <v>J15_2</v>
      </c>
      <c r="AH97" s="25">
        <f>IF(LEFT(TabOceanet[[#This Row],[TypeBAK]],3)="HOR",Tarif_Backup_Horaire*TabOceanet[[#This Row],[VM_disk]],IF(LEFT(TabOceanet[[#This Row],[TypeBAK]],3)="J15",Tarif_Backup_J15*TabOceanet[[#This Row],[VM_disk]],IF(LEFT(TabOceanet[[#This Row],[TypeBAK]],3)="H1_",Tarif_Backup_J15*TabOceanet[[#This Row],[VM_disk]],0)))</f>
        <v>3.22</v>
      </c>
      <c r="AI97" s="17">
        <f>TabOceanet[[#This Row],[VM_disk]]*Tarif_disque</f>
        <v>0</v>
      </c>
      <c r="AJ97"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9.620000000000001</v>
      </c>
    </row>
    <row r="98" spans="1:36" x14ac:dyDescent="0.25">
      <c r="A98" t="s">
        <v>1280</v>
      </c>
      <c r="B98">
        <v>2</v>
      </c>
      <c r="C98">
        <v>4</v>
      </c>
      <c r="D98">
        <v>14</v>
      </c>
      <c r="E98" t="s">
        <v>426</v>
      </c>
      <c r="G98" t="s">
        <v>1273</v>
      </c>
      <c r="H98" t="s">
        <v>1274</v>
      </c>
      <c r="I98" t="s">
        <v>419</v>
      </c>
      <c r="J98" t="s">
        <v>414</v>
      </c>
      <c r="K98" t="s">
        <v>408</v>
      </c>
      <c r="L98" t="s">
        <v>410</v>
      </c>
      <c r="M98" t="s">
        <v>430</v>
      </c>
      <c r="N98" t="s">
        <v>412</v>
      </c>
      <c r="O98">
        <v>10006791</v>
      </c>
      <c r="P98" t="s">
        <v>413</v>
      </c>
      <c r="Q98" s="5">
        <f>VLOOKUP(TabOceanet[VM_name],TabVMEnv[],3,FALSE)</f>
        <v>0</v>
      </c>
      <c r="R98" s="5" t="str">
        <f>IF(VLOOKUP(TabOceanet[VM_name],TabVMEnv[],2,FALSE) = "","Non","")</f>
        <v/>
      </c>
      <c r="S98" s="5">
        <f>IF(TabOceanet[[#This Row],[Type_tarif]]="Tarif_VLAN",1,0)</f>
        <v>0</v>
      </c>
      <c r="T98" s="5">
        <f>TabOceanet[[#This Row],[isCalcVlan]]*TabOceanet[[#This Row],[Nb_article]]*Tarif_VLAN</f>
        <v>0</v>
      </c>
      <c r="U98" s="5">
        <f>IF(TabOceanet[[#This Row],[Type_tarif]]="Tarif_IPPUB",1,0)</f>
        <v>0</v>
      </c>
      <c r="V98" s="5">
        <f>TabOceanet[[#This Row],[isCalcIpPub]]*TabOceanet[[#This Row],[Nb_article]]*Tarif_IPPUB</f>
        <v>0</v>
      </c>
      <c r="W98" s="5">
        <f>IF(TabOceanet[[#This Row],[Type_tarif]]="Tarif_DNS",1,0)</f>
        <v>0</v>
      </c>
      <c r="X98" s="5">
        <f>TabOceanet[[#This Row],[isCalcDns]]*TabOceanet[[#This Row],[Nb_article]]*Tarif_DNS</f>
        <v>0</v>
      </c>
      <c r="Y98" s="5">
        <f>IF(TabOceanet[[#This Row],[Type_tarif]]="Tarif_Certificat_X509_Simple",1,0)</f>
        <v>0</v>
      </c>
      <c r="Z98" s="5">
        <f>TabOceanet[[#This Row],[isCalcCertSimple]]*TabOceanet[[#This Row],[Nb_article]]*Tarif_Certificat_X509_Simple</f>
        <v>0</v>
      </c>
      <c r="AA98" s="5">
        <f>IF(TabOceanet[[#This Row],[Type_tarif]]="Tarif_Certificat_X509_Wildcard",1,0)</f>
        <v>0</v>
      </c>
      <c r="AB98" s="5">
        <f>TabOceanet[[#This Row],[isCalcCertWild]]*TabOceanet[[#This Row],[Nb_article]]*Tarif_Certificat_X509_Wildcard</f>
        <v>0</v>
      </c>
      <c r="AC98" s="5">
        <f>IF(TabOceanet[[#This Row],[Type_tarif]]="Tarif_Astreinte_24_24_7_7",1,0)</f>
        <v>0</v>
      </c>
      <c r="AD98" s="5">
        <f>TabOceanet[[#This Row],[isCalcAstreinte247]]*TabOceanet[[#This Row],[Nb_article]]*Tarif_Astreinte_24_24_7_7</f>
        <v>0</v>
      </c>
      <c r="AE98" s="5">
        <f>IF(TabOceanet[[#This Row],[VM_status]]="PoweredOn",1,0)</f>
        <v>1</v>
      </c>
      <c r="AF98" s="17">
        <f>TabOceanet[[#This Row],[VM_mem]]*Tarif_Ram</f>
        <v>6.4</v>
      </c>
      <c r="AG98" s="5" t="str">
        <f>MID(TabOceanet[[#This Row],[Backup]],29,20)</f>
        <v>J15_2</v>
      </c>
      <c r="AH98" s="25">
        <f>IF(LEFT(TabOceanet[[#This Row],[TypeBAK]],3)="HOR",Tarif_Backup_Horaire*TabOceanet[[#This Row],[VM_disk]],IF(LEFT(TabOceanet[[#This Row],[TypeBAK]],3)="J15",Tarif_Backup_J15*TabOceanet[[#This Row],[VM_disk]],IF(LEFT(TabOceanet[[#This Row],[TypeBAK]],3)="H1_",Tarif_Backup_J15*TabOceanet[[#This Row],[VM_disk]],0)))</f>
        <v>3.22</v>
      </c>
      <c r="AI98" s="17">
        <f>TabOceanet[[#This Row],[VM_disk]]*Tarif_disque</f>
        <v>0</v>
      </c>
      <c r="AJ98"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9.620000000000001</v>
      </c>
    </row>
    <row r="99" spans="1:36" x14ac:dyDescent="0.25">
      <c r="A99" t="s">
        <v>1301</v>
      </c>
      <c r="B99">
        <v>2</v>
      </c>
      <c r="C99">
        <v>4</v>
      </c>
      <c r="D99">
        <v>14</v>
      </c>
      <c r="E99" t="s">
        <v>426</v>
      </c>
      <c r="G99" t="s">
        <v>1275</v>
      </c>
      <c r="H99" t="s">
        <v>1274</v>
      </c>
      <c r="I99" t="s">
        <v>419</v>
      </c>
      <c r="K99" t="s">
        <v>408</v>
      </c>
      <c r="L99" t="s">
        <v>410</v>
      </c>
      <c r="M99" t="s">
        <v>1322</v>
      </c>
      <c r="N99" t="s">
        <v>412</v>
      </c>
      <c r="O99">
        <v>10006791</v>
      </c>
      <c r="P99" t="s">
        <v>413</v>
      </c>
      <c r="Q99" s="5">
        <f>VLOOKUP(TabOceanet[VM_name],TabVMEnv[],3,FALSE)</f>
        <v>0</v>
      </c>
      <c r="R99" s="5" t="str">
        <f>IF(VLOOKUP(TabOceanet[VM_name],TabVMEnv[],2,FALSE) = "","Non","")</f>
        <v/>
      </c>
      <c r="S99" s="5">
        <f>IF(TabOceanet[[#This Row],[Type_tarif]]="Tarif_VLAN",1,0)</f>
        <v>0</v>
      </c>
      <c r="T99" s="5">
        <f>TabOceanet[[#This Row],[isCalcVlan]]*TabOceanet[[#This Row],[Nb_article]]*Tarif_VLAN</f>
        <v>0</v>
      </c>
      <c r="U99" s="5">
        <f>IF(TabOceanet[[#This Row],[Type_tarif]]="Tarif_IPPUB",1,0)</f>
        <v>0</v>
      </c>
      <c r="V99" s="5">
        <f>TabOceanet[[#This Row],[isCalcIpPub]]*TabOceanet[[#This Row],[Nb_article]]*Tarif_IPPUB</f>
        <v>0</v>
      </c>
      <c r="W99" s="5">
        <f>IF(TabOceanet[[#This Row],[Type_tarif]]="Tarif_DNS",1,0)</f>
        <v>0</v>
      </c>
      <c r="X99" s="5">
        <f>TabOceanet[[#This Row],[isCalcDns]]*TabOceanet[[#This Row],[Nb_article]]*Tarif_DNS</f>
        <v>0</v>
      </c>
      <c r="Y99" s="5">
        <f>IF(TabOceanet[[#This Row],[Type_tarif]]="Tarif_Certificat_X509_Simple",1,0)</f>
        <v>0</v>
      </c>
      <c r="Z99" s="5">
        <f>TabOceanet[[#This Row],[isCalcCertSimple]]*TabOceanet[[#This Row],[Nb_article]]*Tarif_Certificat_X509_Simple</f>
        <v>0</v>
      </c>
      <c r="AA99" s="5">
        <f>IF(TabOceanet[[#This Row],[Type_tarif]]="Tarif_Certificat_X509_Wildcard",1,0)</f>
        <v>0</v>
      </c>
      <c r="AB99" s="5">
        <f>TabOceanet[[#This Row],[isCalcCertWild]]*TabOceanet[[#This Row],[Nb_article]]*Tarif_Certificat_X509_Wildcard</f>
        <v>0</v>
      </c>
      <c r="AC99" s="5">
        <f>IF(TabOceanet[[#This Row],[Type_tarif]]="Tarif_Astreinte_24_24_7_7",1,0)</f>
        <v>0</v>
      </c>
      <c r="AD99" s="5">
        <f>TabOceanet[[#This Row],[isCalcAstreinte247]]*TabOceanet[[#This Row],[Nb_article]]*Tarif_Astreinte_24_24_7_7</f>
        <v>0</v>
      </c>
      <c r="AE99" s="5">
        <f>IF(TabOceanet[[#This Row],[VM_status]]="PoweredOn",1,0)</f>
        <v>1</v>
      </c>
      <c r="AF99" s="17">
        <f>TabOceanet[[#This Row],[VM_mem]]*Tarif_Ram</f>
        <v>6.4</v>
      </c>
      <c r="AG99" s="5" t="str">
        <f>MID(TabOceanet[[#This Row],[Backup]],29,20)</f>
        <v>J15_1</v>
      </c>
      <c r="AH99" s="25">
        <f>IF(LEFT(TabOceanet[[#This Row],[TypeBAK]],3)="HOR",Tarif_Backup_Horaire*TabOceanet[[#This Row],[VM_disk]],IF(LEFT(TabOceanet[[#This Row],[TypeBAK]],3)="J15",Tarif_Backup_J15*TabOceanet[[#This Row],[VM_disk]],IF(LEFT(TabOceanet[[#This Row],[TypeBAK]],3)="H1_",Tarif_Backup_J15*TabOceanet[[#This Row],[VM_disk]],0)))</f>
        <v>3.22</v>
      </c>
      <c r="AI99" s="17">
        <f>TabOceanet[[#This Row],[VM_disk]]*Tarif_disque</f>
        <v>0</v>
      </c>
      <c r="AJ99"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9.620000000000001</v>
      </c>
    </row>
    <row r="100" spans="1:36" x14ac:dyDescent="0.25">
      <c r="A100" t="s">
        <v>32</v>
      </c>
      <c r="B100">
        <v>1</v>
      </c>
      <c r="C100">
        <v>1</v>
      </c>
      <c r="D100">
        <v>21</v>
      </c>
      <c r="E100" t="s">
        <v>423</v>
      </c>
      <c r="G100" t="s">
        <v>1275</v>
      </c>
      <c r="H100" t="s">
        <v>1274</v>
      </c>
      <c r="I100" t="s">
        <v>419</v>
      </c>
      <c r="J100" t="s">
        <v>414</v>
      </c>
      <c r="K100" t="s">
        <v>408</v>
      </c>
      <c r="L100" t="s">
        <v>410</v>
      </c>
      <c r="M100" t="s">
        <v>411</v>
      </c>
      <c r="N100" t="s">
        <v>412</v>
      </c>
      <c r="O100">
        <v>10006791</v>
      </c>
      <c r="P100" t="s">
        <v>413</v>
      </c>
      <c r="Q100" s="5">
        <f>VLOOKUP(TabOceanet[VM_name],TabVMEnv[],3,FALSE)</f>
        <v>0</v>
      </c>
      <c r="R100" s="5" t="str">
        <f>IF(VLOOKUP(TabOceanet[VM_name],TabVMEnv[],2,FALSE) = "","Non","")</f>
        <v/>
      </c>
      <c r="S100" s="5">
        <f>IF(TabOceanet[[#This Row],[Type_tarif]]="Tarif_VLAN",1,0)</f>
        <v>0</v>
      </c>
      <c r="T100" s="5">
        <f>TabOceanet[[#This Row],[isCalcVlan]]*TabOceanet[[#This Row],[Nb_article]]*Tarif_VLAN</f>
        <v>0</v>
      </c>
      <c r="U100" s="5">
        <f>IF(TabOceanet[[#This Row],[Type_tarif]]="Tarif_IPPUB",1,0)</f>
        <v>0</v>
      </c>
      <c r="V100" s="5">
        <f>TabOceanet[[#This Row],[isCalcIpPub]]*TabOceanet[[#This Row],[Nb_article]]*Tarif_IPPUB</f>
        <v>0</v>
      </c>
      <c r="W100" s="5">
        <f>IF(TabOceanet[[#This Row],[Type_tarif]]="Tarif_DNS",1,0)</f>
        <v>0</v>
      </c>
      <c r="X100" s="5">
        <f>TabOceanet[[#This Row],[isCalcDns]]*TabOceanet[[#This Row],[Nb_article]]*Tarif_DNS</f>
        <v>0</v>
      </c>
      <c r="Y100" s="5">
        <f>IF(TabOceanet[[#This Row],[Type_tarif]]="Tarif_Certificat_X509_Simple",1,0)</f>
        <v>0</v>
      </c>
      <c r="Z100" s="5">
        <f>TabOceanet[[#This Row],[isCalcCertSimple]]*TabOceanet[[#This Row],[Nb_article]]*Tarif_Certificat_X509_Simple</f>
        <v>0</v>
      </c>
      <c r="AA100" s="5">
        <f>IF(TabOceanet[[#This Row],[Type_tarif]]="Tarif_Certificat_X509_Wildcard",1,0)</f>
        <v>0</v>
      </c>
      <c r="AB100" s="5">
        <f>TabOceanet[[#This Row],[isCalcCertWild]]*TabOceanet[[#This Row],[Nb_article]]*Tarif_Certificat_X509_Wildcard</f>
        <v>0</v>
      </c>
      <c r="AC100" s="5">
        <f>IF(TabOceanet[[#This Row],[Type_tarif]]="Tarif_Astreinte_24_24_7_7",1,0)</f>
        <v>0</v>
      </c>
      <c r="AD100" s="5">
        <f>TabOceanet[[#This Row],[isCalcAstreinte247]]*TabOceanet[[#This Row],[Nb_article]]*Tarif_Astreinte_24_24_7_7</f>
        <v>0</v>
      </c>
      <c r="AE100" s="5">
        <f>IF(TabOceanet[[#This Row],[VM_status]]="PoweredOn",1,0)</f>
        <v>1</v>
      </c>
      <c r="AF100" s="17">
        <f>TabOceanet[[#This Row],[VM_mem]]*Tarif_Ram</f>
        <v>1.6</v>
      </c>
      <c r="AG100" s="5" t="str">
        <f>MID(TabOceanet[[#This Row],[Backup]],29,20)</f>
        <v>H1_Ve</v>
      </c>
      <c r="AH100" s="25">
        <f>IF(LEFT(TabOceanet[[#This Row],[TypeBAK]],3)="HOR",Tarif_Backup_Horaire*TabOceanet[[#This Row],[VM_disk]],IF(LEFT(TabOceanet[[#This Row],[TypeBAK]],3)="J15",Tarif_Backup_J15*TabOceanet[[#This Row],[VM_disk]],IF(LEFT(TabOceanet[[#This Row],[TypeBAK]],3)="H1_",Tarif_Backup_J15*TabOceanet[[#This Row],[VM_disk]],0)))</f>
        <v>4.83</v>
      </c>
      <c r="AI100" s="17">
        <f>TabOceanet[[#This Row],[VM_disk]]*Tarif_disque</f>
        <v>0</v>
      </c>
      <c r="AJ100"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6.43</v>
      </c>
    </row>
    <row r="101" spans="1:36" x14ac:dyDescent="0.25">
      <c r="A101" t="s">
        <v>1323</v>
      </c>
      <c r="B101">
        <v>1</v>
      </c>
      <c r="C101">
        <v>2</v>
      </c>
      <c r="D101">
        <v>11</v>
      </c>
      <c r="E101" t="s">
        <v>426</v>
      </c>
      <c r="G101" t="s">
        <v>1275</v>
      </c>
      <c r="H101" t="s">
        <v>1274</v>
      </c>
      <c r="I101" t="s">
        <v>419</v>
      </c>
      <c r="K101" t="s">
        <v>408</v>
      </c>
      <c r="L101" t="s">
        <v>410</v>
      </c>
      <c r="M101" t="s">
        <v>430</v>
      </c>
      <c r="N101" t="s">
        <v>412</v>
      </c>
      <c r="O101">
        <v>10006791</v>
      </c>
      <c r="P101" t="s">
        <v>413</v>
      </c>
      <c r="Q101" s="5">
        <f>VLOOKUP(TabOceanet[VM_name],TabVMEnv[],3,FALSE)</f>
        <v>0</v>
      </c>
      <c r="R101" s="5" t="str">
        <f>IF(VLOOKUP(TabOceanet[VM_name],TabVMEnv[],2,FALSE) = "","Non","")</f>
        <v/>
      </c>
      <c r="S101" s="5">
        <f>IF(TabOceanet[[#This Row],[Type_tarif]]="Tarif_VLAN",1,0)</f>
        <v>0</v>
      </c>
      <c r="T101" s="5">
        <f>TabOceanet[[#This Row],[isCalcVlan]]*TabOceanet[[#This Row],[Nb_article]]*Tarif_VLAN</f>
        <v>0</v>
      </c>
      <c r="U101" s="5">
        <f>IF(TabOceanet[[#This Row],[Type_tarif]]="Tarif_IPPUB",1,0)</f>
        <v>0</v>
      </c>
      <c r="V101" s="5">
        <f>TabOceanet[[#This Row],[isCalcIpPub]]*TabOceanet[[#This Row],[Nb_article]]*Tarif_IPPUB</f>
        <v>0</v>
      </c>
      <c r="W101" s="5">
        <f>IF(TabOceanet[[#This Row],[Type_tarif]]="Tarif_DNS",1,0)</f>
        <v>0</v>
      </c>
      <c r="X101" s="5">
        <f>TabOceanet[[#This Row],[isCalcDns]]*TabOceanet[[#This Row],[Nb_article]]*Tarif_DNS</f>
        <v>0</v>
      </c>
      <c r="Y101" s="5">
        <f>IF(TabOceanet[[#This Row],[Type_tarif]]="Tarif_Certificat_X509_Simple",1,0)</f>
        <v>0</v>
      </c>
      <c r="Z101" s="5">
        <f>TabOceanet[[#This Row],[isCalcCertSimple]]*TabOceanet[[#This Row],[Nb_article]]*Tarif_Certificat_X509_Simple</f>
        <v>0</v>
      </c>
      <c r="AA101" s="5">
        <f>IF(TabOceanet[[#This Row],[Type_tarif]]="Tarif_Certificat_X509_Wildcard",1,0)</f>
        <v>0</v>
      </c>
      <c r="AB101" s="5">
        <f>TabOceanet[[#This Row],[isCalcCertWild]]*TabOceanet[[#This Row],[Nb_article]]*Tarif_Certificat_X509_Wildcard</f>
        <v>0</v>
      </c>
      <c r="AC101" s="5">
        <f>IF(TabOceanet[[#This Row],[Type_tarif]]="Tarif_Astreinte_24_24_7_7",1,0)</f>
        <v>0</v>
      </c>
      <c r="AD101" s="5">
        <f>TabOceanet[[#This Row],[isCalcAstreinte247]]*TabOceanet[[#This Row],[Nb_article]]*Tarif_Astreinte_24_24_7_7</f>
        <v>0</v>
      </c>
      <c r="AE101" s="5">
        <f>IF(TabOceanet[[#This Row],[VM_status]]="PoweredOn",1,0)</f>
        <v>1</v>
      </c>
      <c r="AF101" s="17">
        <f>TabOceanet[[#This Row],[VM_mem]]*Tarif_Ram</f>
        <v>3.2</v>
      </c>
      <c r="AG101" s="5" t="str">
        <f>MID(TabOceanet[[#This Row],[Backup]],29,20)</f>
        <v>J15_2</v>
      </c>
      <c r="AH101" s="25">
        <f>IF(LEFT(TabOceanet[[#This Row],[TypeBAK]],3)="HOR",Tarif_Backup_Horaire*TabOceanet[[#This Row],[VM_disk]],IF(LEFT(TabOceanet[[#This Row],[TypeBAK]],3)="J15",Tarif_Backup_J15*TabOceanet[[#This Row],[VM_disk]],IF(LEFT(TabOceanet[[#This Row],[TypeBAK]],3)="H1_",Tarif_Backup_J15*TabOceanet[[#This Row],[VM_disk]],0)))</f>
        <v>2.5300000000000002</v>
      </c>
      <c r="AI101" s="17">
        <f>TabOceanet[[#This Row],[VM_disk]]*Tarif_disque</f>
        <v>0</v>
      </c>
      <c r="AJ101"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5.73</v>
      </c>
    </row>
    <row r="102" spans="1:36" x14ac:dyDescent="0.25">
      <c r="A102" t="s">
        <v>12</v>
      </c>
      <c r="B102">
        <v>1</v>
      </c>
      <c r="C102">
        <v>1</v>
      </c>
      <c r="D102">
        <v>6</v>
      </c>
      <c r="E102" t="s">
        <v>440</v>
      </c>
      <c r="G102" t="s">
        <v>1275</v>
      </c>
      <c r="H102" t="s">
        <v>1274</v>
      </c>
      <c r="I102" t="s">
        <v>419</v>
      </c>
      <c r="J102" t="s">
        <v>414</v>
      </c>
      <c r="K102" t="s">
        <v>408</v>
      </c>
      <c r="L102" t="s">
        <v>410</v>
      </c>
      <c r="M102" t="s">
        <v>430</v>
      </c>
      <c r="N102" t="s">
        <v>412</v>
      </c>
      <c r="O102">
        <v>10006791</v>
      </c>
      <c r="P102" t="s">
        <v>413</v>
      </c>
      <c r="Q102" s="5" t="str">
        <f>VLOOKUP(TabOceanet[VM_name],TabVMEnv[],3,FALSE)</f>
        <v>Mutualisé SAGAIE (multiplateformes)</v>
      </c>
      <c r="R102" s="5" t="str">
        <f>IF(VLOOKUP(TabOceanet[VM_name],TabVMEnv[],2,FALSE) = "","Non","")</f>
        <v/>
      </c>
      <c r="S102" s="5">
        <f>IF(TabOceanet[[#This Row],[Type_tarif]]="Tarif_VLAN",1,0)</f>
        <v>0</v>
      </c>
      <c r="T102" s="5">
        <f>TabOceanet[[#This Row],[isCalcVlan]]*TabOceanet[[#This Row],[Nb_article]]*Tarif_VLAN</f>
        <v>0</v>
      </c>
      <c r="U102" s="5">
        <f>IF(TabOceanet[[#This Row],[Type_tarif]]="Tarif_IPPUB",1,0)</f>
        <v>0</v>
      </c>
      <c r="V102" s="5">
        <f>TabOceanet[[#This Row],[isCalcIpPub]]*TabOceanet[[#This Row],[Nb_article]]*Tarif_IPPUB</f>
        <v>0</v>
      </c>
      <c r="W102" s="5">
        <f>IF(TabOceanet[[#This Row],[Type_tarif]]="Tarif_DNS",1,0)</f>
        <v>0</v>
      </c>
      <c r="X102" s="5">
        <f>TabOceanet[[#This Row],[isCalcDns]]*TabOceanet[[#This Row],[Nb_article]]*Tarif_DNS</f>
        <v>0</v>
      </c>
      <c r="Y102" s="5">
        <f>IF(TabOceanet[[#This Row],[Type_tarif]]="Tarif_Certificat_X509_Simple",1,0)</f>
        <v>0</v>
      </c>
      <c r="Z102" s="5">
        <f>TabOceanet[[#This Row],[isCalcCertSimple]]*TabOceanet[[#This Row],[Nb_article]]*Tarif_Certificat_X509_Simple</f>
        <v>0</v>
      </c>
      <c r="AA102" s="5">
        <f>IF(TabOceanet[[#This Row],[Type_tarif]]="Tarif_Certificat_X509_Wildcard",1,0)</f>
        <v>0</v>
      </c>
      <c r="AB102" s="5">
        <f>TabOceanet[[#This Row],[isCalcCertWild]]*TabOceanet[[#This Row],[Nb_article]]*Tarif_Certificat_X509_Wildcard</f>
        <v>0</v>
      </c>
      <c r="AC102" s="5">
        <f>IF(TabOceanet[[#This Row],[Type_tarif]]="Tarif_Astreinte_24_24_7_7",1,0)</f>
        <v>0</v>
      </c>
      <c r="AD102" s="5">
        <f>TabOceanet[[#This Row],[isCalcAstreinte247]]*TabOceanet[[#This Row],[Nb_article]]*Tarif_Astreinte_24_24_7_7</f>
        <v>0</v>
      </c>
      <c r="AE102" s="5">
        <f>IF(TabOceanet[[#This Row],[VM_status]]="PoweredOn",1,0)</f>
        <v>1</v>
      </c>
      <c r="AF102" s="17">
        <f>TabOceanet[[#This Row],[VM_mem]]*Tarif_Ram</f>
        <v>1.6</v>
      </c>
      <c r="AG102" s="5" t="str">
        <f>MID(TabOceanet[[#This Row],[Backup]],29,20)</f>
        <v>J15_2</v>
      </c>
      <c r="AH102" s="25">
        <f>IF(LEFT(TabOceanet[[#This Row],[TypeBAK]],3)="HOR",Tarif_Backup_Horaire*TabOceanet[[#This Row],[VM_disk]],IF(LEFT(TabOceanet[[#This Row],[TypeBAK]],3)="J15",Tarif_Backup_J15*TabOceanet[[#This Row],[VM_disk]],IF(LEFT(TabOceanet[[#This Row],[TypeBAK]],3)="H1_",Tarif_Backup_J15*TabOceanet[[#This Row],[VM_disk]],0)))</f>
        <v>1.3800000000000001</v>
      </c>
      <c r="AI102" s="17">
        <f>TabOceanet[[#This Row],[VM_disk]]*Tarif_disque</f>
        <v>0</v>
      </c>
      <c r="AJ102"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2.9800000000000004</v>
      </c>
    </row>
    <row r="103" spans="1:36" x14ac:dyDescent="0.25">
      <c r="A103" t="s">
        <v>68</v>
      </c>
      <c r="B103">
        <v>1</v>
      </c>
      <c r="C103">
        <v>1</v>
      </c>
      <c r="D103">
        <v>4</v>
      </c>
      <c r="E103" t="s">
        <v>423</v>
      </c>
      <c r="G103" t="s">
        <v>1275</v>
      </c>
      <c r="H103" t="s">
        <v>1274</v>
      </c>
      <c r="I103" t="s">
        <v>419</v>
      </c>
      <c r="J103" t="s">
        <v>414</v>
      </c>
      <c r="K103" t="s">
        <v>408</v>
      </c>
      <c r="L103" t="s">
        <v>410</v>
      </c>
      <c r="M103" t="s">
        <v>430</v>
      </c>
      <c r="N103" t="s">
        <v>412</v>
      </c>
      <c r="O103">
        <v>10006791</v>
      </c>
      <c r="P103" t="s">
        <v>413</v>
      </c>
      <c r="Q103" s="5">
        <f>VLOOKUP(TabOceanet[VM_name],TabVMEnv[],3,FALSE)</f>
        <v>0</v>
      </c>
      <c r="R103" s="5" t="str">
        <f>IF(VLOOKUP(TabOceanet[VM_name],TabVMEnv[],2,FALSE) = "","Non","")</f>
        <v/>
      </c>
      <c r="S103" s="5">
        <f>IF(TabOceanet[[#This Row],[Type_tarif]]="Tarif_VLAN",1,0)</f>
        <v>0</v>
      </c>
      <c r="T103" s="5">
        <f>TabOceanet[[#This Row],[isCalcVlan]]*TabOceanet[[#This Row],[Nb_article]]*Tarif_VLAN</f>
        <v>0</v>
      </c>
      <c r="U103" s="5">
        <f>IF(TabOceanet[[#This Row],[Type_tarif]]="Tarif_IPPUB",1,0)</f>
        <v>0</v>
      </c>
      <c r="V103" s="5">
        <f>TabOceanet[[#This Row],[isCalcIpPub]]*TabOceanet[[#This Row],[Nb_article]]*Tarif_IPPUB</f>
        <v>0</v>
      </c>
      <c r="W103" s="5">
        <f>IF(TabOceanet[[#This Row],[Type_tarif]]="Tarif_DNS",1,0)</f>
        <v>0</v>
      </c>
      <c r="X103" s="5">
        <f>TabOceanet[[#This Row],[isCalcDns]]*TabOceanet[[#This Row],[Nb_article]]*Tarif_DNS</f>
        <v>0</v>
      </c>
      <c r="Y103" s="5">
        <f>IF(TabOceanet[[#This Row],[Type_tarif]]="Tarif_Certificat_X509_Simple",1,0)</f>
        <v>0</v>
      </c>
      <c r="Z103" s="5">
        <f>TabOceanet[[#This Row],[isCalcCertSimple]]*TabOceanet[[#This Row],[Nb_article]]*Tarif_Certificat_X509_Simple</f>
        <v>0</v>
      </c>
      <c r="AA103" s="5">
        <f>IF(TabOceanet[[#This Row],[Type_tarif]]="Tarif_Certificat_X509_Wildcard",1,0)</f>
        <v>0</v>
      </c>
      <c r="AB103" s="5">
        <f>TabOceanet[[#This Row],[isCalcCertWild]]*TabOceanet[[#This Row],[Nb_article]]*Tarif_Certificat_X509_Wildcard</f>
        <v>0</v>
      </c>
      <c r="AC103" s="5">
        <f>IF(TabOceanet[[#This Row],[Type_tarif]]="Tarif_Astreinte_24_24_7_7",1,0)</f>
        <v>0</v>
      </c>
      <c r="AD103" s="5">
        <f>TabOceanet[[#This Row],[isCalcAstreinte247]]*TabOceanet[[#This Row],[Nb_article]]*Tarif_Astreinte_24_24_7_7</f>
        <v>0</v>
      </c>
      <c r="AE103" s="5">
        <f>IF(TabOceanet[[#This Row],[VM_status]]="PoweredOn",1,0)</f>
        <v>1</v>
      </c>
      <c r="AF103" s="17">
        <f>TabOceanet[[#This Row],[VM_mem]]*Tarif_Ram</f>
        <v>1.6</v>
      </c>
      <c r="AG103" s="5" t="str">
        <f>MID(TabOceanet[[#This Row],[Backup]],29,20)</f>
        <v>J15_2</v>
      </c>
      <c r="AH103" s="25">
        <f>IF(LEFT(TabOceanet[[#This Row],[TypeBAK]],3)="HOR",Tarif_Backup_Horaire*TabOceanet[[#This Row],[VM_disk]],IF(LEFT(TabOceanet[[#This Row],[TypeBAK]],3)="J15",Tarif_Backup_J15*TabOceanet[[#This Row],[VM_disk]],IF(LEFT(TabOceanet[[#This Row],[TypeBAK]],3)="H1_",Tarif_Backup_J15*TabOceanet[[#This Row],[VM_disk]],0)))</f>
        <v>0.92</v>
      </c>
      <c r="AI103" s="17">
        <f>TabOceanet[[#This Row],[VM_disk]]*Tarif_disque</f>
        <v>0</v>
      </c>
      <c r="AJ103"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2.52</v>
      </c>
    </row>
    <row r="104" spans="1:36" x14ac:dyDescent="0.25">
      <c r="A104" t="s">
        <v>66</v>
      </c>
      <c r="B104">
        <v>4</v>
      </c>
      <c r="C104">
        <v>4</v>
      </c>
      <c r="D104">
        <v>179</v>
      </c>
      <c r="E104" t="s">
        <v>423</v>
      </c>
      <c r="G104" t="s">
        <v>1275</v>
      </c>
      <c r="H104" t="s">
        <v>1274</v>
      </c>
      <c r="I104" t="s">
        <v>436</v>
      </c>
      <c r="J104" t="s">
        <v>414</v>
      </c>
      <c r="K104" t="s">
        <v>408</v>
      </c>
      <c r="L104" t="s">
        <v>410</v>
      </c>
      <c r="M104" t="s">
        <v>411</v>
      </c>
      <c r="N104" t="s">
        <v>412</v>
      </c>
      <c r="O104">
        <v>10006791</v>
      </c>
      <c r="P104" t="s">
        <v>413</v>
      </c>
      <c r="Q104" s="5" t="str">
        <f>VLOOKUP(TabOceanet[VM_name],TabVMEnv[],3,FALSE)</f>
        <v>A archiver ?</v>
      </c>
      <c r="R104" s="5" t="str">
        <f>IF(VLOOKUP(TabOceanet[VM_name],TabVMEnv[],2,FALSE) = "","Non","")</f>
        <v/>
      </c>
      <c r="S104" s="5">
        <f>IF(TabOceanet[[#This Row],[Type_tarif]]="Tarif_VLAN",1,0)</f>
        <v>0</v>
      </c>
      <c r="T104" s="5">
        <f>TabOceanet[[#This Row],[isCalcVlan]]*TabOceanet[[#This Row],[Nb_article]]*Tarif_VLAN</f>
        <v>0</v>
      </c>
      <c r="U104" s="5">
        <f>IF(TabOceanet[[#This Row],[Type_tarif]]="Tarif_IPPUB",1,0)</f>
        <v>0</v>
      </c>
      <c r="V104" s="5">
        <f>TabOceanet[[#This Row],[isCalcIpPub]]*TabOceanet[[#This Row],[Nb_article]]*Tarif_IPPUB</f>
        <v>0</v>
      </c>
      <c r="W104" s="5">
        <f>IF(TabOceanet[[#This Row],[Type_tarif]]="Tarif_DNS",1,0)</f>
        <v>0</v>
      </c>
      <c r="X104" s="5">
        <f>TabOceanet[[#This Row],[isCalcDns]]*TabOceanet[[#This Row],[Nb_article]]*Tarif_DNS</f>
        <v>0</v>
      </c>
      <c r="Y104" s="5">
        <f>IF(TabOceanet[[#This Row],[Type_tarif]]="Tarif_Certificat_X509_Simple",1,0)</f>
        <v>0</v>
      </c>
      <c r="Z104" s="5">
        <f>TabOceanet[[#This Row],[isCalcCertSimple]]*TabOceanet[[#This Row],[Nb_article]]*Tarif_Certificat_X509_Simple</f>
        <v>0</v>
      </c>
      <c r="AA104" s="5">
        <f>IF(TabOceanet[[#This Row],[Type_tarif]]="Tarif_Certificat_X509_Wildcard",1,0)</f>
        <v>0</v>
      </c>
      <c r="AB104" s="5">
        <f>TabOceanet[[#This Row],[isCalcCertWild]]*TabOceanet[[#This Row],[Nb_article]]*Tarif_Certificat_X509_Wildcard</f>
        <v>0</v>
      </c>
      <c r="AC104" s="5">
        <f>IF(TabOceanet[[#This Row],[Type_tarif]]="Tarif_Astreinte_24_24_7_7",1,0)</f>
        <v>0</v>
      </c>
      <c r="AD104" s="5">
        <f>TabOceanet[[#This Row],[isCalcAstreinte247]]*TabOceanet[[#This Row],[Nb_article]]*Tarif_Astreinte_24_24_7_7</f>
        <v>0</v>
      </c>
      <c r="AE104" s="5">
        <f>IF(TabOceanet[[#This Row],[VM_status]]="PoweredOn",1,0)</f>
        <v>0</v>
      </c>
      <c r="AF104" s="17">
        <f>TabOceanet[[#This Row],[VM_mem]]*Tarif_Ram</f>
        <v>6.4</v>
      </c>
      <c r="AG104" s="5" t="str">
        <f>MID(TabOceanet[[#This Row],[Backup]],29,20)</f>
        <v>H1_Ve</v>
      </c>
      <c r="AH104" s="25">
        <f>IF(LEFT(TabOceanet[[#This Row],[TypeBAK]],3)="HOR",Tarif_Backup_Horaire*TabOceanet[[#This Row],[VM_disk]],IF(LEFT(TabOceanet[[#This Row],[TypeBAK]],3)="J15",Tarif_Backup_J15*TabOceanet[[#This Row],[VM_disk]],IF(LEFT(TabOceanet[[#This Row],[TypeBAK]],3)="H1_",Tarif_Backup_J15*TabOceanet[[#This Row],[VM_disk]],0)))</f>
        <v>41.17</v>
      </c>
      <c r="AI104" s="17">
        <f>TabOceanet[[#This Row],[VM_disk]]*Tarif_disque</f>
        <v>0</v>
      </c>
      <c r="AJ104"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41.17</v>
      </c>
    </row>
    <row r="105" spans="1:36" x14ac:dyDescent="0.25">
      <c r="A105" t="s">
        <v>1324</v>
      </c>
      <c r="B105">
        <v>2</v>
      </c>
      <c r="C105">
        <v>8</v>
      </c>
      <c r="D105">
        <v>48</v>
      </c>
      <c r="E105" t="s">
        <v>443</v>
      </c>
      <c r="G105" t="s">
        <v>1273</v>
      </c>
      <c r="H105" t="s">
        <v>1274</v>
      </c>
      <c r="I105" t="s">
        <v>419</v>
      </c>
      <c r="K105" t="s">
        <v>408</v>
      </c>
      <c r="L105" t="s">
        <v>410</v>
      </c>
      <c r="M105" t="s">
        <v>1322</v>
      </c>
      <c r="N105" t="s">
        <v>412</v>
      </c>
      <c r="O105">
        <v>10006791</v>
      </c>
      <c r="P105" t="s">
        <v>413</v>
      </c>
      <c r="Q105" s="5" t="str">
        <f>VLOOKUP(TabOceanet[VM_name],TabVMEnv[],3,FALSE)</f>
        <v>Pic MEAE Supervisa VISMAIL</v>
      </c>
      <c r="R105" s="5" t="str">
        <f>IF(VLOOKUP(TabOceanet[VM_name],TabVMEnv[],2,FALSE) = "","Non","")</f>
        <v/>
      </c>
      <c r="S105" s="5">
        <f>IF(TabOceanet[[#This Row],[Type_tarif]]="Tarif_VLAN",1,0)</f>
        <v>0</v>
      </c>
      <c r="T105" s="5">
        <f>TabOceanet[[#This Row],[isCalcVlan]]*TabOceanet[[#This Row],[Nb_article]]*Tarif_VLAN</f>
        <v>0</v>
      </c>
      <c r="U105" s="5">
        <f>IF(TabOceanet[[#This Row],[Type_tarif]]="Tarif_IPPUB",1,0)</f>
        <v>0</v>
      </c>
      <c r="V105" s="5">
        <f>TabOceanet[[#This Row],[isCalcIpPub]]*TabOceanet[[#This Row],[Nb_article]]*Tarif_IPPUB</f>
        <v>0</v>
      </c>
      <c r="W105" s="5">
        <f>IF(TabOceanet[[#This Row],[Type_tarif]]="Tarif_DNS",1,0)</f>
        <v>0</v>
      </c>
      <c r="X105" s="5">
        <f>TabOceanet[[#This Row],[isCalcDns]]*TabOceanet[[#This Row],[Nb_article]]*Tarif_DNS</f>
        <v>0</v>
      </c>
      <c r="Y105" s="5">
        <f>IF(TabOceanet[[#This Row],[Type_tarif]]="Tarif_Certificat_X509_Simple",1,0)</f>
        <v>0</v>
      </c>
      <c r="Z105" s="5">
        <f>TabOceanet[[#This Row],[isCalcCertSimple]]*TabOceanet[[#This Row],[Nb_article]]*Tarif_Certificat_X509_Simple</f>
        <v>0</v>
      </c>
      <c r="AA105" s="5">
        <f>IF(TabOceanet[[#This Row],[Type_tarif]]="Tarif_Certificat_X509_Wildcard",1,0)</f>
        <v>0</v>
      </c>
      <c r="AB105" s="5">
        <f>TabOceanet[[#This Row],[isCalcCertWild]]*TabOceanet[[#This Row],[Nb_article]]*Tarif_Certificat_X509_Wildcard</f>
        <v>0</v>
      </c>
      <c r="AC105" s="5">
        <f>IF(TabOceanet[[#This Row],[Type_tarif]]="Tarif_Astreinte_24_24_7_7",1,0)</f>
        <v>0</v>
      </c>
      <c r="AD105" s="5">
        <f>TabOceanet[[#This Row],[isCalcAstreinte247]]*TabOceanet[[#This Row],[Nb_article]]*Tarif_Astreinte_24_24_7_7</f>
        <v>0</v>
      </c>
      <c r="AE105" s="5">
        <f>IF(TabOceanet[[#This Row],[VM_status]]="PoweredOn",1,0)</f>
        <v>1</v>
      </c>
      <c r="AF105" s="17">
        <f>TabOceanet[[#This Row],[VM_mem]]*Tarif_Ram</f>
        <v>12.8</v>
      </c>
      <c r="AG105" s="5" t="str">
        <f>MID(TabOceanet[[#This Row],[Backup]],29,20)</f>
        <v>J15_1</v>
      </c>
      <c r="AH105" s="25">
        <f>IF(LEFT(TabOceanet[[#This Row],[TypeBAK]],3)="HOR",Tarif_Backup_Horaire*TabOceanet[[#This Row],[VM_disk]],IF(LEFT(TabOceanet[[#This Row],[TypeBAK]],3)="J15",Tarif_Backup_J15*TabOceanet[[#This Row],[VM_disk]],IF(LEFT(TabOceanet[[#This Row],[TypeBAK]],3)="H1_",Tarif_Backup_J15*TabOceanet[[#This Row],[VM_disk]],0)))</f>
        <v>11.040000000000001</v>
      </c>
      <c r="AI105" s="17">
        <f>TabOceanet[[#This Row],[VM_disk]]*Tarif_disque</f>
        <v>0</v>
      </c>
      <c r="AJ105"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23.840000000000003</v>
      </c>
    </row>
    <row r="106" spans="1:36" x14ac:dyDescent="0.25">
      <c r="A106" t="s">
        <v>15</v>
      </c>
      <c r="B106">
        <v>1</v>
      </c>
      <c r="C106">
        <v>1</v>
      </c>
      <c r="D106">
        <v>19</v>
      </c>
      <c r="E106" t="s">
        <v>440</v>
      </c>
      <c r="G106" t="s">
        <v>1275</v>
      </c>
      <c r="H106" t="s">
        <v>1274</v>
      </c>
      <c r="I106" t="s">
        <v>419</v>
      </c>
      <c r="J106" t="s">
        <v>414</v>
      </c>
      <c r="K106" t="s">
        <v>408</v>
      </c>
      <c r="L106" t="s">
        <v>410</v>
      </c>
      <c r="M106" t="s">
        <v>430</v>
      </c>
      <c r="N106" t="s">
        <v>412</v>
      </c>
      <c r="O106">
        <v>10006791</v>
      </c>
      <c r="P106" t="s">
        <v>413</v>
      </c>
      <c r="Q106" s="5" t="str">
        <f>VLOOKUP(TabOceanet[VM_name],TabVMEnv[],3,FALSE)</f>
        <v xml:space="preserve">A éteindre dans un futur proche
PGSQL non SSL
…. QUID utilisation rendez-vous ?
</v>
      </c>
      <c r="R106" s="5" t="str">
        <f>IF(VLOOKUP(TabOceanet[VM_name],TabVMEnv[],2,FALSE) = "","Non","")</f>
        <v/>
      </c>
      <c r="S106" s="5">
        <f>IF(TabOceanet[[#This Row],[Type_tarif]]="Tarif_VLAN",1,0)</f>
        <v>0</v>
      </c>
      <c r="T106" s="5">
        <f>TabOceanet[[#This Row],[isCalcVlan]]*TabOceanet[[#This Row],[Nb_article]]*Tarif_VLAN</f>
        <v>0</v>
      </c>
      <c r="U106" s="5">
        <f>IF(TabOceanet[[#This Row],[Type_tarif]]="Tarif_IPPUB",1,0)</f>
        <v>0</v>
      </c>
      <c r="V106" s="5">
        <f>TabOceanet[[#This Row],[isCalcIpPub]]*TabOceanet[[#This Row],[Nb_article]]*Tarif_IPPUB</f>
        <v>0</v>
      </c>
      <c r="W106" s="5">
        <f>IF(TabOceanet[[#This Row],[Type_tarif]]="Tarif_DNS",1,0)</f>
        <v>0</v>
      </c>
      <c r="X106" s="5">
        <f>TabOceanet[[#This Row],[isCalcDns]]*TabOceanet[[#This Row],[Nb_article]]*Tarif_DNS</f>
        <v>0</v>
      </c>
      <c r="Y106" s="5">
        <f>IF(TabOceanet[[#This Row],[Type_tarif]]="Tarif_Certificat_X509_Simple",1,0)</f>
        <v>0</v>
      </c>
      <c r="Z106" s="5">
        <f>TabOceanet[[#This Row],[isCalcCertSimple]]*TabOceanet[[#This Row],[Nb_article]]*Tarif_Certificat_X509_Simple</f>
        <v>0</v>
      </c>
      <c r="AA106" s="5">
        <f>IF(TabOceanet[[#This Row],[Type_tarif]]="Tarif_Certificat_X509_Wildcard",1,0)</f>
        <v>0</v>
      </c>
      <c r="AB106" s="5">
        <f>TabOceanet[[#This Row],[isCalcCertWild]]*TabOceanet[[#This Row],[Nb_article]]*Tarif_Certificat_X509_Wildcard</f>
        <v>0</v>
      </c>
      <c r="AC106" s="5">
        <f>IF(TabOceanet[[#This Row],[Type_tarif]]="Tarif_Astreinte_24_24_7_7",1,0)</f>
        <v>0</v>
      </c>
      <c r="AD106" s="5">
        <f>TabOceanet[[#This Row],[isCalcAstreinte247]]*TabOceanet[[#This Row],[Nb_article]]*Tarif_Astreinte_24_24_7_7</f>
        <v>0</v>
      </c>
      <c r="AE106" s="5">
        <f>IF(TabOceanet[[#This Row],[VM_status]]="PoweredOn",1,0)</f>
        <v>1</v>
      </c>
      <c r="AF106" s="17">
        <f>TabOceanet[[#This Row],[VM_mem]]*Tarif_Ram</f>
        <v>1.6</v>
      </c>
      <c r="AG106" s="5" t="str">
        <f>MID(TabOceanet[[#This Row],[Backup]],29,20)</f>
        <v>J15_2</v>
      </c>
      <c r="AH106" s="25">
        <f>IF(LEFT(TabOceanet[[#This Row],[TypeBAK]],3)="HOR",Tarif_Backup_Horaire*TabOceanet[[#This Row],[VM_disk]],IF(LEFT(TabOceanet[[#This Row],[TypeBAK]],3)="J15",Tarif_Backup_J15*TabOceanet[[#This Row],[VM_disk]],IF(LEFT(TabOceanet[[#This Row],[TypeBAK]],3)="H1_",Tarif_Backup_J15*TabOceanet[[#This Row],[VM_disk]],0)))</f>
        <v>4.37</v>
      </c>
      <c r="AI106" s="17">
        <f>TabOceanet[[#This Row],[VM_disk]]*Tarif_disque</f>
        <v>0</v>
      </c>
      <c r="AJ106"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5.9700000000000006</v>
      </c>
    </row>
    <row r="107" spans="1:36" x14ac:dyDescent="0.25">
      <c r="A107" t="s">
        <v>7</v>
      </c>
      <c r="B107">
        <v>1</v>
      </c>
      <c r="C107">
        <v>1</v>
      </c>
      <c r="D107">
        <v>56</v>
      </c>
      <c r="E107" t="s">
        <v>426</v>
      </c>
      <c r="G107" t="s">
        <v>1275</v>
      </c>
      <c r="H107" t="s">
        <v>1274</v>
      </c>
      <c r="I107" t="s">
        <v>419</v>
      </c>
      <c r="J107" t="s">
        <v>414</v>
      </c>
      <c r="K107" t="s">
        <v>408</v>
      </c>
      <c r="L107" t="s">
        <v>410</v>
      </c>
      <c r="M107" t="s">
        <v>430</v>
      </c>
      <c r="N107" t="s">
        <v>412</v>
      </c>
      <c r="O107">
        <v>10006791</v>
      </c>
      <c r="P107" t="s">
        <v>413</v>
      </c>
      <c r="Q107" s="5" t="str">
        <f>VLOOKUP(TabOceanet[VM_name],TabVMEnv[],3,FALSE)</f>
        <v>Mutualisé SAGAIE (multiplateformes)</v>
      </c>
      <c r="R107" s="5" t="str">
        <f>IF(VLOOKUP(TabOceanet[VM_name],TabVMEnv[],2,FALSE) = "","Non","")</f>
        <v/>
      </c>
      <c r="S107" s="5">
        <f>IF(TabOceanet[[#This Row],[Type_tarif]]="Tarif_VLAN",1,0)</f>
        <v>0</v>
      </c>
      <c r="T107" s="5">
        <f>TabOceanet[[#This Row],[isCalcVlan]]*TabOceanet[[#This Row],[Nb_article]]*Tarif_VLAN</f>
        <v>0</v>
      </c>
      <c r="U107" s="5">
        <f>IF(TabOceanet[[#This Row],[Type_tarif]]="Tarif_IPPUB",1,0)</f>
        <v>0</v>
      </c>
      <c r="V107" s="5">
        <f>TabOceanet[[#This Row],[isCalcIpPub]]*TabOceanet[[#This Row],[Nb_article]]*Tarif_IPPUB</f>
        <v>0</v>
      </c>
      <c r="W107" s="5">
        <f>IF(TabOceanet[[#This Row],[Type_tarif]]="Tarif_DNS",1,0)</f>
        <v>0</v>
      </c>
      <c r="X107" s="5">
        <f>TabOceanet[[#This Row],[isCalcDns]]*TabOceanet[[#This Row],[Nb_article]]*Tarif_DNS</f>
        <v>0</v>
      </c>
      <c r="Y107" s="5">
        <f>IF(TabOceanet[[#This Row],[Type_tarif]]="Tarif_Certificat_X509_Simple",1,0)</f>
        <v>0</v>
      </c>
      <c r="Z107" s="5">
        <f>TabOceanet[[#This Row],[isCalcCertSimple]]*TabOceanet[[#This Row],[Nb_article]]*Tarif_Certificat_X509_Simple</f>
        <v>0</v>
      </c>
      <c r="AA107" s="5">
        <f>IF(TabOceanet[[#This Row],[Type_tarif]]="Tarif_Certificat_X509_Wildcard",1,0)</f>
        <v>0</v>
      </c>
      <c r="AB107" s="5">
        <f>TabOceanet[[#This Row],[isCalcCertWild]]*TabOceanet[[#This Row],[Nb_article]]*Tarif_Certificat_X509_Wildcard</f>
        <v>0</v>
      </c>
      <c r="AC107" s="5">
        <f>IF(TabOceanet[[#This Row],[Type_tarif]]="Tarif_Astreinte_24_24_7_7",1,0)</f>
        <v>0</v>
      </c>
      <c r="AD107" s="5">
        <f>TabOceanet[[#This Row],[isCalcAstreinte247]]*TabOceanet[[#This Row],[Nb_article]]*Tarif_Astreinte_24_24_7_7</f>
        <v>0</v>
      </c>
      <c r="AE107" s="5">
        <f>IF(TabOceanet[[#This Row],[VM_status]]="PoweredOn",1,0)</f>
        <v>1</v>
      </c>
      <c r="AF107" s="17">
        <f>TabOceanet[[#This Row],[VM_mem]]*Tarif_Ram</f>
        <v>1.6</v>
      </c>
      <c r="AG107" s="5" t="str">
        <f>MID(TabOceanet[[#This Row],[Backup]],29,20)</f>
        <v>J15_2</v>
      </c>
      <c r="AH107" s="25">
        <f>IF(LEFT(TabOceanet[[#This Row],[TypeBAK]],3)="HOR",Tarif_Backup_Horaire*TabOceanet[[#This Row],[VM_disk]],IF(LEFT(TabOceanet[[#This Row],[TypeBAK]],3)="J15",Tarif_Backup_J15*TabOceanet[[#This Row],[VM_disk]],IF(LEFT(TabOceanet[[#This Row],[TypeBAK]],3)="H1_",Tarif_Backup_J15*TabOceanet[[#This Row],[VM_disk]],0)))</f>
        <v>12.88</v>
      </c>
      <c r="AI107" s="17">
        <f>TabOceanet[[#This Row],[VM_disk]]*Tarif_disque</f>
        <v>0</v>
      </c>
      <c r="AJ107"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14.48</v>
      </c>
    </row>
    <row r="108" spans="1:36" x14ac:dyDescent="0.25">
      <c r="A108" t="s">
        <v>1311</v>
      </c>
      <c r="B108">
        <v>2</v>
      </c>
      <c r="C108">
        <v>2</v>
      </c>
      <c r="D108">
        <v>27</v>
      </c>
      <c r="E108" t="s">
        <v>426</v>
      </c>
      <c r="G108" t="s">
        <v>1275</v>
      </c>
      <c r="H108" t="s">
        <v>1274</v>
      </c>
      <c r="I108" t="s">
        <v>419</v>
      </c>
      <c r="K108" t="s">
        <v>408</v>
      </c>
      <c r="L108" t="s">
        <v>410</v>
      </c>
      <c r="M108" t="s">
        <v>1322</v>
      </c>
      <c r="N108" t="s">
        <v>412</v>
      </c>
      <c r="O108">
        <v>10006791</v>
      </c>
      <c r="P108" t="s">
        <v>413</v>
      </c>
      <c r="Q108" s="5">
        <f>VLOOKUP(TabOceanet[VM_name],TabVMEnv[],3,FALSE)</f>
        <v>0</v>
      </c>
      <c r="R108" s="5" t="str">
        <f>IF(VLOOKUP(TabOceanet[VM_name],TabVMEnv[],2,FALSE) = "","Non","")</f>
        <v/>
      </c>
      <c r="S108" s="5">
        <f>IF(TabOceanet[[#This Row],[Type_tarif]]="Tarif_VLAN",1,0)</f>
        <v>0</v>
      </c>
      <c r="T108" s="5">
        <f>TabOceanet[[#This Row],[isCalcVlan]]*TabOceanet[[#This Row],[Nb_article]]*Tarif_VLAN</f>
        <v>0</v>
      </c>
      <c r="U108" s="5">
        <f>IF(TabOceanet[[#This Row],[Type_tarif]]="Tarif_IPPUB",1,0)</f>
        <v>0</v>
      </c>
      <c r="V108" s="5">
        <f>TabOceanet[[#This Row],[isCalcIpPub]]*TabOceanet[[#This Row],[Nb_article]]*Tarif_IPPUB</f>
        <v>0</v>
      </c>
      <c r="W108" s="5">
        <f>IF(TabOceanet[[#This Row],[Type_tarif]]="Tarif_DNS",1,0)</f>
        <v>0</v>
      </c>
      <c r="X108" s="5">
        <f>TabOceanet[[#This Row],[isCalcDns]]*TabOceanet[[#This Row],[Nb_article]]*Tarif_DNS</f>
        <v>0</v>
      </c>
      <c r="Y108" s="5">
        <f>IF(TabOceanet[[#This Row],[Type_tarif]]="Tarif_Certificat_X509_Simple",1,0)</f>
        <v>0</v>
      </c>
      <c r="Z108" s="5">
        <f>TabOceanet[[#This Row],[isCalcCertSimple]]*TabOceanet[[#This Row],[Nb_article]]*Tarif_Certificat_X509_Simple</f>
        <v>0</v>
      </c>
      <c r="AA108" s="5">
        <f>IF(TabOceanet[[#This Row],[Type_tarif]]="Tarif_Certificat_X509_Wildcard",1,0)</f>
        <v>0</v>
      </c>
      <c r="AB108" s="5">
        <f>TabOceanet[[#This Row],[isCalcCertWild]]*TabOceanet[[#This Row],[Nb_article]]*Tarif_Certificat_X509_Wildcard</f>
        <v>0</v>
      </c>
      <c r="AC108" s="5">
        <f>IF(TabOceanet[[#This Row],[Type_tarif]]="Tarif_Astreinte_24_24_7_7",1,0)</f>
        <v>0</v>
      </c>
      <c r="AD108" s="5">
        <f>TabOceanet[[#This Row],[isCalcAstreinte247]]*TabOceanet[[#This Row],[Nb_article]]*Tarif_Astreinte_24_24_7_7</f>
        <v>0</v>
      </c>
      <c r="AE108" s="5">
        <f>IF(TabOceanet[[#This Row],[VM_status]]="PoweredOn",1,0)</f>
        <v>1</v>
      </c>
      <c r="AF108" s="17">
        <f>TabOceanet[[#This Row],[VM_mem]]*Tarif_Ram</f>
        <v>3.2</v>
      </c>
      <c r="AG108" s="5" t="str">
        <f>MID(TabOceanet[[#This Row],[Backup]],29,20)</f>
        <v>J15_1</v>
      </c>
      <c r="AH108" s="25">
        <f>IF(LEFT(TabOceanet[[#This Row],[TypeBAK]],3)="HOR",Tarif_Backup_Horaire*TabOceanet[[#This Row],[VM_disk]],IF(LEFT(TabOceanet[[#This Row],[TypeBAK]],3)="J15",Tarif_Backup_J15*TabOceanet[[#This Row],[VM_disk]],IF(LEFT(TabOceanet[[#This Row],[TypeBAK]],3)="H1_",Tarif_Backup_J15*TabOceanet[[#This Row],[VM_disk]],0)))</f>
        <v>6.21</v>
      </c>
      <c r="AI108" s="17">
        <f>TabOceanet[[#This Row],[VM_disk]]*Tarif_disque</f>
        <v>0</v>
      </c>
      <c r="AJ108"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9.41</v>
      </c>
    </row>
    <row r="109" spans="1:36" x14ac:dyDescent="0.25">
      <c r="A109" t="s">
        <v>247</v>
      </c>
      <c r="B109">
        <v>1</v>
      </c>
      <c r="C109">
        <v>1</v>
      </c>
      <c r="D109">
        <v>6</v>
      </c>
      <c r="E109" t="s">
        <v>426</v>
      </c>
      <c r="G109" t="s">
        <v>1275</v>
      </c>
      <c r="H109" t="s">
        <v>1274</v>
      </c>
      <c r="I109" t="s">
        <v>419</v>
      </c>
      <c r="J109" t="s">
        <v>414</v>
      </c>
      <c r="K109" t="s">
        <v>408</v>
      </c>
      <c r="L109" t="s">
        <v>410</v>
      </c>
      <c r="M109" t="s">
        <v>1322</v>
      </c>
      <c r="N109" t="s">
        <v>412</v>
      </c>
      <c r="O109">
        <v>10006791</v>
      </c>
      <c r="P109" t="s">
        <v>413</v>
      </c>
      <c r="Q109" s="5">
        <f>VLOOKUP(TabOceanet[VM_name],TabVMEnv[],3,FALSE)</f>
        <v>0</v>
      </c>
      <c r="R109" s="5" t="str">
        <f>IF(VLOOKUP(TabOceanet[VM_name],TabVMEnv[],2,FALSE) = "","Non","")</f>
        <v/>
      </c>
      <c r="S109" s="5">
        <f>IF(TabOceanet[[#This Row],[Type_tarif]]="Tarif_VLAN",1,0)</f>
        <v>0</v>
      </c>
      <c r="T109" s="5">
        <f>TabOceanet[[#This Row],[isCalcVlan]]*TabOceanet[[#This Row],[Nb_article]]*Tarif_VLAN</f>
        <v>0</v>
      </c>
      <c r="U109" s="5">
        <f>IF(TabOceanet[[#This Row],[Type_tarif]]="Tarif_IPPUB",1,0)</f>
        <v>0</v>
      </c>
      <c r="V109" s="5">
        <f>TabOceanet[[#This Row],[isCalcIpPub]]*TabOceanet[[#This Row],[Nb_article]]*Tarif_IPPUB</f>
        <v>0</v>
      </c>
      <c r="W109" s="5">
        <f>IF(TabOceanet[[#This Row],[Type_tarif]]="Tarif_DNS",1,0)</f>
        <v>0</v>
      </c>
      <c r="X109" s="5">
        <f>TabOceanet[[#This Row],[isCalcDns]]*TabOceanet[[#This Row],[Nb_article]]*Tarif_DNS</f>
        <v>0</v>
      </c>
      <c r="Y109" s="5">
        <f>IF(TabOceanet[[#This Row],[Type_tarif]]="Tarif_Certificat_X509_Simple",1,0)</f>
        <v>0</v>
      </c>
      <c r="Z109" s="5">
        <f>TabOceanet[[#This Row],[isCalcCertSimple]]*TabOceanet[[#This Row],[Nb_article]]*Tarif_Certificat_X509_Simple</f>
        <v>0</v>
      </c>
      <c r="AA109" s="5">
        <f>IF(TabOceanet[[#This Row],[Type_tarif]]="Tarif_Certificat_X509_Wildcard",1,0)</f>
        <v>0</v>
      </c>
      <c r="AB109" s="5">
        <f>TabOceanet[[#This Row],[isCalcCertWild]]*TabOceanet[[#This Row],[Nb_article]]*Tarif_Certificat_X509_Wildcard</f>
        <v>0</v>
      </c>
      <c r="AC109" s="5">
        <f>IF(TabOceanet[[#This Row],[Type_tarif]]="Tarif_Astreinte_24_24_7_7",1,0)</f>
        <v>0</v>
      </c>
      <c r="AD109" s="5">
        <f>TabOceanet[[#This Row],[isCalcAstreinte247]]*TabOceanet[[#This Row],[Nb_article]]*Tarif_Astreinte_24_24_7_7</f>
        <v>0</v>
      </c>
      <c r="AE109" s="5">
        <f>IF(TabOceanet[[#This Row],[VM_status]]="PoweredOn",1,0)</f>
        <v>1</v>
      </c>
      <c r="AF109" s="17">
        <f>TabOceanet[[#This Row],[VM_mem]]*Tarif_Ram</f>
        <v>1.6</v>
      </c>
      <c r="AG109" s="5" t="str">
        <f>MID(TabOceanet[[#This Row],[Backup]],29,20)</f>
        <v>J15_1</v>
      </c>
      <c r="AH109" s="25">
        <f>IF(LEFT(TabOceanet[[#This Row],[TypeBAK]],3)="HOR",Tarif_Backup_Horaire*TabOceanet[[#This Row],[VM_disk]],IF(LEFT(TabOceanet[[#This Row],[TypeBAK]],3)="J15",Tarif_Backup_J15*TabOceanet[[#This Row],[VM_disk]],IF(LEFT(TabOceanet[[#This Row],[TypeBAK]],3)="H1_",Tarif_Backup_J15*TabOceanet[[#This Row],[VM_disk]],0)))</f>
        <v>1.3800000000000001</v>
      </c>
      <c r="AI109" s="17">
        <f>TabOceanet[[#This Row],[VM_disk]]*Tarif_disque</f>
        <v>0</v>
      </c>
      <c r="AJ109"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2.9800000000000004</v>
      </c>
    </row>
    <row r="110" spans="1:36" x14ac:dyDescent="0.25">
      <c r="A110" t="s">
        <v>50</v>
      </c>
      <c r="B110">
        <v>2</v>
      </c>
      <c r="C110">
        <v>4</v>
      </c>
      <c r="D110">
        <v>240</v>
      </c>
      <c r="E110" t="s">
        <v>432</v>
      </c>
      <c r="G110" t="s">
        <v>1275</v>
      </c>
      <c r="H110" t="s">
        <v>1274</v>
      </c>
      <c r="I110" t="s">
        <v>419</v>
      </c>
      <c r="J110" t="s">
        <v>414</v>
      </c>
      <c r="K110" t="s">
        <v>408</v>
      </c>
      <c r="L110" t="s">
        <v>410</v>
      </c>
      <c r="M110" t="s">
        <v>411</v>
      </c>
      <c r="N110" t="s">
        <v>412</v>
      </c>
      <c r="O110">
        <v>10006791</v>
      </c>
      <c r="P110" t="s">
        <v>413</v>
      </c>
      <c r="Q110" s="5" t="str">
        <f>VLOOKUP(TabOceanet[VM_name],TabVMEnv[],3,FALSE)</f>
        <v>MEAE VISA - Nouvelle VM SQL Standard</v>
      </c>
      <c r="R110" s="5" t="str">
        <f>IF(VLOOKUP(TabOceanet[VM_name],TabVMEnv[],2,FALSE) = "","Non","")</f>
        <v/>
      </c>
      <c r="S110" s="5">
        <f>IF(TabOceanet[[#This Row],[Type_tarif]]="Tarif_VLAN",1,0)</f>
        <v>0</v>
      </c>
      <c r="T110" s="5">
        <f>TabOceanet[[#This Row],[isCalcVlan]]*TabOceanet[[#This Row],[Nb_article]]*Tarif_VLAN</f>
        <v>0</v>
      </c>
      <c r="U110" s="5">
        <f>IF(TabOceanet[[#This Row],[Type_tarif]]="Tarif_IPPUB",1,0)</f>
        <v>0</v>
      </c>
      <c r="V110" s="5">
        <f>TabOceanet[[#This Row],[isCalcIpPub]]*TabOceanet[[#This Row],[Nb_article]]*Tarif_IPPUB</f>
        <v>0</v>
      </c>
      <c r="W110" s="5">
        <f>IF(TabOceanet[[#This Row],[Type_tarif]]="Tarif_DNS",1,0)</f>
        <v>0</v>
      </c>
      <c r="X110" s="5">
        <f>TabOceanet[[#This Row],[isCalcDns]]*TabOceanet[[#This Row],[Nb_article]]*Tarif_DNS</f>
        <v>0</v>
      </c>
      <c r="Y110" s="5">
        <f>IF(TabOceanet[[#This Row],[Type_tarif]]="Tarif_Certificat_X509_Simple",1,0)</f>
        <v>0</v>
      </c>
      <c r="Z110" s="5">
        <f>TabOceanet[[#This Row],[isCalcCertSimple]]*TabOceanet[[#This Row],[Nb_article]]*Tarif_Certificat_X509_Simple</f>
        <v>0</v>
      </c>
      <c r="AA110" s="5">
        <f>IF(TabOceanet[[#This Row],[Type_tarif]]="Tarif_Certificat_X509_Wildcard",1,0)</f>
        <v>0</v>
      </c>
      <c r="AB110" s="5">
        <f>TabOceanet[[#This Row],[isCalcCertWild]]*TabOceanet[[#This Row],[Nb_article]]*Tarif_Certificat_X509_Wildcard</f>
        <v>0</v>
      </c>
      <c r="AC110" s="5">
        <f>IF(TabOceanet[[#This Row],[Type_tarif]]="Tarif_Astreinte_24_24_7_7",1,0)</f>
        <v>0</v>
      </c>
      <c r="AD110" s="5">
        <f>TabOceanet[[#This Row],[isCalcAstreinte247]]*TabOceanet[[#This Row],[Nb_article]]*Tarif_Astreinte_24_24_7_7</f>
        <v>0</v>
      </c>
      <c r="AE110" s="5">
        <f>IF(TabOceanet[[#This Row],[VM_status]]="PoweredOn",1,0)</f>
        <v>1</v>
      </c>
      <c r="AF110" s="17">
        <f>TabOceanet[[#This Row],[VM_mem]]*Tarif_Ram</f>
        <v>6.4</v>
      </c>
      <c r="AG110" s="5" t="str">
        <f>MID(TabOceanet[[#This Row],[Backup]],29,20)</f>
        <v>H1_Ve</v>
      </c>
      <c r="AH110" s="25">
        <f>IF(LEFT(TabOceanet[[#This Row],[TypeBAK]],3)="HOR",Tarif_Backup_Horaire*TabOceanet[[#This Row],[VM_disk]],IF(LEFT(TabOceanet[[#This Row],[TypeBAK]],3)="J15",Tarif_Backup_J15*TabOceanet[[#This Row],[VM_disk]],IF(LEFT(TabOceanet[[#This Row],[TypeBAK]],3)="H1_",Tarif_Backup_J15*TabOceanet[[#This Row],[VM_disk]],0)))</f>
        <v>55.2</v>
      </c>
      <c r="AI110" s="17">
        <f>TabOceanet[[#This Row],[VM_disk]]*Tarif_disque</f>
        <v>0</v>
      </c>
      <c r="AJ110"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61.6</v>
      </c>
    </row>
    <row r="111" spans="1:36" x14ac:dyDescent="0.25">
      <c r="A111" t="s">
        <v>1325</v>
      </c>
      <c r="B111">
        <v>1</v>
      </c>
      <c r="C111">
        <v>1</v>
      </c>
      <c r="D111">
        <v>14</v>
      </c>
      <c r="E111" t="s">
        <v>423</v>
      </c>
      <c r="G111" t="s">
        <v>1273</v>
      </c>
      <c r="H111" t="s">
        <v>1274</v>
      </c>
      <c r="I111" t="s">
        <v>419</v>
      </c>
      <c r="K111" t="s">
        <v>408</v>
      </c>
      <c r="L111" t="s">
        <v>410</v>
      </c>
      <c r="M111" t="s">
        <v>1322</v>
      </c>
      <c r="N111" t="s">
        <v>412</v>
      </c>
      <c r="O111">
        <v>10006791</v>
      </c>
      <c r="P111" t="s">
        <v>413</v>
      </c>
      <c r="Q111" s="5" t="str">
        <f>VLOOKUP(TabOceanet[VM_name],TabVMEnv[],3,FALSE)</f>
        <v>sources VISMAILWEB</v>
      </c>
      <c r="R111" s="5" t="str">
        <f>IF(VLOOKUP(TabOceanet[VM_name],TabVMEnv[],2,FALSE) = "","Non","")</f>
        <v/>
      </c>
      <c r="S111" s="5">
        <f>IF(TabOceanet[[#This Row],[Type_tarif]]="Tarif_VLAN",1,0)</f>
        <v>0</v>
      </c>
      <c r="T111" s="5">
        <f>TabOceanet[[#This Row],[isCalcVlan]]*TabOceanet[[#This Row],[Nb_article]]*Tarif_VLAN</f>
        <v>0</v>
      </c>
      <c r="U111" s="5">
        <f>IF(TabOceanet[[#This Row],[Type_tarif]]="Tarif_IPPUB",1,0)</f>
        <v>0</v>
      </c>
      <c r="V111" s="5">
        <f>TabOceanet[[#This Row],[isCalcIpPub]]*TabOceanet[[#This Row],[Nb_article]]*Tarif_IPPUB</f>
        <v>0</v>
      </c>
      <c r="W111" s="5">
        <f>IF(TabOceanet[[#This Row],[Type_tarif]]="Tarif_DNS",1,0)</f>
        <v>0</v>
      </c>
      <c r="X111" s="5">
        <f>TabOceanet[[#This Row],[isCalcDns]]*TabOceanet[[#This Row],[Nb_article]]*Tarif_DNS</f>
        <v>0</v>
      </c>
      <c r="Y111" s="5">
        <f>IF(TabOceanet[[#This Row],[Type_tarif]]="Tarif_Certificat_X509_Simple",1,0)</f>
        <v>0</v>
      </c>
      <c r="Z111" s="5">
        <f>TabOceanet[[#This Row],[isCalcCertSimple]]*TabOceanet[[#This Row],[Nb_article]]*Tarif_Certificat_X509_Simple</f>
        <v>0</v>
      </c>
      <c r="AA111" s="5">
        <f>IF(TabOceanet[[#This Row],[Type_tarif]]="Tarif_Certificat_X509_Wildcard",1,0)</f>
        <v>0</v>
      </c>
      <c r="AB111" s="5">
        <f>TabOceanet[[#This Row],[isCalcCertWild]]*TabOceanet[[#This Row],[Nb_article]]*Tarif_Certificat_X509_Wildcard</f>
        <v>0</v>
      </c>
      <c r="AC111" s="5">
        <f>IF(TabOceanet[[#This Row],[Type_tarif]]="Tarif_Astreinte_24_24_7_7",1,0)</f>
        <v>0</v>
      </c>
      <c r="AD111" s="5">
        <f>TabOceanet[[#This Row],[isCalcAstreinte247]]*TabOceanet[[#This Row],[Nb_article]]*Tarif_Astreinte_24_24_7_7</f>
        <v>0</v>
      </c>
      <c r="AE111" s="5">
        <f>IF(TabOceanet[[#This Row],[VM_status]]="PoweredOn",1,0)</f>
        <v>1</v>
      </c>
      <c r="AF111" s="17">
        <f>TabOceanet[[#This Row],[VM_mem]]*Tarif_Ram</f>
        <v>1.6</v>
      </c>
      <c r="AG111" s="5" t="str">
        <f>MID(TabOceanet[[#This Row],[Backup]],29,20)</f>
        <v>J15_1</v>
      </c>
      <c r="AH111" s="25">
        <f>IF(LEFT(TabOceanet[[#This Row],[TypeBAK]],3)="HOR",Tarif_Backup_Horaire*TabOceanet[[#This Row],[VM_disk]],IF(LEFT(TabOceanet[[#This Row],[TypeBAK]],3)="J15",Tarif_Backup_J15*TabOceanet[[#This Row],[VM_disk]],IF(LEFT(TabOceanet[[#This Row],[TypeBAK]],3)="H1_",Tarif_Backup_J15*TabOceanet[[#This Row],[VM_disk]],0)))</f>
        <v>3.22</v>
      </c>
      <c r="AI111" s="17">
        <f>TabOceanet[[#This Row],[VM_disk]]*Tarif_disque</f>
        <v>0</v>
      </c>
      <c r="AJ111"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4.82</v>
      </c>
    </row>
    <row r="112" spans="1:36" x14ac:dyDescent="0.25">
      <c r="A112" t="s">
        <v>34</v>
      </c>
      <c r="B112">
        <v>1</v>
      </c>
      <c r="C112">
        <v>2</v>
      </c>
      <c r="D112">
        <v>40</v>
      </c>
      <c r="E112" t="s">
        <v>441</v>
      </c>
      <c r="G112" t="s">
        <v>1275</v>
      </c>
      <c r="H112" t="s">
        <v>1274</v>
      </c>
      <c r="I112" t="s">
        <v>419</v>
      </c>
      <c r="J112" t="s">
        <v>414</v>
      </c>
      <c r="K112" t="s">
        <v>408</v>
      </c>
      <c r="L112" t="s">
        <v>410</v>
      </c>
      <c r="M112" t="s">
        <v>430</v>
      </c>
      <c r="N112" t="s">
        <v>412</v>
      </c>
      <c r="O112">
        <v>10006791</v>
      </c>
      <c r="P112" t="s">
        <v>413</v>
      </c>
      <c r="Q112" s="5" t="str">
        <f>VLOOKUP(TabOceanet[VM_name],TabVMEnv[],3,FALSE)</f>
        <v>Environnement Windows Vismail
Windows 7</v>
      </c>
      <c r="R112" s="5" t="str">
        <f>IF(VLOOKUP(TabOceanet[VM_name],TabVMEnv[],2,FALSE) = "","Non","")</f>
        <v/>
      </c>
      <c r="S112" s="5">
        <f>IF(TabOceanet[[#This Row],[Type_tarif]]="Tarif_VLAN",1,0)</f>
        <v>0</v>
      </c>
      <c r="T112" s="5">
        <f>TabOceanet[[#This Row],[isCalcVlan]]*TabOceanet[[#This Row],[Nb_article]]*Tarif_VLAN</f>
        <v>0</v>
      </c>
      <c r="U112" s="5">
        <f>IF(TabOceanet[[#This Row],[Type_tarif]]="Tarif_IPPUB",1,0)</f>
        <v>0</v>
      </c>
      <c r="V112" s="5">
        <f>TabOceanet[[#This Row],[isCalcIpPub]]*TabOceanet[[#This Row],[Nb_article]]*Tarif_IPPUB</f>
        <v>0</v>
      </c>
      <c r="W112" s="5">
        <f>IF(TabOceanet[[#This Row],[Type_tarif]]="Tarif_DNS",1,0)</f>
        <v>0</v>
      </c>
      <c r="X112" s="5">
        <f>TabOceanet[[#This Row],[isCalcDns]]*TabOceanet[[#This Row],[Nb_article]]*Tarif_DNS</f>
        <v>0</v>
      </c>
      <c r="Y112" s="5">
        <f>IF(TabOceanet[[#This Row],[Type_tarif]]="Tarif_Certificat_X509_Simple",1,0)</f>
        <v>0</v>
      </c>
      <c r="Z112" s="5">
        <f>TabOceanet[[#This Row],[isCalcCertSimple]]*TabOceanet[[#This Row],[Nb_article]]*Tarif_Certificat_X509_Simple</f>
        <v>0</v>
      </c>
      <c r="AA112" s="5">
        <f>IF(TabOceanet[[#This Row],[Type_tarif]]="Tarif_Certificat_X509_Wildcard",1,0)</f>
        <v>0</v>
      </c>
      <c r="AB112" s="5">
        <f>TabOceanet[[#This Row],[isCalcCertWild]]*TabOceanet[[#This Row],[Nb_article]]*Tarif_Certificat_X509_Wildcard</f>
        <v>0</v>
      </c>
      <c r="AC112" s="5">
        <f>IF(TabOceanet[[#This Row],[Type_tarif]]="Tarif_Astreinte_24_24_7_7",1,0)</f>
        <v>0</v>
      </c>
      <c r="AD112" s="5">
        <f>TabOceanet[[#This Row],[isCalcAstreinte247]]*TabOceanet[[#This Row],[Nb_article]]*Tarif_Astreinte_24_24_7_7</f>
        <v>0</v>
      </c>
      <c r="AE112" s="5">
        <f>IF(TabOceanet[[#This Row],[VM_status]]="PoweredOn",1,0)</f>
        <v>1</v>
      </c>
      <c r="AF112" s="17">
        <f>TabOceanet[[#This Row],[VM_mem]]*Tarif_Ram</f>
        <v>3.2</v>
      </c>
      <c r="AG112" s="5" t="str">
        <f>MID(TabOceanet[[#This Row],[Backup]],29,20)</f>
        <v>J15_2</v>
      </c>
      <c r="AH112" s="25">
        <f>IF(LEFT(TabOceanet[[#This Row],[TypeBAK]],3)="HOR",Tarif_Backup_Horaire*TabOceanet[[#This Row],[VM_disk]],IF(LEFT(TabOceanet[[#This Row],[TypeBAK]],3)="J15",Tarif_Backup_J15*TabOceanet[[#This Row],[VM_disk]],IF(LEFT(TabOceanet[[#This Row],[TypeBAK]],3)="H1_",Tarif_Backup_J15*TabOceanet[[#This Row],[VM_disk]],0)))</f>
        <v>9.2000000000000011</v>
      </c>
      <c r="AI112" s="17">
        <f>TabOceanet[[#This Row],[VM_disk]]*Tarif_disque</f>
        <v>0</v>
      </c>
      <c r="AJ112"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12.400000000000002</v>
      </c>
    </row>
    <row r="113" spans="1:36" x14ac:dyDescent="0.25">
      <c r="A113" t="s">
        <v>232</v>
      </c>
      <c r="B113">
        <v>1</v>
      </c>
      <c r="C113">
        <v>1</v>
      </c>
      <c r="D113">
        <v>4</v>
      </c>
      <c r="E113" t="s">
        <v>423</v>
      </c>
      <c r="G113" t="s">
        <v>1275</v>
      </c>
      <c r="H113" t="s">
        <v>1274</v>
      </c>
      <c r="I113" t="s">
        <v>419</v>
      </c>
      <c r="J113" t="s">
        <v>414</v>
      </c>
      <c r="K113" t="s">
        <v>408</v>
      </c>
      <c r="L113" t="s">
        <v>410</v>
      </c>
      <c r="M113" t="s">
        <v>430</v>
      </c>
      <c r="N113" t="s">
        <v>412</v>
      </c>
      <c r="O113">
        <v>10006791</v>
      </c>
      <c r="P113" t="s">
        <v>413</v>
      </c>
      <c r="Q113" s="5">
        <f>VLOOKUP(TabOceanet[VM_name],TabVMEnv[],3,FALSE)</f>
        <v>0</v>
      </c>
      <c r="R113" s="5" t="str">
        <f>IF(VLOOKUP(TabOceanet[VM_name],TabVMEnv[],2,FALSE) = "","Non","")</f>
        <v/>
      </c>
      <c r="S113" s="5">
        <f>IF(TabOceanet[[#This Row],[Type_tarif]]="Tarif_VLAN",1,0)</f>
        <v>0</v>
      </c>
      <c r="T113" s="5">
        <f>TabOceanet[[#This Row],[isCalcVlan]]*TabOceanet[[#This Row],[Nb_article]]*Tarif_VLAN</f>
        <v>0</v>
      </c>
      <c r="U113" s="5">
        <f>IF(TabOceanet[[#This Row],[Type_tarif]]="Tarif_IPPUB",1,0)</f>
        <v>0</v>
      </c>
      <c r="V113" s="5">
        <f>TabOceanet[[#This Row],[isCalcIpPub]]*TabOceanet[[#This Row],[Nb_article]]*Tarif_IPPUB</f>
        <v>0</v>
      </c>
      <c r="W113" s="5">
        <f>IF(TabOceanet[[#This Row],[Type_tarif]]="Tarif_DNS",1,0)</f>
        <v>0</v>
      </c>
      <c r="X113" s="5">
        <f>TabOceanet[[#This Row],[isCalcDns]]*TabOceanet[[#This Row],[Nb_article]]*Tarif_DNS</f>
        <v>0</v>
      </c>
      <c r="Y113" s="5">
        <f>IF(TabOceanet[[#This Row],[Type_tarif]]="Tarif_Certificat_X509_Simple",1,0)</f>
        <v>0</v>
      </c>
      <c r="Z113" s="5">
        <f>TabOceanet[[#This Row],[isCalcCertSimple]]*TabOceanet[[#This Row],[Nb_article]]*Tarif_Certificat_X509_Simple</f>
        <v>0</v>
      </c>
      <c r="AA113" s="5">
        <f>IF(TabOceanet[[#This Row],[Type_tarif]]="Tarif_Certificat_X509_Wildcard",1,0)</f>
        <v>0</v>
      </c>
      <c r="AB113" s="5">
        <f>TabOceanet[[#This Row],[isCalcCertWild]]*TabOceanet[[#This Row],[Nb_article]]*Tarif_Certificat_X509_Wildcard</f>
        <v>0</v>
      </c>
      <c r="AC113" s="5">
        <f>IF(TabOceanet[[#This Row],[Type_tarif]]="Tarif_Astreinte_24_24_7_7",1,0)</f>
        <v>0</v>
      </c>
      <c r="AD113" s="5">
        <f>TabOceanet[[#This Row],[isCalcAstreinte247]]*TabOceanet[[#This Row],[Nb_article]]*Tarif_Astreinte_24_24_7_7</f>
        <v>0</v>
      </c>
      <c r="AE113" s="5">
        <f>IF(TabOceanet[[#This Row],[VM_status]]="PoweredOn",1,0)</f>
        <v>1</v>
      </c>
      <c r="AF113" s="17">
        <f>TabOceanet[[#This Row],[VM_mem]]*Tarif_Ram</f>
        <v>1.6</v>
      </c>
      <c r="AG113" s="5" t="str">
        <f>MID(TabOceanet[[#This Row],[Backup]],29,20)</f>
        <v>J15_2</v>
      </c>
      <c r="AH113" s="25">
        <f>IF(LEFT(TabOceanet[[#This Row],[TypeBAK]],3)="HOR",Tarif_Backup_Horaire*TabOceanet[[#This Row],[VM_disk]],IF(LEFT(TabOceanet[[#This Row],[TypeBAK]],3)="J15",Tarif_Backup_J15*TabOceanet[[#This Row],[VM_disk]],IF(LEFT(TabOceanet[[#This Row],[TypeBAK]],3)="H1_",Tarif_Backup_J15*TabOceanet[[#This Row],[VM_disk]],0)))</f>
        <v>0.92</v>
      </c>
      <c r="AI113" s="17">
        <f>TabOceanet[[#This Row],[VM_disk]]*Tarif_disque</f>
        <v>0</v>
      </c>
      <c r="AJ113"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2.52</v>
      </c>
    </row>
    <row r="114" spans="1:36" x14ac:dyDescent="0.25">
      <c r="A114" t="s">
        <v>69</v>
      </c>
      <c r="B114">
        <v>2</v>
      </c>
      <c r="C114">
        <v>2</v>
      </c>
      <c r="D114">
        <v>20</v>
      </c>
      <c r="E114" t="s">
        <v>423</v>
      </c>
      <c r="G114" t="s">
        <v>1273</v>
      </c>
      <c r="H114" t="s">
        <v>1274</v>
      </c>
      <c r="I114" t="s">
        <v>419</v>
      </c>
      <c r="J114" t="s">
        <v>414</v>
      </c>
      <c r="K114" t="s">
        <v>408</v>
      </c>
      <c r="L114" t="s">
        <v>410</v>
      </c>
      <c r="M114" t="s">
        <v>430</v>
      </c>
      <c r="N114" t="s">
        <v>412</v>
      </c>
      <c r="O114">
        <v>10006791</v>
      </c>
      <c r="P114" t="s">
        <v>413</v>
      </c>
      <c r="Q114" s="5" t="str">
        <f>VLOOKUP(TabOceanet[VM_name],TabVMEnv[],3,FALSE)</f>
        <v>A CONFIRMER</v>
      </c>
      <c r="R114" s="5" t="str">
        <f>IF(VLOOKUP(TabOceanet[VM_name],TabVMEnv[],2,FALSE) = "","Non","")</f>
        <v/>
      </c>
      <c r="S114" s="5">
        <f>IF(TabOceanet[[#This Row],[Type_tarif]]="Tarif_VLAN",1,0)</f>
        <v>0</v>
      </c>
      <c r="T114" s="5">
        <f>TabOceanet[[#This Row],[isCalcVlan]]*TabOceanet[[#This Row],[Nb_article]]*Tarif_VLAN</f>
        <v>0</v>
      </c>
      <c r="U114" s="5">
        <f>IF(TabOceanet[[#This Row],[Type_tarif]]="Tarif_IPPUB",1,0)</f>
        <v>0</v>
      </c>
      <c r="V114" s="5">
        <f>TabOceanet[[#This Row],[isCalcIpPub]]*TabOceanet[[#This Row],[Nb_article]]*Tarif_IPPUB</f>
        <v>0</v>
      </c>
      <c r="W114" s="5">
        <f>IF(TabOceanet[[#This Row],[Type_tarif]]="Tarif_DNS",1,0)</f>
        <v>0</v>
      </c>
      <c r="X114" s="5">
        <f>TabOceanet[[#This Row],[isCalcDns]]*TabOceanet[[#This Row],[Nb_article]]*Tarif_DNS</f>
        <v>0</v>
      </c>
      <c r="Y114" s="5">
        <f>IF(TabOceanet[[#This Row],[Type_tarif]]="Tarif_Certificat_X509_Simple",1,0)</f>
        <v>0</v>
      </c>
      <c r="Z114" s="5">
        <f>TabOceanet[[#This Row],[isCalcCertSimple]]*TabOceanet[[#This Row],[Nb_article]]*Tarif_Certificat_X509_Simple</f>
        <v>0</v>
      </c>
      <c r="AA114" s="5">
        <f>IF(TabOceanet[[#This Row],[Type_tarif]]="Tarif_Certificat_X509_Wildcard",1,0)</f>
        <v>0</v>
      </c>
      <c r="AB114" s="5">
        <f>TabOceanet[[#This Row],[isCalcCertWild]]*TabOceanet[[#This Row],[Nb_article]]*Tarif_Certificat_X509_Wildcard</f>
        <v>0</v>
      </c>
      <c r="AC114" s="5">
        <f>IF(TabOceanet[[#This Row],[Type_tarif]]="Tarif_Astreinte_24_24_7_7",1,0)</f>
        <v>0</v>
      </c>
      <c r="AD114" s="5">
        <f>TabOceanet[[#This Row],[isCalcAstreinte247]]*TabOceanet[[#This Row],[Nb_article]]*Tarif_Astreinte_24_24_7_7</f>
        <v>0</v>
      </c>
      <c r="AE114" s="5">
        <f>IF(TabOceanet[[#This Row],[VM_status]]="PoweredOn",1,0)</f>
        <v>1</v>
      </c>
      <c r="AF114" s="17">
        <f>TabOceanet[[#This Row],[VM_mem]]*Tarif_Ram</f>
        <v>3.2</v>
      </c>
      <c r="AG114" s="5" t="str">
        <f>MID(TabOceanet[[#This Row],[Backup]],29,20)</f>
        <v>J15_2</v>
      </c>
      <c r="AH114" s="25">
        <f>IF(LEFT(TabOceanet[[#This Row],[TypeBAK]],3)="HOR",Tarif_Backup_Horaire*TabOceanet[[#This Row],[VM_disk]],IF(LEFT(TabOceanet[[#This Row],[TypeBAK]],3)="J15",Tarif_Backup_J15*TabOceanet[[#This Row],[VM_disk]],IF(LEFT(TabOceanet[[#This Row],[TypeBAK]],3)="H1_",Tarif_Backup_J15*TabOceanet[[#This Row],[VM_disk]],0)))</f>
        <v>4.6000000000000005</v>
      </c>
      <c r="AI114" s="17">
        <f>TabOceanet[[#This Row],[VM_disk]]*Tarif_disque</f>
        <v>0</v>
      </c>
      <c r="AJ114"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7.8000000000000007</v>
      </c>
    </row>
    <row r="115" spans="1:36" x14ac:dyDescent="0.25">
      <c r="A115" t="s">
        <v>42</v>
      </c>
      <c r="B115">
        <v>6</v>
      </c>
      <c r="C115">
        <v>4</v>
      </c>
      <c r="D115">
        <v>120</v>
      </c>
      <c r="E115" t="s">
        <v>423</v>
      </c>
      <c r="G115" t="s">
        <v>1273</v>
      </c>
      <c r="H115" t="s">
        <v>1274</v>
      </c>
      <c r="I115" t="s">
        <v>419</v>
      </c>
      <c r="J115" t="s">
        <v>414</v>
      </c>
      <c r="K115" t="s">
        <v>408</v>
      </c>
      <c r="L115" t="s">
        <v>410</v>
      </c>
      <c r="M115" t="s">
        <v>1322</v>
      </c>
      <c r="N115" t="s">
        <v>412</v>
      </c>
      <c r="O115">
        <v>10006791</v>
      </c>
      <c r="P115" t="s">
        <v>413</v>
      </c>
      <c r="Q115" s="5" t="str">
        <f>VLOOKUP(TabOceanet[VM_name],TabVMEnv[],3,FALSE)</f>
        <v>Environnement PIC pour VISMAIL</v>
      </c>
      <c r="R115" s="5" t="str">
        <f>IF(VLOOKUP(TabOceanet[VM_name],TabVMEnv[],2,FALSE) = "","Non","")</f>
        <v/>
      </c>
      <c r="S115" s="5">
        <f>IF(TabOceanet[[#This Row],[Type_tarif]]="Tarif_VLAN",1,0)</f>
        <v>0</v>
      </c>
      <c r="T115" s="5">
        <f>TabOceanet[[#This Row],[isCalcVlan]]*TabOceanet[[#This Row],[Nb_article]]*Tarif_VLAN</f>
        <v>0</v>
      </c>
      <c r="U115" s="5">
        <f>IF(TabOceanet[[#This Row],[Type_tarif]]="Tarif_IPPUB",1,0)</f>
        <v>0</v>
      </c>
      <c r="V115" s="5">
        <f>TabOceanet[[#This Row],[isCalcIpPub]]*TabOceanet[[#This Row],[Nb_article]]*Tarif_IPPUB</f>
        <v>0</v>
      </c>
      <c r="W115" s="5">
        <f>IF(TabOceanet[[#This Row],[Type_tarif]]="Tarif_DNS",1,0)</f>
        <v>0</v>
      </c>
      <c r="X115" s="5">
        <f>TabOceanet[[#This Row],[isCalcDns]]*TabOceanet[[#This Row],[Nb_article]]*Tarif_DNS</f>
        <v>0</v>
      </c>
      <c r="Y115" s="5">
        <f>IF(TabOceanet[[#This Row],[Type_tarif]]="Tarif_Certificat_X509_Simple",1,0)</f>
        <v>0</v>
      </c>
      <c r="Z115" s="5">
        <f>TabOceanet[[#This Row],[isCalcCertSimple]]*TabOceanet[[#This Row],[Nb_article]]*Tarif_Certificat_X509_Simple</f>
        <v>0</v>
      </c>
      <c r="AA115" s="5">
        <f>IF(TabOceanet[[#This Row],[Type_tarif]]="Tarif_Certificat_X509_Wildcard",1,0)</f>
        <v>0</v>
      </c>
      <c r="AB115" s="5">
        <f>TabOceanet[[#This Row],[isCalcCertWild]]*TabOceanet[[#This Row],[Nb_article]]*Tarif_Certificat_X509_Wildcard</f>
        <v>0</v>
      </c>
      <c r="AC115" s="5">
        <f>IF(TabOceanet[[#This Row],[Type_tarif]]="Tarif_Astreinte_24_24_7_7",1,0)</f>
        <v>0</v>
      </c>
      <c r="AD115" s="5">
        <f>TabOceanet[[#This Row],[isCalcAstreinte247]]*TabOceanet[[#This Row],[Nb_article]]*Tarif_Astreinte_24_24_7_7</f>
        <v>0</v>
      </c>
      <c r="AE115" s="5">
        <f>IF(TabOceanet[[#This Row],[VM_status]]="PoweredOn",1,0)</f>
        <v>1</v>
      </c>
      <c r="AF115" s="17">
        <f>TabOceanet[[#This Row],[VM_mem]]*Tarif_Ram</f>
        <v>6.4</v>
      </c>
      <c r="AG115" s="5" t="str">
        <f>MID(TabOceanet[[#This Row],[Backup]],29,20)</f>
        <v>J15_1</v>
      </c>
      <c r="AH115" s="25">
        <f>IF(LEFT(TabOceanet[[#This Row],[TypeBAK]],3)="HOR",Tarif_Backup_Horaire*TabOceanet[[#This Row],[VM_disk]],IF(LEFT(TabOceanet[[#This Row],[TypeBAK]],3)="J15",Tarif_Backup_J15*TabOceanet[[#This Row],[VM_disk]],IF(LEFT(TabOceanet[[#This Row],[TypeBAK]],3)="H1_",Tarif_Backup_J15*TabOceanet[[#This Row],[VM_disk]],0)))</f>
        <v>27.6</v>
      </c>
      <c r="AI115" s="17">
        <f>TabOceanet[[#This Row],[VM_disk]]*Tarif_disque</f>
        <v>0</v>
      </c>
      <c r="AJ115"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34</v>
      </c>
    </row>
    <row r="116" spans="1:36" x14ac:dyDescent="0.25">
      <c r="A116" t="s">
        <v>154</v>
      </c>
      <c r="B116">
        <v>1</v>
      </c>
      <c r="C116">
        <v>1</v>
      </c>
      <c r="D116">
        <v>4</v>
      </c>
      <c r="E116" t="s">
        <v>423</v>
      </c>
      <c r="G116" t="s">
        <v>1273</v>
      </c>
      <c r="H116" t="s">
        <v>1274</v>
      </c>
      <c r="I116" t="s">
        <v>419</v>
      </c>
      <c r="J116" t="s">
        <v>414</v>
      </c>
      <c r="K116" t="s">
        <v>408</v>
      </c>
      <c r="L116" t="s">
        <v>410</v>
      </c>
      <c r="M116" t="s">
        <v>411</v>
      </c>
      <c r="N116" t="s">
        <v>412</v>
      </c>
      <c r="O116">
        <v>10006791</v>
      </c>
      <c r="P116" t="s">
        <v>413</v>
      </c>
      <c r="Q116" s="5" t="str">
        <f>VLOOKUP(TabOceanet[VM_name],TabVMEnv[],3,FALSE)</f>
        <v>Mutualisé ASCO</v>
      </c>
      <c r="R116" s="5" t="str">
        <f>IF(VLOOKUP(TabOceanet[VM_name],TabVMEnv[],2,FALSE) = "","Non","")</f>
        <v/>
      </c>
      <c r="S116" s="5">
        <f>IF(TabOceanet[[#This Row],[Type_tarif]]="Tarif_VLAN",1,0)</f>
        <v>0</v>
      </c>
      <c r="T116" s="5">
        <f>TabOceanet[[#This Row],[isCalcVlan]]*TabOceanet[[#This Row],[Nb_article]]*Tarif_VLAN</f>
        <v>0</v>
      </c>
      <c r="U116" s="5">
        <f>IF(TabOceanet[[#This Row],[Type_tarif]]="Tarif_IPPUB",1,0)</f>
        <v>0</v>
      </c>
      <c r="V116" s="5">
        <f>TabOceanet[[#This Row],[isCalcIpPub]]*TabOceanet[[#This Row],[Nb_article]]*Tarif_IPPUB</f>
        <v>0</v>
      </c>
      <c r="W116" s="5">
        <f>IF(TabOceanet[[#This Row],[Type_tarif]]="Tarif_DNS",1,0)</f>
        <v>0</v>
      </c>
      <c r="X116" s="5">
        <f>TabOceanet[[#This Row],[isCalcDns]]*TabOceanet[[#This Row],[Nb_article]]*Tarif_DNS</f>
        <v>0</v>
      </c>
      <c r="Y116" s="5">
        <f>IF(TabOceanet[[#This Row],[Type_tarif]]="Tarif_Certificat_X509_Simple",1,0)</f>
        <v>0</v>
      </c>
      <c r="Z116" s="5">
        <f>TabOceanet[[#This Row],[isCalcCertSimple]]*TabOceanet[[#This Row],[Nb_article]]*Tarif_Certificat_X509_Simple</f>
        <v>0</v>
      </c>
      <c r="AA116" s="5">
        <f>IF(TabOceanet[[#This Row],[Type_tarif]]="Tarif_Certificat_X509_Wildcard",1,0)</f>
        <v>0</v>
      </c>
      <c r="AB116" s="5">
        <f>TabOceanet[[#This Row],[isCalcCertWild]]*TabOceanet[[#This Row],[Nb_article]]*Tarif_Certificat_X509_Wildcard</f>
        <v>0</v>
      </c>
      <c r="AC116" s="5">
        <f>IF(TabOceanet[[#This Row],[Type_tarif]]="Tarif_Astreinte_24_24_7_7",1,0)</f>
        <v>0</v>
      </c>
      <c r="AD116" s="5">
        <f>TabOceanet[[#This Row],[isCalcAstreinte247]]*TabOceanet[[#This Row],[Nb_article]]*Tarif_Astreinte_24_24_7_7</f>
        <v>0</v>
      </c>
      <c r="AE116" s="5">
        <f>IF(TabOceanet[[#This Row],[VM_status]]="PoweredOn",1,0)</f>
        <v>1</v>
      </c>
      <c r="AF116" s="17">
        <f>TabOceanet[[#This Row],[VM_mem]]*Tarif_Ram</f>
        <v>1.6</v>
      </c>
      <c r="AG116" s="5" t="str">
        <f>MID(TabOceanet[[#This Row],[Backup]],29,20)</f>
        <v>H1_Ve</v>
      </c>
      <c r="AH116" s="25">
        <f>IF(LEFT(TabOceanet[[#This Row],[TypeBAK]],3)="HOR",Tarif_Backup_Horaire*TabOceanet[[#This Row],[VM_disk]],IF(LEFT(TabOceanet[[#This Row],[TypeBAK]],3)="J15",Tarif_Backup_J15*TabOceanet[[#This Row],[VM_disk]],IF(LEFT(TabOceanet[[#This Row],[TypeBAK]],3)="H1_",Tarif_Backup_J15*TabOceanet[[#This Row],[VM_disk]],0)))</f>
        <v>0.92</v>
      </c>
      <c r="AI116" s="17">
        <f>TabOceanet[[#This Row],[VM_disk]]*Tarif_disque</f>
        <v>0</v>
      </c>
      <c r="AJ116"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2.52</v>
      </c>
    </row>
    <row r="117" spans="1:36" x14ac:dyDescent="0.25">
      <c r="A117" t="s">
        <v>44</v>
      </c>
      <c r="B117">
        <v>1</v>
      </c>
      <c r="C117">
        <v>1</v>
      </c>
      <c r="D117">
        <v>38</v>
      </c>
      <c r="E117" t="s">
        <v>423</v>
      </c>
      <c r="G117" t="s">
        <v>1275</v>
      </c>
      <c r="H117" t="s">
        <v>1274</v>
      </c>
      <c r="I117" t="s">
        <v>419</v>
      </c>
      <c r="J117" t="s">
        <v>414</v>
      </c>
      <c r="K117" t="s">
        <v>408</v>
      </c>
      <c r="L117" t="s">
        <v>410</v>
      </c>
      <c r="M117" t="s">
        <v>1322</v>
      </c>
      <c r="N117" t="s">
        <v>412</v>
      </c>
      <c r="O117">
        <v>10006791</v>
      </c>
      <c r="P117" t="s">
        <v>413</v>
      </c>
      <c r="Q117" s="5" t="str">
        <f>VLOOKUP(TabOceanet[VM_name],TabVMEnv[],3,FALSE)</f>
        <v>VMFV France-Visas</v>
      </c>
      <c r="R117" s="5" t="str">
        <f>IF(VLOOKUP(TabOceanet[VM_name],TabVMEnv[],2,FALSE) = "","Non","")</f>
        <v/>
      </c>
      <c r="S117" s="5">
        <f>IF(TabOceanet[[#This Row],[Type_tarif]]="Tarif_VLAN",1,0)</f>
        <v>0</v>
      </c>
      <c r="T117" s="5">
        <f>TabOceanet[[#This Row],[isCalcVlan]]*TabOceanet[[#This Row],[Nb_article]]*Tarif_VLAN</f>
        <v>0</v>
      </c>
      <c r="U117" s="5">
        <f>IF(TabOceanet[[#This Row],[Type_tarif]]="Tarif_IPPUB",1,0)</f>
        <v>0</v>
      </c>
      <c r="V117" s="5">
        <f>TabOceanet[[#This Row],[isCalcIpPub]]*TabOceanet[[#This Row],[Nb_article]]*Tarif_IPPUB</f>
        <v>0</v>
      </c>
      <c r="W117" s="5">
        <f>IF(TabOceanet[[#This Row],[Type_tarif]]="Tarif_DNS",1,0)</f>
        <v>0</v>
      </c>
      <c r="X117" s="5">
        <f>TabOceanet[[#This Row],[isCalcDns]]*TabOceanet[[#This Row],[Nb_article]]*Tarif_DNS</f>
        <v>0</v>
      </c>
      <c r="Y117" s="5">
        <f>IF(TabOceanet[[#This Row],[Type_tarif]]="Tarif_Certificat_X509_Simple",1,0)</f>
        <v>0</v>
      </c>
      <c r="Z117" s="5">
        <f>TabOceanet[[#This Row],[isCalcCertSimple]]*TabOceanet[[#This Row],[Nb_article]]*Tarif_Certificat_X509_Simple</f>
        <v>0</v>
      </c>
      <c r="AA117" s="5">
        <f>IF(TabOceanet[[#This Row],[Type_tarif]]="Tarif_Certificat_X509_Wildcard",1,0)</f>
        <v>0</v>
      </c>
      <c r="AB117" s="5">
        <f>TabOceanet[[#This Row],[isCalcCertWild]]*TabOceanet[[#This Row],[Nb_article]]*Tarif_Certificat_X509_Wildcard</f>
        <v>0</v>
      </c>
      <c r="AC117" s="5">
        <f>IF(TabOceanet[[#This Row],[Type_tarif]]="Tarif_Astreinte_24_24_7_7",1,0)</f>
        <v>0</v>
      </c>
      <c r="AD117" s="5">
        <f>TabOceanet[[#This Row],[isCalcAstreinte247]]*TabOceanet[[#This Row],[Nb_article]]*Tarif_Astreinte_24_24_7_7</f>
        <v>0</v>
      </c>
      <c r="AE117" s="5">
        <f>IF(TabOceanet[[#This Row],[VM_status]]="PoweredOn",1,0)</f>
        <v>1</v>
      </c>
      <c r="AF117" s="17">
        <f>TabOceanet[[#This Row],[VM_mem]]*Tarif_Ram</f>
        <v>1.6</v>
      </c>
      <c r="AG117" s="5" t="str">
        <f>MID(TabOceanet[[#This Row],[Backup]],29,20)</f>
        <v>J15_1</v>
      </c>
      <c r="AH117" s="25">
        <f>IF(LEFT(TabOceanet[[#This Row],[TypeBAK]],3)="HOR",Tarif_Backup_Horaire*TabOceanet[[#This Row],[VM_disk]],IF(LEFT(TabOceanet[[#This Row],[TypeBAK]],3)="J15",Tarif_Backup_J15*TabOceanet[[#This Row],[VM_disk]],IF(LEFT(TabOceanet[[#This Row],[TypeBAK]],3)="H1_",Tarif_Backup_J15*TabOceanet[[#This Row],[VM_disk]],0)))</f>
        <v>8.74</v>
      </c>
      <c r="AI117" s="17">
        <f>TabOceanet[[#This Row],[VM_disk]]*Tarif_disque</f>
        <v>0</v>
      </c>
      <c r="AJ117"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10.34</v>
      </c>
    </row>
    <row r="118" spans="1:36" x14ac:dyDescent="0.25">
      <c r="A118" t="s">
        <v>62</v>
      </c>
      <c r="B118">
        <v>1</v>
      </c>
      <c r="C118">
        <v>1</v>
      </c>
      <c r="D118">
        <v>4</v>
      </c>
      <c r="E118" t="s">
        <v>423</v>
      </c>
      <c r="G118" t="s">
        <v>1275</v>
      </c>
      <c r="H118" t="s">
        <v>1274</v>
      </c>
      <c r="I118" t="s">
        <v>419</v>
      </c>
      <c r="J118" t="s">
        <v>414</v>
      </c>
      <c r="K118" t="s">
        <v>408</v>
      </c>
      <c r="L118" t="s">
        <v>410</v>
      </c>
      <c r="M118" t="s">
        <v>411</v>
      </c>
      <c r="N118" t="s">
        <v>412</v>
      </c>
      <c r="O118">
        <v>10006791</v>
      </c>
      <c r="P118" t="s">
        <v>413</v>
      </c>
      <c r="Q118" s="5" t="str">
        <f>VLOOKUP(TabOceanet[VM_name],TabVMEnv[],3,FALSE)</f>
        <v>Extinction longue au cas où Vivesco en aurait besoin</v>
      </c>
      <c r="R118" s="5" t="str">
        <f>IF(VLOOKUP(TabOceanet[VM_name],TabVMEnv[],2,FALSE) = "","Non","")</f>
        <v/>
      </c>
      <c r="S118" s="5">
        <f>IF(TabOceanet[[#This Row],[Type_tarif]]="Tarif_VLAN",1,0)</f>
        <v>0</v>
      </c>
      <c r="T118" s="5">
        <f>TabOceanet[[#This Row],[isCalcVlan]]*TabOceanet[[#This Row],[Nb_article]]*Tarif_VLAN</f>
        <v>0</v>
      </c>
      <c r="U118" s="5">
        <f>IF(TabOceanet[[#This Row],[Type_tarif]]="Tarif_IPPUB",1,0)</f>
        <v>0</v>
      </c>
      <c r="V118" s="5">
        <f>TabOceanet[[#This Row],[isCalcIpPub]]*TabOceanet[[#This Row],[Nb_article]]*Tarif_IPPUB</f>
        <v>0</v>
      </c>
      <c r="W118" s="5">
        <f>IF(TabOceanet[[#This Row],[Type_tarif]]="Tarif_DNS",1,0)</f>
        <v>0</v>
      </c>
      <c r="X118" s="5">
        <f>TabOceanet[[#This Row],[isCalcDns]]*TabOceanet[[#This Row],[Nb_article]]*Tarif_DNS</f>
        <v>0</v>
      </c>
      <c r="Y118" s="5">
        <f>IF(TabOceanet[[#This Row],[Type_tarif]]="Tarif_Certificat_X509_Simple",1,0)</f>
        <v>0</v>
      </c>
      <c r="Z118" s="5">
        <f>TabOceanet[[#This Row],[isCalcCertSimple]]*TabOceanet[[#This Row],[Nb_article]]*Tarif_Certificat_X509_Simple</f>
        <v>0</v>
      </c>
      <c r="AA118" s="5">
        <f>IF(TabOceanet[[#This Row],[Type_tarif]]="Tarif_Certificat_X509_Wildcard",1,0)</f>
        <v>0</v>
      </c>
      <c r="AB118" s="5">
        <f>TabOceanet[[#This Row],[isCalcCertWild]]*TabOceanet[[#This Row],[Nb_article]]*Tarif_Certificat_X509_Wildcard</f>
        <v>0</v>
      </c>
      <c r="AC118" s="5">
        <f>IF(TabOceanet[[#This Row],[Type_tarif]]="Tarif_Astreinte_24_24_7_7",1,0)</f>
        <v>0</v>
      </c>
      <c r="AD118" s="5">
        <f>TabOceanet[[#This Row],[isCalcAstreinte247]]*TabOceanet[[#This Row],[Nb_article]]*Tarif_Astreinte_24_24_7_7</f>
        <v>0</v>
      </c>
      <c r="AE118" s="5">
        <f>IF(TabOceanet[[#This Row],[VM_status]]="PoweredOn",1,0)</f>
        <v>1</v>
      </c>
      <c r="AF118" s="17">
        <f>TabOceanet[[#This Row],[VM_mem]]*Tarif_Ram</f>
        <v>1.6</v>
      </c>
      <c r="AG118" s="5" t="str">
        <f>MID(TabOceanet[[#This Row],[Backup]],29,20)</f>
        <v>H1_Ve</v>
      </c>
      <c r="AH118" s="25">
        <f>IF(LEFT(TabOceanet[[#This Row],[TypeBAK]],3)="HOR",Tarif_Backup_Horaire*TabOceanet[[#This Row],[VM_disk]],IF(LEFT(TabOceanet[[#This Row],[TypeBAK]],3)="J15",Tarif_Backup_J15*TabOceanet[[#This Row],[VM_disk]],IF(LEFT(TabOceanet[[#This Row],[TypeBAK]],3)="H1_",Tarif_Backup_J15*TabOceanet[[#This Row],[VM_disk]],0)))</f>
        <v>0.92</v>
      </c>
      <c r="AI118" s="17">
        <f>TabOceanet[[#This Row],[VM_disk]]*Tarif_disque</f>
        <v>0</v>
      </c>
      <c r="AJ118"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2.52</v>
      </c>
    </row>
    <row r="119" spans="1:36" x14ac:dyDescent="0.25">
      <c r="A119" t="s">
        <v>156</v>
      </c>
      <c r="B119">
        <v>1</v>
      </c>
      <c r="C119">
        <v>1</v>
      </c>
      <c r="D119">
        <v>4</v>
      </c>
      <c r="E119" t="s">
        <v>423</v>
      </c>
      <c r="G119" t="s">
        <v>1275</v>
      </c>
      <c r="H119" t="s">
        <v>1274</v>
      </c>
      <c r="I119" t="s">
        <v>419</v>
      </c>
      <c r="J119" t="s">
        <v>414</v>
      </c>
      <c r="K119" t="s">
        <v>408</v>
      </c>
      <c r="L119" t="s">
        <v>410</v>
      </c>
      <c r="M119" t="s">
        <v>430</v>
      </c>
      <c r="N119" t="s">
        <v>412</v>
      </c>
      <c r="O119">
        <v>10006791</v>
      </c>
      <c r="P119" t="s">
        <v>413</v>
      </c>
      <c r="Q119" s="5">
        <f>VLOOKUP(TabOceanet[VM_name],TabVMEnv[],3,FALSE)</f>
        <v>0</v>
      </c>
      <c r="R119" s="5" t="str">
        <f>IF(VLOOKUP(TabOceanet[VM_name],TabVMEnv[],2,FALSE) = "","Non","")</f>
        <v/>
      </c>
      <c r="S119" s="5">
        <f>IF(TabOceanet[[#This Row],[Type_tarif]]="Tarif_VLAN",1,0)</f>
        <v>0</v>
      </c>
      <c r="T119" s="5">
        <f>TabOceanet[[#This Row],[isCalcVlan]]*TabOceanet[[#This Row],[Nb_article]]*Tarif_VLAN</f>
        <v>0</v>
      </c>
      <c r="U119" s="5">
        <f>IF(TabOceanet[[#This Row],[Type_tarif]]="Tarif_IPPUB",1,0)</f>
        <v>0</v>
      </c>
      <c r="V119" s="5">
        <f>TabOceanet[[#This Row],[isCalcIpPub]]*TabOceanet[[#This Row],[Nb_article]]*Tarif_IPPUB</f>
        <v>0</v>
      </c>
      <c r="W119" s="5">
        <f>IF(TabOceanet[[#This Row],[Type_tarif]]="Tarif_DNS",1,0)</f>
        <v>0</v>
      </c>
      <c r="X119" s="5">
        <f>TabOceanet[[#This Row],[isCalcDns]]*TabOceanet[[#This Row],[Nb_article]]*Tarif_DNS</f>
        <v>0</v>
      </c>
      <c r="Y119" s="5">
        <f>IF(TabOceanet[[#This Row],[Type_tarif]]="Tarif_Certificat_X509_Simple",1,0)</f>
        <v>0</v>
      </c>
      <c r="Z119" s="5">
        <f>TabOceanet[[#This Row],[isCalcCertSimple]]*TabOceanet[[#This Row],[Nb_article]]*Tarif_Certificat_X509_Simple</f>
        <v>0</v>
      </c>
      <c r="AA119" s="5">
        <f>IF(TabOceanet[[#This Row],[Type_tarif]]="Tarif_Certificat_X509_Wildcard",1,0)</f>
        <v>0</v>
      </c>
      <c r="AB119" s="5">
        <f>TabOceanet[[#This Row],[isCalcCertWild]]*TabOceanet[[#This Row],[Nb_article]]*Tarif_Certificat_X509_Wildcard</f>
        <v>0</v>
      </c>
      <c r="AC119" s="5">
        <f>IF(TabOceanet[[#This Row],[Type_tarif]]="Tarif_Astreinte_24_24_7_7",1,0)</f>
        <v>0</v>
      </c>
      <c r="AD119" s="5">
        <f>TabOceanet[[#This Row],[isCalcAstreinte247]]*TabOceanet[[#This Row],[Nb_article]]*Tarif_Astreinte_24_24_7_7</f>
        <v>0</v>
      </c>
      <c r="AE119" s="5">
        <f>IF(TabOceanet[[#This Row],[VM_status]]="PoweredOn",1,0)</f>
        <v>1</v>
      </c>
      <c r="AF119" s="17">
        <f>TabOceanet[[#This Row],[VM_mem]]*Tarif_Ram</f>
        <v>1.6</v>
      </c>
      <c r="AG119" s="5" t="str">
        <f>MID(TabOceanet[[#This Row],[Backup]],29,20)</f>
        <v>J15_2</v>
      </c>
      <c r="AH119" s="25">
        <f>IF(LEFT(TabOceanet[[#This Row],[TypeBAK]],3)="HOR",Tarif_Backup_Horaire*TabOceanet[[#This Row],[VM_disk]],IF(LEFT(TabOceanet[[#This Row],[TypeBAK]],3)="J15",Tarif_Backup_J15*TabOceanet[[#This Row],[VM_disk]],IF(LEFT(TabOceanet[[#This Row],[TypeBAK]],3)="H1_",Tarif_Backup_J15*TabOceanet[[#This Row],[VM_disk]],0)))</f>
        <v>0.92</v>
      </c>
      <c r="AI119" s="17">
        <f>TabOceanet[[#This Row],[VM_disk]]*Tarif_disque</f>
        <v>0</v>
      </c>
      <c r="AJ119"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2.52</v>
      </c>
    </row>
    <row r="120" spans="1:36" x14ac:dyDescent="0.25">
      <c r="A120" t="s">
        <v>46</v>
      </c>
      <c r="B120">
        <v>1</v>
      </c>
      <c r="C120">
        <v>1</v>
      </c>
      <c r="D120">
        <v>22</v>
      </c>
      <c r="E120" t="s">
        <v>423</v>
      </c>
      <c r="G120" t="s">
        <v>1275</v>
      </c>
      <c r="H120" t="s">
        <v>1274</v>
      </c>
      <c r="I120" t="s">
        <v>419</v>
      </c>
      <c r="J120" t="s">
        <v>414</v>
      </c>
      <c r="K120" t="s">
        <v>408</v>
      </c>
      <c r="L120" t="s">
        <v>410</v>
      </c>
      <c r="M120" t="s">
        <v>430</v>
      </c>
      <c r="N120" t="s">
        <v>412</v>
      </c>
      <c r="O120">
        <v>10006791</v>
      </c>
      <c r="P120" t="s">
        <v>413</v>
      </c>
      <c r="Q120" s="5">
        <f>VLOOKUP(TabOceanet[VM_name],TabVMEnv[],3,FALSE)</f>
        <v>0</v>
      </c>
      <c r="R120" s="5" t="str">
        <f>IF(VLOOKUP(TabOceanet[VM_name],TabVMEnv[],2,FALSE) = "","Non","")</f>
        <v/>
      </c>
      <c r="S120" s="5">
        <f>IF(TabOceanet[[#This Row],[Type_tarif]]="Tarif_VLAN",1,0)</f>
        <v>0</v>
      </c>
      <c r="T120" s="5">
        <f>TabOceanet[[#This Row],[isCalcVlan]]*TabOceanet[[#This Row],[Nb_article]]*Tarif_VLAN</f>
        <v>0</v>
      </c>
      <c r="U120" s="5">
        <f>IF(TabOceanet[[#This Row],[Type_tarif]]="Tarif_IPPUB",1,0)</f>
        <v>0</v>
      </c>
      <c r="V120" s="5">
        <f>TabOceanet[[#This Row],[isCalcIpPub]]*TabOceanet[[#This Row],[Nb_article]]*Tarif_IPPUB</f>
        <v>0</v>
      </c>
      <c r="W120" s="5">
        <f>IF(TabOceanet[[#This Row],[Type_tarif]]="Tarif_DNS",1,0)</f>
        <v>0</v>
      </c>
      <c r="X120" s="5">
        <f>TabOceanet[[#This Row],[isCalcDns]]*TabOceanet[[#This Row],[Nb_article]]*Tarif_DNS</f>
        <v>0</v>
      </c>
      <c r="Y120" s="5">
        <f>IF(TabOceanet[[#This Row],[Type_tarif]]="Tarif_Certificat_X509_Simple",1,0)</f>
        <v>0</v>
      </c>
      <c r="Z120" s="5">
        <f>TabOceanet[[#This Row],[isCalcCertSimple]]*TabOceanet[[#This Row],[Nb_article]]*Tarif_Certificat_X509_Simple</f>
        <v>0</v>
      </c>
      <c r="AA120" s="5">
        <f>IF(TabOceanet[[#This Row],[Type_tarif]]="Tarif_Certificat_X509_Wildcard",1,0)</f>
        <v>0</v>
      </c>
      <c r="AB120" s="5">
        <f>TabOceanet[[#This Row],[isCalcCertWild]]*TabOceanet[[#This Row],[Nb_article]]*Tarif_Certificat_X509_Wildcard</f>
        <v>0</v>
      </c>
      <c r="AC120" s="5">
        <f>IF(TabOceanet[[#This Row],[Type_tarif]]="Tarif_Astreinte_24_24_7_7",1,0)</f>
        <v>0</v>
      </c>
      <c r="AD120" s="5">
        <f>TabOceanet[[#This Row],[isCalcAstreinte247]]*TabOceanet[[#This Row],[Nb_article]]*Tarif_Astreinte_24_24_7_7</f>
        <v>0</v>
      </c>
      <c r="AE120" s="5">
        <f>IF(TabOceanet[[#This Row],[VM_status]]="PoweredOn",1,0)</f>
        <v>1</v>
      </c>
      <c r="AF120" s="17">
        <f>TabOceanet[[#This Row],[VM_mem]]*Tarif_Ram</f>
        <v>1.6</v>
      </c>
      <c r="AG120" s="5" t="str">
        <f>MID(TabOceanet[[#This Row],[Backup]],29,20)</f>
        <v>J15_2</v>
      </c>
      <c r="AH120" s="25">
        <f>IF(LEFT(TabOceanet[[#This Row],[TypeBAK]],3)="HOR",Tarif_Backup_Horaire*TabOceanet[[#This Row],[VM_disk]],IF(LEFT(TabOceanet[[#This Row],[TypeBAK]],3)="J15",Tarif_Backup_J15*TabOceanet[[#This Row],[VM_disk]],IF(LEFT(TabOceanet[[#This Row],[TypeBAK]],3)="H1_",Tarif_Backup_J15*TabOceanet[[#This Row],[VM_disk]],0)))</f>
        <v>5.0600000000000005</v>
      </c>
      <c r="AI120" s="17">
        <f>TabOceanet[[#This Row],[VM_disk]]*Tarif_disque</f>
        <v>0</v>
      </c>
      <c r="AJ120"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6.66</v>
      </c>
    </row>
    <row r="121" spans="1:36" x14ac:dyDescent="0.25">
      <c r="A121" t="s">
        <v>233</v>
      </c>
      <c r="B121">
        <v>2</v>
      </c>
      <c r="C121">
        <v>2</v>
      </c>
      <c r="D121">
        <v>40</v>
      </c>
      <c r="E121" t="s">
        <v>441</v>
      </c>
      <c r="G121" t="s">
        <v>1273</v>
      </c>
      <c r="H121" t="s">
        <v>1274</v>
      </c>
      <c r="I121" t="s">
        <v>436</v>
      </c>
      <c r="K121" t="s">
        <v>408</v>
      </c>
      <c r="L121" t="s">
        <v>410</v>
      </c>
      <c r="M121" t="s">
        <v>411</v>
      </c>
      <c r="N121" t="s">
        <v>412</v>
      </c>
      <c r="O121">
        <v>10006791</v>
      </c>
      <c r="P121" t="s">
        <v>413</v>
      </c>
      <c r="Q121" s="5">
        <f>VLOOKUP(TabOceanet[VM_name],TabVMEnv[],3,FALSE)</f>
        <v>0</v>
      </c>
      <c r="R121" s="5" t="str">
        <f>IF(VLOOKUP(TabOceanet[VM_name],TabVMEnv[],2,FALSE) = "","Non","")</f>
        <v/>
      </c>
      <c r="S121" s="5">
        <f>IF(TabOceanet[[#This Row],[Type_tarif]]="Tarif_VLAN",1,0)</f>
        <v>0</v>
      </c>
      <c r="T121" s="5">
        <f>TabOceanet[[#This Row],[isCalcVlan]]*TabOceanet[[#This Row],[Nb_article]]*Tarif_VLAN</f>
        <v>0</v>
      </c>
      <c r="U121" s="5">
        <f>IF(TabOceanet[[#This Row],[Type_tarif]]="Tarif_IPPUB",1,0)</f>
        <v>0</v>
      </c>
      <c r="V121" s="5">
        <f>TabOceanet[[#This Row],[isCalcIpPub]]*TabOceanet[[#This Row],[Nb_article]]*Tarif_IPPUB</f>
        <v>0</v>
      </c>
      <c r="W121" s="5">
        <f>IF(TabOceanet[[#This Row],[Type_tarif]]="Tarif_DNS",1,0)</f>
        <v>0</v>
      </c>
      <c r="X121" s="5">
        <f>TabOceanet[[#This Row],[isCalcDns]]*TabOceanet[[#This Row],[Nb_article]]*Tarif_DNS</f>
        <v>0</v>
      </c>
      <c r="Y121" s="5">
        <f>IF(TabOceanet[[#This Row],[Type_tarif]]="Tarif_Certificat_X509_Simple",1,0)</f>
        <v>0</v>
      </c>
      <c r="Z121" s="5">
        <f>TabOceanet[[#This Row],[isCalcCertSimple]]*TabOceanet[[#This Row],[Nb_article]]*Tarif_Certificat_X509_Simple</f>
        <v>0</v>
      </c>
      <c r="AA121" s="5">
        <f>IF(TabOceanet[[#This Row],[Type_tarif]]="Tarif_Certificat_X509_Wildcard",1,0)</f>
        <v>0</v>
      </c>
      <c r="AB121" s="5">
        <f>TabOceanet[[#This Row],[isCalcCertWild]]*TabOceanet[[#This Row],[Nb_article]]*Tarif_Certificat_X509_Wildcard</f>
        <v>0</v>
      </c>
      <c r="AC121" s="5">
        <f>IF(TabOceanet[[#This Row],[Type_tarif]]="Tarif_Astreinte_24_24_7_7",1,0)</f>
        <v>0</v>
      </c>
      <c r="AD121" s="5">
        <f>TabOceanet[[#This Row],[isCalcAstreinte247]]*TabOceanet[[#This Row],[Nb_article]]*Tarif_Astreinte_24_24_7_7</f>
        <v>0</v>
      </c>
      <c r="AE121" s="5">
        <f>IF(TabOceanet[[#This Row],[VM_status]]="PoweredOn",1,0)</f>
        <v>0</v>
      </c>
      <c r="AF121" s="17">
        <f>TabOceanet[[#This Row],[VM_mem]]*Tarif_Ram</f>
        <v>3.2</v>
      </c>
      <c r="AG121" s="5" t="str">
        <f>MID(TabOceanet[[#This Row],[Backup]],29,20)</f>
        <v>H1_Ve</v>
      </c>
      <c r="AH121" s="25">
        <f>IF(LEFT(TabOceanet[[#This Row],[TypeBAK]],3)="HOR",Tarif_Backup_Horaire*TabOceanet[[#This Row],[VM_disk]],IF(LEFT(TabOceanet[[#This Row],[TypeBAK]],3)="J15",Tarif_Backup_J15*TabOceanet[[#This Row],[VM_disk]],IF(LEFT(TabOceanet[[#This Row],[TypeBAK]],3)="H1_",Tarif_Backup_J15*TabOceanet[[#This Row],[VM_disk]],0)))</f>
        <v>9.2000000000000011</v>
      </c>
      <c r="AI121" s="17">
        <f>TabOceanet[[#This Row],[VM_disk]]*Tarif_disque</f>
        <v>0</v>
      </c>
      <c r="AJ121"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9.2000000000000011</v>
      </c>
    </row>
    <row r="122" spans="1:36" hidden="1" x14ac:dyDescent="0.25">
      <c r="A122" t="s">
        <v>79</v>
      </c>
      <c r="B122">
        <v>4</v>
      </c>
      <c r="C122">
        <v>16</v>
      </c>
      <c r="D122">
        <v>127</v>
      </c>
      <c r="E122" t="s">
        <v>426</v>
      </c>
      <c r="G122" t="s">
        <v>1275</v>
      </c>
      <c r="H122" t="s">
        <v>1274</v>
      </c>
      <c r="I122" t="s">
        <v>419</v>
      </c>
      <c r="J122" t="s">
        <v>414</v>
      </c>
      <c r="K122" t="s">
        <v>406</v>
      </c>
      <c r="L122" t="s">
        <v>410</v>
      </c>
      <c r="M122" t="s">
        <v>1322</v>
      </c>
      <c r="N122" t="s">
        <v>412</v>
      </c>
      <c r="O122">
        <v>10006791</v>
      </c>
      <c r="P122" t="s">
        <v>413</v>
      </c>
      <c r="Q122" s="5">
        <f>VLOOKUP(TabOceanet[VM_name],TabVMEnv[],3,FALSE)</f>
        <v>0</v>
      </c>
      <c r="R122" s="5" t="str">
        <f>IF(VLOOKUP(TabOceanet[VM_name],TabVMEnv[],2,FALSE) = "","Non","")</f>
        <v/>
      </c>
      <c r="S122" s="5">
        <f>IF(TabOceanet[[#This Row],[Type_tarif]]="Tarif_VLAN",1,0)</f>
        <v>0</v>
      </c>
      <c r="T122" s="5">
        <f>TabOceanet[[#This Row],[isCalcVlan]]*TabOceanet[[#This Row],[Nb_article]]*Tarif_VLAN</f>
        <v>0</v>
      </c>
      <c r="U122" s="5">
        <f>IF(TabOceanet[[#This Row],[Type_tarif]]="Tarif_IPPUB",1,0)</f>
        <v>0</v>
      </c>
      <c r="V122" s="5">
        <f>TabOceanet[[#This Row],[isCalcIpPub]]*TabOceanet[[#This Row],[Nb_article]]*Tarif_IPPUB</f>
        <v>0</v>
      </c>
      <c r="W122" s="5">
        <f>IF(TabOceanet[[#This Row],[Type_tarif]]="Tarif_DNS",1,0)</f>
        <v>0</v>
      </c>
      <c r="X122" s="5">
        <f>TabOceanet[[#This Row],[isCalcDns]]*TabOceanet[[#This Row],[Nb_article]]*Tarif_DNS</f>
        <v>0</v>
      </c>
      <c r="Y122" s="5">
        <f>IF(TabOceanet[[#This Row],[Type_tarif]]="Tarif_Certificat_X509_Simple",1,0)</f>
        <v>0</v>
      </c>
      <c r="Z122" s="5">
        <f>TabOceanet[[#This Row],[isCalcCertSimple]]*TabOceanet[[#This Row],[Nb_article]]*Tarif_Certificat_X509_Simple</f>
        <v>0</v>
      </c>
      <c r="AA122" s="5">
        <f>IF(TabOceanet[[#This Row],[Type_tarif]]="Tarif_Certificat_X509_Wildcard",1,0)</f>
        <v>0</v>
      </c>
      <c r="AB122" s="5">
        <f>TabOceanet[[#This Row],[isCalcCertWild]]*TabOceanet[[#This Row],[Nb_article]]*Tarif_Certificat_X509_Wildcard</f>
        <v>0</v>
      </c>
      <c r="AC122" s="5">
        <f>IF(TabOceanet[[#This Row],[Type_tarif]]="Tarif_Astreinte_24_24_7_7",1,0)</f>
        <v>0</v>
      </c>
      <c r="AD122" s="5">
        <f>TabOceanet[[#This Row],[isCalcAstreinte247]]*TabOceanet[[#This Row],[Nb_article]]*Tarif_Astreinte_24_24_7_7</f>
        <v>0</v>
      </c>
      <c r="AE122" s="5">
        <f>IF(TabOceanet[[#This Row],[VM_status]]="PoweredOn",1,0)</f>
        <v>1</v>
      </c>
      <c r="AF122" s="17">
        <f>TabOceanet[[#This Row],[VM_mem]]*Tarif_Ram</f>
        <v>25.6</v>
      </c>
      <c r="AG122" s="5" t="str">
        <f>MID(TabOceanet[[#This Row],[Backup]],29,20)</f>
        <v>J15_1</v>
      </c>
      <c r="AH122" s="25">
        <f>IF(LEFT(TabOceanet[[#This Row],[TypeBAK]],3)="HOR",Tarif_Backup_Horaire*TabOceanet[[#This Row],[VM_disk]],IF(LEFT(TabOceanet[[#This Row],[TypeBAK]],3)="J15",Tarif_Backup_J15*TabOceanet[[#This Row],[VM_disk]],IF(LEFT(TabOceanet[[#This Row],[TypeBAK]],3)="H1_",Tarif_Backup_J15*TabOceanet[[#This Row],[VM_disk]],0)))</f>
        <v>29.21</v>
      </c>
      <c r="AI122" s="17">
        <f>TabOceanet[[#This Row],[VM_disk]]*Tarif_disque</f>
        <v>0</v>
      </c>
      <c r="AJ122"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54.81</v>
      </c>
    </row>
    <row r="123" spans="1:36" hidden="1" x14ac:dyDescent="0.25">
      <c r="A123" t="s">
        <v>80</v>
      </c>
      <c r="B123">
        <v>2</v>
      </c>
      <c r="C123">
        <v>4</v>
      </c>
      <c r="D123">
        <v>27</v>
      </c>
      <c r="E123" t="s">
        <v>426</v>
      </c>
      <c r="G123" t="s">
        <v>1273</v>
      </c>
      <c r="H123" t="s">
        <v>1274</v>
      </c>
      <c r="I123" t="s">
        <v>419</v>
      </c>
      <c r="J123" t="s">
        <v>414</v>
      </c>
      <c r="K123" t="s">
        <v>406</v>
      </c>
      <c r="L123" t="s">
        <v>410</v>
      </c>
      <c r="M123" t="s">
        <v>430</v>
      </c>
      <c r="N123" t="s">
        <v>412</v>
      </c>
      <c r="O123">
        <v>10006791</v>
      </c>
      <c r="P123" t="s">
        <v>413</v>
      </c>
      <c r="Q123" s="5">
        <f>VLOOKUP(TabOceanet[VM_name],TabVMEnv[],3,FALSE)</f>
        <v>0</v>
      </c>
      <c r="R123" s="5" t="str">
        <f>IF(VLOOKUP(TabOceanet[VM_name],TabVMEnv[],2,FALSE) = "","Non","")</f>
        <v/>
      </c>
      <c r="S123" s="5">
        <f>IF(TabOceanet[[#This Row],[Type_tarif]]="Tarif_VLAN",1,0)</f>
        <v>0</v>
      </c>
      <c r="T123" s="5">
        <f>TabOceanet[[#This Row],[isCalcVlan]]*TabOceanet[[#This Row],[Nb_article]]*Tarif_VLAN</f>
        <v>0</v>
      </c>
      <c r="U123" s="5">
        <f>IF(TabOceanet[[#This Row],[Type_tarif]]="Tarif_IPPUB",1,0)</f>
        <v>0</v>
      </c>
      <c r="V123" s="5">
        <f>TabOceanet[[#This Row],[isCalcIpPub]]*TabOceanet[[#This Row],[Nb_article]]*Tarif_IPPUB</f>
        <v>0</v>
      </c>
      <c r="W123" s="5">
        <f>IF(TabOceanet[[#This Row],[Type_tarif]]="Tarif_DNS",1,0)</f>
        <v>0</v>
      </c>
      <c r="X123" s="5">
        <f>TabOceanet[[#This Row],[isCalcDns]]*TabOceanet[[#This Row],[Nb_article]]*Tarif_DNS</f>
        <v>0</v>
      </c>
      <c r="Y123" s="5">
        <f>IF(TabOceanet[[#This Row],[Type_tarif]]="Tarif_Certificat_X509_Simple",1,0)</f>
        <v>0</v>
      </c>
      <c r="Z123" s="5">
        <f>TabOceanet[[#This Row],[isCalcCertSimple]]*TabOceanet[[#This Row],[Nb_article]]*Tarif_Certificat_X509_Simple</f>
        <v>0</v>
      </c>
      <c r="AA123" s="5">
        <f>IF(TabOceanet[[#This Row],[Type_tarif]]="Tarif_Certificat_X509_Wildcard",1,0)</f>
        <v>0</v>
      </c>
      <c r="AB123" s="5">
        <f>TabOceanet[[#This Row],[isCalcCertWild]]*TabOceanet[[#This Row],[Nb_article]]*Tarif_Certificat_X509_Wildcard</f>
        <v>0</v>
      </c>
      <c r="AC123" s="5">
        <f>IF(TabOceanet[[#This Row],[Type_tarif]]="Tarif_Astreinte_24_24_7_7",1,0)</f>
        <v>0</v>
      </c>
      <c r="AD123" s="5">
        <f>TabOceanet[[#This Row],[isCalcAstreinte247]]*TabOceanet[[#This Row],[Nb_article]]*Tarif_Astreinte_24_24_7_7</f>
        <v>0</v>
      </c>
      <c r="AE123" s="5">
        <f>IF(TabOceanet[[#This Row],[VM_status]]="PoweredOn",1,0)</f>
        <v>1</v>
      </c>
      <c r="AF123" s="17">
        <f>TabOceanet[[#This Row],[VM_mem]]*Tarif_Ram</f>
        <v>6.4</v>
      </c>
      <c r="AG123" s="5" t="str">
        <f>MID(TabOceanet[[#This Row],[Backup]],29,20)</f>
        <v>J15_2</v>
      </c>
      <c r="AH123" s="25">
        <f>IF(LEFT(TabOceanet[[#This Row],[TypeBAK]],3)="HOR",Tarif_Backup_Horaire*TabOceanet[[#This Row],[VM_disk]],IF(LEFT(TabOceanet[[#This Row],[TypeBAK]],3)="J15",Tarif_Backup_J15*TabOceanet[[#This Row],[VM_disk]],IF(LEFT(TabOceanet[[#This Row],[TypeBAK]],3)="H1_",Tarif_Backup_J15*TabOceanet[[#This Row],[VM_disk]],0)))</f>
        <v>6.21</v>
      </c>
      <c r="AI123" s="17">
        <f>TabOceanet[[#This Row],[VM_disk]]*Tarif_disque</f>
        <v>0</v>
      </c>
      <c r="AJ123"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12.61</v>
      </c>
    </row>
    <row r="124" spans="1:36" hidden="1" x14ac:dyDescent="0.25">
      <c r="A124" t="s">
        <v>81</v>
      </c>
      <c r="B124">
        <v>4</v>
      </c>
      <c r="C124">
        <v>16</v>
      </c>
      <c r="D124">
        <v>47</v>
      </c>
      <c r="E124" t="s">
        <v>426</v>
      </c>
      <c r="G124" t="s">
        <v>1275</v>
      </c>
      <c r="H124" t="s">
        <v>1274</v>
      </c>
      <c r="I124" t="s">
        <v>419</v>
      </c>
      <c r="J124" t="s">
        <v>414</v>
      </c>
      <c r="K124" t="s">
        <v>406</v>
      </c>
      <c r="L124" t="s">
        <v>410</v>
      </c>
      <c r="M124" t="s">
        <v>1322</v>
      </c>
      <c r="N124" t="s">
        <v>412</v>
      </c>
      <c r="O124">
        <v>10006791</v>
      </c>
      <c r="P124" t="s">
        <v>413</v>
      </c>
      <c r="Q124" s="5">
        <f>VLOOKUP(TabOceanet[VM_name],TabVMEnv[],3,FALSE)</f>
        <v>0</v>
      </c>
      <c r="R124" s="5" t="str">
        <f>IF(VLOOKUP(TabOceanet[VM_name],TabVMEnv[],2,FALSE) = "","Non","")</f>
        <v/>
      </c>
      <c r="S124" s="5">
        <f>IF(TabOceanet[[#This Row],[Type_tarif]]="Tarif_VLAN",1,0)</f>
        <v>0</v>
      </c>
      <c r="T124" s="5">
        <f>TabOceanet[[#This Row],[isCalcVlan]]*TabOceanet[[#This Row],[Nb_article]]*Tarif_VLAN</f>
        <v>0</v>
      </c>
      <c r="U124" s="5">
        <f>IF(TabOceanet[[#This Row],[Type_tarif]]="Tarif_IPPUB",1,0)</f>
        <v>0</v>
      </c>
      <c r="V124" s="5">
        <f>TabOceanet[[#This Row],[isCalcIpPub]]*TabOceanet[[#This Row],[Nb_article]]*Tarif_IPPUB</f>
        <v>0</v>
      </c>
      <c r="W124" s="5">
        <f>IF(TabOceanet[[#This Row],[Type_tarif]]="Tarif_DNS",1,0)</f>
        <v>0</v>
      </c>
      <c r="X124" s="5">
        <f>TabOceanet[[#This Row],[isCalcDns]]*TabOceanet[[#This Row],[Nb_article]]*Tarif_DNS</f>
        <v>0</v>
      </c>
      <c r="Y124" s="5">
        <f>IF(TabOceanet[[#This Row],[Type_tarif]]="Tarif_Certificat_X509_Simple",1,0)</f>
        <v>0</v>
      </c>
      <c r="Z124" s="5">
        <f>TabOceanet[[#This Row],[isCalcCertSimple]]*TabOceanet[[#This Row],[Nb_article]]*Tarif_Certificat_X509_Simple</f>
        <v>0</v>
      </c>
      <c r="AA124" s="5">
        <f>IF(TabOceanet[[#This Row],[Type_tarif]]="Tarif_Certificat_X509_Wildcard",1,0)</f>
        <v>0</v>
      </c>
      <c r="AB124" s="5">
        <f>TabOceanet[[#This Row],[isCalcCertWild]]*TabOceanet[[#This Row],[Nb_article]]*Tarif_Certificat_X509_Wildcard</f>
        <v>0</v>
      </c>
      <c r="AC124" s="5">
        <f>IF(TabOceanet[[#This Row],[Type_tarif]]="Tarif_Astreinte_24_24_7_7",1,0)</f>
        <v>0</v>
      </c>
      <c r="AD124" s="5">
        <f>TabOceanet[[#This Row],[isCalcAstreinte247]]*TabOceanet[[#This Row],[Nb_article]]*Tarif_Astreinte_24_24_7_7</f>
        <v>0</v>
      </c>
      <c r="AE124" s="5">
        <f>IF(TabOceanet[[#This Row],[VM_status]]="PoweredOn",1,0)</f>
        <v>1</v>
      </c>
      <c r="AF124" s="17">
        <f>TabOceanet[[#This Row],[VM_mem]]*Tarif_Ram</f>
        <v>25.6</v>
      </c>
      <c r="AG124" s="5" t="str">
        <f>MID(TabOceanet[[#This Row],[Backup]],29,20)</f>
        <v>J15_1</v>
      </c>
      <c r="AH124" s="25">
        <f>IF(LEFT(TabOceanet[[#This Row],[TypeBAK]],3)="HOR",Tarif_Backup_Horaire*TabOceanet[[#This Row],[VM_disk]],IF(LEFT(TabOceanet[[#This Row],[TypeBAK]],3)="J15",Tarif_Backup_J15*TabOceanet[[#This Row],[VM_disk]],IF(LEFT(TabOceanet[[#This Row],[TypeBAK]],3)="H1_",Tarif_Backup_J15*TabOceanet[[#This Row],[VM_disk]],0)))</f>
        <v>10.81</v>
      </c>
      <c r="AI124" s="17">
        <f>TabOceanet[[#This Row],[VM_disk]]*Tarif_disque</f>
        <v>0</v>
      </c>
      <c r="AJ124"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36.410000000000004</v>
      </c>
    </row>
    <row r="125" spans="1:36" x14ac:dyDescent="0.25">
      <c r="A125" t="s">
        <v>186</v>
      </c>
      <c r="B125">
        <v>1</v>
      </c>
      <c r="C125">
        <v>4</v>
      </c>
      <c r="D125">
        <v>6</v>
      </c>
      <c r="E125" t="s">
        <v>426</v>
      </c>
      <c r="G125" t="s">
        <v>1275</v>
      </c>
      <c r="H125" t="s">
        <v>1274</v>
      </c>
      <c r="I125" t="s">
        <v>419</v>
      </c>
      <c r="J125" t="s">
        <v>414</v>
      </c>
      <c r="K125" t="s">
        <v>408</v>
      </c>
      <c r="L125" t="s">
        <v>410</v>
      </c>
      <c r="M125" t="s">
        <v>1322</v>
      </c>
      <c r="N125" t="s">
        <v>412</v>
      </c>
      <c r="O125">
        <v>10006791</v>
      </c>
      <c r="P125" t="s">
        <v>413</v>
      </c>
      <c r="Q125" s="5">
        <f>VLOOKUP(TabOceanet[VM_name],TabVMEnv[],3,FALSE)</f>
        <v>0</v>
      </c>
      <c r="R125" s="5" t="str">
        <f>IF(VLOOKUP(TabOceanet[VM_name],TabVMEnv[],2,FALSE) = "","Non","")</f>
        <v/>
      </c>
      <c r="S125" s="5">
        <f>IF(TabOceanet[[#This Row],[Type_tarif]]="Tarif_VLAN",1,0)</f>
        <v>0</v>
      </c>
      <c r="T125" s="5">
        <f>TabOceanet[[#This Row],[isCalcVlan]]*TabOceanet[[#This Row],[Nb_article]]*Tarif_VLAN</f>
        <v>0</v>
      </c>
      <c r="U125" s="5">
        <f>IF(TabOceanet[[#This Row],[Type_tarif]]="Tarif_IPPUB",1,0)</f>
        <v>0</v>
      </c>
      <c r="V125" s="5">
        <f>TabOceanet[[#This Row],[isCalcIpPub]]*TabOceanet[[#This Row],[Nb_article]]*Tarif_IPPUB</f>
        <v>0</v>
      </c>
      <c r="W125" s="5">
        <f>IF(TabOceanet[[#This Row],[Type_tarif]]="Tarif_DNS",1,0)</f>
        <v>0</v>
      </c>
      <c r="X125" s="5">
        <f>TabOceanet[[#This Row],[isCalcDns]]*TabOceanet[[#This Row],[Nb_article]]*Tarif_DNS</f>
        <v>0</v>
      </c>
      <c r="Y125" s="5">
        <f>IF(TabOceanet[[#This Row],[Type_tarif]]="Tarif_Certificat_X509_Simple",1,0)</f>
        <v>0</v>
      </c>
      <c r="Z125" s="5">
        <f>TabOceanet[[#This Row],[isCalcCertSimple]]*TabOceanet[[#This Row],[Nb_article]]*Tarif_Certificat_X509_Simple</f>
        <v>0</v>
      </c>
      <c r="AA125" s="5">
        <f>IF(TabOceanet[[#This Row],[Type_tarif]]="Tarif_Certificat_X509_Wildcard",1,0)</f>
        <v>0</v>
      </c>
      <c r="AB125" s="5">
        <f>TabOceanet[[#This Row],[isCalcCertWild]]*TabOceanet[[#This Row],[Nb_article]]*Tarif_Certificat_X509_Wildcard</f>
        <v>0</v>
      </c>
      <c r="AC125" s="5">
        <f>IF(TabOceanet[[#This Row],[Type_tarif]]="Tarif_Astreinte_24_24_7_7",1,0)</f>
        <v>0</v>
      </c>
      <c r="AD125" s="5">
        <f>TabOceanet[[#This Row],[isCalcAstreinte247]]*TabOceanet[[#This Row],[Nb_article]]*Tarif_Astreinte_24_24_7_7</f>
        <v>0</v>
      </c>
      <c r="AE125" s="5">
        <f>IF(TabOceanet[[#This Row],[VM_status]]="PoweredOn",1,0)</f>
        <v>1</v>
      </c>
      <c r="AF125" s="17">
        <f>TabOceanet[[#This Row],[VM_mem]]*Tarif_Ram</f>
        <v>6.4</v>
      </c>
      <c r="AG125" s="5" t="str">
        <f>MID(TabOceanet[[#This Row],[Backup]],29,20)</f>
        <v>J15_1</v>
      </c>
      <c r="AH125" s="25">
        <f>IF(LEFT(TabOceanet[[#This Row],[TypeBAK]],3)="HOR",Tarif_Backup_Horaire*TabOceanet[[#This Row],[VM_disk]],IF(LEFT(TabOceanet[[#This Row],[TypeBAK]],3)="J15",Tarif_Backup_J15*TabOceanet[[#This Row],[VM_disk]],IF(LEFT(TabOceanet[[#This Row],[TypeBAK]],3)="H1_",Tarif_Backup_J15*TabOceanet[[#This Row],[VM_disk]],0)))</f>
        <v>1.3800000000000001</v>
      </c>
      <c r="AI125" s="17">
        <f>TabOceanet[[#This Row],[VM_disk]]*Tarif_disque</f>
        <v>0</v>
      </c>
      <c r="AJ125"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7.78</v>
      </c>
    </row>
    <row r="126" spans="1:36" x14ac:dyDescent="0.25">
      <c r="A126" t="s">
        <v>72</v>
      </c>
      <c r="B126">
        <v>1</v>
      </c>
      <c r="C126">
        <v>1</v>
      </c>
      <c r="D126">
        <v>19</v>
      </c>
      <c r="E126" t="s">
        <v>423</v>
      </c>
      <c r="G126" t="s">
        <v>1273</v>
      </c>
      <c r="H126" t="s">
        <v>1274</v>
      </c>
      <c r="I126" t="s">
        <v>419</v>
      </c>
      <c r="J126" t="s">
        <v>414</v>
      </c>
      <c r="K126" t="s">
        <v>408</v>
      </c>
      <c r="L126" t="s">
        <v>410</v>
      </c>
      <c r="M126" t="s">
        <v>430</v>
      </c>
      <c r="N126" t="s">
        <v>412</v>
      </c>
      <c r="O126">
        <v>10006791</v>
      </c>
      <c r="P126" t="s">
        <v>413</v>
      </c>
      <c r="Q126" s="5">
        <f>VLOOKUP(TabOceanet[VM_name],TabVMEnv[],3,FALSE)</f>
        <v>0</v>
      </c>
      <c r="R126" s="5" t="str">
        <f>IF(VLOOKUP(TabOceanet[VM_name],TabVMEnv[],2,FALSE) = "","Non","")</f>
        <v/>
      </c>
      <c r="S126" s="5">
        <f>IF(TabOceanet[[#This Row],[Type_tarif]]="Tarif_VLAN",1,0)</f>
        <v>0</v>
      </c>
      <c r="T126" s="5">
        <f>TabOceanet[[#This Row],[isCalcVlan]]*TabOceanet[[#This Row],[Nb_article]]*Tarif_VLAN</f>
        <v>0</v>
      </c>
      <c r="U126" s="5">
        <f>IF(TabOceanet[[#This Row],[Type_tarif]]="Tarif_IPPUB",1,0)</f>
        <v>0</v>
      </c>
      <c r="V126" s="5">
        <f>TabOceanet[[#This Row],[isCalcIpPub]]*TabOceanet[[#This Row],[Nb_article]]*Tarif_IPPUB</f>
        <v>0</v>
      </c>
      <c r="W126" s="5">
        <f>IF(TabOceanet[[#This Row],[Type_tarif]]="Tarif_DNS",1,0)</f>
        <v>0</v>
      </c>
      <c r="X126" s="5">
        <f>TabOceanet[[#This Row],[isCalcDns]]*TabOceanet[[#This Row],[Nb_article]]*Tarif_DNS</f>
        <v>0</v>
      </c>
      <c r="Y126" s="5">
        <f>IF(TabOceanet[[#This Row],[Type_tarif]]="Tarif_Certificat_X509_Simple",1,0)</f>
        <v>0</v>
      </c>
      <c r="Z126" s="5">
        <f>TabOceanet[[#This Row],[isCalcCertSimple]]*TabOceanet[[#This Row],[Nb_article]]*Tarif_Certificat_X509_Simple</f>
        <v>0</v>
      </c>
      <c r="AA126" s="5">
        <f>IF(TabOceanet[[#This Row],[Type_tarif]]="Tarif_Certificat_X509_Wildcard",1,0)</f>
        <v>0</v>
      </c>
      <c r="AB126" s="5">
        <f>TabOceanet[[#This Row],[isCalcCertWild]]*TabOceanet[[#This Row],[Nb_article]]*Tarif_Certificat_X509_Wildcard</f>
        <v>0</v>
      </c>
      <c r="AC126" s="5">
        <f>IF(TabOceanet[[#This Row],[Type_tarif]]="Tarif_Astreinte_24_24_7_7",1,0)</f>
        <v>0</v>
      </c>
      <c r="AD126" s="5">
        <f>TabOceanet[[#This Row],[isCalcAstreinte247]]*TabOceanet[[#This Row],[Nb_article]]*Tarif_Astreinte_24_24_7_7</f>
        <v>0</v>
      </c>
      <c r="AE126" s="5">
        <f>IF(TabOceanet[[#This Row],[VM_status]]="PoweredOn",1,0)</f>
        <v>1</v>
      </c>
      <c r="AF126" s="17">
        <f>TabOceanet[[#This Row],[VM_mem]]*Tarif_Ram</f>
        <v>1.6</v>
      </c>
      <c r="AG126" s="5" t="str">
        <f>MID(TabOceanet[[#This Row],[Backup]],29,20)</f>
        <v>J15_2</v>
      </c>
      <c r="AH126" s="25">
        <f>IF(LEFT(TabOceanet[[#This Row],[TypeBAK]],3)="HOR",Tarif_Backup_Horaire*TabOceanet[[#This Row],[VM_disk]],IF(LEFT(TabOceanet[[#This Row],[TypeBAK]],3)="J15",Tarif_Backup_J15*TabOceanet[[#This Row],[VM_disk]],IF(LEFT(TabOceanet[[#This Row],[TypeBAK]],3)="H1_",Tarif_Backup_J15*TabOceanet[[#This Row],[VM_disk]],0)))</f>
        <v>4.37</v>
      </c>
      <c r="AI126" s="17">
        <f>TabOceanet[[#This Row],[VM_disk]]*Tarif_disque</f>
        <v>0</v>
      </c>
      <c r="AJ126"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5.9700000000000006</v>
      </c>
    </row>
    <row r="127" spans="1:36" x14ac:dyDescent="0.25">
      <c r="A127" t="s">
        <v>234</v>
      </c>
      <c r="B127">
        <v>1</v>
      </c>
      <c r="C127">
        <v>2</v>
      </c>
      <c r="D127">
        <v>14</v>
      </c>
      <c r="E127" t="s">
        <v>426</v>
      </c>
      <c r="G127" t="s">
        <v>1275</v>
      </c>
      <c r="H127" t="s">
        <v>1274</v>
      </c>
      <c r="I127" t="s">
        <v>419</v>
      </c>
      <c r="J127" t="s">
        <v>414</v>
      </c>
      <c r="K127" t="s">
        <v>408</v>
      </c>
      <c r="L127" t="s">
        <v>410</v>
      </c>
      <c r="M127" t="s">
        <v>430</v>
      </c>
      <c r="N127" t="s">
        <v>412</v>
      </c>
      <c r="O127">
        <v>10006791</v>
      </c>
      <c r="P127" t="s">
        <v>413</v>
      </c>
      <c r="Q127" s="5">
        <f>VLOOKUP(TabOceanet[VM_name],TabVMEnv[],3,FALSE)</f>
        <v>0</v>
      </c>
      <c r="R127" s="5" t="str">
        <f>IF(VLOOKUP(TabOceanet[VM_name],TabVMEnv[],2,FALSE) = "","Non","")</f>
        <v/>
      </c>
      <c r="S127" s="5">
        <f>IF(TabOceanet[[#This Row],[Type_tarif]]="Tarif_VLAN",1,0)</f>
        <v>0</v>
      </c>
      <c r="T127" s="5">
        <f>TabOceanet[[#This Row],[isCalcVlan]]*TabOceanet[[#This Row],[Nb_article]]*Tarif_VLAN</f>
        <v>0</v>
      </c>
      <c r="U127" s="5">
        <f>IF(TabOceanet[[#This Row],[Type_tarif]]="Tarif_IPPUB",1,0)</f>
        <v>0</v>
      </c>
      <c r="V127" s="5">
        <f>TabOceanet[[#This Row],[isCalcIpPub]]*TabOceanet[[#This Row],[Nb_article]]*Tarif_IPPUB</f>
        <v>0</v>
      </c>
      <c r="W127" s="5">
        <f>IF(TabOceanet[[#This Row],[Type_tarif]]="Tarif_DNS",1,0)</f>
        <v>0</v>
      </c>
      <c r="X127" s="5">
        <f>TabOceanet[[#This Row],[isCalcDns]]*TabOceanet[[#This Row],[Nb_article]]*Tarif_DNS</f>
        <v>0</v>
      </c>
      <c r="Y127" s="5">
        <f>IF(TabOceanet[[#This Row],[Type_tarif]]="Tarif_Certificat_X509_Simple",1,0)</f>
        <v>0</v>
      </c>
      <c r="Z127" s="5">
        <f>TabOceanet[[#This Row],[isCalcCertSimple]]*TabOceanet[[#This Row],[Nb_article]]*Tarif_Certificat_X509_Simple</f>
        <v>0</v>
      </c>
      <c r="AA127" s="5">
        <f>IF(TabOceanet[[#This Row],[Type_tarif]]="Tarif_Certificat_X509_Wildcard",1,0)</f>
        <v>0</v>
      </c>
      <c r="AB127" s="5">
        <f>TabOceanet[[#This Row],[isCalcCertWild]]*TabOceanet[[#This Row],[Nb_article]]*Tarif_Certificat_X509_Wildcard</f>
        <v>0</v>
      </c>
      <c r="AC127" s="5">
        <f>IF(TabOceanet[[#This Row],[Type_tarif]]="Tarif_Astreinte_24_24_7_7",1,0)</f>
        <v>0</v>
      </c>
      <c r="AD127" s="5">
        <f>TabOceanet[[#This Row],[isCalcAstreinte247]]*TabOceanet[[#This Row],[Nb_article]]*Tarif_Astreinte_24_24_7_7</f>
        <v>0</v>
      </c>
      <c r="AE127" s="5">
        <f>IF(TabOceanet[[#This Row],[VM_status]]="PoweredOn",1,0)</f>
        <v>1</v>
      </c>
      <c r="AF127" s="17">
        <f>TabOceanet[[#This Row],[VM_mem]]*Tarif_Ram</f>
        <v>3.2</v>
      </c>
      <c r="AG127" s="5" t="str">
        <f>MID(TabOceanet[[#This Row],[Backup]],29,20)</f>
        <v>J15_2</v>
      </c>
      <c r="AH127" s="25">
        <f>IF(LEFT(TabOceanet[[#This Row],[TypeBAK]],3)="HOR",Tarif_Backup_Horaire*TabOceanet[[#This Row],[VM_disk]],IF(LEFT(TabOceanet[[#This Row],[TypeBAK]],3)="J15",Tarif_Backup_J15*TabOceanet[[#This Row],[VM_disk]],IF(LEFT(TabOceanet[[#This Row],[TypeBAK]],3)="H1_",Tarif_Backup_J15*TabOceanet[[#This Row],[VM_disk]],0)))</f>
        <v>3.22</v>
      </c>
      <c r="AI127" s="17">
        <f>TabOceanet[[#This Row],[VM_disk]]*Tarif_disque</f>
        <v>0</v>
      </c>
      <c r="AJ127"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6.42</v>
      </c>
    </row>
    <row r="128" spans="1:36" x14ac:dyDescent="0.25">
      <c r="A128" t="s">
        <v>73</v>
      </c>
      <c r="B128">
        <v>1</v>
      </c>
      <c r="C128">
        <v>1</v>
      </c>
      <c r="D128">
        <v>4</v>
      </c>
      <c r="E128" t="s">
        <v>426</v>
      </c>
      <c r="G128" t="s">
        <v>1275</v>
      </c>
      <c r="H128" t="s">
        <v>1274</v>
      </c>
      <c r="I128" t="s">
        <v>419</v>
      </c>
      <c r="J128" t="s">
        <v>414</v>
      </c>
      <c r="K128" t="s">
        <v>408</v>
      </c>
      <c r="L128" t="s">
        <v>410</v>
      </c>
      <c r="M128" t="s">
        <v>1322</v>
      </c>
      <c r="N128" t="s">
        <v>412</v>
      </c>
      <c r="O128">
        <v>10006791</v>
      </c>
      <c r="P128" t="s">
        <v>413</v>
      </c>
      <c r="Q128" s="5">
        <f>VLOOKUP(TabOceanet[VM_name],TabVMEnv[],3,FALSE)</f>
        <v>0</v>
      </c>
      <c r="R128" s="5" t="str">
        <f>IF(VLOOKUP(TabOceanet[VM_name],TabVMEnv[],2,FALSE) = "","Non","")</f>
        <v/>
      </c>
      <c r="S128" s="5">
        <f>IF(TabOceanet[[#This Row],[Type_tarif]]="Tarif_VLAN",1,0)</f>
        <v>0</v>
      </c>
      <c r="T128" s="5">
        <f>TabOceanet[[#This Row],[isCalcVlan]]*TabOceanet[[#This Row],[Nb_article]]*Tarif_VLAN</f>
        <v>0</v>
      </c>
      <c r="U128" s="5">
        <f>IF(TabOceanet[[#This Row],[Type_tarif]]="Tarif_IPPUB",1,0)</f>
        <v>0</v>
      </c>
      <c r="V128" s="5">
        <f>TabOceanet[[#This Row],[isCalcIpPub]]*TabOceanet[[#This Row],[Nb_article]]*Tarif_IPPUB</f>
        <v>0</v>
      </c>
      <c r="W128" s="5">
        <f>IF(TabOceanet[[#This Row],[Type_tarif]]="Tarif_DNS",1,0)</f>
        <v>0</v>
      </c>
      <c r="X128" s="5">
        <f>TabOceanet[[#This Row],[isCalcDns]]*TabOceanet[[#This Row],[Nb_article]]*Tarif_DNS</f>
        <v>0</v>
      </c>
      <c r="Y128" s="5">
        <f>IF(TabOceanet[[#This Row],[Type_tarif]]="Tarif_Certificat_X509_Simple",1,0)</f>
        <v>0</v>
      </c>
      <c r="Z128" s="5">
        <f>TabOceanet[[#This Row],[isCalcCertSimple]]*TabOceanet[[#This Row],[Nb_article]]*Tarif_Certificat_X509_Simple</f>
        <v>0</v>
      </c>
      <c r="AA128" s="5">
        <f>IF(TabOceanet[[#This Row],[Type_tarif]]="Tarif_Certificat_X509_Wildcard",1,0)</f>
        <v>0</v>
      </c>
      <c r="AB128" s="5">
        <f>TabOceanet[[#This Row],[isCalcCertWild]]*TabOceanet[[#This Row],[Nb_article]]*Tarif_Certificat_X509_Wildcard</f>
        <v>0</v>
      </c>
      <c r="AC128" s="5">
        <f>IF(TabOceanet[[#This Row],[Type_tarif]]="Tarif_Astreinte_24_24_7_7",1,0)</f>
        <v>0</v>
      </c>
      <c r="AD128" s="5">
        <f>TabOceanet[[#This Row],[isCalcAstreinte247]]*TabOceanet[[#This Row],[Nb_article]]*Tarif_Astreinte_24_24_7_7</f>
        <v>0</v>
      </c>
      <c r="AE128" s="5">
        <f>IF(TabOceanet[[#This Row],[VM_status]]="PoweredOn",1,0)</f>
        <v>1</v>
      </c>
      <c r="AF128" s="17">
        <f>TabOceanet[[#This Row],[VM_mem]]*Tarif_Ram</f>
        <v>1.6</v>
      </c>
      <c r="AG128" s="5" t="str">
        <f>MID(TabOceanet[[#This Row],[Backup]],29,20)</f>
        <v>J15_1</v>
      </c>
      <c r="AH128" s="25">
        <f>IF(LEFT(TabOceanet[[#This Row],[TypeBAK]],3)="HOR",Tarif_Backup_Horaire*TabOceanet[[#This Row],[VM_disk]],IF(LEFT(TabOceanet[[#This Row],[TypeBAK]],3)="J15",Tarif_Backup_J15*TabOceanet[[#This Row],[VM_disk]],IF(LEFT(TabOceanet[[#This Row],[TypeBAK]],3)="H1_",Tarif_Backup_J15*TabOceanet[[#This Row],[VM_disk]],0)))</f>
        <v>0.92</v>
      </c>
      <c r="AI128" s="17">
        <f>TabOceanet[[#This Row],[VM_disk]]*Tarif_disque</f>
        <v>0</v>
      </c>
      <c r="AJ128"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2.52</v>
      </c>
    </row>
    <row r="129" spans="1:36" x14ac:dyDescent="0.25">
      <c r="A129" t="s">
        <v>231</v>
      </c>
      <c r="B129">
        <v>1</v>
      </c>
      <c r="C129">
        <v>1</v>
      </c>
      <c r="D129">
        <v>4</v>
      </c>
      <c r="E129" t="s">
        <v>423</v>
      </c>
      <c r="G129" t="s">
        <v>1275</v>
      </c>
      <c r="H129" t="s">
        <v>1274</v>
      </c>
      <c r="I129" t="s">
        <v>436</v>
      </c>
      <c r="J129" t="s">
        <v>414</v>
      </c>
      <c r="K129" t="s">
        <v>408</v>
      </c>
      <c r="L129" t="s">
        <v>410</v>
      </c>
      <c r="M129" t="s">
        <v>1322</v>
      </c>
      <c r="N129" t="s">
        <v>412</v>
      </c>
      <c r="O129">
        <v>10006791</v>
      </c>
      <c r="P129" t="s">
        <v>413</v>
      </c>
      <c r="Q129" s="5">
        <f>VLOOKUP(TabOceanet[VM_name],TabVMEnv[],3,FALSE)</f>
        <v>0</v>
      </c>
      <c r="R129" s="5" t="str">
        <f>IF(VLOOKUP(TabOceanet[VM_name],TabVMEnv[],2,FALSE) = "","Non","")</f>
        <v/>
      </c>
      <c r="S129" s="5">
        <f>IF(TabOceanet[[#This Row],[Type_tarif]]="Tarif_VLAN",1,0)</f>
        <v>0</v>
      </c>
      <c r="T129" s="5">
        <f>TabOceanet[[#This Row],[isCalcVlan]]*TabOceanet[[#This Row],[Nb_article]]*Tarif_VLAN</f>
        <v>0</v>
      </c>
      <c r="U129" s="5">
        <f>IF(TabOceanet[[#This Row],[Type_tarif]]="Tarif_IPPUB",1,0)</f>
        <v>0</v>
      </c>
      <c r="V129" s="5">
        <f>TabOceanet[[#This Row],[isCalcIpPub]]*TabOceanet[[#This Row],[Nb_article]]*Tarif_IPPUB</f>
        <v>0</v>
      </c>
      <c r="W129" s="5">
        <f>IF(TabOceanet[[#This Row],[Type_tarif]]="Tarif_DNS",1,0)</f>
        <v>0</v>
      </c>
      <c r="X129" s="5">
        <f>TabOceanet[[#This Row],[isCalcDns]]*TabOceanet[[#This Row],[Nb_article]]*Tarif_DNS</f>
        <v>0</v>
      </c>
      <c r="Y129" s="5">
        <f>IF(TabOceanet[[#This Row],[Type_tarif]]="Tarif_Certificat_X509_Simple",1,0)</f>
        <v>0</v>
      </c>
      <c r="Z129" s="5">
        <f>TabOceanet[[#This Row],[isCalcCertSimple]]*TabOceanet[[#This Row],[Nb_article]]*Tarif_Certificat_X509_Simple</f>
        <v>0</v>
      </c>
      <c r="AA129" s="5">
        <f>IF(TabOceanet[[#This Row],[Type_tarif]]="Tarif_Certificat_X509_Wildcard",1,0)</f>
        <v>0</v>
      </c>
      <c r="AB129" s="5">
        <f>TabOceanet[[#This Row],[isCalcCertWild]]*TabOceanet[[#This Row],[Nb_article]]*Tarif_Certificat_X509_Wildcard</f>
        <v>0</v>
      </c>
      <c r="AC129" s="5">
        <f>IF(TabOceanet[[#This Row],[Type_tarif]]="Tarif_Astreinte_24_24_7_7",1,0)</f>
        <v>0</v>
      </c>
      <c r="AD129" s="5">
        <f>TabOceanet[[#This Row],[isCalcAstreinte247]]*TabOceanet[[#This Row],[Nb_article]]*Tarif_Astreinte_24_24_7_7</f>
        <v>0</v>
      </c>
      <c r="AE129" s="5">
        <f>IF(TabOceanet[[#This Row],[VM_status]]="PoweredOn",1,0)</f>
        <v>0</v>
      </c>
      <c r="AF129" s="17">
        <f>TabOceanet[[#This Row],[VM_mem]]*Tarif_Ram</f>
        <v>1.6</v>
      </c>
      <c r="AG129" s="5" t="str">
        <f>MID(TabOceanet[[#This Row],[Backup]],29,20)</f>
        <v>J15_1</v>
      </c>
      <c r="AH129" s="25">
        <f>IF(LEFT(TabOceanet[[#This Row],[TypeBAK]],3)="HOR",Tarif_Backup_Horaire*TabOceanet[[#This Row],[VM_disk]],IF(LEFT(TabOceanet[[#This Row],[TypeBAK]],3)="J15",Tarif_Backup_J15*TabOceanet[[#This Row],[VM_disk]],IF(LEFT(TabOceanet[[#This Row],[TypeBAK]],3)="H1_",Tarif_Backup_J15*TabOceanet[[#This Row],[VM_disk]],0)))</f>
        <v>0.92</v>
      </c>
      <c r="AI129" s="17">
        <f>TabOceanet[[#This Row],[VM_disk]]*Tarif_disque</f>
        <v>0</v>
      </c>
      <c r="AJ129"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0.92</v>
      </c>
    </row>
    <row r="130" spans="1:36" x14ac:dyDescent="0.25">
      <c r="A130" t="s">
        <v>235</v>
      </c>
      <c r="B130">
        <v>1</v>
      </c>
      <c r="C130">
        <v>2</v>
      </c>
      <c r="D130">
        <v>14</v>
      </c>
      <c r="E130" t="s">
        <v>426</v>
      </c>
      <c r="G130" t="s">
        <v>1275</v>
      </c>
      <c r="H130" t="s">
        <v>1300</v>
      </c>
      <c r="I130" t="s">
        <v>419</v>
      </c>
      <c r="K130" t="s">
        <v>408</v>
      </c>
      <c r="L130" t="s">
        <v>410</v>
      </c>
      <c r="M130" t="s">
        <v>430</v>
      </c>
      <c r="N130" t="s">
        <v>412</v>
      </c>
      <c r="O130">
        <v>10006791</v>
      </c>
      <c r="P130" t="s">
        <v>413</v>
      </c>
      <c r="Q130" s="5">
        <f>VLOOKUP(TabOceanet[VM_name],TabVMEnv[],3,FALSE)</f>
        <v>0</v>
      </c>
      <c r="R130" s="5" t="str">
        <f>IF(VLOOKUP(TabOceanet[VM_name],TabVMEnv[],2,FALSE) = "","Non","")</f>
        <v/>
      </c>
      <c r="S130" s="5">
        <f>IF(TabOceanet[[#This Row],[Type_tarif]]="Tarif_VLAN",1,0)</f>
        <v>0</v>
      </c>
      <c r="T130" s="5">
        <f>TabOceanet[[#This Row],[isCalcVlan]]*TabOceanet[[#This Row],[Nb_article]]*Tarif_VLAN</f>
        <v>0</v>
      </c>
      <c r="U130" s="5">
        <f>IF(TabOceanet[[#This Row],[Type_tarif]]="Tarif_IPPUB",1,0)</f>
        <v>0</v>
      </c>
      <c r="V130" s="5">
        <f>TabOceanet[[#This Row],[isCalcIpPub]]*TabOceanet[[#This Row],[Nb_article]]*Tarif_IPPUB</f>
        <v>0</v>
      </c>
      <c r="W130" s="5">
        <f>IF(TabOceanet[[#This Row],[Type_tarif]]="Tarif_DNS",1,0)</f>
        <v>0</v>
      </c>
      <c r="X130" s="5">
        <f>TabOceanet[[#This Row],[isCalcDns]]*TabOceanet[[#This Row],[Nb_article]]*Tarif_DNS</f>
        <v>0</v>
      </c>
      <c r="Y130" s="5">
        <f>IF(TabOceanet[[#This Row],[Type_tarif]]="Tarif_Certificat_X509_Simple",1,0)</f>
        <v>0</v>
      </c>
      <c r="Z130" s="5">
        <f>TabOceanet[[#This Row],[isCalcCertSimple]]*TabOceanet[[#This Row],[Nb_article]]*Tarif_Certificat_X509_Simple</f>
        <v>0</v>
      </c>
      <c r="AA130" s="5">
        <f>IF(TabOceanet[[#This Row],[Type_tarif]]="Tarif_Certificat_X509_Wildcard",1,0)</f>
        <v>0</v>
      </c>
      <c r="AB130" s="5">
        <f>TabOceanet[[#This Row],[isCalcCertWild]]*TabOceanet[[#This Row],[Nb_article]]*Tarif_Certificat_X509_Wildcard</f>
        <v>0</v>
      </c>
      <c r="AC130" s="5">
        <f>IF(TabOceanet[[#This Row],[Type_tarif]]="Tarif_Astreinte_24_24_7_7",1,0)</f>
        <v>0</v>
      </c>
      <c r="AD130" s="5">
        <f>TabOceanet[[#This Row],[isCalcAstreinte247]]*TabOceanet[[#This Row],[Nb_article]]*Tarif_Astreinte_24_24_7_7</f>
        <v>0</v>
      </c>
      <c r="AE130" s="5">
        <f>IF(TabOceanet[[#This Row],[VM_status]]="PoweredOn",1,0)</f>
        <v>1</v>
      </c>
      <c r="AF130" s="17">
        <f>TabOceanet[[#This Row],[VM_mem]]*Tarif_Ram</f>
        <v>3.2</v>
      </c>
      <c r="AG130" s="5" t="str">
        <f>MID(TabOceanet[[#This Row],[Backup]],29,20)</f>
        <v>J15_2</v>
      </c>
      <c r="AH130" s="25">
        <f>IF(LEFT(TabOceanet[[#This Row],[TypeBAK]],3)="HOR",Tarif_Backup_Horaire*TabOceanet[[#This Row],[VM_disk]],IF(LEFT(TabOceanet[[#This Row],[TypeBAK]],3)="J15",Tarif_Backup_J15*TabOceanet[[#This Row],[VM_disk]],IF(LEFT(TabOceanet[[#This Row],[TypeBAK]],3)="H1_",Tarif_Backup_J15*TabOceanet[[#This Row],[VM_disk]],0)))</f>
        <v>3.22</v>
      </c>
      <c r="AI130" s="17">
        <f>TabOceanet[[#This Row],[VM_disk]]*Tarif_disque</f>
        <v>0</v>
      </c>
      <c r="AJ130"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6.42</v>
      </c>
    </row>
    <row r="131" spans="1:36" x14ac:dyDescent="0.25">
      <c r="A131" t="s">
        <v>74</v>
      </c>
      <c r="B131">
        <v>1</v>
      </c>
      <c r="C131">
        <v>1</v>
      </c>
      <c r="D131">
        <v>8</v>
      </c>
      <c r="E131" t="s">
        <v>426</v>
      </c>
      <c r="G131" t="s">
        <v>1275</v>
      </c>
      <c r="H131" t="s">
        <v>1274</v>
      </c>
      <c r="I131" t="s">
        <v>419</v>
      </c>
      <c r="J131" t="s">
        <v>414</v>
      </c>
      <c r="K131" t="s">
        <v>408</v>
      </c>
      <c r="L131" t="s">
        <v>410</v>
      </c>
      <c r="M131" t="s">
        <v>430</v>
      </c>
      <c r="N131" t="s">
        <v>412</v>
      </c>
      <c r="O131">
        <v>10006791</v>
      </c>
      <c r="P131" t="s">
        <v>413</v>
      </c>
      <c r="Q131" s="5">
        <f>VLOOKUP(TabOceanet[VM_name],TabVMEnv[],3,FALSE)</f>
        <v>0</v>
      </c>
      <c r="R131" s="5" t="str">
        <f>IF(VLOOKUP(TabOceanet[VM_name],TabVMEnv[],2,FALSE) = "","Non","")</f>
        <v/>
      </c>
      <c r="S131" s="5">
        <f>IF(TabOceanet[[#This Row],[Type_tarif]]="Tarif_VLAN",1,0)</f>
        <v>0</v>
      </c>
      <c r="T131" s="5">
        <f>TabOceanet[[#This Row],[isCalcVlan]]*TabOceanet[[#This Row],[Nb_article]]*Tarif_VLAN</f>
        <v>0</v>
      </c>
      <c r="U131" s="5">
        <f>IF(TabOceanet[[#This Row],[Type_tarif]]="Tarif_IPPUB",1,0)</f>
        <v>0</v>
      </c>
      <c r="V131" s="5">
        <f>TabOceanet[[#This Row],[isCalcIpPub]]*TabOceanet[[#This Row],[Nb_article]]*Tarif_IPPUB</f>
        <v>0</v>
      </c>
      <c r="W131" s="5">
        <f>IF(TabOceanet[[#This Row],[Type_tarif]]="Tarif_DNS",1,0)</f>
        <v>0</v>
      </c>
      <c r="X131" s="5">
        <f>TabOceanet[[#This Row],[isCalcDns]]*TabOceanet[[#This Row],[Nb_article]]*Tarif_DNS</f>
        <v>0</v>
      </c>
      <c r="Y131" s="5">
        <f>IF(TabOceanet[[#This Row],[Type_tarif]]="Tarif_Certificat_X509_Simple",1,0)</f>
        <v>0</v>
      </c>
      <c r="Z131" s="5">
        <f>TabOceanet[[#This Row],[isCalcCertSimple]]*TabOceanet[[#This Row],[Nb_article]]*Tarif_Certificat_X509_Simple</f>
        <v>0</v>
      </c>
      <c r="AA131" s="5">
        <f>IF(TabOceanet[[#This Row],[Type_tarif]]="Tarif_Certificat_X509_Wildcard",1,0)</f>
        <v>0</v>
      </c>
      <c r="AB131" s="5">
        <f>TabOceanet[[#This Row],[isCalcCertWild]]*TabOceanet[[#This Row],[Nb_article]]*Tarif_Certificat_X509_Wildcard</f>
        <v>0</v>
      </c>
      <c r="AC131" s="5">
        <f>IF(TabOceanet[[#This Row],[Type_tarif]]="Tarif_Astreinte_24_24_7_7",1,0)</f>
        <v>0</v>
      </c>
      <c r="AD131" s="5">
        <f>TabOceanet[[#This Row],[isCalcAstreinte247]]*TabOceanet[[#This Row],[Nb_article]]*Tarif_Astreinte_24_24_7_7</f>
        <v>0</v>
      </c>
      <c r="AE131" s="5">
        <f>IF(TabOceanet[[#This Row],[VM_status]]="PoweredOn",1,0)</f>
        <v>1</v>
      </c>
      <c r="AF131" s="17">
        <f>TabOceanet[[#This Row],[VM_mem]]*Tarif_Ram</f>
        <v>1.6</v>
      </c>
      <c r="AG131" s="5" t="str">
        <f>MID(TabOceanet[[#This Row],[Backup]],29,20)</f>
        <v>J15_2</v>
      </c>
      <c r="AH131" s="25">
        <f>IF(LEFT(TabOceanet[[#This Row],[TypeBAK]],3)="HOR",Tarif_Backup_Horaire*TabOceanet[[#This Row],[VM_disk]],IF(LEFT(TabOceanet[[#This Row],[TypeBAK]],3)="J15",Tarif_Backup_J15*TabOceanet[[#This Row],[VM_disk]],IF(LEFT(TabOceanet[[#This Row],[TypeBAK]],3)="H1_",Tarif_Backup_J15*TabOceanet[[#This Row],[VM_disk]],0)))</f>
        <v>1.84</v>
      </c>
      <c r="AI131" s="17">
        <f>TabOceanet[[#This Row],[VM_disk]]*Tarif_disque</f>
        <v>0</v>
      </c>
      <c r="AJ131"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3.4400000000000004</v>
      </c>
    </row>
    <row r="132" spans="1:36" x14ac:dyDescent="0.25">
      <c r="A132" t="s">
        <v>236</v>
      </c>
      <c r="B132">
        <v>1</v>
      </c>
      <c r="C132">
        <v>2</v>
      </c>
      <c r="D132">
        <v>9</v>
      </c>
      <c r="E132" t="s">
        <v>426</v>
      </c>
      <c r="G132" t="s">
        <v>1275</v>
      </c>
      <c r="H132" t="s">
        <v>1274</v>
      </c>
      <c r="I132" t="s">
        <v>419</v>
      </c>
      <c r="J132" t="s">
        <v>414</v>
      </c>
      <c r="K132" t="s">
        <v>408</v>
      </c>
      <c r="L132" t="s">
        <v>410</v>
      </c>
      <c r="M132" t="s">
        <v>430</v>
      </c>
      <c r="N132" t="s">
        <v>412</v>
      </c>
      <c r="O132">
        <v>10006791</v>
      </c>
      <c r="P132" t="s">
        <v>413</v>
      </c>
      <c r="Q132" s="5">
        <f>VLOOKUP(TabOceanet[VM_name],TabVMEnv[],3,FALSE)</f>
        <v>0</v>
      </c>
      <c r="R132" s="5" t="str">
        <f>IF(VLOOKUP(TabOceanet[VM_name],TabVMEnv[],2,FALSE) = "","Non","")</f>
        <v/>
      </c>
      <c r="S132" s="5">
        <f>IF(TabOceanet[[#This Row],[Type_tarif]]="Tarif_VLAN",1,0)</f>
        <v>0</v>
      </c>
      <c r="T132" s="5">
        <f>TabOceanet[[#This Row],[isCalcVlan]]*TabOceanet[[#This Row],[Nb_article]]*Tarif_VLAN</f>
        <v>0</v>
      </c>
      <c r="U132" s="5">
        <f>IF(TabOceanet[[#This Row],[Type_tarif]]="Tarif_IPPUB",1,0)</f>
        <v>0</v>
      </c>
      <c r="V132" s="5">
        <f>TabOceanet[[#This Row],[isCalcIpPub]]*TabOceanet[[#This Row],[Nb_article]]*Tarif_IPPUB</f>
        <v>0</v>
      </c>
      <c r="W132" s="5">
        <f>IF(TabOceanet[[#This Row],[Type_tarif]]="Tarif_DNS",1,0)</f>
        <v>0</v>
      </c>
      <c r="X132" s="5">
        <f>TabOceanet[[#This Row],[isCalcDns]]*TabOceanet[[#This Row],[Nb_article]]*Tarif_DNS</f>
        <v>0</v>
      </c>
      <c r="Y132" s="5">
        <f>IF(TabOceanet[[#This Row],[Type_tarif]]="Tarif_Certificat_X509_Simple",1,0)</f>
        <v>0</v>
      </c>
      <c r="Z132" s="5">
        <f>TabOceanet[[#This Row],[isCalcCertSimple]]*TabOceanet[[#This Row],[Nb_article]]*Tarif_Certificat_X509_Simple</f>
        <v>0</v>
      </c>
      <c r="AA132" s="5">
        <f>IF(TabOceanet[[#This Row],[Type_tarif]]="Tarif_Certificat_X509_Wildcard",1,0)</f>
        <v>0</v>
      </c>
      <c r="AB132" s="5">
        <f>TabOceanet[[#This Row],[isCalcCertWild]]*TabOceanet[[#This Row],[Nb_article]]*Tarif_Certificat_X509_Wildcard</f>
        <v>0</v>
      </c>
      <c r="AC132" s="5">
        <f>IF(TabOceanet[[#This Row],[Type_tarif]]="Tarif_Astreinte_24_24_7_7",1,0)</f>
        <v>0</v>
      </c>
      <c r="AD132" s="5">
        <f>TabOceanet[[#This Row],[isCalcAstreinte247]]*TabOceanet[[#This Row],[Nb_article]]*Tarif_Astreinte_24_24_7_7</f>
        <v>0</v>
      </c>
      <c r="AE132" s="5">
        <f>IF(TabOceanet[[#This Row],[VM_status]]="PoweredOn",1,0)</f>
        <v>1</v>
      </c>
      <c r="AF132" s="17">
        <f>TabOceanet[[#This Row],[VM_mem]]*Tarif_Ram</f>
        <v>3.2</v>
      </c>
      <c r="AG132" s="5" t="str">
        <f>MID(TabOceanet[[#This Row],[Backup]],29,20)</f>
        <v>J15_2</v>
      </c>
      <c r="AH132" s="25">
        <f>IF(LEFT(TabOceanet[[#This Row],[TypeBAK]],3)="HOR",Tarif_Backup_Horaire*TabOceanet[[#This Row],[VM_disk]],IF(LEFT(TabOceanet[[#This Row],[TypeBAK]],3)="J15",Tarif_Backup_J15*TabOceanet[[#This Row],[VM_disk]],IF(LEFT(TabOceanet[[#This Row],[TypeBAK]],3)="H1_",Tarif_Backup_J15*TabOceanet[[#This Row],[VM_disk]],0)))</f>
        <v>2.0700000000000003</v>
      </c>
      <c r="AI132" s="17">
        <f>TabOceanet[[#This Row],[VM_disk]]*Tarif_disque</f>
        <v>0</v>
      </c>
      <c r="AJ132"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5.2700000000000005</v>
      </c>
    </row>
    <row r="133" spans="1:36" x14ac:dyDescent="0.25">
      <c r="A133" t="s">
        <v>253</v>
      </c>
      <c r="B133">
        <v>1</v>
      </c>
      <c r="C133">
        <v>2</v>
      </c>
      <c r="D133">
        <v>6</v>
      </c>
      <c r="E133" t="s">
        <v>426</v>
      </c>
      <c r="G133" t="s">
        <v>1275</v>
      </c>
      <c r="H133" t="s">
        <v>1274</v>
      </c>
      <c r="I133" t="s">
        <v>419</v>
      </c>
      <c r="J133" t="s">
        <v>414</v>
      </c>
      <c r="K133" t="s">
        <v>408</v>
      </c>
      <c r="L133" t="s">
        <v>410</v>
      </c>
      <c r="M133" t="s">
        <v>1322</v>
      </c>
      <c r="N133" t="s">
        <v>412</v>
      </c>
      <c r="O133">
        <v>10006791</v>
      </c>
      <c r="P133" t="s">
        <v>413</v>
      </c>
      <c r="Q133" s="5">
        <f>VLOOKUP(TabOceanet[VM_name],TabVMEnv[],3,FALSE)</f>
        <v>0</v>
      </c>
      <c r="R133" s="5" t="str">
        <f>IF(VLOOKUP(TabOceanet[VM_name],TabVMEnv[],2,FALSE) = "","Non","")</f>
        <v/>
      </c>
      <c r="S133" s="5">
        <f>IF(TabOceanet[[#This Row],[Type_tarif]]="Tarif_VLAN",1,0)</f>
        <v>0</v>
      </c>
      <c r="T133" s="5">
        <f>TabOceanet[[#This Row],[isCalcVlan]]*TabOceanet[[#This Row],[Nb_article]]*Tarif_VLAN</f>
        <v>0</v>
      </c>
      <c r="U133" s="5">
        <f>IF(TabOceanet[[#This Row],[Type_tarif]]="Tarif_IPPUB",1,0)</f>
        <v>0</v>
      </c>
      <c r="V133" s="5">
        <f>TabOceanet[[#This Row],[isCalcIpPub]]*TabOceanet[[#This Row],[Nb_article]]*Tarif_IPPUB</f>
        <v>0</v>
      </c>
      <c r="W133" s="5">
        <f>IF(TabOceanet[[#This Row],[Type_tarif]]="Tarif_DNS",1,0)</f>
        <v>0</v>
      </c>
      <c r="X133" s="5">
        <f>TabOceanet[[#This Row],[isCalcDns]]*TabOceanet[[#This Row],[Nb_article]]*Tarif_DNS</f>
        <v>0</v>
      </c>
      <c r="Y133" s="5">
        <f>IF(TabOceanet[[#This Row],[Type_tarif]]="Tarif_Certificat_X509_Simple",1,0)</f>
        <v>0</v>
      </c>
      <c r="Z133" s="5">
        <f>TabOceanet[[#This Row],[isCalcCertSimple]]*TabOceanet[[#This Row],[Nb_article]]*Tarif_Certificat_X509_Simple</f>
        <v>0</v>
      </c>
      <c r="AA133" s="5">
        <f>IF(TabOceanet[[#This Row],[Type_tarif]]="Tarif_Certificat_X509_Wildcard",1,0)</f>
        <v>0</v>
      </c>
      <c r="AB133" s="5">
        <f>TabOceanet[[#This Row],[isCalcCertWild]]*TabOceanet[[#This Row],[Nb_article]]*Tarif_Certificat_X509_Wildcard</f>
        <v>0</v>
      </c>
      <c r="AC133" s="5">
        <f>IF(TabOceanet[[#This Row],[Type_tarif]]="Tarif_Astreinte_24_24_7_7",1,0)</f>
        <v>0</v>
      </c>
      <c r="AD133" s="5">
        <f>TabOceanet[[#This Row],[isCalcAstreinte247]]*TabOceanet[[#This Row],[Nb_article]]*Tarif_Astreinte_24_24_7_7</f>
        <v>0</v>
      </c>
      <c r="AE133" s="5">
        <f>IF(TabOceanet[[#This Row],[VM_status]]="PoweredOn",1,0)</f>
        <v>1</v>
      </c>
      <c r="AF133" s="17">
        <f>TabOceanet[[#This Row],[VM_mem]]*Tarif_Ram</f>
        <v>3.2</v>
      </c>
      <c r="AG133" s="5" t="str">
        <f>MID(TabOceanet[[#This Row],[Backup]],29,20)</f>
        <v>J15_1</v>
      </c>
      <c r="AH133" s="25">
        <f>IF(LEFT(TabOceanet[[#This Row],[TypeBAK]],3)="HOR",Tarif_Backup_Horaire*TabOceanet[[#This Row],[VM_disk]],IF(LEFT(TabOceanet[[#This Row],[TypeBAK]],3)="J15",Tarif_Backup_J15*TabOceanet[[#This Row],[VM_disk]],IF(LEFT(TabOceanet[[#This Row],[TypeBAK]],3)="H1_",Tarif_Backup_J15*TabOceanet[[#This Row],[VM_disk]],0)))</f>
        <v>1.3800000000000001</v>
      </c>
      <c r="AI133" s="17">
        <f>TabOceanet[[#This Row],[VM_disk]]*Tarif_disque</f>
        <v>0</v>
      </c>
      <c r="AJ133"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4.58</v>
      </c>
    </row>
    <row r="134" spans="1:36" x14ac:dyDescent="0.25">
      <c r="A134" t="s">
        <v>237</v>
      </c>
      <c r="B134">
        <v>2</v>
      </c>
      <c r="C134">
        <v>2</v>
      </c>
      <c r="D134">
        <v>26</v>
      </c>
      <c r="E134" t="s">
        <v>426</v>
      </c>
      <c r="G134" t="s">
        <v>1275</v>
      </c>
      <c r="H134" t="s">
        <v>1274</v>
      </c>
      <c r="I134" t="s">
        <v>419</v>
      </c>
      <c r="J134" t="s">
        <v>414</v>
      </c>
      <c r="K134" t="s">
        <v>408</v>
      </c>
      <c r="L134" t="s">
        <v>410</v>
      </c>
      <c r="M134" t="s">
        <v>430</v>
      </c>
      <c r="N134" t="s">
        <v>412</v>
      </c>
      <c r="O134">
        <v>10006791</v>
      </c>
      <c r="P134" t="s">
        <v>413</v>
      </c>
      <c r="Q134" s="5">
        <f>VLOOKUP(TabOceanet[VM_name],TabVMEnv[],3,FALSE)</f>
        <v>0</v>
      </c>
      <c r="R134" s="5" t="str">
        <f>IF(VLOOKUP(TabOceanet[VM_name],TabVMEnv[],2,FALSE) = "","Non","")</f>
        <v/>
      </c>
      <c r="S134" s="5">
        <f>IF(TabOceanet[[#This Row],[Type_tarif]]="Tarif_VLAN",1,0)</f>
        <v>0</v>
      </c>
      <c r="T134" s="5">
        <f>TabOceanet[[#This Row],[isCalcVlan]]*TabOceanet[[#This Row],[Nb_article]]*Tarif_VLAN</f>
        <v>0</v>
      </c>
      <c r="U134" s="5">
        <f>IF(TabOceanet[[#This Row],[Type_tarif]]="Tarif_IPPUB",1,0)</f>
        <v>0</v>
      </c>
      <c r="V134" s="5">
        <f>TabOceanet[[#This Row],[isCalcIpPub]]*TabOceanet[[#This Row],[Nb_article]]*Tarif_IPPUB</f>
        <v>0</v>
      </c>
      <c r="W134" s="5">
        <f>IF(TabOceanet[[#This Row],[Type_tarif]]="Tarif_DNS",1,0)</f>
        <v>0</v>
      </c>
      <c r="X134" s="5">
        <f>TabOceanet[[#This Row],[isCalcDns]]*TabOceanet[[#This Row],[Nb_article]]*Tarif_DNS</f>
        <v>0</v>
      </c>
      <c r="Y134" s="5">
        <f>IF(TabOceanet[[#This Row],[Type_tarif]]="Tarif_Certificat_X509_Simple",1,0)</f>
        <v>0</v>
      </c>
      <c r="Z134" s="5">
        <f>TabOceanet[[#This Row],[isCalcCertSimple]]*TabOceanet[[#This Row],[Nb_article]]*Tarif_Certificat_X509_Simple</f>
        <v>0</v>
      </c>
      <c r="AA134" s="5">
        <f>IF(TabOceanet[[#This Row],[Type_tarif]]="Tarif_Certificat_X509_Wildcard",1,0)</f>
        <v>0</v>
      </c>
      <c r="AB134" s="5">
        <f>TabOceanet[[#This Row],[isCalcCertWild]]*TabOceanet[[#This Row],[Nb_article]]*Tarif_Certificat_X509_Wildcard</f>
        <v>0</v>
      </c>
      <c r="AC134" s="5">
        <f>IF(TabOceanet[[#This Row],[Type_tarif]]="Tarif_Astreinte_24_24_7_7",1,0)</f>
        <v>0</v>
      </c>
      <c r="AD134" s="5">
        <f>TabOceanet[[#This Row],[isCalcAstreinte247]]*TabOceanet[[#This Row],[Nb_article]]*Tarif_Astreinte_24_24_7_7</f>
        <v>0</v>
      </c>
      <c r="AE134" s="5">
        <f>IF(TabOceanet[[#This Row],[VM_status]]="PoweredOn",1,0)</f>
        <v>1</v>
      </c>
      <c r="AF134" s="17">
        <f>TabOceanet[[#This Row],[VM_mem]]*Tarif_Ram</f>
        <v>3.2</v>
      </c>
      <c r="AG134" s="5" t="str">
        <f>MID(TabOceanet[[#This Row],[Backup]],29,20)</f>
        <v>J15_2</v>
      </c>
      <c r="AH134" s="25">
        <f>IF(LEFT(TabOceanet[[#This Row],[TypeBAK]],3)="HOR",Tarif_Backup_Horaire*TabOceanet[[#This Row],[VM_disk]],IF(LEFT(TabOceanet[[#This Row],[TypeBAK]],3)="J15",Tarif_Backup_J15*TabOceanet[[#This Row],[VM_disk]],IF(LEFT(TabOceanet[[#This Row],[TypeBAK]],3)="H1_",Tarif_Backup_J15*TabOceanet[[#This Row],[VM_disk]],0)))</f>
        <v>5.98</v>
      </c>
      <c r="AI134" s="17">
        <f>TabOceanet[[#This Row],[VM_disk]]*Tarif_disque</f>
        <v>0</v>
      </c>
      <c r="AJ134"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9.18</v>
      </c>
    </row>
    <row r="135" spans="1:36" hidden="1" x14ac:dyDescent="0.25">
      <c r="A135" t="s">
        <v>1305</v>
      </c>
      <c r="F135">
        <v>1</v>
      </c>
      <c r="K135" t="s">
        <v>403</v>
      </c>
      <c r="O135">
        <v>10006791</v>
      </c>
      <c r="P135" t="s">
        <v>442</v>
      </c>
      <c r="Q135">
        <f>VLOOKUP(TabOceanet[VM_name],TabVMEnv[],3,FALSE)</f>
        <v>0</v>
      </c>
      <c r="R135" s="5" t="str">
        <f>IF(VLOOKUP(TabOceanet[VM_name],TabVMEnv[],2,FALSE) = "","Non","")</f>
        <v/>
      </c>
      <c r="S135" s="5">
        <f>IF(TabOceanet[[#This Row],[Type_tarif]]="Tarif_VLAN",1,0)</f>
        <v>0</v>
      </c>
      <c r="T135" s="5">
        <f>TabOceanet[[#This Row],[isCalcVlan]]*TabOceanet[[#This Row],[Nb_article]]*Tarif_VLAN</f>
        <v>0</v>
      </c>
      <c r="U135" s="5">
        <f>IF(TabOceanet[[#This Row],[Type_tarif]]="Tarif_IPPUB",1,0)</f>
        <v>1</v>
      </c>
      <c r="V135" s="5">
        <f>TabOceanet[[#This Row],[isCalcIpPub]]*TabOceanet[[#This Row],[Nb_article]]*Tarif_IPPUB</f>
        <v>2</v>
      </c>
      <c r="W135" s="5">
        <f>IF(TabOceanet[[#This Row],[Type_tarif]]="Tarif_DNS",1,0)</f>
        <v>0</v>
      </c>
      <c r="X135" s="5">
        <f>TabOceanet[[#This Row],[isCalcDns]]*TabOceanet[[#This Row],[Nb_article]]*Tarif_DNS</f>
        <v>0</v>
      </c>
      <c r="Y135" s="5">
        <f>IF(TabOceanet[[#This Row],[Type_tarif]]="Tarif_Certificat_X509_Simple",1,0)</f>
        <v>0</v>
      </c>
      <c r="Z135" s="5">
        <f>TabOceanet[[#This Row],[isCalcCertSimple]]*TabOceanet[[#This Row],[Nb_article]]*Tarif_Certificat_X509_Simple</f>
        <v>0</v>
      </c>
      <c r="AA135" s="5">
        <f>IF(TabOceanet[[#This Row],[Type_tarif]]="Tarif_Certificat_X509_Wildcard",1,0)</f>
        <v>0</v>
      </c>
      <c r="AB135" s="5">
        <f>TabOceanet[[#This Row],[isCalcCertWild]]*TabOceanet[[#This Row],[Nb_article]]*Tarif_Certificat_X509_Wildcard</f>
        <v>0</v>
      </c>
      <c r="AC135" s="5">
        <f>IF(TabOceanet[[#This Row],[Type_tarif]]="Tarif_Astreinte_24_24_7_7",1,0)</f>
        <v>0</v>
      </c>
      <c r="AD135" s="5">
        <f>TabOceanet[[#This Row],[isCalcAstreinte247]]*TabOceanet[[#This Row],[Nb_article]]*Tarif_Astreinte_24_24_7_7</f>
        <v>0</v>
      </c>
      <c r="AE135" s="5">
        <f>IF(TabOceanet[[#This Row],[VM_status]]="PoweredOn",1,0)</f>
        <v>0</v>
      </c>
      <c r="AF135" s="17">
        <f>TabOceanet[[#This Row],[VM_mem]]*Tarif_Ram</f>
        <v>0</v>
      </c>
      <c r="AG135" s="5" t="str">
        <f>MID(TabOceanet[[#This Row],[Backup]],29,20)</f>
        <v/>
      </c>
      <c r="AH135" s="17">
        <f>IF(LEFT(TabOceanet[[#This Row],[TypeBAK]],3)="HOR",Tarif_Backup_Horaire*TabOceanet[[#This Row],[VM_disk]],IF(LEFT(TabOceanet[[#This Row],[TypeBAK]],3)="J15",Tarif_Backup_J15*TabOceanet[[#This Row],[VM_disk]],IF(LEFT(TabOceanet[[#This Row],[TypeBAK]],3)="H1_",Tarif_Backup_J15*TabOceanet[[#This Row],[VM_disk]],0)))</f>
        <v>0</v>
      </c>
      <c r="AI135" s="17">
        <f>TabOceanet[[#This Row],[VM_disk]]*Tarif_disque</f>
        <v>0</v>
      </c>
      <c r="AJ135"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v>
      </c>
    </row>
    <row r="136" spans="1:36" hidden="1" x14ac:dyDescent="0.25">
      <c r="A136" t="s">
        <v>1310</v>
      </c>
      <c r="F136">
        <v>1</v>
      </c>
      <c r="K136" t="s">
        <v>408</v>
      </c>
      <c r="O136">
        <v>10006791</v>
      </c>
      <c r="P136" t="s">
        <v>442</v>
      </c>
      <c r="Q136">
        <f>VLOOKUP(TabOceanet[VM_name],TabVMEnv[],3,FALSE)</f>
        <v>0</v>
      </c>
      <c r="R136" s="5" t="str">
        <f>IF(VLOOKUP(TabOceanet[VM_name],TabVMEnv[],2,FALSE) = "","Non","")</f>
        <v/>
      </c>
      <c r="S136" s="5">
        <f>IF(TabOceanet[[#This Row],[Type_tarif]]="Tarif_VLAN",1,0)</f>
        <v>0</v>
      </c>
      <c r="T136" s="5">
        <f>TabOceanet[[#This Row],[isCalcVlan]]*TabOceanet[[#This Row],[Nb_article]]*Tarif_VLAN</f>
        <v>0</v>
      </c>
      <c r="U136" s="5">
        <f>IF(TabOceanet[[#This Row],[Type_tarif]]="Tarif_IPPUB",1,0)</f>
        <v>1</v>
      </c>
      <c r="V136" s="5">
        <f>TabOceanet[[#This Row],[isCalcIpPub]]*TabOceanet[[#This Row],[Nb_article]]*Tarif_IPPUB</f>
        <v>2</v>
      </c>
      <c r="W136" s="5">
        <f>IF(TabOceanet[[#This Row],[Type_tarif]]="Tarif_DNS",1,0)</f>
        <v>0</v>
      </c>
      <c r="X136" s="5">
        <f>TabOceanet[[#This Row],[isCalcDns]]*TabOceanet[[#This Row],[Nb_article]]*Tarif_DNS</f>
        <v>0</v>
      </c>
      <c r="Y136" s="5">
        <f>IF(TabOceanet[[#This Row],[Type_tarif]]="Tarif_Certificat_X509_Simple",1,0)</f>
        <v>0</v>
      </c>
      <c r="Z136" s="5">
        <f>TabOceanet[[#This Row],[isCalcCertSimple]]*TabOceanet[[#This Row],[Nb_article]]*Tarif_Certificat_X509_Simple</f>
        <v>0</v>
      </c>
      <c r="AA136" s="5">
        <f>IF(TabOceanet[[#This Row],[Type_tarif]]="Tarif_Certificat_X509_Wildcard",1,0)</f>
        <v>0</v>
      </c>
      <c r="AB136" s="5">
        <f>TabOceanet[[#This Row],[isCalcCertWild]]*TabOceanet[[#This Row],[Nb_article]]*Tarif_Certificat_X509_Wildcard</f>
        <v>0</v>
      </c>
      <c r="AC136" s="5">
        <f>IF(TabOceanet[[#This Row],[Type_tarif]]="Tarif_Astreinte_24_24_7_7",1,0)</f>
        <v>0</v>
      </c>
      <c r="AD136" s="5">
        <f>TabOceanet[[#This Row],[isCalcAstreinte247]]*TabOceanet[[#This Row],[Nb_article]]*Tarif_Astreinte_24_24_7_7</f>
        <v>0</v>
      </c>
      <c r="AE136" s="5">
        <f>IF(TabOceanet[[#This Row],[VM_status]]="PoweredOn",1,0)</f>
        <v>0</v>
      </c>
      <c r="AF136" s="17">
        <f>TabOceanet[[#This Row],[VM_mem]]*Tarif_Ram</f>
        <v>0</v>
      </c>
      <c r="AG136" s="5" t="str">
        <f>MID(TabOceanet[[#This Row],[Backup]],29,20)</f>
        <v/>
      </c>
      <c r="AH136" s="17">
        <f>IF(LEFT(TabOceanet[[#This Row],[TypeBAK]],3)="HOR",Tarif_Backup_Horaire*TabOceanet[[#This Row],[VM_disk]],IF(LEFT(TabOceanet[[#This Row],[TypeBAK]],3)="J15",Tarif_Backup_J15*TabOceanet[[#This Row],[VM_disk]],IF(LEFT(TabOceanet[[#This Row],[TypeBAK]],3)="H1_",Tarif_Backup_J15*TabOceanet[[#This Row],[VM_disk]],0)))</f>
        <v>0</v>
      </c>
      <c r="AI136" s="17">
        <f>TabOceanet[[#This Row],[VM_disk]]*Tarif_disque</f>
        <v>0</v>
      </c>
      <c r="AJ136"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v>
      </c>
    </row>
    <row r="137" spans="1:36" hidden="1" x14ac:dyDescent="0.25">
      <c r="A137" t="s">
        <v>1309</v>
      </c>
      <c r="F137">
        <v>1</v>
      </c>
      <c r="K137" t="s">
        <v>406</v>
      </c>
      <c r="O137">
        <v>10006791</v>
      </c>
      <c r="P137" t="s">
        <v>442</v>
      </c>
      <c r="Q137">
        <f>VLOOKUP(TabOceanet[VM_name],TabVMEnv[],3,FALSE)</f>
        <v>0</v>
      </c>
      <c r="R137" s="5" t="str">
        <f>IF(VLOOKUP(TabOceanet[VM_name],TabVMEnv[],2,FALSE) = "","Non","")</f>
        <v/>
      </c>
      <c r="S137" s="5">
        <f>IF(TabOceanet[[#This Row],[Type_tarif]]="Tarif_VLAN",1,0)</f>
        <v>0</v>
      </c>
      <c r="T137" s="5">
        <f>TabOceanet[[#This Row],[isCalcVlan]]*TabOceanet[[#This Row],[Nb_article]]*Tarif_VLAN</f>
        <v>0</v>
      </c>
      <c r="U137" s="5">
        <f>IF(TabOceanet[[#This Row],[Type_tarif]]="Tarif_IPPUB",1,0)</f>
        <v>1</v>
      </c>
      <c r="V137" s="5">
        <f>TabOceanet[[#This Row],[isCalcIpPub]]*TabOceanet[[#This Row],[Nb_article]]*Tarif_IPPUB</f>
        <v>2</v>
      </c>
      <c r="W137" s="5">
        <f>IF(TabOceanet[[#This Row],[Type_tarif]]="Tarif_DNS",1,0)</f>
        <v>0</v>
      </c>
      <c r="X137" s="5">
        <f>TabOceanet[[#This Row],[isCalcDns]]*TabOceanet[[#This Row],[Nb_article]]*Tarif_DNS</f>
        <v>0</v>
      </c>
      <c r="Y137" s="5">
        <f>IF(TabOceanet[[#This Row],[Type_tarif]]="Tarif_Certificat_X509_Simple",1,0)</f>
        <v>0</v>
      </c>
      <c r="Z137" s="5">
        <f>TabOceanet[[#This Row],[isCalcCertSimple]]*TabOceanet[[#This Row],[Nb_article]]*Tarif_Certificat_X509_Simple</f>
        <v>0</v>
      </c>
      <c r="AA137" s="5">
        <f>IF(TabOceanet[[#This Row],[Type_tarif]]="Tarif_Certificat_X509_Wildcard",1,0)</f>
        <v>0</v>
      </c>
      <c r="AB137" s="5">
        <f>TabOceanet[[#This Row],[isCalcCertWild]]*TabOceanet[[#This Row],[Nb_article]]*Tarif_Certificat_X509_Wildcard</f>
        <v>0</v>
      </c>
      <c r="AC137" s="5">
        <f>IF(TabOceanet[[#This Row],[Type_tarif]]="Tarif_Astreinte_24_24_7_7",1,0)</f>
        <v>0</v>
      </c>
      <c r="AD137" s="5">
        <f>TabOceanet[[#This Row],[isCalcAstreinte247]]*TabOceanet[[#This Row],[Nb_article]]*Tarif_Astreinte_24_24_7_7</f>
        <v>0</v>
      </c>
      <c r="AE137" s="5">
        <f>IF(TabOceanet[[#This Row],[VM_status]]="PoweredOn",1,0)</f>
        <v>0</v>
      </c>
      <c r="AF137" s="17">
        <f>TabOceanet[[#This Row],[VM_mem]]*Tarif_Ram</f>
        <v>0</v>
      </c>
      <c r="AG137" s="5" t="str">
        <f>MID(TabOceanet[[#This Row],[Backup]],29,20)</f>
        <v/>
      </c>
      <c r="AH137" s="17">
        <f>IF(LEFT(TabOceanet[[#This Row],[TypeBAK]],3)="HOR",Tarif_Backup_Horaire*TabOceanet[[#This Row],[VM_disk]],IF(LEFT(TabOceanet[[#This Row],[TypeBAK]],3)="J15",Tarif_Backup_J15*TabOceanet[[#This Row],[VM_disk]],IF(LEFT(TabOceanet[[#This Row],[TypeBAK]],3)="H1_",Tarif_Backup_J15*TabOceanet[[#This Row],[VM_disk]],0)))</f>
        <v>0</v>
      </c>
      <c r="AI137" s="17">
        <f>TabOceanet[[#This Row],[VM_disk]]*Tarif_disque</f>
        <v>0</v>
      </c>
      <c r="AJ137"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v>
      </c>
    </row>
    <row r="138" spans="1:36" hidden="1" x14ac:dyDescent="0.25">
      <c r="A138" t="s">
        <v>1306</v>
      </c>
      <c r="F138">
        <v>1</v>
      </c>
      <c r="K138" t="s">
        <v>408</v>
      </c>
      <c r="O138">
        <v>10006791</v>
      </c>
      <c r="P138" t="s">
        <v>442</v>
      </c>
      <c r="Q138">
        <f>VLOOKUP(TabOceanet[VM_name],TabVMEnv[],3,FALSE)</f>
        <v>0</v>
      </c>
      <c r="R138" s="5" t="str">
        <f>IF(VLOOKUP(TabOceanet[VM_name],TabVMEnv[],2,FALSE) = "","Non","")</f>
        <v/>
      </c>
      <c r="S138" s="5">
        <f>IF(TabOceanet[[#This Row],[Type_tarif]]="Tarif_VLAN",1,0)</f>
        <v>0</v>
      </c>
      <c r="T138" s="5">
        <f>TabOceanet[[#This Row],[isCalcVlan]]*TabOceanet[[#This Row],[Nb_article]]*Tarif_VLAN</f>
        <v>0</v>
      </c>
      <c r="U138" s="5">
        <f>IF(TabOceanet[[#This Row],[Type_tarif]]="Tarif_IPPUB",1,0)</f>
        <v>1</v>
      </c>
      <c r="V138" s="5">
        <f>TabOceanet[[#This Row],[isCalcIpPub]]*TabOceanet[[#This Row],[Nb_article]]*Tarif_IPPUB</f>
        <v>2</v>
      </c>
      <c r="W138" s="5">
        <f>IF(TabOceanet[[#This Row],[Type_tarif]]="Tarif_DNS",1,0)</f>
        <v>0</v>
      </c>
      <c r="X138" s="5">
        <f>TabOceanet[[#This Row],[isCalcDns]]*TabOceanet[[#This Row],[Nb_article]]*Tarif_DNS</f>
        <v>0</v>
      </c>
      <c r="Y138" s="5">
        <f>IF(TabOceanet[[#This Row],[Type_tarif]]="Tarif_Certificat_X509_Simple",1,0)</f>
        <v>0</v>
      </c>
      <c r="Z138" s="5">
        <f>TabOceanet[[#This Row],[isCalcCertSimple]]*TabOceanet[[#This Row],[Nb_article]]*Tarif_Certificat_X509_Simple</f>
        <v>0</v>
      </c>
      <c r="AA138" s="5">
        <f>IF(TabOceanet[[#This Row],[Type_tarif]]="Tarif_Certificat_X509_Wildcard",1,0)</f>
        <v>0</v>
      </c>
      <c r="AB138" s="5">
        <f>TabOceanet[[#This Row],[isCalcCertWild]]*TabOceanet[[#This Row],[Nb_article]]*Tarif_Certificat_X509_Wildcard</f>
        <v>0</v>
      </c>
      <c r="AC138" s="5">
        <f>IF(TabOceanet[[#This Row],[Type_tarif]]="Tarif_Astreinte_24_24_7_7",1,0)</f>
        <v>0</v>
      </c>
      <c r="AD138" s="5">
        <f>TabOceanet[[#This Row],[isCalcAstreinte247]]*TabOceanet[[#This Row],[Nb_article]]*Tarif_Astreinte_24_24_7_7</f>
        <v>0</v>
      </c>
      <c r="AE138" s="5">
        <f>IF(TabOceanet[[#This Row],[VM_status]]="PoweredOn",1,0)</f>
        <v>0</v>
      </c>
      <c r="AF138" s="17">
        <f>TabOceanet[[#This Row],[VM_mem]]*Tarif_Ram</f>
        <v>0</v>
      </c>
      <c r="AG138" s="5" t="str">
        <f>MID(TabOceanet[[#This Row],[Backup]],29,20)</f>
        <v/>
      </c>
      <c r="AH138" s="17">
        <f>IF(LEFT(TabOceanet[[#This Row],[TypeBAK]],3)="HOR",Tarif_Backup_Horaire*TabOceanet[[#This Row],[VM_disk]],IF(LEFT(TabOceanet[[#This Row],[TypeBAK]],3)="J15",Tarif_Backup_J15*TabOceanet[[#This Row],[VM_disk]],IF(LEFT(TabOceanet[[#This Row],[TypeBAK]],3)="H1_",Tarif_Backup_J15*TabOceanet[[#This Row],[VM_disk]],0)))</f>
        <v>0</v>
      </c>
      <c r="AI138" s="17">
        <f>TabOceanet[[#This Row],[VM_disk]]*Tarif_disque</f>
        <v>0</v>
      </c>
      <c r="AJ138"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v>
      </c>
    </row>
    <row r="139" spans="1:36" hidden="1" x14ac:dyDescent="0.25">
      <c r="A139" t="s">
        <v>1307</v>
      </c>
      <c r="F139">
        <v>1</v>
      </c>
      <c r="K139" t="s">
        <v>406</v>
      </c>
      <c r="O139">
        <v>10006791</v>
      </c>
      <c r="P139" t="s">
        <v>442</v>
      </c>
      <c r="Q139">
        <f>VLOOKUP(TabOceanet[VM_name],TabVMEnv[],3,FALSE)</f>
        <v>0</v>
      </c>
      <c r="R139" s="5" t="str">
        <f>IF(VLOOKUP(TabOceanet[VM_name],TabVMEnv[],2,FALSE) = "","Non","")</f>
        <v/>
      </c>
      <c r="S139" s="5">
        <f>IF(TabOceanet[[#This Row],[Type_tarif]]="Tarif_VLAN",1,0)</f>
        <v>0</v>
      </c>
      <c r="T139" s="5">
        <f>TabOceanet[[#This Row],[isCalcVlan]]*TabOceanet[[#This Row],[Nb_article]]*Tarif_VLAN</f>
        <v>0</v>
      </c>
      <c r="U139" s="5">
        <f>IF(TabOceanet[[#This Row],[Type_tarif]]="Tarif_IPPUB",1,0)</f>
        <v>1</v>
      </c>
      <c r="V139" s="5">
        <f>TabOceanet[[#This Row],[isCalcIpPub]]*TabOceanet[[#This Row],[Nb_article]]*Tarif_IPPUB</f>
        <v>2</v>
      </c>
      <c r="W139" s="5">
        <f>IF(TabOceanet[[#This Row],[Type_tarif]]="Tarif_DNS",1,0)</f>
        <v>0</v>
      </c>
      <c r="X139" s="5">
        <f>TabOceanet[[#This Row],[isCalcDns]]*TabOceanet[[#This Row],[Nb_article]]*Tarif_DNS</f>
        <v>0</v>
      </c>
      <c r="Y139" s="5">
        <f>IF(TabOceanet[[#This Row],[Type_tarif]]="Tarif_Certificat_X509_Simple",1,0)</f>
        <v>0</v>
      </c>
      <c r="Z139" s="5">
        <f>TabOceanet[[#This Row],[isCalcCertSimple]]*TabOceanet[[#This Row],[Nb_article]]*Tarif_Certificat_X509_Simple</f>
        <v>0</v>
      </c>
      <c r="AA139" s="5">
        <f>IF(TabOceanet[[#This Row],[Type_tarif]]="Tarif_Certificat_X509_Wildcard",1,0)</f>
        <v>0</v>
      </c>
      <c r="AB139" s="5">
        <f>TabOceanet[[#This Row],[isCalcCertWild]]*TabOceanet[[#This Row],[Nb_article]]*Tarif_Certificat_X509_Wildcard</f>
        <v>0</v>
      </c>
      <c r="AC139" s="5">
        <f>IF(TabOceanet[[#This Row],[Type_tarif]]="Tarif_Astreinte_24_24_7_7",1,0)</f>
        <v>0</v>
      </c>
      <c r="AD139" s="5">
        <f>TabOceanet[[#This Row],[isCalcAstreinte247]]*TabOceanet[[#This Row],[Nb_article]]*Tarif_Astreinte_24_24_7_7</f>
        <v>0</v>
      </c>
      <c r="AE139" s="5">
        <f>IF(TabOceanet[[#This Row],[VM_status]]="PoweredOn",1,0)</f>
        <v>0</v>
      </c>
      <c r="AF139" s="17">
        <f>TabOceanet[[#This Row],[VM_mem]]*Tarif_Ram</f>
        <v>0</v>
      </c>
      <c r="AG139" s="5" t="str">
        <f>MID(TabOceanet[[#This Row],[Backup]],29,20)</f>
        <v/>
      </c>
      <c r="AH139" s="17">
        <f>IF(LEFT(TabOceanet[[#This Row],[TypeBAK]],3)="HOR",Tarif_Backup_Horaire*TabOceanet[[#This Row],[VM_disk]],IF(LEFT(TabOceanet[[#This Row],[TypeBAK]],3)="J15",Tarif_Backup_J15*TabOceanet[[#This Row],[VM_disk]],IF(LEFT(TabOceanet[[#This Row],[TypeBAK]],3)="H1_",Tarif_Backup_J15*TabOceanet[[#This Row],[VM_disk]],0)))</f>
        <v>0</v>
      </c>
      <c r="AI139" s="17">
        <f>TabOceanet[[#This Row],[VM_disk]]*Tarif_disque</f>
        <v>0</v>
      </c>
      <c r="AJ139"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v>
      </c>
    </row>
    <row r="140" spans="1:36" hidden="1" x14ac:dyDescent="0.25">
      <c r="A140" t="s">
        <v>1308</v>
      </c>
      <c r="F140">
        <v>1</v>
      </c>
      <c r="K140" t="s">
        <v>406</v>
      </c>
      <c r="O140">
        <v>10006791</v>
      </c>
      <c r="P140" t="s">
        <v>442</v>
      </c>
      <c r="Q140">
        <f>VLOOKUP(TabOceanet[VM_name],TabVMEnv[],3,FALSE)</f>
        <v>0</v>
      </c>
      <c r="R140" s="5" t="str">
        <f>IF(VLOOKUP(TabOceanet[VM_name],TabVMEnv[],2,FALSE) = "","Non","")</f>
        <v/>
      </c>
      <c r="S140" s="5">
        <f>IF(TabOceanet[[#This Row],[Type_tarif]]="Tarif_VLAN",1,0)</f>
        <v>0</v>
      </c>
      <c r="T140" s="5">
        <f>TabOceanet[[#This Row],[isCalcVlan]]*TabOceanet[[#This Row],[Nb_article]]*Tarif_VLAN</f>
        <v>0</v>
      </c>
      <c r="U140" s="5">
        <f>IF(TabOceanet[[#This Row],[Type_tarif]]="Tarif_IPPUB",1,0)</f>
        <v>1</v>
      </c>
      <c r="V140" s="5">
        <f>TabOceanet[[#This Row],[isCalcIpPub]]*TabOceanet[[#This Row],[Nb_article]]*Tarif_IPPUB</f>
        <v>2</v>
      </c>
      <c r="W140" s="5">
        <f>IF(TabOceanet[[#This Row],[Type_tarif]]="Tarif_DNS",1,0)</f>
        <v>0</v>
      </c>
      <c r="X140" s="5">
        <f>TabOceanet[[#This Row],[isCalcDns]]*TabOceanet[[#This Row],[Nb_article]]*Tarif_DNS</f>
        <v>0</v>
      </c>
      <c r="Y140" s="5">
        <f>IF(TabOceanet[[#This Row],[Type_tarif]]="Tarif_Certificat_X509_Simple",1,0)</f>
        <v>0</v>
      </c>
      <c r="Z140" s="5">
        <f>TabOceanet[[#This Row],[isCalcCertSimple]]*TabOceanet[[#This Row],[Nb_article]]*Tarif_Certificat_X509_Simple</f>
        <v>0</v>
      </c>
      <c r="AA140" s="5">
        <f>IF(TabOceanet[[#This Row],[Type_tarif]]="Tarif_Certificat_X509_Wildcard",1,0)</f>
        <v>0</v>
      </c>
      <c r="AB140" s="5">
        <f>TabOceanet[[#This Row],[isCalcCertWild]]*TabOceanet[[#This Row],[Nb_article]]*Tarif_Certificat_X509_Wildcard</f>
        <v>0</v>
      </c>
      <c r="AC140" s="5">
        <f>IF(TabOceanet[[#This Row],[Type_tarif]]="Tarif_Astreinte_24_24_7_7",1,0)</f>
        <v>0</v>
      </c>
      <c r="AD140" s="5">
        <f>TabOceanet[[#This Row],[isCalcAstreinte247]]*TabOceanet[[#This Row],[Nb_article]]*Tarif_Astreinte_24_24_7_7</f>
        <v>0</v>
      </c>
      <c r="AE140" s="5">
        <f>IF(TabOceanet[[#This Row],[VM_status]]="PoweredOn",1,0)</f>
        <v>0</v>
      </c>
      <c r="AF140" s="17">
        <f>TabOceanet[[#This Row],[VM_mem]]*Tarif_Ram</f>
        <v>0</v>
      </c>
      <c r="AG140" s="5" t="str">
        <f>MID(TabOceanet[[#This Row],[Backup]],29,20)</f>
        <v/>
      </c>
      <c r="AH140" s="17">
        <f>IF(LEFT(TabOceanet[[#This Row],[TypeBAK]],3)="HOR",Tarif_Backup_Horaire*TabOceanet[[#This Row],[VM_disk]],IF(LEFT(TabOceanet[[#This Row],[TypeBAK]],3)="J15",Tarif_Backup_J15*TabOceanet[[#This Row],[VM_disk]],IF(LEFT(TabOceanet[[#This Row],[TypeBAK]],3)="H1_",Tarif_Backup_J15*TabOceanet[[#This Row],[VM_disk]],0)))</f>
        <v>0</v>
      </c>
      <c r="AI140" s="17">
        <f>TabOceanet[[#This Row],[VM_disk]]*Tarif_disque</f>
        <v>0</v>
      </c>
      <c r="AJ140"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v>
      </c>
    </row>
    <row r="141" spans="1:36" x14ac:dyDescent="0.25">
      <c r="A141" t="s">
        <v>157</v>
      </c>
      <c r="B141">
        <v>1</v>
      </c>
      <c r="C141">
        <v>1</v>
      </c>
      <c r="D141">
        <v>4</v>
      </c>
      <c r="E141" t="s">
        <v>423</v>
      </c>
      <c r="G141" t="s">
        <v>1275</v>
      </c>
      <c r="H141" t="s">
        <v>1274</v>
      </c>
      <c r="I141" t="s">
        <v>419</v>
      </c>
      <c r="J141" t="s">
        <v>414</v>
      </c>
      <c r="K141" t="s">
        <v>408</v>
      </c>
      <c r="L141" t="s">
        <v>410</v>
      </c>
      <c r="M141" t="s">
        <v>1322</v>
      </c>
      <c r="N141" t="s">
        <v>412</v>
      </c>
      <c r="O141">
        <v>10006791</v>
      </c>
      <c r="P141" t="s">
        <v>413</v>
      </c>
      <c r="Q141" s="5">
        <f>VLOOKUP(TabOceanet[VM_name],TabVMEnv[],3,FALSE)</f>
        <v>0</v>
      </c>
      <c r="R141" s="5" t="str">
        <f>IF(VLOOKUP(TabOceanet[VM_name],TabVMEnv[],2,FALSE) = "","Non","")</f>
        <v/>
      </c>
      <c r="S141" s="5">
        <f>IF(TabOceanet[[#This Row],[Type_tarif]]="Tarif_VLAN",1,0)</f>
        <v>0</v>
      </c>
      <c r="T141" s="5">
        <f>TabOceanet[[#This Row],[isCalcVlan]]*TabOceanet[[#This Row],[Nb_article]]*Tarif_VLAN</f>
        <v>0</v>
      </c>
      <c r="U141" s="5">
        <f>IF(TabOceanet[[#This Row],[Type_tarif]]="Tarif_IPPUB",1,0)</f>
        <v>0</v>
      </c>
      <c r="V141" s="5">
        <f>TabOceanet[[#This Row],[isCalcIpPub]]*TabOceanet[[#This Row],[Nb_article]]*Tarif_IPPUB</f>
        <v>0</v>
      </c>
      <c r="W141" s="5">
        <f>IF(TabOceanet[[#This Row],[Type_tarif]]="Tarif_DNS",1,0)</f>
        <v>0</v>
      </c>
      <c r="X141" s="5">
        <f>TabOceanet[[#This Row],[isCalcDns]]*TabOceanet[[#This Row],[Nb_article]]*Tarif_DNS</f>
        <v>0</v>
      </c>
      <c r="Y141" s="5">
        <f>IF(TabOceanet[[#This Row],[Type_tarif]]="Tarif_Certificat_X509_Simple",1,0)</f>
        <v>0</v>
      </c>
      <c r="Z141" s="5">
        <f>TabOceanet[[#This Row],[isCalcCertSimple]]*TabOceanet[[#This Row],[Nb_article]]*Tarif_Certificat_X509_Simple</f>
        <v>0</v>
      </c>
      <c r="AA141" s="5">
        <f>IF(TabOceanet[[#This Row],[Type_tarif]]="Tarif_Certificat_X509_Wildcard",1,0)</f>
        <v>0</v>
      </c>
      <c r="AB141" s="5">
        <f>TabOceanet[[#This Row],[isCalcCertWild]]*TabOceanet[[#This Row],[Nb_article]]*Tarif_Certificat_X509_Wildcard</f>
        <v>0</v>
      </c>
      <c r="AC141" s="5">
        <f>IF(TabOceanet[[#This Row],[Type_tarif]]="Tarif_Astreinte_24_24_7_7",1,0)</f>
        <v>0</v>
      </c>
      <c r="AD141" s="5">
        <f>TabOceanet[[#This Row],[isCalcAstreinte247]]*TabOceanet[[#This Row],[Nb_article]]*Tarif_Astreinte_24_24_7_7</f>
        <v>0</v>
      </c>
      <c r="AE141" s="5">
        <f>IF(TabOceanet[[#This Row],[VM_status]]="PoweredOn",1,0)</f>
        <v>1</v>
      </c>
      <c r="AF141" s="17">
        <f>TabOceanet[[#This Row],[VM_mem]]*Tarif_Ram</f>
        <v>1.6</v>
      </c>
      <c r="AG141" s="5" t="str">
        <f>MID(TabOceanet[[#This Row],[Backup]],29,20)</f>
        <v>J15_1</v>
      </c>
      <c r="AH141" s="25">
        <f>IF(LEFT(TabOceanet[[#This Row],[TypeBAK]],3)="HOR",Tarif_Backup_Horaire*TabOceanet[[#This Row],[VM_disk]],IF(LEFT(TabOceanet[[#This Row],[TypeBAK]],3)="J15",Tarif_Backup_J15*TabOceanet[[#This Row],[VM_disk]],IF(LEFT(TabOceanet[[#This Row],[TypeBAK]],3)="H1_",Tarif_Backup_J15*TabOceanet[[#This Row],[VM_disk]],0)))</f>
        <v>0.92</v>
      </c>
      <c r="AI141" s="17">
        <f>TabOceanet[[#This Row],[VM_disk]]*Tarif_disque</f>
        <v>0</v>
      </c>
      <c r="AJ141"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2.52</v>
      </c>
    </row>
    <row r="142" spans="1:36" x14ac:dyDescent="0.25">
      <c r="A142" t="s">
        <v>158</v>
      </c>
      <c r="B142">
        <v>1</v>
      </c>
      <c r="C142">
        <v>1</v>
      </c>
      <c r="D142">
        <v>4</v>
      </c>
      <c r="E142" t="s">
        <v>423</v>
      </c>
      <c r="G142" t="s">
        <v>1273</v>
      </c>
      <c r="H142" t="s">
        <v>1274</v>
      </c>
      <c r="I142" t="s">
        <v>419</v>
      </c>
      <c r="J142" t="s">
        <v>414</v>
      </c>
      <c r="K142" t="s">
        <v>408</v>
      </c>
      <c r="L142" t="s">
        <v>410</v>
      </c>
      <c r="M142" t="s">
        <v>1322</v>
      </c>
      <c r="N142" t="s">
        <v>412</v>
      </c>
      <c r="O142">
        <v>10006791</v>
      </c>
      <c r="P142" t="s">
        <v>413</v>
      </c>
      <c r="Q142" s="5">
        <f>VLOOKUP(TabOceanet[VM_name],TabVMEnv[],3,FALSE)</f>
        <v>0</v>
      </c>
      <c r="R142" s="5" t="str">
        <f>IF(VLOOKUP(TabOceanet[VM_name],TabVMEnv[],2,FALSE) = "","Non","")</f>
        <v/>
      </c>
      <c r="S142" s="5">
        <f>IF(TabOceanet[[#This Row],[Type_tarif]]="Tarif_VLAN",1,0)</f>
        <v>0</v>
      </c>
      <c r="T142" s="5">
        <f>TabOceanet[[#This Row],[isCalcVlan]]*TabOceanet[[#This Row],[Nb_article]]*Tarif_VLAN</f>
        <v>0</v>
      </c>
      <c r="U142" s="5">
        <f>IF(TabOceanet[[#This Row],[Type_tarif]]="Tarif_IPPUB",1,0)</f>
        <v>0</v>
      </c>
      <c r="V142" s="5">
        <f>TabOceanet[[#This Row],[isCalcIpPub]]*TabOceanet[[#This Row],[Nb_article]]*Tarif_IPPUB</f>
        <v>0</v>
      </c>
      <c r="W142" s="5">
        <f>IF(TabOceanet[[#This Row],[Type_tarif]]="Tarif_DNS",1,0)</f>
        <v>0</v>
      </c>
      <c r="X142" s="5">
        <f>TabOceanet[[#This Row],[isCalcDns]]*TabOceanet[[#This Row],[Nb_article]]*Tarif_DNS</f>
        <v>0</v>
      </c>
      <c r="Y142" s="5">
        <f>IF(TabOceanet[[#This Row],[Type_tarif]]="Tarif_Certificat_X509_Simple",1,0)</f>
        <v>0</v>
      </c>
      <c r="Z142" s="5">
        <f>TabOceanet[[#This Row],[isCalcCertSimple]]*TabOceanet[[#This Row],[Nb_article]]*Tarif_Certificat_X509_Simple</f>
        <v>0</v>
      </c>
      <c r="AA142" s="5">
        <f>IF(TabOceanet[[#This Row],[Type_tarif]]="Tarif_Certificat_X509_Wildcard",1,0)</f>
        <v>0</v>
      </c>
      <c r="AB142" s="5">
        <f>TabOceanet[[#This Row],[isCalcCertWild]]*TabOceanet[[#This Row],[Nb_article]]*Tarif_Certificat_X509_Wildcard</f>
        <v>0</v>
      </c>
      <c r="AC142" s="5">
        <f>IF(TabOceanet[[#This Row],[Type_tarif]]="Tarif_Astreinte_24_24_7_7",1,0)</f>
        <v>0</v>
      </c>
      <c r="AD142" s="5">
        <f>TabOceanet[[#This Row],[isCalcAstreinte247]]*TabOceanet[[#This Row],[Nb_article]]*Tarif_Astreinte_24_24_7_7</f>
        <v>0</v>
      </c>
      <c r="AE142" s="5">
        <f>IF(TabOceanet[[#This Row],[VM_status]]="PoweredOn",1,0)</f>
        <v>1</v>
      </c>
      <c r="AF142" s="17">
        <f>TabOceanet[[#This Row],[VM_mem]]*Tarif_Ram</f>
        <v>1.6</v>
      </c>
      <c r="AG142" s="5" t="str">
        <f>MID(TabOceanet[[#This Row],[Backup]],29,20)</f>
        <v>J15_1</v>
      </c>
      <c r="AH142" s="25">
        <f>IF(LEFT(TabOceanet[[#This Row],[TypeBAK]],3)="HOR",Tarif_Backup_Horaire*TabOceanet[[#This Row],[VM_disk]],IF(LEFT(TabOceanet[[#This Row],[TypeBAK]],3)="J15",Tarif_Backup_J15*TabOceanet[[#This Row],[VM_disk]],IF(LEFT(TabOceanet[[#This Row],[TypeBAK]],3)="H1_",Tarif_Backup_J15*TabOceanet[[#This Row],[VM_disk]],0)))</f>
        <v>0.92</v>
      </c>
      <c r="AI142" s="17">
        <f>TabOceanet[[#This Row],[VM_disk]]*Tarif_disque</f>
        <v>0</v>
      </c>
      <c r="AJ142"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2.52</v>
      </c>
    </row>
    <row r="143" spans="1:36" x14ac:dyDescent="0.25">
      <c r="A143" t="s">
        <v>183</v>
      </c>
      <c r="B143">
        <v>2</v>
      </c>
      <c r="C143">
        <v>4</v>
      </c>
      <c r="D143">
        <v>28</v>
      </c>
      <c r="E143" t="s">
        <v>423</v>
      </c>
      <c r="G143" t="s">
        <v>1275</v>
      </c>
      <c r="H143" t="s">
        <v>1274</v>
      </c>
      <c r="I143" t="s">
        <v>419</v>
      </c>
      <c r="J143" t="s">
        <v>414</v>
      </c>
      <c r="K143" t="s">
        <v>408</v>
      </c>
      <c r="L143" t="s">
        <v>410</v>
      </c>
      <c r="M143" t="s">
        <v>1322</v>
      </c>
      <c r="N143" t="s">
        <v>412</v>
      </c>
      <c r="O143">
        <v>10006791</v>
      </c>
      <c r="P143" t="s">
        <v>413</v>
      </c>
      <c r="Q143" s="5">
        <f>VLOOKUP(TabOceanet[VM_name],TabVMEnv[],3,FALSE)</f>
        <v>0</v>
      </c>
      <c r="R143" s="5" t="str">
        <f>IF(VLOOKUP(TabOceanet[VM_name],TabVMEnv[],2,FALSE) = "","Non","")</f>
        <v/>
      </c>
      <c r="S143" s="5">
        <f>IF(TabOceanet[[#This Row],[Type_tarif]]="Tarif_VLAN",1,0)</f>
        <v>0</v>
      </c>
      <c r="T143" s="5">
        <f>TabOceanet[[#This Row],[isCalcVlan]]*TabOceanet[[#This Row],[Nb_article]]*Tarif_VLAN</f>
        <v>0</v>
      </c>
      <c r="U143" s="5">
        <f>IF(TabOceanet[[#This Row],[Type_tarif]]="Tarif_IPPUB",1,0)</f>
        <v>0</v>
      </c>
      <c r="V143" s="5">
        <f>TabOceanet[[#This Row],[isCalcIpPub]]*TabOceanet[[#This Row],[Nb_article]]*Tarif_IPPUB</f>
        <v>0</v>
      </c>
      <c r="W143" s="5">
        <f>IF(TabOceanet[[#This Row],[Type_tarif]]="Tarif_DNS",1,0)</f>
        <v>0</v>
      </c>
      <c r="X143" s="5">
        <f>TabOceanet[[#This Row],[isCalcDns]]*TabOceanet[[#This Row],[Nb_article]]*Tarif_DNS</f>
        <v>0</v>
      </c>
      <c r="Y143" s="5">
        <f>IF(TabOceanet[[#This Row],[Type_tarif]]="Tarif_Certificat_X509_Simple",1,0)</f>
        <v>0</v>
      </c>
      <c r="Z143" s="5">
        <f>TabOceanet[[#This Row],[isCalcCertSimple]]*TabOceanet[[#This Row],[Nb_article]]*Tarif_Certificat_X509_Simple</f>
        <v>0</v>
      </c>
      <c r="AA143" s="5">
        <f>IF(TabOceanet[[#This Row],[Type_tarif]]="Tarif_Certificat_X509_Wildcard",1,0)</f>
        <v>0</v>
      </c>
      <c r="AB143" s="5">
        <f>TabOceanet[[#This Row],[isCalcCertWild]]*TabOceanet[[#This Row],[Nb_article]]*Tarif_Certificat_X509_Wildcard</f>
        <v>0</v>
      </c>
      <c r="AC143" s="5">
        <f>IF(TabOceanet[[#This Row],[Type_tarif]]="Tarif_Astreinte_24_24_7_7",1,0)</f>
        <v>0</v>
      </c>
      <c r="AD143" s="5">
        <f>TabOceanet[[#This Row],[isCalcAstreinte247]]*TabOceanet[[#This Row],[Nb_article]]*Tarif_Astreinte_24_24_7_7</f>
        <v>0</v>
      </c>
      <c r="AE143" s="5">
        <f>IF(TabOceanet[[#This Row],[VM_status]]="PoweredOn",1,0)</f>
        <v>1</v>
      </c>
      <c r="AF143" s="17">
        <f>TabOceanet[[#This Row],[VM_mem]]*Tarif_Ram</f>
        <v>6.4</v>
      </c>
      <c r="AG143" s="5" t="str">
        <f>MID(TabOceanet[[#This Row],[Backup]],29,20)</f>
        <v>J15_1</v>
      </c>
      <c r="AH143" s="25">
        <f>IF(LEFT(TabOceanet[[#This Row],[TypeBAK]],3)="HOR",Tarif_Backup_Horaire*TabOceanet[[#This Row],[VM_disk]],IF(LEFT(TabOceanet[[#This Row],[TypeBAK]],3)="J15",Tarif_Backup_J15*TabOceanet[[#This Row],[VM_disk]],IF(LEFT(TabOceanet[[#This Row],[TypeBAK]],3)="H1_",Tarif_Backup_J15*TabOceanet[[#This Row],[VM_disk]],0)))</f>
        <v>6.44</v>
      </c>
      <c r="AI143" s="17">
        <f>TabOceanet[[#This Row],[VM_disk]]*Tarif_disque</f>
        <v>0</v>
      </c>
      <c r="AJ143"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12.84</v>
      </c>
    </row>
    <row r="144" spans="1:36" hidden="1" x14ac:dyDescent="0.25">
      <c r="A144" t="s">
        <v>90</v>
      </c>
      <c r="B144">
        <v>1</v>
      </c>
      <c r="C144">
        <v>4</v>
      </c>
      <c r="D144">
        <v>20</v>
      </c>
      <c r="E144" t="s">
        <v>423</v>
      </c>
      <c r="G144" t="s">
        <v>1273</v>
      </c>
      <c r="H144" t="s">
        <v>1274</v>
      </c>
      <c r="I144" t="s">
        <v>419</v>
      </c>
      <c r="J144" t="s">
        <v>414</v>
      </c>
      <c r="K144" t="s">
        <v>406</v>
      </c>
      <c r="L144" t="s">
        <v>410</v>
      </c>
      <c r="M144" t="s">
        <v>1322</v>
      </c>
      <c r="N144" t="s">
        <v>412</v>
      </c>
      <c r="O144">
        <v>10006791</v>
      </c>
      <c r="P144" t="s">
        <v>413</v>
      </c>
      <c r="Q144" s="5">
        <f>VLOOKUP(TabOceanet[VM_name],TabVMEnv[],3,FALSE)</f>
        <v>0</v>
      </c>
      <c r="R144" s="5" t="str">
        <f>IF(VLOOKUP(TabOceanet[VM_name],TabVMEnv[],2,FALSE) = "","Non","")</f>
        <v/>
      </c>
      <c r="S144" s="5">
        <f>IF(TabOceanet[[#This Row],[Type_tarif]]="Tarif_VLAN",1,0)</f>
        <v>0</v>
      </c>
      <c r="T144" s="5">
        <f>TabOceanet[[#This Row],[isCalcVlan]]*TabOceanet[[#This Row],[Nb_article]]*Tarif_VLAN</f>
        <v>0</v>
      </c>
      <c r="U144" s="5">
        <f>IF(TabOceanet[[#This Row],[Type_tarif]]="Tarif_IPPUB",1,0)</f>
        <v>0</v>
      </c>
      <c r="V144" s="5">
        <f>TabOceanet[[#This Row],[isCalcIpPub]]*TabOceanet[[#This Row],[Nb_article]]*Tarif_IPPUB</f>
        <v>0</v>
      </c>
      <c r="W144" s="5">
        <f>IF(TabOceanet[[#This Row],[Type_tarif]]="Tarif_DNS",1,0)</f>
        <v>0</v>
      </c>
      <c r="X144" s="5">
        <f>TabOceanet[[#This Row],[isCalcDns]]*TabOceanet[[#This Row],[Nb_article]]*Tarif_DNS</f>
        <v>0</v>
      </c>
      <c r="Y144" s="5">
        <f>IF(TabOceanet[[#This Row],[Type_tarif]]="Tarif_Certificat_X509_Simple",1,0)</f>
        <v>0</v>
      </c>
      <c r="Z144" s="5">
        <f>TabOceanet[[#This Row],[isCalcCertSimple]]*TabOceanet[[#This Row],[Nb_article]]*Tarif_Certificat_X509_Simple</f>
        <v>0</v>
      </c>
      <c r="AA144" s="5">
        <f>IF(TabOceanet[[#This Row],[Type_tarif]]="Tarif_Certificat_X509_Wildcard",1,0)</f>
        <v>0</v>
      </c>
      <c r="AB144" s="5">
        <f>TabOceanet[[#This Row],[isCalcCertWild]]*TabOceanet[[#This Row],[Nb_article]]*Tarif_Certificat_X509_Wildcard</f>
        <v>0</v>
      </c>
      <c r="AC144" s="5">
        <f>IF(TabOceanet[[#This Row],[Type_tarif]]="Tarif_Astreinte_24_24_7_7",1,0)</f>
        <v>0</v>
      </c>
      <c r="AD144" s="5">
        <f>TabOceanet[[#This Row],[isCalcAstreinte247]]*TabOceanet[[#This Row],[Nb_article]]*Tarif_Astreinte_24_24_7_7</f>
        <v>0</v>
      </c>
      <c r="AE144" s="5">
        <f>IF(TabOceanet[[#This Row],[VM_status]]="PoweredOn",1,0)</f>
        <v>1</v>
      </c>
      <c r="AF144" s="17">
        <f>TabOceanet[[#This Row],[VM_mem]]*Tarif_Ram</f>
        <v>6.4</v>
      </c>
      <c r="AG144" s="5" t="str">
        <f>MID(TabOceanet[[#This Row],[Backup]],29,20)</f>
        <v>J15_1</v>
      </c>
      <c r="AH144" s="25">
        <f>IF(LEFT(TabOceanet[[#This Row],[TypeBAK]],3)="HOR",Tarif_Backup_Horaire*TabOceanet[[#This Row],[VM_disk]],IF(LEFT(TabOceanet[[#This Row],[TypeBAK]],3)="J15",Tarif_Backup_J15*TabOceanet[[#This Row],[VM_disk]],IF(LEFT(TabOceanet[[#This Row],[TypeBAK]],3)="H1_",Tarif_Backup_J15*TabOceanet[[#This Row],[VM_disk]],0)))</f>
        <v>4.6000000000000005</v>
      </c>
      <c r="AI144" s="17">
        <f>TabOceanet[[#This Row],[VM_disk]]*Tarif_disque</f>
        <v>0</v>
      </c>
      <c r="AJ144"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11</v>
      </c>
    </row>
    <row r="145" spans="1:36" hidden="1" x14ac:dyDescent="0.25">
      <c r="A145" t="s">
        <v>82</v>
      </c>
      <c r="B145">
        <v>2</v>
      </c>
      <c r="C145">
        <v>4</v>
      </c>
      <c r="D145">
        <v>107</v>
      </c>
      <c r="E145" t="s">
        <v>426</v>
      </c>
      <c r="G145" t="s">
        <v>1273</v>
      </c>
      <c r="H145" t="s">
        <v>1274</v>
      </c>
      <c r="I145" t="s">
        <v>419</v>
      </c>
      <c r="J145" t="s">
        <v>414</v>
      </c>
      <c r="K145" t="s">
        <v>406</v>
      </c>
      <c r="L145" t="s">
        <v>410</v>
      </c>
      <c r="M145" t="s">
        <v>1322</v>
      </c>
      <c r="N145" t="s">
        <v>412</v>
      </c>
      <c r="O145">
        <v>10006791</v>
      </c>
      <c r="P145" t="s">
        <v>413</v>
      </c>
      <c r="Q145" s="5">
        <f>VLOOKUP(TabOceanet[VM_name],TabVMEnv[],3,FALSE)</f>
        <v>0</v>
      </c>
      <c r="R145" s="5" t="str">
        <f>IF(VLOOKUP(TabOceanet[VM_name],TabVMEnv[],2,FALSE) = "","Non","")</f>
        <v/>
      </c>
      <c r="S145" s="5">
        <f>IF(TabOceanet[[#This Row],[Type_tarif]]="Tarif_VLAN",1,0)</f>
        <v>0</v>
      </c>
      <c r="T145" s="5">
        <f>TabOceanet[[#This Row],[isCalcVlan]]*TabOceanet[[#This Row],[Nb_article]]*Tarif_VLAN</f>
        <v>0</v>
      </c>
      <c r="U145" s="5">
        <f>IF(TabOceanet[[#This Row],[Type_tarif]]="Tarif_IPPUB",1,0)</f>
        <v>0</v>
      </c>
      <c r="V145" s="5">
        <f>TabOceanet[[#This Row],[isCalcIpPub]]*TabOceanet[[#This Row],[Nb_article]]*Tarif_IPPUB</f>
        <v>0</v>
      </c>
      <c r="W145" s="5">
        <f>IF(TabOceanet[[#This Row],[Type_tarif]]="Tarif_DNS",1,0)</f>
        <v>0</v>
      </c>
      <c r="X145" s="5">
        <f>TabOceanet[[#This Row],[isCalcDns]]*TabOceanet[[#This Row],[Nb_article]]*Tarif_DNS</f>
        <v>0</v>
      </c>
      <c r="Y145" s="5">
        <f>IF(TabOceanet[[#This Row],[Type_tarif]]="Tarif_Certificat_X509_Simple",1,0)</f>
        <v>0</v>
      </c>
      <c r="Z145" s="5">
        <f>TabOceanet[[#This Row],[isCalcCertSimple]]*TabOceanet[[#This Row],[Nb_article]]*Tarif_Certificat_X509_Simple</f>
        <v>0</v>
      </c>
      <c r="AA145" s="5">
        <f>IF(TabOceanet[[#This Row],[Type_tarif]]="Tarif_Certificat_X509_Wildcard",1,0)</f>
        <v>0</v>
      </c>
      <c r="AB145" s="5">
        <f>TabOceanet[[#This Row],[isCalcCertWild]]*TabOceanet[[#This Row],[Nb_article]]*Tarif_Certificat_X509_Wildcard</f>
        <v>0</v>
      </c>
      <c r="AC145" s="5">
        <f>IF(TabOceanet[[#This Row],[Type_tarif]]="Tarif_Astreinte_24_24_7_7",1,0)</f>
        <v>0</v>
      </c>
      <c r="AD145" s="5">
        <f>TabOceanet[[#This Row],[isCalcAstreinte247]]*TabOceanet[[#This Row],[Nb_article]]*Tarif_Astreinte_24_24_7_7</f>
        <v>0</v>
      </c>
      <c r="AE145" s="5">
        <f>IF(TabOceanet[[#This Row],[VM_status]]="PoweredOn",1,0)</f>
        <v>1</v>
      </c>
      <c r="AF145" s="17">
        <f>TabOceanet[[#This Row],[VM_mem]]*Tarif_Ram</f>
        <v>6.4</v>
      </c>
      <c r="AG145" s="5" t="str">
        <f>MID(TabOceanet[[#This Row],[Backup]],29,20)</f>
        <v>J15_1</v>
      </c>
      <c r="AH145" s="25">
        <f>IF(LEFT(TabOceanet[[#This Row],[TypeBAK]],3)="HOR",Tarif_Backup_Horaire*TabOceanet[[#This Row],[VM_disk]],IF(LEFT(TabOceanet[[#This Row],[TypeBAK]],3)="J15",Tarif_Backup_J15*TabOceanet[[#This Row],[VM_disk]],IF(LEFT(TabOceanet[[#This Row],[TypeBAK]],3)="H1_",Tarif_Backup_J15*TabOceanet[[#This Row],[VM_disk]],0)))</f>
        <v>24.61</v>
      </c>
      <c r="AI145" s="17">
        <f>TabOceanet[[#This Row],[VM_disk]]*Tarif_disque</f>
        <v>0</v>
      </c>
      <c r="AJ145"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31.009999999999998</v>
      </c>
    </row>
    <row r="146" spans="1:36" hidden="1" x14ac:dyDescent="0.25">
      <c r="A146" t="s">
        <v>83</v>
      </c>
      <c r="B146">
        <v>2</v>
      </c>
      <c r="C146">
        <v>4</v>
      </c>
      <c r="D146">
        <v>12</v>
      </c>
      <c r="E146" t="s">
        <v>426</v>
      </c>
      <c r="G146" t="s">
        <v>1275</v>
      </c>
      <c r="H146" t="s">
        <v>1274</v>
      </c>
      <c r="I146" t="s">
        <v>419</v>
      </c>
      <c r="J146" t="s">
        <v>414</v>
      </c>
      <c r="K146" t="s">
        <v>406</v>
      </c>
      <c r="L146" t="s">
        <v>410</v>
      </c>
      <c r="M146" t="s">
        <v>1322</v>
      </c>
      <c r="N146" t="s">
        <v>412</v>
      </c>
      <c r="O146">
        <v>10006791</v>
      </c>
      <c r="P146" t="s">
        <v>413</v>
      </c>
      <c r="Q146" s="5">
        <f>VLOOKUP(TabOceanet[VM_name],TabVMEnv[],3,FALSE)</f>
        <v>0</v>
      </c>
      <c r="R146" s="5" t="str">
        <f>IF(VLOOKUP(TabOceanet[VM_name],TabVMEnv[],2,FALSE) = "","Non","")</f>
        <v/>
      </c>
      <c r="S146" s="5">
        <f>IF(TabOceanet[[#This Row],[Type_tarif]]="Tarif_VLAN",1,0)</f>
        <v>0</v>
      </c>
      <c r="T146" s="5">
        <f>TabOceanet[[#This Row],[isCalcVlan]]*TabOceanet[[#This Row],[Nb_article]]*Tarif_VLAN</f>
        <v>0</v>
      </c>
      <c r="U146" s="5">
        <f>IF(TabOceanet[[#This Row],[Type_tarif]]="Tarif_IPPUB",1,0)</f>
        <v>0</v>
      </c>
      <c r="V146" s="5">
        <f>TabOceanet[[#This Row],[isCalcIpPub]]*TabOceanet[[#This Row],[Nb_article]]*Tarif_IPPUB</f>
        <v>0</v>
      </c>
      <c r="W146" s="5">
        <f>IF(TabOceanet[[#This Row],[Type_tarif]]="Tarif_DNS",1,0)</f>
        <v>0</v>
      </c>
      <c r="X146" s="5">
        <f>TabOceanet[[#This Row],[isCalcDns]]*TabOceanet[[#This Row],[Nb_article]]*Tarif_DNS</f>
        <v>0</v>
      </c>
      <c r="Y146" s="5">
        <f>IF(TabOceanet[[#This Row],[Type_tarif]]="Tarif_Certificat_X509_Simple",1,0)</f>
        <v>0</v>
      </c>
      <c r="Z146" s="5">
        <f>TabOceanet[[#This Row],[isCalcCertSimple]]*TabOceanet[[#This Row],[Nb_article]]*Tarif_Certificat_X509_Simple</f>
        <v>0</v>
      </c>
      <c r="AA146" s="5">
        <f>IF(TabOceanet[[#This Row],[Type_tarif]]="Tarif_Certificat_X509_Wildcard",1,0)</f>
        <v>0</v>
      </c>
      <c r="AB146" s="5">
        <f>TabOceanet[[#This Row],[isCalcCertWild]]*TabOceanet[[#This Row],[Nb_article]]*Tarif_Certificat_X509_Wildcard</f>
        <v>0</v>
      </c>
      <c r="AC146" s="5">
        <f>IF(TabOceanet[[#This Row],[Type_tarif]]="Tarif_Astreinte_24_24_7_7",1,0)</f>
        <v>0</v>
      </c>
      <c r="AD146" s="5">
        <f>TabOceanet[[#This Row],[isCalcAstreinte247]]*TabOceanet[[#This Row],[Nb_article]]*Tarif_Astreinte_24_24_7_7</f>
        <v>0</v>
      </c>
      <c r="AE146" s="5">
        <f>IF(TabOceanet[[#This Row],[VM_status]]="PoweredOn",1,0)</f>
        <v>1</v>
      </c>
      <c r="AF146" s="17">
        <f>TabOceanet[[#This Row],[VM_mem]]*Tarif_Ram</f>
        <v>6.4</v>
      </c>
      <c r="AG146" s="5" t="str">
        <f>MID(TabOceanet[[#This Row],[Backup]],29,20)</f>
        <v>J15_1</v>
      </c>
      <c r="AH146" s="25">
        <f>IF(LEFT(TabOceanet[[#This Row],[TypeBAK]],3)="HOR",Tarif_Backup_Horaire*TabOceanet[[#This Row],[VM_disk]],IF(LEFT(TabOceanet[[#This Row],[TypeBAK]],3)="J15",Tarif_Backup_J15*TabOceanet[[#This Row],[VM_disk]],IF(LEFT(TabOceanet[[#This Row],[TypeBAK]],3)="H1_",Tarif_Backup_J15*TabOceanet[[#This Row],[VM_disk]],0)))</f>
        <v>2.7600000000000002</v>
      </c>
      <c r="AI146" s="17">
        <f>TabOceanet[[#This Row],[VM_disk]]*Tarif_disque</f>
        <v>0</v>
      </c>
      <c r="AJ146"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9.16</v>
      </c>
    </row>
    <row r="147" spans="1:36" hidden="1" x14ac:dyDescent="0.25">
      <c r="A147" t="s">
        <v>84</v>
      </c>
      <c r="B147">
        <v>2</v>
      </c>
      <c r="C147">
        <v>4</v>
      </c>
      <c r="D147">
        <v>12</v>
      </c>
      <c r="E147" t="s">
        <v>426</v>
      </c>
      <c r="G147" t="s">
        <v>1275</v>
      </c>
      <c r="H147" t="s">
        <v>1274</v>
      </c>
      <c r="I147" t="s">
        <v>419</v>
      </c>
      <c r="J147" t="s">
        <v>414</v>
      </c>
      <c r="K147" t="s">
        <v>406</v>
      </c>
      <c r="L147" t="s">
        <v>410</v>
      </c>
      <c r="M147" t="s">
        <v>1322</v>
      </c>
      <c r="N147" t="s">
        <v>412</v>
      </c>
      <c r="O147">
        <v>10006791</v>
      </c>
      <c r="P147" t="s">
        <v>413</v>
      </c>
      <c r="Q147" s="5">
        <f>VLOOKUP(TabOceanet[VM_name],TabVMEnv[],3,FALSE)</f>
        <v>0</v>
      </c>
      <c r="R147" s="5" t="str">
        <f>IF(VLOOKUP(TabOceanet[VM_name],TabVMEnv[],2,FALSE) = "","Non","")</f>
        <v/>
      </c>
      <c r="S147" s="5">
        <f>IF(TabOceanet[[#This Row],[Type_tarif]]="Tarif_VLAN",1,0)</f>
        <v>0</v>
      </c>
      <c r="T147" s="5">
        <f>TabOceanet[[#This Row],[isCalcVlan]]*TabOceanet[[#This Row],[Nb_article]]*Tarif_VLAN</f>
        <v>0</v>
      </c>
      <c r="U147" s="5">
        <f>IF(TabOceanet[[#This Row],[Type_tarif]]="Tarif_IPPUB",1,0)</f>
        <v>0</v>
      </c>
      <c r="V147" s="5">
        <f>TabOceanet[[#This Row],[isCalcIpPub]]*TabOceanet[[#This Row],[Nb_article]]*Tarif_IPPUB</f>
        <v>0</v>
      </c>
      <c r="W147" s="5">
        <f>IF(TabOceanet[[#This Row],[Type_tarif]]="Tarif_DNS",1,0)</f>
        <v>0</v>
      </c>
      <c r="X147" s="5">
        <f>TabOceanet[[#This Row],[isCalcDns]]*TabOceanet[[#This Row],[Nb_article]]*Tarif_DNS</f>
        <v>0</v>
      </c>
      <c r="Y147" s="5">
        <f>IF(TabOceanet[[#This Row],[Type_tarif]]="Tarif_Certificat_X509_Simple",1,0)</f>
        <v>0</v>
      </c>
      <c r="Z147" s="5">
        <f>TabOceanet[[#This Row],[isCalcCertSimple]]*TabOceanet[[#This Row],[Nb_article]]*Tarif_Certificat_X509_Simple</f>
        <v>0</v>
      </c>
      <c r="AA147" s="5">
        <f>IF(TabOceanet[[#This Row],[Type_tarif]]="Tarif_Certificat_X509_Wildcard",1,0)</f>
        <v>0</v>
      </c>
      <c r="AB147" s="5">
        <f>TabOceanet[[#This Row],[isCalcCertWild]]*TabOceanet[[#This Row],[Nb_article]]*Tarif_Certificat_X509_Wildcard</f>
        <v>0</v>
      </c>
      <c r="AC147" s="5">
        <f>IF(TabOceanet[[#This Row],[Type_tarif]]="Tarif_Astreinte_24_24_7_7",1,0)</f>
        <v>0</v>
      </c>
      <c r="AD147" s="5">
        <f>TabOceanet[[#This Row],[isCalcAstreinte247]]*TabOceanet[[#This Row],[Nb_article]]*Tarif_Astreinte_24_24_7_7</f>
        <v>0</v>
      </c>
      <c r="AE147" s="5">
        <f>IF(TabOceanet[[#This Row],[VM_status]]="PoweredOn",1,0)</f>
        <v>1</v>
      </c>
      <c r="AF147" s="17">
        <f>TabOceanet[[#This Row],[VM_mem]]*Tarif_Ram</f>
        <v>6.4</v>
      </c>
      <c r="AG147" s="5" t="str">
        <f>MID(TabOceanet[[#This Row],[Backup]],29,20)</f>
        <v>J15_1</v>
      </c>
      <c r="AH147" s="25">
        <f>IF(LEFT(TabOceanet[[#This Row],[TypeBAK]],3)="HOR",Tarif_Backup_Horaire*TabOceanet[[#This Row],[VM_disk]],IF(LEFT(TabOceanet[[#This Row],[TypeBAK]],3)="J15",Tarif_Backup_J15*TabOceanet[[#This Row],[VM_disk]],IF(LEFT(TabOceanet[[#This Row],[TypeBAK]],3)="H1_",Tarif_Backup_J15*TabOceanet[[#This Row],[VM_disk]],0)))</f>
        <v>2.7600000000000002</v>
      </c>
      <c r="AI147" s="17">
        <f>TabOceanet[[#This Row],[VM_disk]]*Tarif_disque</f>
        <v>0</v>
      </c>
      <c r="AJ147"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9.16</v>
      </c>
    </row>
    <row r="148" spans="1:36" hidden="1" x14ac:dyDescent="0.25">
      <c r="A148" t="s">
        <v>125</v>
      </c>
      <c r="B148">
        <v>2</v>
      </c>
      <c r="C148">
        <v>4</v>
      </c>
      <c r="D148">
        <v>16</v>
      </c>
      <c r="E148" t="s">
        <v>426</v>
      </c>
      <c r="G148" t="s">
        <v>1273</v>
      </c>
      <c r="H148" t="s">
        <v>1274</v>
      </c>
      <c r="I148" t="s">
        <v>419</v>
      </c>
      <c r="J148" t="s">
        <v>414</v>
      </c>
      <c r="K148" t="s">
        <v>406</v>
      </c>
      <c r="L148" t="s">
        <v>410</v>
      </c>
      <c r="M148" t="s">
        <v>1322</v>
      </c>
      <c r="N148" t="s">
        <v>412</v>
      </c>
      <c r="O148">
        <v>10006791</v>
      </c>
      <c r="P148" t="s">
        <v>413</v>
      </c>
      <c r="Q148" s="5">
        <f>VLOOKUP(TabOceanet[VM_name],TabVMEnv[],3,FALSE)</f>
        <v>0</v>
      </c>
      <c r="R148" s="5" t="str">
        <f>IF(VLOOKUP(TabOceanet[VM_name],TabVMEnv[],2,FALSE) = "","Non","")</f>
        <v/>
      </c>
      <c r="S148" s="5">
        <f>IF(TabOceanet[[#This Row],[Type_tarif]]="Tarif_VLAN",1,0)</f>
        <v>0</v>
      </c>
      <c r="T148" s="5">
        <f>TabOceanet[[#This Row],[isCalcVlan]]*TabOceanet[[#This Row],[Nb_article]]*Tarif_VLAN</f>
        <v>0</v>
      </c>
      <c r="U148" s="5">
        <f>IF(TabOceanet[[#This Row],[Type_tarif]]="Tarif_IPPUB",1,0)</f>
        <v>0</v>
      </c>
      <c r="V148" s="5">
        <f>TabOceanet[[#This Row],[isCalcIpPub]]*TabOceanet[[#This Row],[Nb_article]]*Tarif_IPPUB</f>
        <v>0</v>
      </c>
      <c r="W148" s="5">
        <f>IF(TabOceanet[[#This Row],[Type_tarif]]="Tarif_DNS",1,0)</f>
        <v>0</v>
      </c>
      <c r="X148" s="5">
        <f>TabOceanet[[#This Row],[isCalcDns]]*TabOceanet[[#This Row],[Nb_article]]*Tarif_DNS</f>
        <v>0</v>
      </c>
      <c r="Y148" s="5">
        <f>IF(TabOceanet[[#This Row],[Type_tarif]]="Tarif_Certificat_X509_Simple",1,0)</f>
        <v>0</v>
      </c>
      <c r="Z148" s="5">
        <f>TabOceanet[[#This Row],[isCalcCertSimple]]*TabOceanet[[#This Row],[Nb_article]]*Tarif_Certificat_X509_Simple</f>
        <v>0</v>
      </c>
      <c r="AA148" s="5">
        <f>IF(TabOceanet[[#This Row],[Type_tarif]]="Tarif_Certificat_X509_Wildcard",1,0)</f>
        <v>0</v>
      </c>
      <c r="AB148" s="5">
        <f>TabOceanet[[#This Row],[isCalcCertWild]]*TabOceanet[[#This Row],[Nb_article]]*Tarif_Certificat_X509_Wildcard</f>
        <v>0</v>
      </c>
      <c r="AC148" s="5">
        <f>IF(TabOceanet[[#This Row],[Type_tarif]]="Tarif_Astreinte_24_24_7_7",1,0)</f>
        <v>0</v>
      </c>
      <c r="AD148" s="5">
        <f>TabOceanet[[#This Row],[isCalcAstreinte247]]*TabOceanet[[#This Row],[Nb_article]]*Tarif_Astreinte_24_24_7_7</f>
        <v>0</v>
      </c>
      <c r="AE148" s="5">
        <f>IF(TabOceanet[[#This Row],[VM_status]]="PoweredOn",1,0)</f>
        <v>1</v>
      </c>
      <c r="AF148" s="17">
        <f>TabOceanet[[#This Row],[VM_mem]]*Tarif_Ram</f>
        <v>6.4</v>
      </c>
      <c r="AG148" s="5" t="str">
        <f>MID(TabOceanet[[#This Row],[Backup]],29,20)</f>
        <v>J15_1</v>
      </c>
      <c r="AH148" s="25">
        <f>IF(LEFT(TabOceanet[[#This Row],[TypeBAK]],3)="HOR",Tarif_Backup_Horaire*TabOceanet[[#This Row],[VM_disk]],IF(LEFT(TabOceanet[[#This Row],[TypeBAK]],3)="J15",Tarif_Backup_J15*TabOceanet[[#This Row],[VM_disk]],IF(LEFT(TabOceanet[[#This Row],[TypeBAK]],3)="H1_",Tarif_Backup_J15*TabOceanet[[#This Row],[VM_disk]],0)))</f>
        <v>3.68</v>
      </c>
      <c r="AI148" s="17">
        <f>TabOceanet[[#This Row],[VM_disk]]*Tarif_disque</f>
        <v>0</v>
      </c>
      <c r="AJ148"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10.08</v>
      </c>
    </row>
    <row r="149" spans="1:36" hidden="1" x14ac:dyDescent="0.25">
      <c r="A149" t="s">
        <v>126</v>
      </c>
      <c r="B149">
        <v>2</v>
      </c>
      <c r="C149">
        <v>4</v>
      </c>
      <c r="D149">
        <v>21</v>
      </c>
      <c r="E149" t="s">
        <v>426</v>
      </c>
      <c r="G149" t="s">
        <v>1275</v>
      </c>
      <c r="H149" t="s">
        <v>1274</v>
      </c>
      <c r="I149" t="s">
        <v>419</v>
      </c>
      <c r="J149" t="s">
        <v>414</v>
      </c>
      <c r="K149" t="s">
        <v>406</v>
      </c>
      <c r="L149" t="s">
        <v>410</v>
      </c>
      <c r="M149" t="s">
        <v>1322</v>
      </c>
      <c r="N149" t="s">
        <v>412</v>
      </c>
      <c r="O149">
        <v>10006791</v>
      </c>
      <c r="P149" t="s">
        <v>413</v>
      </c>
      <c r="Q149" s="5">
        <f>VLOOKUP(TabOceanet[VM_name],TabVMEnv[],3,FALSE)</f>
        <v>0</v>
      </c>
      <c r="R149" s="5" t="str">
        <f>IF(VLOOKUP(TabOceanet[VM_name],TabVMEnv[],2,FALSE) = "","Non","")</f>
        <v/>
      </c>
      <c r="S149" s="5">
        <f>IF(TabOceanet[[#This Row],[Type_tarif]]="Tarif_VLAN",1,0)</f>
        <v>0</v>
      </c>
      <c r="T149" s="5">
        <f>TabOceanet[[#This Row],[isCalcVlan]]*TabOceanet[[#This Row],[Nb_article]]*Tarif_VLAN</f>
        <v>0</v>
      </c>
      <c r="U149" s="5">
        <f>IF(TabOceanet[[#This Row],[Type_tarif]]="Tarif_IPPUB",1,0)</f>
        <v>0</v>
      </c>
      <c r="V149" s="5">
        <f>TabOceanet[[#This Row],[isCalcIpPub]]*TabOceanet[[#This Row],[Nb_article]]*Tarif_IPPUB</f>
        <v>0</v>
      </c>
      <c r="W149" s="5">
        <f>IF(TabOceanet[[#This Row],[Type_tarif]]="Tarif_DNS",1,0)</f>
        <v>0</v>
      </c>
      <c r="X149" s="5">
        <f>TabOceanet[[#This Row],[isCalcDns]]*TabOceanet[[#This Row],[Nb_article]]*Tarif_DNS</f>
        <v>0</v>
      </c>
      <c r="Y149" s="5">
        <f>IF(TabOceanet[[#This Row],[Type_tarif]]="Tarif_Certificat_X509_Simple",1,0)</f>
        <v>0</v>
      </c>
      <c r="Z149" s="5">
        <f>TabOceanet[[#This Row],[isCalcCertSimple]]*TabOceanet[[#This Row],[Nb_article]]*Tarif_Certificat_X509_Simple</f>
        <v>0</v>
      </c>
      <c r="AA149" s="5">
        <f>IF(TabOceanet[[#This Row],[Type_tarif]]="Tarif_Certificat_X509_Wildcard",1,0)</f>
        <v>0</v>
      </c>
      <c r="AB149" s="5">
        <f>TabOceanet[[#This Row],[isCalcCertWild]]*TabOceanet[[#This Row],[Nb_article]]*Tarif_Certificat_X509_Wildcard</f>
        <v>0</v>
      </c>
      <c r="AC149" s="5">
        <f>IF(TabOceanet[[#This Row],[Type_tarif]]="Tarif_Astreinte_24_24_7_7",1,0)</f>
        <v>0</v>
      </c>
      <c r="AD149" s="5">
        <f>TabOceanet[[#This Row],[isCalcAstreinte247]]*TabOceanet[[#This Row],[Nb_article]]*Tarif_Astreinte_24_24_7_7</f>
        <v>0</v>
      </c>
      <c r="AE149" s="5">
        <f>IF(TabOceanet[[#This Row],[VM_status]]="PoweredOn",1,0)</f>
        <v>1</v>
      </c>
      <c r="AF149" s="17">
        <f>TabOceanet[[#This Row],[VM_mem]]*Tarif_Ram</f>
        <v>6.4</v>
      </c>
      <c r="AG149" s="5" t="str">
        <f>MID(TabOceanet[[#This Row],[Backup]],29,20)</f>
        <v>J15_1</v>
      </c>
      <c r="AH149" s="25">
        <f>IF(LEFT(TabOceanet[[#This Row],[TypeBAK]],3)="HOR",Tarif_Backup_Horaire*TabOceanet[[#This Row],[VM_disk]],IF(LEFT(TabOceanet[[#This Row],[TypeBAK]],3)="J15",Tarif_Backup_J15*TabOceanet[[#This Row],[VM_disk]],IF(LEFT(TabOceanet[[#This Row],[TypeBAK]],3)="H1_",Tarif_Backup_J15*TabOceanet[[#This Row],[VM_disk]],0)))</f>
        <v>4.83</v>
      </c>
      <c r="AI149" s="17">
        <f>TabOceanet[[#This Row],[VM_disk]]*Tarif_disque</f>
        <v>0</v>
      </c>
      <c r="AJ149"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11.23</v>
      </c>
    </row>
    <row r="150" spans="1:36" hidden="1" x14ac:dyDescent="0.25">
      <c r="A150" t="s">
        <v>91</v>
      </c>
      <c r="B150">
        <v>2</v>
      </c>
      <c r="C150">
        <v>4</v>
      </c>
      <c r="D150">
        <v>16</v>
      </c>
      <c r="E150" t="s">
        <v>426</v>
      </c>
      <c r="G150" t="s">
        <v>1275</v>
      </c>
      <c r="H150" t="s">
        <v>1274</v>
      </c>
      <c r="I150" t="s">
        <v>419</v>
      </c>
      <c r="J150" t="s">
        <v>414</v>
      </c>
      <c r="K150" t="s">
        <v>406</v>
      </c>
      <c r="L150" t="s">
        <v>410</v>
      </c>
      <c r="M150" t="s">
        <v>1322</v>
      </c>
      <c r="N150" t="s">
        <v>412</v>
      </c>
      <c r="O150">
        <v>10006791</v>
      </c>
      <c r="P150" t="s">
        <v>413</v>
      </c>
      <c r="Q150" s="5">
        <f>VLOOKUP(TabOceanet[VM_name],TabVMEnv[],3,FALSE)</f>
        <v>0</v>
      </c>
      <c r="R150" s="5" t="str">
        <f>IF(VLOOKUP(TabOceanet[VM_name],TabVMEnv[],2,FALSE) = "","Non","")</f>
        <v/>
      </c>
      <c r="S150" s="5">
        <f>IF(TabOceanet[[#This Row],[Type_tarif]]="Tarif_VLAN",1,0)</f>
        <v>0</v>
      </c>
      <c r="T150" s="5">
        <f>TabOceanet[[#This Row],[isCalcVlan]]*TabOceanet[[#This Row],[Nb_article]]*Tarif_VLAN</f>
        <v>0</v>
      </c>
      <c r="U150" s="5">
        <f>IF(TabOceanet[[#This Row],[Type_tarif]]="Tarif_IPPUB",1,0)</f>
        <v>0</v>
      </c>
      <c r="V150" s="5">
        <f>TabOceanet[[#This Row],[isCalcIpPub]]*TabOceanet[[#This Row],[Nb_article]]*Tarif_IPPUB</f>
        <v>0</v>
      </c>
      <c r="W150" s="5">
        <f>IF(TabOceanet[[#This Row],[Type_tarif]]="Tarif_DNS",1,0)</f>
        <v>0</v>
      </c>
      <c r="X150" s="5">
        <f>TabOceanet[[#This Row],[isCalcDns]]*TabOceanet[[#This Row],[Nb_article]]*Tarif_DNS</f>
        <v>0</v>
      </c>
      <c r="Y150" s="5">
        <f>IF(TabOceanet[[#This Row],[Type_tarif]]="Tarif_Certificat_X509_Simple",1,0)</f>
        <v>0</v>
      </c>
      <c r="Z150" s="5">
        <f>TabOceanet[[#This Row],[isCalcCertSimple]]*TabOceanet[[#This Row],[Nb_article]]*Tarif_Certificat_X509_Simple</f>
        <v>0</v>
      </c>
      <c r="AA150" s="5">
        <f>IF(TabOceanet[[#This Row],[Type_tarif]]="Tarif_Certificat_X509_Wildcard",1,0)</f>
        <v>0</v>
      </c>
      <c r="AB150" s="5">
        <f>TabOceanet[[#This Row],[isCalcCertWild]]*TabOceanet[[#This Row],[Nb_article]]*Tarif_Certificat_X509_Wildcard</f>
        <v>0</v>
      </c>
      <c r="AC150" s="5">
        <f>IF(TabOceanet[[#This Row],[Type_tarif]]="Tarif_Astreinte_24_24_7_7",1,0)</f>
        <v>0</v>
      </c>
      <c r="AD150" s="5">
        <f>TabOceanet[[#This Row],[isCalcAstreinte247]]*TabOceanet[[#This Row],[Nb_article]]*Tarif_Astreinte_24_24_7_7</f>
        <v>0</v>
      </c>
      <c r="AE150" s="5">
        <f>IF(TabOceanet[[#This Row],[VM_status]]="PoweredOn",1,0)</f>
        <v>1</v>
      </c>
      <c r="AF150" s="17">
        <f>TabOceanet[[#This Row],[VM_mem]]*Tarif_Ram</f>
        <v>6.4</v>
      </c>
      <c r="AG150" s="5" t="str">
        <f>MID(TabOceanet[[#This Row],[Backup]],29,20)</f>
        <v>J15_1</v>
      </c>
      <c r="AH150" s="25">
        <f>IF(LEFT(TabOceanet[[#This Row],[TypeBAK]],3)="HOR",Tarif_Backup_Horaire*TabOceanet[[#This Row],[VM_disk]],IF(LEFT(TabOceanet[[#This Row],[TypeBAK]],3)="J15",Tarif_Backup_J15*TabOceanet[[#This Row],[VM_disk]],IF(LEFT(TabOceanet[[#This Row],[TypeBAK]],3)="H1_",Tarif_Backup_J15*TabOceanet[[#This Row],[VM_disk]],0)))</f>
        <v>3.68</v>
      </c>
      <c r="AI150" s="17">
        <f>TabOceanet[[#This Row],[VM_disk]]*Tarif_disque</f>
        <v>0</v>
      </c>
      <c r="AJ150"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10.08</v>
      </c>
    </row>
    <row r="151" spans="1:36" hidden="1" x14ac:dyDescent="0.25">
      <c r="A151" t="s">
        <v>92</v>
      </c>
      <c r="B151">
        <v>2</v>
      </c>
      <c r="C151">
        <v>4</v>
      </c>
      <c r="D151">
        <v>16</v>
      </c>
      <c r="E151" t="s">
        <v>426</v>
      </c>
      <c r="G151" t="s">
        <v>1273</v>
      </c>
      <c r="H151" t="s">
        <v>1274</v>
      </c>
      <c r="I151" t="s">
        <v>419</v>
      </c>
      <c r="J151" t="s">
        <v>414</v>
      </c>
      <c r="K151" t="s">
        <v>406</v>
      </c>
      <c r="L151" t="s">
        <v>410</v>
      </c>
      <c r="M151" t="s">
        <v>1322</v>
      </c>
      <c r="N151" t="s">
        <v>412</v>
      </c>
      <c r="O151">
        <v>10006791</v>
      </c>
      <c r="P151" t="s">
        <v>413</v>
      </c>
      <c r="Q151" s="5">
        <f>VLOOKUP(TabOceanet[VM_name],TabVMEnv[],3,FALSE)</f>
        <v>0</v>
      </c>
      <c r="R151" s="5" t="str">
        <f>IF(VLOOKUP(TabOceanet[VM_name],TabVMEnv[],2,FALSE) = "","Non","")</f>
        <v/>
      </c>
      <c r="S151" s="5">
        <f>IF(TabOceanet[[#This Row],[Type_tarif]]="Tarif_VLAN",1,0)</f>
        <v>0</v>
      </c>
      <c r="T151" s="5">
        <f>TabOceanet[[#This Row],[isCalcVlan]]*TabOceanet[[#This Row],[Nb_article]]*Tarif_VLAN</f>
        <v>0</v>
      </c>
      <c r="U151" s="5">
        <f>IF(TabOceanet[[#This Row],[Type_tarif]]="Tarif_IPPUB",1,0)</f>
        <v>0</v>
      </c>
      <c r="V151" s="5">
        <f>TabOceanet[[#This Row],[isCalcIpPub]]*TabOceanet[[#This Row],[Nb_article]]*Tarif_IPPUB</f>
        <v>0</v>
      </c>
      <c r="W151" s="5">
        <f>IF(TabOceanet[[#This Row],[Type_tarif]]="Tarif_DNS",1,0)</f>
        <v>0</v>
      </c>
      <c r="X151" s="5">
        <f>TabOceanet[[#This Row],[isCalcDns]]*TabOceanet[[#This Row],[Nb_article]]*Tarif_DNS</f>
        <v>0</v>
      </c>
      <c r="Y151" s="5">
        <f>IF(TabOceanet[[#This Row],[Type_tarif]]="Tarif_Certificat_X509_Simple",1,0)</f>
        <v>0</v>
      </c>
      <c r="Z151" s="5">
        <f>TabOceanet[[#This Row],[isCalcCertSimple]]*TabOceanet[[#This Row],[Nb_article]]*Tarif_Certificat_X509_Simple</f>
        <v>0</v>
      </c>
      <c r="AA151" s="5">
        <f>IF(TabOceanet[[#This Row],[Type_tarif]]="Tarif_Certificat_X509_Wildcard",1,0)</f>
        <v>0</v>
      </c>
      <c r="AB151" s="5">
        <f>TabOceanet[[#This Row],[isCalcCertWild]]*TabOceanet[[#This Row],[Nb_article]]*Tarif_Certificat_X509_Wildcard</f>
        <v>0</v>
      </c>
      <c r="AC151" s="5">
        <f>IF(TabOceanet[[#This Row],[Type_tarif]]="Tarif_Astreinte_24_24_7_7",1,0)</f>
        <v>0</v>
      </c>
      <c r="AD151" s="5">
        <f>TabOceanet[[#This Row],[isCalcAstreinte247]]*TabOceanet[[#This Row],[Nb_article]]*Tarif_Astreinte_24_24_7_7</f>
        <v>0</v>
      </c>
      <c r="AE151" s="5">
        <f>IF(TabOceanet[[#This Row],[VM_status]]="PoweredOn",1,0)</f>
        <v>1</v>
      </c>
      <c r="AF151" s="17">
        <f>TabOceanet[[#This Row],[VM_mem]]*Tarif_Ram</f>
        <v>6.4</v>
      </c>
      <c r="AG151" s="5" t="str">
        <f>MID(TabOceanet[[#This Row],[Backup]],29,20)</f>
        <v>J15_1</v>
      </c>
      <c r="AH151" s="25">
        <f>IF(LEFT(TabOceanet[[#This Row],[TypeBAK]],3)="HOR",Tarif_Backup_Horaire*TabOceanet[[#This Row],[VM_disk]],IF(LEFT(TabOceanet[[#This Row],[TypeBAK]],3)="J15",Tarif_Backup_J15*TabOceanet[[#This Row],[VM_disk]],IF(LEFT(TabOceanet[[#This Row],[TypeBAK]],3)="H1_",Tarif_Backup_J15*TabOceanet[[#This Row],[VM_disk]],0)))</f>
        <v>3.68</v>
      </c>
      <c r="AI151" s="17">
        <f>TabOceanet[[#This Row],[VM_disk]]*Tarif_disque</f>
        <v>0</v>
      </c>
      <c r="AJ151"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10.08</v>
      </c>
    </row>
    <row r="152" spans="1:36" hidden="1" x14ac:dyDescent="0.25">
      <c r="A152" t="s">
        <v>93</v>
      </c>
      <c r="B152">
        <v>2</v>
      </c>
      <c r="C152">
        <v>4</v>
      </c>
      <c r="D152">
        <v>16</v>
      </c>
      <c r="E152" t="s">
        <v>426</v>
      </c>
      <c r="G152" t="s">
        <v>1275</v>
      </c>
      <c r="H152" t="s">
        <v>1300</v>
      </c>
      <c r="I152" t="s">
        <v>436</v>
      </c>
      <c r="K152" t="s">
        <v>406</v>
      </c>
      <c r="L152" t="s">
        <v>410</v>
      </c>
      <c r="M152" t="s">
        <v>1322</v>
      </c>
      <c r="N152" t="s">
        <v>412</v>
      </c>
      <c r="O152">
        <v>10006791</v>
      </c>
      <c r="P152" t="s">
        <v>413</v>
      </c>
      <c r="Q152" s="5">
        <f>VLOOKUP(TabOceanet[VM_name],TabVMEnv[],3,FALSE)</f>
        <v>0</v>
      </c>
      <c r="R152" s="5" t="str">
        <f>IF(VLOOKUP(TabOceanet[VM_name],TabVMEnv[],2,FALSE) = "","Non","")</f>
        <v/>
      </c>
      <c r="S152" s="5">
        <f>IF(TabOceanet[[#This Row],[Type_tarif]]="Tarif_VLAN",1,0)</f>
        <v>0</v>
      </c>
      <c r="T152" s="5">
        <f>TabOceanet[[#This Row],[isCalcVlan]]*TabOceanet[[#This Row],[Nb_article]]*Tarif_VLAN</f>
        <v>0</v>
      </c>
      <c r="U152" s="5">
        <f>IF(TabOceanet[[#This Row],[Type_tarif]]="Tarif_IPPUB",1,0)</f>
        <v>0</v>
      </c>
      <c r="V152" s="5">
        <f>TabOceanet[[#This Row],[isCalcIpPub]]*TabOceanet[[#This Row],[Nb_article]]*Tarif_IPPUB</f>
        <v>0</v>
      </c>
      <c r="W152" s="5">
        <f>IF(TabOceanet[[#This Row],[Type_tarif]]="Tarif_DNS",1,0)</f>
        <v>0</v>
      </c>
      <c r="X152" s="5">
        <f>TabOceanet[[#This Row],[isCalcDns]]*TabOceanet[[#This Row],[Nb_article]]*Tarif_DNS</f>
        <v>0</v>
      </c>
      <c r="Y152" s="5">
        <f>IF(TabOceanet[[#This Row],[Type_tarif]]="Tarif_Certificat_X509_Simple",1,0)</f>
        <v>0</v>
      </c>
      <c r="Z152" s="5">
        <f>TabOceanet[[#This Row],[isCalcCertSimple]]*TabOceanet[[#This Row],[Nb_article]]*Tarif_Certificat_X509_Simple</f>
        <v>0</v>
      </c>
      <c r="AA152" s="5">
        <f>IF(TabOceanet[[#This Row],[Type_tarif]]="Tarif_Certificat_X509_Wildcard",1,0)</f>
        <v>0</v>
      </c>
      <c r="AB152" s="5">
        <f>TabOceanet[[#This Row],[isCalcCertWild]]*TabOceanet[[#This Row],[Nb_article]]*Tarif_Certificat_X509_Wildcard</f>
        <v>0</v>
      </c>
      <c r="AC152" s="5">
        <f>IF(TabOceanet[[#This Row],[Type_tarif]]="Tarif_Astreinte_24_24_7_7",1,0)</f>
        <v>0</v>
      </c>
      <c r="AD152" s="5">
        <f>TabOceanet[[#This Row],[isCalcAstreinte247]]*TabOceanet[[#This Row],[Nb_article]]*Tarif_Astreinte_24_24_7_7</f>
        <v>0</v>
      </c>
      <c r="AE152" s="5">
        <f>IF(TabOceanet[[#This Row],[VM_status]]="PoweredOn",1,0)</f>
        <v>0</v>
      </c>
      <c r="AF152" s="17">
        <f>TabOceanet[[#This Row],[VM_mem]]*Tarif_Ram</f>
        <v>6.4</v>
      </c>
      <c r="AG152" s="5" t="str">
        <f>MID(TabOceanet[[#This Row],[Backup]],29,20)</f>
        <v>J15_1</v>
      </c>
      <c r="AH152" s="25">
        <f>IF(LEFT(TabOceanet[[#This Row],[TypeBAK]],3)="HOR",Tarif_Backup_Horaire*TabOceanet[[#This Row],[VM_disk]],IF(LEFT(TabOceanet[[#This Row],[TypeBAK]],3)="J15",Tarif_Backup_J15*TabOceanet[[#This Row],[VM_disk]],IF(LEFT(TabOceanet[[#This Row],[TypeBAK]],3)="H1_",Tarif_Backup_J15*TabOceanet[[#This Row],[VM_disk]],0)))</f>
        <v>3.68</v>
      </c>
      <c r="AI152" s="17">
        <f>TabOceanet[[#This Row],[VM_disk]]*Tarif_disque</f>
        <v>0</v>
      </c>
      <c r="AJ152"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3.68</v>
      </c>
    </row>
    <row r="153" spans="1:36" hidden="1" x14ac:dyDescent="0.25">
      <c r="A153" t="s">
        <v>127</v>
      </c>
      <c r="B153">
        <v>2</v>
      </c>
      <c r="C153">
        <v>4</v>
      </c>
      <c r="D153">
        <v>16</v>
      </c>
      <c r="E153" t="s">
        <v>426</v>
      </c>
      <c r="G153" t="s">
        <v>1273</v>
      </c>
      <c r="H153" t="s">
        <v>1274</v>
      </c>
      <c r="I153" t="s">
        <v>419</v>
      </c>
      <c r="J153" t="s">
        <v>414</v>
      </c>
      <c r="K153" t="s">
        <v>406</v>
      </c>
      <c r="L153" t="s">
        <v>410</v>
      </c>
      <c r="M153" t="s">
        <v>1322</v>
      </c>
      <c r="N153" t="s">
        <v>412</v>
      </c>
      <c r="O153">
        <v>10006791</v>
      </c>
      <c r="P153" t="s">
        <v>413</v>
      </c>
      <c r="Q153" s="5">
        <f>VLOOKUP(TabOceanet[VM_name],TabVMEnv[],3,FALSE)</f>
        <v>0</v>
      </c>
      <c r="R153" s="5" t="str">
        <f>IF(VLOOKUP(TabOceanet[VM_name],TabVMEnv[],2,FALSE) = "","Non","")</f>
        <v/>
      </c>
      <c r="S153" s="5">
        <f>IF(TabOceanet[[#This Row],[Type_tarif]]="Tarif_VLAN",1,0)</f>
        <v>0</v>
      </c>
      <c r="T153" s="5">
        <f>TabOceanet[[#This Row],[isCalcVlan]]*TabOceanet[[#This Row],[Nb_article]]*Tarif_VLAN</f>
        <v>0</v>
      </c>
      <c r="U153" s="5">
        <f>IF(TabOceanet[[#This Row],[Type_tarif]]="Tarif_IPPUB",1,0)</f>
        <v>0</v>
      </c>
      <c r="V153" s="5">
        <f>TabOceanet[[#This Row],[isCalcIpPub]]*TabOceanet[[#This Row],[Nb_article]]*Tarif_IPPUB</f>
        <v>0</v>
      </c>
      <c r="W153" s="5">
        <f>IF(TabOceanet[[#This Row],[Type_tarif]]="Tarif_DNS",1,0)</f>
        <v>0</v>
      </c>
      <c r="X153" s="5">
        <f>TabOceanet[[#This Row],[isCalcDns]]*TabOceanet[[#This Row],[Nb_article]]*Tarif_DNS</f>
        <v>0</v>
      </c>
      <c r="Y153" s="5">
        <f>IF(TabOceanet[[#This Row],[Type_tarif]]="Tarif_Certificat_X509_Simple",1,0)</f>
        <v>0</v>
      </c>
      <c r="Z153" s="5">
        <f>TabOceanet[[#This Row],[isCalcCertSimple]]*TabOceanet[[#This Row],[Nb_article]]*Tarif_Certificat_X509_Simple</f>
        <v>0</v>
      </c>
      <c r="AA153" s="5">
        <f>IF(TabOceanet[[#This Row],[Type_tarif]]="Tarif_Certificat_X509_Wildcard",1,0)</f>
        <v>0</v>
      </c>
      <c r="AB153" s="5">
        <f>TabOceanet[[#This Row],[isCalcCertWild]]*TabOceanet[[#This Row],[Nb_article]]*Tarif_Certificat_X509_Wildcard</f>
        <v>0</v>
      </c>
      <c r="AC153" s="5">
        <f>IF(TabOceanet[[#This Row],[Type_tarif]]="Tarif_Astreinte_24_24_7_7",1,0)</f>
        <v>0</v>
      </c>
      <c r="AD153" s="5">
        <f>TabOceanet[[#This Row],[isCalcAstreinte247]]*TabOceanet[[#This Row],[Nb_article]]*Tarif_Astreinte_24_24_7_7</f>
        <v>0</v>
      </c>
      <c r="AE153" s="5">
        <f>IF(TabOceanet[[#This Row],[VM_status]]="PoweredOn",1,0)</f>
        <v>1</v>
      </c>
      <c r="AF153" s="17">
        <f>TabOceanet[[#This Row],[VM_mem]]*Tarif_Ram</f>
        <v>6.4</v>
      </c>
      <c r="AG153" s="5" t="str">
        <f>MID(TabOceanet[[#This Row],[Backup]],29,20)</f>
        <v>J15_1</v>
      </c>
      <c r="AH153" s="25">
        <f>IF(LEFT(TabOceanet[[#This Row],[TypeBAK]],3)="HOR",Tarif_Backup_Horaire*TabOceanet[[#This Row],[VM_disk]],IF(LEFT(TabOceanet[[#This Row],[TypeBAK]],3)="J15",Tarif_Backup_J15*TabOceanet[[#This Row],[VM_disk]],IF(LEFT(TabOceanet[[#This Row],[TypeBAK]],3)="H1_",Tarif_Backup_J15*TabOceanet[[#This Row],[VM_disk]],0)))</f>
        <v>3.68</v>
      </c>
      <c r="AI153" s="17">
        <f>TabOceanet[[#This Row],[VM_disk]]*Tarif_disque</f>
        <v>0</v>
      </c>
      <c r="AJ153"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10.08</v>
      </c>
    </row>
    <row r="154" spans="1:36" hidden="1" x14ac:dyDescent="0.25">
      <c r="A154" t="s">
        <v>94</v>
      </c>
      <c r="B154">
        <v>2</v>
      </c>
      <c r="C154">
        <v>4</v>
      </c>
      <c r="D154">
        <v>16</v>
      </c>
      <c r="E154" t="s">
        <v>426</v>
      </c>
      <c r="G154" t="s">
        <v>1273</v>
      </c>
      <c r="H154" t="s">
        <v>1274</v>
      </c>
      <c r="I154" t="s">
        <v>419</v>
      </c>
      <c r="J154" t="s">
        <v>414</v>
      </c>
      <c r="K154" t="s">
        <v>406</v>
      </c>
      <c r="L154" t="s">
        <v>410</v>
      </c>
      <c r="M154" t="s">
        <v>1322</v>
      </c>
      <c r="N154" t="s">
        <v>412</v>
      </c>
      <c r="O154">
        <v>10006791</v>
      </c>
      <c r="P154" t="s">
        <v>413</v>
      </c>
      <c r="Q154" s="5">
        <f>VLOOKUP(TabOceanet[VM_name],TabVMEnv[],3,FALSE)</f>
        <v>0</v>
      </c>
      <c r="R154" s="5" t="str">
        <f>IF(VLOOKUP(TabOceanet[VM_name],TabVMEnv[],2,FALSE) = "","Non","")</f>
        <v/>
      </c>
      <c r="S154" s="5">
        <f>IF(TabOceanet[[#This Row],[Type_tarif]]="Tarif_VLAN",1,0)</f>
        <v>0</v>
      </c>
      <c r="T154" s="5">
        <f>TabOceanet[[#This Row],[isCalcVlan]]*TabOceanet[[#This Row],[Nb_article]]*Tarif_VLAN</f>
        <v>0</v>
      </c>
      <c r="U154" s="5">
        <f>IF(TabOceanet[[#This Row],[Type_tarif]]="Tarif_IPPUB",1,0)</f>
        <v>0</v>
      </c>
      <c r="V154" s="5">
        <f>TabOceanet[[#This Row],[isCalcIpPub]]*TabOceanet[[#This Row],[Nb_article]]*Tarif_IPPUB</f>
        <v>0</v>
      </c>
      <c r="W154" s="5">
        <f>IF(TabOceanet[[#This Row],[Type_tarif]]="Tarif_DNS",1,0)</f>
        <v>0</v>
      </c>
      <c r="X154" s="5">
        <f>TabOceanet[[#This Row],[isCalcDns]]*TabOceanet[[#This Row],[Nb_article]]*Tarif_DNS</f>
        <v>0</v>
      </c>
      <c r="Y154" s="5">
        <f>IF(TabOceanet[[#This Row],[Type_tarif]]="Tarif_Certificat_X509_Simple",1,0)</f>
        <v>0</v>
      </c>
      <c r="Z154" s="5">
        <f>TabOceanet[[#This Row],[isCalcCertSimple]]*TabOceanet[[#This Row],[Nb_article]]*Tarif_Certificat_X509_Simple</f>
        <v>0</v>
      </c>
      <c r="AA154" s="5">
        <f>IF(TabOceanet[[#This Row],[Type_tarif]]="Tarif_Certificat_X509_Wildcard",1,0)</f>
        <v>0</v>
      </c>
      <c r="AB154" s="5">
        <f>TabOceanet[[#This Row],[isCalcCertWild]]*TabOceanet[[#This Row],[Nb_article]]*Tarif_Certificat_X509_Wildcard</f>
        <v>0</v>
      </c>
      <c r="AC154" s="5">
        <f>IF(TabOceanet[[#This Row],[Type_tarif]]="Tarif_Astreinte_24_24_7_7",1,0)</f>
        <v>0</v>
      </c>
      <c r="AD154" s="5">
        <f>TabOceanet[[#This Row],[isCalcAstreinte247]]*TabOceanet[[#This Row],[Nb_article]]*Tarif_Astreinte_24_24_7_7</f>
        <v>0</v>
      </c>
      <c r="AE154" s="5">
        <f>IF(TabOceanet[[#This Row],[VM_status]]="PoweredOn",1,0)</f>
        <v>1</v>
      </c>
      <c r="AF154" s="17">
        <f>TabOceanet[[#This Row],[VM_mem]]*Tarif_Ram</f>
        <v>6.4</v>
      </c>
      <c r="AG154" s="5" t="str">
        <f>MID(TabOceanet[[#This Row],[Backup]],29,20)</f>
        <v>J15_1</v>
      </c>
      <c r="AH154" s="25">
        <f>IF(LEFT(TabOceanet[[#This Row],[TypeBAK]],3)="HOR",Tarif_Backup_Horaire*TabOceanet[[#This Row],[VM_disk]],IF(LEFT(TabOceanet[[#This Row],[TypeBAK]],3)="J15",Tarif_Backup_J15*TabOceanet[[#This Row],[VM_disk]],IF(LEFT(TabOceanet[[#This Row],[TypeBAK]],3)="H1_",Tarif_Backup_J15*TabOceanet[[#This Row],[VM_disk]],0)))</f>
        <v>3.68</v>
      </c>
      <c r="AI154" s="17">
        <f>TabOceanet[[#This Row],[VM_disk]]*Tarif_disque</f>
        <v>0</v>
      </c>
      <c r="AJ154"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10.08</v>
      </c>
    </row>
    <row r="155" spans="1:36" hidden="1" x14ac:dyDescent="0.25">
      <c r="A155" t="s">
        <v>128</v>
      </c>
      <c r="B155">
        <v>2</v>
      </c>
      <c r="C155">
        <v>4</v>
      </c>
      <c r="D155">
        <v>21</v>
      </c>
      <c r="E155" t="s">
        <v>426</v>
      </c>
      <c r="G155" t="s">
        <v>1273</v>
      </c>
      <c r="H155" t="s">
        <v>1274</v>
      </c>
      <c r="I155" t="s">
        <v>419</v>
      </c>
      <c r="J155" t="s">
        <v>414</v>
      </c>
      <c r="K155" t="s">
        <v>406</v>
      </c>
      <c r="L155" t="s">
        <v>410</v>
      </c>
      <c r="M155" t="s">
        <v>1322</v>
      </c>
      <c r="N155" t="s">
        <v>412</v>
      </c>
      <c r="O155">
        <v>10006791</v>
      </c>
      <c r="P155" t="s">
        <v>413</v>
      </c>
      <c r="Q155" s="5">
        <f>VLOOKUP(TabOceanet[VM_name],TabVMEnv[],3,FALSE)</f>
        <v>0</v>
      </c>
      <c r="R155" s="5" t="str">
        <f>IF(VLOOKUP(TabOceanet[VM_name],TabVMEnv[],2,FALSE) = "","Non","")</f>
        <v/>
      </c>
      <c r="S155" s="5">
        <f>IF(TabOceanet[[#This Row],[Type_tarif]]="Tarif_VLAN",1,0)</f>
        <v>0</v>
      </c>
      <c r="T155" s="5">
        <f>TabOceanet[[#This Row],[isCalcVlan]]*TabOceanet[[#This Row],[Nb_article]]*Tarif_VLAN</f>
        <v>0</v>
      </c>
      <c r="U155" s="5">
        <f>IF(TabOceanet[[#This Row],[Type_tarif]]="Tarif_IPPUB",1,0)</f>
        <v>0</v>
      </c>
      <c r="V155" s="5">
        <f>TabOceanet[[#This Row],[isCalcIpPub]]*TabOceanet[[#This Row],[Nb_article]]*Tarif_IPPUB</f>
        <v>0</v>
      </c>
      <c r="W155" s="5">
        <f>IF(TabOceanet[[#This Row],[Type_tarif]]="Tarif_DNS",1,0)</f>
        <v>0</v>
      </c>
      <c r="X155" s="5">
        <f>TabOceanet[[#This Row],[isCalcDns]]*TabOceanet[[#This Row],[Nb_article]]*Tarif_DNS</f>
        <v>0</v>
      </c>
      <c r="Y155" s="5">
        <f>IF(TabOceanet[[#This Row],[Type_tarif]]="Tarif_Certificat_X509_Simple",1,0)</f>
        <v>0</v>
      </c>
      <c r="Z155" s="5">
        <f>TabOceanet[[#This Row],[isCalcCertSimple]]*TabOceanet[[#This Row],[Nb_article]]*Tarif_Certificat_X509_Simple</f>
        <v>0</v>
      </c>
      <c r="AA155" s="5">
        <f>IF(TabOceanet[[#This Row],[Type_tarif]]="Tarif_Certificat_X509_Wildcard",1,0)</f>
        <v>0</v>
      </c>
      <c r="AB155" s="5">
        <f>TabOceanet[[#This Row],[isCalcCertWild]]*TabOceanet[[#This Row],[Nb_article]]*Tarif_Certificat_X509_Wildcard</f>
        <v>0</v>
      </c>
      <c r="AC155" s="5">
        <f>IF(TabOceanet[[#This Row],[Type_tarif]]="Tarif_Astreinte_24_24_7_7",1,0)</f>
        <v>0</v>
      </c>
      <c r="AD155" s="5">
        <f>TabOceanet[[#This Row],[isCalcAstreinte247]]*TabOceanet[[#This Row],[Nb_article]]*Tarif_Astreinte_24_24_7_7</f>
        <v>0</v>
      </c>
      <c r="AE155" s="5">
        <f>IF(TabOceanet[[#This Row],[VM_status]]="PoweredOn",1,0)</f>
        <v>1</v>
      </c>
      <c r="AF155" s="17">
        <f>TabOceanet[[#This Row],[VM_mem]]*Tarif_Ram</f>
        <v>6.4</v>
      </c>
      <c r="AG155" s="5" t="str">
        <f>MID(TabOceanet[[#This Row],[Backup]],29,20)</f>
        <v>J15_1</v>
      </c>
      <c r="AH155" s="25">
        <f>IF(LEFT(TabOceanet[[#This Row],[TypeBAK]],3)="HOR",Tarif_Backup_Horaire*TabOceanet[[#This Row],[VM_disk]],IF(LEFT(TabOceanet[[#This Row],[TypeBAK]],3)="J15",Tarif_Backup_J15*TabOceanet[[#This Row],[VM_disk]],IF(LEFT(TabOceanet[[#This Row],[TypeBAK]],3)="H1_",Tarif_Backup_J15*TabOceanet[[#This Row],[VM_disk]],0)))</f>
        <v>4.83</v>
      </c>
      <c r="AI155" s="17">
        <f>TabOceanet[[#This Row],[VM_disk]]*Tarif_disque</f>
        <v>0</v>
      </c>
      <c r="AJ155"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11.23</v>
      </c>
    </row>
    <row r="156" spans="1:36" hidden="1" x14ac:dyDescent="0.25">
      <c r="A156" t="s">
        <v>129</v>
      </c>
      <c r="B156">
        <v>2</v>
      </c>
      <c r="C156">
        <v>4</v>
      </c>
      <c r="D156">
        <v>16</v>
      </c>
      <c r="E156" t="s">
        <v>426</v>
      </c>
      <c r="G156" t="s">
        <v>1275</v>
      </c>
      <c r="H156" t="s">
        <v>1274</v>
      </c>
      <c r="I156" t="s">
        <v>419</v>
      </c>
      <c r="J156" t="s">
        <v>414</v>
      </c>
      <c r="K156" t="s">
        <v>406</v>
      </c>
      <c r="L156" t="s">
        <v>410</v>
      </c>
      <c r="M156" t="s">
        <v>1322</v>
      </c>
      <c r="N156" t="s">
        <v>412</v>
      </c>
      <c r="O156">
        <v>10006791</v>
      </c>
      <c r="P156" t="s">
        <v>413</v>
      </c>
      <c r="Q156" s="5">
        <f>VLOOKUP(TabOceanet[VM_name],TabVMEnv[],3,FALSE)</f>
        <v>0</v>
      </c>
      <c r="R156" s="5" t="str">
        <f>IF(VLOOKUP(TabOceanet[VM_name],TabVMEnv[],2,FALSE) = "","Non","")</f>
        <v/>
      </c>
      <c r="S156" s="5">
        <f>IF(TabOceanet[[#This Row],[Type_tarif]]="Tarif_VLAN",1,0)</f>
        <v>0</v>
      </c>
      <c r="T156" s="5">
        <f>TabOceanet[[#This Row],[isCalcVlan]]*TabOceanet[[#This Row],[Nb_article]]*Tarif_VLAN</f>
        <v>0</v>
      </c>
      <c r="U156" s="5">
        <f>IF(TabOceanet[[#This Row],[Type_tarif]]="Tarif_IPPUB",1,0)</f>
        <v>0</v>
      </c>
      <c r="V156" s="5">
        <f>TabOceanet[[#This Row],[isCalcIpPub]]*TabOceanet[[#This Row],[Nb_article]]*Tarif_IPPUB</f>
        <v>0</v>
      </c>
      <c r="W156" s="5">
        <f>IF(TabOceanet[[#This Row],[Type_tarif]]="Tarif_DNS",1,0)</f>
        <v>0</v>
      </c>
      <c r="X156" s="5">
        <f>TabOceanet[[#This Row],[isCalcDns]]*TabOceanet[[#This Row],[Nb_article]]*Tarif_DNS</f>
        <v>0</v>
      </c>
      <c r="Y156" s="5">
        <f>IF(TabOceanet[[#This Row],[Type_tarif]]="Tarif_Certificat_X509_Simple",1,0)</f>
        <v>0</v>
      </c>
      <c r="Z156" s="5">
        <f>TabOceanet[[#This Row],[isCalcCertSimple]]*TabOceanet[[#This Row],[Nb_article]]*Tarif_Certificat_X509_Simple</f>
        <v>0</v>
      </c>
      <c r="AA156" s="5">
        <f>IF(TabOceanet[[#This Row],[Type_tarif]]="Tarif_Certificat_X509_Wildcard",1,0)</f>
        <v>0</v>
      </c>
      <c r="AB156" s="5">
        <f>TabOceanet[[#This Row],[isCalcCertWild]]*TabOceanet[[#This Row],[Nb_article]]*Tarif_Certificat_X509_Wildcard</f>
        <v>0</v>
      </c>
      <c r="AC156" s="5">
        <f>IF(TabOceanet[[#This Row],[Type_tarif]]="Tarif_Astreinte_24_24_7_7",1,0)</f>
        <v>0</v>
      </c>
      <c r="AD156" s="5">
        <f>TabOceanet[[#This Row],[isCalcAstreinte247]]*TabOceanet[[#This Row],[Nb_article]]*Tarif_Astreinte_24_24_7_7</f>
        <v>0</v>
      </c>
      <c r="AE156" s="5">
        <f>IF(TabOceanet[[#This Row],[VM_status]]="PoweredOn",1,0)</f>
        <v>1</v>
      </c>
      <c r="AF156" s="17">
        <f>TabOceanet[[#This Row],[VM_mem]]*Tarif_Ram</f>
        <v>6.4</v>
      </c>
      <c r="AG156" s="5" t="str">
        <f>MID(TabOceanet[[#This Row],[Backup]],29,20)</f>
        <v>J15_1</v>
      </c>
      <c r="AH156" s="25">
        <f>IF(LEFT(TabOceanet[[#This Row],[TypeBAK]],3)="HOR",Tarif_Backup_Horaire*TabOceanet[[#This Row],[VM_disk]],IF(LEFT(TabOceanet[[#This Row],[TypeBAK]],3)="J15",Tarif_Backup_J15*TabOceanet[[#This Row],[VM_disk]],IF(LEFT(TabOceanet[[#This Row],[TypeBAK]],3)="H1_",Tarif_Backup_J15*TabOceanet[[#This Row],[VM_disk]],0)))</f>
        <v>3.68</v>
      </c>
      <c r="AI156" s="17">
        <f>TabOceanet[[#This Row],[VM_disk]]*Tarif_disque</f>
        <v>0</v>
      </c>
      <c r="AJ156"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10.08</v>
      </c>
    </row>
    <row r="157" spans="1:36" hidden="1" x14ac:dyDescent="0.25">
      <c r="A157" t="s">
        <v>130</v>
      </c>
      <c r="B157">
        <v>2</v>
      </c>
      <c r="C157">
        <v>4</v>
      </c>
      <c r="D157">
        <v>21</v>
      </c>
      <c r="E157" t="s">
        <v>426</v>
      </c>
      <c r="G157" t="s">
        <v>1275</v>
      </c>
      <c r="H157" t="s">
        <v>1274</v>
      </c>
      <c r="I157" t="s">
        <v>419</v>
      </c>
      <c r="J157" t="s">
        <v>414</v>
      </c>
      <c r="K157" t="s">
        <v>406</v>
      </c>
      <c r="L157" t="s">
        <v>410</v>
      </c>
      <c r="M157" t="s">
        <v>1322</v>
      </c>
      <c r="N157" t="s">
        <v>412</v>
      </c>
      <c r="O157">
        <v>10006791</v>
      </c>
      <c r="P157" t="s">
        <v>413</v>
      </c>
      <c r="Q157" s="5">
        <f>VLOOKUP(TabOceanet[VM_name],TabVMEnv[],3,FALSE)</f>
        <v>0</v>
      </c>
      <c r="R157" s="5" t="str">
        <f>IF(VLOOKUP(TabOceanet[VM_name],TabVMEnv[],2,FALSE) = "","Non","")</f>
        <v/>
      </c>
      <c r="S157" s="5">
        <f>IF(TabOceanet[[#This Row],[Type_tarif]]="Tarif_VLAN",1,0)</f>
        <v>0</v>
      </c>
      <c r="T157" s="5">
        <f>TabOceanet[[#This Row],[isCalcVlan]]*TabOceanet[[#This Row],[Nb_article]]*Tarif_VLAN</f>
        <v>0</v>
      </c>
      <c r="U157" s="5">
        <f>IF(TabOceanet[[#This Row],[Type_tarif]]="Tarif_IPPUB",1,0)</f>
        <v>0</v>
      </c>
      <c r="V157" s="5">
        <f>TabOceanet[[#This Row],[isCalcIpPub]]*TabOceanet[[#This Row],[Nb_article]]*Tarif_IPPUB</f>
        <v>0</v>
      </c>
      <c r="W157" s="5">
        <f>IF(TabOceanet[[#This Row],[Type_tarif]]="Tarif_DNS",1,0)</f>
        <v>0</v>
      </c>
      <c r="X157" s="5">
        <f>TabOceanet[[#This Row],[isCalcDns]]*TabOceanet[[#This Row],[Nb_article]]*Tarif_DNS</f>
        <v>0</v>
      </c>
      <c r="Y157" s="5">
        <f>IF(TabOceanet[[#This Row],[Type_tarif]]="Tarif_Certificat_X509_Simple",1,0)</f>
        <v>0</v>
      </c>
      <c r="Z157" s="5">
        <f>TabOceanet[[#This Row],[isCalcCertSimple]]*TabOceanet[[#This Row],[Nb_article]]*Tarif_Certificat_X509_Simple</f>
        <v>0</v>
      </c>
      <c r="AA157" s="5">
        <f>IF(TabOceanet[[#This Row],[Type_tarif]]="Tarif_Certificat_X509_Wildcard",1,0)</f>
        <v>0</v>
      </c>
      <c r="AB157" s="5">
        <f>TabOceanet[[#This Row],[isCalcCertWild]]*TabOceanet[[#This Row],[Nb_article]]*Tarif_Certificat_X509_Wildcard</f>
        <v>0</v>
      </c>
      <c r="AC157" s="5">
        <f>IF(TabOceanet[[#This Row],[Type_tarif]]="Tarif_Astreinte_24_24_7_7",1,0)</f>
        <v>0</v>
      </c>
      <c r="AD157" s="5">
        <f>TabOceanet[[#This Row],[isCalcAstreinte247]]*TabOceanet[[#This Row],[Nb_article]]*Tarif_Astreinte_24_24_7_7</f>
        <v>0</v>
      </c>
      <c r="AE157" s="5">
        <f>IF(TabOceanet[[#This Row],[VM_status]]="PoweredOn",1,0)</f>
        <v>1</v>
      </c>
      <c r="AF157" s="17">
        <f>TabOceanet[[#This Row],[VM_mem]]*Tarif_Ram</f>
        <v>6.4</v>
      </c>
      <c r="AG157" s="5" t="str">
        <f>MID(TabOceanet[[#This Row],[Backup]],29,20)</f>
        <v>J15_1</v>
      </c>
      <c r="AH157" s="25">
        <f>IF(LEFT(TabOceanet[[#This Row],[TypeBAK]],3)="HOR",Tarif_Backup_Horaire*TabOceanet[[#This Row],[VM_disk]],IF(LEFT(TabOceanet[[#This Row],[TypeBAK]],3)="J15",Tarif_Backup_J15*TabOceanet[[#This Row],[VM_disk]],IF(LEFT(TabOceanet[[#This Row],[TypeBAK]],3)="H1_",Tarif_Backup_J15*TabOceanet[[#This Row],[VM_disk]],0)))</f>
        <v>4.83</v>
      </c>
      <c r="AI157" s="17">
        <f>TabOceanet[[#This Row],[VM_disk]]*Tarif_disque</f>
        <v>0</v>
      </c>
      <c r="AJ157"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11.23</v>
      </c>
    </row>
    <row r="158" spans="1:36" hidden="1" x14ac:dyDescent="0.25">
      <c r="A158" t="s">
        <v>131</v>
      </c>
      <c r="B158">
        <v>2</v>
      </c>
      <c r="C158">
        <v>4</v>
      </c>
      <c r="D158">
        <v>16</v>
      </c>
      <c r="E158" t="s">
        <v>426</v>
      </c>
      <c r="G158" t="s">
        <v>1275</v>
      </c>
      <c r="H158" t="s">
        <v>1274</v>
      </c>
      <c r="I158" t="s">
        <v>419</v>
      </c>
      <c r="J158" t="s">
        <v>414</v>
      </c>
      <c r="K158" t="s">
        <v>406</v>
      </c>
      <c r="L158" t="s">
        <v>410</v>
      </c>
      <c r="M158" t="s">
        <v>1322</v>
      </c>
      <c r="N158" t="s">
        <v>412</v>
      </c>
      <c r="O158">
        <v>10006791</v>
      </c>
      <c r="P158" t="s">
        <v>413</v>
      </c>
      <c r="Q158" s="5">
        <f>VLOOKUP(TabOceanet[VM_name],TabVMEnv[],3,FALSE)</f>
        <v>0</v>
      </c>
      <c r="R158" s="5" t="str">
        <f>IF(VLOOKUP(TabOceanet[VM_name],TabVMEnv[],2,FALSE) = "","Non","")</f>
        <v/>
      </c>
      <c r="S158" s="5">
        <f>IF(TabOceanet[[#This Row],[Type_tarif]]="Tarif_VLAN",1,0)</f>
        <v>0</v>
      </c>
      <c r="T158" s="5">
        <f>TabOceanet[[#This Row],[isCalcVlan]]*TabOceanet[[#This Row],[Nb_article]]*Tarif_VLAN</f>
        <v>0</v>
      </c>
      <c r="U158" s="5">
        <f>IF(TabOceanet[[#This Row],[Type_tarif]]="Tarif_IPPUB",1,0)</f>
        <v>0</v>
      </c>
      <c r="V158" s="5">
        <f>TabOceanet[[#This Row],[isCalcIpPub]]*TabOceanet[[#This Row],[Nb_article]]*Tarif_IPPUB</f>
        <v>0</v>
      </c>
      <c r="W158" s="5">
        <f>IF(TabOceanet[[#This Row],[Type_tarif]]="Tarif_DNS",1,0)</f>
        <v>0</v>
      </c>
      <c r="X158" s="5">
        <f>TabOceanet[[#This Row],[isCalcDns]]*TabOceanet[[#This Row],[Nb_article]]*Tarif_DNS</f>
        <v>0</v>
      </c>
      <c r="Y158" s="5">
        <f>IF(TabOceanet[[#This Row],[Type_tarif]]="Tarif_Certificat_X509_Simple",1,0)</f>
        <v>0</v>
      </c>
      <c r="Z158" s="5">
        <f>TabOceanet[[#This Row],[isCalcCertSimple]]*TabOceanet[[#This Row],[Nb_article]]*Tarif_Certificat_X509_Simple</f>
        <v>0</v>
      </c>
      <c r="AA158" s="5">
        <f>IF(TabOceanet[[#This Row],[Type_tarif]]="Tarif_Certificat_X509_Wildcard",1,0)</f>
        <v>0</v>
      </c>
      <c r="AB158" s="5">
        <f>TabOceanet[[#This Row],[isCalcCertWild]]*TabOceanet[[#This Row],[Nb_article]]*Tarif_Certificat_X509_Wildcard</f>
        <v>0</v>
      </c>
      <c r="AC158" s="5">
        <f>IF(TabOceanet[[#This Row],[Type_tarif]]="Tarif_Astreinte_24_24_7_7",1,0)</f>
        <v>0</v>
      </c>
      <c r="AD158" s="5">
        <f>TabOceanet[[#This Row],[isCalcAstreinte247]]*TabOceanet[[#This Row],[Nb_article]]*Tarif_Astreinte_24_24_7_7</f>
        <v>0</v>
      </c>
      <c r="AE158" s="5">
        <f>IF(TabOceanet[[#This Row],[VM_status]]="PoweredOn",1,0)</f>
        <v>1</v>
      </c>
      <c r="AF158" s="17">
        <f>TabOceanet[[#This Row],[VM_mem]]*Tarif_Ram</f>
        <v>6.4</v>
      </c>
      <c r="AG158" s="5" t="str">
        <f>MID(TabOceanet[[#This Row],[Backup]],29,20)</f>
        <v>J15_1</v>
      </c>
      <c r="AH158" s="25">
        <f>IF(LEFT(TabOceanet[[#This Row],[TypeBAK]],3)="HOR",Tarif_Backup_Horaire*TabOceanet[[#This Row],[VM_disk]],IF(LEFT(TabOceanet[[#This Row],[TypeBAK]],3)="J15",Tarif_Backup_J15*TabOceanet[[#This Row],[VM_disk]],IF(LEFT(TabOceanet[[#This Row],[TypeBAK]],3)="H1_",Tarif_Backup_J15*TabOceanet[[#This Row],[VM_disk]],0)))</f>
        <v>3.68</v>
      </c>
      <c r="AI158" s="17">
        <f>TabOceanet[[#This Row],[VM_disk]]*Tarif_disque</f>
        <v>0</v>
      </c>
      <c r="AJ158"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10.08</v>
      </c>
    </row>
    <row r="159" spans="1:36" hidden="1" x14ac:dyDescent="0.25">
      <c r="A159" t="s">
        <v>132</v>
      </c>
      <c r="B159">
        <v>2</v>
      </c>
      <c r="C159">
        <v>4</v>
      </c>
      <c r="D159">
        <v>21</v>
      </c>
      <c r="E159" t="s">
        <v>426</v>
      </c>
      <c r="G159" t="s">
        <v>1275</v>
      </c>
      <c r="H159" t="s">
        <v>1274</v>
      </c>
      <c r="I159" t="s">
        <v>419</v>
      </c>
      <c r="J159" t="s">
        <v>414</v>
      </c>
      <c r="K159" t="s">
        <v>406</v>
      </c>
      <c r="L159" t="s">
        <v>410</v>
      </c>
      <c r="M159" t="s">
        <v>430</v>
      </c>
      <c r="N159" t="s">
        <v>412</v>
      </c>
      <c r="O159">
        <v>10006791</v>
      </c>
      <c r="P159" t="s">
        <v>413</v>
      </c>
      <c r="Q159" s="5">
        <f>VLOOKUP(TabOceanet[VM_name],TabVMEnv[],3,FALSE)</f>
        <v>0</v>
      </c>
      <c r="R159" s="5" t="str">
        <f>IF(VLOOKUP(TabOceanet[VM_name],TabVMEnv[],2,FALSE) = "","Non","")</f>
        <v/>
      </c>
      <c r="S159" s="5">
        <f>IF(TabOceanet[[#This Row],[Type_tarif]]="Tarif_VLAN",1,0)</f>
        <v>0</v>
      </c>
      <c r="T159" s="5">
        <f>TabOceanet[[#This Row],[isCalcVlan]]*TabOceanet[[#This Row],[Nb_article]]*Tarif_VLAN</f>
        <v>0</v>
      </c>
      <c r="U159" s="5">
        <f>IF(TabOceanet[[#This Row],[Type_tarif]]="Tarif_IPPUB",1,0)</f>
        <v>0</v>
      </c>
      <c r="V159" s="5">
        <f>TabOceanet[[#This Row],[isCalcIpPub]]*TabOceanet[[#This Row],[Nb_article]]*Tarif_IPPUB</f>
        <v>0</v>
      </c>
      <c r="W159" s="5">
        <f>IF(TabOceanet[[#This Row],[Type_tarif]]="Tarif_DNS",1,0)</f>
        <v>0</v>
      </c>
      <c r="X159" s="5">
        <f>TabOceanet[[#This Row],[isCalcDns]]*TabOceanet[[#This Row],[Nb_article]]*Tarif_DNS</f>
        <v>0</v>
      </c>
      <c r="Y159" s="5">
        <f>IF(TabOceanet[[#This Row],[Type_tarif]]="Tarif_Certificat_X509_Simple",1,0)</f>
        <v>0</v>
      </c>
      <c r="Z159" s="5">
        <f>TabOceanet[[#This Row],[isCalcCertSimple]]*TabOceanet[[#This Row],[Nb_article]]*Tarif_Certificat_X509_Simple</f>
        <v>0</v>
      </c>
      <c r="AA159" s="5">
        <f>IF(TabOceanet[[#This Row],[Type_tarif]]="Tarif_Certificat_X509_Wildcard",1,0)</f>
        <v>0</v>
      </c>
      <c r="AB159" s="5">
        <f>TabOceanet[[#This Row],[isCalcCertWild]]*TabOceanet[[#This Row],[Nb_article]]*Tarif_Certificat_X509_Wildcard</f>
        <v>0</v>
      </c>
      <c r="AC159" s="5">
        <f>IF(TabOceanet[[#This Row],[Type_tarif]]="Tarif_Astreinte_24_24_7_7",1,0)</f>
        <v>0</v>
      </c>
      <c r="AD159" s="5">
        <f>TabOceanet[[#This Row],[isCalcAstreinte247]]*TabOceanet[[#This Row],[Nb_article]]*Tarif_Astreinte_24_24_7_7</f>
        <v>0</v>
      </c>
      <c r="AE159" s="5">
        <f>IF(TabOceanet[[#This Row],[VM_status]]="PoweredOn",1,0)</f>
        <v>1</v>
      </c>
      <c r="AF159" s="17">
        <f>TabOceanet[[#This Row],[VM_mem]]*Tarif_Ram</f>
        <v>6.4</v>
      </c>
      <c r="AG159" s="5" t="str">
        <f>MID(TabOceanet[[#This Row],[Backup]],29,20)</f>
        <v>J15_2</v>
      </c>
      <c r="AH159" s="25">
        <f>IF(LEFT(TabOceanet[[#This Row],[TypeBAK]],3)="HOR",Tarif_Backup_Horaire*TabOceanet[[#This Row],[VM_disk]],IF(LEFT(TabOceanet[[#This Row],[TypeBAK]],3)="J15",Tarif_Backup_J15*TabOceanet[[#This Row],[VM_disk]],IF(LEFT(TabOceanet[[#This Row],[TypeBAK]],3)="H1_",Tarif_Backup_J15*TabOceanet[[#This Row],[VM_disk]],0)))</f>
        <v>4.83</v>
      </c>
      <c r="AI159" s="17">
        <f>TabOceanet[[#This Row],[VM_disk]]*Tarif_disque</f>
        <v>0</v>
      </c>
      <c r="AJ159"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11.23</v>
      </c>
    </row>
    <row r="160" spans="1:36" hidden="1" x14ac:dyDescent="0.25">
      <c r="A160" t="s">
        <v>144</v>
      </c>
      <c r="B160">
        <v>2</v>
      </c>
      <c r="C160">
        <v>4</v>
      </c>
      <c r="D160">
        <v>21</v>
      </c>
      <c r="E160" t="s">
        <v>426</v>
      </c>
      <c r="G160" t="s">
        <v>1275</v>
      </c>
      <c r="H160" t="s">
        <v>1274</v>
      </c>
      <c r="I160" t="s">
        <v>419</v>
      </c>
      <c r="J160" t="s">
        <v>414</v>
      </c>
      <c r="K160" t="s">
        <v>406</v>
      </c>
      <c r="L160" t="s">
        <v>410</v>
      </c>
      <c r="M160" t="s">
        <v>1322</v>
      </c>
      <c r="N160" t="s">
        <v>412</v>
      </c>
      <c r="O160">
        <v>10006791</v>
      </c>
      <c r="P160" t="s">
        <v>413</v>
      </c>
      <c r="Q160" s="5">
        <f>VLOOKUP(TabOceanet[VM_name],TabVMEnv[],3,FALSE)</f>
        <v>0</v>
      </c>
      <c r="R160" s="5" t="str">
        <f>IF(VLOOKUP(TabOceanet[VM_name],TabVMEnv[],2,FALSE) = "","Non","")</f>
        <v/>
      </c>
      <c r="S160" s="5">
        <f>IF(TabOceanet[[#This Row],[Type_tarif]]="Tarif_VLAN",1,0)</f>
        <v>0</v>
      </c>
      <c r="T160" s="5">
        <f>TabOceanet[[#This Row],[isCalcVlan]]*TabOceanet[[#This Row],[Nb_article]]*Tarif_VLAN</f>
        <v>0</v>
      </c>
      <c r="U160" s="5">
        <f>IF(TabOceanet[[#This Row],[Type_tarif]]="Tarif_IPPUB",1,0)</f>
        <v>0</v>
      </c>
      <c r="V160" s="5">
        <f>TabOceanet[[#This Row],[isCalcIpPub]]*TabOceanet[[#This Row],[Nb_article]]*Tarif_IPPUB</f>
        <v>0</v>
      </c>
      <c r="W160" s="5">
        <f>IF(TabOceanet[[#This Row],[Type_tarif]]="Tarif_DNS",1,0)</f>
        <v>0</v>
      </c>
      <c r="X160" s="5">
        <f>TabOceanet[[#This Row],[isCalcDns]]*TabOceanet[[#This Row],[Nb_article]]*Tarif_DNS</f>
        <v>0</v>
      </c>
      <c r="Y160" s="5">
        <f>IF(TabOceanet[[#This Row],[Type_tarif]]="Tarif_Certificat_X509_Simple",1,0)</f>
        <v>0</v>
      </c>
      <c r="Z160" s="5">
        <f>TabOceanet[[#This Row],[isCalcCertSimple]]*TabOceanet[[#This Row],[Nb_article]]*Tarif_Certificat_X509_Simple</f>
        <v>0</v>
      </c>
      <c r="AA160" s="5">
        <f>IF(TabOceanet[[#This Row],[Type_tarif]]="Tarif_Certificat_X509_Wildcard",1,0)</f>
        <v>0</v>
      </c>
      <c r="AB160" s="5">
        <f>TabOceanet[[#This Row],[isCalcCertWild]]*TabOceanet[[#This Row],[Nb_article]]*Tarif_Certificat_X509_Wildcard</f>
        <v>0</v>
      </c>
      <c r="AC160" s="5">
        <f>IF(TabOceanet[[#This Row],[Type_tarif]]="Tarif_Astreinte_24_24_7_7",1,0)</f>
        <v>0</v>
      </c>
      <c r="AD160" s="5">
        <f>TabOceanet[[#This Row],[isCalcAstreinte247]]*TabOceanet[[#This Row],[Nb_article]]*Tarif_Astreinte_24_24_7_7</f>
        <v>0</v>
      </c>
      <c r="AE160" s="5">
        <f>IF(TabOceanet[[#This Row],[VM_status]]="PoweredOn",1,0)</f>
        <v>1</v>
      </c>
      <c r="AF160" s="17">
        <f>TabOceanet[[#This Row],[VM_mem]]*Tarif_Ram</f>
        <v>6.4</v>
      </c>
      <c r="AG160" s="5" t="str">
        <f>MID(TabOceanet[[#This Row],[Backup]],29,20)</f>
        <v>J15_1</v>
      </c>
      <c r="AH160" s="25">
        <f>IF(LEFT(TabOceanet[[#This Row],[TypeBAK]],3)="HOR",Tarif_Backup_Horaire*TabOceanet[[#This Row],[VM_disk]],IF(LEFT(TabOceanet[[#This Row],[TypeBAK]],3)="J15",Tarif_Backup_J15*TabOceanet[[#This Row],[VM_disk]],IF(LEFT(TabOceanet[[#This Row],[TypeBAK]],3)="H1_",Tarif_Backup_J15*TabOceanet[[#This Row],[VM_disk]],0)))</f>
        <v>4.83</v>
      </c>
      <c r="AI160" s="17">
        <f>TabOceanet[[#This Row],[VM_disk]]*Tarif_disque</f>
        <v>0</v>
      </c>
      <c r="AJ160"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11.23</v>
      </c>
    </row>
    <row r="161" spans="1:36" hidden="1" x14ac:dyDescent="0.25">
      <c r="A161" t="s">
        <v>133</v>
      </c>
      <c r="B161">
        <v>2</v>
      </c>
      <c r="C161">
        <v>4</v>
      </c>
      <c r="D161">
        <v>16</v>
      </c>
      <c r="E161" t="s">
        <v>426</v>
      </c>
      <c r="G161" t="s">
        <v>1275</v>
      </c>
      <c r="H161" t="s">
        <v>1274</v>
      </c>
      <c r="I161" t="s">
        <v>419</v>
      </c>
      <c r="J161" t="s">
        <v>414</v>
      </c>
      <c r="K161" t="s">
        <v>406</v>
      </c>
      <c r="L161" t="s">
        <v>410</v>
      </c>
      <c r="M161" t="s">
        <v>1322</v>
      </c>
      <c r="N161" t="s">
        <v>412</v>
      </c>
      <c r="O161">
        <v>10006791</v>
      </c>
      <c r="P161" t="s">
        <v>413</v>
      </c>
      <c r="Q161" s="5">
        <f>VLOOKUP(TabOceanet[VM_name],TabVMEnv[],3,FALSE)</f>
        <v>0</v>
      </c>
      <c r="R161" s="5" t="str">
        <f>IF(VLOOKUP(TabOceanet[VM_name],TabVMEnv[],2,FALSE) = "","Non","")</f>
        <v/>
      </c>
      <c r="S161" s="5">
        <f>IF(TabOceanet[[#This Row],[Type_tarif]]="Tarif_VLAN",1,0)</f>
        <v>0</v>
      </c>
      <c r="T161" s="5">
        <f>TabOceanet[[#This Row],[isCalcVlan]]*TabOceanet[[#This Row],[Nb_article]]*Tarif_VLAN</f>
        <v>0</v>
      </c>
      <c r="U161" s="5">
        <f>IF(TabOceanet[[#This Row],[Type_tarif]]="Tarif_IPPUB",1,0)</f>
        <v>0</v>
      </c>
      <c r="V161" s="5">
        <f>TabOceanet[[#This Row],[isCalcIpPub]]*TabOceanet[[#This Row],[Nb_article]]*Tarif_IPPUB</f>
        <v>0</v>
      </c>
      <c r="W161" s="5">
        <f>IF(TabOceanet[[#This Row],[Type_tarif]]="Tarif_DNS",1,0)</f>
        <v>0</v>
      </c>
      <c r="X161" s="5">
        <f>TabOceanet[[#This Row],[isCalcDns]]*TabOceanet[[#This Row],[Nb_article]]*Tarif_DNS</f>
        <v>0</v>
      </c>
      <c r="Y161" s="5">
        <f>IF(TabOceanet[[#This Row],[Type_tarif]]="Tarif_Certificat_X509_Simple",1,0)</f>
        <v>0</v>
      </c>
      <c r="Z161" s="5">
        <f>TabOceanet[[#This Row],[isCalcCertSimple]]*TabOceanet[[#This Row],[Nb_article]]*Tarif_Certificat_X509_Simple</f>
        <v>0</v>
      </c>
      <c r="AA161" s="5">
        <f>IF(TabOceanet[[#This Row],[Type_tarif]]="Tarif_Certificat_X509_Wildcard",1,0)</f>
        <v>0</v>
      </c>
      <c r="AB161" s="5">
        <f>TabOceanet[[#This Row],[isCalcCertWild]]*TabOceanet[[#This Row],[Nb_article]]*Tarif_Certificat_X509_Wildcard</f>
        <v>0</v>
      </c>
      <c r="AC161" s="5">
        <f>IF(TabOceanet[[#This Row],[Type_tarif]]="Tarif_Astreinte_24_24_7_7",1,0)</f>
        <v>0</v>
      </c>
      <c r="AD161" s="5">
        <f>TabOceanet[[#This Row],[isCalcAstreinte247]]*TabOceanet[[#This Row],[Nb_article]]*Tarif_Astreinte_24_24_7_7</f>
        <v>0</v>
      </c>
      <c r="AE161" s="5">
        <f>IF(TabOceanet[[#This Row],[VM_status]]="PoweredOn",1,0)</f>
        <v>1</v>
      </c>
      <c r="AF161" s="17">
        <f>TabOceanet[[#This Row],[VM_mem]]*Tarif_Ram</f>
        <v>6.4</v>
      </c>
      <c r="AG161" s="5" t="str">
        <f>MID(TabOceanet[[#This Row],[Backup]],29,20)</f>
        <v>J15_1</v>
      </c>
      <c r="AH161" s="25">
        <f>IF(LEFT(TabOceanet[[#This Row],[TypeBAK]],3)="HOR",Tarif_Backup_Horaire*TabOceanet[[#This Row],[VM_disk]],IF(LEFT(TabOceanet[[#This Row],[TypeBAK]],3)="J15",Tarif_Backup_J15*TabOceanet[[#This Row],[VM_disk]],IF(LEFT(TabOceanet[[#This Row],[TypeBAK]],3)="H1_",Tarif_Backup_J15*TabOceanet[[#This Row],[VM_disk]],0)))</f>
        <v>3.68</v>
      </c>
      <c r="AI161" s="17">
        <f>TabOceanet[[#This Row],[VM_disk]]*Tarif_disque</f>
        <v>0</v>
      </c>
      <c r="AJ161"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10.08</v>
      </c>
    </row>
    <row r="162" spans="1:36" hidden="1" x14ac:dyDescent="0.25">
      <c r="A162" t="s">
        <v>134</v>
      </c>
      <c r="B162">
        <v>2</v>
      </c>
      <c r="C162">
        <v>4</v>
      </c>
      <c r="D162">
        <v>21</v>
      </c>
      <c r="E162" t="s">
        <v>426</v>
      </c>
      <c r="G162" t="s">
        <v>1275</v>
      </c>
      <c r="H162" t="s">
        <v>1274</v>
      </c>
      <c r="I162" t="s">
        <v>419</v>
      </c>
      <c r="J162" t="s">
        <v>414</v>
      </c>
      <c r="K162" t="s">
        <v>406</v>
      </c>
      <c r="L162" t="s">
        <v>410</v>
      </c>
      <c r="M162" t="s">
        <v>1322</v>
      </c>
      <c r="N162" t="s">
        <v>412</v>
      </c>
      <c r="O162">
        <v>10006791</v>
      </c>
      <c r="P162" t="s">
        <v>413</v>
      </c>
      <c r="Q162" s="5">
        <f>VLOOKUP(TabOceanet[VM_name],TabVMEnv[],3,FALSE)</f>
        <v>0</v>
      </c>
      <c r="R162" s="5" t="str">
        <f>IF(VLOOKUP(TabOceanet[VM_name],TabVMEnv[],2,FALSE) = "","Non","")</f>
        <v/>
      </c>
      <c r="S162" s="5">
        <f>IF(TabOceanet[[#This Row],[Type_tarif]]="Tarif_VLAN",1,0)</f>
        <v>0</v>
      </c>
      <c r="T162" s="5">
        <f>TabOceanet[[#This Row],[isCalcVlan]]*TabOceanet[[#This Row],[Nb_article]]*Tarif_VLAN</f>
        <v>0</v>
      </c>
      <c r="U162" s="5">
        <f>IF(TabOceanet[[#This Row],[Type_tarif]]="Tarif_IPPUB",1,0)</f>
        <v>0</v>
      </c>
      <c r="V162" s="5">
        <f>TabOceanet[[#This Row],[isCalcIpPub]]*TabOceanet[[#This Row],[Nb_article]]*Tarif_IPPUB</f>
        <v>0</v>
      </c>
      <c r="W162" s="5">
        <f>IF(TabOceanet[[#This Row],[Type_tarif]]="Tarif_DNS",1,0)</f>
        <v>0</v>
      </c>
      <c r="X162" s="5">
        <f>TabOceanet[[#This Row],[isCalcDns]]*TabOceanet[[#This Row],[Nb_article]]*Tarif_DNS</f>
        <v>0</v>
      </c>
      <c r="Y162" s="5">
        <f>IF(TabOceanet[[#This Row],[Type_tarif]]="Tarif_Certificat_X509_Simple",1,0)</f>
        <v>0</v>
      </c>
      <c r="Z162" s="5">
        <f>TabOceanet[[#This Row],[isCalcCertSimple]]*TabOceanet[[#This Row],[Nb_article]]*Tarif_Certificat_X509_Simple</f>
        <v>0</v>
      </c>
      <c r="AA162" s="5">
        <f>IF(TabOceanet[[#This Row],[Type_tarif]]="Tarif_Certificat_X509_Wildcard",1,0)</f>
        <v>0</v>
      </c>
      <c r="AB162" s="5">
        <f>TabOceanet[[#This Row],[isCalcCertWild]]*TabOceanet[[#This Row],[Nb_article]]*Tarif_Certificat_X509_Wildcard</f>
        <v>0</v>
      </c>
      <c r="AC162" s="5">
        <f>IF(TabOceanet[[#This Row],[Type_tarif]]="Tarif_Astreinte_24_24_7_7",1,0)</f>
        <v>0</v>
      </c>
      <c r="AD162" s="5">
        <f>TabOceanet[[#This Row],[isCalcAstreinte247]]*TabOceanet[[#This Row],[Nb_article]]*Tarif_Astreinte_24_24_7_7</f>
        <v>0</v>
      </c>
      <c r="AE162" s="5">
        <f>IF(TabOceanet[[#This Row],[VM_status]]="PoweredOn",1,0)</f>
        <v>1</v>
      </c>
      <c r="AF162" s="17">
        <f>TabOceanet[[#This Row],[VM_mem]]*Tarif_Ram</f>
        <v>6.4</v>
      </c>
      <c r="AG162" s="5" t="str">
        <f>MID(TabOceanet[[#This Row],[Backup]],29,20)</f>
        <v>J15_1</v>
      </c>
      <c r="AH162" s="25">
        <f>IF(LEFT(TabOceanet[[#This Row],[TypeBAK]],3)="HOR",Tarif_Backup_Horaire*TabOceanet[[#This Row],[VM_disk]],IF(LEFT(TabOceanet[[#This Row],[TypeBAK]],3)="J15",Tarif_Backup_J15*TabOceanet[[#This Row],[VM_disk]],IF(LEFT(TabOceanet[[#This Row],[TypeBAK]],3)="H1_",Tarif_Backup_J15*TabOceanet[[#This Row],[VM_disk]],0)))</f>
        <v>4.83</v>
      </c>
      <c r="AI162" s="17">
        <f>TabOceanet[[#This Row],[VM_disk]]*Tarif_disque</f>
        <v>0</v>
      </c>
      <c r="AJ162"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11.23</v>
      </c>
    </row>
    <row r="163" spans="1:36" hidden="1" x14ac:dyDescent="0.25">
      <c r="A163" t="s">
        <v>143</v>
      </c>
      <c r="B163">
        <v>2</v>
      </c>
      <c r="C163">
        <v>4</v>
      </c>
      <c r="D163">
        <v>21</v>
      </c>
      <c r="E163" t="s">
        <v>426</v>
      </c>
      <c r="G163" t="s">
        <v>1273</v>
      </c>
      <c r="H163" t="s">
        <v>1274</v>
      </c>
      <c r="I163" t="s">
        <v>419</v>
      </c>
      <c r="J163" t="s">
        <v>414</v>
      </c>
      <c r="K163" t="s">
        <v>406</v>
      </c>
      <c r="L163" t="s">
        <v>410</v>
      </c>
      <c r="M163" t="s">
        <v>1322</v>
      </c>
      <c r="N163" t="s">
        <v>412</v>
      </c>
      <c r="O163">
        <v>10006791</v>
      </c>
      <c r="P163" t="s">
        <v>413</v>
      </c>
      <c r="Q163" s="5">
        <f>VLOOKUP(TabOceanet[VM_name],TabVMEnv[],3,FALSE)</f>
        <v>0</v>
      </c>
      <c r="R163" s="5" t="str">
        <f>IF(VLOOKUP(TabOceanet[VM_name],TabVMEnv[],2,FALSE) = "","Non","")</f>
        <v/>
      </c>
      <c r="S163" s="5">
        <f>IF(TabOceanet[[#This Row],[Type_tarif]]="Tarif_VLAN",1,0)</f>
        <v>0</v>
      </c>
      <c r="T163" s="5">
        <f>TabOceanet[[#This Row],[isCalcVlan]]*TabOceanet[[#This Row],[Nb_article]]*Tarif_VLAN</f>
        <v>0</v>
      </c>
      <c r="U163" s="5">
        <f>IF(TabOceanet[[#This Row],[Type_tarif]]="Tarif_IPPUB",1,0)</f>
        <v>0</v>
      </c>
      <c r="V163" s="5">
        <f>TabOceanet[[#This Row],[isCalcIpPub]]*TabOceanet[[#This Row],[Nb_article]]*Tarif_IPPUB</f>
        <v>0</v>
      </c>
      <c r="W163" s="5">
        <f>IF(TabOceanet[[#This Row],[Type_tarif]]="Tarif_DNS",1,0)</f>
        <v>0</v>
      </c>
      <c r="X163" s="5">
        <f>TabOceanet[[#This Row],[isCalcDns]]*TabOceanet[[#This Row],[Nb_article]]*Tarif_DNS</f>
        <v>0</v>
      </c>
      <c r="Y163" s="5">
        <f>IF(TabOceanet[[#This Row],[Type_tarif]]="Tarif_Certificat_X509_Simple",1,0)</f>
        <v>0</v>
      </c>
      <c r="Z163" s="5">
        <f>TabOceanet[[#This Row],[isCalcCertSimple]]*TabOceanet[[#This Row],[Nb_article]]*Tarif_Certificat_X509_Simple</f>
        <v>0</v>
      </c>
      <c r="AA163" s="5">
        <f>IF(TabOceanet[[#This Row],[Type_tarif]]="Tarif_Certificat_X509_Wildcard",1,0)</f>
        <v>0</v>
      </c>
      <c r="AB163" s="5">
        <f>TabOceanet[[#This Row],[isCalcCertWild]]*TabOceanet[[#This Row],[Nb_article]]*Tarif_Certificat_X509_Wildcard</f>
        <v>0</v>
      </c>
      <c r="AC163" s="5">
        <f>IF(TabOceanet[[#This Row],[Type_tarif]]="Tarif_Astreinte_24_24_7_7",1,0)</f>
        <v>0</v>
      </c>
      <c r="AD163" s="5">
        <f>TabOceanet[[#This Row],[isCalcAstreinte247]]*TabOceanet[[#This Row],[Nb_article]]*Tarif_Astreinte_24_24_7_7</f>
        <v>0</v>
      </c>
      <c r="AE163" s="5">
        <f>IF(TabOceanet[[#This Row],[VM_status]]="PoweredOn",1,0)</f>
        <v>1</v>
      </c>
      <c r="AF163" s="17">
        <f>TabOceanet[[#This Row],[VM_mem]]*Tarif_Ram</f>
        <v>6.4</v>
      </c>
      <c r="AG163" s="5" t="str">
        <f>MID(TabOceanet[[#This Row],[Backup]],29,20)</f>
        <v>J15_1</v>
      </c>
      <c r="AH163" s="25">
        <f>IF(LEFT(TabOceanet[[#This Row],[TypeBAK]],3)="HOR",Tarif_Backup_Horaire*TabOceanet[[#This Row],[VM_disk]],IF(LEFT(TabOceanet[[#This Row],[TypeBAK]],3)="J15",Tarif_Backup_J15*TabOceanet[[#This Row],[VM_disk]],IF(LEFT(TabOceanet[[#This Row],[TypeBAK]],3)="H1_",Tarif_Backup_J15*TabOceanet[[#This Row],[VM_disk]],0)))</f>
        <v>4.83</v>
      </c>
      <c r="AI163" s="17">
        <f>TabOceanet[[#This Row],[VM_disk]]*Tarif_disque</f>
        <v>0</v>
      </c>
      <c r="AJ163"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11.23</v>
      </c>
    </row>
    <row r="164" spans="1:36" hidden="1" x14ac:dyDescent="0.25">
      <c r="A164" t="s">
        <v>145</v>
      </c>
      <c r="B164">
        <v>2</v>
      </c>
      <c r="C164">
        <v>4</v>
      </c>
      <c r="D164">
        <v>21</v>
      </c>
      <c r="E164" t="s">
        <v>426</v>
      </c>
      <c r="G164" t="s">
        <v>1275</v>
      </c>
      <c r="H164" t="s">
        <v>1274</v>
      </c>
      <c r="I164" t="s">
        <v>419</v>
      </c>
      <c r="J164" t="s">
        <v>414</v>
      </c>
      <c r="K164" t="s">
        <v>406</v>
      </c>
      <c r="L164" t="s">
        <v>410</v>
      </c>
      <c r="M164" t="s">
        <v>1322</v>
      </c>
      <c r="N164" t="s">
        <v>412</v>
      </c>
      <c r="O164">
        <v>10006791</v>
      </c>
      <c r="P164" t="s">
        <v>413</v>
      </c>
      <c r="Q164" s="5">
        <f>VLOOKUP(TabOceanet[VM_name],TabVMEnv[],3,FALSE)</f>
        <v>0</v>
      </c>
      <c r="R164" s="5" t="str">
        <f>IF(VLOOKUP(TabOceanet[VM_name],TabVMEnv[],2,FALSE) = "","Non","")</f>
        <v/>
      </c>
      <c r="S164" s="5">
        <f>IF(TabOceanet[[#This Row],[Type_tarif]]="Tarif_VLAN",1,0)</f>
        <v>0</v>
      </c>
      <c r="T164" s="5">
        <f>TabOceanet[[#This Row],[isCalcVlan]]*TabOceanet[[#This Row],[Nb_article]]*Tarif_VLAN</f>
        <v>0</v>
      </c>
      <c r="U164" s="5">
        <f>IF(TabOceanet[[#This Row],[Type_tarif]]="Tarif_IPPUB",1,0)</f>
        <v>0</v>
      </c>
      <c r="V164" s="5">
        <f>TabOceanet[[#This Row],[isCalcIpPub]]*TabOceanet[[#This Row],[Nb_article]]*Tarif_IPPUB</f>
        <v>0</v>
      </c>
      <c r="W164" s="5">
        <f>IF(TabOceanet[[#This Row],[Type_tarif]]="Tarif_DNS",1,0)</f>
        <v>0</v>
      </c>
      <c r="X164" s="5">
        <f>TabOceanet[[#This Row],[isCalcDns]]*TabOceanet[[#This Row],[Nb_article]]*Tarif_DNS</f>
        <v>0</v>
      </c>
      <c r="Y164" s="5">
        <f>IF(TabOceanet[[#This Row],[Type_tarif]]="Tarif_Certificat_X509_Simple",1,0)</f>
        <v>0</v>
      </c>
      <c r="Z164" s="5">
        <f>TabOceanet[[#This Row],[isCalcCertSimple]]*TabOceanet[[#This Row],[Nb_article]]*Tarif_Certificat_X509_Simple</f>
        <v>0</v>
      </c>
      <c r="AA164" s="5">
        <f>IF(TabOceanet[[#This Row],[Type_tarif]]="Tarif_Certificat_X509_Wildcard",1,0)</f>
        <v>0</v>
      </c>
      <c r="AB164" s="5">
        <f>TabOceanet[[#This Row],[isCalcCertWild]]*TabOceanet[[#This Row],[Nb_article]]*Tarif_Certificat_X509_Wildcard</f>
        <v>0</v>
      </c>
      <c r="AC164" s="5">
        <f>IF(TabOceanet[[#This Row],[Type_tarif]]="Tarif_Astreinte_24_24_7_7",1,0)</f>
        <v>0</v>
      </c>
      <c r="AD164" s="5">
        <f>TabOceanet[[#This Row],[isCalcAstreinte247]]*TabOceanet[[#This Row],[Nb_article]]*Tarif_Astreinte_24_24_7_7</f>
        <v>0</v>
      </c>
      <c r="AE164" s="5">
        <f>IF(TabOceanet[[#This Row],[VM_status]]="PoweredOn",1,0)</f>
        <v>1</v>
      </c>
      <c r="AF164" s="17">
        <f>TabOceanet[[#This Row],[VM_mem]]*Tarif_Ram</f>
        <v>6.4</v>
      </c>
      <c r="AG164" s="5" t="str">
        <f>MID(TabOceanet[[#This Row],[Backup]],29,20)</f>
        <v>J15_1</v>
      </c>
      <c r="AH164" s="25">
        <f>IF(LEFT(TabOceanet[[#This Row],[TypeBAK]],3)="HOR",Tarif_Backup_Horaire*TabOceanet[[#This Row],[VM_disk]],IF(LEFT(TabOceanet[[#This Row],[TypeBAK]],3)="J15",Tarif_Backup_J15*TabOceanet[[#This Row],[VM_disk]],IF(LEFT(TabOceanet[[#This Row],[TypeBAK]],3)="H1_",Tarif_Backup_J15*TabOceanet[[#This Row],[VM_disk]],0)))</f>
        <v>4.83</v>
      </c>
      <c r="AI164" s="17">
        <f>TabOceanet[[#This Row],[VM_disk]]*Tarif_disque</f>
        <v>0</v>
      </c>
      <c r="AJ164"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11.23</v>
      </c>
    </row>
    <row r="165" spans="1:36" hidden="1" x14ac:dyDescent="0.25">
      <c r="A165" t="s">
        <v>146</v>
      </c>
      <c r="B165">
        <v>2</v>
      </c>
      <c r="C165">
        <v>4</v>
      </c>
      <c r="D165">
        <v>21</v>
      </c>
      <c r="E165" t="s">
        <v>426</v>
      </c>
      <c r="G165" t="s">
        <v>1273</v>
      </c>
      <c r="H165" t="s">
        <v>1274</v>
      </c>
      <c r="I165" t="s">
        <v>419</v>
      </c>
      <c r="J165" t="s">
        <v>414</v>
      </c>
      <c r="K165" t="s">
        <v>406</v>
      </c>
      <c r="L165" t="s">
        <v>410</v>
      </c>
      <c r="M165" t="s">
        <v>1322</v>
      </c>
      <c r="N165" t="s">
        <v>412</v>
      </c>
      <c r="O165">
        <v>10006791</v>
      </c>
      <c r="P165" t="s">
        <v>413</v>
      </c>
      <c r="Q165" s="5">
        <f>VLOOKUP(TabOceanet[VM_name],TabVMEnv[],3,FALSE)</f>
        <v>0</v>
      </c>
      <c r="R165" s="5" t="str">
        <f>IF(VLOOKUP(TabOceanet[VM_name],TabVMEnv[],2,FALSE) = "","Non","")</f>
        <v/>
      </c>
      <c r="S165" s="5">
        <f>IF(TabOceanet[[#This Row],[Type_tarif]]="Tarif_VLAN",1,0)</f>
        <v>0</v>
      </c>
      <c r="T165" s="5">
        <f>TabOceanet[[#This Row],[isCalcVlan]]*TabOceanet[[#This Row],[Nb_article]]*Tarif_VLAN</f>
        <v>0</v>
      </c>
      <c r="U165" s="5">
        <f>IF(TabOceanet[[#This Row],[Type_tarif]]="Tarif_IPPUB",1,0)</f>
        <v>0</v>
      </c>
      <c r="V165" s="5">
        <f>TabOceanet[[#This Row],[isCalcIpPub]]*TabOceanet[[#This Row],[Nb_article]]*Tarif_IPPUB</f>
        <v>0</v>
      </c>
      <c r="W165" s="5">
        <f>IF(TabOceanet[[#This Row],[Type_tarif]]="Tarif_DNS",1,0)</f>
        <v>0</v>
      </c>
      <c r="X165" s="5">
        <f>TabOceanet[[#This Row],[isCalcDns]]*TabOceanet[[#This Row],[Nb_article]]*Tarif_DNS</f>
        <v>0</v>
      </c>
      <c r="Y165" s="5">
        <f>IF(TabOceanet[[#This Row],[Type_tarif]]="Tarif_Certificat_X509_Simple",1,0)</f>
        <v>0</v>
      </c>
      <c r="Z165" s="5">
        <f>TabOceanet[[#This Row],[isCalcCertSimple]]*TabOceanet[[#This Row],[Nb_article]]*Tarif_Certificat_X509_Simple</f>
        <v>0</v>
      </c>
      <c r="AA165" s="5">
        <f>IF(TabOceanet[[#This Row],[Type_tarif]]="Tarif_Certificat_X509_Wildcard",1,0)</f>
        <v>0</v>
      </c>
      <c r="AB165" s="5">
        <f>TabOceanet[[#This Row],[isCalcCertWild]]*TabOceanet[[#This Row],[Nb_article]]*Tarif_Certificat_X509_Wildcard</f>
        <v>0</v>
      </c>
      <c r="AC165" s="5">
        <f>IF(TabOceanet[[#This Row],[Type_tarif]]="Tarif_Astreinte_24_24_7_7",1,0)</f>
        <v>0</v>
      </c>
      <c r="AD165" s="5">
        <f>TabOceanet[[#This Row],[isCalcAstreinte247]]*TabOceanet[[#This Row],[Nb_article]]*Tarif_Astreinte_24_24_7_7</f>
        <v>0</v>
      </c>
      <c r="AE165" s="5">
        <f>IF(TabOceanet[[#This Row],[VM_status]]="PoweredOn",1,0)</f>
        <v>1</v>
      </c>
      <c r="AF165" s="17">
        <f>TabOceanet[[#This Row],[VM_mem]]*Tarif_Ram</f>
        <v>6.4</v>
      </c>
      <c r="AG165" s="5" t="str">
        <f>MID(TabOceanet[[#This Row],[Backup]],29,20)</f>
        <v>J15_1</v>
      </c>
      <c r="AH165" s="25">
        <f>IF(LEFT(TabOceanet[[#This Row],[TypeBAK]],3)="HOR",Tarif_Backup_Horaire*TabOceanet[[#This Row],[VM_disk]],IF(LEFT(TabOceanet[[#This Row],[TypeBAK]],3)="J15",Tarif_Backup_J15*TabOceanet[[#This Row],[VM_disk]],IF(LEFT(TabOceanet[[#This Row],[TypeBAK]],3)="H1_",Tarif_Backup_J15*TabOceanet[[#This Row],[VM_disk]],0)))</f>
        <v>4.83</v>
      </c>
      <c r="AI165" s="17">
        <f>TabOceanet[[#This Row],[VM_disk]]*Tarif_disque</f>
        <v>0</v>
      </c>
      <c r="AJ165"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11.23</v>
      </c>
    </row>
    <row r="166" spans="1:36" hidden="1" x14ac:dyDescent="0.25">
      <c r="A166" t="s">
        <v>147</v>
      </c>
      <c r="B166">
        <v>2</v>
      </c>
      <c r="C166">
        <v>4</v>
      </c>
      <c r="D166">
        <v>21</v>
      </c>
      <c r="E166" t="s">
        <v>426</v>
      </c>
      <c r="G166" t="s">
        <v>1273</v>
      </c>
      <c r="H166" t="s">
        <v>1274</v>
      </c>
      <c r="I166" t="s">
        <v>419</v>
      </c>
      <c r="J166" t="s">
        <v>414</v>
      </c>
      <c r="K166" t="s">
        <v>406</v>
      </c>
      <c r="L166" t="s">
        <v>410</v>
      </c>
      <c r="M166" t="s">
        <v>1322</v>
      </c>
      <c r="N166" t="s">
        <v>412</v>
      </c>
      <c r="O166">
        <v>10006791</v>
      </c>
      <c r="P166" t="s">
        <v>413</v>
      </c>
      <c r="Q166" s="5">
        <f>VLOOKUP(TabOceanet[VM_name],TabVMEnv[],3,FALSE)</f>
        <v>0</v>
      </c>
      <c r="R166" s="5" t="str">
        <f>IF(VLOOKUP(TabOceanet[VM_name],TabVMEnv[],2,FALSE) = "","Non","")</f>
        <v/>
      </c>
      <c r="S166" s="5">
        <f>IF(TabOceanet[[#This Row],[Type_tarif]]="Tarif_VLAN",1,0)</f>
        <v>0</v>
      </c>
      <c r="T166" s="5">
        <f>TabOceanet[[#This Row],[isCalcVlan]]*TabOceanet[[#This Row],[Nb_article]]*Tarif_VLAN</f>
        <v>0</v>
      </c>
      <c r="U166" s="5">
        <f>IF(TabOceanet[[#This Row],[Type_tarif]]="Tarif_IPPUB",1,0)</f>
        <v>0</v>
      </c>
      <c r="V166" s="5">
        <f>TabOceanet[[#This Row],[isCalcIpPub]]*TabOceanet[[#This Row],[Nb_article]]*Tarif_IPPUB</f>
        <v>0</v>
      </c>
      <c r="W166" s="5">
        <f>IF(TabOceanet[[#This Row],[Type_tarif]]="Tarif_DNS",1,0)</f>
        <v>0</v>
      </c>
      <c r="X166" s="5">
        <f>TabOceanet[[#This Row],[isCalcDns]]*TabOceanet[[#This Row],[Nb_article]]*Tarif_DNS</f>
        <v>0</v>
      </c>
      <c r="Y166" s="5">
        <f>IF(TabOceanet[[#This Row],[Type_tarif]]="Tarif_Certificat_X509_Simple",1,0)</f>
        <v>0</v>
      </c>
      <c r="Z166" s="5">
        <f>TabOceanet[[#This Row],[isCalcCertSimple]]*TabOceanet[[#This Row],[Nb_article]]*Tarif_Certificat_X509_Simple</f>
        <v>0</v>
      </c>
      <c r="AA166" s="5">
        <f>IF(TabOceanet[[#This Row],[Type_tarif]]="Tarif_Certificat_X509_Wildcard",1,0)</f>
        <v>0</v>
      </c>
      <c r="AB166" s="5">
        <f>TabOceanet[[#This Row],[isCalcCertWild]]*TabOceanet[[#This Row],[Nb_article]]*Tarif_Certificat_X509_Wildcard</f>
        <v>0</v>
      </c>
      <c r="AC166" s="5">
        <f>IF(TabOceanet[[#This Row],[Type_tarif]]="Tarif_Astreinte_24_24_7_7",1,0)</f>
        <v>0</v>
      </c>
      <c r="AD166" s="5">
        <f>TabOceanet[[#This Row],[isCalcAstreinte247]]*TabOceanet[[#This Row],[Nb_article]]*Tarif_Astreinte_24_24_7_7</f>
        <v>0</v>
      </c>
      <c r="AE166" s="5">
        <f>IF(TabOceanet[[#This Row],[VM_status]]="PoweredOn",1,0)</f>
        <v>1</v>
      </c>
      <c r="AF166" s="17">
        <f>TabOceanet[[#This Row],[VM_mem]]*Tarif_Ram</f>
        <v>6.4</v>
      </c>
      <c r="AG166" s="5" t="str">
        <f>MID(TabOceanet[[#This Row],[Backup]],29,20)</f>
        <v>J15_1</v>
      </c>
      <c r="AH166" s="25">
        <f>IF(LEFT(TabOceanet[[#This Row],[TypeBAK]],3)="HOR",Tarif_Backup_Horaire*TabOceanet[[#This Row],[VM_disk]],IF(LEFT(TabOceanet[[#This Row],[TypeBAK]],3)="J15",Tarif_Backup_J15*TabOceanet[[#This Row],[VM_disk]],IF(LEFT(TabOceanet[[#This Row],[TypeBAK]],3)="H1_",Tarif_Backup_J15*TabOceanet[[#This Row],[VM_disk]],0)))</f>
        <v>4.83</v>
      </c>
      <c r="AI166" s="17">
        <f>TabOceanet[[#This Row],[VM_disk]]*Tarif_disque</f>
        <v>0</v>
      </c>
      <c r="AJ166"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11.23</v>
      </c>
    </row>
    <row r="167" spans="1:36" hidden="1" x14ac:dyDescent="0.25">
      <c r="A167" t="s">
        <v>123</v>
      </c>
      <c r="B167">
        <v>2</v>
      </c>
      <c r="C167">
        <v>4</v>
      </c>
      <c r="D167">
        <v>21</v>
      </c>
      <c r="E167" t="s">
        <v>426</v>
      </c>
      <c r="G167" t="s">
        <v>1275</v>
      </c>
      <c r="H167" t="s">
        <v>1274</v>
      </c>
      <c r="I167" t="s">
        <v>419</v>
      </c>
      <c r="J167" t="s">
        <v>414</v>
      </c>
      <c r="K167" t="s">
        <v>406</v>
      </c>
      <c r="L167" t="s">
        <v>410</v>
      </c>
      <c r="M167" t="s">
        <v>1322</v>
      </c>
      <c r="N167" t="s">
        <v>412</v>
      </c>
      <c r="O167">
        <v>10006791</v>
      </c>
      <c r="P167" t="s">
        <v>413</v>
      </c>
      <c r="Q167" s="5">
        <f>VLOOKUP(TabOceanet[VM_name],TabVMEnv[],3,FALSE)</f>
        <v>0</v>
      </c>
      <c r="R167" s="5" t="str">
        <f>IF(VLOOKUP(TabOceanet[VM_name],TabVMEnv[],2,FALSE) = "","Non","")</f>
        <v/>
      </c>
      <c r="S167" s="5">
        <f>IF(TabOceanet[[#This Row],[Type_tarif]]="Tarif_VLAN",1,0)</f>
        <v>0</v>
      </c>
      <c r="T167" s="5">
        <f>TabOceanet[[#This Row],[isCalcVlan]]*TabOceanet[[#This Row],[Nb_article]]*Tarif_VLAN</f>
        <v>0</v>
      </c>
      <c r="U167" s="5">
        <f>IF(TabOceanet[[#This Row],[Type_tarif]]="Tarif_IPPUB",1,0)</f>
        <v>0</v>
      </c>
      <c r="V167" s="5">
        <f>TabOceanet[[#This Row],[isCalcIpPub]]*TabOceanet[[#This Row],[Nb_article]]*Tarif_IPPUB</f>
        <v>0</v>
      </c>
      <c r="W167" s="5">
        <f>IF(TabOceanet[[#This Row],[Type_tarif]]="Tarif_DNS",1,0)</f>
        <v>0</v>
      </c>
      <c r="X167" s="5">
        <f>TabOceanet[[#This Row],[isCalcDns]]*TabOceanet[[#This Row],[Nb_article]]*Tarif_DNS</f>
        <v>0</v>
      </c>
      <c r="Y167" s="5">
        <f>IF(TabOceanet[[#This Row],[Type_tarif]]="Tarif_Certificat_X509_Simple",1,0)</f>
        <v>0</v>
      </c>
      <c r="Z167" s="5">
        <f>TabOceanet[[#This Row],[isCalcCertSimple]]*TabOceanet[[#This Row],[Nb_article]]*Tarif_Certificat_X509_Simple</f>
        <v>0</v>
      </c>
      <c r="AA167" s="5">
        <f>IF(TabOceanet[[#This Row],[Type_tarif]]="Tarif_Certificat_X509_Wildcard",1,0)</f>
        <v>0</v>
      </c>
      <c r="AB167" s="5">
        <f>TabOceanet[[#This Row],[isCalcCertWild]]*TabOceanet[[#This Row],[Nb_article]]*Tarif_Certificat_X509_Wildcard</f>
        <v>0</v>
      </c>
      <c r="AC167" s="5">
        <f>IF(TabOceanet[[#This Row],[Type_tarif]]="Tarif_Astreinte_24_24_7_7",1,0)</f>
        <v>0</v>
      </c>
      <c r="AD167" s="5">
        <f>TabOceanet[[#This Row],[isCalcAstreinte247]]*TabOceanet[[#This Row],[Nb_article]]*Tarif_Astreinte_24_24_7_7</f>
        <v>0</v>
      </c>
      <c r="AE167" s="5">
        <f>IF(TabOceanet[[#This Row],[VM_status]]="PoweredOn",1,0)</f>
        <v>1</v>
      </c>
      <c r="AF167" s="17">
        <f>TabOceanet[[#This Row],[VM_mem]]*Tarif_Ram</f>
        <v>6.4</v>
      </c>
      <c r="AG167" s="5" t="str">
        <f>MID(TabOceanet[[#This Row],[Backup]],29,20)</f>
        <v>J15_1</v>
      </c>
      <c r="AH167" s="25">
        <f>IF(LEFT(TabOceanet[[#This Row],[TypeBAK]],3)="HOR",Tarif_Backup_Horaire*TabOceanet[[#This Row],[VM_disk]],IF(LEFT(TabOceanet[[#This Row],[TypeBAK]],3)="J15",Tarif_Backup_J15*TabOceanet[[#This Row],[VM_disk]],IF(LEFT(TabOceanet[[#This Row],[TypeBAK]],3)="H1_",Tarif_Backup_J15*TabOceanet[[#This Row],[VM_disk]],0)))</f>
        <v>4.83</v>
      </c>
      <c r="AI167" s="17">
        <f>TabOceanet[[#This Row],[VM_disk]]*Tarif_disque</f>
        <v>0</v>
      </c>
      <c r="AJ167"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11.23</v>
      </c>
    </row>
    <row r="168" spans="1:36" hidden="1" x14ac:dyDescent="0.25">
      <c r="A168" t="s">
        <v>1236</v>
      </c>
      <c r="B168">
        <v>2</v>
      </c>
      <c r="C168">
        <v>4</v>
      </c>
      <c r="D168">
        <v>21</v>
      </c>
      <c r="E168" t="s">
        <v>426</v>
      </c>
      <c r="G168" t="s">
        <v>1275</v>
      </c>
      <c r="H168" t="s">
        <v>1274</v>
      </c>
      <c r="I168" t="s">
        <v>419</v>
      </c>
      <c r="J168" t="s">
        <v>414</v>
      </c>
      <c r="K168" t="s">
        <v>406</v>
      </c>
      <c r="L168" t="s">
        <v>410</v>
      </c>
      <c r="M168" t="s">
        <v>1322</v>
      </c>
      <c r="N168" t="s">
        <v>412</v>
      </c>
      <c r="O168">
        <v>10006791</v>
      </c>
      <c r="P168" t="s">
        <v>413</v>
      </c>
      <c r="Q168" s="5">
        <f>VLOOKUP(TabOceanet[VM_name],TabVMEnv[],3,FALSE)</f>
        <v>0</v>
      </c>
      <c r="R168" s="5" t="str">
        <f>IF(VLOOKUP(TabOceanet[VM_name],TabVMEnv[],2,FALSE) = "","Non","")</f>
        <v/>
      </c>
      <c r="S168" s="5">
        <f>IF(TabOceanet[[#This Row],[Type_tarif]]="Tarif_VLAN",1,0)</f>
        <v>0</v>
      </c>
      <c r="T168" s="5">
        <f>TabOceanet[[#This Row],[isCalcVlan]]*TabOceanet[[#This Row],[Nb_article]]*Tarif_VLAN</f>
        <v>0</v>
      </c>
      <c r="U168" s="5">
        <f>IF(TabOceanet[[#This Row],[Type_tarif]]="Tarif_IPPUB",1,0)</f>
        <v>0</v>
      </c>
      <c r="V168" s="5">
        <f>TabOceanet[[#This Row],[isCalcIpPub]]*TabOceanet[[#This Row],[Nb_article]]*Tarif_IPPUB</f>
        <v>0</v>
      </c>
      <c r="W168" s="5">
        <f>IF(TabOceanet[[#This Row],[Type_tarif]]="Tarif_DNS",1,0)</f>
        <v>0</v>
      </c>
      <c r="X168" s="5">
        <f>TabOceanet[[#This Row],[isCalcDns]]*TabOceanet[[#This Row],[Nb_article]]*Tarif_DNS</f>
        <v>0</v>
      </c>
      <c r="Y168" s="5">
        <f>IF(TabOceanet[[#This Row],[Type_tarif]]="Tarif_Certificat_X509_Simple",1,0)</f>
        <v>0</v>
      </c>
      <c r="Z168" s="5">
        <f>TabOceanet[[#This Row],[isCalcCertSimple]]*TabOceanet[[#This Row],[Nb_article]]*Tarif_Certificat_X509_Simple</f>
        <v>0</v>
      </c>
      <c r="AA168" s="5">
        <f>IF(TabOceanet[[#This Row],[Type_tarif]]="Tarif_Certificat_X509_Wildcard",1,0)</f>
        <v>0</v>
      </c>
      <c r="AB168" s="5">
        <f>TabOceanet[[#This Row],[isCalcCertWild]]*TabOceanet[[#This Row],[Nb_article]]*Tarif_Certificat_X509_Wildcard</f>
        <v>0</v>
      </c>
      <c r="AC168" s="5">
        <f>IF(TabOceanet[[#This Row],[Type_tarif]]="Tarif_Astreinte_24_24_7_7",1,0)</f>
        <v>0</v>
      </c>
      <c r="AD168" s="5">
        <f>TabOceanet[[#This Row],[isCalcAstreinte247]]*TabOceanet[[#This Row],[Nb_article]]*Tarif_Astreinte_24_24_7_7</f>
        <v>0</v>
      </c>
      <c r="AE168" s="5">
        <f>IF(TabOceanet[[#This Row],[VM_status]]="PoweredOn",1,0)</f>
        <v>1</v>
      </c>
      <c r="AF168" s="17">
        <f>TabOceanet[[#This Row],[VM_mem]]*Tarif_Ram</f>
        <v>6.4</v>
      </c>
      <c r="AG168" s="5" t="str">
        <f>MID(TabOceanet[[#This Row],[Backup]],29,20)</f>
        <v>J15_1</v>
      </c>
      <c r="AH168" s="25">
        <f>IF(LEFT(TabOceanet[[#This Row],[TypeBAK]],3)="HOR",Tarif_Backup_Horaire*TabOceanet[[#This Row],[VM_disk]],IF(LEFT(TabOceanet[[#This Row],[TypeBAK]],3)="J15",Tarif_Backup_J15*TabOceanet[[#This Row],[VM_disk]],IF(LEFT(TabOceanet[[#This Row],[TypeBAK]],3)="H1_",Tarif_Backup_J15*TabOceanet[[#This Row],[VM_disk]],0)))</f>
        <v>4.83</v>
      </c>
      <c r="AI168" s="17">
        <f>TabOceanet[[#This Row],[VM_disk]]*Tarif_disque</f>
        <v>0</v>
      </c>
      <c r="AJ168"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11.23</v>
      </c>
    </row>
    <row r="169" spans="1:36" hidden="1" x14ac:dyDescent="0.25">
      <c r="A169" t="s">
        <v>1237</v>
      </c>
      <c r="B169">
        <v>2</v>
      </c>
      <c r="C169">
        <v>4</v>
      </c>
      <c r="D169">
        <v>21</v>
      </c>
      <c r="E169" t="s">
        <v>426</v>
      </c>
      <c r="G169" t="s">
        <v>1275</v>
      </c>
      <c r="H169" t="s">
        <v>1274</v>
      </c>
      <c r="I169" t="s">
        <v>419</v>
      </c>
      <c r="J169" t="s">
        <v>414</v>
      </c>
      <c r="K169" t="s">
        <v>406</v>
      </c>
      <c r="L169" t="s">
        <v>410</v>
      </c>
      <c r="M169" t="s">
        <v>1322</v>
      </c>
      <c r="N169" t="s">
        <v>412</v>
      </c>
      <c r="O169">
        <v>10006791</v>
      </c>
      <c r="P169" t="s">
        <v>413</v>
      </c>
      <c r="Q169" s="5">
        <f>VLOOKUP(TabOceanet[VM_name],TabVMEnv[],3,FALSE)</f>
        <v>0</v>
      </c>
      <c r="R169" s="5" t="str">
        <f>IF(VLOOKUP(TabOceanet[VM_name],TabVMEnv[],2,FALSE) = "","Non","")</f>
        <v/>
      </c>
      <c r="S169" s="5">
        <f>IF(TabOceanet[[#This Row],[Type_tarif]]="Tarif_VLAN",1,0)</f>
        <v>0</v>
      </c>
      <c r="T169" s="5">
        <f>TabOceanet[[#This Row],[isCalcVlan]]*TabOceanet[[#This Row],[Nb_article]]*Tarif_VLAN</f>
        <v>0</v>
      </c>
      <c r="U169" s="5">
        <f>IF(TabOceanet[[#This Row],[Type_tarif]]="Tarif_IPPUB",1,0)</f>
        <v>0</v>
      </c>
      <c r="V169" s="5">
        <f>TabOceanet[[#This Row],[isCalcIpPub]]*TabOceanet[[#This Row],[Nb_article]]*Tarif_IPPUB</f>
        <v>0</v>
      </c>
      <c r="W169" s="5">
        <f>IF(TabOceanet[[#This Row],[Type_tarif]]="Tarif_DNS",1,0)</f>
        <v>0</v>
      </c>
      <c r="X169" s="5">
        <f>TabOceanet[[#This Row],[isCalcDns]]*TabOceanet[[#This Row],[Nb_article]]*Tarif_DNS</f>
        <v>0</v>
      </c>
      <c r="Y169" s="5">
        <f>IF(TabOceanet[[#This Row],[Type_tarif]]="Tarif_Certificat_X509_Simple",1,0)</f>
        <v>0</v>
      </c>
      <c r="Z169" s="5">
        <f>TabOceanet[[#This Row],[isCalcCertSimple]]*TabOceanet[[#This Row],[Nb_article]]*Tarif_Certificat_X509_Simple</f>
        <v>0</v>
      </c>
      <c r="AA169" s="5">
        <f>IF(TabOceanet[[#This Row],[Type_tarif]]="Tarif_Certificat_X509_Wildcard",1,0)</f>
        <v>0</v>
      </c>
      <c r="AB169" s="5">
        <f>TabOceanet[[#This Row],[isCalcCertWild]]*TabOceanet[[#This Row],[Nb_article]]*Tarif_Certificat_X509_Wildcard</f>
        <v>0</v>
      </c>
      <c r="AC169" s="5">
        <f>IF(TabOceanet[[#This Row],[Type_tarif]]="Tarif_Astreinte_24_24_7_7",1,0)</f>
        <v>0</v>
      </c>
      <c r="AD169" s="5">
        <f>TabOceanet[[#This Row],[isCalcAstreinte247]]*TabOceanet[[#This Row],[Nb_article]]*Tarif_Astreinte_24_24_7_7</f>
        <v>0</v>
      </c>
      <c r="AE169" s="5">
        <f>IF(TabOceanet[[#This Row],[VM_status]]="PoweredOn",1,0)</f>
        <v>1</v>
      </c>
      <c r="AF169" s="17">
        <f>TabOceanet[[#This Row],[VM_mem]]*Tarif_Ram</f>
        <v>6.4</v>
      </c>
      <c r="AG169" s="5" t="str">
        <f>MID(TabOceanet[[#This Row],[Backup]],29,20)</f>
        <v>J15_1</v>
      </c>
      <c r="AH169" s="25">
        <f>IF(LEFT(TabOceanet[[#This Row],[TypeBAK]],3)="HOR",Tarif_Backup_Horaire*TabOceanet[[#This Row],[VM_disk]],IF(LEFT(TabOceanet[[#This Row],[TypeBAK]],3)="J15",Tarif_Backup_J15*TabOceanet[[#This Row],[VM_disk]],IF(LEFT(TabOceanet[[#This Row],[TypeBAK]],3)="H1_",Tarif_Backup_J15*TabOceanet[[#This Row],[VM_disk]],0)))</f>
        <v>4.83</v>
      </c>
      <c r="AI169" s="17">
        <f>TabOceanet[[#This Row],[VM_disk]]*Tarif_disque</f>
        <v>0</v>
      </c>
      <c r="AJ169"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11.23</v>
      </c>
    </row>
    <row r="170" spans="1:36" hidden="1" x14ac:dyDescent="0.25">
      <c r="A170" t="s">
        <v>1281</v>
      </c>
      <c r="B170">
        <v>2</v>
      </c>
      <c r="C170">
        <v>4</v>
      </c>
      <c r="D170">
        <v>21</v>
      </c>
      <c r="E170" t="s">
        <v>426</v>
      </c>
      <c r="G170" t="s">
        <v>1275</v>
      </c>
      <c r="H170" t="s">
        <v>1274</v>
      </c>
      <c r="I170" t="s">
        <v>419</v>
      </c>
      <c r="K170" t="s">
        <v>406</v>
      </c>
      <c r="L170" t="s">
        <v>410</v>
      </c>
      <c r="M170" t="s">
        <v>1322</v>
      </c>
      <c r="N170" t="s">
        <v>412</v>
      </c>
      <c r="O170">
        <v>10006791</v>
      </c>
      <c r="P170" t="s">
        <v>413</v>
      </c>
      <c r="Q170" s="5">
        <f>VLOOKUP(TabOceanet[VM_name],TabVMEnv[],3,FALSE)</f>
        <v>0</v>
      </c>
      <c r="R170" s="5" t="str">
        <f>IF(VLOOKUP(TabOceanet[VM_name],TabVMEnv[],2,FALSE) = "","Non","")</f>
        <v/>
      </c>
      <c r="S170" s="5">
        <f>IF(TabOceanet[[#This Row],[Type_tarif]]="Tarif_VLAN",1,0)</f>
        <v>0</v>
      </c>
      <c r="T170" s="5">
        <f>TabOceanet[[#This Row],[isCalcVlan]]*TabOceanet[[#This Row],[Nb_article]]*Tarif_VLAN</f>
        <v>0</v>
      </c>
      <c r="U170" s="5">
        <f>IF(TabOceanet[[#This Row],[Type_tarif]]="Tarif_IPPUB",1,0)</f>
        <v>0</v>
      </c>
      <c r="V170" s="5">
        <f>TabOceanet[[#This Row],[isCalcIpPub]]*TabOceanet[[#This Row],[Nb_article]]*Tarif_IPPUB</f>
        <v>0</v>
      </c>
      <c r="W170" s="5">
        <f>IF(TabOceanet[[#This Row],[Type_tarif]]="Tarif_DNS",1,0)</f>
        <v>0</v>
      </c>
      <c r="X170" s="5">
        <f>TabOceanet[[#This Row],[isCalcDns]]*TabOceanet[[#This Row],[Nb_article]]*Tarif_DNS</f>
        <v>0</v>
      </c>
      <c r="Y170" s="5">
        <f>IF(TabOceanet[[#This Row],[Type_tarif]]="Tarif_Certificat_X509_Simple",1,0)</f>
        <v>0</v>
      </c>
      <c r="Z170" s="5">
        <f>TabOceanet[[#This Row],[isCalcCertSimple]]*TabOceanet[[#This Row],[Nb_article]]*Tarif_Certificat_X509_Simple</f>
        <v>0</v>
      </c>
      <c r="AA170" s="5">
        <f>IF(TabOceanet[[#This Row],[Type_tarif]]="Tarif_Certificat_X509_Wildcard",1,0)</f>
        <v>0</v>
      </c>
      <c r="AB170" s="5">
        <f>TabOceanet[[#This Row],[isCalcCertWild]]*TabOceanet[[#This Row],[Nb_article]]*Tarif_Certificat_X509_Wildcard</f>
        <v>0</v>
      </c>
      <c r="AC170" s="5">
        <f>IF(TabOceanet[[#This Row],[Type_tarif]]="Tarif_Astreinte_24_24_7_7",1,0)</f>
        <v>0</v>
      </c>
      <c r="AD170" s="5">
        <f>TabOceanet[[#This Row],[isCalcAstreinte247]]*TabOceanet[[#This Row],[Nb_article]]*Tarif_Astreinte_24_24_7_7</f>
        <v>0</v>
      </c>
      <c r="AE170" s="5">
        <f>IF(TabOceanet[[#This Row],[VM_status]]="PoweredOn",1,0)</f>
        <v>1</v>
      </c>
      <c r="AF170" s="17">
        <f>TabOceanet[[#This Row],[VM_mem]]*Tarif_Ram</f>
        <v>6.4</v>
      </c>
      <c r="AG170" s="5" t="str">
        <f>MID(TabOceanet[[#This Row],[Backup]],29,20)</f>
        <v>J15_1</v>
      </c>
      <c r="AH170" s="25">
        <f>IF(LEFT(TabOceanet[[#This Row],[TypeBAK]],3)="HOR",Tarif_Backup_Horaire*TabOceanet[[#This Row],[VM_disk]],IF(LEFT(TabOceanet[[#This Row],[TypeBAK]],3)="J15",Tarif_Backup_J15*TabOceanet[[#This Row],[VM_disk]],IF(LEFT(TabOceanet[[#This Row],[TypeBAK]],3)="H1_",Tarif_Backup_J15*TabOceanet[[#This Row],[VM_disk]],0)))</f>
        <v>4.83</v>
      </c>
      <c r="AI170" s="17">
        <f>TabOceanet[[#This Row],[VM_disk]]*Tarif_disque</f>
        <v>0</v>
      </c>
      <c r="AJ170"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11.23</v>
      </c>
    </row>
    <row r="171" spans="1:36" hidden="1" x14ac:dyDescent="0.25">
      <c r="A171" t="s">
        <v>1282</v>
      </c>
      <c r="B171">
        <v>2</v>
      </c>
      <c r="C171">
        <v>4</v>
      </c>
      <c r="D171">
        <v>21</v>
      </c>
      <c r="E171" t="s">
        <v>426</v>
      </c>
      <c r="G171" t="s">
        <v>1273</v>
      </c>
      <c r="H171" t="s">
        <v>1274</v>
      </c>
      <c r="I171" t="s">
        <v>419</v>
      </c>
      <c r="K171" t="s">
        <v>406</v>
      </c>
      <c r="L171" t="s">
        <v>410</v>
      </c>
      <c r="M171" t="s">
        <v>1322</v>
      </c>
      <c r="N171" t="s">
        <v>412</v>
      </c>
      <c r="O171">
        <v>10006791</v>
      </c>
      <c r="P171" t="s">
        <v>413</v>
      </c>
      <c r="Q171" s="5">
        <f>VLOOKUP(TabOceanet[VM_name],TabVMEnv[],3,FALSE)</f>
        <v>0</v>
      </c>
      <c r="R171" s="5" t="str">
        <f>IF(VLOOKUP(TabOceanet[VM_name],TabVMEnv[],2,FALSE) = "","Non","")</f>
        <v/>
      </c>
      <c r="S171" s="5">
        <f>IF(TabOceanet[[#This Row],[Type_tarif]]="Tarif_VLAN",1,0)</f>
        <v>0</v>
      </c>
      <c r="T171" s="5">
        <f>TabOceanet[[#This Row],[isCalcVlan]]*TabOceanet[[#This Row],[Nb_article]]*Tarif_VLAN</f>
        <v>0</v>
      </c>
      <c r="U171" s="5">
        <f>IF(TabOceanet[[#This Row],[Type_tarif]]="Tarif_IPPUB",1,0)</f>
        <v>0</v>
      </c>
      <c r="V171" s="5">
        <f>TabOceanet[[#This Row],[isCalcIpPub]]*TabOceanet[[#This Row],[Nb_article]]*Tarif_IPPUB</f>
        <v>0</v>
      </c>
      <c r="W171" s="5">
        <f>IF(TabOceanet[[#This Row],[Type_tarif]]="Tarif_DNS",1,0)</f>
        <v>0</v>
      </c>
      <c r="X171" s="5">
        <f>TabOceanet[[#This Row],[isCalcDns]]*TabOceanet[[#This Row],[Nb_article]]*Tarif_DNS</f>
        <v>0</v>
      </c>
      <c r="Y171" s="5">
        <f>IF(TabOceanet[[#This Row],[Type_tarif]]="Tarif_Certificat_X509_Simple",1,0)</f>
        <v>0</v>
      </c>
      <c r="Z171" s="5">
        <f>TabOceanet[[#This Row],[isCalcCertSimple]]*TabOceanet[[#This Row],[Nb_article]]*Tarif_Certificat_X509_Simple</f>
        <v>0</v>
      </c>
      <c r="AA171" s="5">
        <f>IF(TabOceanet[[#This Row],[Type_tarif]]="Tarif_Certificat_X509_Wildcard",1,0)</f>
        <v>0</v>
      </c>
      <c r="AB171" s="5">
        <f>TabOceanet[[#This Row],[isCalcCertWild]]*TabOceanet[[#This Row],[Nb_article]]*Tarif_Certificat_X509_Wildcard</f>
        <v>0</v>
      </c>
      <c r="AC171" s="5">
        <f>IF(TabOceanet[[#This Row],[Type_tarif]]="Tarif_Astreinte_24_24_7_7",1,0)</f>
        <v>0</v>
      </c>
      <c r="AD171" s="5">
        <f>TabOceanet[[#This Row],[isCalcAstreinte247]]*TabOceanet[[#This Row],[Nb_article]]*Tarif_Astreinte_24_24_7_7</f>
        <v>0</v>
      </c>
      <c r="AE171" s="5">
        <f>IF(TabOceanet[[#This Row],[VM_status]]="PoweredOn",1,0)</f>
        <v>1</v>
      </c>
      <c r="AF171" s="17">
        <f>TabOceanet[[#This Row],[VM_mem]]*Tarif_Ram</f>
        <v>6.4</v>
      </c>
      <c r="AG171" s="5" t="str">
        <f>MID(TabOceanet[[#This Row],[Backup]],29,20)</f>
        <v>J15_1</v>
      </c>
      <c r="AH171" s="25">
        <f>IF(LEFT(TabOceanet[[#This Row],[TypeBAK]],3)="HOR",Tarif_Backup_Horaire*TabOceanet[[#This Row],[VM_disk]],IF(LEFT(TabOceanet[[#This Row],[TypeBAK]],3)="J15",Tarif_Backup_J15*TabOceanet[[#This Row],[VM_disk]],IF(LEFT(TabOceanet[[#This Row],[TypeBAK]],3)="H1_",Tarif_Backup_J15*TabOceanet[[#This Row],[VM_disk]],0)))</f>
        <v>4.83</v>
      </c>
      <c r="AI171" s="17">
        <f>TabOceanet[[#This Row],[VM_disk]]*Tarif_disque</f>
        <v>0</v>
      </c>
      <c r="AJ171"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11.23</v>
      </c>
    </row>
    <row r="172" spans="1:36" hidden="1" x14ac:dyDescent="0.25">
      <c r="A172" t="s">
        <v>1302</v>
      </c>
      <c r="B172">
        <v>2</v>
      </c>
      <c r="C172">
        <v>4</v>
      </c>
      <c r="D172">
        <v>21</v>
      </c>
      <c r="E172" t="s">
        <v>426</v>
      </c>
      <c r="G172" t="s">
        <v>1275</v>
      </c>
      <c r="H172" t="s">
        <v>1274</v>
      </c>
      <c r="I172" t="s">
        <v>419</v>
      </c>
      <c r="K172" t="s">
        <v>406</v>
      </c>
      <c r="L172" t="s">
        <v>410</v>
      </c>
      <c r="M172" t="s">
        <v>1322</v>
      </c>
      <c r="N172" t="s">
        <v>412</v>
      </c>
      <c r="O172">
        <v>10006791</v>
      </c>
      <c r="P172" t="s">
        <v>413</v>
      </c>
      <c r="Q172" s="5">
        <f>VLOOKUP(TabOceanet[VM_name],TabVMEnv[],3,FALSE)</f>
        <v>0</v>
      </c>
      <c r="R172" s="5" t="str">
        <f>IF(VLOOKUP(TabOceanet[VM_name],TabVMEnv[],2,FALSE) = "","Non","")</f>
        <v/>
      </c>
      <c r="S172" s="5">
        <f>IF(TabOceanet[[#This Row],[Type_tarif]]="Tarif_VLAN",1,0)</f>
        <v>0</v>
      </c>
      <c r="T172" s="5">
        <f>TabOceanet[[#This Row],[isCalcVlan]]*TabOceanet[[#This Row],[Nb_article]]*Tarif_VLAN</f>
        <v>0</v>
      </c>
      <c r="U172" s="5">
        <f>IF(TabOceanet[[#This Row],[Type_tarif]]="Tarif_IPPUB",1,0)</f>
        <v>0</v>
      </c>
      <c r="V172" s="5">
        <f>TabOceanet[[#This Row],[isCalcIpPub]]*TabOceanet[[#This Row],[Nb_article]]*Tarif_IPPUB</f>
        <v>0</v>
      </c>
      <c r="W172" s="5">
        <f>IF(TabOceanet[[#This Row],[Type_tarif]]="Tarif_DNS",1,0)</f>
        <v>0</v>
      </c>
      <c r="X172" s="5">
        <f>TabOceanet[[#This Row],[isCalcDns]]*TabOceanet[[#This Row],[Nb_article]]*Tarif_DNS</f>
        <v>0</v>
      </c>
      <c r="Y172" s="5">
        <f>IF(TabOceanet[[#This Row],[Type_tarif]]="Tarif_Certificat_X509_Simple",1,0)</f>
        <v>0</v>
      </c>
      <c r="Z172" s="5">
        <f>TabOceanet[[#This Row],[isCalcCertSimple]]*TabOceanet[[#This Row],[Nb_article]]*Tarif_Certificat_X509_Simple</f>
        <v>0</v>
      </c>
      <c r="AA172" s="5">
        <f>IF(TabOceanet[[#This Row],[Type_tarif]]="Tarif_Certificat_X509_Wildcard",1,0)</f>
        <v>0</v>
      </c>
      <c r="AB172" s="5">
        <f>TabOceanet[[#This Row],[isCalcCertWild]]*TabOceanet[[#This Row],[Nb_article]]*Tarif_Certificat_X509_Wildcard</f>
        <v>0</v>
      </c>
      <c r="AC172" s="5">
        <f>IF(TabOceanet[[#This Row],[Type_tarif]]="Tarif_Astreinte_24_24_7_7",1,0)</f>
        <v>0</v>
      </c>
      <c r="AD172" s="5">
        <f>TabOceanet[[#This Row],[isCalcAstreinte247]]*TabOceanet[[#This Row],[Nb_article]]*Tarif_Astreinte_24_24_7_7</f>
        <v>0</v>
      </c>
      <c r="AE172" s="5">
        <f>IF(TabOceanet[[#This Row],[VM_status]]="PoweredOn",1,0)</f>
        <v>1</v>
      </c>
      <c r="AF172" s="17">
        <f>TabOceanet[[#This Row],[VM_mem]]*Tarif_Ram</f>
        <v>6.4</v>
      </c>
      <c r="AG172" s="5" t="str">
        <f>MID(TabOceanet[[#This Row],[Backup]],29,20)</f>
        <v>J15_1</v>
      </c>
      <c r="AH172" s="25">
        <f>IF(LEFT(TabOceanet[[#This Row],[TypeBAK]],3)="HOR",Tarif_Backup_Horaire*TabOceanet[[#This Row],[VM_disk]],IF(LEFT(TabOceanet[[#This Row],[TypeBAK]],3)="J15",Tarif_Backup_J15*TabOceanet[[#This Row],[VM_disk]],IF(LEFT(TabOceanet[[#This Row],[TypeBAK]],3)="H1_",Tarif_Backup_J15*TabOceanet[[#This Row],[VM_disk]],0)))</f>
        <v>4.83</v>
      </c>
      <c r="AI172" s="17">
        <f>TabOceanet[[#This Row],[VM_disk]]*Tarif_disque</f>
        <v>0</v>
      </c>
      <c r="AJ172"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11.23</v>
      </c>
    </row>
    <row r="173" spans="1:36" hidden="1" x14ac:dyDescent="0.25">
      <c r="A173" t="s">
        <v>1303</v>
      </c>
      <c r="B173">
        <v>2</v>
      </c>
      <c r="C173">
        <v>4</v>
      </c>
      <c r="D173">
        <v>21</v>
      </c>
      <c r="E173" t="s">
        <v>426</v>
      </c>
      <c r="G173" t="s">
        <v>1273</v>
      </c>
      <c r="H173" t="s">
        <v>1274</v>
      </c>
      <c r="I173" t="s">
        <v>419</v>
      </c>
      <c r="K173" t="s">
        <v>406</v>
      </c>
      <c r="L173" t="s">
        <v>410</v>
      </c>
      <c r="M173" t="s">
        <v>1322</v>
      </c>
      <c r="N173" t="s">
        <v>412</v>
      </c>
      <c r="O173">
        <v>10006791</v>
      </c>
      <c r="P173" t="s">
        <v>413</v>
      </c>
      <c r="Q173" s="5">
        <f>VLOOKUP(TabOceanet[VM_name],TabVMEnv[],3,FALSE)</f>
        <v>0</v>
      </c>
      <c r="R173" s="5" t="str">
        <f>IF(VLOOKUP(TabOceanet[VM_name],TabVMEnv[],2,FALSE) = "","Non","")</f>
        <v/>
      </c>
      <c r="S173" s="5">
        <f>IF(TabOceanet[[#This Row],[Type_tarif]]="Tarif_VLAN",1,0)</f>
        <v>0</v>
      </c>
      <c r="T173" s="5">
        <f>TabOceanet[[#This Row],[isCalcVlan]]*TabOceanet[[#This Row],[Nb_article]]*Tarif_VLAN</f>
        <v>0</v>
      </c>
      <c r="U173" s="5">
        <f>IF(TabOceanet[[#This Row],[Type_tarif]]="Tarif_IPPUB",1,0)</f>
        <v>0</v>
      </c>
      <c r="V173" s="5">
        <f>TabOceanet[[#This Row],[isCalcIpPub]]*TabOceanet[[#This Row],[Nb_article]]*Tarif_IPPUB</f>
        <v>0</v>
      </c>
      <c r="W173" s="5">
        <f>IF(TabOceanet[[#This Row],[Type_tarif]]="Tarif_DNS",1,0)</f>
        <v>0</v>
      </c>
      <c r="X173" s="5">
        <f>TabOceanet[[#This Row],[isCalcDns]]*TabOceanet[[#This Row],[Nb_article]]*Tarif_DNS</f>
        <v>0</v>
      </c>
      <c r="Y173" s="5">
        <f>IF(TabOceanet[[#This Row],[Type_tarif]]="Tarif_Certificat_X509_Simple",1,0)</f>
        <v>0</v>
      </c>
      <c r="Z173" s="5">
        <f>TabOceanet[[#This Row],[isCalcCertSimple]]*TabOceanet[[#This Row],[Nb_article]]*Tarif_Certificat_X509_Simple</f>
        <v>0</v>
      </c>
      <c r="AA173" s="5">
        <f>IF(TabOceanet[[#This Row],[Type_tarif]]="Tarif_Certificat_X509_Wildcard",1,0)</f>
        <v>0</v>
      </c>
      <c r="AB173" s="5">
        <f>TabOceanet[[#This Row],[isCalcCertWild]]*TabOceanet[[#This Row],[Nb_article]]*Tarif_Certificat_X509_Wildcard</f>
        <v>0</v>
      </c>
      <c r="AC173" s="5">
        <f>IF(TabOceanet[[#This Row],[Type_tarif]]="Tarif_Astreinte_24_24_7_7",1,0)</f>
        <v>0</v>
      </c>
      <c r="AD173" s="5">
        <f>TabOceanet[[#This Row],[isCalcAstreinte247]]*TabOceanet[[#This Row],[Nb_article]]*Tarif_Astreinte_24_24_7_7</f>
        <v>0</v>
      </c>
      <c r="AE173" s="5">
        <f>IF(TabOceanet[[#This Row],[VM_status]]="PoweredOn",1,0)</f>
        <v>1</v>
      </c>
      <c r="AF173" s="17">
        <f>TabOceanet[[#This Row],[VM_mem]]*Tarif_Ram</f>
        <v>6.4</v>
      </c>
      <c r="AG173" s="5" t="str">
        <f>MID(TabOceanet[[#This Row],[Backup]],29,20)</f>
        <v>J15_1</v>
      </c>
      <c r="AH173" s="25">
        <f>IF(LEFT(TabOceanet[[#This Row],[TypeBAK]],3)="HOR",Tarif_Backup_Horaire*TabOceanet[[#This Row],[VM_disk]],IF(LEFT(TabOceanet[[#This Row],[TypeBAK]],3)="J15",Tarif_Backup_J15*TabOceanet[[#This Row],[VM_disk]],IF(LEFT(TabOceanet[[#This Row],[TypeBAK]],3)="H1_",Tarif_Backup_J15*TabOceanet[[#This Row],[VM_disk]],0)))</f>
        <v>4.83</v>
      </c>
      <c r="AI173" s="17">
        <f>TabOceanet[[#This Row],[VM_disk]]*Tarif_disque</f>
        <v>0</v>
      </c>
      <c r="AJ173"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11.23</v>
      </c>
    </row>
    <row r="174" spans="1:36" hidden="1" x14ac:dyDescent="0.25">
      <c r="A174" t="s">
        <v>1312</v>
      </c>
      <c r="B174">
        <v>2</v>
      </c>
      <c r="C174">
        <v>4</v>
      </c>
      <c r="D174">
        <v>21</v>
      </c>
      <c r="E174" t="s">
        <v>426</v>
      </c>
      <c r="G174" t="s">
        <v>1275</v>
      </c>
      <c r="H174" t="s">
        <v>1274</v>
      </c>
      <c r="I174" t="s">
        <v>419</v>
      </c>
      <c r="K174" t="s">
        <v>406</v>
      </c>
      <c r="L174" t="s">
        <v>410</v>
      </c>
      <c r="M174" t="s">
        <v>430</v>
      </c>
      <c r="N174" t="s">
        <v>412</v>
      </c>
      <c r="O174">
        <v>10006791</v>
      </c>
      <c r="P174" t="s">
        <v>413</v>
      </c>
      <c r="Q174" s="5">
        <f>VLOOKUP(TabOceanet[VM_name],TabVMEnv[],3,FALSE)</f>
        <v>0</v>
      </c>
      <c r="R174" s="5" t="str">
        <f>IF(VLOOKUP(TabOceanet[VM_name],TabVMEnv[],2,FALSE) = "","Non","")</f>
        <v/>
      </c>
      <c r="S174" s="5">
        <f>IF(TabOceanet[[#This Row],[Type_tarif]]="Tarif_VLAN",1,0)</f>
        <v>0</v>
      </c>
      <c r="T174" s="5">
        <f>TabOceanet[[#This Row],[isCalcVlan]]*TabOceanet[[#This Row],[Nb_article]]*Tarif_VLAN</f>
        <v>0</v>
      </c>
      <c r="U174" s="5">
        <f>IF(TabOceanet[[#This Row],[Type_tarif]]="Tarif_IPPUB",1,0)</f>
        <v>0</v>
      </c>
      <c r="V174" s="5">
        <f>TabOceanet[[#This Row],[isCalcIpPub]]*TabOceanet[[#This Row],[Nb_article]]*Tarif_IPPUB</f>
        <v>0</v>
      </c>
      <c r="W174" s="5">
        <f>IF(TabOceanet[[#This Row],[Type_tarif]]="Tarif_DNS",1,0)</f>
        <v>0</v>
      </c>
      <c r="X174" s="5">
        <f>TabOceanet[[#This Row],[isCalcDns]]*TabOceanet[[#This Row],[Nb_article]]*Tarif_DNS</f>
        <v>0</v>
      </c>
      <c r="Y174" s="5">
        <f>IF(TabOceanet[[#This Row],[Type_tarif]]="Tarif_Certificat_X509_Simple",1,0)</f>
        <v>0</v>
      </c>
      <c r="Z174" s="5">
        <f>TabOceanet[[#This Row],[isCalcCertSimple]]*TabOceanet[[#This Row],[Nb_article]]*Tarif_Certificat_X509_Simple</f>
        <v>0</v>
      </c>
      <c r="AA174" s="5">
        <f>IF(TabOceanet[[#This Row],[Type_tarif]]="Tarif_Certificat_X509_Wildcard",1,0)</f>
        <v>0</v>
      </c>
      <c r="AB174" s="5">
        <f>TabOceanet[[#This Row],[isCalcCertWild]]*TabOceanet[[#This Row],[Nb_article]]*Tarif_Certificat_X509_Wildcard</f>
        <v>0</v>
      </c>
      <c r="AC174" s="5">
        <f>IF(TabOceanet[[#This Row],[Type_tarif]]="Tarif_Astreinte_24_24_7_7",1,0)</f>
        <v>0</v>
      </c>
      <c r="AD174" s="5">
        <f>TabOceanet[[#This Row],[isCalcAstreinte247]]*TabOceanet[[#This Row],[Nb_article]]*Tarif_Astreinte_24_24_7_7</f>
        <v>0</v>
      </c>
      <c r="AE174" s="5">
        <f>IF(TabOceanet[[#This Row],[VM_status]]="PoweredOn",1,0)</f>
        <v>1</v>
      </c>
      <c r="AF174" s="17">
        <f>TabOceanet[[#This Row],[VM_mem]]*Tarif_Ram</f>
        <v>6.4</v>
      </c>
      <c r="AG174" s="5" t="str">
        <f>MID(TabOceanet[[#This Row],[Backup]],29,20)</f>
        <v>J15_2</v>
      </c>
      <c r="AH174" s="25">
        <f>IF(LEFT(TabOceanet[[#This Row],[TypeBAK]],3)="HOR",Tarif_Backup_Horaire*TabOceanet[[#This Row],[VM_disk]],IF(LEFT(TabOceanet[[#This Row],[TypeBAK]],3)="J15",Tarif_Backup_J15*TabOceanet[[#This Row],[VM_disk]],IF(LEFT(TabOceanet[[#This Row],[TypeBAK]],3)="H1_",Tarif_Backup_J15*TabOceanet[[#This Row],[VM_disk]],0)))</f>
        <v>4.83</v>
      </c>
      <c r="AI174" s="17">
        <f>TabOceanet[[#This Row],[VM_disk]]*Tarif_disque</f>
        <v>0</v>
      </c>
      <c r="AJ174"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11.23</v>
      </c>
    </row>
    <row r="175" spans="1:36" hidden="1" x14ac:dyDescent="0.25">
      <c r="A175" t="s">
        <v>214</v>
      </c>
      <c r="B175">
        <v>2</v>
      </c>
      <c r="C175">
        <v>4</v>
      </c>
      <c r="D175">
        <v>200</v>
      </c>
      <c r="E175" t="s">
        <v>421</v>
      </c>
      <c r="G175" t="s">
        <v>1273</v>
      </c>
      <c r="H175" t="s">
        <v>1274</v>
      </c>
      <c r="I175" t="s">
        <v>419</v>
      </c>
      <c r="J175" t="s">
        <v>414</v>
      </c>
      <c r="K175" t="s">
        <v>403</v>
      </c>
      <c r="L175" t="s">
        <v>438</v>
      </c>
      <c r="M175" t="s">
        <v>444</v>
      </c>
      <c r="N175" t="s">
        <v>412</v>
      </c>
      <c r="O175">
        <v>10006791</v>
      </c>
      <c r="P175" t="s">
        <v>413</v>
      </c>
      <c r="Q175" s="5">
        <f>VLOOKUP(TabOceanet[VM_name],TabVMEnv[],3,FALSE)</f>
        <v>0</v>
      </c>
      <c r="R175" s="5" t="str">
        <f>IF(VLOOKUP(TabOceanet[VM_name],TabVMEnv[],2,FALSE) = "","Non","")</f>
        <v/>
      </c>
      <c r="S175" s="5">
        <f>IF(TabOceanet[[#This Row],[Type_tarif]]="Tarif_VLAN",1,0)</f>
        <v>0</v>
      </c>
      <c r="T175" s="5">
        <f>TabOceanet[[#This Row],[isCalcVlan]]*TabOceanet[[#This Row],[Nb_article]]*Tarif_VLAN</f>
        <v>0</v>
      </c>
      <c r="U175" s="5">
        <f>IF(TabOceanet[[#This Row],[Type_tarif]]="Tarif_IPPUB",1,0)</f>
        <v>0</v>
      </c>
      <c r="V175" s="5">
        <f>TabOceanet[[#This Row],[isCalcIpPub]]*TabOceanet[[#This Row],[Nb_article]]*Tarif_IPPUB</f>
        <v>0</v>
      </c>
      <c r="W175" s="5">
        <f>IF(TabOceanet[[#This Row],[Type_tarif]]="Tarif_DNS",1,0)</f>
        <v>0</v>
      </c>
      <c r="X175" s="5">
        <f>TabOceanet[[#This Row],[isCalcDns]]*TabOceanet[[#This Row],[Nb_article]]*Tarif_DNS</f>
        <v>0</v>
      </c>
      <c r="Y175" s="5">
        <f>IF(TabOceanet[[#This Row],[Type_tarif]]="Tarif_Certificat_X509_Simple",1,0)</f>
        <v>0</v>
      </c>
      <c r="Z175" s="5">
        <f>TabOceanet[[#This Row],[isCalcCertSimple]]*TabOceanet[[#This Row],[Nb_article]]*Tarif_Certificat_X509_Simple</f>
        <v>0</v>
      </c>
      <c r="AA175" s="5">
        <f>IF(TabOceanet[[#This Row],[Type_tarif]]="Tarif_Certificat_X509_Wildcard",1,0)</f>
        <v>0</v>
      </c>
      <c r="AB175" s="5">
        <f>TabOceanet[[#This Row],[isCalcCertWild]]*TabOceanet[[#This Row],[Nb_article]]*Tarif_Certificat_X509_Wildcard</f>
        <v>0</v>
      </c>
      <c r="AC175" s="5">
        <f>IF(TabOceanet[[#This Row],[Type_tarif]]="Tarif_Astreinte_24_24_7_7",1,0)</f>
        <v>0</v>
      </c>
      <c r="AD175" s="5">
        <f>TabOceanet[[#This Row],[isCalcAstreinte247]]*TabOceanet[[#This Row],[Nb_article]]*Tarif_Astreinte_24_24_7_7</f>
        <v>0</v>
      </c>
      <c r="AE175" s="5">
        <f>IF(TabOceanet[[#This Row],[VM_status]]="PoweredOn",1,0)</f>
        <v>1</v>
      </c>
      <c r="AF175" s="17">
        <f>TabOceanet[[#This Row],[VM_mem]]*Tarif_Ram</f>
        <v>6.4</v>
      </c>
      <c r="AG175" s="5" t="str">
        <f>MID(TabOceanet[[#This Row],[Backup]],29,20)</f>
        <v>HOR368</v>
      </c>
      <c r="AH175" s="25">
        <f>IF(LEFT(TabOceanet[[#This Row],[TypeBAK]],3)="HOR",Tarif_Backup_Horaire*TabOceanet[[#This Row],[VM_disk]],IF(LEFT(TabOceanet[[#This Row],[TypeBAK]],3)="J15",Tarif_Backup_J15*TabOceanet[[#This Row],[VM_disk]],IF(LEFT(TabOceanet[[#This Row],[TypeBAK]],3)="H1_",Tarif_Backup_J15*TabOceanet[[#This Row],[VM_disk]],0)))</f>
        <v>46</v>
      </c>
      <c r="AI175" s="17">
        <f>TabOceanet[[#This Row],[VM_disk]]*Tarif_disque</f>
        <v>0</v>
      </c>
      <c r="AJ175"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52.4</v>
      </c>
    </row>
    <row r="176" spans="1:36" hidden="1" x14ac:dyDescent="0.25">
      <c r="A176" t="s">
        <v>215</v>
      </c>
      <c r="B176">
        <v>3</v>
      </c>
      <c r="C176">
        <v>4</v>
      </c>
      <c r="D176">
        <v>55</v>
      </c>
      <c r="E176" t="s">
        <v>421</v>
      </c>
      <c r="G176" t="s">
        <v>1275</v>
      </c>
      <c r="H176" t="s">
        <v>1274</v>
      </c>
      <c r="I176" t="s">
        <v>419</v>
      </c>
      <c r="J176" t="s">
        <v>414</v>
      </c>
      <c r="K176" t="s">
        <v>403</v>
      </c>
      <c r="L176" t="s">
        <v>438</v>
      </c>
      <c r="M176" t="s">
        <v>444</v>
      </c>
      <c r="N176" t="s">
        <v>412</v>
      </c>
      <c r="O176">
        <v>10006791</v>
      </c>
      <c r="P176" t="s">
        <v>413</v>
      </c>
      <c r="Q176" s="5">
        <f>VLOOKUP(TabOceanet[VM_name],TabVMEnv[],3,FALSE)</f>
        <v>0</v>
      </c>
      <c r="R176" s="5" t="str">
        <f>IF(VLOOKUP(TabOceanet[VM_name],TabVMEnv[],2,FALSE) = "","Non","")</f>
        <v/>
      </c>
      <c r="S176" s="5">
        <f>IF(TabOceanet[[#This Row],[Type_tarif]]="Tarif_VLAN",1,0)</f>
        <v>0</v>
      </c>
      <c r="T176" s="5">
        <f>TabOceanet[[#This Row],[isCalcVlan]]*TabOceanet[[#This Row],[Nb_article]]*Tarif_VLAN</f>
        <v>0</v>
      </c>
      <c r="U176" s="5">
        <f>IF(TabOceanet[[#This Row],[Type_tarif]]="Tarif_IPPUB",1,0)</f>
        <v>0</v>
      </c>
      <c r="V176" s="5">
        <f>TabOceanet[[#This Row],[isCalcIpPub]]*TabOceanet[[#This Row],[Nb_article]]*Tarif_IPPUB</f>
        <v>0</v>
      </c>
      <c r="W176" s="5">
        <f>IF(TabOceanet[[#This Row],[Type_tarif]]="Tarif_DNS",1,0)</f>
        <v>0</v>
      </c>
      <c r="X176" s="5">
        <f>TabOceanet[[#This Row],[isCalcDns]]*TabOceanet[[#This Row],[Nb_article]]*Tarif_DNS</f>
        <v>0</v>
      </c>
      <c r="Y176" s="5">
        <f>IF(TabOceanet[[#This Row],[Type_tarif]]="Tarif_Certificat_X509_Simple",1,0)</f>
        <v>0</v>
      </c>
      <c r="Z176" s="5">
        <f>TabOceanet[[#This Row],[isCalcCertSimple]]*TabOceanet[[#This Row],[Nb_article]]*Tarif_Certificat_X509_Simple</f>
        <v>0</v>
      </c>
      <c r="AA176" s="5">
        <f>IF(TabOceanet[[#This Row],[Type_tarif]]="Tarif_Certificat_X509_Wildcard",1,0)</f>
        <v>0</v>
      </c>
      <c r="AB176" s="5">
        <f>TabOceanet[[#This Row],[isCalcCertWild]]*TabOceanet[[#This Row],[Nb_article]]*Tarif_Certificat_X509_Wildcard</f>
        <v>0</v>
      </c>
      <c r="AC176" s="5">
        <f>IF(TabOceanet[[#This Row],[Type_tarif]]="Tarif_Astreinte_24_24_7_7",1,0)</f>
        <v>0</v>
      </c>
      <c r="AD176" s="5">
        <f>TabOceanet[[#This Row],[isCalcAstreinte247]]*TabOceanet[[#This Row],[Nb_article]]*Tarif_Astreinte_24_24_7_7</f>
        <v>0</v>
      </c>
      <c r="AE176" s="5">
        <f>IF(TabOceanet[[#This Row],[VM_status]]="PoweredOn",1,0)</f>
        <v>1</v>
      </c>
      <c r="AF176" s="17">
        <f>TabOceanet[[#This Row],[VM_mem]]*Tarif_Ram</f>
        <v>6.4</v>
      </c>
      <c r="AG176" s="5" t="str">
        <f>MID(TabOceanet[[#This Row],[Backup]],29,20)</f>
        <v>HOR368</v>
      </c>
      <c r="AH176" s="25">
        <f>IF(LEFT(TabOceanet[[#This Row],[TypeBAK]],3)="HOR",Tarif_Backup_Horaire*TabOceanet[[#This Row],[VM_disk]],IF(LEFT(TabOceanet[[#This Row],[TypeBAK]],3)="J15",Tarif_Backup_J15*TabOceanet[[#This Row],[VM_disk]],IF(LEFT(TabOceanet[[#This Row],[TypeBAK]],3)="H1_",Tarif_Backup_J15*TabOceanet[[#This Row],[VM_disk]],0)))</f>
        <v>12.65</v>
      </c>
      <c r="AI176" s="17">
        <f>TabOceanet[[#This Row],[VM_disk]]*Tarif_disque</f>
        <v>0</v>
      </c>
      <c r="AJ176"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19.05</v>
      </c>
    </row>
    <row r="177" spans="1:36" hidden="1" x14ac:dyDescent="0.25">
      <c r="A177" t="s">
        <v>85</v>
      </c>
      <c r="B177">
        <v>1</v>
      </c>
      <c r="C177">
        <v>2</v>
      </c>
      <c r="D177">
        <v>10</v>
      </c>
      <c r="E177" t="s">
        <v>435</v>
      </c>
      <c r="G177" t="s">
        <v>1275</v>
      </c>
      <c r="H177" t="s">
        <v>1274</v>
      </c>
      <c r="I177" t="s">
        <v>419</v>
      </c>
      <c r="J177" t="s">
        <v>414</v>
      </c>
      <c r="K177" t="s">
        <v>406</v>
      </c>
      <c r="L177" t="s">
        <v>410</v>
      </c>
      <c r="M177" t="s">
        <v>1322</v>
      </c>
      <c r="N177" t="s">
        <v>412</v>
      </c>
      <c r="O177">
        <v>10006791</v>
      </c>
      <c r="P177" t="s">
        <v>413</v>
      </c>
      <c r="Q177" s="5">
        <f>VLOOKUP(TabOceanet[VM_name],TabVMEnv[],3,FALSE)</f>
        <v>0</v>
      </c>
      <c r="R177" s="5" t="str">
        <f>IF(VLOOKUP(TabOceanet[VM_name],TabVMEnv[],2,FALSE) = "","Non","")</f>
        <v/>
      </c>
      <c r="S177" s="5">
        <f>IF(TabOceanet[[#This Row],[Type_tarif]]="Tarif_VLAN",1,0)</f>
        <v>0</v>
      </c>
      <c r="T177" s="5">
        <f>TabOceanet[[#This Row],[isCalcVlan]]*TabOceanet[[#This Row],[Nb_article]]*Tarif_VLAN</f>
        <v>0</v>
      </c>
      <c r="U177" s="5">
        <f>IF(TabOceanet[[#This Row],[Type_tarif]]="Tarif_IPPUB",1,0)</f>
        <v>0</v>
      </c>
      <c r="V177" s="5">
        <f>TabOceanet[[#This Row],[isCalcIpPub]]*TabOceanet[[#This Row],[Nb_article]]*Tarif_IPPUB</f>
        <v>0</v>
      </c>
      <c r="W177" s="5">
        <f>IF(TabOceanet[[#This Row],[Type_tarif]]="Tarif_DNS",1,0)</f>
        <v>0</v>
      </c>
      <c r="X177" s="5">
        <f>TabOceanet[[#This Row],[isCalcDns]]*TabOceanet[[#This Row],[Nb_article]]*Tarif_DNS</f>
        <v>0</v>
      </c>
      <c r="Y177" s="5">
        <f>IF(TabOceanet[[#This Row],[Type_tarif]]="Tarif_Certificat_X509_Simple",1,0)</f>
        <v>0</v>
      </c>
      <c r="Z177" s="5">
        <f>TabOceanet[[#This Row],[isCalcCertSimple]]*TabOceanet[[#This Row],[Nb_article]]*Tarif_Certificat_X509_Simple</f>
        <v>0</v>
      </c>
      <c r="AA177" s="5">
        <f>IF(TabOceanet[[#This Row],[Type_tarif]]="Tarif_Certificat_X509_Wildcard",1,0)</f>
        <v>0</v>
      </c>
      <c r="AB177" s="5">
        <f>TabOceanet[[#This Row],[isCalcCertWild]]*TabOceanet[[#This Row],[Nb_article]]*Tarif_Certificat_X509_Wildcard</f>
        <v>0</v>
      </c>
      <c r="AC177" s="5">
        <f>IF(TabOceanet[[#This Row],[Type_tarif]]="Tarif_Astreinte_24_24_7_7",1,0)</f>
        <v>0</v>
      </c>
      <c r="AD177" s="5">
        <f>TabOceanet[[#This Row],[isCalcAstreinte247]]*TabOceanet[[#This Row],[Nb_article]]*Tarif_Astreinte_24_24_7_7</f>
        <v>0</v>
      </c>
      <c r="AE177" s="5">
        <f>IF(TabOceanet[[#This Row],[VM_status]]="PoweredOn",1,0)</f>
        <v>1</v>
      </c>
      <c r="AF177" s="17">
        <f>TabOceanet[[#This Row],[VM_mem]]*Tarif_Ram</f>
        <v>3.2</v>
      </c>
      <c r="AG177" s="5" t="str">
        <f>MID(TabOceanet[[#This Row],[Backup]],29,20)</f>
        <v>J15_1</v>
      </c>
      <c r="AH177" s="25">
        <f>IF(LEFT(TabOceanet[[#This Row],[TypeBAK]],3)="HOR",Tarif_Backup_Horaire*TabOceanet[[#This Row],[VM_disk]],IF(LEFT(TabOceanet[[#This Row],[TypeBAK]],3)="J15",Tarif_Backup_J15*TabOceanet[[#This Row],[VM_disk]],IF(LEFT(TabOceanet[[#This Row],[TypeBAK]],3)="H1_",Tarif_Backup_J15*TabOceanet[[#This Row],[VM_disk]],0)))</f>
        <v>2.3000000000000003</v>
      </c>
      <c r="AI177" s="17">
        <f>TabOceanet[[#This Row],[VM_disk]]*Tarif_disque</f>
        <v>0</v>
      </c>
      <c r="AJ177"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5.5</v>
      </c>
    </row>
    <row r="178" spans="1:36" hidden="1" x14ac:dyDescent="0.25">
      <c r="A178" t="s">
        <v>216</v>
      </c>
      <c r="B178">
        <v>1</v>
      </c>
      <c r="C178">
        <v>1</v>
      </c>
      <c r="D178">
        <v>4</v>
      </c>
      <c r="E178" t="s">
        <v>423</v>
      </c>
      <c r="G178" t="s">
        <v>1273</v>
      </c>
      <c r="H178" t="s">
        <v>1274</v>
      </c>
      <c r="I178" t="s">
        <v>419</v>
      </c>
      <c r="J178" t="s">
        <v>414</v>
      </c>
      <c r="K178" t="s">
        <v>403</v>
      </c>
      <c r="L178" t="s">
        <v>438</v>
      </c>
      <c r="M178" t="s">
        <v>444</v>
      </c>
      <c r="N178" t="s">
        <v>412</v>
      </c>
      <c r="O178">
        <v>10006791</v>
      </c>
      <c r="P178" t="s">
        <v>413</v>
      </c>
      <c r="Q178" s="5">
        <f>VLOOKUP(TabOceanet[VM_name],TabVMEnv[],3,FALSE)</f>
        <v>0</v>
      </c>
      <c r="R178" s="5" t="str">
        <f>IF(VLOOKUP(TabOceanet[VM_name],TabVMEnv[],2,FALSE) = "","Non","")</f>
        <v/>
      </c>
      <c r="S178" s="5">
        <f>IF(TabOceanet[[#This Row],[Type_tarif]]="Tarif_VLAN",1,0)</f>
        <v>0</v>
      </c>
      <c r="T178" s="5">
        <f>TabOceanet[[#This Row],[isCalcVlan]]*TabOceanet[[#This Row],[Nb_article]]*Tarif_VLAN</f>
        <v>0</v>
      </c>
      <c r="U178" s="5">
        <f>IF(TabOceanet[[#This Row],[Type_tarif]]="Tarif_IPPUB",1,0)</f>
        <v>0</v>
      </c>
      <c r="V178" s="5">
        <f>TabOceanet[[#This Row],[isCalcIpPub]]*TabOceanet[[#This Row],[Nb_article]]*Tarif_IPPUB</f>
        <v>0</v>
      </c>
      <c r="W178" s="5">
        <f>IF(TabOceanet[[#This Row],[Type_tarif]]="Tarif_DNS",1,0)</f>
        <v>0</v>
      </c>
      <c r="X178" s="5">
        <f>TabOceanet[[#This Row],[isCalcDns]]*TabOceanet[[#This Row],[Nb_article]]*Tarif_DNS</f>
        <v>0</v>
      </c>
      <c r="Y178" s="5">
        <f>IF(TabOceanet[[#This Row],[Type_tarif]]="Tarif_Certificat_X509_Simple",1,0)</f>
        <v>0</v>
      </c>
      <c r="Z178" s="5">
        <f>TabOceanet[[#This Row],[isCalcCertSimple]]*TabOceanet[[#This Row],[Nb_article]]*Tarif_Certificat_X509_Simple</f>
        <v>0</v>
      </c>
      <c r="AA178" s="5">
        <f>IF(TabOceanet[[#This Row],[Type_tarif]]="Tarif_Certificat_X509_Wildcard",1,0)</f>
        <v>0</v>
      </c>
      <c r="AB178" s="5">
        <f>TabOceanet[[#This Row],[isCalcCertWild]]*TabOceanet[[#This Row],[Nb_article]]*Tarif_Certificat_X509_Wildcard</f>
        <v>0</v>
      </c>
      <c r="AC178" s="5">
        <f>IF(TabOceanet[[#This Row],[Type_tarif]]="Tarif_Astreinte_24_24_7_7",1,0)</f>
        <v>0</v>
      </c>
      <c r="AD178" s="5">
        <f>TabOceanet[[#This Row],[isCalcAstreinte247]]*TabOceanet[[#This Row],[Nb_article]]*Tarif_Astreinte_24_24_7_7</f>
        <v>0</v>
      </c>
      <c r="AE178" s="5">
        <f>IF(TabOceanet[[#This Row],[VM_status]]="PoweredOn",1,0)</f>
        <v>1</v>
      </c>
      <c r="AF178" s="17">
        <f>TabOceanet[[#This Row],[VM_mem]]*Tarif_Ram</f>
        <v>1.6</v>
      </c>
      <c r="AG178" s="5" t="str">
        <f>MID(TabOceanet[[#This Row],[Backup]],29,20)</f>
        <v>HOR368</v>
      </c>
      <c r="AH178" s="25">
        <f>IF(LEFT(TabOceanet[[#This Row],[TypeBAK]],3)="HOR",Tarif_Backup_Horaire*TabOceanet[[#This Row],[VM_disk]],IF(LEFT(TabOceanet[[#This Row],[TypeBAK]],3)="J15",Tarif_Backup_J15*TabOceanet[[#This Row],[VM_disk]],IF(LEFT(TabOceanet[[#This Row],[TypeBAK]],3)="H1_",Tarif_Backup_J15*TabOceanet[[#This Row],[VM_disk]],0)))</f>
        <v>0.92</v>
      </c>
      <c r="AI178" s="17">
        <f>TabOceanet[[#This Row],[VM_disk]]*Tarif_disque</f>
        <v>0</v>
      </c>
      <c r="AJ178"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2.52</v>
      </c>
    </row>
    <row r="179" spans="1:36" hidden="1" x14ac:dyDescent="0.25">
      <c r="A179" t="s">
        <v>135</v>
      </c>
      <c r="B179">
        <v>1</v>
      </c>
      <c r="C179">
        <v>1</v>
      </c>
      <c r="D179">
        <v>4</v>
      </c>
      <c r="E179" t="s">
        <v>423</v>
      </c>
      <c r="G179" t="s">
        <v>1275</v>
      </c>
      <c r="H179" t="s">
        <v>1274</v>
      </c>
      <c r="I179" t="s">
        <v>419</v>
      </c>
      <c r="J179" t="s">
        <v>414</v>
      </c>
      <c r="K179" t="s">
        <v>406</v>
      </c>
      <c r="L179" t="s">
        <v>410</v>
      </c>
      <c r="M179" t="s">
        <v>1322</v>
      </c>
      <c r="N179" t="s">
        <v>412</v>
      </c>
      <c r="O179">
        <v>10006791</v>
      </c>
      <c r="P179" t="s">
        <v>413</v>
      </c>
      <c r="Q179" s="5">
        <f>VLOOKUP(TabOceanet[VM_name],TabVMEnv[],3,FALSE)</f>
        <v>0</v>
      </c>
      <c r="R179" s="5" t="str">
        <f>IF(VLOOKUP(TabOceanet[VM_name],TabVMEnv[],2,FALSE) = "","Non","")</f>
        <v/>
      </c>
      <c r="S179" s="5">
        <f>IF(TabOceanet[[#This Row],[Type_tarif]]="Tarif_VLAN",1,0)</f>
        <v>0</v>
      </c>
      <c r="T179" s="5">
        <f>TabOceanet[[#This Row],[isCalcVlan]]*TabOceanet[[#This Row],[Nb_article]]*Tarif_VLAN</f>
        <v>0</v>
      </c>
      <c r="U179" s="5">
        <f>IF(TabOceanet[[#This Row],[Type_tarif]]="Tarif_IPPUB",1,0)</f>
        <v>0</v>
      </c>
      <c r="V179" s="5">
        <f>TabOceanet[[#This Row],[isCalcIpPub]]*TabOceanet[[#This Row],[Nb_article]]*Tarif_IPPUB</f>
        <v>0</v>
      </c>
      <c r="W179" s="5">
        <f>IF(TabOceanet[[#This Row],[Type_tarif]]="Tarif_DNS",1,0)</f>
        <v>0</v>
      </c>
      <c r="X179" s="5">
        <f>TabOceanet[[#This Row],[isCalcDns]]*TabOceanet[[#This Row],[Nb_article]]*Tarif_DNS</f>
        <v>0</v>
      </c>
      <c r="Y179" s="5">
        <f>IF(TabOceanet[[#This Row],[Type_tarif]]="Tarif_Certificat_X509_Simple",1,0)</f>
        <v>0</v>
      </c>
      <c r="Z179" s="5">
        <f>TabOceanet[[#This Row],[isCalcCertSimple]]*TabOceanet[[#This Row],[Nb_article]]*Tarif_Certificat_X509_Simple</f>
        <v>0</v>
      </c>
      <c r="AA179" s="5">
        <f>IF(TabOceanet[[#This Row],[Type_tarif]]="Tarif_Certificat_X509_Wildcard",1,0)</f>
        <v>0</v>
      </c>
      <c r="AB179" s="5">
        <f>TabOceanet[[#This Row],[isCalcCertWild]]*TabOceanet[[#This Row],[Nb_article]]*Tarif_Certificat_X509_Wildcard</f>
        <v>0</v>
      </c>
      <c r="AC179" s="5">
        <f>IF(TabOceanet[[#This Row],[Type_tarif]]="Tarif_Astreinte_24_24_7_7",1,0)</f>
        <v>0</v>
      </c>
      <c r="AD179" s="5">
        <f>TabOceanet[[#This Row],[isCalcAstreinte247]]*TabOceanet[[#This Row],[Nb_article]]*Tarif_Astreinte_24_24_7_7</f>
        <v>0</v>
      </c>
      <c r="AE179" s="5">
        <f>IF(TabOceanet[[#This Row],[VM_status]]="PoweredOn",1,0)</f>
        <v>1</v>
      </c>
      <c r="AF179" s="17">
        <f>TabOceanet[[#This Row],[VM_mem]]*Tarif_Ram</f>
        <v>1.6</v>
      </c>
      <c r="AG179" s="5" t="str">
        <f>MID(TabOceanet[[#This Row],[Backup]],29,20)</f>
        <v>J15_1</v>
      </c>
      <c r="AH179" s="25">
        <f>IF(LEFT(TabOceanet[[#This Row],[TypeBAK]],3)="HOR",Tarif_Backup_Horaire*TabOceanet[[#This Row],[VM_disk]],IF(LEFT(TabOceanet[[#This Row],[TypeBAK]],3)="J15",Tarif_Backup_J15*TabOceanet[[#This Row],[VM_disk]],IF(LEFT(TabOceanet[[#This Row],[TypeBAK]],3)="H1_",Tarif_Backup_J15*TabOceanet[[#This Row],[VM_disk]],0)))</f>
        <v>0.92</v>
      </c>
      <c r="AI179" s="17">
        <f>TabOceanet[[#This Row],[VM_disk]]*Tarif_disque</f>
        <v>0</v>
      </c>
      <c r="AJ179"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2.52</v>
      </c>
    </row>
    <row r="180" spans="1:36" hidden="1" x14ac:dyDescent="0.25">
      <c r="A180" t="s">
        <v>86</v>
      </c>
      <c r="B180">
        <v>1</v>
      </c>
      <c r="C180">
        <v>1</v>
      </c>
      <c r="D180">
        <v>4</v>
      </c>
      <c r="E180" t="s">
        <v>423</v>
      </c>
      <c r="G180" t="s">
        <v>1275</v>
      </c>
      <c r="H180" t="s">
        <v>1274</v>
      </c>
      <c r="I180" t="s">
        <v>419</v>
      </c>
      <c r="J180" t="s">
        <v>414</v>
      </c>
      <c r="K180" t="s">
        <v>406</v>
      </c>
      <c r="L180" t="s">
        <v>410</v>
      </c>
      <c r="M180" t="s">
        <v>1322</v>
      </c>
      <c r="N180" t="s">
        <v>412</v>
      </c>
      <c r="O180">
        <v>10006791</v>
      </c>
      <c r="P180" t="s">
        <v>413</v>
      </c>
      <c r="Q180" s="5">
        <f>VLOOKUP(TabOceanet[VM_name],TabVMEnv[],3,FALSE)</f>
        <v>0</v>
      </c>
      <c r="R180" s="5" t="str">
        <f>IF(VLOOKUP(TabOceanet[VM_name],TabVMEnv[],2,FALSE) = "","Non","")</f>
        <v/>
      </c>
      <c r="S180" s="5">
        <f>IF(TabOceanet[[#This Row],[Type_tarif]]="Tarif_VLAN",1,0)</f>
        <v>0</v>
      </c>
      <c r="T180" s="5">
        <f>TabOceanet[[#This Row],[isCalcVlan]]*TabOceanet[[#This Row],[Nb_article]]*Tarif_VLAN</f>
        <v>0</v>
      </c>
      <c r="U180" s="5">
        <f>IF(TabOceanet[[#This Row],[Type_tarif]]="Tarif_IPPUB",1,0)</f>
        <v>0</v>
      </c>
      <c r="V180" s="5">
        <f>TabOceanet[[#This Row],[isCalcIpPub]]*TabOceanet[[#This Row],[Nb_article]]*Tarif_IPPUB</f>
        <v>0</v>
      </c>
      <c r="W180" s="5">
        <f>IF(TabOceanet[[#This Row],[Type_tarif]]="Tarif_DNS",1,0)</f>
        <v>0</v>
      </c>
      <c r="X180" s="5">
        <f>TabOceanet[[#This Row],[isCalcDns]]*TabOceanet[[#This Row],[Nb_article]]*Tarif_DNS</f>
        <v>0</v>
      </c>
      <c r="Y180" s="5">
        <f>IF(TabOceanet[[#This Row],[Type_tarif]]="Tarif_Certificat_X509_Simple",1,0)</f>
        <v>0</v>
      </c>
      <c r="Z180" s="5">
        <f>TabOceanet[[#This Row],[isCalcCertSimple]]*TabOceanet[[#This Row],[Nb_article]]*Tarif_Certificat_X509_Simple</f>
        <v>0</v>
      </c>
      <c r="AA180" s="5">
        <f>IF(TabOceanet[[#This Row],[Type_tarif]]="Tarif_Certificat_X509_Wildcard",1,0)</f>
        <v>0</v>
      </c>
      <c r="AB180" s="5">
        <f>TabOceanet[[#This Row],[isCalcCertWild]]*TabOceanet[[#This Row],[Nb_article]]*Tarif_Certificat_X509_Wildcard</f>
        <v>0</v>
      </c>
      <c r="AC180" s="5">
        <f>IF(TabOceanet[[#This Row],[Type_tarif]]="Tarif_Astreinte_24_24_7_7",1,0)</f>
        <v>0</v>
      </c>
      <c r="AD180" s="5">
        <f>TabOceanet[[#This Row],[isCalcAstreinte247]]*TabOceanet[[#This Row],[Nb_article]]*Tarif_Astreinte_24_24_7_7</f>
        <v>0</v>
      </c>
      <c r="AE180" s="5">
        <f>IF(TabOceanet[[#This Row],[VM_status]]="PoweredOn",1,0)</f>
        <v>1</v>
      </c>
      <c r="AF180" s="17">
        <f>TabOceanet[[#This Row],[VM_mem]]*Tarif_Ram</f>
        <v>1.6</v>
      </c>
      <c r="AG180" s="5" t="str">
        <f>MID(TabOceanet[[#This Row],[Backup]],29,20)</f>
        <v>J15_1</v>
      </c>
      <c r="AH180" s="25">
        <f>IF(LEFT(TabOceanet[[#This Row],[TypeBAK]],3)="HOR",Tarif_Backup_Horaire*TabOceanet[[#This Row],[VM_disk]],IF(LEFT(TabOceanet[[#This Row],[TypeBAK]],3)="J15",Tarif_Backup_J15*TabOceanet[[#This Row],[VM_disk]],IF(LEFT(TabOceanet[[#This Row],[TypeBAK]],3)="H1_",Tarif_Backup_J15*TabOceanet[[#This Row],[VM_disk]],0)))</f>
        <v>0.92</v>
      </c>
      <c r="AI180" s="17">
        <f>TabOceanet[[#This Row],[VM_disk]]*Tarif_disque</f>
        <v>0</v>
      </c>
      <c r="AJ180"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2.52</v>
      </c>
    </row>
    <row r="181" spans="1:36" hidden="1" x14ac:dyDescent="0.25">
      <c r="A181" t="s">
        <v>87</v>
      </c>
      <c r="B181">
        <v>1</v>
      </c>
      <c r="C181">
        <v>1</v>
      </c>
      <c r="D181">
        <v>4</v>
      </c>
      <c r="E181" t="s">
        <v>423</v>
      </c>
      <c r="G181" t="s">
        <v>1275</v>
      </c>
      <c r="H181" t="s">
        <v>1274</v>
      </c>
      <c r="I181" t="s">
        <v>419</v>
      </c>
      <c r="J181" t="s">
        <v>414</v>
      </c>
      <c r="K181" t="s">
        <v>406</v>
      </c>
      <c r="L181" t="s">
        <v>410</v>
      </c>
      <c r="M181" t="s">
        <v>1322</v>
      </c>
      <c r="N181" t="s">
        <v>412</v>
      </c>
      <c r="O181">
        <v>10006791</v>
      </c>
      <c r="P181" t="s">
        <v>413</v>
      </c>
      <c r="Q181" s="5">
        <f>VLOOKUP(TabOceanet[VM_name],TabVMEnv[],3,FALSE)</f>
        <v>0</v>
      </c>
      <c r="R181" s="5" t="str">
        <f>IF(VLOOKUP(TabOceanet[VM_name],TabVMEnv[],2,FALSE) = "","Non","")</f>
        <v/>
      </c>
      <c r="S181" s="5">
        <f>IF(TabOceanet[[#This Row],[Type_tarif]]="Tarif_VLAN",1,0)</f>
        <v>0</v>
      </c>
      <c r="T181" s="5">
        <f>TabOceanet[[#This Row],[isCalcVlan]]*TabOceanet[[#This Row],[Nb_article]]*Tarif_VLAN</f>
        <v>0</v>
      </c>
      <c r="U181" s="5">
        <f>IF(TabOceanet[[#This Row],[Type_tarif]]="Tarif_IPPUB",1,0)</f>
        <v>0</v>
      </c>
      <c r="V181" s="5">
        <f>TabOceanet[[#This Row],[isCalcIpPub]]*TabOceanet[[#This Row],[Nb_article]]*Tarif_IPPUB</f>
        <v>0</v>
      </c>
      <c r="W181" s="5">
        <f>IF(TabOceanet[[#This Row],[Type_tarif]]="Tarif_DNS",1,0)</f>
        <v>0</v>
      </c>
      <c r="X181" s="5">
        <f>TabOceanet[[#This Row],[isCalcDns]]*TabOceanet[[#This Row],[Nb_article]]*Tarif_DNS</f>
        <v>0</v>
      </c>
      <c r="Y181" s="5">
        <f>IF(TabOceanet[[#This Row],[Type_tarif]]="Tarif_Certificat_X509_Simple",1,0)</f>
        <v>0</v>
      </c>
      <c r="Z181" s="5">
        <f>TabOceanet[[#This Row],[isCalcCertSimple]]*TabOceanet[[#This Row],[Nb_article]]*Tarif_Certificat_X509_Simple</f>
        <v>0</v>
      </c>
      <c r="AA181" s="5">
        <f>IF(TabOceanet[[#This Row],[Type_tarif]]="Tarif_Certificat_X509_Wildcard",1,0)</f>
        <v>0</v>
      </c>
      <c r="AB181" s="5">
        <f>TabOceanet[[#This Row],[isCalcCertWild]]*TabOceanet[[#This Row],[Nb_article]]*Tarif_Certificat_X509_Wildcard</f>
        <v>0</v>
      </c>
      <c r="AC181" s="5">
        <f>IF(TabOceanet[[#This Row],[Type_tarif]]="Tarif_Astreinte_24_24_7_7",1,0)</f>
        <v>0</v>
      </c>
      <c r="AD181" s="5">
        <f>TabOceanet[[#This Row],[isCalcAstreinte247]]*TabOceanet[[#This Row],[Nb_article]]*Tarif_Astreinte_24_24_7_7</f>
        <v>0</v>
      </c>
      <c r="AE181" s="5">
        <f>IF(TabOceanet[[#This Row],[VM_status]]="PoweredOn",1,0)</f>
        <v>1</v>
      </c>
      <c r="AF181" s="17">
        <f>TabOceanet[[#This Row],[VM_mem]]*Tarif_Ram</f>
        <v>1.6</v>
      </c>
      <c r="AG181" s="5" t="str">
        <f>MID(TabOceanet[[#This Row],[Backup]],29,20)</f>
        <v>J15_1</v>
      </c>
      <c r="AH181" s="25">
        <f>IF(LEFT(TabOceanet[[#This Row],[TypeBAK]],3)="HOR",Tarif_Backup_Horaire*TabOceanet[[#This Row],[VM_disk]],IF(LEFT(TabOceanet[[#This Row],[TypeBAK]],3)="J15",Tarif_Backup_J15*TabOceanet[[#This Row],[VM_disk]],IF(LEFT(TabOceanet[[#This Row],[TypeBAK]],3)="H1_",Tarif_Backup_J15*TabOceanet[[#This Row],[VM_disk]],0)))</f>
        <v>0.92</v>
      </c>
      <c r="AI181" s="17">
        <f>TabOceanet[[#This Row],[VM_disk]]*Tarif_disque</f>
        <v>0</v>
      </c>
      <c r="AJ181"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2.52</v>
      </c>
    </row>
    <row r="182" spans="1:36" hidden="1" x14ac:dyDescent="0.25">
      <c r="A182" t="s">
        <v>95</v>
      </c>
      <c r="B182">
        <v>2</v>
      </c>
      <c r="C182">
        <v>4</v>
      </c>
      <c r="D182">
        <v>4</v>
      </c>
      <c r="E182" t="s">
        <v>423</v>
      </c>
      <c r="G182" t="s">
        <v>1275</v>
      </c>
      <c r="H182" t="s">
        <v>1274</v>
      </c>
      <c r="I182" t="s">
        <v>419</v>
      </c>
      <c r="J182" t="s">
        <v>414</v>
      </c>
      <c r="K182" t="s">
        <v>406</v>
      </c>
      <c r="L182" t="s">
        <v>410</v>
      </c>
      <c r="M182" t="s">
        <v>430</v>
      </c>
      <c r="N182" t="s">
        <v>412</v>
      </c>
      <c r="O182">
        <v>10006791</v>
      </c>
      <c r="P182" t="s">
        <v>413</v>
      </c>
      <c r="Q182" s="5">
        <f>VLOOKUP(TabOceanet[VM_name],TabVMEnv[],3,FALSE)</f>
        <v>0</v>
      </c>
      <c r="R182" s="5" t="str">
        <f>IF(VLOOKUP(TabOceanet[VM_name],TabVMEnv[],2,FALSE) = "","Non","")</f>
        <v/>
      </c>
      <c r="S182" s="5">
        <f>IF(TabOceanet[[#This Row],[Type_tarif]]="Tarif_VLAN",1,0)</f>
        <v>0</v>
      </c>
      <c r="T182" s="5">
        <f>TabOceanet[[#This Row],[isCalcVlan]]*TabOceanet[[#This Row],[Nb_article]]*Tarif_VLAN</f>
        <v>0</v>
      </c>
      <c r="U182" s="5">
        <f>IF(TabOceanet[[#This Row],[Type_tarif]]="Tarif_IPPUB",1,0)</f>
        <v>0</v>
      </c>
      <c r="V182" s="5">
        <f>TabOceanet[[#This Row],[isCalcIpPub]]*TabOceanet[[#This Row],[Nb_article]]*Tarif_IPPUB</f>
        <v>0</v>
      </c>
      <c r="W182" s="5">
        <f>IF(TabOceanet[[#This Row],[Type_tarif]]="Tarif_DNS",1,0)</f>
        <v>0</v>
      </c>
      <c r="X182" s="5">
        <f>TabOceanet[[#This Row],[isCalcDns]]*TabOceanet[[#This Row],[Nb_article]]*Tarif_DNS</f>
        <v>0</v>
      </c>
      <c r="Y182" s="5">
        <f>IF(TabOceanet[[#This Row],[Type_tarif]]="Tarif_Certificat_X509_Simple",1,0)</f>
        <v>0</v>
      </c>
      <c r="Z182" s="5">
        <f>TabOceanet[[#This Row],[isCalcCertSimple]]*TabOceanet[[#This Row],[Nb_article]]*Tarif_Certificat_X509_Simple</f>
        <v>0</v>
      </c>
      <c r="AA182" s="5">
        <f>IF(TabOceanet[[#This Row],[Type_tarif]]="Tarif_Certificat_X509_Wildcard",1,0)</f>
        <v>0</v>
      </c>
      <c r="AB182" s="5">
        <f>TabOceanet[[#This Row],[isCalcCertWild]]*TabOceanet[[#This Row],[Nb_article]]*Tarif_Certificat_X509_Wildcard</f>
        <v>0</v>
      </c>
      <c r="AC182" s="5">
        <f>IF(TabOceanet[[#This Row],[Type_tarif]]="Tarif_Astreinte_24_24_7_7",1,0)</f>
        <v>0</v>
      </c>
      <c r="AD182" s="5">
        <f>TabOceanet[[#This Row],[isCalcAstreinte247]]*TabOceanet[[#This Row],[Nb_article]]*Tarif_Astreinte_24_24_7_7</f>
        <v>0</v>
      </c>
      <c r="AE182" s="5">
        <f>IF(TabOceanet[[#This Row],[VM_status]]="PoweredOn",1,0)</f>
        <v>1</v>
      </c>
      <c r="AF182" s="17">
        <f>TabOceanet[[#This Row],[VM_mem]]*Tarif_Ram</f>
        <v>6.4</v>
      </c>
      <c r="AG182" s="5" t="str">
        <f>MID(TabOceanet[[#This Row],[Backup]],29,20)</f>
        <v>J15_2</v>
      </c>
      <c r="AH182" s="25">
        <f>IF(LEFT(TabOceanet[[#This Row],[TypeBAK]],3)="HOR",Tarif_Backup_Horaire*TabOceanet[[#This Row],[VM_disk]],IF(LEFT(TabOceanet[[#This Row],[TypeBAK]],3)="J15",Tarif_Backup_J15*TabOceanet[[#This Row],[VM_disk]],IF(LEFT(TabOceanet[[#This Row],[TypeBAK]],3)="H1_",Tarif_Backup_J15*TabOceanet[[#This Row],[VM_disk]],0)))</f>
        <v>0.92</v>
      </c>
      <c r="AI182" s="17">
        <f>TabOceanet[[#This Row],[VM_disk]]*Tarif_disque</f>
        <v>0</v>
      </c>
      <c r="AJ182"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7.32</v>
      </c>
    </row>
    <row r="183" spans="1:36" hidden="1" x14ac:dyDescent="0.25">
      <c r="A183" t="s">
        <v>96</v>
      </c>
      <c r="B183">
        <v>2</v>
      </c>
      <c r="C183">
        <v>4</v>
      </c>
      <c r="D183">
        <v>8</v>
      </c>
      <c r="E183" t="s">
        <v>423</v>
      </c>
      <c r="G183" t="s">
        <v>1273</v>
      </c>
      <c r="H183" t="s">
        <v>1274</v>
      </c>
      <c r="I183" t="s">
        <v>419</v>
      </c>
      <c r="J183" t="s">
        <v>414</v>
      </c>
      <c r="K183" t="s">
        <v>406</v>
      </c>
      <c r="L183" t="s">
        <v>410</v>
      </c>
      <c r="M183" t="s">
        <v>430</v>
      </c>
      <c r="N183" t="s">
        <v>412</v>
      </c>
      <c r="O183">
        <v>10006791</v>
      </c>
      <c r="P183" t="s">
        <v>413</v>
      </c>
      <c r="Q183" s="5">
        <f>VLOOKUP(TabOceanet[VM_name],TabVMEnv[],3,FALSE)</f>
        <v>0</v>
      </c>
      <c r="R183" s="5" t="str">
        <f>IF(VLOOKUP(TabOceanet[VM_name],TabVMEnv[],2,FALSE) = "","Non","")</f>
        <v/>
      </c>
      <c r="S183" s="5">
        <f>IF(TabOceanet[[#This Row],[Type_tarif]]="Tarif_VLAN",1,0)</f>
        <v>0</v>
      </c>
      <c r="T183" s="5">
        <f>TabOceanet[[#This Row],[isCalcVlan]]*TabOceanet[[#This Row],[Nb_article]]*Tarif_VLAN</f>
        <v>0</v>
      </c>
      <c r="U183" s="5">
        <f>IF(TabOceanet[[#This Row],[Type_tarif]]="Tarif_IPPUB",1,0)</f>
        <v>0</v>
      </c>
      <c r="V183" s="5">
        <f>TabOceanet[[#This Row],[isCalcIpPub]]*TabOceanet[[#This Row],[Nb_article]]*Tarif_IPPUB</f>
        <v>0</v>
      </c>
      <c r="W183" s="5">
        <f>IF(TabOceanet[[#This Row],[Type_tarif]]="Tarif_DNS",1,0)</f>
        <v>0</v>
      </c>
      <c r="X183" s="5">
        <f>TabOceanet[[#This Row],[isCalcDns]]*TabOceanet[[#This Row],[Nb_article]]*Tarif_DNS</f>
        <v>0</v>
      </c>
      <c r="Y183" s="5">
        <f>IF(TabOceanet[[#This Row],[Type_tarif]]="Tarif_Certificat_X509_Simple",1,0)</f>
        <v>0</v>
      </c>
      <c r="Z183" s="5">
        <f>TabOceanet[[#This Row],[isCalcCertSimple]]*TabOceanet[[#This Row],[Nb_article]]*Tarif_Certificat_X509_Simple</f>
        <v>0</v>
      </c>
      <c r="AA183" s="5">
        <f>IF(TabOceanet[[#This Row],[Type_tarif]]="Tarif_Certificat_X509_Wildcard",1,0)</f>
        <v>0</v>
      </c>
      <c r="AB183" s="5">
        <f>TabOceanet[[#This Row],[isCalcCertWild]]*TabOceanet[[#This Row],[Nb_article]]*Tarif_Certificat_X509_Wildcard</f>
        <v>0</v>
      </c>
      <c r="AC183" s="5">
        <f>IF(TabOceanet[[#This Row],[Type_tarif]]="Tarif_Astreinte_24_24_7_7",1,0)</f>
        <v>0</v>
      </c>
      <c r="AD183" s="5">
        <f>TabOceanet[[#This Row],[isCalcAstreinte247]]*TabOceanet[[#This Row],[Nb_article]]*Tarif_Astreinte_24_24_7_7</f>
        <v>0</v>
      </c>
      <c r="AE183" s="5">
        <f>IF(TabOceanet[[#This Row],[VM_status]]="PoweredOn",1,0)</f>
        <v>1</v>
      </c>
      <c r="AF183" s="17">
        <f>TabOceanet[[#This Row],[VM_mem]]*Tarif_Ram</f>
        <v>6.4</v>
      </c>
      <c r="AG183" s="5" t="str">
        <f>MID(TabOceanet[[#This Row],[Backup]],29,20)</f>
        <v>J15_2</v>
      </c>
      <c r="AH183" s="25">
        <f>IF(LEFT(TabOceanet[[#This Row],[TypeBAK]],3)="HOR",Tarif_Backup_Horaire*TabOceanet[[#This Row],[VM_disk]],IF(LEFT(TabOceanet[[#This Row],[TypeBAK]],3)="J15",Tarif_Backup_J15*TabOceanet[[#This Row],[VM_disk]],IF(LEFT(TabOceanet[[#This Row],[TypeBAK]],3)="H1_",Tarif_Backup_J15*TabOceanet[[#This Row],[VM_disk]],0)))</f>
        <v>1.84</v>
      </c>
      <c r="AI183" s="17">
        <f>TabOceanet[[#This Row],[VM_disk]]*Tarif_disque</f>
        <v>0</v>
      </c>
      <c r="AJ183"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8.24</v>
      </c>
    </row>
    <row r="184" spans="1:36" hidden="1" x14ac:dyDescent="0.25">
      <c r="A184" t="s">
        <v>136</v>
      </c>
      <c r="B184">
        <v>2</v>
      </c>
      <c r="C184">
        <v>4</v>
      </c>
      <c r="D184">
        <v>8</v>
      </c>
      <c r="E184" t="s">
        <v>423</v>
      </c>
      <c r="G184" t="s">
        <v>1275</v>
      </c>
      <c r="H184" t="s">
        <v>1274</v>
      </c>
      <c r="I184" t="s">
        <v>436</v>
      </c>
      <c r="J184" t="s">
        <v>414</v>
      </c>
      <c r="K184" t="s">
        <v>406</v>
      </c>
      <c r="L184" t="s">
        <v>410</v>
      </c>
      <c r="M184" t="s">
        <v>420</v>
      </c>
      <c r="N184" t="s">
        <v>412</v>
      </c>
      <c r="O184">
        <v>10006791</v>
      </c>
      <c r="P184" t="s">
        <v>413</v>
      </c>
      <c r="Q184" s="5">
        <f>VLOOKUP(TabOceanet[VM_name],TabVMEnv[],3,FALSE)</f>
        <v>0</v>
      </c>
      <c r="R184" s="5" t="str">
        <f>IF(VLOOKUP(TabOceanet[VM_name],TabVMEnv[],2,FALSE) = "","Non","")</f>
        <v/>
      </c>
      <c r="S184" s="5">
        <f>IF(TabOceanet[[#This Row],[Type_tarif]]="Tarif_VLAN",1,0)</f>
        <v>0</v>
      </c>
      <c r="T184" s="5">
        <f>TabOceanet[[#This Row],[isCalcVlan]]*TabOceanet[[#This Row],[Nb_article]]*Tarif_VLAN</f>
        <v>0</v>
      </c>
      <c r="U184" s="5">
        <f>IF(TabOceanet[[#This Row],[Type_tarif]]="Tarif_IPPUB",1,0)</f>
        <v>0</v>
      </c>
      <c r="V184" s="5">
        <f>TabOceanet[[#This Row],[isCalcIpPub]]*TabOceanet[[#This Row],[Nb_article]]*Tarif_IPPUB</f>
        <v>0</v>
      </c>
      <c r="W184" s="5">
        <f>IF(TabOceanet[[#This Row],[Type_tarif]]="Tarif_DNS",1,0)</f>
        <v>0</v>
      </c>
      <c r="X184" s="5">
        <f>TabOceanet[[#This Row],[isCalcDns]]*TabOceanet[[#This Row],[Nb_article]]*Tarif_DNS</f>
        <v>0</v>
      </c>
      <c r="Y184" s="5">
        <f>IF(TabOceanet[[#This Row],[Type_tarif]]="Tarif_Certificat_X509_Simple",1,0)</f>
        <v>0</v>
      </c>
      <c r="Z184" s="5">
        <f>TabOceanet[[#This Row],[isCalcCertSimple]]*TabOceanet[[#This Row],[Nb_article]]*Tarif_Certificat_X509_Simple</f>
        <v>0</v>
      </c>
      <c r="AA184" s="5">
        <f>IF(TabOceanet[[#This Row],[Type_tarif]]="Tarif_Certificat_X509_Wildcard",1,0)</f>
        <v>0</v>
      </c>
      <c r="AB184" s="5">
        <f>TabOceanet[[#This Row],[isCalcCertWild]]*TabOceanet[[#This Row],[Nb_article]]*Tarif_Certificat_X509_Wildcard</f>
        <v>0</v>
      </c>
      <c r="AC184" s="5">
        <f>IF(TabOceanet[[#This Row],[Type_tarif]]="Tarif_Astreinte_24_24_7_7",1,0)</f>
        <v>0</v>
      </c>
      <c r="AD184" s="5">
        <f>TabOceanet[[#This Row],[isCalcAstreinte247]]*TabOceanet[[#This Row],[Nb_article]]*Tarif_Astreinte_24_24_7_7</f>
        <v>0</v>
      </c>
      <c r="AE184" s="5">
        <f>IF(TabOceanet[[#This Row],[VM_status]]="PoweredOn",1,0)</f>
        <v>0</v>
      </c>
      <c r="AF184" s="17">
        <f>TabOceanet[[#This Row],[VM_mem]]*Tarif_Ram</f>
        <v>6.4</v>
      </c>
      <c r="AG184" s="5" t="str">
        <f>MID(TabOceanet[[#This Row],[Backup]],29,20)</f>
        <v>J15_3</v>
      </c>
      <c r="AH184" s="25">
        <f>IF(LEFT(TabOceanet[[#This Row],[TypeBAK]],3)="HOR",Tarif_Backup_Horaire*TabOceanet[[#This Row],[VM_disk]],IF(LEFT(TabOceanet[[#This Row],[TypeBAK]],3)="J15",Tarif_Backup_J15*TabOceanet[[#This Row],[VM_disk]],IF(LEFT(TabOceanet[[#This Row],[TypeBAK]],3)="H1_",Tarif_Backup_J15*TabOceanet[[#This Row],[VM_disk]],0)))</f>
        <v>1.84</v>
      </c>
      <c r="AI184" s="17">
        <f>TabOceanet[[#This Row],[VM_disk]]*Tarif_disque</f>
        <v>0</v>
      </c>
      <c r="AJ184"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1.84</v>
      </c>
    </row>
    <row r="185" spans="1:36" hidden="1" x14ac:dyDescent="0.25">
      <c r="A185" t="s">
        <v>137</v>
      </c>
      <c r="B185">
        <v>2</v>
      </c>
      <c r="C185">
        <v>4</v>
      </c>
      <c r="D185">
        <v>8</v>
      </c>
      <c r="E185" t="s">
        <v>423</v>
      </c>
      <c r="G185" t="s">
        <v>1275</v>
      </c>
      <c r="H185" t="s">
        <v>1274</v>
      </c>
      <c r="I185" t="s">
        <v>419</v>
      </c>
      <c r="J185" t="s">
        <v>414</v>
      </c>
      <c r="K185" t="s">
        <v>406</v>
      </c>
      <c r="L185" t="s">
        <v>410</v>
      </c>
      <c r="M185" t="s">
        <v>430</v>
      </c>
      <c r="N185" t="s">
        <v>412</v>
      </c>
      <c r="O185">
        <v>10006791</v>
      </c>
      <c r="P185" t="s">
        <v>413</v>
      </c>
      <c r="Q185" s="5">
        <f>VLOOKUP(TabOceanet[VM_name],TabVMEnv[],3,FALSE)</f>
        <v>0</v>
      </c>
      <c r="R185" s="5" t="str">
        <f>IF(VLOOKUP(TabOceanet[VM_name],TabVMEnv[],2,FALSE) = "","Non","")</f>
        <v/>
      </c>
      <c r="S185" s="5">
        <f>IF(TabOceanet[[#This Row],[Type_tarif]]="Tarif_VLAN",1,0)</f>
        <v>0</v>
      </c>
      <c r="T185" s="5">
        <f>TabOceanet[[#This Row],[isCalcVlan]]*TabOceanet[[#This Row],[Nb_article]]*Tarif_VLAN</f>
        <v>0</v>
      </c>
      <c r="U185" s="5">
        <f>IF(TabOceanet[[#This Row],[Type_tarif]]="Tarif_IPPUB",1,0)</f>
        <v>0</v>
      </c>
      <c r="V185" s="5">
        <f>TabOceanet[[#This Row],[isCalcIpPub]]*TabOceanet[[#This Row],[Nb_article]]*Tarif_IPPUB</f>
        <v>0</v>
      </c>
      <c r="W185" s="5">
        <f>IF(TabOceanet[[#This Row],[Type_tarif]]="Tarif_DNS",1,0)</f>
        <v>0</v>
      </c>
      <c r="X185" s="5">
        <f>TabOceanet[[#This Row],[isCalcDns]]*TabOceanet[[#This Row],[Nb_article]]*Tarif_DNS</f>
        <v>0</v>
      </c>
      <c r="Y185" s="5">
        <f>IF(TabOceanet[[#This Row],[Type_tarif]]="Tarif_Certificat_X509_Simple",1,0)</f>
        <v>0</v>
      </c>
      <c r="Z185" s="5">
        <f>TabOceanet[[#This Row],[isCalcCertSimple]]*TabOceanet[[#This Row],[Nb_article]]*Tarif_Certificat_X509_Simple</f>
        <v>0</v>
      </c>
      <c r="AA185" s="5">
        <f>IF(TabOceanet[[#This Row],[Type_tarif]]="Tarif_Certificat_X509_Wildcard",1,0)</f>
        <v>0</v>
      </c>
      <c r="AB185" s="5">
        <f>TabOceanet[[#This Row],[isCalcCertWild]]*TabOceanet[[#This Row],[Nb_article]]*Tarif_Certificat_X509_Wildcard</f>
        <v>0</v>
      </c>
      <c r="AC185" s="5">
        <f>IF(TabOceanet[[#This Row],[Type_tarif]]="Tarif_Astreinte_24_24_7_7",1,0)</f>
        <v>0</v>
      </c>
      <c r="AD185" s="5">
        <f>TabOceanet[[#This Row],[isCalcAstreinte247]]*TabOceanet[[#This Row],[Nb_article]]*Tarif_Astreinte_24_24_7_7</f>
        <v>0</v>
      </c>
      <c r="AE185" s="5">
        <f>IF(TabOceanet[[#This Row],[VM_status]]="PoweredOn",1,0)</f>
        <v>1</v>
      </c>
      <c r="AF185" s="17">
        <f>TabOceanet[[#This Row],[VM_mem]]*Tarif_Ram</f>
        <v>6.4</v>
      </c>
      <c r="AG185" s="5" t="str">
        <f>MID(TabOceanet[[#This Row],[Backup]],29,20)</f>
        <v>J15_2</v>
      </c>
      <c r="AH185" s="25">
        <f>IF(LEFT(TabOceanet[[#This Row],[TypeBAK]],3)="HOR",Tarif_Backup_Horaire*TabOceanet[[#This Row],[VM_disk]],IF(LEFT(TabOceanet[[#This Row],[TypeBAK]],3)="J15",Tarif_Backup_J15*TabOceanet[[#This Row],[VM_disk]],IF(LEFT(TabOceanet[[#This Row],[TypeBAK]],3)="H1_",Tarif_Backup_J15*TabOceanet[[#This Row],[VM_disk]],0)))</f>
        <v>1.84</v>
      </c>
      <c r="AI185" s="17">
        <f>TabOceanet[[#This Row],[VM_disk]]*Tarif_disque</f>
        <v>0</v>
      </c>
      <c r="AJ185"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8.24</v>
      </c>
    </row>
    <row r="186" spans="1:36" hidden="1" x14ac:dyDescent="0.25">
      <c r="A186" t="s">
        <v>88</v>
      </c>
      <c r="B186">
        <v>1</v>
      </c>
      <c r="C186">
        <v>1</v>
      </c>
      <c r="D186">
        <v>4</v>
      </c>
      <c r="E186" t="s">
        <v>423</v>
      </c>
      <c r="G186" t="s">
        <v>1273</v>
      </c>
      <c r="H186" t="s">
        <v>1274</v>
      </c>
      <c r="I186" t="s">
        <v>419</v>
      </c>
      <c r="J186" t="s">
        <v>414</v>
      </c>
      <c r="K186" t="s">
        <v>406</v>
      </c>
      <c r="L186" t="s">
        <v>410</v>
      </c>
      <c r="M186" t="s">
        <v>420</v>
      </c>
      <c r="N186" t="s">
        <v>412</v>
      </c>
      <c r="O186">
        <v>10006791</v>
      </c>
      <c r="P186" t="s">
        <v>413</v>
      </c>
      <c r="Q186" s="5">
        <f>VLOOKUP(TabOceanet[VM_name],TabVMEnv[],3,FALSE)</f>
        <v>0</v>
      </c>
      <c r="R186" s="5" t="str">
        <f>IF(VLOOKUP(TabOceanet[VM_name],TabVMEnv[],2,FALSE) = "","Non","")</f>
        <v/>
      </c>
      <c r="S186" s="5">
        <f>IF(TabOceanet[[#This Row],[Type_tarif]]="Tarif_VLAN",1,0)</f>
        <v>0</v>
      </c>
      <c r="T186" s="5">
        <f>TabOceanet[[#This Row],[isCalcVlan]]*TabOceanet[[#This Row],[Nb_article]]*Tarif_VLAN</f>
        <v>0</v>
      </c>
      <c r="U186" s="5">
        <f>IF(TabOceanet[[#This Row],[Type_tarif]]="Tarif_IPPUB",1,0)</f>
        <v>0</v>
      </c>
      <c r="V186" s="5">
        <f>TabOceanet[[#This Row],[isCalcIpPub]]*TabOceanet[[#This Row],[Nb_article]]*Tarif_IPPUB</f>
        <v>0</v>
      </c>
      <c r="W186" s="5">
        <f>IF(TabOceanet[[#This Row],[Type_tarif]]="Tarif_DNS",1,0)</f>
        <v>0</v>
      </c>
      <c r="X186" s="5">
        <f>TabOceanet[[#This Row],[isCalcDns]]*TabOceanet[[#This Row],[Nb_article]]*Tarif_DNS</f>
        <v>0</v>
      </c>
      <c r="Y186" s="5">
        <f>IF(TabOceanet[[#This Row],[Type_tarif]]="Tarif_Certificat_X509_Simple",1,0)</f>
        <v>0</v>
      </c>
      <c r="Z186" s="5">
        <f>TabOceanet[[#This Row],[isCalcCertSimple]]*TabOceanet[[#This Row],[Nb_article]]*Tarif_Certificat_X509_Simple</f>
        <v>0</v>
      </c>
      <c r="AA186" s="5">
        <f>IF(TabOceanet[[#This Row],[Type_tarif]]="Tarif_Certificat_X509_Wildcard",1,0)</f>
        <v>0</v>
      </c>
      <c r="AB186" s="5">
        <f>TabOceanet[[#This Row],[isCalcCertWild]]*TabOceanet[[#This Row],[Nb_article]]*Tarif_Certificat_X509_Wildcard</f>
        <v>0</v>
      </c>
      <c r="AC186" s="5">
        <f>IF(TabOceanet[[#This Row],[Type_tarif]]="Tarif_Astreinte_24_24_7_7",1,0)</f>
        <v>0</v>
      </c>
      <c r="AD186" s="5">
        <f>TabOceanet[[#This Row],[isCalcAstreinte247]]*TabOceanet[[#This Row],[Nb_article]]*Tarif_Astreinte_24_24_7_7</f>
        <v>0</v>
      </c>
      <c r="AE186" s="5">
        <f>IF(TabOceanet[[#This Row],[VM_status]]="PoweredOn",1,0)</f>
        <v>1</v>
      </c>
      <c r="AF186" s="17">
        <f>TabOceanet[[#This Row],[VM_mem]]*Tarif_Ram</f>
        <v>1.6</v>
      </c>
      <c r="AG186" s="5" t="str">
        <f>MID(TabOceanet[[#This Row],[Backup]],29,20)</f>
        <v>J15_3</v>
      </c>
      <c r="AH186" s="25">
        <f>IF(LEFT(TabOceanet[[#This Row],[TypeBAK]],3)="HOR",Tarif_Backup_Horaire*TabOceanet[[#This Row],[VM_disk]],IF(LEFT(TabOceanet[[#This Row],[TypeBAK]],3)="J15",Tarif_Backup_J15*TabOceanet[[#This Row],[VM_disk]],IF(LEFT(TabOceanet[[#This Row],[TypeBAK]],3)="H1_",Tarif_Backup_J15*TabOceanet[[#This Row],[VM_disk]],0)))</f>
        <v>0.92</v>
      </c>
      <c r="AI186" s="17">
        <f>TabOceanet[[#This Row],[VM_disk]]*Tarif_disque</f>
        <v>0</v>
      </c>
      <c r="AJ186"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2.52</v>
      </c>
    </row>
    <row r="187" spans="1:36" hidden="1" x14ac:dyDescent="0.25">
      <c r="A187" t="s">
        <v>89</v>
      </c>
      <c r="B187">
        <v>4</v>
      </c>
      <c r="C187">
        <v>4</v>
      </c>
      <c r="D187">
        <v>24</v>
      </c>
      <c r="E187" t="s">
        <v>423</v>
      </c>
      <c r="G187" t="s">
        <v>1275</v>
      </c>
      <c r="H187" t="s">
        <v>1274</v>
      </c>
      <c r="I187" t="s">
        <v>419</v>
      </c>
      <c r="J187" t="s">
        <v>414</v>
      </c>
      <c r="K187" t="s">
        <v>406</v>
      </c>
      <c r="L187" t="s">
        <v>410</v>
      </c>
      <c r="M187" t="s">
        <v>420</v>
      </c>
      <c r="N187" t="s">
        <v>412</v>
      </c>
      <c r="O187">
        <v>10006791</v>
      </c>
      <c r="P187" t="s">
        <v>413</v>
      </c>
      <c r="Q187" s="5">
        <f>VLOOKUP(TabOceanet[VM_name],TabVMEnv[],3,FALSE)</f>
        <v>0</v>
      </c>
      <c r="R187" s="5" t="str">
        <f>IF(VLOOKUP(TabOceanet[VM_name],TabVMEnv[],2,FALSE) = "","Non","")</f>
        <v/>
      </c>
      <c r="S187" s="5">
        <f>IF(TabOceanet[[#This Row],[Type_tarif]]="Tarif_VLAN",1,0)</f>
        <v>0</v>
      </c>
      <c r="T187" s="5">
        <f>TabOceanet[[#This Row],[isCalcVlan]]*TabOceanet[[#This Row],[Nb_article]]*Tarif_VLAN</f>
        <v>0</v>
      </c>
      <c r="U187" s="5">
        <f>IF(TabOceanet[[#This Row],[Type_tarif]]="Tarif_IPPUB",1,0)</f>
        <v>0</v>
      </c>
      <c r="V187" s="5">
        <f>TabOceanet[[#This Row],[isCalcIpPub]]*TabOceanet[[#This Row],[Nb_article]]*Tarif_IPPUB</f>
        <v>0</v>
      </c>
      <c r="W187" s="5">
        <f>IF(TabOceanet[[#This Row],[Type_tarif]]="Tarif_DNS",1,0)</f>
        <v>0</v>
      </c>
      <c r="X187" s="5">
        <f>TabOceanet[[#This Row],[isCalcDns]]*TabOceanet[[#This Row],[Nb_article]]*Tarif_DNS</f>
        <v>0</v>
      </c>
      <c r="Y187" s="5">
        <f>IF(TabOceanet[[#This Row],[Type_tarif]]="Tarif_Certificat_X509_Simple",1,0)</f>
        <v>0</v>
      </c>
      <c r="Z187" s="5">
        <f>TabOceanet[[#This Row],[isCalcCertSimple]]*TabOceanet[[#This Row],[Nb_article]]*Tarif_Certificat_X509_Simple</f>
        <v>0</v>
      </c>
      <c r="AA187" s="5">
        <f>IF(TabOceanet[[#This Row],[Type_tarif]]="Tarif_Certificat_X509_Wildcard",1,0)</f>
        <v>0</v>
      </c>
      <c r="AB187" s="5">
        <f>TabOceanet[[#This Row],[isCalcCertWild]]*TabOceanet[[#This Row],[Nb_article]]*Tarif_Certificat_X509_Wildcard</f>
        <v>0</v>
      </c>
      <c r="AC187" s="5">
        <f>IF(TabOceanet[[#This Row],[Type_tarif]]="Tarif_Astreinte_24_24_7_7",1,0)</f>
        <v>0</v>
      </c>
      <c r="AD187" s="5">
        <f>TabOceanet[[#This Row],[isCalcAstreinte247]]*TabOceanet[[#This Row],[Nb_article]]*Tarif_Astreinte_24_24_7_7</f>
        <v>0</v>
      </c>
      <c r="AE187" s="5">
        <f>IF(TabOceanet[[#This Row],[VM_status]]="PoweredOn",1,0)</f>
        <v>1</v>
      </c>
      <c r="AF187" s="17">
        <f>TabOceanet[[#This Row],[VM_mem]]*Tarif_Ram</f>
        <v>6.4</v>
      </c>
      <c r="AG187" s="5" t="str">
        <f>MID(TabOceanet[[#This Row],[Backup]],29,20)</f>
        <v>J15_3</v>
      </c>
      <c r="AH187" s="25">
        <f>IF(LEFT(TabOceanet[[#This Row],[TypeBAK]],3)="HOR",Tarif_Backup_Horaire*TabOceanet[[#This Row],[VM_disk]],IF(LEFT(TabOceanet[[#This Row],[TypeBAK]],3)="J15",Tarif_Backup_J15*TabOceanet[[#This Row],[VM_disk]],IF(LEFT(TabOceanet[[#This Row],[TypeBAK]],3)="H1_",Tarif_Backup_J15*TabOceanet[[#This Row],[VM_disk]],0)))</f>
        <v>5.5200000000000005</v>
      </c>
      <c r="AI187" s="17">
        <f>TabOceanet[[#This Row],[VM_disk]]*Tarif_disque</f>
        <v>0</v>
      </c>
      <c r="AJ187"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11.920000000000002</v>
      </c>
    </row>
    <row r="188" spans="1:36" x14ac:dyDescent="0.25">
      <c r="A188" t="s">
        <v>226</v>
      </c>
      <c r="B188">
        <v>1</v>
      </c>
      <c r="C188">
        <v>2</v>
      </c>
      <c r="D188">
        <v>40</v>
      </c>
      <c r="E188" t="s">
        <v>441</v>
      </c>
      <c r="G188" t="s">
        <v>1275</v>
      </c>
      <c r="H188" t="s">
        <v>1274</v>
      </c>
      <c r="I188" t="s">
        <v>419</v>
      </c>
      <c r="J188" t="s">
        <v>414</v>
      </c>
      <c r="K188" t="s">
        <v>408</v>
      </c>
      <c r="L188" t="s">
        <v>410</v>
      </c>
      <c r="M188" t="s">
        <v>1322</v>
      </c>
      <c r="N188" t="s">
        <v>412</v>
      </c>
      <c r="O188">
        <v>10006791</v>
      </c>
      <c r="P188" t="s">
        <v>413</v>
      </c>
      <c r="Q188" s="5" t="str">
        <f>VLOOKUP(TabOceanet[VM_name],TabVMEnv[],3,FALSE)</f>
        <v>aaaaa</v>
      </c>
      <c r="R188" s="5" t="str">
        <f>IF(VLOOKUP(TabOceanet[VM_name],TabVMEnv[],2,FALSE) = "","Non","")</f>
        <v/>
      </c>
      <c r="S188" s="5">
        <f>IF(TabOceanet[[#This Row],[Type_tarif]]="Tarif_VLAN",1,0)</f>
        <v>0</v>
      </c>
      <c r="T188" s="5">
        <f>TabOceanet[[#This Row],[isCalcVlan]]*TabOceanet[[#This Row],[Nb_article]]*Tarif_VLAN</f>
        <v>0</v>
      </c>
      <c r="U188" s="5">
        <f>IF(TabOceanet[[#This Row],[Type_tarif]]="Tarif_IPPUB",1,0)</f>
        <v>0</v>
      </c>
      <c r="V188" s="5">
        <f>TabOceanet[[#This Row],[isCalcIpPub]]*TabOceanet[[#This Row],[Nb_article]]*Tarif_IPPUB</f>
        <v>0</v>
      </c>
      <c r="W188" s="5">
        <f>IF(TabOceanet[[#This Row],[Type_tarif]]="Tarif_DNS",1,0)</f>
        <v>0</v>
      </c>
      <c r="X188" s="5">
        <f>TabOceanet[[#This Row],[isCalcDns]]*TabOceanet[[#This Row],[Nb_article]]*Tarif_DNS</f>
        <v>0</v>
      </c>
      <c r="Y188" s="5">
        <f>IF(TabOceanet[[#This Row],[Type_tarif]]="Tarif_Certificat_X509_Simple",1,0)</f>
        <v>0</v>
      </c>
      <c r="Z188" s="5">
        <f>TabOceanet[[#This Row],[isCalcCertSimple]]*TabOceanet[[#This Row],[Nb_article]]*Tarif_Certificat_X509_Simple</f>
        <v>0</v>
      </c>
      <c r="AA188" s="5">
        <f>IF(TabOceanet[[#This Row],[Type_tarif]]="Tarif_Certificat_X509_Wildcard",1,0)</f>
        <v>0</v>
      </c>
      <c r="AB188" s="5">
        <f>TabOceanet[[#This Row],[isCalcCertWild]]*TabOceanet[[#This Row],[Nb_article]]*Tarif_Certificat_X509_Wildcard</f>
        <v>0</v>
      </c>
      <c r="AC188" s="5">
        <f>IF(TabOceanet[[#This Row],[Type_tarif]]="Tarif_Astreinte_24_24_7_7",1,0)</f>
        <v>0</v>
      </c>
      <c r="AD188" s="5">
        <f>TabOceanet[[#This Row],[isCalcAstreinte247]]*TabOceanet[[#This Row],[Nb_article]]*Tarif_Astreinte_24_24_7_7</f>
        <v>0</v>
      </c>
      <c r="AE188" s="5">
        <f>IF(TabOceanet[[#This Row],[VM_status]]="PoweredOn",1,0)</f>
        <v>1</v>
      </c>
      <c r="AF188" s="17">
        <f>TabOceanet[[#This Row],[VM_mem]]*Tarif_Ram</f>
        <v>3.2</v>
      </c>
      <c r="AG188" s="5" t="str">
        <f>MID(TabOceanet[[#This Row],[Backup]],29,20)</f>
        <v>J15_1</v>
      </c>
      <c r="AH188" s="25">
        <f>IF(LEFT(TabOceanet[[#This Row],[TypeBAK]],3)="HOR",Tarif_Backup_Horaire*TabOceanet[[#This Row],[VM_disk]],IF(LEFT(TabOceanet[[#This Row],[TypeBAK]],3)="J15",Tarif_Backup_J15*TabOceanet[[#This Row],[VM_disk]],IF(LEFT(TabOceanet[[#This Row],[TypeBAK]],3)="H1_",Tarif_Backup_J15*TabOceanet[[#This Row],[VM_disk]],0)))</f>
        <v>9.2000000000000011</v>
      </c>
      <c r="AI188" s="17">
        <f>TabOceanet[[#This Row],[VM_disk]]*Tarif_disque</f>
        <v>0</v>
      </c>
      <c r="AJ188"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12.400000000000002</v>
      </c>
    </row>
    <row r="189" spans="1:36" x14ac:dyDescent="0.25">
      <c r="A189" t="s">
        <v>1313</v>
      </c>
      <c r="B189">
        <v>4</v>
      </c>
      <c r="C189">
        <v>4</v>
      </c>
      <c r="D189">
        <v>100</v>
      </c>
      <c r="E189" t="s">
        <v>426</v>
      </c>
      <c r="G189" t="s">
        <v>1275</v>
      </c>
      <c r="H189" t="s">
        <v>1300</v>
      </c>
      <c r="I189" t="s">
        <v>419</v>
      </c>
      <c r="K189" t="s">
        <v>408</v>
      </c>
      <c r="L189" t="s">
        <v>410</v>
      </c>
      <c r="M189" t="s">
        <v>430</v>
      </c>
      <c r="N189" t="s">
        <v>412</v>
      </c>
      <c r="O189">
        <v>10006791</v>
      </c>
      <c r="P189" t="s">
        <v>413</v>
      </c>
      <c r="Q189" s="5">
        <f>VLOOKUP(TabOceanet[VM_name],TabVMEnv[],3,FALSE)</f>
        <v>0</v>
      </c>
      <c r="R189" s="5" t="str">
        <f>IF(VLOOKUP(TabOceanet[VM_name],TabVMEnv[],2,FALSE) = "","Non","")</f>
        <v/>
      </c>
      <c r="S189" s="5">
        <f>IF(TabOceanet[[#This Row],[Type_tarif]]="Tarif_VLAN",1,0)</f>
        <v>0</v>
      </c>
      <c r="T189" s="5">
        <f>TabOceanet[[#This Row],[isCalcVlan]]*TabOceanet[[#This Row],[Nb_article]]*Tarif_VLAN</f>
        <v>0</v>
      </c>
      <c r="U189" s="5">
        <f>IF(TabOceanet[[#This Row],[Type_tarif]]="Tarif_IPPUB",1,0)</f>
        <v>0</v>
      </c>
      <c r="V189" s="5">
        <f>TabOceanet[[#This Row],[isCalcIpPub]]*TabOceanet[[#This Row],[Nb_article]]*Tarif_IPPUB</f>
        <v>0</v>
      </c>
      <c r="W189" s="5">
        <f>IF(TabOceanet[[#This Row],[Type_tarif]]="Tarif_DNS",1,0)</f>
        <v>0</v>
      </c>
      <c r="X189" s="5">
        <f>TabOceanet[[#This Row],[isCalcDns]]*TabOceanet[[#This Row],[Nb_article]]*Tarif_DNS</f>
        <v>0</v>
      </c>
      <c r="Y189" s="5">
        <f>IF(TabOceanet[[#This Row],[Type_tarif]]="Tarif_Certificat_X509_Simple",1,0)</f>
        <v>0</v>
      </c>
      <c r="Z189" s="5">
        <f>TabOceanet[[#This Row],[isCalcCertSimple]]*TabOceanet[[#This Row],[Nb_article]]*Tarif_Certificat_X509_Simple</f>
        <v>0</v>
      </c>
      <c r="AA189" s="5">
        <f>IF(TabOceanet[[#This Row],[Type_tarif]]="Tarif_Certificat_X509_Wildcard",1,0)</f>
        <v>0</v>
      </c>
      <c r="AB189" s="5">
        <f>TabOceanet[[#This Row],[isCalcCertWild]]*TabOceanet[[#This Row],[Nb_article]]*Tarif_Certificat_X509_Wildcard</f>
        <v>0</v>
      </c>
      <c r="AC189" s="5">
        <f>IF(TabOceanet[[#This Row],[Type_tarif]]="Tarif_Astreinte_24_24_7_7",1,0)</f>
        <v>0</v>
      </c>
      <c r="AD189" s="5">
        <f>TabOceanet[[#This Row],[isCalcAstreinte247]]*TabOceanet[[#This Row],[Nb_article]]*Tarif_Astreinte_24_24_7_7</f>
        <v>0</v>
      </c>
      <c r="AE189" s="5">
        <f>IF(TabOceanet[[#This Row],[VM_status]]="PoweredOn",1,0)</f>
        <v>1</v>
      </c>
      <c r="AF189" s="17">
        <f>TabOceanet[[#This Row],[VM_mem]]*Tarif_Ram</f>
        <v>6.4</v>
      </c>
      <c r="AG189" s="5" t="str">
        <f>MID(TabOceanet[[#This Row],[Backup]],29,20)</f>
        <v>J15_2</v>
      </c>
      <c r="AH189" s="25">
        <f>IF(LEFT(TabOceanet[[#This Row],[TypeBAK]],3)="HOR",Tarif_Backup_Horaire*TabOceanet[[#This Row],[VM_disk]],IF(LEFT(TabOceanet[[#This Row],[TypeBAK]],3)="J15",Tarif_Backup_J15*TabOceanet[[#This Row],[VM_disk]],IF(LEFT(TabOceanet[[#This Row],[TypeBAK]],3)="H1_",Tarif_Backup_J15*TabOceanet[[#This Row],[VM_disk]],0)))</f>
        <v>23</v>
      </c>
      <c r="AI189" s="17">
        <f>TabOceanet[[#This Row],[VM_disk]]*Tarif_disque</f>
        <v>0</v>
      </c>
      <c r="AJ189"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29.4</v>
      </c>
    </row>
    <row r="190" spans="1:36" x14ac:dyDescent="0.25">
      <c r="A190" t="s">
        <v>206</v>
      </c>
      <c r="B190">
        <v>2</v>
      </c>
      <c r="C190">
        <v>2</v>
      </c>
      <c r="D190">
        <v>34</v>
      </c>
      <c r="E190" t="s">
        <v>426</v>
      </c>
      <c r="G190" t="s">
        <v>1273</v>
      </c>
      <c r="H190" t="s">
        <v>1274</v>
      </c>
      <c r="I190" t="s">
        <v>419</v>
      </c>
      <c r="J190" t="s">
        <v>414</v>
      </c>
      <c r="K190" t="s">
        <v>408</v>
      </c>
      <c r="L190" t="s">
        <v>410</v>
      </c>
      <c r="M190" t="s">
        <v>1322</v>
      </c>
      <c r="N190" t="s">
        <v>412</v>
      </c>
      <c r="O190">
        <v>10006791</v>
      </c>
      <c r="P190" t="s">
        <v>413</v>
      </c>
      <c r="Q190" s="5">
        <f>VLOOKUP(TabOceanet[VM_name],TabVMEnv[],3,FALSE)</f>
        <v>0</v>
      </c>
      <c r="R190" s="5" t="str">
        <f>IF(VLOOKUP(TabOceanet[VM_name],TabVMEnv[],2,FALSE) = "","Non","")</f>
        <v/>
      </c>
      <c r="S190" s="5">
        <f>IF(TabOceanet[[#This Row],[Type_tarif]]="Tarif_VLAN",1,0)</f>
        <v>0</v>
      </c>
      <c r="T190" s="5">
        <f>TabOceanet[[#This Row],[isCalcVlan]]*TabOceanet[[#This Row],[Nb_article]]*Tarif_VLAN</f>
        <v>0</v>
      </c>
      <c r="U190" s="5">
        <f>IF(TabOceanet[[#This Row],[Type_tarif]]="Tarif_IPPUB",1,0)</f>
        <v>0</v>
      </c>
      <c r="V190" s="5">
        <f>TabOceanet[[#This Row],[isCalcIpPub]]*TabOceanet[[#This Row],[Nb_article]]*Tarif_IPPUB</f>
        <v>0</v>
      </c>
      <c r="W190" s="5">
        <f>IF(TabOceanet[[#This Row],[Type_tarif]]="Tarif_DNS",1,0)</f>
        <v>0</v>
      </c>
      <c r="X190" s="5">
        <f>TabOceanet[[#This Row],[isCalcDns]]*TabOceanet[[#This Row],[Nb_article]]*Tarif_DNS</f>
        <v>0</v>
      </c>
      <c r="Y190" s="5">
        <f>IF(TabOceanet[[#This Row],[Type_tarif]]="Tarif_Certificat_X509_Simple",1,0)</f>
        <v>0</v>
      </c>
      <c r="Z190" s="5">
        <f>TabOceanet[[#This Row],[isCalcCertSimple]]*TabOceanet[[#This Row],[Nb_article]]*Tarif_Certificat_X509_Simple</f>
        <v>0</v>
      </c>
      <c r="AA190" s="5">
        <f>IF(TabOceanet[[#This Row],[Type_tarif]]="Tarif_Certificat_X509_Wildcard",1,0)</f>
        <v>0</v>
      </c>
      <c r="AB190" s="5">
        <f>TabOceanet[[#This Row],[isCalcCertWild]]*TabOceanet[[#This Row],[Nb_article]]*Tarif_Certificat_X509_Wildcard</f>
        <v>0</v>
      </c>
      <c r="AC190" s="5">
        <f>IF(TabOceanet[[#This Row],[Type_tarif]]="Tarif_Astreinte_24_24_7_7",1,0)</f>
        <v>0</v>
      </c>
      <c r="AD190" s="5">
        <f>TabOceanet[[#This Row],[isCalcAstreinte247]]*TabOceanet[[#This Row],[Nb_article]]*Tarif_Astreinte_24_24_7_7</f>
        <v>0</v>
      </c>
      <c r="AE190" s="5">
        <f>IF(TabOceanet[[#This Row],[VM_status]]="PoweredOn",1,0)</f>
        <v>1</v>
      </c>
      <c r="AF190" s="17">
        <f>TabOceanet[[#This Row],[VM_mem]]*Tarif_Ram</f>
        <v>3.2</v>
      </c>
      <c r="AG190" s="5" t="str">
        <f>MID(TabOceanet[[#This Row],[Backup]],29,20)</f>
        <v>J15_1</v>
      </c>
      <c r="AH190" s="25">
        <f>IF(LEFT(TabOceanet[[#This Row],[TypeBAK]],3)="HOR",Tarif_Backup_Horaire*TabOceanet[[#This Row],[VM_disk]],IF(LEFT(TabOceanet[[#This Row],[TypeBAK]],3)="J15",Tarif_Backup_J15*TabOceanet[[#This Row],[VM_disk]],IF(LEFT(TabOceanet[[#This Row],[TypeBAK]],3)="H1_",Tarif_Backup_J15*TabOceanet[[#This Row],[VM_disk]],0)))</f>
        <v>7.82</v>
      </c>
      <c r="AI190" s="17">
        <f>TabOceanet[[#This Row],[VM_disk]]*Tarif_disque</f>
        <v>0</v>
      </c>
      <c r="AJ190"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11.02</v>
      </c>
    </row>
    <row r="191" spans="1:36" x14ac:dyDescent="0.25">
      <c r="A191" t="s">
        <v>207</v>
      </c>
      <c r="B191">
        <v>2</v>
      </c>
      <c r="C191">
        <v>2</v>
      </c>
      <c r="D191">
        <v>34</v>
      </c>
      <c r="E191" t="s">
        <v>426</v>
      </c>
      <c r="G191" t="s">
        <v>1275</v>
      </c>
      <c r="H191" t="s">
        <v>1274</v>
      </c>
      <c r="I191" t="s">
        <v>419</v>
      </c>
      <c r="J191" t="s">
        <v>414</v>
      </c>
      <c r="K191" t="s">
        <v>408</v>
      </c>
      <c r="L191" t="s">
        <v>410</v>
      </c>
      <c r="M191" t="s">
        <v>1322</v>
      </c>
      <c r="N191" t="s">
        <v>412</v>
      </c>
      <c r="O191">
        <v>10006791</v>
      </c>
      <c r="P191" t="s">
        <v>413</v>
      </c>
      <c r="Q191" s="5">
        <f>VLOOKUP(TabOceanet[VM_name],TabVMEnv[],3,FALSE)</f>
        <v>0</v>
      </c>
      <c r="R191" s="5" t="str">
        <f>IF(VLOOKUP(TabOceanet[VM_name],TabVMEnv[],2,FALSE) = "","Non","")</f>
        <v/>
      </c>
      <c r="S191" s="5">
        <f>IF(TabOceanet[[#This Row],[Type_tarif]]="Tarif_VLAN",1,0)</f>
        <v>0</v>
      </c>
      <c r="T191" s="5">
        <f>TabOceanet[[#This Row],[isCalcVlan]]*TabOceanet[[#This Row],[Nb_article]]*Tarif_VLAN</f>
        <v>0</v>
      </c>
      <c r="U191" s="5">
        <f>IF(TabOceanet[[#This Row],[Type_tarif]]="Tarif_IPPUB",1,0)</f>
        <v>0</v>
      </c>
      <c r="V191" s="5">
        <f>TabOceanet[[#This Row],[isCalcIpPub]]*TabOceanet[[#This Row],[Nb_article]]*Tarif_IPPUB</f>
        <v>0</v>
      </c>
      <c r="W191" s="5">
        <f>IF(TabOceanet[[#This Row],[Type_tarif]]="Tarif_DNS",1,0)</f>
        <v>0</v>
      </c>
      <c r="X191" s="5">
        <f>TabOceanet[[#This Row],[isCalcDns]]*TabOceanet[[#This Row],[Nb_article]]*Tarif_DNS</f>
        <v>0</v>
      </c>
      <c r="Y191" s="5">
        <f>IF(TabOceanet[[#This Row],[Type_tarif]]="Tarif_Certificat_X509_Simple",1,0)</f>
        <v>0</v>
      </c>
      <c r="Z191" s="5">
        <f>TabOceanet[[#This Row],[isCalcCertSimple]]*TabOceanet[[#This Row],[Nb_article]]*Tarif_Certificat_X509_Simple</f>
        <v>0</v>
      </c>
      <c r="AA191" s="5">
        <f>IF(TabOceanet[[#This Row],[Type_tarif]]="Tarif_Certificat_X509_Wildcard",1,0)</f>
        <v>0</v>
      </c>
      <c r="AB191" s="5">
        <f>TabOceanet[[#This Row],[isCalcCertWild]]*TabOceanet[[#This Row],[Nb_article]]*Tarif_Certificat_X509_Wildcard</f>
        <v>0</v>
      </c>
      <c r="AC191" s="5">
        <f>IF(TabOceanet[[#This Row],[Type_tarif]]="Tarif_Astreinte_24_24_7_7",1,0)</f>
        <v>0</v>
      </c>
      <c r="AD191" s="5">
        <f>TabOceanet[[#This Row],[isCalcAstreinte247]]*TabOceanet[[#This Row],[Nb_article]]*Tarif_Astreinte_24_24_7_7</f>
        <v>0</v>
      </c>
      <c r="AE191" s="5">
        <f>IF(TabOceanet[[#This Row],[VM_status]]="PoweredOn",1,0)</f>
        <v>1</v>
      </c>
      <c r="AF191" s="17">
        <f>TabOceanet[[#This Row],[VM_mem]]*Tarif_Ram</f>
        <v>3.2</v>
      </c>
      <c r="AG191" s="5" t="str">
        <f>MID(TabOceanet[[#This Row],[Backup]],29,20)</f>
        <v>J15_1</v>
      </c>
      <c r="AH191" s="25">
        <f>IF(LEFT(TabOceanet[[#This Row],[TypeBAK]],3)="HOR",Tarif_Backup_Horaire*TabOceanet[[#This Row],[VM_disk]],IF(LEFT(TabOceanet[[#This Row],[TypeBAK]],3)="J15",Tarif_Backup_J15*TabOceanet[[#This Row],[VM_disk]],IF(LEFT(TabOceanet[[#This Row],[TypeBAK]],3)="H1_",Tarif_Backup_J15*TabOceanet[[#This Row],[VM_disk]],0)))</f>
        <v>7.82</v>
      </c>
      <c r="AI191" s="17">
        <f>TabOceanet[[#This Row],[VM_disk]]*Tarif_disque</f>
        <v>0</v>
      </c>
      <c r="AJ191"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11.02</v>
      </c>
    </row>
    <row r="192" spans="1:36" x14ac:dyDescent="0.25">
      <c r="A192" t="s">
        <v>187</v>
      </c>
      <c r="B192">
        <v>2</v>
      </c>
      <c r="C192">
        <v>16</v>
      </c>
      <c r="D192">
        <v>74</v>
      </c>
      <c r="E192" t="s">
        <v>426</v>
      </c>
      <c r="G192" t="s">
        <v>1273</v>
      </c>
      <c r="H192" t="s">
        <v>1274</v>
      </c>
      <c r="I192" t="s">
        <v>419</v>
      </c>
      <c r="J192" t="s">
        <v>414</v>
      </c>
      <c r="K192" t="s">
        <v>408</v>
      </c>
      <c r="L192" t="s">
        <v>410</v>
      </c>
      <c r="M192" t="s">
        <v>1322</v>
      </c>
      <c r="N192" t="s">
        <v>412</v>
      </c>
      <c r="O192">
        <v>10006791</v>
      </c>
      <c r="P192" t="s">
        <v>413</v>
      </c>
      <c r="Q192" s="5">
        <f>VLOOKUP(TabOceanet[VM_name],TabVMEnv[],3,FALSE)</f>
        <v>0</v>
      </c>
      <c r="R192" s="5" t="str">
        <f>IF(VLOOKUP(TabOceanet[VM_name],TabVMEnv[],2,FALSE) = "","Non","")</f>
        <v/>
      </c>
      <c r="S192" s="5">
        <f>IF(TabOceanet[[#This Row],[Type_tarif]]="Tarif_VLAN",1,0)</f>
        <v>0</v>
      </c>
      <c r="T192" s="5">
        <f>TabOceanet[[#This Row],[isCalcVlan]]*TabOceanet[[#This Row],[Nb_article]]*Tarif_VLAN</f>
        <v>0</v>
      </c>
      <c r="U192" s="5">
        <f>IF(TabOceanet[[#This Row],[Type_tarif]]="Tarif_IPPUB",1,0)</f>
        <v>0</v>
      </c>
      <c r="V192" s="5">
        <f>TabOceanet[[#This Row],[isCalcIpPub]]*TabOceanet[[#This Row],[Nb_article]]*Tarif_IPPUB</f>
        <v>0</v>
      </c>
      <c r="W192" s="5">
        <f>IF(TabOceanet[[#This Row],[Type_tarif]]="Tarif_DNS",1,0)</f>
        <v>0</v>
      </c>
      <c r="X192" s="5">
        <f>TabOceanet[[#This Row],[isCalcDns]]*TabOceanet[[#This Row],[Nb_article]]*Tarif_DNS</f>
        <v>0</v>
      </c>
      <c r="Y192" s="5">
        <f>IF(TabOceanet[[#This Row],[Type_tarif]]="Tarif_Certificat_X509_Simple",1,0)</f>
        <v>0</v>
      </c>
      <c r="Z192" s="5">
        <f>TabOceanet[[#This Row],[isCalcCertSimple]]*TabOceanet[[#This Row],[Nb_article]]*Tarif_Certificat_X509_Simple</f>
        <v>0</v>
      </c>
      <c r="AA192" s="5">
        <f>IF(TabOceanet[[#This Row],[Type_tarif]]="Tarif_Certificat_X509_Wildcard",1,0)</f>
        <v>0</v>
      </c>
      <c r="AB192" s="5">
        <f>TabOceanet[[#This Row],[isCalcCertWild]]*TabOceanet[[#This Row],[Nb_article]]*Tarif_Certificat_X509_Wildcard</f>
        <v>0</v>
      </c>
      <c r="AC192" s="5">
        <f>IF(TabOceanet[[#This Row],[Type_tarif]]="Tarif_Astreinte_24_24_7_7",1,0)</f>
        <v>0</v>
      </c>
      <c r="AD192" s="5">
        <f>TabOceanet[[#This Row],[isCalcAstreinte247]]*TabOceanet[[#This Row],[Nb_article]]*Tarif_Astreinte_24_24_7_7</f>
        <v>0</v>
      </c>
      <c r="AE192" s="5">
        <f>IF(TabOceanet[[#This Row],[VM_status]]="PoweredOn",1,0)</f>
        <v>1</v>
      </c>
      <c r="AF192" s="17">
        <f>TabOceanet[[#This Row],[VM_mem]]*Tarif_Ram</f>
        <v>25.6</v>
      </c>
      <c r="AG192" s="5" t="str">
        <f>MID(TabOceanet[[#This Row],[Backup]],29,20)</f>
        <v>J15_1</v>
      </c>
      <c r="AH192" s="25">
        <f>IF(LEFT(TabOceanet[[#This Row],[TypeBAK]],3)="HOR",Tarif_Backup_Horaire*TabOceanet[[#This Row],[VM_disk]],IF(LEFT(TabOceanet[[#This Row],[TypeBAK]],3)="J15",Tarif_Backup_J15*TabOceanet[[#This Row],[VM_disk]],IF(LEFT(TabOceanet[[#This Row],[TypeBAK]],3)="H1_",Tarif_Backup_J15*TabOceanet[[#This Row],[VM_disk]],0)))</f>
        <v>17.02</v>
      </c>
      <c r="AI192" s="17">
        <f>TabOceanet[[#This Row],[VM_disk]]*Tarif_disque</f>
        <v>0</v>
      </c>
      <c r="AJ192"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42.620000000000005</v>
      </c>
    </row>
    <row r="193" spans="1:36" x14ac:dyDescent="0.25">
      <c r="A193" t="s">
        <v>1225</v>
      </c>
      <c r="B193">
        <v>2</v>
      </c>
      <c r="C193">
        <v>2</v>
      </c>
      <c r="D193">
        <v>16</v>
      </c>
      <c r="E193" t="s">
        <v>426</v>
      </c>
      <c r="G193" t="s">
        <v>1273</v>
      </c>
      <c r="H193" t="s">
        <v>1274</v>
      </c>
      <c r="I193" t="s">
        <v>419</v>
      </c>
      <c r="J193" t="s">
        <v>414</v>
      </c>
      <c r="K193" t="s">
        <v>408</v>
      </c>
      <c r="L193" t="s">
        <v>410</v>
      </c>
      <c r="M193" t="s">
        <v>1322</v>
      </c>
      <c r="N193" t="s">
        <v>412</v>
      </c>
      <c r="O193">
        <v>10006791</v>
      </c>
      <c r="P193" t="s">
        <v>413</v>
      </c>
      <c r="Q193" s="5">
        <f>VLOOKUP(TabOceanet[VM_name],TabVMEnv[],3,FALSE)</f>
        <v>0</v>
      </c>
      <c r="R193" s="5" t="str">
        <f>IF(VLOOKUP(TabOceanet[VM_name],TabVMEnv[],2,FALSE) = "","Non","")</f>
        <v/>
      </c>
      <c r="S193" s="5">
        <f>IF(TabOceanet[[#This Row],[Type_tarif]]="Tarif_VLAN",1,0)</f>
        <v>0</v>
      </c>
      <c r="T193" s="5">
        <f>TabOceanet[[#This Row],[isCalcVlan]]*TabOceanet[[#This Row],[Nb_article]]*Tarif_VLAN</f>
        <v>0</v>
      </c>
      <c r="U193" s="5">
        <f>IF(TabOceanet[[#This Row],[Type_tarif]]="Tarif_IPPUB",1,0)</f>
        <v>0</v>
      </c>
      <c r="V193" s="5">
        <f>TabOceanet[[#This Row],[isCalcIpPub]]*TabOceanet[[#This Row],[Nb_article]]*Tarif_IPPUB</f>
        <v>0</v>
      </c>
      <c r="W193" s="5">
        <f>IF(TabOceanet[[#This Row],[Type_tarif]]="Tarif_DNS",1,0)</f>
        <v>0</v>
      </c>
      <c r="X193" s="5">
        <f>TabOceanet[[#This Row],[isCalcDns]]*TabOceanet[[#This Row],[Nb_article]]*Tarif_DNS</f>
        <v>0</v>
      </c>
      <c r="Y193" s="5">
        <f>IF(TabOceanet[[#This Row],[Type_tarif]]="Tarif_Certificat_X509_Simple",1,0)</f>
        <v>0</v>
      </c>
      <c r="Z193" s="5">
        <f>TabOceanet[[#This Row],[isCalcCertSimple]]*TabOceanet[[#This Row],[Nb_article]]*Tarif_Certificat_X509_Simple</f>
        <v>0</v>
      </c>
      <c r="AA193" s="5">
        <f>IF(TabOceanet[[#This Row],[Type_tarif]]="Tarif_Certificat_X509_Wildcard",1,0)</f>
        <v>0</v>
      </c>
      <c r="AB193" s="5">
        <f>TabOceanet[[#This Row],[isCalcCertWild]]*TabOceanet[[#This Row],[Nb_article]]*Tarif_Certificat_X509_Wildcard</f>
        <v>0</v>
      </c>
      <c r="AC193" s="5">
        <f>IF(TabOceanet[[#This Row],[Type_tarif]]="Tarif_Astreinte_24_24_7_7",1,0)</f>
        <v>0</v>
      </c>
      <c r="AD193" s="5">
        <f>TabOceanet[[#This Row],[isCalcAstreinte247]]*TabOceanet[[#This Row],[Nb_article]]*Tarif_Astreinte_24_24_7_7</f>
        <v>0</v>
      </c>
      <c r="AE193" s="5">
        <f>IF(TabOceanet[[#This Row],[VM_status]]="PoweredOn",1,0)</f>
        <v>1</v>
      </c>
      <c r="AF193" s="17">
        <f>TabOceanet[[#This Row],[VM_mem]]*Tarif_Ram</f>
        <v>3.2</v>
      </c>
      <c r="AG193" s="5" t="str">
        <f>MID(TabOceanet[[#This Row],[Backup]],29,20)</f>
        <v>J15_1</v>
      </c>
      <c r="AH193" s="25">
        <f>IF(LEFT(TabOceanet[[#This Row],[TypeBAK]],3)="HOR",Tarif_Backup_Horaire*TabOceanet[[#This Row],[VM_disk]],IF(LEFT(TabOceanet[[#This Row],[TypeBAK]],3)="J15",Tarif_Backup_J15*TabOceanet[[#This Row],[VM_disk]],IF(LEFT(TabOceanet[[#This Row],[TypeBAK]],3)="H1_",Tarif_Backup_J15*TabOceanet[[#This Row],[VM_disk]],0)))</f>
        <v>3.68</v>
      </c>
      <c r="AI193" s="17">
        <f>TabOceanet[[#This Row],[VM_disk]]*Tarif_disque</f>
        <v>0</v>
      </c>
      <c r="AJ193"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6.8800000000000008</v>
      </c>
    </row>
    <row r="194" spans="1:36" x14ac:dyDescent="0.25">
      <c r="A194" t="s">
        <v>159</v>
      </c>
      <c r="B194">
        <v>1</v>
      </c>
      <c r="C194">
        <v>1</v>
      </c>
      <c r="D194">
        <v>4</v>
      </c>
      <c r="E194" t="s">
        <v>423</v>
      </c>
      <c r="G194" t="s">
        <v>1275</v>
      </c>
      <c r="H194" t="s">
        <v>1274</v>
      </c>
      <c r="I194" t="s">
        <v>419</v>
      </c>
      <c r="J194" t="s">
        <v>414</v>
      </c>
      <c r="K194" t="s">
        <v>408</v>
      </c>
      <c r="L194" t="s">
        <v>410</v>
      </c>
      <c r="M194" t="s">
        <v>430</v>
      </c>
      <c r="N194" t="s">
        <v>412</v>
      </c>
      <c r="O194">
        <v>10006791</v>
      </c>
      <c r="P194" t="s">
        <v>413</v>
      </c>
      <c r="Q194" s="5">
        <f>VLOOKUP(TabOceanet[VM_name],TabVMEnv[],3,FALSE)</f>
        <v>0</v>
      </c>
      <c r="R194" s="5" t="str">
        <f>IF(VLOOKUP(TabOceanet[VM_name],TabVMEnv[],2,FALSE) = "","Non","")</f>
        <v/>
      </c>
      <c r="S194" s="5">
        <f>IF(TabOceanet[[#This Row],[Type_tarif]]="Tarif_VLAN",1,0)</f>
        <v>0</v>
      </c>
      <c r="T194" s="5">
        <f>TabOceanet[[#This Row],[isCalcVlan]]*TabOceanet[[#This Row],[Nb_article]]*Tarif_VLAN</f>
        <v>0</v>
      </c>
      <c r="U194" s="5">
        <f>IF(TabOceanet[[#This Row],[Type_tarif]]="Tarif_IPPUB",1,0)</f>
        <v>0</v>
      </c>
      <c r="V194" s="5">
        <f>TabOceanet[[#This Row],[isCalcIpPub]]*TabOceanet[[#This Row],[Nb_article]]*Tarif_IPPUB</f>
        <v>0</v>
      </c>
      <c r="W194" s="5">
        <f>IF(TabOceanet[[#This Row],[Type_tarif]]="Tarif_DNS",1,0)</f>
        <v>0</v>
      </c>
      <c r="X194" s="5">
        <f>TabOceanet[[#This Row],[isCalcDns]]*TabOceanet[[#This Row],[Nb_article]]*Tarif_DNS</f>
        <v>0</v>
      </c>
      <c r="Y194" s="5">
        <f>IF(TabOceanet[[#This Row],[Type_tarif]]="Tarif_Certificat_X509_Simple",1,0)</f>
        <v>0</v>
      </c>
      <c r="Z194" s="5">
        <f>TabOceanet[[#This Row],[isCalcCertSimple]]*TabOceanet[[#This Row],[Nb_article]]*Tarif_Certificat_X509_Simple</f>
        <v>0</v>
      </c>
      <c r="AA194" s="5">
        <f>IF(TabOceanet[[#This Row],[Type_tarif]]="Tarif_Certificat_X509_Wildcard",1,0)</f>
        <v>0</v>
      </c>
      <c r="AB194" s="5">
        <f>TabOceanet[[#This Row],[isCalcCertWild]]*TabOceanet[[#This Row],[Nb_article]]*Tarif_Certificat_X509_Wildcard</f>
        <v>0</v>
      </c>
      <c r="AC194" s="5">
        <f>IF(TabOceanet[[#This Row],[Type_tarif]]="Tarif_Astreinte_24_24_7_7",1,0)</f>
        <v>0</v>
      </c>
      <c r="AD194" s="5">
        <f>TabOceanet[[#This Row],[isCalcAstreinte247]]*TabOceanet[[#This Row],[Nb_article]]*Tarif_Astreinte_24_24_7_7</f>
        <v>0</v>
      </c>
      <c r="AE194" s="5">
        <f>IF(TabOceanet[[#This Row],[VM_status]]="PoweredOn",1,0)</f>
        <v>1</v>
      </c>
      <c r="AF194" s="17">
        <f>TabOceanet[[#This Row],[VM_mem]]*Tarif_Ram</f>
        <v>1.6</v>
      </c>
      <c r="AG194" s="5" t="str">
        <f>MID(TabOceanet[[#This Row],[Backup]],29,20)</f>
        <v>J15_2</v>
      </c>
      <c r="AH194" s="25">
        <f>IF(LEFT(TabOceanet[[#This Row],[TypeBAK]],3)="HOR",Tarif_Backup_Horaire*TabOceanet[[#This Row],[VM_disk]],IF(LEFT(TabOceanet[[#This Row],[TypeBAK]],3)="J15",Tarif_Backup_J15*TabOceanet[[#This Row],[VM_disk]],IF(LEFT(TabOceanet[[#This Row],[TypeBAK]],3)="H1_",Tarif_Backup_J15*TabOceanet[[#This Row],[VM_disk]],0)))</f>
        <v>0.92</v>
      </c>
      <c r="AI194" s="17">
        <f>TabOceanet[[#This Row],[VM_disk]]*Tarif_disque</f>
        <v>0</v>
      </c>
      <c r="AJ194"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2.52</v>
      </c>
    </row>
    <row r="195" spans="1:36" x14ac:dyDescent="0.25">
      <c r="A195" t="s">
        <v>238</v>
      </c>
      <c r="B195">
        <v>1</v>
      </c>
      <c r="C195">
        <v>1</v>
      </c>
      <c r="D195">
        <v>35</v>
      </c>
      <c r="E195" t="s">
        <v>423</v>
      </c>
      <c r="G195" t="s">
        <v>1273</v>
      </c>
      <c r="H195" t="s">
        <v>1274</v>
      </c>
      <c r="I195" t="s">
        <v>419</v>
      </c>
      <c r="J195" t="s">
        <v>414</v>
      </c>
      <c r="K195" t="s">
        <v>408</v>
      </c>
      <c r="L195" t="s">
        <v>410</v>
      </c>
      <c r="M195" t="s">
        <v>1322</v>
      </c>
      <c r="N195" t="s">
        <v>412</v>
      </c>
      <c r="O195">
        <v>10006791</v>
      </c>
      <c r="P195" t="s">
        <v>413</v>
      </c>
      <c r="Q195" s="5">
        <f>VLOOKUP(TabOceanet[VM_name],TabVMEnv[],3,FALSE)</f>
        <v>0</v>
      </c>
      <c r="R195" s="5" t="str">
        <f>IF(VLOOKUP(TabOceanet[VM_name],TabVMEnv[],2,FALSE) = "","Non","")</f>
        <v/>
      </c>
      <c r="S195" s="5">
        <f>IF(TabOceanet[[#This Row],[Type_tarif]]="Tarif_VLAN",1,0)</f>
        <v>0</v>
      </c>
      <c r="T195" s="5">
        <f>TabOceanet[[#This Row],[isCalcVlan]]*TabOceanet[[#This Row],[Nb_article]]*Tarif_VLAN</f>
        <v>0</v>
      </c>
      <c r="U195" s="5">
        <f>IF(TabOceanet[[#This Row],[Type_tarif]]="Tarif_IPPUB",1,0)</f>
        <v>0</v>
      </c>
      <c r="V195" s="5">
        <f>TabOceanet[[#This Row],[isCalcIpPub]]*TabOceanet[[#This Row],[Nb_article]]*Tarif_IPPUB</f>
        <v>0</v>
      </c>
      <c r="W195" s="5">
        <f>IF(TabOceanet[[#This Row],[Type_tarif]]="Tarif_DNS",1,0)</f>
        <v>0</v>
      </c>
      <c r="X195" s="5">
        <f>TabOceanet[[#This Row],[isCalcDns]]*TabOceanet[[#This Row],[Nb_article]]*Tarif_DNS</f>
        <v>0</v>
      </c>
      <c r="Y195" s="5">
        <f>IF(TabOceanet[[#This Row],[Type_tarif]]="Tarif_Certificat_X509_Simple",1,0)</f>
        <v>0</v>
      </c>
      <c r="Z195" s="5">
        <f>TabOceanet[[#This Row],[isCalcCertSimple]]*TabOceanet[[#This Row],[Nb_article]]*Tarif_Certificat_X509_Simple</f>
        <v>0</v>
      </c>
      <c r="AA195" s="5">
        <f>IF(TabOceanet[[#This Row],[Type_tarif]]="Tarif_Certificat_X509_Wildcard",1,0)</f>
        <v>0</v>
      </c>
      <c r="AB195" s="5">
        <f>TabOceanet[[#This Row],[isCalcCertWild]]*TabOceanet[[#This Row],[Nb_article]]*Tarif_Certificat_X509_Wildcard</f>
        <v>0</v>
      </c>
      <c r="AC195" s="5">
        <f>IF(TabOceanet[[#This Row],[Type_tarif]]="Tarif_Astreinte_24_24_7_7",1,0)</f>
        <v>0</v>
      </c>
      <c r="AD195" s="5">
        <f>TabOceanet[[#This Row],[isCalcAstreinte247]]*TabOceanet[[#This Row],[Nb_article]]*Tarif_Astreinte_24_24_7_7</f>
        <v>0</v>
      </c>
      <c r="AE195" s="5">
        <f>IF(TabOceanet[[#This Row],[VM_status]]="PoweredOn",1,0)</f>
        <v>1</v>
      </c>
      <c r="AF195" s="17">
        <f>TabOceanet[[#This Row],[VM_mem]]*Tarif_Ram</f>
        <v>1.6</v>
      </c>
      <c r="AG195" s="5" t="str">
        <f>MID(TabOceanet[[#This Row],[Backup]],29,20)</f>
        <v>J15_1</v>
      </c>
      <c r="AH195" s="25">
        <f>IF(LEFT(TabOceanet[[#This Row],[TypeBAK]],3)="HOR",Tarif_Backup_Horaire*TabOceanet[[#This Row],[VM_disk]],IF(LEFT(TabOceanet[[#This Row],[TypeBAK]],3)="J15",Tarif_Backup_J15*TabOceanet[[#This Row],[VM_disk]],IF(LEFT(TabOceanet[[#This Row],[TypeBAK]],3)="H1_",Tarif_Backup_J15*TabOceanet[[#This Row],[VM_disk]],0)))</f>
        <v>8.0500000000000007</v>
      </c>
      <c r="AI195" s="17">
        <f>TabOceanet[[#This Row],[VM_disk]]*Tarif_disque</f>
        <v>0</v>
      </c>
      <c r="AJ195"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9.65</v>
      </c>
    </row>
    <row r="196" spans="1:36" x14ac:dyDescent="0.25">
      <c r="A196" t="s">
        <v>1326</v>
      </c>
      <c r="B196">
        <v>2</v>
      </c>
      <c r="C196">
        <v>4</v>
      </c>
      <c r="D196">
        <v>60</v>
      </c>
      <c r="E196" t="s">
        <v>1327</v>
      </c>
      <c r="G196" t="s">
        <v>1273</v>
      </c>
      <c r="H196" t="s">
        <v>1300</v>
      </c>
      <c r="I196" t="s">
        <v>419</v>
      </c>
      <c r="K196" t="s">
        <v>408</v>
      </c>
      <c r="L196" t="s">
        <v>410</v>
      </c>
      <c r="M196" t="s">
        <v>420</v>
      </c>
      <c r="N196" t="s">
        <v>412</v>
      </c>
      <c r="O196">
        <v>10006791</v>
      </c>
      <c r="P196" t="s">
        <v>413</v>
      </c>
      <c r="Q196" s="5">
        <f>VLOOKUP(TabOceanet[VM_name],TabVMEnv[],3,FALSE)</f>
        <v>0</v>
      </c>
      <c r="R196" s="5" t="str">
        <f>IF(VLOOKUP(TabOceanet[VM_name],TabVMEnv[],2,FALSE) = "","Non","")</f>
        <v/>
      </c>
      <c r="S196" s="5">
        <f>IF(TabOceanet[[#This Row],[Type_tarif]]="Tarif_VLAN",1,0)</f>
        <v>0</v>
      </c>
      <c r="T196" s="5">
        <f>TabOceanet[[#This Row],[isCalcVlan]]*TabOceanet[[#This Row],[Nb_article]]*Tarif_VLAN</f>
        <v>0</v>
      </c>
      <c r="U196" s="5">
        <f>IF(TabOceanet[[#This Row],[Type_tarif]]="Tarif_IPPUB",1,0)</f>
        <v>0</v>
      </c>
      <c r="V196" s="5">
        <f>TabOceanet[[#This Row],[isCalcIpPub]]*TabOceanet[[#This Row],[Nb_article]]*Tarif_IPPUB</f>
        <v>0</v>
      </c>
      <c r="W196" s="5">
        <f>IF(TabOceanet[[#This Row],[Type_tarif]]="Tarif_DNS",1,0)</f>
        <v>0</v>
      </c>
      <c r="X196" s="5">
        <f>TabOceanet[[#This Row],[isCalcDns]]*TabOceanet[[#This Row],[Nb_article]]*Tarif_DNS</f>
        <v>0</v>
      </c>
      <c r="Y196" s="5">
        <f>IF(TabOceanet[[#This Row],[Type_tarif]]="Tarif_Certificat_X509_Simple",1,0)</f>
        <v>0</v>
      </c>
      <c r="Z196" s="5">
        <f>TabOceanet[[#This Row],[isCalcCertSimple]]*TabOceanet[[#This Row],[Nb_article]]*Tarif_Certificat_X509_Simple</f>
        <v>0</v>
      </c>
      <c r="AA196" s="5">
        <f>IF(TabOceanet[[#This Row],[Type_tarif]]="Tarif_Certificat_X509_Wildcard",1,0)</f>
        <v>0</v>
      </c>
      <c r="AB196" s="5">
        <f>TabOceanet[[#This Row],[isCalcCertWild]]*TabOceanet[[#This Row],[Nb_article]]*Tarif_Certificat_X509_Wildcard</f>
        <v>0</v>
      </c>
      <c r="AC196" s="5">
        <f>IF(TabOceanet[[#This Row],[Type_tarif]]="Tarif_Astreinte_24_24_7_7",1,0)</f>
        <v>0</v>
      </c>
      <c r="AD196" s="5">
        <f>TabOceanet[[#This Row],[isCalcAstreinte247]]*TabOceanet[[#This Row],[Nb_article]]*Tarif_Astreinte_24_24_7_7</f>
        <v>0</v>
      </c>
      <c r="AE196" s="5">
        <f>IF(TabOceanet[[#This Row],[VM_status]]="PoweredOn",1,0)</f>
        <v>1</v>
      </c>
      <c r="AF196" s="17">
        <f>TabOceanet[[#This Row],[VM_mem]]*Tarif_Ram</f>
        <v>6.4</v>
      </c>
      <c r="AG196" s="5" t="str">
        <f>MID(TabOceanet[[#This Row],[Backup]],29,20)</f>
        <v>J15_3</v>
      </c>
      <c r="AH196" s="25">
        <f>IF(LEFT(TabOceanet[[#This Row],[TypeBAK]],3)="HOR",Tarif_Backup_Horaire*TabOceanet[[#This Row],[VM_disk]],IF(LEFT(TabOceanet[[#This Row],[TypeBAK]],3)="J15",Tarif_Backup_J15*TabOceanet[[#This Row],[VM_disk]],IF(LEFT(TabOceanet[[#This Row],[TypeBAK]],3)="H1_",Tarif_Backup_J15*TabOceanet[[#This Row],[VM_disk]],0)))</f>
        <v>13.8</v>
      </c>
      <c r="AI196" s="17">
        <f>TabOceanet[[#This Row],[VM_disk]]*Tarif_disque</f>
        <v>0</v>
      </c>
      <c r="AJ196"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20.200000000000003</v>
      </c>
    </row>
    <row r="197" spans="1:36" x14ac:dyDescent="0.25">
      <c r="A197" t="s">
        <v>1328</v>
      </c>
      <c r="B197">
        <v>2</v>
      </c>
      <c r="C197">
        <v>8</v>
      </c>
      <c r="D197">
        <v>60</v>
      </c>
      <c r="E197" t="s">
        <v>1327</v>
      </c>
      <c r="G197" t="s">
        <v>1273</v>
      </c>
      <c r="H197" t="s">
        <v>1300</v>
      </c>
      <c r="I197" t="s">
        <v>419</v>
      </c>
      <c r="K197" t="s">
        <v>408</v>
      </c>
      <c r="L197" t="s">
        <v>410</v>
      </c>
      <c r="M197" t="s">
        <v>420</v>
      </c>
      <c r="N197" t="s">
        <v>412</v>
      </c>
      <c r="O197">
        <v>10006791</v>
      </c>
      <c r="P197" t="s">
        <v>413</v>
      </c>
      <c r="Q197" s="5">
        <f>VLOOKUP(TabOceanet[VM_name],TabVMEnv[],3,FALSE)</f>
        <v>0</v>
      </c>
      <c r="R197" s="5" t="str">
        <f>IF(VLOOKUP(TabOceanet[VM_name],TabVMEnv[],2,FALSE) = "","Non","")</f>
        <v/>
      </c>
      <c r="S197" s="5">
        <f>IF(TabOceanet[[#This Row],[Type_tarif]]="Tarif_VLAN",1,0)</f>
        <v>0</v>
      </c>
      <c r="T197" s="5">
        <f>TabOceanet[[#This Row],[isCalcVlan]]*TabOceanet[[#This Row],[Nb_article]]*Tarif_VLAN</f>
        <v>0</v>
      </c>
      <c r="U197" s="5">
        <f>IF(TabOceanet[[#This Row],[Type_tarif]]="Tarif_IPPUB",1,0)</f>
        <v>0</v>
      </c>
      <c r="V197" s="5">
        <f>TabOceanet[[#This Row],[isCalcIpPub]]*TabOceanet[[#This Row],[Nb_article]]*Tarif_IPPUB</f>
        <v>0</v>
      </c>
      <c r="W197" s="5">
        <f>IF(TabOceanet[[#This Row],[Type_tarif]]="Tarif_DNS",1,0)</f>
        <v>0</v>
      </c>
      <c r="X197" s="5">
        <f>TabOceanet[[#This Row],[isCalcDns]]*TabOceanet[[#This Row],[Nb_article]]*Tarif_DNS</f>
        <v>0</v>
      </c>
      <c r="Y197" s="5">
        <f>IF(TabOceanet[[#This Row],[Type_tarif]]="Tarif_Certificat_X509_Simple",1,0)</f>
        <v>0</v>
      </c>
      <c r="Z197" s="5">
        <f>TabOceanet[[#This Row],[isCalcCertSimple]]*TabOceanet[[#This Row],[Nb_article]]*Tarif_Certificat_X509_Simple</f>
        <v>0</v>
      </c>
      <c r="AA197" s="5">
        <f>IF(TabOceanet[[#This Row],[Type_tarif]]="Tarif_Certificat_X509_Wildcard",1,0)</f>
        <v>0</v>
      </c>
      <c r="AB197" s="5">
        <f>TabOceanet[[#This Row],[isCalcCertWild]]*TabOceanet[[#This Row],[Nb_article]]*Tarif_Certificat_X509_Wildcard</f>
        <v>0</v>
      </c>
      <c r="AC197" s="5">
        <f>IF(TabOceanet[[#This Row],[Type_tarif]]="Tarif_Astreinte_24_24_7_7",1,0)</f>
        <v>0</v>
      </c>
      <c r="AD197" s="5">
        <f>TabOceanet[[#This Row],[isCalcAstreinte247]]*TabOceanet[[#This Row],[Nb_article]]*Tarif_Astreinte_24_24_7_7</f>
        <v>0</v>
      </c>
      <c r="AE197" s="5">
        <f>IF(TabOceanet[[#This Row],[VM_status]]="PoweredOn",1,0)</f>
        <v>1</v>
      </c>
      <c r="AF197" s="17">
        <f>TabOceanet[[#This Row],[VM_mem]]*Tarif_Ram</f>
        <v>12.8</v>
      </c>
      <c r="AG197" s="5" t="str">
        <f>MID(TabOceanet[[#This Row],[Backup]],29,20)</f>
        <v>J15_3</v>
      </c>
      <c r="AH197" s="25">
        <f>IF(LEFT(TabOceanet[[#This Row],[TypeBAK]],3)="HOR",Tarif_Backup_Horaire*TabOceanet[[#This Row],[VM_disk]],IF(LEFT(TabOceanet[[#This Row],[TypeBAK]],3)="J15",Tarif_Backup_J15*TabOceanet[[#This Row],[VM_disk]],IF(LEFT(TabOceanet[[#This Row],[TypeBAK]],3)="H1_",Tarif_Backup_J15*TabOceanet[[#This Row],[VM_disk]],0)))</f>
        <v>13.8</v>
      </c>
      <c r="AI197" s="17">
        <f>TabOceanet[[#This Row],[VM_disk]]*Tarif_disque</f>
        <v>0</v>
      </c>
      <c r="AJ197"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26.6</v>
      </c>
    </row>
    <row r="198" spans="1:36" x14ac:dyDescent="0.25">
      <c r="A198" t="s">
        <v>1329</v>
      </c>
      <c r="B198">
        <v>2</v>
      </c>
      <c r="C198">
        <v>8</v>
      </c>
      <c r="D198">
        <v>60</v>
      </c>
      <c r="E198" t="s">
        <v>1327</v>
      </c>
      <c r="G198" t="s">
        <v>1273</v>
      </c>
      <c r="H198" t="s">
        <v>1300</v>
      </c>
      <c r="I198" t="s">
        <v>419</v>
      </c>
      <c r="K198" t="s">
        <v>408</v>
      </c>
      <c r="L198" t="s">
        <v>410</v>
      </c>
      <c r="M198" t="s">
        <v>420</v>
      </c>
      <c r="N198" t="s">
        <v>412</v>
      </c>
      <c r="O198">
        <v>10006791</v>
      </c>
      <c r="P198" t="s">
        <v>413</v>
      </c>
      <c r="Q198" s="5">
        <f>VLOOKUP(TabOceanet[VM_name],TabVMEnv[],3,FALSE)</f>
        <v>0</v>
      </c>
      <c r="R198" s="5" t="str">
        <f>IF(VLOOKUP(TabOceanet[VM_name],TabVMEnv[],2,FALSE) = "","Non","")</f>
        <v/>
      </c>
      <c r="S198" s="5">
        <f>IF(TabOceanet[[#This Row],[Type_tarif]]="Tarif_VLAN",1,0)</f>
        <v>0</v>
      </c>
      <c r="T198" s="5">
        <f>TabOceanet[[#This Row],[isCalcVlan]]*TabOceanet[[#This Row],[Nb_article]]*Tarif_VLAN</f>
        <v>0</v>
      </c>
      <c r="U198" s="5">
        <f>IF(TabOceanet[[#This Row],[Type_tarif]]="Tarif_IPPUB",1,0)</f>
        <v>0</v>
      </c>
      <c r="V198" s="5">
        <f>TabOceanet[[#This Row],[isCalcIpPub]]*TabOceanet[[#This Row],[Nb_article]]*Tarif_IPPUB</f>
        <v>0</v>
      </c>
      <c r="W198" s="5">
        <f>IF(TabOceanet[[#This Row],[Type_tarif]]="Tarif_DNS",1,0)</f>
        <v>0</v>
      </c>
      <c r="X198" s="5">
        <f>TabOceanet[[#This Row],[isCalcDns]]*TabOceanet[[#This Row],[Nb_article]]*Tarif_DNS</f>
        <v>0</v>
      </c>
      <c r="Y198" s="5">
        <f>IF(TabOceanet[[#This Row],[Type_tarif]]="Tarif_Certificat_X509_Simple",1,0)</f>
        <v>0</v>
      </c>
      <c r="Z198" s="5">
        <f>TabOceanet[[#This Row],[isCalcCertSimple]]*TabOceanet[[#This Row],[Nb_article]]*Tarif_Certificat_X509_Simple</f>
        <v>0</v>
      </c>
      <c r="AA198" s="5">
        <f>IF(TabOceanet[[#This Row],[Type_tarif]]="Tarif_Certificat_X509_Wildcard",1,0)</f>
        <v>0</v>
      </c>
      <c r="AB198" s="5">
        <f>TabOceanet[[#This Row],[isCalcCertWild]]*TabOceanet[[#This Row],[Nb_article]]*Tarif_Certificat_X509_Wildcard</f>
        <v>0</v>
      </c>
      <c r="AC198" s="5">
        <f>IF(TabOceanet[[#This Row],[Type_tarif]]="Tarif_Astreinte_24_24_7_7",1,0)</f>
        <v>0</v>
      </c>
      <c r="AD198" s="5">
        <f>TabOceanet[[#This Row],[isCalcAstreinte247]]*TabOceanet[[#This Row],[Nb_article]]*Tarif_Astreinte_24_24_7_7</f>
        <v>0</v>
      </c>
      <c r="AE198" s="5">
        <f>IF(TabOceanet[[#This Row],[VM_status]]="PoweredOn",1,0)</f>
        <v>1</v>
      </c>
      <c r="AF198" s="17">
        <f>TabOceanet[[#This Row],[VM_mem]]*Tarif_Ram</f>
        <v>12.8</v>
      </c>
      <c r="AG198" s="5" t="str">
        <f>MID(TabOceanet[[#This Row],[Backup]],29,20)</f>
        <v>J15_3</v>
      </c>
      <c r="AH198" s="25">
        <f>IF(LEFT(TabOceanet[[#This Row],[TypeBAK]],3)="HOR",Tarif_Backup_Horaire*TabOceanet[[#This Row],[VM_disk]],IF(LEFT(TabOceanet[[#This Row],[TypeBAK]],3)="J15",Tarif_Backup_J15*TabOceanet[[#This Row],[VM_disk]],IF(LEFT(TabOceanet[[#This Row],[TypeBAK]],3)="H1_",Tarif_Backup_J15*TabOceanet[[#This Row],[VM_disk]],0)))</f>
        <v>13.8</v>
      </c>
      <c r="AI198" s="17">
        <f>TabOceanet[[#This Row],[VM_disk]]*Tarif_disque</f>
        <v>0</v>
      </c>
      <c r="AJ198"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26.6</v>
      </c>
    </row>
    <row r="199" spans="1:36" x14ac:dyDescent="0.25">
      <c r="A199" t="s">
        <v>1330</v>
      </c>
      <c r="B199">
        <v>1</v>
      </c>
      <c r="C199">
        <v>4</v>
      </c>
      <c r="D199">
        <v>40</v>
      </c>
      <c r="E199" t="s">
        <v>1331</v>
      </c>
      <c r="G199" t="s">
        <v>1273</v>
      </c>
      <c r="H199" t="s">
        <v>1300</v>
      </c>
      <c r="I199" t="s">
        <v>419</v>
      </c>
      <c r="K199" t="s">
        <v>408</v>
      </c>
      <c r="L199" t="s">
        <v>410</v>
      </c>
      <c r="M199" t="s">
        <v>420</v>
      </c>
      <c r="N199" t="s">
        <v>412</v>
      </c>
      <c r="O199">
        <v>10006791</v>
      </c>
      <c r="P199" t="s">
        <v>413</v>
      </c>
      <c r="Q199" s="5">
        <f>VLOOKUP(TabOceanet[VM_name],TabVMEnv[],3,FALSE)</f>
        <v>0</v>
      </c>
      <c r="R199" s="5" t="str">
        <f>IF(VLOOKUP(TabOceanet[VM_name],TabVMEnv[],2,FALSE) = "","Non","")</f>
        <v/>
      </c>
      <c r="S199" s="5">
        <f>IF(TabOceanet[[#This Row],[Type_tarif]]="Tarif_VLAN",1,0)</f>
        <v>0</v>
      </c>
      <c r="T199" s="5">
        <f>TabOceanet[[#This Row],[isCalcVlan]]*TabOceanet[[#This Row],[Nb_article]]*Tarif_VLAN</f>
        <v>0</v>
      </c>
      <c r="U199" s="5">
        <f>IF(TabOceanet[[#This Row],[Type_tarif]]="Tarif_IPPUB",1,0)</f>
        <v>0</v>
      </c>
      <c r="V199" s="5">
        <f>TabOceanet[[#This Row],[isCalcIpPub]]*TabOceanet[[#This Row],[Nb_article]]*Tarif_IPPUB</f>
        <v>0</v>
      </c>
      <c r="W199" s="5">
        <f>IF(TabOceanet[[#This Row],[Type_tarif]]="Tarif_DNS",1,0)</f>
        <v>0</v>
      </c>
      <c r="X199" s="5">
        <f>TabOceanet[[#This Row],[isCalcDns]]*TabOceanet[[#This Row],[Nb_article]]*Tarif_DNS</f>
        <v>0</v>
      </c>
      <c r="Y199" s="5">
        <f>IF(TabOceanet[[#This Row],[Type_tarif]]="Tarif_Certificat_X509_Simple",1,0)</f>
        <v>0</v>
      </c>
      <c r="Z199" s="5">
        <f>TabOceanet[[#This Row],[isCalcCertSimple]]*TabOceanet[[#This Row],[Nb_article]]*Tarif_Certificat_X509_Simple</f>
        <v>0</v>
      </c>
      <c r="AA199" s="5">
        <f>IF(TabOceanet[[#This Row],[Type_tarif]]="Tarif_Certificat_X509_Wildcard",1,0)</f>
        <v>0</v>
      </c>
      <c r="AB199" s="5">
        <f>TabOceanet[[#This Row],[isCalcCertWild]]*TabOceanet[[#This Row],[Nb_article]]*Tarif_Certificat_X509_Wildcard</f>
        <v>0</v>
      </c>
      <c r="AC199" s="5">
        <f>IF(TabOceanet[[#This Row],[Type_tarif]]="Tarif_Astreinte_24_24_7_7",1,0)</f>
        <v>0</v>
      </c>
      <c r="AD199" s="5">
        <f>TabOceanet[[#This Row],[isCalcAstreinte247]]*TabOceanet[[#This Row],[Nb_article]]*Tarif_Astreinte_24_24_7_7</f>
        <v>0</v>
      </c>
      <c r="AE199" s="5">
        <f>IF(TabOceanet[[#This Row],[VM_status]]="PoweredOn",1,0)</f>
        <v>1</v>
      </c>
      <c r="AF199" s="17">
        <f>TabOceanet[[#This Row],[VM_mem]]*Tarif_Ram</f>
        <v>6.4</v>
      </c>
      <c r="AG199" s="5" t="str">
        <f>MID(TabOceanet[[#This Row],[Backup]],29,20)</f>
        <v>J15_3</v>
      </c>
      <c r="AH199" s="25">
        <f>IF(LEFT(TabOceanet[[#This Row],[TypeBAK]],3)="HOR",Tarif_Backup_Horaire*TabOceanet[[#This Row],[VM_disk]],IF(LEFT(TabOceanet[[#This Row],[TypeBAK]],3)="J15",Tarif_Backup_J15*TabOceanet[[#This Row],[VM_disk]],IF(LEFT(TabOceanet[[#This Row],[TypeBAK]],3)="H1_",Tarif_Backup_J15*TabOceanet[[#This Row],[VM_disk]],0)))</f>
        <v>9.2000000000000011</v>
      </c>
      <c r="AI199" s="17">
        <f>TabOceanet[[#This Row],[VM_disk]]*Tarif_disque</f>
        <v>0</v>
      </c>
      <c r="AJ199"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15.600000000000001</v>
      </c>
    </row>
    <row r="200" spans="1:36" x14ac:dyDescent="0.25">
      <c r="A200" t="s">
        <v>160</v>
      </c>
      <c r="B200">
        <v>1</v>
      </c>
      <c r="C200">
        <v>1</v>
      </c>
      <c r="D200">
        <v>4</v>
      </c>
      <c r="E200" t="s">
        <v>423</v>
      </c>
      <c r="G200" t="s">
        <v>1273</v>
      </c>
      <c r="H200" t="s">
        <v>1274</v>
      </c>
      <c r="I200" t="s">
        <v>419</v>
      </c>
      <c r="J200" t="s">
        <v>414</v>
      </c>
      <c r="K200" t="s">
        <v>408</v>
      </c>
      <c r="L200" t="s">
        <v>410</v>
      </c>
      <c r="M200" t="s">
        <v>420</v>
      </c>
      <c r="N200" t="s">
        <v>412</v>
      </c>
      <c r="O200">
        <v>10006791</v>
      </c>
      <c r="P200" t="s">
        <v>413</v>
      </c>
      <c r="Q200" s="5">
        <f>VLOOKUP(TabOceanet[VM_name],TabVMEnv[],3,FALSE)</f>
        <v>0</v>
      </c>
      <c r="R200" s="5" t="str">
        <f>IF(VLOOKUP(TabOceanet[VM_name],TabVMEnv[],2,FALSE) = "","Non","")</f>
        <v/>
      </c>
      <c r="S200" s="5">
        <f>IF(TabOceanet[[#This Row],[Type_tarif]]="Tarif_VLAN",1,0)</f>
        <v>0</v>
      </c>
      <c r="T200" s="5">
        <f>TabOceanet[[#This Row],[isCalcVlan]]*TabOceanet[[#This Row],[Nb_article]]*Tarif_VLAN</f>
        <v>0</v>
      </c>
      <c r="U200" s="5">
        <f>IF(TabOceanet[[#This Row],[Type_tarif]]="Tarif_IPPUB",1,0)</f>
        <v>0</v>
      </c>
      <c r="V200" s="5">
        <f>TabOceanet[[#This Row],[isCalcIpPub]]*TabOceanet[[#This Row],[Nb_article]]*Tarif_IPPUB</f>
        <v>0</v>
      </c>
      <c r="W200" s="5">
        <f>IF(TabOceanet[[#This Row],[Type_tarif]]="Tarif_DNS",1,0)</f>
        <v>0</v>
      </c>
      <c r="X200" s="5">
        <f>TabOceanet[[#This Row],[isCalcDns]]*TabOceanet[[#This Row],[Nb_article]]*Tarif_DNS</f>
        <v>0</v>
      </c>
      <c r="Y200" s="5">
        <f>IF(TabOceanet[[#This Row],[Type_tarif]]="Tarif_Certificat_X509_Simple",1,0)</f>
        <v>0</v>
      </c>
      <c r="Z200" s="5">
        <f>TabOceanet[[#This Row],[isCalcCertSimple]]*TabOceanet[[#This Row],[Nb_article]]*Tarif_Certificat_X509_Simple</f>
        <v>0</v>
      </c>
      <c r="AA200" s="5">
        <f>IF(TabOceanet[[#This Row],[Type_tarif]]="Tarif_Certificat_X509_Wildcard",1,0)</f>
        <v>0</v>
      </c>
      <c r="AB200" s="5">
        <f>TabOceanet[[#This Row],[isCalcCertWild]]*TabOceanet[[#This Row],[Nb_article]]*Tarif_Certificat_X509_Wildcard</f>
        <v>0</v>
      </c>
      <c r="AC200" s="5">
        <f>IF(TabOceanet[[#This Row],[Type_tarif]]="Tarif_Astreinte_24_24_7_7",1,0)</f>
        <v>0</v>
      </c>
      <c r="AD200" s="5">
        <f>TabOceanet[[#This Row],[isCalcAstreinte247]]*TabOceanet[[#This Row],[Nb_article]]*Tarif_Astreinte_24_24_7_7</f>
        <v>0</v>
      </c>
      <c r="AE200" s="5">
        <f>IF(TabOceanet[[#This Row],[VM_status]]="PoweredOn",1,0)</f>
        <v>1</v>
      </c>
      <c r="AF200" s="17">
        <f>TabOceanet[[#This Row],[VM_mem]]*Tarif_Ram</f>
        <v>1.6</v>
      </c>
      <c r="AG200" s="5" t="str">
        <f>MID(TabOceanet[[#This Row],[Backup]],29,20)</f>
        <v>J15_3</v>
      </c>
      <c r="AH200" s="25">
        <f>IF(LEFT(TabOceanet[[#This Row],[TypeBAK]],3)="HOR",Tarif_Backup_Horaire*TabOceanet[[#This Row],[VM_disk]],IF(LEFT(TabOceanet[[#This Row],[TypeBAK]],3)="J15",Tarif_Backup_J15*TabOceanet[[#This Row],[VM_disk]],IF(LEFT(TabOceanet[[#This Row],[TypeBAK]],3)="H1_",Tarif_Backup_J15*TabOceanet[[#This Row],[VM_disk]],0)))</f>
        <v>0.92</v>
      </c>
      <c r="AI200" s="17">
        <f>TabOceanet[[#This Row],[VM_disk]]*Tarif_disque</f>
        <v>0</v>
      </c>
      <c r="AJ200"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2.52</v>
      </c>
    </row>
    <row r="201" spans="1:36" x14ac:dyDescent="0.25">
      <c r="A201" t="s">
        <v>161</v>
      </c>
      <c r="B201">
        <v>2</v>
      </c>
      <c r="C201">
        <v>4</v>
      </c>
      <c r="D201">
        <v>14</v>
      </c>
      <c r="E201" t="s">
        <v>423</v>
      </c>
      <c r="G201" t="s">
        <v>1275</v>
      </c>
      <c r="H201" t="s">
        <v>1274</v>
      </c>
      <c r="I201" t="s">
        <v>419</v>
      </c>
      <c r="J201" t="s">
        <v>414</v>
      </c>
      <c r="K201" t="s">
        <v>408</v>
      </c>
      <c r="L201" t="s">
        <v>410</v>
      </c>
      <c r="M201" t="s">
        <v>420</v>
      </c>
      <c r="N201" t="s">
        <v>412</v>
      </c>
      <c r="O201">
        <v>10006791</v>
      </c>
      <c r="P201" t="s">
        <v>413</v>
      </c>
      <c r="Q201" s="5">
        <f>VLOOKUP(TabOceanet[VM_name],TabVMEnv[],3,FALSE)</f>
        <v>0</v>
      </c>
      <c r="R201" s="5" t="str">
        <f>IF(VLOOKUP(TabOceanet[VM_name],TabVMEnv[],2,FALSE) = "","Non","")</f>
        <v/>
      </c>
      <c r="S201" s="5">
        <f>IF(TabOceanet[[#This Row],[Type_tarif]]="Tarif_VLAN",1,0)</f>
        <v>0</v>
      </c>
      <c r="T201" s="5">
        <f>TabOceanet[[#This Row],[isCalcVlan]]*TabOceanet[[#This Row],[Nb_article]]*Tarif_VLAN</f>
        <v>0</v>
      </c>
      <c r="U201" s="5">
        <f>IF(TabOceanet[[#This Row],[Type_tarif]]="Tarif_IPPUB",1,0)</f>
        <v>0</v>
      </c>
      <c r="V201" s="5">
        <f>TabOceanet[[#This Row],[isCalcIpPub]]*TabOceanet[[#This Row],[Nb_article]]*Tarif_IPPUB</f>
        <v>0</v>
      </c>
      <c r="W201" s="5">
        <f>IF(TabOceanet[[#This Row],[Type_tarif]]="Tarif_DNS",1,0)</f>
        <v>0</v>
      </c>
      <c r="X201" s="5">
        <f>TabOceanet[[#This Row],[isCalcDns]]*TabOceanet[[#This Row],[Nb_article]]*Tarif_DNS</f>
        <v>0</v>
      </c>
      <c r="Y201" s="5">
        <f>IF(TabOceanet[[#This Row],[Type_tarif]]="Tarif_Certificat_X509_Simple",1,0)</f>
        <v>0</v>
      </c>
      <c r="Z201" s="5">
        <f>TabOceanet[[#This Row],[isCalcCertSimple]]*TabOceanet[[#This Row],[Nb_article]]*Tarif_Certificat_X509_Simple</f>
        <v>0</v>
      </c>
      <c r="AA201" s="5">
        <f>IF(TabOceanet[[#This Row],[Type_tarif]]="Tarif_Certificat_X509_Wildcard",1,0)</f>
        <v>0</v>
      </c>
      <c r="AB201" s="5">
        <f>TabOceanet[[#This Row],[isCalcCertWild]]*TabOceanet[[#This Row],[Nb_article]]*Tarif_Certificat_X509_Wildcard</f>
        <v>0</v>
      </c>
      <c r="AC201" s="5">
        <f>IF(TabOceanet[[#This Row],[Type_tarif]]="Tarif_Astreinte_24_24_7_7",1,0)</f>
        <v>0</v>
      </c>
      <c r="AD201" s="5">
        <f>TabOceanet[[#This Row],[isCalcAstreinte247]]*TabOceanet[[#This Row],[Nb_article]]*Tarif_Astreinte_24_24_7_7</f>
        <v>0</v>
      </c>
      <c r="AE201" s="5">
        <f>IF(TabOceanet[[#This Row],[VM_status]]="PoweredOn",1,0)</f>
        <v>1</v>
      </c>
      <c r="AF201" s="17">
        <f>TabOceanet[[#This Row],[VM_mem]]*Tarif_Ram</f>
        <v>6.4</v>
      </c>
      <c r="AG201" s="5" t="str">
        <f>MID(TabOceanet[[#This Row],[Backup]],29,20)</f>
        <v>J15_3</v>
      </c>
      <c r="AH201" s="25">
        <f>IF(LEFT(TabOceanet[[#This Row],[TypeBAK]],3)="HOR",Tarif_Backup_Horaire*TabOceanet[[#This Row],[VM_disk]],IF(LEFT(TabOceanet[[#This Row],[TypeBAK]],3)="J15",Tarif_Backup_J15*TabOceanet[[#This Row],[VM_disk]],IF(LEFT(TabOceanet[[#This Row],[TypeBAK]],3)="H1_",Tarif_Backup_J15*TabOceanet[[#This Row],[VM_disk]],0)))</f>
        <v>3.22</v>
      </c>
      <c r="AI201" s="17">
        <f>TabOceanet[[#This Row],[VM_disk]]*Tarif_disque</f>
        <v>0</v>
      </c>
      <c r="AJ201"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9.620000000000001</v>
      </c>
    </row>
    <row r="202" spans="1:36" x14ac:dyDescent="0.25">
      <c r="A202" t="s">
        <v>77</v>
      </c>
      <c r="B202">
        <v>1</v>
      </c>
      <c r="C202">
        <v>1</v>
      </c>
      <c r="D202">
        <v>6</v>
      </c>
      <c r="E202" t="s">
        <v>423</v>
      </c>
      <c r="G202" t="s">
        <v>1273</v>
      </c>
      <c r="H202" t="s">
        <v>1274</v>
      </c>
      <c r="I202" t="s">
        <v>419</v>
      </c>
      <c r="J202" t="s">
        <v>414</v>
      </c>
      <c r="K202" t="s">
        <v>408</v>
      </c>
      <c r="L202" t="s">
        <v>410</v>
      </c>
      <c r="M202" t="s">
        <v>420</v>
      </c>
      <c r="N202" t="s">
        <v>412</v>
      </c>
      <c r="O202">
        <v>10006791</v>
      </c>
      <c r="P202" t="s">
        <v>413</v>
      </c>
      <c r="Q202" s="5">
        <f>VLOOKUP(TabOceanet[VM_name],TabVMEnv[],3,FALSE)</f>
        <v>0</v>
      </c>
      <c r="R202" s="5" t="str">
        <f>IF(VLOOKUP(TabOceanet[VM_name],TabVMEnv[],2,FALSE) = "","Non","")</f>
        <v/>
      </c>
      <c r="S202" s="5">
        <f>IF(TabOceanet[[#This Row],[Type_tarif]]="Tarif_VLAN",1,0)</f>
        <v>0</v>
      </c>
      <c r="T202" s="5">
        <f>TabOceanet[[#This Row],[isCalcVlan]]*TabOceanet[[#This Row],[Nb_article]]*Tarif_VLAN</f>
        <v>0</v>
      </c>
      <c r="U202" s="5">
        <f>IF(TabOceanet[[#This Row],[Type_tarif]]="Tarif_IPPUB",1,0)</f>
        <v>0</v>
      </c>
      <c r="V202" s="5">
        <f>TabOceanet[[#This Row],[isCalcIpPub]]*TabOceanet[[#This Row],[Nb_article]]*Tarif_IPPUB</f>
        <v>0</v>
      </c>
      <c r="W202" s="5">
        <f>IF(TabOceanet[[#This Row],[Type_tarif]]="Tarif_DNS",1,0)</f>
        <v>0</v>
      </c>
      <c r="X202" s="5">
        <f>TabOceanet[[#This Row],[isCalcDns]]*TabOceanet[[#This Row],[Nb_article]]*Tarif_DNS</f>
        <v>0</v>
      </c>
      <c r="Y202" s="5">
        <f>IF(TabOceanet[[#This Row],[Type_tarif]]="Tarif_Certificat_X509_Simple",1,0)</f>
        <v>0</v>
      </c>
      <c r="Z202" s="5">
        <f>TabOceanet[[#This Row],[isCalcCertSimple]]*TabOceanet[[#This Row],[Nb_article]]*Tarif_Certificat_X509_Simple</f>
        <v>0</v>
      </c>
      <c r="AA202" s="5">
        <f>IF(TabOceanet[[#This Row],[Type_tarif]]="Tarif_Certificat_X509_Wildcard",1,0)</f>
        <v>0</v>
      </c>
      <c r="AB202" s="5">
        <f>TabOceanet[[#This Row],[isCalcCertWild]]*TabOceanet[[#This Row],[Nb_article]]*Tarif_Certificat_X509_Wildcard</f>
        <v>0</v>
      </c>
      <c r="AC202" s="5">
        <f>IF(TabOceanet[[#This Row],[Type_tarif]]="Tarif_Astreinte_24_24_7_7",1,0)</f>
        <v>0</v>
      </c>
      <c r="AD202" s="5">
        <f>TabOceanet[[#This Row],[isCalcAstreinte247]]*TabOceanet[[#This Row],[Nb_article]]*Tarif_Astreinte_24_24_7_7</f>
        <v>0</v>
      </c>
      <c r="AE202" s="5">
        <f>IF(TabOceanet[[#This Row],[VM_status]]="PoweredOn",1,0)</f>
        <v>1</v>
      </c>
      <c r="AF202" s="17">
        <f>TabOceanet[[#This Row],[VM_mem]]*Tarif_Ram</f>
        <v>1.6</v>
      </c>
      <c r="AG202" s="5" t="str">
        <f>MID(TabOceanet[[#This Row],[Backup]],29,20)</f>
        <v>J15_3</v>
      </c>
      <c r="AH202" s="25">
        <f>IF(LEFT(TabOceanet[[#This Row],[TypeBAK]],3)="HOR",Tarif_Backup_Horaire*TabOceanet[[#This Row],[VM_disk]],IF(LEFT(TabOceanet[[#This Row],[TypeBAK]],3)="J15",Tarif_Backup_J15*TabOceanet[[#This Row],[VM_disk]],IF(LEFT(TabOceanet[[#This Row],[TypeBAK]],3)="H1_",Tarif_Backup_J15*TabOceanet[[#This Row],[VM_disk]],0)))</f>
        <v>1.3800000000000001</v>
      </c>
      <c r="AI202" s="17">
        <f>TabOceanet[[#This Row],[VM_disk]]*Tarif_disque</f>
        <v>0</v>
      </c>
      <c r="AJ202"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2.9800000000000004</v>
      </c>
    </row>
    <row r="203" spans="1:36" x14ac:dyDescent="0.25">
      <c r="A203" t="s">
        <v>203</v>
      </c>
      <c r="B203">
        <v>4</v>
      </c>
      <c r="C203">
        <v>4</v>
      </c>
      <c r="D203">
        <v>39</v>
      </c>
      <c r="E203" t="s">
        <v>426</v>
      </c>
      <c r="G203" t="s">
        <v>1275</v>
      </c>
      <c r="H203" t="s">
        <v>1274</v>
      </c>
      <c r="I203" t="s">
        <v>419</v>
      </c>
      <c r="J203" t="s">
        <v>414</v>
      </c>
      <c r="K203" t="s">
        <v>408</v>
      </c>
      <c r="L203" t="s">
        <v>410</v>
      </c>
      <c r="M203" t="s">
        <v>1322</v>
      </c>
      <c r="N203" t="s">
        <v>412</v>
      </c>
      <c r="O203">
        <v>10006791</v>
      </c>
      <c r="P203" t="s">
        <v>413</v>
      </c>
      <c r="Q203" s="5">
        <f>VLOOKUP(TabOceanet[VM_name],TabVMEnv[],3,FALSE)</f>
        <v>0</v>
      </c>
      <c r="R203" s="5" t="str">
        <f>IF(VLOOKUP(TabOceanet[VM_name],TabVMEnv[],2,FALSE) = "","Non","")</f>
        <v/>
      </c>
      <c r="S203" s="5">
        <f>IF(TabOceanet[[#This Row],[Type_tarif]]="Tarif_VLAN",1,0)</f>
        <v>0</v>
      </c>
      <c r="T203" s="5">
        <f>TabOceanet[[#This Row],[isCalcVlan]]*TabOceanet[[#This Row],[Nb_article]]*Tarif_VLAN</f>
        <v>0</v>
      </c>
      <c r="U203" s="5">
        <f>IF(TabOceanet[[#This Row],[Type_tarif]]="Tarif_IPPUB",1,0)</f>
        <v>0</v>
      </c>
      <c r="V203" s="5">
        <f>TabOceanet[[#This Row],[isCalcIpPub]]*TabOceanet[[#This Row],[Nb_article]]*Tarif_IPPUB</f>
        <v>0</v>
      </c>
      <c r="W203" s="5">
        <f>IF(TabOceanet[[#This Row],[Type_tarif]]="Tarif_DNS",1,0)</f>
        <v>0</v>
      </c>
      <c r="X203" s="5">
        <f>TabOceanet[[#This Row],[isCalcDns]]*TabOceanet[[#This Row],[Nb_article]]*Tarif_DNS</f>
        <v>0</v>
      </c>
      <c r="Y203" s="5">
        <f>IF(TabOceanet[[#This Row],[Type_tarif]]="Tarif_Certificat_X509_Simple",1,0)</f>
        <v>0</v>
      </c>
      <c r="Z203" s="5">
        <f>TabOceanet[[#This Row],[isCalcCertSimple]]*TabOceanet[[#This Row],[Nb_article]]*Tarif_Certificat_X509_Simple</f>
        <v>0</v>
      </c>
      <c r="AA203" s="5">
        <f>IF(TabOceanet[[#This Row],[Type_tarif]]="Tarif_Certificat_X509_Wildcard",1,0)</f>
        <v>0</v>
      </c>
      <c r="AB203" s="5">
        <f>TabOceanet[[#This Row],[isCalcCertWild]]*TabOceanet[[#This Row],[Nb_article]]*Tarif_Certificat_X509_Wildcard</f>
        <v>0</v>
      </c>
      <c r="AC203" s="5">
        <f>IF(TabOceanet[[#This Row],[Type_tarif]]="Tarif_Astreinte_24_24_7_7",1,0)</f>
        <v>0</v>
      </c>
      <c r="AD203" s="5">
        <f>TabOceanet[[#This Row],[isCalcAstreinte247]]*TabOceanet[[#This Row],[Nb_article]]*Tarif_Astreinte_24_24_7_7</f>
        <v>0</v>
      </c>
      <c r="AE203" s="5">
        <f>IF(TabOceanet[[#This Row],[VM_status]]="PoweredOn",1,0)</f>
        <v>1</v>
      </c>
      <c r="AF203" s="17">
        <f>TabOceanet[[#This Row],[VM_mem]]*Tarif_Ram</f>
        <v>6.4</v>
      </c>
      <c r="AG203" s="5" t="str">
        <f>MID(TabOceanet[[#This Row],[Backup]],29,20)</f>
        <v>J15_1</v>
      </c>
      <c r="AH203" s="25">
        <f>IF(LEFT(TabOceanet[[#This Row],[TypeBAK]],3)="HOR",Tarif_Backup_Horaire*TabOceanet[[#This Row],[VM_disk]],IF(LEFT(TabOceanet[[#This Row],[TypeBAK]],3)="J15",Tarif_Backup_J15*TabOceanet[[#This Row],[VM_disk]],IF(LEFT(TabOceanet[[#This Row],[TypeBAK]],3)="H1_",Tarif_Backup_J15*TabOceanet[[#This Row],[VM_disk]],0)))</f>
        <v>8.9700000000000006</v>
      </c>
      <c r="AI203" s="17">
        <f>TabOceanet[[#This Row],[VM_disk]]*Tarif_disque</f>
        <v>0</v>
      </c>
      <c r="AJ203"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15.370000000000001</v>
      </c>
    </row>
    <row r="204" spans="1:36" x14ac:dyDescent="0.25">
      <c r="A204" t="s">
        <v>227</v>
      </c>
      <c r="B204">
        <v>2</v>
      </c>
      <c r="C204">
        <v>2</v>
      </c>
      <c r="D204">
        <v>12</v>
      </c>
      <c r="E204" t="s">
        <v>423</v>
      </c>
      <c r="G204" t="s">
        <v>1273</v>
      </c>
      <c r="H204" t="s">
        <v>1274</v>
      </c>
      <c r="I204" t="s">
        <v>419</v>
      </c>
      <c r="J204" t="s">
        <v>414</v>
      </c>
      <c r="K204" t="s">
        <v>408</v>
      </c>
      <c r="L204" t="s">
        <v>410</v>
      </c>
      <c r="M204" t="s">
        <v>420</v>
      </c>
      <c r="N204" t="s">
        <v>412</v>
      </c>
      <c r="O204">
        <v>10006791</v>
      </c>
      <c r="P204" t="s">
        <v>413</v>
      </c>
      <c r="Q204" s="5">
        <f>VLOOKUP(TabOceanet[VM_name],TabVMEnv[],3,FALSE)</f>
        <v>0</v>
      </c>
      <c r="R204" s="5" t="str">
        <f>IF(VLOOKUP(TabOceanet[VM_name],TabVMEnv[],2,FALSE) = "","Non","")</f>
        <v/>
      </c>
      <c r="S204" s="5">
        <f>IF(TabOceanet[[#This Row],[Type_tarif]]="Tarif_VLAN",1,0)</f>
        <v>0</v>
      </c>
      <c r="T204" s="5">
        <f>TabOceanet[[#This Row],[isCalcVlan]]*TabOceanet[[#This Row],[Nb_article]]*Tarif_VLAN</f>
        <v>0</v>
      </c>
      <c r="U204" s="5">
        <f>IF(TabOceanet[[#This Row],[Type_tarif]]="Tarif_IPPUB",1,0)</f>
        <v>0</v>
      </c>
      <c r="V204" s="5">
        <f>TabOceanet[[#This Row],[isCalcIpPub]]*TabOceanet[[#This Row],[Nb_article]]*Tarif_IPPUB</f>
        <v>0</v>
      </c>
      <c r="W204" s="5">
        <f>IF(TabOceanet[[#This Row],[Type_tarif]]="Tarif_DNS",1,0)</f>
        <v>0</v>
      </c>
      <c r="X204" s="5">
        <f>TabOceanet[[#This Row],[isCalcDns]]*TabOceanet[[#This Row],[Nb_article]]*Tarif_DNS</f>
        <v>0</v>
      </c>
      <c r="Y204" s="5">
        <f>IF(TabOceanet[[#This Row],[Type_tarif]]="Tarif_Certificat_X509_Simple",1,0)</f>
        <v>0</v>
      </c>
      <c r="Z204" s="5">
        <f>TabOceanet[[#This Row],[isCalcCertSimple]]*TabOceanet[[#This Row],[Nb_article]]*Tarif_Certificat_X509_Simple</f>
        <v>0</v>
      </c>
      <c r="AA204" s="5">
        <f>IF(TabOceanet[[#This Row],[Type_tarif]]="Tarif_Certificat_X509_Wildcard",1,0)</f>
        <v>0</v>
      </c>
      <c r="AB204" s="5">
        <f>TabOceanet[[#This Row],[isCalcCertWild]]*TabOceanet[[#This Row],[Nb_article]]*Tarif_Certificat_X509_Wildcard</f>
        <v>0</v>
      </c>
      <c r="AC204" s="5">
        <f>IF(TabOceanet[[#This Row],[Type_tarif]]="Tarif_Astreinte_24_24_7_7",1,0)</f>
        <v>0</v>
      </c>
      <c r="AD204" s="5">
        <f>TabOceanet[[#This Row],[isCalcAstreinte247]]*TabOceanet[[#This Row],[Nb_article]]*Tarif_Astreinte_24_24_7_7</f>
        <v>0</v>
      </c>
      <c r="AE204" s="5">
        <f>IF(TabOceanet[[#This Row],[VM_status]]="PoweredOn",1,0)</f>
        <v>1</v>
      </c>
      <c r="AF204" s="17">
        <f>TabOceanet[[#This Row],[VM_mem]]*Tarif_Ram</f>
        <v>3.2</v>
      </c>
      <c r="AG204" s="5" t="str">
        <f>MID(TabOceanet[[#This Row],[Backup]],29,20)</f>
        <v>J15_3</v>
      </c>
      <c r="AH204" s="25">
        <f>IF(LEFT(TabOceanet[[#This Row],[TypeBAK]],3)="HOR",Tarif_Backup_Horaire*TabOceanet[[#This Row],[VM_disk]],IF(LEFT(TabOceanet[[#This Row],[TypeBAK]],3)="J15",Tarif_Backup_J15*TabOceanet[[#This Row],[VM_disk]],IF(LEFT(TabOceanet[[#This Row],[TypeBAK]],3)="H1_",Tarif_Backup_J15*TabOceanet[[#This Row],[VM_disk]],0)))</f>
        <v>2.7600000000000002</v>
      </c>
      <c r="AI204" s="17">
        <f>TabOceanet[[#This Row],[VM_disk]]*Tarif_disque</f>
        <v>0</v>
      </c>
      <c r="AJ204"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5.9600000000000009</v>
      </c>
    </row>
    <row r="205" spans="1:36" x14ac:dyDescent="0.25">
      <c r="A205" t="s">
        <v>59</v>
      </c>
      <c r="B205">
        <v>1</v>
      </c>
      <c r="C205">
        <v>1</v>
      </c>
      <c r="D205">
        <v>41</v>
      </c>
      <c r="E205" t="s">
        <v>423</v>
      </c>
      <c r="G205" t="s">
        <v>1275</v>
      </c>
      <c r="H205" t="s">
        <v>1274</v>
      </c>
      <c r="I205" t="s">
        <v>419</v>
      </c>
      <c r="J205" t="s">
        <v>414</v>
      </c>
      <c r="K205" t="s">
        <v>408</v>
      </c>
      <c r="L205" t="s">
        <v>410</v>
      </c>
      <c r="M205" t="s">
        <v>420</v>
      </c>
      <c r="N205" t="s">
        <v>412</v>
      </c>
      <c r="O205">
        <v>10006791</v>
      </c>
      <c r="P205" t="s">
        <v>413</v>
      </c>
      <c r="Q205" s="5" t="str">
        <f>VLOOKUP(TabOceanet[VM_name],TabVMEnv[],3,FALSE)</f>
        <v>Attention, il y a le Wikicsr !!! Et le WikiMacif pour Niort</v>
      </c>
      <c r="R205" s="5" t="str">
        <f>IF(VLOOKUP(TabOceanet[VM_name],TabVMEnv[],2,FALSE) = "","Non","")</f>
        <v/>
      </c>
      <c r="S205" s="5">
        <f>IF(TabOceanet[[#This Row],[Type_tarif]]="Tarif_VLAN",1,0)</f>
        <v>0</v>
      </c>
      <c r="T205" s="5">
        <f>TabOceanet[[#This Row],[isCalcVlan]]*TabOceanet[[#This Row],[Nb_article]]*Tarif_VLAN</f>
        <v>0</v>
      </c>
      <c r="U205" s="5">
        <f>IF(TabOceanet[[#This Row],[Type_tarif]]="Tarif_IPPUB",1,0)</f>
        <v>0</v>
      </c>
      <c r="V205" s="5">
        <f>TabOceanet[[#This Row],[isCalcIpPub]]*TabOceanet[[#This Row],[Nb_article]]*Tarif_IPPUB</f>
        <v>0</v>
      </c>
      <c r="W205" s="5">
        <f>IF(TabOceanet[[#This Row],[Type_tarif]]="Tarif_DNS",1,0)</f>
        <v>0</v>
      </c>
      <c r="X205" s="5">
        <f>TabOceanet[[#This Row],[isCalcDns]]*TabOceanet[[#This Row],[Nb_article]]*Tarif_DNS</f>
        <v>0</v>
      </c>
      <c r="Y205" s="5">
        <f>IF(TabOceanet[[#This Row],[Type_tarif]]="Tarif_Certificat_X509_Simple",1,0)</f>
        <v>0</v>
      </c>
      <c r="Z205" s="5">
        <f>TabOceanet[[#This Row],[isCalcCertSimple]]*TabOceanet[[#This Row],[Nb_article]]*Tarif_Certificat_X509_Simple</f>
        <v>0</v>
      </c>
      <c r="AA205" s="5">
        <f>IF(TabOceanet[[#This Row],[Type_tarif]]="Tarif_Certificat_X509_Wildcard",1,0)</f>
        <v>0</v>
      </c>
      <c r="AB205" s="5">
        <f>TabOceanet[[#This Row],[isCalcCertWild]]*TabOceanet[[#This Row],[Nb_article]]*Tarif_Certificat_X509_Wildcard</f>
        <v>0</v>
      </c>
      <c r="AC205" s="5">
        <f>IF(TabOceanet[[#This Row],[Type_tarif]]="Tarif_Astreinte_24_24_7_7",1,0)</f>
        <v>0</v>
      </c>
      <c r="AD205" s="5">
        <f>TabOceanet[[#This Row],[isCalcAstreinte247]]*TabOceanet[[#This Row],[Nb_article]]*Tarif_Astreinte_24_24_7_7</f>
        <v>0</v>
      </c>
      <c r="AE205" s="5">
        <f>IF(TabOceanet[[#This Row],[VM_status]]="PoweredOn",1,0)</f>
        <v>1</v>
      </c>
      <c r="AF205" s="17">
        <f>TabOceanet[[#This Row],[VM_mem]]*Tarif_Ram</f>
        <v>1.6</v>
      </c>
      <c r="AG205" s="5" t="str">
        <f>MID(TabOceanet[[#This Row],[Backup]],29,20)</f>
        <v>J15_3</v>
      </c>
      <c r="AH205" s="25">
        <f>IF(LEFT(TabOceanet[[#This Row],[TypeBAK]],3)="HOR",Tarif_Backup_Horaire*TabOceanet[[#This Row],[VM_disk]],IF(LEFT(TabOceanet[[#This Row],[TypeBAK]],3)="J15",Tarif_Backup_J15*TabOceanet[[#This Row],[VM_disk]],IF(LEFT(TabOceanet[[#This Row],[TypeBAK]],3)="H1_",Tarif_Backup_J15*TabOceanet[[#This Row],[VM_disk]],0)))</f>
        <v>9.43</v>
      </c>
      <c r="AI205" s="17">
        <f>TabOceanet[[#This Row],[VM_disk]]*Tarif_disque</f>
        <v>0</v>
      </c>
      <c r="AJ205"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11.03</v>
      </c>
    </row>
    <row r="206" spans="1:36" x14ac:dyDescent="0.25">
      <c r="A206" t="s">
        <v>188</v>
      </c>
      <c r="B206">
        <v>4</v>
      </c>
      <c r="C206">
        <v>4</v>
      </c>
      <c r="D206">
        <v>17</v>
      </c>
      <c r="E206" t="s">
        <v>423</v>
      </c>
      <c r="G206" t="s">
        <v>1273</v>
      </c>
      <c r="H206" t="s">
        <v>1274</v>
      </c>
      <c r="I206" t="s">
        <v>419</v>
      </c>
      <c r="J206" t="s">
        <v>414</v>
      </c>
      <c r="K206" t="s">
        <v>408</v>
      </c>
      <c r="L206" t="s">
        <v>410</v>
      </c>
      <c r="M206" t="s">
        <v>420</v>
      </c>
      <c r="N206" t="s">
        <v>412</v>
      </c>
      <c r="O206">
        <v>10006791</v>
      </c>
      <c r="P206" t="s">
        <v>413</v>
      </c>
      <c r="Q206" s="5">
        <f>VLOOKUP(TabOceanet[VM_name],TabVMEnv[],3,FALSE)</f>
        <v>0</v>
      </c>
      <c r="R206" s="5" t="str">
        <f>IF(VLOOKUP(TabOceanet[VM_name],TabVMEnv[],2,FALSE) = "","Non","")</f>
        <v/>
      </c>
      <c r="S206" s="5">
        <f>IF(TabOceanet[[#This Row],[Type_tarif]]="Tarif_VLAN",1,0)</f>
        <v>0</v>
      </c>
      <c r="T206" s="5">
        <f>TabOceanet[[#This Row],[isCalcVlan]]*TabOceanet[[#This Row],[Nb_article]]*Tarif_VLAN</f>
        <v>0</v>
      </c>
      <c r="U206" s="5">
        <f>IF(TabOceanet[[#This Row],[Type_tarif]]="Tarif_IPPUB",1,0)</f>
        <v>0</v>
      </c>
      <c r="V206" s="5">
        <f>TabOceanet[[#This Row],[isCalcIpPub]]*TabOceanet[[#This Row],[Nb_article]]*Tarif_IPPUB</f>
        <v>0</v>
      </c>
      <c r="W206" s="5">
        <f>IF(TabOceanet[[#This Row],[Type_tarif]]="Tarif_DNS",1,0)</f>
        <v>0</v>
      </c>
      <c r="X206" s="5">
        <f>TabOceanet[[#This Row],[isCalcDns]]*TabOceanet[[#This Row],[Nb_article]]*Tarif_DNS</f>
        <v>0</v>
      </c>
      <c r="Y206" s="5">
        <f>IF(TabOceanet[[#This Row],[Type_tarif]]="Tarif_Certificat_X509_Simple",1,0)</f>
        <v>0</v>
      </c>
      <c r="Z206" s="5">
        <f>TabOceanet[[#This Row],[isCalcCertSimple]]*TabOceanet[[#This Row],[Nb_article]]*Tarif_Certificat_X509_Simple</f>
        <v>0</v>
      </c>
      <c r="AA206" s="5">
        <f>IF(TabOceanet[[#This Row],[Type_tarif]]="Tarif_Certificat_X509_Wildcard",1,0)</f>
        <v>0</v>
      </c>
      <c r="AB206" s="5">
        <f>TabOceanet[[#This Row],[isCalcCertWild]]*TabOceanet[[#This Row],[Nb_article]]*Tarif_Certificat_X509_Wildcard</f>
        <v>0</v>
      </c>
      <c r="AC206" s="5">
        <f>IF(TabOceanet[[#This Row],[Type_tarif]]="Tarif_Astreinte_24_24_7_7",1,0)</f>
        <v>0</v>
      </c>
      <c r="AD206" s="5">
        <f>TabOceanet[[#This Row],[isCalcAstreinte247]]*TabOceanet[[#This Row],[Nb_article]]*Tarif_Astreinte_24_24_7_7</f>
        <v>0</v>
      </c>
      <c r="AE206" s="5">
        <f>IF(TabOceanet[[#This Row],[VM_status]]="PoweredOn",1,0)</f>
        <v>1</v>
      </c>
      <c r="AF206" s="17">
        <f>TabOceanet[[#This Row],[VM_mem]]*Tarif_Ram</f>
        <v>6.4</v>
      </c>
      <c r="AG206" s="5" t="str">
        <f>MID(TabOceanet[[#This Row],[Backup]],29,20)</f>
        <v>J15_3</v>
      </c>
      <c r="AH206" s="25">
        <f>IF(LEFT(TabOceanet[[#This Row],[TypeBAK]],3)="HOR",Tarif_Backup_Horaire*TabOceanet[[#This Row],[VM_disk]],IF(LEFT(TabOceanet[[#This Row],[TypeBAK]],3)="J15",Tarif_Backup_J15*TabOceanet[[#This Row],[VM_disk]],IF(LEFT(TabOceanet[[#This Row],[TypeBAK]],3)="H1_",Tarif_Backup_J15*TabOceanet[[#This Row],[VM_disk]],0)))</f>
        <v>3.91</v>
      </c>
      <c r="AI206" s="17">
        <f>TabOceanet[[#This Row],[VM_disk]]*Tarif_disque</f>
        <v>0</v>
      </c>
      <c r="AJ206"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10.31</v>
      </c>
    </row>
    <row r="207" spans="1:36" x14ac:dyDescent="0.25">
      <c r="A207" t="s">
        <v>31</v>
      </c>
      <c r="B207">
        <v>1</v>
      </c>
      <c r="C207">
        <v>1</v>
      </c>
      <c r="D207">
        <v>8</v>
      </c>
      <c r="E207" t="s">
        <v>423</v>
      </c>
      <c r="G207" t="s">
        <v>1273</v>
      </c>
      <c r="H207" t="s">
        <v>1274</v>
      </c>
      <c r="I207" t="s">
        <v>419</v>
      </c>
      <c r="J207" t="s">
        <v>414</v>
      </c>
      <c r="K207" t="s">
        <v>408</v>
      </c>
      <c r="L207" t="s">
        <v>410</v>
      </c>
      <c r="M207" t="s">
        <v>420</v>
      </c>
      <c r="N207" t="s">
        <v>412</v>
      </c>
      <c r="O207">
        <v>10006791</v>
      </c>
      <c r="P207" t="s">
        <v>413</v>
      </c>
      <c r="Q207" s="5">
        <f>VLOOKUP(TabOceanet[VM_name],TabVMEnv[],3,FALSE)</f>
        <v>0</v>
      </c>
      <c r="R207" s="5" t="str">
        <f>IF(VLOOKUP(TabOceanet[VM_name],TabVMEnv[],2,FALSE) = "","Non","")</f>
        <v/>
      </c>
      <c r="S207" s="5">
        <f>IF(TabOceanet[[#This Row],[Type_tarif]]="Tarif_VLAN",1,0)</f>
        <v>0</v>
      </c>
      <c r="T207" s="5">
        <f>TabOceanet[[#This Row],[isCalcVlan]]*TabOceanet[[#This Row],[Nb_article]]*Tarif_VLAN</f>
        <v>0</v>
      </c>
      <c r="U207" s="5">
        <f>IF(TabOceanet[[#This Row],[Type_tarif]]="Tarif_IPPUB",1,0)</f>
        <v>0</v>
      </c>
      <c r="V207" s="5">
        <f>TabOceanet[[#This Row],[isCalcIpPub]]*TabOceanet[[#This Row],[Nb_article]]*Tarif_IPPUB</f>
        <v>0</v>
      </c>
      <c r="W207" s="5">
        <f>IF(TabOceanet[[#This Row],[Type_tarif]]="Tarif_DNS",1,0)</f>
        <v>0</v>
      </c>
      <c r="X207" s="5">
        <f>TabOceanet[[#This Row],[isCalcDns]]*TabOceanet[[#This Row],[Nb_article]]*Tarif_DNS</f>
        <v>0</v>
      </c>
      <c r="Y207" s="5">
        <f>IF(TabOceanet[[#This Row],[Type_tarif]]="Tarif_Certificat_X509_Simple",1,0)</f>
        <v>0</v>
      </c>
      <c r="Z207" s="5">
        <f>TabOceanet[[#This Row],[isCalcCertSimple]]*TabOceanet[[#This Row],[Nb_article]]*Tarif_Certificat_X509_Simple</f>
        <v>0</v>
      </c>
      <c r="AA207" s="5">
        <f>IF(TabOceanet[[#This Row],[Type_tarif]]="Tarif_Certificat_X509_Wildcard",1,0)</f>
        <v>0</v>
      </c>
      <c r="AB207" s="5">
        <f>TabOceanet[[#This Row],[isCalcCertWild]]*TabOceanet[[#This Row],[Nb_article]]*Tarif_Certificat_X509_Wildcard</f>
        <v>0</v>
      </c>
      <c r="AC207" s="5">
        <f>IF(TabOceanet[[#This Row],[Type_tarif]]="Tarif_Astreinte_24_24_7_7",1,0)</f>
        <v>0</v>
      </c>
      <c r="AD207" s="5">
        <f>TabOceanet[[#This Row],[isCalcAstreinte247]]*TabOceanet[[#This Row],[Nb_article]]*Tarif_Astreinte_24_24_7_7</f>
        <v>0</v>
      </c>
      <c r="AE207" s="5">
        <f>IF(TabOceanet[[#This Row],[VM_status]]="PoweredOn",1,0)</f>
        <v>1</v>
      </c>
      <c r="AF207" s="17">
        <f>TabOceanet[[#This Row],[VM_mem]]*Tarif_Ram</f>
        <v>1.6</v>
      </c>
      <c r="AG207" s="5" t="str">
        <f>MID(TabOceanet[[#This Row],[Backup]],29,20)</f>
        <v>J15_3</v>
      </c>
      <c r="AH207" s="25">
        <f>IF(LEFT(TabOceanet[[#This Row],[TypeBAK]],3)="HOR",Tarif_Backup_Horaire*TabOceanet[[#This Row],[VM_disk]],IF(LEFT(TabOceanet[[#This Row],[TypeBAK]],3)="J15",Tarif_Backup_J15*TabOceanet[[#This Row],[VM_disk]],IF(LEFT(TabOceanet[[#This Row],[TypeBAK]],3)="H1_",Tarif_Backup_J15*TabOceanet[[#This Row],[VM_disk]],0)))</f>
        <v>1.84</v>
      </c>
      <c r="AI207" s="17">
        <f>TabOceanet[[#This Row],[VM_disk]]*Tarif_disque</f>
        <v>0</v>
      </c>
      <c r="AJ207"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3.4400000000000004</v>
      </c>
    </row>
    <row r="208" spans="1:36" x14ac:dyDescent="0.25">
      <c r="A208" t="s">
        <v>78</v>
      </c>
      <c r="B208">
        <v>1</v>
      </c>
      <c r="C208">
        <v>1</v>
      </c>
      <c r="D208">
        <v>5</v>
      </c>
      <c r="E208" t="s">
        <v>423</v>
      </c>
      <c r="G208" t="s">
        <v>1275</v>
      </c>
      <c r="H208" t="s">
        <v>1274</v>
      </c>
      <c r="I208" t="s">
        <v>419</v>
      </c>
      <c r="J208" t="s">
        <v>414</v>
      </c>
      <c r="K208" t="s">
        <v>408</v>
      </c>
      <c r="L208" t="s">
        <v>410</v>
      </c>
      <c r="M208" t="s">
        <v>430</v>
      </c>
      <c r="N208" t="s">
        <v>412</v>
      </c>
      <c r="O208">
        <v>10006791</v>
      </c>
      <c r="P208" t="s">
        <v>413</v>
      </c>
      <c r="Q208" s="5">
        <f>VLOOKUP(TabOceanet[VM_name],TabVMEnv[],3,FALSE)</f>
        <v>0</v>
      </c>
      <c r="R208" s="5" t="str">
        <f>IF(VLOOKUP(TabOceanet[VM_name],TabVMEnv[],2,FALSE) = "","Non","")</f>
        <v/>
      </c>
      <c r="S208" s="5">
        <f>IF(TabOceanet[[#This Row],[Type_tarif]]="Tarif_VLAN",1,0)</f>
        <v>0</v>
      </c>
      <c r="T208" s="5">
        <f>TabOceanet[[#This Row],[isCalcVlan]]*TabOceanet[[#This Row],[Nb_article]]*Tarif_VLAN</f>
        <v>0</v>
      </c>
      <c r="U208" s="5">
        <f>IF(TabOceanet[[#This Row],[Type_tarif]]="Tarif_IPPUB",1,0)</f>
        <v>0</v>
      </c>
      <c r="V208" s="5">
        <f>TabOceanet[[#This Row],[isCalcIpPub]]*TabOceanet[[#This Row],[Nb_article]]*Tarif_IPPUB</f>
        <v>0</v>
      </c>
      <c r="W208" s="5">
        <f>IF(TabOceanet[[#This Row],[Type_tarif]]="Tarif_DNS",1,0)</f>
        <v>0</v>
      </c>
      <c r="X208" s="5">
        <f>TabOceanet[[#This Row],[isCalcDns]]*TabOceanet[[#This Row],[Nb_article]]*Tarif_DNS</f>
        <v>0</v>
      </c>
      <c r="Y208" s="5">
        <f>IF(TabOceanet[[#This Row],[Type_tarif]]="Tarif_Certificat_X509_Simple",1,0)</f>
        <v>0</v>
      </c>
      <c r="Z208" s="5">
        <f>TabOceanet[[#This Row],[isCalcCertSimple]]*TabOceanet[[#This Row],[Nb_article]]*Tarif_Certificat_X509_Simple</f>
        <v>0</v>
      </c>
      <c r="AA208" s="5">
        <f>IF(TabOceanet[[#This Row],[Type_tarif]]="Tarif_Certificat_X509_Wildcard",1,0)</f>
        <v>0</v>
      </c>
      <c r="AB208" s="5">
        <f>TabOceanet[[#This Row],[isCalcCertWild]]*TabOceanet[[#This Row],[Nb_article]]*Tarif_Certificat_X509_Wildcard</f>
        <v>0</v>
      </c>
      <c r="AC208" s="5">
        <f>IF(TabOceanet[[#This Row],[Type_tarif]]="Tarif_Astreinte_24_24_7_7",1,0)</f>
        <v>0</v>
      </c>
      <c r="AD208" s="5">
        <f>TabOceanet[[#This Row],[isCalcAstreinte247]]*TabOceanet[[#This Row],[Nb_article]]*Tarif_Astreinte_24_24_7_7</f>
        <v>0</v>
      </c>
      <c r="AE208" s="5">
        <f>IF(TabOceanet[[#This Row],[VM_status]]="PoweredOn",1,0)</f>
        <v>1</v>
      </c>
      <c r="AF208" s="17">
        <f>TabOceanet[[#This Row],[VM_mem]]*Tarif_Ram</f>
        <v>1.6</v>
      </c>
      <c r="AG208" s="5" t="str">
        <f>MID(TabOceanet[[#This Row],[Backup]],29,20)</f>
        <v>J15_2</v>
      </c>
      <c r="AH208" s="25">
        <f>IF(LEFT(TabOceanet[[#This Row],[TypeBAK]],3)="HOR",Tarif_Backup_Horaire*TabOceanet[[#This Row],[VM_disk]],IF(LEFT(TabOceanet[[#This Row],[TypeBAK]],3)="J15",Tarif_Backup_J15*TabOceanet[[#This Row],[VM_disk]],IF(LEFT(TabOceanet[[#This Row],[TypeBAK]],3)="H1_",Tarif_Backup_J15*TabOceanet[[#This Row],[VM_disk]],0)))</f>
        <v>1.1500000000000001</v>
      </c>
      <c r="AI208" s="17">
        <f>TabOceanet[[#This Row],[VM_disk]]*Tarif_disque</f>
        <v>0</v>
      </c>
      <c r="AJ208"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2.75</v>
      </c>
    </row>
    <row r="209" spans="1:36" x14ac:dyDescent="0.25">
      <c r="A209" t="s">
        <v>189</v>
      </c>
      <c r="B209">
        <v>1</v>
      </c>
      <c r="C209">
        <v>1</v>
      </c>
      <c r="D209">
        <v>21</v>
      </c>
      <c r="E209" t="s">
        <v>426</v>
      </c>
      <c r="G209" t="s">
        <v>1275</v>
      </c>
      <c r="H209" t="s">
        <v>1274</v>
      </c>
      <c r="I209" t="s">
        <v>419</v>
      </c>
      <c r="J209" t="s">
        <v>414</v>
      </c>
      <c r="K209" t="s">
        <v>408</v>
      </c>
      <c r="L209" t="s">
        <v>410</v>
      </c>
      <c r="M209" t="s">
        <v>420</v>
      </c>
      <c r="N209" t="s">
        <v>412</v>
      </c>
      <c r="O209">
        <v>10006791</v>
      </c>
      <c r="P209" t="s">
        <v>413</v>
      </c>
      <c r="Q209" s="5">
        <f>VLOOKUP(TabOceanet[VM_name],TabVMEnv[],3,FALSE)</f>
        <v>0</v>
      </c>
      <c r="R209" s="5" t="str">
        <f>IF(VLOOKUP(TabOceanet[VM_name],TabVMEnv[],2,FALSE) = "","Non","")</f>
        <v/>
      </c>
      <c r="S209" s="5">
        <f>IF(TabOceanet[[#This Row],[Type_tarif]]="Tarif_VLAN",1,0)</f>
        <v>0</v>
      </c>
      <c r="T209" s="5">
        <f>TabOceanet[[#This Row],[isCalcVlan]]*TabOceanet[[#This Row],[Nb_article]]*Tarif_VLAN</f>
        <v>0</v>
      </c>
      <c r="U209" s="5">
        <f>IF(TabOceanet[[#This Row],[Type_tarif]]="Tarif_IPPUB",1,0)</f>
        <v>0</v>
      </c>
      <c r="V209" s="5">
        <f>TabOceanet[[#This Row],[isCalcIpPub]]*TabOceanet[[#This Row],[Nb_article]]*Tarif_IPPUB</f>
        <v>0</v>
      </c>
      <c r="W209" s="5">
        <f>IF(TabOceanet[[#This Row],[Type_tarif]]="Tarif_DNS",1,0)</f>
        <v>0</v>
      </c>
      <c r="X209" s="5">
        <f>TabOceanet[[#This Row],[isCalcDns]]*TabOceanet[[#This Row],[Nb_article]]*Tarif_DNS</f>
        <v>0</v>
      </c>
      <c r="Y209" s="5">
        <f>IF(TabOceanet[[#This Row],[Type_tarif]]="Tarif_Certificat_X509_Simple",1,0)</f>
        <v>0</v>
      </c>
      <c r="Z209" s="5">
        <f>TabOceanet[[#This Row],[isCalcCertSimple]]*TabOceanet[[#This Row],[Nb_article]]*Tarif_Certificat_X509_Simple</f>
        <v>0</v>
      </c>
      <c r="AA209" s="5">
        <f>IF(TabOceanet[[#This Row],[Type_tarif]]="Tarif_Certificat_X509_Wildcard",1,0)</f>
        <v>0</v>
      </c>
      <c r="AB209" s="5">
        <f>TabOceanet[[#This Row],[isCalcCertWild]]*TabOceanet[[#This Row],[Nb_article]]*Tarif_Certificat_X509_Wildcard</f>
        <v>0</v>
      </c>
      <c r="AC209" s="5">
        <f>IF(TabOceanet[[#This Row],[Type_tarif]]="Tarif_Astreinte_24_24_7_7",1,0)</f>
        <v>0</v>
      </c>
      <c r="AD209" s="5">
        <f>TabOceanet[[#This Row],[isCalcAstreinte247]]*TabOceanet[[#This Row],[Nb_article]]*Tarif_Astreinte_24_24_7_7</f>
        <v>0</v>
      </c>
      <c r="AE209" s="5">
        <f>IF(TabOceanet[[#This Row],[VM_status]]="PoweredOn",1,0)</f>
        <v>1</v>
      </c>
      <c r="AF209" s="17">
        <f>TabOceanet[[#This Row],[VM_mem]]*Tarif_Ram</f>
        <v>1.6</v>
      </c>
      <c r="AG209" s="5" t="str">
        <f>MID(TabOceanet[[#This Row],[Backup]],29,20)</f>
        <v>J15_3</v>
      </c>
      <c r="AH209" s="25">
        <f>IF(LEFT(TabOceanet[[#This Row],[TypeBAK]],3)="HOR",Tarif_Backup_Horaire*TabOceanet[[#This Row],[VM_disk]],IF(LEFT(TabOceanet[[#This Row],[TypeBAK]],3)="J15",Tarif_Backup_J15*TabOceanet[[#This Row],[VM_disk]],IF(LEFT(TabOceanet[[#This Row],[TypeBAK]],3)="H1_",Tarif_Backup_J15*TabOceanet[[#This Row],[VM_disk]],0)))</f>
        <v>4.83</v>
      </c>
      <c r="AI209" s="17">
        <f>TabOceanet[[#This Row],[VM_disk]]*Tarif_disque</f>
        <v>0</v>
      </c>
      <c r="AJ209"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6.43</v>
      </c>
    </row>
    <row r="210" spans="1:36" x14ac:dyDescent="0.25">
      <c r="A210" t="s">
        <v>162</v>
      </c>
      <c r="B210">
        <v>1</v>
      </c>
      <c r="C210">
        <v>1</v>
      </c>
      <c r="D210">
        <v>4</v>
      </c>
      <c r="E210" t="s">
        <v>423</v>
      </c>
      <c r="G210" t="s">
        <v>1275</v>
      </c>
      <c r="H210" t="s">
        <v>1274</v>
      </c>
      <c r="I210" t="s">
        <v>419</v>
      </c>
      <c r="J210" t="s">
        <v>414</v>
      </c>
      <c r="K210" t="s">
        <v>408</v>
      </c>
      <c r="L210" t="s">
        <v>410</v>
      </c>
      <c r="M210" t="s">
        <v>420</v>
      </c>
      <c r="N210" t="s">
        <v>412</v>
      </c>
      <c r="O210">
        <v>10006791</v>
      </c>
      <c r="P210" t="s">
        <v>413</v>
      </c>
      <c r="Q210" s="5">
        <f>VLOOKUP(TabOceanet[VM_name],TabVMEnv[],3,FALSE)</f>
        <v>0</v>
      </c>
      <c r="R210" s="5" t="str">
        <f>IF(VLOOKUP(TabOceanet[VM_name],TabVMEnv[],2,FALSE) = "","Non","")</f>
        <v/>
      </c>
      <c r="S210" s="5">
        <f>IF(TabOceanet[[#This Row],[Type_tarif]]="Tarif_VLAN",1,0)</f>
        <v>0</v>
      </c>
      <c r="T210" s="5">
        <f>TabOceanet[[#This Row],[isCalcVlan]]*TabOceanet[[#This Row],[Nb_article]]*Tarif_VLAN</f>
        <v>0</v>
      </c>
      <c r="U210" s="5">
        <f>IF(TabOceanet[[#This Row],[Type_tarif]]="Tarif_IPPUB",1,0)</f>
        <v>0</v>
      </c>
      <c r="V210" s="5">
        <f>TabOceanet[[#This Row],[isCalcIpPub]]*TabOceanet[[#This Row],[Nb_article]]*Tarif_IPPUB</f>
        <v>0</v>
      </c>
      <c r="W210" s="5">
        <f>IF(TabOceanet[[#This Row],[Type_tarif]]="Tarif_DNS",1,0)</f>
        <v>0</v>
      </c>
      <c r="X210" s="5">
        <f>TabOceanet[[#This Row],[isCalcDns]]*TabOceanet[[#This Row],[Nb_article]]*Tarif_DNS</f>
        <v>0</v>
      </c>
      <c r="Y210" s="5">
        <f>IF(TabOceanet[[#This Row],[Type_tarif]]="Tarif_Certificat_X509_Simple",1,0)</f>
        <v>0</v>
      </c>
      <c r="Z210" s="5">
        <f>TabOceanet[[#This Row],[isCalcCertSimple]]*TabOceanet[[#This Row],[Nb_article]]*Tarif_Certificat_X509_Simple</f>
        <v>0</v>
      </c>
      <c r="AA210" s="5">
        <f>IF(TabOceanet[[#This Row],[Type_tarif]]="Tarif_Certificat_X509_Wildcard",1,0)</f>
        <v>0</v>
      </c>
      <c r="AB210" s="5">
        <f>TabOceanet[[#This Row],[isCalcCertWild]]*TabOceanet[[#This Row],[Nb_article]]*Tarif_Certificat_X509_Wildcard</f>
        <v>0</v>
      </c>
      <c r="AC210" s="5">
        <f>IF(TabOceanet[[#This Row],[Type_tarif]]="Tarif_Astreinte_24_24_7_7",1,0)</f>
        <v>0</v>
      </c>
      <c r="AD210" s="5">
        <f>TabOceanet[[#This Row],[isCalcAstreinte247]]*TabOceanet[[#This Row],[Nb_article]]*Tarif_Astreinte_24_24_7_7</f>
        <v>0</v>
      </c>
      <c r="AE210" s="5">
        <f>IF(TabOceanet[[#This Row],[VM_status]]="PoweredOn",1,0)</f>
        <v>1</v>
      </c>
      <c r="AF210" s="17">
        <f>TabOceanet[[#This Row],[VM_mem]]*Tarif_Ram</f>
        <v>1.6</v>
      </c>
      <c r="AG210" s="5" t="str">
        <f>MID(TabOceanet[[#This Row],[Backup]],29,20)</f>
        <v>J15_3</v>
      </c>
      <c r="AH210" s="25">
        <f>IF(LEFT(TabOceanet[[#This Row],[TypeBAK]],3)="HOR",Tarif_Backup_Horaire*TabOceanet[[#This Row],[VM_disk]],IF(LEFT(TabOceanet[[#This Row],[TypeBAK]],3)="J15",Tarif_Backup_J15*TabOceanet[[#This Row],[VM_disk]],IF(LEFT(TabOceanet[[#This Row],[TypeBAK]],3)="H1_",Tarif_Backup_J15*TabOceanet[[#This Row],[VM_disk]],0)))</f>
        <v>0.92</v>
      </c>
      <c r="AI210" s="17">
        <f>TabOceanet[[#This Row],[VM_disk]]*Tarif_disque</f>
        <v>0</v>
      </c>
      <c r="AJ210"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2.52</v>
      </c>
    </row>
    <row r="211" spans="1:36" x14ac:dyDescent="0.25">
      <c r="A211" t="s">
        <v>163</v>
      </c>
      <c r="B211">
        <v>1</v>
      </c>
      <c r="C211">
        <v>1</v>
      </c>
      <c r="D211">
        <v>124</v>
      </c>
      <c r="E211" t="s">
        <v>423</v>
      </c>
      <c r="G211" t="s">
        <v>1275</v>
      </c>
      <c r="H211" t="s">
        <v>1274</v>
      </c>
      <c r="I211" t="s">
        <v>419</v>
      </c>
      <c r="J211" t="s">
        <v>414</v>
      </c>
      <c r="K211" t="s">
        <v>408</v>
      </c>
      <c r="L211" t="s">
        <v>410</v>
      </c>
      <c r="M211" t="s">
        <v>1322</v>
      </c>
      <c r="N211" t="s">
        <v>412</v>
      </c>
      <c r="O211">
        <v>10006791</v>
      </c>
      <c r="P211" t="s">
        <v>413</v>
      </c>
      <c r="Q211" s="5">
        <f>VLOOKUP(TabOceanet[VM_name],TabVMEnv[],3,FALSE)</f>
        <v>0</v>
      </c>
      <c r="R211" s="5" t="str">
        <f>IF(VLOOKUP(TabOceanet[VM_name],TabVMEnv[],2,FALSE) = "","Non","")</f>
        <v/>
      </c>
      <c r="S211" s="5">
        <f>IF(TabOceanet[[#This Row],[Type_tarif]]="Tarif_VLAN",1,0)</f>
        <v>0</v>
      </c>
      <c r="T211" s="5">
        <f>TabOceanet[[#This Row],[isCalcVlan]]*TabOceanet[[#This Row],[Nb_article]]*Tarif_VLAN</f>
        <v>0</v>
      </c>
      <c r="U211" s="5">
        <f>IF(TabOceanet[[#This Row],[Type_tarif]]="Tarif_IPPUB",1,0)</f>
        <v>0</v>
      </c>
      <c r="V211" s="5">
        <f>TabOceanet[[#This Row],[isCalcIpPub]]*TabOceanet[[#This Row],[Nb_article]]*Tarif_IPPUB</f>
        <v>0</v>
      </c>
      <c r="W211" s="5">
        <f>IF(TabOceanet[[#This Row],[Type_tarif]]="Tarif_DNS",1,0)</f>
        <v>0</v>
      </c>
      <c r="X211" s="5">
        <f>TabOceanet[[#This Row],[isCalcDns]]*TabOceanet[[#This Row],[Nb_article]]*Tarif_DNS</f>
        <v>0</v>
      </c>
      <c r="Y211" s="5">
        <f>IF(TabOceanet[[#This Row],[Type_tarif]]="Tarif_Certificat_X509_Simple",1,0)</f>
        <v>0</v>
      </c>
      <c r="Z211" s="5">
        <f>TabOceanet[[#This Row],[isCalcCertSimple]]*TabOceanet[[#This Row],[Nb_article]]*Tarif_Certificat_X509_Simple</f>
        <v>0</v>
      </c>
      <c r="AA211" s="5">
        <f>IF(TabOceanet[[#This Row],[Type_tarif]]="Tarif_Certificat_X509_Wildcard",1,0)</f>
        <v>0</v>
      </c>
      <c r="AB211" s="5">
        <f>TabOceanet[[#This Row],[isCalcCertWild]]*TabOceanet[[#This Row],[Nb_article]]*Tarif_Certificat_X509_Wildcard</f>
        <v>0</v>
      </c>
      <c r="AC211" s="5">
        <f>IF(TabOceanet[[#This Row],[Type_tarif]]="Tarif_Astreinte_24_24_7_7",1,0)</f>
        <v>0</v>
      </c>
      <c r="AD211" s="5">
        <f>TabOceanet[[#This Row],[isCalcAstreinte247]]*TabOceanet[[#This Row],[Nb_article]]*Tarif_Astreinte_24_24_7_7</f>
        <v>0</v>
      </c>
      <c r="AE211" s="5">
        <f>IF(TabOceanet[[#This Row],[VM_status]]="PoweredOn",1,0)</f>
        <v>1</v>
      </c>
      <c r="AF211" s="17">
        <f>TabOceanet[[#This Row],[VM_mem]]*Tarif_Ram</f>
        <v>1.6</v>
      </c>
      <c r="AG211" s="5" t="str">
        <f>MID(TabOceanet[[#This Row],[Backup]],29,20)</f>
        <v>J15_1</v>
      </c>
      <c r="AH211" s="25">
        <f>IF(LEFT(TabOceanet[[#This Row],[TypeBAK]],3)="HOR",Tarif_Backup_Horaire*TabOceanet[[#This Row],[VM_disk]],IF(LEFT(TabOceanet[[#This Row],[TypeBAK]],3)="J15",Tarif_Backup_J15*TabOceanet[[#This Row],[VM_disk]],IF(LEFT(TabOceanet[[#This Row],[TypeBAK]],3)="H1_",Tarif_Backup_J15*TabOceanet[[#This Row],[VM_disk]],0)))</f>
        <v>28.52</v>
      </c>
      <c r="AI211" s="17">
        <f>TabOceanet[[#This Row],[VM_disk]]*Tarif_disque</f>
        <v>0</v>
      </c>
      <c r="AJ211"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30.12</v>
      </c>
    </row>
    <row r="212" spans="1:36" x14ac:dyDescent="0.25">
      <c r="A212" t="s">
        <v>1332</v>
      </c>
      <c r="B212">
        <v>2</v>
      </c>
      <c r="C212">
        <v>2</v>
      </c>
      <c r="D212">
        <v>20</v>
      </c>
      <c r="E212" t="s">
        <v>1333</v>
      </c>
      <c r="G212" t="s">
        <v>1273</v>
      </c>
      <c r="H212" t="s">
        <v>1300</v>
      </c>
      <c r="I212" t="s">
        <v>419</v>
      </c>
      <c r="K212" t="s">
        <v>408</v>
      </c>
      <c r="L212" t="s">
        <v>410</v>
      </c>
      <c r="M212" t="s">
        <v>430</v>
      </c>
      <c r="N212" t="s">
        <v>412</v>
      </c>
      <c r="O212">
        <v>10006791</v>
      </c>
      <c r="P212" t="s">
        <v>413</v>
      </c>
      <c r="Q212" s="5">
        <f>VLOOKUP(TabOceanet[VM_name],TabVMEnv[],3,FALSE)</f>
        <v>0</v>
      </c>
      <c r="R212" s="5" t="str">
        <f>IF(VLOOKUP(TabOceanet[VM_name],TabVMEnv[],2,FALSE) = "","Non","")</f>
        <v/>
      </c>
      <c r="S212" s="5">
        <f>IF(TabOceanet[[#This Row],[Type_tarif]]="Tarif_VLAN",1,0)</f>
        <v>0</v>
      </c>
      <c r="T212" s="5">
        <f>TabOceanet[[#This Row],[isCalcVlan]]*TabOceanet[[#This Row],[Nb_article]]*Tarif_VLAN</f>
        <v>0</v>
      </c>
      <c r="U212" s="5">
        <f>IF(TabOceanet[[#This Row],[Type_tarif]]="Tarif_IPPUB",1,0)</f>
        <v>0</v>
      </c>
      <c r="V212" s="5">
        <f>TabOceanet[[#This Row],[isCalcIpPub]]*TabOceanet[[#This Row],[Nb_article]]*Tarif_IPPUB</f>
        <v>0</v>
      </c>
      <c r="W212" s="5">
        <f>IF(TabOceanet[[#This Row],[Type_tarif]]="Tarif_DNS",1,0)</f>
        <v>0</v>
      </c>
      <c r="X212" s="5">
        <f>TabOceanet[[#This Row],[isCalcDns]]*TabOceanet[[#This Row],[Nb_article]]*Tarif_DNS</f>
        <v>0</v>
      </c>
      <c r="Y212" s="5">
        <f>IF(TabOceanet[[#This Row],[Type_tarif]]="Tarif_Certificat_X509_Simple",1,0)</f>
        <v>0</v>
      </c>
      <c r="Z212" s="5">
        <f>TabOceanet[[#This Row],[isCalcCertSimple]]*TabOceanet[[#This Row],[Nb_article]]*Tarif_Certificat_X509_Simple</f>
        <v>0</v>
      </c>
      <c r="AA212" s="5">
        <f>IF(TabOceanet[[#This Row],[Type_tarif]]="Tarif_Certificat_X509_Wildcard",1,0)</f>
        <v>0</v>
      </c>
      <c r="AB212" s="5">
        <f>TabOceanet[[#This Row],[isCalcCertWild]]*TabOceanet[[#This Row],[Nb_article]]*Tarif_Certificat_X509_Wildcard</f>
        <v>0</v>
      </c>
      <c r="AC212" s="5">
        <f>IF(TabOceanet[[#This Row],[Type_tarif]]="Tarif_Astreinte_24_24_7_7",1,0)</f>
        <v>0</v>
      </c>
      <c r="AD212" s="5">
        <f>TabOceanet[[#This Row],[isCalcAstreinte247]]*TabOceanet[[#This Row],[Nb_article]]*Tarif_Astreinte_24_24_7_7</f>
        <v>0</v>
      </c>
      <c r="AE212" s="5">
        <f>IF(TabOceanet[[#This Row],[VM_status]]="PoweredOn",1,0)</f>
        <v>1</v>
      </c>
      <c r="AF212" s="17">
        <f>TabOceanet[[#This Row],[VM_mem]]*Tarif_Ram</f>
        <v>3.2</v>
      </c>
      <c r="AG212" s="5" t="str">
        <f>MID(TabOceanet[[#This Row],[Backup]],29,20)</f>
        <v>J15_2</v>
      </c>
      <c r="AH212" s="25">
        <f>IF(LEFT(TabOceanet[[#This Row],[TypeBAK]],3)="HOR",Tarif_Backup_Horaire*TabOceanet[[#This Row],[VM_disk]],IF(LEFT(TabOceanet[[#This Row],[TypeBAK]],3)="J15",Tarif_Backup_J15*TabOceanet[[#This Row],[VM_disk]],IF(LEFT(TabOceanet[[#This Row],[TypeBAK]],3)="H1_",Tarif_Backup_J15*TabOceanet[[#This Row],[VM_disk]],0)))</f>
        <v>4.6000000000000005</v>
      </c>
      <c r="AI212" s="17">
        <f>TabOceanet[[#This Row],[VM_disk]]*Tarif_disque</f>
        <v>0</v>
      </c>
      <c r="AJ212"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7.8000000000000007</v>
      </c>
    </row>
    <row r="213" spans="1:36" hidden="1" x14ac:dyDescent="0.25">
      <c r="A213" t="s">
        <v>97</v>
      </c>
      <c r="B213">
        <v>1</v>
      </c>
      <c r="C213">
        <v>1</v>
      </c>
      <c r="D213">
        <v>4</v>
      </c>
      <c r="E213" t="s">
        <v>423</v>
      </c>
      <c r="G213" t="s">
        <v>1275</v>
      </c>
      <c r="H213" t="s">
        <v>1274</v>
      </c>
      <c r="I213" t="s">
        <v>419</v>
      </c>
      <c r="J213" t="s">
        <v>414</v>
      </c>
      <c r="K213" t="s">
        <v>406</v>
      </c>
      <c r="L213" t="s">
        <v>410</v>
      </c>
      <c r="M213" t="s">
        <v>430</v>
      </c>
      <c r="N213" t="s">
        <v>412</v>
      </c>
      <c r="O213">
        <v>10006791</v>
      </c>
      <c r="P213" t="s">
        <v>413</v>
      </c>
      <c r="Q213" s="5">
        <f>VLOOKUP(TabOceanet[VM_name],TabVMEnv[],3,FALSE)</f>
        <v>0</v>
      </c>
      <c r="R213" s="5" t="str">
        <f>IF(VLOOKUP(TabOceanet[VM_name],TabVMEnv[],2,FALSE) = "","Non","")</f>
        <v/>
      </c>
      <c r="S213" s="5">
        <f>IF(TabOceanet[[#This Row],[Type_tarif]]="Tarif_VLAN",1,0)</f>
        <v>0</v>
      </c>
      <c r="T213" s="5">
        <f>TabOceanet[[#This Row],[isCalcVlan]]*TabOceanet[[#This Row],[Nb_article]]*Tarif_VLAN</f>
        <v>0</v>
      </c>
      <c r="U213" s="5">
        <f>IF(TabOceanet[[#This Row],[Type_tarif]]="Tarif_IPPUB",1,0)</f>
        <v>0</v>
      </c>
      <c r="V213" s="5">
        <f>TabOceanet[[#This Row],[isCalcIpPub]]*TabOceanet[[#This Row],[Nb_article]]*Tarif_IPPUB</f>
        <v>0</v>
      </c>
      <c r="W213" s="5">
        <f>IF(TabOceanet[[#This Row],[Type_tarif]]="Tarif_DNS",1,0)</f>
        <v>0</v>
      </c>
      <c r="X213" s="5">
        <f>TabOceanet[[#This Row],[isCalcDns]]*TabOceanet[[#This Row],[Nb_article]]*Tarif_DNS</f>
        <v>0</v>
      </c>
      <c r="Y213" s="5">
        <f>IF(TabOceanet[[#This Row],[Type_tarif]]="Tarif_Certificat_X509_Simple",1,0)</f>
        <v>0</v>
      </c>
      <c r="Z213" s="5">
        <f>TabOceanet[[#This Row],[isCalcCertSimple]]*TabOceanet[[#This Row],[Nb_article]]*Tarif_Certificat_X509_Simple</f>
        <v>0</v>
      </c>
      <c r="AA213" s="5">
        <f>IF(TabOceanet[[#This Row],[Type_tarif]]="Tarif_Certificat_X509_Wildcard",1,0)</f>
        <v>0</v>
      </c>
      <c r="AB213" s="5">
        <f>TabOceanet[[#This Row],[isCalcCertWild]]*TabOceanet[[#This Row],[Nb_article]]*Tarif_Certificat_X509_Wildcard</f>
        <v>0</v>
      </c>
      <c r="AC213" s="5">
        <f>IF(TabOceanet[[#This Row],[Type_tarif]]="Tarif_Astreinte_24_24_7_7",1,0)</f>
        <v>0</v>
      </c>
      <c r="AD213" s="5">
        <f>TabOceanet[[#This Row],[isCalcAstreinte247]]*TabOceanet[[#This Row],[Nb_article]]*Tarif_Astreinte_24_24_7_7</f>
        <v>0</v>
      </c>
      <c r="AE213" s="5">
        <f>IF(TabOceanet[[#This Row],[VM_status]]="PoweredOn",1,0)</f>
        <v>1</v>
      </c>
      <c r="AF213" s="17">
        <f>TabOceanet[[#This Row],[VM_mem]]*Tarif_Ram</f>
        <v>1.6</v>
      </c>
      <c r="AG213" s="5" t="str">
        <f>MID(TabOceanet[[#This Row],[Backup]],29,20)</f>
        <v>J15_2</v>
      </c>
      <c r="AH213" s="25">
        <f>IF(LEFT(TabOceanet[[#This Row],[TypeBAK]],3)="HOR",Tarif_Backup_Horaire*TabOceanet[[#This Row],[VM_disk]],IF(LEFT(TabOceanet[[#This Row],[TypeBAK]],3)="J15",Tarif_Backup_J15*TabOceanet[[#This Row],[VM_disk]],IF(LEFT(TabOceanet[[#This Row],[TypeBAK]],3)="H1_",Tarif_Backup_J15*TabOceanet[[#This Row],[VM_disk]],0)))</f>
        <v>0.92</v>
      </c>
      <c r="AI213" s="17">
        <f>TabOceanet[[#This Row],[VM_disk]]*Tarif_disque</f>
        <v>0</v>
      </c>
      <c r="AJ213"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2.52</v>
      </c>
    </row>
    <row r="214" spans="1:36" x14ac:dyDescent="0.25">
      <c r="A214" t="s">
        <v>164</v>
      </c>
      <c r="B214">
        <v>1</v>
      </c>
      <c r="C214">
        <v>1</v>
      </c>
      <c r="D214">
        <v>4</v>
      </c>
      <c r="E214" t="s">
        <v>423</v>
      </c>
      <c r="G214" t="s">
        <v>1275</v>
      </c>
      <c r="H214" t="s">
        <v>1274</v>
      </c>
      <c r="I214" t="s">
        <v>436</v>
      </c>
      <c r="J214" t="s">
        <v>414</v>
      </c>
      <c r="K214" t="s">
        <v>408</v>
      </c>
      <c r="L214" t="s">
        <v>410</v>
      </c>
      <c r="M214" t="s">
        <v>430</v>
      </c>
      <c r="N214" t="s">
        <v>412</v>
      </c>
      <c r="O214">
        <v>10006791</v>
      </c>
      <c r="P214" t="s">
        <v>413</v>
      </c>
      <c r="Q214" s="5">
        <f>VLOOKUP(TabOceanet[VM_name],TabVMEnv[],3,FALSE)</f>
        <v>0</v>
      </c>
      <c r="R214" s="5" t="str">
        <f>IF(VLOOKUP(TabOceanet[VM_name],TabVMEnv[],2,FALSE) = "","Non","")</f>
        <v/>
      </c>
      <c r="S214" s="5">
        <f>IF(TabOceanet[[#This Row],[Type_tarif]]="Tarif_VLAN",1,0)</f>
        <v>0</v>
      </c>
      <c r="T214" s="5">
        <f>TabOceanet[[#This Row],[isCalcVlan]]*TabOceanet[[#This Row],[Nb_article]]*Tarif_VLAN</f>
        <v>0</v>
      </c>
      <c r="U214" s="5">
        <f>IF(TabOceanet[[#This Row],[Type_tarif]]="Tarif_IPPUB",1,0)</f>
        <v>0</v>
      </c>
      <c r="V214" s="5">
        <f>TabOceanet[[#This Row],[isCalcIpPub]]*TabOceanet[[#This Row],[Nb_article]]*Tarif_IPPUB</f>
        <v>0</v>
      </c>
      <c r="W214" s="5">
        <f>IF(TabOceanet[[#This Row],[Type_tarif]]="Tarif_DNS",1,0)</f>
        <v>0</v>
      </c>
      <c r="X214" s="5">
        <f>TabOceanet[[#This Row],[isCalcDns]]*TabOceanet[[#This Row],[Nb_article]]*Tarif_DNS</f>
        <v>0</v>
      </c>
      <c r="Y214" s="5">
        <f>IF(TabOceanet[[#This Row],[Type_tarif]]="Tarif_Certificat_X509_Simple",1,0)</f>
        <v>0</v>
      </c>
      <c r="Z214" s="5">
        <f>TabOceanet[[#This Row],[isCalcCertSimple]]*TabOceanet[[#This Row],[Nb_article]]*Tarif_Certificat_X509_Simple</f>
        <v>0</v>
      </c>
      <c r="AA214" s="5">
        <f>IF(TabOceanet[[#This Row],[Type_tarif]]="Tarif_Certificat_X509_Wildcard",1,0)</f>
        <v>0</v>
      </c>
      <c r="AB214" s="5">
        <f>TabOceanet[[#This Row],[isCalcCertWild]]*TabOceanet[[#This Row],[Nb_article]]*Tarif_Certificat_X509_Wildcard</f>
        <v>0</v>
      </c>
      <c r="AC214" s="5">
        <f>IF(TabOceanet[[#This Row],[Type_tarif]]="Tarif_Astreinte_24_24_7_7",1,0)</f>
        <v>0</v>
      </c>
      <c r="AD214" s="5">
        <f>TabOceanet[[#This Row],[isCalcAstreinte247]]*TabOceanet[[#This Row],[Nb_article]]*Tarif_Astreinte_24_24_7_7</f>
        <v>0</v>
      </c>
      <c r="AE214" s="5">
        <f>IF(TabOceanet[[#This Row],[VM_status]]="PoweredOn",1,0)</f>
        <v>0</v>
      </c>
      <c r="AF214" s="17">
        <f>TabOceanet[[#This Row],[VM_mem]]*Tarif_Ram</f>
        <v>1.6</v>
      </c>
      <c r="AG214" s="5" t="str">
        <f>MID(TabOceanet[[#This Row],[Backup]],29,20)</f>
        <v>J15_2</v>
      </c>
      <c r="AH214" s="25">
        <f>IF(LEFT(TabOceanet[[#This Row],[TypeBAK]],3)="HOR",Tarif_Backup_Horaire*TabOceanet[[#This Row],[VM_disk]],IF(LEFT(TabOceanet[[#This Row],[TypeBAK]],3)="J15",Tarif_Backup_J15*TabOceanet[[#This Row],[VM_disk]],IF(LEFT(TabOceanet[[#This Row],[TypeBAK]],3)="H1_",Tarif_Backup_J15*TabOceanet[[#This Row],[VM_disk]],0)))</f>
        <v>0.92</v>
      </c>
      <c r="AI214" s="17">
        <f>TabOceanet[[#This Row],[VM_disk]]*Tarif_disque</f>
        <v>0</v>
      </c>
      <c r="AJ214"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0.92</v>
      </c>
    </row>
    <row r="215" spans="1:36" hidden="1" x14ac:dyDescent="0.25">
      <c r="A215" t="s">
        <v>217</v>
      </c>
      <c r="B215">
        <v>1</v>
      </c>
      <c r="C215">
        <v>1</v>
      </c>
      <c r="D215">
        <v>19</v>
      </c>
      <c r="E215" t="s">
        <v>423</v>
      </c>
      <c r="G215" t="s">
        <v>1275</v>
      </c>
      <c r="H215" t="s">
        <v>1274</v>
      </c>
      <c r="I215" t="s">
        <v>419</v>
      </c>
      <c r="J215" t="s">
        <v>414</v>
      </c>
      <c r="K215" t="s">
        <v>403</v>
      </c>
      <c r="L215" t="s">
        <v>438</v>
      </c>
      <c r="M215" t="s">
        <v>430</v>
      </c>
      <c r="N215" t="s">
        <v>412</v>
      </c>
      <c r="O215">
        <v>10006791</v>
      </c>
      <c r="P215" t="s">
        <v>413</v>
      </c>
      <c r="Q215" s="5">
        <f>VLOOKUP(TabOceanet[VM_name],TabVMEnv[],3,FALSE)</f>
        <v>0</v>
      </c>
      <c r="R215" s="5" t="str">
        <f>IF(VLOOKUP(TabOceanet[VM_name],TabVMEnv[],2,FALSE) = "","Non","")</f>
        <v/>
      </c>
      <c r="S215" s="5">
        <f>IF(TabOceanet[[#This Row],[Type_tarif]]="Tarif_VLAN",1,0)</f>
        <v>0</v>
      </c>
      <c r="T215" s="5">
        <f>TabOceanet[[#This Row],[isCalcVlan]]*TabOceanet[[#This Row],[Nb_article]]*Tarif_VLAN</f>
        <v>0</v>
      </c>
      <c r="U215" s="5">
        <f>IF(TabOceanet[[#This Row],[Type_tarif]]="Tarif_IPPUB",1,0)</f>
        <v>0</v>
      </c>
      <c r="V215" s="5">
        <f>TabOceanet[[#This Row],[isCalcIpPub]]*TabOceanet[[#This Row],[Nb_article]]*Tarif_IPPUB</f>
        <v>0</v>
      </c>
      <c r="W215" s="5">
        <f>IF(TabOceanet[[#This Row],[Type_tarif]]="Tarif_DNS",1,0)</f>
        <v>0</v>
      </c>
      <c r="X215" s="5">
        <f>TabOceanet[[#This Row],[isCalcDns]]*TabOceanet[[#This Row],[Nb_article]]*Tarif_DNS</f>
        <v>0</v>
      </c>
      <c r="Y215" s="5">
        <f>IF(TabOceanet[[#This Row],[Type_tarif]]="Tarif_Certificat_X509_Simple",1,0)</f>
        <v>0</v>
      </c>
      <c r="Z215" s="5">
        <f>TabOceanet[[#This Row],[isCalcCertSimple]]*TabOceanet[[#This Row],[Nb_article]]*Tarif_Certificat_X509_Simple</f>
        <v>0</v>
      </c>
      <c r="AA215" s="5">
        <f>IF(TabOceanet[[#This Row],[Type_tarif]]="Tarif_Certificat_X509_Wildcard",1,0)</f>
        <v>0</v>
      </c>
      <c r="AB215" s="5">
        <f>TabOceanet[[#This Row],[isCalcCertWild]]*TabOceanet[[#This Row],[Nb_article]]*Tarif_Certificat_X509_Wildcard</f>
        <v>0</v>
      </c>
      <c r="AC215" s="5">
        <f>IF(TabOceanet[[#This Row],[Type_tarif]]="Tarif_Astreinte_24_24_7_7",1,0)</f>
        <v>0</v>
      </c>
      <c r="AD215" s="5">
        <f>TabOceanet[[#This Row],[isCalcAstreinte247]]*TabOceanet[[#This Row],[Nb_article]]*Tarif_Astreinte_24_24_7_7</f>
        <v>0</v>
      </c>
      <c r="AE215" s="5">
        <f>IF(TabOceanet[[#This Row],[VM_status]]="PoweredOn",1,0)</f>
        <v>1</v>
      </c>
      <c r="AF215" s="17">
        <f>TabOceanet[[#This Row],[VM_mem]]*Tarif_Ram</f>
        <v>1.6</v>
      </c>
      <c r="AG215" s="5" t="str">
        <f>MID(TabOceanet[[#This Row],[Backup]],29,20)</f>
        <v>J15_2</v>
      </c>
      <c r="AH215" s="25">
        <f>IF(LEFT(TabOceanet[[#This Row],[TypeBAK]],3)="HOR",Tarif_Backup_Horaire*TabOceanet[[#This Row],[VM_disk]],IF(LEFT(TabOceanet[[#This Row],[TypeBAK]],3)="J15",Tarif_Backup_J15*TabOceanet[[#This Row],[VM_disk]],IF(LEFT(TabOceanet[[#This Row],[TypeBAK]],3)="H1_",Tarif_Backup_J15*TabOceanet[[#This Row],[VM_disk]],0)))</f>
        <v>4.37</v>
      </c>
      <c r="AI215" s="17">
        <f>TabOceanet[[#This Row],[VM_disk]]*Tarif_disque</f>
        <v>0</v>
      </c>
      <c r="AJ215"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5.9700000000000006</v>
      </c>
    </row>
    <row r="216" spans="1:36" x14ac:dyDescent="0.25">
      <c r="A216" t="s">
        <v>165</v>
      </c>
      <c r="B216">
        <v>2</v>
      </c>
      <c r="C216">
        <v>2</v>
      </c>
      <c r="D216">
        <v>4</v>
      </c>
      <c r="E216" t="s">
        <v>423</v>
      </c>
      <c r="G216" t="s">
        <v>1275</v>
      </c>
      <c r="H216" t="s">
        <v>1274</v>
      </c>
      <c r="I216" t="s">
        <v>419</v>
      </c>
      <c r="J216" t="s">
        <v>414</v>
      </c>
      <c r="K216" t="s">
        <v>408</v>
      </c>
      <c r="L216" t="s">
        <v>410</v>
      </c>
      <c r="M216" t="s">
        <v>430</v>
      </c>
      <c r="N216" t="s">
        <v>412</v>
      </c>
      <c r="O216">
        <v>10006791</v>
      </c>
      <c r="P216" t="s">
        <v>413</v>
      </c>
      <c r="Q216" s="5">
        <f>VLOOKUP(TabOceanet[VM_name],TabVMEnv[],3,FALSE)</f>
        <v>0</v>
      </c>
      <c r="R216" s="5" t="str">
        <f>IF(VLOOKUP(TabOceanet[VM_name],TabVMEnv[],2,FALSE) = "","Non","")</f>
        <v/>
      </c>
      <c r="S216" s="5">
        <f>IF(TabOceanet[[#This Row],[Type_tarif]]="Tarif_VLAN",1,0)</f>
        <v>0</v>
      </c>
      <c r="T216" s="5">
        <f>TabOceanet[[#This Row],[isCalcVlan]]*TabOceanet[[#This Row],[Nb_article]]*Tarif_VLAN</f>
        <v>0</v>
      </c>
      <c r="U216" s="5">
        <f>IF(TabOceanet[[#This Row],[Type_tarif]]="Tarif_IPPUB",1,0)</f>
        <v>0</v>
      </c>
      <c r="V216" s="5">
        <f>TabOceanet[[#This Row],[isCalcIpPub]]*TabOceanet[[#This Row],[Nb_article]]*Tarif_IPPUB</f>
        <v>0</v>
      </c>
      <c r="W216" s="5">
        <f>IF(TabOceanet[[#This Row],[Type_tarif]]="Tarif_DNS",1,0)</f>
        <v>0</v>
      </c>
      <c r="X216" s="5">
        <f>TabOceanet[[#This Row],[isCalcDns]]*TabOceanet[[#This Row],[Nb_article]]*Tarif_DNS</f>
        <v>0</v>
      </c>
      <c r="Y216" s="5">
        <f>IF(TabOceanet[[#This Row],[Type_tarif]]="Tarif_Certificat_X509_Simple",1,0)</f>
        <v>0</v>
      </c>
      <c r="Z216" s="5">
        <f>TabOceanet[[#This Row],[isCalcCertSimple]]*TabOceanet[[#This Row],[Nb_article]]*Tarif_Certificat_X509_Simple</f>
        <v>0</v>
      </c>
      <c r="AA216" s="5">
        <f>IF(TabOceanet[[#This Row],[Type_tarif]]="Tarif_Certificat_X509_Wildcard",1,0)</f>
        <v>0</v>
      </c>
      <c r="AB216" s="5">
        <f>TabOceanet[[#This Row],[isCalcCertWild]]*TabOceanet[[#This Row],[Nb_article]]*Tarif_Certificat_X509_Wildcard</f>
        <v>0</v>
      </c>
      <c r="AC216" s="5">
        <f>IF(TabOceanet[[#This Row],[Type_tarif]]="Tarif_Astreinte_24_24_7_7",1,0)</f>
        <v>0</v>
      </c>
      <c r="AD216" s="5">
        <f>TabOceanet[[#This Row],[isCalcAstreinte247]]*TabOceanet[[#This Row],[Nb_article]]*Tarif_Astreinte_24_24_7_7</f>
        <v>0</v>
      </c>
      <c r="AE216" s="5">
        <f>IF(TabOceanet[[#This Row],[VM_status]]="PoweredOn",1,0)</f>
        <v>1</v>
      </c>
      <c r="AF216" s="17">
        <f>TabOceanet[[#This Row],[VM_mem]]*Tarif_Ram</f>
        <v>3.2</v>
      </c>
      <c r="AG216" s="5" t="str">
        <f>MID(TabOceanet[[#This Row],[Backup]],29,20)</f>
        <v>J15_2</v>
      </c>
      <c r="AH216" s="25">
        <f>IF(LEFT(TabOceanet[[#This Row],[TypeBAK]],3)="HOR",Tarif_Backup_Horaire*TabOceanet[[#This Row],[VM_disk]],IF(LEFT(TabOceanet[[#This Row],[TypeBAK]],3)="J15",Tarif_Backup_J15*TabOceanet[[#This Row],[VM_disk]],IF(LEFT(TabOceanet[[#This Row],[TypeBAK]],3)="H1_",Tarif_Backup_J15*TabOceanet[[#This Row],[VM_disk]],0)))</f>
        <v>0.92</v>
      </c>
      <c r="AI216" s="17">
        <f>TabOceanet[[#This Row],[VM_disk]]*Tarif_disque</f>
        <v>0</v>
      </c>
      <c r="AJ216"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4.12</v>
      </c>
    </row>
    <row r="217" spans="1:36" hidden="1" x14ac:dyDescent="0.25">
      <c r="A217" t="s">
        <v>138</v>
      </c>
      <c r="B217">
        <v>1</v>
      </c>
      <c r="C217">
        <v>1</v>
      </c>
      <c r="D217">
        <v>4</v>
      </c>
      <c r="E217" t="s">
        <v>423</v>
      </c>
      <c r="G217" t="s">
        <v>1273</v>
      </c>
      <c r="H217" t="s">
        <v>1274</v>
      </c>
      <c r="I217" t="s">
        <v>419</v>
      </c>
      <c r="J217" t="s">
        <v>414</v>
      </c>
      <c r="K217" t="s">
        <v>406</v>
      </c>
      <c r="L217" t="s">
        <v>410</v>
      </c>
      <c r="M217" t="s">
        <v>420</v>
      </c>
      <c r="N217" t="s">
        <v>412</v>
      </c>
      <c r="O217">
        <v>10006791</v>
      </c>
      <c r="P217" t="s">
        <v>413</v>
      </c>
      <c r="Q217" s="5">
        <f>VLOOKUP(TabOceanet[VM_name],TabVMEnv[],3,FALSE)</f>
        <v>0</v>
      </c>
      <c r="R217" s="5" t="str">
        <f>IF(VLOOKUP(TabOceanet[VM_name],TabVMEnv[],2,FALSE) = "","Non","")</f>
        <v/>
      </c>
      <c r="S217" s="5">
        <f>IF(TabOceanet[[#This Row],[Type_tarif]]="Tarif_VLAN",1,0)</f>
        <v>0</v>
      </c>
      <c r="T217" s="5">
        <f>TabOceanet[[#This Row],[isCalcVlan]]*TabOceanet[[#This Row],[Nb_article]]*Tarif_VLAN</f>
        <v>0</v>
      </c>
      <c r="U217" s="5">
        <f>IF(TabOceanet[[#This Row],[Type_tarif]]="Tarif_IPPUB",1,0)</f>
        <v>0</v>
      </c>
      <c r="V217" s="5">
        <f>TabOceanet[[#This Row],[isCalcIpPub]]*TabOceanet[[#This Row],[Nb_article]]*Tarif_IPPUB</f>
        <v>0</v>
      </c>
      <c r="W217" s="5">
        <f>IF(TabOceanet[[#This Row],[Type_tarif]]="Tarif_DNS",1,0)</f>
        <v>0</v>
      </c>
      <c r="X217" s="5">
        <f>TabOceanet[[#This Row],[isCalcDns]]*TabOceanet[[#This Row],[Nb_article]]*Tarif_DNS</f>
        <v>0</v>
      </c>
      <c r="Y217" s="5">
        <f>IF(TabOceanet[[#This Row],[Type_tarif]]="Tarif_Certificat_X509_Simple",1,0)</f>
        <v>0</v>
      </c>
      <c r="Z217" s="5">
        <f>TabOceanet[[#This Row],[isCalcCertSimple]]*TabOceanet[[#This Row],[Nb_article]]*Tarif_Certificat_X509_Simple</f>
        <v>0</v>
      </c>
      <c r="AA217" s="5">
        <f>IF(TabOceanet[[#This Row],[Type_tarif]]="Tarif_Certificat_X509_Wildcard",1,0)</f>
        <v>0</v>
      </c>
      <c r="AB217" s="5">
        <f>TabOceanet[[#This Row],[isCalcCertWild]]*TabOceanet[[#This Row],[Nb_article]]*Tarif_Certificat_X509_Wildcard</f>
        <v>0</v>
      </c>
      <c r="AC217" s="5">
        <f>IF(TabOceanet[[#This Row],[Type_tarif]]="Tarif_Astreinte_24_24_7_7",1,0)</f>
        <v>0</v>
      </c>
      <c r="AD217" s="5">
        <f>TabOceanet[[#This Row],[isCalcAstreinte247]]*TabOceanet[[#This Row],[Nb_article]]*Tarif_Astreinte_24_24_7_7</f>
        <v>0</v>
      </c>
      <c r="AE217" s="5">
        <f>IF(TabOceanet[[#This Row],[VM_status]]="PoweredOn",1,0)</f>
        <v>1</v>
      </c>
      <c r="AF217" s="17">
        <f>TabOceanet[[#This Row],[VM_mem]]*Tarif_Ram</f>
        <v>1.6</v>
      </c>
      <c r="AG217" s="5" t="str">
        <f>MID(TabOceanet[[#This Row],[Backup]],29,20)</f>
        <v>J15_3</v>
      </c>
      <c r="AH217" s="25">
        <f>IF(LEFT(TabOceanet[[#This Row],[TypeBAK]],3)="HOR",Tarif_Backup_Horaire*TabOceanet[[#This Row],[VM_disk]],IF(LEFT(TabOceanet[[#This Row],[TypeBAK]],3)="J15",Tarif_Backup_J15*TabOceanet[[#This Row],[VM_disk]],IF(LEFT(TabOceanet[[#This Row],[TypeBAK]],3)="H1_",Tarif_Backup_J15*TabOceanet[[#This Row],[VM_disk]],0)))</f>
        <v>0.92</v>
      </c>
      <c r="AI217" s="17">
        <f>TabOceanet[[#This Row],[VM_disk]]*Tarif_disque</f>
        <v>0</v>
      </c>
      <c r="AJ217"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2.52</v>
      </c>
    </row>
    <row r="218" spans="1:36" hidden="1" x14ac:dyDescent="0.25">
      <c r="A218" t="s">
        <v>98</v>
      </c>
      <c r="B218">
        <v>1</v>
      </c>
      <c r="C218">
        <v>1</v>
      </c>
      <c r="D218">
        <v>4</v>
      </c>
      <c r="E218" t="s">
        <v>423</v>
      </c>
      <c r="G218" t="s">
        <v>1273</v>
      </c>
      <c r="H218" t="s">
        <v>1274</v>
      </c>
      <c r="I218" t="s">
        <v>419</v>
      </c>
      <c r="J218" t="s">
        <v>414</v>
      </c>
      <c r="K218" t="s">
        <v>406</v>
      </c>
      <c r="L218" t="s">
        <v>410</v>
      </c>
      <c r="M218" t="s">
        <v>430</v>
      </c>
      <c r="N218" t="s">
        <v>412</v>
      </c>
      <c r="O218">
        <v>10006791</v>
      </c>
      <c r="P218" t="s">
        <v>413</v>
      </c>
      <c r="Q218" s="5">
        <f>VLOOKUP(TabOceanet[VM_name],TabVMEnv[],3,FALSE)</f>
        <v>0</v>
      </c>
      <c r="R218" s="5" t="str">
        <f>IF(VLOOKUP(TabOceanet[VM_name],TabVMEnv[],2,FALSE) = "","Non","")</f>
        <v/>
      </c>
      <c r="S218" s="5">
        <f>IF(TabOceanet[[#This Row],[Type_tarif]]="Tarif_VLAN",1,0)</f>
        <v>0</v>
      </c>
      <c r="T218" s="5">
        <f>TabOceanet[[#This Row],[isCalcVlan]]*TabOceanet[[#This Row],[Nb_article]]*Tarif_VLAN</f>
        <v>0</v>
      </c>
      <c r="U218" s="5">
        <f>IF(TabOceanet[[#This Row],[Type_tarif]]="Tarif_IPPUB",1,0)</f>
        <v>0</v>
      </c>
      <c r="V218" s="5">
        <f>TabOceanet[[#This Row],[isCalcIpPub]]*TabOceanet[[#This Row],[Nb_article]]*Tarif_IPPUB</f>
        <v>0</v>
      </c>
      <c r="W218" s="5">
        <f>IF(TabOceanet[[#This Row],[Type_tarif]]="Tarif_DNS",1,0)</f>
        <v>0</v>
      </c>
      <c r="X218" s="5">
        <f>TabOceanet[[#This Row],[isCalcDns]]*TabOceanet[[#This Row],[Nb_article]]*Tarif_DNS</f>
        <v>0</v>
      </c>
      <c r="Y218" s="5">
        <f>IF(TabOceanet[[#This Row],[Type_tarif]]="Tarif_Certificat_X509_Simple",1,0)</f>
        <v>0</v>
      </c>
      <c r="Z218" s="5">
        <f>TabOceanet[[#This Row],[isCalcCertSimple]]*TabOceanet[[#This Row],[Nb_article]]*Tarif_Certificat_X509_Simple</f>
        <v>0</v>
      </c>
      <c r="AA218" s="5">
        <f>IF(TabOceanet[[#This Row],[Type_tarif]]="Tarif_Certificat_X509_Wildcard",1,0)</f>
        <v>0</v>
      </c>
      <c r="AB218" s="5">
        <f>TabOceanet[[#This Row],[isCalcCertWild]]*TabOceanet[[#This Row],[Nb_article]]*Tarif_Certificat_X509_Wildcard</f>
        <v>0</v>
      </c>
      <c r="AC218" s="5">
        <f>IF(TabOceanet[[#This Row],[Type_tarif]]="Tarif_Astreinte_24_24_7_7",1,0)</f>
        <v>0</v>
      </c>
      <c r="AD218" s="5">
        <f>TabOceanet[[#This Row],[isCalcAstreinte247]]*TabOceanet[[#This Row],[Nb_article]]*Tarif_Astreinte_24_24_7_7</f>
        <v>0</v>
      </c>
      <c r="AE218" s="5">
        <f>IF(TabOceanet[[#This Row],[VM_status]]="PoweredOn",1,0)</f>
        <v>1</v>
      </c>
      <c r="AF218" s="17">
        <f>TabOceanet[[#This Row],[VM_mem]]*Tarif_Ram</f>
        <v>1.6</v>
      </c>
      <c r="AG218" s="5" t="str">
        <f>MID(TabOceanet[[#This Row],[Backup]],29,20)</f>
        <v>J15_2</v>
      </c>
      <c r="AH218" s="25">
        <f>IF(LEFT(TabOceanet[[#This Row],[TypeBAK]],3)="HOR",Tarif_Backup_Horaire*TabOceanet[[#This Row],[VM_disk]],IF(LEFT(TabOceanet[[#This Row],[TypeBAK]],3)="J15",Tarif_Backup_J15*TabOceanet[[#This Row],[VM_disk]],IF(LEFT(TabOceanet[[#This Row],[TypeBAK]],3)="H1_",Tarif_Backup_J15*TabOceanet[[#This Row],[VM_disk]],0)))</f>
        <v>0.92</v>
      </c>
      <c r="AI218" s="17">
        <f>TabOceanet[[#This Row],[VM_disk]]*Tarif_disque</f>
        <v>0</v>
      </c>
      <c r="AJ218"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2.52</v>
      </c>
    </row>
    <row r="219" spans="1:36" x14ac:dyDescent="0.25">
      <c r="A219" t="s">
        <v>76</v>
      </c>
      <c r="B219">
        <v>1</v>
      </c>
      <c r="C219">
        <v>1</v>
      </c>
      <c r="D219">
        <v>10</v>
      </c>
      <c r="E219" t="s">
        <v>423</v>
      </c>
      <c r="G219" t="s">
        <v>1275</v>
      </c>
      <c r="H219" t="s">
        <v>1274</v>
      </c>
      <c r="I219" t="s">
        <v>419</v>
      </c>
      <c r="J219" t="s">
        <v>414</v>
      </c>
      <c r="K219" t="s">
        <v>408</v>
      </c>
      <c r="L219" t="s">
        <v>410</v>
      </c>
      <c r="M219" t="s">
        <v>430</v>
      </c>
      <c r="N219" t="s">
        <v>412</v>
      </c>
      <c r="O219">
        <v>10006791</v>
      </c>
      <c r="P219" t="s">
        <v>413</v>
      </c>
      <c r="Q219" s="5">
        <f>VLOOKUP(TabOceanet[VM_name],TabVMEnv[],3,FALSE)</f>
        <v>0</v>
      </c>
      <c r="R219" s="5" t="str">
        <f>IF(VLOOKUP(TabOceanet[VM_name],TabVMEnv[],2,FALSE) = "","Non","")</f>
        <v/>
      </c>
      <c r="S219" s="5">
        <f>IF(TabOceanet[[#This Row],[Type_tarif]]="Tarif_VLAN",1,0)</f>
        <v>0</v>
      </c>
      <c r="T219" s="5">
        <f>TabOceanet[[#This Row],[isCalcVlan]]*TabOceanet[[#This Row],[Nb_article]]*Tarif_VLAN</f>
        <v>0</v>
      </c>
      <c r="U219" s="5">
        <f>IF(TabOceanet[[#This Row],[Type_tarif]]="Tarif_IPPUB",1,0)</f>
        <v>0</v>
      </c>
      <c r="V219" s="5">
        <f>TabOceanet[[#This Row],[isCalcIpPub]]*TabOceanet[[#This Row],[Nb_article]]*Tarif_IPPUB</f>
        <v>0</v>
      </c>
      <c r="W219" s="5">
        <f>IF(TabOceanet[[#This Row],[Type_tarif]]="Tarif_DNS",1,0)</f>
        <v>0</v>
      </c>
      <c r="X219" s="5">
        <f>TabOceanet[[#This Row],[isCalcDns]]*TabOceanet[[#This Row],[Nb_article]]*Tarif_DNS</f>
        <v>0</v>
      </c>
      <c r="Y219" s="5">
        <f>IF(TabOceanet[[#This Row],[Type_tarif]]="Tarif_Certificat_X509_Simple",1,0)</f>
        <v>0</v>
      </c>
      <c r="Z219" s="5">
        <f>TabOceanet[[#This Row],[isCalcCertSimple]]*TabOceanet[[#This Row],[Nb_article]]*Tarif_Certificat_X509_Simple</f>
        <v>0</v>
      </c>
      <c r="AA219" s="5">
        <f>IF(TabOceanet[[#This Row],[Type_tarif]]="Tarif_Certificat_X509_Wildcard",1,0)</f>
        <v>0</v>
      </c>
      <c r="AB219" s="5">
        <f>TabOceanet[[#This Row],[isCalcCertWild]]*TabOceanet[[#This Row],[Nb_article]]*Tarif_Certificat_X509_Wildcard</f>
        <v>0</v>
      </c>
      <c r="AC219" s="5">
        <f>IF(TabOceanet[[#This Row],[Type_tarif]]="Tarif_Astreinte_24_24_7_7",1,0)</f>
        <v>0</v>
      </c>
      <c r="AD219" s="5">
        <f>TabOceanet[[#This Row],[isCalcAstreinte247]]*TabOceanet[[#This Row],[Nb_article]]*Tarif_Astreinte_24_24_7_7</f>
        <v>0</v>
      </c>
      <c r="AE219" s="5">
        <f>IF(TabOceanet[[#This Row],[VM_status]]="PoweredOn",1,0)</f>
        <v>1</v>
      </c>
      <c r="AF219" s="17">
        <f>TabOceanet[[#This Row],[VM_mem]]*Tarif_Ram</f>
        <v>1.6</v>
      </c>
      <c r="AG219" s="5" t="str">
        <f>MID(TabOceanet[[#This Row],[Backup]],29,20)</f>
        <v>J15_2</v>
      </c>
      <c r="AH219" s="25">
        <f>IF(LEFT(TabOceanet[[#This Row],[TypeBAK]],3)="HOR",Tarif_Backup_Horaire*TabOceanet[[#This Row],[VM_disk]],IF(LEFT(TabOceanet[[#This Row],[TypeBAK]],3)="J15",Tarif_Backup_J15*TabOceanet[[#This Row],[VM_disk]],IF(LEFT(TabOceanet[[#This Row],[TypeBAK]],3)="H1_",Tarif_Backup_J15*TabOceanet[[#This Row],[VM_disk]],0)))</f>
        <v>2.3000000000000003</v>
      </c>
      <c r="AI219" s="17">
        <f>TabOceanet[[#This Row],[VM_disk]]*Tarif_disque</f>
        <v>0</v>
      </c>
      <c r="AJ219"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3.9000000000000004</v>
      </c>
    </row>
    <row r="220" spans="1:36" x14ac:dyDescent="0.25">
      <c r="A220" t="s">
        <v>229</v>
      </c>
      <c r="B220">
        <v>0</v>
      </c>
      <c r="C220">
        <v>0</v>
      </c>
      <c r="D220">
        <v>60</v>
      </c>
      <c r="H220" t="s">
        <v>1274</v>
      </c>
      <c r="J220" t="s">
        <v>414</v>
      </c>
      <c r="K220" t="s">
        <v>408</v>
      </c>
      <c r="L220" t="s">
        <v>410</v>
      </c>
      <c r="M220" t="s">
        <v>411</v>
      </c>
      <c r="N220" t="s">
        <v>412</v>
      </c>
      <c r="O220">
        <v>10006791</v>
      </c>
      <c r="P220" t="s">
        <v>413</v>
      </c>
      <c r="Q220" s="5">
        <f>VLOOKUP(TabOceanet[VM_name],TabVMEnv[],3,FALSE)</f>
        <v>0</v>
      </c>
      <c r="R220" s="5" t="str">
        <f>IF(VLOOKUP(TabOceanet[VM_name],TabVMEnv[],2,FALSE) = "","Non","")</f>
        <v/>
      </c>
      <c r="S220" s="5">
        <f>IF(TabOceanet[[#This Row],[Type_tarif]]="Tarif_VLAN",1,0)</f>
        <v>0</v>
      </c>
      <c r="T220" s="5">
        <f>TabOceanet[[#This Row],[isCalcVlan]]*TabOceanet[[#This Row],[Nb_article]]*Tarif_VLAN</f>
        <v>0</v>
      </c>
      <c r="U220" s="5">
        <f>IF(TabOceanet[[#This Row],[Type_tarif]]="Tarif_IPPUB",1,0)</f>
        <v>0</v>
      </c>
      <c r="V220" s="5">
        <f>TabOceanet[[#This Row],[isCalcIpPub]]*TabOceanet[[#This Row],[Nb_article]]*Tarif_IPPUB</f>
        <v>0</v>
      </c>
      <c r="W220" s="5">
        <f>IF(TabOceanet[[#This Row],[Type_tarif]]="Tarif_DNS",1,0)</f>
        <v>0</v>
      </c>
      <c r="X220" s="5">
        <f>TabOceanet[[#This Row],[isCalcDns]]*TabOceanet[[#This Row],[Nb_article]]*Tarif_DNS</f>
        <v>0</v>
      </c>
      <c r="Y220" s="5">
        <f>IF(TabOceanet[[#This Row],[Type_tarif]]="Tarif_Certificat_X509_Simple",1,0)</f>
        <v>0</v>
      </c>
      <c r="Z220" s="5">
        <f>TabOceanet[[#This Row],[isCalcCertSimple]]*TabOceanet[[#This Row],[Nb_article]]*Tarif_Certificat_X509_Simple</f>
        <v>0</v>
      </c>
      <c r="AA220" s="5">
        <f>IF(TabOceanet[[#This Row],[Type_tarif]]="Tarif_Certificat_X509_Wildcard",1,0)</f>
        <v>0</v>
      </c>
      <c r="AB220" s="5">
        <f>TabOceanet[[#This Row],[isCalcCertWild]]*TabOceanet[[#This Row],[Nb_article]]*Tarif_Certificat_X509_Wildcard</f>
        <v>0</v>
      </c>
      <c r="AC220" s="5">
        <f>IF(TabOceanet[[#This Row],[Type_tarif]]="Tarif_Astreinte_24_24_7_7",1,0)</f>
        <v>0</v>
      </c>
      <c r="AD220" s="5">
        <f>TabOceanet[[#This Row],[isCalcAstreinte247]]*TabOceanet[[#This Row],[Nb_article]]*Tarif_Astreinte_24_24_7_7</f>
        <v>0</v>
      </c>
      <c r="AE220" s="5">
        <f>IF(TabOceanet[[#This Row],[VM_status]]="PoweredOn",1,0)</f>
        <v>0</v>
      </c>
      <c r="AF220" s="17">
        <f>TabOceanet[[#This Row],[VM_mem]]*Tarif_Ram</f>
        <v>0</v>
      </c>
      <c r="AG220" s="5" t="str">
        <f>MID(TabOceanet[[#This Row],[Backup]],29,20)</f>
        <v>H1_Ve</v>
      </c>
      <c r="AH220" s="25">
        <f>IF(LEFT(TabOceanet[[#This Row],[TypeBAK]],3)="HOR",Tarif_Backup_Horaire*TabOceanet[[#This Row],[VM_disk]],IF(LEFT(TabOceanet[[#This Row],[TypeBAK]],3)="J15",Tarif_Backup_J15*TabOceanet[[#This Row],[VM_disk]],IF(LEFT(TabOceanet[[#This Row],[TypeBAK]],3)="H1_",Tarif_Backup_J15*TabOceanet[[#This Row],[VM_disk]],0)))</f>
        <v>13.8</v>
      </c>
      <c r="AI220" s="17">
        <f>TabOceanet[[#This Row],[VM_disk]]*Tarif_disque</f>
        <v>0</v>
      </c>
      <c r="AJ220"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13.8</v>
      </c>
    </row>
    <row r="221" spans="1:36" x14ac:dyDescent="0.25">
      <c r="A221" t="s">
        <v>1319</v>
      </c>
      <c r="B221">
        <v>0</v>
      </c>
      <c r="C221">
        <v>0</v>
      </c>
      <c r="D221">
        <v>60</v>
      </c>
      <c r="H221" t="s">
        <v>1274</v>
      </c>
      <c r="K221" t="s">
        <v>408</v>
      </c>
      <c r="L221" t="s">
        <v>410</v>
      </c>
      <c r="M221" t="s">
        <v>420</v>
      </c>
      <c r="N221" t="s">
        <v>412</v>
      </c>
      <c r="O221">
        <v>10006791</v>
      </c>
      <c r="P221" t="s">
        <v>413</v>
      </c>
      <c r="Q221" s="5">
        <f>VLOOKUP(TabOceanet[VM_name],TabVMEnv[],3,FALSE)</f>
        <v>0</v>
      </c>
      <c r="R221" s="5" t="str">
        <f>IF(VLOOKUP(TabOceanet[VM_name],TabVMEnv[],2,FALSE) = "","Non","")</f>
        <v/>
      </c>
      <c r="S221" s="5">
        <f>IF(TabOceanet[[#This Row],[Type_tarif]]="Tarif_VLAN",1,0)</f>
        <v>0</v>
      </c>
      <c r="T221" s="5">
        <f>TabOceanet[[#This Row],[isCalcVlan]]*TabOceanet[[#This Row],[Nb_article]]*Tarif_VLAN</f>
        <v>0</v>
      </c>
      <c r="U221" s="5">
        <f>IF(TabOceanet[[#This Row],[Type_tarif]]="Tarif_IPPUB",1,0)</f>
        <v>0</v>
      </c>
      <c r="V221" s="5">
        <f>TabOceanet[[#This Row],[isCalcIpPub]]*TabOceanet[[#This Row],[Nb_article]]*Tarif_IPPUB</f>
        <v>0</v>
      </c>
      <c r="W221" s="5">
        <f>IF(TabOceanet[[#This Row],[Type_tarif]]="Tarif_DNS",1,0)</f>
        <v>0</v>
      </c>
      <c r="X221" s="5">
        <f>TabOceanet[[#This Row],[isCalcDns]]*TabOceanet[[#This Row],[Nb_article]]*Tarif_DNS</f>
        <v>0</v>
      </c>
      <c r="Y221" s="5">
        <f>IF(TabOceanet[[#This Row],[Type_tarif]]="Tarif_Certificat_X509_Simple",1,0)</f>
        <v>0</v>
      </c>
      <c r="Z221" s="5">
        <f>TabOceanet[[#This Row],[isCalcCertSimple]]*TabOceanet[[#This Row],[Nb_article]]*Tarif_Certificat_X509_Simple</f>
        <v>0</v>
      </c>
      <c r="AA221" s="5">
        <f>IF(TabOceanet[[#This Row],[Type_tarif]]="Tarif_Certificat_X509_Wildcard",1,0)</f>
        <v>0</v>
      </c>
      <c r="AB221" s="5">
        <f>TabOceanet[[#This Row],[isCalcCertWild]]*TabOceanet[[#This Row],[Nb_article]]*Tarif_Certificat_X509_Wildcard</f>
        <v>0</v>
      </c>
      <c r="AC221" s="5">
        <f>IF(TabOceanet[[#This Row],[Type_tarif]]="Tarif_Astreinte_24_24_7_7",1,0)</f>
        <v>0</v>
      </c>
      <c r="AD221" s="5">
        <f>TabOceanet[[#This Row],[isCalcAstreinte247]]*TabOceanet[[#This Row],[Nb_article]]*Tarif_Astreinte_24_24_7_7</f>
        <v>0</v>
      </c>
      <c r="AE221" s="5">
        <f>IF(TabOceanet[[#This Row],[VM_status]]="PoweredOn",1,0)</f>
        <v>0</v>
      </c>
      <c r="AF221" s="17">
        <f>TabOceanet[[#This Row],[VM_mem]]*Tarif_Ram</f>
        <v>0</v>
      </c>
      <c r="AG221" s="5" t="str">
        <f>MID(TabOceanet[[#This Row],[Backup]],29,20)</f>
        <v>J15_3</v>
      </c>
      <c r="AH221" s="25">
        <f>IF(LEFT(TabOceanet[[#This Row],[TypeBAK]],3)="HOR",Tarif_Backup_Horaire*TabOceanet[[#This Row],[VM_disk]],IF(LEFT(TabOceanet[[#This Row],[TypeBAK]],3)="J15",Tarif_Backup_J15*TabOceanet[[#This Row],[VM_disk]],IF(LEFT(TabOceanet[[#This Row],[TypeBAK]],3)="H1_",Tarif_Backup_J15*TabOceanet[[#This Row],[VM_disk]],0)))</f>
        <v>13.8</v>
      </c>
      <c r="AI221" s="17">
        <f>TabOceanet[[#This Row],[VM_disk]]*Tarif_disque</f>
        <v>0</v>
      </c>
      <c r="AJ221"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13.8</v>
      </c>
    </row>
    <row r="222" spans="1:36" x14ac:dyDescent="0.25">
      <c r="A222" t="s">
        <v>1320</v>
      </c>
      <c r="B222">
        <v>0</v>
      </c>
      <c r="C222">
        <v>0</v>
      </c>
      <c r="D222">
        <v>40</v>
      </c>
      <c r="H222" t="s">
        <v>1300</v>
      </c>
      <c r="K222" t="s">
        <v>408</v>
      </c>
      <c r="L222" t="s">
        <v>410</v>
      </c>
      <c r="M222" t="s">
        <v>420</v>
      </c>
      <c r="N222" t="s">
        <v>412</v>
      </c>
      <c r="O222">
        <v>10006791</v>
      </c>
      <c r="P222" t="s">
        <v>413</v>
      </c>
      <c r="Q222" s="5">
        <f>VLOOKUP(TabOceanet[VM_name],TabVMEnv[],3,FALSE)</f>
        <v>0</v>
      </c>
      <c r="R222" s="5" t="str">
        <f>IF(VLOOKUP(TabOceanet[VM_name],TabVMEnv[],2,FALSE) = "","Non","")</f>
        <v/>
      </c>
      <c r="S222" s="5">
        <f>IF(TabOceanet[[#This Row],[Type_tarif]]="Tarif_VLAN",1,0)</f>
        <v>0</v>
      </c>
      <c r="T222" s="5">
        <f>TabOceanet[[#This Row],[isCalcVlan]]*TabOceanet[[#This Row],[Nb_article]]*Tarif_VLAN</f>
        <v>0</v>
      </c>
      <c r="U222" s="5">
        <f>IF(TabOceanet[[#This Row],[Type_tarif]]="Tarif_IPPUB",1,0)</f>
        <v>0</v>
      </c>
      <c r="V222" s="5">
        <f>TabOceanet[[#This Row],[isCalcIpPub]]*TabOceanet[[#This Row],[Nb_article]]*Tarif_IPPUB</f>
        <v>0</v>
      </c>
      <c r="W222" s="5">
        <f>IF(TabOceanet[[#This Row],[Type_tarif]]="Tarif_DNS",1,0)</f>
        <v>0</v>
      </c>
      <c r="X222" s="5">
        <f>TabOceanet[[#This Row],[isCalcDns]]*TabOceanet[[#This Row],[Nb_article]]*Tarif_DNS</f>
        <v>0</v>
      </c>
      <c r="Y222" s="5">
        <f>IF(TabOceanet[[#This Row],[Type_tarif]]="Tarif_Certificat_X509_Simple",1,0)</f>
        <v>0</v>
      </c>
      <c r="Z222" s="5">
        <f>TabOceanet[[#This Row],[isCalcCertSimple]]*TabOceanet[[#This Row],[Nb_article]]*Tarif_Certificat_X509_Simple</f>
        <v>0</v>
      </c>
      <c r="AA222" s="5">
        <f>IF(TabOceanet[[#This Row],[Type_tarif]]="Tarif_Certificat_X509_Wildcard",1,0)</f>
        <v>0</v>
      </c>
      <c r="AB222" s="5">
        <f>TabOceanet[[#This Row],[isCalcCertWild]]*TabOceanet[[#This Row],[Nb_article]]*Tarif_Certificat_X509_Wildcard</f>
        <v>0</v>
      </c>
      <c r="AC222" s="5">
        <f>IF(TabOceanet[[#This Row],[Type_tarif]]="Tarif_Astreinte_24_24_7_7",1,0)</f>
        <v>0</v>
      </c>
      <c r="AD222" s="5">
        <f>TabOceanet[[#This Row],[isCalcAstreinte247]]*TabOceanet[[#This Row],[Nb_article]]*Tarif_Astreinte_24_24_7_7</f>
        <v>0</v>
      </c>
      <c r="AE222" s="5">
        <f>IF(TabOceanet[[#This Row],[VM_status]]="PoweredOn",1,0)</f>
        <v>0</v>
      </c>
      <c r="AF222" s="17">
        <f>TabOceanet[[#This Row],[VM_mem]]*Tarif_Ram</f>
        <v>0</v>
      </c>
      <c r="AG222" s="5" t="str">
        <f>MID(TabOceanet[[#This Row],[Backup]],29,20)</f>
        <v>J15_3</v>
      </c>
      <c r="AH222" s="25">
        <f>IF(LEFT(TabOceanet[[#This Row],[TypeBAK]],3)="HOR",Tarif_Backup_Horaire*TabOceanet[[#This Row],[VM_disk]],IF(LEFT(TabOceanet[[#This Row],[TypeBAK]],3)="J15",Tarif_Backup_J15*TabOceanet[[#This Row],[VM_disk]],IF(LEFT(TabOceanet[[#This Row],[TypeBAK]],3)="H1_",Tarif_Backup_J15*TabOceanet[[#This Row],[VM_disk]],0)))</f>
        <v>9.2000000000000011</v>
      </c>
      <c r="AI222" s="17">
        <f>TabOceanet[[#This Row],[VM_disk]]*Tarif_disque</f>
        <v>0</v>
      </c>
      <c r="AJ222"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9.2000000000000011</v>
      </c>
    </row>
    <row r="223" spans="1:36" x14ac:dyDescent="0.25">
      <c r="A223" t="s">
        <v>1321</v>
      </c>
      <c r="B223">
        <v>0</v>
      </c>
      <c r="C223">
        <v>0</v>
      </c>
      <c r="D223">
        <v>4</v>
      </c>
      <c r="H223" t="s">
        <v>1274</v>
      </c>
      <c r="J223" t="s">
        <v>414</v>
      </c>
      <c r="K223" t="s">
        <v>408</v>
      </c>
      <c r="L223" t="s">
        <v>410</v>
      </c>
      <c r="M223" t="s">
        <v>430</v>
      </c>
      <c r="N223" t="s">
        <v>412</v>
      </c>
      <c r="O223">
        <v>10006791</v>
      </c>
      <c r="P223" t="s">
        <v>413</v>
      </c>
      <c r="Q223" s="5">
        <f>VLOOKUP(TabOceanet[VM_name],TabVMEnv[],3,FALSE)</f>
        <v>0</v>
      </c>
      <c r="R223" s="5" t="str">
        <f>IF(VLOOKUP(TabOceanet[VM_name],TabVMEnv[],2,FALSE) = "","Non","")</f>
        <v/>
      </c>
      <c r="S223" s="5">
        <f>IF(TabOceanet[[#This Row],[Type_tarif]]="Tarif_VLAN",1,0)</f>
        <v>0</v>
      </c>
      <c r="T223" s="5">
        <f>TabOceanet[[#This Row],[isCalcVlan]]*TabOceanet[[#This Row],[Nb_article]]*Tarif_VLAN</f>
        <v>0</v>
      </c>
      <c r="U223" s="5">
        <f>IF(TabOceanet[[#This Row],[Type_tarif]]="Tarif_IPPUB",1,0)</f>
        <v>0</v>
      </c>
      <c r="V223" s="5">
        <f>TabOceanet[[#This Row],[isCalcIpPub]]*TabOceanet[[#This Row],[Nb_article]]*Tarif_IPPUB</f>
        <v>0</v>
      </c>
      <c r="W223" s="5">
        <f>IF(TabOceanet[[#This Row],[Type_tarif]]="Tarif_DNS",1,0)</f>
        <v>0</v>
      </c>
      <c r="X223" s="5">
        <f>TabOceanet[[#This Row],[isCalcDns]]*TabOceanet[[#This Row],[Nb_article]]*Tarif_DNS</f>
        <v>0</v>
      </c>
      <c r="Y223" s="5">
        <f>IF(TabOceanet[[#This Row],[Type_tarif]]="Tarif_Certificat_X509_Simple",1,0)</f>
        <v>0</v>
      </c>
      <c r="Z223" s="5">
        <f>TabOceanet[[#This Row],[isCalcCertSimple]]*TabOceanet[[#This Row],[Nb_article]]*Tarif_Certificat_X509_Simple</f>
        <v>0</v>
      </c>
      <c r="AA223" s="5">
        <f>IF(TabOceanet[[#This Row],[Type_tarif]]="Tarif_Certificat_X509_Wildcard",1,0)</f>
        <v>0</v>
      </c>
      <c r="AB223" s="5">
        <f>TabOceanet[[#This Row],[isCalcCertWild]]*TabOceanet[[#This Row],[Nb_article]]*Tarif_Certificat_X509_Wildcard</f>
        <v>0</v>
      </c>
      <c r="AC223" s="5">
        <f>IF(TabOceanet[[#This Row],[Type_tarif]]="Tarif_Astreinte_24_24_7_7",1,0)</f>
        <v>0</v>
      </c>
      <c r="AD223" s="5">
        <f>TabOceanet[[#This Row],[isCalcAstreinte247]]*TabOceanet[[#This Row],[Nb_article]]*Tarif_Astreinte_24_24_7_7</f>
        <v>0</v>
      </c>
      <c r="AE223" s="5">
        <f>IF(TabOceanet[[#This Row],[VM_status]]="PoweredOn",1,0)</f>
        <v>0</v>
      </c>
      <c r="AF223" s="17">
        <f>TabOceanet[[#This Row],[VM_mem]]*Tarif_Ram</f>
        <v>0</v>
      </c>
      <c r="AG223" s="5" t="str">
        <f>MID(TabOceanet[[#This Row],[Backup]],29,20)</f>
        <v>J15_2</v>
      </c>
      <c r="AH223" s="25">
        <f>IF(LEFT(TabOceanet[[#This Row],[TypeBAK]],3)="HOR",Tarif_Backup_Horaire*TabOceanet[[#This Row],[VM_disk]],IF(LEFT(TabOceanet[[#This Row],[TypeBAK]],3)="J15",Tarif_Backup_J15*TabOceanet[[#This Row],[VM_disk]],IF(LEFT(TabOceanet[[#This Row],[TypeBAK]],3)="H1_",Tarif_Backup_J15*TabOceanet[[#This Row],[VM_disk]],0)))</f>
        <v>0.92</v>
      </c>
      <c r="AI223" s="17">
        <f>TabOceanet[[#This Row],[VM_disk]]*Tarif_disque</f>
        <v>0</v>
      </c>
      <c r="AJ223"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0.92</v>
      </c>
    </row>
    <row r="224" spans="1:36" hidden="1" x14ac:dyDescent="0.25">
      <c r="A224" t="s">
        <v>213</v>
      </c>
      <c r="F224">
        <v>1</v>
      </c>
      <c r="K224" t="s">
        <v>403</v>
      </c>
      <c r="O224">
        <v>10006791</v>
      </c>
      <c r="P224" t="s">
        <v>445</v>
      </c>
      <c r="Q224">
        <f>VLOOKUP(TabOceanet[VM_name],TabVMEnv[],3,FALSE)</f>
        <v>0</v>
      </c>
      <c r="R224" s="5" t="str">
        <f>IF(VLOOKUP(TabOceanet[VM_name],TabVMEnv[],2,FALSE) = "","Non","")</f>
        <v/>
      </c>
      <c r="S224" s="5">
        <f>IF(TabOceanet[[#This Row],[Type_tarif]]="Tarif_VLAN",1,0)</f>
        <v>1</v>
      </c>
      <c r="T224" s="5">
        <f>TabOceanet[[#This Row],[isCalcVlan]]*TabOceanet[[#This Row],[Nb_article]]*Tarif_VLAN</f>
        <v>10</v>
      </c>
      <c r="U224" s="5">
        <f>IF(TabOceanet[[#This Row],[Type_tarif]]="Tarif_IPPUB",1,0)</f>
        <v>0</v>
      </c>
      <c r="V224" s="5">
        <f>TabOceanet[[#This Row],[isCalcIpPub]]*TabOceanet[[#This Row],[Nb_article]]*Tarif_IPPUB</f>
        <v>0</v>
      </c>
      <c r="W224" s="5">
        <f>IF(TabOceanet[[#This Row],[Type_tarif]]="Tarif_DNS",1,0)</f>
        <v>0</v>
      </c>
      <c r="X224" s="5">
        <f>TabOceanet[[#This Row],[isCalcDns]]*TabOceanet[[#This Row],[Nb_article]]*Tarif_DNS</f>
        <v>0</v>
      </c>
      <c r="Y224" s="5">
        <f>IF(TabOceanet[[#This Row],[Type_tarif]]="Tarif_Certificat_X509_Simple",1,0)</f>
        <v>0</v>
      </c>
      <c r="Z224" s="5">
        <f>TabOceanet[[#This Row],[isCalcCertSimple]]*TabOceanet[[#This Row],[Nb_article]]*Tarif_Certificat_X509_Simple</f>
        <v>0</v>
      </c>
      <c r="AA224" s="5">
        <f>IF(TabOceanet[[#This Row],[Type_tarif]]="Tarif_Certificat_X509_Wildcard",1,0)</f>
        <v>0</v>
      </c>
      <c r="AB224" s="5">
        <f>TabOceanet[[#This Row],[isCalcCertWild]]*TabOceanet[[#This Row],[Nb_article]]*Tarif_Certificat_X509_Wildcard</f>
        <v>0</v>
      </c>
      <c r="AC224" s="5">
        <f>IF(TabOceanet[[#This Row],[Type_tarif]]="Tarif_Astreinte_24_24_7_7",1,0)</f>
        <v>0</v>
      </c>
      <c r="AD224" s="5">
        <f>TabOceanet[[#This Row],[isCalcAstreinte247]]*TabOceanet[[#This Row],[Nb_article]]*Tarif_Astreinte_24_24_7_7</f>
        <v>0</v>
      </c>
      <c r="AE224" s="5">
        <f>IF(TabOceanet[[#This Row],[VM_status]]="PoweredOn",1,0)</f>
        <v>0</v>
      </c>
      <c r="AF224" s="17">
        <f>TabOceanet[[#This Row],[VM_mem]]*Tarif_Ram</f>
        <v>0</v>
      </c>
      <c r="AG224" s="5" t="str">
        <f>MID(TabOceanet[[#This Row],[Backup]],29,20)</f>
        <v/>
      </c>
      <c r="AH224" s="17">
        <f>IF(LEFT(TabOceanet[[#This Row],[TypeBAK]],3)="HOR",Tarif_Backup_Horaire*TabOceanet[[#This Row],[VM_disk]],IF(LEFT(TabOceanet[[#This Row],[TypeBAK]],3)="J15",Tarif_Backup_J15*TabOceanet[[#This Row],[VM_disk]],IF(LEFT(TabOceanet[[#This Row],[TypeBAK]],3)="H1_",Tarif_Backup_J15*TabOceanet[[#This Row],[VM_disk]],0)))</f>
        <v>0</v>
      </c>
      <c r="AI224" s="17">
        <f>TabOceanet[[#This Row],[VM_disk]]*Tarif_disque</f>
        <v>0</v>
      </c>
      <c r="AJ224"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v>
      </c>
    </row>
    <row r="225" spans="1:36" hidden="1" x14ac:dyDescent="0.25">
      <c r="A225" t="s">
        <v>170</v>
      </c>
      <c r="F225">
        <v>1</v>
      </c>
      <c r="K225" t="s">
        <v>408</v>
      </c>
      <c r="O225">
        <v>10006791</v>
      </c>
      <c r="P225" t="s">
        <v>445</v>
      </c>
      <c r="Q225">
        <f>VLOOKUP(TabOceanet[VM_name],TabVMEnv[],3,FALSE)</f>
        <v>0</v>
      </c>
      <c r="R225" s="5" t="str">
        <f>IF(VLOOKUP(TabOceanet[VM_name],TabVMEnv[],2,FALSE) = "","Non","")</f>
        <v/>
      </c>
      <c r="S225" s="5">
        <f>IF(TabOceanet[[#This Row],[Type_tarif]]="Tarif_VLAN",1,0)</f>
        <v>1</v>
      </c>
      <c r="T225" s="5">
        <f>TabOceanet[[#This Row],[isCalcVlan]]*TabOceanet[[#This Row],[Nb_article]]*Tarif_VLAN</f>
        <v>10</v>
      </c>
      <c r="U225" s="5">
        <f>IF(TabOceanet[[#This Row],[Type_tarif]]="Tarif_IPPUB",1,0)</f>
        <v>0</v>
      </c>
      <c r="V225" s="5">
        <f>TabOceanet[[#This Row],[isCalcIpPub]]*TabOceanet[[#This Row],[Nb_article]]*Tarif_IPPUB</f>
        <v>0</v>
      </c>
      <c r="W225" s="5">
        <f>IF(TabOceanet[[#This Row],[Type_tarif]]="Tarif_DNS",1,0)</f>
        <v>0</v>
      </c>
      <c r="X225" s="5">
        <f>TabOceanet[[#This Row],[isCalcDns]]*TabOceanet[[#This Row],[Nb_article]]*Tarif_DNS</f>
        <v>0</v>
      </c>
      <c r="Y225" s="5">
        <f>IF(TabOceanet[[#This Row],[Type_tarif]]="Tarif_Certificat_X509_Simple",1,0)</f>
        <v>0</v>
      </c>
      <c r="Z225" s="5">
        <f>TabOceanet[[#This Row],[isCalcCertSimple]]*TabOceanet[[#This Row],[Nb_article]]*Tarif_Certificat_X509_Simple</f>
        <v>0</v>
      </c>
      <c r="AA225" s="5">
        <f>IF(TabOceanet[[#This Row],[Type_tarif]]="Tarif_Certificat_X509_Wildcard",1,0)</f>
        <v>0</v>
      </c>
      <c r="AB225" s="5">
        <f>TabOceanet[[#This Row],[isCalcCertWild]]*TabOceanet[[#This Row],[Nb_article]]*Tarif_Certificat_X509_Wildcard</f>
        <v>0</v>
      </c>
      <c r="AC225" s="5">
        <f>IF(TabOceanet[[#This Row],[Type_tarif]]="Tarif_Astreinte_24_24_7_7",1,0)</f>
        <v>0</v>
      </c>
      <c r="AD225" s="5">
        <f>TabOceanet[[#This Row],[isCalcAstreinte247]]*TabOceanet[[#This Row],[Nb_article]]*Tarif_Astreinte_24_24_7_7</f>
        <v>0</v>
      </c>
      <c r="AE225" s="5">
        <f>IF(TabOceanet[[#This Row],[VM_status]]="PoweredOn",1,0)</f>
        <v>0</v>
      </c>
      <c r="AF225" s="17">
        <f>TabOceanet[[#This Row],[VM_mem]]*Tarif_Ram</f>
        <v>0</v>
      </c>
      <c r="AG225" s="5" t="str">
        <f>MID(TabOceanet[[#This Row],[Backup]],29,20)</f>
        <v/>
      </c>
      <c r="AH225" s="17">
        <f>IF(LEFT(TabOceanet[[#This Row],[TypeBAK]],3)="HOR",Tarif_Backup_Horaire*TabOceanet[[#This Row],[VM_disk]],IF(LEFT(TabOceanet[[#This Row],[TypeBAK]],3)="J15",Tarif_Backup_J15*TabOceanet[[#This Row],[VM_disk]],IF(LEFT(TabOceanet[[#This Row],[TypeBAK]],3)="H1_",Tarif_Backup_J15*TabOceanet[[#This Row],[VM_disk]],0)))</f>
        <v>0</v>
      </c>
      <c r="AI225" s="17">
        <f>TabOceanet[[#This Row],[VM_disk]]*Tarif_disque</f>
        <v>0</v>
      </c>
      <c r="AJ225"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v>
      </c>
    </row>
    <row r="226" spans="1:36" hidden="1" x14ac:dyDescent="0.25">
      <c r="A226" t="s">
        <v>171</v>
      </c>
      <c r="F226">
        <v>1</v>
      </c>
      <c r="K226" t="s">
        <v>408</v>
      </c>
      <c r="O226">
        <v>10006791</v>
      </c>
      <c r="P226" t="s">
        <v>445</v>
      </c>
      <c r="Q226">
        <f>VLOOKUP(TabOceanet[VM_name],TabVMEnv[],3,FALSE)</f>
        <v>0</v>
      </c>
      <c r="R226" s="5" t="str">
        <f>IF(VLOOKUP(TabOceanet[VM_name],TabVMEnv[],2,FALSE) = "","Non","")</f>
        <v/>
      </c>
      <c r="S226" s="5">
        <f>IF(TabOceanet[[#This Row],[Type_tarif]]="Tarif_VLAN",1,0)</f>
        <v>1</v>
      </c>
      <c r="T226" s="5">
        <f>TabOceanet[[#This Row],[isCalcVlan]]*TabOceanet[[#This Row],[Nb_article]]*Tarif_VLAN</f>
        <v>10</v>
      </c>
      <c r="U226" s="5">
        <f>IF(TabOceanet[[#This Row],[Type_tarif]]="Tarif_IPPUB",1,0)</f>
        <v>0</v>
      </c>
      <c r="V226" s="5">
        <f>TabOceanet[[#This Row],[isCalcIpPub]]*TabOceanet[[#This Row],[Nb_article]]*Tarif_IPPUB</f>
        <v>0</v>
      </c>
      <c r="W226" s="5">
        <f>IF(TabOceanet[[#This Row],[Type_tarif]]="Tarif_DNS",1,0)</f>
        <v>0</v>
      </c>
      <c r="X226" s="5">
        <f>TabOceanet[[#This Row],[isCalcDns]]*TabOceanet[[#This Row],[Nb_article]]*Tarif_DNS</f>
        <v>0</v>
      </c>
      <c r="Y226" s="5">
        <f>IF(TabOceanet[[#This Row],[Type_tarif]]="Tarif_Certificat_X509_Simple",1,0)</f>
        <v>0</v>
      </c>
      <c r="Z226" s="5">
        <f>TabOceanet[[#This Row],[isCalcCertSimple]]*TabOceanet[[#This Row],[Nb_article]]*Tarif_Certificat_X509_Simple</f>
        <v>0</v>
      </c>
      <c r="AA226" s="5">
        <f>IF(TabOceanet[[#This Row],[Type_tarif]]="Tarif_Certificat_X509_Wildcard",1,0)</f>
        <v>0</v>
      </c>
      <c r="AB226" s="5">
        <f>TabOceanet[[#This Row],[isCalcCertWild]]*TabOceanet[[#This Row],[Nb_article]]*Tarif_Certificat_X509_Wildcard</f>
        <v>0</v>
      </c>
      <c r="AC226" s="5">
        <f>IF(TabOceanet[[#This Row],[Type_tarif]]="Tarif_Astreinte_24_24_7_7",1,0)</f>
        <v>0</v>
      </c>
      <c r="AD226" s="5">
        <f>TabOceanet[[#This Row],[isCalcAstreinte247]]*TabOceanet[[#This Row],[Nb_article]]*Tarif_Astreinte_24_24_7_7</f>
        <v>0</v>
      </c>
      <c r="AE226" s="5">
        <f>IF(TabOceanet[[#This Row],[VM_status]]="PoweredOn",1,0)</f>
        <v>0</v>
      </c>
      <c r="AF226" s="17">
        <f>TabOceanet[[#This Row],[VM_mem]]*Tarif_Ram</f>
        <v>0</v>
      </c>
      <c r="AG226" s="5" t="str">
        <f>MID(TabOceanet[[#This Row],[Backup]],29,20)</f>
        <v/>
      </c>
      <c r="AH226" s="17">
        <f>IF(LEFT(TabOceanet[[#This Row],[TypeBAK]],3)="HOR",Tarif_Backup_Horaire*TabOceanet[[#This Row],[VM_disk]],IF(LEFT(TabOceanet[[#This Row],[TypeBAK]],3)="J15",Tarif_Backup_J15*TabOceanet[[#This Row],[VM_disk]],IF(LEFT(TabOceanet[[#This Row],[TypeBAK]],3)="H1_",Tarif_Backup_J15*TabOceanet[[#This Row],[VM_disk]],0)))</f>
        <v>0</v>
      </c>
      <c r="AI226" s="17">
        <f>TabOceanet[[#This Row],[VM_disk]]*Tarif_disque</f>
        <v>0</v>
      </c>
      <c r="AJ226"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v>
      </c>
    </row>
    <row r="227" spans="1:36" hidden="1" x14ac:dyDescent="0.25">
      <c r="A227" t="s">
        <v>172</v>
      </c>
      <c r="F227">
        <v>1</v>
      </c>
      <c r="K227" t="s">
        <v>408</v>
      </c>
      <c r="O227">
        <v>10006791</v>
      </c>
      <c r="P227" t="s">
        <v>445</v>
      </c>
      <c r="Q227">
        <f>VLOOKUP(TabOceanet[VM_name],TabVMEnv[],3,FALSE)</f>
        <v>0</v>
      </c>
      <c r="R227" s="5" t="str">
        <f>IF(VLOOKUP(TabOceanet[VM_name],TabVMEnv[],2,FALSE) = "","Non","")</f>
        <v/>
      </c>
      <c r="S227" s="5">
        <f>IF(TabOceanet[[#This Row],[Type_tarif]]="Tarif_VLAN",1,0)</f>
        <v>1</v>
      </c>
      <c r="T227" s="5">
        <f>TabOceanet[[#This Row],[isCalcVlan]]*TabOceanet[[#This Row],[Nb_article]]*Tarif_VLAN</f>
        <v>10</v>
      </c>
      <c r="U227" s="5">
        <f>IF(TabOceanet[[#This Row],[Type_tarif]]="Tarif_IPPUB",1,0)</f>
        <v>0</v>
      </c>
      <c r="V227" s="5">
        <f>TabOceanet[[#This Row],[isCalcIpPub]]*TabOceanet[[#This Row],[Nb_article]]*Tarif_IPPUB</f>
        <v>0</v>
      </c>
      <c r="W227" s="5">
        <f>IF(TabOceanet[[#This Row],[Type_tarif]]="Tarif_DNS",1,0)</f>
        <v>0</v>
      </c>
      <c r="X227" s="5">
        <f>TabOceanet[[#This Row],[isCalcDns]]*TabOceanet[[#This Row],[Nb_article]]*Tarif_DNS</f>
        <v>0</v>
      </c>
      <c r="Y227" s="5">
        <f>IF(TabOceanet[[#This Row],[Type_tarif]]="Tarif_Certificat_X509_Simple",1,0)</f>
        <v>0</v>
      </c>
      <c r="Z227" s="5">
        <f>TabOceanet[[#This Row],[isCalcCertSimple]]*TabOceanet[[#This Row],[Nb_article]]*Tarif_Certificat_X509_Simple</f>
        <v>0</v>
      </c>
      <c r="AA227" s="5">
        <f>IF(TabOceanet[[#This Row],[Type_tarif]]="Tarif_Certificat_X509_Wildcard",1,0)</f>
        <v>0</v>
      </c>
      <c r="AB227" s="5">
        <f>TabOceanet[[#This Row],[isCalcCertWild]]*TabOceanet[[#This Row],[Nb_article]]*Tarif_Certificat_X509_Wildcard</f>
        <v>0</v>
      </c>
      <c r="AC227" s="5">
        <f>IF(TabOceanet[[#This Row],[Type_tarif]]="Tarif_Astreinte_24_24_7_7",1,0)</f>
        <v>0</v>
      </c>
      <c r="AD227" s="5">
        <f>TabOceanet[[#This Row],[isCalcAstreinte247]]*TabOceanet[[#This Row],[Nb_article]]*Tarif_Astreinte_24_24_7_7</f>
        <v>0</v>
      </c>
      <c r="AE227" s="5">
        <f>IF(TabOceanet[[#This Row],[VM_status]]="PoweredOn",1,0)</f>
        <v>0</v>
      </c>
      <c r="AF227" s="17">
        <f>TabOceanet[[#This Row],[VM_mem]]*Tarif_Ram</f>
        <v>0</v>
      </c>
      <c r="AG227" s="5" t="str">
        <f>MID(TabOceanet[[#This Row],[Backup]],29,20)</f>
        <v/>
      </c>
      <c r="AH227" s="17">
        <f>IF(LEFT(TabOceanet[[#This Row],[TypeBAK]],3)="HOR",Tarif_Backup_Horaire*TabOceanet[[#This Row],[VM_disk]],IF(LEFT(TabOceanet[[#This Row],[TypeBAK]],3)="J15",Tarif_Backup_J15*TabOceanet[[#This Row],[VM_disk]],IF(LEFT(TabOceanet[[#This Row],[TypeBAK]],3)="H1_",Tarif_Backup_J15*TabOceanet[[#This Row],[VM_disk]],0)))</f>
        <v>0</v>
      </c>
      <c r="AI227" s="17">
        <f>TabOceanet[[#This Row],[VM_disk]]*Tarif_disque</f>
        <v>0</v>
      </c>
      <c r="AJ227"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v>
      </c>
    </row>
    <row r="228" spans="1:36" hidden="1" x14ac:dyDescent="0.25">
      <c r="A228" t="s">
        <v>173</v>
      </c>
      <c r="F228">
        <v>1</v>
      </c>
      <c r="K228" t="s">
        <v>408</v>
      </c>
      <c r="O228">
        <v>10006791</v>
      </c>
      <c r="P228" t="s">
        <v>445</v>
      </c>
      <c r="Q228">
        <f>VLOOKUP(TabOceanet[VM_name],TabVMEnv[],3,FALSE)</f>
        <v>0</v>
      </c>
      <c r="R228" s="5" t="str">
        <f>IF(VLOOKUP(TabOceanet[VM_name],TabVMEnv[],2,FALSE) = "","Non","")</f>
        <v/>
      </c>
      <c r="S228" s="5">
        <f>IF(TabOceanet[[#This Row],[Type_tarif]]="Tarif_VLAN",1,0)</f>
        <v>1</v>
      </c>
      <c r="T228" s="5">
        <f>TabOceanet[[#This Row],[isCalcVlan]]*TabOceanet[[#This Row],[Nb_article]]*Tarif_VLAN</f>
        <v>10</v>
      </c>
      <c r="U228" s="5">
        <f>IF(TabOceanet[[#This Row],[Type_tarif]]="Tarif_IPPUB",1,0)</f>
        <v>0</v>
      </c>
      <c r="V228" s="5">
        <f>TabOceanet[[#This Row],[isCalcIpPub]]*TabOceanet[[#This Row],[Nb_article]]*Tarif_IPPUB</f>
        <v>0</v>
      </c>
      <c r="W228" s="5">
        <f>IF(TabOceanet[[#This Row],[Type_tarif]]="Tarif_DNS",1,0)</f>
        <v>0</v>
      </c>
      <c r="X228" s="5">
        <f>TabOceanet[[#This Row],[isCalcDns]]*TabOceanet[[#This Row],[Nb_article]]*Tarif_DNS</f>
        <v>0</v>
      </c>
      <c r="Y228" s="5">
        <f>IF(TabOceanet[[#This Row],[Type_tarif]]="Tarif_Certificat_X509_Simple",1,0)</f>
        <v>0</v>
      </c>
      <c r="Z228" s="5">
        <f>TabOceanet[[#This Row],[isCalcCertSimple]]*TabOceanet[[#This Row],[Nb_article]]*Tarif_Certificat_X509_Simple</f>
        <v>0</v>
      </c>
      <c r="AA228" s="5">
        <f>IF(TabOceanet[[#This Row],[Type_tarif]]="Tarif_Certificat_X509_Wildcard",1,0)</f>
        <v>0</v>
      </c>
      <c r="AB228" s="5">
        <f>TabOceanet[[#This Row],[isCalcCertWild]]*TabOceanet[[#This Row],[Nb_article]]*Tarif_Certificat_X509_Wildcard</f>
        <v>0</v>
      </c>
      <c r="AC228" s="5">
        <f>IF(TabOceanet[[#This Row],[Type_tarif]]="Tarif_Astreinte_24_24_7_7",1,0)</f>
        <v>0</v>
      </c>
      <c r="AD228" s="5">
        <f>TabOceanet[[#This Row],[isCalcAstreinte247]]*TabOceanet[[#This Row],[Nb_article]]*Tarif_Astreinte_24_24_7_7</f>
        <v>0</v>
      </c>
      <c r="AE228" s="5">
        <f>IF(TabOceanet[[#This Row],[VM_status]]="PoweredOn",1,0)</f>
        <v>0</v>
      </c>
      <c r="AF228" s="17">
        <f>TabOceanet[[#This Row],[VM_mem]]*Tarif_Ram</f>
        <v>0</v>
      </c>
      <c r="AG228" s="5" t="str">
        <f>MID(TabOceanet[[#This Row],[Backup]],29,20)</f>
        <v/>
      </c>
      <c r="AH228" s="17">
        <f>IF(LEFT(TabOceanet[[#This Row],[TypeBAK]],3)="HOR",Tarif_Backup_Horaire*TabOceanet[[#This Row],[VM_disk]],IF(LEFT(TabOceanet[[#This Row],[TypeBAK]],3)="J15",Tarif_Backup_J15*TabOceanet[[#This Row],[VM_disk]],IF(LEFT(TabOceanet[[#This Row],[TypeBAK]],3)="H1_",Tarif_Backup_J15*TabOceanet[[#This Row],[VM_disk]],0)))</f>
        <v>0</v>
      </c>
      <c r="AI228" s="17">
        <f>TabOceanet[[#This Row],[VM_disk]]*Tarif_disque</f>
        <v>0</v>
      </c>
      <c r="AJ228"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v>
      </c>
    </row>
    <row r="229" spans="1:36" hidden="1" x14ac:dyDescent="0.25">
      <c r="A229" t="s">
        <v>174</v>
      </c>
      <c r="F229">
        <v>1</v>
      </c>
      <c r="K229" t="s">
        <v>408</v>
      </c>
      <c r="O229">
        <v>10006791</v>
      </c>
      <c r="P229" t="s">
        <v>445</v>
      </c>
      <c r="Q229">
        <f>VLOOKUP(TabOceanet[VM_name],TabVMEnv[],3,FALSE)</f>
        <v>0</v>
      </c>
      <c r="R229" s="5" t="str">
        <f>IF(VLOOKUP(TabOceanet[VM_name],TabVMEnv[],2,FALSE) = "","Non","")</f>
        <v/>
      </c>
      <c r="S229" s="5">
        <f>IF(TabOceanet[[#This Row],[Type_tarif]]="Tarif_VLAN",1,0)</f>
        <v>1</v>
      </c>
      <c r="T229" s="5">
        <f>TabOceanet[[#This Row],[isCalcVlan]]*TabOceanet[[#This Row],[Nb_article]]*Tarif_VLAN</f>
        <v>10</v>
      </c>
      <c r="U229" s="5">
        <f>IF(TabOceanet[[#This Row],[Type_tarif]]="Tarif_IPPUB",1,0)</f>
        <v>0</v>
      </c>
      <c r="V229" s="5">
        <f>TabOceanet[[#This Row],[isCalcIpPub]]*TabOceanet[[#This Row],[Nb_article]]*Tarif_IPPUB</f>
        <v>0</v>
      </c>
      <c r="W229" s="5">
        <f>IF(TabOceanet[[#This Row],[Type_tarif]]="Tarif_DNS",1,0)</f>
        <v>0</v>
      </c>
      <c r="X229" s="5">
        <f>TabOceanet[[#This Row],[isCalcDns]]*TabOceanet[[#This Row],[Nb_article]]*Tarif_DNS</f>
        <v>0</v>
      </c>
      <c r="Y229" s="5">
        <f>IF(TabOceanet[[#This Row],[Type_tarif]]="Tarif_Certificat_X509_Simple",1,0)</f>
        <v>0</v>
      </c>
      <c r="Z229" s="5">
        <f>TabOceanet[[#This Row],[isCalcCertSimple]]*TabOceanet[[#This Row],[Nb_article]]*Tarif_Certificat_X509_Simple</f>
        <v>0</v>
      </c>
      <c r="AA229" s="5">
        <f>IF(TabOceanet[[#This Row],[Type_tarif]]="Tarif_Certificat_X509_Wildcard",1,0)</f>
        <v>0</v>
      </c>
      <c r="AB229" s="5">
        <f>TabOceanet[[#This Row],[isCalcCertWild]]*TabOceanet[[#This Row],[Nb_article]]*Tarif_Certificat_X509_Wildcard</f>
        <v>0</v>
      </c>
      <c r="AC229" s="5">
        <f>IF(TabOceanet[[#This Row],[Type_tarif]]="Tarif_Astreinte_24_24_7_7",1,0)</f>
        <v>0</v>
      </c>
      <c r="AD229" s="5">
        <f>TabOceanet[[#This Row],[isCalcAstreinte247]]*TabOceanet[[#This Row],[Nb_article]]*Tarif_Astreinte_24_24_7_7</f>
        <v>0</v>
      </c>
      <c r="AE229" s="5">
        <f>IF(TabOceanet[[#This Row],[VM_status]]="PoweredOn",1,0)</f>
        <v>0</v>
      </c>
      <c r="AF229" s="17">
        <f>TabOceanet[[#This Row],[VM_mem]]*Tarif_Ram</f>
        <v>0</v>
      </c>
      <c r="AG229" s="5" t="str">
        <f>MID(TabOceanet[[#This Row],[Backup]],29,20)</f>
        <v/>
      </c>
      <c r="AH229" s="17">
        <f>IF(LEFT(TabOceanet[[#This Row],[TypeBAK]],3)="HOR",Tarif_Backup_Horaire*TabOceanet[[#This Row],[VM_disk]],IF(LEFT(TabOceanet[[#This Row],[TypeBAK]],3)="J15",Tarif_Backup_J15*TabOceanet[[#This Row],[VM_disk]],IF(LEFT(TabOceanet[[#This Row],[TypeBAK]],3)="H1_",Tarif_Backup_J15*TabOceanet[[#This Row],[VM_disk]],0)))</f>
        <v>0</v>
      </c>
      <c r="AI229" s="17">
        <f>TabOceanet[[#This Row],[VM_disk]]*Tarif_disque</f>
        <v>0</v>
      </c>
      <c r="AJ229"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v>
      </c>
    </row>
    <row r="230" spans="1:36" hidden="1" x14ac:dyDescent="0.25">
      <c r="A230" t="s">
        <v>175</v>
      </c>
      <c r="F230">
        <v>1</v>
      </c>
      <c r="K230" t="s">
        <v>408</v>
      </c>
      <c r="O230">
        <v>10006791</v>
      </c>
      <c r="P230" t="s">
        <v>445</v>
      </c>
      <c r="Q230">
        <f>VLOOKUP(TabOceanet[VM_name],TabVMEnv[],3,FALSE)</f>
        <v>0</v>
      </c>
      <c r="R230" s="5" t="str">
        <f>IF(VLOOKUP(TabOceanet[VM_name],TabVMEnv[],2,FALSE) = "","Non","")</f>
        <v/>
      </c>
      <c r="S230" s="5">
        <f>IF(TabOceanet[[#This Row],[Type_tarif]]="Tarif_VLAN",1,0)</f>
        <v>1</v>
      </c>
      <c r="T230" s="5">
        <f>TabOceanet[[#This Row],[isCalcVlan]]*TabOceanet[[#This Row],[Nb_article]]*Tarif_VLAN</f>
        <v>10</v>
      </c>
      <c r="U230" s="5">
        <f>IF(TabOceanet[[#This Row],[Type_tarif]]="Tarif_IPPUB",1,0)</f>
        <v>0</v>
      </c>
      <c r="V230" s="5">
        <f>TabOceanet[[#This Row],[isCalcIpPub]]*TabOceanet[[#This Row],[Nb_article]]*Tarif_IPPUB</f>
        <v>0</v>
      </c>
      <c r="W230" s="5">
        <f>IF(TabOceanet[[#This Row],[Type_tarif]]="Tarif_DNS",1,0)</f>
        <v>0</v>
      </c>
      <c r="X230" s="5">
        <f>TabOceanet[[#This Row],[isCalcDns]]*TabOceanet[[#This Row],[Nb_article]]*Tarif_DNS</f>
        <v>0</v>
      </c>
      <c r="Y230" s="5">
        <f>IF(TabOceanet[[#This Row],[Type_tarif]]="Tarif_Certificat_X509_Simple",1,0)</f>
        <v>0</v>
      </c>
      <c r="Z230" s="5">
        <f>TabOceanet[[#This Row],[isCalcCertSimple]]*TabOceanet[[#This Row],[Nb_article]]*Tarif_Certificat_X509_Simple</f>
        <v>0</v>
      </c>
      <c r="AA230" s="5">
        <f>IF(TabOceanet[[#This Row],[Type_tarif]]="Tarif_Certificat_X509_Wildcard",1,0)</f>
        <v>0</v>
      </c>
      <c r="AB230" s="5">
        <f>TabOceanet[[#This Row],[isCalcCertWild]]*TabOceanet[[#This Row],[Nb_article]]*Tarif_Certificat_X509_Wildcard</f>
        <v>0</v>
      </c>
      <c r="AC230" s="5">
        <f>IF(TabOceanet[[#This Row],[Type_tarif]]="Tarif_Astreinte_24_24_7_7",1,0)</f>
        <v>0</v>
      </c>
      <c r="AD230" s="5">
        <f>TabOceanet[[#This Row],[isCalcAstreinte247]]*TabOceanet[[#This Row],[Nb_article]]*Tarif_Astreinte_24_24_7_7</f>
        <v>0</v>
      </c>
      <c r="AE230" s="5">
        <f>IF(TabOceanet[[#This Row],[VM_status]]="PoweredOn",1,0)</f>
        <v>0</v>
      </c>
      <c r="AF230" s="17">
        <f>TabOceanet[[#This Row],[VM_mem]]*Tarif_Ram</f>
        <v>0</v>
      </c>
      <c r="AG230" s="5" t="str">
        <f>MID(TabOceanet[[#This Row],[Backup]],29,20)</f>
        <v/>
      </c>
      <c r="AH230" s="17">
        <f>IF(LEFT(TabOceanet[[#This Row],[TypeBAK]],3)="HOR",Tarif_Backup_Horaire*TabOceanet[[#This Row],[VM_disk]],IF(LEFT(TabOceanet[[#This Row],[TypeBAK]],3)="J15",Tarif_Backup_J15*TabOceanet[[#This Row],[VM_disk]],IF(LEFT(TabOceanet[[#This Row],[TypeBAK]],3)="H1_",Tarif_Backup_J15*TabOceanet[[#This Row],[VM_disk]],0)))</f>
        <v>0</v>
      </c>
      <c r="AI230" s="17">
        <f>TabOceanet[[#This Row],[VM_disk]]*Tarif_disque</f>
        <v>0</v>
      </c>
      <c r="AJ230"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v>
      </c>
    </row>
    <row r="231" spans="1:36" hidden="1" x14ac:dyDescent="0.25">
      <c r="A231" t="s">
        <v>176</v>
      </c>
      <c r="F231">
        <v>1</v>
      </c>
      <c r="K231" t="s">
        <v>408</v>
      </c>
      <c r="O231">
        <v>10006791</v>
      </c>
      <c r="P231" t="s">
        <v>445</v>
      </c>
      <c r="Q231">
        <f>VLOOKUP(TabOceanet[VM_name],TabVMEnv[],3,FALSE)</f>
        <v>0</v>
      </c>
      <c r="R231" s="5" t="str">
        <f>IF(VLOOKUP(TabOceanet[VM_name],TabVMEnv[],2,FALSE) = "","Non","")</f>
        <v/>
      </c>
      <c r="S231" s="5">
        <f>IF(TabOceanet[[#This Row],[Type_tarif]]="Tarif_VLAN",1,0)</f>
        <v>1</v>
      </c>
      <c r="T231" s="5">
        <f>TabOceanet[[#This Row],[isCalcVlan]]*TabOceanet[[#This Row],[Nb_article]]*Tarif_VLAN</f>
        <v>10</v>
      </c>
      <c r="U231" s="5">
        <f>IF(TabOceanet[[#This Row],[Type_tarif]]="Tarif_IPPUB",1,0)</f>
        <v>0</v>
      </c>
      <c r="V231" s="5">
        <f>TabOceanet[[#This Row],[isCalcIpPub]]*TabOceanet[[#This Row],[Nb_article]]*Tarif_IPPUB</f>
        <v>0</v>
      </c>
      <c r="W231" s="5">
        <f>IF(TabOceanet[[#This Row],[Type_tarif]]="Tarif_DNS",1,0)</f>
        <v>0</v>
      </c>
      <c r="X231" s="5">
        <f>TabOceanet[[#This Row],[isCalcDns]]*TabOceanet[[#This Row],[Nb_article]]*Tarif_DNS</f>
        <v>0</v>
      </c>
      <c r="Y231" s="5">
        <f>IF(TabOceanet[[#This Row],[Type_tarif]]="Tarif_Certificat_X509_Simple",1,0)</f>
        <v>0</v>
      </c>
      <c r="Z231" s="5">
        <f>TabOceanet[[#This Row],[isCalcCertSimple]]*TabOceanet[[#This Row],[Nb_article]]*Tarif_Certificat_X509_Simple</f>
        <v>0</v>
      </c>
      <c r="AA231" s="5">
        <f>IF(TabOceanet[[#This Row],[Type_tarif]]="Tarif_Certificat_X509_Wildcard",1,0)</f>
        <v>0</v>
      </c>
      <c r="AB231" s="5">
        <f>TabOceanet[[#This Row],[isCalcCertWild]]*TabOceanet[[#This Row],[Nb_article]]*Tarif_Certificat_X509_Wildcard</f>
        <v>0</v>
      </c>
      <c r="AC231" s="5">
        <f>IF(TabOceanet[[#This Row],[Type_tarif]]="Tarif_Astreinte_24_24_7_7",1,0)</f>
        <v>0</v>
      </c>
      <c r="AD231" s="5">
        <f>TabOceanet[[#This Row],[isCalcAstreinte247]]*TabOceanet[[#This Row],[Nb_article]]*Tarif_Astreinte_24_24_7_7</f>
        <v>0</v>
      </c>
      <c r="AE231" s="5">
        <f>IF(TabOceanet[[#This Row],[VM_status]]="PoweredOn",1,0)</f>
        <v>0</v>
      </c>
      <c r="AF231" s="17">
        <f>TabOceanet[[#This Row],[VM_mem]]*Tarif_Ram</f>
        <v>0</v>
      </c>
      <c r="AG231" s="5" t="str">
        <f>MID(TabOceanet[[#This Row],[Backup]],29,20)</f>
        <v/>
      </c>
      <c r="AH231" s="17">
        <f>IF(LEFT(TabOceanet[[#This Row],[TypeBAK]],3)="HOR",Tarif_Backup_Horaire*TabOceanet[[#This Row],[VM_disk]],IF(LEFT(TabOceanet[[#This Row],[TypeBAK]],3)="J15",Tarif_Backup_J15*TabOceanet[[#This Row],[VM_disk]],IF(LEFT(TabOceanet[[#This Row],[TypeBAK]],3)="H1_",Tarif_Backup_J15*TabOceanet[[#This Row],[VM_disk]],0)))</f>
        <v>0</v>
      </c>
      <c r="AI231" s="17">
        <f>TabOceanet[[#This Row],[VM_disk]]*Tarif_disque</f>
        <v>0</v>
      </c>
      <c r="AJ231"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v>
      </c>
    </row>
    <row r="232" spans="1:36" hidden="1" x14ac:dyDescent="0.25">
      <c r="A232" t="s">
        <v>177</v>
      </c>
      <c r="F232">
        <v>1</v>
      </c>
      <c r="K232" t="s">
        <v>408</v>
      </c>
      <c r="O232">
        <v>10006791</v>
      </c>
      <c r="P232" t="s">
        <v>445</v>
      </c>
      <c r="Q232">
        <f>VLOOKUP(TabOceanet[VM_name],TabVMEnv[],3,FALSE)</f>
        <v>0</v>
      </c>
      <c r="R232" s="5" t="str">
        <f>IF(VLOOKUP(TabOceanet[VM_name],TabVMEnv[],2,FALSE) = "","Non","")</f>
        <v/>
      </c>
      <c r="S232" s="5">
        <f>IF(TabOceanet[[#This Row],[Type_tarif]]="Tarif_VLAN",1,0)</f>
        <v>1</v>
      </c>
      <c r="T232" s="5">
        <f>TabOceanet[[#This Row],[isCalcVlan]]*TabOceanet[[#This Row],[Nb_article]]*Tarif_VLAN</f>
        <v>10</v>
      </c>
      <c r="U232" s="5">
        <f>IF(TabOceanet[[#This Row],[Type_tarif]]="Tarif_IPPUB",1,0)</f>
        <v>0</v>
      </c>
      <c r="V232" s="5">
        <f>TabOceanet[[#This Row],[isCalcIpPub]]*TabOceanet[[#This Row],[Nb_article]]*Tarif_IPPUB</f>
        <v>0</v>
      </c>
      <c r="W232" s="5">
        <f>IF(TabOceanet[[#This Row],[Type_tarif]]="Tarif_DNS",1,0)</f>
        <v>0</v>
      </c>
      <c r="X232" s="5">
        <f>TabOceanet[[#This Row],[isCalcDns]]*TabOceanet[[#This Row],[Nb_article]]*Tarif_DNS</f>
        <v>0</v>
      </c>
      <c r="Y232" s="5">
        <f>IF(TabOceanet[[#This Row],[Type_tarif]]="Tarif_Certificat_X509_Simple",1,0)</f>
        <v>0</v>
      </c>
      <c r="Z232" s="5">
        <f>TabOceanet[[#This Row],[isCalcCertSimple]]*TabOceanet[[#This Row],[Nb_article]]*Tarif_Certificat_X509_Simple</f>
        <v>0</v>
      </c>
      <c r="AA232" s="5">
        <f>IF(TabOceanet[[#This Row],[Type_tarif]]="Tarif_Certificat_X509_Wildcard",1,0)</f>
        <v>0</v>
      </c>
      <c r="AB232" s="5">
        <f>TabOceanet[[#This Row],[isCalcCertWild]]*TabOceanet[[#This Row],[Nb_article]]*Tarif_Certificat_X509_Wildcard</f>
        <v>0</v>
      </c>
      <c r="AC232" s="5">
        <f>IF(TabOceanet[[#This Row],[Type_tarif]]="Tarif_Astreinte_24_24_7_7",1,0)</f>
        <v>0</v>
      </c>
      <c r="AD232" s="5">
        <f>TabOceanet[[#This Row],[isCalcAstreinte247]]*TabOceanet[[#This Row],[Nb_article]]*Tarif_Astreinte_24_24_7_7</f>
        <v>0</v>
      </c>
      <c r="AE232" s="5">
        <f>IF(TabOceanet[[#This Row],[VM_status]]="PoweredOn",1,0)</f>
        <v>0</v>
      </c>
      <c r="AF232" s="17">
        <f>TabOceanet[[#This Row],[VM_mem]]*Tarif_Ram</f>
        <v>0</v>
      </c>
      <c r="AG232" s="5" t="str">
        <f>MID(TabOceanet[[#This Row],[Backup]],29,20)</f>
        <v/>
      </c>
      <c r="AH232" s="17">
        <f>IF(LEFT(TabOceanet[[#This Row],[TypeBAK]],3)="HOR",Tarif_Backup_Horaire*TabOceanet[[#This Row],[VM_disk]],IF(LEFT(TabOceanet[[#This Row],[TypeBAK]],3)="J15",Tarif_Backup_J15*TabOceanet[[#This Row],[VM_disk]],IF(LEFT(TabOceanet[[#This Row],[TypeBAK]],3)="H1_",Tarif_Backup_J15*TabOceanet[[#This Row],[VM_disk]],0)))</f>
        <v>0</v>
      </c>
      <c r="AI232" s="17">
        <f>TabOceanet[[#This Row],[VM_disk]]*Tarif_disque</f>
        <v>0</v>
      </c>
      <c r="AJ232"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v>
      </c>
    </row>
    <row r="233" spans="1:36" hidden="1" x14ac:dyDescent="0.25">
      <c r="A233" t="s">
        <v>184</v>
      </c>
      <c r="F233">
        <v>1</v>
      </c>
      <c r="K233" t="s">
        <v>408</v>
      </c>
      <c r="O233">
        <v>10006791</v>
      </c>
      <c r="P233" t="s">
        <v>445</v>
      </c>
      <c r="Q233">
        <f>VLOOKUP(TabOceanet[VM_name],TabVMEnv[],3,FALSE)</f>
        <v>0</v>
      </c>
      <c r="R233" s="5" t="str">
        <f>IF(VLOOKUP(TabOceanet[VM_name],TabVMEnv[],2,FALSE) = "","Non","")</f>
        <v/>
      </c>
      <c r="S233" s="5">
        <f>IF(TabOceanet[[#This Row],[Type_tarif]]="Tarif_VLAN",1,0)</f>
        <v>1</v>
      </c>
      <c r="T233" s="5">
        <f>TabOceanet[[#This Row],[isCalcVlan]]*TabOceanet[[#This Row],[Nb_article]]*Tarif_VLAN</f>
        <v>10</v>
      </c>
      <c r="U233" s="5">
        <f>IF(TabOceanet[[#This Row],[Type_tarif]]="Tarif_IPPUB",1,0)</f>
        <v>0</v>
      </c>
      <c r="V233" s="5">
        <f>TabOceanet[[#This Row],[isCalcIpPub]]*TabOceanet[[#This Row],[Nb_article]]*Tarif_IPPUB</f>
        <v>0</v>
      </c>
      <c r="W233" s="5">
        <f>IF(TabOceanet[[#This Row],[Type_tarif]]="Tarif_DNS",1,0)</f>
        <v>0</v>
      </c>
      <c r="X233" s="5">
        <f>TabOceanet[[#This Row],[isCalcDns]]*TabOceanet[[#This Row],[Nb_article]]*Tarif_DNS</f>
        <v>0</v>
      </c>
      <c r="Y233" s="5">
        <f>IF(TabOceanet[[#This Row],[Type_tarif]]="Tarif_Certificat_X509_Simple",1,0)</f>
        <v>0</v>
      </c>
      <c r="Z233" s="5">
        <f>TabOceanet[[#This Row],[isCalcCertSimple]]*TabOceanet[[#This Row],[Nb_article]]*Tarif_Certificat_X509_Simple</f>
        <v>0</v>
      </c>
      <c r="AA233" s="5">
        <f>IF(TabOceanet[[#This Row],[Type_tarif]]="Tarif_Certificat_X509_Wildcard",1,0)</f>
        <v>0</v>
      </c>
      <c r="AB233" s="5">
        <f>TabOceanet[[#This Row],[isCalcCertWild]]*TabOceanet[[#This Row],[Nb_article]]*Tarif_Certificat_X509_Wildcard</f>
        <v>0</v>
      </c>
      <c r="AC233" s="5">
        <f>IF(TabOceanet[[#This Row],[Type_tarif]]="Tarif_Astreinte_24_24_7_7",1,0)</f>
        <v>0</v>
      </c>
      <c r="AD233" s="5">
        <f>TabOceanet[[#This Row],[isCalcAstreinte247]]*TabOceanet[[#This Row],[Nb_article]]*Tarif_Astreinte_24_24_7_7</f>
        <v>0</v>
      </c>
      <c r="AE233" s="5">
        <f>IF(TabOceanet[[#This Row],[VM_status]]="PoweredOn",1,0)</f>
        <v>0</v>
      </c>
      <c r="AF233" s="17">
        <f>TabOceanet[[#This Row],[VM_mem]]*Tarif_Ram</f>
        <v>0</v>
      </c>
      <c r="AG233" s="5" t="str">
        <f>MID(TabOceanet[[#This Row],[Backup]],29,20)</f>
        <v/>
      </c>
      <c r="AH233" s="17">
        <f>IF(LEFT(TabOceanet[[#This Row],[TypeBAK]],3)="HOR",Tarif_Backup_Horaire*TabOceanet[[#This Row],[VM_disk]],IF(LEFT(TabOceanet[[#This Row],[TypeBAK]],3)="J15",Tarif_Backup_J15*TabOceanet[[#This Row],[VM_disk]],IF(LEFT(TabOceanet[[#This Row],[TypeBAK]],3)="H1_",Tarif_Backup_J15*TabOceanet[[#This Row],[VM_disk]],0)))</f>
        <v>0</v>
      </c>
      <c r="AI233" s="17">
        <f>TabOceanet[[#This Row],[VM_disk]]*Tarif_disque</f>
        <v>0</v>
      </c>
      <c r="AJ233"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v>
      </c>
    </row>
    <row r="234" spans="1:36" hidden="1" x14ac:dyDescent="0.25">
      <c r="A234" t="s">
        <v>218</v>
      </c>
      <c r="F234">
        <v>1</v>
      </c>
      <c r="K234" t="s">
        <v>403</v>
      </c>
      <c r="O234">
        <v>10006791</v>
      </c>
      <c r="P234" t="s">
        <v>445</v>
      </c>
      <c r="Q234">
        <f>VLOOKUP(TabOceanet[VM_name],TabVMEnv[],3,FALSE)</f>
        <v>0</v>
      </c>
      <c r="R234" s="5" t="str">
        <f>IF(VLOOKUP(TabOceanet[VM_name],TabVMEnv[],2,FALSE) = "","Non","")</f>
        <v/>
      </c>
      <c r="S234" s="5">
        <f>IF(TabOceanet[[#This Row],[Type_tarif]]="Tarif_VLAN",1,0)</f>
        <v>1</v>
      </c>
      <c r="T234" s="5">
        <f>TabOceanet[[#This Row],[isCalcVlan]]*TabOceanet[[#This Row],[Nb_article]]*Tarif_VLAN</f>
        <v>10</v>
      </c>
      <c r="U234" s="5">
        <f>IF(TabOceanet[[#This Row],[Type_tarif]]="Tarif_IPPUB",1,0)</f>
        <v>0</v>
      </c>
      <c r="V234" s="5">
        <f>TabOceanet[[#This Row],[isCalcIpPub]]*TabOceanet[[#This Row],[Nb_article]]*Tarif_IPPUB</f>
        <v>0</v>
      </c>
      <c r="W234" s="5">
        <f>IF(TabOceanet[[#This Row],[Type_tarif]]="Tarif_DNS",1,0)</f>
        <v>0</v>
      </c>
      <c r="X234" s="5">
        <f>TabOceanet[[#This Row],[isCalcDns]]*TabOceanet[[#This Row],[Nb_article]]*Tarif_DNS</f>
        <v>0</v>
      </c>
      <c r="Y234" s="5">
        <f>IF(TabOceanet[[#This Row],[Type_tarif]]="Tarif_Certificat_X509_Simple",1,0)</f>
        <v>0</v>
      </c>
      <c r="Z234" s="5">
        <f>TabOceanet[[#This Row],[isCalcCertSimple]]*TabOceanet[[#This Row],[Nb_article]]*Tarif_Certificat_X509_Simple</f>
        <v>0</v>
      </c>
      <c r="AA234" s="5">
        <f>IF(TabOceanet[[#This Row],[Type_tarif]]="Tarif_Certificat_X509_Wildcard",1,0)</f>
        <v>0</v>
      </c>
      <c r="AB234" s="5">
        <f>TabOceanet[[#This Row],[isCalcCertWild]]*TabOceanet[[#This Row],[Nb_article]]*Tarif_Certificat_X509_Wildcard</f>
        <v>0</v>
      </c>
      <c r="AC234" s="5">
        <f>IF(TabOceanet[[#This Row],[Type_tarif]]="Tarif_Astreinte_24_24_7_7",1,0)</f>
        <v>0</v>
      </c>
      <c r="AD234" s="5">
        <f>TabOceanet[[#This Row],[isCalcAstreinte247]]*TabOceanet[[#This Row],[Nb_article]]*Tarif_Astreinte_24_24_7_7</f>
        <v>0</v>
      </c>
      <c r="AE234" s="5">
        <f>IF(TabOceanet[[#This Row],[VM_status]]="PoweredOn",1,0)</f>
        <v>0</v>
      </c>
      <c r="AF234" s="17">
        <f>TabOceanet[[#This Row],[VM_mem]]*Tarif_Ram</f>
        <v>0</v>
      </c>
      <c r="AG234" s="5" t="str">
        <f>MID(TabOceanet[[#This Row],[Backup]],29,20)</f>
        <v/>
      </c>
      <c r="AH234" s="17">
        <f>IF(LEFT(TabOceanet[[#This Row],[TypeBAK]],3)="HOR",Tarif_Backup_Horaire*TabOceanet[[#This Row],[VM_disk]],IF(LEFT(TabOceanet[[#This Row],[TypeBAK]],3)="J15",Tarif_Backup_J15*TabOceanet[[#This Row],[VM_disk]],IF(LEFT(TabOceanet[[#This Row],[TypeBAK]],3)="H1_",Tarif_Backup_J15*TabOceanet[[#This Row],[VM_disk]],0)))</f>
        <v>0</v>
      </c>
      <c r="AI234" s="17">
        <f>TabOceanet[[#This Row],[VM_disk]]*Tarif_disque</f>
        <v>0</v>
      </c>
      <c r="AJ234"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v>
      </c>
    </row>
    <row r="235" spans="1:36" hidden="1" x14ac:dyDescent="0.25">
      <c r="A235" t="s">
        <v>178</v>
      </c>
      <c r="F235">
        <v>1</v>
      </c>
      <c r="K235" t="s">
        <v>408</v>
      </c>
      <c r="O235">
        <v>10006791</v>
      </c>
      <c r="P235" t="s">
        <v>445</v>
      </c>
      <c r="Q235">
        <f>VLOOKUP(TabOceanet[VM_name],TabVMEnv[],3,FALSE)</f>
        <v>0</v>
      </c>
      <c r="R235" s="5" t="str">
        <f>IF(VLOOKUP(TabOceanet[VM_name],TabVMEnv[],2,FALSE) = "","Non","")</f>
        <v/>
      </c>
      <c r="S235" s="5">
        <f>IF(TabOceanet[[#This Row],[Type_tarif]]="Tarif_VLAN",1,0)</f>
        <v>1</v>
      </c>
      <c r="T235" s="5">
        <f>TabOceanet[[#This Row],[isCalcVlan]]*TabOceanet[[#This Row],[Nb_article]]*Tarif_VLAN</f>
        <v>10</v>
      </c>
      <c r="U235" s="5">
        <f>IF(TabOceanet[[#This Row],[Type_tarif]]="Tarif_IPPUB",1,0)</f>
        <v>0</v>
      </c>
      <c r="V235" s="5">
        <f>TabOceanet[[#This Row],[isCalcIpPub]]*TabOceanet[[#This Row],[Nb_article]]*Tarif_IPPUB</f>
        <v>0</v>
      </c>
      <c r="W235" s="5">
        <f>IF(TabOceanet[[#This Row],[Type_tarif]]="Tarif_DNS",1,0)</f>
        <v>0</v>
      </c>
      <c r="X235" s="5">
        <f>TabOceanet[[#This Row],[isCalcDns]]*TabOceanet[[#This Row],[Nb_article]]*Tarif_DNS</f>
        <v>0</v>
      </c>
      <c r="Y235" s="5">
        <f>IF(TabOceanet[[#This Row],[Type_tarif]]="Tarif_Certificat_X509_Simple",1,0)</f>
        <v>0</v>
      </c>
      <c r="Z235" s="5">
        <f>TabOceanet[[#This Row],[isCalcCertSimple]]*TabOceanet[[#This Row],[Nb_article]]*Tarif_Certificat_X509_Simple</f>
        <v>0</v>
      </c>
      <c r="AA235" s="5">
        <f>IF(TabOceanet[[#This Row],[Type_tarif]]="Tarif_Certificat_X509_Wildcard",1,0)</f>
        <v>0</v>
      </c>
      <c r="AB235" s="5">
        <f>TabOceanet[[#This Row],[isCalcCertWild]]*TabOceanet[[#This Row],[Nb_article]]*Tarif_Certificat_X509_Wildcard</f>
        <v>0</v>
      </c>
      <c r="AC235" s="5">
        <f>IF(TabOceanet[[#This Row],[Type_tarif]]="Tarif_Astreinte_24_24_7_7",1,0)</f>
        <v>0</v>
      </c>
      <c r="AD235" s="5">
        <f>TabOceanet[[#This Row],[isCalcAstreinte247]]*TabOceanet[[#This Row],[Nb_article]]*Tarif_Astreinte_24_24_7_7</f>
        <v>0</v>
      </c>
      <c r="AE235" s="5">
        <f>IF(TabOceanet[[#This Row],[VM_status]]="PoweredOn",1,0)</f>
        <v>0</v>
      </c>
      <c r="AF235" s="17">
        <f>TabOceanet[[#This Row],[VM_mem]]*Tarif_Ram</f>
        <v>0</v>
      </c>
      <c r="AG235" s="5" t="str">
        <f>MID(TabOceanet[[#This Row],[Backup]],29,20)</f>
        <v/>
      </c>
      <c r="AH235" s="17">
        <f>IF(LEFT(TabOceanet[[#This Row],[TypeBAK]],3)="HOR",Tarif_Backup_Horaire*TabOceanet[[#This Row],[VM_disk]],IF(LEFT(TabOceanet[[#This Row],[TypeBAK]],3)="J15",Tarif_Backup_J15*TabOceanet[[#This Row],[VM_disk]],IF(LEFT(TabOceanet[[#This Row],[TypeBAK]],3)="H1_",Tarif_Backup_J15*TabOceanet[[#This Row],[VM_disk]],0)))</f>
        <v>0</v>
      </c>
      <c r="AI235" s="17">
        <f>TabOceanet[[#This Row],[VM_disk]]*Tarif_disque</f>
        <v>0</v>
      </c>
      <c r="AJ235"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v>
      </c>
    </row>
    <row r="236" spans="1:36" hidden="1" x14ac:dyDescent="0.25">
      <c r="A236" t="s">
        <v>219</v>
      </c>
      <c r="F236">
        <v>1</v>
      </c>
      <c r="K236" t="s">
        <v>403</v>
      </c>
      <c r="O236">
        <v>10006791</v>
      </c>
      <c r="P236" t="s">
        <v>445</v>
      </c>
      <c r="Q236">
        <f>VLOOKUP(TabOceanet[VM_name],TabVMEnv[],3,FALSE)</f>
        <v>0</v>
      </c>
      <c r="R236" s="5" t="str">
        <f>IF(VLOOKUP(TabOceanet[VM_name],TabVMEnv[],2,FALSE) = "","Non","")</f>
        <v/>
      </c>
      <c r="S236" s="5">
        <f>IF(TabOceanet[[#This Row],[Type_tarif]]="Tarif_VLAN",1,0)</f>
        <v>1</v>
      </c>
      <c r="T236" s="5">
        <f>TabOceanet[[#This Row],[isCalcVlan]]*TabOceanet[[#This Row],[Nb_article]]*Tarif_VLAN</f>
        <v>10</v>
      </c>
      <c r="U236" s="5">
        <f>IF(TabOceanet[[#This Row],[Type_tarif]]="Tarif_IPPUB",1,0)</f>
        <v>0</v>
      </c>
      <c r="V236" s="5">
        <f>TabOceanet[[#This Row],[isCalcIpPub]]*TabOceanet[[#This Row],[Nb_article]]*Tarif_IPPUB</f>
        <v>0</v>
      </c>
      <c r="W236" s="5">
        <f>IF(TabOceanet[[#This Row],[Type_tarif]]="Tarif_DNS",1,0)</f>
        <v>0</v>
      </c>
      <c r="X236" s="5">
        <f>TabOceanet[[#This Row],[isCalcDns]]*TabOceanet[[#This Row],[Nb_article]]*Tarif_DNS</f>
        <v>0</v>
      </c>
      <c r="Y236" s="5">
        <f>IF(TabOceanet[[#This Row],[Type_tarif]]="Tarif_Certificat_X509_Simple",1,0)</f>
        <v>0</v>
      </c>
      <c r="Z236" s="5">
        <f>TabOceanet[[#This Row],[isCalcCertSimple]]*TabOceanet[[#This Row],[Nb_article]]*Tarif_Certificat_X509_Simple</f>
        <v>0</v>
      </c>
      <c r="AA236" s="5">
        <f>IF(TabOceanet[[#This Row],[Type_tarif]]="Tarif_Certificat_X509_Wildcard",1,0)</f>
        <v>0</v>
      </c>
      <c r="AB236" s="5">
        <f>TabOceanet[[#This Row],[isCalcCertWild]]*TabOceanet[[#This Row],[Nb_article]]*Tarif_Certificat_X509_Wildcard</f>
        <v>0</v>
      </c>
      <c r="AC236" s="5">
        <f>IF(TabOceanet[[#This Row],[Type_tarif]]="Tarif_Astreinte_24_24_7_7",1,0)</f>
        <v>0</v>
      </c>
      <c r="AD236" s="5">
        <f>TabOceanet[[#This Row],[isCalcAstreinte247]]*TabOceanet[[#This Row],[Nb_article]]*Tarif_Astreinte_24_24_7_7</f>
        <v>0</v>
      </c>
      <c r="AE236" s="5">
        <f>IF(TabOceanet[[#This Row],[VM_status]]="PoweredOn",1,0)</f>
        <v>0</v>
      </c>
      <c r="AF236" s="17">
        <f>TabOceanet[[#This Row],[VM_mem]]*Tarif_Ram</f>
        <v>0</v>
      </c>
      <c r="AG236" s="5" t="str">
        <f>MID(TabOceanet[[#This Row],[Backup]],29,20)</f>
        <v/>
      </c>
      <c r="AH236" s="17">
        <f>IF(LEFT(TabOceanet[[#This Row],[TypeBAK]],3)="HOR",Tarif_Backup_Horaire*TabOceanet[[#This Row],[VM_disk]],IF(LEFT(TabOceanet[[#This Row],[TypeBAK]],3)="J15",Tarif_Backup_J15*TabOceanet[[#This Row],[VM_disk]],IF(LEFT(TabOceanet[[#This Row],[TypeBAK]],3)="H1_",Tarif_Backup_J15*TabOceanet[[#This Row],[VM_disk]],0)))</f>
        <v>0</v>
      </c>
      <c r="AI236" s="17">
        <f>TabOceanet[[#This Row],[VM_disk]]*Tarif_disque</f>
        <v>0</v>
      </c>
      <c r="AJ236"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v>
      </c>
    </row>
    <row r="237" spans="1:36" hidden="1" x14ac:dyDescent="0.25">
      <c r="A237" t="s">
        <v>139</v>
      </c>
      <c r="F237">
        <v>1</v>
      </c>
      <c r="K237" t="s">
        <v>406</v>
      </c>
      <c r="O237">
        <v>10006791</v>
      </c>
      <c r="P237" t="s">
        <v>445</v>
      </c>
      <c r="Q237">
        <f>VLOOKUP(TabOceanet[VM_name],TabVMEnv[],3,FALSE)</f>
        <v>0</v>
      </c>
      <c r="R237" s="5" t="str">
        <f>IF(VLOOKUP(TabOceanet[VM_name],TabVMEnv[],2,FALSE) = "","Non","")</f>
        <v/>
      </c>
      <c r="S237" s="5">
        <f>IF(TabOceanet[[#This Row],[Type_tarif]]="Tarif_VLAN",1,0)</f>
        <v>1</v>
      </c>
      <c r="T237" s="5">
        <f>TabOceanet[[#This Row],[isCalcVlan]]*TabOceanet[[#This Row],[Nb_article]]*Tarif_VLAN</f>
        <v>10</v>
      </c>
      <c r="U237" s="5">
        <f>IF(TabOceanet[[#This Row],[Type_tarif]]="Tarif_IPPUB",1,0)</f>
        <v>0</v>
      </c>
      <c r="V237" s="5">
        <f>TabOceanet[[#This Row],[isCalcIpPub]]*TabOceanet[[#This Row],[Nb_article]]*Tarif_IPPUB</f>
        <v>0</v>
      </c>
      <c r="W237" s="5">
        <f>IF(TabOceanet[[#This Row],[Type_tarif]]="Tarif_DNS",1,0)</f>
        <v>0</v>
      </c>
      <c r="X237" s="5">
        <f>TabOceanet[[#This Row],[isCalcDns]]*TabOceanet[[#This Row],[Nb_article]]*Tarif_DNS</f>
        <v>0</v>
      </c>
      <c r="Y237" s="5">
        <f>IF(TabOceanet[[#This Row],[Type_tarif]]="Tarif_Certificat_X509_Simple",1,0)</f>
        <v>0</v>
      </c>
      <c r="Z237" s="5">
        <f>TabOceanet[[#This Row],[isCalcCertSimple]]*TabOceanet[[#This Row],[Nb_article]]*Tarif_Certificat_X509_Simple</f>
        <v>0</v>
      </c>
      <c r="AA237" s="5">
        <f>IF(TabOceanet[[#This Row],[Type_tarif]]="Tarif_Certificat_X509_Wildcard",1,0)</f>
        <v>0</v>
      </c>
      <c r="AB237" s="5">
        <f>TabOceanet[[#This Row],[isCalcCertWild]]*TabOceanet[[#This Row],[Nb_article]]*Tarif_Certificat_X509_Wildcard</f>
        <v>0</v>
      </c>
      <c r="AC237" s="5">
        <f>IF(TabOceanet[[#This Row],[Type_tarif]]="Tarif_Astreinte_24_24_7_7",1,0)</f>
        <v>0</v>
      </c>
      <c r="AD237" s="5">
        <f>TabOceanet[[#This Row],[isCalcAstreinte247]]*TabOceanet[[#This Row],[Nb_article]]*Tarif_Astreinte_24_24_7_7</f>
        <v>0</v>
      </c>
      <c r="AE237" s="5">
        <f>IF(TabOceanet[[#This Row],[VM_status]]="PoweredOn",1,0)</f>
        <v>0</v>
      </c>
      <c r="AF237" s="17">
        <f>TabOceanet[[#This Row],[VM_mem]]*Tarif_Ram</f>
        <v>0</v>
      </c>
      <c r="AG237" s="5" t="str">
        <f>MID(TabOceanet[[#This Row],[Backup]],29,20)</f>
        <v/>
      </c>
      <c r="AH237" s="17">
        <f>IF(LEFT(TabOceanet[[#This Row],[TypeBAK]],3)="HOR",Tarif_Backup_Horaire*TabOceanet[[#This Row],[VM_disk]],IF(LEFT(TabOceanet[[#This Row],[TypeBAK]],3)="J15",Tarif_Backup_J15*TabOceanet[[#This Row],[VM_disk]],IF(LEFT(TabOceanet[[#This Row],[TypeBAK]],3)="H1_",Tarif_Backup_J15*TabOceanet[[#This Row],[VM_disk]],0)))</f>
        <v>0</v>
      </c>
      <c r="AI237" s="17">
        <f>TabOceanet[[#This Row],[VM_disk]]*Tarif_disque</f>
        <v>0</v>
      </c>
      <c r="AJ237"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v>
      </c>
    </row>
    <row r="238" spans="1:36" hidden="1" x14ac:dyDescent="0.25">
      <c r="A238" t="s">
        <v>140</v>
      </c>
      <c r="F238">
        <v>1</v>
      </c>
      <c r="K238" t="s">
        <v>406</v>
      </c>
      <c r="O238">
        <v>10006791</v>
      </c>
      <c r="P238" t="s">
        <v>445</v>
      </c>
      <c r="Q238">
        <f>VLOOKUP(TabOceanet[VM_name],TabVMEnv[],3,FALSE)</f>
        <v>0</v>
      </c>
      <c r="R238" s="5" t="str">
        <f>IF(VLOOKUP(TabOceanet[VM_name],TabVMEnv[],2,FALSE) = "","Non","")</f>
        <v/>
      </c>
      <c r="S238" s="5">
        <f>IF(TabOceanet[[#This Row],[Type_tarif]]="Tarif_VLAN",1,0)</f>
        <v>1</v>
      </c>
      <c r="T238" s="5">
        <f>TabOceanet[[#This Row],[isCalcVlan]]*TabOceanet[[#This Row],[Nb_article]]*Tarif_VLAN</f>
        <v>10</v>
      </c>
      <c r="U238" s="5">
        <f>IF(TabOceanet[[#This Row],[Type_tarif]]="Tarif_IPPUB",1,0)</f>
        <v>0</v>
      </c>
      <c r="V238" s="5">
        <f>TabOceanet[[#This Row],[isCalcIpPub]]*TabOceanet[[#This Row],[Nb_article]]*Tarif_IPPUB</f>
        <v>0</v>
      </c>
      <c r="W238" s="5">
        <f>IF(TabOceanet[[#This Row],[Type_tarif]]="Tarif_DNS",1,0)</f>
        <v>0</v>
      </c>
      <c r="X238" s="5">
        <f>TabOceanet[[#This Row],[isCalcDns]]*TabOceanet[[#This Row],[Nb_article]]*Tarif_DNS</f>
        <v>0</v>
      </c>
      <c r="Y238" s="5">
        <f>IF(TabOceanet[[#This Row],[Type_tarif]]="Tarif_Certificat_X509_Simple",1,0)</f>
        <v>0</v>
      </c>
      <c r="Z238" s="5">
        <f>TabOceanet[[#This Row],[isCalcCertSimple]]*TabOceanet[[#This Row],[Nb_article]]*Tarif_Certificat_X509_Simple</f>
        <v>0</v>
      </c>
      <c r="AA238" s="5">
        <f>IF(TabOceanet[[#This Row],[Type_tarif]]="Tarif_Certificat_X509_Wildcard",1,0)</f>
        <v>0</v>
      </c>
      <c r="AB238" s="5">
        <f>TabOceanet[[#This Row],[isCalcCertWild]]*TabOceanet[[#This Row],[Nb_article]]*Tarif_Certificat_X509_Wildcard</f>
        <v>0</v>
      </c>
      <c r="AC238" s="5">
        <f>IF(TabOceanet[[#This Row],[Type_tarif]]="Tarif_Astreinte_24_24_7_7",1,0)</f>
        <v>0</v>
      </c>
      <c r="AD238" s="5">
        <f>TabOceanet[[#This Row],[isCalcAstreinte247]]*TabOceanet[[#This Row],[Nb_article]]*Tarif_Astreinte_24_24_7_7</f>
        <v>0</v>
      </c>
      <c r="AE238" s="5">
        <f>IF(TabOceanet[[#This Row],[VM_status]]="PoweredOn",1,0)</f>
        <v>0</v>
      </c>
      <c r="AF238" s="17">
        <f>TabOceanet[[#This Row],[VM_mem]]*Tarif_Ram</f>
        <v>0</v>
      </c>
      <c r="AG238" s="5" t="str">
        <f>MID(TabOceanet[[#This Row],[Backup]],29,20)</f>
        <v/>
      </c>
      <c r="AH238" s="17">
        <f>IF(LEFT(TabOceanet[[#This Row],[TypeBAK]],3)="HOR",Tarif_Backup_Horaire*TabOceanet[[#This Row],[VM_disk]],IF(LEFT(TabOceanet[[#This Row],[TypeBAK]],3)="J15",Tarif_Backup_J15*TabOceanet[[#This Row],[VM_disk]],IF(LEFT(TabOceanet[[#This Row],[TypeBAK]],3)="H1_",Tarif_Backup_J15*TabOceanet[[#This Row],[VM_disk]],0)))</f>
        <v>0</v>
      </c>
      <c r="AI238" s="17">
        <f>TabOceanet[[#This Row],[VM_disk]]*Tarif_disque</f>
        <v>0</v>
      </c>
      <c r="AJ238"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v>
      </c>
    </row>
    <row r="239" spans="1:36" hidden="1" x14ac:dyDescent="0.25">
      <c r="A239" t="s">
        <v>99</v>
      </c>
      <c r="F239">
        <v>1</v>
      </c>
      <c r="K239" t="s">
        <v>406</v>
      </c>
      <c r="O239">
        <v>10006791</v>
      </c>
      <c r="P239" t="s">
        <v>445</v>
      </c>
      <c r="Q239">
        <f>VLOOKUP(TabOceanet[VM_name],TabVMEnv[],3,FALSE)</f>
        <v>0</v>
      </c>
      <c r="R239" s="5" t="str">
        <f>IF(VLOOKUP(TabOceanet[VM_name],TabVMEnv[],2,FALSE) = "","Non","")</f>
        <v/>
      </c>
      <c r="S239" s="5">
        <f>IF(TabOceanet[[#This Row],[Type_tarif]]="Tarif_VLAN",1,0)</f>
        <v>1</v>
      </c>
      <c r="T239" s="5">
        <f>TabOceanet[[#This Row],[isCalcVlan]]*TabOceanet[[#This Row],[Nb_article]]*Tarif_VLAN</f>
        <v>10</v>
      </c>
      <c r="U239" s="5">
        <f>IF(TabOceanet[[#This Row],[Type_tarif]]="Tarif_IPPUB",1,0)</f>
        <v>0</v>
      </c>
      <c r="V239" s="5">
        <f>TabOceanet[[#This Row],[isCalcIpPub]]*TabOceanet[[#This Row],[Nb_article]]*Tarif_IPPUB</f>
        <v>0</v>
      </c>
      <c r="W239" s="5">
        <f>IF(TabOceanet[[#This Row],[Type_tarif]]="Tarif_DNS",1,0)</f>
        <v>0</v>
      </c>
      <c r="X239" s="5">
        <f>TabOceanet[[#This Row],[isCalcDns]]*TabOceanet[[#This Row],[Nb_article]]*Tarif_DNS</f>
        <v>0</v>
      </c>
      <c r="Y239" s="5">
        <f>IF(TabOceanet[[#This Row],[Type_tarif]]="Tarif_Certificat_X509_Simple",1,0)</f>
        <v>0</v>
      </c>
      <c r="Z239" s="5">
        <f>TabOceanet[[#This Row],[isCalcCertSimple]]*TabOceanet[[#This Row],[Nb_article]]*Tarif_Certificat_X509_Simple</f>
        <v>0</v>
      </c>
      <c r="AA239" s="5">
        <f>IF(TabOceanet[[#This Row],[Type_tarif]]="Tarif_Certificat_X509_Wildcard",1,0)</f>
        <v>0</v>
      </c>
      <c r="AB239" s="5">
        <f>TabOceanet[[#This Row],[isCalcCertWild]]*TabOceanet[[#This Row],[Nb_article]]*Tarif_Certificat_X509_Wildcard</f>
        <v>0</v>
      </c>
      <c r="AC239" s="5">
        <f>IF(TabOceanet[[#This Row],[Type_tarif]]="Tarif_Astreinte_24_24_7_7",1,0)</f>
        <v>0</v>
      </c>
      <c r="AD239" s="5">
        <f>TabOceanet[[#This Row],[isCalcAstreinte247]]*TabOceanet[[#This Row],[Nb_article]]*Tarif_Astreinte_24_24_7_7</f>
        <v>0</v>
      </c>
      <c r="AE239" s="5">
        <f>IF(TabOceanet[[#This Row],[VM_status]]="PoweredOn",1,0)</f>
        <v>0</v>
      </c>
      <c r="AF239" s="17">
        <f>TabOceanet[[#This Row],[VM_mem]]*Tarif_Ram</f>
        <v>0</v>
      </c>
      <c r="AG239" s="5" t="str">
        <f>MID(TabOceanet[[#This Row],[Backup]],29,20)</f>
        <v/>
      </c>
      <c r="AH239" s="17">
        <f>IF(LEFT(TabOceanet[[#This Row],[TypeBAK]],3)="HOR",Tarif_Backup_Horaire*TabOceanet[[#This Row],[VM_disk]],IF(LEFT(TabOceanet[[#This Row],[TypeBAK]],3)="J15",Tarif_Backup_J15*TabOceanet[[#This Row],[VM_disk]],IF(LEFT(TabOceanet[[#This Row],[TypeBAK]],3)="H1_",Tarif_Backup_J15*TabOceanet[[#This Row],[VM_disk]],0)))</f>
        <v>0</v>
      </c>
      <c r="AI239" s="17">
        <f>TabOceanet[[#This Row],[VM_disk]]*Tarif_disque</f>
        <v>0</v>
      </c>
      <c r="AJ239"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v>
      </c>
    </row>
    <row r="240" spans="1:36" hidden="1" x14ac:dyDescent="0.25">
      <c r="A240" t="s">
        <v>100</v>
      </c>
      <c r="F240">
        <v>1</v>
      </c>
      <c r="K240" t="s">
        <v>406</v>
      </c>
      <c r="O240">
        <v>10006791</v>
      </c>
      <c r="P240" t="s">
        <v>445</v>
      </c>
      <c r="Q240">
        <f>VLOOKUP(TabOceanet[VM_name],TabVMEnv[],3,FALSE)</f>
        <v>0</v>
      </c>
      <c r="R240" s="5" t="str">
        <f>IF(VLOOKUP(TabOceanet[VM_name],TabVMEnv[],2,FALSE) = "","Non","")</f>
        <v/>
      </c>
      <c r="S240" s="5">
        <f>IF(TabOceanet[[#This Row],[Type_tarif]]="Tarif_VLAN",1,0)</f>
        <v>1</v>
      </c>
      <c r="T240" s="5">
        <f>TabOceanet[[#This Row],[isCalcVlan]]*TabOceanet[[#This Row],[Nb_article]]*Tarif_VLAN</f>
        <v>10</v>
      </c>
      <c r="U240" s="5">
        <f>IF(TabOceanet[[#This Row],[Type_tarif]]="Tarif_IPPUB",1,0)</f>
        <v>0</v>
      </c>
      <c r="V240" s="5">
        <f>TabOceanet[[#This Row],[isCalcIpPub]]*TabOceanet[[#This Row],[Nb_article]]*Tarif_IPPUB</f>
        <v>0</v>
      </c>
      <c r="W240" s="5">
        <f>IF(TabOceanet[[#This Row],[Type_tarif]]="Tarif_DNS",1,0)</f>
        <v>0</v>
      </c>
      <c r="X240" s="5">
        <f>TabOceanet[[#This Row],[isCalcDns]]*TabOceanet[[#This Row],[Nb_article]]*Tarif_DNS</f>
        <v>0</v>
      </c>
      <c r="Y240" s="5">
        <f>IF(TabOceanet[[#This Row],[Type_tarif]]="Tarif_Certificat_X509_Simple",1,0)</f>
        <v>0</v>
      </c>
      <c r="Z240" s="5">
        <f>TabOceanet[[#This Row],[isCalcCertSimple]]*TabOceanet[[#This Row],[Nb_article]]*Tarif_Certificat_X509_Simple</f>
        <v>0</v>
      </c>
      <c r="AA240" s="5">
        <f>IF(TabOceanet[[#This Row],[Type_tarif]]="Tarif_Certificat_X509_Wildcard",1,0)</f>
        <v>0</v>
      </c>
      <c r="AB240" s="5">
        <f>TabOceanet[[#This Row],[isCalcCertWild]]*TabOceanet[[#This Row],[Nb_article]]*Tarif_Certificat_X509_Wildcard</f>
        <v>0</v>
      </c>
      <c r="AC240" s="5">
        <f>IF(TabOceanet[[#This Row],[Type_tarif]]="Tarif_Astreinte_24_24_7_7",1,0)</f>
        <v>0</v>
      </c>
      <c r="AD240" s="5">
        <f>TabOceanet[[#This Row],[isCalcAstreinte247]]*TabOceanet[[#This Row],[Nb_article]]*Tarif_Astreinte_24_24_7_7</f>
        <v>0</v>
      </c>
      <c r="AE240" s="5">
        <f>IF(TabOceanet[[#This Row],[VM_status]]="PoweredOn",1,0)</f>
        <v>0</v>
      </c>
      <c r="AF240" s="17">
        <f>TabOceanet[[#This Row],[VM_mem]]*Tarif_Ram</f>
        <v>0</v>
      </c>
      <c r="AG240" s="5" t="str">
        <f>MID(TabOceanet[[#This Row],[Backup]],29,20)</f>
        <v/>
      </c>
      <c r="AH240" s="17">
        <f>IF(LEFT(TabOceanet[[#This Row],[TypeBAK]],3)="HOR",Tarif_Backup_Horaire*TabOceanet[[#This Row],[VM_disk]],IF(LEFT(TabOceanet[[#This Row],[TypeBAK]],3)="J15",Tarif_Backup_J15*TabOceanet[[#This Row],[VM_disk]],IF(LEFT(TabOceanet[[#This Row],[TypeBAK]],3)="H1_",Tarif_Backup_J15*TabOceanet[[#This Row],[VM_disk]],0)))</f>
        <v>0</v>
      </c>
      <c r="AI240" s="17">
        <f>TabOceanet[[#This Row],[VM_disk]]*Tarif_disque</f>
        <v>0</v>
      </c>
      <c r="AJ240"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v>
      </c>
    </row>
    <row r="241" spans="1:36" hidden="1" x14ac:dyDescent="0.25">
      <c r="A241" t="s">
        <v>101</v>
      </c>
      <c r="F241">
        <v>1</v>
      </c>
      <c r="K241" t="s">
        <v>406</v>
      </c>
      <c r="O241">
        <v>10006791</v>
      </c>
      <c r="P241" t="s">
        <v>445</v>
      </c>
      <c r="Q241">
        <f>VLOOKUP(TabOceanet[VM_name],TabVMEnv[],3,FALSE)</f>
        <v>0</v>
      </c>
      <c r="R241" s="5" t="str">
        <f>IF(VLOOKUP(TabOceanet[VM_name],TabVMEnv[],2,FALSE) = "","Non","")</f>
        <v/>
      </c>
      <c r="S241" s="5">
        <f>IF(TabOceanet[[#This Row],[Type_tarif]]="Tarif_VLAN",1,0)</f>
        <v>1</v>
      </c>
      <c r="T241" s="5">
        <f>TabOceanet[[#This Row],[isCalcVlan]]*TabOceanet[[#This Row],[Nb_article]]*Tarif_VLAN</f>
        <v>10</v>
      </c>
      <c r="U241" s="5">
        <f>IF(TabOceanet[[#This Row],[Type_tarif]]="Tarif_IPPUB",1,0)</f>
        <v>0</v>
      </c>
      <c r="V241" s="5">
        <f>TabOceanet[[#This Row],[isCalcIpPub]]*TabOceanet[[#This Row],[Nb_article]]*Tarif_IPPUB</f>
        <v>0</v>
      </c>
      <c r="W241" s="5">
        <f>IF(TabOceanet[[#This Row],[Type_tarif]]="Tarif_DNS",1,0)</f>
        <v>0</v>
      </c>
      <c r="X241" s="5">
        <f>TabOceanet[[#This Row],[isCalcDns]]*TabOceanet[[#This Row],[Nb_article]]*Tarif_DNS</f>
        <v>0</v>
      </c>
      <c r="Y241" s="5">
        <f>IF(TabOceanet[[#This Row],[Type_tarif]]="Tarif_Certificat_X509_Simple",1,0)</f>
        <v>0</v>
      </c>
      <c r="Z241" s="5">
        <f>TabOceanet[[#This Row],[isCalcCertSimple]]*TabOceanet[[#This Row],[Nb_article]]*Tarif_Certificat_X509_Simple</f>
        <v>0</v>
      </c>
      <c r="AA241" s="5">
        <f>IF(TabOceanet[[#This Row],[Type_tarif]]="Tarif_Certificat_X509_Wildcard",1,0)</f>
        <v>0</v>
      </c>
      <c r="AB241" s="5">
        <f>TabOceanet[[#This Row],[isCalcCertWild]]*TabOceanet[[#This Row],[Nb_article]]*Tarif_Certificat_X509_Wildcard</f>
        <v>0</v>
      </c>
      <c r="AC241" s="5">
        <f>IF(TabOceanet[[#This Row],[Type_tarif]]="Tarif_Astreinte_24_24_7_7",1,0)</f>
        <v>0</v>
      </c>
      <c r="AD241" s="5">
        <f>TabOceanet[[#This Row],[isCalcAstreinte247]]*TabOceanet[[#This Row],[Nb_article]]*Tarif_Astreinte_24_24_7_7</f>
        <v>0</v>
      </c>
      <c r="AE241" s="5">
        <f>IF(TabOceanet[[#This Row],[VM_status]]="PoweredOn",1,0)</f>
        <v>0</v>
      </c>
      <c r="AF241" s="17">
        <f>TabOceanet[[#This Row],[VM_mem]]*Tarif_Ram</f>
        <v>0</v>
      </c>
      <c r="AG241" s="5" t="str">
        <f>MID(TabOceanet[[#This Row],[Backup]],29,20)</f>
        <v/>
      </c>
      <c r="AH241" s="17">
        <f>IF(LEFT(TabOceanet[[#This Row],[TypeBAK]],3)="HOR",Tarif_Backup_Horaire*TabOceanet[[#This Row],[VM_disk]],IF(LEFT(TabOceanet[[#This Row],[TypeBAK]],3)="J15",Tarif_Backup_J15*TabOceanet[[#This Row],[VM_disk]],IF(LEFT(TabOceanet[[#This Row],[TypeBAK]],3)="H1_",Tarif_Backup_J15*TabOceanet[[#This Row],[VM_disk]],0)))</f>
        <v>0</v>
      </c>
      <c r="AI241" s="17">
        <f>TabOceanet[[#This Row],[VM_disk]]*Tarif_disque</f>
        <v>0</v>
      </c>
      <c r="AJ241"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v>
      </c>
    </row>
    <row r="242" spans="1:36" hidden="1" x14ac:dyDescent="0.25">
      <c r="A242" t="s">
        <v>102</v>
      </c>
      <c r="F242">
        <v>1</v>
      </c>
      <c r="K242" t="s">
        <v>406</v>
      </c>
      <c r="O242">
        <v>10006791</v>
      </c>
      <c r="P242" t="s">
        <v>445</v>
      </c>
      <c r="Q242">
        <f>VLOOKUP(TabOceanet[VM_name],TabVMEnv[],3,FALSE)</f>
        <v>0</v>
      </c>
      <c r="R242" s="5" t="str">
        <f>IF(VLOOKUP(TabOceanet[VM_name],TabVMEnv[],2,FALSE) = "","Non","")</f>
        <v/>
      </c>
      <c r="S242" s="5">
        <f>IF(TabOceanet[[#This Row],[Type_tarif]]="Tarif_VLAN",1,0)</f>
        <v>1</v>
      </c>
      <c r="T242" s="5">
        <f>TabOceanet[[#This Row],[isCalcVlan]]*TabOceanet[[#This Row],[Nb_article]]*Tarif_VLAN</f>
        <v>10</v>
      </c>
      <c r="U242" s="5">
        <f>IF(TabOceanet[[#This Row],[Type_tarif]]="Tarif_IPPUB",1,0)</f>
        <v>0</v>
      </c>
      <c r="V242" s="5">
        <f>TabOceanet[[#This Row],[isCalcIpPub]]*TabOceanet[[#This Row],[Nb_article]]*Tarif_IPPUB</f>
        <v>0</v>
      </c>
      <c r="W242" s="5">
        <f>IF(TabOceanet[[#This Row],[Type_tarif]]="Tarif_DNS",1,0)</f>
        <v>0</v>
      </c>
      <c r="X242" s="5">
        <f>TabOceanet[[#This Row],[isCalcDns]]*TabOceanet[[#This Row],[Nb_article]]*Tarif_DNS</f>
        <v>0</v>
      </c>
      <c r="Y242" s="5">
        <f>IF(TabOceanet[[#This Row],[Type_tarif]]="Tarif_Certificat_X509_Simple",1,0)</f>
        <v>0</v>
      </c>
      <c r="Z242" s="5">
        <f>TabOceanet[[#This Row],[isCalcCertSimple]]*TabOceanet[[#This Row],[Nb_article]]*Tarif_Certificat_X509_Simple</f>
        <v>0</v>
      </c>
      <c r="AA242" s="5">
        <f>IF(TabOceanet[[#This Row],[Type_tarif]]="Tarif_Certificat_X509_Wildcard",1,0)</f>
        <v>0</v>
      </c>
      <c r="AB242" s="5">
        <f>TabOceanet[[#This Row],[isCalcCertWild]]*TabOceanet[[#This Row],[Nb_article]]*Tarif_Certificat_X509_Wildcard</f>
        <v>0</v>
      </c>
      <c r="AC242" s="5">
        <f>IF(TabOceanet[[#This Row],[Type_tarif]]="Tarif_Astreinte_24_24_7_7",1,0)</f>
        <v>0</v>
      </c>
      <c r="AD242" s="5">
        <f>TabOceanet[[#This Row],[isCalcAstreinte247]]*TabOceanet[[#This Row],[Nb_article]]*Tarif_Astreinte_24_24_7_7</f>
        <v>0</v>
      </c>
      <c r="AE242" s="5">
        <f>IF(TabOceanet[[#This Row],[VM_status]]="PoweredOn",1,0)</f>
        <v>0</v>
      </c>
      <c r="AF242" s="17">
        <f>TabOceanet[[#This Row],[VM_mem]]*Tarif_Ram</f>
        <v>0</v>
      </c>
      <c r="AG242" s="5" t="str">
        <f>MID(TabOceanet[[#This Row],[Backup]],29,20)</f>
        <v/>
      </c>
      <c r="AH242" s="17">
        <f>IF(LEFT(TabOceanet[[#This Row],[TypeBAK]],3)="HOR",Tarif_Backup_Horaire*TabOceanet[[#This Row],[VM_disk]],IF(LEFT(TabOceanet[[#This Row],[TypeBAK]],3)="J15",Tarif_Backup_J15*TabOceanet[[#This Row],[VM_disk]],IF(LEFT(TabOceanet[[#This Row],[TypeBAK]],3)="H1_",Tarif_Backup_J15*TabOceanet[[#This Row],[VM_disk]],0)))</f>
        <v>0</v>
      </c>
      <c r="AI242" s="17">
        <f>TabOceanet[[#This Row],[VM_disk]]*Tarif_disque</f>
        <v>0</v>
      </c>
      <c r="AJ242"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v>
      </c>
    </row>
    <row r="243" spans="1:36" hidden="1" x14ac:dyDescent="0.25">
      <c r="A243" t="s">
        <v>103</v>
      </c>
      <c r="F243">
        <v>1</v>
      </c>
      <c r="K243" t="s">
        <v>406</v>
      </c>
      <c r="O243">
        <v>10006791</v>
      </c>
      <c r="P243" t="s">
        <v>445</v>
      </c>
      <c r="Q243">
        <f>VLOOKUP(TabOceanet[VM_name],TabVMEnv[],3,FALSE)</f>
        <v>0</v>
      </c>
      <c r="R243" s="5" t="str">
        <f>IF(VLOOKUP(TabOceanet[VM_name],TabVMEnv[],2,FALSE) = "","Non","")</f>
        <v/>
      </c>
      <c r="S243" s="5">
        <f>IF(TabOceanet[[#This Row],[Type_tarif]]="Tarif_VLAN",1,0)</f>
        <v>1</v>
      </c>
      <c r="T243" s="5">
        <f>TabOceanet[[#This Row],[isCalcVlan]]*TabOceanet[[#This Row],[Nb_article]]*Tarif_VLAN</f>
        <v>10</v>
      </c>
      <c r="U243" s="5">
        <f>IF(TabOceanet[[#This Row],[Type_tarif]]="Tarif_IPPUB",1,0)</f>
        <v>0</v>
      </c>
      <c r="V243" s="5">
        <f>TabOceanet[[#This Row],[isCalcIpPub]]*TabOceanet[[#This Row],[Nb_article]]*Tarif_IPPUB</f>
        <v>0</v>
      </c>
      <c r="W243" s="5">
        <f>IF(TabOceanet[[#This Row],[Type_tarif]]="Tarif_DNS",1,0)</f>
        <v>0</v>
      </c>
      <c r="X243" s="5">
        <f>TabOceanet[[#This Row],[isCalcDns]]*TabOceanet[[#This Row],[Nb_article]]*Tarif_DNS</f>
        <v>0</v>
      </c>
      <c r="Y243" s="5">
        <f>IF(TabOceanet[[#This Row],[Type_tarif]]="Tarif_Certificat_X509_Simple",1,0)</f>
        <v>0</v>
      </c>
      <c r="Z243" s="5">
        <f>TabOceanet[[#This Row],[isCalcCertSimple]]*TabOceanet[[#This Row],[Nb_article]]*Tarif_Certificat_X509_Simple</f>
        <v>0</v>
      </c>
      <c r="AA243" s="5">
        <f>IF(TabOceanet[[#This Row],[Type_tarif]]="Tarif_Certificat_X509_Wildcard",1,0)</f>
        <v>0</v>
      </c>
      <c r="AB243" s="5">
        <f>TabOceanet[[#This Row],[isCalcCertWild]]*TabOceanet[[#This Row],[Nb_article]]*Tarif_Certificat_X509_Wildcard</f>
        <v>0</v>
      </c>
      <c r="AC243" s="5">
        <f>IF(TabOceanet[[#This Row],[Type_tarif]]="Tarif_Astreinte_24_24_7_7",1,0)</f>
        <v>0</v>
      </c>
      <c r="AD243" s="5">
        <f>TabOceanet[[#This Row],[isCalcAstreinte247]]*TabOceanet[[#This Row],[Nb_article]]*Tarif_Astreinte_24_24_7_7</f>
        <v>0</v>
      </c>
      <c r="AE243" s="5">
        <f>IF(TabOceanet[[#This Row],[VM_status]]="PoweredOn",1,0)</f>
        <v>0</v>
      </c>
      <c r="AF243" s="17">
        <f>TabOceanet[[#This Row],[VM_mem]]*Tarif_Ram</f>
        <v>0</v>
      </c>
      <c r="AG243" s="5" t="str">
        <f>MID(TabOceanet[[#This Row],[Backup]],29,20)</f>
        <v/>
      </c>
      <c r="AH243" s="17">
        <f>IF(LEFT(TabOceanet[[#This Row],[TypeBAK]],3)="HOR",Tarif_Backup_Horaire*TabOceanet[[#This Row],[VM_disk]],IF(LEFT(TabOceanet[[#This Row],[TypeBAK]],3)="J15",Tarif_Backup_J15*TabOceanet[[#This Row],[VM_disk]],IF(LEFT(TabOceanet[[#This Row],[TypeBAK]],3)="H1_",Tarif_Backup_J15*TabOceanet[[#This Row],[VM_disk]],0)))</f>
        <v>0</v>
      </c>
      <c r="AI243" s="17">
        <f>TabOceanet[[#This Row],[VM_disk]]*Tarif_disque</f>
        <v>0</v>
      </c>
      <c r="AJ243"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v>
      </c>
    </row>
    <row r="244" spans="1:36" hidden="1" x14ac:dyDescent="0.25">
      <c r="A244" t="s">
        <v>104</v>
      </c>
      <c r="F244">
        <v>1</v>
      </c>
      <c r="K244" t="s">
        <v>406</v>
      </c>
      <c r="O244">
        <v>10006791</v>
      </c>
      <c r="P244" t="s">
        <v>445</v>
      </c>
      <c r="Q244">
        <f>VLOOKUP(TabOceanet[VM_name],TabVMEnv[],3,FALSE)</f>
        <v>0</v>
      </c>
      <c r="R244" s="5" t="str">
        <f>IF(VLOOKUP(TabOceanet[VM_name],TabVMEnv[],2,FALSE) = "","Non","")</f>
        <v/>
      </c>
      <c r="S244" s="5">
        <f>IF(TabOceanet[[#This Row],[Type_tarif]]="Tarif_VLAN",1,0)</f>
        <v>1</v>
      </c>
      <c r="T244" s="5">
        <f>TabOceanet[[#This Row],[isCalcVlan]]*TabOceanet[[#This Row],[Nb_article]]*Tarif_VLAN</f>
        <v>10</v>
      </c>
      <c r="U244" s="5">
        <f>IF(TabOceanet[[#This Row],[Type_tarif]]="Tarif_IPPUB",1,0)</f>
        <v>0</v>
      </c>
      <c r="V244" s="5">
        <f>TabOceanet[[#This Row],[isCalcIpPub]]*TabOceanet[[#This Row],[Nb_article]]*Tarif_IPPUB</f>
        <v>0</v>
      </c>
      <c r="W244" s="5">
        <f>IF(TabOceanet[[#This Row],[Type_tarif]]="Tarif_DNS",1,0)</f>
        <v>0</v>
      </c>
      <c r="X244" s="5">
        <f>TabOceanet[[#This Row],[isCalcDns]]*TabOceanet[[#This Row],[Nb_article]]*Tarif_DNS</f>
        <v>0</v>
      </c>
      <c r="Y244" s="5">
        <f>IF(TabOceanet[[#This Row],[Type_tarif]]="Tarif_Certificat_X509_Simple",1,0)</f>
        <v>0</v>
      </c>
      <c r="Z244" s="5">
        <f>TabOceanet[[#This Row],[isCalcCertSimple]]*TabOceanet[[#This Row],[Nb_article]]*Tarif_Certificat_X509_Simple</f>
        <v>0</v>
      </c>
      <c r="AA244" s="5">
        <f>IF(TabOceanet[[#This Row],[Type_tarif]]="Tarif_Certificat_X509_Wildcard",1,0)</f>
        <v>0</v>
      </c>
      <c r="AB244" s="5">
        <f>TabOceanet[[#This Row],[isCalcCertWild]]*TabOceanet[[#This Row],[Nb_article]]*Tarif_Certificat_X509_Wildcard</f>
        <v>0</v>
      </c>
      <c r="AC244" s="5">
        <f>IF(TabOceanet[[#This Row],[Type_tarif]]="Tarif_Astreinte_24_24_7_7",1,0)</f>
        <v>0</v>
      </c>
      <c r="AD244" s="5">
        <f>TabOceanet[[#This Row],[isCalcAstreinte247]]*TabOceanet[[#This Row],[Nb_article]]*Tarif_Astreinte_24_24_7_7</f>
        <v>0</v>
      </c>
      <c r="AE244" s="5">
        <f>IF(TabOceanet[[#This Row],[VM_status]]="PoweredOn",1,0)</f>
        <v>0</v>
      </c>
      <c r="AF244" s="17">
        <f>TabOceanet[[#This Row],[VM_mem]]*Tarif_Ram</f>
        <v>0</v>
      </c>
      <c r="AG244" s="5" t="str">
        <f>MID(TabOceanet[[#This Row],[Backup]],29,20)</f>
        <v/>
      </c>
      <c r="AH244" s="17">
        <f>IF(LEFT(TabOceanet[[#This Row],[TypeBAK]],3)="HOR",Tarif_Backup_Horaire*TabOceanet[[#This Row],[VM_disk]],IF(LEFT(TabOceanet[[#This Row],[TypeBAK]],3)="J15",Tarif_Backup_J15*TabOceanet[[#This Row],[VM_disk]],IF(LEFT(TabOceanet[[#This Row],[TypeBAK]],3)="H1_",Tarif_Backup_J15*TabOceanet[[#This Row],[VM_disk]],0)))</f>
        <v>0</v>
      </c>
      <c r="AI244" s="17">
        <f>TabOceanet[[#This Row],[VM_disk]]*Tarif_disque</f>
        <v>0</v>
      </c>
      <c r="AJ244"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v>
      </c>
    </row>
    <row r="245" spans="1:36" hidden="1" x14ac:dyDescent="0.25">
      <c r="A245" t="s">
        <v>105</v>
      </c>
      <c r="F245">
        <v>1</v>
      </c>
      <c r="K245" t="s">
        <v>406</v>
      </c>
      <c r="O245">
        <v>10006791</v>
      </c>
      <c r="P245" t="s">
        <v>445</v>
      </c>
      <c r="Q245">
        <f>VLOOKUP(TabOceanet[VM_name],TabVMEnv[],3,FALSE)</f>
        <v>0</v>
      </c>
      <c r="R245" s="5" t="str">
        <f>IF(VLOOKUP(TabOceanet[VM_name],TabVMEnv[],2,FALSE) = "","Non","")</f>
        <v/>
      </c>
      <c r="S245" s="5">
        <f>IF(TabOceanet[[#This Row],[Type_tarif]]="Tarif_VLAN",1,0)</f>
        <v>1</v>
      </c>
      <c r="T245" s="5">
        <f>TabOceanet[[#This Row],[isCalcVlan]]*TabOceanet[[#This Row],[Nb_article]]*Tarif_VLAN</f>
        <v>10</v>
      </c>
      <c r="U245" s="5">
        <f>IF(TabOceanet[[#This Row],[Type_tarif]]="Tarif_IPPUB",1,0)</f>
        <v>0</v>
      </c>
      <c r="V245" s="5">
        <f>TabOceanet[[#This Row],[isCalcIpPub]]*TabOceanet[[#This Row],[Nb_article]]*Tarif_IPPUB</f>
        <v>0</v>
      </c>
      <c r="W245" s="5">
        <f>IF(TabOceanet[[#This Row],[Type_tarif]]="Tarif_DNS",1,0)</f>
        <v>0</v>
      </c>
      <c r="X245" s="5">
        <f>TabOceanet[[#This Row],[isCalcDns]]*TabOceanet[[#This Row],[Nb_article]]*Tarif_DNS</f>
        <v>0</v>
      </c>
      <c r="Y245" s="5">
        <f>IF(TabOceanet[[#This Row],[Type_tarif]]="Tarif_Certificat_X509_Simple",1,0)</f>
        <v>0</v>
      </c>
      <c r="Z245" s="5">
        <f>TabOceanet[[#This Row],[isCalcCertSimple]]*TabOceanet[[#This Row],[Nb_article]]*Tarif_Certificat_X509_Simple</f>
        <v>0</v>
      </c>
      <c r="AA245" s="5">
        <f>IF(TabOceanet[[#This Row],[Type_tarif]]="Tarif_Certificat_X509_Wildcard",1,0)</f>
        <v>0</v>
      </c>
      <c r="AB245" s="5">
        <f>TabOceanet[[#This Row],[isCalcCertWild]]*TabOceanet[[#This Row],[Nb_article]]*Tarif_Certificat_X509_Wildcard</f>
        <v>0</v>
      </c>
      <c r="AC245" s="5">
        <f>IF(TabOceanet[[#This Row],[Type_tarif]]="Tarif_Astreinte_24_24_7_7",1,0)</f>
        <v>0</v>
      </c>
      <c r="AD245" s="5">
        <f>TabOceanet[[#This Row],[isCalcAstreinte247]]*TabOceanet[[#This Row],[Nb_article]]*Tarif_Astreinte_24_24_7_7</f>
        <v>0</v>
      </c>
      <c r="AE245" s="5">
        <f>IF(TabOceanet[[#This Row],[VM_status]]="PoweredOn",1,0)</f>
        <v>0</v>
      </c>
      <c r="AF245" s="17">
        <f>TabOceanet[[#This Row],[VM_mem]]*Tarif_Ram</f>
        <v>0</v>
      </c>
      <c r="AG245" s="5" t="str">
        <f>MID(TabOceanet[[#This Row],[Backup]],29,20)</f>
        <v/>
      </c>
      <c r="AH245" s="17">
        <f>IF(LEFT(TabOceanet[[#This Row],[TypeBAK]],3)="HOR",Tarif_Backup_Horaire*TabOceanet[[#This Row],[VM_disk]],IF(LEFT(TabOceanet[[#This Row],[TypeBAK]],3)="J15",Tarif_Backup_J15*TabOceanet[[#This Row],[VM_disk]],IF(LEFT(TabOceanet[[#This Row],[TypeBAK]],3)="H1_",Tarif_Backup_J15*TabOceanet[[#This Row],[VM_disk]],0)))</f>
        <v>0</v>
      </c>
      <c r="AI245" s="17">
        <f>TabOceanet[[#This Row],[VM_disk]]*Tarif_disque</f>
        <v>0</v>
      </c>
      <c r="AJ245"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v>
      </c>
    </row>
    <row r="246" spans="1:36" hidden="1" x14ac:dyDescent="0.25">
      <c r="A246" t="s">
        <v>106</v>
      </c>
      <c r="F246">
        <v>1</v>
      </c>
      <c r="K246" t="s">
        <v>406</v>
      </c>
      <c r="O246">
        <v>10006791</v>
      </c>
      <c r="P246" t="s">
        <v>445</v>
      </c>
      <c r="Q246">
        <f>VLOOKUP(TabOceanet[VM_name],TabVMEnv[],3,FALSE)</f>
        <v>0</v>
      </c>
      <c r="R246" s="5" t="str">
        <f>IF(VLOOKUP(TabOceanet[VM_name],TabVMEnv[],2,FALSE) = "","Non","")</f>
        <v/>
      </c>
      <c r="S246" s="5">
        <f>IF(TabOceanet[[#This Row],[Type_tarif]]="Tarif_VLAN",1,0)</f>
        <v>1</v>
      </c>
      <c r="T246" s="5">
        <f>TabOceanet[[#This Row],[isCalcVlan]]*TabOceanet[[#This Row],[Nb_article]]*Tarif_VLAN</f>
        <v>10</v>
      </c>
      <c r="U246" s="5">
        <f>IF(TabOceanet[[#This Row],[Type_tarif]]="Tarif_IPPUB",1,0)</f>
        <v>0</v>
      </c>
      <c r="V246" s="5">
        <f>TabOceanet[[#This Row],[isCalcIpPub]]*TabOceanet[[#This Row],[Nb_article]]*Tarif_IPPUB</f>
        <v>0</v>
      </c>
      <c r="W246" s="5">
        <f>IF(TabOceanet[[#This Row],[Type_tarif]]="Tarif_DNS",1,0)</f>
        <v>0</v>
      </c>
      <c r="X246" s="5">
        <f>TabOceanet[[#This Row],[isCalcDns]]*TabOceanet[[#This Row],[Nb_article]]*Tarif_DNS</f>
        <v>0</v>
      </c>
      <c r="Y246" s="5">
        <f>IF(TabOceanet[[#This Row],[Type_tarif]]="Tarif_Certificat_X509_Simple",1,0)</f>
        <v>0</v>
      </c>
      <c r="Z246" s="5">
        <f>TabOceanet[[#This Row],[isCalcCertSimple]]*TabOceanet[[#This Row],[Nb_article]]*Tarif_Certificat_X509_Simple</f>
        <v>0</v>
      </c>
      <c r="AA246" s="5">
        <f>IF(TabOceanet[[#This Row],[Type_tarif]]="Tarif_Certificat_X509_Wildcard",1,0)</f>
        <v>0</v>
      </c>
      <c r="AB246" s="5">
        <f>TabOceanet[[#This Row],[isCalcCertWild]]*TabOceanet[[#This Row],[Nb_article]]*Tarif_Certificat_X509_Wildcard</f>
        <v>0</v>
      </c>
      <c r="AC246" s="5">
        <f>IF(TabOceanet[[#This Row],[Type_tarif]]="Tarif_Astreinte_24_24_7_7",1,0)</f>
        <v>0</v>
      </c>
      <c r="AD246" s="5">
        <f>TabOceanet[[#This Row],[isCalcAstreinte247]]*TabOceanet[[#This Row],[Nb_article]]*Tarif_Astreinte_24_24_7_7</f>
        <v>0</v>
      </c>
      <c r="AE246" s="5">
        <f>IF(TabOceanet[[#This Row],[VM_status]]="PoweredOn",1,0)</f>
        <v>0</v>
      </c>
      <c r="AF246" s="17">
        <f>TabOceanet[[#This Row],[VM_mem]]*Tarif_Ram</f>
        <v>0</v>
      </c>
      <c r="AG246" s="5" t="str">
        <f>MID(TabOceanet[[#This Row],[Backup]],29,20)</f>
        <v/>
      </c>
      <c r="AH246" s="17">
        <f>IF(LEFT(TabOceanet[[#This Row],[TypeBAK]],3)="HOR",Tarif_Backup_Horaire*TabOceanet[[#This Row],[VM_disk]],IF(LEFT(TabOceanet[[#This Row],[TypeBAK]],3)="J15",Tarif_Backup_J15*TabOceanet[[#This Row],[VM_disk]],IF(LEFT(TabOceanet[[#This Row],[TypeBAK]],3)="H1_",Tarif_Backup_J15*TabOceanet[[#This Row],[VM_disk]],0)))</f>
        <v>0</v>
      </c>
      <c r="AI246" s="17">
        <f>TabOceanet[[#This Row],[VM_disk]]*Tarif_disque</f>
        <v>0</v>
      </c>
      <c r="AJ246"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v>
      </c>
    </row>
    <row r="247" spans="1:36" hidden="1" x14ac:dyDescent="0.25">
      <c r="A247" t="s">
        <v>107</v>
      </c>
      <c r="F247">
        <v>1</v>
      </c>
      <c r="K247" t="s">
        <v>406</v>
      </c>
      <c r="O247">
        <v>10006791</v>
      </c>
      <c r="P247" t="s">
        <v>445</v>
      </c>
      <c r="Q247">
        <f>VLOOKUP(TabOceanet[VM_name],TabVMEnv[],3,FALSE)</f>
        <v>0</v>
      </c>
      <c r="R247" s="5" t="str">
        <f>IF(VLOOKUP(TabOceanet[VM_name],TabVMEnv[],2,FALSE) = "","Non","")</f>
        <v/>
      </c>
      <c r="S247" s="5">
        <f>IF(TabOceanet[[#This Row],[Type_tarif]]="Tarif_VLAN",1,0)</f>
        <v>1</v>
      </c>
      <c r="T247" s="5">
        <f>TabOceanet[[#This Row],[isCalcVlan]]*TabOceanet[[#This Row],[Nb_article]]*Tarif_VLAN</f>
        <v>10</v>
      </c>
      <c r="U247" s="5">
        <f>IF(TabOceanet[[#This Row],[Type_tarif]]="Tarif_IPPUB",1,0)</f>
        <v>0</v>
      </c>
      <c r="V247" s="5">
        <f>TabOceanet[[#This Row],[isCalcIpPub]]*TabOceanet[[#This Row],[Nb_article]]*Tarif_IPPUB</f>
        <v>0</v>
      </c>
      <c r="W247" s="5">
        <f>IF(TabOceanet[[#This Row],[Type_tarif]]="Tarif_DNS",1,0)</f>
        <v>0</v>
      </c>
      <c r="X247" s="5">
        <f>TabOceanet[[#This Row],[isCalcDns]]*TabOceanet[[#This Row],[Nb_article]]*Tarif_DNS</f>
        <v>0</v>
      </c>
      <c r="Y247" s="5">
        <f>IF(TabOceanet[[#This Row],[Type_tarif]]="Tarif_Certificat_X509_Simple",1,0)</f>
        <v>0</v>
      </c>
      <c r="Z247" s="5">
        <f>TabOceanet[[#This Row],[isCalcCertSimple]]*TabOceanet[[#This Row],[Nb_article]]*Tarif_Certificat_X509_Simple</f>
        <v>0</v>
      </c>
      <c r="AA247" s="5">
        <f>IF(TabOceanet[[#This Row],[Type_tarif]]="Tarif_Certificat_X509_Wildcard",1,0)</f>
        <v>0</v>
      </c>
      <c r="AB247" s="5">
        <f>TabOceanet[[#This Row],[isCalcCertWild]]*TabOceanet[[#This Row],[Nb_article]]*Tarif_Certificat_X509_Wildcard</f>
        <v>0</v>
      </c>
      <c r="AC247" s="5">
        <f>IF(TabOceanet[[#This Row],[Type_tarif]]="Tarif_Astreinte_24_24_7_7",1,0)</f>
        <v>0</v>
      </c>
      <c r="AD247" s="5">
        <f>TabOceanet[[#This Row],[isCalcAstreinte247]]*TabOceanet[[#This Row],[Nb_article]]*Tarif_Astreinte_24_24_7_7</f>
        <v>0</v>
      </c>
      <c r="AE247" s="5">
        <f>IF(TabOceanet[[#This Row],[VM_status]]="PoweredOn",1,0)</f>
        <v>0</v>
      </c>
      <c r="AF247" s="17">
        <f>TabOceanet[[#This Row],[VM_mem]]*Tarif_Ram</f>
        <v>0</v>
      </c>
      <c r="AG247" s="5" t="str">
        <f>MID(TabOceanet[[#This Row],[Backup]],29,20)</f>
        <v/>
      </c>
      <c r="AH247" s="17">
        <f>IF(LEFT(TabOceanet[[#This Row],[TypeBAK]],3)="HOR",Tarif_Backup_Horaire*TabOceanet[[#This Row],[VM_disk]],IF(LEFT(TabOceanet[[#This Row],[TypeBAK]],3)="J15",Tarif_Backup_J15*TabOceanet[[#This Row],[VM_disk]],IF(LEFT(TabOceanet[[#This Row],[TypeBAK]],3)="H1_",Tarif_Backup_J15*TabOceanet[[#This Row],[VM_disk]],0)))</f>
        <v>0</v>
      </c>
      <c r="AI247" s="17">
        <f>TabOceanet[[#This Row],[VM_disk]]*Tarif_disque</f>
        <v>0</v>
      </c>
      <c r="AJ247"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v>
      </c>
    </row>
    <row r="248" spans="1:36" hidden="1" x14ac:dyDescent="0.25">
      <c r="A248" t="s">
        <v>108</v>
      </c>
      <c r="F248">
        <v>1</v>
      </c>
      <c r="K248" t="s">
        <v>406</v>
      </c>
      <c r="O248">
        <v>10006791</v>
      </c>
      <c r="P248" t="s">
        <v>445</v>
      </c>
      <c r="Q248">
        <f>VLOOKUP(TabOceanet[VM_name],TabVMEnv[],3,FALSE)</f>
        <v>0</v>
      </c>
      <c r="R248" s="5" t="str">
        <f>IF(VLOOKUP(TabOceanet[VM_name],TabVMEnv[],2,FALSE) = "","Non","")</f>
        <v/>
      </c>
      <c r="S248" s="5">
        <f>IF(TabOceanet[[#This Row],[Type_tarif]]="Tarif_VLAN",1,0)</f>
        <v>1</v>
      </c>
      <c r="T248" s="5">
        <f>TabOceanet[[#This Row],[isCalcVlan]]*TabOceanet[[#This Row],[Nb_article]]*Tarif_VLAN</f>
        <v>10</v>
      </c>
      <c r="U248" s="5">
        <f>IF(TabOceanet[[#This Row],[Type_tarif]]="Tarif_IPPUB",1,0)</f>
        <v>0</v>
      </c>
      <c r="V248" s="5">
        <f>TabOceanet[[#This Row],[isCalcIpPub]]*TabOceanet[[#This Row],[Nb_article]]*Tarif_IPPUB</f>
        <v>0</v>
      </c>
      <c r="W248" s="5">
        <f>IF(TabOceanet[[#This Row],[Type_tarif]]="Tarif_DNS",1,0)</f>
        <v>0</v>
      </c>
      <c r="X248" s="5">
        <f>TabOceanet[[#This Row],[isCalcDns]]*TabOceanet[[#This Row],[Nb_article]]*Tarif_DNS</f>
        <v>0</v>
      </c>
      <c r="Y248" s="5">
        <f>IF(TabOceanet[[#This Row],[Type_tarif]]="Tarif_Certificat_X509_Simple",1,0)</f>
        <v>0</v>
      </c>
      <c r="Z248" s="5">
        <f>TabOceanet[[#This Row],[isCalcCertSimple]]*TabOceanet[[#This Row],[Nb_article]]*Tarif_Certificat_X509_Simple</f>
        <v>0</v>
      </c>
      <c r="AA248" s="5">
        <f>IF(TabOceanet[[#This Row],[Type_tarif]]="Tarif_Certificat_X509_Wildcard",1,0)</f>
        <v>0</v>
      </c>
      <c r="AB248" s="5">
        <f>TabOceanet[[#This Row],[isCalcCertWild]]*TabOceanet[[#This Row],[Nb_article]]*Tarif_Certificat_X509_Wildcard</f>
        <v>0</v>
      </c>
      <c r="AC248" s="5">
        <f>IF(TabOceanet[[#This Row],[Type_tarif]]="Tarif_Astreinte_24_24_7_7",1,0)</f>
        <v>0</v>
      </c>
      <c r="AD248" s="5">
        <f>TabOceanet[[#This Row],[isCalcAstreinte247]]*TabOceanet[[#This Row],[Nb_article]]*Tarif_Astreinte_24_24_7_7</f>
        <v>0</v>
      </c>
      <c r="AE248" s="5">
        <f>IF(TabOceanet[[#This Row],[VM_status]]="PoweredOn",1,0)</f>
        <v>0</v>
      </c>
      <c r="AF248" s="17">
        <f>TabOceanet[[#This Row],[VM_mem]]*Tarif_Ram</f>
        <v>0</v>
      </c>
      <c r="AG248" s="5" t="str">
        <f>MID(TabOceanet[[#This Row],[Backup]],29,20)</f>
        <v/>
      </c>
      <c r="AH248" s="17">
        <f>IF(LEFT(TabOceanet[[#This Row],[TypeBAK]],3)="HOR",Tarif_Backup_Horaire*TabOceanet[[#This Row],[VM_disk]],IF(LEFT(TabOceanet[[#This Row],[TypeBAK]],3)="J15",Tarif_Backup_J15*TabOceanet[[#This Row],[VM_disk]],IF(LEFT(TabOceanet[[#This Row],[TypeBAK]],3)="H1_",Tarif_Backup_J15*TabOceanet[[#This Row],[VM_disk]],0)))</f>
        <v>0</v>
      </c>
      <c r="AI248" s="17">
        <f>TabOceanet[[#This Row],[VM_disk]]*Tarif_disque</f>
        <v>0</v>
      </c>
      <c r="AJ248"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v>
      </c>
    </row>
    <row r="249" spans="1:36" hidden="1" x14ac:dyDescent="0.25">
      <c r="A249" t="s">
        <v>109</v>
      </c>
      <c r="F249">
        <v>1</v>
      </c>
      <c r="K249" t="s">
        <v>406</v>
      </c>
      <c r="O249">
        <v>10006791</v>
      </c>
      <c r="P249" t="s">
        <v>445</v>
      </c>
      <c r="Q249">
        <f>VLOOKUP(TabOceanet[VM_name],TabVMEnv[],3,FALSE)</f>
        <v>0</v>
      </c>
      <c r="R249" s="5" t="str">
        <f>IF(VLOOKUP(TabOceanet[VM_name],TabVMEnv[],2,FALSE) = "","Non","")</f>
        <v/>
      </c>
      <c r="S249" s="5">
        <f>IF(TabOceanet[[#This Row],[Type_tarif]]="Tarif_VLAN",1,0)</f>
        <v>1</v>
      </c>
      <c r="T249" s="5">
        <f>TabOceanet[[#This Row],[isCalcVlan]]*TabOceanet[[#This Row],[Nb_article]]*Tarif_VLAN</f>
        <v>10</v>
      </c>
      <c r="U249" s="5">
        <f>IF(TabOceanet[[#This Row],[Type_tarif]]="Tarif_IPPUB",1,0)</f>
        <v>0</v>
      </c>
      <c r="V249" s="5">
        <f>TabOceanet[[#This Row],[isCalcIpPub]]*TabOceanet[[#This Row],[Nb_article]]*Tarif_IPPUB</f>
        <v>0</v>
      </c>
      <c r="W249" s="5">
        <f>IF(TabOceanet[[#This Row],[Type_tarif]]="Tarif_DNS",1,0)</f>
        <v>0</v>
      </c>
      <c r="X249" s="5">
        <f>TabOceanet[[#This Row],[isCalcDns]]*TabOceanet[[#This Row],[Nb_article]]*Tarif_DNS</f>
        <v>0</v>
      </c>
      <c r="Y249" s="5">
        <f>IF(TabOceanet[[#This Row],[Type_tarif]]="Tarif_Certificat_X509_Simple",1,0)</f>
        <v>0</v>
      </c>
      <c r="Z249" s="5">
        <f>TabOceanet[[#This Row],[isCalcCertSimple]]*TabOceanet[[#This Row],[Nb_article]]*Tarif_Certificat_X509_Simple</f>
        <v>0</v>
      </c>
      <c r="AA249" s="5">
        <f>IF(TabOceanet[[#This Row],[Type_tarif]]="Tarif_Certificat_X509_Wildcard",1,0)</f>
        <v>0</v>
      </c>
      <c r="AB249" s="5">
        <f>TabOceanet[[#This Row],[isCalcCertWild]]*TabOceanet[[#This Row],[Nb_article]]*Tarif_Certificat_X509_Wildcard</f>
        <v>0</v>
      </c>
      <c r="AC249" s="5">
        <f>IF(TabOceanet[[#This Row],[Type_tarif]]="Tarif_Astreinte_24_24_7_7",1,0)</f>
        <v>0</v>
      </c>
      <c r="AD249" s="5">
        <f>TabOceanet[[#This Row],[isCalcAstreinte247]]*TabOceanet[[#This Row],[Nb_article]]*Tarif_Astreinte_24_24_7_7</f>
        <v>0</v>
      </c>
      <c r="AE249" s="5">
        <f>IF(TabOceanet[[#This Row],[VM_status]]="PoweredOn",1,0)</f>
        <v>0</v>
      </c>
      <c r="AF249" s="17">
        <f>TabOceanet[[#This Row],[VM_mem]]*Tarif_Ram</f>
        <v>0</v>
      </c>
      <c r="AG249" s="5" t="str">
        <f>MID(TabOceanet[[#This Row],[Backup]],29,20)</f>
        <v/>
      </c>
      <c r="AH249" s="17">
        <f>IF(LEFT(TabOceanet[[#This Row],[TypeBAK]],3)="HOR",Tarif_Backup_Horaire*TabOceanet[[#This Row],[VM_disk]],IF(LEFT(TabOceanet[[#This Row],[TypeBAK]],3)="J15",Tarif_Backup_J15*TabOceanet[[#This Row],[VM_disk]],IF(LEFT(TabOceanet[[#This Row],[TypeBAK]],3)="H1_",Tarif_Backup_J15*TabOceanet[[#This Row],[VM_disk]],0)))</f>
        <v>0</v>
      </c>
      <c r="AI249" s="17">
        <f>TabOceanet[[#This Row],[VM_disk]]*Tarif_disque</f>
        <v>0</v>
      </c>
      <c r="AJ249"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v>
      </c>
    </row>
    <row r="250" spans="1:36" hidden="1" x14ac:dyDescent="0.25">
      <c r="A250" t="s">
        <v>110</v>
      </c>
      <c r="F250">
        <v>1</v>
      </c>
      <c r="K250" t="s">
        <v>406</v>
      </c>
      <c r="O250">
        <v>10006791</v>
      </c>
      <c r="P250" t="s">
        <v>445</v>
      </c>
      <c r="Q250">
        <f>VLOOKUP(TabOceanet[VM_name],TabVMEnv[],3,FALSE)</f>
        <v>0</v>
      </c>
      <c r="R250" s="5" t="str">
        <f>IF(VLOOKUP(TabOceanet[VM_name],TabVMEnv[],2,FALSE) = "","Non","")</f>
        <v/>
      </c>
      <c r="S250" s="5">
        <f>IF(TabOceanet[[#This Row],[Type_tarif]]="Tarif_VLAN",1,0)</f>
        <v>1</v>
      </c>
      <c r="T250" s="5">
        <f>TabOceanet[[#This Row],[isCalcVlan]]*TabOceanet[[#This Row],[Nb_article]]*Tarif_VLAN</f>
        <v>10</v>
      </c>
      <c r="U250" s="5">
        <f>IF(TabOceanet[[#This Row],[Type_tarif]]="Tarif_IPPUB",1,0)</f>
        <v>0</v>
      </c>
      <c r="V250" s="5">
        <f>TabOceanet[[#This Row],[isCalcIpPub]]*TabOceanet[[#This Row],[Nb_article]]*Tarif_IPPUB</f>
        <v>0</v>
      </c>
      <c r="W250" s="5">
        <f>IF(TabOceanet[[#This Row],[Type_tarif]]="Tarif_DNS",1,0)</f>
        <v>0</v>
      </c>
      <c r="X250" s="5">
        <f>TabOceanet[[#This Row],[isCalcDns]]*TabOceanet[[#This Row],[Nb_article]]*Tarif_DNS</f>
        <v>0</v>
      </c>
      <c r="Y250" s="5">
        <f>IF(TabOceanet[[#This Row],[Type_tarif]]="Tarif_Certificat_X509_Simple",1,0)</f>
        <v>0</v>
      </c>
      <c r="Z250" s="5">
        <f>TabOceanet[[#This Row],[isCalcCertSimple]]*TabOceanet[[#This Row],[Nb_article]]*Tarif_Certificat_X509_Simple</f>
        <v>0</v>
      </c>
      <c r="AA250" s="5">
        <f>IF(TabOceanet[[#This Row],[Type_tarif]]="Tarif_Certificat_X509_Wildcard",1,0)</f>
        <v>0</v>
      </c>
      <c r="AB250" s="5">
        <f>TabOceanet[[#This Row],[isCalcCertWild]]*TabOceanet[[#This Row],[Nb_article]]*Tarif_Certificat_X509_Wildcard</f>
        <v>0</v>
      </c>
      <c r="AC250" s="5">
        <f>IF(TabOceanet[[#This Row],[Type_tarif]]="Tarif_Astreinte_24_24_7_7",1,0)</f>
        <v>0</v>
      </c>
      <c r="AD250" s="5">
        <f>TabOceanet[[#This Row],[isCalcAstreinte247]]*TabOceanet[[#This Row],[Nb_article]]*Tarif_Astreinte_24_24_7_7</f>
        <v>0</v>
      </c>
      <c r="AE250" s="5">
        <f>IF(TabOceanet[[#This Row],[VM_status]]="PoweredOn",1,0)</f>
        <v>0</v>
      </c>
      <c r="AF250" s="17">
        <f>TabOceanet[[#This Row],[VM_mem]]*Tarif_Ram</f>
        <v>0</v>
      </c>
      <c r="AG250" s="5" t="str">
        <f>MID(TabOceanet[[#This Row],[Backup]],29,20)</f>
        <v/>
      </c>
      <c r="AH250" s="17">
        <f>IF(LEFT(TabOceanet[[#This Row],[TypeBAK]],3)="HOR",Tarif_Backup_Horaire*TabOceanet[[#This Row],[VM_disk]],IF(LEFT(TabOceanet[[#This Row],[TypeBAK]],3)="J15",Tarif_Backup_J15*TabOceanet[[#This Row],[VM_disk]],IF(LEFT(TabOceanet[[#This Row],[TypeBAK]],3)="H1_",Tarif_Backup_J15*TabOceanet[[#This Row],[VM_disk]],0)))</f>
        <v>0</v>
      </c>
      <c r="AI250" s="17">
        <f>TabOceanet[[#This Row],[VM_disk]]*Tarif_disque</f>
        <v>0</v>
      </c>
      <c r="AJ250"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v>
      </c>
    </row>
    <row r="251" spans="1:36" hidden="1" x14ac:dyDescent="0.25">
      <c r="A251" t="s">
        <v>111</v>
      </c>
      <c r="F251">
        <v>1</v>
      </c>
      <c r="K251" t="s">
        <v>406</v>
      </c>
      <c r="O251">
        <v>10006791</v>
      </c>
      <c r="P251" t="s">
        <v>445</v>
      </c>
      <c r="Q251">
        <f>VLOOKUP(TabOceanet[VM_name],TabVMEnv[],3,FALSE)</f>
        <v>0</v>
      </c>
      <c r="R251" s="5" t="str">
        <f>IF(VLOOKUP(TabOceanet[VM_name],TabVMEnv[],2,FALSE) = "","Non","")</f>
        <v/>
      </c>
      <c r="S251" s="5">
        <f>IF(TabOceanet[[#This Row],[Type_tarif]]="Tarif_VLAN",1,0)</f>
        <v>1</v>
      </c>
      <c r="T251" s="5">
        <f>TabOceanet[[#This Row],[isCalcVlan]]*TabOceanet[[#This Row],[Nb_article]]*Tarif_VLAN</f>
        <v>10</v>
      </c>
      <c r="U251" s="5">
        <f>IF(TabOceanet[[#This Row],[Type_tarif]]="Tarif_IPPUB",1,0)</f>
        <v>0</v>
      </c>
      <c r="V251" s="5">
        <f>TabOceanet[[#This Row],[isCalcIpPub]]*TabOceanet[[#This Row],[Nb_article]]*Tarif_IPPUB</f>
        <v>0</v>
      </c>
      <c r="W251" s="5">
        <f>IF(TabOceanet[[#This Row],[Type_tarif]]="Tarif_DNS",1,0)</f>
        <v>0</v>
      </c>
      <c r="X251" s="5">
        <f>TabOceanet[[#This Row],[isCalcDns]]*TabOceanet[[#This Row],[Nb_article]]*Tarif_DNS</f>
        <v>0</v>
      </c>
      <c r="Y251" s="5">
        <f>IF(TabOceanet[[#This Row],[Type_tarif]]="Tarif_Certificat_X509_Simple",1,0)</f>
        <v>0</v>
      </c>
      <c r="Z251" s="5">
        <f>TabOceanet[[#This Row],[isCalcCertSimple]]*TabOceanet[[#This Row],[Nb_article]]*Tarif_Certificat_X509_Simple</f>
        <v>0</v>
      </c>
      <c r="AA251" s="5">
        <f>IF(TabOceanet[[#This Row],[Type_tarif]]="Tarif_Certificat_X509_Wildcard",1,0)</f>
        <v>0</v>
      </c>
      <c r="AB251" s="5">
        <f>TabOceanet[[#This Row],[isCalcCertWild]]*TabOceanet[[#This Row],[Nb_article]]*Tarif_Certificat_X509_Wildcard</f>
        <v>0</v>
      </c>
      <c r="AC251" s="5">
        <f>IF(TabOceanet[[#This Row],[Type_tarif]]="Tarif_Astreinte_24_24_7_7",1,0)</f>
        <v>0</v>
      </c>
      <c r="AD251" s="5">
        <f>TabOceanet[[#This Row],[isCalcAstreinte247]]*TabOceanet[[#This Row],[Nb_article]]*Tarif_Astreinte_24_24_7_7</f>
        <v>0</v>
      </c>
      <c r="AE251" s="5">
        <f>IF(TabOceanet[[#This Row],[VM_status]]="PoweredOn",1,0)</f>
        <v>0</v>
      </c>
      <c r="AF251" s="17">
        <f>TabOceanet[[#This Row],[VM_mem]]*Tarif_Ram</f>
        <v>0</v>
      </c>
      <c r="AG251" s="5" t="str">
        <f>MID(TabOceanet[[#This Row],[Backup]],29,20)</f>
        <v/>
      </c>
      <c r="AH251" s="17">
        <f>IF(LEFT(TabOceanet[[#This Row],[TypeBAK]],3)="HOR",Tarif_Backup_Horaire*TabOceanet[[#This Row],[VM_disk]],IF(LEFT(TabOceanet[[#This Row],[TypeBAK]],3)="J15",Tarif_Backup_J15*TabOceanet[[#This Row],[VM_disk]],IF(LEFT(TabOceanet[[#This Row],[TypeBAK]],3)="H1_",Tarif_Backup_J15*TabOceanet[[#This Row],[VM_disk]],0)))</f>
        <v>0</v>
      </c>
      <c r="AI251" s="17">
        <f>TabOceanet[[#This Row],[VM_disk]]*Tarif_disque</f>
        <v>0</v>
      </c>
      <c r="AJ251"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v>
      </c>
    </row>
    <row r="252" spans="1:36" hidden="1" x14ac:dyDescent="0.25">
      <c r="A252" t="s">
        <v>112</v>
      </c>
      <c r="F252">
        <v>1</v>
      </c>
      <c r="K252" t="s">
        <v>406</v>
      </c>
      <c r="O252">
        <v>10006791</v>
      </c>
      <c r="P252" t="s">
        <v>445</v>
      </c>
      <c r="Q252">
        <f>VLOOKUP(TabOceanet[VM_name],TabVMEnv[],3,FALSE)</f>
        <v>0</v>
      </c>
      <c r="R252" s="5" t="str">
        <f>IF(VLOOKUP(TabOceanet[VM_name],TabVMEnv[],2,FALSE) = "","Non","")</f>
        <v/>
      </c>
      <c r="S252" s="5">
        <f>IF(TabOceanet[[#This Row],[Type_tarif]]="Tarif_VLAN",1,0)</f>
        <v>1</v>
      </c>
      <c r="T252" s="5">
        <f>TabOceanet[[#This Row],[isCalcVlan]]*TabOceanet[[#This Row],[Nb_article]]*Tarif_VLAN</f>
        <v>10</v>
      </c>
      <c r="U252" s="5">
        <f>IF(TabOceanet[[#This Row],[Type_tarif]]="Tarif_IPPUB",1,0)</f>
        <v>0</v>
      </c>
      <c r="V252" s="5">
        <f>TabOceanet[[#This Row],[isCalcIpPub]]*TabOceanet[[#This Row],[Nb_article]]*Tarif_IPPUB</f>
        <v>0</v>
      </c>
      <c r="W252" s="5">
        <f>IF(TabOceanet[[#This Row],[Type_tarif]]="Tarif_DNS",1,0)</f>
        <v>0</v>
      </c>
      <c r="X252" s="5">
        <f>TabOceanet[[#This Row],[isCalcDns]]*TabOceanet[[#This Row],[Nb_article]]*Tarif_DNS</f>
        <v>0</v>
      </c>
      <c r="Y252" s="5">
        <f>IF(TabOceanet[[#This Row],[Type_tarif]]="Tarif_Certificat_X509_Simple",1,0)</f>
        <v>0</v>
      </c>
      <c r="Z252" s="5">
        <f>TabOceanet[[#This Row],[isCalcCertSimple]]*TabOceanet[[#This Row],[Nb_article]]*Tarif_Certificat_X509_Simple</f>
        <v>0</v>
      </c>
      <c r="AA252" s="5">
        <f>IF(TabOceanet[[#This Row],[Type_tarif]]="Tarif_Certificat_X509_Wildcard",1,0)</f>
        <v>0</v>
      </c>
      <c r="AB252" s="5">
        <f>TabOceanet[[#This Row],[isCalcCertWild]]*TabOceanet[[#This Row],[Nb_article]]*Tarif_Certificat_X509_Wildcard</f>
        <v>0</v>
      </c>
      <c r="AC252" s="5">
        <f>IF(TabOceanet[[#This Row],[Type_tarif]]="Tarif_Astreinte_24_24_7_7",1,0)</f>
        <v>0</v>
      </c>
      <c r="AD252" s="5">
        <f>TabOceanet[[#This Row],[isCalcAstreinte247]]*TabOceanet[[#This Row],[Nb_article]]*Tarif_Astreinte_24_24_7_7</f>
        <v>0</v>
      </c>
      <c r="AE252" s="5">
        <f>IF(TabOceanet[[#This Row],[VM_status]]="PoweredOn",1,0)</f>
        <v>0</v>
      </c>
      <c r="AF252" s="17">
        <f>TabOceanet[[#This Row],[VM_mem]]*Tarif_Ram</f>
        <v>0</v>
      </c>
      <c r="AG252" s="5" t="str">
        <f>MID(TabOceanet[[#This Row],[Backup]],29,20)</f>
        <v/>
      </c>
      <c r="AH252" s="17">
        <f>IF(LEFT(TabOceanet[[#This Row],[TypeBAK]],3)="HOR",Tarif_Backup_Horaire*TabOceanet[[#This Row],[VM_disk]],IF(LEFT(TabOceanet[[#This Row],[TypeBAK]],3)="J15",Tarif_Backup_J15*TabOceanet[[#This Row],[VM_disk]],IF(LEFT(TabOceanet[[#This Row],[TypeBAK]],3)="H1_",Tarif_Backup_J15*TabOceanet[[#This Row],[VM_disk]],0)))</f>
        <v>0</v>
      </c>
      <c r="AI252" s="17">
        <f>TabOceanet[[#This Row],[VM_disk]]*Tarif_disque</f>
        <v>0</v>
      </c>
      <c r="AJ252"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v>
      </c>
    </row>
    <row r="253" spans="1:36" hidden="1" x14ac:dyDescent="0.25">
      <c r="A253" t="s">
        <v>113</v>
      </c>
      <c r="F253">
        <v>1</v>
      </c>
      <c r="K253" t="s">
        <v>406</v>
      </c>
      <c r="O253">
        <v>10006791</v>
      </c>
      <c r="P253" t="s">
        <v>445</v>
      </c>
      <c r="Q253">
        <f>VLOOKUP(TabOceanet[VM_name],TabVMEnv[],3,FALSE)</f>
        <v>0</v>
      </c>
      <c r="R253" s="5" t="str">
        <f>IF(VLOOKUP(TabOceanet[VM_name],TabVMEnv[],2,FALSE) = "","Non","")</f>
        <v/>
      </c>
      <c r="S253" s="5">
        <f>IF(TabOceanet[[#This Row],[Type_tarif]]="Tarif_VLAN",1,0)</f>
        <v>1</v>
      </c>
      <c r="T253" s="5">
        <f>TabOceanet[[#This Row],[isCalcVlan]]*TabOceanet[[#This Row],[Nb_article]]*Tarif_VLAN</f>
        <v>10</v>
      </c>
      <c r="U253" s="5">
        <f>IF(TabOceanet[[#This Row],[Type_tarif]]="Tarif_IPPUB",1,0)</f>
        <v>0</v>
      </c>
      <c r="V253" s="5">
        <f>TabOceanet[[#This Row],[isCalcIpPub]]*TabOceanet[[#This Row],[Nb_article]]*Tarif_IPPUB</f>
        <v>0</v>
      </c>
      <c r="W253" s="5">
        <f>IF(TabOceanet[[#This Row],[Type_tarif]]="Tarif_DNS",1,0)</f>
        <v>0</v>
      </c>
      <c r="X253" s="5">
        <f>TabOceanet[[#This Row],[isCalcDns]]*TabOceanet[[#This Row],[Nb_article]]*Tarif_DNS</f>
        <v>0</v>
      </c>
      <c r="Y253" s="5">
        <f>IF(TabOceanet[[#This Row],[Type_tarif]]="Tarif_Certificat_X509_Simple",1,0)</f>
        <v>0</v>
      </c>
      <c r="Z253" s="5">
        <f>TabOceanet[[#This Row],[isCalcCertSimple]]*TabOceanet[[#This Row],[Nb_article]]*Tarif_Certificat_X509_Simple</f>
        <v>0</v>
      </c>
      <c r="AA253" s="5">
        <f>IF(TabOceanet[[#This Row],[Type_tarif]]="Tarif_Certificat_X509_Wildcard",1,0)</f>
        <v>0</v>
      </c>
      <c r="AB253" s="5">
        <f>TabOceanet[[#This Row],[isCalcCertWild]]*TabOceanet[[#This Row],[Nb_article]]*Tarif_Certificat_X509_Wildcard</f>
        <v>0</v>
      </c>
      <c r="AC253" s="5">
        <f>IF(TabOceanet[[#This Row],[Type_tarif]]="Tarif_Astreinte_24_24_7_7",1,0)</f>
        <v>0</v>
      </c>
      <c r="AD253" s="5">
        <f>TabOceanet[[#This Row],[isCalcAstreinte247]]*TabOceanet[[#This Row],[Nb_article]]*Tarif_Astreinte_24_24_7_7</f>
        <v>0</v>
      </c>
      <c r="AE253" s="5">
        <f>IF(TabOceanet[[#This Row],[VM_status]]="PoweredOn",1,0)</f>
        <v>0</v>
      </c>
      <c r="AF253" s="17">
        <f>TabOceanet[[#This Row],[VM_mem]]*Tarif_Ram</f>
        <v>0</v>
      </c>
      <c r="AG253" s="5" t="str">
        <f>MID(TabOceanet[[#This Row],[Backup]],29,20)</f>
        <v/>
      </c>
      <c r="AH253" s="17">
        <f>IF(LEFT(TabOceanet[[#This Row],[TypeBAK]],3)="HOR",Tarif_Backup_Horaire*TabOceanet[[#This Row],[VM_disk]],IF(LEFT(TabOceanet[[#This Row],[TypeBAK]],3)="J15",Tarif_Backup_J15*TabOceanet[[#This Row],[VM_disk]],IF(LEFT(TabOceanet[[#This Row],[TypeBAK]],3)="H1_",Tarif_Backup_J15*TabOceanet[[#This Row],[VM_disk]],0)))</f>
        <v>0</v>
      </c>
      <c r="AI253" s="17">
        <f>TabOceanet[[#This Row],[VM_disk]]*Tarif_disque</f>
        <v>0</v>
      </c>
      <c r="AJ253"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v>
      </c>
    </row>
    <row r="254" spans="1:36" hidden="1" x14ac:dyDescent="0.25">
      <c r="A254" t="s">
        <v>179</v>
      </c>
      <c r="F254">
        <v>1</v>
      </c>
      <c r="K254" t="s">
        <v>408</v>
      </c>
      <c r="O254">
        <v>10006791</v>
      </c>
      <c r="P254" t="s">
        <v>445</v>
      </c>
      <c r="Q254">
        <f>VLOOKUP(TabOceanet[VM_name],TabVMEnv[],3,FALSE)</f>
        <v>0</v>
      </c>
      <c r="R254" s="5" t="str">
        <f>IF(VLOOKUP(TabOceanet[VM_name],TabVMEnv[],2,FALSE) = "","Non","")</f>
        <v/>
      </c>
      <c r="S254" s="5">
        <f>IF(TabOceanet[[#This Row],[Type_tarif]]="Tarif_VLAN",1,0)</f>
        <v>1</v>
      </c>
      <c r="T254" s="5">
        <f>TabOceanet[[#This Row],[isCalcVlan]]*TabOceanet[[#This Row],[Nb_article]]*Tarif_VLAN</f>
        <v>10</v>
      </c>
      <c r="U254" s="5">
        <f>IF(TabOceanet[[#This Row],[Type_tarif]]="Tarif_IPPUB",1,0)</f>
        <v>0</v>
      </c>
      <c r="V254" s="5">
        <f>TabOceanet[[#This Row],[isCalcIpPub]]*TabOceanet[[#This Row],[Nb_article]]*Tarif_IPPUB</f>
        <v>0</v>
      </c>
      <c r="W254" s="5">
        <f>IF(TabOceanet[[#This Row],[Type_tarif]]="Tarif_DNS",1,0)</f>
        <v>0</v>
      </c>
      <c r="X254" s="5">
        <f>TabOceanet[[#This Row],[isCalcDns]]*TabOceanet[[#This Row],[Nb_article]]*Tarif_DNS</f>
        <v>0</v>
      </c>
      <c r="Y254" s="5">
        <f>IF(TabOceanet[[#This Row],[Type_tarif]]="Tarif_Certificat_X509_Simple",1,0)</f>
        <v>0</v>
      </c>
      <c r="Z254" s="5">
        <f>TabOceanet[[#This Row],[isCalcCertSimple]]*TabOceanet[[#This Row],[Nb_article]]*Tarif_Certificat_X509_Simple</f>
        <v>0</v>
      </c>
      <c r="AA254" s="5">
        <f>IF(TabOceanet[[#This Row],[Type_tarif]]="Tarif_Certificat_X509_Wildcard",1,0)</f>
        <v>0</v>
      </c>
      <c r="AB254" s="5">
        <f>TabOceanet[[#This Row],[isCalcCertWild]]*TabOceanet[[#This Row],[Nb_article]]*Tarif_Certificat_X509_Wildcard</f>
        <v>0</v>
      </c>
      <c r="AC254" s="5">
        <f>IF(TabOceanet[[#This Row],[Type_tarif]]="Tarif_Astreinte_24_24_7_7",1,0)</f>
        <v>0</v>
      </c>
      <c r="AD254" s="5">
        <f>TabOceanet[[#This Row],[isCalcAstreinte247]]*TabOceanet[[#This Row],[Nb_article]]*Tarif_Astreinte_24_24_7_7</f>
        <v>0</v>
      </c>
      <c r="AE254" s="5">
        <f>IF(TabOceanet[[#This Row],[VM_status]]="PoweredOn",1,0)</f>
        <v>0</v>
      </c>
      <c r="AF254" s="17">
        <f>TabOceanet[[#This Row],[VM_mem]]*Tarif_Ram</f>
        <v>0</v>
      </c>
      <c r="AG254" s="5" t="str">
        <f>MID(TabOceanet[[#This Row],[Backup]],29,20)</f>
        <v/>
      </c>
      <c r="AH254" s="17">
        <f>IF(LEFT(TabOceanet[[#This Row],[TypeBAK]],3)="HOR",Tarif_Backup_Horaire*TabOceanet[[#This Row],[VM_disk]],IF(LEFT(TabOceanet[[#This Row],[TypeBAK]],3)="J15",Tarif_Backup_J15*TabOceanet[[#This Row],[VM_disk]],IF(LEFT(TabOceanet[[#This Row],[TypeBAK]],3)="H1_",Tarif_Backup_J15*TabOceanet[[#This Row],[VM_disk]],0)))</f>
        <v>0</v>
      </c>
      <c r="AI254" s="17">
        <f>TabOceanet[[#This Row],[VM_disk]]*Tarif_disque</f>
        <v>0</v>
      </c>
      <c r="AJ254"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v>
      </c>
    </row>
    <row r="255" spans="1:36" x14ac:dyDescent="0.25">
      <c r="A255" t="s">
        <v>251</v>
      </c>
      <c r="B255">
        <v>1</v>
      </c>
      <c r="C255">
        <v>2</v>
      </c>
      <c r="D255">
        <v>80</v>
      </c>
      <c r="E255" t="s">
        <v>437</v>
      </c>
      <c r="G255" t="s">
        <v>1275</v>
      </c>
      <c r="H255" t="s">
        <v>1274</v>
      </c>
      <c r="I255" t="s">
        <v>419</v>
      </c>
      <c r="J255" t="s">
        <v>414</v>
      </c>
      <c r="K255" t="s">
        <v>408</v>
      </c>
      <c r="L255" t="s">
        <v>410</v>
      </c>
      <c r="M255" t="s">
        <v>420</v>
      </c>
      <c r="N255" t="s">
        <v>412</v>
      </c>
      <c r="O255">
        <v>10006791</v>
      </c>
      <c r="P255" t="s">
        <v>413</v>
      </c>
      <c r="Q255" s="5">
        <f>VLOOKUP(TabOceanet[VM_name],TabVMEnv[],3,FALSE)</f>
        <v>0</v>
      </c>
      <c r="R255" s="5" t="str">
        <f>IF(VLOOKUP(TabOceanet[VM_name],TabVMEnv[],2,FALSE) = "","Non","")</f>
        <v/>
      </c>
      <c r="S255" s="5">
        <f>IF(TabOceanet[[#This Row],[Type_tarif]]="Tarif_VLAN",1,0)</f>
        <v>0</v>
      </c>
      <c r="T255" s="5">
        <f>TabOceanet[[#This Row],[isCalcVlan]]*TabOceanet[[#This Row],[Nb_article]]*Tarif_VLAN</f>
        <v>0</v>
      </c>
      <c r="U255" s="5">
        <f>IF(TabOceanet[[#This Row],[Type_tarif]]="Tarif_IPPUB",1,0)</f>
        <v>0</v>
      </c>
      <c r="V255" s="5">
        <f>TabOceanet[[#This Row],[isCalcIpPub]]*TabOceanet[[#This Row],[Nb_article]]*Tarif_IPPUB</f>
        <v>0</v>
      </c>
      <c r="W255" s="5">
        <f>IF(TabOceanet[[#This Row],[Type_tarif]]="Tarif_DNS",1,0)</f>
        <v>0</v>
      </c>
      <c r="X255" s="5">
        <f>TabOceanet[[#This Row],[isCalcDns]]*TabOceanet[[#This Row],[Nb_article]]*Tarif_DNS</f>
        <v>0</v>
      </c>
      <c r="Y255" s="5">
        <f>IF(TabOceanet[[#This Row],[Type_tarif]]="Tarif_Certificat_X509_Simple",1,0)</f>
        <v>0</v>
      </c>
      <c r="Z255" s="5">
        <f>TabOceanet[[#This Row],[isCalcCertSimple]]*TabOceanet[[#This Row],[Nb_article]]*Tarif_Certificat_X509_Simple</f>
        <v>0</v>
      </c>
      <c r="AA255" s="5">
        <f>IF(TabOceanet[[#This Row],[Type_tarif]]="Tarif_Certificat_X509_Wildcard",1,0)</f>
        <v>0</v>
      </c>
      <c r="AB255" s="5">
        <f>TabOceanet[[#This Row],[isCalcCertWild]]*TabOceanet[[#This Row],[Nb_article]]*Tarif_Certificat_X509_Wildcard</f>
        <v>0</v>
      </c>
      <c r="AC255" s="5">
        <f>IF(TabOceanet[[#This Row],[Type_tarif]]="Tarif_Astreinte_24_24_7_7",1,0)</f>
        <v>0</v>
      </c>
      <c r="AD255" s="5">
        <f>TabOceanet[[#This Row],[isCalcAstreinte247]]*TabOceanet[[#This Row],[Nb_article]]*Tarif_Astreinte_24_24_7_7</f>
        <v>0</v>
      </c>
      <c r="AE255" s="5">
        <f>IF(TabOceanet[[#This Row],[VM_status]]="PoweredOn",1,0)</f>
        <v>1</v>
      </c>
      <c r="AF255" s="17">
        <f>TabOceanet[[#This Row],[VM_mem]]*Tarif_Ram</f>
        <v>3.2</v>
      </c>
      <c r="AG255" s="5" t="str">
        <f>MID(TabOceanet[[#This Row],[Backup]],29,20)</f>
        <v>J15_3</v>
      </c>
      <c r="AH255" s="25">
        <f>IF(LEFT(TabOceanet[[#This Row],[TypeBAK]],3)="HOR",Tarif_Backup_Horaire*TabOceanet[[#This Row],[VM_disk]],IF(LEFT(TabOceanet[[#This Row],[TypeBAK]],3)="J15",Tarif_Backup_J15*TabOceanet[[#This Row],[VM_disk]],IF(LEFT(TabOceanet[[#This Row],[TypeBAK]],3)="H1_",Tarif_Backup_J15*TabOceanet[[#This Row],[VM_disk]],0)))</f>
        <v>18.400000000000002</v>
      </c>
      <c r="AI255" s="17">
        <f>TabOceanet[[#This Row],[VM_disk]]*Tarif_disque</f>
        <v>0</v>
      </c>
      <c r="AJ255"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21.6</v>
      </c>
    </row>
    <row r="256" spans="1:36" x14ac:dyDescent="0.25">
      <c r="A256" t="s">
        <v>195</v>
      </c>
      <c r="B256">
        <v>2</v>
      </c>
      <c r="C256">
        <v>6</v>
      </c>
      <c r="D256">
        <v>340</v>
      </c>
      <c r="E256" t="s">
        <v>446</v>
      </c>
      <c r="G256" t="s">
        <v>1273</v>
      </c>
      <c r="H256" t="s">
        <v>1274</v>
      </c>
      <c r="I256" t="s">
        <v>419</v>
      </c>
      <c r="J256" t="s">
        <v>414</v>
      </c>
      <c r="K256" t="s">
        <v>408</v>
      </c>
      <c r="L256" t="s">
        <v>410</v>
      </c>
      <c r="M256" t="s">
        <v>430</v>
      </c>
      <c r="N256" t="s">
        <v>412</v>
      </c>
      <c r="O256">
        <v>10006791</v>
      </c>
      <c r="P256" t="s">
        <v>413</v>
      </c>
      <c r="Q256" s="5">
        <f>VLOOKUP(TabOceanet[VM_name],TabVMEnv[],3,FALSE)</f>
        <v>0</v>
      </c>
      <c r="R256" s="5" t="str">
        <f>IF(VLOOKUP(TabOceanet[VM_name],TabVMEnv[],2,FALSE) = "","Non","")</f>
        <v/>
      </c>
      <c r="S256" s="5">
        <f>IF(TabOceanet[[#This Row],[Type_tarif]]="Tarif_VLAN",1,0)</f>
        <v>0</v>
      </c>
      <c r="T256" s="5">
        <f>TabOceanet[[#This Row],[isCalcVlan]]*TabOceanet[[#This Row],[Nb_article]]*Tarif_VLAN</f>
        <v>0</v>
      </c>
      <c r="U256" s="5">
        <f>IF(TabOceanet[[#This Row],[Type_tarif]]="Tarif_IPPUB",1,0)</f>
        <v>0</v>
      </c>
      <c r="V256" s="5">
        <f>TabOceanet[[#This Row],[isCalcIpPub]]*TabOceanet[[#This Row],[Nb_article]]*Tarif_IPPUB</f>
        <v>0</v>
      </c>
      <c r="W256" s="5">
        <f>IF(TabOceanet[[#This Row],[Type_tarif]]="Tarif_DNS",1,0)</f>
        <v>0</v>
      </c>
      <c r="X256" s="5">
        <f>TabOceanet[[#This Row],[isCalcDns]]*TabOceanet[[#This Row],[Nb_article]]*Tarif_DNS</f>
        <v>0</v>
      </c>
      <c r="Y256" s="5">
        <f>IF(TabOceanet[[#This Row],[Type_tarif]]="Tarif_Certificat_X509_Simple",1,0)</f>
        <v>0</v>
      </c>
      <c r="Z256" s="5">
        <f>TabOceanet[[#This Row],[isCalcCertSimple]]*TabOceanet[[#This Row],[Nb_article]]*Tarif_Certificat_X509_Simple</f>
        <v>0</v>
      </c>
      <c r="AA256" s="5">
        <f>IF(TabOceanet[[#This Row],[Type_tarif]]="Tarif_Certificat_X509_Wildcard",1,0)</f>
        <v>0</v>
      </c>
      <c r="AB256" s="5">
        <f>TabOceanet[[#This Row],[isCalcCertWild]]*TabOceanet[[#This Row],[Nb_article]]*Tarif_Certificat_X509_Wildcard</f>
        <v>0</v>
      </c>
      <c r="AC256" s="5">
        <f>IF(TabOceanet[[#This Row],[Type_tarif]]="Tarif_Astreinte_24_24_7_7",1,0)</f>
        <v>0</v>
      </c>
      <c r="AD256" s="5">
        <f>TabOceanet[[#This Row],[isCalcAstreinte247]]*TabOceanet[[#This Row],[Nb_article]]*Tarif_Astreinte_24_24_7_7</f>
        <v>0</v>
      </c>
      <c r="AE256" s="5">
        <f>IF(TabOceanet[[#This Row],[VM_status]]="PoweredOn",1,0)</f>
        <v>1</v>
      </c>
      <c r="AF256" s="17">
        <f>TabOceanet[[#This Row],[VM_mem]]*Tarif_Ram</f>
        <v>9.6000000000000014</v>
      </c>
      <c r="AG256" s="5" t="str">
        <f>MID(TabOceanet[[#This Row],[Backup]],29,20)</f>
        <v>J15_2</v>
      </c>
      <c r="AH256" s="25">
        <f>IF(LEFT(TabOceanet[[#This Row],[TypeBAK]],3)="HOR",Tarif_Backup_Horaire*TabOceanet[[#This Row],[VM_disk]],IF(LEFT(TabOceanet[[#This Row],[TypeBAK]],3)="J15",Tarif_Backup_J15*TabOceanet[[#This Row],[VM_disk]],IF(LEFT(TabOceanet[[#This Row],[TypeBAK]],3)="H1_",Tarif_Backup_J15*TabOceanet[[#This Row],[VM_disk]],0)))</f>
        <v>78.2</v>
      </c>
      <c r="AI256" s="17">
        <f>TabOceanet[[#This Row],[VM_disk]]*Tarif_disque</f>
        <v>0</v>
      </c>
      <c r="AJ256"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87.800000000000011</v>
      </c>
    </row>
    <row r="257" spans="1:36" x14ac:dyDescent="0.25">
      <c r="A257" t="s">
        <v>190</v>
      </c>
      <c r="B257">
        <v>2</v>
      </c>
      <c r="C257">
        <v>2</v>
      </c>
      <c r="D257">
        <v>120</v>
      </c>
      <c r="E257" t="s">
        <v>421</v>
      </c>
      <c r="G257" t="s">
        <v>1275</v>
      </c>
      <c r="H257" t="s">
        <v>1274</v>
      </c>
      <c r="I257" t="s">
        <v>419</v>
      </c>
      <c r="J257" t="s">
        <v>414</v>
      </c>
      <c r="K257" t="s">
        <v>408</v>
      </c>
      <c r="L257" t="s">
        <v>410</v>
      </c>
      <c r="M257" t="s">
        <v>420</v>
      </c>
      <c r="N257" t="s">
        <v>412</v>
      </c>
      <c r="O257">
        <v>10006791</v>
      </c>
      <c r="P257" t="s">
        <v>413</v>
      </c>
      <c r="Q257" s="5">
        <f>VLOOKUP(TabOceanet[VM_name],TabVMEnv[],3,FALSE)</f>
        <v>0</v>
      </c>
      <c r="R257" s="5" t="str">
        <f>IF(VLOOKUP(TabOceanet[VM_name],TabVMEnv[],2,FALSE) = "","Non","")</f>
        <v/>
      </c>
      <c r="S257" s="5">
        <f>IF(TabOceanet[[#This Row],[Type_tarif]]="Tarif_VLAN",1,0)</f>
        <v>0</v>
      </c>
      <c r="T257" s="5">
        <f>TabOceanet[[#This Row],[isCalcVlan]]*TabOceanet[[#This Row],[Nb_article]]*Tarif_VLAN</f>
        <v>0</v>
      </c>
      <c r="U257" s="5">
        <f>IF(TabOceanet[[#This Row],[Type_tarif]]="Tarif_IPPUB",1,0)</f>
        <v>0</v>
      </c>
      <c r="V257" s="5">
        <f>TabOceanet[[#This Row],[isCalcIpPub]]*TabOceanet[[#This Row],[Nb_article]]*Tarif_IPPUB</f>
        <v>0</v>
      </c>
      <c r="W257" s="5">
        <f>IF(TabOceanet[[#This Row],[Type_tarif]]="Tarif_DNS",1,0)</f>
        <v>0</v>
      </c>
      <c r="X257" s="5">
        <f>TabOceanet[[#This Row],[isCalcDns]]*TabOceanet[[#This Row],[Nb_article]]*Tarif_DNS</f>
        <v>0</v>
      </c>
      <c r="Y257" s="5">
        <f>IF(TabOceanet[[#This Row],[Type_tarif]]="Tarif_Certificat_X509_Simple",1,0)</f>
        <v>0</v>
      </c>
      <c r="Z257" s="5">
        <f>TabOceanet[[#This Row],[isCalcCertSimple]]*TabOceanet[[#This Row],[Nb_article]]*Tarif_Certificat_X509_Simple</f>
        <v>0</v>
      </c>
      <c r="AA257" s="5">
        <f>IF(TabOceanet[[#This Row],[Type_tarif]]="Tarif_Certificat_X509_Wildcard",1,0)</f>
        <v>0</v>
      </c>
      <c r="AB257" s="5">
        <f>TabOceanet[[#This Row],[isCalcCertWild]]*TabOceanet[[#This Row],[Nb_article]]*Tarif_Certificat_X509_Wildcard</f>
        <v>0</v>
      </c>
      <c r="AC257" s="5">
        <f>IF(TabOceanet[[#This Row],[Type_tarif]]="Tarif_Astreinte_24_24_7_7",1,0)</f>
        <v>0</v>
      </c>
      <c r="AD257" s="5">
        <f>TabOceanet[[#This Row],[isCalcAstreinte247]]*TabOceanet[[#This Row],[Nb_article]]*Tarif_Astreinte_24_24_7_7</f>
        <v>0</v>
      </c>
      <c r="AE257" s="5">
        <f>IF(TabOceanet[[#This Row],[VM_status]]="PoweredOn",1,0)</f>
        <v>1</v>
      </c>
      <c r="AF257" s="17">
        <f>TabOceanet[[#This Row],[VM_mem]]*Tarif_Ram</f>
        <v>3.2</v>
      </c>
      <c r="AG257" s="5" t="str">
        <f>MID(TabOceanet[[#This Row],[Backup]],29,20)</f>
        <v>J15_3</v>
      </c>
      <c r="AH257" s="25">
        <f>IF(LEFT(TabOceanet[[#This Row],[TypeBAK]],3)="HOR",Tarif_Backup_Horaire*TabOceanet[[#This Row],[VM_disk]],IF(LEFT(TabOceanet[[#This Row],[TypeBAK]],3)="J15",Tarif_Backup_J15*TabOceanet[[#This Row],[VM_disk]],IF(LEFT(TabOceanet[[#This Row],[TypeBAK]],3)="H1_",Tarif_Backup_J15*TabOceanet[[#This Row],[VM_disk]],0)))</f>
        <v>27.6</v>
      </c>
      <c r="AI257" s="17">
        <f>TabOceanet[[#This Row],[VM_disk]]*Tarif_disque</f>
        <v>0</v>
      </c>
      <c r="AJ257"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30.8</v>
      </c>
    </row>
    <row r="258" spans="1:36" x14ac:dyDescent="0.25">
      <c r="A258" t="s">
        <v>265</v>
      </c>
      <c r="C258">
        <f>SUBTOTAL(109,TabOceanet[VM_mem])</f>
        <v>437</v>
      </c>
      <c r="D258">
        <f>SUBTOTAL(109,TabOceanet[VM_disk])</f>
        <v>6629</v>
      </c>
      <c r="AF258" s="5"/>
      <c r="AH258" s="5"/>
      <c r="AI258" s="5"/>
      <c r="AJ258" s="68">
        <f>SUBTOTAL(109,TabOceanet[CoutGlobal])</f>
        <v>2204.6699999999996</v>
      </c>
    </row>
  </sheetData>
  <pageMargins left="0.7" right="0.7" top="0.75" bottom="0.75" header="0.3" footer="0.3"/>
  <pageSetup paperSize="9" orientation="portrait" horizontalDpi="300" verticalDpi="300"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6">
    <tabColor rgb="FFFFC000"/>
  </sheetPr>
  <dimension ref="A1:AB268"/>
  <sheetViews>
    <sheetView zoomScale="80" zoomScaleNormal="80" workbookViewId="0">
      <pane xSplit="1" ySplit="1" topLeftCell="B2" activePane="bottomRight" state="frozen"/>
      <selection pane="topRight" activeCell="B1" sqref="B1"/>
      <selection pane="bottomLeft" activeCell="A2" sqref="A2"/>
      <selection pane="bottomRight" activeCell="A10" sqref="A10"/>
    </sheetView>
  </sheetViews>
  <sheetFormatPr baseColWidth="10" defaultColWidth="11.42578125" defaultRowHeight="15" x14ac:dyDescent="0.25"/>
  <cols>
    <col min="1" max="1" width="43.7109375" bestFit="1" customWidth="1"/>
    <col min="2" max="2" width="55.28515625" bestFit="1" customWidth="1"/>
    <col min="3" max="3" width="63.7109375" bestFit="1" customWidth="1"/>
    <col min="4" max="4" width="26.42578125" bestFit="1" customWidth="1"/>
    <col min="5" max="5" width="39.7109375" bestFit="1" customWidth="1"/>
    <col min="6" max="6" width="32.5703125" customWidth="1"/>
    <col min="7" max="7" width="14.85546875" customWidth="1"/>
    <col min="8" max="8" width="43.85546875" customWidth="1"/>
    <col min="9" max="9" width="14.5703125" customWidth="1"/>
    <col min="10" max="10" width="19.140625" customWidth="1"/>
    <col min="11" max="11" width="22.5703125" customWidth="1"/>
    <col min="12" max="12" width="18.5703125" customWidth="1"/>
    <col min="13" max="13" width="24.85546875" customWidth="1"/>
    <col min="14" max="14" width="21.42578125" customWidth="1"/>
    <col min="15" max="15" width="13.140625" customWidth="1"/>
    <col min="16" max="16" width="16.85546875" customWidth="1"/>
    <col min="17" max="17" width="32.42578125" customWidth="1"/>
    <col min="18" max="18" width="25.28515625" customWidth="1"/>
    <col min="19" max="19" width="20.85546875" customWidth="1"/>
    <col min="20" max="20" width="20.140625" customWidth="1"/>
    <col min="21" max="23" width="29.5703125" customWidth="1"/>
    <col min="24" max="24" width="77.140625" bestFit="1" customWidth="1"/>
    <col min="25" max="25" width="49.42578125" customWidth="1"/>
    <col min="26" max="26" width="35.28515625" customWidth="1"/>
    <col min="27" max="27" width="19.42578125" customWidth="1"/>
    <col min="28" max="28" width="28.85546875" customWidth="1"/>
  </cols>
  <sheetData>
    <row r="1" spans="1:28" x14ac:dyDescent="0.25">
      <c r="A1" t="s">
        <v>270</v>
      </c>
      <c r="B1" t="s">
        <v>272</v>
      </c>
      <c r="C1" t="s">
        <v>1</v>
      </c>
      <c r="D1" t="s">
        <v>1192</v>
      </c>
      <c r="E1" t="s">
        <v>1193</v>
      </c>
      <c r="F1" s="6" t="s">
        <v>273</v>
      </c>
      <c r="G1" t="s">
        <v>274</v>
      </c>
      <c r="H1" t="s">
        <v>1191</v>
      </c>
      <c r="I1" t="s">
        <v>276</v>
      </c>
      <c r="J1" t="s">
        <v>1231</v>
      </c>
      <c r="K1" s="6" t="s">
        <v>277</v>
      </c>
      <c r="L1" s="6" t="s">
        <v>278</v>
      </c>
      <c r="M1" s="6" t="s">
        <v>279</v>
      </c>
      <c r="N1" s="6" t="s">
        <v>280</v>
      </c>
      <c r="O1" s="6" t="s">
        <v>281</v>
      </c>
      <c r="P1" s="6" t="s">
        <v>282</v>
      </c>
      <c r="Q1" s="6" t="s">
        <v>283</v>
      </c>
      <c r="R1" s="6" t="s">
        <v>284</v>
      </c>
      <c r="S1" s="26" t="s">
        <v>285</v>
      </c>
      <c r="T1" s="6" t="s">
        <v>286</v>
      </c>
      <c r="U1" s="6" t="s">
        <v>1208</v>
      </c>
      <c r="V1" s="6" t="s">
        <v>1209</v>
      </c>
      <c r="W1" s="6" t="s">
        <v>1207</v>
      </c>
      <c r="X1" s="6" t="s">
        <v>287</v>
      </c>
      <c r="Y1" s="6" t="s">
        <v>288</v>
      </c>
      <c r="Z1" s="6" t="s">
        <v>266</v>
      </c>
      <c r="AA1" s="6" t="s">
        <v>289</v>
      </c>
      <c r="AB1" s="6" t="s">
        <v>271</v>
      </c>
    </row>
    <row r="2" spans="1:28" x14ac:dyDescent="0.25">
      <c r="A2" t="s">
        <v>220</v>
      </c>
      <c r="B2" t="s">
        <v>290</v>
      </c>
      <c r="E2" s="13"/>
      <c r="F2">
        <f>IF(VLOOKUP(TabVMEnv[VM],TabOceanet[],16,FALSE) = "Tarif_VM",IF(VLOOKUP(TabVMEnv[VM],TabOceanet[],2,FALSE)&lt;4,4,VLOOKUP(TabVMEnv[VM],TabOceanet[],2,FALSE)),0)</f>
        <v>0</v>
      </c>
      <c r="G2">
        <v>0</v>
      </c>
      <c r="H2">
        <v>0</v>
      </c>
      <c r="I2">
        <v>0</v>
      </c>
      <c r="J2">
        <v>0</v>
      </c>
      <c r="K2">
        <f>IF(VLOOKUP(TabVMEnv[VM],TabOceanet[],16,FALSE) = "Tarif_VM",1,0)/TabVMEnv[[#This Row],[Mutualisé]]</f>
        <v>0</v>
      </c>
      <c r="L2">
        <f>IF(VLOOKUP(TabVMEnv[VM],TabOceanet[],9,FALSE) = "PoweredOn",1,0)</f>
        <v>0</v>
      </c>
      <c r="M2">
        <f>TabVMEnv[[#This Row],[IsVMPoweredOn]]*VLOOKUP(TabVMEnv[VM],TabOceanet[],3,FALSE)/TabVMEnv[[#This Row],[Mutualisé]]</f>
        <v>0</v>
      </c>
      <c r="N2">
        <f>VLOOKUP(TabVMEnv[VM],TabOceanet[],4,FALSE)/TabVMEnv[[#This Row],[Mutualisé]]</f>
        <v>0</v>
      </c>
      <c r="O2">
        <f>IF(LEFT(VLOOKUP(TabVMEnv[VM],TabOceanet[],5,FALSE),3)="win",1,0)</f>
        <v>0</v>
      </c>
      <c r="P2"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 t="str">
        <f>VLOOKUP(TabVMEnv[EnvProjet],TabEnvProjet[],4,FALSE)</f>
        <v>HEBERG-EDI  MUT-2018</v>
      </c>
      <c r="R2" s="5" t="str">
        <f>VLOOKUP(TabVMEnv[[#This Row],[SYGES]],TabContrat[],2,FALSE)</f>
        <v>HEBERG-EDI</v>
      </c>
      <c r="S2" s="5" t="str">
        <f>IF(VLOOKUP(TabVMEnv[[#This Row],[VM]],TabOceanet[],1,FALSE) = "","Disparue","")</f>
        <v/>
      </c>
      <c r="T2" s="25">
        <f>VLOOKUP(TabVMEnv[[#This Row],[VM]],TabOceanet[],36,FALSE)/TabVMEnv[[#This Row],[Mutualisé]]</f>
        <v>50</v>
      </c>
      <c r="U2" s="25">
        <f>IF(TabVMEnv[[#This Row],[CostCenter]]="CostCenterDI",0,TabVMEnv[[#This Row],[CoutGlobal]])</f>
        <v>50</v>
      </c>
      <c r="V2" s="25">
        <f>TabVMEnv[[#This Row],[CoutGlobalSansCostCenterDI]]/TabVMEnv[[#Totals],[CoutGlobalSansCostCenterDI]]*(GlobalARepartirSansMS+GlobalARepartirMSOnly+GlobalARepartirInfraReseau)</f>
        <v>87.272852193804297</v>
      </c>
      <c r="W2" s="25">
        <f>TabVMEnv[[#This Row],[CoutGlobalSansCostCenterDI]]+TabVMEnv[[#This Row],[CoutGlobalSupplementaire]]</f>
        <v>137.27285219380428</v>
      </c>
      <c r="X2" s="5" t="str">
        <f>VLOOKUP(TabVMEnv[[#This Row],[EnvProjet]],TabEnvProjet[],2,FALSE) &amp; " - " &amp; IFERROR(VLOOKUP(TabVMEnv[[#This Row],[EnvProjet]],TabEnvProjet[],4,FALSE),"INCONNU") &amp; " - " &amp; IFERROR(VLOOKUP(TabVMEnv[[#This Row],[EnvProjet]],TabEnvProjet[],5,FALSE),"INCONNU")</f>
        <v>EDI-MUT-EDI-MUT - HEBERG-EDI  MUT-2018 - David LEMALHEUX</v>
      </c>
      <c r="Y2" s="5" t="str">
        <f>VLOOKUP(TabVMEnv[EnvProjet],TabEnvProjet[],5,FALSE)</f>
        <v>David LEMALHEUX</v>
      </c>
      <c r="Z2" s="5" t="str">
        <f>VLOOKUP(TabVMEnv[EnvProjet],TabEnvProjet[],6,FALSE)</f>
        <v>341530-EDI</v>
      </c>
      <c r="AA2" s="5" t="str">
        <f>VLOOKUP(TabVMEnv[[#This Row],[EnvProjet]],TabEnvProjet[],3,FALSE)</f>
        <v>PROD</v>
      </c>
      <c r="AB2" s="5">
        <f>COUNTIF(TabVMEnv[VM],TabVMEnv[VM])</f>
        <v>1</v>
      </c>
    </row>
    <row r="3" spans="1:28" x14ac:dyDescent="0.25">
      <c r="A3" t="s">
        <v>221</v>
      </c>
      <c r="B3" t="s">
        <v>290</v>
      </c>
      <c r="E3" s="13"/>
      <c r="F3">
        <f>IF(VLOOKUP(TabVMEnv[VM],TabOceanet[],16,FALSE) = "Tarif_VM",IF(VLOOKUP(TabVMEnv[VM],TabOceanet[],2,FALSE)&lt;4,4,VLOOKUP(TabVMEnv[VM],TabOceanet[],2,FALSE)),0)</f>
        <v>0</v>
      </c>
      <c r="G3">
        <v>0</v>
      </c>
      <c r="H3">
        <v>0</v>
      </c>
      <c r="I3">
        <v>0</v>
      </c>
      <c r="J3">
        <v>0</v>
      </c>
      <c r="K3">
        <f>IF(VLOOKUP(TabVMEnv[VM],TabOceanet[],16,FALSE) = "Tarif_VM",1,0)/TabVMEnv[[#This Row],[Mutualisé]]</f>
        <v>0</v>
      </c>
      <c r="L3">
        <f>IF(VLOOKUP(TabVMEnv[VM],TabOceanet[],9,FALSE) = "PoweredOn",1,0)</f>
        <v>0</v>
      </c>
      <c r="M3">
        <f>TabVMEnv[[#This Row],[IsVMPoweredOn]]*VLOOKUP(TabVMEnv[VM],TabOceanet[],3,FALSE)/TabVMEnv[[#This Row],[Mutualisé]]</f>
        <v>0</v>
      </c>
      <c r="N3">
        <f>VLOOKUP(TabVMEnv[VM],TabOceanet[],4,FALSE)/TabVMEnv[[#This Row],[Mutualisé]]</f>
        <v>0</v>
      </c>
      <c r="O3">
        <f>IF(LEFT(VLOOKUP(TabVMEnv[VM],TabOceanet[],5,FALSE),3)="win",1,0)</f>
        <v>0</v>
      </c>
      <c r="P3"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3" t="str">
        <f>VLOOKUP(TabVMEnv[EnvProjet],TabEnvProjet[],4,FALSE)</f>
        <v>HEBERG-EDI  MUT-2018</v>
      </c>
      <c r="R3" s="5" t="str">
        <f>VLOOKUP(TabVMEnv[[#This Row],[SYGES]],TabContrat[],2,FALSE)</f>
        <v>HEBERG-EDI</v>
      </c>
      <c r="S3" s="5" t="str">
        <f>IF(VLOOKUP(TabVMEnv[[#This Row],[VM]],TabOceanet[],1,FALSE) = "","Disparue","")</f>
        <v/>
      </c>
      <c r="T3" s="25">
        <f>VLOOKUP(TabVMEnv[[#This Row],[VM]],TabOceanet[],36,FALSE)/TabVMEnv[[#This Row],[Mutualisé]]</f>
        <v>50</v>
      </c>
      <c r="U3" s="25">
        <f>IF(TabVMEnv[[#This Row],[CostCenter]]="CostCenterDI",0,TabVMEnv[[#This Row],[CoutGlobal]])</f>
        <v>50</v>
      </c>
      <c r="V3" s="25">
        <f>TabVMEnv[[#This Row],[CoutGlobalSansCostCenterDI]]/TabVMEnv[[#Totals],[CoutGlobalSansCostCenterDI]]*(GlobalARepartirSansMS+GlobalARepartirMSOnly+GlobalARepartirInfraReseau)</f>
        <v>87.272852193804297</v>
      </c>
      <c r="W3" s="25">
        <f>TabVMEnv[[#This Row],[CoutGlobalSansCostCenterDI]]+TabVMEnv[[#This Row],[CoutGlobalSupplementaire]]</f>
        <v>137.27285219380428</v>
      </c>
      <c r="X3" s="5" t="str">
        <f>VLOOKUP(TabVMEnv[[#This Row],[EnvProjet]],TabEnvProjet[],2,FALSE) &amp; " - " &amp; IFERROR(VLOOKUP(TabVMEnv[[#This Row],[EnvProjet]],TabEnvProjet[],4,FALSE),"INCONNU") &amp; " - " &amp; IFERROR(VLOOKUP(TabVMEnv[[#This Row],[EnvProjet]],TabEnvProjet[],5,FALSE),"INCONNU")</f>
        <v>EDI-MUT-EDI-MUT - HEBERG-EDI  MUT-2018 - David LEMALHEUX</v>
      </c>
      <c r="Y3" s="5" t="str">
        <f>VLOOKUP(TabVMEnv[EnvProjet],TabEnvProjet[],5,FALSE)</f>
        <v>David LEMALHEUX</v>
      </c>
      <c r="Z3" s="5" t="str">
        <f>VLOOKUP(TabVMEnv[EnvProjet],TabEnvProjet[],6,FALSE)</f>
        <v>341530-EDI</v>
      </c>
      <c r="AA3" s="5" t="str">
        <f>VLOOKUP(TabVMEnv[[#This Row],[EnvProjet]],TabEnvProjet[],3,FALSE)</f>
        <v>PROD</v>
      </c>
      <c r="AB3" s="5">
        <f>COUNTIF(TabVMEnv[VM],TabVMEnv[VM])</f>
        <v>1</v>
      </c>
    </row>
    <row r="4" spans="1:28" x14ac:dyDescent="0.25">
      <c r="A4" t="s">
        <v>222</v>
      </c>
      <c r="B4" t="s">
        <v>290</v>
      </c>
      <c r="E4" s="13"/>
      <c r="F4">
        <f>IF(VLOOKUP(TabVMEnv[VM],TabOceanet[],16,FALSE) = "Tarif_VM",IF(VLOOKUP(TabVMEnv[VM],TabOceanet[],2,FALSE)&lt;4,4,VLOOKUP(TabVMEnv[VM],TabOceanet[],2,FALSE)),0)</f>
        <v>0</v>
      </c>
      <c r="G4">
        <v>0</v>
      </c>
      <c r="H4">
        <v>0</v>
      </c>
      <c r="I4">
        <v>0</v>
      </c>
      <c r="J4">
        <v>0</v>
      </c>
      <c r="K4">
        <f>IF(VLOOKUP(TabVMEnv[VM],TabOceanet[],16,FALSE) = "Tarif_VM",1,0)/TabVMEnv[[#This Row],[Mutualisé]]</f>
        <v>0</v>
      </c>
      <c r="L4">
        <f>IF(VLOOKUP(TabVMEnv[VM],TabOceanet[],9,FALSE) = "PoweredOn",1,0)</f>
        <v>0</v>
      </c>
      <c r="M4">
        <f>TabVMEnv[[#This Row],[IsVMPoweredOn]]*VLOOKUP(TabVMEnv[VM],TabOceanet[],3,FALSE)/TabVMEnv[[#This Row],[Mutualisé]]</f>
        <v>0</v>
      </c>
      <c r="N4">
        <f>VLOOKUP(TabVMEnv[VM],TabOceanet[],4,FALSE)/TabVMEnv[[#This Row],[Mutualisé]]</f>
        <v>0</v>
      </c>
      <c r="O4">
        <f>IF(LEFT(VLOOKUP(TabVMEnv[VM],TabOceanet[],5,FALSE),3)="win",1,0)</f>
        <v>0</v>
      </c>
      <c r="P4"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4" t="str">
        <f>VLOOKUP(TabVMEnv[EnvProjet],TabEnvProjet[],4,FALSE)</f>
        <v>HEBERG-EDI  MUT-2018</v>
      </c>
      <c r="R4" s="5" t="str">
        <f>VLOOKUP(TabVMEnv[[#This Row],[SYGES]],TabContrat[],2,FALSE)</f>
        <v>HEBERG-EDI</v>
      </c>
      <c r="S4" s="5" t="str">
        <f>IF(VLOOKUP(TabVMEnv[[#This Row],[VM]],TabOceanet[],1,FALSE) = "","Disparue","")</f>
        <v/>
      </c>
      <c r="T4" s="25">
        <f>VLOOKUP(TabVMEnv[[#This Row],[VM]],TabOceanet[],36,FALSE)/TabVMEnv[[#This Row],[Mutualisé]]</f>
        <v>50</v>
      </c>
      <c r="U4" s="25">
        <f>IF(TabVMEnv[[#This Row],[CostCenter]]="CostCenterDI",0,TabVMEnv[[#This Row],[CoutGlobal]])</f>
        <v>50</v>
      </c>
      <c r="V4" s="25">
        <f>TabVMEnv[[#This Row],[CoutGlobalSansCostCenterDI]]/TabVMEnv[[#Totals],[CoutGlobalSansCostCenterDI]]*(GlobalARepartirSansMS+GlobalARepartirMSOnly+GlobalARepartirInfraReseau)</f>
        <v>87.272852193804297</v>
      </c>
      <c r="W4" s="25">
        <f>TabVMEnv[[#This Row],[CoutGlobalSansCostCenterDI]]+TabVMEnv[[#This Row],[CoutGlobalSupplementaire]]</f>
        <v>137.27285219380428</v>
      </c>
      <c r="X4" s="5" t="str">
        <f>VLOOKUP(TabVMEnv[[#This Row],[EnvProjet]],TabEnvProjet[],2,FALSE) &amp; " - " &amp; IFERROR(VLOOKUP(TabVMEnv[[#This Row],[EnvProjet]],TabEnvProjet[],4,FALSE),"INCONNU") &amp; " - " &amp; IFERROR(VLOOKUP(TabVMEnv[[#This Row],[EnvProjet]],TabEnvProjet[],5,FALSE),"INCONNU")</f>
        <v>EDI-MUT-EDI-MUT - HEBERG-EDI  MUT-2018 - David LEMALHEUX</v>
      </c>
      <c r="Y4" s="5" t="str">
        <f>VLOOKUP(TabVMEnv[EnvProjet],TabEnvProjet[],5,FALSE)</f>
        <v>David LEMALHEUX</v>
      </c>
      <c r="Z4" s="5" t="str">
        <f>VLOOKUP(TabVMEnv[EnvProjet],TabEnvProjet[],6,FALSE)</f>
        <v>341530-EDI</v>
      </c>
      <c r="AA4" s="5" t="str">
        <f>VLOOKUP(TabVMEnv[[#This Row],[EnvProjet]],TabEnvProjet[],3,FALSE)</f>
        <v>PROD</v>
      </c>
      <c r="AB4" s="5">
        <f>COUNTIF(TabVMEnv[VM],TabVMEnv[VM])</f>
        <v>1</v>
      </c>
    </row>
    <row r="5" spans="1:28" x14ac:dyDescent="0.25">
      <c r="A5" t="s">
        <v>223</v>
      </c>
      <c r="B5" t="s">
        <v>290</v>
      </c>
      <c r="E5" s="13"/>
      <c r="F5">
        <f>IF(VLOOKUP(TabVMEnv[VM],TabOceanet[],16,FALSE) = "Tarif_VM",IF(VLOOKUP(TabVMEnv[VM],TabOceanet[],2,FALSE)&lt;4,4,VLOOKUP(TabVMEnv[VM],TabOceanet[],2,FALSE)),0)</f>
        <v>0</v>
      </c>
      <c r="G5">
        <v>0</v>
      </c>
      <c r="H5">
        <v>0</v>
      </c>
      <c r="I5">
        <v>0</v>
      </c>
      <c r="J5">
        <v>0</v>
      </c>
      <c r="K5">
        <f>IF(VLOOKUP(TabVMEnv[VM],TabOceanet[],16,FALSE) = "Tarif_VM",1,0)/TabVMEnv[[#This Row],[Mutualisé]]</f>
        <v>0</v>
      </c>
      <c r="L5">
        <f>IF(VLOOKUP(TabVMEnv[VM],TabOceanet[],9,FALSE) = "PoweredOn",1,0)</f>
        <v>0</v>
      </c>
      <c r="M5">
        <f>TabVMEnv[[#This Row],[IsVMPoweredOn]]*VLOOKUP(TabVMEnv[VM],TabOceanet[],3,FALSE)/TabVMEnv[[#This Row],[Mutualisé]]</f>
        <v>0</v>
      </c>
      <c r="N5">
        <f>VLOOKUP(TabVMEnv[VM],TabOceanet[],4,FALSE)/TabVMEnv[[#This Row],[Mutualisé]]</f>
        <v>0</v>
      </c>
      <c r="O5">
        <f>IF(LEFT(VLOOKUP(TabVMEnv[VM],TabOceanet[],5,FALSE),3)="win",1,0)</f>
        <v>0</v>
      </c>
      <c r="P5"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5" t="str">
        <f>VLOOKUP(TabVMEnv[EnvProjet],TabEnvProjet[],4,FALSE)</f>
        <v>HEBERG-EDI  MUT-2018</v>
      </c>
      <c r="R5" s="5" t="str">
        <f>VLOOKUP(TabVMEnv[[#This Row],[SYGES]],TabContrat[],2,FALSE)</f>
        <v>HEBERG-EDI</v>
      </c>
      <c r="S5" s="5" t="str">
        <f>IF(VLOOKUP(TabVMEnv[[#This Row],[VM]],TabOceanet[],1,FALSE) = "","Disparue","")</f>
        <v/>
      </c>
      <c r="T5" s="25">
        <f>VLOOKUP(TabVMEnv[[#This Row],[VM]],TabOceanet[],36,FALSE)/TabVMEnv[[#This Row],[Mutualisé]]</f>
        <v>50</v>
      </c>
      <c r="U5" s="25">
        <f>IF(TabVMEnv[[#This Row],[CostCenter]]="CostCenterDI",0,TabVMEnv[[#This Row],[CoutGlobal]])</f>
        <v>50</v>
      </c>
      <c r="V5" s="25">
        <f>TabVMEnv[[#This Row],[CoutGlobalSansCostCenterDI]]/TabVMEnv[[#Totals],[CoutGlobalSansCostCenterDI]]*(GlobalARepartirSansMS+GlobalARepartirMSOnly+GlobalARepartirInfraReseau)</f>
        <v>87.272852193804297</v>
      </c>
      <c r="W5" s="25">
        <f>TabVMEnv[[#This Row],[CoutGlobalSansCostCenterDI]]+TabVMEnv[[#This Row],[CoutGlobalSupplementaire]]</f>
        <v>137.27285219380428</v>
      </c>
      <c r="X5" s="5" t="str">
        <f>VLOOKUP(TabVMEnv[[#This Row],[EnvProjet]],TabEnvProjet[],2,FALSE) &amp; " - " &amp; IFERROR(VLOOKUP(TabVMEnv[[#This Row],[EnvProjet]],TabEnvProjet[],4,FALSE),"INCONNU") &amp; " - " &amp; IFERROR(VLOOKUP(TabVMEnv[[#This Row],[EnvProjet]],TabEnvProjet[],5,FALSE),"INCONNU")</f>
        <v>EDI-MUT-EDI-MUT - HEBERG-EDI  MUT-2018 - David LEMALHEUX</v>
      </c>
      <c r="Y5" s="5" t="str">
        <f>VLOOKUP(TabVMEnv[EnvProjet],TabEnvProjet[],5,FALSE)</f>
        <v>David LEMALHEUX</v>
      </c>
      <c r="Z5" s="5" t="str">
        <f>VLOOKUP(TabVMEnv[EnvProjet],TabEnvProjet[],6,FALSE)</f>
        <v>341530-EDI</v>
      </c>
      <c r="AA5" s="5" t="str">
        <f>VLOOKUP(TabVMEnv[[#This Row],[EnvProjet]],TabEnvProjet[],3,FALSE)</f>
        <v>PROD</v>
      </c>
      <c r="AB5" s="5">
        <f>COUNTIF(TabVMEnv[VM],TabVMEnv[VM])</f>
        <v>1</v>
      </c>
    </row>
    <row r="6" spans="1:28" x14ac:dyDescent="0.25">
      <c r="A6" t="s">
        <v>1272</v>
      </c>
      <c r="B6" t="s">
        <v>293</v>
      </c>
      <c r="E6" s="13"/>
      <c r="F6" s="5">
        <f>IF(VLOOKUP(TabVMEnv[VM],TabOceanet[],16,FALSE) = "Tarif_VM",IF(VLOOKUP(TabVMEnv[VM],TabOceanet[],2,FALSE)&lt;4,4,VLOOKUP(TabVMEnv[VM],TabOceanet[],2,FALSE)),0)</f>
        <v>4</v>
      </c>
      <c r="G6">
        <v>0</v>
      </c>
      <c r="H6">
        <v>0</v>
      </c>
      <c r="I6">
        <v>0</v>
      </c>
      <c r="J6">
        <v>0</v>
      </c>
      <c r="K6" s="5">
        <f>IF(VLOOKUP(TabVMEnv[VM],TabOceanet[],16,FALSE) = "Tarif_VM",1,0)/TabVMEnv[[#This Row],[Mutualisé]]</f>
        <v>1</v>
      </c>
      <c r="L6" s="5">
        <f>IF(VLOOKUP(TabVMEnv[VM],TabOceanet[],9,FALSE) = "PoweredOn",1,0)</f>
        <v>0</v>
      </c>
      <c r="M6" s="5">
        <f>TabVMEnv[[#This Row],[IsVMPoweredOn]]*VLOOKUP(TabVMEnv[VM],TabOceanet[],3,FALSE)/TabVMEnv[[#This Row],[Mutualisé]]</f>
        <v>0</v>
      </c>
      <c r="N6" s="5">
        <f>VLOOKUP(TabVMEnv[VM],TabOceanet[],4,FALSE)/TabVMEnv[[#This Row],[Mutualisé]]</f>
        <v>7</v>
      </c>
      <c r="O6" s="5">
        <f>IF(LEFT(VLOOKUP(TabVMEnv[VM],TabOceanet[],5,FALSE),3)="win",1,0)</f>
        <v>0</v>
      </c>
      <c r="P6"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6" t="str">
        <f>VLOOKUP(TabVMEnv[EnvProjet],TabEnvProjet[],4,FALSE)</f>
        <v>GFI Oceanet Infra Réseau</v>
      </c>
      <c r="R6" s="5" t="str">
        <f>VLOOKUP(TabVMEnv[[#This Row],[SYGES]],TabContrat[],2,FALSE)</f>
        <v>GFI</v>
      </c>
      <c r="S6" s="5" t="str">
        <f>IF(VLOOKUP(TabVMEnv[[#This Row],[VM]],TabOceanet[],1,FALSE) = "","Disparue","")</f>
        <v/>
      </c>
      <c r="T6" s="25">
        <f>VLOOKUP(TabVMEnv[[#This Row],[VM]],TabOceanet[],36,FALSE)/TabVMEnv[[#This Row],[Mutualisé]]</f>
        <v>1.61</v>
      </c>
      <c r="U6" s="25">
        <f>IF(TabVMEnv[[#This Row],[CostCenter]]="CostCenterDI",0,TabVMEnv[[#This Row],[CoutGlobal]])</f>
        <v>0</v>
      </c>
      <c r="V6" s="25">
        <f>TabVMEnv[[#This Row],[CoutGlobalSansCostCenterDI]]/TabVMEnv[[#Totals],[CoutGlobalSansCostCenterDI]]*(GlobalARepartirSansMS+GlobalARepartirMSOnly+GlobalARepartirInfraReseau)</f>
        <v>0</v>
      </c>
      <c r="W6" s="25">
        <f>TabVMEnv[[#This Row],[CoutGlobalSansCostCenterDI]]+TabVMEnv[[#This Row],[CoutGlobalSupplementaire]]</f>
        <v>0</v>
      </c>
      <c r="X6" s="5" t="str">
        <f>VLOOKUP(TabVMEnv[[#This Row],[EnvProjet]],TabEnvProjet[],2,FALSE) &amp; " - " &amp; IFERROR(VLOOKUP(TabVMEnv[[#This Row],[EnvProjet]],TabEnvProjet[],4,FALSE),"INCONNU") &amp; " - " &amp; IFERROR(VLOOKUP(TabVMEnv[[#This Row],[EnvProjet]],TabEnvProjet[],5,FALSE),"INCONNU")</f>
        <v>GFI-Oceanet Infra Modèles - GFI Oceanet Infra Réseau - Jérôme JACOB</v>
      </c>
      <c r="Y6" s="5" t="str">
        <f>VLOOKUP(TabVMEnv[EnvProjet],TabEnvProjet[],5,FALSE)</f>
        <v>Jérôme JACOB</v>
      </c>
      <c r="Z6" s="5" t="str">
        <f>VLOOKUP(TabVMEnv[EnvProjet],TabEnvProjet[],6,FALSE)</f>
        <v>CostCenterDI</v>
      </c>
      <c r="AA6" s="5" t="str">
        <f>VLOOKUP(TabVMEnv[[#This Row],[EnvProjet]],TabEnvProjet[],3,FALSE)</f>
        <v>SOCLE</v>
      </c>
      <c r="AB6" s="5">
        <f>COUNTIF(TabVMEnv[VM],TabVMEnv[VM])</f>
        <v>1</v>
      </c>
    </row>
    <row r="7" spans="1:28" x14ac:dyDescent="0.25">
      <c r="A7" t="s">
        <v>121</v>
      </c>
      <c r="B7" t="s">
        <v>291</v>
      </c>
      <c r="E7" s="13"/>
      <c r="F7">
        <f>IF(VLOOKUP(TabVMEnv[VM],TabOceanet[],16,FALSE) = "Tarif_VM",IF(VLOOKUP(TabVMEnv[VM],TabOceanet[],2,FALSE)&lt;4,4,VLOOKUP(TabVMEnv[VM],TabOceanet[],2,FALSE)),0)</f>
        <v>0</v>
      </c>
      <c r="G7">
        <v>0</v>
      </c>
      <c r="H7">
        <v>0</v>
      </c>
      <c r="I7">
        <v>0</v>
      </c>
      <c r="J7">
        <v>0</v>
      </c>
      <c r="K7">
        <f>IF(VLOOKUP(TabVMEnv[VM],TabOceanet[],16,FALSE) = "Tarif_VM",1,0)/TabVMEnv[[#This Row],[Mutualisé]]</f>
        <v>0</v>
      </c>
      <c r="L7">
        <f>IF(VLOOKUP(TabVMEnv[VM],TabOceanet[],9,FALSE) = "PoweredOn",1,0)</f>
        <v>0</v>
      </c>
      <c r="M7">
        <f>TabVMEnv[[#This Row],[IsVMPoweredOn]]*VLOOKUP(TabVMEnv[VM],TabOceanet[],3,FALSE)/TabVMEnv[[#This Row],[Mutualisé]]</f>
        <v>0</v>
      </c>
      <c r="N7">
        <f>VLOOKUP(TabVMEnv[VM],TabOceanet[],4,FALSE)/TabVMEnv[[#This Row],[Mutualisé]]</f>
        <v>0</v>
      </c>
      <c r="O7">
        <f>IF(LEFT(VLOOKUP(TabVMEnv[VM],TabOceanet[],5,FALSE),3)="win",1,0)</f>
        <v>0</v>
      </c>
      <c r="P7"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7" t="str">
        <f>VLOOKUP(TabVMEnv[EnvProjet],TabEnvProjet[],4,FALSE)</f>
        <v>Fablab-Firmin</v>
      </c>
      <c r="R7" s="5" t="str">
        <f>VLOOKUP(TabVMEnv[[#This Row],[SYGES]],TabContrat[],2,FALSE)</f>
        <v>Fablab</v>
      </c>
      <c r="S7" s="5" t="str">
        <f>IF(VLOOKUP(TabVMEnv[[#This Row],[VM]],TabOceanet[],1,FALSE) = "","Disparue","")</f>
        <v/>
      </c>
      <c r="T7" s="25">
        <f>VLOOKUP(TabVMEnv[[#This Row],[VM]],TabOceanet[],36,FALSE)/TabVMEnv[[#This Row],[Mutualisé]]</f>
        <v>45</v>
      </c>
      <c r="U7" s="25">
        <f>IF(TabVMEnv[[#This Row],[CostCenter]]="CostCenterDI",0,TabVMEnv[[#This Row],[CoutGlobal]])</f>
        <v>45</v>
      </c>
      <c r="V7" s="25">
        <f>TabVMEnv[[#This Row],[CoutGlobalSansCostCenterDI]]/TabVMEnv[[#Totals],[CoutGlobalSansCostCenterDI]]*(GlobalARepartirSansMS+GlobalARepartirMSOnly+GlobalARepartirInfraReseau)</f>
        <v>78.545566974423878</v>
      </c>
      <c r="W7" s="25">
        <f>TabVMEnv[[#This Row],[CoutGlobalSansCostCenterDI]]+TabVMEnv[[#This Row],[CoutGlobalSupplementaire]]</f>
        <v>123.54556697442388</v>
      </c>
      <c r="X7" s="5" t="str">
        <f>VLOOKUP(TabVMEnv[[#This Row],[EnvProjet]],TabEnvProjet[],2,FALSE) &amp; " - " &amp; IFERROR(VLOOKUP(TabVMEnv[[#This Row],[EnvProjet]],TabEnvProjet[],4,FALSE),"INCONNU") &amp; " - " &amp; IFERROR(VLOOKUP(TabVMEnv[[#This Row],[EnvProjet]],TabEnvProjet[],5,FALSE),"INCONNU")</f>
        <v>Fablab-Firmin - Fablab-Firmin - Pierre-Yves Baloche</v>
      </c>
      <c r="Y7" s="5" t="str">
        <f>VLOOKUP(TabVMEnv[EnvProjet],TabEnvProjet[],5,FALSE)</f>
        <v>Pierre-Yves Baloche</v>
      </c>
      <c r="Z7" s="5" t="str">
        <f>VLOOKUP(TabVMEnv[EnvProjet],TabEnvProjet[],6,FALSE)</f>
        <v>Fablab</v>
      </c>
      <c r="AA7" s="5" t="str">
        <f>VLOOKUP(TabVMEnv[[#This Row],[EnvProjet]],TabEnvProjet[],3,FALSE)</f>
        <v>PROD</v>
      </c>
      <c r="AB7" s="5">
        <f>COUNTIF(TabVMEnv[VM],TabVMEnv[VM])</f>
        <v>1</v>
      </c>
    </row>
    <row r="8" spans="1:28" x14ac:dyDescent="0.25">
      <c r="A8" t="s">
        <v>142</v>
      </c>
      <c r="B8" t="s">
        <v>292</v>
      </c>
      <c r="E8" s="13"/>
      <c r="F8">
        <f>IF(VLOOKUP(TabVMEnv[VM],TabOceanet[],16,FALSE) = "Tarif_VM",IF(VLOOKUP(TabVMEnv[VM],TabOceanet[],2,FALSE)&lt;4,4,VLOOKUP(TabVMEnv[VM],TabOceanet[],2,FALSE)),0)</f>
        <v>0</v>
      </c>
      <c r="G8">
        <v>0</v>
      </c>
      <c r="H8">
        <v>0</v>
      </c>
      <c r="I8">
        <v>0</v>
      </c>
      <c r="J8">
        <v>0</v>
      </c>
      <c r="K8">
        <f>IF(VLOOKUP(TabVMEnv[VM],TabOceanet[],16,FALSE) = "Tarif_VM",1,0)/TabVMEnv[[#This Row],[Mutualisé]]</f>
        <v>0</v>
      </c>
      <c r="L8">
        <f>IF(VLOOKUP(TabVMEnv[VM],TabOceanet[],9,FALSE) = "PoweredOn",1,0)</f>
        <v>0</v>
      </c>
      <c r="M8">
        <f>TabVMEnv[[#This Row],[IsVMPoweredOn]]*VLOOKUP(TabVMEnv[VM],TabOceanet[],3,FALSE)/TabVMEnv[[#This Row],[Mutualisé]]</f>
        <v>0</v>
      </c>
      <c r="N8">
        <f>VLOOKUP(TabVMEnv[VM],TabOceanet[],4,FALSE)/TabVMEnv[[#This Row],[Mutualisé]]</f>
        <v>0</v>
      </c>
      <c r="O8">
        <f>IF(LEFT(VLOOKUP(TabVMEnv[VM],TabOceanet[],5,FALSE),3)="win",1,0)</f>
        <v>0</v>
      </c>
      <c r="P8"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8" t="str">
        <f>VLOOKUP(TabVMEnv[EnvProjet],TabEnvProjet[],4,FALSE)</f>
        <v>Fablab-Firmin</v>
      </c>
      <c r="R8" s="5" t="str">
        <f>VLOOKUP(TabVMEnv[[#This Row],[SYGES]],TabContrat[],2,FALSE)</f>
        <v>Fablab</v>
      </c>
      <c r="S8" s="5" t="str">
        <f>IF(VLOOKUP(TabVMEnv[[#This Row],[VM]],TabOceanet[],1,FALSE) = "","Disparue","")</f>
        <v/>
      </c>
      <c r="T8" s="25">
        <f>VLOOKUP(TabVMEnv[[#This Row],[VM]],TabOceanet[],36,FALSE)/TabVMEnv[[#This Row],[Mutualisé]]</f>
        <v>45</v>
      </c>
      <c r="U8" s="25">
        <f>IF(TabVMEnv[[#This Row],[CostCenter]]="CostCenterDI",0,TabVMEnv[[#This Row],[CoutGlobal]])</f>
        <v>45</v>
      </c>
      <c r="V8" s="25">
        <f>TabVMEnv[[#This Row],[CoutGlobalSansCostCenterDI]]/TabVMEnv[[#Totals],[CoutGlobalSansCostCenterDI]]*(GlobalARepartirSansMS+GlobalARepartirMSOnly+GlobalARepartirInfraReseau)</f>
        <v>78.545566974423878</v>
      </c>
      <c r="W8" s="25">
        <f>TabVMEnv[[#This Row],[CoutGlobalSansCostCenterDI]]+TabVMEnv[[#This Row],[CoutGlobalSupplementaire]]</f>
        <v>123.54556697442388</v>
      </c>
      <c r="X8" s="5" t="str">
        <f>VLOOKUP(TabVMEnv[[#This Row],[EnvProjet]],TabEnvProjet[],2,FALSE) &amp; " - " &amp; IFERROR(VLOOKUP(TabVMEnv[[#This Row],[EnvProjet]],TabEnvProjet[],4,FALSE),"INCONNU") &amp; " - " &amp; IFERROR(VLOOKUP(TabVMEnv[[#This Row],[EnvProjet]],TabEnvProjet[],5,FALSE),"INCONNU")</f>
        <v>Fablab-Firmin - Fablab-Firmin - Pierre-Yves Baloche</v>
      </c>
      <c r="Y8" s="5" t="str">
        <f>VLOOKUP(TabVMEnv[EnvProjet],TabEnvProjet[],5,FALSE)</f>
        <v>Pierre-Yves Baloche</v>
      </c>
      <c r="Z8" s="5" t="str">
        <f>VLOOKUP(TabVMEnv[EnvProjet],TabEnvProjet[],6,FALSE)</f>
        <v>Fablab</v>
      </c>
      <c r="AA8" s="5" t="str">
        <f>VLOOKUP(TabVMEnv[[#This Row],[EnvProjet]],TabEnvProjet[],3,FALSE)</f>
        <v>PREPROD</v>
      </c>
      <c r="AB8" s="5">
        <f>COUNTIF(TabVMEnv[VM],TabVMEnv[VM])</f>
        <v>1</v>
      </c>
    </row>
    <row r="9" spans="1:28" x14ac:dyDescent="0.25">
      <c r="A9" t="s">
        <v>122</v>
      </c>
      <c r="B9" t="s">
        <v>291</v>
      </c>
      <c r="E9" s="13"/>
      <c r="F9">
        <f>IF(VLOOKUP(TabVMEnv[VM],TabOceanet[],16,FALSE) = "Tarif_VM",IF(VLOOKUP(TabVMEnv[VM],TabOceanet[],2,FALSE)&lt;4,4,VLOOKUP(TabVMEnv[VM],TabOceanet[],2,FALSE)),0)</f>
        <v>0</v>
      </c>
      <c r="G9">
        <v>0</v>
      </c>
      <c r="H9">
        <v>0</v>
      </c>
      <c r="I9">
        <v>0</v>
      </c>
      <c r="J9">
        <v>0</v>
      </c>
      <c r="K9">
        <f>IF(VLOOKUP(TabVMEnv[VM],TabOceanet[],16,FALSE) = "Tarif_VM",1,0)/TabVMEnv[[#This Row],[Mutualisé]]</f>
        <v>0</v>
      </c>
      <c r="L9">
        <f>IF(VLOOKUP(TabVMEnv[VM],TabOceanet[],9,FALSE) = "PoweredOn",1,0)</f>
        <v>0</v>
      </c>
      <c r="M9">
        <f>TabVMEnv[[#This Row],[IsVMPoweredOn]]*VLOOKUP(TabVMEnv[VM],TabOceanet[],3,FALSE)/TabVMEnv[[#This Row],[Mutualisé]]</f>
        <v>0</v>
      </c>
      <c r="N9">
        <f>VLOOKUP(TabVMEnv[VM],TabOceanet[],4,FALSE)/TabVMEnv[[#This Row],[Mutualisé]]</f>
        <v>0</v>
      </c>
      <c r="O9">
        <f>IF(LEFT(VLOOKUP(TabVMEnv[VM],TabOceanet[],5,FALSE),3)="win",1,0)</f>
        <v>0</v>
      </c>
      <c r="P9"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9" t="str">
        <f>VLOOKUP(TabVMEnv[EnvProjet],TabEnvProjet[],4,FALSE)</f>
        <v>Fablab-Firmin</v>
      </c>
      <c r="R9" s="5" t="str">
        <f>VLOOKUP(TabVMEnv[[#This Row],[SYGES]],TabContrat[],2,FALSE)</f>
        <v>Fablab</v>
      </c>
      <c r="S9" s="5" t="str">
        <f>IF(VLOOKUP(TabVMEnv[[#This Row],[VM]],TabOceanet[],1,FALSE) = "","Disparue","")</f>
        <v/>
      </c>
      <c r="T9" s="25">
        <f>VLOOKUP(TabVMEnv[[#This Row],[VM]],TabOceanet[],36,FALSE)/TabVMEnv[[#This Row],[Mutualisé]]</f>
        <v>45</v>
      </c>
      <c r="U9" s="25">
        <f>IF(TabVMEnv[[#This Row],[CostCenter]]="CostCenterDI",0,TabVMEnv[[#This Row],[CoutGlobal]])</f>
        <v>45</v>
      </c>
      <c r="V9" s="25">
        <f>TabVMEnv[[#This Row],[CoutGlobalSansCostCenterDI]]/TabVMEnv[[#Totals],[CoutGlobalSansCostCenterDI]]*(GlobalARepartirSansMS+GlobalARepartirMSOnly+GlobalARepartirInfraReseau)</f>
        <v>78.545566974423878</v>
      </c>
      <c r="W9" s="25">
        <f>TabVMEnv[[#This Row],[CoutGlobalSansCostCenterDI]]+TabVMEnv[[#This Row],[CoutGlobalSupplementaire]]</f>
        <v>123.54556697442388</v>
      </c>
      <c r="X9" s="5" t="str">
        <f>VLOOKUP(TabVMEnv[[#This Row],[EnvProjet]],TabEnvProjet[],2,FALSE) &amp; " - " &amp; IFERROR(VLOOKUP(TabVMEnv[[#This Row],[EnvProjet]],TabEnvProjet[],4,FALSE),"INCONNU") &amp; " - " &amp; IFERROR(VLOOKUP(TabVMEnv[[#This Row],[EnvProjet]],TabEnvProjet[],5,FALSE),"INCONNU")</f>
        <v>Fablab-Firmin - Fablab-Firmin - Pierre-Yves Baloche</v>
      </c>
      <c r="Y9" s="5" t="str">
        <f>VLOOKUP(TabVMEnv[EnvProjet],TabEnvProjet[],5,FALSE)</f>
        <v>Pierre-Yves Baloche</v>
      </c>
      <c r="Z9" s="5" t="str">
        <f>VLOOKUP(TabVMEnv[EnvProjet],TabEnvProjet[],6,FALSE)</f>
        <v>Fablab</v>
      </c>
      <c r="AA9" s="5" t="str">
        <f>VLOOKUP(TabVMEnv[[#This Row],[EnvProjet]],TabEnvProjet[],3,FALSE)</f>
        <v>PROD</v>
      </c>
      <c r="AB9" s="5">
        <f>COUNTIF(TabVMEnv[VM],TabVMEnv[VM])</f>
        <v>1</v>
      </c>
    </row>
    <row r="10" spans="1:28" x14ac:dyDescent="0.25">
      <c r="A10" t="s">
        <v>1341</v>
      </c>
      <c r="B10" t="s">
        <v>1338</v>
      </c>
      <c r="E10" s="13"/>
      <c r="F10" s="5">
        <f>IF(VLOOKUP(TabVMEnv[VM],TabOceanet[],16,FALSE) = "Tarif_VM",IF(VLOOKUP(TabVMEnv[VM],TabOceanet[],2,FALSE)&lt;4,4,VLOOKUP(TabVMEnv[VM],TabOceanet[],2,FALSE)),0)</f>
        <v>0</v>
      </c>
      <c r="G10">
        <v>0</v>
      </c>
      <c r="H10">
        <v>0</v>
      </c>
      <c r="I10">
        <v>0</v>
      </c>
      <c r="J10">
        <v>0</v>
      </c>
      <c r="K10" s="5">
        <f>IF(VLOOKUP(TabVMEnv[VM],TabOceanet[],16,FALSE) = "Tarif_VM",1,0)/TabVMEnv[[#This Row],[Mutualisé]]</f>
        <v>0</v>
      </c>
      <c r="L10" s="5">
        <f>IF(VLOOKUP(TabVMEnv[VM],TabOceanet[],9,FALSE) = "PoweredOn",1,0)</f>
        <v>0</v>
      </c>
      <c r="M10" s="5">
        <f>TabVMEnv[[#This Row],[IsVMPoweredOn]]*VLOOKUP(TabVMEnv[VM],TabOceanet[],3,FALSE)/TabVMEnv[[#This Row],[Mutualisé]]</f>
        <v>0</v>
      </c>
      <c r="N10" s="5">
        <f>VLOOKUP(TabVMEnv[VM],TabOceanet[],4,FALSE)/TabVMEnv[[#This Row],[Mutualisé]]</f>
        <v>0</v>
      </c>
      <c r="O10" s="5">
        <f>IF(LEFT(VLOOKUP(TabVMEnv[VM],TabOceanet[],5,FALSE),3)="win",1,0)</f>
        <v>0</v>
      </c>
      <c r="P10"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0" t="str">
        <f>VLOOKUP(TabVMEnv[EnvProjet],TabEnvProjet[],4,FALSE)</f>
        <v>GIESV/PCN17-01</v>
      </c>
      <c r="R10" s="5" t="str">
        <f>VLOOKUP(TabVMEnv[[#This Row],[SYGES]],TabContrat[],2,FALSE)</f>
        <v>GIESV</v>
      </c>
      <c r="S10" s="5" t="str">
        <f>IF(VLOOKUP(TabVMEnv[[#This Row],[VM]],TabOceanet[],1,FALSE) = "","Disparue","")</f>
        <v/>
      </c>
      <c r="T10" s="25">
        <f>VLOOKUP(TabVMEnv[[#This Row],[VM]],TabOceanet[],36,FALSE)/TabVMEnv[[#This Row],[Mutualisé]]</f>
        <v>14.08</v>
      </c>
      <c r="U10" s="25">
        <f>IF(TabVMEnv[[#This Row],[CostCenter]]="CostCenterDI",0,TabVMEnv[[#This Row],[CoutGlobal]])</f>
        <v>14.08</v>
      </c>
      <c r="V10" s="25">
        <f>TabVMEnv[[#This Row],[CoutGlobalSansCostCenterDI]]/TabVMEnv[[#Totals],[CoutGlobalSansCostCenterDI]]*(GlobalARepartirSansMS+GlobalARepartirMSOnly+GlobalARepartirInfraReseau)</f>
        <v>24.576035177775292</v>
      </c>
      <c r="W10" s="25">
        <f>TabVMEnv[[#This Row],[CoutGlobalSansCostCenterDI]]+TabVMEnv[[#This Row],[CoutGlobalSupplementaire]]</f>
        <v>38.656035177775294</v>
      </c>
      <c r="X10" s="5" t="str">
        <f>VLOOKUP(TabVMEnv[[#This Row],[EnvProjet]],TabEnvProjet[],2,FALSE) &amp; " - " &amp; IFERROR(VLOOKUP(TabVMEnv[[#This Row],[EnvProjet]],TabEnvProjet[],4,FALSE),"INCONNU") &amp; " - " &amp; IFERROR(VLOOKUP(TabVMEnv[[#This Row],[EnvProjet]],TabEnvProjet[],5,FALSE),"INCONNU")</f>
        <v>GIE S-V-Infra Citrix - GIESV/PCN17-01 - Nicolas Cordier</v>
      </c>
      <c r="Y10" s="5" t="str">
        <f>VLOOKUP(TabVMEnv[EnvProjet],TabEnvProjet[],5,FALSE)</f>
        <v>Nicolas Cordier</v>
      </c>
      <c r="Z10" s="5">
        <f>VLOOKUP(TabVMEnv[EnvProjet],TabEnvProjet[],6,FALSE)</f>
        <v>341531</v>
      </c>
      <c r="AA10" s="5" t="str">
        <f>VLOOKUP(TabVMEnv[[#This Row],[EnvProjet]],TabEnvProjet[],3,FALSE)</f>
        <v>DEV</v>
      </c>
      <c r="AB10" s="5">
        <f>COUNTIF(TabVMEnv[VM],TabVMEnv[VM])</f>
        <v>1</v>
      </c>
    </row>
    <row r="11" spans="1:28" x14ac:dyDescent="0.25">
      <c r="A11" t="s">
        <v>230</v>
      </c>
      <c r="B11" t="s">
        <v>293</v>
      </c>
      <c r="D11">
        <v>0</v>
      </c>
      <c r="E11" s="13" t="s">
        <v>1196</v>
      </c>
      <c r="F11">
        <f>IF(VLOOKUP(TabVMEnv[VM],TabOceanet[],16,FALSE) = "Tarif_VM",IF(VLOOKUP(TabVMEnv[VM],TabOceanet[],2,FALSE)&lt;4,4,VLOOKUP(TabVMEnv[VM],TabOceanet[],2,FALSE)),0)</f>
        <v>4</v>
      </c>
      <c r="G11">
        <v>0</v>
      </c>
      <c r="H11">
        <v>0</v>
      </c>
      <c r="I11">
        <v>0</v>
      </c>
      <c r="J11">
        <v>0</v>
      </c>
      <c r="K11">
        <f>IF(VLOOKUP(TabVMEnv[VM],TabOceanet[],16,FALSE) = "Tarif_VM",1,0)/TabVMEnv[[#This Row],[Mutualisé]]</f>
        <v>1</v>
      </c>
      <c r="L11">
        <f>IF(VLOOKUP(TabVMEnv[VM],TabOceanet[],9,FALSE) = "PoweredOn",1,0)</f>
        <v>0</v>
      </c>
      <c r="M11">
        <f>TabVMEnv[[#This Row],[IsVMPoweredOn]]*VLOOKUP(TabVMEnv[VM],TabOceanet[],3,FALSE)/TabVMEnv[[#This Row],[Mutualisé]]</f>
        <v>0</v>
      </c>
      <c r="N11">
        <f>VLOOKUP(TabVMEnv[VM],TabOceanet[],4,FALSE)/TabVMEnv[[#This Row],[Mutualisé]]</f>
        <v>6</v>
      </c>
      <c r="O11">
        <f>IF(LEFT(VLOOKUP(TabVMEnv[VM],TabOceanet[],5,FALSE),3)="win",1,0)</f>
        <v>0</v>
      </c>
      <c r="P11"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1" t="str">
        <f>VLOOKUP(TabVMEnv[EnvProjet],TabEnvProjet[],4,FALSE)</f>
        <v>GFI Oceanet Infra Réseau</v>
      </c>
      <c r="R11" s="5" t="str">
        <f>VLOOKUP(TabVMEnv[[#This Row],[SYGES]],TabContrat[],2,FALSE)</f>
        <v>GFI</v>
      </c>
      <c r="S11" s="5" t="str">
        <f>IF(VLOOKUP(TabVMEnv[[#This Row],[VM]],TabOceanet[],1,FALSE) = "","Disparue","")</f>
        <v/>
      </c>
      <c r="T11" s="25">
        <f>VLOOKUP(TabVMEnv[[#This Row],[VM]],TabOceanet[],36,FALSE)/TabVMEnv[[#This Row],[Mutualisé]]</f>
        <v>1.3800000000000001</v>
      </c>
      <c r="U11" s="25">
        <f>IF(TabVMEnv[[#This Row],[CostCenter]]="CostCenterDI",0,TabVMEnv[[#This Row],[CoutGlobal]])</f>
        <v>0</v>
      </c>
      <c r="V11" s="25">
        <f>TabVMEnv[[#This Row],[CoutGlobalSansCostCenterDI]]/TabVMEnv[[#Totals],[CoutGlobalSansCostCenterDI]]*(GlobalARepartirSansMS+GlobalARepartirMSOnly+GlobalARepartirInfraReseau)</f>
        <v>0</v>
      </c>
      <c r="W11" s="25">
        <f>TabVMEnv[[#This Row],[CoutGlobalSansCostCenterDI]]+TabVMEnv[[#This Row],[CoutGlobalSupplementaire]]</f>
        <v>0</v>
      </c>
      <c r="X11" s="5" t="str">
        <f>VLOOKUP(TabVMEnv[[#This Row],[EnvProjet]],TabEnvProjet[],2,FALSE) &amp; " - " &amp; IFERROR(VLOOKUP(TabVMEnv[[#This Row],[EnvProjet]],TabEnvProjet[],4,FALSE),"INCONNU") &amp; " - " &amp; IFERROR(VLOOKUP(TabVMEnv[[#This Row],[EnvProjet]],TabEnvProjet[],5,FALSE),"INCONNU")</f>
        <v>GFI-Oceanet Infra Modèles - GFI Oceanet Infra Réseau - Jérôme JACOB</v>
      </c>
      <c r="Y11" s="5" t="str">
        <f>VLOOKUP(TabVMEnv[EnvProjet],TabEnvProjet[],5,FALSE)</f>
        <v>Jérôme JACOB</v>
      </c>
      <c r="Z11" s="5" t="str">
        <f>VLOOKUP(TabVMEnv[EnvProjet],TabEnvProjet[],6,FALSE)</f>
        <v>CostCenterDI</v>
      </c>
      <c r="AA11" s="5" t="str">
        <f>VLOOKUP(TabVMEnv[[#This Row],[EnvProjet]],TabEnvProjet[],3,FALSE)</f>
        <v>SOCLE</v>
      </c>
      <c r="AB11" s="5">
        <f>COUNTIF(TabVMEnv[VM],TabVMEnv[VM])</f>
        <v>1</v>
      </c>
    </row>
    <row r="12" spans="1:28" x14ac:dyDescent="0.25">
      <c r="A12" t="s">
        <v>228</v>
      </c>
      <c r="B12" t="s">
        <v>293</v>
      </c>
      <c r="D12">
        <v>0</v>
      </c>
      <c r="E12" s="13" t="s">
        <v>1196</v>
      </c>
      <c r="F12">
        <f>IF(VLOOKUP(TabVMEnv[VM],TabOceanet[],16,FALSE) = "Tarif_VM",IF(VLOOKUP(TabVMEnv[VM],TabOceanet[],2,FALSE)&lt;4,4,VLOOKUP(TabVMEnv[VM],TabOceanet[],2,FALSE)),0)</f>
        <v>4</v>
      </c>
      <c r="G12">
        <v>0</v>
      </c>
      <c r="H12">
        <v>0</v>
      </c>
      <c r="I12">
        <v>0</v>
      </c>
      <c r="J12">
        <v>0</v>
      </c>
      <c r="K12">
        <f>IF(VLOOKUP(TabVMEnv[VM],TabOceanet[],16,FALSE) = "Tarif_VM",1,0)/TabVMEnv[[#This Row],[Mutualisé]]</f>
        <v>1</v>
      </c>
      <c r="L12">
        <f>IF(VLOOKUP(TabVMEnv[VM],TabOceanet[],9,FALSE) = "PoweredOn",1,0)</f>
        <v>0</v>
      </c>
      <c r="M12">
        <f>TabVMEnv[[#This Row],[IsVMPoweredOn]]*VLOOKUP(TabVMEnv[VM],TabOceanet[],3,FALSE)/TabVMEnv[[#This Row],[Mutualisé]]</f>
        <v>0</v>
      </c>
      <c r="N12">
        <f>VLOOKUP(TabVMEnv[VM],TabOceanet[],4,FALSE)/TabVMEnv[[#This Row],[Mutualisé]]</f>
        <v>6</v>
      </c>
      <c r="O12">
        <f>IF(LEFT(VLOOKUP(TabVMEnv[VM],TabOceanet[],5,FALSE),3)="win",1,0)</f>
        <v>0</v>
      </c>
      <c r="P12"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2" t="str">
        <f>VLOOKUP(TabVMEnv[EnvProjet],TabEnvProjet[],4,FALSE)</f>
        <v>GFI Oceanet Infra Réseau</v>
      </c>
      <c r="R12" s="5" t="str">
        <f>VLOOKUP(TabVMEnv[[#This Row],[SYGES]],TabContrat[],2,FALSE)</f>
        <v>GFI</v>
      </c>
      <c r="S12" s="5" t="str">
        <f>IF(VLOOKUP(TabVMEnv[[#This Row],[VM]],TabOceanet[],1,FALSE) = "","Disparue","")</f>
        <v/>
      </c>
      <c r="T12" s="17">
        <f>VLOOKUP(TabVMEnv[[#This Row],[VM]],TabOceanet[],36,FALSE)/TabVMEnv[[#This Row],[Mutualisé]]</f>
        <v>1.3800000000000001</v>
      </c>
      <c r="U12" s="17">
        <f>IF(TabVMEnv[[#This Row],[CostCenter]]="CostCenterDI",0,TabVMEnv[[#This Row],[CoutGlobal]])</f>
        <v>0</v>
      </c>
      <c r="V12" s="17">
        <f>TabVMEnv[[#This Row],[CoutGlobalSansCostCenterDI]]/TabVMEnv[[#Totals],[CoutGlobalSansCostCenterDI]]*(GlobalARepartirSansMS+GlobalARepartirMSOnly+GlobalARepartirInfraReseau)</f>
        <v>0</v>
      </c>
      <c r="W12" s="17">
        <f>TabVMEnv[[#This Row],[CoutGlobalSansCostCenterDI]]+TabVMEnv[[#This Row],[CoutGlobalSupplementaire]]</f>
        <v>0</v>
      </c>
      <c r="X12" s="5" t="str">
        <f>VLOOKUP(TabVMEnv[[#This Row],[EnvProjet]],TabEnvProjet[],2,FALSE) &amp; " - " &amp; IFERROR(VLOOKUP(TabVMEnv[[#This Row],[EnvProjet]],TabEnvProjet[],4,FALSE),"INCONNU") &amp; " - " &amp; IFERROR(VLOOKUP(TabVMEnv[[#This Row],[EnvProjet]],TabEnvProjet[],5,FALSE),"INCONNU")</f>
        <v>GFI-Oceanet Infra Modèles - GFI Oceanet Infra Réseau - Jérôme JACOB</v>
      </c>
      <c r="Y12" s="5" t="str">
        <f>VLOOKUP(TabVMEnv[EnvProjet],TabEnvProjet[],5,FALSE)</f>
        <v>Jérôme JACOB</v>
      </c>
      <c r="Z12" s="5" t="str">
        <f>VLOOKUP(TabVMEnv[EnvProjet],TabEnvProjet[],6,FALSE)</f>
        <v>CostCenterDI</v>
      </c>
      <c r="AA12" s="5" t="str">
        <f>VLOOKUP(TabVMEnv[[#This Row],[EnvProjet]],TabEnvProjet[],3,FALSE)</f>
        <v>SOCLE</v>
      </c>
      <c r="AB12" s="5">
        <f>COUNTIF(TabVMEnv[VM],TabVMEnv[VM])</f>
        <v>1</v>
      </c>
    </row>
    <row r="13" spans="1:28" x14ac:dyDescent="0.25">
      <c r="A13" t="s">
        <v>180</v>
      </c>
      <c r="B13" t="s">
        <v>294</v>
      </c>
      <c r="E13" s="13"/>
      <c r="F13">
        <f>IF(VLOOKUP(TabVMEnv[VM],TabOceanet[],16,FALSE) = "Tarif_VM",IF(VLOOKUP(TabVMEnv[VM],TabOceanet[],2,FALSE)&lt;4,4,VLOOKUP(TabVMEnv[VM],TabOceanet[],2,FALSE)),0)</f>
        <v>0</v>
      </c>
      <c r="G13">
        <v>0</v>
      </c>
      <c r="H13">
        <v>0</v>
      </c>
      <c r="I13">
        <v>0</v>
      </c>
      <c r="J13">
        <v>0</v>
      </c>
      <c r="K13">
        <f>IF(VLOOKUP(TabVMEnv[VM],TabOceanet[],16,FALSE) = "Tarif_VM",1,0)/TabVMEnv[[#This Row],[Mutualisé]]</f>
        <v>0</v>
      </c>
      <c r="L13">
        <f>IF(VLOOKUP(TabVMEnv[VM],TabOceanet[],9,FALSE) = "PoweredOn",1,0)</f>
        <v>0</v>
      </c>
      <c r="M13">
        <f>TabVMEnv[[#This Row],[IsVMPoweredOn]]*VLOOKUP(TabVMEnv[VM],TabOceanet[],3,FALSE)/TabVMEnv[[#This Row],[Mutualisé]]</f>
        <v>0</v>
      </c>
      <c r="N13">
        <f>VLOOKUP(TabVMEnv[VM],TabOceanet[],4,FALSE)/TabVMEnv[[#This Row],[Mutualisé]]</f>
        <v>0</v>
      </c>
      <c r="O13">
        <f>IF(LEFT(VLOOKUP(TabVMEnv[VM],TabOceanet[],5,FALSE),3)="win",1,0)</f>
        <v>0</v>
      </c>
      <c r="P13"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3" t="str">
        <f>VLOOKUP(TabVMEnv[EnvProjet],TabEnvProjet[],4,FALSE)</f>
        <v>GFI Oceanet Infra Réseau</v>
      </c>
      <c r="R13" s="5" t="str">
        <f>VLOOKUP(TabVMEnv[[#This Row],[SYGES]],TabContrat[],2,FALSE)</f>
        <v>GFI</v>
      </c>
      <c r="S13" s="5" t="str">
        <f>IF(VLOOKUP(TabVMEnv[[#This Row],[VM]],TabOceanet[],1,FALSE) = "","Disparue","")</f>
        <v/>
      </c>
      <c r="T13" s="25">
        <f>VLOOKUP(TabVMEnv[[#This Row],[VM]],TabOceanet[],36,FALSE)/TabVMEnv[[#This Row],[Mutualisé]]</f>
        <v>3.5</v>
      </c>
      <c r="U13" s="25">
        <f>IF(TabVMEnv[[#This Row],[CostCenter]]="CostCenterDI",0,TabVMEnv[[#This Row],[CoutGlobal]])</f>
        <v>0</v>
      </c>
      <c r="V13" s="25">
        <f>TabVMEnv[[#This Row],[CoutGlobalSansCostCenterDI]]/TabVMEnv[[#Totals],[CoutGlobalSansCostCenterDI]]*(GlobalARepartirSansMS+GlobalARepartirMSOnly+GlobalARepartirInfraReseau)</f>
        <v>0</v>
      </c>
      <c r="W13" s="25">
        <f>TabVMEnv[[#This Row],[CoutGlobalSansCostCenterDI]]+TabVMEnv[[#This Row],[CoutGlobalSupplementaire]]</f>
        <v>0</v>
      </c>
      <c r="X13" s="5" t="str">
        <f>VLOOKUP(TabVMEnv[[#This Row],[EnvProjet]],TabEnvProjet[],2,FALSE) &amp; " - " &amp; IFERROR(VLOOKUP(TabVMEnv[[#This Row],[EnvProjet]],TabEnvProjet[],4,FALSE),"INCONNU") &amp; " - " &amp; IFERROR(VLOOKUP(TabVMEnv[[#This Row],[EnvProjet]],TabEnvProjet[],5,FALSE),"INCONNU")</f>
        <v>GFI-Oceanet Infra Réseau - GFI Oceanet Infra Réseau - Jérôme JACOB</v>
      </c>
      <c r="Y13" s="5" t="str">
        <f>VLOOKUP(TabVMEnv[EnvProjet],TabEnvProjet[],5,FALSE)</f>
        <v>Jérôme JACOB</v>
      </c>
      <c r="Z13" s="5" t="str">
        <f>VLOOKUP(TabVMEnv[EnvProjet],TabEnvProjet[],6,FALSE)</f>
        <v>CostCenterDI</v>
      </c>
      <c r="AA13" s="5" t="str">
        <f>VLOOKUP(TabVMEnv[[#This Row],[EnvProjet]],TabEnvProjet[],3,FALSE)</f>
        <v>SOCLE</v>
      </c>
      <c r="AB13" s="5">
        <f>COUNTIF(TabVMEnv[VM],TabVMEnv[VM])</f>
        <v>1</v>
      </c>
    </row>
    <row r="14" spans="1:28" x14ac:dyDescent="0.25">
      <c r="A14" t="s">
        <v>114</v>
      </c>
      <c r="B14" t="s">
        <v>291</v>
      </c>
      <c r="E14" s="13"/>
      <c r="F14">
        <f>IF(VLOOKUP(TabVMEnv[VM],TabOceanet[],16,FALSE) = "Tarif_VM",IF(VLOOKUP(TabVMEnv[VM],TabOceanet[],2,FALSE)&lt;4,4,VLOOKUP(TabVMEnv[VM],TabOceanet[],2,FALSE)),0)</f>
        <v>0</v>
      </c>
      <c r="G14">
        <v>0</v>
      </c>
      <c r="H14">
        <v>0</v>
      </c>
      <c r="I14">
        <v>0</v>
      </c>
      <c r="J14">
        <v>0</v>
      </c>
      <c r="K14">
        <f>IF(VLOOKUP(TabVMEnv[VM],TabOceanet[],16,FALSE) = "Tarif_VM",1,0)/TabVMEnv[[#This Row],[Mutualisé]]</f>
        <v>0</v>
      </c>
      <c r="L14">
        <f>IF(VLOOKUP(TabVMEnv[VM],TabOceanet[],9,FALSE) = "PoweredOn",1,0)</f>
        <v>0</v>
      </c>
      <c r="M14">
        <f>TabVMEnv[[#This Row],[IsVMPoweredOn]]*VLOOKUP(TabVMEnv[VM],TabOceanet[],3,FALSE)/TabVMEnv[[#This Row],[Mutualisé]]</f>
        <v>0</v>
      </c>
      <c r="N14">
        <f>VLOOKUP(TabVMEnv[VM],TabOceanet[],4,FALSE)/TabVMEnv[[#This Row],[Mutualisé]]</f>
        <v>0</v>
      </c>
      <c r="O14">
        <f>IF(LEFT(VLOOKUP(TabVMEnv[VM],TabOceanet[],5,FALSE),3)="win",1,0)</f>
        <v>0</v>
      </c>
      <c r="P14"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4" t="str">
        <f>VLOOKUP(TabVMEnv[EnvProjet],TabEnvProjet[],4,FALSE)</f>
        <v>Fablab-Firmin</v>
      </c>
      <c r="R14" s="5" t="str">
        <f>VLOOKUP(TabVMEnv[[#This Row],[SYGES]],TabContrat[],2,FALSE)</f>
        <v>Fablab</v>
      </c>
      <c r="S14" s="5" t="str">
        <f>IF(VLOOKUP(TabVMEnv[[#This Row],[VM]],TabOceanet[],1,FALSE) = "","Disparue","")</f>
        <v/>
      </c>
      <c r="T14" s="25">
        <f>VLOOKUP(TabVMEnv[[#This Row],[VM]],TabOceanet[],36,FALSE)/TabVMEnv[[#This Row],[Mutualisé]]</f>
        <v>3.5</v>
      </c>
      <c r="U14" s="25">
        <f>IF(TabVMEnv[[#This Row],[CostCenter]]="CostCenterDI",0,TabVMEnv[[#This Row],[CoutGlobal]])</f>
        <v>3.5</v>
      </c>
      <c r="V14" s="25">
        <f>TabVMEnv[[#This Row],[CoutGlobalSansCostCenterDI]]/TabVMEnv[[#Totals],[CoutGlobalSansCostCenterDI]]*(GlobalARepartirSansMS+GlobalARepartirMSOnly+GlobalARepartirInfraReseau)</f>
        <v>6.1090996535663002</v>
      </c>
      <c r="W14" s="25">
        <f>TabVMEnv[[#This Row],[CoutGlobalSansCostCenterDI]]+TabVMEnv[[#This Row],[CoutGlobalSupplementaire]]</f>
        <v>9.6090996535663002</v>
      </c>
      <c r="X14" s="5" t="str">
        <f>VLOOKUP(TabVMEnv[[#This Row],[EnvProjet]],TabEnvProjet[],2,FALSE) &amp; " - " &amp; IFERROR(VLOOKUP(TabVMEnv[[#This Row],[EnvProjet]],TabEnvProjet[],4,FALSE),"INCONNU") &amp; " - " &amp; IFERROR(VLOOKUP(TabVMEnv[[#This Row],[EnvProjet]],TabEnvProjet[],5,FALSE),"INCONNU")</f>
        <v>Fablab-Firmin - Fablab-Firmin - Pierre-Yves Baloche</v>
      </c>
      <c r="Y14" s="5" t="str">
        <f>VLOOKUP(TabVMEnv[EnvProjet],TabEnvProjet[],5,FALSE)</f>
        <v>Pierre-Yves Baloche</v>
      </c>
      <c r="Z14" s="5" t="str">
        <f>VLOOKUP(TabVMEnv[EnvProjet],TabEnvProjet[],6,FALSE)</f>
        <v>Fablab</v>
      </c>
      <c r="AA14" s="5" t="str">
        <f>VLOOKUP(TabVMEnv[[#This Row],[EnvProjet]],TabEnvProjet[],3,FALSE)</f>
        <v>PROD</v>
      </c>
      <c r="AB14" s="5">
        <f>COUNTIF(TabVMEnv[VM],TabVMEnv[VM])</f>
        <v>1</v>
      </c>
    </row>
    <row r="15" spans="1:28" x14ac:dyDescent="0.25">
      <c r="A15" t="s">
        <v>115</v>
      </c>
      <c r="B15" t="s">
        <v>291</v>
      </c>
      <c r="E15" s="13"/>
      <c r="F15">
        <f>IF(VLOOKUP(TabVMEnv[VM],TabOceanet[],16,FALSE) = "Tarif_VM",IF(VLOOKUP(TabVMEnv[VM],TabOceanet[],2,FALSE)&lt;4,4,VLOOKUP(TabVMEnv[VM],TabOceanet[],2,FALSE)),0)</f>
        <v>0</v>
      </c>
      <c r="G15">
        <v>0</v>
      </c>
      <c r="H15">
        <v>0</v>
      </c>
      <c r="I15">
        <v>0</v>
      </c>
      <c r="J15">
        <v>0</v>
      </c>
      <c r="K15">
        <f>IF(VLOOKUP(TabVMEnv[VM],TabOceanet[],16,FALSE) = "Tarif_VM",1,0)/TabVMEnv[[#This Row],[Mutualisé]]</f>
        <v>0</v>
      </c>
      <c r="L15">
        <f>IF(VLOOKUP(TabVMEnv[VM],TabOceanet[],9,FALSE) = "PoweredOn",1,0)</f>
        <v>0</v>
      </c>
      <c r="M15">
        <f>TabVMEnv[[#This Row],[IsVMPoweredOn]]*VLOOKUP(TabVMEnv[VM],TabOceanet[],3,FALSE)/TabVMEnv[[#This Row],[Mutualisé]]</f>
        <v>0</v>
      </c>
      <c r="N15">
        <f>VLOOKUP(TabVMEnv[VM],TabOceanet[],4,FALSE)/TabVMEnv[[#This Row],[Mutualisé]]</f>
        <v>0</v>
      </c>
      <c r="O15">
        <f>IF(LEFT(VLOOKUP(TabVMEnv[VM],TabOceanet[],5,FALSE),3)="win",1,0)</f>
        <v>0</v>
      </c>
      <c r="P15"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5" t="str">
        <f>VLOOKUP(TabVMEnv[EnvProjet],TabEnvProjet[],4,FALSE)</f>
        <v>Fablab-Firmin</v>
      </c>
      <c r="R15" s="5" t="str">
        <f>VLOOKUP(TabVMEnv[[#This Row],[SYGES]],TabContrat[],2,FALSE)</f>
        <v>Fablab</v>
      </c>
      <c r="S15" s="5" t="str">
        <f>IF(VLOOKUP(TabVMEnv[[#This Row],[VM]],TabOceanet[],1,FALSE) = "","Disparue","")</f>
        <v/>
      </c>
      <c r="T15" s="25">
        <f>VLOOKUP(TabVMEnv[[#This Row],[VM]],TabOceanet[],36,FALSE)/TabVMEnv[[#This Row],[Mutualisé]]</f>
        <v>3.5</v>
      </c>
      <c r="U15" s="25">
        <f>IF(TabVMEnv[[#This Row],[CostCenter]]="CostCenterDI",0,TabVMEnv[[#This Row],[CoutGlobal]])</f>
        <v>3.5</v>
      </c>
      <c r="V15" s="25">
        <f>TabVMEnv[[#This Row],[CoutGlobalSansCostCenterDI]]/TabVMEnv[[#Totals],[CoutGlobalSansCostCenterDI]]*(GlobalARepartirSansMS+GlobalARepartirMSOnly+GlobalARepartirInfraReseau)</f>
        <v>6.1090996535663002</v>
      </c>
      <c r="W15" s="25">
        <f>TabVMEnv[[#This Row],[CoutGlobalSansCostCenterDI]]+TabVMEnv[[#This Row],[CoutGlobalSupplementaire]]</f>
        <v>9.6090996535663002</v>
      </c>
      <c r="X15" s="5" t="str">
        <f>VLOOKUP(TabVMEnv[[#This Row],[EnvProjet]],TabEnvProjet[],2,FALSE) &amp; " - " &amp; IFERROR(VLOOKUP(TabVMEnv[[#This Row],[EnvProjet]],TabEnvProjet[],4,FALSE),"INCONNU") &amp; " - " &amp; IFERROR(VLOOKUP(TabVMEnv[[#This Row],[EnvProjet]],TabEnvProjet[],5,FALSE),"INCONNU")</f>
        <v>Fablab-Firmin - Fablab-Firmin - Pierre-Yves Baloche</v>
      </c>
      <c r="Y15" s="5" t="str">
        <f>VLOOKUP(TabVMEnv[EnvProjet],TabEnvProjet[],5,FALSE)</f>
        <v>Pierre-Yves Baloche</v>
      </c>
      <c r="Z15" s="5" t="str">
        <f>VLOOKUP(TabVMEnv[EnvProjet],TabEnvProjet[],6,FALSE)</f>
        <v>Fablab</v>
      </c>
      <c r="AA15" s="5" t="str">
        <f>VLOOKUP(TabVMEnv[[#This Row],[EnvProjet]],TabEnvProjet[],3,FALSE)</f>
        <v>PROD</v>
      </c>
      <c r="AB15" s="5">
        <f>COUNTIF(TabVMEnv[VM],TabVMEnv[VM])</f>
        <v>1</v>
      </c>
    </row>
    <row r="16" spans="1:28" x14ac:dyDescent="0.25">
      <c r="A16" t="s">
        <v>116</v>
      </c>
      <c r="B16" t="s">
        <v>291</v>
      </c>
      <c r="E16" s="13"/>
      <c r="F16">
        <f>IF(VLOOKUP(TabVMEnv[VM],TabOceanet[],16,FALSE) = "Tarif_VM",IF(VLOOKUP(TabVMEnv[VM],TabOceanet[],2,FALSE)&lt;4,4,VLOOKUP(TabVMEnv[VM],TabOceanet[],2,FALSE)),0)</f>
        <v>0</v>
      </c>
      <c r="G16">
        <v>0</v>
      </c>
      <c r="H16">
        <v>0</v>
      </c>
      <c r="I16">
        <v>0</v>
      </c>
      <c r="J16">
        <v>0</v>
      </c>
      <c r="K16">
        <f>IF(VLOOKUP(TabVMEnv[VM],TabOceanet[],16,FALSE) = "Tarif_VM",1,0)/TabVMEnv[[#This Row],[Mutualisé]]</f>
        <v>0</v>
      </c>
      <c r="L16">
        <f>IF(VLOOKUP(TabVMEnv[VM],TabOceanet[],9,FALSE) = "PoweredOn",1,0)</f>
        <v>0</v>
      </c>
      <c r="M16">
        <f>TabVMEnv[[#This Row],[IsVMPoweredOn]]*VLOOKUP(TabVMEnv[VM],TabOceanet[],3,FALSE)/TabVMEnv[[#This Row],[Mutualisé]]</f>
        <v>0</v>
      </c>
      <c r="N16">
        <f>VLOOKUP(TabVMEnv[VM],TabOceanet[],4,FALSE)/TabVMEnv[[#This Row],[Mutualisé]]</f>
        <v>0</v>
      </c>
      <c r="O16">
        <f>IF(LEFT(VLOOKUP(TabVMEnv[VM],TabOceanet[],5,FALSE),3)="win",1,0)</f>
        <v>0</v>
      </c>
      <c r="P16"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6" t="str">
        <f>VLOOKUP(TabVMEnv[EnvProjet],TabEnvProjet[],4,FALSE)</f>
        <v>Fablab-Firmin</v>
      </c>
      <c r="R16" s="5" t="str">
        <f>VLOOKUP(TabVMEnv[[#This Row],[SYGES]],TabContrat[],2,FALSE)</f>
        <v>Fablab</v>
      </c>
      <c r="S16" s="5" t="str">
        <f>IF(VLOOKUP(TabVMEnv[[#This Row],[VM]],TabOceanet[],1,FALSE) = "","Disparue","")</f>
        <v/>
      </c>
      <c r="T16" s="25">
        <f>VLOOKUP(TabVMEnv[[#This Row],[VM]],TabOceanet[],36,FALSE)/TabVMEnv[[#This Row],[Mutualisé]]</f>
        <v>3.5</v>
      </c>
      <c r="U16" s="25">
        <f>IF(TabVMEnv[[#This Row],[CostCenter]]="CostCenterDI",0,TabVMEnv[[#This Row],[CoutGlobal]])</f>
        <v>3.5</v>
      </c>
      <c r="V16" s="25">
        <f>TabVMEnv[[#This Row],[CoutGlobalSansCostCenterDI]]/TabVMEnv[[#Totals],[CoutGlobalSansCostCenterDI]]*(GlobalARepartirSansMS+GlobalARepartirMSOnly+GlobalARepartirInfraReseau)</f>
        <v>6.1090996535663002</v>
      </c>
      <c r="W16" s="25">
        <f>TabVMEnv[[#This Row],[CoutGlobalSansCostCenterDI]]+TabVMEnv[[#This Row],[CoutGlobalSupplementaire]]</f>
        <v>9.6090996535663002</v>
      </c>
      <c r="X16" s="5" t="str">
        <f>VLOOKUP(TabVMEnv[[#This Row],[EnvProjet]],TabEnvProjet[],2,FALSE) &amp; " - " &amp; IFERROR(VLOOKUP(TabVMEnv[[#This Row],[EnvProjet]],TabEnvProjet[],4,FALSE),"INCONNU") &amp; " - " &amp; IFERROR(VLOOKUP(TabVMEnv[[#This Row],[EnvProjet]],TabEnvProjet[],5,FALSE),"INCONNU")</f>
        <v>Fablab-Firmin - Fablab-Firmin - Pierre-Yves Baloche</v>
      </c>
      <c r="Y16" s="5" t="str">
        <f>VLOOKUP(TabVMEnv[EnvProjet],TabEnvProjet[],5,FALSE)</f>
        <v>Pierre-Yves Baloche</v>
      </c>
      <c r="Z16" s="5" t="str">
        <f>VLOOKUP(TabVMEnv[EnvProjet],TabEnvProjet[],6,FALSE)</f>
        <v>Fablab</v>
      </c>
      <c r="AA16" s="5" t="str">
        <f>VLOOKUP(TabVMEnv[[#This Row],[EnvProjet]],TabEnvProjet[],3,FALSE)</f>
        <v>PROD</v>
      </c>
      <c r="AB16" s="5">
        <f>COUNTIF(TabVMEnv[VM],TabVMEnv[VM])</f>
        <v>1</v>
      </c>
    </row>
    <row r="17" spans="1:28" x14ac:dyDescent="0.25">
      <c r="A17" t="s">
        <v>117</v>
      </c>
      <c r="B17" t="s">
        <v>291</v>
      </c>
      <c r="E17" s="13"/>
      <c r="F17">
        <f>IF(VLOOKUP(TabVMEnv[VM],TabOceanet[],16,FALSE) = "Tarif_VM",IF(VLOOKUP(TabVMEnv[VM],TabOceanet[],2,FALSE)&lt;4,4,VLOOKUP(TabVMEnv[VM],TabOceanet[],2,FALSE)),0)</f>
        <v>0</v>
      </c>
      <c r="G17">
        <v>0</v>
      </c>
      <c r="H17">
        <v>0</v>
      </c>
      <c r="I17">
        <v>0</v>
      </c>
      <c r="J17">
        <v>0</v>
      </c>
      <c r="K17">
        <f>IF(VLOOKUP(TabVMEnv[VM],TabOceanet[],16,FALSE) = "Tarif_VM",1,0)/TabVMEnv[[#This Row],[Mutualisé]]</f>
        <v>0</v>
      </c>
      <c r="L17">
        <f>IF(VLOOKUP(TabVMEnv[VM],TabOceanet[],9,FALSE) = "PoweredOn",1,0)</f>
        <v>0</v>
      </c>
      <c r="M17">
        <f>TabVMEnv[[#This Row],[IsVMPoweredOn]]*VLOOKUP(TabVMEnv[VM],TabOceanet[],3,FALSE)/TabVMEnv[[#This Row],[Mutualisé]]</f>
        <v>0</v>
      </c>
      <c r="N17">
        <f>VLOOKUP(TabVMEnv[VM],TabOceanet[],4,FALSE)/TabVMEnv[[#This Row],[Mutualisé]]</f>
        <v>0</v>
      </c>
      <c r="O17">
        <f>IF(LEFT(VLOOKUP(TabVMEnv[VM],TabOceanet[],5,FALSE),3)="win",1,0)</f>
        <v>0</v>
      </c>
      <c r="P17"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7" t="str">
        <f>VLOOKUP(TabVMEnv[EnvProjet],TabEnvProjet[],4,FALSE)</f>
        <v>Fablab-Firmin</v>
      </c>
      <c r="R17" s="5" t="str">
        <f>VLOOKUP(TabVMEnv[[#This Row],[SYGES]],TabContrat[],2,FALSE)</f>
        <v>Fablab</v>
      </c>
      <c r="S17" s="5" t="str">
        <f>IF(VLOOKUP(TabVMEnv[[#This Row],[VM]],TabOceanet[],1,FALSE) = "","Disparue","")</f>
        <v/>
      </c>
      <c r="T17" s="25">
        <f>VLOOKUP(TabVMEnv[[#This Row],[VM]],TabOceanet[],36,FALSE)/TabVMEnv[[#This Row],[Mutualisé]]</f>
        <v>3.5</v>
      </c>
      <c r="U17" s="25">
        <f>IF(TabVMEnv[[#This Row],[CostCenter]]="CostCenterDI",0,TabVMEnv[[#This Row],[CoutGlobal]])</f>
        <v>3.5</v>
      </c>
      <c r="V17" s="25">
        <f>TabVMEnv[[#This Row],[CoutGlobalSansCostCenterDI]]/TabVMEnv[[#Totals],[CoutGlobalSansCostCenterDI]]*(GlobalARepartirSansMS+GlobalARepartirMSOnly+GlobalARepartirInfraReseau)</f>
        <v>6.1090996535663002</v>
      </c>
      <c r="W17" s="25">
        <f>TabVMEnv[[#This Row],[CoutGlobalSansCostCenterDI]]+TabVMEnv[[#This Row],[CoutGlobalSupplementaire]]</f>
        <v>9.6090996535663002</v>
      </c>
      <c r="X17" s="5" t="str">
        <f>VLOOKUP(TabVMEnv[[#This Row],[EnvProjet]],TabEnvProjet[],2,FALSE) &amp; " - " &amp; IFERROR(VLOOKUP(TabVMEnv[[#This Row],[EnvProjet]],TabEnvProjet[],4,FALSE),"INCONNU") &amp; " - " &amp; IFERROR(VLOOKUP(TabVMEnv[[#This Row],[EnvProjet]],TabEnvProjet[],5,FALSE),"INCONNU")</f>
        <v>Fablab-Firmin - Fablab-Firmin - Pierre-Yves Baloche</v>
      </c>
      <c r="Y17" s="5" t="str">
        <f>VLOOKUP(TabVMEnv[EnvProjet],TabEnvProjet[],5,FALSE)</f>
        <v>Pierre-Yves Baloche</v>
      </c>
      <c r="Z17" s="5" t="str">
        <f>VLOOKUP(TabVMEnv[EnvProjet],TabEnvProjet[],6,FALSE)</f>
        <v>Fablab</v>
      </c>
      <c r="AA17" s="5" t="str">
        <f>VLOOKUP(TabVMEnv[[#This Row],[EnvProjet]],TabEnvProjet[],3,FALSE)</f>
        <v>PROD</v>
      </c>
      <c r="AB17" s="5">
        <f>COUNTIF(TabVMEnv[VM],TabVMEnv[VM])</f>
        <v>1</v>
      </c>
    </row>
    <row r="18" spans="1:28" x14ac:dyDescent="0.25">
      <c r="A18" t="s">
        <v>118</v>
      </c>
      <c r="B18" t="s">
        <v>291</v>
      </c>
      <c r="E18" s="13"/>
      <c r="F18">
        <f>IF(VLOOKUP(TabVMEnv[VM],TabOceanet[],16,FALSE) = "Tarif_VM",IF(VLOOKUP(TabVMEnv[VM],TabOceanet[],2,FALSE)&lt;4,4,VLOOKUP(TabVMEnv[VM],TabOceanet[],2,FALSE)),0)</f>
        <v>0</v>
      </c>
      <c r="G18">
        <v>0</v>
      </c>
      <c r="H18">
        <v>0</v>
      </c>
      <c r="I18">
        <v>0</v>
      </c>
      <c r="J18">
        <v>0</v>
      </c>
      <c r="K18">
        <f>IF(VLOOKUP(TabVMEnv[VM],TabOceanet[],16,FALSE) = "Tarif_VM",1,0)/TabVMEnv[[#This Row],[Mutualisé]]</f>
        <v>0</v>
      </c>
      <c r="L18">
        <f>IF(VLOOKUP(TabVMEnv[VM],TabOceanet[],9,FALSE) = "PoweredOn",1,0)</f>
        <v>0</v>
      </c>
      <c r="M18">
        <f>TabVMEnv[[#This Row],[IsVMPoweredOn]]*VLOOKUP(TabVMEnv[VM],TabOceanet[],3,FALSE)/TabVMEnv[[#This Row],[Mutualisé]]</f>
        <v>0</v>
      </c>
      <c r="N18">
        <f>VLOOKUP(TabVMEnv[VM],TabOceanet[],4,FALSE)/TabVMEnv[[#This Row],[Mutualisé]]</f>
        <v>0</v>
      </c>
      <c r="O18">
        <f>IF(LEFT(VLOOKUP(TabVMEnv[VM],TabOceanet[],5,FALSE),3)="win",1,0)</f>
        <v>0</v>
      </c>
      <c r="P18"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8" t="str">
        <f>VLOOKUP(TabVMEnv[EnvProjet],TabEnvProjet[],4,FALSE)</f>
        <v>Fablab-Firmin</v>
      </c>
      <c r="R18" s="5" t="str">
        <f>VLOOKUP(TabVMEnv[[#This Row],[SYGES]],TabContrat[],2,FALSE)</f>
        <v>Fablab</v>
      </c>
      <c r="S18" s="5" t="str">
        <f>IF(VLOOKUP(TabVMEnv[[#This Row],[VM]],TabOceanet[],1,FALSE) = "","Disparue","")</f>
        <v/>
      </c>
      <c r="T18" s="25">
        <f>VLOOKUP(TabVMEnv[[#This Row],[VM]],TabOceanet[],36,FALSE)/TabVMEnv[[#This Row],[Mutualisé]]</f>
        <v>3.5</v>
      </c>
      <c r="U18" s="25">
        <f>IF(TabVMEnv[[#This Row],[CostCenter]]="CostCenterDI",0,TabVMEnv[[#This Row],[CoutGlobal]])</f>
        <v>3.5</v>
      </c>
      <c r="V18" s="25">
        <f>TabVMEnv[[#This Row],[CoutGlobalSansCostCenterDI]]/TabVMEnv[[#Totals],[CoutGlobalSansCostCenterDI]]*(GlobalARepartirSansMS+GlobalARepartirMSOnly+GlobalARepartirInfraReseau)</f>
        <v>6.1090996535663002</v>
      </c>
      <c r="W18" s="25">
        <f>TabVMEnv[[#This Row],[CoutGlobalSansCostCenterDI]]+TabVMEnv[[#This Row],[CoutGlobalSupplementaire]]</f>
        <v>9.6090996535663002</v>
      </c>
      <c r="X18" s="5" t="str">
        <f>VLOOKUP(TabVMEnv[[#This Row],[EnvProjet]],TabEnvProjet[],2,FALSE) &amp; " - " &amp; IFERROR(VLOOKUP(TabVMEnv[[#This Row],[EnvProjet]],TabEnvProjet[],4,FALSE),"INCONNU") &amp; " - " &amp; IFERROR(VLOOKUP(TabVMEnv[[#This Row],[EnvProjet]],TabEnvProjet[],5,FALSE),"INCONNU")</f>
        <v>Fablab-Firmin - Fablab-Firmin - Pierre-Yves Baloche</v>
      </c>
      <c r="Y18" s="5" t="str">
        <f>VLOOKUP(TabVMEnv[EnvProjet],TabEnvProjet[],5,FALSE)</f>
        <v>Pierre-Yves Baloche</v>
      </c>
      <c r="Z18" s="5" t="str">
        <f>VLOOKUP(TabVMEnv[EnvProjet],TabEnvProjet[],6,FALSE)</f>
        <v>Fablab</v>
      </c>
      <c r="AA18" s="5" t="str">
        <f>VLOOKUP(TabVMEnv[[#This Row],[EnvProjet]],TabEnvProjet[],3,FALSE)</f>
        <v>PROD</v>
      </c>
      <c r="AB18" s="5">
        <f>COUNTIF(TabVMEnv[VM],TabVMEnv[VM])</f>
        <v>1</v>
      </c>
    </row>
    <row r="19" spans="1:28" x14ac:dyDescent="0.25">
      <c r="A19" t="s">
        <v>119</v>
      </c>
      <c r="B19" t="s">
        <v>291</v>
      </c>
      <c r="E19" s="13"/>
      <c r="F19">
        <f>IF(VLOOKUP(TabVMEnv[VM],TabOceanet[],16,FALSE) = "Tarif_VM",IF(VLOOKUP(TabVMEnv[VM],TabOceanet[],2,FALSE)&lt;4,4,VLOOKUP(TabVMEnv[VM],TabOceanet[],2,FALSE)),0)</f>
        <v>0</v>
      </c>
      <c r="G19">
        <v>0</v>
      </c>
      <c r="H19">
        <v>0</v>
      </c>
      <c r="I19">
        <v>0</v>
      </c>
      <c r="J19">
        <v>0</v>
      </c>
      <c r="K19">
        <f>IF(VLOOKUP(TabVMEnv[VM],TabOceanet[],16,FALSE) = "Tarif_VM",1,0)/TabVMEnv[[#This Row],[Mutualisé]]</f>
        <v>0</v>
      </c>
      <c r="L19">
        <f>IF(VLOOKUP(TabVMEnv[VM],TabOceanet[],9,FALSE) = "PoweredOn",1,0)</f>
        <v>0</v>
      </c>
      <c r="M19">
        <f>TabVMEnv[[#This Row],[IsVMPoweredOn]]*VLOOKUP(TabVMEnv[VM],TabOceanet[],3,FALSE)/TabVMEnv[[#This Row],[Mutualisé]]</f>
        <v>0</v>
      </c>
      <c r="N19">
        <f>VLOOKUP(TabVMEnv[VM],TabOceanet[],4,FALSE)/TabVMEnv[[#This Row],[Mutualisé]]</f>
        <v>0</v>
      </c>
      <c r="O19">
        <f>IF(LEFT(VLOOKUP(TabVMEnv[VM],TabOceanet[],5,FALSE),3)="win",1,0)</f>
        <v>0</v>
      </c>
      <c r="P19"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9" t="str">
        <f>VLOOKUP(TabVMEnv[EnvProjet],TabEnvProjet[],4,FALSE)</f>
        <v>Fablab-Firmin</v>
      </c>
      <c r="R19" s="5" t="str">
        <f>VLOOKUP(TabVMEnv[[#This Row],[SYGES]],TabContrat[],2,FALSE)</f>
        <v>Fablab</v>
      </c>
      <c r="S19" s="5" t="str">
        <f>IF(VLOOKUP(TabVMEnv[[#This Row],[VM]],TabOceanet[],1,FALSE) = "","Disparue","")</f>
        <v/>
      </c>
      <c r="T19" s="25">
        <f>VLOOKUP(TabVMEnv[[#This Row],[VM]],TabOceanet[],36,FALSE)/TabVMEnv[[#This Row],[Mutualisé]]</f>
        <v>3.5</v>
      </c>
      <c r="U19" s="25">
        <f>IF(TabVMEnv[[#This Row],[CostCenter]]="CostCenterDI",0,TabVMEnv[[#This Row],[CoutGlobal]])</f>
        <v>3.5</v>
      </c>
      <c r="V19" s="25">
        <f>TabVMEnv[[#This Row],[CoutGlobalSansCostCenterDI]]/TabVMEnv[[#Totals],[CoutGlobalSansCostCenterDI]]*(GlobalARepartirSansMS+GlobalARepartirMSOnly+GlobalARepartirInfraReseau)</f>
        <v>6.1090996535663002</v>
      </c>
      <c r="W19" s="25">
        <f>TabVMEnv[[#This Row],[CoutGlobalSansCostCenterDI]]+TabVMEnv[[#This Row],[CoutGlobalSupplementaire]]</f>
        <v>9.6090996535663002</v>
      </c>
      <c r="X19" s="5" t="str">
        <f>VLOOKUP(TabVMEnv[[#This Row],[EnvProjet]],TabEnvProjet[],2,FALSE) &amp; " - " &amp; IFERROR(VLOOKUP(TabVMEnv[[#This Row],[EnvProjet]],TabEnvProjet[],4,FALSE),"INCONNU") &amp; " - " &amp; IFERROR(VLOOKUP(TabVMEnv[[#This Row],[EnvProjet]],TabEnvProjet[],5,FALSE),"INCONNU")</f>
        <v>Fablab-Firmin - Fablab-Firmin - Pierre-Yves Baloche</v>
      </c>
      <c r="Y19" s="5" t="str">
        <f>VLOOKUP(TabVMEnv[EnvProjet],TabEnvProjet[],5,FALSE)</f>
        <v>Pierre-Yves Baloche</v>
      </c>
      <c r="Z19" s="5" t="str">
        <f>VLOOKUP(TabVMEnv[EnvProjet],TabEnvProjet[],6,FALSE)</f>
        <v>Fablab</v>
      </c>
      <c r="AA19" s="5" t="str">
        <f>VLOOKUP(TabVMEnv[[#This Row],[EnvProjet]],TabEnvProjet[],3,FALSE)</f>
        <v>PROD</v>
      </c>
      <c r="AB19" s="5">
        <f>COUNTIF(TabVMEnv[VM],TabVMEnv[VM])</f>
        <v>1</v>
      </c>
    </row>
    <row r="20" spans="1:28" x14ac:dyDescent="0.25">
      <c r="A20" t="s">
        <v>141</v>
      </c>
      <c r="B20" t="s">
        <v>292</v>
      </c>
      <c r="E20" s="13"/>
      <c r="F20">
        <f>IF(VLOOKUP(TabVMEnv[VM],TabOceanet[],16,FALSE) = "Tarif_VM",IF(VLOOKUP(TabVMEnv[VM],TabOceanet[],2,FALSE)&lt;4,4,VLOOKUP(TabVMEnv[VM],TabOceanet[],2,FALSE)),0)</f>
        <v>0</v>
      </c>
      <c r="G20">
        <v>0</v>
      </c>
      <c r="H20">
        <v>0</v>
      </c>
      <c r="I20">
        <v>0</v>
      </c>
      <c r="J20">
        <v>0</v>
      </c>
      <c r="K20">
        <f>IF(VLOOKUP(TabVMEnv[VM],TabOceanet[],16,FALSE) = "Tarif_VM",1,0)/TabVMEnv[[#This Row],[Mutualisé]]</f>
        <v>0</v>
      </c>
      <c r="L20">
        <f>IF(VLOOKUP(TabVMEnv[VM],TabOceanet[],9,FALSE) = "PoweredOn",1,0)</f>
        <v>0</v>
      </c>
      <c r="M20">
        <f>TabVMEnv[[#This Row],[IsVMPoweredOn]]*VLOOKUP(TabVMEnv[VM],TabOceanet[],3,FALSE)/TabVMEnv[[#This Row],[Mutualisé]]</f>
        <v>0</v>
      </c>
      <c r="N20">
        <f>VLOOKUP(TabVMEnv[VM],TabOceanet[],4,FALSE)/TabVMEnv[[#This Row],[Mutualisé]]</f>
        <v>0</v>
      </c>
      <c r="O20">
        <f>IF(LEFT(VLOOKUP(TabVMEnv[VM],TabOceanet[],5,FALSE),3)="win",1,0)</f>
        <v>0</v>
      </c>
      <c r="P20"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0" t="str">
        <f>VLOOKUP(TabVMEnv[EnvProjet],TabEnvProjet[],4,FALSE)</f>
        <v>Fablab-Firmin</v>
      </c>
      <c r="R20" s="5" t="str">
        <f>VLOOKUP(TabVMEnv[[#This Row],[SYGES]],TabContrat[],2,FALSE)</f>
        <v>Fablab</v>
      </c>
      <c r="S20" s="5" t="str">
        <f>IF(VLOOKUP(TabVMEnv[[#This Row],[VM]],TabOceanet[],1,FALSE) = "","Disparue","")</f>
        <v/>
      </c>
      <c r="T20" s="25">
        <f>VLOOKUP(TabVMEnv[[#This Row],[VM]],TabOceanet[],36,FALSE)/TabVMEnv[[#This Row],[Mutualisé]]</f>
        <v>3.5</v>
      </c>
      <c r="U20" s="25">
        <f>IF(TabVMEnv[[#This Row],[CostCenter]]="CostCenterDI",0,TabVMEnv[[#This Row],[CoutGlobal]])</f>
        <v>3.5</v>
      </c>
      <c r="V20" s="25">
        <f>TabVMEnv[[#This Row],[CoutGlobalSansCostCenterDI]]/TabVMEnv[[#Totals],[CoutGlobalSansCostCenterDI]]*(GlobalARepartirSansMS+GlobalARepartirMSOnly+GlobalARepartirInfraReseau)</f>
        <v>6.1090996535663002</v>
      </c>
      <c r="W20" s="25">
        <f>TabVMEnv[[#This Row],[CoutGlobalSansCostCenterDI]]+TabVMEnv[[#This Row],[CoutGlobalSupplementaire]]</f>
        <v>9.6090996535663002</v>
      </c>
      <c r="X20" s="5" t="str">
        <f>VLOOKUP(TabVMEnv[[#This Row],[EnvProjet]],TabEnvProjet[],2,FALSE) &amp; " - " &amp; IFERROR(VLOOKUP(TabVMEnv[[#This Row],[EnvProjet]],TabEnvProjet[],4,FALSE),"INCONNU") &amp; " - " &amp; IFERROR(VLOOKUP(TabVMEnv[[#This Row],[EnvProjet]],TabEnvProjet[],5,FALSE),"INCONNU")</f>
        <v>Fablab-Firmin - Fablab-Firmin - Pierre-Yves Baloche</v>
      </c>
      <c r="Y20" s="5" t="str">
        <f>VLOOKUP(TabVMEnv[EnvProjet],TabEnvProjet[],5,FALSE)</f>
        <v>Pierre-Yves Baloche</v>
      </c>
      <c r="Z20" s="5" t="str">
        <f>VLOOKUP(TabVMEnv[EnvProjet],TabEnvProjet[],6,FALSE)</f>
        <v>Fablab</v>
      </c>
      <c r="AA20" s="5" t="str">
        <f>VLOOKUP(TabVMEnv[[#This Row],[EnvProjet]],TabEnvProjet[],3,FALSE)</f>
        <v>PREPROD</v>
      </c>
      <c r="AB20" s="5">
        <f>COUNTIF(TabVMEnv[VM],TabVMEnv[VM])</f>
        <v>1</v>
      </c>
    </row>
    <row r="21" spans="1:28" x14ac:dyDescent="0.25">
      <c r="A21" t="s">
        <v>120</v>
      </c>
      <c r="B21" t="s">
        <v>291</v>
      </c>
      <c r="E21" s="13"/>
      <c r="F21">
        <f>IF(VLOOKUP(TabVMEnv[VM],TabOceanet[],16,FALSE) = "Tarif_VM",IF(VLOOKUP(TabVMEnv[VM],TabOceanet[],2,FALSE)&lt;4,4,VLOOKUP(TabVMEnv[VM],TabOceanet[],2,FALSE)),0)</f>
        <v>0</v>
      </c>
      <c r="G21">
        <v>0</v>
      </c>
      <c r="H21">
        <v>0</v>
      </c>
      <c r="I21">
        <v>0</v>
      </c>
      <c r="J21">
        <v>0</v>
      </c>
      <c r="K21">
        <f>IF(VLOOKUP(TabVMEnv[VM],TabOceanet[],16,FALSE) = "Tarif_VM",1,0)/TabVMEnv[[#This Row],[Mutualisé]]</f>
        <v>0</v>
      </c>
      <c r="L21">
        <f>IF(VLOOKUP(TabVMEnv[VM],TabOceanet[],9,FALSE) = "PoweredOn",1,0)</f>
        <v>0</v>
      </c>
      <c r="M21">
        <f>TabVMEnv[[#This Row],[IsVMPoweredOn]]*VLOOKUP(TabVMEnv[VM],TabOceanet[],3,FALSE)/TabVMEnv[[#This Row],[Mutualisé]]</f>
        <v>0</v>
      </c>
      <c r="N21">
        <f>VLOOKUP(TabVMEnv[VM],TabOceanet[],4,FALSE)/TabVMEnv[[#This Row],[Mutualisé]]</f>
        <v>0</v>
      </c>
      <c r="O21">
        <f>IF(LEFT(VLOOKUP(TabVMEnv[VM],TabOceanet[],5,FALSE),3)="win",1,0)</f>
        <v>0</v>
      </c>
      <c r="P21"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1" t="str">
        <f>VLOOKUP(TabVMEnv[EnvProjet],TabEnvProjet[],4,FALSE)</f>
        <v>Fablab-Firmin</v>
      </c>
      <c r="R21" s="5" t="str">
        <f>VLOOKUP(TabVMEnv[[#This Row],[SYGES]],TabContrat[],2,FALSE)</f>
        <v>Fablab</v>
      </c>
      <c r="S21" s="5" t="str">
        <f>IF(VLOOKUP(TabVMEnv[[#This Row],[VM]],TabOceanet[],1,FALSE) = "","Disparue","")</f>
        <v/>
      </c>
      <c r="T21" s="25">
        <f>VLOOKUP(TabVMEnv[[#This Row],[VM]],TabOceanet[],36,FALSE)/TabVMEnv[[#This Row],[Mutualisé]]</f>
        <v>3.5</v>
      </c>
      <c r="U21" s="25">
        <f>IF(TabVMEnv[[#This Row],[CostCenter]]="CostCenterDI",0,TabVMEnv[[#This Row],[CoutGlobal]])</f>
        <v>3.5</v>
      </c>
      <c r="V21" s="25">
        <f>TabVMEnv[[#This Row],[CoutGlobalSansCostCenterDI]]/TabVMEnv[[#Totals],[CoutGlobalSansCostCenterDI]]*(GlobalARepartirSansMS+GlobalARepartirMSOnly+GlobalARepartirInfraReseau)</f>
        <v>6.1090996535663002</v>
      </c>
      <c r="W21" s="25">
        <f>TabVMEnv[[#This Row],[CoutGlobalSansCostCenterDI]]+TabVMEnv[[#This Row],[CoutGlobalSupplementaire]]</f>
        <v>9.6090996535663002</v>
      </c>
      <c r="X21" s="5" t="str">
        <f>VLOOKUP(TabVMEnv[[#This Row],[EnvProjet]],TabEnvProjet[],2,FALSE) &amp; " - " &amp; IFERROR(VLOOKUP(TabVMEnv[[#This Row],[EnvProjet]],TabEnvProjet[],4,FALSE),"INCONNU") &amp; " - " &amp; IFERROR(VLOOKUP(TabVMEnv[[#This Row],[EnvProjet]],TabEnvProjet[],5,FALSE),"INCONNU")</f>
        <v>Fablab-Firmin - Fablab-Firmin - Pierre-Yves Baloche</v>
      </c>
      <c r="Y21" s="5" t="str">
        <f>VLOOKUP(TabVMEnv[EnvProjet],TabEnvProjet[],5,FALSE)</f>
        <v>Pierre-Yves Baloche</v>
      </c>
      <c r="Z21" s="5" t="str">
        <f>VLOOKUP(TabVMEnv[EnvProjet],TabEnvProjet[],6,FALSE)</f>
        <v>Fablab</v>
      </c>
      <c r="AA21" s="5" t="str">
        <f>VLOOKUP(TabVMEnv[[#This Row],[EnvProjet]],TabEnvProjet[],3,FALSE)</f>
        <v>PROD</v>
      </c>
      <c r="AB21" s="5">
        <f>COUNTIF(TabVMEnv[VM],TabVMEnv[VM])</f>
        <v>1</v>
      </c>
    </row>
    <row r="22" spans="1:28" x14ac:dyDescent="0.25">
      <c r="A22" t="s">
        <v>1278</v>
      </c>
      <c r="B22" t="s">
        <v>295</v>
      </c>
      <c r="E22" s="13"/>
      <c r="F22">
        <f>IF(VLOOKUP(TabVMEnv[VM],TabOceanet[],16,FALSE) = "Tarif_VM",IF(VLOOKUP(TabVMEnv[VM],TabOceanet[],2,FALSE)&lt;4,4,VLOOKUP(TabVMEnv[VM],TabOceanet[],2,FALSE)),0)</f>
        <v>4</v>
      </c>
      <c r="G22">
        <v>0</v>
      </c>
      <c r="H22">
        <v>0</v>
      </c>
      <c r="I22">
        <v>0</v>
      </c>
      <c r="J22">
        <v>0</v>
      </c>
      <c r="K22">
        <f>IF(VLOOKUP(TabVMEnv[VM],TabOceanet[],16,FALSE) = "Tarif_VM",1,0)/TabVMEnv[[#This Row],[Mutualisé]]</f>
        <v>1</v>
      </c>
      <c r="L22">
        <f>IF(VLOOKUP(TabVMEnv[VM],TabOceanet[],9,FALSE) = "PoweredOn",1,0)</f>
        <v>0</v>
      </c>
      <c r="M22">
        <f>TabVMEnv[[#This Row],[IsVMPoweredOn]]*VLOOKUP(TabVMEnv[VM],TabOceanet[],3,FALSE)/TabVMEnv[[#This Row],[Mutualisé]]</f>
        <v>0</v>
      </c>
      <c r="N22">
        <f>VLOOKUP(TabVMEnv[VM],TabOceanet[],4,FALSE)/TabVMEnv[[#This Row],[Mutualisé]]</f>
        <v>21</v>
      </c>
      <c r="O22">
        <f>IF(LEFT(VLOOKUP(TabVMEnv[VM],TabOceanet[],5,FALSE),3)="win",1,0)</f>
        <v>0</v>
      </c>
      <c r="P22"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2" t="str">
        <f>VLOOKUP(TabVMEnv[EnvProjet],TabEnvProjet[],4,FALSE)</f>
        <v>Fablab-Firmin</v>
      </c>
      <c r="R22" s="5" t="str">
        <f>VLOOKUP(TabVMEnv[[#This Row],[SYGES]],TabContrat[],2,FALSE)</f>
        <v>Fablab</v>
      </c>
      <c r="S22" s="5" t="str">
        <f>IF(VLOOKUP(TabVMEnv[[#This Row],[VM]],TabOceanet[],1,FALSE) = "","Disparue","")</f>
        <v/>
      </c>
      <c r="T22" s="17">
        <f>VLOOKUP(TabVMEnv[[#This Row],[VM]],TabOceanet[],36,FALSE)/TabVMEnv[[#This Row],[Mutualisé]]</f>
        <v>4.83</v>
      </c>
      <c r="U22" s="17">
        <f>IF(TabVMEnv[[#This Row],[CostCenter]]="CostCenterDI",0,TabVMEnv[[#This Row],[CoutGlobal]])</f>
        <v>4.83</v>
      </c>
      <c r="V22" s="17">
        <f>TabVMEnv[[#This Row],[CoutGlobalSansCostCenterDI]]/TabVMEnv[[#Totals],[CoutGlobalSansCostCenterDI]]*(GlobalARepartirSansMS+GlobalARepartirMSOnly+GlobalARepartirInfraReseau)</f>
        <v>8.4305575219214965</v>
      </c>
      <c r="W22" s="17">
        <f>TabVMEnv[[#This Row],[CoutGlobalSansCostCenterDI]]+TabVMEnv[[#This Row],[CoutGlobalSupplementaire]]</f>
        <v>13.260557521921497</v>
      </c>
      <c r="X22" s="5" t="str">
        <f>VLOOKUP(TabVMEnv[[#This Row],[EnvProjet]],TabEnvProjet[],2,FALSE) &amp; " - " &amp; IFERROR(VLOOKUP(TabVMEnv[[#This Row],[EnvProjet]],TabEnvProjet[],4,FALSE),"INCONNU") &amp; " - " &amp; IFERROR(VLOOKUP(TabVMEnv[[#This Row],[EnvProjet]],TabEnvProjet[],5,FALSE),"INCONNU")</f>
        <v>Fablab-Firmin - Fablab-Firmin - Pierre-Yves Baloche</v>
      </c>
      <c r="Y22" s="5" t="str">
        <f>VLOOKUP(TabVMEnv[EnvProjet],TabEnvProjet[],5,FALSE)</f>
        <v>Pierre-Yves Baloche</v>
      </c>
      <c r="Z22" s="5" t="str">
        <f>VLOOKUP(TabVMEnv[EnvProjet],TabEnvProjet[],6,FALSE)</f>
        <v>Fablab</v>
      </c>
      <c r="AA22" s="5" t="str">
        <f>VLOOKUP(TabVMEnv[[#This Row],[EnvProjet]],TabEnvProjet[],3,FALSE)</f>
        <v>SOCLE</v>
      </c>
      <c r="AB22" s="5">
        <f>COUNTIF(TabVMEnv[VM],TabVMEnv[VM])</f>
        <v>1</v>
      </c>
    </row>
    <row r="23" spans="1:28" x14ac:dyDescent="0.25">
      <c r="A23" t="s">
        <v>166</v>
      </c>
      <c r="B23" t="s">
        <v>1190</v>
      </c>
      <c r="E23" s="13"/>
      <c r="F23">
        <f>IF(VLOOKUP(TabVMEnv[VM],TabOceanet[],16,FALSE) = "Tarif_VM",IF(VLOOKUP(TabVMEnv[VM],TabOceanet[],2,FALSE)&lt;4,4,VLOOKUP(TabVMEnv[VM],TabOceanet[],2,FALSE)),0)</f>
        <v>4</v>
      </c>
      <c r="G23" s="24">
        <v>40</v>
      </c>
      <c r="H23">
        <v>0</v>
      </c>
      <c r="I23">
        <v>0</v>
      </c>
      <c r="J23">
        <v>0</v>
      </c>
      <c r="K23">
        <f>IF(VLOOKUP(TabVMEnv[VM],TabOceanet[],16,FALSE) = "Tarif_VM",1,0)/TabVMEnv[[#This Row],[Mutualisé]]</f>
        <v>1</v>
      </c>
      <c r="L23">
        <f>IF(VLOOKUP(TabVMEnv[VM],TabOceanet[],9,FALSE) = "PoweredOn",1,0)</f>
        <v>1</v>
      </c>
      <c r="M23">
        <f>TabVMEnv[[#This Row],[IsVMPoweredOn]]*VLOOKUP(TabVMEnv[VM],TabOceanet[],3,FALSE)/TabVMEnv[[#This Row],[Mutualisé]]</f>
        <v>4</v>
      </c>
      <c r="N23">
        <f>VLOOKUP(TabVMEnv[VM],TabOceanet[],4,FALSE)/TabVMEnv[[#This Row],[Mutualisé]]</f>
        <v>100</v>
      </c>
      <c r="O23">
        <f>IF(LEFT(VLOOKUP(TabVMEnv[VM],TabOceanet[],5,FALSE),3)="win",1,0)</f>
        <v>1</v>
      </c>
      <c r="P23"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239.20000000000002</v>
      </c>
      <c r="Q23" t="str">
        <f>VLOOKUP(TabVMEnv[EnvProjet],TabEnvProjet[],4,FALSE)</f>
        <v>GFI Oceanet Infra Réseau Orléans</v>
      </c>
      <c r="R23" s="5" t="str">
        <f>VLOOKUP(TabVMEnv[[#This Row],[SYGES]],TabContrat[],2,FALSE)</f>
        <v>GFI</v>
      </c>
      <c r="S23" s="5" t="str">
        <f>IF(VLOOKUP(TabVMEnv[[#This Row],[VM]],TabOceanet[],1,FALSE) = "","Disparue","")</f>
        <v/>
      </c>
      <c r="T23" s="25">
        <f>VLOOKUP(TabVMEnv[[#This Row],[VM]],TabOceanet[],36,FALSE)/TabVMEnv[[#This Row],[Mutualisé]]</f>
        <v>29.4</v>
      </c>
      <c r="U23" s="25">
        <f>IF(TabVMEnv[[#This Row],[CostCenter]]="CostCenterDI",0,TabVMEnv[[#This Row],[CoutGlobal]])</f>
        <v>29.4</v>
      </c>
      <c r="V23" s="25">
        <f>TabVMEnv[[#This Row],[CoutGlobalSansCostCenterDI]]/TabVMEnv[[#Totals],[CoutGlobalSansCostCenterDI]]*(GlobalARepartirSansMS+GlobalARepartirMSOnly+GlobalARepartirInfraReseau)</f>
        <v>51.316437089956928</v>
      </c>
      <c r="W23" s="25">
        <f>TabVMEnv[[#This Row],[CoutGlobalSansCostCenterDI]]+TabVMEnv[[#This Row],[CoutGlobalSupplementaire]]</f>
        <v>80.716437089956926</v>
      </c>
      <c r="X23" s="5" t="str">
        <f>VLOOKUP(TabVMEnv[[#This Row],[EnvProjet]],TabEnvProjet[],2,FALSE) &amp; " - " &amp; IFERROR(VLOOKUP(TabVMEnv[[#This Row],[EnvProjet]],TabEnvProjet[],4,FALSE),"INCONNU") &amp; " - " &amp; IFERROR(VLOOKUP(TabVMEnv[[#This Row],[EnvProjet]],TabEnvProjet[],5,FALSE),"INCONNU")</f>
        <v>GFI-Oceanet Infra Réseau Orléans - GFI Oceanet Infra Réseau Orléans - Christophe ORLANDO</v>
      </c>
      <c r="Y23" s="5" t="str">
        <f>VLOOKUP(TabVMEnv[EnvProjet],TabEnvProjet[],5,FALSE)</f>
        <v>Christophe ORLANDO</v>
      </c>
      <c r="Z23" s="5">
        <f>VLOOKUP(TabVMEnv[EnvProjet],TabEnvProjet[],6,FALSE)</f>
        <v>305704</v>
      </c>
      <c r="AA23" s="5" t="str">
        <f>VLOOKUP(TabVMEnv[[#This Row],[EnvProjet]],TabEnvProjet[],3,FALSE)</f>
        <v>SOCLE</v>
      </c>
      <c r="AB23" s="5">
        <f>COUNTIF(TabVMEnv[VM],TabVMEnv[VM])</f>
        <v>1</v>
      </c>
    </row>
    <row r="24" spans="1:28" x14ac:dyDescent="0.25">
      <c r="A24" t="s">
        <v>249</v>
      </c>
      <c r="B24" t="s">
        <v>296</v>
      </c>
      <c r="E24" s="13"/>
      <c r="F24">
        <f>IF(VLOOKUP(TabVMEnv[VM],TabOceanet[],16,FALSE) = "Tarif_VM",IF(VLOOKUP(TabVMEnv[VM],TabOceanet[],2,FALSE)&lt;4,4,VLOOKUP(TabVMEnv[VM],TabOceanet[],2,FALSE)),0)</f>
        <v>4</v>
      </c>
      <c r="G24">
        <v>0</v>
      </c>
      <c r="H24">
        <v>0</v>
      </c>
      <c r="I24">
        <v>0</v>
      </c>
      <c r="J24">
        <v>0</v>
      </c>
      <c r="K24">
        <f>IF(VLOOKUP(TabVMEnv[VM],TabOceanet[],16,FALSE) = "Tarif_VM",1,0)/TabVMEnv[[#This Row],[Mutualisé]]</f>
        <v>1</v>
      </c>
      <c r="L24">
        <f>IF(VLOOKUP(TabVMEnv[VM],TabOceanet[],9,FALSE) = "PoweredOn",1,0)</f>
        <v>1</v>
      </c>
      <c r="M24">
        <f>TabVMEnv[[#This Row],[IsVMPoweredOn]]*VLOOKUP(TabVMEnv[VM],TabOceanet[],3,FALSE)/TabVMEnv[[#This Row],[Mutualisé]]</f>
        <v>2</v>
      </c>
      <c r="N24">
        <f>VLOOKUP(TabVMEnv[VM],TabOceanet[],4,FALSE)/TabVMEnv[[#This Row],[Mutualisé]]</f>
        <v>40</v>
      </c>
      <c r="O24">
        <f>IF(LEFT(VLOOKUP(TabVMEnv[VM],TabOceanet[],5,FALSE),3)="win",1,0)</f>
        <v>1</v>
      </c>
      <c r="P24"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4" t="str">
        <f>VLOOKUP(TabVMEnv[EnvProjet],TabEnvProjet[],4,FALSE)</f>
        <v>IT-CE/DFA</v>
      </c>
      <c r="R24" s="5" t="str">
        <f>VLOOKUP(TabVMEnv[[#This Row],[SYGES]],TabContrat[],2,FALSE)</f>
        <v>IT-CE</v>
      </c>
      <c r="S24" s="5" t="str">
        <f>IF(VLOOKUP(TabVMEnv[[#This Row],[VM]],TabOceanet[],1,FALSE) = "","Disparue","")</f>
        <v/>
      </c>
      <c r="T24" s="25">
        <f>VLOOKUP(TabVMEnv[[#This Row],[VM]],TabOceanet[],36,FALSE)/TabVMEnv[[#This Row],[Mutualisé]]</f>
        <v>12.400000000000002</v>
      </c>
      <c r="U24" s="25">
        <f>IF(TabVMEnv[[#This Row],[CostCenter]]="CostCenterDI",0,TabVMEnv[[#This Row],[CoutGlobal]])</f>
        <v>12.400000000000002</v>
      </c>
      <c r="V24" s="25">
        <f>TabVMEnv[[#This Row],[CoutGlobalSansCostCenterDI]]/TabVMEnv[[#Totals],[CoutGlobalSansCostCenterDI]]*(GlobalARepartirSansMS+GlobalARepartirMSOnly+GlobalARepartirInfraReseau)</f>
        <v>21.64366734406347</v>
      </c>
      <c r="W24" s="25">
        <f>TabVMEnv[[#This Row],[CoutGlobalSansCostCenterDI]]+TabVMEnv[[#This Row],[CoutGlobalSupplementaire]]</f>
        <v>34.043667344063472</v>
      </c>
      <c r="X24" s="5" t="str">
        <f>VLOOKUP(TabVMEnv[[#This Row],[EnvProjet]],TabEnvProjet[],2,FALSE) &amp; " - " &amp; IFERROR(VLOOKUP(TabVMEnv[[#This Row],[EnvProjet]],TabEnvProjet[],4,FALSE),"INCONNU") &amp; " - " &amp; IFERROR(VLOOKUP(TabVMEnv[[#This Row],[EnvProjet]],TabEnvProjet[],5,FALSE),"INCONNU")</f>
        <v>IT-CE-TMA - IT-CE/DFA - Christophe ORLANDO</v>
      </c>
      <c r="Y24" s="5" t="str">
        <f>VLOOKUP(TabVMEnv[EnvProjet],TabEnvProjet[],5,FALSE)</f>
        <v>Christophe ORLANDO</v>
      </c>
      <c r="Z24" s="5">
        <f>VLOOKUP(TabVMEnv[EnvProjet],TabEnvProjet[],6,FALSE)</f>
        <v>305704</v>
      </c>
      <c r="AA24" s="5" t="str">
        <f>VLOOKUP(TabVMEnv[[#This Row],[EnvProjet]],TabEnvProjet[],3,FALSE)</f>
        <v>TMA</v>
      </c>
      <c r="AB24" s="5">
        <f>COUNTIF(TabVMEnv[VM],TabVMEnv[VM])</f>
        <v>1</v>
      </c>
    </row>
    <row r="25" spans="1:28" x14ac:dyDescent="0.25">
      <c r="A25" t="s">
        <v>198</v>
      </c>
      <c r="B25" t="s">
        <v>297</v>
      </c>
      <c r="E25" s="13"/>
      <c r="F25">
        <f>IF(VLOOKUP(TabVMEnv[VM],TabOceanet[],16,FALSE) = "Tarif_VM",IF(VLOOKUP(TabVMEnv[VM],TabOceanet[],2,FALSE)&lt;4,4,VLOOKUP(TabVMEnv[VM],TabOceanet[],2,FALSE)),0)</f>
        <v>4</v>
      </c>
      <c r="G25">
        <v>0</v>
      </c>
      <c r="H25">
        <v>0</v>
      </c>
      <c r="I25">
        <v>0</v>
      </c>
      <c r="J25">
        <v>0</v>
      </c>
      <c r="K25">
        <f>IF(VLOOKUP(TabVMEnv[VM],TabOceanet[],16,FALSE) = "Tarif_VM",1,0)/TabVMEnv[[#This Row],[Mutualisé]]</f>
        <v>1</v>
      </c>
      <c r="L25">
        <f>IF(VLOOKUP(TabVMEnv[VM],TabOceanet[],9,FALSE) = "PoweredOn",1,0)</f>
        <v>1</v>
      </c>
      <c r="M25">
        <f>TabVMEnv[[#This Row],[IsVMPoweredOn]]*VLOOKUP(TabVMEnv[VM],TabOceanet[],3,FALSE)/TabVMEnv[[#This Row],[Mutualisé]]</f>
        <v>2</v>
      </c>
      <c r="N25">
        <f>VLOOKUP(TabVMEnv[VM],TabOceanet[],4,FALSE)/TabVMEnv[[#This Row],[Mutualisé]]</f>
        <v>40</v>
      </c>
      <c r="O25">
        <f>IF(LEFT(VLOOKUP(TabVMEnv[VM],TabOceanet[],5,FALSE),3)="win",1,0)</f>
        <v>0</v>
      </c>
      <c r="P25"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5" t="str">
        <f>VLOOKUP(TabVMEnv[EnvProjet],TabEnvProjet[],4,FALSE)</f>
        <v>BRGM/BDLISA-18</v>
      </c>
      <c r="R25" s="5" t="str">
        <f>VLOOKUP(TabVMEnv[[#This Row],[SYGES]],TabContrat[],2,FALSE)</f>
        <v>BRGM</v>
      </c>
      <c r="S25" s="5" t="str">
        <f>IF(VLOOKUP(TabVMEnv[[#This Row],[VM]],TabOceanet[],1,FALSE) = "","Disparue","")</f>
        <v/>
      </c>
      <c r="T25" s="25">
        <f>VLOOKUP(TabVMEnv[[#This Row],[VM]],TabOceanet[],36,FALSE)/TabVMEnv[[#This Row],[Mutualisé]]</f>
        <v>12.400000000000002</v>
      </c>
      <c r="U25" s="25">
        <f>IF(TabVMEnv[[#This Row],[CostCenter]]="CostCenterDI",0,TabVMEnv[[#This Row],[CoutGlobal]])</f>
        <v>12.400000000000002</v>
      </c>
      <c r="V25" s="25">
        <f>TabVMEnv[[#This Row],[CoutGlobalSansCostCenterDI]]/TabVMEnv[[#Totals],[CoutGlobalSansCostCenterDI]]*(GlobalARepartirSansMS+GlobalARepartirMSOnly+GlobalARepartirInfraReseau)</f>
        <v>21.64366734406347</v>
      </c>
      <c r="W25" s="25">
        <f>TabVMEnv[[#This Row],[CoutGlobalSansCostCenterDI]]+TabVMEnv[[#This Row],[CoutGlobalSupplementaire]]</f>
        <v>34.043667344063472</v>
      </c>
      <c r="X25" s="5" t="str">
        <f>VLOOKUP(TabVMEnv[[#This Row],[EnvProjet]],TabEnvProjet[],2,FALSE) &amp; " - " &amp; IFERROR(VLOOKUP(TabVMEnv[[#This Row],[EnvProjet]],TabEnvProjet[],4,FALSE),"INCONNU") &amp; " - " &amp; IFERROR(VLOOKUP(TabVMEnv[[#This Row],[EnvProjet]],TabEnvProjet[],5,FALSE),"INCONNU")</f>
        <v>BRGM-BDLISA - BRGM/BDLISA-18 - Jean-Philippe STROIAZZO</v>
      </c>
      <c r="Y25" s="5" t="str">
        <f>VLOOKUP(TabVMEnv[EnvProjet],TabEnvProjet[],5,FALSE)</f>
        <v>Jean-Philippe STROIAZZO</v>
      </c>
      <c r="Z25" s="5">
        <f>VLOOKUP(TabVMEnv[EnvProjet],TabEnvProjet[],6,FALSE)</f>
        <v>305704</v>
      </c>
      <c r="AA25" s="5" t="str">
        <f>VLOOKUP(TabVMEnv[[#This Row],[EnvProjet]],TabEnvProjet[],3,FALSE)</f>
        <v>DEV</v>
      </c>
      <c r="AB25" s="5">
        <f>COUNTIF(TabVMEnv[VM],TabVMEnv[VM])</f>
        <v>1</v>
      </c>
    </row>
    <row r="26" spans="1:28" x14ac:dyDescent="0.25">
      <c r="A26" t="s">
        <v>167</v>
      </c>
      <c r="B26" t="s">
        <v>1190</v>
      </c>
      <c r="C26" t="s">
        <v>1247</v>
      </c>
      <c r="E26" s="13"/>
      <c r="F26">
        <f>IF(VLOOKUP(TabVMEnv[VM],TabOceanet[],16,FALSE) = "Tarif_VM",IF(VLOOKUP(TabVMEnv[VM],TabOceanet[],2,FALSE)&lt;4,4,VLOOKUP(TabVMEnv[VM],TabOceanet[],2,FALSE)),0)</f>
        <v>4</v>
      </c>
      <c r="G26">
        <v>0</v>
      </c>
      <c r="H26">
        <v>0</v>
      </c>
      <c r="I26">
        <v>0</v>
      </c>
      <c r="J26">
        <v>0</v>
      </c>
      <c r="K26">
        <f>IF(VLOOKUP(TabVMEnv[VM],TabOceanet[],16,FALSE) = "Tarif_VM",1,0)/TabVMEnv[[#This Row],[Mutualisé]]</f>
        <v>1</v>
      </c>
      <c r="L26">
        <f>IF(VLOOKUP(TabVMEnv[VM],TabOceanet[],9,FALSE) = "PoweredOn",1,0)</f>
        <v>1</v>
      </c>
      <c r="M26">
        <f>TabVMEnv[[#This Row],[IsVMPoweredOn]]*VLOOKUP(TabVMEnv[VM],TabOceanet[],3,FALSE)/TabVMEnv[[#This Row],[Mutualisé]]</f>
        <v>2</v>
      </c>
      <c r="N26">
        <f>VLOOKUP(TabVMEnv[VM],TabOceanet[],4,FALSE)/TabVMEnv[[#This Row],[Mutualisé]]</f>
        <v>20</v>
      </c>
      <c r="O26">
        <f>IF(LEFT(VLOOKUP(TabVMEnv[VM],TabOceanet[],5,FALSE),3)="win",1,0)</f>
        <v>0</v>
      </c>
      <c r="P26"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6" t="str">
        <f>VLOOKUP(TabVMEnv[EnvProjet],TabEnvProjet[],4,FALSE)</f>
        <v>GFI Oceanet Infra Réseau Orléans</v>
      </c>
      <c r="R26" s="5" t="str">
        <f>VLOOKUP(TabVMEnv[[#This Row],[SYGES]],TabContrat[],2,FALSE)</f>
        <v>GFI</v>
      </c>
      <c r="S26" s="5" t="str">
        <f>IF(VLOOKUP(TabVMEnv[[#This Row],[VM]],TabOceanet[],1,FALSE) = "","Disparue","")</f>
        <v/>
      </c>
      <c r="T26" s="25">
        <f>VLOOKUP(TabVMEnv[[#This Row],[VM]],TabOceanet[],36,FALSE)/TabVMEnv[[#This Row],[Mutualisé]]</f>
        <v>7.8000000000000007</v>
      </c>
      <c r="U26" s="25">
        <f>IF(TabVMEnv[[#This Row],[CostCenter]]="CostCenterDI",0,TabVMEnv[[#This Row],[CoutGlobal]])</f>
        <v>7.8000000000000007</v>
      </c>
      <c r="V26" s="25">
        <f>TabVMEnv[[#This Row],[CoutGlobalSansCostCenterDI]]/TabVMEnv[[#Totals],[CoutGlobalSansCostCenterDI]]*(GlobalARepartirSansMS+GlobalARepartirMSOnly+GlobalARepartirInfraReseau)</f>
        <v>13.614564942233473</v>
      </c>
      <c r="W26" s="25">
        <f>TabVMEnv[[#This Row],[CoutGlobalSansCostCenterDI]]+TabVMEnv[[#This Row],[CoutGlobalSupplementaire]]</f>
        <v>21.414564942233476</v>
      </c>
      <c r="X26" s="5" t="str">
        <f>VLOOKUP(TabVMEnv[[#This Row],[EnvProjet]],TabEnvProjet[],2,FALSE) &amp; " - " &amp; IFERROR(VLOOKUP(TabVMEnv[[#This Row],[EnvProjet]],TabEnvProjet[],4,FALSE),"INCONNU") &amp; " - " &amp; IFERROR(VLOOKUP(TabVMEnv[[#This Row],[EnvProjet]],TabEnvProjet[],5,FALSE),"INCONNU")</f>
        <v>GFI-Oceanet Infra Réseau Orléans - GFI Oceanet Infra Réseau Orléans - Christophe ORLANDO</v>
      </c>
      <c r="Y26" s="5" t="str">
        <f>VLOOKUP(TabVMEnv[EnvProjet],TabEnvProjet[],5,FALSE)</f>
        <v>Christophe ORLANDO</v>
      </c>
      <c r="Z26" s="5">
        <f>VLOOKUP(TabVMEnv[EnvProjet],TabEnvProjet[],6,FALSE)</f>
        <v>305704</v>
      </c>
      <c r="AA26" s="5" t="str">
        <f>VLOOKUP(TabVMEnv[[#This Row],[EnvProjet]],TabEnvProjet[],3,FALSE)</f>
        <v>SOCLE</v>
      </c>
      <c r="AB26" s="5">
        <f>COUNTIF(TabVMEnv[VM],TabVMEnv[VM])</f>
        <v>1</v>
      </c>
    </row>
    <row r="27" spans="1:28" x14ac:dyDescent="0.25">
      <c r="A27" t="s">
        <v>199</v>
      </c>
      <c r="B27" t="s">
        <v>298</v>
      </c>
      <c r="E27" s="13"/>
      <c r="F27">
        <f>IF(VLOOKUP(TabVMEnv[VM],TabOceanet[],16,FALSE) = "Tarif_VM",IF(VLOOKUP(TabVMEnv[VM],TabOceanet[],2,FALSE)&lt;4,4,VLOOKUP(TabVMEnv[VM],TabOceanet[],2,FALSE)),0)</f>
        <v>4</v>
      </c>
      <c r="G27">
        <v>0</v>
      </c>
      <c r="H27">
        <v>0</v>
      </c>
      <c r="I27">
        <v>0</v>
      </c>
      <c r="J27">
        <v>0</v>
      </c>
      <c r="K27">
        <f>IF(VLOOKUP(TabVMEnv[VM],TabOceanet[],16,FALSE) = "Tarif_VM",1,0)/TabVMEnv[[#This Row],[Mutualisé]]</f>
        <v>1</v>
      </c>
      <c r="L27">
        <f>IF(VLOOKUP(TabVMEnv[VM],TabOceanet[],9,FALSE) = "PoweredOn",1,0)</f>
        <v>1</v>
      </c>
      <c r="M27">
        <f>TabVMEnv[[#This Row],[IsVMPoweredOn]]*VLOOKUP(TabVMEnv[VM],TabOceanet[],3,FALSE)/TabVMEnv[[#This Row],[Mutualisé]]</f>
        <v>4</v>
      </c>
      <c r="N27">
        <f>VLOOKUP(TabVMEnv[VM],TabOceanet[],4,FALSE)/TabVMEnv[[#This Row],[Mutualisé]]</f>
        <v>40</v>
      </c>
      <c r="O27">
        <f>IF(LEFT(VLOOKUP(TabVMEnv[VM],TabOceanet[],5,FALSE),3)="win",1,0)</f>
        <v>0</v>
      </c>
      <c r="P27"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7" t="str">
        <f>VLOOKUP(TabVMEnv[EnvProjet],TabEnvProjet[],4,FALSE)</f>
        <v>BRGM/BDLISA-18</v>
      </c>
      <c r="R27" s="5" t="str">
        <f>VLOOKUP(TabVMEnv[[#This Row],[SYGES]],TabContrat[],2,FALSE)</f>
        <v>BRGM</v>
      </c>
      <c r="S27" s="5" t="str">
        <f>IF(VLOOKUP(TabVMEnv[[#This Row],[VM]],TabOceanet[],1,FALSE) = "","Disparue","")</f>
        <v/>
      </c>
      <c r="T27" s="25">
        <f>VLOOKUP(TabVMEnv[[#This Row],[VM]],TabOceanet[],36,FALSE)/TabVMEnv[[#This Row],[Mutualisé]]</f>
        <v>15.600000000000001</v>
      </c>
      <c r="U27" s="25">
        <f>IF(TabVMEnv[[#This Row],[CostCenter]]="CostCenterDI",0,TabVMEnv[[#This Row],[CoutGlobal]])</f>
        <v>15.600000000000001</v>
      </c>
      <c r="V27" s="25">
        <f>TabVMEnv[[#This Row],[CoutGlobalSansCostCenterDI]]/TabVMEnv[[#Totals],[CoutGlobalSansCostCenterDI]]*(GlobalARepartirSansMS+GlobalARepartirMSOnly+GlobalARepartirInfraReseau)</f>
        <v>27.229129884466946</v>
      </c>
      <c r="W27" s="25">
        <f>TabVMEnv[[#This Row],[CoutGlobalSansCostCenterDI]]+TabVMEnv[[#This Row],[CoutGlobalSupplementaire]]</f>
        <v>42.829129884466951</v>
      </c>
      <c r="X27" s="5" t="str">
        <f>VLOOKUP(TabVMEnv[[#This Row],[EnvProjet]],TabEnvProjet[],2,FALSE) &amp; " - " &amp; IFERROR(VLOOKUP(TabVMEnv[[#This Row],[EnvProjet]],TabEnvProjet[],4,FALSE),"INCONNU") &amp; " - " &amp; IFERROR(VLOOKUP(TabVMEnv[[#This Row],[EnvProjet]],TabEnvProjet[],5,FALSE),"INCONNU")</f>
        <v>BRGM-BNPE - BRGM/BDLISA-18 - Jean-Philippe STROIAZZO</v>
      </c>
      <c r="Y27" s="5" t="str">
        <f>VLOOKUP(TabVMEnv[EnvProjet],TabEnvProjet[],5,FALSE)</f>
        <v>Jean-Philippe STROIAZZO</v>
      </c>
      <c r="Z27" s="5">
        <f>VLOOKUP(TabVMEnv[EnvProjet],TabEnvProjet[],6,FALSE)</f>
        <v>305704</v>
      </c>
      <c r="AA27" s="5" t="str">
        <f>VLOOKUP(TabVMEnv[[#This Row],[EnvProjet]],TabEnvProjet[],3,FALSE)</f>
        <v>DEV</v>
      </c>
      <c r="AB27" s="5">
        <f>COUNTIF(TabVMEnv[VM],TabVMEnv[VM])</f>
        <v>1</v>
      </c>
    </row>
    <row r="28" spans="1:28" x14ac:dyDescent="0.25">
      <c r="A28" s="24" t="s">
        <v>201</v>
      </c>
      <c r="B28" t="s">
        <v>299</v>
      </c>
      <c r="E28" s="13"/>
      <c r="F28">
        <f>IF(VLOOKUP(TabVMEnv[VM],TabOceanet[],16,FALSE) = "Tarif_VM",IF(VLOOKUP(TabVMEnv[VM],TabOceanet[],2,FALSE)&lt;4,4,VLOOKUP(TabVMEnv[VM],TabOceanet[],2,FALSE)),0)</f>
        <v>4</v>
      </c>
      <c r="G28">
        <v>0</v>
      </c>
      <c r="H28">
        <v>0</v>
      </c>
      <c r="I28">
        <v>0</v>
      </c>
      <c r="J28">
        <v>0</v>
      </c>
      <c r="K28">
        <f>IF(VLOOKUP(TabVMEnv[VM],TabOceanet[],16,FALSE) = "Tarif_VM",1,0)/TabVMEnv[[#This Row],[Mutualisé]]</f>
        <v>0.2</v>
      </c>
      <c r="L28">
        <f>IF(VLOOKUP(TabVMEnv[VM],TabOceanet[],9,FALSE) = "PoweredOn",1,0)</f>
        <v>1</v>
      </c>
      <c r="M28">
        <f>TabVMEnv[[#This Row],[IsVMPoweredOn]]*VLOOKUP(TabVMEnv[VM],TabOceanet[],3,FALSE)/TabVMEnv[[#This Row],[Mutualisé]]</f>
        <v>3.2</v>
      </c>
      <c r="N28">
        <f>VLOOKUP(TabVMEnv[VM],TabOceanet[],4,FALSE)/TabVMEnv[[#This Row],[Mutualisé]]</f>
        <v>60</v>
      </c>
      <c r="O28">
        <f>IF(LEFT(VLOOKUP(TabVMEnv[VM],TabOceanet[],5,FALSE),3)="win",1,0)</f>
        <v>0</v>
      </c>
      <c r="P28"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8" t="str">
        <f>VLOOKUP(TabVMEnv[EnvProjet],TabEnvProjet[],4,FALSE)</f>
        <v>ONEMA/TMADCUA-15</v>
      </c>
      <c r="R28" s="5" t="str">
        <f>VLOOKUP(TabVMEnv[[#This Row],[SYGES]],TabContrat[],2,FALSE)</f>
        <v>ONEMA</v>
      </c>
      <c r="S28" s="5" t="str">
        <f>IF(VLOOKUP(TabVMEnv[[#This Row],[VM]],TabOceanet[],1,FALSE) = "","Disparue","")</f>
        <v/>
      </c>
      <c r="T28" s="25">
        <f>VLOOKUP(TabVMEnv[[#This Row],[VM]],TabOceanet[],36,FALSE)/TabVMEnv[[#This Row],[Mutualisé]]</f>
        <v>18.919999999999998</v>
      </c>
      <c r="U28" s="25">
        <f>IF(TabVMEnv[[#This Row],[CostCenter]]="CostCenterDI",0,TabVMEnv[[#This Row],[CoutGlobal]])</f>
        <v>18.919999999999998</v>
      </c>
      <c r="V28" s="25">
        <f>TabVMEnv[[#This Row],[CoutGlobalSansCostCenterDI]]/TabVMEnv[[#Totals],[CoutGlobalSansCostCenterDI]]*(GlobalARepartirSansMS+GlobalARepartirMSOnly+GlobalARepartirInfraReseau)</f>
        <v>33.02404727013554</v>
      </c>
      <c r="W28" s="25">
        <f>TabVMEnv[[#This Row],[CoutGlobalSansCostCenterDI]]+TabVMEnv[[#This Row],[CoutGlobalSupplementaire]]</f>
        <v>51.944047270135542</v>
      </c>
      <c r="X28" s="5" t="str">
        <f>VLOOKUP(TabVMEnv[[#This Row],[EnvProjet]],TabEnvProjet[],2,FALSE) &amp; " - " &amp; IFERROR(VLOOKUP(TabVMEnv[[#This Row],[EnvProjet]],TabEnvProjet[],4,FALSE),"INCONNU") &amp; " - " &amp; IFERROR(VLOOKUP(TabVMEnv[[#This Row],[EnvProjet]],TabEnvProjet[],5,FALSE),"INCONNU")</f>
        <v>AFB-ASPE - ONEMA/TMADCUA-15 - Jean-Philippe STROIAZZO</v>
      </c>
      <c r="Y28" s="5" t="str">
        <f>VLOOKUP(TabVMEnv[EnvProjet],TabEnvProjet[],5,FALSE)</f>
        <v>Jean-Philippe STROIAZZO</v>
      </c>
      <c r="Z28" s="5">
        <f>VLOOKUP(TabVMEnv[EnvProjet],TabEnvProjet[],6,FALSE)</f>
        <v>305704</v>
      </c>
      <c r="AA28" s="5" t="str">
        <f>VLOOKUP(TabVMEnv[[#This Row],[EnvProjet]],TabEnvProjet[],3,FALSE)</f>
        <v>TMA</v>
      </c>
      <c r="AB28" s="5">
        <f>COUNTIF(TabVMEnv[VM],TabVMEnv[VM])</f>
        <v>5</v>
      </c>
    </row>
    <row r="29" spans="1:28" x14ac:dyDescent="0.25">
      <c r="A29" s="24" t="s">
        <v>201</v>
      </c>
      <c r="B29" t="s">
        <v>300</v>
      </c>
      <c r="E29" s="13"/>
      <c r="F29">
        <f>IF(VLOOKUP(TabVMEnv[VM],TabOceanet[],16,FALSE) = "Tarif_VM",IF(VLOOKUP(TabVMEnv[VM],TabOceanet[],2,FALSE)&lt;4,4,VLOOKUP(TabVMEnv[VM],TabOceanet[],2,FALSE)),0)</f>
        <v>4</v>
      </c>
      <c r="G29">
        <v>0</v>
      </c>
      <c r="H29">
        <v>0</v>
      </c>
      <c r="I29">
        <v>0</v>
      </c>
      <c r="J29">
        <v>0</v>
      </c>
      <c r="K29">
        <f>IF(VLOOKUP(TabVMEnv[VM],TabOceanet[],16,FALSE) = "Tarif_VM",1,0)/TabVMEnv[[#This Row],[Mutualisé]]</f>
        <v>0.2</v>
      </c>
      <c r="L29">
        <f>IF(VLOOKUP(TabVMEnv[VM],TabOceanet[],9,FALSE) = "PoweredOn",1,0)</f>
        <v>1</v>
      </c>
      <c r="M29">
        <f>TabVMEnv[[#This Row],[IsVMPoweredOn]]*VLOOKUP(TabVMEnv[VM],TabOceanet[],3,FALSE)/TabVMEnv[[#This Row],[Mutualisé]]</f>
        <v>3.2</v>
      </c>
      <c r="N29">
        <f>VLOOKUP(TabVMEnv[VM],TabOceanet[],4,FALSE)/TabVMEnv[[#This Row],[Mutualisé]]</f>
        <v>60</v>
      </c>
      <c r="O29">
        <f>IF(LEFT(VLOOKUP(TabVMEnv[VM],TabOceanet[],5,FALSE),3)="win",1,0)</f>
        <v>0</v>
      </c>
      <c r="P29"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9" t="str">
        <f>VLOOKUP(TabVMEnv[EnvProjet],TabEnvProjet[],4,FALSE)</f>
        <v>ONEMA/TMADCUA-15</v>
      </c>
      <c r="R29" s="5" t="str">
        <f>VLOOKUP(TabVMEnv[[#This Row],[SYGES]],TabContrat[],2,FALSE)</f>
        <v>ONEMA</v>
      </c>
      <c r="S29" s="5" t="str">
        <f>IF(VLOOKUP(TabVMEnv[[#This Row],[VM]],TabOceanet[],1,FALSE) = "","Disparue","")</f>
        <v/>
      </c>
      <c r="T29" s="25">
        <f>VLOOKUP(TabVMEnv[[#This Row],[VM]],TabOceanet[],36,FALSE)/TabVMEnv[[#This Row],[Mutualisé]]</f>
        <v>18.919999999999998</v>
      </c>
      <c r="U29" s="25">
        <f>IF(TabVMEnv[[#This Row],[CostCenter]]="CostCenterDI",0,TabVMEnv[[#This Row],[CoutGlobal]])</f>
        <v>18.919999999999998</v>
      </c>
      <c r="V29" s="25">
        <f>TabVMEnv[[#This Row],[CoutGlobalSansCostCenterDI]]/TabVMEnv[[#Totals],[CoutGlobalSansCostCenterDI]]*(GlobalARepartirSansMS+GlobalARepartirMSOnly+GlobalARepartirInfraReseau)</f>
        <v>33.02404727013554</v>
      </c>
      <c r="W29" s="25">
        <f>TabVMEnv[[#This Row],[CoutGlobalSansCostCenterDI]]+TabVMEnv[[#This Row],[CoutGlobalSupplementaire]]</f>
        <v>51.944047270135542</v>
      </c>
      <c r="X29" s="5" t="str">
        <f>VLOOKUP(TabVMEnv[[#This Row],[EnvProjet]],TabEnvProjet[],2,FALSE) &amp; " - " &amp; IFERROR(VLOOKUP(TabVMEnv[[#This Row],[EnvProjet]],TabEnvProjet[],4,FALSE),"INCONNU") &amp; " - " &amp; IFERROR(VLOOKUP(TabVMEnv[[#This Row],[EnvProjet]],TabEnvProjet[],5,FALSE),"INCONNU")</f>
        <v>AFB-CARHYCE - ONEMA/TMADCUA-15 - Jean-Philippe STROIAZZO</v>
      </c>
      <c r="Y29" s="5" t="str">
        <f>VLOOKUP(TabVMEnv[EnvProjet],TabEnvProjet[],5,FALSE)</f>
        <v>Jean-Philippe STROIAZZO</v>
      </c>
      <c r="Z29" s="5">
        <f>VLOOKUP(TabVMEnv[EnvProjet],TabEnvProjet[],6,FALSE)</f>
        <v>305704</v>
      </c>
      <c r="AA29" s="5" t="str">
        <f>VLOOKUP(TabVMEnv[[#This Row],[EnvProjet]],TabEnvProjet[],3,FALSE)</f>
        <v>TMA</v>
      </c>
      <c r="AB29" s="5">
        <f>COUNTIF(TabVMEnv[VM],TabVMEnv[VM])</f>
        <v>5</v>
      </c>
    </row>
    <row r="30" spans="1:28" ht="15" customHeight="1" x14ac:dyDescent="0.25">
      <c r="A30" s="24" t="s">
        <v>201</v>
      </c>
      <c r="B30" t="s">
        <v>301</v>
      </c>
      <c r="E30" s="13"/>
      <c r="F30">
        <f>IF(VLOOKUP(TabVMEnv[VM],TabOceanet[],16,FALSE) = "Tarif_VM",IF(VLOOKUP(TabVMEnv[VM],TabOceanet[],2,FALSE)&lt;4,4,VLOOKUP(TabVMEnv[VM],TabOceanet[],2,FALSE)),0)</f>
        <v>4</v>
      </c>
      <c r="G30">
        <v>0</v>
      </c>
      <c r="H30">
        <v>0</v>
      </c>
      <c r="I30">
        <v>0</v>
      </c>
      <c r="J30">
        <v>0</v>
      </c>
      <c r="K30">
        <f>IF(VLOOKUP(TabVMEnv[VM],TabOceanet[],16,FALSE) = "Tarif_VM",1,0)/TabVMEnv[[#This Row],[Mutualisé]]</f>
        <v>0.2</v>
      </c>
      <c r="L30">
        <f>IF(VLOOKUP(TabVMEnv[VM],TabOceanet[],9,FALSE) = "PoweredOn",1,0)</f>
        <v>1</v>
      </c>
      <c r="M30">
        <f>TabVMEnv[[#This Row],[IsVMPoweredOn]]*VLOOKUP(TabVMEnv[VM],TabOceanet[],3,FALSE)/TabVMEnv[[#This Row],[Mutualisé]]</f>
        <v>3.2</v>
      </c>
      <c r="N30">
        <f>VLOOKUP(TabVMEnv[VM],TabOceanet[],4,FALSE)/TabVMEnv[[#This Row],[Mutualisé]]</f>
        <v>60</v>
      </c>
      <c r="O30">
        <f>IF(LEFT(VLOOKUP(TabVMEnv[VM],TabOceanet[],5,FALSE),3)="win",1,0)</f>
        <v>0</v>
      </c>
      <c r="P30"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30" t="str">
        <f>VLOOKUP(TabVMEnv[EnvProjet],TabEnvProjet[],4,FALSE)</f>
        <v>ONEMA/TMADCUA-15</v>
      </c>
      <c r="R30" s="5" t="str">
        <f>VLOOKUP(TabVMEnv[[#This Row],[SYGES]],TabContrat[],2,FALSE)</f>
        <v>ONEMA</v>
      </c>
      <c r="S30" s="5" t="str">
        <f>IF(VLOOKUP(TabVMEnv[[#This Row],[VM]],TabOceanet[],1,FALSE) = "","Disparue","")</f>
        <v/>
      </c>
      <c r="T30" s="25">
        <f>VLOOKUP(TabVMEnv[[#This Row],[VM]],TabOceanet[],36,FALSE)/TabVMEnv[[#This Row],[Mutualisé]]</f>
        <v>18.919999999999998</v>
      </c>
      <c r="U30" s="25">
        <f>IF(TabVMEnv[[#This Row],[CostCenter]]="CostCenterDI",0,TabVMEnv[[#This Row],[CoutGlobal]])</f>
        <v>18.919999999999998</v>
      </c>
      <c r="V30" s="25">
        <f>TabVMEnv[[#This Row],[CoutGlobalSansCostCenterDI]]/TabVMEnv[[#Totals],[CoutGlobalSansCostCenterDI]]*(GlobalARepartirSansMS+GlobalARepartirMSOnly+GlobalARepartirInfraReseau)</f>
        <v>33.02404727013554</v>
      </c>
      <c r="W30" s="25">
        <f>TabVMEnv[[#This Row],[CoutGlobalSansCostCenterDI]]+TabVMEnv[[#This Row],[CoutGlobalSupplementaire]]</f>
        <v>51.944047270135542</v>
      </c>
      <c r="X30" s="5" t="str">
        <f>VLOOKUP(TabVMEnv[[#This Row],[EnvProjet]],TabEnvProjet[],2,FALSE) &amp; " - " &amp; IFERROR(VLOOKUP(TabVMEnv[[#This Row],[EnvProjet]],TabEnvProjet[],4,FALSE),"INCONNU") &amp; " - " &amp; IFERROR(VLOOKUP(TabVMEnv[[#This Row],[EnvProjet]],TabEnvProjet[],5,FALSE),"INCONNU")</f>
        <v>AFB-GEOBS - ONEMA/TMADCUA-15 - Jean-Philippe STROIAZZO</v>
      </c>
      <c r="Y30" s="5" t="str">
        <f>VLOOKUP(TabVMEnv[EnvProjet],TabEnvProjet[],5,FALSE)</f>
        <v>Jean-Philippe STROIAZZO</v>
      </c>
      <c r="Z30" s="5">
        <f>VLOOKUP(TabVMEnv[EnvProjet],TabEnvProjet[],6,FALSE)</f>
        <v>305704</v>
      </c>
      <c r="AA30" s="5" t="str">
        <f>VLOOKUP(TabVMEnv[[#This Row],[EnvProjet]],TabEnvProjet[],3,FALSE)</f>
        <v>TMA</v>
      </c>
      <c r="AB30" s="5">
        <f>COUNTIF(TabVMEnv[VM],TabVMEnv[VM])</f>
        <v>5</v>
      </c>
    </row>
    <row r="31" spans="1:28" x14ac:dyDescent="0.25">
      <c r="A31" s="24" t="s">
        <v>201</v>
      </c>
      <c r="B31" t="s">
        <v>302</v>
      </c>
      <c r="E31" s="13"/>
      <c r="F31">
        <f>IF(VLOOKUP(TabVMEnv[VM],TabOceanet[],16,FALSE) = "Tarif_VM",IF(VLOOKUP(TabVMEnv[VM],TabOceanet[],2,FALSE)&lt;4,4,VLOOKUP(TabVMEnv[VM],TabOceanet[],2,FALSE)),0)</f>
        <v>4</v>
      </c>
      <c r="G31">
        <v>0</v>
      </c>
      <c r="H31">
        <v>0</v>
      </c>
      <c r="I31">
        <v>0</v>
      </c>
      <c r="J31">
        <v>0</v>
      </c>
      <c r="K31">
        <f>IF(VLOOKUP(TabVMEnv[VM],TabOceanet[],16,FALSE) = "Tarif_VM",1,0)/TabVMEnv[[#This Row],[Mutualisé]]</f>
        <v>0.2</v>
      </c>
      <c r="L31">
        <f>IF(VLOOKUP(TabVMEnv[VM],TabOceanet[],9,FALSE) = "PoweredOn",1,0)</f>
        <v>1</v>
      </c>
      <c r="M31">
        <f>TabVMEnv[[#This Row],[IsVMPoweredOn]]*VLOOKUP(TabVMEnv[VM],TabOceanet[],3,FALSE)/TabVMEnv[[#This Row],[Mutualisé]]</f>
        <v>3.2</v>
      </c>
      <c r="N31">
        <f>VLOOKUP(TabVMEnv[VM],TabOceanet[],4,FALSE)/TabVMEnv[[#This Row],[Mutualisé]]</f>
        <v>60</v>
      </c>
      <c r="O31">
        <f>IF(LEFT(VLOOKUP(TabVMEnv[VM],TabOceanet[],5,FALSE),3)="win",1,0)</f>
        <v>0</v>
      </c>
      <c r="P31"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31" t="str">
        <f>VLOOKUP(TabVMEnv[EnvProjet],TabEnvProjet[],4,FALSE)</f>
        <v>ONEMA/TMADCUA-15</v>
      </c>
      <c r="R31" s="5" t="str">
        <f>VLOOKUP(TabVMEnv[[#This Row],[SYGES]],TabContrat[],2,FALSE)</f>
        <v>ONEMA</v>
      </c>
      <c r="S31" s="5" t="str">
        <f>IF(VLOOKUP(TabVMEnv[[#This Row],[VM]],TabOceanet[],1,FALSE) = "","Disparue","")</f>
        <v/>
      </c>
      <c r="T31" s="25">
        <f>VLOOKUP(TabVMEnv[[#This Row],[VM]],TabOceanet[],36,FALSE)/TabVMEnv[[#This Row],[Mutualisé]]</f>
        <v>18.919999999999998</v>
      </c>
      <c r="U31" s="25">
        <f>IF(TabVMEnv[[#This Row],[CostCenter]]="CostCenterDI",0,TabVMEnv[[#This Row],[CoutGlobal]])</f>
        <v>18.919999999999998</v>
      </c>
      <c r="V31" s="25">
        <f>TabVMEnv[[#This Row],[CoutGlobalSansCostCenterDI]]/TabVMEnv[[#Totals],[CoutGlobalSansCostCenterDI]]*(GlobalARepartirSansMS+GlobalARepartirMSOnly+GlobalARepartirInfraReseau)</f>
        <v>33.02404727013554</v>
      </c>
      <c r="W31" s="25">
        <f>TabVMEnv[[#This Row],[CoutGlobalSansCostCenterDI]]+TabVMEnv[[#This Row],[CoutGlobalSupplementaire]]</f>
        <v>51.944047270135542</v>
      </c>
      <c r="X31" s="5" t="str">
        <f>VLOOKUP(TabVMEnv[[#This Row],[EnvProjet]],TabEnvProjet[],2,FALSE) &amp; " - " &amp; IFERROR(VLOOKUP(TabVMEnv[[#This Row],[EnvProjet]],TabEnvProjet[],4,FALSE),"INCONNU") &amp; " - " &amp; IFERROR(VLOOKUP(TabVMEnv[[#This Row],[EnvProjet]],TabEnvProjet[],5,FALSE),"INCONNU")</f>
        <v>AFB-ONDE - ONEMA/TMADCUA-15 - Jean-Philippe STROIAZZO</v>
      </c>
      <c r="Y31" s="5" t="str">
        <f>VLOOKUP(TabVMEnv[EnvProjet],TabEnvProjet[],5,FALSE)</f>
        <v>Jean-Philippe STROIAZZO</v>
      </c>
      <c r="Z31" s="5">
        <f>VLOOKUP(TabVMEnv[EnvProjet],TabEnvProjet[],6,FALSE)</f>
        <v>305704</v>
      </c>
      <c r="AA31" s="5" t="str">
        <f>VLOOKUP(TabVMEnv[[#This Row],[EnvProjet]],TabEnvProjet[],3,FALSE)</f>
        <v>TMA</v>
      </c>
      <c r="AB31" s="5">
        <f>COUNTIF(TabVMEnv[VM],TabVMEnv[VM])</f>
        <v>5</v>
      </c>
    </row>
    <row r="32" spans="1:28" x14ac:dyDescent="0.25">
      <c r="A32" s="24" t="s">
        <v>201</v>
      </c>
      <c r="B32" t="s">
        <v>303</v>
      </c>
      <c r="E32" s="13"/>
      <c r="F32">
        <f>IF(VLOOKUP(TabVMEnv[VM],TabOceanet[],16,FALSE) = "Tarif_VM",IF(VLOOKUP(TabVMEnv[VM],TabOceanet[],2,FALSE)&lt;4,4,VLOOKUP(TabVMEnv[VM],TabOceanet[],2,FALSE)),0)</f>
        <v>4</v>
      </c>
      <c r="G32">
        <v>0</v>
      </c>
      <c r="H32">
        <v>0</v>
      </c>
      <c r="I32">
        <v>0</v>
      </c>
      <c r="J32">
        <v>0</v>
      </c>
      <c r="K32">
        <f>IF(VLOOKUP(TabVMEnv[VM],TabOceanet[],16,FALSE) = "Tarif_VM",1,0)/TabVMEnv[[#This Row],[Mutualisé]]</f>
        <v>0.2</v>
      </c>
      <c r="L32">
        <f>IF(VLOOKUP(TabVMEnv[VM],TabOceanet[],9,FALSE) = "PoweredOn",1,0)</f>
        <v>1</v>
      </c>
      <c r="M32">
        <f>TabVMEnv[[#This Row],[IsVMPoweredOn]]*VLOOKUP(TabVMEnv[VM],TabOceanet[],3,FALSE)/TabVMEnv[[#This Row],[Mutualisé]]</f>
        <v>3.2</v>
      </c>
      <c r="N32">
        <f>VLOOKUP(TabVMEnv[VM],TabOceanet[],4,FALSE)/TabVMEnv[[#This Row],[Mutualisé]]</f>
        <v>60</v>
      </c>
      <c r="O32">
        <f>IF(LEFT(VLOOKUP(TabVMEnv[VM],TabOceanet[],5,FALSE),3)="win",1,0)</f>
        <v>0</v>
      </c>
      <c r="P32"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32" t="str">
        <f>VLOOKUP(TabVMEnv[EnvProjet],TabEnvProjet[],4,FALSE)</f>
        <v>ONEMA/TMADCUA-15</v>
      </c>
      <c r="R32" s="5" t="str">
        <f>VLOOKUP(TabVMEnv[[#This Row],[SYGES]],TabContrat[],2,FALSE)</f>
        <v>ONEMA</v>
      </c>
      <c r="S32" s="5" t="str">
        <f>IF(VLOOKUP(TabVMEnv[[#This Row],[VM]],TabOceanet[],1,FALSE) = "","Disparue","")</f>
        <v/>
      </c>
      <c r="T32" s="25">
        <f>VLOOKUP(TabVMEnv[[#This Row],[VM]],TabOceanet[],36,FALSE)/TabVMEnv[[#This Row],[Mutualisé]]</f>
        <v>18.919999999999998</v>
      </c>
      <c r="U32" s="25">
        <f>IF(TabVMEnv[[#This Row],[CostCenter]]="CostCenterDI",0,TabVMEnv[[#This Row],[CoutGlobal]])</f>
        <v>18.919999999999998</v>
      </c>
      <c r="V32" s="25">
        <f>TabVMEnv[[#This Row],[CoutGlobalSansCostCenterDI]]/TabVMEnv[[#Totals],[CoutGlobalSansCostCenterDI]]*(GlobalARepartirSansMS+GlobalARepartirMSOnly+GlobalARepartirInfraReseau)</f>
        <v>33.02404727013554</v>
      </c>
      <c r="W32" s="25">
        <f>TabVMEnv[[#This Row],[CoutGlobalSansCostCenterDI]]+TabVMEnv[[#This Row],[CoutGlobalSupplementaire]]</f>
        <v>51.944047270135542</v>
      </c>
      <c r="X32" s="5" t="str">
        <f>VLOOKUP(TabVMEnv[[#This Row],[EnvProjet]],TabEnvProjet[],2,FALSE) &amp; " - " &amp; IFERROR(VLOOKUP(TabVMEnv[[#This Row],[EnvProjet]],TabEnvProjet[],4,FALSE),"INCONNU") &amp; " - " &amp; IFERROR(VLOOKUP(TabVMEnv[[#This Row],[EnvProjet]],TabEnvProjet[],5,FALSE),"INCONNU")</f>
        <v>AFB-RNT - ONEMA/TMADCUA-15 - Christophe ORLANDO</v>
      </c>
      <c r="Y32" s="5" t="str">
        <f>VLOOKUP(TabVMEnv[EnvProjet],TabEnvProjet[],5,FALSE)</f>
        <v>Christophe ORLANDO</v>
      </c>
      <c r="Z32" s="5">
        <f>VLOOKUP(TabVMEnv[EnvProjet],TabEnvProjet[],6,FALSE)</f>
        <v>305704</v>
      </c>
      <c r="AA32" s="5" t="str">
        <f>VLOOKUP(TabVMEnv[[#This Row],[EnvProjet]],TabEnvProjet[],3,FALSE)</f>
        <v>TMA</v>
      </c>
      <c r="AB32" s="5">
        <f>COUNTIF(TabVMEnv[VM],TabVMEnv[VM])</f>
        <v>5</v>
      </c>
    </row>
    <row r="33" spans="1:28" x14ac:dyDescent="0.25">
      <c r="A33" s="24" t="s">
        <v>209</v>
      </c>
      <c r="B33" t="s">
        <v>306</v>
      </c>
      <c r="E33" s="13"/>
      <c r="F33">
        <f>IF(VLOOKUP(TabVMEnv[VM],TabOceanet[],16,FALSE) = "Tarif_VM",IF(VLOOKUP(TabVMEnv[VM],TabOceanet[],2,FALSE)&lt;4,4,VLOOKUP(TabVMEnv[VM],TabOceanet[],2,FALSE)),0)</f>
        <v>4</v>
      </c>
      <c r="G33">
        <v>0</v>
      </c>
      <c r="H33">
        <v>1</v>
      </c>
      <c r="I33">
        <v>0</v>
      </c>
      <c r="J33" s="24">
        <v>4</v>
      </c>
      <c r="K33" s="24">
        <f>IF(VLOOKUP(TabVMEnv[VM],TabOceanet[],16,FALSE) = "Tarif_VM",1,0)/TabVMEnv[[#This Row],[Mutualisé]]</f>
        <v>0.5</v>
      </c>
      <c r="L33" s="24">
        <f>IF(VLOOKUP(TabVMEnv[VM],TabOceanet[],9,FALSE) = "PoweredOn",1,0)</f>
        <v>1</v>
      </c>
      <c r="M33" s="24">
        <f>TabVMEnv[[#This Row],[IsVMPoweredOn]]*VLOOKUP(TabVMEnv[VM],TabOceanet[],3,FALSE)/TabVMEnv[[#This Row],[Mutualisé]]</f>
        <v>2</v>
      </c>
      <c r="N33" s="24">
        <f>VLOOKUP(TabVMEnv[VM],TabOceanet[],4,FALSE)/TabVMEnv[[#This Row],[Mutualisé]]</f>
        <v>80</v>
      </c>
      <c r="O33" s="24">
        <f>IF(LEFT(VLOOKUP(TabVMEnv[VM],TabOceanet[],5,FALSE),3)="win",1,0)</f>
        <v>1</v>
      </c>
      <c r="P33"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148.745</v>
      </c>
      <c r="Q33" t="str">
        <f>VLOOKUP(TabVMEnv[EnvProjet],TabEnvProjet[],4,FALSE)</f>
        <v>CA-TITRES/TMA</v>
      </c>
      <c r="R33" s="5" t="str">
        <f>VLOOKUP(TabVMEnv[[#This Row],[SYGES]],TabContrat[],2,FALSE)</f>
        <v>CA-TITRES</v>
      </c>
      <c r="S33" s="5" t="str">
        <f>IF(VLOOKUP(TabVMEnv[[#This Row],[VM]],TabOceanet[],1,FALSE) = "","Disparue","")</f>
        <v/>
      </c>
      <c r="T33" s="25">
        <f>VLOOKUP(TabVMEnv[[#This Row],[VM]],TabOceanet[],36,FALSE)/TabVMEnv[[#This Row],[Mutualisé]]</f>
        <v>21.6</v>
      </c>
      <c r="U33" s="25">
        <f>IF(TabVMEnv[[#This Row],[CostCenter]]="CostCenterDI",0,TabVMEnv[[#This Row],[CoutGlobal]])</f>
        <v>21.6</v>
      </c>
      <c r="V33" s="25">
        <f>TabVMEnv[[#This Row],[CoutGlobalSansCostCenterDI]]/TabVMEnv[[#Totals],[CoutGlobalSansCostCenterDI]]*(GlobalARepartirSansMS+GlobalARepartirMSOnly+GlobalARepartirInfraReseau)</f>
        <v>37.701872147723464</v>
      </c>
      <c r="W33" s="25">
        <f>TabVMEnv[[#This Row],[CoutGlobalSansCostCenterDI]]+TabVMEnv[[#This Row],[CoutGlobalSupplementaire]]</f>
        <v>59.301872147723465</v>
      </c>
      <c r="X33" s="5" t="str">
        <f>VLOOKUP(TabVMEnv[[#This Row],[EnvProjet]],TabEnvProjet[],2,FALSE) &amp; " - " &amp; IFERROR(VLOOKUP(TabVMEnv[[#This Row],[EnvProjet]],TabEnvProjet[],4,FALSE),"INCONNU") &amp; " - " &amp; IFERROR(VLOOKUP(TabVMEnv[[#This Row],[EnvProjet]],TabEnvProjet[],5,FALSE),"INCONNU")</f>
        <v>CA-TITRES-COGNOS - CA-TITRES/TMA - Jean-Philippe STROIAZZO</v>
      </c>
      <c r="Y33" s="5" t="str">
        <f>VLOOKUP(TabVMEnv[EnvProjet],TabEnvProjet[],5,FALSE)</f>
        <v>Jean-Philippe STROIAZZO</v>
      </c>
      <c r="Z33" s="5">
        <f>VLOOKUP(TabVMEnv[EnvProjet],TabEnvProjet[],6,FALSE)</f>
        <v>305704</v>
      </c>
      <c r="AA33" s="5" t="str">
        <f>VLOOKUP(TabVMEnv[[#This Row],[EnvProjet]],TabEnvProjet[],3,FALSE)</f>
        <v>DEV</v>
      </c>
      <c r="AB33" s="5">
        <f>COUNTIF(TabVMEnv[VM],TabVMEnv[VM])</f>
        <v>2</v>
      </c>
    </row>
    <row r="34" spans="1:28" x14ac:dyDescent="0.25">
      <c r="A34" s="24" t="s">
        <v>209</v>
      </c>
      <c r="B34" t="s">
        <v>304</v>
      </c>
      <c r="E34" s="13"/>
      <c r="F34">
        <f>IF(VLOOKUP(TabVMEnv[VM],TabOceanet[],16,FALSE) = "Tarif_VM",IF(VLOOKUP(TabVMEnv[VM],TabOceanet[],2,FALSE)&lt;4,4,VLOOKUP(TabVMEnv[VM],TabOceanet[],2,FALSE)),0)</f>
        <v>4</v>
      </c>
      <c r="G34">
        <v>0</v>
      </c>
      <c r="H34">
        <v>1</v>
      </c>
      <c r="I34">
        <v>0</v>
      </c>
      <c r="J34" s="24">
        <v>4</v>
      </c>
      <c r="K34" s="24">
        <f>IF(VLOOKUP(TabVMEnv[VM],TabOceanet[],16,FALSE) = "Tarif_VM",1,0)/TabVMEnv[[#This Row],[Mutualisé]]</f>
        <v>0.5</v>
      </c>
      <c r="L34" s="24">
        <f>IF(VLOOKUP(TabVMEnv[VM],TabOceanet[],9,FALSE) = "PoweredOn",1,0)</f>
        <v>1</v>
      </c>
      <c r="M34" s="24">
        <f>TabVMEnv[[#This Row],[IsVMPoweredOn]]*VLOOKUP(TabVMEnv[VM],TabOceanet[],3,FALSE)/TabVMEnv[[#This Row],[Mutualisé]]</f>
        <v>2</v>
      </c>
      <c r="N34" s="24">
        <f>VLOOKUP(TabVMEnv[VM],TabOceanet[],4,FALSE)/TabVMEnv[[#This Row],[Mutualisé]]</f>
        <v>80</v>
      </c>
      <c r="O34" s="24">
        <f>IF(LEFT(VLOOKUP(TabVMEnv[VM],TabOceanet[],5,FALSE),3)="win",1,0)</f>
        <v>1</v>
      </c>
      <c r="P34"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148.745</v>
      </c>
      <c r="Q34" t="str">
        <f>VLOOKUP(TabVMEnv[EnvProjet],TabEnvProjet[],4,FALSE)</f>
        <v>CA-TITRES/TMA</v>
      </c>
      <c r="R34" s="5" t="str">
        <f>VLOOKUP(TabVMEnv[[#This Row],[SYGES]],TabContrat[],2,FALSE)</f>
        <v>CA-TITRES</v>
      </c>
      <c r="S34" s="5" t="str">
        <f>IF(VLOOKUP(TabVMEnv[[#This Row],[VM]],TabOceanet[],1,FALSE) = "","Disparue","")</f>
        <v/>
      </c>
      <c r="T34" s="25">
        <f>VLOOKUP(TabVMEnv[[#This Row],[VM]],TabOceanet[],36,FALSE)/TabVMEnv[[#This Row],[Mutualisé]]</f>
        <v>21.6</v>
      </c>
      <c r="U34" s="25">
        <f>IF(TabVMEnv[[#This Row],[CostCenter]]="CostCenterDI",0,TabVMEnv[[#This Row],[CoutGlobal]])</f>
        <v>21.6</v>
      </c>
      <c r="V34" s="25">
        <f>TabVMEnv[[#This Row],[CoutGlobalSansCostCenterDI]]/TabVMEnv[[#Totals],[CoutGlobalSansCostCenterDI]]*(GlobalARepartirSansMS+GlobalARepartirMSOnly+GlobalARepartirInfraReseau)</f>
        <v>37.701872147723464</v>
      </c>
      <c r="W34" s="25">
        <f>TabVMEnv[[#This Row],[CoutGlobalSansCostCenterDI]]+TabVMEnv[[#This Row],[CoutGlobalSupplementaire]]</f>
        <v>59.301872147723465</v>
      </c>
      <c r="X34" s="5" t="str">
        <f>VLOOKUP(TabVMEnv[[#This Row],[EnvProjet]],TabEnvProjet[],2,FALSE) &amp; " - " &amp; IFERROR(VLOOKUP(TabVMEnv[[#This Row],[EnvProjet]],TabEnvProjet[],4,FALSE),"INCONNU") &amp; " - " &amp; IFERROR(VLOOKUP(TabVMEnv[[#This Row],[EnvProjet]],TabEnvProjet[],5,FALSE),"INCONNU")</f>
        <v>CA-TITRES-CRR - CA-TITRES/TMA - Jean-Philippe STROIAZZO</v>
      </c>
      <c r="Y34" s="5" t="str">
        <f>VLOOKUP(TabVMEnv[EnvProjet],TabEnvProjet[],5,FALSE)</f>
        <v>Jean-Philippe STROIAZZO</v>
      </c>
      <c r="Z34" s="5">
        <f>VLOOKUP(TabVMEnv[EnvProjet],TabEnvProjet[],6,FALSE)</f>
        <v>305704</v>
      </c>
      <c r="AA34" s="5" t="str">
        <f>VLOOKUP(TabVMEnv[[#This Row],[EnvProjet]],TabEnvProjet[],3,FALSE)</f>
        <v>DEV</v>
      </c>
      <c r="AB34" s="5">
        <f>COUNTIF(TabVMEnv[VM],TabVMEnv[VM])</f>
        <v>2</v>
      </c>
    </row>
    <row r="35" spans="1:28" ht="15" customHeight="1" x14ac:dyDescent="0.25">
      <c r="A35" t="s">
        <v>241</v>
      </c>
      <c r="B35" t="s">
        <v>307</v>
      </c>
      <c r="E35" s="13"/>
      <c r="F35">
        <f>IF(VLOOKUP(TabVMEnv[VM],TabOceanet[],16,FALSE) = "Tarif_VM",IF(VLOOKUP(TabVMEnv[VM],TabOceanet[],2,FALSE)&lt;4,4,VLOOKUP(TabVMEnv[VM],TabOceanet[],2,FALSE)),0)</f>
        <v>4</v>
      </c>
      <c r="G35">
        <v>0</v>
      </c>
      <c r="H35">
        <v>0</v>
      </c>
      <c r="I35">
        <v>0</v>
      </c>
      <c r="J35">
        <v>0</v>
      </c>
      <c r="K35">
        <f>IF(VLOOKUP(TabVMEnv[VM],TabOceanet[],16,FALSE) = "Tarif_VM",1,0)/TabVMEnv[[#This Row],[Mutualisé]]</f>
        <v>1</v>
      </c>
      <c r="L35">
        <f>IF(VLOOKUP(TabVMEnv[VM],TabOceanet[],9,FALSE) = "PoweredOn",1,0)</f>
        <v>1</v>
      </c>
      <c r="M35">
        <f>TabVMEnv[[#This Row],[IsVMPoweredOn]]*VLOOKUP(TabVMEnv[VM],TabOceanet[],3,FALSE)/TabVMEnv[[#This Row],[Mutualisé]]</f>
        <v>6</v>
      </c>
      <c r="N35">
        <f>VLOOKUP(TabVMEnv[VM],TabOceanet[],4,FALSE)/TabVMEnv[[#This Row],[Mutualisé]]</f>
        <v>250</v>
      </c>
      <c r="O35">
        <f>IF(LEFT(VLOOKUP(TabVMEnv[VM],TabOceanet[],5,FALSE),3)="win",1,0)</f>
        <v>0</v>
      </c>
      <c r="P35"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35" t="str">
        <f>VLOOKUP(TabVMEnv[EnvProjet],TabEnvProjet[],4,FALSE)</f>
        <v>MENESR/TMA</v>
      </c>
      <c r="R35" s="5" t="str">
        <f>VLOOKUP(TabVMEnv[[#This Row],[SYGES]],TabContrat[],2,FALSE)</f>
        <v>MENESR</v>
      </c>
      <c r="S35" s="5" t="str">
        <f>IF(VLOOKUP(TabVMEnv[[#This Row],[VM]],TabOceanet[],1,FALSE) = "","Disparue","")</f>
        <v/>
      </c>
      <c r="T35" s="25">
        <f>VLOOKUP(TabVMEnv[[#This Row],[VM]],TabOceanet[],36,FALSE)/TabVMEnv[[#This Row],[Mutualisé]]</f>
        <v>67.099999999999994</v>
      </c>
      <c r="U35" s="25">
        <f>IF(TabVMEnv[[#This Row],[CostCenter]]="CostCenterDI",0,TabVMEnv[[#This Row],[CoutGlobal]])</f>
        <v>67.099999999999994</v>
      </c>
      <c r="V35" s="25">
        <f>TabVMEnv[[#This Row],[CoutGlobalSansCostCenterDI]]/TabVMEnv[[#Totals],[CoutGlobalSansCostCenterDI]]*(GlobalARepartirSansMS+GlobalARepartirMSOnly+GlobalARepartirInfraReseau)</f>
        <v>117.12016764408536</v>
      </c>
      <c r="W35" s="25">
        <f>TabVMEnv[[#This Row],[CoutGlobalSansCostCenterDI]]+TabVMEnv[[#This Row],[CoutGlobalSupplementaire]]</f>
        <v>184.22016764408534</v>
      </c>
      <c r="X35" s="5" t="str">
        <f>VLOOKUP(TabVMEnv[[#This Row],[EnvProjet]],TabEnvProjet[],2,FALSE) &amp; " - " &amp; IFERROR(VLOOKUP(TabVMEnv[[#This Row],[EnvProjet]],TabEnvProjet[],4,FALSE),"INCONNU") &amp; " - " &amp; IFERROR(VLOOKUP(TabVMEnv[[#This Row],[EnvProjet]],TabEnvProjet[],5,FALSE),"INCONNU")</f>
        <v>MENESR-APAE - MENESR/TMA - Pierre BOURLIEUX</v>
      </c>
      <c r="Y35" s="5" t="str">
        <f>VLOOKUP(TabVMEnv[EnvProjet],TabEnvProjet[],5,FALSE)</f>
        <v>Pierre BOURLIEUX</v>
      </c>
      <c r="Z35" s="5">
        <f>VLOOKUP(TabVMEnv[EnvProjet],TabEnvProjet[],6,FALSE)</f>
        <v>305704</v>
      </c>
      <c r="AA35" s="5" t="str">
        <f>VLOOKUP(TabVMEnv[[#This Row],[EnvProjet]],TabEnvProjet[],3,FALSE)</f>
        <v>RECETTE</v>
      </c>
      <c r="AB35" s="5">
        <f>COUNTIF(TabVMEnv[VM],TabVMEnv[VM])</f>
        <v>1</v>
      </c>
    </row>
    <row r="36" spans="1:28" x14ac:dyDescent="0.25">
      <c r="A36" s="24" t="s">
        <v>193</v>
      </c>
      <c r="B36" t="s">
        <v>309</v>
      </c>
      <c r="E36" s="13"/>
      <c r="F36">
        <f>IF(VLOOKUP(TabVMEnv[VM],TabOceanet[],16,FALSE) = "Tarif_VM",IF(VLOOKUP(TabVMEnv[VM],TabOceanet[],2,FALSE)&lt;4,4,VLOOKUP(TabVMEnv[VM],TabOceanet[],2,FALSE)),0)</f>
        <v>4</v>
      </c>
      <c r="G36">
        <v>0</v>
      </c>
      <c r="H36">
        <v>0</v>
      </c>
      <c r="I36">
        <v>0</v>
      </c>
      <c r="J36">
        <v>0</v>
      </c>
      <c r="K36">
        <f>IF(VLOOKUP(TabVMEnv[VM],TabOceanet[],16,FALSE) = "Tarif_VM",1,0)/TabVMEnv[[#This Row],[Mutualisé]]</f>
        <v>0.33333333333333331</v>
      </c>
      <c r="L36">
        <f>IF(VLOOKUP(TabVMEnv[VM],TabOceanet[],9,FALSE) = "PoweredOn",1,0)</f>
        <v>1</v>
      </c>
      <c r="M36">
        <f>TabVMEnv[[#This Row],[IsVMPoweredOn]]*VLOOKUP(TabVMEnv[VM],TabOceanet[],3,FALSE)/TabVMEnv[[#This Row],[Mutualisé]]</f>
        <v>1.3333333333333333</v>
      </c>
      <c r="N36">
        <f>VLOOKUP(TabVMEnv[VM],TabOceanet[],4,FALSE)/TabVMEnv[[#This Row],[Mutualisé]]</f>
        <v>30</v>
      </c>
      <c r="O36">
        <f>IF(LEFT(VLOOKUP(TabVMEnv[VM],TabOceanet[],5,FALSE),3)="win",1,0)</f>
        <v>1</v>
      </c>
      <c r="P36"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36" t="str">
        <f>VLOOKUP(TabVMEnv[EnvProjet],TabEnvProjet[],4,FALSE)</f>
        <v>BRGM/DEGAT-16</v>
      </c>
      <c r="R36" s="5" t="str">
        <f>VLOOKUP(TabVMEnv[[#This Row],[SYGES]],TabContrat[],2,FALSE)</f>
        <v>BRGM</v>
      </c>
      <c r="S36" s="5" t="str">
        <f>IF(VLOOKUP(TabVMEnv[[#This Row],[VM]],TabOceanet[],1,FALSE) = "","Disparue","")</f>
        <v/>
      </c>
      <c r="T36" s="25">
        <f>VLOOKUP(TabVMEnv[[#This Row],[VM]],TabOceanet[],36,FALSE)/TabVMEnv[[#This Row],[Mutualisé]]</f>
        <v>9.0333333333333332</v>
      </c>
      <c r="U36" s="25">
        <f>IF(TabVMEnv[[#This Row],[CostCenter]]="CostCenterDI",0,TabVMEnv[[#This Row],[CoutGlobal]])</f>
        <v>9.0333333333333332</v>
      </c>
      <c r="V36" s="25">
        <f>TabVMEnv[[#This Row],[CoutGlobalSansCostCenterDI]]/TabVMEnv[[#Totals],[CoutGlobalSansCostCenterDI]]*(GlobalARepartirSansMS+GlobalARepartirMSOnly+GlobalARepartirInfraReseau)</f>
        <v>15.76729529634731</v>
      </c>
      <c r="W36" s="25">
        <f>TabVMEnv[[#This Row],[CoutGlobalSansCostCenterDI]]+TabVMEnv[[#This Row],[CoutGlobalSupplementaire]]</f>
        <v>24.800628629680645</v>
      </c>
      <c r="X36" s="5" t="str">
        <f>VLOOKUP(TabVMEnv[[#This Row],[EnvProjet]],TabEnvProjet[],2,FALSE) &amp; " - " &amp; IFERROR(VLOOKUP(TabVMEnv[[#This Row],[EnvProjet]],TabEnvProjet[],4,FALSE),"INCONNU") &amp; " - " &amp; IFERROR(VLOOKUP(TabVMEnv[[#This Row],[EnvProjet]],TabEnvProjet[],5,FALSE),"INCONNU")</f>
        <v>BRGM-DEGATS-MINERS - BRGM/DEGAT-16 - Pierre BOURLIEUX</v>
      </c>
      <c r="Y36" s="5" t="str">
        <f>VLOOKUP(TabVMEnv[EnvProjet],TabEnvProjet[],5,FALSE)</f>
        <v>Pierre BOURLIEUX</v>
      </c>
      <c r="Z36" s="5">
        <f>VLOOKUP(TabVMEnv[EnvProjet],TabEnvProjet[],6,FALSE)</f>
        <v>305704</v>
      </c>
      <c r="AA36" s="5" t="str">
        <f>VLOOKUP(TabVMEnv[[#This Row],[EnvProjet]],TabEnvProjet[],3,FALSE)</f>
        <v>RECETTE</v>
      </c>
      <c r="AB36" s="5">
        <f>COUNTIF(TabVMEnv[VM],TabVMEnv[VM])</f>
        <v>3</v>
      </c>
    </row>
    <row r="37" spans="1:28" x14ac:dyDescent="0.25">
      <c r="A37" s="24" t="s">
        <v>193</v>
      </c>
      <c r="B37" t="s">
        <v>310</v>
      </c>
      <c r="E37" s="13"/>
      <c r="F37">
        <f>IF(VLOOKUP(TabVMEnv[VM],TabOceanet[],16,FALSE) = "Tarif_VM",IF(VLOOKUP(TabVMEnv[VM],TabOceanet[],2,FALSE)&lt;4,4,VLOOKUP(TabVMEnv[VM],TabOceanet[],2,FALSE)),0)</f>
        <v>4</v>
      </c>
      <c r="G37">
        <v>0</v>
      </c>
      <c r="H37">
        <v>0</v>
      </c>
      <c r="I37">
        <v>0</v>
      </c>
      <c r="J37">
        <v>0</v>
      </c>
      <c r="K37">
        <f>IF(VLOOKUP(TabVMEnv[VM],TabOceanet[],16,FALSE) = "Tarif_VM",1,0)/TabVMEnv[[#This Row],[Mutualisé]]</f>
        <v>0.33333333333333331</v>
      </c>
      <c r="L37">
        <f>IF(VLOOKUP(TabVMEnv[VM],TabOceanet[],9,FALSE) = "PoweredOn",1,0)</f>
        <v>1</v>
      </c>
      <c r="M37">
        <f>TabVMEnv[[#This Row],[IsVMPoweredOn]]*VLOOKUP(TabVMEnv[VM],TabOceanet[],3,FALSE)/TabVMEnv[[#This Row],[Mutualisé]]</f>
        <v>1.3333333333333333</v>
      </c>
      <c r="N37">
        <f>VLOOKUP(TabVMEnv[VM],TabOceanet[],4,FALSE)/TabVMEnv[[#This Row],[Mutualisé]]</f>
        <v>30</v>
      </c>
      <c r="O37">
        <f>IF(LEFT(VLOOKUP(TabVMEnv[VM],TabOceanet[],5,FALSE),3)="win",1,0)</f>
        <v>1</v>
      </c>
      <c r="P37"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37" t="str">
        <f>VLOOKUP(TabVMEnv[EnvProjet],TabEnvProjet[],4,FALSE)</f>
        <v>FRR/TMASI</v>
      </c>
      <c r="R37" s="5" t="str">
        <f>VLOOKUP(TabVMEnv[[#This Row],[SYGES]],TabContrat[],2,FALSE)</f>
        <v>FRR</v>
      </c>
      <c r="S37" s="5" t="str">
        <f>IF(VLOOKUP(TabVMEnv[[#This Row],[VM]],TabOceanet[],1,FALSE) = "","Disparue","")</f>
        <v/>
      </c>
      <c r="T37" s="25">
        <f>VLOOKUP(TabVMEnv[[#This Row],[VM]],TabOceanet[],36,FALSE)/TabVMEnv[[#This Row],[Mutualisé]]</f>
        <v>9.0333333333333332</v>
      </c>
      <c r="U37" s="25">
        <f>IF(TabVMEnv[[#This Row],[CostCenter]]="CostCenterDI",0,TabVMEnv[[#This Row],[CoutGlobal]])</f>
        <v>9.0333333333333332</v>
      </c>
      <c r="V37" s="25">
        <f>TabVMEnv[[#This Row],[CoutGlobalSansCostCenterDI]]/TabVMEnv[[#Totals],[CoutGlobalSansCostCenterDI]]*(GlobalARepartirSansMS+GlobalARepartirMSOnly+GlobalARepartirInfraReseau)</f>
        <v>15.76729529634731</v>
      </c>
      <c r="W37" s="25">
        <f>TabVMEnv[[#This Row],[CoutGlobalSansCostCenterDI]]+TabVMEnv[[#This Row],[CoutGlobalSupplementaire]]</f>
        <v>24.800628629680645</v>
      </c>
      <c r="X37" s="5" t="str">
        <f>VLOOKUP(TabVMEnv[[#This Row],[EnvProjet]],TabEnvProjet[],2,FALSE) &amp; " - " &amp; IFERROR(VLOOKUP(TabVMEnv[[#This Row],[EnvProjet]],TabEnvProjet[],4,FALSE),"INCONNU") &amp; " - " &amp; IFERROR(VLOOKUP(TabVMEnv[[#This Row],[EnvProjet]],TabEnvProjet[],5,FALSE),"INCONNU")</f>
        <v>FRR-CADENCIER - FRR/TMASI - Pierre BOURLIEUX</v>
      </c>
      <c r="Y37" s="5" t="str">
        <f>VLOOKUP(TabVMEnv[EnvProjet],TabEnvProjet[],5,FALSE)</f>
        <v>Pierre BOURLIEUX</v>
      </c>
      <c r="Z37" s="5">
        <f>VLOOKUP(TabVMEnv[EnvProjet],TabEnvProjet[],6,FALSE)</f>
        <v>305704</v>
      </c>
      <c r="AA37" s="5" t="str">
        <f>VLOOKUP(TabVMEnv[[#This Row],[EnvProjet]],TabEnvProjet[],3,FALSE)</f>
        <v>RECETTE</v>
      </c>
      <c r="AB37" s="5">
        <f>COUNTIF(TabVMEnv[VM],TabVMEnv[VM])</f>
        <v>3</v>
      </c>
    </row>
    <row r="38" spans="1:28" x14ac:dyDescent="0.25">
      <c r="A38" s="24" t="s">
        <v>193</v>
      </c>
      <c r="B38" t="s">
        <v>308</v>
      </c>
      <c r="E38" s="13"/>
      <c r="F38">
        <f>IF(VLOOKUP(TabVMEnv[VM],TabOceanet[],16,FALSE) = "Tarif_VM",IF(VLOOKUP(TabVMEnv[VM],TabOceanet[],2,FALSE)&lt;4,4,VLOOKUP(TabVMEnv[VM],TabOceanet[],2,FALSE)),0)</f>
        <v>4</v>
      </c>
      <c r="G38">
        <v>0</v>
      </c>
      <c r="H38">
        <v>0</v>
      </c>
      <c r="I38">
        <v>0</v>
      </c>
      <c r="J38">
        <v>0</v>
      </c>
      <c r="K38">
        <f>IF(VLOOKUP(TabVMEnv[VM],TabOceanet[],16,FALSE) = "Tarif_VM",1,0)/TabVMEnv[[#This Row],[Mutualisé]]</f>
        <v>0.33333333333333331</v>
      </c>
      <c r="L38">
        <f>IF(VLOOKUP(TabVMEnv[VM],TabOceanet[],9,FALSE) = "PoweredOn",1,0)</f>
        <v>1</v>
      </c>
      <c r="M38">
        <f>TabVMEnv[[#This Row],[IsVMPoweredOn]]*VLOOKUP(TabVMEnv[VM],TabOceanet[],3,FALSE)/TabVMEnv[[#This Row],[Mutualisé]]</f>
        <v>1.3333333333333333</v>
      </c>
      <c r="N38">
        <f>VLOOKUP(TabVMEnv[VM],TabOceanet[],4,FALSE)/TabVMEnv[[#This Row],[Mutualisé]]</f>
        <v>30</v>
      </c>
      <c r="O38">
        <f>IF(LEFT(VLOOKUP(TabVMEnv[VM],TabOceanet[],5,FALSE),3)="win",1,0)</f>
        <v>1</v>
      </c>
      <c r="P38"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38" t="str">
        <f>VLOOKUP(TabVMEnv[EnvProjet],TabEnvProjet[],4,FALSE)</f>
        <v>ONEMA/TMADCIE-15</v>
      </c>
      <c r="R38" s="5" t="str">
        <f>VLOOKUP(TabVMEnv[[#This Row],[SYGES]],TabContrat[],2,FALSE)</f>
        <v>ONEMA</v>
      </c>
      <c r="S38" s="5" t="str">
        <f>IF(VLOOKUP(TabVMEnv[[#This Row],[VM]],TabOceanet[],1,FALSE) = "","Disparue","")</f>
        <v/>
      </c>
      <c r="T38" s="25">
        <f>VLOOKUP(TabVMEnv[[#This Row],[VM]],TabOceanet[],36,FALSE)/TabVMEnv[[#This Row],[Mutualisé]]</f>
        <v>9.0333333333333332</v>
      </c>
      <c r="U38" s="25">
        <f>IF(TabVMEnv[[#This Row],[CostCenter]]="CostCenterDI",0,TabVMEnv[[#This Row],[CoutGlobal]])</f>
        <v>9.0333333333333332</v>
      </c>
      <c r="V38" s="25">
        <f>TabVMEnv[[#This Row],[CoutGlobalSansCostCenterDI]]/TabVMEnv[[#Totals],[CoutGlobalSansCostCenterDI]]*(GlobalARepartirSansMS+GlobalARepartirMSOnly+GlobalARepartirInfraReseau)</f>
        <v>15.76729529634731</v>
      </c>
      <c r="W38" s="25">
        <f>TabVMEnv[[#This Row],[CoutGlobalSansCostCenterDI]]+TabVMEnv[[#This Row],[CoutGlobalSupplementaire]]</f>
        <v>24.800628629680645</v>
      </c>
      <c r="X38" s="5" t="str">
        <f>VLOOKUP(TabVMEnv[[#This Row],[EnvProjet]],TabEnvProjet[],2,FALSE) &amp; " - " &amp; IFERROR(VLOOKUP(TabVMEnv[[#This Row],[EnvProjet]],TabEnvProjet[],4,FALSE),"INCONNU") &amp; " - " &amp; IFERROR(VLOOKUP(TabVMEnv[[#This Row],[EnvProjet]],TabEnvProjet[],5,FALSE),"INCONNU")</f>
        <v>ONEMA-OPALE - ONEMA/TMADCIE-15 - Pierre BOURLIEUX</v>
      </c>
      <c r="Y38" s="5" t="str">
        <f>VLOOKUP(TabVMEnv[EnvProjet],TabEnvProjet[],5,FALSE)</f>
        <v>Pierre BOURLIEUX</v>
      </c>
      <c r="Z38" s="5">
        <f>VLOOKUP(TabVMEnv[EnvProjet],TabEnvProjet[],6,FALSE)</f>
        <v>305704</v>
      </c>
      <c r="AA38" s="5" t="str">
        <f>VLOOKUP(TabVMEnv[[#This Row],[EnvProjet]],TabEnvProjet[],3,FALSE)</f>
        <v>RECETTE</v>
      </c>
      <c r="AB38" s="5">
        <f>COUNTIF(TabVMEnv[VM],TabVMEnv[VM])</f>
        <v>3</v>
      </c>
    </row>
    <row r="39" spans="1:28" x14ac:dyDescent="0.25">
      <c r="A39" s="24" t="s">
        <v>202</v>
      </c>
      <c r="B39" t="s">
        <v>315</v>
      </c>
      <c r="E39" s="13"/>
      <c r="F39">
        <f>IF(VLOOKUP(TabVMEnv[VM],TabOceanet[],16,FALSE) = "Tarif_VM",IF(VLOOKUP(TabVMEnv[VM],TabOceanet[],2,FALSE)&lt;4,4,VLOOKUP(TabVMEnv[VM],TabOceanet[],2,FALSE)),0)</f>
        <v>16</v>
      </c>
      <c r="G39">
        <v>0</v>
      </c>
      <c r="H39">
        <v>0</v>
      </c>
      <c r="I39">
        <v>0</v>
      </c>
      <c r="J39">
        <v>0</v>
      </c>
      <c r="K39">
        <f>IF(VLOOKUP(TabVMEnv[VM],TabOceanet[],16,FALSE) = "Tarif_VM",1,0)/TabVMEnv[[#This Row],[Mutualisé]]</f>
        <v>0.1</v>
      </c>
      <c r="L39">
        <f>IF(VLOOKUP(TabVMEnv[VM],TabOceanet[],9,FALSE) = "PoweredOn",1,0)</f>
        <v>1</v>
      </c>
      <c r="M39">
        <f>TabVMEnv[[#This Row],[IsVMPoweredOn]]*VLOOKUP(TabVMEnv[VM],TabOceanet[],3,FALSE)/TabVMEnv[[#This Row],[Mutualisé]]</f>
        <v>0.8</v>
      </c>
      <c r="N39">
        <f>VLOOKUP(TabVMEnv[VM],TabOceanet[],4,FALSE)/TabVMEnv[[#This Row],[Mutualisé]]</f>
        <v>12</v>
      </c>
      <c r="O39">
        <f>IF(LEFT(VLOOKUP(TabVMEnv[VM],TabOceanet[],5,FALSE),3)="win",1,0)</f>
        <v>0</v>
      </c>
      <c r="P39"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39" t="str">
        <f>VLOOKUP(TabVMEnv[EnvProjet],TabEnvProjet[],4,FALSE)</f>
        <v>ONEMA/TMADCUA-15</v>
      </c>
      <c r="R39" s="5" t="str">
        <f>VLOOKUP(TabVMEnv[[#This Row],[SYGES]],TabContrat[],2,FALSE)</f>
        <v>ONEMA</v>
      </c>
      <c r="S39" s="5" t="str">
        <f>IF(VLOOKUP(TabVMEnv[[#This Row],[VM]],TabOceanet[],1,FALSE) = "","Disparue","")</f>
        <v/>
      </c>
      <c r="T39" s="25">
        <f>VLOOKUP(TabVMEnv[[#This Row],[VM]],TabOceanet[],36,FALSE)/TabVMEnv[[#This Row],[Mutualisé]]</f>
        <v>4.0400000000000009</v>
      </c>
      <c r="U39" s="25">
        <f>IF(TabVMEnv[[#This Row],[CostCenter]]="CostCenterDI",0,TabVMEnv[[#This Row],[CoutGlobal]])</f>
        <v>4.0400000000000009</v>
      </c>
      <c r="V39" s="25">
        <f>TabVMEnv[[#This Row],[CoutGlobalSansCostCenterDI]]/TabVMEnv[[#Totals],[CoutGlobalSansCostCenterDI]]*(GlobalARepartirSansMS+GlobalARepartirMSOnly+GlobalARepartirInfraReseau)</f>
        <v>7.0516464572593893</v>
      </c>
      <c r="W39" s="25">
        <f>TabVMEnv[[#This Row],[CoutGlobalSansCostCenterDI]]+TabVMEnv[[#This Row],[CoutGlobalSupplementaire]]</f>
        <v>11.09164645725939</v>
      </c>
      <c r="X39" s="5" t="str">
        <f>VLOOKUP(TabVMEnv[[#This Row],[EnvProjet]],TabEnvProjet[],2,FALSE) &amp; " - " &amp; IFERROR(VLOOKUP(TabVMEnv[[#This Row],[EnvProjet]],TabEnvProjet[],4,FALSE),"INCONNU") &amp; " - " &amp; IFERROR(VLOOKUP(TabVMEnv[[#This Row],[EnvProjet]],TabEnvProjet[],5,FALSE),"INCONNU")</f>
        <v>AFB-BASEINDICATEURS - ONEMA/TMADCUA-15 - Pierre BOURLIEUX</v>
      </c>
      <c r="Y39" s="5" t="str">
        <f>VLOOKUP(TabVMEnv[EnvProjet],TabEnvProjet[],5,FALSE)</f>
        <v>Pierre BOURLIEUX</v>
      </c>
      <c r="Z39" s="5">
        <f>VLOOKUP(TabVMEnv[EnvProjet],TabEnvProjet[],6,FALSE)</f>
        <v>305704</v>
      </c>
      <c r="AA39" s="5" t="str">
        <f>VLOOKUP(TabVMEnv[[#This Row],[EnvProjet]],TabEnvProjet[],3,FALSE)</f>
        <v>RECETTE</v>
      </c>
      <c r="AB39" s="5">
        <f>COUNTIF(TabVMEnv[VM],TabVMEnv[VM])</f>
        <v>10</v>
      </c>
    </row>
    <row r="40" spans="1:28" x14ac:dyDescent="0.25">
      <c r="A40" s="24" t="s">
        <v>202</v>
      </c>
      <c r="B40" t="s">
        <v>316</v>
      </c>
      <c r="E40" s="13"/>
      <c r="F40">
        <f>IF(VLOOKUP(TabVMEnv[VM],TabOceanet[],16,FALSE) = "Tarif_VM",IF(VLOOKUP(TabVMEnv[VM],TabOceanet[],2,FALSE)&lt;4,4,VLOOKUP(TabVMEnv[VM],TabOceanet[],2,FALSE)),0)</f>
        <v>16</v>
      </c>
      <c r="G40">
        <v>0</v>
      </c>
      <c r="H40">
        <v>0</v>
      </c>
      <c r="I40">
        <v>0</v>
      </c>
      <c r="J40">
        <v>0</v>
      </c>
      <c r="K40">
        <f>IF(VLOOKUP(TabVMEnv[VM],TabOceanet[],16,FALSE) = "Tarif_VM",1,0)/TabVMEnv[[#This Row],[Mutualisé]]</f>
        <v>0.1</v>
      </c>
      <c r="L40">
        <f>IF(VLOOKUP(TabVMEnv[VM],TabOceanet[],9,FALSE) = "PoweredOn",1,0)</f>
        <v>1</v>
      </c>
      <c r="M40">
        <f>TabVMEnv[[#This Row],[IsVMPoweredOn]]*VLOOKUP(TabVMEnv[VM],TabOceanet[],3,FALSE)/TabVMEnv[[#This Row],[Mutualisé]]</f>
        <v>0.8</v>
      </c>
      <c r="N40">
        <f>VLOOKUP(TabVMEnv[VM],TabOceanet[],4,FALSE)/TabVMEnv[[#This Row],[Mutualisé]]</f>
        <v>12</v>
      </c>
      <c r="O40">
        <f>IF(LEFT(VLOOKUP(TabVMEnv[VM],TabOceanet[],5,FALSE),3)="win",1,0)</f>
        <v>0</v>
      </c>
      <c r="P40"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40" t="str">
        <f>VLOOKUP(TabVMEnv[EnvProjet],TabEnvProjet[],4,FALSE)</f>
        <v>ONEMA/TMADCUA-15</v>
      </c>
      <c r="R40" s="5" t="str">
        <f>VLOOKUP(TabVMEnv[[#This Row],[SYGES]],TabContrat[],2,FALSE)</f>
        <v>ONEMA</v>
      </c>
      <c r="S40" s="5" t="str">
        <f>IF(VLOOKUP(TabVMEnv[[#This Row],[VM]],TabOceanet[],1,FALSE) = "","Disparue","")</f>
        <v/>
      </c>
      <c r="T40" s="25">
        <f>VLOOKUP(TabVMEnv[[#This Row],[VM]],TabOceanet[],36,FALSE)/TabVMEnv[[#This Row],[Mutualisé]]</f>
        <v>4.0400000000000009</v>
      </c>
      <c r="U40" s="25">
        <f>IF(TabVMEnv[[#This Row],[CostCenter]]="CostCenterDI",0,TabVMEnv[[#This Row],[CoutGlobal]])</f>
        <v>4.0400000000000009</v>
      </c>
      <c r="V40" s="25">
        <f>TabVMEnv[[#This Row],[CoutGlobalSansCostCenterDI]]/TabVMEnv[[#Totals],[CoutGlobalSansCostCenterDI]]*(GlobalARepartirSansMS+GlobalARepartirMSOnly+GlobalARepartirInfraReseau)</f>
        <v>7.0516464572593893</v>
      </c>
      <c r="W40" s="25">
        <f>TabVMEnv[[#This Row],[CoutGlobalSansCostCenterDI]]+TabVMEnv[[#This Row],[CoutGlobalSupplementaire]]</f>
        <v>11.09164645725939</v>
      </c>
      <c r="X40" s="5" t="str">
        <f>VLOOKUP(TabVMEnv[[#This Row],[EnvProjet]],TabEnvProjet[],2,FALSE) &amp; " - " &amp; IFERROR(VLOOKUP(TabVMEnv[[#This Row],[EnvProjet]],TabEnvProjet[],4,FALSE),"INCONNU") &amp; " - " &amp; IFERROR(VLOOKUP(TabVMEnv[[#This Row],[EnvProjet]],TabEnvProjet[],5,FALSE),"INCONNU")</f>
        <v>AFB-CATALOGUEINDICATEURS - ONEMA/TMADCUA-15 - Pierre BOURLIEUX</v>
      </c>
      <c r="Y40" s="5" t="str">
        <f>VLOOKUP(TabVMEnv[EnvProjet],TabEnvProjet[],5,FALSE)</f>
        <v>Pierre BOURLIEUX</v>
      </c>
      <c r="Z40" s="5">
        <f>VLOOKUP(TabVMEnv[EnvProjet],TabEnvProjet[],6,FALSE)</f>
        <v>305704</v>
      </c>
      <c r="AA40" s="5" t="str">
        <f>VLOOKUP(TabVMEnv[[#This Row],[EnvProjet]],TabEnvProjet[],3,FALSE)</f>
        <v>RECETTE</v>
      </c>
      <c r="AB40" s="5">
        <f>COUNTIF(TabVMEnv[VM],TabVMEnv[VM])</f>
        <v>10</v>
      </c>
    </row>
    <row r="41" spans="1:28" x14ac:dyDescent="0.25">
      <c r="A41" s="24" t="s">
        <v>202</v>
      </c>
      <c r="B41" t="s">
        <v>319</v>
      </c>
      <c r="E41" s="13"/>
      <c r="F41">
        <f>IF(VLOOKUP(TabVMEnv[VM],TabOceanet[],16,FALSE) = "Tarif_VM",IF(VLOOKUP(TabVMEnv[VM],TabOceanet[],2,FALSE)&lt;4,4,VLOOKUP(TabVMEnv[VM],TabOceanet[],2,FALSE)),0)</f>
        <v>16</v>
      </c>
      <c r="G41">
        <v>0</v>
      </c>
      <c r="H41">
        <v>0</v>
      </c>
      <c r="I41">
        <v>0</v>
      </c>
      <c r="J41">
        <v>0</v>
      </c>
      <c r="K41">
        <f>IF(VLOOKUP(TabVMEnv[VM],TabOceanet[],16,FALSE) = "Tarif_VM",1,0)/TabVMEnv[[#This Row],[Mutualisé]]</f>
        <v>0.1</v>
      </c>
      <c r="L41">
        <f>IF(VLOOKUP(TabVMEnv[VM],TabOceanet[],9,FALSE) = "PoweredOn",1,0)</f>
        <v>1</v>
      </c>
      <c r="M41">
        <f>TabVMEnv[[#This Row],[IsVMPoweredOn]]*VLOOKUP(TabVMEnv[VM],TabOceanet[],3,FALSE)/TabVMEnv[[#This Row],[Mutualisé]]</f>
        <v>0.8</v>
      </c>
      <c r="N41">
        <f>VLOOKUP(TabVMEnv[VM],TabOceanet[],4,FALSE)/TabVMEnv[[#This Row],[Mutualisé]]</f>
        <v>12</v>
      </c>
      <c r="O41">
        <f>IF(LEFT(VLOOKUP(TabVMEnv[VM],TabOceanet[],5,FALSE),3)="win",1,0)</f>
        <v>0</v>
      </c>
      <c r="P41"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41" t="str">
        <f>VLOOKUP(TabVMEnv[EnvProjet],TabEnvProjet[],4,FALSE)</f>
        <v>ONEMA/TMADCUA-15</v>
      </c>
      <c r="R41" s="5" t="str">
        <f>VLOOKUP(TabVMEnv[[#This Row],[SYGES]],TabContrat[],2,FALSE)</f>
        <v>ONEMA</v>
      </c>
      <c r="S41" s="5" t="str">
        <f>IF(VLOOKUP(TabVMEnv[[#This Row],[VM]],TabOceanet[],1,FALSE) = "","Disparue","")</f>
        <v/>
      </c>
      <c r="T41" s="25">
        <f>VLOOKUP(TabVMEnv[[#This Row],[VM]],TabOceanet[],36,FALSE)/TabVMEnv[[#This Row],[Mutualisé]]</f>
        <v>4.0400000000000009</v>
      </c>
      <c r="U41" s="25">
        <f>IF(TabVMEnv[[#This Row],[CostCenter]]="CostCenterDI",0,TabVMEnv[[#This Row],[CoutGlobal]])</f>
        <v>4.0400000000000009</v>
      </c>
      <c r="V41" s="25">
        <f>TabVMEnv[[#This Row],[CoutGlobalSansCostCenterDI]]/TabVMEnv[[#Totals],[CoutGlobalSansCostCenterDI]]*(GlobalARepartirSansMS+GlobalARepartirMSOnly+GlobalARepartirInfraReseau)</f>
        <v>7.0516464572593893</v>
      </c>
      <c r="W41" s="25">
        <f>TabVMEnv[[#This Row],[CoutGlobalSansCostCenterDI]]+TabVMEnv[[#This Row],[CoutGlobalSupplementaire]]</f>
        <v>11.09164645725939</v>
      </c>
      <c r="X41" s="5" t="str">
        <f>VLOOKUP(TabVMEnv[[#This Row],[EnvProjet]],TabEnvProjet[],2,FALSE) &amp; " - " &amp; IFERROR(VLOOKUP(TabVMEnv[[#This Row],[EnvProjet]],TabEnvProjet[],4,FALSE),"INCONNU") &amp; " - " &amp; IFERROR(VLOOKUP(TabVMEnv[[#This Row],[EnvProjet]],TabEnvProjet[],5,FALSE),"INCONNU")</f>
        <v>AFB-ENQUETEDEAU - ONEMA/TMADCUA-15 - Jean-Philippe STROIAZZO</v>
      </c>
      <c r="Y41" s="5" t="str">
        <f>VLOOKUP(TabVMEnv[EnvProjet],TabEnvProjet[],5,FALSE)</f>
        <v>Jean-Philippe STROIAZZO</v>
      </c>
      <c r="Z41" s="5">
        <f>VLOOKUP(TabVMEnv[EnvProjet],TabEnvProjet[],6,FALSE)</f>
        <v>305704</v>
      </c>
      <c r="AA41" s="5" t="str">
        <f>VLOOKUP(TabVMEnv[[#This Row],[EnvProjet]],TabEnvProjet[],3,FALSE)</f>
        <v>RECETTE</v>
      </c>
      <c r="AB41" s="5">
        <f>COUNTIF(TabVMEnv[VM],TabVMEnv[VM])</f>
        <v>10</v>
      </c>
    </row>
    <row r="42" spans="1:28" x14ac:dyDescent="0.25">
      <c r="A42" s="24" t="s">
        <v>202</v>
      </c>
      <c r="B42" t="s">
        <v>311</v>
      </c>
      <c r="E42" s="13"/>
      <c r="F42">
        <f>IF(VLOOKUP(TabVMEnv[VM],TabOceanet[],16,FALSE) = "Tarif_VM",IF(VLOOKUP(TabVMEnv[VM],TabOceanet[],2,FALSE)&lt;4,4,VLOOKUP(TabVMEnv[VM],TabOceanet[],2,FALSE)),0)</f>
        <v>16</v>
      </c>
      <c r="G42">
        <v>0</v>
      </c>
      <c r="H42">
        <v>0</v>
      </c>
      <c r="I42">
        <v>0</v>
      </c>
      <c r="J42">
        <v>0</v>
      </c>
      <c r="K42">
        <f>IF(VLOOKUP(TabVMEnv[VM],TabOceanet[],16,FALSE) = "Tarif_VM",1,0)/TabVMEnv[[#This Row],[Mutualisé]]</f>
        <v>0.1</v>
      </c>
      <c r="L42">
        <f>IF(VLOOKUP(TabVMEnv[VM],TabOceanet[],9,FALSE) = "PoweredOn",1,0)</f>
        <v>1</v>
      </c>
      <c r="M42">
        <f>TabVMEnv[[#This Row],[IsVMPoweredOn]]*VLOOKUP(TabVMEnv[VM],TabOceanet[],3,FALSE)/TabVMEnv[[#This Row],[Mutualisé]]</f>
        <v>0.8</v>
      </c>
      <c r="N42">
        <f>VLOOKUP(TabVMEnv[VM],TabOceanet[],4,FALSE)/TabVMEnv[[#This Row],[Mutualisé]]</f>
        <v>12</v>
      </c>
      <c r="O42">
        <f>IF(LEFT(VLOOKUP(TabVMEnv[VM],TabOceanet[],5,FALSE),3)="win",1,0)</f>
        <v>0</v>
      </c>
      <c r="P42"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42" t="str">
        <f>VLOOKUP(TabVMEnv[EnvProjet],TabEnvProjet[],4,FALSE)</f>
        <v>ONEMA/TMADCUA-15</v>
      </c>
      <c r="R42" s="5" t="str">
        <f>VLOOKUP(TabVMEnv[[#This Row],[SYGES]],TabContrat[],2,FALSE)</f>
        <v>ONEMA</v>
      </c>
      <c r="S42" s="5" t="str">
        <f>IF(VLOOKUP(TabVMEnv[[#This Row],[VM]],TabOceanet[],1,FALSE) = "","Disparue","")</f>
        <v/>
      </c>
      <c r="T42" s="25">
        <f>VLOOKUP(TabVMEnv[[#This Row],[VM]],TabOceanet[],36,FALSE)/TabVMEnv[[#This Row],[Mutualisé]]</f>
        <v>4.0400000000000009</v>
      </c>
      <c r="U42" s="25">
        <f>IF(TabVMEnv[[#This Row],[CostCenter]]="CostCenterDI",0,TabVMEnv[[#This Row],[CoutGlobal]])</f>
        <v>4.0400000000000009</v>
      </c>
      <c r="V42" s="25">
        <f>TabVMEnv[[#This Row],[CoutGlobalSansCostCenterDI]]/TabVMEnv[[#Totals],[CoutGlobalSansCostCenterDI]]*(GlobalARepartirSansMS+GlobalARepartirMSOnly+GlobalARepartirInfraReseau)</f>
        <v>7.0516464572593893</v>
      </c>
      <c r="W42" s="25">
        <f>TabVMEnv[[#This Row],[CoutGlobalSansCostCenterDI]]+TabVMEnv[[#This Row],[CoutGlobalSupplementaire]]</f>
        <v>11.09164645725939</v>
      </c>
      <c r="X42" s="5" t="str">
        <f>VLOOKUP(TabVMEnv[[#This Row],[EnvProjet]],TabEnvProjet[],2,FALSE) &amp; " - " &amp; IFERROR(VLOOKUP(TabVMEnv[[#This Row],[EnvProjet]],TabEnvProjet[],4,FALSE),"INCONNU") &amp; " - " &amp; IFERROR(VLOOKUP(TabVMEnv[[#This Row],[EnvProjet]],TabEnvProjet[],5,FALSE),"INCONNU")</f>
        <v>AFB-OISON - ONEMA/TMADCUA-15 - Jean-Philippe STROIAZZO</v>
      </c>
      <c r="Y42" s="5" t="str">
        <f>VLOOKUP(TabVMEnv[EnvProjet],TabEnvProjet[],5,FALSE)</f>
        <v>Jean-Philippe STROIAZZO</v>
      </c>
      <c r="Z42" s="5">
        <f>VLOOKUP(TabVMEnv[EnvProjet],TabEnvProjet[],6,FALSE)</f>
        <v>305704</v>
      </c>
      <c r="AA42" s="5" t="str">
        <f>VLOOKUP(TabVMEnv[[#This Row],[EnvProjet]],TabEnvProjet[],3,FALSE)</f>
        <v>RECETTE</v>
      </c>
      <c r="AB42" s="5">
        <f>COUNTIF(TabVMEnv[VM],TabVMEnv[VM])</f>
        <v>10</v>
      </c>
    </row>
    <row r="43" spans="1:28" x14ac:dyDescent="0.25">
      <c r="A43" s="24" t="s">
        <v>202</v>
      </c>
      <c r="B43" t="s">
        <v>313</v>
      </c>
      <c r="E43" s="13"/>
      <c r="F43">
        <f>IF(VLOOKUP(TabVMEnv[VM],TabOceanet[],16,FALSE) = "Tarif_VM",IF(VLOOKUP(TabVMEnv[VM],TabOceanet[],2,FALSE)&lt;4,4,VLOOKUP(TabVMEnv[VM],TabOceanet[],2,FALSE)),0)</f>
        <v>16</v>
      </c>
      <c r="G43">
        <v>0</v>
      </c>
      <c r="H43">
        <v>0</v>
      </c>
      <c r="I43">
        <v>0</v>
      </c>
      <c r="J43">
        <v>0</v>
      </c>
      <c r="K43">
        <f>IF(VLOOKUP(TabVMEnv[VM],TabOceanet[],16,FALSE) = "Tarif_VM",1,0)/TabVMEnv[[#This Row],[Mutualisé]]</f>
        <v>0.1</v>
      </c>
      <c r="L43">
        <f>IF(VLOOKUP(TabVMEnv[VM],TabOceanet[],9,FALSE) = "PoweredOn",1,0)</f>
        <v>1</v>
      </c>
      <c r="M43">
        <f>TabVMEnv[[#This Row],[IsVMPoweredOn]]*VLOOKUP(TabVMEnv[VM],TabOceanet[],3,FALSE)/TabVMEnv[[#This Row],[Mutualisé]]</f>
        <v>0.8</v>
      </c>
      <c r="N43">
        <f>VLOOKUP(TabVMEnv[VM],TabOceanet[],4,FALSE)/TabVMEnv[[#This Row],[Mutualisé]]</f>
        <v>12</v>
      </c>
      <c r="O43">
        <f>IF(LEFT(VLOOKUP(TabVMEnv[VM],TabOceanet[],5,FALSE),3)="win",1,0)</f>
        <v>0</v>
      </c>
      <c r="P43"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43" t="str">
        <f>VLOOKUP(TabVMEnv[EnvProjet],TabEnvProjet[],4,FALSE)</f>
        <v>ONEMA/TMADCUA-15</v>
      </c>
      <c r="R43" s="5" t="str">
        <f>VLOOKUP(TabVMEnv[[#This Row],[SYGES]],TabContrat[],2,FALSE)</f>
        <v>ONEMA</v>
      </c>
      <c r="S43" s="5" t="str">
        <f>IF(VLOOKUP(TabVMEnv[[#This Row],[VM]],TabOceanet[],1,FALSE) = "","Disparue","")</f>
        <v/>
      </c>
      <c r="T43" s="25">
        <f>VLOOKUP(TabVMEnv[[#This Row],[VM]],TabOceanet[],36,FALSE)/TabVMEnv[[#This Row],[Mutualisé]]</f>
        <v>4.0400000000000009</v>
      </c>
      <c r="U43" s="25">
        <f>IF(TabVMEnv[[#This Row],[CostCenter]]="CostCenterDI",0,TabVMEnv[[#This Row],[CoutGlobal]])</f>
        <v>4.0400000000000009</v>
      </c>
      <c r="V43" s="25">
        <f>TabVMEnv[[#This Row],[CoutGlobalSansCostCenterDI]]/TabVMEnv[[#Totals],[CoutGlobalSansCostCenterDI]]*(GlobalARepartirSansMS+GlobalARepartirMSOnly+GlobalARepartirInfraReseau)</f>
        <v>7.0516464572593893</v>
      </c>
      <c r="W43" s="25">
        <f>TabVMEnv[[#This Row],[CoutGlobalSansCostCenterDI]]+TabVMEnv[[#This Row],[CoutGlobalSupplementaire]]</f>
        <v>11.09164645725939</v>
      </c>
      <c r="X43" s="5" t="str">
        <f>VLOOKUP(TabVMEnv[[#This Row],[EnvProjet]],TabEnvProjet[],2,FALSE) &amp; " - " &amp; IFERROR(VLOOKUP(TabVMEnv[[#This Row],[EnvProjet]],TabEnvProjet[],4,FALSE),"INCONNU") &amp; " - " &amp; IFERROR(VLOOKUP(TabVMEnv[[#This Row],[EnvProjet]],TabEnvProjet[],5,FALSE),"INCONNU")</f>
        <v>AFB-Patbiodiv - ONEMA/TMADCUA-15 - Rodolphe Habegger</v>
      </c>
      <c r="Y43" s="5" t="str">
        <f>VLOOKUP(TabVMEnv[EnvProjet],TabEnvProjet[],5,FALSE)</f>
        <v>Rodolphe Habegger</v>
      </c>
      <c r="Z43" s="5">
        <f>VLOOKUP(TabVMEnv[EnvProjet],TabEnvProjet[],6,FALSE)</f>
        <v>305704</v>
      </c>
      <c r="AA43" s="5" t="str">
        <f>VLOOKUP(TabVMEnv[[#This Row],[EnvProjet]],TabEnvProjet[],3,FALSE)</f>
        <v>RECETTE</v>
      </c>
      <c r="AB43" s="5">
        <f>COUNTIF(TabVMEnv[VM],TabVMEnv[VM])</f>
        <v>10</v>
      </c>
    </row>
    <row r="44" spans="1:28" x14ac:dyDescent="0.25">
      <c r="A44" s="24" t="s">
        <v>202</v>
      </c>
      <c r="B44" t="s">
        <v>317</v>
      </c>
      <c r="E44" s="13"/>
      <c r="F44">
        <f>IF(VLOOKUP(TabVMEnv[VM],TabOceanet[],16,FALSE) = "Tarif_VM",IF(VLOOKUP(TabVMEnv[VM],TabOceanet[],2,FALSE)&lt;4,4,VLOOKUP(TabVMEnv[VM],TabOceanet[],2,FALSE)),0)</f>
        <v>16</v>
      </c>
      <c r="G44">
        <v>0</v>
      </c>
      <c r="H44">
        <v>0</v>
      </c>
      <c r="I44">
        <v>0</v>
      </c>
      <c r="J44">
        <v>0</v>
      </c>
      <c r="K44">
        <f>IF(VLOOKUP(TabVMEnv[VM],TabOceanet[],16,FALSE) = "Tarif_VM",1,0)/TabVMEnv[[#This Row],[Mutualisé]]</f>
        <v>0.1</v>
      </c>
      <c r="L44">
        <f>IF(VLOOKUP(TabVMEnv[VM],TabOceanet[],9,FALSE) = "PoweredOn",1,0)</f>
        <v>1</v>
      </c>
      <c r="M44">
        <f>TabVMEnv[[#This Row],[IsVMPoweredOn]]*VLOOKUP(TabVMEnv[VM],TabOceanet[],3,FALSE)/TabVMEnv[[#This Row],[Mutualisé]]</f>
        <v>0.8</v>
      </c>
      <c r="N44">
        <f>VLOOKUP(TabVMEnv[VM],TabOceanet[],4,FALSE)/TabVMEnv[[#This Row],[Mutualisé]]</f>
        <v>12</v>
      </c>
      <c r="O44">
        <f>IF(LEFT(VLOOKUP(TabVMEnv[VM],TabOceanet[],5,FALSE),3)="win",1,0)</f>
        <v>0</v>
      </c>
      <c r="P44"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44" t="str">
        <f>VLOOKUP(TabVMEnv[EnvProjet],TabEnvProjet[],4,FALSE)</f>
        <v>ONEMA/TMADCUA-15</v>
      </c>
      <c r="R44" s="5" t="str">
        <f>VLOOKUP(TabVMEnv[[#This Row],[SYGES]],TabContrat[],2,FALSE)</f>
        <v>ONEMA</v>
      </c>
      <c r="S44" s="5" t="str">
        <f>IF(VLOOKUP(TabVMEnv[[#This Row],[VM]],TabOceanet[],1,FALSE) = "","Disparue","")</f>
        <v/>
      </c>
      <c r="T44" s="25">
        <f>VLOOKUP(TabVMEnv[[#This Row],[VM]],TabOceanet[],36,FALSE)/TabVMEnv[[#This Row],[Mutualisé]]</f>
        <v>4.0400000000000009</v>
      </c>
      <c r="U44" s="25">
        <f>IF(TabVMEnv[[#This Row],[CostCenter]]="CostCenterDI",0,TabVMEnv[[#This Row],[CoutGlobal]])</f>
        <v>4.0400000000000009</v>
      </c>
      <c r="V44" s="25">
        <f>TabVMEnv[[#This Row],[CoutGlobalSansCostCenterDI]]/TabVMEnv[[#Totals],[CoutGlobalSansCostCenterDI]]*(GlobalARepartirSansMS+GlobalARepartirMSOnly+GlobalARepartirInfraReseau)</f>
        <v>7.0516464572593893</v>
      </c>
      <c r="W44" s="25">
        <f>TabVMEnv[[#This Row],[CoutGlobalSansCostCenterDI]]+TabVMEnv[[#This Row],[CoutGlobalSupplementaire]]</f>
        <v>11.09164645725939</v>
      </c>
      <c r="X44" s="5" t="str">
        <f>VLOOKUP(TabVMEnv[[#This Row],[EnvProjet]],TabEnvProjet[],2,FALSE) &amp; " - " &amp; IFERROR(VLOOKUP(TabVMEnv[[#This Row],[EnvProjet]],TabEnvProjet[],4,FALSE),"INCONNU") &amp; " - " &amp; IFERROR(VLOOKUP(TabVMEnv[[#This Row],[EnvProjet]],TabEnvProjet[],5,FALSE),"INCONNU")</f>
        <v>AFB-SIFLORE - ONEMA/TMADCUA-15 - Pierre BOURLIEUX</v>
      </c>
      <c r="Y44" s="5" t="str">
        <f>VLOOKUP(TabVMEnv[EnvProjet],TabEnvProjet[],5,FALSE)</f>
        <v>Pierre BOURLIEUX</v>
      </c>
      <c r="Z44" s="5">
        <f>VLOOKUP(TabVMEnv[EnvProjet],TabEnvProjet[],6,FALSE)</f>
        <v>305704</v>
      </c>
      <c r="AA44" s="5" t="str">
        <f>VLOOKUP(TabVMEnv[[#This Row],[EnvProjet]],TabEnvProjet[],3,FALSE)</f>
        <v>RECETTE</v>
      </c>
      <c r="AB44" s="5">
        <f>COUNTIF(TabVMEnv[VM],TabVMEnv[VM])</f>
        <v>10</v>
      </c>
    </row>
    <row r="45" spans="1:28" x14ac:dyDescent="0.25">
      <c r="A45" s="24" t="s">
        <v>202</v>
      </c>
      <c r="B45" t="s">
        <v>314</v>
      </c>
      <c r="E45" s="13"/>
      <c r="F45">
        <f>IF(VLOOKUP(TabVMEnv[VM],TabOceanet[],16,FALSE) = "Tarif_VM",IF(VLOOKUP(TabVMEnv[VM],TabOceanet[],2,FALSE)&lt;4,4,VLOOKUP(TabVMEnv[VM],TabOceanet[],2,FALSE)),0)</f>
        <v>16</v>
      </c>
      <c r="G45">
        <v>0</v>
      </c>
      <c r="H45">
        <v>0</v>
      </c>
      <c r="I45">
        <v>0</v>
      </c>
      <c r="J45">
        <v>0</v>
      </c>
      <c r="K45">
        <f>IF(VLOOKUP(TabVMEnv[VM],TabOceanet[],16,FALSE) = "Tarif_VM",1,0)/TabVMEnv[[#This Row],[Mutualisé]]</f>
        <v>0.1</v>
      </c>
      <c r="L45">
        <f>IF(VLOOKUP(TabVMEnv[VM],TabOceanet[],9,FALSE) = "PoweredOn",1,0)</f>
        <v>1</v>
      </c>
      <c r="M45">
        <f>TabVMEnv[[#This Row],[IsVMPoweredOn]]*VLOOKUP(TabVMEnv[VM],TabOceanet[],3,FALSE)/TabVMEnv[[#This Row],[Mutualisé]]</f>
        <v>0.8</v>
      </c>
      <c r="N45">
        <f>VLOOKUP(TabVMEnv[VM],TabOceanet[],4,FALSE)/TabVMEnv[[#This Row],[Mutualisé]]</f>
        <v>12</v>
      </c>
      <c r="O45">
        <f>IF(LEFT(VLOOKUP(TabVMEnv[VM],TabOceanet[],5,FALSE),3)="win",1,0)</f>
        <v>0</v>
      </c>
      <c r="P45"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45" t="str">
        <f>VLOOKUP(TabVMEnv[EnvProjet],TabEnvProjet[],4,FALSE)</f>
        <v>ONEMA/TMADCUA-15</v>
      </c>
      <c r="R45" s="5" t="str">
        <f>VLOOKUP(TabVMEnv[[#This Row],[SYGES]],TabContrat[],2,FALSE)</f>
        <v>ONEMA</v>
      </c>
      <c r="S45" s="5" t="str">
        <f>IF(VLOOKUP(TabVMEnv[[#This Row],[VM]],TabOceanet[],1,FALSE) = "","Disparue","")</f>
        <v/>
      </c>
      <c r="T45" s="25">
        <f>VLOOKUP(TabVMEnv[[#This Row],[VM]],TabOceanet[],36,FALSE)/TabVMEnv[[#This Row],[Mutualisé]]</f>
        <v>4.0400000000000009</v>
      </c>
      <c r="U45" s="25">
        <f>IF(TabVMEnv[[#This Row],[CostCenter]]="CostCenterDI",0,TabVMEnv[[#This Row],[CoutGlobal]])</f>
        <v>4.0400000000000009</v>
      </c>
      <c r="V45" s="25">
        <f>TabVMEnv[[#This Row],[CoutGlobalSansCostCenterDI]]/TabVMEnv[[#Totals],[CoutGlobalSansCostCenterDI]]*(GlobalARepartirSansMS+GlobalARepartirMSOnly+GlobalARepartirInfraReseau)</f>
        <v>7.0516464572593893</v>
      </c>
      <c r="W45" s="25">
        <f>TabVMEnv[[#This Row],[CoutGlobalSansCostCenterDI]]+TabVMEnv[[#This Row],[CoutGlobalSupplementaire]]</f>
        <v>11.09164645725939</v>
      </c>
      <c r="X45" s="5" t="str">
        <f>VLOOKUP(TabVMEnv[[#This Row],[EnvProjet]],TabEnvProjet[],2,FALSE) &amp; " - " &amp; IFERROR(VLOOKUP(TabVMEnv[[#This Row],[EnvProjet]],TabEnvProjet[],4,FALSE),"INCONNU") &amp; " - " &amp; IFERROR(VLOOKUP(TabVMEnv[[#This Row],[EnvProjet]],TabEnvProjet[],5,FALSE),"INCONNU")</f>
        <v>AFB-SISPEA - ONEMA/TMADCUA-15 - Pierre BOURLIEUX</v>
      </c>
      <c r="Y45" s="5" t="str">
        <f>VLOOKUP(TabVMEnv[EnvProjet],TabEnvProjet[],5,FALSE)</f>
        <v>Pierre BOURLIEUX</v>
      </c>
      <c r="Z45" s="5">
        <f>VLOOKUP(TabVMEnv[EnvProjet],TabEnvProjet[],6,FALSE)</f>
        <v>305704</v>
      </c>
      <c r="AA45" s="5" t="str">
        <f>VLOOKUP(TabVMEnv[[#This Row],[EnvProjet]],TabEnvProjet[],3,FALSE)</f>
        <v>RECETTE</v>
      </c>
      <c r="AB45" s="5">
        <f>COUNTIF(TabVMEnv[VM],TabVMEnv[VM])</f>
        <v>10</v>
      </c>
    </row>
    <row r="46" spans="1:28" x14ac:dyDescent="0.25">
      <c r="A46" s="24" t="s">
        <v>202</v>
      </c>
      <c r="B46" t="s">
        <v>307</v>
      </c>
      <c r="E46" s="13"/>
      <c r="F46">
        <f>IF(VLOOKUP(TabVMEnv[VM],TabOceanet[],16,FALSE) = "Tarif_VM",IF(VLOOKUP(TabVMEnv[VM],TabOceanet[],2,FALSE)&lt;4,4,VLOOKUP(TabVMEnv[VM],TabOceanet[],2,FALSE)),0)</f>
        <v>16</v>
      </c>
      <c r="G46">
        <v>0</v>
      </c>
      <c r="H46">
        <v>0</v>
      </c>
      <c r="I46">
        <v>0</v>
      </c>
      <c r="J46">
        <v>0</v>
      </c>
      <c r="K46">
        <f>IF(VLOOKUP(TabVMEnv[VM],TabOceanet[],16,FALSE) = "Tarif_VM",1,0)/TabVMEnv[[#This Row],[Mutualisé]]</f>
        <v>0.1</v>
      </c>
      <c r="L46">
        <f>IF(VLOOKUP(TabVMEnv[VM],TabOceanet[],9,FALSE) = "PoweredOn",1,0)</f>
        <v>1</v>
      </c>
      <c r="M46">
        <f>TabVMEnv[[#This Row],[IsVMPoweredOn]]*VLOOKUP(TabVMEnv[VM],TabOceanet[],3,FALSE)/TabVMEnv[[#This Row],[Mutualisé]]</f>
        <v>0.8</v>
      </c>
      <c r="N46">
        <f>VLOOKUP(TabVMEnv[VM],TabOceanet[],4,FALSE)/TabVMEnv[[#This Row],[Mutualisé]]</f>
        <v>12</v>
      </c>
      <c r="O46">
        <f>IF(LEFT(VLOOKUP(TabVMEnv[VM],TabOceanet[],5,FALSE),3)="win",1,0)</f>
        <v>0</v>
      </c>
      <c r="P46"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46" t="str">
        <f>VLOOKUP(TabVMEnv[EnvProjet],TabEnvProjet[],4,FALSE)</f>
        <v>MENESR/TMA</v>
      </c>
      <c r="R46" s="5" t="str">
        <f>VLOOKUP(TabVMEnv[[#This Row],[SYGES]],TabContrat[],2,FALSE)</f>
        <v>MENESR</v>
      </c>
      <c r="S46" s="5" t="str">
        <f>IF(VLOOKUP(TabVMEnv[[#This Row],[VM]],TabOceanet[],1,FALSE) = "","Disparue","")</f>
        <v/>
      </c>
      <c r="T46" s="25">
        <f>VLOOKUP(TabVMEnv[[#This Row],[VM]],TabOceanet[],36,FALSE)/TabVMEnv[[#This Row],[Mutualisé]]</f>
        <v>4.0400000000000009</v>
      </c>
      <c r="U46" s="25">
        <f>IF(TabVMEnv[[#This Row],[CostCenter]]="CostCenterDI",0,TabVMEnv[[#This Row],[CoutGlobal]])</f>
        <v>4.0400000000000009</v>
      </c>
      <c r="V46" s="25">
        <f>TabVMEnv[[#This Row],[CoutGlobalSansCostCenterDI]]/TabVMEnv[[#Totals],[CoutGlobalSansCostCenterDI]]*(GlobalARepartirSansMS+GlobalARepartirMSOnly+GlobalARepartirInfraReseau)</f>
        <v>7.0516464572593893</v>
      </c>
      <c r="W46" s="25">
        <f>TabVMEnv[[#This Row],[CoutGlobalSansCostCenterDI]]+TabVMEnv[[#This Row],[CoutGlobalSupplementaire]]</f>
        <v>11.09164645725939</v>
      </c>
      <c r="X46" s="5" t="str">
        <f>VLOOKUP(TabVMEnv[[#This Row],[EnvProjet]],TabEnvProjet[],2,FALSE) &amp; " - " &amp; IFERROR(VLOOKUP(TabVMEnv[[#This Row],[EnvProjet]],TabEnvProjet[],4,FALSE),"INCONNU") &amp; " - " &amp; IFERROR(VLOOKUP(TabVMEnv[[#This Row],[EnvProjet]],TabEnvProjet[],5,FALSE),"INCONNU")</f>
        <v>MENESR-APAE - MENESR/TMA - Pierre BOURLIEUX</v>
      </c>
      <c r="Y46" s="5" t="str">
        <f>VLOOKUP(TabVMEnv[EnvProjet],TabEnvProjet[],5,FALSE)</f>
        <v>Pierre BOURLIEUX</v>
      </c>
      <c r="Z46" s="5">
        <f>VLOOKUP(TabVMEnv[EnvProjet],TabEnvProjet[],6,FALSE)</f>
        <v>305704</v>
      </c>
      <c r="AA46" s="5" t="str">
        <f>VLOOKUP(TabVMEnv[[#This Row],[EnvProjet]],TabEnvProjet[],3,FALSE)</f>
        <v>RECETTE</v>
      </c>
      <c r="AB46" s="5">
        <f>COUNTIF(TabVMEnv[VM],TabVMEnv[VM])</f>
        <v>10</v>
      </c>
    </row>
    <row r="47" spans="1:28" x14ac:dyDescent="0.25">
      <c r="A47" s="24" t="s">
        <v>202</v>
      </c>
      <c r="B47" t="s">
        <v>318</v>
      </c>
      <c r="E47" s="13"/>
      <c r="F47">
        <f>IF(VLOOKUP(TabVMEnv[VM],TabOceanet[],16,FALSE) = "Tarif_VM",IF(VLOOKUP(TabVMEnv[VM],TabOceanet[],2,FALSE)&lt;4,4,VLOOKUP(TabVMEnv[VM],TabOceanet[],2,FALSE)),0)</f>
        <v>16</v>
      </c>
      <c r="G47">
        <v>0</v>
      </c>
      <c r="H47">
        <v>0</v>
      </c>
      <c r="I47">
        <v>0</v>
      </c>
      <c r="J47">
        <v>0</v>
      </c>
      <c r="K47">
        <f>IF(VLOOKUP(TabVMEnv[VM],TabOceanet[],16,FALSE) = "Tarif_VM",1,0)/TabVMEnv[[#This Row],[Mutualisé]]</f>
        <v>0.1</v>
      </c>
      <c r="L47">
        <f>IF(VLOOKUP(TabVMEnv[VM],TabOceanet[],9,FALSE) = "PoweredOn",1,0)</f>
        <v>1</v>
      </c>
      <c r="M47">
        <f>TabVMEnv[[#This Row],[IsVMPoweredOn]]*VLOOKUP(TabVMEnv[VM],TabOceanet[],3,FALSE)/TabVMEnv[[#This Row],[Mutualisé]]</f>
        <v>0.8</v>
      </c>
      <c r="N47">
        <f>VLOOKUP(TabVMEnv[VM],TabOceanet[],4,FALSE)/TabVMEnv[[#This Row],[Mutualisé]]</f>
        <v>12</v>
      </c>
      <c r="O47">
        <f>IF(LEFT(VLOOKUP(TabVMEnv[VM],TabOceanet[],5,FALSE),3)="win",1,0)</f>
        <v>0</v>
      </c>
      <c r="P47"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47" t="str">
        <f>VLOOKUP(TabVMEnv[EnvProjet],TabEnvProjet[],4,FALSE)</f>
        <v>MENESR/TMA</v>
      </c>
      <c r="R47" s="5" t="str">
        <f>VLOOKUP(TabVMEnv[[#This Row],[SYGES]],TabContrat[],2,FALSE)</f>
        <v>MENESR</v>
      </c>
      <c r="S47" s="5" t="str">
        <f>IF(VLOOKUP(TabVMEnv[[#This Row],[VM]],TabOceanet[],1,FALSE) = "","Disparue","")</f>
        <v/>
      </c>
      <c r="T47" s="25">
        <f>VLOOKUP(TabVMEnv[[#This Row],[VM]],TabOceanet[],36,FALSE)/TabVMEnv[[#This Row],[Mutualisé]]</f>
        <v>4.0400000000000009</v>
      </c>
      <c r="U47" s="25">
        <f>IF(TabVMEnv[[#This Row],[CostCenter]]="CostCenterDI",0,TabVMEnv[[#This Row],[CoutGlobal]])</f>
        <v>4.0400000000000009</v>
      </c>
      <c r="V47" s="25">
        <f>TabVMEnv[[#This Row],[CoutGlobalSansCostCenterDI]]/TabVMEnv[[#Totals],[CoutGlobalSansCostCenterDI]]*(GlobalARepartirSansMS+GlobalARepartirMSOnly+GlobalARepartirInfraReseau)</f>
        <v>7.0516464572593893</v>
      </c>
      <c r="W47" s="25">
        <f>TabVMEnv[[#This Row],[CoutGlobalSansCostCenterDI]]+TabVMEnv[[#This Row],[CoutGlobalSupplementaire]]</f>
        <v>11.09164645725939</v>
      </c>
      <c r="X47" s="5" t="str">
        <f>VLOOKUP(TabVMEnv[[#This Row],[EnvProjet]],TabEnvProjet[],2,FALSE) &amp; " - " &amp; IFERROR(VLOOKUP(TabVMEnv[[#This Row],[EnvProjet]],TabEnvProjet[],4,FALSE),"INCONNU") &amp; " - " &amp; IFERROR(VLOOKUP(TabVMEnv[[#This Row],[EnvProjet]],TabEnvProjet[],5,FALSE),"INCONNU")</f>
        <v>MENESR-INES - MENESR/TMA - Pierre BOURLIEUX</v>
      </c>
      <c r="Y47" s="5" t="str">
        <f>VLOOKUP(TabVMEnv[EnvProjet],TabEnvProjet[],5,FALSE)</f>
        <v>Pierre BOURLIEUX</v>
      </c>
      <c r="Z47" s="5">
        <f>VLOOKUP(TabVMEnv[EnvProjet],TabEnvProjet[],6,FALSE)</f>
        <v>305704</v>
      </c>
      <c r="AA47" s="5" t="str">
        <f>VLOOKUP(TabVMEnv[[#This Row],[EnvProjet]],TabEnvProjet[],3,FALSE)</f>
        <v>RECETTE</v>
      </c>
      <c r="AB47" s="5">
        <f>COUNTIF(TabVMEnv[VM],TabVMEnv[VM])</f>
        <v>10</v>
      </c>
    </row>
    <row r="48" spans="1:28" x14ac:dyDescent="0.25">
      <c r="A48" s="24" t="s">
        <v>202</v>
      </c>
      <c r="B48" t="s">
        <v>1277</v>
      </c>
      <c r="E48" s="13"/>
      <c r="F48" s="5">
        <f>IF(VLOOKUP(TabVMEnv[VM],TabOceanet[],16,FALSE) = "Tarif_VM",IF(VLOOKUP(TabVMEnv[VM],TabOceanet[],2,FALSE)&lt;4,4,VLOOKUP(TabVMEnv[VM],TabOceanet[],2,FALSE)),0)</f>
        <v>16</v>
      </c>
      <c r="G48">
        <v>0</v>
      </c>
      <c r="H48">
        <v>0</v>
      </c>
      <c r="I48">
        <v>0</v>
      </c>
      <c r="J48">
        <v>0</v>
      </c>
      <c r="K48" s="5">
        <f>IF(VLOOKUP(TabVMEnv[VM],TabOceanet[],16,FALSE) = "Tarif_VM",1,0)/TabVMEnv[[#This Row],[Mutualisé]]</f>
        <v>0.1</v>
      </c>
      <c r="L48" s="5">
        <f>IF(VLOOKUP(TabVMEnv[VM],TabOceanet[],9,FALSE) = "PoweredOn",1,0)</f>
        <v>1</v>
      </c>
      <c r="M48" s="5">
        <f>TabVMEnv[[#This Row],[IsVMPoweredOn]]*VLOOKUP(TabVMEnv[VM],TabOceanet[],3,FALSE)/TabVMEnv[[#This Row],[Mutualisé]]</f>
        <v>0.8</v>
      </c>
      <c r="N48" s="5">
        <f>VLOOKUP(TabVMEnv[VM],TabOceanet[],4,FALSE)/TabVMEnv[[#This Row],[Mutualisé]]</f>
        <v>12</v>
      </c>
      <c r="O48" s="5">
        <f>IF(LEFT(VLOOKUP(TabVMEnv[VM],TabOceanet[],5,FALSE),3)="win",1,0)</f>
        <v>0</v>
      </c>
      <c r="P48"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48" t="str">
        <f>VLOOKUP(TabVMEnv[EnvProjet],TabEnvProjet[],4,FALSE)</f>
        <v>PCM-WEB</v>
      </c>
      <c r="R48" s="5" t="str">
        <f>VLOOKUP(TabVMEnv[[#This Row],[SYGES]],TabContrat[],2,FALSE)</f>
        <v>PCM</v>
      </c>
      <c r="S48" s="5" t="str">
        <f>IF(VLOOKUP(TabVMEnv[[#This Row],[VM]],TabOceanet[],1,FALSE) = "","Disparue","")</f>
        <v/>
      </c>
      <c r="T48" s="25">
        <f>VLOOKUP(TabVMEnv[[#This Row],[VM]],TabOceanet[],36,FALSE)/TabVMEnv[[#This Row],[Mutualisé]]</f>
        <v>4.0400000000000009</v>
      </c>
      <c r="U48" s="25">
        <f>IF(TabVMEnv[[#This Row],[CostCenter]]="CostCenterDI",0,TabVMEnv[[#This Row],[CoutGlobal]])</f>
        <v>4.0400000000000009</v>
      </c>
      <c r="V48" s="25">
        <f>TabVMEnv[[#This Row],[CoutGlobalSansCostCenterDI]]/TabVMEnv[[#Totals],[CoutGlobalSansCostCenterDI]]*(GlobalARepartirSansMS+GlobalARepartirMSOnly+GlobalARepartirInfraReseau)</f>
        <v>7.0516464572593893</v>
      </c>
      <c r="W48" s="25">
        <f>TabVMEnv[[#This Row],[CoutGlobalSansCostCenterDI]]+TabVMEnv[[#This Row],[CoutGlobalSupplementaire]]</f>
        <v>11.09164645725939</v>
      </c>
      <c r="X48" s="5" t="str">
        <f>VLOOKUP(TabVMEnv[[#This Row],[EnvProjet]],TabEnvProjet[],2,FALSE) &amp; " - " &amp; IFERROR(VLOOKUP(TabVMEnv[[#This Row],[EnvProjet]],TabEnvProjet[],4,FALSE),"INCONNU") &amp; " - " &amp; IFERROR(VLOOKUP(TabVMEnv[[#This Row],[EnvProjet]],TabEnvProjet[],5,FALSE),"INCONNU")</f>
        <v>PCM-ALS - PCM-WEB - Alice MARCHAL</v>
      </c>
      <c r="Y48" s="5" t="str">
        <f>VLOOKUP(TabVMEnv[EnvProjet],TabEnvProjet[],5,FALSE)</f>
        <v>Alice MARCHAL</v>
      </c>
      <c r="Z48" s="5">
        <f>VLOOKUP(TabVMEnv[EnvProjet],TabEnvProjet[],6,FALSE)</f>
        <v>305704</v>
      </c>
      <c r="AA48" s="5" t="str">
        <f>VLOOKUP(TabVMEnv[[#This Row],[EnvProjet]],TabEnvProjet[],3,FALSE)</f>
        <v>RECETTE</v>
      </c>
      <c r="AB48" s="5">
        <f>COUNTIF(TabVMEnv[VM],TabVMEnv[VM])</f>
        <v>10</v>
      </c>
    </row>
    <row r="49" spans="1:28" x14ac:dyDescent="0.25">
      <c r="A49" s="46" t="s">
        <v>205</v>
      </c>
      <c r="B49" t="s">
        <v>320</v>
      </c>
      <c r="E49" s="13"/>
      <c r="F49">
        <f>IF(VLOOKUP(TabVMEnv[VM],TabOceanet[],16,FALSE) = "Tarif_VM",IF(VLOOKUP(TabVMEnv[VM],TabOceanet[],2,FALSE)&lt;4,4,VLOOKUP(TabVMEnv[VM],TabOceanet[],2,FALSE)),0)</f>
        <v>4</v>
      </c>
      <c r="G49">
        <v>0</v>
      </c>
      <c r="H49">
        <v>0</v>
      </c>
      <c r="I49">
        <v>0</v>
      </c>
      <c r="J49">
        <v>0</v>
      </c>
      <c r="K49">
        <f>IF(VLOOKUP(TabVMEnv[VM],TabOceanet[],16,FALSE) = "Tarif_VM",1,0)/TabVMEnv[[#This Row],[Mutualisé]]</f>
        <v>1</v>
      </c>
      <c r="L49">
        <f>IF(VLOOKUP(TabVMEnv[VM],TabOceanet[],9,FALSE) = "PoweredOn",1,0)</f>
        <v>1</v>
      </c>
      <c r="M49">
        <f>TabVMEnv[[#This Row],[IsVMPoweredOn]]*VLOOKUP(TabVMEnv[VM],TabOceanet[],3,FALSE)/TabVMEnv[[#This Row],[Mutualisé]]</f>
        <v>8</v>
      </c>
      <c r="N49">
        <f>VLOOKUP(TabVMEnv[VM],TabOceanet[],4,FALSE)/TabVMEnv[[#This Row],[Mutualisé]]</f>
        <v>55</v>
      </c>
      <c r="O49">
        <f>IF(LEFT(VLOOKUP(TabVMEnv[VM],TabOceanet[],5,FALSE),3)="win",1,0)</f>
        <v>1</v>
      </c>
      <c r="P49"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49" t="str">
        <f>VLOOKUP(TabVMEnv[EnvProjet],TabEnvProjet[],4,FALSE)</f>
        <v>ONEMA/TMADCIE-15</v>
      </c>
      <c r="R49" s="5" t="str">
        <f>VLOOKUP(TabVMEnv[[#This Row],[SYGES]],TabContrat[],2,FALSE)</f>
        <v>ONEMA</v>
      </c>
      <c r="S49" s="5" t="str">
        <f>IF(VLOOKUP(TabVMEnv[[#This Row],[VM]],TabOceanet[],1,FALSE) = "","Disparue","")</f>
        <v/>
      </c>
      <c r="T49" s="25">
        <f>VLOOKUP(TabVMEnv[[#This Row],[VM]],TabOceanet[],36,FALSE)/TabVMEnv[[#This Row],[Mutualisé]]</f>
        <v>25.450000000000003</v>
      </c>
      <c r="U49" s="25">
        <f>IF(TabVMEnv[[#This Row],[CostCenter]]="CostCenterDI",0,TabVMEnv[[#This Row],[CoutGlobal]])</f>
        <v>25.450000000000003</v>
      </c>
      <c r="V49" s="25">
        <f>TabVMEnv[[#This Row],[CoutGlobalSansCostCenterDI]]/TabVMEnv[[#Totals],[CoutGlobalSansCostCenterDI]]*(GlobalARepartirSansMS+GlobalARepartirMSOnly+GlobalARepartirInfraReseau)</f>
        <v>44.421881766646393</v>
      </c>
      <c r="W49" s="25">
        <f>TabVMEnv[[#This Row],[CoutGlobalSansCostCenterDI]]+TabVMEnv[[#This Row],[CoutGlobalSupplementaire]]</f>
        <v>69.871881766646396</v>
      </c>
      <c r="X49" s="5" t="str">
        <f>VLOOKUP(TabVMEnv[[#This Row],[EnvProjet]],TabEnvProjet[],2,FALSE) &amp; " - " &amp; IFERROR(VLOOKUP(TabVMEnv[[#This Row],[EnvProjet]],TabEnvProjet[],4,FALSE),"INCONNU") &amp; " - " &amp; IFERROR(VLOOKUP(TabVMEnv[[#This Row],[EnvProjet]],TabEnvProjet[],5,FALSE),"INCONNU")</f>
        <v>ONEMA-ASPE - ONEMA/TMADCIE-15 - Christophe ORLANDO</v>
      </c>
      <c r="Y49" s="5" t="str">
        <f>VLOOKUP(TabVMEnv[EnvProjet],TabEnvProjet[],5,FALSE)</f>
        <v>Christophe ORLANDO</v>
      </c>
      <c r="Z49" s="5">
        <f>VLOOKUP(TabVMEnv[EnvProjet],TabEnvProjet[],6,FALSE)</f>
        <v>305704</v>
      </c>
      <c r="AA49" s="5" t="str">
        <f>VLOOKUP(TabVMEnv[[#This Row],[EnvProjet]],TabEnvProjet[],3,FALSE)</f>
        <v>DEV</v>
      </c>
      <c r="AB49" s="5">
        <f>COUNTIF(TabVMEnv[VM],TabVMEnv[VM])</f>
        <v>1</v>
      </c>
    </row>
    <row r="50" spans="1:28" x14ac:dyDescent="0.25">
      <c r="A50" s="24" t="s">
        <v>182</v>
      </c>
      <c r="B50" t="s">
        <v>321</v>
      </c>
      <c r="E50" s="13"/>
      <c r="F50">
        <f>IF(VLOOKUP(TabVMEnv[VM],TabOceanet[],16,FALSE) = "Tarif_VM",IF(VLOOKUP(TabVMEnv[VM],TabOceanet[],2,FALSE)&lt;4,4,VLOOKUP(TabVMEnv[VM],TabOceanet[],2,FALSE)),0)</f>
        <v>4</v>
      </c>
      <c r="G50">
        <v>0</v>
      </c>
      <c r="H50">
        <v>0</v>
      </c>
      <c r="I50">
        <v>0</v>
      </c>
      <c r="J50">
        <v>0</v>
      </c>
      <c r="K50">
        <f>IF(VLOOKUP(TabVMEnv[VM],TabOceanet[],16,FALSE) = "Tarif_VM",1,0)/TabVMEnv[[#This Row],[Mutualisé]]</f>
        <v>1</v>
      </c>
      <c r="L50">
        <f>IF(VLOOKUP(TabVMEnv[VM],TabOceanet[],9,FALSE) = "PoweredOn",1,0)</f>
        <v>1</v>
      </c>
      <c r="M50">
        <f>TabVMEnv[[#This Row],[IsVMPoweredOn]]*VLOOKUP(TabVMEnv[VM],TabOceanet[],3,FALSE)/TabVMEnv[[#This Row],[Mutualisé]]</f>
        <v>4</v>
      </c>
      <c r="N50">
        <f>VLOOKUP(TabVMEnv[VM],TabOceanet[],4,FALSE)/TabVMEnv[[#This Row],[Mutualisé]]</f>
        <v>35</v>
      </c>
      <c r="O50">
        <f>IF(LEFT(VLOOKUP(TabVMEnv[VM],TabOceanet[],5,FALSE),3)="win",1,0)</f>
        <v>0</v>
      </c>
      <c r="P50"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50" t="str">
        <f>VLOOKUP(TabVMEnv[EnvProjet],TabEnvProjet[],4,FALSE)</f>
        <v>projet interne Orléans</v>
      </c>
      <c r="R50" s="5" t="str">
        <f>VLOOKUP(TabVMEnv[[#This Row],[SYGES]],TabContrat[],2,FALSE)</f>
        <v>GFI</v>
      </c>
      <c r="S50" s="5" t="str">
        <f>IF(VLOOKUP(TabVMEnv[[#This Row],[VM]],TabOceanet[],1,FALSE) = "","Disparue","")</f>
        <v/>
      </c>
      <c r="T50" s="25">
        <f>VLOOKUP(TabVMEnv[[#This Row],[VM]],TabOceanet[],36,FALSE)/TabVMEnv[[#This Row],[Mutualisé]]</f>
        <v>14.450000000000001</v>
      </c>
      <c r="U50" s="25">
        <f>IF(TabVMEnv[[#This Row],[CostCenter]]="CostCenterDI",0,TabVMEnv[[#This Row],[CoutGlobal]])</f>
        <v>14.450000000000001</v>
      </c>
      <c r="V50" s="25">
        <f>TabVMEnv[[#This Row],[CoutGlobalSansCostCenterDI]]/TabVMEnv[[#Totals],[CoutGlobalSansCostCenterDI]]*(GlobalARepartirSansMS+GlobalARepartirMSOnly+GlobalARepartirInfraReseau)</f>
        <v>25.221854284009446</v>
      </c>
      <c r="W50" s="25">
        <f>TabVMEnv[[#This Row],[CoutGlobalSansCostCenterDI]]+TabVMEnv[[#This Row],[CoutGlobalSupplementaire]]</f>
        <v>39.671854284009449</v>
      </c>
      <c r="X50" s="5" t="str">
        <f>VLOOKUP(TabVMEnv[[#This Row],[EnvProjet]],TabEnvProjet[],2,FALSE) &amp; " - " &amp; IFERROR(VLOOKUP(TabVMEnv[[#This Row],[EnvProjet]],TabEnvProjet[],4,FALSE),"INCONNU") &amp; " - " &amp; IFERROR(VLOOKUP(TabVMEnv[[#This Row],[EnvProjet]],TabEnvProjet[],5,FALSE),"INCONNU")</f>
        <v>GFI-GFICOFFEE - projet interne Orléans - Christophe ORLANDO</v>
      </c>
      <c r="Y50" s="5" t="str">
        <f>VLOOKUP(TabVMEnv[EnvProjet],TabEnvProjet[],5,FALSE)</f>
        <v>Christophe ORLANDO</v>
      </c>
      <c r="Z50" s="5">
        <f>VLOOKUP(TabVMEnv[EnvProjet],TabEnvProjet[],6,FALSE)</f>
        <v>305704</v>
      </c>
      <c r="AA50" s="5" t="str">
        <f>VLOOKUP(TabVMEnv[[#This Row],[EnvProjet]],TabEnvProjet[],3,FALSE)</f>
        <v>DEV</v>
      </c>
      <c r="AB50" s="5">
        <f>COUNTIF(TabVMEnv[VM],TabVMEnv[VM])</f>
        <v>1</v>
      </c>
    </row>
    <row r="51" spans="1:28" x14ac:dyDescent="0.25">
      <c r="A51" t="s">
        <v>258</v>
      </c>
      <c r="B51" t="s">
        <v>322</v>
      </c>
      <c r="E51" s="13"/>
      <c r="F51">
        <f>IF(VLOOKUP(TabVMEnv[VM],TabOceanet[],16,FALSE) = "Tarif_VM",IF(VLOOKUP(TabVMEnv[VM],TabOceanet[],2,FALSE)&lt;4,4,VLOOKUP(TabVMEnv[VM],TabOceanet[],2,FALSE)),0)</f>
        <v>4</v>
      </c>
      <c r="G51">
        <v>0</v>
      </c>
      <c r="H51">
        <v>0</v>
      </c>
      <c r="I51">
        <v>0</v>
      </c>
      <c r="J51">
        <v>0</v>
      </c>
      <c r="K51">
        <f>IF(VLOOKUP(TabVMEnv[VM],TabOceanet[],16,FALSE) = "Tarif_VM",1,0)/TabVMEnv[[#This Row],[Mutualisé]]</f>
        <v>1</v>
      </c>
      <c r="L51">
        <f>IF(VLOOKUP(TabVMEnv[VM],TabOceanet[],9,FALSE) = "PoweredOn",1,0)</f>
        <v>1</v>
      </c>
      <c r="M51">
        <f>TabVMEnv[[#This Row],[IsVMPoweredOn]]*VLOOKUP(TabVMEnv[VM],TabOceanet[],3,FALSE)/TabVMEnv[[#This Row],[Mutualisé]]</f>
        <v>2</v>
      </c>
      <c r="N51">
        <f>VLOOKUP(TabVMEnv[VM],TabOceanet[],4,FALSE)/TabVMEnv[[#This Row],[Mutualisé]]</f>
        <v>40</v>
      </c>
      <c r="O51">
        <f>IF(LEFT(VLOOKUP(TabVMEnv[VM],TabOceanet[],5,FALSE),3)="win",1,0)</f>
        <v>0</v>
      </c>
      <c r="P51"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51" t="str">
        <f>VLOOKUP(TabVMEnv[EnvProjet],TabEnvProjet[],4,FALSE)</f>
        <v>STMICRO/TMA-R2R-17</v>
      </c>
      <c r="R51" s="5" t="str">
        <f>VLOOKUP(TabVMEnv[[#This Row],[SYGES]],TabContrat[],2,FALSE)</f>
        <v>STMICRO</v>
      </c>
      <c r="S51" s="5" t="str">
        <f>IF(VLOOKUP(TabVMEnv[[#This Row],[VM]],TabOceanet[],1,FALSE) = "","Disparue","")</f>
        <v/>
      </c>
      <c r="T51" s="25">
        <f>VLOOKUP(TabVMEnv[[#This Row],[VM]],TabOceanet[],36,FALSE)/TabVMEnv[[#This Row],[Mutualisé]]</f>
        <v>12.400000000000002</v>
      </c>
      <c r="U51" s="25">
        <f>IF(TabVMEnv[[#This Row],[CostCenter]]="CostCenterDI",0,TabVMEnv[[#This Row],[CoutGlobal]])</f>
        <v>12.400000000000002</v>
      </c>
      <c r="V51" s="25">
        <f>TabVMEnv[[#This Row],[CoutGlobalSansCostCenterDI]]/TabVMEnv[[#Totals],[CoutGlobalSansCostCenterDI]]*(GlobalARepartirSansMS+GlobalARepartirMSOnly+GlobalARepartirInfraReseau)</f>
        <v>21.64366734406347</v>
      </c>
      <c r="W51" s="25">
        <f>TabVMEnv[[#This Row],[CoutGlobalSansCostCenterDI]]+TabVMEnv[[#This Row],[CoutGlobalSupplementaire]]</f>
        <v>34.043667344063472</v>
      </c>
      <c r="X51" s="5" t="str">
        <f>VLOOKUP(TabVMEnv[[#This Row],[EnvProjet]],TabEnvProjet[],2,FALSE) &amp; " - " &amp; IFERROR(VLOOKUP(TabVMEnv[[#This Row],[EnvProjet]],TabEnvProjet[],4,FALSE),"INCONNU") &amp; " - " &amp; IFERROR(VLOOKUP(TabVMEnv[[#This Row],[EnvProjet]],TabEnvProjet[],5,FALSE),"INCONNU")</f>
        <v>STMICRO-RUN2RUN - STMICRO/TMA-R2R-17 - Jean-Philippe STROIAZZO</v>
      </c>
      <c r="Y51" s="5" t="str">
        <f>VLOOKUP(TabVMEnv[EnvProjet],TabEnvProjet[],5,FALSE)</f>
        <v>Jean-Philippe STROIAZZO</v>
      </c>
      <c r="Z51" s="5">
        <f>VLOOKUP(TabVMEnv[EnvProjet],TabEnvProjet[],6,FALSE)</f>
        <v>305704</v>
      </c>
      <c r="AA51" s="5" t="str">
        <f>VLOOKUP(TabVMEnv[[#This Row],[EnvProjet]],TabEnvProjet[],3,FALSE)</f>
        <v>DEV</v>
      </c>
      <c r="AB51" s="5">
        <f>COUNTIF(TabVMEnv[VM],TabVMEnv[VM])</f>
        <v>1</v>
      </c>
    </row>
    <row r="52" spans="1:28" x14ac:dyDescent="0.25">
      <c r="A52" t="s">
        <v>256</v>
      </c>
      <c r="B52" t="s">
        <v>323</v>
      </c>
      <c r="E52" s="13"/>
      <c r="F52">
        <f>IF(VLOOKUP(TabVMEnv[VM],TabOceanet[],16,FALSE) = "Tarif_VM",IF(VLOOKUP(TabVMEnv[VM],TabOceanet[],2,FALSE)&lt;4,4,VLOOKUP(TabVMEnv[VM],TabOceanet[],2,FALSE)),0)</f>
        <v>4</v>
      </c>
      <c r="G52">
        <v>0</v>
      </c>
      <c r="H52">
        <v>0</v>
      </c>
      <c r="I52">
        <v>0</v>
      </c>
      <c r="J52">
        <v>0</v>
      </c>
      <c r="K52">
        <f>IF(VLOOKUP(TabVMEnv[VM],TabOceanet[],16,FALSE) = "Tarif_VM",1,0)/TabVMEnv[[#This Row],[Mutualisé]]</f>
        <v>1</v>
      </c>
      <c r="L52">
        <f>IF(VLOOKUP(TabVMEnv[VM],TabOceanet[],9,FALSE) = "PoweredOn",1,0)</f>
        <v>1</v>
      </c>
      <c r="M52">
        <f>TabVMEnv[[#This Row],[IsVMPoweredOn]]*VLOOKUP(TabVMEnv[VM],TabOceanet[],3,FALSE)/TabVMEnv[[#This Row],[Mutualisé]]</f>
        <v>2</v>
      </c>
      <c r="N52">
        <f>VLOOKUP(TabVMEnv[VM],TabOceanet[],4,FALSE)/TabVMEnv[[#This Row],[Mutualisé]]</f>
        <v>20</v>
      </c>
      <c r="O52">
        <f>IF(LEFT(VLOOKUP(TabVMEnv[VM],TabOceanet[],5,FALSE),3)="win",1,0)</f>
        <v>0</v>
      </c>
      <c r="P52"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52" t="str">
        <f>VLOOKUP(TabVMEnv[EnvProjet],TabEnvProjet[],4,FALSE)</f>
        <v>STMICRO/TMASI</v>
      </c>
      <c r="R52" s="5" t="str">
        <f>VLOOKUP(TabVMEnv[[#This Row],[SYGES]],TabContrat[],2,FALSE)</f>
        <v>STMICRO</v>
      </c>
      <c r="S52" s="5" t="str">
        <f>IF(VLOOKUP(TabVMEnv[[#This Row],[VM]],TabOceanet[],1,FALSE) = "","Disparue","")</f>
        <v/>
      </c>
      <c r="T52" s="25">
        <f>VLOOKUP(TabVMEnv[[#This Row],[VM]],TabOceanet[],36,FALSE)/TabVMEnv[[#This Row],[Mutualisé]]</f>
        <v>7.8000000000000007</v>
      </c>
      <c r="U52" s="25">
        <f>IF(TabVMEnv[[#This Row],[CostCenter]]="CostCenterDI",0,TabVMEnv[[#This Row],[CoutGlobal]])</f>
        <v>7.8000000000000007</v>
      </c>
      <c r="V52" s="25">
        <f>TabVMEnv[[#This Row],[CoutGlobalSansCostCenterDI]]/TabVMEnv[[#Totals],[CoutGlobalSansCostCenterDI]]*(GlobalARepartirSansMS+GlobalARepartirMSOnly+GlobalARepartirInfraReseau)</f>
        <v>13.614564942233473</v>
      </c>
      <c r="W52" s="25">
        <f>TabVMEnv[[#This Row],[CoutGlobalSansCostCenterDI]]+TabVMEnv[[#This Row],[CoutGlobalSupplementaire]]</f>
        <v>21.414564942233476</v>
      </c>
      <c r="X52" s="5" t="str">
        <f>VLOOKUP(TabVMEnv[[#This Row],[EnvProjet]],TabEnvProjet[],2,FALSE) &amp; " - " &amp; IFERROR(VLOOKUP(TabVMEnv[[#This Row],[EnvProjet]],TabEnvProjet[],4,FALSE),"INCONNU") &amp; " - " &amp; IFERROR(VLOOKUP(TabVMEnv[[#This Row],[EnvProjet]],TabEnvProjet[],5,FALSE),"INCONNU")</f>
        <v>STMICRO-STARK - STMICRO/TMASI - Jean-Philippe STROIAZZO</v>
      </c>
      <c r="Y52" s="5" t="str">
        <f>VLOOKUP(TabVMEnv[EnvProjet],TabEnvProjet[],5,FALSE)</f>
        <v>Jean-Philippe STROIAZZO</v>
      </c>
      <c r="Z52" s="5">
        <f>VLOOKUP(TabVMEnv[EnvProjet],TabEnvProjet[],6,FALSE)</f>
        <v>305704</v>
      </c>
      <c r="AA52" s="5" t="str">
        <f>VLOOKUP(TabVMEnv[[#This Row],[EnvProjet]],TabEnvProjet[],3,FALSE)</f>
        <v>DEV</v>
      </c>
      <c r="AB52" s="5">
        <f>COUNTIF(TabVMEnv[VM],TabVMEnv[VM])</f>
        <v>1</v>
      </c>
    </row>
    <row r="53" spans="1:28" x14ac:dyDescent="0.25">
      <c r="A53" t="s">
        <v>204</v>
      </c>
      <c r="B53" t="s">
        <v>313</v>
      </c>
      <c r="E53" s="13"/>
      <c r="F53">
        <f>IF(VLOOKUP(TabVMEnv[VM],TabOceanet[],16,FALSE) = "Tarif_VM",IF(VLOOKUP(TabVMEnv[VM],TabOceanet[],2,FALSE)&lt;4,4,VLOOKUP(TabVMEnv[VM],TabOceanet[],2,FALSE)),0)</f>
        <v>4</v>
      </c>
      <c r="G53">
        <v>0</v>
      </c>
      <c r="H53">
        <v>0</v>
      </c>
      <c r="I53">
        <v>0</v>
      </c>
      <c r="J53">
        <v>0</v>
      </c>
      <c r="K53">
        <f>IF(VLOOKUP(TabVMEnv[VM],TabOceanet[],16,FALSE) = "Tarif_VM",1,0)/TabVMEnv[[#This Row],[Mutualisé]]</f>
        <v>1</v>
      </c>
      <c r="L53">
        <f>IF(VLOOKUP(TabVMEnv[VM],TabOceanet[],9,FALSE) = "PoweredOn",1,0)</f>
        <v>1</v>
      </c>
      <c r="M53">
        <f>TabVMEnv[[#This Row],[IsVMPoweredOn]]*VLOOKUP(TabVMEnv[VM],TabOceanet[],3,FALSE)/TabVMEnv[[#This Row],[Mutualisé]]</f>
        <v>6</v>
      </c>
      <c r="N53">
        <f>VLOOKUP(TabVMEnv[VM],TabOceanet[],4,FALSE)/TabVMEnv[[#This Row],[Mutualisé]]</f>
        <v>42</v>
      </c>
      <c r="O53">
        <f>IF(LEFT(VLOOKUP(TabVMEnv[VM],TabOceanet[],5,FALSE),3)="win",1,0)</f>
        <v>0</v>
      </c>
      <c r="P53"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53" t="str">
        <f>VLOOKUP(TabVMEnv[EnvProjet],TabEnvProjet[],4,FALSE)</f>
        <v>ONEMA/TMADCUA-15</v>
      </c>
      <c r="R53" s="5" t="str">
        <f>VLOOKUP(TabVMEnv[[#This Row],[SYGES]],TabContrat[],2,FALSE)</f>
        <v>ONEMA</v>
      </c>
      <c r="S53" s="5" t="str">
        <f>IF(VLOOKUP(TabVMEnv[[#This Row],[VM]],TabOceanet[],1,FALSE) = "","Disparue","")</f>
        <v/>
      </c>
      <c r="T53" s="25">
        <f>VLOOKUP(TabVMEnv[[#This Row],[VM]],TabOceanet[],36,FALSE)/TabVMEnv[[#This Row],[Mutualisé]]</f>
        <v>19.260000000000002</v>
      </c>
      <c r="U53" s="25">
        <f>IF(TabVMEnv[[#This Row],[CostCenter]]="CostCenterDI",0,TabVMEnv[[#This Row],[CoutGlobal]])</f>
        <v>19.260000000000002</v>
      </c>
      <c r="V53" s="25">
        <f>TabVMEnv[[#This Row],[CoutGlobalSansCostCenterDI]]/TabVMEnv[[#Totals],[CoutGlobalSansCostCenterDI]]*(GlobalARepartirSansMS+GlobalARepartirMSOnly+GlobalARepartirInfraReseau)</f>
        <v>33.617502665053422</v>
      </c>
      <c r="W53" s="25">
        <f>TabVMEnv[[#This Row],[CoutGlobalSansCostCenterDI]]+TabVMEnv[[#This Row],[CoutGlobalSupplementaire]]</f>
        <v>52.877502665053427</v>
      </c>
      <c r="X53" s="5" t="str">
        <f>VLOOKUP(TabVMEnv[[#This Row],[EnvProjet]],TabEnvProjet[],2,FALSE) &amp; " - " &amp; IFERROR(VLOOKUP(TabVMEnv[[#This Row],[EnvProjet]],TabEnvProjet[],4,FALSE),"INCONNU") &amp; " - " &amp; IFERROR(VLOOKUP(TabVMEnv[[#This Row],[EnvProjet]],TabEnvProjet[],5,FALSE),"INCONNU")</f>
        <v>AFB-Patbiodiv - ONEMA/TMADCUA-15 - Rodolphe Habegger</v>
      </c>
      <c r="Y53" s="5" t="str">
        <f>VLOOKUP(TabVMEnv[EnvProjet],TabEnvProjet[],5,FALSE)</f>
        <v>Rodolphe Habegger</v>
      </c>
      <c r="Z53" s="5">
        <f>VLOOKUP(TabVMEnv[EnvProjet],TabEnvProjet[],6,FALSE)</f>
        <v>305704</v>
      </c>
      <c r="AA53" s="5" t="str">
        <f>VLOOKUP(TabVMEnv[[#This Row],[EnvProjet]],TabEnvProjet[],3,FALSE)</f>
        <v>RECETTE</v>
      </c>
      <c r="AB53" s="5">
        <f>COUNTIF(TabVMEnv[VM],TabVMEnv[VM])</f>
        <v>1</v>
      </c>
    </row>
    <row r="54" spans="1:28" x14ac:dyDescent="0.25">
      <c r="A54" t="s">
        <v>148</v>
      </c>
      <c r="B54" t="s">
        <v>324</v>
      </c>
      <c r="E54" s="13"/>
      <c r="F54">
        <f>IF(VLOOKUP(TabVMEnv[VM],TabOceanet[],16,FALSE) = "Tarif_VM",IF(VLOOKUP(TabVMEnv[VM],TabOceanet[],2,FALSE)&lt;4,4,VLOOKUP(TabVMEnv[VM],TabOceanet[],2,FALSE)),0)</f>
        <v>4</v>
      </c>
      <c r="G54">
        <v>0</v>
      </c>
      <c r="H54">
        <v>0</v>
      </c>
      <c r="I54">
        <v>0</v>
      </c>
      <c r="J54">
        <v>0</v>
      </c>
      <c r="K54">
        <f>IF(VLOOKUP(TabVMEnv[VM],TabOceanet[],16,FALSE) = "Tarif_VM",1,0)/TabVMEnv[[#This Row],[Mutualisé]]</f>
        <v>1</v>
      </c>
      <c r="L54">
        <f>IF(VLOOKUP(TabVMEnv[VM],TabOceanet[],9,FALSE) = "PoweredOn",1,0)</f>
        <v>1</v>
      </c>
      <c r="M54">
        <f>TabVMEnv[[#This Row],[IsVMPoweredOn]]*VLOOKUP(TabVMEnv[VM],TabOceanet[],3,FALSE)/TabVMEnv[[#This Row],[Mutualisé]]</f>
        <v>4</v>
      </c>
      <c r="N54">
        <f>VLOOKUP(TabVMEnv[VM],TabOceanet[],4,FALSE)/TabVMEnv[[#This Row],[Mutualisé]]</f>
        <v>30</v>
      </c>
      <c r="O54">
        <f>IF(LEFT(VLOOKUP(TabVMEnv[VM],TabOceanet[],5,FALSE),3)="win",1,0)</f>
        <v>0</v>
      </c>
      <c r="P54"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54" t="str">
        <f>VLOOKUP(TabVMEnv[EnvProjet],TabEnvProjet[],4,FALSE)</f>
        <v>Gest'ea / OUGC</v>
      </c>
      <c r="R54" s="5" t="str">
        <f>VLOOKUP(TabVMEnv[[#This Row],[SYGES]],TabContrat[],2,FALSE)</f>
        <v>Gest'ea / OUGC</v>
      </c>
      <c r="S54" s="5" t="str">
        <f>IF(VLOOKUP(TabVMEnv[[#This Row],[VM]],TabOceanet[],1,FALSE) = "","Disparue","")</f>
        <v/>
      </c>
      <c r="T54" s="25">
        <f>VLOOKUP(TabVMEnv[[#This Row],[VM]],TabOceanet[],36,FALSE)/TabVMEnv[[#This Row],[Mutualisé]]</f>
        <v>13.3</v>
      </c>
      <c r="U54" s="25">
        <f>IF(TabVMEnv[[#This Row],[CostCenter]]="CostCenterDI",0,TabVMEnv[[#This Row],[CoutGlobal]])</f>
        <v>13.3</v>
      </c>
      <c r="V54" s="25">
        <f>TabVMEnv[[#This Row],[CoutGlobalSansCostCenterDI]]/TabVMEnv[[#Totals],[CoutGlobalSansCostCenterDI]]*(GlobalARepartirSansMS+GlobalARepartirMSOnly+GlobalARepartirInfraReseau)</f>
        <v>23.214578683551945</v>
      </c>
      <c r="W54" s="25">
        <f>TabVMEnv[[#This Row],[CoutGlobalSansCostCenterDI]]+TabVMEnv[[#This Row],[CoutGlobalSupplementaire]]</f>
        <v>36.514578683551946</v>
      </c>
      <c r="X54" s="5" t="str">
        <f>VLOOKUP(TabVMEnv[[#This Row],[EnvProjet]],TabEnvProjet[],2,FALSE) &amp; " - " &amp; IFERROR(VLOOKUP(TabVMEnv[[#This Row],[EnvProjet]],TabEnvProjet[],4,FALSE),"INCONNU") &amp; " - " &amp; IFERROR(VLOOKUP(TabVMEnv[[#This Row],[EnvProjet]],TabEnvProjet[],5,FALSE),"INCONNU")</f>
        <v>Gest'ea / OUGC-Gest'ea / OUGC - Gest'ea / OUGC - Jean-Philippe STROIAZZO</v>
      </c>
      <c r="Y54" s="5" t="str">
        <f>VLOOKUP(TabVMEnv[EnvProjet],TabEnvProjet[],5,FALSE)</f>
        <v>Jean-Philippe STROIAZZO</v>
      </c>
      <c r="Z54" s="5">
        <f>VLOOKUP(TabVMEnv[EnvProjet],TabEnvProjet[],6,FALSE)</f>
        <v>305704</v>
      </c>
      <c r="AA54" s="5" t="str">
        <f>VLOOKUP(TabVMEnv[[#This Row],[EnvProjet]],TabEnvProjet[],3,FALSE)</f>
        <v>DEV</v>
      </c>
      <c r="AB54" s="5">
        <f>COUNTIF(TabVMEnv[VM],TabVMEnv[VM])</f>
        <v>1</v>
      </c>
    </row>
    <row r="55" spans="1:28" x14ac:dyDescent="0.25">
      <c r="A55" t="s">
        <v>1240</v>
      </c>
      <c r="B55" t="s">
        <v>312</v>
      </c>
      <c r="E55" s="13"/>
      <c r="F55" s="5">
        <f>IF(VLOOKUP(TabVMEnv[VM],TabOceanet[],16,FALSE) = "Tarif_VM",IF(VLOOKUP(TabVMEnv[VM],TabOceanet[],2,FALSE)&lt;4,4,VLOOKUP(TabVMEnv[VM],TabOceanet[],2,FALSE)),0)</f>
        <v>4</v>
      </c>
      <c r="G55">
        <v>0</v>
      </c>
      <c r="H55">
        <v>0</v>
      </c>
      <c r="I55">
        <v>0</v>
      </c>
      <c r="J55" s="24">
        <v>0</v>
      </c>
      <c r="K55" s="74">
        <f>IF(VLOOKUP(TabVMEnv[VM],TabOceanet[],16,FALSE) = "Tarif_VM",1,0)/TabVMEnv[[#This Row],[Mutualisé]]</f>
        <v>1</v>
      </c>
      <c r="L55" s="74">
        <f>IF(VLOOKUP(TabVMEnv[VM],TabOceanet[],9,FALSE) = "PoweredOn",1,0)</f>
        <v>1</v>
      </c>
      <c r="M55" s="74">
        <f>TabVMEnv[[#This Row],[IsVMPoweredOn]]*VLOOKUP(TabVMEnv[VM],TabOceanet[],3,FALSE)/TabVMEnv[[#This Row],[Mutualisé]]</f>
        <v>2</v>
      </c>
      <c r="N55" s="74">
        <f>VLOOKUP(TabVMEnv[VM],TabOceanet[],4,FALSE)/TabVMEnv[[#This Row],[Mutualisé]]</f>
        <v>75</v>
      </c>
      <c r="O55" s="74">
        <f>IF(LEFT(VLOOKUP(TabVMEnv[VM],TabOceanet[],5,FALSE),3)="win",1,0)</f>
        <v>0</v>
      </c>
      <c r="P55"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55" t="str">
        <f>VLOOKUP(TabVMEnv[EnvProjet],TabEnvProjet[],4,FALSE)</f>
        <v>MENESR/TMA</v>
      </c>
      <c r="R55" s="5" t="str">
        <f>VLOOKUP(TabVMEnv[[#This Row],[SYGES]],TabContrat[],2,FALSE)</f>
        <v>MENESR</v>
      </c>
      <c r="S55" s="5" t="str">
        <f>IF(VLOOKUP(TabVMEnv[[#This Row],[VM]],TabOceanet[],1,FALSE) = "","Disparue","")</f>
        <v/>
      </c>
      <c r="T55" s="25">
        <f>VLOOKUP(TabVMEnv[[#This Row],[VM]],TabOceanet[],36,FALSE)/TabVMEnv[[#This Row],[Mutualisé]]</f>
        <v>20.45</v>
      </c>
      <c r="U55" s="25">
        <f>IF(TabVMEnv[[#This Row],[CostCenter]]="CostCenterDI",0,TabVMEnv[[#This Row],[CoutGlobal]])</f>
        <v>20.45</v>
      </c>
      <c r="V55" s="25">
        <f>TabVMEnv[[#This Row],[CoutGlobalSansCostCenterDI]]/TabVMEnv[[#Totals],[CoutGlobalSansCostCenterDI]]*(GlobalARepartirSansMS+GlobalARepartirMSOnly+GlobalARepartirInfraReseau)</f>
        <v>35.694596547265959</v>
      </c>
      <c r="W55" s="25">
        <f>TabVMEnv[[#This Row],[CoutGlobalSansCostCenterDI]]+TabVMEnv[[#This Row],[CoutGlobalSupplementaire]]</f>
        <v>56.144596547265962</v>
      </c>
      <c r="X55" s="5" t="str">
        <f>VLOOKUP(TabVMEnv[[#This Row],[EnvProjet]],TabEnvProjet[],2,FALSE) &amp; " - " &amp; IFERROR(VLOOKUP(TabVMEnv[[#This Row],[EnvProjet]],TabEnvProjet[],4,FALSE),"INCONNU") &amp; " - " &amp; IFERROR(VLOOKUP(TabVMEnv[[#This Row],[EnvProjet]],TabEnvProjet[],5,FALSE),"INCONNU")</f>
        <v>MENESR-BNIE - MENESR/TMA - Pierre BOURLIEUX</v>
      </c>
      <c r="Y55" s="5" t="str">
        <f>VLOOKUP(TabVMEnv[EnvProjet],TabEnvProjet[],5,FALSE)</f>
        <v>Pierre BOURLIEUX</v>
      </c>
      <c r="Z55" s="5">
        <f>VLOOKUP(TabVMEnv[EnvProjet],TabEnvProjet[],6,FALSE)</f>
        <v>305704</v>
      </c>
      <c r="AA55" s="5" t="str">
        <f>VLOOKUP(TabVMEnv[[#This Row],[EnvProjet]],TabEnvProjet[],3,FALSE)</f>
        <v>RECETTE</v>
      </c>
      <c r="AB55" s="5">
        <f>COUNTIF(TabVMEnv[VM],TabVMEnv[VM])</f>
        <v>1</v>
      </c>
    </row>
    <row r="56" spans="1:28" x14ac:dyDescent="0.25">
      <c r="A56" s="24" t="s">
        <v>194</v>
      </c>
      <c r="B56" t="s">
        <v>325</v>
      </c>
      <c r="E56" s="13"/>
      <c r="F56">
        <f>IF(VLOOKUP(TabVMEnv[VM],TabOceanet[],16,FALSE) = "Tarif_VM",IF(VLOOKUP(TabVMEnv[VM],TabOceanet[],2,FALSE)&lt;4,4,VLOOKUP(TabVMEnv[VM],TabOceanet[],2,FALSE)),0)</f>
        <v>4</v>
      </c>
      <c r="G56">
        <v>0</v>
      </c>
      <c r="H56">
        <v>0</v>
      </c>
      <c r="I56">
        <v>0</v>
      </c>
      <c r="J56">
        <v>0</v>
      </c>
      <c r="K56">
        <f>IF(VLOOKUP(TabVMEnv[VM],TabOceanet[],16,FALSE) = "Tarif_VM",1,0)/TabVMEnv[[#This Row],[Mutualisé]]</f>
        <v>0.33333333333333331</v>
      </c>
      <c r="L56">
        <f>IF(VLOOKUP(TabVMEnv[VM],TabOceanet[],9,FALSE) = "PoweredOn",1,0)</f>
        <v>1</v>
      </c>
      <c r="M56">
        <f>TabVMEnv[[#This Row],[IsVMPoweredOn]]*VLOOKUP(TabVMEnv[VM],TabOceanet[],3,FALSE)/TabVMEnv[[#This Row],[Mutualisé]]</f>
        <v>1.3333333333333333</v>
      </c>
      <c r="N56">
        <f>VLOOKUP(TabVMEnv[VM],TabOceanet[],4,FALSE)/TabVMEnv[[#This Row],[Mutualisé]]</f>
        <v>95</v>
      </c>
      <c r="O56">
        <f>IF(LEFT(VLOOKUP(TabVMEnv[VM],TabOceanet[],5,FALSE),3)="win",1,0)</f>
        <v>1</v>
      </c>
      <c r="P56"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56" t="str">
        <f>VLOOKUP(TabVMEnv[EnvProjet],TabEnvProjet[],4,FALSE)</f>
        <v>FRR/TMASI</v>
      </c>
      <c r="R56" s="5" t="str">
        <f>VLOOKUP(TabVMEnv[[#This Row],[SYGES]],TabContrat[],2,FALSE)</f>
        <v>FRR</v>
      </c>
      <c r="S56" s="5" t="str">
        <f>IF(VLOOKUP(TabVMEnv[[#This Row],[VM]],TabOceanet[],1,FALSE) = "","Disparue","")</f>
        <v/>
      </c>
      <c r="T56" s="25">
        <f>VLOOKUP(TabVMEnv[[#This Row],[VM]],TabOceanet[],36,FALSE)/TabVMEnv[[#This Row],[Mutualisé]]</f>
        <v>23.983333333333334</v>
      </c>
      <c r="U56" s="25">
        <f>IF(TabVMEnv[[#This Row],[CostCenter]]="CostCenterDI",0,TabVMEnv[[#This Row],[CoutGlobal]])</f>
        <v>23.983333333333334</v>
      </c>
      <c r="V56" s="25">
        <f>TabVMEnv[[#This Row],[CoutGlobalSansCostCenterDI]]/TabVMEnv[[#Totals],[CoutGlobalSansCostCenterDI]]*(GlobalARepartirSansMS+GlobalARepartirMSOnly+GlobalARepartirInfraReseau)</f>
        <v>41.861878102294803</v>
      </c>
      <c r="W56" s="25">
        <f>TabVMEnv[[#This Row],[CoutGlobalSansCostCenterDI]]+TabVMEnv[[#This Row],[CoutGlobalSupplementaire]]</f>
        <v>65.84521143562813</v>
      </c>
      <c r="X56" s="5" t="str">
        <f>VLOOKUP(TabVMEnv[[#This Row],[EnvProjet]],TabEnvProjet[],2,FALSE) &amp; " - " &amp; IFERROR(VLOOKUP(TabVMEnv[[#This Row],[EnvProjet]],TabEnvProjet[],4,FALSE),"INCONNU") &amp; " - " &amp; IFERROR(VLOOKUP(TabVMEnv[[#This Row],[EnvProjet]],TabEnvProjet[],5,FALSE),"INCONNU")</f>
        <v>FRR-APPLIFRR - FRR/TMASI - Pierre BOURLIEUX</v>
      </c>
      <c r="Y56" s="5" t="str">
        <f>VLOOKUP(TabVMEnv[EnvProjet],TabEnvProjet[],5,FALSE)</f>
        <v>Pierre BOURLIEUX</v>
      </c>
      <c r="Z56" s="5">
        <f>VLOOKUP(TabVMEnv[EnvProjet],TabEnvProjet[],6,FALSE)</f>
        <v>305704</v>
      </c>
      <c r="AA56" s="5" t="str">
        <f>VLOOKUP(TabVMEnv[[#This Row],[EnvProjet]],TabEnvProjet[],3,FALSE)</f>
        <v>DEV</v>
      </c>
      <c r="AB56" s="5">
        <f>COUNTIF(TabVMEnv[VM],TabVMEnv[VM])</f>
        <v>3</v>
      </c>
    </row>
    <row r="57" spans="1:28" x14ac:dyDescent="0.25">
      <c r="A57" s="24" t="s">
        <v>194</v>
      </c>
      <c r="B57" t="s">
        <v>310</v>
      </c>
      <c r="E57" s="13"/>
      <c r="F57">
        <f>IF(VLOOKUP(TabVMEnv[VM],TabOceanet[],16,FALSE) = "Tarif_VM",IF(VLOOKUP(TabVMEnv[VM],TabOceanet[],2,FALSE)&lt;4,4,VLOOKUP(TabVMEnv[VM],TabOceanet[],2,FALSE)),0)</f>
        <v>4</v>
      </c>
      <c r="G57">
        <v>0</v>
      </c>
      <c r="H57">
        <v>0</v>
      </c>
      <c r="I57">
        <v>0</v>
      </c>
      <c r="J57">
        <v>0</v>
      </c>
      <c r="K57">
        <f>IF(VLOOKUP(TabVMEnv[VM],TabOceanet[],16,FALSE) = "Tarif_VM",1,0)/TabVMEnv[[#This Row],[Mutualisé]]</f>
        <v>0.33333333333333331</v>
      </c>
      <c r="L57">
        <f>IF(VLOOKUP(TabVMEnv[VM],TabOceanet[],9,FALSE) = "PoweredOn",1,0)</f>
        <v>1</v>
      </c>
      <c r="M57">
        <f>TabVMEnv[[#This Row],[IsVMPoweredOn]]*VLOOKUP(TabVMEnv[VM],TabOceanet[],3,FALSE)/TabVMEnv[[#This Row],[Mutualisé]]</f>
        <v>1.3333333333333333</v>
      </c>
      <c r="N57">
        <f>VLOOKUP(TabVMEnv[VM],TabOceanet[],4,FALSE)/TabVMEnv[[#This Row],[Mutualisé]]</f>
        <v>95</v>
      </c>
      <c r="O57">
        <f>IF(LEFT(VLOOKUP(TabVMEnv[VM],TabOceanet[],5,FALSE),3)="win",1,0)</f>
        <v>1</v>
      </c>
      <c r="P57"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57" t="str">
        <f>VLOOKUP(TabVMEnv[EnvProjet],TabEnvProjet[],4,FALSE)</f>
        <v>FRR/TMASI</v>
      </c>
      <c r="R57" s="5" t="str">
        <f>VLOOKUP(TabVMEnv[[#This Row],[SYGES]],TabContrat[],2,FALSE)</f>
        <v>FRR</v>
      </c>
      <c r="S57" s="5" t="str">
        <f>IF(VLOOKUP(TabVMEnv[[#This Row],[VM]],TabOceanet[],1,FALSE) = "","Disparue","")</f>
        <v/>
      </c>
      <c r="T57" s="25">
        <f>VLOOKUP(TabVMEnv[[#This Row],[VM]],TabOceanet[],36,FALSE)/TabVMEnv[[#This Row],[Mutualisé]]</f>
        <v>23.983333333333334</v>
      </c>
      <c r="U57" s="25">
        <f>IF(TabVMEnv[[#This Row],[CostCenter]]="CostCenterDI",0,TabVMEnv[[#This Row],[CoutGlobal]])</f>
        <v>23.983333333333334</v>
      </c>
      <c r="V57" s="25">
        <f>TabVMEnv[[#This Row],[CoutGlobalSansCostCenterDI]]/TabVMEnv[[#Totals],[CoutGlobalSansCostCenterDI]]*(GlobalARepartirSansMS+GlobalARepartirMSOnly+GlobalARepartirInfraReseau)</f>
        <v>41.861878102294803</v>
      </c>
      <c r="W57" s="25">
        <f>TabVMEnv[[#This Row],[CoutGlobalSansCostCenterDI]]+TabVMEnv[[#This Row],[CoutGlobalSupplementaire]]</f>
        <v>65.84521143562813</v>
      </c>
      <c r="X57" s="5" t="str">
        <f>VLOOKUP(TabVMEnv[[#This Row],[EnvProjet]],TabEnvProjet[],2,FALSE) &amp; " - " &amp; IFERROR(VLOOKUP(TabVMEnv[[#This Row],[EnvProjet]],TabEnvProjet[],4,FALSE),"INCONNU") &amp; " - " &amp; IFERROR(VLOOKUP(TabVMEnv[[#This Row],[EnvProjet]],TabEnvProjet[],5,FALSE),"INCONNU")</f>
        <v>FRR-CADENCIER - FRR/TMASI - Pierre BOURLIEUX</v>
      </c>
      <c r="Y57" s="5" t="str">
        <f>VLOOKUP(TabVMEnv[EnvProjet],TabEnvProjet[],5,FALSE)</f>
        <v>Pierre BOURLIEUX</v>
      </c>
      <c r="Z57" s="5">
        <f>VLOOKUP(TabVMEnv[EnvProjet],TabEnvProjet[],6,FALSE)</f>
        <v>305704</v>
      </c>
      <c r="AA57" s="5" t="str">
        <f>VLOOKUP(TabVMEnv[[#This Row],[EnvProjet]],TabEnvProjet[],3,FALSE)</f>
        <v>RECETTE</v>
      </c>
      <c r="AB57" s="5">
        <f>COUNTIF(TabVMEnv[VM],TabVMEnv[VM])</f>
        <v>3</v>
      </c>
    </row>
    <row r="58" spans="1:28" x14ac:dyDescent="0.25">
      <c r="A58" s="24" t="s">
        <v>194</v>
      </c>
      <c r="B58" t="s">
        <v>326</v>
      </c>
      <c r="E58" s="13"/>
      <c r="F58">
        <f>IF(VLOOKUP(TabVMEnv[VM],TabOceanet[],16,FALSE) = "Tarif_VM",IF(VLOOKUP(TabVMEnv[VM],TabOceanet[],2,FALSE)&lt;4,4,VLOOKUP(TabVMEnv[VM],TabOceanet[],2,FALSE)),0)</f>
        <v>4</v>
      </c>
      <c r="G58">
        <v>0</v>
      </c>
      <c r="H58">
        <v>0</v>
      </c>
      <c r="I58">
        <v>0</v>
      </c>
      <c r="J58">
        <v>0</v>
      </c>
      <c r="K58">
        <f>IF(VLOOKUP(TabVMEnv[VM],TabOceanet[],16,FALSE) = "Tarif_VM",1,0)/TabVMEnv[[#This Row],[Mutualisé]]</f>
        <v>0.33333333333333331</v>
      </c>
      <c r="L58">
        <f>IF(VLOOKUP(TabVMEnv[VM],TabOceanet[],9,FALSE) = "PoweredOn",1,0)</f>
        <v>1</v>
      </c>
      <c r="M58">
        <f>TabVMEnv[[#This Row],[IsVMPoweredOn]]*VLOOKUP(TabVMEnv[VM],TabOceanet[],3,FALSE)/TabVMEnv[[#This Row],[Mutualisé]]</f>
        <v>1.3333333333333333</v>
      </c>
      <c r="N58">
        <f>VLOOKUP(TabVMEnv[VM],TabOceanet[],4,FALSE)/TabVMEnv[[#This Row],[Mutualisé]]</f>
        <v>95</v>
      </c>
      <c r="O58">
        <f>IF(LEFT(VLOOKUP(TabVMEnv[VM],TabOceanet[],5,FALSE),3)="win",1,0)</f>
        <v>1</v>
      </c>
      <c r="P58"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58" t="str">
        <f>VLOOKUP(TabVMEnv[EnvProjet],TabEnvProjet[],4,FALSE)</f>
        <v>FRR/TMASI</v>
      </c>
      <c r="R58" s="5" t="str">
        <f>VLOOKUP(TabVMEnv[[#This Row],[SYGES]],TabContrat[],2,FALSE)</f>
        <v>FRR</v>
      </c>
      <c r="S58" s="5" t="str">
        <f>IF(VLOOKUP(TabVMEnv[[#This Row],[VM]],TabOceanet[],1,FALSE) = "","Disparue","")</f>
        <v/>
      </c>
      <c r="T58" s="25">
        <f>VLOOKUP(TabVMEnv[[#This Row],[VM]],TabOceanet[],36,FALSE)/TabVMEnv[[#This Row],[Mutualisé]]</f>
        <v>23.983333333333334</v>
      </c>
      <c r="U58" s="25">
        <f>IF(TabVMEnv[[#This Row],[CostCenter]]="CostCenterDI",0,TabVMEnv[[#This Row],[CoutGlobal]])</f>
        <v>23.983333333333334</v>
      </c>
      <c r="V58" s="25">
        <f>TabVMEnv[[#This Row],[CoutGlobalSansCostCenterDI]]/TabVMEnv[[#Totals],[CoutGlobalSansCostCenterDI]]*(GlobalARepartirSansMS+GlobalARepartirMSOnly+GlobalARepartirInfraReseau)</f>
        <v>41.861878102294803</v>
      </c>
      <c r="W58" s="25">
        <f>TabVMEnv[[#This Row],[CoutGlobalSansCostCenterDI]]+TabVMEnv[[#This Row],[CoutGlobalSupplementaire]]</f>
        <v>65.84521143562813</v>
      </c>
      <c r="X58" s="5" t="str">
        <f>VLOOKUP(TabVMEnv[[#This Row],[EnvProjet]],TabEnvProjet[],2,FALSE) &amp; " - " &amp; IFERROR(VLOOKUP(TabVMEnv[[#This Row],[EnvProjet]],TabEnvProjet[],4,FALSE),"INCONNU") &amp; " - " &amp; IFERROR(VLOOKUP(TabVMEnv[[#This Row],[EnvProjet]],TabEnvProjet[],5,FALSE),"INCONNU")</f>
        <v>FRR-TCPOS - FRR/TMASI - Pierre BOURLIEUX</v>
      </c>
      <c r="Y58" s="5" t="str">
        <f>VLOOKUP(TabVMEnv[EnvProjet],TabEnvProjet[],5,FALSE)</f>
        <v>Pierre BOURLIEUX</v>
      </c>
      <c r="Z58" s="5">
        <f>VLOOKUP(TabVMEnv[EnvProjet],TabEnvProjet[],6,FALSE)</f>
        <v>305704</v>
      </c>
      <c r="AA58" s="5" t="str">
        <f>VLOOKUP(TabVMEnv[[#This Row],[EnvProjet]],TabEnvProjet[],3,FALSE)</f>
        <v>DEV</v>
      </c>
      <c r="AB58" s="5">
        <f>COUNTIF(TabVMEnv[VM],TabVMEnv[VM])</f>
        <v>3</v>
      </c>
    </row>
    <row r="59" spans="1:28" x14ac:dyDescent="0.25">
      <c r="A59" t="s">
        <v>242</v>
      </c>
      <c r="B59" t="s">
        <v>327</v>
      </c>
      <c r="E59" s="13"/>
      <c r="F59">
        <f>IF(VLOOKUP(TabVMEnv[VM],TabOceanet[],16,FALSE) = "Tarif_VM",IF(VLOOKUP(TabVMEnv[VM],TabOceanet[],2,FALSE)&lt;4,4,VLOOKUP(TabVMEnv[VM],TabOceanet[],2,FALSE)),0)</f>
        <v>4</v>
      </c>
      <c r="G59">
        <v>0</v>
      </c>
      <c r="H59">
        <v>0</v>
      </c>
      <c r="I59">
        <v>0</v>
      </c>
      <c r="J59">
        <v>0</v>
      </c>
      <c r="K59">
        <f>IF(VLOOKUP(TabVMEnv[VM],TabOceanet[],16,FALSE) = "Tarif_VM",1,0)/TabVMEnv[[#This Row],[Mutualisé]]</f>
        <v>1</v>
      </c>
      <c r="L59">
        <f>IF(VLOOKUP(TabVMEnv[VM],TabOceanet[],9,FALSE) = "PoweredOn",1,0)</f>
        <v>1</v>
      </c>
      <c r="M59">
        <f>TabVMEnv[[#This Row],[IsVMPoweredOn]]*VLOOKUP(TabVMEnv[VM],TabOceanet[],3,FALSE)/TabVMEnv[[#This Row],[Mutualisé]]</f>
        <v>2</v>
      </c>
      <c r="N59">
        <f>VLOOKUP(TabVMEnv[VM],TabOceanet[],4,FALSE)/TabVMEnv[[#This Row],[Mutualisé]]</f>
        <v>115</v>
      </c>
      <c r="O59">
        <f>IF(LEFT(VLOOKUP(TabVMEnv[VM],TabOceanet[],5,FALSE),3)="win",1,0)</f>
        <v>0</v>
      </c>
      <c r="P59"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59" t="str">
        <f>VLOOKUP(TabVMEnv[EnvProjet],TabEnvProjet[],4,FALSE)</f>
        <v>MENESR/TMA</v>
      </c>
      <c r="R59" s="5" t="str">
        <f>VLOOKUP(TabVMEnv[[#This Row],[SYGES]],TabContrat[],2,FALSE)</f>
        <v>MENESR</v>
      </c>
      <c r="S59" s="5" t="str">
        <f>IF(VLOOKUP(TabVMEnv[[#This Row],[VM]],TabOceanet[],1,FALSE) = "","Disparue","")</f>
        <v/>
      </c>
      <c r="T59" s="25">
        <f>VLOOKUP(TabVMEnv[[#This Row],[VM]],TabOceanet[],36,FALSE)/TabVMEnv[[#This Row],[Mutualisé]]</f>
        <v>29.650000000000002</v>
      </c>
      <c r="U59" s="25">
        <f>IF(TabVMEnv[[#This Row],[CostCenter]]="CostCenterDI",0,TabVMEnv[[#This Row],[CoutGlobal]])</f>
        <v>29.650000000000002</v>
      </c>
      <c r="V59" s="25">
        <f>TabVMEnv[[#This Row],[CoutGlobalSansCostCenterDI]]/TabVMEnv[[#Totals],[CoutGlobalSansCostCenterDI]]*(GlobalARepartirSansMS+GlobalARepartirMSOnly+GlobalARepartirInfraReseau)</f>
        <v>51.752801350925957</v>
      </c>
      <c r="W59" s="25">
        <f>TabVMEnv[[#This Row],[CoutGlobalSansCostCenterDI]]+TabVMEnv[[#This Row],[CoutGlobalSupplementaire]]</f>
        <v>81.402801350925955</v>
      </c>
      <c r="X59" s="5" t="str">
        <f>VLOOKUP(TabVMEnv[[#This Row],[EnvProjet]],TabEnvProjet[],2,FALSE) &amp; " - " &amp; IFERROR(VLOOKUP(TabVMEnv[[#This Row],[EnvProjet]],TabEnvProjet[],4,FALSE),"INCONNU") &amp; " - " &amp; IFERROR(VLOOKUP(TabVMEnv[[#This Row],[EnvProjet]],TabEnvProjet[],5,FALSE),"INCONNU")</f>
        <v>MENESR-RNIE - MENESR/TMA - Pierre BOURLIEUX</v>
      </c>
      <c r="Y59" s="5" t="str">
        <f>VLOOKUP(TabVMEnv[EnvProjet],TabEnvProjet[],5,FALSE)</f>
        <v>Pierre BOURLIEUX</v>
      </c>
      <c r="Z59" s="5">
        <f>VLOOKUP(TabVMEnv[EnvProjet],TabEnvProjet[],6,FALSE)</f>
        <v>305704</v>
      </c>
      <c r="AA59" s="5" t="str">
        <f>VLOOKUP(TabVMEnv[[#This Row],[EnvProjet]],TabEnvProjet[],3,FALSE)</f>
        <v>DEV</v>
      </c>
      <c r="AB59" s="5">
        <f>COUNTIF(TabVMEnv[VM],TabVMEnv[VM])</f>
        <v>1</v>
      </c>
    </row>
    <row r="60" spans="1:28" x14ac:dyDescent="0.25">
      <c r="A60" t="s">
        <v>257</v>
      </c>
      <c r="B60" t="s">
        <v>323</v>
      </c>
      <c r="E60" s="13"/>
      <c r="F60">
        <f>IF(VLOOKUP(TabVMEnv[VM],TabOceanet[],16,FALSE) = "Tarif_VM",IF(VLOOKUP(TabVMEnv[VM],TabOceanet[],2,FALSE)&lt;4,4,VLOOKUP(TabVMEnv[VM],TabOceanet[],2,FALSE)),0)</f>
        <v>4</v>
      </c>
      <c r="G60">
        <v>0</v>
      </c>
      <c r="H60">
        <v>0</v>
      </c>
      <c r="I60">
        <v>0</v>
      </c>
      <c r="J60">
        <v>0</v>
      </c>
      <c r="K60">
        <f>IF(VLOOKUP(TabVMEnv[VM],TabOceanet[],16,FALSE) = "Tarif_VM",1,0)/TabVMEnv[[#This Row],[Mutualisé]]</f>
        <v>1</v>
      </c>
      <c r="L60">
        <f>IF(VLOOKUP(TabVMEnv[VM],TabOceanet[],9,FALSE) = "PoweredOn",1,0)</f>
        <v>1</v>
      </c>
      <c r="M60">
        <f>TabVMEnv[[#This Row],[IsVMPoweredOn]]*VLOOKUP(TabVMEnv[VM],TabOceanet[],3,FALSE)/TabVMEnv[[#This Row],[Mutualisé]]</f>
        <v>4</v>
      </c>
      <c r="N60">
        <f>VLOOKUP(TabVMEnv[VM],TabOceanet[],4,FALSE)/TabVMEnv[[#This Row],[Mutualisé]]</f>
        <v>23</v>
      </c>
      <c r="O60">
        <f>IF(LEFT(VLOOKUP(TabVMEnv[VM],TabOceanet[],5,FALSE),3)="win",1,0)</f>
        <v>0</v>
      </c>
      <c r="P60"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60" t="str">
        <f>VLOOKUP(TabVMEnv[EnvProjet],TabEnvProjet[],4,FALSE)</f>
        <v>STMICRO/TMASI</v>
      </c>
      <c r="R60" s="5" t="str">
        <f>VLOOKUP(TabVMEnv[[#This Row],[SYGES]],TabContrat[],2,FALSE)</f>
        <v>STMICRO</v>
      </c>
      <c r="S60" s="5" t="str">
        <f>IF(VLOOKUP(TabVMEnv[[#This Row],[VM]],TabOceanet[],1,FALSE) = "","Disparue","")</f>
        <v/>
      </c>
      <c r="T60" s="25">
        <f>VLOOKUP(TabVMEnv[[#This Row],[VM]],TabOceanet[],36,FALSE)/TabVMEnv[[#This Row],[Mutualisé]]</f>
        <v>11.690000000000001</v>
      </c>
      <c r="U60" s="25">
        <f>IF(TabVMEnv[[#This Row],[CostCenter]]="CostCenterDI",0,TabVMEnv[[#This Row],[CoutGlobal]])</f>
        <v>11.690000000000001</v>
      </c>
      <c r="V60" s="25">
        <f>TabVMEnv[[#This Row],[CoutGlobalSansCostCenterDI]]/TabVMEnv[[#Totals],[CoutGlobalSansCostCenterDI]]*(GlobalARepartirSansMS+GlobalARepartirMSOnly+GlobalARepartirInfraReseau)</f>
        <v>20.404392842911449</v>
      </c>
      <c r="W60" s="25">
        <f>TabVMEnv[[#This Row],[CoutGlobalSansCostCenterDI]]+TabVMEnv[[#This Row],[CoutGlobalSupplementaire]]</f>
        <v>32.094392842911446</v>
      </c>
      <c r="X60" s="5" t="str">
        <f>VLOOKUP(TabVMEnv[[#This Row],[EnvProjet]],TabEnvProjet[],2,FALSE) &amp; " - " &amp; IFERROR(VLOOKUP(TabVMEnv[[#This Row],[EnvProjet]],TabEnvProjet[],4,FALSE),"INCONNU") &amp; " - " &amp; IFERROR(VLOOKUP(TabVMEnv[[#This Row],[EnvProjet]],TabEnvProjet[],5,FALSE),"INCONNU")</f>
        <v>STMICRO-STARK - STMICRO/TMASI - Jean-Philippe STROIAZZO</v>
      </c>
      <c r="Y60" s="5" t="str">
        <f>VLOOKUP(TabVMEnv[EnvProjet],TabEnvProjet[],5,FALSE)</f>
        <v>Jean-Philippe STROIAZZO</v>
      </c>
      <c r="Z60" s="5">
        <f>VLOOKUP(TabVMEnv[EnvProjet],TabEnvProjet[],6,FALSE)</f>
        <v>305704</v>
      </c>
      <c r="AA60" s="5" t="str">
        <f>VLOOKUP(TabVMEnv[[#This Row],[EnvProjet]],TabEnvProjet[],3,FALSE)</f>
        <v>DEV</v>
      </c>
      <c r="AB60" s="5">
        <f>COUNTIF(TabVMEnv[VM],TabVMEnv[VM])</f>
        <v>1</v>
      </c>
    </row>
    <row r="61" spans="1:28" x14ac:dyDescent="0.25">
      <c r="A61" t="s">
        <v>181</v>
      </c>
      <c r="B61" t="s">
        <v>1190</v>
      </c>
      <c r="E61" s="13"/>
      <c r="F61">
        <f>IF(VLOOKUP(TabVMEnv[VM],TabOceanet[],16,FALSE) = "Tarif_VM",IF(VLOOKUP(TabVMEnv[VM],TabOceanet[],2,FALSE)&lt;4,4,VLOOKUP(TabVMEnv[VM],TabOceanet[],2,FALSE)),0)</f>
        <v>4</v>
      </c>
      <c r="G61">
        <v>0</v>
      </c>
      <c r="H61">
        <v>0</v>
      </c>
      <c r="I61">
        <v>0</v>
      </c>
      <c r="J61">
        <v>0</v>
      </c>
      <c r="K61">
        <f>IF(VLOOKUP(TabVMEnv[VM],TabOceanet[],16,FALSE) = "Tarif_VM",1,0)/TabVMEnv[[#This Row],[Mutualisé]]</f>
        <v>1</v>
      </c>
      <c r="L61">
        <f>IF(VLOOKUP(TabVMEnv[VM],TabOceanet[],9,FALSE) = "PoweredOn",1,0)</f>
        <v>1</v>
      </c>
      <c r="M61">
        <f>TabVMEnv[[#This Row],[IsVMPoweredOn]]*VLOOKUP(TabVMEnv[VM],TabOceanet[],3,FALSE)/TabVMEnv[[#This Row],[Mutualisé]]</f>
        <v>1</v>
      </c>
      <c r="N61">
        <f>VLOOKUP(TabVMEnv[VM],TabOceanet[],4,FALSE)/TabVMEnv[[#This Row],[Mutualisé]]</f>
        <v>21</v>
      </c>
      <c r="O61">
        <f>IF(LEFT(VLOOKUP(TabVMEnv[VM],TabOceanet[],5,FALSE),3)="win",1,0)</f>
        <v>0</v>
      </c>
      <c r="P61"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61" t="str">
        <f>VLOOKUP(TabVMEnv[EnvProjet],TabEnvProjet[],4,FALSE)</f>
        <v>GFI Oceanet Infra Réseau Orléans</v>
      </c>
      <c r="R61" s="5" t="str">
        <f>VLOOKUP(TabVMEnv[[#This Row],[SYGES]],TabContrat[],2,FALSE)</f>
        <v>GFI</v>
      </c>
      <c r="S61" s="5" t="str">
        <f>IF(VLOOKUP(TabVMEnv[[#This Row],[VM]],TabOceanet[],1,FALSE) = "","Disparue","")</f>
        <v/>
      </c>
      <c r="T61" s="25">
        <f>VLOOKUP(TabVMEnv[[#This Row],[VM]],TabOceanet[],36,FALSE)/TabVMEnv[[#This Row],[Mutualisé]]</f>
        <v>6.43</v>
      </c>
      <c r="U61" s="25">
        <f>IF(TabVMEnv[[#This Row],[CostCenter]]="CostCenterDI",0,TabVMEnv[[#This Row],[CoutGlobal]])</f>
        <v>6.43</v>
      </c>
      <c r="V61" s="25">
        <f>TabVMEnv[[#This Row],[CoutGlobalSansCostCenterDI]]/TabVMEnv[[#Totals],[CoutGlobalSansCostCenterDI]]*(GlobalARepartirSansMS+GlobalARepartirMSOnly+GlobalARepartirInfraReseau)</f>
        <v>11.223288792123231</v>
      </c>
      <c r="W61" s="25">
        <f>TabVMEnv[[#This Row],[CoutGlobalSansCostCenterDI]]+TabVMEnv[[#This Row],[CoutGlobalSupplementaire]]</f>
        <v>17.653288792123231</v>
      </c>
      <c r="X61" s="5" t="str">
        <f>VLOOKUP(TabVMEnv[[#This Row],[EnvProjet]],TabEnvProjet[],2,FALSE) &amp; " - " &amp; IFERROR(VLOOKUP(TabVMEnv[[#This Row],[EnvProjet]],TabEnvProjet[],4,FALSE),"INCONNU") &amp; " - " &amp; IFERROR(VLOOKUP(TabVMEnv[[#This Row],[EnvProjet]],TabEnvProjet[],5,FALSE),"INCONNU")</f>
        <v>GFI-Oceanet Infra Réseau Orléans - GFI Oceanet Infra Réseau Orléans - Christophe ORLANDO</v>
      </c>
      <c r="Y61" s="5" t="str">
        <f>VLOOKUP(TabVMEnv[EnvProjet],TabEnvProjet[],5,FALSE)</f>
        <v>Christophe ORLANDO</v>
      </c>
      <c r="Z61" s="5">
        <f>VLOOKUP(TabVMEnv[EnvProjet],TabEnvProjet[],6,FALSE)</f>
        <v>305704</v>
      </c>
      <c r="AA61" s="5" t="str">
        <f>VLOOKUP(TabVMEnv[[#This Row],[EnvProjet]],TabEnvProjet[],3,FALSE)</f>
        <v>SOCLE</v>
      </c>
      <c r="AB61" s="5">
        <f>COUNTIF(TabVMEnv[VM],TabVMEnv[VM])</f>
        <v>1</v>
      </c>
    </row>
    <row r="62" spans="1:28" x14ac:dyDescent="0.25">
      <c r="A62" t="s">
        <v>168</v>
      </c>
      <c r="B62" t="s">
        <v>1190</v>
      </c>
      <c r="E62" s="13"/>
      <c r="F62">
        <f>IF(VLOOKUP(TabVMEnv[VM],TabOceanet[],16,FALSE) = "Tarif_VM",IF(VLOOKUP(TabVMEnv[VM],TabOceanet[],2,FALSE)&lt;4,4,VLOOKUP(TabVMEnv[VM],TabOceanet[],2,FALSE)),0)</f>
        <v>4</v>
      </c>
      <c r="G62">
        <v>0</v>
      </c>
      <c r="H62">
        <v>0</v>
      </c>
      <c r="I62">
        <v>0</v>
      </c>
      <c r="J62">
        <v>0</v>
      </c>
      <c r="K62">
        <f>IF(VLOOKUP(TabVMEnv[VM],TabOceanet[],16,FALSE) = "Tarif_VM",1,0)/TabVMEnv[[#This Row],[Mutualisé]]</f>
        <v>1</v>
      </c>
      <c r="L62">
        <f>IF(VLOOKUP(TabVMEnv[VM],TabOceanet[],9,FALSE) = "PoweredOn",1,0)</f>
        <v>1</v>
      </c>
      <c r="M62">
        <f>TabVMEnv[[#This Row],[IsVMPoweredOn]]*VLOOKUP(TabVMEnv[VM],TabOceanet[],3,FALSE)/TabVMEnv[[#This Row],[Mutualisé]]</f>
        <v>2</v>
      </c>
      <c r="N62">
        <f>VLOOKUP(TabVMEnv[VM],TabOceanet[],4,FALSE)/TabVMEnv[[#This Row],[Mutualisé]]</f>
        <v>20</v>
      </c>
      <c r="O62">
        <f>IF(LEFT(VLOOKUP(TabVMEnv[VM],TabOceanet[],5,FALSE),3)="win",1,0)</f>
        <v>0</v>
      </c>
      <c r="P62"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62" t="str">
        <f>VLOOKUP(TabVMEnv[EnvProjet],TabEnvProjet[],4,FALSE)</f>
        <v>GFI Oceanet Infra Réseau Orléans</v>
      </c>
      <c r="R62" s="5" t="str">
        <f>VLOOKUP(TabVMEnv[[#This Row],[SYGES]],TabContrat[],2,FALSE)</f>
        <v>GFI</v>
      </c>
      <c r="S62" s="5" t="str">
        <f>IF(VLOOKUP(TabVMEnv[[#This Row],[VM]],TabOceanet[],1,FALSE) = "","Disparue","")</f>
        <v/>
      </c>
      <c r="T62" s="25">
        <f>VLOOKUP(TabVMEnv[[#This Row],[VM]],TabOceanet[],36,FALSE)/TabVMEnv[[#This Row],[Mutualisé]]</f>
        <v>7.8000000000000007</v>
      </c>
      <c r="U62" s="25">
        <f>IF(TabVMEnv[[#This Row],[CostCenter]]="CostCenterDI",0,TabVMEnv[[#This Row],[CoutGlobal]])</f>
        <v>7.8000000000000007</v>
      </c>
      <c r="V62" s="25">
        <f>TabVMEnv[[#This Row],[CoutGlobalSansCostCenterDI]]/TabVMEnv[[#Totals],[CoutGlobalSansCostCenterDI]]*(GlobalARepartirSansMS+GlobalARepartirMSOnly+GlobalARepartirInfraReseau)</f>
        <v>13.614564942233473</v>
      </c>
      <c r="W62" s="25">
        <f>TabVMEnv[[#This Row],[CoutGlobalSansCostCenterDI]]+TabVMEnv[[#This Row],[CoutGlobalSupplementaire]]</f>
        <v>21.414564942233476</v>
      </c>
      <c r="X62" s="5" t="str">
        <f>VLOOKUP(TabVMEnv[[#This Row],[EnvProjet]],TabEnvProjet[],2,FALSE) &amp; " - " &amp; IFERROR(VLOOKUP(TabVMEnv[[#This Row],[EnvProjet]],TabEnvProjet[],4,FALSE),"INCONNU") &amp; " - " &amp; IFERROR(VLOOKUP(TabVMEnv[[#This Row],[EnvProjet]],TabEnvProjet[],5,FALSE),"INCONNU")</f>
        <v>GFI-Oceanet Infra Réseau Orléans - GFI Oceanet Infra Réseau Orléans - Christophe ORLANDO</v>
      </c>
      <c r="Y62" s="5" t="str">
        <f>VLOOKUP(TabVMEnv[EnvProjet],TabEnvProjet[],5,FALSE)</f>
        <v>Christophe ORLANDO</v>
      </c>
      <c r="Z62" s="5">
        <f>VLOOKUP(TabVMEnv[EnvProjet],TabEnvProjet[],6,FALSE)</f>
        <v>305704</v>
      </c>
      <c r="AA62" s="5" t="str">
        <f>VLOOKUP(TabVMEnv[[#This Row],[EnvProjet]],TabEnvProjet[],3,FALSE)</f>
        <v>SOCLE</v>
      </c>
      <c r="AB62" s="5">
        <f>COUNTIF(TabVMEnv[VM],TabVMEnv[VM])</f>
        <v>1</v>
      </c>
    </row>
    <row r="63" spans="1:28" x14ac:dyDescent="0.25">
      <c r="A63" t="s">
        <v>169</v>
      </c>
      <c r="B63" t="s">
        <v>1190</v>
      </c>
      <c r="E63" s="13"/>
      <c r="F63">
        <f>IF(VLOOKUP(TabVMEnv[VM],TabOceanet[],16,FALSE) = "Tarif_VM",IF(VLOOKUP(TabVMEnv[VM],TabOceanet[],2,FALSE)&lt;4,4,VLOOKUP(TabVMEnv[VM],TabOceanet[],2,FALSE)),0)</f>
        <v>4</v>
      </c>
      <c r="G63">
        <v>0</v>
      </c>
      <c r="H63">
        <v>0</v>
      </c>
      <c r="I63">
        <v>0</v>
      </c>
      <c r="J63">
        <v>0</v>
      </c>
      <c r="K63">
        <f>IF(VLOOKUP(TabVMEnv[VM],TabOceanet[],16,FALSE) = "Tarif_VM",1,0)/TabVMEnv[[#This Row],[Mutualisé]]</f>
        <v>1</v>
      </c>
      <c r="L63">
        <f>IF(VLOOKUP(TabVMEnv[VM],TabOceanet[],9,FALSE) = "PoweredOn",1,0)</f>
        <v>1</v>
      </c>
      <c r="M63">
        <f>TabVMEnv[[#This Row],[IsVMPoweredOn]]*VLOOKUP(TabVMEnv[VM],TabOceanet[],3,FALSE)/TabVMEnv[[#This Row],[Mutualisé]]</f>
        <v>6</v>
      </c>
      <c r="N63">
        <f>VLOOKUP(TabVMEnv[VM],TabOceanet[],4,FALSE)/TabVMEnv[[#This Row],[Mutualisé]]</f>
        <v>220</v>
      </c>
      <c r="O63">
        <f>IF(LEFT(VLOOKUP(TabVMEnv[VM],TabOceanet[],5,FALSE),3)="win",1,0)</f>
        <v>1</v>
      </c>
      <c r="P63"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63" t="str">
        <f>VLOOKUP(TabVMEnv[EnvProjet],TabEnvProjet[],4,FALSE)</f>
        <v>GFI Oceanet Infra Réseau Orléans</v>
      </c>
      <c r="R63" s="5" t="str">
        <f>VLOOKUP(TabVMEnv[[#This Row],[SYGES]],TabContrat[],2,FALSE)</f>
        <v>GFI</v>
      </c>
      <c r="S63" s="5" t="str">
        <f>IF(VLOOKUP(TabVMEnv[[#This Row],[VM]],TabOceanet[],1,FALSE) = "","Disparue","")</f>
        <v/>
      </c>
      <c r="T63" s="25">
        <f>VLOOKUP(TabVMEnv[[#This Row],[VM]],TabOceanet[],36,FALSE)/TabVMEnv[[#This Row],[Mutualisé]]</f>
        <v>60.2</v>
      </c>
      <c r="U63" s="25">
        <f>IF(TabVMEnv[[#This Row],[CostCenter]]="CostCenterDI",0,TabVMEnv[[#This Row],[CoutGlobal]])</f>
        <v>60.2</v>
      </c>
      <c r="V63" s="25">
        <f>TabVMEnv[[#This Row],[CoutGlobalSansCostCenterDI]]/TabVMEnv[[#Totals],[CoutGlobalSansCostCenterDI]]*(GlobalARepartirSansMS+GlobalARepartirMSOnly+GlobalARepartirInfraReseau)</f>
        <v>105.07651404134039</v>
      </c>
      <c r="W63" s="25">
        <f>TabVMEnv[[#This Row],[CoutGlobalSansCostCenterDI]]+TabVMEnv[[#This Row],[CoutGlobalSupplementaire]]</f>
        <v>165.27651404134039</v>
      </c>
      <c r="X63" s="5" t="str">
        <f>VLOOKUP(TabVMEnv[[#This Row],[EnvProjet]],TabEnvProjet[],2,FALSE) &amp; " - " &amp; IFERROR(VLOOKUP(TabVMEnv[[#This Row],[EnvProjet]],TabEnvProjet[],4,FALSE),"INCONNU") &amp; " - " &amp; IFERROR(VLOOKUP(TabVMEnv[[#This Row],[EnvProjet]],TabEnvProjet[],5,FALSE),"INCONNU")</f>
        <v>GFI-Oceanet Infra Réseau Orléans - GFI Oceanet Infra Réseau Orléans - Christophe ORLANDO</v>
      </c>
      <c r="Y63" s="5" t="str">
        <f>VLOOKUP(TabVMEnv[EnvProjet],TabEnvProjet[],5,FALSE)</f>
        <v>Christophe ORLANDO</v>
      </c>
      <c r="Z63" s="5">
        <f>VLOOKUP(TabVMEnv[EnvProjet],TabEnvProjet[],6,FALSE)</f>
        <v>305704</v>
      </c>
      <c r="AA63" s="5" t="str">
        <f>VLOOKUP(TabVMEnv[[#This Row],[EnvProjet]],TabEnvProjet[],3,FALSE)</f>
        <v>SOCLE</v>
      </c>
      <c r="AB63" s="5">
        <f>COUNTIF(TabVMEnv[VM],TabVMEnv[VM])</f>
        <v>1</v>
      </c>
    </row>
    <row r="64" spans="1:28" x14ac:dyDescent="0.25">
      <c r="A64" t="s">
        <v>259</v>
      </c>
      <c r="B64" t="s">
        <v>322</v>
      </c>
      <c r="E64" s="13"/>
      <c r="F64">
        <f>IF(VLOOKUP(TabVMEnv[VM],TabOceanet[],16,FALSE) = "Tarif_VM",IF(VLOOKUP(TabVMEnv[VM],TabOceanet[],2,FALSE)&lt;4,4,VLOOKUP(TabVMEnv[VM],TabOceanet[],2,FALSE)),0)</f>
        <v>4</v>
      </c>
      <c r="G64">
        <v>0</v>
      </c>
      <c r="H64">
        <v>0</v>
      </c>
      <c r="I64">
        <v>0</v>
      </c>
      <c r="J64">
        <v>0</v>
      </c>
      <c r="K64">
        <f>IF(VLOOKUP(TabVMEnv[VM],TabOceanet[],16,FALSE) = "Tarif_VM",1,0)/TabVMEnv[[#This Row],[Mutualisé]]</f>
        <v>1</v>
      </c>
      <c r="L64">
        <f>IF(VLOOKUP(TabVMEnv[VM],TabOceanet[],9,FALSE) = "PoweredOn",1,0)</f>
        <v>1</v>
      </c>
      <c r="M64">
        <f>TabVMEnv[[#This Row],[IsVMPoweredOn]]*VLOOKUP(TabVMEnv[VM],TabOceanet[],3,FALSE)/TabVMEnv[[#This Row],[Mutualisé]]</f>
        <v>2</v>
      </c>
      <c r="N64">
        <f>VLOOKUP(TabVMEnv[VM],TabOceanet[],4,FALSE)/TabVMEnv[[#This Row],[Mutualisé]]</f>
        <v>40</v>
      </c>
      <c r="O64">
        <f>IF(LEFT(VLOOKUP(TabVMEnv[VM],TabOceanet[],5,FALSE),3)="win",1,0)</f>
        <v>0</v>
      </c>
      <c r="P64"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64" t="str">
        <f>VLOOKUP(TabVMEnv[EnvProjet],TabEnvProjet[],4,FALSE)</f>
        <v>STMICRO/TMA-R2R-17</v>
      </c>
      <c r="R64" s="5" t="str">
        <f>VLOOKUP(TabVMEnv[[#This Row],[SYGES]],TabContrat[],2,FALSE)</f>
        <v>STMICRO</v>
      </c>
      <c r="S64" s="5" t="str">
        <f>IF(VLOOKUP(TabVMEnv[[#This Row],[VM]],TabOceanet[],1,FALSE) = "","Disparue","")</f>
        <v/>
      </c>
      <c r="T64" s="25">
        <f>VLOOKUP(TabVMEnv[[#This Row],[VM]],TabOceanet[],36,FALSE)/TabVMEnv[[#This Row],[Mutualisé]]</f>
        <v>12.400000000000002</v>
      </c>
      <c r="U64" s="25">
        <f>IF(TabVMEnv[[#This Row],[CostCenter]]="CostCenterDI",0,TabVMEnv[[#This Row],[CoutGlobal]])</f>
        <v>12.400000000000002</v>
      </c>
      <c r="V64" s="25">
        <f>TabVMEnv[[#This Row],[CoutGlobalSansCostCenterDI]]/TabVMEnv[[#Totals],[CoutGlobalSansCostCenterDI]]*(GlobalARepartirSansMS+GlobalARepartirMSOnly+GlobalARepartirInfraReseau)</f>
        <v>21.64366734406347</v>
      </c>
      <c r="W64" s="25">
        <f>TabVMEnv[[#This Row],[CoutGlobalSansCostCenterDI]]+TabVMEnv[[#This Row],[CoutGlobalSupplementaire]]</f>
        <v>34.043667344063472</v>
      </c>
      <c r="X64" s="5" t="str">
        <f>VLOOKUP(TabVMEnv[[#This Row],[EnvProjet]],TabEnvProjet[],2,FALSE) &amp; " - " &amp; IFERROR(VLOOKUP(TabVMEnv[[#This Row],[EnvProjet]],TabEnvProjet[],4,FALSE),"INCONNU") &amp; " - " &amp; IFERROR(VLOOKUP(TabVMEnv[[#This Row],[EnvProjet]],TabEnvProjet[],5,FALSE),"INCONNU")</f>
        <v>STMICRO-RUN2RUN - STMICRO/TMA-R2R-17 - Jean-Philippe STROIAZZO</v>
      </c>
      <c r="Y64" s="5" t="str">
        <f>VLOOKUP(TabVMEnv[EnvProjet],TabEnvProjet[],5,FALSE)</f>
        <v>Jean-Philippe STROIAZZO</v>
      </c>
      <c r="Z64" s="5">
        <f>VLOOKUP(TabVMEnv[EnvProjet],TabEnvProjet[],6,FALSE)</f>
        <v>305704</v>
      </c>
      <c r="AA64" s="5" t="str">
        <f>VLOOKUP(TabVMEnv[[#This Row],[EnvProjet]],TabEnvProjet[],3,FALSE)</f>
        <v>DEV</v>
      </c>
      <c r="AB64" s="5">
        <f>COUNTIF(TabVMEnv[VM],TabVMEnv[VM])</f>
        <v>1</v>
      </c>
    </row>
    <row r="65" spans="1:28" x14ac:dyDescent="0.25">
      <c r="A65" t="s">
        <v>196</v>
      </c>
      <c r="B65" t="s">
        <v>328</v>
      </c>
      <c r="E65" s="13"/>
      <c r="F65">
        <f>IF(VLOOKUP(TabVMEnv[VM],TabOceanet[],16,FALSE) = "Tarif_VM",IF(VLOOKUP(TabVMEnv[VM],TabOceanet[],2,FALSE)&lt;4,4,VLOOKUP(TabVMEnv[VM],TabOceanet[],2,FALSE)),0)</f>
        <v>4</v>
      </c>
      <c r="G65">
        <v>0</v>
      </c>
      <c r="H65">
        <v>0</v>
      </c>
      <c r="I65">
        <v>0</v>
      </c>
      <c r="J65">
        <v>0</v>
      </c>
      <c r="K65">
        <f>IF(VLOOKUP(TabVMEnv[VM],TabOceanet[],16,FALSE) = "Tarif_VM",1,0)/TabVMEnv[[#This Row],[Mutualisé]]</f>
        <v>1</v>
      </c>
      <c r="L65">
        <f>IF(VLOOKUP(TabVMEnv[VM],TabOceanet[],9,FALSE) = "PoweredOn",1,0)</f>
        <v>1</v>
      </c>
      <c r="M65">
        <f>TabVMEnv[[#This Row],[IsVMPoweredOn]]*VLOOKUP(TabVMEnv[VM],TabOceanet[],3,FALSE)/TabVMEnv[[#This Row],[Mutualisé]]</f>
        <v>2</v>
      </c>
      <c r="N65">
        <f>VLOOKUP(TabVMEnv[VM],TabOceanet[],4,FALSE)/TabVMEnv[[#This Row],[Mutualisé]]</f>
        <v>50</v>
      </c>
      <c r="O65">
        <f>IF(LEFT(VLOOKUP(TabVMEnv[VM],TabOceanet[],5,FALSE),3)="win",1,0)</f>
        <v>0</v>
      </c>
      <c r="P65"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65" t="str">
        <f>VLOOKUP(TabVMEnv[EnvProjet],TabEnvProjet[],4,FALSE)</f>
        <v>FRR/TMASI</v>
      </c>
      <c r="R65" s="5" t="str">
        <f>VLOOKUP(TabVMEnv[[#This Row],[SYGES]],TabContrat[],2,FALSE)</f>
        <v>FRR</v>
      </c>
      <c r="S65" s="5" t="str">
        <f>IF(VLOOKUP(TabVMEnv[[#This Row],[VM]],TabOceanet[],1,FALSE) = "","Disparue","")</f>
        <v/>
      </c>
      <c r="T65" s="25">
        <f>VLOOKUP(TabVMEnv[[#This Row],[VM]],TabOceanet[],36,FALSE)/TabVMEnv[[#This Row],[Mutualisé]]</f>
        <v>14.7</v>
      </c>
      <c r="U65" s="25">
        <f>IF(TabVMEnv[[#This Row],[CostCenter]]="CostCenterDI",0,TabVMEnv[[#This Row],[CoutGlobal]])</f>
        <v>14.7</v>
      </c>
      <c r="V65" s="25">
        <f>TabVMEnv[[#This Row],[CoutGlobalSansCostCenterDI]]/TabVMEnv[[#Totals],[CoutGlobalSansCostCenterDI]]*(GlobalARepartirSansMS+GlobalARepartirMSOnly+GlobalARepartirInfraReseau)</f>
        <v>25.658218544978464</v>
      </c>
      <c r="W65" s="25">
        <f>TabVMEnv[[#This Row],[CoutGlobalSansCostCenterDI]]+TabVMEnv[[#This Row],[CoutGlobalSupplementaire]]</f>
        <v>40.358218544978463</v>
      </c>
      <c r="X65" s="5" t="str">
        <f>VLOOKUP(TabVMEnv[[#This Row],[EnvProjet]],TabEnvProjet[],2,FALSE) &amp; " - " &amp; IFERROR(VLOOKUP(TabVMEnv[[#This Row],[EnvProjet]],TabEnvProjet[],4,FALSE),"INCONNU") &amp; " - " &amp; IFERROR(VLOOKUP(TabVMEnv[[#This Row],[EnvProjet]],TabEnvProjet[],5,FALSE),"INCONNU")</f>
        <v>FRR-Patapain - FRR/TMASI - Rodolphe Habegger</v>
      </c>
      <c r="Y65" s="5" t="str">
        <f>VLOOKUP(TabVMEnv[EnvProjet],TabEnvProjet[],5,FALSE)</f>
        <v>Rodolphe Habegger</v>
      </c>
      <c r="Z65" s="5">
        <f>VLOOKUP(TabVMEnv[EnvProjet],TabEnvProjet[],6,FALSE)</f>
        <v>305704</v>
      </c>
      <c r="AA65" s="5" t="str">
        <f>VLOOKUP(TabVMEnv[[#This Row],[EnvProjet]],TabEnvProjet[],3,FALSE)</f>
        <v>RECETTE</v>
      </c>
      <c r="AB65" s="5">
        <f>COUNTIF(TabVMEnv[VM],TabVMEnv[VM])</f>
        <v>1</v>
      </c>
    </row>
    <row r="66" spans="1:28" x14ac:dyDescent="0.25">
      <c r="A66" t="s">
        <v>185</v>
      </c>
      <c r="B66" t="s">
        <v>329</v>
      </c>
      <c r="E66" s="13"/>
      <c r="F66">
        <f>IF(VLOOKUP(TabVMEnv[VM],TabOceanet[],16,FALSE) = "Tarif_VM",IF(VLOOKUP(TabVMEnv[VM],TabOceanet[],2,FALSE)&lt;4,4,VLOOKUP(TabVMEnv[VM],TabOceanet[],2,FALSE)),0)</f>
        <v>4</v>
      </c>
      <c r="G66">
        <v>0</v>
      </c>
      <c r="H66">
        <v>0</v>
      </c>
      <c r="I66">
        <v>0</v>
      </c>
      <c r="J66">
        <v>0</v>
      </c>
      <c r="K66">
        <f>IF(VLOOKUP(TabVMEnv[VM],TabOceanet[],16,FALSE) = "Tarif_VM",1,0)/TabVMEnv[[#This Row],[Mutualisé]]</f>
        <v>1</v>
      </c>
      <c r="L66">
        <f>IF(VLOOKUP(TabVMEnv[VM],TabOceanet[],9,FALSE) = "PoweredOn",1,0)</f>
        <v>1</v>
      </c>
      <c r="M66">
        <f>TabVMEnv[[#This Row],[IsVMPoweredOn]]*VLOOKUP(TabVMEnv[VM],TabOceanet[],3,FALSE)/TabVMEnv[[#This Row],[Mutualisé]]</f>
        <v>2</v>
      </c>
      <c r="N66">
        <f>VLOOKUP(TabVMEnv[VM],TabOceanet[],4,FALSE)/TabVMEnv[[#This Row],[Mutualisé]]</f>
        <v>60</v>
      </c>
      <c r="O66">
        <f>IF(LEFT(VLOOKUP(TabVMEnv[VM],TabOceanet[],5,FALSE),3)="win",1,0)</f>
        <v>0</v>
      </c>
      <c r="P66"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66" t="str">
        <f>VLOOKUP(TabVMEnv[EnvProjet],TabEnvProjet[],4,FALSE)</f>
        <v>GFI Oceanet Orléans PIC</v>
      </c>
      <c r="R66" s="5" t="str">
        <f>VLOOKUP(TabVMEnv[[#This Row],[SYGES]],TabContrat[],2,FALSE)</f>
        <v>GFI</v>
      </c>
      <c r="S66" s="5" t="str">
        <f>IF(VLOOKUP(TabVMEnv[[#This Row],[VM]],TabOceanet[],1,FALSE) = "","Disparue","")</f>
        <v/>
      </c>
      <c r="T66" s="25">
        <f>VLOOKUP(TabVMEnv[[#This Row],[VM]],TabOceanet[],36,FALSE)/TabVMEnv[[#This Row],[Mutualisé]]</f>
        <v>17</v>
      </c>
      <c r="U66" s="25">
        <f>IF(TabVMEnv[[#This Row],[CostCenter]]="CostCenterDI",0,TabVMEnv[[#This Row],[CoutGlobal]])</f>
        <v>17</v>
      </c>
      <c r="V66" s="25">
        <f>TabVMEnv[[#This Row],[CoutGlobalSansCostCenterDI]]/TabVMEnv[[#Totals],[CoutGlobalSansCostCenterDI]]*(GlobalARepartirSansMS+GlobalARepartirMSOnly+GlobalARepartirInfraReseau)</f>
        <v>29.672769745893461</v>
      </c>
      <c r="W66" s="25">
        <f>TabVMEnv[[#This Row],[CoutGlobalSansCostCenterDI]]+TabVMEnv[[#This Row],[CoutGlobalSupplementaire]]</f>
        <v>46.672769745893461</v>
      </c>
      <c r="X66" s="5" t="str">
        <f>VLOOKUP(TabVMEnv[[#This Row],[EnvProjet]],TabEnvProjet[],2,FALSE) &amp; " - " &amp; IFERROR(VLOOKUP(TabVMEnv[[#This Row],[EnvProjet]],TabEnvProjet[],4,FALSE),"INCONNU") &amp; " - " &amp; IFERROR(VLOOKUP(TabVMEnv[[#This Row],[EnvProjet]],TabEnvProjet[],5,FALSE),"INCONNU")</f>
        <v>GFI-Oceanet Orléans PIC - GFI Oceanet Orléans PIC - Christophe ORLANDO</v>
      </c>
      <c r="Y66" s="5" t="str">
        <f>VLOOKUP(TabVMEnv[EnvProjet],TabEnvProjet[],5,FALSE)</f>
        <v>Christophe ORLANDO</v>
      </c>
      <c r="Z66" s="5">
        <f>VLOOKUP(TabVMEnv[EnvProjet],TabEnvProjet[],6,FALSE)</f>
        <v>305704</v>
      </c>
      <c r="AA66" s="5" t="str">
        <f>VLOOKUP(TabVMEnv[[#This Row],[EnvProjet]],TabEnvProjet[],3,FALSE)</f>
        <v>QUAL_BUILD</v>
      </c>
      <c r="AB66" s="5">
        <f>COUNTIF(TabVMEnv[VM],TabVMEnv[VM])</f>
        <v>1</v>
      </c>
    </row>
    <row r="67" spans="1:28" x14ac:dyDescent="0.25">
      <c r="A67" t="s">
        <v>250</v>
      </c>
      <c r="B67" t="s">
        <v>296</v>
      </c>
      <c r="E67" s="13"/>
      <c r="F67">
        <f>IF(VLOOKUP(TabVMEnv[VM],TabOceanet[],16,FALSE) = "Tarif_VM",IF(VLOOKUP(TabVMEnv[VM],TabOceanet[],2,FALSE)&lt;4,4,VLOOKUP(TabVMEnv[VM],TabOceanet[],2,FALSE)),0)</f>
        <v>4</v>
      </c>
      <c r="G67">
        <v>0</v>
      </c>
      <c r="H67">
        <v>1</v>
      </c>
      <c r="I67">
        <v>0</v>
      </c>
      <c r="J67" s="24">
        <v>4</v>
      </c>
      <c r="K67" s="24">
        <f>IF(VLOOKUP(TabVMEnv[VM],TabOceanet[],16,FALSE) = "Tarif_VM",1,0)/TabVMEnv[[#This Row],[Mutualisé]]</f>
        <v>1</v>
      </c>
      <c r="L67" s="24">
        <f>IF(VLOOKUP(TabVMEnv[VM],TabOceanet[],9,FALSE) = "PoweredOn",1,0)</f>
        <v>1</v>
      </c>
      <c r="M67" s="24">
        <f>TabVMEnv[[#This Row],[IsVMPoweredOn]]*VLOOKUP(TabVMEnv[VM],TabOceanet[],3,FALSE)/TabVMEnv[[#This Row],[Mutualisé]]</f>
        <v>8</v>
      </c>
      <c r="N67" s="24">
        <f>VLOOKUP(TabVMEnv[VM],TabOceanet[],4,FALSE)/TabVMEnv[[#This Row],[Mutualisé]]</f>
        <v>270</v>
      </c>
      <c r="O67" s="24">
        <f>IF(LEFT(VLOOKUP(TabVMEnv[VM],TabOceanet[],5,FALSE),3)="win",1,0)</f>
        <v>1</v>
      </c>
      <c r="P67"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297.49</v>
      </c>
      <c r="Q67" t="str">
        <f>VLOOKUP(TabVMEnv[EnvProjet],TabEnvProjet[],4,FALSE)</f>
        <v>IT-CE/DFA</v>
      </c>
      <c r="R67" s="5" t="str">
        <f>VLOOKUP(TabVMEnv[[#This Row],[SYGES]],TabContrat[],2,FALSE)</f>
        <v>IT-CE</v>
      </c>
      <c r="S67" s="5" t="str">
        <f>IF(VLOOKUP(TabVMEnv[[#This Row],[VM]],TabOceanet[],1,FALSE) = "","Disparue","")</f>
        <v/>
      </c>
      <c r="T67" s="25">
        <f>VLOOKUP(TabVMEnv[[#This Row],[VM]],TabOceanet[],36,FALSE)/TabVMEnv[[#This Row],[Mutualisé]]</f>
        <v>74.900000000000006</v>
      </c>
      <c r="U67" s="25">
        <f>IF(TabVMEnv[[#This Row],[CostCenter]]="CostCenterDI",0,TabVMEnv[[#This Row],[CoutGlobal]])</f>
        <v>74.900000000000006</v>
      </c>
      <c r="V67" s="25">
        <f>TabVMEnv[[#This Row],[CoutGlobalSansCostCenterDI]]/TabVMEnv[[#Totals],[CoutGlobalSansCostCenterDI]]*(GlobalARepartirSansMS+GlobalARepartirMSOnly+GlobalARepartirInfraReseau)</f>
        <v>130.73473258631887</v>
      </c>
      <c r="W67" s="25">
        <f>TabVMEnv[[#This Row],[CoutGlobalSansCostCenterDI]]+TabVMEnv[[#This Row],[CoutGlobalSupplementaire]]</f>
        <v>205.63473258631888</v>
      </c>
      <c r="X67" s="5" t="str">
        <f>VLOOKUP(TabVMEnv[[#This Row],[EnvProjet]],TabEnvProjet[],2,FALSE) &amp; " - " &amp; IFERROR(VLOOKUP(TabVMEnv[[#This Row],[EnvProjet]],TabEnvProjet[],4,FALSE),"INCONNU") &amp; " - " &amp; IFERROR(VLOOKUP(TabVMEnv[[#This Row],[EnvProjet]],TabEnvProjet[],5,FALSE),"INCONNU")</f>
        <v>IT-CE-TMA - IT-CE/DFA - Christophe ORLANDO</v>
      </c>
      <c r="Y67" s="5" t="str">
        <f>VLOOKUP(TabVMEnv[EnvProjet],TabEnvProjet[],5,FALSE)</f>
        <v>Christophe ORLANDO</v>
      </c>
      <c r="Z67" s="5">
        <f>VLOOKUP(TabVMEnv[EnvProjet],TabEnvProjet[],6,FALSE)</f>
        <v>305704</v>
      </c>
      <c r="AA67" s="5" t="str">
        <f>VLOOKUP(TabVMEnv[[#This Row],[EnvProjet]],TabEnvProjet[],3,FALSE)</f>
        <v>TMA</v>
      </c>
      <c r="AB67" s="5">
        <f>COUNTIF(TabVMEnv[VM],TabVMEnv[VM])</f>
        <v>1</v>
      </c>
    </row>
    <row r="68" spans="1:28" x14ac:dyDescent="0.25">
      <c r="A68" t="s">
        <v>150</v>
      </c>
      <c r="B68" t="s">
        <v>294</v>
      </c>
      <c r="D68">
        <v>5</v>
      </c>
      <c r="E68" s="13" t="s">
        <v>1194</v>
      </c>
      <c r="F68">
        <f>IF(VLOOKUP(TabVMEnv[VM],TabOceanet[],16,FALSE) = "Tarif_VM",IF(VLOOKUP(TabVMEnv[VM],TabOceanet[],2,FALSE)&lt;4,4,VLOOKUP(TabVMEnv[VM],TabOceanet[],2,FALSE)),0)</f>
        <v>4</v>
      </c>
      <c r="G68">
        <v>0</v>
      </c>
      <c r="H68">
        <v>0</v>
      </c>
      <c r="I68">
        <v>0</v>
      </c>
      <c r="J68">
        <v>0</v>
      </c>
      <c r="K68">
        <f>IF(VLOOKUP(TabVMEnv[VM],TabOceanet[],16,FALSE) = "Tarif_VM",1,0)/TabVMEnv[[#This Row],[Mutualisé]]</f>
        <v>1</v>
      </c>
      <c r="L68">
        <f>IF(VLOOKUP(TabVMEnv[VM],TabOceanet[],9,FALSE) = "PoweredOn",1,0)</f>
        <v>1</v>
      </c>
      <c r="M68">
        <f>TabVMEnv[[#This Row],[IsVMPoweredOn]]*VLOOKUP(TabVMEnv[VM],TabOceanet[],3,FALSE)/TabVMEnv[[#This Row],[Mutualisé]]</f>
        <v>2</v>
      </c>
      <c r="N68">
        <f>VLOOKUP(TabVMEnv[VM],TabOceanet[],4,FALSE)/TabVMEnv[[#This Row],[Mutualisé]]</f>
        <v>19</v>
      </c>
      <c r="O68">
        <f>IF(LEFT(VLOOKUP(TabVMEnv[VM],TabOceanet[],5,FALSE),3)="win",1,0)</f>
        <v>0</v>
      </c>
      <c r="P68"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68" t="str">
        <f>VLOOKUP(TabVMEnv[EnvProjet],TabEnvProjet[],4,FALSE)</f>
        <v>GFI Oceanet Infra Réseau</v>
      </c>
      <c r="R68" s="5" t="str">
        <f>VLOOKUP(TabVMEnv[[#This Row],[SYGES]],TabContrat[],2,FALSE)</f>
        <v>GFI</v>
      </c>
      <c r="S68" s="5" t="str">
        <f>IF(VLOOKUP(TabVMEnv[[#This Row],[VM]],TabOceanet[],1,FALSE) = "","Disparue","")</f>
        <v/>
      </c>
      <c r="T68" s="17">
        <f>VLOOKUP(TabVMEnv[[#This Row],[VM]],TabOceanet[],36,FALSE)/TabVMEnv[[#This Row],[Mutualisé]]</f>
        <v>7.57</v>
      </c>
      <c r="U68" s="17">
        <f>IF(TabVMEnv[[#This Row],[CostCenter]]="CostCenterDI",0,TabVMEnv[[#This Row],[CoutGlobal]])</f>
        <v>0</v>
      </c>
      <c r="V68" s="17">
        <f>TabVMEnv[[#This Row],[CoutGlobalSansCostCenterDI]]/TabVMEnv[[#Totals],[CoutGlobalSansCostCenterDI]]*(GlobalARepartirSansMS+GlobalARepartirMSOnly+GlobalARepartirInfraReseau)</f>
        <v>0</v>
      </c>
      <c r="W68" s="17">
        <f>TabVMEnv[[#This Row],[CoutGlobalSansCostCenterDI]]+TabVMEnv[[#This Row],[CoutGlobalSupplementaire]]</f>
        <v>0</v>
      </c>
      <c r="X68" s="5" t="str">
        <f>VLOOKUP(TabVMEnv[[#This Row],[EnvProjet]],TabEnvProjet[],2,FALSE) &amp; " - " &amp; IFERROR(VLOOKUP(TabVMEnv[[#This Row],[EnvProjet]],TabEnvProjet[],4,FALSE),"INCONNU") &amp; " - " &amp; IFERROR(VLOOKUP(TabVMEnv[[#This Row],[EnvProjet]],TabEnvProjet[],5,FALSE),"INCONNU")</f>
        <v>GFI-Oceanet Infra Réseau - GFI Oceanet Infra Réseau - Jérôme JACOB</v>
      </c>
      <c r="Y68" s="5" t="str">
        <f>VLOOKUP(TabVMEnv[EnvProjet],TabEnvProjet[],5,FALSE)</f>
        <v>Jérôme JACOB</v>
      </c>
      <c r="Z68" s="5" t="str">
        <f>VLOOKUP(TabVMEnv[EnvProjet],TabEnvProjet[],6,FALSE)</f>
        <v>CostCenterDI</v>
      </c>
      <c r="AA68" s="5" t="str">
        <f>VLOOKUP(TabVMEnv[[#This Row],[EnvProjet]],TabEnvProjet[],3,FALSE)</f>
        <v>SOCLE</v>
      </c>
      <c r="AB68" s="5">
        <f>COUNTIF(TabVMEnv[VM],TabVMEnv[VM])</f>
        <v>1</v>
      </c>
    </row>
    <row r="69" spans="1:28" x14ac:dyDescent="0.25">
      <c r="A69" t="s">
        <v>151</v>
      </c>
      <c r="B69" t="s">
        <v>294</v>
      </c>
      <c r="D69">
        <v>2</v>
      </c>
      <c r="E69" s="13" t="s">
        <v>1195</v>
      </c>
      <c r="F69">
        <f>IF(VLOOKUP(TabVMEnv[VM],TabOceanet[],16,FALSE) = "Tarif_VM",IF(VLOOKUP(TabVMEnv[VM],TabOceanet[],2,FALSE)&lt;4,4,VLOOKUP(TabVMEnv[VM],TabOceanet[],2,FALSE)),0)</f>
        <v>4</v>
      </c>
      <c r="G69">
        <v>0</v>
      </c>
      <c r="H69">
        <v>0</v>
      </c>
      <c r="I69">
        <v>0</v>
      </c>
      <c r="J69">
        <v>0</v>
      </c>
      <c r="K69">
        <f>IF(VLOOKUP(TabVMEnv[VM],TabOceanet[],16,FALSE) = "Tarif_VM",1,0)/TabVMEnv[[#This Row],[Mutualisé]]</f>
        <v>1</v>
      </c>
      <c r="L69">
        <f>IF(VLOOKUP(TabVMEnv[VM],TabOceanet[],9,FALSE) = "PoweredOn",1,0)</f>
        <v>1</v>
      </c>
      <c r="M69">
        <f>TabVMEnv[[#This Row],[IsVMPoweredOn]]*VLOOKUP(TabVMEnv[VM],TabOceanet[],3,FALSE)/TabVMEnv[[#This Row],[Mutualisé]]</f>
        <v>1</v>
      </c>
      <c r="N69">
        <f>VLOOKUP(TabVMEnv[VM],TabOceanet[],4,FALSE)/TabVMEnv[[#This Row],[Mutualisé]]</f>
        <v>4</v>
      </c>
      <c r="O69">
        <f>IF(LEFT(VLOOKUP(TabVMEnv[VM],TabOceanet[],5,FALSE),3)="win",1,0)</f>
        <v>0</v>
      </c>
      <c r="P69"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69" t="str">
        <f>VLOOKUP(TabVMEnv[EnvProjet],TabEnvProjet[],4,FALSE)</f>
        <v>GFI Oceanet Infra Réseau</v>
      </c>
      <c r="R69" s="5" t="str">
        <f>VLOOKUP(TabVMEnv[[#This Row],[SYGES]],TabContrat[],2,FALSE)</f>
        <v>GFI</v>
      </c>
      <c r="S69" s="5" t="str">
        <f>IF(VLOOKUP(TabVMEnv[[#This Row],[VM]],TabOceanet[],1,FALSE) = "","Disparue","")</f>
        <v/>
      </c>
      <c r="T69" s="17">
        <f>VLOOKUP(TabVMEnv[[#This Row],[VM]],TabOceanet[],36,FALSE)/TabVMEnv[[#This Row],[Mutualisé]]</f>
        <v>2.52</v>
      </c>
      <c r="U69" s="17">
        <f>IF(TabVMEnv[[#This Row],[CostCenter]]="CostCenterDI",0,TabVMEnv[[#This Row],[CoutGlobal]])</f>
        <v>0</v>
      </c>
      <c r="V69" s="17">
        <f>TabVMEnv[[#This Row],[CoutGlobalSansCostCenterDI]]/TabVMEnv[[#Totals],[CoutGlobalSansCostCenterDI]]*(GlobalARepartirSansMS+GlobalARepartirMSOnly+GlobalARepartirInfraReseau)</f>
        <v>0</v>
      </c>
      <c r="W69" s="17">
        <f>TabVMEnv[[#This Row],[CoutGlobalSansCostCenterDI]]+TabVMEnv[[#This Row],[CoutGlobalSupplementaire]]</f>
        <v>0</v>
      </c>
      <c r="X69" s="5" t="str">
        <f>VLOOKUP(TabVMEnv[[#This Row],[EnvProjet]],TabEnvProjet[],2,FALSE) &amp; " - " &amp; IFERROR(VLOOKUP(TabVMEnv[[#This Row],[EnvProjet]],TabEnvProjet[],4,FALSE),"INCONNU") &amp; " - " &amp; IFERROR(VLOOKUP(TabVMEnv[[#This Row],[EnvProjet]],TabEnvProjet[],5,FALSE),"INCONNU")</f>
        <v>GFI-Oceanet Infra Réseau - GFI Oceanet Infra Réseau - Jérôme JACOB</v>
      </c>
      <c r="Y69" s="5" t="str">
        <f>VLOOKUP(TabVMEnv[EnvProjet],TabEnvProjet[],5,FALSE)</f>
        <v>Jérôme JACOB</v>
      </c>
      <c r="Z69" s="5" t="str">
        <f>VLOOKUP(TabVMEnv[EnvProjet],TabEnvProjet[],6,FALSE)</f>
        <v>CostCenterDI</v>
      </c>
      <c r="AA69" s="5" t="str">
        <f>VLOOKUP(TabVMEnv[[#This Row],[EnvProjet]],TabEnvProjet[],3,FALSE)</f>
        <v>SOCLE</v>
      </c>
      <c r="AB69" s="5">
        <f>COUNTIF(TabVMEnv[VM],TabVMEnv[VM])</f>
        <v>1</v>
      </c>
    </row>
    <row r="70" spans="1:28" x14ac:dyDescent="0.25">
      <c r="A70" t="s">
        <v>152</v>
      </c>
      <c r="B70" t="s">
        <v>294</v>
      </c>
      <c r="D70">
        <v>0</v>
      </c>
      <c r="E70" s="13" t="s">
        <v>1195</v>
      </c>
      <c r="F70">
        <f>IF(VLOOKUP(TabVMEnv[VM],TabOceanet[],16,FALSE) = "Tarif_VM",IF(VLOOKUP(TabVMEnv[VM],TabOceanet[],2,FALSE)&lt;4,4,VLOOKUP(TabVMEnv[VM],TabOceanet[],2,FALSE)),0)</f>
        <v>4</v>
      </c>
      <c r="G70">
        <v>0</v>
      </c>
      <c r="H70">
        <v>0</v>
      </c>
      <c r="I70">
        <v>0</v>
      </c>
      <c r="J70">
        <v>0</v>
      </c>
      <c r="K70">
        <f>IF(VLOOKUP(TabVMEnv[VM],TabOceanet[],16,FALSE) = "Tarif_VM",1,0)/TabVMEnv[[#This Row],[Mutualisé]]</f>
        <v>1</v>
      </c>
      <c r="L70">
        <f>IF(VLOOKUP(TabVMEnv[VM],TabOceanet[],9,FALSE) = "PoweredOn",1,0)</f>
        <v>1</v>
      </c>
      <c r="M70">
        <f>TabVMEnv[[#This Row],[IsVMPoweredOn]]*VLOOKUP(TabVMEnv[VM],TabOceanet[],3,FALSE)/TabVMEnv[[#This Row],[Mutualisé]]</f>
        <v>1</v>
      </c>
      <c r="N70">
        <f>VLOOKUP(TabVMEnv[VM],TabOceanet[],4,FALSE)/TabVMEnv[[#This Row],[Mutualisé]]</f>
        <v>4</v>
      </c>
      <c r="O70">
        <f>IF(LEFT(VLOOKUP(TabVMEnv[VM],TabOceanet[],5,FALSE),3)="win",1,0)</f>
        <v>0</v>
      </c>
      <c r="P70"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70" t="str">
        <f>VLOOKUP(TabVMEnv[EnvProjet],TabEnvProjet[],4,FALSE)</f>
        <v>GFI Oceanet Infra Réseau</v>
      </c>
      <c r="R70" s="5" t="str">
        <f>VLOOKUP(TabVMEnv[[#This Row],[SYGES]],TabContrat[],2,FALSE)</f>
        <v>GFI</v>
      </c>
      <c r="S70" s="5" t="str">
        <f>IF(VLOOKUP(TabVMEnv[[#This Row],[VM]],TabOceanet[],1,FALSE) = "","Disparue","")</f>
        <v/>
      </c>
      <c r="T70" s="17">
        <f>VLOOKUP(TabVMEnv[[#This Row],[VM]],TabOceanet[],36,FALSE)/TabVMEnv[[#This Row],[Mutualisé]]</f>
        <v>2.52</v>
      </c>
      <c r="U70" s="17">
        <f>IF(TabVMEnv[[#This Row],[CostCenter]]="CostCenterDI",0,TabVMEnv[[#This Row],[CoutGlobal]])</f>
        <v>0</v>
      </c>
      <c r="V70" s="17">
        <f>TabVMEnv[[#This Row],[CoutGlobalSansCostCenterDI]]/TabVMEnv[[#Totals],[CoutGlobalSansCostCenterDI]]*(GlobalARepartirSansMS+GlobalARepartirMSOnly+GlobalARepartirInfraReseau)</f>
        <v>0</v>
      </c>
      <c r="W70" s="17">
        <f>TabVMEnv[[#This Row],[CoutGlobalSansCostCenterDI]]+TabVMEnv[[#This Row],[CoutGlobalSupplementaire]]</f>
        <v>0</v>
      </c>
      <c r="X70" s="5" t="str">
        <f>VLOOKUP(TabVMEnv[[#This Row],[EnvProjet]],TabEnvProjet[],2,FALSE) &amp; " - " &amp; IFERROR(VLOOKUP(TabVMEnv[[#This Row],[EnvProjet]],TabEnvProjet[],4,FALSE),"INCONNU") &amp; " - " &amp; IFERROR(VLOOKUP(TabVMEnv[[#This Row],[EnvProjet]],TabEnvProjet[],5,FALSE),"INCONNU")</f>
        <v>GFI-Oceanet Infra Réseau - GFI Oceanet Infra Réseau - Jérôme JACOB</v>
      </c>
      <c r="Y70" s="5" t="str">
        <f>VLOOKUP(TabVMEnv[EnvProjet],TabEnvProjet[],5,FALSE)</f>
        <v>Jérôme JACOB</v>
      </c>
      <c r="Z70" s="5" t="str">
        <f>VLOOKUP(TabVMEnv[EnvProjet],TabEnvProjet[],6,FALSE)</f>
        <v>CostCenterDI</v>
      </c>
      <c r="AA70" s="5" t="str">
        <f>VLOOKUP(TabVMEnv[[#This Row],[EnvProjet]],TabEnvProjet[],3,FALSE)</f>
        <v>SOCLE</v>
      </c>
      <c r="AB70" s="5">
        <f>COUNTIF(TabVMEnv[VM],TabVMEnv[VM])</f>
        <v>1</v>
      </c>
    </row>
    <row r="71" spans="1:28" x14ac:dyDescent="0.25">
      <c r="A71" t="s">
        <v>153</v>
      </c>
      <c r="B71" t="s">
        <v>294</v>
      </c>
      <c r="D71">
        <v>0</v>
      </c>
      <c r="E71" s="13" t="s">
        <v>1196</v>
      </c>
      <c r="F71">
        <f>IF(VLOOKUP(TabVMEnv[VM],TabOceanet[],16,FALSE) = "Tarif_VM",IF(VLOOKUP(TabVMEnv[VM],TabOceanet[],2,FALSE)&lt;4,4,VLOOKUP(TabVMEnv[VM],TabOceanet[],2,FALSE)),0)</f>
        <v>4</v>
      </c>
      <c r="G71">
        <v>0</v>
      </c>
      <c r="H71">
        <v>0</v>
      </c>
      <c r="I71">
        <v>0</v>
      </c>
      <c r="J71">
        <v>0</v>
      </c>
      <c r="K71">
        <f>IF(VLOOKUP(TabVMEnv[VM],TabOceanet[],16,FALSE) = "Tarif_VM",1,0)/TabVMEnv[[#This Row],[Mutualisé]]</f>
        <v>1</v>
      </c>
      <c r="L71">
        <f>IF(VLOOKUP(TabVMEnv[VM],TabOceanet[],9,FALSE) = "PoweredOn",1,0)</f>
        <v>1</v>
      </c>
      <c r="M71">
        <f>TabVMEnv[[#This Row],[IsVMPoweredOn]]*VLOOKUP(TabVMEnv[VM],TabOceanet[],3,FALSE)/TabVMEnv[[#This Row],[Mutualisé]]</f>
        <v>1</v>
      </c>
      <c r="N71">
        <f>VLOOKUP(TabVMEnv[VM],TabOceanet[],4,FALSE)/TabVMEnv[[#This Row],[Mutualisé]]</f>
        <v>4</v>
      </c>
      <c r="O71">
        <f>IF(LEFT(VLOOKUP(TabVMEnv[VM],TabOceanet[],5,FALSE),3)="win",1,0)</f>
        <v>0</v>
      </c>
      <c r="P71"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71" t="str">
        <f>VLOOKUP(TabVMEnv[EnvProjet],TabEnvProjet[],4,FALSE)</f>
        <v>GFI Oceanet Infra Réseau</v>
      </c>
      <c r="R71" s="5" t="str">
        <f>VLOOKUP(TabVMEnv[[#This Row],[SYGES]],TabContrat[],2,FALSE)</f>
        <v>GFI</v>
      </c>
      <c r="S71" s="5" t="str">
        <f>IF(VLOOKUP(TabVMEnv[[#This Row],[VM]],TabOceanet[],1,FALSE) = "","Disparue","")</f>
        <v/>
      </c>
      <c r="T71" s="17">
        <f>VLOOKUP(TabVMEnv[[#This Row],[VM]],TabOceanet[],36,FALSE)/TabVMEnv[[#This Row],[Mutualisé]]</f>
        <v>2.52</v>
      </c>
      <c r="U71" s="17">
        <f>IF(TabVMEnv[[#This Row],[CostCenter]]="CostCenterDI",0,TabVMEnv[[#This Row],[CoutGlobal]])</f>
        <v>0</v>
      </c>
      <c r="V71" s="17">
        <f>TabVMEnv[[#This Row],[CoutGlobalSansCostCenterDI]]/TabVMEnv[[#Totals],[CoutGlobalSansCostCenterDI]]*(GlobalARepartirSansMS+GlobalARepartirMSOnly+GlobalARepartirInfraReseau)</f>
        <v>0</v>
      </c>
      <c r="W71" s="17">
        <f>TabVMEnv[[#This Row],[CoutGlobalSansCostCenterDI]]+TabVMEnv[[#This Row],[CoutGlobalSupplementaire]]</f>
        <v>0</v>
      </c>
      <c r="X71" s="5" t="str">
        <f>VLOOKUP(TabVMEnv[[#This Row],[EnvProjet]],TabEnvProjet[],2,FALSE) &amp; " - " &amp; IFERROR(VLOOKUP(TabVMEnv[[#This Row],[EnvProjet]],TabEnvProjet[],4,FALSE),"INCONNU") &amp; " - " &amp; IFERROR(VLOOKUP(TabVMEnv[[#This Row],[EnvProjet]],TabEnvProjet[],5,FALSE),"INCONNU")</f>
        <v>GFI-Oceanet Infra Réseau - GFI Oceanet Infra Réseau - Jérôme JACOB</v>
      </c>
      <c r="Y71" s="5" t="str">
        <f>VLOOKUP(TabVMEnv[EnvProjet],TabEnvProjet[],5,FALSE)</f>
        <v>Jérôme JACOB</v>
      </c>
      <c r="Z71" s="5" t="str">
        <f>VLOOKUP(TabVMEnv[EnvProjet],TabEnvProjet[],6,FALSE)</f>
        <v>CostCenterDI</v>
      </c>
      <c r="AA71" s="5" t="str">
        <f>VLOOKUP(TabVMEnv[[#This Row],[EnvProjet]],TabEnvProjet[],3,FALSE)</f>
        <v>SOCLE</v>
      </c>
      <c r="AB71" s="5">
        <f>COUNTIF(TabVMEnv[VM],TabVMEnv[VM])</f>
        <v>1</v>
      </c>
    </row>
    <row r="72" spans="1:28" ht="30" x14ac:dyDescent="0.25">
      <c r="A72" t="s">
        <v>53</v>
      </c>
      <c r="B72" t="s">
        <v>330</v>
      </c>
      <c r="C72" s="13" t="s">
        <v>54</v>
      </c>
      <c r="D72" s="13">
        <v>0</v>
      </c>
      <c r="E72" s="13" t="s">
        <v>1197</v>
      </c>
      <c r="F72" s="13">
        <f>IF(VLOOKUP(TabVMEnv[VM],TabOceanet[],16,FALSE) = "Tarif_VM",IF(VLOOKUP(TabVMEnv[VM],TabOceanet[],2,FALSE)&lt;4,4,VLOOKUP(TabVMEnv[VM],TabOceanet[],2,FALSE)),0)</f>
        <v>4</v>
      </c>
      <c r="G72">
        <v>0</v>
      </c>
      <c r="H72">
        <v>0</v>
      </c>
      <c r="I72">
        <v>0</v>
      </c>
      <c r="J72">
        <v>0</v>
      </c>
      <c r="K72">
        <f>IF(VLOOKUP(TabVMEnv[VM],TabOceanet[],16,FALSE) = "Tarif_VM",1,0)/TabVMEnv[[#This Row],[Mutualisé]]</f>
        <v>1</v>
      </c>
      <c r="L72">
        <f>IF(VLOOKUP(TabVMEnv[VM],TabOceanet[],9,FALSE) = "PoweredOn",1,0)</f>
        <v>1</v>
      </c>
      <c r="M72">
        <f>TabVMEnv[[#This Row],[IsVMPoweredOn]]*VLOOKUP(TabVMEnv[VM],TabOceanet[],3,FALSE)/TabVMEnv[[#This Row],[Mutualisé]]</f>
        <v>2</v>
      </c>
      <c r="N72">
        <f>VLOOKUP(TabVMEnv[VM],TabOceanet[],4,FALSE)/TabVMEnv[[#This Row],[Mutualisé]]</f>
        <v>8</v>
      </c>
      <c r="O72">
        <f>IF(LEFT(VLOOKUP(TabVMEnv[VM],TabOceanet[],5,FALSE),3)="win",1,0)</f>
        <v>0</v>
      </c>
      <c r="P72"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72" t="str">
        <f>VLOOKUP(TabVMEnv[EnvProjet],TabEnvProjet[],4,FALSE)</f>
        <v>MAE-PII-L2/334179-17</v>
      </c>
      <c r="R72" s="5" t="str">
        <f>VLOOKUP(TabVMEnv[[#This Row],[SYGES]],TabContrat[],2,FALSE)</f>
        <v>MINISTERE DE L'EUROPE ET DES AFFAIRES ETRANGERES</v>
      </c>
      <c r="S72" s="5" t="str">
        <f>IF(VLOOKUP(TabVMEnv[[#This Row],[VM]],TabOceanet[],1,FALSE) = "","Disparue","")</f>
        <v/>
      </c>
      <c r="T72" s="17">
        <f>VLOOKUP(TabVMEnv[[#This Row],[VM]],TabOceanet[],36,FALSE)/TabVMEnv[[#This Row],[Mutualisé]]</f>
        <v>5.04</v>
      </c>
      <c r="U72" s="17">
        <f>IF(TabVMEnv[[#This Row],[CostCenter]]="CostCenterDI",0,TabVMEnv[[#This Row],[CoutGlobal]])</f>
        <v>5.04</v>
      </c>
      <c r="V72" s="17">
        <f>TabVMEnv[[#This Row],[CoutGlobalSansCostCenterDI]]/TabVMEnv[[#Totals],[CoutGlobalSansCostCenterDI]]*(GlobalARepartirSansMS+GlobalARepartirMSOnly+GlobalARepartirInfraReseau)</f>
        <v>8.7971035011354743</v>
      </c>
      <c r="W72" s="17">
        <f>TabVMEnv[[#This Row],[CoutGlobalSansCostCenterDI]]+TabVMEnv[[#This Row],[CoutGlobalSupplementaire]]</f>
        <v>13.837103501135473</v>
      </c>
      <c r="X72" s="5" t="str">
        <f>VLOOKUP(TabVMEnv[[#This Row],[EnvProjet]],TabEnvProjet[],2,FALSE) &amp; " - " &amp; IFERROR(VLOOKUP(TabVMEnv[[#This Row],[EnvProjet]],TabEnvProjet[],4,FALSE),"INCONNU") &amp; " - " &amp; IFERROR(VLOOKUP(TabVMEnv[[#This Row],[EnvProjet]],TabEnvProjet[],5,FALSE),"INCONNU")</f>
        <v>MEAE-Visa - MAE-PII-L2/334179-17 - Axel Benoist-Gironiere</v>
      </c>
      <c r="Y72" s="5" t="str">
        <f>VLOOKUP(TabVMEnv[EnvProjet],TabEnvProjet[],5,FALSE)</f>
        <v>Axel Benoist-Gironiere</v>
      </c>
      <c r="Z72" s="5">
        <f>VLOOKUP(TabVMEnv[EnvProjet],TabEnvProjet[],6,FALSE)</f>
        <v>341531</v>
      </c>
      <c r="AA72" s="5" t="str">
        <f>VLOOKUP(TabVMEnv[[#This Row],[EnvProjet]],TabEnvProjet[],3,FALSE)</f>
        <v>QUAL</v>
      </c>
      <c r="AB72" s="5">
        <f>COUNTIF(TabVMEnv[VM],TabVMEnv[VM])</f>
        <v>1</v>
      </c>
    </row>
    <row r="73" spans="1:28" ht="30" x14ac:dyDescent="0.25">
      <c r="A73" t="s">
        <v>55</v>
      </c>
      <c r="B73" t="s">
        <v>330</v>
      </c>
      <c r="C73" s="13" t="s">
        <v>56</v>
      </c>
      <c r="D73" s="13">
        <v>0</v>
      </c>
      <c r="E73" s="13" t="s">
        <v>1197</v>
      </c>
      <c r="F73" s="13">
        <f>IF(VLOOKUP(TabVMEnv[VM],TabOceanet[],16,FALSE) = "Tarif_VM",IF(VLOOKUP(TabVMEnv[VM],TabOceanet[],2,FALSE)&lt;4,4,VLOOKUP(TabVMEnv[VM],TabOceanet[],2,FALSE)),0)</f>
        <v>4</v>
      </c>
      <c r="G73">
        <v>0</v>
      </c>
      <c r="H73">
        <v>0</v>
      </c>
      <c r="I73">
        <v>0</v>
      </c>
      <c r="J73">
        <v>0</v>
      </c>
      <c r="K73">
        <f>IF(VLOOKUP(TabVMEnv[VM],TabOceanet[],16,FALSE) = "Tarif_VM",1,0)/TabVMEnv[[#This Row],[Mutualisé]]</f>
        <v>1</v>
      </c>
      <c r="L73">
        <f>IF(VLOOKUP(TabVMEnv[VM],TabOceanet[],9,FALSE) = "PoweredOn",1,0)</f>
        <v>1</v>
      </c>
      <c r="M73">
        <f>TabVMEnv[[#This Row],[IsVMPoweredOn]]*VLOOKUP(TabVMEnv[VM],TabOceanet[],3,FALSE)/TabVMEnv[[#This Row],[Mutualisé]]</f>
        <v>2</v>
      </c>
      <c r="N73">
        <f>VLOOKUP(TabVMEnv[VM],TabOceanet[],4,FALSE)/TabVMEnv[[#This Row],[Mutualisé]]</f>
        <v>7</v>
      </c>
      <c r="O73">
        <f>IF(LEFT(VLOOKUP(TabVMEnv[VM],TabOceanet[],5,FALSE),3)="win",1,0)</f>
        <v>0</v>
      </c>
      <c r="P73"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73" t="str">
        <f>VLOOKUP(TabVMEnv[EnvProjet],TabEnvProjet[],4,FALSE)</f>
        <v>MAE-PII-L2/334179-17</v>
      </c>
      <c r="R73" s="5" t="str">
        <f>VLOOKUP(TabVMEnv[[#This Row],[SYGES]],TabContrat[],2,FALSE)</f>
        <v>MINISTERE DE L'EUROPE ET DES AFFAIRES ETRANGERES</v>
      </c>
      <c r="S73" s="5" t="str">
        <f>IF(VLOOKUP(TabVMEnv[[#This Row],[VM]],TabOceanet[],1,FALSE) = "","Disparue","")</f>
        <v/>
      </c>
      <c r="T73" s="17">
        <f>VLOOKUP(TabVMEnv[[#This Row],[VM]],TabOceanet[],36,FALSE)/TabVMEnv[[#This Row],[Mutualisé]]</f>
        <v>4.8100000000000005</v>
      </c>
      <c r="U73" s="17">
        <f>IF(TabVMEnv[[#This Row],[CostCenter]]="CostCenterDI",0,TabVMEnv[[#This Row],[CoutGlobal]])</f>
        <v>4.8100000000000005</v>
      </c>
      <c r="V73" s="17">
        <f>TabVMEnv[[#This Row],[CoutGlobalSansCostCenterDI]]/TabVMEnv[[#Totals],[CoutGlobalSansCostCenterDI]]*(GlobalARepartirSansMS+GlobalARepartirMSOnly+GlobalARepartirInfraReseau)</f>
        <v>8.3956483810439746</v>
      </c>
      <c r="W73" s="17">
        <f>TabVMEnv[[#This Row],[CoutGlobalSansCostCenterDI]]+TabVMEnv[[#This Row],[CoutGlobalSupplementaire]]</f>
        <v>13.205648381043975</v>
      </c>
      <c r="X73" s="5" t="str">
        <f>VLOOKUP(TabVMEnv[[#This Row],[EnvProjet]],TabEnvProjet[],2,FALSE) &amp; " - " &amp; IFERROR(VLOOKUP(TabVMEnv[[#This Row],[EnvProjet]],TabEnvProjet[],4,FALSE),"INCONNU") &amp; " - " &amp; IFERROR(VLOOKUP(TabVMEnv[[#This Row],[EnvProjet]],TabEnvProjet[],5,FALSE),"INCONNU")</f>
        <v>MEAE-Visa - MAE-PII-L2/334179-17 - Axel Benoist-Gironiere</v>
      </c>
      <c r="Y73" s="5" t="str">
        <f>VLOOKUP(TabVMEnv[EnvProjet],TabEnvProjet[],5,FALSE)</f>
        <v>Axel Benoist-Gironiere</v>
      </c>
      <c r="Z73" s="5">
        <f>VLOOKUP(TabVMEnv[EnvProjet],TabEnvProjet[],6,FALSE)</f>
        <v>341531</v>
      </c>
      <c r="AA73" s="5" t="str">
        <f>VLOOKUP(TabVMEnv[[#This Row],[EnvProjet]],TabEnvProjet[],3,FALSE)</f>
        <v>QUAL</v>
      </c>
      <c r="AB73" s="5">
        <f>COUNTIF(TabVMEnv[VM],TabVMEnv[VM])</f>
        <v>1</v>
      </c>
    </row>
    <row r="74" spans="1:28" x14ac:dyDescent="0.25">
      <c r="A74" t="s">
        <v>225</v>
      </c>
      <c r="B74" t="s">
        <v>331</v>
      </c>
      <c r="D74">
        <v>0</v>
      </c>
      <c r="E74" s="13"/>
      <c r="F74">
        <f>IF(VLOOKUP(TabVMEnv[VM],TabOceanet[],16,FALSE) = "Tarif_VM",IF(VLOOKUP(TabVMEnv[VM],TabOceanet[],2,FALSE)&lt;4,4,VLOOKUP(TabVMEnv[VM],TabOceanet[],2,FALSE)),0)</f>
        <v>4</v>
      </c>
      <c r="G74">
        <v>0</v>
      </c>
      <c r="H74">
        <v>0</v>
      </c>
      <c r="I74">
        <v>0</v>
      </c>
      <c r="J74">
        <v>0</v>
      </c>
      <c r="K74">
        <f>IF(VLOOKUP(TabVMEnv[VM],TabOceanet[],16,FALSE) = "Tarif_VM",1,0)/TabVMEnv[[#This Row],[Mutualisé]]</f>
        <v>1</v>
      </c>
      <c r="L74">
        <f>IF(VLOOKUP(TabVMEnv[VM],TabOceanet[],9,FALSE) = "PoweredOn",1,0)</f>
        <v>1</v>
      </c>
      <c r="M74">
        <f>TabVMEnv[[#This Row],[IsVMPoweredOn]]*VLOOKUP(TabVMEnv[VM],TabOceanet[],3,FALSE)/TabVMEnv[[#This Row],[Mutualisé]]</f>
        <v>1</v>
      </c>
      <c r="N74">
        <f>VLOOKUP(TabVMEnv[VM],TabOceanet[],4,FALSE)/TabVMEnv[[#This Row],[Mutualisé]]</f>
        <v>6</v>
      </c>
      <c r="O74">
        <f>IF(LEFT(VLOOKUP(TabVMEnv[VM],TabOceanet[],5,FALSE),3)="win",1,0)</f>
        <v>0</v>
      </c>
      <c r="P74"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74" t="str">
        <f>VLOOKUP(TabVMEnv[EnvProjet],TabEnvProjet[],4,FALSE)</f>
        <v>SUPP-DIGI - 1530-2018 - 0 - 1 - Tache 1 - Perform</v>
      </c>
      <c r="R74" s="5" t="str">
        <f>VLOOKUP(TabVMEnv[[#This Row],[SYGES]],TabContrat[],2,FALSE)</f>
        <v>GFI</v>
      </c>
      <c r="S74" s="5" t="str">
        <f>IF(VLOOKUP(TabVMEnv[[#This Row],[VM]],TabOceanet[],1,FALSE) = "","Disparue","")</f>
        <v/>
      </c>
      <c r="T74" s="17">
        <f>VLOOKUP(TabVMEnv[[#This Row],[VM]],TabOceanet[],36,FALSE)/TabVMEnv[[#This Row],[Mutualisé]]</f>
        <v>2.9800000000000004</v>
      </c>
      <c r="U74" s="17">
        <f>IF(TabVMEnv[[#This Row],[CostCenter]]="CostCenterDI",0,TabVMEnv[[#This Row],[CoutGlobal]])</f>
        <v>2.9800000000000004</v>
      </c>
      <c r="V74" s="17">
        <f>TabVMEnv[[#This Row],[CoutGlobalSansCostCenterDI]]/TabVMEnv[[#Totals],[CoutGlobalSansCostCenterDI]]*(GlobalARepartirSansMS+GlobalARepartirMSOnly+GlobalARepartirInfraReseau)</f>
        <v>5.2014619907507376</v>
      </c>
      <c r="W74" s="17">
        <f>TabVMEnv[[#This Row],[CoutGlobalSansCostCenterDI]]+TabVMEnv[[#This Row],[CoutGlobalSupplementaire]]</f>
        <v>8.1814619907507371</v>
      </c>
      <c r="X74" s="5" t="str">
        <f>VLOOKUP(TabVMEnv[[#This Row],[EnvProjet]],TabEnvProjet[],2,FALSE) &amp; " - " &amp; IFERROR(VLOOKUP(TabVMEnv[[#This Row],[EnvProjet]],TabEnvProjet[],4,FALSE),"INCONNU") &amp; " - " &amp; IFERROR(VLOOKUP(TabVMEnv[[#This Row],[EnvProjet]],TabEnvProjet[],5,FALSE),"INCONNU")</f>
        <v>DIG-Perform - SUPP-DIGI - 1530-2018 - 0 - 1 - Tache 1 - Perform - Vincent MERIAU</v>
      </c>
      <c r="Y74" s="5" t="str">
        <f>VLOOKUP(TabVMEnv[EnvProjet],TabEnvProjet[],5,FALSE)</f>
        <v>Vincent MERIAU</v>
      </c>
      <c r="Z74" s="5">
        <f>VLOOKUP(TabVMEnv[EnvProjet],TabEnvProjet[],6,FALSE)</f>
        <v>341531</v>
      </c>
      <c r="AA74" s="5" t="str">
        <f>VLOOKUP(TabVMEnv[[#This Row],[EnvProjet]],TabEnvProjet[],3,FALSE)</f>
        <v>SOCLE</v>
      </c>
      <c r="AB74" s="5">
        <f>COUNTIF(TabVMEnv[VM],TabVMEnv[VM])</f>
        <v>1</v>
      </c>
    </row>
    <row r="75" spans="1:28" ht="30" x14ac:dyDescent="0.25">
      <c r="A75" s="24" t="s">
        <v>10</v>
      </c>
      <c r="B75" t="s">
        <v>332</v>
      </c>
      <c r="C75" s="13" t="s">
        <v>11</v>
      </c>
      <c r="D75" s="13">
        <v>0</v>
      </c>
      <c r="E75" s="13" t="s">
        <v>1197</v>
      </c>
      <c r="F75" s="13">
        <f>IF(VLOOKUP(TabVMEnv[VM],TabOceanet[],16,FALSE) = "Tarif_VM",IF(VLOOKUP(TabVMEnv[VM],TabOceanet[],2,FALSE)&lt;4,4,VLOOKUP(TabVMEnv[VM],TabOceanet[],2,FALSE)),0)</f>
        <v>4</v>
      </c>
      <c r="G75">
        <v>0</v>
      </c>
      <c r="H75">
        <v>0</v>
      </c>
      <c r="I75">
        <v>0</v>
      </c>
      <c r="J75">
        <v>0</v>
      </c>
      <c r="K75">
        <f>IF(VLOOKUP(TabVMEnv[VM],TabOceanet[],16,FALSE) = "Tarif_VM",1,0)/TabVMEnv[[#This Row],[Mutualisé]]</f>
        <v>0.5</v>
      </c>
      <c r="L75">
        <f>IF(VLOOKUP(TabVMEnv[VM],TabOceanet[],9,FALSE) = "PoweredOn",1,0)</f>
        <v>1</v>
      </c>
      <c r="M75">
        <f>TabVMEnv[[#This Row],[IsVMPoweredOn]]*VLOOKUP(TabVMEnv[VM],TabOceanet[],3,FALSE)/TabVMEnv[[#This Row],[Mutualisé]]</f>
        <v>1</v>
      </c>
      <c r="N75">
        <f>VLOOKUP(TabVMEnv[VM],TabOceanet[],4,FALSE)/TabVMEnv[[#This Row],[Mutualisé]]</f>
        <v>4</v>
      </c>
      <c r="O75">
        <f>IF(LEFT(VLOOKUP(TabVMEnv[VM],TabOceanet[],5,FALSE),3)="win",1,0)</f>
        <v>0</v>
      </c>
      <c r="P75"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75" t="str">
        <f>VLOOKUP(TabVMEnv[EnvProjet],TabEnvProjet[],4,FALSE)</f>
        <v>MAE-PII-L2/334179-17</v>
      </c>
      <c r="R75" s="5" t="str">
        <f>VLOOKUP(TabVMEnv[[#This Row],[SYGES]],TabContrat[],2,FALSE)</f>
        <v>MINISTERE DE L'EUROPE ET DES AFFAIRES ETRANGERES</v>
      </c>
      <c r="S75" s="5" t="str">
        <f>IF(VLOOKUP(TabVMEnv[[#This Row],[VM]],TabOceanet[],1,FALSE) = "","Disparue","")</f>
        <v/>
      </c>
      <c r="T75" s="25">
        <f>VLOOKUP(TabVMEnv[[#This Row],[VM]],TabOceanet[],36,FALSE)/TabVMEnv[[#This Row],[Mutualisé]]</f>
        <v>2.52</v>
      </c>
      <c r="U75" s="25">
        <f>IF(TabVMEnv[[#This Row],[CostCenter]]="CostCenterDI",0,TabVMEnv[[#This Row],[CoutGlobal]])</f>
        <v>2.52</v>
      </c>
      <c r="V75" s="25">
        <f>TabVMEnv[[#This Row],[CoutGlobalSansCostCenterDI]]/TabVMEnv[[#Totals],[CoutGlobalSansCostCenterDI]]*(GlobalARepartirSansMS+GlobalARepartirMSOnly+GlobalARepartirInfraReseau)</f>
        <v>4.3985517505677372</v>
      </c>
      <c r="W75" s="25">
        <f>TabVMEnv[[#This Row],[CoutGlobalSansCostCenterDI]]+TabVMEnv[[#This Row],[CoutGlobalSupplementaire]]</f>
        <v>6.9185517505677367</v>
      </c>
      <c r="X75" s="5" t="str">
        <f>VLOOKUP(TabVMEnv[[#This Row],[EnvProjet]],TabEnvProjet[],2,FALSE) &amp; " - " &amp; IFERROR(VLOOKUP(TabVMEnv[[#This Row],[EnvProjet]],TabEnvProjet[],4,FALSE),"INCONNU") &amp; " - " &amp; IFERROR(VLOOKUP(TabVMEnv[[#This Row],[EnvProjet]],TabEnvProjet[],5,FALSE),"INCONNU")</f>
        <v>MEAE-SAGAIE TMA - MAE-PII-L2/334179-17 - Axel Benoist-Gironiere, Vincent MERIAU</v>
      </c>
      <c r="Y75" s="5" t="str">
        <f>VLOOKUP(TabVMEnv[EnvProjet],TabEnvProjet[],5,FALSE)</f>
        <v>Axel Benoist-Gironiere, Vincent MERIAU</v>
      </c>
      <c r="Z75" s="5">
        <f>VLOOKUP(TabVMEnv[EnvProjet],TabEnvProjet[],6,FALSE)</f>
        <v>341531</v>
      </c>
      <c r="AA75" s="5" t="str">
        <f>VLOOKUP(TabVMEnv[[#This Row],[EnvProjet]],TabEnvProjet[],3,FALSE)</f>
        <v>SOCLE</v>
      </c>
      <c r="AB75" s="5">
        <f>COUNTIF(TabVMEnv[VM],TabVMEnv[VM])</f>
        <v>2</v>
      </c>
    </row>
    <row r="76" spans="1:28" x14ac:dyDescent="0.25">
      <c r="A76" s="24" t="s">
        <v>10</v>
      </c>
      <c r="B76" t="s">
        <v>333</v>
      </c>
      <c r="C76" t="s">
        <v>13</v>
      </c>
      <c r="D76">
        <v>0</v>
      </c>
      <c r="E76" s="13" t="s">
        <v>1197</v>
      </c>
      <c r="F76">
        <f>IF(VLOOKUP(TabVMEnv[VM],TabOceanet[],16,FALSE) = "Tarif_VM",IF(VLOOKUP(TabVMEnv[VM],TabOceanet[],2,FALSE)&lt;4,4,VLOOKUP(TabVMEnv[VM],TabOceanet[],2,FALSE)),0)</f>
        <v>4</v>
      </c>
      <c r="G76">
        <v>0</v>
      </c>
      <c r="H76">
        <v>0</v>
      </c>
      <c r="I76">
        <v>0</v>
      </c>
      <c r="J76">
        <v>0</v>
      </c>
      <c r="K76">
        <f>IF(VLOOKUP(TabVMEnv[VM],TabOceanet[],16,FALSE) = "Tarif_VM",1,0)/TabVMEnv[[#This Row],[Mutualisé]]</f>
        <v>0.5</v>
      </c>
      <c r="L76">
        <f>IF(VLOOKUP(TabVMEnv[VM],TabOceanet[],9,FALSE) = "PoweredOn",1,0)</f>
        <v>1</v>
      </c>
      <c r="M76">
        <f>TabVMEnv[[#This Row],[IsVMPoweredOn]]*VLOOKUP(TabVMEnv[VM],TabOceanet[],3,FALSE)/TabVMEnv[[#This Row],[Mutualisé]]</f>
        <v>1</v>
      </c>
      <c r="N76">
        <f>VLOOKUP(TabVMEnv[VM],TabOceanet[],4,FALSE)/TabVMEnv[[#This Row],[Mutualisé]]</f>
        <v>4</v>
      </c>
      <c r="O76">
        <f>IF(LEFT(VLOOKUP(TabVMEnv[VM],TabOceanet[],5,FALSE),3)="win",1,0)</f>
        <v>0</v>
      </c>
      <c r="P76"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76" t="str">
        <f>VLOOKUP(TabVMEnv[EnvProjet],TabEnvProjet[],4,FALSE)</f>
        <v>MAE-PII-L2/334179-17</v>
      </c>
      <c r="R76" s="5" t="str">
        <f>VLOOKUP(TabVMEnv[[#This Row],[SYGES]],TabContrat[],2,FALSE)</f>
        <v>MINISTERE DE L'EUROPE ET DES AFFAIRES ETRANGERES</v>
      </c>
      <c r="S76" s="5" t="str">
        <f>IF(VLOOKUP(TabVMEnv[[#This Row],[VM]],TabOceanet[],1,FALSE) = "","Disparue","")</f>
        <v/>
      </c>
      <c r="T76" s="17">
        <f>VLOOKUP(TabVMEnv[[#This Row],[VM]],TabOceanet[],36,FALSE)/TabVMEnv[[#This Row],[Mutualisé]]</f>
        <v>2.52</v>
      </c>
      <c r="U76" s="17">
        <f>IF(TabVMEnv[[#This Row],[CostCenter]]="CostCenterDI",0,TabVMEnv[[#This Row],[CoutGlobal]])</f>
        <v>2.52</v>
      </c>
      <c r="V76" s="17">
        <f>TabVMEnv[[#This Row],[CoutGlobalSansCostCenterDI]]/TabVMEnv[[#Totals],[CoutGlobalSansCostCenterDI]]*(GlobalARepartirSansMS+GlobalARepartirMSOnly+GlobalARepartirInfraReseau)</f>
        <v>4.3985517505677372</v>
      </c>
      <c r="W76" s="17">
        <f>TabVMEnv[[#This Row],[CoutGlobalSansCostCenterDI]]+TabVMEnv[[#This Row],[CoutGlobalSupplementaire]]</f>
        <v>6.9185517505677367</v>
      </c>
      <c r="X76" s="5" t="str">
        <f>VLOOKUP(TabVMEnv[[#This Row],[EnvProjet]],TabEnvProjet[],2,FALSE) &amp; " - " &amp; IFERROR(VLOOKUP(TabVMEnv[[#This Row],[EnvProjet]],TabEnvProjet[],4,FALSE),"INCONNU") &amp; " - " &amp; IFERROR(VLOOKUP(TabVMEnv[[#This Row],[EnvProjet]],TabEnvProjet[],5,FALSE),"INCONNU")</f>
        <v>MEAE-Visa - MAE-PII-L2/334179-17 - Axel Benoist-Gironiere</v>
      </c>
      <c r="Y76" s="5" t="str">
        <f>VLOOKUP(TabVMEnv[EnvProjet],TabEnvProjet[],5,FALSE)</f>
        <v>Axel Benoist-Gironiere</v>
      </c>
      <c r="Z76" s="5">
        <f>VLOOKUP(TabVMEnv[EnvProjet],TabEnvProjet[],6,FALSE)</f>
        <v>341531</v>
      </c>
      <c r="AA76" s="5" t="str">
        <f>VLOOKUP(TabVMEnv[[#This Row],[EnvProjet]],TabEnvProjet[],3,FALSE)</f>
        <v>SOCLE</v>
      </c>
      <c r="AB76" s="5">
        <f>COUNTIF(TabVMEnv[VM],TabVMEnv[VM])</f>
        <v>2</v>
      </c>
    </row>
    <row r="77" spans="1:28" ht="30" x14ac:dyDescent="0.25">
      <c r="A77" t="s">
        <v>37</v>
      </c>
      <c r="B77" t="s">
        <v>333</v>
      </c>
      <c r="C77" s="13" t="s">
        <v>38</v>
      </c>
      <c r="D77" s="13">
        <v>0</v>
      </c>
      <c r="E77" s="13" t="s">
        <v>1197</v>
      </c>
      <c r="F77" s="13">
        <f>IF(VLOOKUP(TabVMEnv[VM],TabOceanet[],16,FALSE) = "Tarif_VM",IF(VLOOKUP(TabVMEnv[VM],TabOceanet[],2,FALSE)&lt;4,4,VLOOKUP(TabVMEnv[VM],TabOceanet[],2,FALSE)),0)</f>
        <v>4</v>
      </c>
      <c r="G77">
        <v>2</v>
      </c>
      <c r="H77">
        <v>0</v>
      </c>
      <c r="I77">
        <v>0</v>
      </c>
      <c r="J77">
        <v>0</v>
      </c>
      <c r="K77">
        <f>IF(VLOOKUP(TabVMEnv[VM],TabOceanet[],16,FALSE) = "Tarif_VM",1,0)/TabVMEnv[[#This Row],[Mutualisé]]</f>
        <v>1</v>
      </c>
      <c r="L77">
        <f>IF(VLOOKUP(TabVMEnv[VM],TabOceanet[],9,FALSE) = "PoweredOn",1,0)</f>
        <v>1</v>
      </c>
      <c r="M77">
        <f>TabVMEnv[[#This Row],[IsVMPoweredOn]]*VLOOKUP(TabVMEnv[VM],TabOceanet[],3,FALSE)/TabVMEnv[[#This Row],[Mutualisé]]</f>
        <v>4</v>
      </c>
      <c r="N77">
        <f>VLOOKUP(TabVMEnv[VM],TabOceanet[],4,FALSE)/TabVMEnv[[#This Row],[Mutualisé]]</f>
        <v>65</v>
      </c>
      <c r="O77">
        <f>IF(LEFT(VLOOKUP(TabVMEnv[VM],TabOceanet[],5,FALSE),3)="win",1,0)</f>
        <v>1</v>
      </c>
      <c r="P77"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11.96</v>
      </c>
      <c r="Q77" t="str">
        <f>VLOOKUP(TabVMEnv[EnvProjet],TabEnvProjet[],4,FALSE)</f>
        <v>MAE-PII-L2/334179-17</v>
      </c>
      <c r="R77" s="5" t="str">
        <f>VLOOKUP(TabVMEnv[[#This Row],[SYGES]],TabContrat[],2,FALSE)</f>
        <v>MINISTERE DE L'EUROPE ET DES AFFAIRES ETRANGERES</v>
      </c>
      <c r="S77" s="5" t="str">
        <f>IF(VLOOKUP(TabVMEnv[[#This Row],[VM]],TabOceanet[],1,FALSE) = "","Disparue","")</f>
        <v/>
      </c>
      <c r="T77" s="17">
        <f>VLOOKUP(TabVMEnv[[#This Row],[VM]],TabOceanet[],36,FALSE)/TabVMEnv[[#This Row],[Mutualisé]]</f>
        <v>21.35</v>
      </c>
      <c r="U77" s="17">
        <f>IF(TabVMEnv[[#This Row],[CostCenter]]="CostCenterDI",0,TabVMEnv[[#This Row],[CoutGlobal]])</f>
        <v>21.35</v>
      </c>
      <c r="V77" s="17">
        <f>TabVMEnv[[#This Row],[CoutGlobalSansCostCenterDI]]/TabVMEnv[[#Totals],[CoutGlobalSansCostCenterDI]]*(GlobalARepartirSansMS+GlobalARepartirMSOnly+GlobalARepartirInfraReseau)</f>
        <v>37.265507886754442</v>
      </c>
      <c r="W77" s="17">
        <f>TabVMEnv[[#This Row],[CoutGlobalSansCostCenterDI]]+TabVMEnv[[#This Row],[CoutGlobalSupplementaire]]</f>
        <v>58.615507886754443</v>
      </c>
      <c r="X77" s="5" t="str">
        <f>VLOOKUP(TabVMEnv[[#This Row],[EnvProjet]],TabEnvProjet[],2,FALSE) &amp; " - " &amp; IFERROR(VLOOKUP(TabVMEnv[[#This Row],[EnvProjet]],TabEnvProjet[],4,FALSE),"INCONNU") &amp; " - " &amp; IFERROR(VLOOKUP(TabVMEnv[[#This Row],[EnvProjet]],TabEnvProjet[],5,FALSE),"INCONNU")</f>
        <v>MEAE-Visa - MAE-PII-L2/334179-17 - Axel Benoist-Gironiere</v>
      </c>
      <c r="Y77" s="5" t="str">
        <f>VLOOKUP(TabVMEnv[EnvProjet],TabEnvProjet[],5,FALSE)</f>
        <v>Axel Benoist-Gironiere</v>
      </c>
      <c r="Z77" s="5">
        <f>VLOOKUP(TabVMEnv[EnvProjet],TabEnvProjet[],6,FALSE)</f>
        <v>341531</v>
      </c>
      <c r="AA77" s="5" t="str">
        <f>VLOOKUP(TabVMEnv[[#This Row],[EnvProjet]],TabEnvProjet[],3,FALSE)</f>
        <v>SOCLE</v>
      </c>
      <c r="AB77" s="5">
        <f>COUNTIF(TabVMEnv[VM],TabVMEnv[VM])</f>
        <v>1</v>
      </c>
    </row>
    <row r="78" spans="1:28" ht="30" x14ac:dyDescent="0.25">
      <c r="A78" t="s">
        <v>39</v>
      </c>
      <c r="B78" t="s">
        <v>333</v>
      </c>
      <c r="C78" s="13" t="s">
        <v>40</v>
      </c>
      <c r="D78" s="13">
        <v>0</v>
      </c>
      <c r="E78" s="13" t="s">
        <v>1197</v>
      </c>
      <c r="F78" s="13">
        <f>IF(VLOOKUP(TabVMEnv[VM],TabOceanet[],16,FALSE) = "Tarif_VM",IF(VLOOKUP(TabVMEnv[VM],TabOceanet[],2,FALSE)&lt;4,4,VLOOKUP(TabVMEnv[VM],TabOceanet[],2,FALSE)),0)</f>
        <v>4</v>
      </c>
      <c r="G78">
        <v>0</v>
      </c>
      <c r="H78">
        <v>0</v>
      </c>
      <c r="I78">
        <v>0</v>
      </c>
      <c r="J78">
        <v>0</v>
      </c>
      <c r="K78">
        <f>IF(VLOOKUP(TabVMEnv[VM],TabOceanet[],16,FALSE) = "Tarif_VM",1,0)/TabVMEnv[[#This Row],[Mutualisé]]</f>
        <v>1</v>
      </c>
      <c r="L78">
        <f>IF(VLOOKUP(TabVMEnv[VM],TabOceanet[],9,FALSE) = "PoweredOn",1,0)</f>
        <v>0</v>
      </c>
      <c r="M78">
        <f>TabVMEnv[[#This Row],[IsVMPoweredOn]]*VLOOKUP(TabVMEnv[VM],TabOceanet[],3,FALSE)/TabVMEnv[[#This Row],[Mutualisé]]</f>
        <v>0</v>
      </c>
      <c r="N78">
        <f>VLOOKUP(TabVMEnv[VM],TabOceanet[],4,FALSE)/TabVMEnv[[#This Row],[Mutualisé]]</f>
        <v>40</v>
      </c>
      <c r="O78">
        <f>IF(LEFT(VLOOKUP(TabVMEnv[VM],TabOceanet[],5,FALSE),3)="win",1,0)</f>
        <v>1</v>
      </c>
      <c r="P78"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78" t="str">
        <f>VLOOKUP(TabVMEnv[EnvProjet],TabEnvProjet[],4,FALSE)</f>
        <v>MAE-PII-L2/334179-17</v>
      </c>
      <c r="R78" s="5" t="str">
        <f>VLOOKUP(TabVMEnv[[#This Row],[SYGES]],TabContrat[],2,FALSE)</f>
        <v>MINISTERE DE L'EUROPE ET DES AFFAIRES ETRANGERES</v>
      </c>
      <c r="S78" s="5" t="str">
        <f>IF(VLOOKUP(TabVMEnv[[#This Row],[VM]],TabOceanet[],1,FALSE) = "","Disparue","")</f>
        <v/>
      </c>
      <c r="T78" s="17">
        <f>VLOOKUP(TabVMEnv[[#This Row],[VM]],TabOceanet[],36,FALSE)/TabVMEnv[[#This Row],[Mutualisé]]</f>
        <v>9.2000000000000011</v>
      </c>
      <c r="U78" s="17">
        <f>IF(TabVMEnv[[#This Row],[CostCenter]]="CostCenterDI",0,TabVMEnv[[#This Row],[CoutGlobal]])</f>
        <v>9.2000000000000011</v>
      </c>
      <c r="V78" s="17">
        <f>TabVMEnv[[#This Row],[CoutGlobalSansCostCenterDI]]/TabVMEnv[[#Totals],[CoutGlobalSansCostCenterDI]]*(GlobalARepartirSansMS+GlobalARepartirMSOnly+GlobalARepartirInfraReseau)</f>
        <v>16.058204803659994</v>
      </c>
      <c r="W78" s="17">
        <f>TabVMEnv[[#This Row],[CoutGlobalSansCostCenterDI]]+TabVMEnv[[#This Row],[CoutGlobalSupplementaire]]</f>
        <v>25.258204803659993</v>
      </c>
      <c r="X78" s="5" t="str">
        <f>VLOOKUP(TabVMEnv[[#This Row],[EnvProjet]],TabEnvProjet[],2,FALSE) &amp; " - " &amp; IFERROR(VLOOKUP(TabVMEnv[[#This Row],[EnvProjet]],TabEnvProjet[],4,FALSE),"INCONNU") &amp; " - " &amp; IFERROR(VLOOKUP(TabVMEnv[[#This Row],[EnvProjet]],TabEnvProjet[],5,FALSE),"INCONNU")</f>
        <v>MEAE-Visa - MAE-PII-L2/334179-17 - Axel Benoist-Gironiere</v>
      </c>
      <c r="Y78" s="5" t="str">
        <f>VLOOKUP(TabVMEnv[EnvProjet],TabEnvProjet[],5,FALSE)</f>
        <v>Axel Benoist-Gironiere</v>
      </c>
      <c r="Z78" s="5">
        <f>VLOOKUP(TabVMEnv[EnvProjet],TabEnvProjet[],6,FALSE)</f>
        <v>341531</v>
      </c>
      <c r="AA78" s="5" t="str">
        <f>VLOOKUP(TabVMEnv[[#This Row],[EnvProjet]],TabEnvProjet[],3,FALSE)</f>
        <v>SOCLE</v>
      </c>
      <c r="AB78" s="5">
        <f>COUNTIF(TabVMEnv[VM],TabVMEnv[VM])</f>
        <v>1</v>
      </c>
    </row>
    <row r="79" spans="1:28" x14ac:dyDescent="0.25">
      <c r="A79" t="s">
        <v>36</v>
      </c>
      <c r="B79" t="s">
        <v>334</v>
      </c>
      <c r="C79" s="13"/>
      <c r="D79" s="13">
        <v>0</v>
      </c>
      <c r="E79" s="13" t="s">
        <v>1197</v>
      </c>
      <c r="F79" s="13">
        <f>IF(VLOOKUP(TabVMEnv[VM],TabOceanet[],16,FALSE) = "Tarif_VM",IF(VLOOKUP(TabVMEnv[VM],TabOceanet[],2,FALSE)&lt;4,4,VLOOKUP(TabVMEnv[VM],TabOceanet[],2,FALSE)),0)</f>
        <v>4</v>
      </c>
      <c r="G79">
        <v>0</v>
      </c>
      <c r="H79">
        <v>0</v>
      </c>
      <c r="I79">
        <v>0</v>
      </c>
      <c r="J79">
        <v>0</v>
      </c>
      <c r="K79">
        <f>IF(VLOOKUP(TabVMEnv[VM],TabOceanet[],16,FALSE) = "Tarif_VM",1,0)/TabVMEnv[[#This Row],[Mutualisé]]</f>
        <v>1</v>
      </c>
      <c r="L79">
        <f>IF(VLOOKUP(TabVMEnv[VM],TabOceanet[],9,FALSE) = "PoweredOn",1,0)</f>
        <v>1</v>
      </c>
      <c r="M79">
        <f>TabVMEnv[[#This Row],[IsVMPoweredOn]]*VLOOKUP(TabVMEnv[VM],TabOceanet[],3,FALSE)/TabVMEnv[[#This Row],[Mutualisé]]</f>
        <v>4</v>
      </c>
      <c r="N79">
        <f>VLOOKUP(TabVMEnv[VM],TabOceanet[],4,FALSE)/TabVMEnv[[#This Row],[Mutualisé]]</f>
        <v>60</v>
      </c>
      <c r="O79">
        <f>IF(LEFT(VLOOKUP(TabVMEnv[VM],TabOceanet[],5,FALSE),3)="win",1,0)</f>
        <v>1</v>
      </c>
      <c r="P79"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79" t="str">
        <f>VLOOKUP(TabVMEnv[EnvProjet],TabEnvProjet[],4,FALSE)</f>
        <v>MAE-PII-L2/334179-17</v>
      </c>
      <c r="R79" s="5" t="str">
        <f>VLOOKUP(TabVMEnv[[#This Row],[SYGES]],TabContrat[],2,FALSE)</f>
        <v>MINISTERE DE L'EUROPE ET DES AFFAIRES ETRANGERES</v>
      </c>
      <c r="S79" s="5" t="str">
        <f>IF(VLOOKUP(TabVMEnv[[#This Row],[VM]],TabOceanet[],1,FALSE) = "","Disparue","")</f>
        <v/>
      </c>
      <c r="T79" s="25">
        <f>VLOOKUP(TabVMEnv[[#This Row],[VM]],TabOceanet[],36,FALSE)/TabVMEnv[[#This Row],[Mutualisé]]</f>
        <v>20.200000000000003</v>
      </c>
      <c r="U79" s="25">
        <f>IF(TabVMEnv[[#This Row],[CostCenter]]="CostCenterDI",0,TabVMEnv[[#This Row],[CoutGlobal]])</f>
        <v>20.200000000000003</v>
      </c>
      <c r="V79" s="25">
        <f>TabVMEnv[[#This Row],[CoutGlobalSansCostCenterDI]]/TabVMEnv[[#Totals],[CoutGlobalSansCostCenterDI]]*(GlobalARepartirSansMS+GlobalARepartirMSOnly+GlobalARepartirInfraReseau)</f>
        <v>35.258232286296945</v>
      </c>
      <c r="W79" s="25">
        <f>TabVMEnv[[#This Row],[CoutGlobalSansCostCenterDI]]+TabVMEnv[[#This Row],[CoutGlobalSupplementaire]]</f>
        <v>55.458232286296948</v>
      </c>
      <c r="X79" s="5" t="str">
        <f>VLOOKUP(TabVMEnv[[#This Row],[EnvProjet]],TabEnvProjet[],2,FALSE) &amp; " - " &amp; IFERROR(VLOOKUP(TabVMEnv[[#This Row],[EnvProjet]],TabEnvProjet[],4,FALSE),"INCONNU") &amp; " - " &amp; IFERROR(VLOOKUP(TabVMEnv[[#This Row],[EnvProjet]],TabEnvProjet[],5,FALSE),"INCONNU")</f>
        <v>MEAE-Visa - MAE-PII-L2/334179-17 - Axel Benoist-Gironiere</v>
      </c>
      <c r="Y79" s="5" t="str">
        <f>VLOOKUP(TabVMEnv[EnvProjet],TabEnvProjet[],5,FALSE)</f>
        <v>Axel Benoist-Gironiere</v>
      </c>
      <c r="Z79" s="5">
        <f>VLOOKUP(TabVMEnv[EnvProjet],TabEnvProjet[],6,FALSE)</f>
        <v>341531</v>
      </c>
      <c r="AA79" s="5" t="str">
        <f>VLOOKUP(TabVMEnv[[#This Row],[EnvProjet]],TabEnvProjet[],3,FALSE)</f>
        <v>DEV</v>
      </c>
      <c r="AB79" s="5">
        <f>COUNTIF(TabVMEnv[VM],TabVMEnv[VM])</f>
        <v>1</v>
      </c>
    </row>
    <row r="80" spans="1:28" ht="30" x14ac:dyDescent="0.25">
      <c r="A80" t="s">
        <v>41</v>
      </c>
      <c r="B80" t="s">
        <v>333</v>
      </c>
      <c r="C80" s="13" t="s">
        <v>38</v>
      </c>
      <c r="D80" s="13">
        <v>0</v>
      </c>
      <c r="E80" s="13" t="s">
        <v>1197</v>
      </c>
      <c r="F80" s="13">
        <f>IF(VLOOKUP(TabVMEnv[VM],TabOceanet[],16,FALSE) = "Tarif_VM",IF(VLOOKUP(TabVMEnv[VM],TabOceanet[],2,FALSE)&lt;4,4,VLOOKUP(TabVMEnv[VM],TabOceanet[],2,FALSE)),0)</f>
        <v>4</v>
      </c>
      <c r="G80">
        <v>0</v>
      </c>
      <c r="H80">
        <v>0</v>
      </c>
      <c r="I80">
        <v>0</v>
      </c>
      <c r="J80">
        <v>0</v>
      </c>
      <c r="K80">
        <f>IF(VLOOKUP(TabVMEnv[VM],TabOceanet[],16,FALSE) = "Tarif_VM",1,0)/TabVMEnv[[#This Row],[Mutualisé]]</f>
        <v>1</v>
      </c>
      <c r="L80">
        <f>IF(VLOOKUP(TabVMEnv[VM],TabOceanet[],9,FALSE) = "PoweredOn",1,0)</f>
        <v>1</v>
      </c>
      <c r="M80">
        <f>TabVMEnv[[#This Row],[IsVMPoweredOn]]*VLOOKUP(TabVMEnv[VM],TabOceanet[],3,FALSE)/TabVMEnv[[#This Row],[Mutualisé]]</f>
        <v>2</v>
      </c>
      <c r="N80">
        <f>VLOOKUP(TabVMEnv[VM],TabOceanet[],4,FALSE)/TabVMEnv[[#This Row],[Mutualisé]]</f>
        <v>50</v>
      </c>
      <c r="O80">
        <f>IF(LEFT(VLOOKUP(TabVMEnv[VM],TabOceanet[],5,FALSE),3)="win",1,0)</f>
        <v>1</v>
      </c>
      <c r="P80"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80" t="str">
        <f>VLOOKUP(TabVMEnv[EnvProjet],TabEnvProjet[],4,FALSE)</f>
        <v>MAE-PII-L2/334179-17</v>
      </c>
      <c r="R80" s="5" t="str">
        <f>VLOOKUP(TabVMEnv[[#This Row],[SYGES]],TabContrat[],2,FALSE)</f>
        <v>MINISTERE DE L'EUROPE ET DES AFFAIRES ETRANGERES</v>
      </c>
      <c r="S80" s="5" t="str">
        <f>IF(VLOOKUP(TabVMEnv[[#This Row],[VM]],TabOceanet[],1,FALSE) = "","Disparue","")</f>
        <v/>
      </c>
      <c r="T80" s="17">
        <f>VLOOKUP(TabVMEnv[[#This Row],[VM]],TabOceanet[],36,FALSE)/TabVMEnv[[#This Row],[Mutualisé]]</f>
        <v>14.7</v>
      </c>
      <c r="U80" s="17">
        <f>IF(TabVMEnv[[#This Row],[CostCenter]]="CostCenterDI",0,TabVMEnv[[#This Row],[CoutGlobal]])</f>
        <v>14.7</v>
      </c>
      <c r="V80" s="17">
        <f>TabVMEnv[[#This Row],[CoutGlobalSansCostCenterDI]]/TabVMEnv[[#Totals],[CoutGlobalSansCostCenterDI]]*(GlobalARepartirSansMS+GlobalARepartirMSOnly+GlobalARepartirInfraReseau)</f>
        <v>25.658218544978464</v>
      </c>
      <c r="W80" s="17">
        <f>TabVMEnv[[#This Row],[CoutGlobalSansCostCenterDI]]+TabVMEnv[[#This Row],[CoutGlobalSupplementaire]]</f>
        <v>40.358218544978463</v>
      </c>
      <c r="X80" s="5" t="str">
        <f>VLOOKUP(TabVMEnv[[#This Row],[EnvProjet]],TabEnvProjet[],2,FALSE) &amp; " - " &amp; IFERROR(VLOOKUP(TabVMEnv[[#This Row],[EnvProjet]],TabEnvProjet[],4,FALSE),"INCONNU") &amp; " - " &amp; IFERROR(VLOOKUP(TabVMEnv[[#This Row],[EnvProjet]],TabEnvProjet[],5,FALSE),"INCONNU")</f>
        <v>MEAE-Visa - MAE-PII-L2/334179-17 - Axel Benoist-Gironiere</v>
      </c>
      <c r="Y80" s="5" t="str">
        <f>VLOOKUP(TabVMEnv[EnvProjet],TabEnvProjet[],5,FALSE)</f>
        <v>Axel Benoist-Gironiere</v>
      </c>
      <c r="Z80" s="5">
        <f>VLOOKUP(TabVMEnv[EnvProjet],TabEnvProjet[],6,FALSE)</f>
        <v>341531</v>
      </c>
      <c r="AA80" s="5" t="str">
        <f>VLOOKUP(TabVMEnv[[#This Row],[EnvProjet]],TabEnvProjet[],3,FALSE)</f>
        <v>SOCLE</v>
      </c>
      <c r="AB80" s="5">
        <f>COUNTIF(TabVMEnv[VM],TabVMEnv[VM])</f>
        <v>1</v>
      </c>
    </row>
    <row r="81" spans="1:28" x14ac:dyDescent="0.25">
      <c r="A81" t="s">
        <v>211</v>
      </c>
      <c r="B81" t="s">
        <v>1287</v>
      </c>
      <c r="D81">
        <v>0</v>
      </c>
      <c r="E81" s="13" t="s">
        <v>1197</v>
      </c>
      <c r="F81">
        <f>IF(VLOOKUP(TabVMEnv[VM],TabOceanet[],16,FALSE) = "Tarif_VM",IF(VLOOKUP(TabVMEnv[VM],TabOceanet[],2,FALSE)&lt;4,4,VLOOKUP(TabVMEnv[VM],TabOceanet[],2,FALSE)),0)</f>
        <v>4</v>
      </c>
      <c r="G81">
        <v>2</v>
      </c>
      <c r="H81">
        <v>0</v>
      </c>
      <c r="I81">
        <v>0</v>
      </c>
      <c r="J81">
        <v>0</v>
      </c>
      <c r="K81">
        <f>IF(VLOOKUP(TabVMEnv[VM],TabOceanet[],16,FALSE) = "Tarif_VM",1,0)/TabVMEnv[[#This Row],[Mutualisé]]</f>
        <v>1</v>
      </c>
      <c r="L81">
        <f>IF(VLOOKUP(TabVMEnv[VM],TabOceanet[],9,FALSE) = "PoweredOn",1,0)</f>
        <v>1</v>
      </c>
      <c r="M81">
        <f>TabVMEnv[[#This Row],[IsVMPoweredOn]]*VLOOKUP(TabVMEnv[VM],TabOceanet[],3,FALSE)/TabVMEnv[[#This Row],[Mutualisé]]</f>
        <v>3</v>
      </c>
      <c r="N81">
        <f>VLOOKUP(TabVMEnv[VM],TabOceanet[],4,FALSE)/TabVMEnv[[#This Row],[Mutualisé]]</f>
        <v>55</v>
      </c>
      <c r="O81">
        <f>IF(LEFT(VLOOKUP(TabVMEnv[VM],TabOceanet[],5,FALSE),3)="win",1,0)</f>
        <v>1</v>
      </c>
      <c r="P81"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11.96</v>
      </c>
      <c r="Q81" t="str">
        <f>VLOOKUP(TabVMEnv[EnvProjet],TabEnvProjet[],4,FALSE)</f>
        <v>HEBERG-EDI  MUT-2018 - DEV</v>
      </c>
      <c r="R81" s="5" t="str">
        <f>VLOOKUP(TabVMEnv[[#This Row],[SYGES]],TabContrat[],2,FALSE)</f>
        <v>HEBERG-EDI</v>
      </c>
      <c r="S81" s="5" t="str">
        <f>IF(VLOOKUP(TabVMEnv[[#This Row],[VM]],TabOceanet[],1,FALSE) = "","Disparue","")</f>
        <v/>
      </c>
      <c r="T81" s="17">
        <f>VLOOKUP(TabVMEnv[[#This Row],[VM]],TabOceanet[],36,FALSE)/TabVMEnv[[#This Row],[Mutualisé]]</f>
        <v>17.450000000000003</v>
      </c>
      <c r="U81" s="17">
        <f>IF(TabVMEnv[[#This Row],[CostCenter]]="CostCenterDI",0,TabVMEnv[[#This Row],[CoutGlobal]])</f>
        <v>17.450000000000003</v>
      </c>
      <c r="V81" s="17">
        <f>TabVMEnv[[#This Row],[CoutGlobalSansCostCenterDI]]/TabVMEnv[[#Totals],[CoutGlobalSansCostCenterDI]]*(GlobalARepartirSansMS+GlobalARepartirMSOnly+GlobalARepartirInfraReseau)</f>
        <v>30.458225415637706</v>
      </c>
      <c r="W81" s="17">
        <f>TabVMEnv[[#This Row],[CoutGlobalSansCostCenterDI]]+TabVMEnv[[#This Row],[CoutGlobalSupplementaire]]</f>
        <v>47.908225415637709</v>
      </c>
      <c r="X81" s="5" t="str">
        <f>VLOOKUP(TabVMEnv[[#This Row],[EnvProjet]],TabEnvProjet[],2,FALSE) &amp; " - " &amp; IFERROR(VLOOKUP(TabVMEnv[[#This Row],[EnvProjet]],TabEnvProjet[],4,FALSE),"INCONNU") &amp; " - " &amp; IFERROR(VLOOKUP(TabVMEnv[[#This Row],[EnvProjet]],TabEnvProjet[],5,FALSE),"INCONNU")</f>
        <v>EDI-MUT-EDI-MUT-DEV - HEBERG-EDI  MUT-2018 - DEV - David LEMALHEUX</v>
      </c>
      <c r="Y81" s="5" t="str">
        <f>VLOOKUP(TabVMEnv[EnvProjet],TabEnvProjet[],5,FALSE)</f>
        <v>David LEMALHEUX</v>
      </c>
      <c r="Z81" s="5">
        <f>VLOOKUP(TabVMEnv[EnvProjet],TabEnvProjet[],6,FALSE)</f>
        <v>341530</v>
      </c>
      <c r="AA81" s="5" t="str">
        <f>VLOOKUP(TabVMEnv[[#This Row],[EnvProjet]],TabEnvProjet[],3,FALSE)</f>
        <v>DEV</v>
      </c>
      <c r="AB81" s="5">
        <f>COUNTIF(TabVMEnv[VM],TabVMEnv[VM])</f>
        <v>1</v>
      </c>
    </row>
    <row r="82" spans="1:28" x14ac:dyDescent="0.25">
      <c r="A82" t="s">
        <v>212</v>
      </c>
      <c r="B82" t="s">
        <v>290</v>
      </c>
      <c r="D82">
        <v>0</v>
      </c>
      <c r="E82" s="13" t="s">
        <v>1197</v>
      </c>
      <c r="F82">
        <f>IF(VLOOKUP(TabVMEnv[VM],TabOceanet[],16,FALSE) = "Tarif_VM",IF(VLOOKUP(TabVMEnv[VM],TabOceanet[],2,FALSE)&lt;4,4,VLOOKUP(TabVMEnv[VM],TabOceanet[],2,FALSE)),0)</f>
        <v>4</v>
      </c>
      <c r="G82">
        <v>2</v>
      </c>
      <c r="H82">
        <v>1</v>
      </c>
      <c r="I82">
        <v>0</v>
      </c>
      <c r="J82" s="24">
        <v>5</v>
      </c>
      <c r="K82" s="24">
        <f>IF(VLOOKUP(TabVMEnv[VM],TabOceanet[],16,FALSE) = "Tarif_VM",1,0)/TabVMEnv[[#This Row],[Mutualisé]]</f>
        <v>1</v>
      </c>
      <c r="L82" s="24">
        <f>IF(VLOOKUP(TabVMEnv[VM],TabOceanet[],9,FALSE) = "PoweredOn",1,0)</f>
        <v>1</v>
      </c>
      <c r="M82" s="24">
        <f>TabVMEnv[[#This Row],[IsVMPoweredOn]]*VLOOKUP(TabVMEnv[VM],TabOceanet[],3,FALSE)/TabVMEnv[[#This Row],[Mutualisé]]</f>
        <v>4</v>
      </c>
      <c r="N82" s="24">
        <f>VLOOKUP(TabVMEnv[VM],TabOceanet[],4,FALSE)/TabVMEnv[[#This Row],[Mutualisé]]</f>
        <v>100</v>
      </c>
      <c r="O82" s="24">
        <f>IF(LEFT(VLOOKUP(TabVMEnv[VM],TabOceanet[],5,FALSE),3)="win",1,0)</f>
        <v>1</v>
      </c>
      <c r="P82"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309.45</v>
      </c>
      <c r="Q82" t="str">
        <f>VLOOKUP(TabVMEnv[EnvProjet],TabEnvProjet[],4,FALSE)</f>
        <v>HEBERG-EDI  MUT-2018</v>
      </c>
      <c r="R82" s="5" t="str">
        <f>VLOOKUP(TabVMEnv[[#This Row],[SYGES]],TabContrat[],2,FALSE)</f>
        <v>HEBERG-EDI</v>
      </c>
      <c r="S82" s="5" t="str">
        <f>IF(VLOOKUP(TabVMEnv[[#This Row],[VM]],TabOceanet[],1,FALSE) = "","Disparue","")</f>
        <v/>
      </c>
      <c r="T82" s="17">
        <f>VLOOKUP(TabVMEnv[[#This Row],[VM]],TabOceanet[],36,FALSE)/TabVMEnv[[#This Row],[Mutualisé]]</f>
        <v>29.4</v>
      </c>
      <c r="U82" s="17">
        <f>IF(TabVMEnv[[#This Row],[CostCenter]]="CostCenterDI",0,TabVMEnv[[#This Row],[CoutGlobal]])</f>
        <v>29.4</v>
      </c>
      <c r="V82" s="17">
        <f>TabVMEnv[[#This Row],[CoutGlobalSansCostCenterDI]]/TabVMEnv[[#Totals],[CoutGlobalSansCostCenterDI]]*(GlobalARepartirSansMS+GlobalARepartirMSOnly+GlobalARepartirInfraReseau)</f>
        <v>51.316437089956928</v>
      </c>
      <c r="W82" s="17">
        <f>TabVMEnv[[#This Row],[CoutGlobalSansCostCenterDI]]+TabVMEnv[[#This Row],[CoutGlobalSupplementaire]]</f>
        <v>80.716437089956926</v>
      </c>
      <c r="X82" s="5" t="str">
        <f>VLOOKUP(TabVMEnv[[#This Row],[EnvProjet]],TabEnvProjet[],2,FALSE) &amp; " - " &amp; IFERROR(VLOOKUP(TabVMEnv[[#This Row],[EnvProjet]],TabEnvProjet[],4,FALSE),"INCONNU") &amp; " - " &amp; IFERROR(VLOOKUP(TabVMEnv[[#This Row],[EnvProjet]],TabEnvProjet[],5,FALSE),"INCONNU")</f>
        <v>EDI-MUT-EDI-MUT - HEBERG-EDI  MUT-2018 - David LEMALHEUX</v>
      </c>
      <c r="Y82" s="5" t="str">
        <f>VLOOKUP(TabVMEnv[EnvProjet],TabEnvProjet[],5,FALSE)</f>
        <v>David LEMALHEUX</v>
      </c>
      <c r="Z82" s="5" t="str">
        <f>VLOOKUP(TabVMEnv[EnvProjet],TabEnvProjet[],6,FALSE)</f>
        <v>341530-EDI</v>
      </c>
      <c r="AA82" s="5" t="str">
        <f>VLOOKUP(TabVMEnv[[#This Row],[EnvProjet]],TabEnvProjet[],3,FALSE)</f>
        <v>PROD</v>
      </c>
      <c r="AB82" s="5">
        <f>COUNTIF(TabVMEnv[VM],TabVMEnv[VM])</f>
        <v>1</v>
      </c>
    </row>
    <row r="83" spans="1:28" x14ac:dyDescent="0.25">
      <c r="A83" t="s">
        <v>1241</v>
      </c>
      <c r="B83" t="s">
        <v>1245</v>
      </c>
      <c r="E83" s="13"/>
      <c r="F83" s="5">
        <f>IF(VLOOKUP(TabVMEnv[VM],TabOceanet[],16,FALSE) = "Tarif_VM",IF(VLOOKUP(TabVMEnv[VM],TabOceanet[],2,FALSE)&lt;4,4,VLOOKUP(TabVMEnv[VM],TabOceanet[],2,FALSE)),0)</f>
        <v>4</v>
      </c>
      <c r="G83">
        <v>0</v>
      </c>
      <c r="H83">
        <v>0</v>
      </c>
      <c r="I83">
        <v>0</v>
      </c>
      <c r="J83" s="24">
        <v>0</v>
      </c>
      <c r="K83" s="74">
        <f>IF(VLOOKUP(TabVMEnv[VM],TabOceanet[],16,FALSE) = "Tarif_VM",1,0)/TabVMEnv[[#This Row],[Mutualisé]]</f>
        <v>1</v>
      </c>
      <c r="L83" s="74">
        <f>IF(VLOOKUP(TabVMEnv[VM],TabOceanet[],9,FALSE) = "PoweredOn",1,0)</f>
        <v>1</v>
      </c>
      <c r="M83" s="74">
        <f>TabVMEnv[[#This Row],[IsVMPoweredOn]]*VLOOKUP(TabVMEnv[VM],TabOceanet[],3,FALSE)/TabVMEnv[[#This Row],[Mutualisé]]</f>
        <v>4</v>
      </c>
      <c r="N83" s="74">
        <f>VLOOKUP(TabVMEnv[VM],TabOceanet[],4,FALSE)/TabVMEnv[[#This Row],[Mutualisé]]</f>
        <v>31</v>
      </c>
      <c r="O83" s="74">
        <f>IF(LEFT(VLOOKUP(TabVMEnv[VM],TabOceanet[],5,FALSE),3)="win",1,0)</f>
        <v>0</v>
      </c>
      <c r="P83"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83" t="str">
        <f>VLOOKUP(TabVMEnv[EnvProjet],TabEnvProjet[],4,FALSE)</f>
        <v>AS24/ChantierPIC</v>
      </c>
      <c r="R83" s="5" t="str">
        <f>VLOOKUP(TabVMEnv[[#This Row],[SYGES]],TabContrat[],2,FALSE)</f>
        <v>AS24</v>
      </c>
      <c r="S83" s="5" t="str">
        <f>IF(VLOOKUP(TabVMEnv[[#This Row],[VM]],TabOceanet[],1,FALSE) = "","Disparue","")</f>
        <v/>
      </c>
      <c r="T83" s="25">
        <f>VLOOKUP(TabVMEnv[[#This Row],[VM]],TabOceanet[],36,FALSE)/TabVMEnv[[#This Row],[Mutualisé]]</f>
        <v>13.530000000000001</v>
      </c>
      <c r="U83" s="25">
        <f>IF(TabVMEnv[[#This Row],[CostCenter]]="CostCenterDI",0,TabVMEnv[[#This Row],[CoutGlobal]])</f>
        <v>13.530000000000001</v>
      </c>
      <c r="V83" s="25">
        <f>TabVMEnv[[#This Row],[CoutGlobalSansCostCenterDI]]/TabVMEnv[[#Totals],[CoutGlobalSansCostCenterDI]]*(GlobalARepartirSansMS+GlobalARepartirMSOnly+GlobalARepartirInfraReseau)</f>
        <v>23.616033803643447</v>
      </c>
      <c r="W83" s="25">
        <f>TabVMEnv[[#This Row],[CoutGlobalSansCostCenterDI]]+TabVMEnv[[#This Row],[CoutGlobalSupplementaire]]</f>
        <v>37.146033803643448</v>
      </c>
      <c r="X83" s="5" t="str">
        <f>VLOOKUP(TabVMEnv[[#This Row],[EnvProjet]],TabEnvProjet[],2,FALSE) &amp; " - " &amp; IFERROR(VLOOKUP(TabVMEnv[[#This Row],[EnvProjet]],TabEnvProjet[],4,FALSE),"INCONNU") &amp; " - " &amp; IFERROR(VLOOKUP(TabVMEnv[[#This Row],[EnvProjet]],TabEnvProjet[],5,FALSE),"INCONNU")</f>
        <v>AS24-ChantierPIC - AS24/ChantierPIC - Florian DUPONT</v>
      </c>
      <c r="Y83" s="5" t="str">
        <f>VLOOKUP(TabVMEnv[EnvProjet],TabEnvProjet[],5,FALSE)</f>
        <v>Florian DUPONT</v>
      </c>
      <c r="Z83" s="5">
        <f>VLOOKUP(TabVMEnv[EnvProjet],TabEnvProjet[],6,FALSE)</f>
        <v>341530</v>
      </c>
      <c r="AA83" s="5" t="str">
        <f>VLOOKUP(TabVMEnv[[#This Row],[EnvProjet]],TabEnvProjet[],3,FALSE)</f>
        <v>DEV</v>
      </c>
      <c r="AB83" s="5">
        <f>COUNTIF(TabVMEnv[VM],TabVMEnv[VM])</f>
        <v>1</v>
      </c>
    </row>
    <row r="84" spans="1:28" x14ac:dyDescent="0.25">
      <c r="A84" t="s">
        <v>18</v>
      </c>
      <c r="B84" t="s">
        <v>335</v>
      </c>
      <c r="C84" t="s">
        <v>19</v>
      </c>
      <c r="D84">
        <v>0</v>
      </c>
      <c r="E84" s="13" t="s">
        <v>1197</v>
      </c>
      <c r="F84">
        <f>IF(VLOOKUP(TabVMEnv[VM],TabOceanet[],16,FALSE) = "Tarif_VM",IF(VLOOKUP(TabVMEnv[VM],TabOceanet[],2,FALSE)&lt;4,4,VLOOKUP(TabVMEnv[VM],TabOceanet[],2,FALSE)),0)</f>
        <v>4</v>
      </c>
      <c r="G84">
        <v>0</v>
      </c>
      <c r="H84">
        <v>0</v>
      </c>
      <c r="I84">
        <v>0</v>
      </c>
      <c r="J84">
        <v>0</v>
      </c>
      <c r="K84">
        <f>IF(VLOOKUP(TabVMEnv[VM],TabOceanet[],16,FALSE) = "Tarif_VM",1,0)/TabVMEnv[[#This Row],[Mutualisé]]</f>
        <v>1</v>
      </c>
      <c r="L84">
        <f>IF(VLOOKUP(TabVMEnv[VM],TabOceanet[],9,FALSE) = "PoweredOn",1,0)</f>
        <v>1</v>
      </c>
      <c r="M84">
        <f>TabVMEnv[[#This Row],[IsVMPoweredOn]]*VLOOKUP(TabVMEnv[VM],TabOceanet[],3,FALSE)/TabVMEnv[[#This Row],[Mutualisé]]</f>
        <v>8</v>
      </c>
      <c r="N84">
        <f>VLOOKUP(TabVMEnv[VM],TabOceanet[],4,FALSE)/TabVMEnv[[#This Row],[Mutualisé]]</f>
        <v>17</v>
      </c>
      <c r="O84">
        <f>IF(LEFT(VLOOKUP(TabVMEnv[VM],TabOceanet[],5,FALSE),3)="win",1,0)</f>
        <v>0</v>
      </c>
      <c r="P84"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84" t="str">
        <f>VLOOKUP(TabVMEnv[EnvProjet],TabEnvProjet[],4,FALSE)</f>
        <v>MAE-PII-L2/334179-17</v>
      </c>
      <c r="R84" s="5" t="str">
        <f>VLOOKUP(TabVMEnv[[#This Row],[SYGES]],TabContrat[],2,FALSE)</f>
        <v>MINISTERE DE L'EUROPE ET DES AFFAIRES ETRANGERES</v>
      </c>
      <c r="S84" s="5" t="str">
        <f>IF(VLOOKUP(TabVMEnv[[#This Row],[VM]],TabOceanet[],1,FALSE) = "","Disparue","")</f>
        <v/>
      </c>
      <c r="T84" s="17">
        <f>VLOOKUP(TabVMEnv[[#This Row],[VM]],TabOceanet[],36,FALSE)/TabVMEnv[[#This Row],[Mutualisé]]</f>
        <v>16.71</v>
      </c>
      <c r="U84" s="17">
        <f>IF(TabVMEnv[[#This Row],[CostCenter]]="CostCenterDI",0,TabVMEnv[[#This Row],[CoutGlobal]])</f>
        <v>16.71</v>
      </c>
      <c r="V84" s="17">
        <f>TabVMEnv[[#This Row],[CoutGlobalSansCostCenterDI]]/TabVMEnv[[#Totals],[CoutGlobalSansCostCenterDI]]*(GlobalARepartirSansMS+GlobalARepartirMSOnly+GlobalARepartirInfraReseau)</f>
        <v>29.166587203169399</v>
      </c>
      <c r="W84" s="17">
        <f>TabVMEnv[[#This Row],[CoutGlobalSansCostCenterDI]]+TabVMEnv[[#This Row],[CoutGlobalSupplementaire]]</f>
        <v>45.8765872031694</v>
      </c>
      <c r="X84" s="5" t="str">
        <f>VLOOKUP(TabVMEnv[[#This Row],[EnvProjet]],TabEnvProjet[],2,FALSE) &amp; " - " &amp; IFERROR(VLOOKUP(TabVMEnv[[#This Row],[EnvProjet]],TabEnvProjet[],4,FALSE),"INCONNU") &amp; " - " &amp; IFERROR(VLOOKUP(TabVMEnv[[#This Row],[EnvProjet]],TabEnvProjet[],5,FALSE),"INCONNU")</f>
        <v>MEAE-SAGAIE TMA - MAE-PII-L2/334179-17 - Axel Benoist-Gironiere, Vincent MERIAU</v>
      </c>
      <c r="Y84" s="5" t="str">
        <f>VLOOKUP(TabVMEnv[EnvProjet],TabEnvProjet[],5,FALSE)</f>
        <v>Axel Benoist-Gironiere, Vincent MERIAU</v>
      </c>
      <c r="Z84" s="5">
        <f>VLOOKUP(TabVMEnv[EnvProjet],TabEnvProjet[],6,FALSE)</f>
        <v>341531</v>
      </c>
      <c r="AA84" s="5" t="str">
        <f>VLOOKUP(TabVMEnv[[#This Row],[EnvProjet]],TabEnvProjet[],3,FALSE)</f>
        <v>DEV_RUN</v>
      </c>
      <c r="AB84" s="5">
        <f>COUNTIF(TabVMEnv[VM],TabVMEnv[VM])</f>
        <v>1</v>
      </c>
    </row>
    <row r="85" spans="1:28" x14ac:dyDescent="0.25">
      <c r="A85" t="s">
        <v>21</v>
      </c>
      <c r="B85" t="s">
        <v>336</v>
      </c>
      <c r="C85" t="s">
        <v>22</v>
      </c>
      <c r="D85">
        <v>0</v>
      </c>
      <c r="E85" s="13" t="s">
        <v>1197</v>
      </c>
      <c r="F85">
        <f>IF(VLOOKUP(TabVMEnv[VM],TabOceanet[],16,FALSE) = "Tarif_VM",IF(VLOOKUP(TabVMEnv[VM],TabOceanet[],2,FALSE)&lt;4,4,VLOOKUP(TabVMEnv[VM],TabOceanet[],2,FALSE)),0)</f>
        <v>4</v>
      </c>
      <c r="G85">
        <v>0</v>
      </c>
      <c r="H85">
        <v>0</v>
      </c>
      <c r="I85">
        <v>0</v>
      </c>
      <c r="J85">
        <v>0</v>
      </c>
      <c r="K85">
        <f>IF(VLOOKUP(TabVMEnv[VM],TabOceanet[],16,FALSE) = "Tarif_VM",1,0)/TabVMEnv[[#This Row],[Mutualisé]]</f>
        <v>1</v>
      </c>
      <c r="L85">
        <f>IF(VLOOKUP(TabVMEnv[VM],TabOceanet[],9,FALSE) = "PoweredOn",1,0)</f>
        <v>1</v>
      </c>
      <c r="M85">
        <f>TabVMEnv[[#This Row],[IsVMPoweredOn]]*VLOOKUP(TabVMEnv[VM],TabOceanet[],3,FALSE)/TabVMEnv[[#This Row],[Mutualisé]]</f>
        <v>8</v>
      </c>
      <c r="N85">
        <f>VLOOKUP(TabVMEnv[VM],TabOceanet[],4,FALSE)/TabVMEnv[[#This Row],[Mutualisé]]</f>
        <v>17</v>
      </c>
      <c r="O85">
        <f>IF(LEFT(VLOOKUP(TabVMEnv[VM],TabOceanet[],5,FALSE),3)="win",1,0)</f>
        <v>0</v>
      </c>
      <c r="P85"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85" t="str">
        <f>VLOOKUP(TabVMEnv[EnvProjet],TabEnvProjet[],4,FALSE)</f>
        <v>MAE-PII-L2/334179-17</v>
      </c>
      <c r="R85" s="5" t="str">
        <f>VLOOKUP(TabVMEnv[[#This Row],[SYGES]],TabContrat[],2,FALSE)</f>
        <v>MINISTERE DE L'EUROPE ET DES AFFAIRES ETRANGERES</v>
      </c>
      <c r="S85" s="5" t="str">
        <f>IF(VLOOKUP(TabVMEnv[[#This Row],[VM]],TabOceanet[],1,FALSE) = "","Disparue","")</f>
        <v/>
      </c>
      <c r="T85" s="17">
        <f>VLOOKUP(TabVMEnv[[#This Row],[VM]],TabOceanet[],36,FALSE)/TabVMEnv[[#This Row],[Mutualisé]]</f>
        <v>16.71</v>
      </c>
      <c r="U85" s="17">
        <f>IF(TabVMEnv[[#This Row],[CostCenter]]="CostCenterDI",0,TabVMEnv[[#This Row],[CoutGlobal]])</f>
        <v>16.71</v>
      </c>
      <c r="V85" s="17">
        <f>TabVMEnv[[#This Row],[CoutGlobalSansCostCenterDI]]/TabVMEnv[[#Totals],[CoutGlobalSansCostCenterDI]]*(GlobalARepartirSansMS+GlobalARepartirMSOnly+GlobalARepartirInfraReseau)</f>
        <v>29.166587203169399</v>
      </c>
      <c r="W85" s="17">
        <f>TabVMEnv[[#This Row],[CoutGlobalSansCostCenterDI]]+TabVMEnv[[#This Row],[CoutGlobalSupplementaire]]</f>
        <v>45.8765872031694</v>
      </c>
      <c r="X85" s="5" t="str">
        <f>VLOOKUP(TabVMEnv[[#This Row],[EnvProjet]],TabEnvProjet[],2,FALSE) &amp; " - " &amp; IFERROR(VLOOKUP(TabVMEnv[[#This Row],[EnvProjet]],TabEnvProjet[],4,FALSE),"INCONNU") &amp; " - " &amp; IFERROR(VLOOKUP(TabVMEnv[[#This Row],[EnvProjet]],TabEnvProjet[],5,FALSE),"INCONNU")</f>
        <v>MEAE-SAGAIE TMA - MAE-PII-L2/334179-17 - Axel Benoist-Gironiere, Vincent MERIAU</v>
      </c>
      <c r="Y85" s="5" t="str">
        <f>VLOOKUP(TabVMEnv[EnvProjet],TabEnvProjet[],5,FALSE)</f>
        <v>Axel Benoist-Gironiere, Vincent MERIAU</v>
      </c>
      <c r="Z85" s="5">
        <f>VLOOKUP(TabVMEnv[EnvProjet],TabEnvProjet[],6,FALSE)</f>
        <v>341531</v>
      </c>
      <c r="AA85" s="5" t="str">
        <f>VLOOKUP(TabVMEnv[[#This Row],[EnvProjet]],TabEnvProjet[],3,FALSE)</f>
        <v>DEV_BUILD</v>
      </c>
      <c r="AB85" s="5">
        <f>COUNTIF(TabVMEnv[VM],TabVMEnv[VM])</f>
        <v>1</v>
      </c>
    </row>
    <row r="86" spans="1:28" x14ac:dyDescent="0.25">
      <c r="A86" t="s">
        <v>26</v>
      </c>
      <c r="B86" t="s">
        <v>337</v>
      </c>
      <c r="C86" t="s">
        <v>19</v>
      </c>
      <c r="D86">
        <v>0</v>
      </c>
      <c r="E86" s="13" t="s">
        <v>1197</v>
      </c>
      <c r="F86">
        <f>IF(VLOOKUP(TabVMEnv[VM],TabOceanet[],16,FALSE) = "Tarif_VM",IF(VLOOKUP(TabVMEnv[VM],TabOceanet[],2,FALSE)&lt;4,4,VLOOKUP(TabVMEnv[VM],TabOceanet[],2,FALSE)),0)</f>
        <v>4</v>
      </c>
      <c r="G86">
        <v>0</v>
      </c>
      <c r="H86">
        <v>0</v>
      </c>
      <c r="I86">
        <v>0</v>
      </c>
      <c r="J86">
        <v>0</v>
      </c>
      <c r="K86">
        <f>IF(VLOOKUP(TabVMEnv[VM],TabOceanet[],16,FALSE) = "Tarif_VM",1,0)/TabVMEnv[[#This Row],[Mutualisé]]</f>
        <v>1</v>
      </c>
      <c r="L86">
        <f>IF(VLOOKUP(TabVMEnv[VM],TabOceanet[],9,FALSE) = "PoweredOn",1,0)</f>
        <v>1</v>
      </c>
      <c r="M86">
        <f>TabVMEnv[[#This Row],[IsVMPoweredOn]]*VLOOKUP(TabVMEnv[VM],TabOceanet[],3,FALSE)/TabVMEnv[[#This Row],[Mutualisé]]</f>
        <v>8</v>
      </c>
      <c r="N86">
        <f>VLOOKUP(TabVMEnv[VM],TabOceanet[],4,FALSE)/TabVMEnv[[#This Row],[Mutualisé]]</f>
        <v>17</v>
      </c>
      <c r="O86">
        <f>IF(LEFT(VLOOKUP(TabVMEnv[VM],TabOceanet[],5,FALSE),3)="win",1,0)</f>
        <v>0</v>
      </c>
      <c r="P86"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86" t="str">
        <f>VLOOKUP(TabVMEnv[EnvProjet],TabEnvProjet[],4,FALSE)</f>
        <v>MAE-PII-L2/334179-17</v>
      </c>
      <c r="R86" s="5" t="str">
        <f>VLOOKUP(TabVMEnv[[#This Row],[SYGES]],TabContrat[],2,FALSE)</f>
        <v>MINISTERE DE L'EUROPE ET DES AFFAIRES ETRANGERES</v>
      </c>
      <c r="S86" s="5" t="str">
        <f>IF(VLOOKUP(TabVMEnv[[#This Row],[VM]],TabOceanet[],1,FALSE) = "","Disparue","")</f>
        <v/>
      </c>
      <c r="T86" s="17">
        <f>VLOOKUP(TabVMEnv[[#This Row],[VM]],TabOceanet[],36,FALSE)/TabVMEnv[[#This Row],[Mutualisé]]</f>
        <v>16.71</v>
      </c>
      <c r="U86" s="17">
        <f>IF(TabVMEnv[[#This Row],[CostCenter]]="CostCenterDI",0,TabVMEnv[[#This Row],[CoutGlobal]])</f>
        <v>16.71</v>
      </c>
      <c r="V86" s="17">
        <f>TabVMEnv[[#This Row],[CoutGlobalSansCostCenterDI]]/TabVMEnv[[#Totals],[CoutGlobalSansCostCenterDI]]*(GlobalARepartirSansMS+GlobalARepartirMSOnly+GlobalARepartirInfraReseau)</f>
        <v>29.166587203169399</v>
      </c>
      <c r="W86" s="17">
        <f>TabVMEnv[[#This Row],[CoutGlobalSansCostCenterDI]]+TabVMEnv[[#This Row],[CoutGlobalSupplementaire]]</f>
        <v>45.8765872031694</v>
      </c>
      <c r="X86" s="5" t="str">
        <f>VLOOKUP(TabVMEnv[[#This Row],[EnvProjet]],TabEnvProjet[],2,FALSE) &amp; " - " &amp; IFERROR(VLOOKUP(TabVMEnv[[#This Row],[EnvProjet]],TabEnvProjet[],4,FALSE),"INCONNU") &amp; " - " &amp; IFERROR(VLOOKUP(TabVMEnv[[#This Row],[EnvProjet]],TabEnvProjet[],5,FALSE),"INCONNU")</f>
        <v>MEAE-SAGAIE TMA - MAE-PII-L2/334179-17 - Axel Benoist-Gironiere, Vincent MERIAU</v>
      </c>
      <c r="Y86" s="5" t="str">
        <f>VLOOKUP(TabVMEnv[EnvProjet],TabEnvProjet[],5,FALSE)</f>
        <v>Axel Benoist-Gironiere, Vincent MERIAU</v>
      </c>
      <c r="Z86" s="5">
        <f>VLOOKUP(TabVMEnv[EnvProjet],TabEnvProjet[],6,FALSE)</f>
        <v>341531</v>
      </c>
      <c r="AA86" s="5" t="str">
        <f>VLOOKUP(TabVMEnv[[#This Row],[EnvProjet]],TabEnvProjet[],3,FALSE)</f>
        <v>QUAL_RUN</v>
      </c>
      <c r="AB86" s="5">
        <f>COUNTIF(TabVMEnv[VM],TabVMEnv[VM])</f>
        <v>1</v>
      </c>
    </row>
    <row r="87" spans="1:28" x14ac:dyDescent="0.25">
      <c r="A87" t="s">
        <v>28</v>
      </c>
      <c r="B87" t="s">
        <v>338</v>
      </c>
      <c r="C87" t="s">
        <v>22</v>
      </c>
      <c r="D87">
        <v>0</v>
      </c>
      <c r="E87" s="13" t="s">
        <v>1197</v>
      </c>
      <c r="F87">
        <f>IF(VLOOKUP(TabVMEnv[VM],TabOceanet[],16,FALSE) = "Tarif_VM",IF(VLOOKUP(TabVMEnv[VM],TabOceanet[],2,FALSE)&lt;4,4,VLOOKUP(TabVMEnv[VM],TabOceanet[],2,FALSE)),0)</f>
        <v>4</v>
      </c>
      <c r="G87">
        <v>0</v>
      </c>
      <c r="H87">
        <v>0</v>
      </c>
      <c r="I87">
        <v>0</v>
      </c>
      <c r="J87">
        <v>0</v>
      </c>
      <c r="K87">
        <f>IF(VLOOKUP(TabVMEnv[VM],TabOceanet[],16,FALSE) = "Tarif_VM",1,0)/TabVMEnv[[#This Row],[Mutualisé]]</f>
        <v>1</v>
      </c>
      <c r="L87">
        <f>IF(VLOOKUP(TabVMEnv[VM],TabOceanet[],9,FALSE) = "PoweredOn",1,0)</f>
        <v>1</v>
      </c>
      <c r="M87">
        <f>TabVMEnv[[#This Row],[IsVMPoweredOn]]*VLOOKUP(TabVMEnv[VM],TabOceanet[],3,FALSE)/TabVMEnv[[#This Row],[Mutualisé]]</f>
        <v>8</v>
      </c>
      <c r="N87">
        <f>VLOOKUP(TabVMEnv[VM],TabOceanet[],4,FALSE)/TabVMEnv[[#This Row],[Mutualisé]]</f>
        <v>17</v>
      </c>
      <c r="O87">
        <f>IF(LEFT(VLOOKUP(TabVMEnv[VM],TabOceanet[],5,FALSE),3)="win",1,0)</f>
        <v>0</v>
      </c>
      <c r="P87"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87" t="str">
        <f>VLOOKUP(TabVMEnv[EnvProjet],TabEnvProjet[],4,FALSE)</f>
        <v>MAE-PII-L2/334179-17</v>
      </c>
      <c r="R87" s="5" t="str">
        <f>VLOOKUP(TabVMEnv[[#This Row],[SYGES]],TabContrat[],2,FALSE)</f>
        <v>MINISTERE DE L'EUROPE ET DES AFFAIRES ETRANGERES</v>
      </c>
      <c r="S87" s="5" t="str">
        <f>IF(VLOOKUP(TabVMEnv[[#This Row],[VM]],TabOceanet[],1,FALSE) = "","Disparue","")</f>
        <v/>
      </c>
      <c r="T87" s="17">
        <f>VLOOKUP(TabVMEnv[[#This Row],[VM]],TabOceanet[],36,FALSE)/TabVMEnv[[#This Row],[Mutualisé]]</f>
        <v>16.71</v>
      </c>
      <c r="U87" s="17">
        <f>IF(TabVMEnv[[#This Row],[CostCenter]]="CostCenterDI",0,TabVMEnv[[#This Row],[CoutGlobal]])</f>
        <v>16.71</v>
      </c>
      <c r="V87" s="17">
        <f>TabVMEnv[[#This Row],[CoutGlobalSansCostCenterDI]]/TabVMEnv[[#Totals],[CoutGlobalSansCostCenterDI]]*(GlobalARepartirSansMS+GlobalARepartirMSOnly+GlobalARepartirInfraReseau)</f>
        <v>29.166587203169399</v>
      </c>
      <c r="W87" s="17">
        <f>TabVMEnv[[#This Row],[CoutGlobalSansCostCenterDI]]+TabVMEnv[[#This Row],[CoutGlobalSupplementaire]]</f>
        <v>45.8765872031694</v>
      </c>
      <c r="X87" s="5" t="str">
        <f>VLOOKUP(TabVMEnv[[#This Row],[EnvProjet]],TabEnvProjet[],2,FALSE) &amp; " - " &amp; IFERROR(VLOOKUP(TabVMEnv[[#This Row],[EnvProjet]],TabEnvProjet[],4,FALSE),"INCONNU") &amp; " - " &amp; IFERROR(VLOOKUP(TabVMEnv[[#This Row],[EnvProjet]],TabEnvProjet[],5,FALSE),"INCONNU")</f>
        <v>MEAE-SAGAIE TMA - MAE-PII-L2/334179-17 - Axel Benoist-Gironiere, Vincent MERIAU</v>
      </c>
      <c r="Y87" s="5" t="str">
        <f>VLOOKUP(TabVMEnv[EnvProjet],TabEnvProjet[],5,FALSE)</f>
        <v>Axel Benoist-Gironiere, Vincent MERIAU</v>
      </c>
      <c r="Z87" s="5">
        <f>VLOOKUP(TabVMEnv[EnvProjet],TabEnvProjet[],6,FALSE)</f>
        <v>341531</v>
      </c>
      <c r="AA87" s="5" t="str">
        <f>VLOOKUP(TabVMEnv[[#This Row],[EnvProjet]],TabEnvProjet[],3,FALSE)</f>
        <v>QUAL_BUILD</v>
      </c>
      <c r="AB87" s="5">
        <f>COUNTIF(TabVMEnv[VM],TabVMEnv[VM])</f>
        <v>1</v>
      </c>
    </row>
    <row r="88" spans="1:28" x14ac:dyDescent="0.25">
      <c r="A88" t="s">
        <v>23</v>
      </c>
      <c r="B88" t="s">
        <v>336</v>
      </c>
      <c r="D88">
        <v>0</v>
      </c>
      <c r="E88" s="13" t="s">
        <v>1197</v>
      </c>
      <c r="F88">
        <f>IF(VLOOKUP(TabVMEnv[VM],TabOceanet[],16,FALSE) = "Tarif_VM",IF(VLOOKUP(TabVMEnv[VM],TabOceanet[],2,FALSE)&lt;4,4,VLOOKUP(TabVMEnv[VM],TabOceanet[],2,FALSE)),0)</f>
        <v>4</v>
      </c>
      <c r="G88">
        <v>0</v>
      </c>
      <c r="H88">
        <v>0</v>
      </c>
      <c r="I88">
        <v>0</v>
      </c>
      <c r="J88">
        <v>0</v>
      </c>
      <c r="K88">
        <f>IF(VLOOKUP(TabVMEnv[VM],TabOceanet[],16,FALSE) = "Tarif_VM",1,0)/TabVMEnv[[#This Row],[Mutualisé]]</f>
        <v>1</v>
      </c>
      <c r="L88">
        <f>IF(VLOOKUP(TabVMEnv[VM],TabOceanet[],9,FALSE) = "PoweredOn",1,0)</f>
        <v>1</v>
      </c>
      <c r="M88">
        <f>TabVMEnv[[#This Row],[IsVMPoweredOn]]*VLOOKUP(TabVMEnv[VM],TabOceanet[],3,FALSE)/TabVMEnv[[#This Row],[Mutualisé]]</f>
        <v>4</v>
      </c>
      <c r="N88">
        <f>VLOOKUP(TabVMEnv[VM],TabOceanet[],4,FALSE)/TabVMEnv[[#This Row],[Mutualisé]]</f>
        <v>12</v>
      </c>
      <c r="O88">
        <f>IF(LEFT(VLOOKUP(TabVMEnv[VM],TabOceanet[],5,FALSE),3)="win",1,0)</f>
        <v>0</v>
      </c>
      <c r="P88"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88" t="str">
        <f>VLOOKUP(TabVMEnv[EnvProjet],TabEnvProjet[],4,FALSE)</f>
        <v>MAE-PII-L2/334179-17</v>
      </c>
      <c r="R88" s="5" t="str">
        <f>VLOOKUP(TabVMEnv[[#This Row],[SYGES]],TabContrat[],2,FALSE)</f>
        <v>MINISTERE DE L'EUROPE ET DES AFFAIRES ETRANGERES</v>
      </c>
      <c r="S88" s="5" t="str">
        <f>IF(VLOOKUP(TabVMEnv[[#This Row],[VM]],TabOceanet[],1,FALSE) = "","Disparue","")</f>
        <v/>
      </c>
      <c r="T88" s="25">
        <f>VLOOKUP(TabVMEnv[[#This Row],[VM]],TabOceanet[],36,FALSE)/TabVMEnv[[#This Row],[Mutualisé]]</f>
        <v>9.16</v>
      </c>
      <c r="U88" s="25">
        <f>IF(TabVMEnv[[#This Row],[CostCenter]]="CostCenterDI",0,TabVMEnv[[#This Row],[CoutGlobal]])</f>
        <v>9.16</v>
      </c>
      <c r="V88" s="25">
        <f>TabVMEnv[[#This Row],[CoutGlobalSansCostCenterDI]]/TabVMEnv[[#Totals],[CoutGlobalSansCostCenterDI]]*(GlobalARepartirSansMS+GlobalARepartirMSOnly+GlobalARepartirInfraReseau)</f>
        <v>15.988386521904948</v>
      </c>
      <c r="W88" s="25">
        <f>TabVMEnv[[#This Row],[CoutGlobalSansCostCenterDI]]+TabVMEnv[[#This Row],[CoutGlobalSupplementaire]]</f>
        <v>25.148386521904946</v>
      </c>
      <c r="X88" s="5" t="str">
        <f>VLOOKUP(TabVMEnv[[#This Row],[EnvProjet]],TabEnvProjet[],2,FALSE) &amp; " - " &amp; IFERROR(VLOOKUP(TabVMEnv[[#This Row],[EnvProjet]],TabEnvProjet[],4,FALSE),"INCONNU") &amp; " - " &amp; IFERROR(VLOOKUP(TabVMEnv[[#This Row],[EnvProjet]],TabEnvProjet[],5,FALSE),"INCONNU")</f>
        <v>MEAE-SAGAIE TMA - MAE-PII-L2/334179-17 - Axel Benoist-Gironiere, Vincent MERIAU</v>
      </c>
      <c r="Y88" s="5" t="str">
        <f>VLOOKUP(TabVMEnv[EnvProjet],TabEnvProjet[],5,FALSE)</f>
        <v>Axel Benoist-Gironiere, Vincent MERIAU</v>
      </c>
      <c r="Z88" s="5">
        <f>VLOOKUP(TabVMEnv[EnvProjet],TabEnvProjet[],6,FALSE)</f>
        <v>341531</v>
      </c>
      <c r="AA88" s="5" t="str">
        <f>VLOOKUP(TabVMEnv[[#This Row],[EnvProjet]],TabEnvProjet[],3,FALSE)</f>
        <v>DEV_BUILD</v>
      </c>
      <c r="AB88" s="5">
        <f>COUNTIF(TabVMEnv[VM],TabVMEnv[VM])</f>
        <v>1</v>
      </c>
    </row>
    <row r="89" spans="1:28" x14ac:dyDescent="0.25">
      <c r="A89" t="s">
        <v>29</v>
      </c>
      <c r="B89" t="s">
        <v>338</v>
      </c>
      <c r="D89">
        <v>0</v>
      </c>
      <c r="E89" s="13" t="s">
        <v>1197</v>
      </c>
      <c r="F89">
        <f>IF(VLOOKUP(TabVMEnv[VM],TabOceanet[],16,FALSE) = "Tarif_VM",IF(VLOOKUP(TabVMEnv[VM],TabOceanet[],2,FALSE)&lt;4,4,VLOOKUP(TabVMEnv[VM],TabOceanet[],2,FALSE)),0)</f>
        <v>4</v>
      </c>
      <c r="G89">
        <v>0</v>
      </c>
      <c r="H89">
        <v>0</v>
      </c>
      <c r="I89">
        <v>0</v>
      </c>
      <c r="J89">
        <v>0</v>
      </c>
      <c r="K89">
        <f>IF(VLOOKUP(TabVMEnv[VM],TabOceanet[],16,FALSE) = "Tarif_VM",1,0)/TabVMEnv[[#This Row],[Mutualisé]]</f>
        <v>1</v>
      </c>
      <c r="L89">
        <f>IF(VLOOKUP(TabVMEnv[VM],TabOceanet[],9,FALSE) = "PoweredOn",1,0)</f>
        <v>1</v>
      </c>
      <c r="M89">
        <f>TabVMEnv[[#This Row],[IsVMPoweredOn]]*VLOOKUP(TabVMEnv[VM],TabOceanet[],3,FALSE)/TabVMEnv[[#This Row],[Mutualisé]]</f>
        <v>4</v>
      </c>
      <c r="N89">
        <f>VLOOKUP(TabVMEnv[VM],TabOceanet[],4,FALSE)/TabVMEnv[[#This Row],[Mutualisé]]</f>
        <v>12</v>
      </c>
      <c r="O89">
        <f>IF(LEFT(VLOOKUP(TabVMEnv[VM],TabOceanet[],5,FALSE),3)="win",1,0)</f>
        <v>0</v>
      </c>
      <c r="P89"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89" t="str">
        <f>VLOOKUP(TabVMEnv[EnvProjet],TabEnvProjet[],4,FALSE)</f>
        <v>MAE-PII-L2/334179-17</v>
      </c>
      <c r="R89" s="5" t="str">
        <f>VLOOKUP(TabVMEnv[[#This Row],[SYGES]],TabContrat[],2,FALSE)</f>
        <v>MINISTERE DE L'EUROPE ET DES AFFAIRES ETRANGERES</v>
      </c>
      <c r="S89" s="5" t="str">
        <f>IF(VLOOKUP(TabVMEnv[[#This Row],[VM]],TabOceanet[],1,FALSE) = "","Disparue","")</f>
        <v/>
      </c>
      <c r="T89" s="25">
        <f>VLOOKUP(TabVMEnv[[#This Row],[VM]],TabOceanet[],36,FALSE)/TabVMEnv[[#This Row],[Mutualisé]]</f>
        <v>9.16</v>
      </c>
      <c r="U89" s="25">
        <f>IF(TabVMEnv[[#This Row],[CostCenter]]="CostCenterDI",0,TabVMEnv[[#This Row],[CoutGlobal]])</f>
        <v>9.16</v>
      </c>
      <c r="V89" s="25">
        <f>TabVMEnv[[#This Row],[CoutGlobalSansCostCenterDI]]/TabVMEnv[[#Totals],[CoutGlobalSansCostCenterDI]]*(GlobalARepartirSansMS+GlobalARepartirMSOnly+GlobalARepartirInfraReseau)</f>
        <v>15.988386521904948</v>
      </c>
      <c r="W89" s="25">
        <f>TabVMEnv[[#This Row],[CoutGlobalSansCostCenterDI]]+TabVMEnv[[#This Row],[CoutGlobalSupplementaire]]</f>
        <v>25.148386521904946</v>
      </c>
      <c r="X89" s="5" t="str">
        <f>VLOOKUP(TabVMEnv[[#This Row],[EnvProjet]],TabEnvProjet[],2,FALSE) &amp; " - " &amp; IFERROR(VLOOKUP(TabVMEnv[[#This Row],[EnvProjet]],TabEnvProjet[],4,FALSE),"INCONNU") &amp; " - " &amp; IFERROR(VLOOKUP(TabVMEnv[[#This Row],[EnvProjet]],TabEnvProjet[],5,FALSE),"INCONNU")</f>
        <v>MEAE-SAGAIE TMA - MAE-PII-L2/334179-17 - Axel Benoist-Gironiere, Vincent MERIAU</v>
      </c>
      <c r="Y89" s="5" t="str">
        <f>VLOOKUP(TabVMEnv[EnvProjet],TabEnvProjet[],5,FALSE)</f>
        <v>Axel Benoist-Gironiere, Vincent MERIAU</v>
      </c>
      <c r="Z89" s="5">
        <f>VLOOKUP(TabVMEnv[EnvProjet],TabEnvProjet[],6,FALSE)</f>
        <v>341531</v>
      </c>
      <c r="AA89" s="5" t="str">
        <f>VLOOKUP(TabVMEnv[[#This Row],[EnvProjet]],TabEnvProjet[],3,FALSE)</f>
        <v>QUAL_BUILD</v>
      </c>
      <c r="AB89" s="5">
        <f>COUNTIF(TabVMEnv[VM],TabVMEnv[VM])</f>
        <v>1</v>
      </c>
    </row>
    <row r="90" spans="1:28" x14ac:dyDescent="0.25">
      <c r="A90" t="s">
        <v>1279</v>
      </c>
      <c r="B90" t="s">
        <v>338</v>
      </c>
      <c r="E90" s="13"/>
      <c r="F90" s="5">
        <f>IF(VLOOKUP(TabVMEnv[VM],TabOceanet[],16,FALSE) = "Tarif_VM",IF(VLOOKUP(TabVMEnv[VM],TabOceanet[],2,FALSE)&lt;4,4,VLOOKUP(TabVMEnv[VM],TabOceanet[],2,FALSE)),0)</f>
        <v>4</v>
      </c>
      <c r="G90">
        <v>0</v>
      </c>
      <c r="H90">
        <v>0</v>
      </c>
      <c r="I90">
        <v>0</v>
      </c>
      <c r="J90">
        <v>0</v>
      </c>
      <c r="K90" s="5">
        <f>IF(VLOOKUP(TabVMEnv[VM],TabOceanet[],16,FALSE) = "Tarif_VM",1,0)/TabVMEnv[[#This Row],[Mutualisé]]</f>
        <v>1</v>
      </c>
      <c r="L90" s="5">
        <f>IF(VLOOKUP(TabVMEnv[VM],TabOceanet[],9,FALSE) = "PoweredOn",1,0)</f>
        <v>1</v>
      </c>
      <c r="M90" s="5">
        <f>TabVMEnv[[#This Row],[IsVMPoweredOn]]*VLOOKUP(TabVMEnv[VM],TabOceanet[],3,FALSE)/TabVMEnv[[#This Row],[Mutualisé]]</f>
        <v>2</v>
      </c>
      <c r="N90" s="5">
        <f>VLOOKUP(TabVMEnv[VM],TabOceanet[],4,FALSE)/TabVMEnv[[#This Row],[Mutualisé]]</f>
        <v>12</v>
      </c>
      <c r="O90" s="5">
        <f>IF(LEFT(VLOOKUP(TabVMEnv[VM],TabOceanet[],5,FALSE),3)="win",1,0)</f>
        <v>0</v>
      </c>
      <c r="P90"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90" t="str">
        <f>VLOOKUP(TabVMEnv[EnvProjet],TabEnvProjet[],4,FALSE)</f>
        <v>MAE-PII-L2/334179-17</v>
      </c>
      <c r="R90" s="5" t="str">
        <f>VLOOKUP(TabVMEnv[[#This Row],[SYGES]],TabContrat[],2,FALSE)</f>
        <v>MINISTERE DE L'EUROPE ET DES AFFAIRES ETRANGERES</v>
      </c>
      <c r="S90" s="5" t="str">
        <f>IF(VLOOKUP(TabVMEnv[[#This Row],[VM]],TabOceanet[],1,FALSE) = "","Disparue","")</f>
        <v/>
      </c>
      <c r="T90" s="25">
        <f>VLOOKUP(TabVMEnv[[#This Row],[VM]],TabOceanet[],36,FALSE)/TabVMEnv[[#This Row],[Mutualisé]]</f>
        <v>5.9600000000000009</v>
      </c>
      <c r="U90" s="25">
        <f>IF(TabVMEnv[[#This Row],[CostCenter]]="CostCenterDI",0,TabVMEnv[[#This Row],[CoutGlobal]])</f>
        <v>5.9600000000000009</v>
      </c>
      <c r="V90" s="25">
        <f>TabVMEnv[[#This Row],[CoutGlobalSansCostCenterDI]]/TabVMEnv[[#Totals],[CoutGlobalSansCostCenterDI]]*(GlobalARepartirSansMS+GlobalARepartirMSOnly+GlobalARepartirInfraReseau)</f>
        <v>10.402923981501475</v>
      </c>
      <c r="W90" s="25">
        <f>TabVMEnv[[#This Row],[CoutGlobalSansCostCenterDI]]+TabVMEnv[[#This Row],[CoutGlobalSupplementaire]]</f>
        <v>16.362923981501474</v>
      </c>
      <c r="X90" s="5" t="str">
        <f>VLOOKUP(TabVMEnv[[#This Row],[EnvProjet]],TabEnvProjet[],2,FALSE) &amp; " - " &amp; IFERROR(VLOOKUP(TabVMEnv[[#This Row],[EnvProjet]],TabEnvProjet[],4,FALSE),"INCONNU") &amp; " - " &amp; IFERROR(VLOOKUP(TabVMEnv[[#This Row],[EnvProjet]],TabEnvProjet[],5,FALSE),"INCONNU")</f>
        <v>MEAE-SAGAIE TMA - MAE-PII-L2/334179-17 - Axel Benoist-Gironiere, Vincent MERIAU</v>
      </c>
      <c r="Y90" s="5" t="str">
        <f>VLOOKUP(TabVMEnv[EnvProjet],TabEnvProjet[],5,FALSE)</f>
        <v>Axel Benoist-Gironiere, Vincent MERIAU</v>
      </c>
      <c r="Z90" s="5">
        <f>VLOOKUP(TabVMEnv[EnvProjet],TabEnvProjet[],6,FALSE)</f>
        <v>341531</v>
      </c>
      <c r="AA90" s="5" t="str">
        <f>VLOOKUP(TabVMEnv[[#This Row],[EnvProjet]],TabEnvProjet[],3,FALSE)</f>
        <v>QUAL_BUILD</v>
      </c>
      <c r="AB90" s="5">
        <f>COUNTIF(TabVMEnv[VM],TabVMEnv[VM])</f>
        <v>1</v>
      </c>
    </row>
    <row r="91" spans="1:28" x14ac:dyDescent="0.25">
      <c r="A91" t="s">
        <v>57</v>
      </c>
      <c r="B91" t="s">
        <v>330</v>
      </c>
      <c r="C91" t="s">
        <v>58</v>
      </c>
      <c r="D91">
        <v>0</v>
      </c>
      <c r="E91" s="13" t="s">
        <v>1197</v>
      </c>
      <c r="F91">
        <f>IF(VLOOKUP(TabVMEnv[VM],TabOceanet[],16,FALSE) = "Tarif_VM",IF(VLOOKUP(TabVMEnv[VM],TabOceanet[],2,FALSE)&lt;4,4,VLOOKUP(TabVMEnv[VM],TabOceanet[],2,FALSE)),0)</f>
        <v>4</v>
      </c>
      <c r="G91">
        <v>0</v>
      </c>
      <c r="H91">
        <v>0</v>
      </c>
      <c r="I91">
        <v>0</v>
      </c>
      <c r="J91">
        <v>0</v>
      </c>
      <c r="K91">
        <f>IF(VLOOKUP(TabVMEnv[VM],TabOceanet[],16,FALSE) = "Tarif_VM",1,0)/TabVMEnv[[#This Row],[Mutualisé]]</f>
        <v>1</v>
      </c>
      <c r="L91">
        <f>IF(VLOOKUP(TabVMEnv[VM],TabOceanet[],9,FALSE) = "PoweredOn",1,0)</f>
        <v>1</v>
      </c>
      <c r="M91">
        <f>TabVMEnv[[#This Row],[IsVMPoweredOn]]*VLOOKUP(TabVMEnv[VM],TabOceanet[],3,FALSE)/TabVMEnv[[#This Row],[Mutualisé]]</f>
        <v>2</v>
      </c>
      <c r="N91">
        <f>VLOOKUP(TabVMEnv[VM],TabOceanet[],4,FALSE)/TabVMEnv[[#This Row],[Mutualisé]]</f>
        <v>6</v>
      </c>
      <c r="O91">
        <f>IF(LEFT(VLOOKUP(TabVMEnv[VM],TabOceanet[],5,FALSE),3)="win",1,0)</f>
        <v>0</v>
      </c>
      <c r="P91"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91" t="str">
        <f>VLOOKUP(TabVMEnv[EnvProjet],TabEnvProjet[],4,FALSE)</f>
        <v>MAE-PII-L2/334179-17</v>
      </c>
      <c r="R91" s="5" t="str">
        <f>VLOOKUP(TabVMEnv[[#This Row],[SYGES]],TabContrat[],2,FALSE)</f>
        <v>MINISTERE DE L'EUROPE ET DES AFFAIRES ETRANGERES</v>
      </c>
      <c r="S91" s="5" t="str">
        <f>IF(VLOOKUP(TabVMEnv[[#This Row],[VM]],TabOceanet[],1,FALSE) = "","Disparue","")</f>
        <v/>
      </c>
      <c r="T91" s="17">
        <f>VLOOKUP(TabVMEnv[[#This Row],[VM]],TabOceanet[],36,FALSE)/TabVMEnv[[#This Row],[Mutualisé]]</f>
        <v>4.58</v>
      </c>
      <c r="U91" s="17">
        <f>IF(TabVMEnv[[#This Row],[CostCenter]]="CostCenterDI",0,TabVMEnv[[#This Row],[CoutGlobal]])</f>
        <v>4.58</v>
      </c>
      <c r="V91" s="17">
        <f>TabVMEnv[[#This Row],[CoutGlobalSansCostCenterDI]]/TabVMEnv[[#Totals],[CoutGlobalSansCostCenterDI]]*(GlobalARepartirSansMS+GlobalARepartirMSOnly+GlobalARepartirInfraReseau)</f>
        <v>7.994193260952474</v>
      </c>
      <c r="W91" s="17">
        <f>TabVMEnv[[#This Row],[CoutGlobalSansCostCenterDI]]+TabVMEnv[[#This Row],[CoutGlobalSupplementaire]]</f>
        <v>12.574193260952473</v>
      </c>
      <c r="X91" s="5" t="str">
        <f>VLOOKUP(TabVMEnv[[#This Row],[EnvProjet]],TabEnvProjet[],2,FALSE) &amp; " - " &amp; IFERROR(VLOOKUP(TabVMEnv[[#This Row],[EnvProjet]],TabEnvProjet[],4,FALSE),"INCONNU") &amp; " - " &amp; IFERROR(VLOOKUP(TabVMEnv[[#This Row],[EnvProjet]],TabEnvProjet[],5,FALSE),"INCONNU")</f>
        <v>MEAE-Visa - MAE-PII-L2/334179-17 - Axel Benoist-Gironiere</v>
      </c>
      <c r="Y91" s="5" t="str">
        <f>VLOOKUP(TabVMEnv[EnvProjet],TabEnvProjet[],5,FALSE)</f>
        <v>Axel Benoist-Gironiere</v>
      </c>
      <c r="Z91" s="5">
        <f>VLOOKUP(TabVMEnv[EnvProjet],TabEnvProjet[],6,FALSE)</f>
        <v>341531</v>
      </c>
      <c r="AA91" s="5" t="str">
        <f>VLOOKUP(TabVMEnv[[#This Row],[EnvProjet]],TabEnvProjet[],3,FALSE)</f>
        <v>QUAL</v>
      </c>
      <c r="AB91" s="5">
        <f>COUNTIF(TabVMEnv[VM],TabVMEnv[VM])</f>
        <v>1</v>
      </c>
    </row>
    <row r="92" spans="1:28" x14ac:dyDescent="0.25">
      <c r="A92" t="s">
        <v>244</v>
      </c>
      <c r="B92" t="s">
        <v>339</v>
      </c>
      <c r="D92">
        <v>2</v>
      </c>
      <c r="E92" s="13" t="s">
        <v>1199</v>
      </c>
      <c r="F92">
        <f>IF(VLOOKUP(TabVMEnv[VM],TabOceanet[],16,FALSE) = "Tarif_VM",IF(VLOOKUP(TabVMEnv[VM],TabOceanet[],2,FALSE)&lt;4,4,VLOOKUP(TabVMEnv[VM],TabOceanet[],2,FALSE)),0)</f>
        <v>4</v>
      </c>
      <c r="G92">
        <v>0</v>
      </c>
      <c r="H92">
        <v>0</v>
      </c>
      <c r="I92">
        <v>0</v>
      </c>
      <c r="J92">
        <v>0</v>
      </c>
      <c r="K92">
        <f>IF(VLOOKUP(TabVMEnv[VM],TabOceanet[],16,FALSE) = "Tarif_VM",1,0)/TabVMEnv[[#This Row],[Mutualisé]]</f>
        <v>1</v>
      </c>
      <c r="L92">
        <f>IF(VLOOKUP(TabVMEnv[VM],TabOceanet[],9,FALSE) = "PoweredOn",1,0)</f>
        <v>1</v>
      </c>
      <c r="M92">
        <f>TabVMEnv[[#This Row],[IsVMPoweredOn]]*VLOOKUP(TabVMEnv[VM],TabOceanet[],3,FALSE)/TabVMEnv[[#This Row],[Mutualisé]]</f>
        <v>4</v>
      </c>
      <c r="N92">
        <f>VLOOKUP(TabVMEnv[VM],TabOceanet[],4,FALSE)/TabVMEnv[[#This Row],[Mutualisé]]</f>
        <v>14</v>
      </c>
      <c r="O92">
        <f>IF(LEFT(VLOOKUP(TabVMEnv[VM],TabOceanet[],5,FALSE),3)="win",1,0)</f>
        <v>0</v>
      </c>
      <c r="P92"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92" t="str">
        <f>VLOOKUP(TabVMEnv[EnvProjet],TabEnvProjet[],4,FALSE)</f>
        <v>GFIINT2019/ NRT-PJINT</v>
      </c>
      <c r="R92" s="5" t="str">
        <f>VLOOKUP(TabVMEnv[[#This Row],[SYGES]],TabContrat[],2,FALSE)</f>
        <v>GFI-NIORT</v>
      </c>
      <c r="S92" s="5" t="str">
        <f>IF(VLOOKUP(TabVMEnv[[#This Row],[VM]],TabOceanet[],1,FALSE) = "","Disparue","")</f>
        <v/>
      </c>
      <c r="T92" s="17">
        <f>VLOOKUP(TabVMEnv[[#This Row],[VM]],TabOceanet[],36,FALSE)/TabVMEnv[[#This Row],[Mutualisé]]</f>
        <v>9.620000000000001</v>
      </c>
      <c r="U92" s="17">
        <f>IF(TabVMEnv[[#This Row],[CostCenter]]="CostCenterDI",0,TabVMEnv[[#This Row],[CoutGlobal]])</f>
        <v>9.620000000000001</v>
      </c>
      <c r="V92" s="17">
        <f>TabVMEnv[[#This Row],[CoutGlobalSansCostCenterDI]]/TabVMEnv[[#Totals],[CoutGlobalSansCostCenterDI]]*(GlobalARepartirSansMS+GlobalARepartirMSOnly+GlobalARepartirInfraReseau)</f>
        <v>16.791296762087949</v>
      </c>
      <c r="W92" s="17">
        <f>TabVMEnv[[#This Row],[CoutGlobalSansCostCenterDI]]+TabVMEnv[[#This Row],[CoutGlobalSupplementaire]]</f>
        <v>26.41129676208795</v>
      </c>
      <c r="X92" s="5" t="str">
        <f>VLOOKUP(TabVMEnv[[#This Row],[EnvProjet]],TabEnvProjet[],2,FALSE) &amp; " - " &amp; IFERROR(VLOOKUP(TabVMEnv[[#This Row],[EnvProjet]],TabEnvProjet[],4,FALSE),"INCONNU") &amp; " - " &amp; IFERROR(VLOOKUP(TabVMEnv[[#This Row],[EnvProjet]],TabEnvProjet[],5,FALSE),"INCONNU")</f>
        <v>GFI-MY BUSINESS - GFIINT2019/ NRT-PJINT - Philippe De Guio</v>
      </c>
      <c r="Y92" s="5" t="str">
        <f>VLOOKUP(TabVMEnv[EnvProjet],TabEnvProjet[],5,FALSE)</f>
        <v>Philippe De Guio</v>
      </c>
      <c r="Z92" s="5">
        <f>VLOOKUP(TabVMEnv[EnvProjet],TabEnvProjet[],6,FALSE)</f>
        <v>341530</v>
      </c>
      <c r="AA92" s="5" t="str">
        <f>VLOOKUP(TabVMEnv[[#This Row],[EnvProjet]],TabEnvProjet[],3,FALSE)</f>
        <v>DEV</v>
      </c>
      <c r="AB92" s="5">
        <f>COUNTIF(TabVMEnv[VM],TabVMEnv[VM])</f>
        <v>1</v>
      </c>
    </row>
    <row r="93" spans="1:28" x14ac:dyDescent="0.25">
      <c r="A93" t="s">
        <v>245</v>
      </c>
      <c r="B93" t="s">
        <v>340</v>
      </c>
      <c r="D93">
        <v>0.5</v>
      </c>
      <c r="E93" s="13" t="s">
        <v>1199</v>
      </c>
      <c r="F93">
        <f>IF(VLOOKUP(TabVMEnv[VM],TabOceanet[],16,FALSE) = "Tarif_VM",IF(VLOOKUP(TabVMEnv[VM],TabOceanet[],2,FALSE)&lt;4,4,VLOOKUP(TabVMEnv[VM],TabOceanet[],2,FALSE)),0)</f>
        <v>4</v>
      </c>
      <c r="G93">
        <v>0</v>
      </c>
      <c r="H93">
        <v>0</v>
      </c>
      <c r="I93">
        <v>0</v>
      </c>
      <c r="J93">
        <v>0</v>
      </c>
      <c r="K93">
        <f>IF(VLOOKUP(TabVMEnv[VM],TabOceanet[],16,FALSE) = "Tarif_VM",1,0)/TabVMEnv[[#This Row],[Mutualisé]]</f>
        <v>1</v>
      </c>
      <c r="L93">
        <f>IF(VLOOKUP(TabVMEnv[VM],TabOceanet[],9,FALSE) = "PoweredOn",1,0)</f>
        <v>1</v>
      </c>
      <c r="M93">
        <f>TabVMEnv[[#This Row],[IsVMPoweredOn]]*VLOOKUP(TabVMEnv[VM],TabOceanet[],3,FALSE)/TabVMEnv[[#This Row],[Mutualisé]]</f>
        <v>4</v>
      </c>
      <c r="N93">
        <f>VLOOKUP(TabVMEnv[VM],TabOceanet[],4,FALSE)/TabVMEnv[[#This Row],[Mutualisé]]</f>
        <v>14</v>
      </c>
      <c r="O93">
        <f>IF(LEFT(VLOOKUP(TabVMEnv[VM],TabOceanet[],5,FALSE),3)="win",1,0)</f>
        <v>0</v>
      </c>
      <c r="P93"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93" t="str">
        <f>VLOOKUP(TabVMEnv[EnvProjet],TabEnvProjet[],4,FALSE)</f>
        <v>GFIINT2019/ NRT-PJINT</v>
      </c>
      <c r="R93" s="5" t="str">
        <f>VLOOKUP(TabVMEnv[[#This Row],[SYGES]],TabContrat[],2,FALSE)</f>
        <v>GFI-NIORT</v>
      </c>
      <c r="S93" s="5" t="str">
        <f>IF(VLOOKUP(TabVMEnv[[#This Row],[VM]],TabOceanet[],1,FALSE) = "","Disparue","")</f>
        <v/>
      </c>
      <c r="T93" s="17">
        <f>VLOOKUP(TabVMEnv[[#This Row],[VM]],TabOceanet[],36,FALSE)/TabVMEnv[[#This Row],[Mutualisé]]</f>
        <v>9.620000000000001</v>
      </c>
      <c r="U93" s="17">
        <f>IF(TabVMEnv[[#This Row],[CostCenter]]="CostCenterDI",0,TabVMEnv[[#This Row],[CoutGlobal]])</f>
        <v>9.620000000000001</v>
      </c>
      <c r="V93" s="17">
        <f>TabVMEnv[[#This Row],[CoutGlobalSansCostCenterDI]]/TabVMEnv[[#Totals],[CoutGlobalSansCostCenterDI]]*(GlobalARepartirSansMS+GlobalARepartirMSOnly+GlobalARepartirInfraReseau)</f>
        <v>16.791296762087949</v>
      </c>
      <c r="W93" s="17">
        <f>TabVMEnv[[#This Row],[CoutGlobalSansCostCenterDI]]+TabVMEnv[[#This Row],[CoutGlobalSupplementaire]]</f>
        <v>26.41129676208795</v>
      </c>
      <c r="X93" s="5" t="str">
        <f>VLOOKUP(TabVMEnv[[#This Row],[EnvProjet]],TabEnvProjet[],2,FALSE) &amp; " - " &amp; IFERROR(VLOOKUP(TabVMEnv[[#This Row],[EnvProjet]],TabEnvProjet[],4,FALSE),"INCONNU") &amp; " - " &amp; IFERROR(VLOOKUP(TabVMEnv[[#This Row],[EnvProjet]],TabEnvProjet[],5,FALSE),"INCONNU")</f>
        <v>GFI-MY BUSINESS - GFIINT2019/ NRT-PJINT - Philippe De Guio</v>
      </c>
      <c r="Y93" s="5" t="str">
        <f>VLOOKUP(TabVMEnv[EnvProjet],TabEnvProjet[],5,FALSE)</f>
        <v>Philippe De Guio</v>
      </c>
      <c r="Z93" s="5">
        <f>VLOOKUP(TabVMEnv[EnvProjet],TabEnvProjet[],6,FALSE)</f>
        <v>341530</v>
      </c>
      <c r="AA93" s="5" t="str">
        <f>VLOOKUP(TabVMEnv[[#This Row],[EnvProjet]],TabEnvProjet[],3,FALSE)</f>
        <v>QUAL</v>
      </c>
      <c r="AB93" s="5">
        <f>COUNTIF(TabVMEnv[VM],TabVMEnv[VM])</f>
        <v>1</v>
      </c>
    </row>
    <row r="94" spans="1:28" x14ac:dyDescent="0.25">
      <c r="A94" t="s">
        <v>246</v>
      </c>
      <c r="B94" t="s">
        <v>341</v>
      </c>
      <c r="D94">
        <v>0.5</v>
      </c>
      <c r="E94" s="13" t="s">
        <v>1199</v>
      </c>
      <c r="F94">
        <f>IF(VLOOKUP(TabVMEnv[VM],TabOceanet[],16,FALSE) = "Tarif_VM",IF(VLOOKUP(TabVMEnv[VM],TabOceanet[],2,FALSE)&lt;4,4,VLOOKUP(TabVMEnv[VM],TabOceanet[],2,FALSE)),0)</f>
        <v>4</v>
      </c>
      <c r="G94">
        <v>0</v>
      </c>
      <c r="H94">
        <v>0</v>
      </c>
      <c r="I94">
        <v>0</v>
      </c>
      <c r="J94">
        <v>0</v>
      </c>
      <c r="K94">
        <f>IF(VLOOKUP(TabVMEnv[VM],TabOceanet[],16,FALSE) = "Tarif_VM",1,0)/TabVMEnv[[#This Row],[Mutualisé]]</f>
        <v>1</v>
      </c>
      <c r="L94">
        <f>IF(VLOOKUP(TabVMEnv[VM],TabOceanet[],9,FALSE) = "PoweredOn",1,0)</f>
        <v>1</v>
      </c>
      <c r="M94">
        <f>TabVMEnv[[#This Row],[IsVMPoweredOn]]*VLOOKUP(TabVMEnv[VM],TabOceanet[],3,FALSE)/TabVMEnv[[#This Row],[Mutualisé]]</f>
        <v>4</v>
      </c>
      <c r="N94">
        <f>VLOOKUP(TabVMEnv[VM],TabOceanet[],4,FALSE)/TabVMEnv[[#This Row],[Mutualisé]]</f>
        <v>14</v>
      </c>
      <c r="O94">
        <f>IF(LEFT(VLOOKUP(TabVMEnv[VM],TabOceanet[],5,FALSE),3)="win",1,0)</f>
        <v>0</v>
      </c>
      <c r="P94"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94" t="str">
        <f>VLOOKUP(TabVMEnv[EnvProjet],TabEnvProjet[],4,FALSE)</f>
        <v>GFIINT2019/ NRT-PJINT</v>
      </c>
      <c r="R94" s="5" t="str">
        <f>VLOOKUP(TabVMEnv[[#This Row],[SYGES]],TabContrat[],2,FALSE)</f>
        <v>GFI-NIORT</v>
      </c>
      <c r="S94" s="5" t="str">
        <f>IF(VLOOKUP(TabVMEnv[[#This Row],[VM]],TabOceanet[],1,FALSE) = "","Disparue","")</f>
        <v/>
      </c>
      <c r="T94" s="25">
        <f>VLOOKUP(TabVMEnv[[#This Row],[VM]],TabOceanet[],36,FALSE)/TabVMEnv[[#This Row],[Mutualisé]]</f>
        <v>9.620000000000001</v>
      </c>
      <c r="U94" s="25">
        <f>IF(TabVMEnv[[#This Row],[CostCenter]]="CostCenterDI",0,TabVMEnv[[#This Row],[CoutGlobal]])</f>
        <v>9.620000000000001</v>
      </c>
      <c r="V94" s="25">
        <f>TabVMEnv[[#This Row],[CoutGlobalSansCostCenterDI]]/TabVMEnv[[#Totals],[CoutGlobalSansCostCenterDI]]*(GlobalARepartirSansMS+GlobalARepartirMSOnly+GlobalARepartirInfraReseau)</f>
        <v>16.791296762087949</v>
      </c>
      <c r="W94" s="25">
        <f>TabVMEnv[[#This Row],[CoutGlobalSansCostCenterDI]]+TabVMEnv[[#This Row],[CoutGlobalSupplementaire]]</f>
        <v>26.41129676208795</v>
      </c>
      <c r="X94" s="5" t="str">
        <f>VLOOKUP(TabVMEnv[[#This Row],[EnvProjet]],TabEnvProjet[],2,FALSE) &amp; " - " &amp; IFERROR(VLOOKUP(TabVMEnv[[#This Row],[EnvProjet]],TabEnvProjet[],4,FALSE),"INCONNU") &amp; " - " &amp; IFERROR(VLOOKUP(TabVMEnv[[#This Row],[EnvProjet]],TabEnvProjet[],5,FALSE),"INCONNU")</f>
        <v>GFI-MY BUSINESS - GFIINT2019/ NRT-PJINT - Philippe De Guio</v>
      </c>
      <c r="Y94" s="5" t="str">
        <f>VLOOKUP(TabVMEnv[EnvProjet],TabEnvProjet[],5,FALSE)</f>
        <v>Philippe De Guio</v>
      </c>
      <c r="Z94" s="5">
        <f>VLOOKUP(TabVMEnv[EnvProjet],TabEnvProjet[],6,FALSE)</f>
        <v>341530</v>
      </c>
      <c r="AA94" s="5" t="str">
        <f>VLOOKUP(TabVMEnv[[#This Row],[EnvProjet]],TabEnvProjet[],3,FALSE)</f>
        <v>PROD</v>
      </c>
      <c r="AB94" s="5">
        <f>COUNTIF(TabVMEnv[VM],TabVMEnv[VM])</f>
        <v>1</v>
      </c>
    </row>
    <row r="95" spans="1:28" x14ac:dyDescent="0.25">
      <c r="A95" t="s">
        <v>1280</v>
      </c>
      <c r="B95" t="s">
        <v>341</v>
      </c>
      <c r="E95" s="13"/>
      <c r="F95" s="5">
        <f>IF(VLOOKUP(TabVMEnv[VM],TabOceanet[],16,FALSE) = "Tarif_VM",IF(VLOOKUP(TabVMEnv[VM],TabOceanet[],2,FALSE)&lt;4,4,VLOOKUP(TabVMEnv[VM],TabOceanet[],2,FALSE)),0)</f>
        <v>4</v>
      </c>
      <c r="G95">
        <v>0</v>
      </c>
      <c r="H95">
        <v>0</v>
      </c>
      <c r="I95">
        <v>0</v>
      </c>
      <c r="J95">
        <v>0</v>
      </c>
      <c r="K95" s="5">
        <f>IF(VLOOKUP(TabVMEnv[VM],TabOceanet[],16,FALSE) = "Tarif_VM",1,0)/TabVMEnv[[#This Row],[Mutualisé]]</f>
        <v>1</v>
      </c>
      <c r="L95" s="5">
        <f>IF(VLOOKUP(TabVMEnv[VM],TabOceanet[],9,FALSE) = "PoweredOn",1,0)</f>
        <v>1</v>
      </c>
      <c r="M95" s="5">
        <f>TabVMEnv[[#This Row],[IsVMPoweredOn]]*VLOOKUP(TabVMEnv[VM],TabOceanet[],3,FALSE)/TabVMEnv[[#This Row],[Mutualisé]]</f>
        <v>4</v>
      </c>
      <c r="N95" s="5">
        <f>VLOOKUP(TabVMEnv[VM],TabOceanet[],4,FALSE)/TabVMEnv[[#This Row],[Mutualisé]]</f>
        <v>14</v>
      </c>
      <c r="O95" s="5">
        <f>IF(LEFT(VLOOKUP(TabVMEnv[VM],TabOceanet[],5,FALSE),3)="win",1,0)</f>
        <v>0</v>
      </c>
      <c r="P95"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95" t="str">
        <f>VLOOKUP(TabVMEnv[EnvProjet],TabEnvProjet[],4,FALSE)</f>
        <v>GFIINT2019/ NRT-PJINT</v>
      </c>
      <c r="R95" s="5" t="str">
        <f>VLOOKUP(TabVMEnv[[#This Row],[SYGES]],TabContrat[],2,FALSE)</f>
        <v>GFI-NIORT</v>
      </c>
      <c r="S95" s="5" t="str">
        <f>IF(VLOOKUP(TabVMEnv[[#This Row],[VM]],TabOceanet[],1,FALSE) = "","Disparue","")</f>
        <v/>
      </c>
      <c r="T95" s="25">
        <f>VLOOKUP(TabVMEnv[[#This Row],[VM]],TabOceanet[],36,FALSE)/TabVMEnv[[#This Row],[Mutualisé]]</f>
        <v>9.620000000000001</v>
      </c>
      <c r="U95" s="25">
        <f>IF(TabVMEnv[[#This Row],[CostCenter]]="CostCenterDI",0,TabVMEnv[[#This Row],[CoutGlobal]])</f>
        <v>9.620000000000001</v>
      </c>
      <c r="V95" s="25">
        <f>TabVMEnv[[#This Row],[CoutGlobalSansCostCenterDI]]/TabVMEnv[[#Totals],[CoutGlobalSansCostCenterDI]]*(GlobalARepartirSansMS+GlobalARepartirMSOnly+GlobalARepartirInfraReseau)</f>
        <v>16.791296762087949</v>
      </c>
      <c r="W95" s="25">
        <f>TabVMEnv[[#This Row],[CoutGlobalSansCostCenterDI]]+TabVMEnv[[#This Row],[CoutGlobalSupplementaire]]</f>
        <v>26.41129676208795</v>
      </c>
      <c r="X95" s="5" t="str">
        <f>VLOOKUP(TabVMEnv[[#This Row],[EnvProjet]],TabEnvProjet[],2,FALSE) &amp; " - " &amp; IFERROR(VLOOKUP(TabVMEnv[[#This Row],[EnvProjet]],TabEnvProjet[],4,FALSE),"INCONNU") &amp; " - " &amp; IFERROR(VLOOKUP(TabVMEnv[[#This Row],[EnvProjet]],TabEnvProjet[],5,FALSE),"INCONNU")</f>
        <v>GFI-MY BUSINESS - GFIINT2019/ NRT-PJINT - Philippe De Guio</v>
      </c>
      <c r="Y95" s="5" t="str">
        <f>VLOOKUP(TabVMEnv[EnvProjet],TabEnvProjet[],5,FALSE)</f>
        <v>Philippe De Guio</v>
      </c>
      <c r="Z95" s="5">
        <f>VLOOKUP(TabVMEnv[EnvProjet],TabEnvProjet[],6,FALSE)</f>
        <v>341530</v>
      </c>
      <c r="AA95" s="5" t="str">
        <f>VLOOKUP(TabVMEnv[[#This Row],[EnvProjet]],TabEnvProjet[],3,FALSE)</f>
        <v>PROD</v>
      </c>
      <c r="AB95" s="5">
        <f>COUNTIF(TabVMEnv[VM],TabVMEnv[VM])</f>
        <v>1</v>
      </c>
    </row>
    <row r="96" spans="1:28" x14ac:dyDescent="0.25">
      <c r="A96" t="s">
        <v>1301</v>
      </c>
      <c r="B96" t="s">
        <v>340</v>
      </c>
      <c r="E96" s="13"/>
      <c r="F96" s="5">
        <f>IF(VLOOKUP(TabVMEnv[VM],TabOceanet[],16,FALSE) = "Tarif_VM",IF(VLOOKUP(TabVMEnv[VM],TabOceanet[],2,FALSE)&lt;4,4,VLOOKUP(TabVMEnv[VM],TabOceanet[],2,FALSE)),0)</f>
        <v>4</v>
      </c>
      <c r="G96">
        <v>0</v>
      </c>
      <c r="H96">
        <v>0</v>
      </c>
      <c r="I96">
        <v>0</v>
      </c>
      <c r="J96">
        <v>0</v>
      </c>
      <c r="K96" s="5">
        <f>IF(VLOOKUP(TabVMEnv[VM],TabOceanet[],16,FALSE) = "Tarif_VM",1,0)/TabVMEnv[[#This Row],[Mutualisé]]</f>
        <v>1</v>
      </c>
      <c r="L96" s="5">
        <f>IF(VLOOKUP(TabVMEnv[VM],TabOceanet[],9,FALSE) = "PoweredOn",1,0)</f>
        <v>1</v>
      </c>
      <c r="M96" s="5">
        <f>TabVMEnv[[#This Row],[IsVMPoweredOn]]*VLOOKUP(TabVMEnv[VM],TabOceanet[],3,FALSE)/TabVMEnv[[#This Row],[Mutualisé]]</f>
        <v>4</v>
      </c>
      <c r="N96" s="5">
        <f>VLOOKUP(TabVMEnv[VM],TabOceanet[],4,FALSE)/TabVMEnv[[#This Row],[Mutualisé]]</f>
        <v>14</v>
      </c>
      <c r="O96" s="5">
        <f>IF(LEFT(VLOOKUP(TabVMEnv[VM],TabOceanet[],5,FALSE),3)="win",1,0)</f>
        <v>0</v>
      </c>
      <c r="P96"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96" t="str">
        <f>VLOOKUP(TabVMEnv[EnvProjet],TabEnvProjet[],4,FALSE)</f>
        <v>GFIINT2019/ NRT-PJINT</v>
      </c>
      <c r="R96" s="5" t="str">
        <f>VLOOKUP(TabVMEnv[[#This Row],[SYGES]],TabContrat[],2,FALSE)</f>
        <v>GFI-NIORT</v>
      </c>
      <c r="S96" s="5" t="str">
        <f>IF(VLOOKUP(TabVMEnv[[#This Row],[VM]],TabOceanet[],1,FALSE) = "","Disparue","")</f>
        <v/>
      </c>
      <c r="T96" s="25">
        <f>VLOOKUP(TabVMEnv[[#This Row],[VM]],TabOceanet[],36,FALSE)/TabVMEnv[[#This Row],[Mutualisé]]</f>
        <v>9.620000000000001</v>
      </c>
      <c r="U96" s="25">
        <f>IF(TabVMEnv[[#This Row],[CostCenter]]="CostCenterDI",0,TabVMEnv[[#This Row],[CoutGlobal]])</f>
        <v>9.620000000000001</v>
      </c>
      <c r="V96" s="25">
        <f>TabVMEnv[[#This Row],[CoutGlobalSansCostCenterDI]]/TabVMEnv[[#Totals],[CoutGlobalSansCostCenterDI]]*(GlobalARepartirSansMS+GlobalARepartirMSOnly+GlobalARepartirInfraReseau)</f>
        <v>16.791296762087949</v>
      </c>
      <c r="W96" s="25">
        <f>TabVMEnv[[#This Row],[CoutGlobalSansCostCenterDI]]+TabVMEnv[[#This Row],[CoutGlobalSupplementaire]]</f>
        <v>26.41129676208795</v>
      </c>
      <c r="X96" s="5" t="str">
        <f>VLOOKUP(TabVMEnv[[#This Row],[EnvProjet]],TabEnvProjet[],2,FALSE) &amp; " - " &amp; IFERROR(VLOOKUP(TabVMEnv[[#This Row],[EnvProjet]],TabEnvProjet[],4,FALSE),"INCONNU") &amp; " - " &amp; IFERROR(VLOOKUP(TabVMEnv[[#This Row],[EnvProjet]],TabEnvProjet[],5,FALSE),"INCONNU")</f>
        <v>GFI-MY BUSINESS - GFIINT2019/ NRT-PJINT - Philippe De Guio</v>
      </c>
      <c r="Y96" s="5" t="str">
        <f>VLOOKUP(TabVMEnv[EnvProjet],TabEnvProjet[],5,FALSE)</f>
        <v>Philippe De Guio</v>
      </c>
      <c r="Z96" s="5">
        <f>VLOOKUP(TabVMEnv[EnvProjet],TabEnvProjet[],6,FALSE)</f>
        <v>341530</v>
      </c>
      <c r="AA96" s="5" t="str">
        <f>VLOOKUP(TabVMEnv[[#This Row],[EnvProjet]],TabEnvProjet[],3,FALSE)</f>
        <v>QUAL</v>
      </c>
      <c r="AB96" s="5">
        <f>COUNTIF(TabVMEnv[VM],TabVMEnv[VM])</f>
        <v>1</v>
      </c>
    </row>
    <row r="97" spans="1:28" x14ac:dyDescent="0.25">
      <c r="A97" t="s">
        <v>32</v>
      </c>
      <c r="B97" t="s">
        <v>334</v>
      </c>
      <c r="D97">
        <v>0</v>
      </c>
      <c r="E97" s="13" t="s">
        <v>1197</v>
      </c>
      <c r="F97">
        <f>IF(VLOOKUP(TabVMEnv[VM],TabOceanet[],16,FALSE) = "Tarif_VM",IF(VLOOKUP(TabVMEnv[VM],TabOceanet[],2,FALSE)&lt;4,4,VLOOKUP(TabVMEnv[VM],TabOceanet[],2,FALSE)),0)</f>
        <v>4</v>
      </c>
      <c r="G97">
        <v>0</v>
      </c>
      <c r="H97">
        <v>0</v>
      </c>
      <c r="I97">
        <v>0</v>
      </c>
      <c r="J97">
        <v>0</v>
      </c>
      <c r="K97">
        <f>IF(VLOOKUP(TabVMEnv[VM],TabOceanet[],16,FALSE) = "Tarif_VM",1,0)/TabVMEnv[[#This Row],[Mutualisé]]</f>
        <v>1</v>
      </c>
      <c r="L97">
        <f>IF(VLOOKUP(TabVMEnv[VM],TabOceanet[],9,FALSE) = "PoweredOn",1,0)</f>
        <v>1</v>
      </c>
      <c r="M97">
        <f>TabVMEnv[[#This Row],[IsVMPoweredOn]]*VLOOKUP(TabVMEnv[VM],TabOceanet[],3,FALSE)/TabVMEnv[[#This Row],[Mutualisé]]</f>
        <v>1</v>
      </c>
      <c r="N97">
        <f>VLOOKUP(TabVMEnv[VM],TabOceanet[],4,FALSE)/TabVMEnv[[#This Row],[Mutualisé]]</f>
        <v>21</v>
      </c>
      <c r="O97">
        <f>IF(LEFT(VLOOKUP(TabVMEnv[VM],TabOceanet[],5,FALSE),3)="win",1,0)</f>
        <v>0</v>
      </c>
      <c r="P97"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97" t="str">
        <f>VLOOKUP(TabVMEnv[EnvProjet],TabEnvProjet[],4,FALSE)</f>
        <v>MAE-PII-L2/334179-17</v>
      </c>
      <c r="R97" s="5" t="str">
        <f>VLOOKUP(TabVMEnv[[#This Row],[SYGES]],TabContrat[],2,FALSE)</f>
        <v>MINISTERE DE L'EUROPE ET DES AFFAIRES ETRANGERES</v>
      </c>
      <c r="S97" s="5" t="str">
        <f>IF(VLOOKUP(TabVMEnv[[#This Row],[VM]],TabOceanet[],1,FALSE) = "","Disparue","")</f>
        <v/>
      </c>
      <c r="T97" s="17">
        <f>VLOOKUP(TabVMEnv[[#This Row],[VM]],TabOceanet[],36,FALSE)/TabVMEnv[[#This Row],[Mutualisé]]</f>
        <v>6.43</v>
      </c>
      <c r="U97" s="17">
        <f>IF(TabVMEnv[[#This Row],[CostCenter]]="CostCenterDI",0,TabVMEnv[[#This Row],[CoutGlobal]])</f>
        <v>6.43</v>
      </c>
      <c r="V97" s="17">
        <f>TabVMEnv[[#This Row],[CoutGlobalSansCostCenterDI]]/TabVMEnv[[#Totals],[CoutGlobalSansCostCenterDI]]*(GlobalARepartirSansMS+GlobalARepartirMSOnly+GlobalARepartirInfraReseau)</f>
        <v>11.223288792123231</v>
      </c>
      <c r="W97" s="17">
        <f>TabVMEnv[[#This Row],[CoutGlobalSansCostCenterDI]]+TabVMEnv[[#This Row],[CoutGlobalSupplementaire]]</f>
        <v>17.653288792123231</v>
      </c>
      <c r="X97" s="5" t="str">
        <f>VLOOKUP(TabVMEnv[[#This Row],[EnvProjet]],TabEnvProjet[],2,FALSE) &amp; " - " &amp; IFERROR(VLOOKUP(TabVMEnv[[#This Row],[EnvProjet]],TabEnvProjet[],4,FALSE),"INCONNU") &amp; " - " &amp; IFERROR(VLOOKUP(TabVMEnv[[#This Row],[EnvProjet]],TabEnvProjet[],5,FALSE),"INCONNU")</f>
        <v>MEAE-Visa - MAE-PII-L2/334179-17 - Axel Benoist-Gironiere</v>
      </c>
      <c r="Y97" s="5" t="str">
        <f>VLOOKUP(TabVMEnv[EnvProjet],TabEnvProjet[],5,FALSE)</f>
        <v>Axel Benoist-Gironiere</v>
      </c>
      <c r="Z97" s="5">
        <f>VLOOKUP(TabVMEnv[EnvProjet],TabEnvProjet[],6,FALSE)</f>
        <v>341531</v>
      </c>
      <c r="AA97" s="5" t="str">
        <f>VLOOKUP(TabVMEnv[[#This Row],[EnvProjet]],TabEnvProjet[],3,FALSE)</f>
        <v>DEV</v>
      </c>
      <c r="AB97" s="5">
        <f>COUNTIF(TabVMEnv[VM],TabVMEnv[VM])</f>
        <v>1</v>
      </c>
    </row>
    <row r="98" spans="1:28" x14ac:dyDescent="0.25">
      <c r="A98" t="s">
        <v>1323</v>
      </c>
      <c r="B98" t="s">
        <v>1339</v>
      </c>
      <c r="E98" s="13"/>
      <c r="F98" s="5">
        <f>IF(VLOOKUP(TabVMEnv[VM],TabOceanet[],16,FALSE) = "Tarif_VM",IF(VLOOKUP(TabVMEnv[VM],TabOceanet[],2,FALSE)&lt;4,4,VLOOKUP(TabVMEnv[VM],TabOceanet[],2,FALSE)),0)</f>
        <v>4</v>
      </c>
      <c r="G98">
        <v>0</v>
      </c>
      <c r="H98">
        <v>0</v>
      </c>
      <c r="I98">
        <v>0</v>
      </c>
      <c r="J98">
        <v>0</v>
      </c>
      <c r="K98" s="5">
        <f>IF(VLOOKUP(TabVMEnv[VM],TabOceanet[],16,FALSE) = "Tarif_VM",1,0)/TabVMEnv[[#This Row],[Mutualisé]]</f>
        <v>1</v>
      </c>
      <c r="L98" s="5">
        <f>IF(VLOOKUP(TabVMEnv[VM],TabOceanet[],9,FALSE) = "PoweredOn",1,0)</f>
        <v>1</v>
      </c>
      <c r="M98" s="5">
        <f>TabVMEnv[[#This Row],[IsVMPoweredOn]]*VLOOKUP(TabVMEnv[VM],TabOceanet[],3,FALSE)/TabVMEnv[[#This Row],[Mutualisé]]</f>
        <v>2</v>
      </c>
      <c r="N98" s="5">
        <f>VLOOKUP(TabVMEnv[VM],TabOceanet[],4,FALSE)/TabVMEnv[[#This Row],[Mutualisé]]</f>
        <v>11</v>
      </c>
      <c r="O98" s="5">
        <f>IF(LEFT(VLOOKUP(TabVMEnv[VM],TabOceanet[],5,FALSE),3)="win",1,0)</f>
        <v>0</v>
      </c>
      <c r="P98"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98" t="str">
        <f>VLOOKUP(TabVMEnv[EnvProjet],TabEnvProjet[],4,FALSE)</f>
        <v>MAE-PII-L2/334179-17</v>
      </c>
      <c r="R98" s="5" t="str">
        <f>VLOOKUP(TabVMEnv[[#This Row],[SYGES]],TabContrat[],2,FALSE)</f>
        <v>MINISTERE DE L'EUROPE ET DES AFFAIRES ETRANGERES</v>
      </c>
      <c r="S98" s="5" t="str">
        <f>IF(VLOOKUP(TabVMEnv[[#This Row],[VM]],TabOceanet[],1,FALSE) = "","Disparue","")</f>
        <v/>
      </c>
      <c r="T98" s="25">
        <f>VLOOKUP(TabVMEnv[[#This Row],[VM]],TabOceanet[],36,FALSE)/TabVMEnv[[#This Row],[Mutualisé]]</f>
        <v>5.73</v>
      </c>
      <c r="U98" s="25">
        <f>IF(TabVMEnv[[#This Row],[CostCenter]]="CostCenterDI",0,TabVMEnv[[#This Row],[CoutGlobal]])</f>
        <v>5.73</v>
      </c>
      <c r="V98" s="25">
        <f>TabVMEnv[[#This Row],[CoutGlobalSansCostCenterDI]]/TabVMEnv[[#Totals],[CoutGlobalSansCostCenterDI]]*(GlobalARepartirSansMS+GlobalARepartirMSOnly+GlobalARepartirInfraReseau)</f>
        <v>10.001468861409974</v>
      </c>
      <c r="W98" s="25">
        <f>TabVMEnv[[#This Row],[CoutGlobalSansCostCenterDI]]+TabVMEnv[[#This Row],[CoutGlobalSupplementaire]]</f>
        <v>15.731468861409974</v>
      </c>
      <c r="X98" s="5" t="str">
        <f>VLOOKUP(TabVMEnv[[#This Row],[EnvProjet]],TabEnvProjet[],2,FALSE) &amp; " - " &amp; IFERROR(VLOOKUP(TabVMEnv[[#This Row],[EnvProjet]],TabEnvProjet[],4,FALSE),"INCONNU") &amp; " - " &amp; IFERROR(VLOOKUP(TabVMEnv[[#This Row],[EnvProjet]],TabEnvProjet[],5,FALSE),"INCONNU")</f>
        <v>MEAE-Prevoirh - MAE-PII-L2/334179-17 - Axel Benoist-Gironiere</v>
      </c>
      <c r="Y98" s="5" t="str">
        <f>VLOOKUP(TabVMEnv[EnvProjet],TabEnvProjet[],5,FALSE)</f>
        <v>Axel Benoist-Gironiere</v>
      </c>
      <c r="Z98" s="5">
        <f>VLOOKUP(TabVMEnv[EnvProjet],TabEnvProjet[],6,FALSE)</f>
        <v>341531</v>
      </c>
      <c r="AA98" s="5" t="str">
        <f>VLOOKUP(TabVMEnv[[#This Row],[EnvProjet]],TabEnvProjet[],3,FALSE)</f>
        <v>DEV</v>
      </c>
      <c r="AB98" s="5">
        <f>COUNTIF(TabVMEnv[VM],TabVMEnv[VM])</f>
        <v>1</v>
      </c>
    </row>
    <row r="99" spans="1:28" x14ac:dyDescent="0.25">
      <c r="A99" t="s">
        <v>12</v>
      </c>
      <c r="B99" t="s">
        <v>332</v>
      </c>
      <c r="C99" t="s">
        <v>8</v>
      </c>
      <c r="D99">
        <v>0</v>
      </c>
      <c r="E99" s="13" t="s">
        <v>1197</v>
      </c>
      <c r="F99">
        <f>IF(VLOOKUP(TabVMEnv[VM],TabOceanet[],16,FALSE) = "Tarif_VM",IF(VLOOKUP(TabVMEnv[VM],TabOceanet[],2,FALSE)&lt;4,4,VLOOKUP(TabVMEnv[VM],TabOceanet[],2,FALSE)),0)</f>
        <v>4</v>
      </c>
      <c r="G99">
        <v>0</v>
      </c>
      <c r="H99">
        <v>0</v>
      </c>
      <c r="I99">
        <v>0</v>
      </c>
      <c r="J99">
        <v>0</v>
      </c>
      <c r="K99">
        <f>IF(VLOOKUP(TabVMEnv[VM],TabOceanet[],16,FALSE) = "Tarif_VM",1,0)/TabVMEnv[[#This Row],[Mutualisé]]</f>
        <v>1</v>
      </c>
      <c r="L99">
        <f>IF(VLOOKUP(TabVMEnv[VM],TabOceanet[],9,FALSE) = "PoweredOn",1,0)</f>
        <v>1</v>
      </c>
      <c r="M99">
        <f>TabVMEnv[[#This Row],[IsVMPoweredOn]]*VLOOKUP(TabVMEnv[VM],TabOceanet[],3,FALSE)/TabVMEnv[[#This Row],[Mutualisé]]</f>
        <v>1</v>
      </c>
      <c r="N99">
        <f>VLOOKUP(TabVMEnv[VM],TabOceanet[],4,FALSE)/TabVMEnv[[#This Row],[Mutualisé]]</f>
        <v>6</v>
      </c>
      <c r="O99">
        <f>IF(LEFT(VLOOKUP(TabVMEnv[VM],TabOceanet[],5,FALSE),3)="win",1,0)</f>
        <v>0</v>
      </c>
      <c r="P99"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99" t="str">
        <f>VLOOKUP(TabVMEnv[EnvProjet],TabEnvProjet[],4,FALSE)</f>
        <v>MAE-PII-L2/334179-17</v>
      </c>
      <c r="R99" s="5" t="str">
        <f>VLOOKUP(TabVMEnv[[#This Row],[SYGES]],TabContrat[],2,FALSE)</f>
        <v>MINISTERE DE L'EUROPE ET DES AFFAIRES ETRANGERES</v>
      </c>
      <c r="S99" s="5" t="str">
        <f>IF(VLOOKUP(TabVMEnv[[#This Row],[VM]],TabOceanet[],1,FALSE) = "","Disparue","")</f>
        <v/>
      </c>
      <c r="T99" s="17">
        <f>VLOOKUP(TabVMEnv[[#This Row],[VM]],TabOceanet[],36,FALSE)/TabVMEnv[[#This Row],[Mutualisé]]</f>
        <v>2.9800000000000004</v>
      </c>
      <c r="U99" s="17">
        <f>IF(TabVMEnv[[#This Row],[CostCenter]]="CostCenterDI",0,TabVMEnv[[#This Row],[CoutGlobal]])</f>
        <v>2.9800000000000004</v>
      </c>
      <c r="V99" s="17">
        <f>TabVMEnv[[#This Row],[CoutGlobalSansCostCenterDI]]/TabVMEnv[[#Totals],[CoutGlobalSansCostCenterDI]]*(GlobalARepartirSansMS+GlobalARepartirMSOnly+GlobalARepartirInfraReseau)</f>
        <v>5.2014619907507376</v>
      </c>
      <c r="W99" s="17">
        <f>TabVMEnv[[#This Row],[CoutGlobalSansCostCenterDI]]+TabVMEnv[[#This Row],[CoutGlobalSupplementaire]]</f>
        <v>8.1814619907507371</v>
      </c>
      <c r="X99" s="5" t="str">
        <f>VLOOKUP(TabVMEnv[[#This Row],[EnvProjet]],TabEnvProjet[],2,FALSE) &amp; " - " &amp; IFERROR(VLOOKUP(TabVMEnv[[#This Row],[EnvProjet]],TabEnvProjet[],4,FALSE),"INCONNU") &amp; " - " &amp; IFERROR(VLOOKUP(TabVMEnv[[#This Row],[EnvProjet]],TabEnvProjet[],5,FALSE),"INCONNU")</f>
        <v>MEAE-SAGAIE TMA - MAE-PII-L2/334179-17 - Axel Benoist-Gironiere, Vincent MERIAU</v>
      </c>
      <c r="Y99" s="5" t="str">
        <f>VLOOKUP(TabVMEnv[EnvProjet],TabEnvProjet[],5,FALSE)</f>
        <v>Axel Benoist-Gironiere, Vincent MERIAU</v>
      </c>
      <c r="Z99" s="5">
        <f>VLOOKUP(TabVMEnv[EnvProjet],TabEnvProjet[],6,FALSE)</f>
        <v>341531</v>
      </c>
      <c r="AA99" s="5" t="str">
        <f>VLOOKUP(TabVMEnv[[#This Row],[EnvProjet]],TabEnvProjet[],3,FALSE)</f>
        <v>SOCLE</v>
      </c>
      <c r="AB99" s="5">
        <f>COUNTIF(TabVMEnv[VM],TabVMEnv[VM])</f>
        <v>1</v>
      </c>
    </row>
    <row r="100" spans="1:28" x14ac:dyDescent="0.25">
      <c r="A100" t="s">
        <v>68</v>
      </c>
      <c r="B100" t="s">
        <v>342</v>
      </c>
      <c r="D100">
        <v>2</v>
      </c>
      <c r="E100" s="13" t="s">
        <v>1200</v>
      </c>
      <c r="F100">
        <f>IF(VLOOKUP(TabVMEnv[VM],TabOceanet[],16,FALSE) = "Tarif_VM",IF(VLOOKUP(TabVMEnv[VM],TabOceanet[],2,FALSE)&lt;4,4,VLOOKUP(TabVMEnv[VM],TabOceanet[],2,FALSE)),0)</f>
        <v>4</v>
      </c>
      <c r="G100">
        <v>0</v>
      </c>
      <c r="H100">
        <v>0</v>
      </c>
      <c r="I100">
        <v>0</v>
      </c>
      <c r="J100">
        <v>0</v>
      </c>
      <c r="K100">
        <f>IF(VLOOKUP(TabVMEnv[VM],TabOceanet[],16,FALSE) = "Tarif_VM",1,0)/TabVMEnv[[#This Row],[Mutualisé]]</f>
        <v>1</v>
      </c>
      <c r="L100">
        <f>IF(VLOOKUP(TabVMEnv[VM],TabOceanet[],9,FALSE) = "PoweredOn",1,0)</f>
        <v>1</v>
      </c>
      <c r="M100">
        <f>TabVMEnv[[#This Row],[IsVMPoweredOn]]*VLOOKUP(TabVMEnv[VM],TabOceanet[],3,FALSE)/TabVMEnv[[#This Row],[Mutualisé]]</f>
        <v>1</v>
      </c>
      <c r="N100">
        <f>VLOOKUP(TabVMEnv[VM],TabOceanet[],4,FALSE)/TabVMEnv[[#This Row],[Mutualisé]]</f>
        <v>4</v>
      </c>
      <c r="O100">
        <f>IF(LEFT(VLOOKUP(TabVMEnv[VM],TabOceanet[],5,FALSE),3)="win",1,0)</f>
        <v>0</v>
      </c>
      <c r="P100"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00" t="str">
        <f>VLOOKUP(TabVMEnv[EnvProjet],TabEnvProjet[],4,FALSE)</f>
        <v>VIVESC-TAU/S240776A</v>
      </c>
      <c r="R100" s="5" t="str">
        <f>VLOOKUP(TabVMEnv[[#This Row],[SYGES]],TabContrat[],2,FALSE)</f>
        <v>CAT'HELIUM VIVESCO</v>
      </c>
      <c r="S100" s="5" t="str">
        <f>IF(VLOOKUP(TabVMEnv[[#This Row],[VM]],TabOceanet[],1,FALSE) = "","Disparue","")</f>
        <v/>
      </c>
      <c r="T100" s="17">
        <f>VLOOKUP(TabVMEnv[[#This Row],[VM]],TabOceanet[],36,FALSE)/TabVMEnv[[#This Row],[Mutualisé]]</f>
        <v>2.52</v>
      </c>
      <c r="U100" s="17">
        <f>IF(TabVMEnv[[#This Row],[CostCenter]]="CostCenterDI",0,TabVMEnv[[#This Row],[CoutGlobal]])</f>
        <v>2.52</v>
      </c>
      <c r="V100" s="17">
        <f>TabVMEnv[[#This Row],[CoutGlobalSansCostCenterDI]]/TabVMEnv[[#Totals],[CoutGlobalSansCostCenterDI]]*(GlobalARepartirSansMS+GlobalARepartirMSOnly+GlobalARepartirInfraReseau)</f>
        <v>4.3985517505677372</v>
      </c>
      <c r="W100" s="17">
        <f>TabVMEnv[[#This Row],[CoutGlobalSansCostCenterDI]]+TabVMEnv[[#This Row],[CoutGlobalSupplementaire]]</f>
        <v>6.9185517505677367</v>
      </c>
      <c r="X100" s="5" t="str">
        <f>VLOOKUP(TabVMEnv[[#This Row],[EnvProjet]],TabEnvProjet[],2,FALSE) &amp; " - " &amp; IFERROR(VLOOKUP(TabVMEnv[[#This Row],[EnvProjet]],TabEnvProjet[],4,FALSE),"INCONNU") &amp; " - " &amp; IFERROR(VLOOKUP(TabVMEnv[[#This Row],[EnvProjet]],TabEnvProjet[],5,FALSE),"INCONNU")</f>
        <v>Vivesco-Vives-taux - VIVESC-TAU/S240776A - Pierre Maurupt</v>
      </c>
      <c r="Y100" s="5" t="str">
        <f>VLOOKUP(TabVMEnv[EnvProjet],TabEnvProjet[],5,FALSE)</f>
        <v>Pierre Maurupt</v>
      </c>
      <c r="Z100" s="5">
        <f>VLOOKUP(TabVMEnv[EnvProjet],TabEnvProjet[],6,FALSE)</f>
        <v>341530</v>
      </c>
      <c r="AA100" s="5" t="str">
        <f>VLOOKUP(TabVMEnv[[#This Row],[EnvProjet]],TabEnvProjet[],3,FALSE)</f>
        <v>DEV</v>
      </c>
      <c r="AB100" s="5">
        <f>COUNTIF(TabVMEnv[VM],TabVMEnv[VM])</f>
        <v>1</v>
      </c>
    </row>
    <row r="101" spans="1:28" x14ac:dyDescent="0.25">
      <c r="A101" t="s">
        <v>66</v>
      </c>
      <c r="B101" t="s">
        <v>343</v>
      </c>
      <c r="C101" t="s">
        <v>1304</v>
      </c>
      <c r="D101">
        <v>0</v>
      </c>
      <c r="E101" s="13" t="s">
        <v>1197</v>
      </c>
      <c r="F101">
        <f>IF(VLOOKUP(TabVMEnv[VM],TabOceanet[],16,FALSE) = "Tarif_VM",IF(VLOOKUP(TabVMEnv[VM],TabOceanet[],2,FALSE)&lt;4,4,VLOOKUP(TabVMEnv[VM],TabOceanet[],2,FALSE)),0)</f>
        <v>4</v>
      </c>
      <c r="G101">
        <v>0</v>
      </c>
      <c r="H101">
        <v>0</v>
      </c>
      <c r="I101">
        <v>0</v>
      </c>
      <c r="J101">
        <v>0</v>
      </c>
      <c r="K101">
        <f>IF(VLOOKUP(TabVMEnv[VM],TabOceanet[],16,FALSE) = "Tarif_VM",1,0)/TabVMEnv[[#This Row],[Mutualisé]]</f>
        <v>1</v>
      </c>
      <c r="L101">
        <f>IF(VLOOKUP(TabVMEnv[VM],TabOceanet[],9,FALSE) = "PoweredOn",1,0)</f>
        <v>0</v>
      </c>
      <c r="M101">
        <f>TabVMEnv[[#This Row],[IsVMPoweredOn]]*VLOOKUP(TabVMEnv[VM],TabOceanet[],3,FALSE)/TabVMEnv[[#This Row],[Mutualisé]]</f>
        <v>0</v>
      </c>
      <c r="N101">
        <f>VLOOKUP(TabVMEnv[VM],TabOceanet[],4,FALSE)/TabVMEnv[[#This Row],[Mutualisé]]</f>
        <v>179</v>
      </c>
      <c r="O101">
        <f>IF(LEFT(VLOOKUP(TabVMEnv[VM],TabOceanet[],5,FALSE),3)="win",1,0)</f>
        <v>0</v>
      </c>
      <c r="P101"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01" t="str">
        <f>VLOOKUP(TabVMEnv[EnvProjet],TabEnvProjet[],4,FALSE)</f>
        <v>ADE-SAGA/S364196A</v>
      </c>
      <c r="R101" s="5" t="str">
        <f>VLOOKUP(TabVMEnv[[#This Row],[SYGES]],TabContrat[],2,FALSE)</f>
        <v>ADEME</v>
      </c>
      <c r="S101" s="5" t="str">
        <f>IF(VLOOKUP(TabVMEnv[[#This Row],[VM]],TabOceanet[],1,FALSE) = "","Disparue","")</f>
        <v/>
      </c>
      <c r="T101" s="17">
        <f>VLOOKUP(TabVMEnv[[#This Row],[VM]],TabOceanet[],36,FALSE)/TabVMEnv[[#This Row],[Mutualisé]]</f>
        <v>41.17</v>
      </c>
      <c r="U101" s="17">
        <f>IF(TabVMEnv[[#This Row],[CostCenter]]="CostCenterDI",0,TabVMEnv[[#This Row],[CoutGlobal]])</f>
        <v>41.17</v>
      </c>
      <c r="V101" s="17">
        <f>TabVMEnv[[#This Row],[CoutGlobalSansCostCenterDI]]/TabVMEnv[[#Totals],[CoutGlobalSansCostCenterDI]]*(GlobalARepartirSansMS+GlobalARepartirMSOnly+GlobalARepartirInfraReseau)</f>
        <v>71.860466496378464</v>
      </c>
      <c r="W101" s="17">
        <f>TabVMEnv[[#This Row],[CoutGlobalSansCostCenterDI]]+TabVMEnv[[#This Row],[CoutGlobalSupplementaire]]</f>
        <v>113.03046649637847</v>
      </c>
      <c r="X101" s="5" t="str">
        <f>VLOOKUP(TabVMEnv[[#This Row],[EnvProjet]],TabEnvProjet[],2,FALSE) &amp; " - " &amp; IFERROR(VLOOKUP(TabVMEnv[[#This Row],[EnvProjet]],TabEnvProjet[],4,FALSE),"INCONNU") &amp; " - " &amp; IFERROR(VLOOKUP(TabVMEnv[[#This Row],[EnvProjet]],TabEnvProjet[],5,FALSE),"INCONNU")</f>
        <v>ADEME-SAGA - ADE-SAGA/S364196A - Pascale CRINE</v>
      </c>
      <c r="Y101" s="5" t="str">
        <f>VLOOKUP(TabVMEnv[EnvProjet],TabEnvProjet[],5,FALSE)</f>
        <v>Pascale CRINE</v>
      </c>
      <c r="Z101" s="5">
        <f>VLOOKUP(TabVMEnv[EnvProjet],TabEnvProjet[],6,FALSE)</f>
        <v>341531</v>
      </c>
      <c r="AA101" s="5" t="str">
        <f>VLOOKUP(TabVMEnv[[#This Row],[EnvProjet]],TabEnvProjet[],3,FALSE)</f>
        <v>TMA</v>
      </c>
      <c r="AB101" s="5">
        <f>COUNTIF(TabVMEnv[VM],TabVMEnv[VM])</f>
        <v>1</v>
      </c>
    </row>
    <row r="102" spans="1:28" ht="60" x14ac:dyDescent="0.25">
      <c r="A102" s="24" t="s">
        <v>15</v>
      </c>
      <c r="B102" t="s">
        <v>344</v>
      </c>
      <c r="C102" s="13" t="s">
        <v>16</v>
      </c>
      <c r="D102">
        <v>0</v>
      </c>
      <c r="E102" s="13" t="s">
        <v>1197</v>
      </c>
      <c r="F102" s="13">
        <f>IF(VLOOKUP(TabVMEnv[VM],TabOceanet[],16,FALSE) = "Tarif_VM",IF(VLOOKUP(TabVMEnv[VM],TabOceanet[],2,FALSE)&lt;4,4,VLOOKUP(TabVMEnv[VM],TabOceanet[],2,FALSE)),0)</f>
        <v>4</v>
      </c>
      <c r="G102">
        <v>0</v>
      </c>
      <c r="H102">
        <v>0</v>
      </c>
      <c r="I102">
        <v>0</v>
      </c>
      <c r="J102">
        <v>0</v>
      </c>
      <c r="K102">
        <f>IF(VLOOKUP(TabVMEnv[VM],TabOceanet[],16,FALSE) = "Tarif_VM",1,0)/TabVMEnv[[#This Row],[Mutualisé]]</f>
        <v>0.5</v>
      </c>
      <c r="L102">
        <f>IF(VLOOKUP(TabVMEnv[VM],TabOceanet[],9,FALSE) = "PoweredOn",1,0)</f>
        <v>1</v>
      </c>
      <c r="M102">
        <f>TabVMEnv[[#This Row],[IsVMPoweredOn]]*VLOOKUP(TabVMEnv[VM],TabOceanet[],3,FALSE)/TabVMEnv[[#This Row],[Mutualisé]]</f>
        <v>0.5</v>
      </c>
      <c r="N102">
        <f>VLOOKUP(TabVMEnv[VM],TabOceanet[],4,FALSE)/TabVMEnv[[#This Row],[Mutualisé]]</f>
        <v>9.5</v>
      </c>
      <c r="O102">
        <f>IF(LEFT(VLOOKUP(TabVMEnv[VM],TabOceanet[],5,FALSE),3)="win",1,0)</f>
        <v>0</v>
      </c>
      <c r="P102"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02" t="str">
        <f>VLOOKUP(TabVMEnv[EnvProjet],TabEnvProjet[],4,FALSE)</f>
        <v>MAE-PII-L2/334179-17</v>
      </c>
      <c r="R102" s="5" t="str">
        <f>VLOOKUP(TabVMEnv[[#This Row],[SYGES]],TabContrat[],2,FALSE)</f>
        <v>MINISTERE DE L'EUROPE ET DES AFFAIRES ETRANGERES</v>
      </c>
      <c r="S102" s="5" t="str">
        <f>IF(VLOOKUP(TabVMEnv[[#This Row],[VM]],TabOceanet[],1,FALSE) = "","Disparue","")</f>
        <v/>
      </c>
      <c r="T102" s="17">
        <f>VLOOKUP(TabVMEnv[[#This Row],[VM]],TabOceanet[],36,FALSE)/TabVMEnv[[#This Row],[Mutualisé]]</f>
        <v>2.9850000000000003</v>
      </c>
      <c r="U102" s="17">
        <f>IF(TabVMEnv[[#This Row],[CostCenter]]="CostCenterDI",0,TabVMEnv[[#This Row],[CoutGlobal]])</f>
        <v>2.9850000000000003</v>
      </c>
      <c r="V102" s="17">
        <f>TabVMEnv[[#This Row],[CoutGlobalSansCostCenterDI]]/TabVMEnv[[#Totals],[CoutGlobalSansCostCenterDI]]*(GlobalARepartirSansMS+GlobalARepartirMSOnly+GlobalARepartirInfraReseau)</f>
        <v>5.2101892759701176</v>
      </c>
      <c r="W102" s="17">
        <f>TabVMEnv[[#This Row],[CoutGlobalSansCostCenterDI]]+TabVMEnv[[#This Row],[CoutGlobalSupplementaire]]</f>
        <v>8.1951892759701188</v>
      </c>
      <c r="X102" s="5" t="str">
        <f>VLOOKUP(TabVMEnv[[#This Row],[EnvProjet]],TabEnvProjet[],2,FALSE) &amp; " - " &amp; IFERROR(VLOOKUP(TabVMEnv[[#This Row],[EnvProjet]],TabEnvProjet[],4,FALSE),"INCONNU") &amp; " - " &amp; IFERROR(VLOOKUP(TabVMEnv[[#This Row],[EnvProjet]],TabEnvProjet[],5,FALSE),"INCONNU")</f>
        <v>MEAE-SAGAIE TMA - MAE-PII-L2/334179-17 - Axel Benoist-Gironiere, Vincent MERIAU</v>
      </c>
      <c r="Y102" s="5" t="str">
        <f>VLOOKUP(TabVMEnv[EnvProjet],TabEnvProjet[],5,FALSE)</f>
        <v>Axel Benoist-Gironiere, Vincent MERIAU</v>
      </c>
      <c r="Z102" s="5">
        <f>VLOOKUP(TabVMEnv[EnvProjet],TabEnvProjet[],6,FALSE)</f>
        <v>341531</v>
      </c>
      <c r="AA102" s="5" t="str">
        <f>VLOOKUP(TabVMEnv[[#This Row],[EnvProjet]],TabEnvProjet[],3,FALSE)</f>
        <v>OBSOLETE</v>
      </c>
      <c r="AB102" s="5">
        <f>COUNTIF(TabVMEnv[VM],TabVMEnv[VM])</f>
        <v>2</v>
      </c>
    </row>
    <row r="103" spans="1:28" ht="30" x14ac:dyDescent="0.25">
      <c r="A103" s="24" t="s">
        <v>15</v>
      </c>
      <c r="B103" t="s">
        <v>334</v>
      </c>
      <c r="C103" s="13" t="s">
        <v>33</v>
      </c>
      <c r="D103">
        <v>0</v>
      </c>
      <c r="E103" s="13" t="s">
        <v>1197</v>
      </c>
      <c r="F103" s="13">
        <f>IF(VLOOKUP(TabVMEnv[VM],TabOceanet[],16,FALSE) = "Tarif_VM",IF(VLOOKUP(TabVMEnv[VM],TabOceanet[],2,FALSE)&lt;4,4,VLOOKUP(TabVMEnv[VM],TabOceanet[],2,FALSE)),0)</f>
        <v>4</v>
      </c>
      <c r="G103">
        <v>0</v>
      </c>
      <c r="H103">
        <v>0</v>
      </c>
      <c r="I103">
        <v>0</v>
      </c>
      <c r="J103">
        <v>0</v>
      </c>
      <c r="K103">
        <f>IF(VLOOKUP(TabVMEnv[VM],TabOceanet[],16,FALSE) = "Tarif_VM",1,0)/TabVMEnv[[#This Row],[Mutualisé]]</f>
        <v>0.5</v>
      </c>
      <c r="L103">
        <f>IF(VLOOKUP(TabVMEnv[VM],TabOceanet[],9,FALSE) = "PoweredOn",1,0)</f>
        <v>1</v>
      </c>
      <c r="M103">
        <f>TabVMEnv[[#This Row],[IsVMPoweredOn]]*VLOOKUP(TabVMEnv[VM],TabOceanet[],3,FALSE)/TabVMEnv[[#This Row],[Mutualisé]]</f>
        <v>0.5</v>
      </c>
      <c r="N103">
        <f>VLOOKUP(TabVMEnv[VM],TabOceanet[],4,FALSE)/TabVMEnv[[#This Row],[Mutualisé]]</f>
        <v>9.5</v>
      </c>
      <c r="O103">
        <f>IF(LEFT(VLOOKUP(TabVMEnv[VM],TabOceanet[],5,FALSE),3)="win",1,0)</f>
        <v>0</v>
      </c>
      <c r="P103"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03" t="str">
        <f>VLOOKUP(TabVMEnv[EnvProjet],TabEnvProjet[],4,FALSE)</f>
        <v>MAE-PII-L2/334179-17</v>
      </c>
      <c r="R103" s="5" t="str">
        <f>VLOOKUP(TabVMEnv[[#This Row],[SYGES]],TabContrat[],2,FALSE)</f>
        <v>MINISTERE DE L'EUROPE ET DES AFFAIRES ETRANGERES</v>
      </c>
      <c r="S103" s="5" t="str">
        <f>IF(VLOOKUP(TabVMEnv[[#This Row],[VM]],TabOceanet[],1,FALSE) = "","Disparue","")</f>
        <v/>
      </c>
      <c r="T103" s="25">
        <f>VLOOKUP(TabVMEnv[[#This Row],[VM]],TabOceanet[],36,FALSE)/TabVMEnv[[#This Row],[Mutualisé]]</f>
        <v>2.9850000000000003</v>
      </c>
      <c r="U103" s="25">
        <f>IF(TabVMEnv[[#This Row],[CostCenter]]="CostCenterDI",0,TabVMEnv[[#This Row],[CoutGlobal]])</f>
        <v>2.9850000000000003</v>
      </c>
      <c r="V103" s="25">
        <f>TabVMEnv[[#This Row],[CoutGlobalSansCostCenterDI]]/TabVMEnv[[#Totals],[CoutGlobalSansCostCenterDI]]*(GlobalARepartirSansMS+GlobalARepartirMSOnly+GlobalARepartirInfraReseau)</f>
        <v>5.2101892759701176</v>
      </c>
      <c r="W103" s="25">
        <f>TabVMEnv[[#This Row],[CoutGlobalSansCostCenterDI]]+TabVMEnv[[#This Row],[CoutGlobalSupplementaire]]</f>
        <v>8.1951892759701188</v>
      </c>
      <c r="X103" s="5" t="str">
        <f>VLOOKUP(TabVMEnv[[#This Row],[EnvProjet]],TabEnvProjet[],2,FALSE) &amp; " - " &amp; IFERROR(VLOOKUP(TabVMEnv[[#This Row],[EnvProjet]],TabEnvProjet[],4,FALSE),"INCONNU") &amp; " - " &amp; IFERROR(VLOOKUP(TabVMEnv[[#This Row],[EnvProjet]],TabEnvProjet[],5,FALSE),"INCONNU")</f>
        <v>MEAE-Visa - MAE-PII-L2/334179-17 - Axel Benoist-Gironiere</v>
      </c>
      <c r="Y103" s="5" t="str">
        <f>VLOOKUP(TabVMEnv[EnvProjet],TabEnvProjet[],5,FALSE)</f>
        <v>Axel Benoist-Gironiere</v>
      </c>
      <c r="Z103" s="5">
        <f>VLOOKUP(TabVMEnv[EnvProjet],TabEnvProjet[],6,FALSE)</f>
        <v>341531</v>
      </c>
      <c r="AA103" s="5" t="str">
        <f>VLOOKUP(TabVMEnv[[#This Row],[EnvProjet]],TabEnvProjet[],3,FALSE)</f>
        <v>DEV</v>
      </c>
      <c r="AB103" s="5">
        <f>COUNTIF(TabVMEnv[VM],TabVMEnv[VM])</f>
        <v>2</v>
      </c>
    </row>
    <row r="104" spans="1:28" x14ac:dyDescent="0.25">
      <c r="A104" t="s">
        <v>7</v>
      </c>
      <c r="B104" t="s">
        <v>345</v>
      </c>
      <c r="C104" t="s">
        <v>8</v>
      </c>
      <c r="D104">
        <v>0</v>
      </c>
      <c r="E104" s="13" t="s">
        <v>1197</v>
      </c>
      <c r="F104">
        <f>IF(VLOOKUP(TabVMEnv[VM],TabOceanet[],16,FALSE) = "Tarif_VM",IF(VLOOKUP(TabVMEnv[VM],TabOceanet[],2,FALSE)&lt;4,4,VLOOKUP(TabVMEnv[VM],TabOceanet[],2,FALSE)),0)</f>
        <v>4</v>
      </c>
      <c r="G104">
        <v>0</v>
      </c>
      <c r="H104">
        <v>0</v>
      </c>
      <c r="I104">
        <v>0</v>
      </c>
      <c r="J104">
        <v>0</v>
      </c>
      <c r="K104">
        <f>IF(VLOOKUP(TabVMEnv[VM],TabOceanet[],16,FALSE) = "Tarif_VM",1,0)/TabVMEnv[[#This Row],[Mutualisé]]</f>
        <v>1</v>
      </c>
      <c r="L104">
        <f>IF(VLOOKUP(TabVMEnv[VM],TabOceanet[],9,FALSE) = "PoweredOn",1,0)</f>
        <v>1</v>
      </c>
      <c r="M104">
        <f>TabVMEnv[[#This Row],[IsVMPoweredOn]]*VLOOKUP(TabVMEnv[VM],TabOceanet[],3,FALSE)/TabVMEnv[[#This Row],[Mutualisé]]</f>
        <v>1</v>
      </c>
      <c r="N104">
        <f>VLOOKUP(TabVMEnv[VM],TabOceanet[],4,FALSE)/TabVMEnv[[#This Row],[Mutualisé]]</f>
        <v>56</v>
      </c>
      <c r="O104">
        <f>IF(LEFT(VLOOKUP(TabVMEnv[VM],TabOceanet[],5,FALSE),3)="win",1,0)</f>
        <v>0</v>
      </c>
      <c r="P104"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04" t="str">
        <f>VLOOKUP(TabVMEnv[EnvProjet],TabEnvProjet[],4,FALSE)</f>
        <v>MAE-PII-L2/334179-17</v>
      </c>
      <c r="R104" s="5" t="str">
        <f>VLOOKUP(TabVMEnv[[#This Row],[SYGES]],TabContrat[],2,FALSE)</f>
        <v>MINISTERE DE L'EUROPE ET DES AFFAIRES ETRANGERES</v>
      </c>
      <c r="S104" s="5" t="str">
        <f>IF(VLOOKUP(TabVMEnv[[#This Row],[VM]],TabOceanet[],1,FALSE) = "","Disparue","")</f>
        <v/>
      </c>
      <c r="T104" s="25">
        <f>VLOOKUP(TabVMEnv[[#This Row],[VM]],TabOceanet[],36,FALSE)/TabVMEnv[[#This Row],[Mutualisé]]</f>
        <v>14.48</v>
      </c>
      <c r="U104" s="25">
        <f>IF(TabVMEnv[[#This Row],[CostCenter]]="CostCenterDI",0,TabVMEnv[[#This Row],[CoutGlobal]])</f>
        <v>14.48</v>
      </c>
      <c r="V104" s="25">
        <f>TabVMEnv[[#This Row],[CoutGlobalSansCostCenterDI]]/TabVMEnv[[#Totals],[CoutGlobalSansCostCenterDI]]*(GlobalARepartirSansMS+GlobalARepartirMSOnly+GlobalARepartirInfraReseau)</f>
        <v>25.274217995325728</v>
      </c>
      <c r="W104" s="25">
        <f>TabVMEnv[[#This Row],[CoutGlobalSansCostCenterDI]]+TabVMEnv[[#This Row],[CoutGlobalSupplementaire]]</f>
        <v>39.754217995325732</v>
      </c>
      <c r="X104" s="5" t="str">
        <f>VLOOKUP(TabVMEnv[[#This Row],[EnvProjet]],TabEnvProjet[],2,FALSE) &amp; " - " &amp; IFERROR(VLOOKUP(TabVMEnv[[#This Row],[EnvProjet]],TabEnvProjet[],4,FALSE),"INCONNU") &amp; " - " &amp; IFERROR(VLOOKUP(TabVMEnv[[#This Row],[EnvProjet]],TabEnvProjet[],5,FALSE),"INCONNU")</f>
        <v>MEAE-SAGAIE TMA - MAE-PII-L2/334179-17 - Axel Benoist-Gironiere, Vincent MERIAU</v>
      </c>
      <c r="Y104" s="5" t="str">
        <f>VLOOKUP(TabVMEnv[EnvProjet],TabEnvProjet[],5,FALSE)</f>
        <v>Axel Benoist-Gironiere, Vincent MERIAU</v>
      </c>
      <c r="Z104" s="5">
        <f>VLOOKUP(TabVMEnv[EnvProjet],TabEnvProjet[],6,FALSE)</f>
        <v>341531</v>
      </c>
      <c r="AA104" s="5" t="str">
        <f>VLOOKUP(TabVMEnv[[#This Row],[EnvProjet]],TabEnvProjet[],3,FALSE)</f>
        <v>DEV</v>
      </c>
      <c r="AB104" s="5">
        <f>COUNTIF(TabVMEnv[VM],TabVMEnv[VM])</f>
        <v>1</v>
      </c>
    </row>
    <row r="105" spans="1:28" x14ac:dyDescent="0.25">
      <c r="A105" t="s">
        <v>1311</v>
      </c>
      <c r="B105" t="s">
        <v>334</v>
      </c>
      <c r="E105" s="13"/>
      <c r="F105" s="5">
        <f>IF(VLOOKUP(TabVMEnv[VM],TabOceanet[],16,FALSE) = "Tarif_VM",IF(VLOOKUP(TabVMEnv[VM],TabOceanet[],2,FALSE)&lt;4,4,VLOOKUP(TabVMEnv[VM],TabOceanet[],2,FALSE)),0)</f>
        <v>4</v>
      </c>
      <c r="G105">
        <v>0</v>
      </c>
      <c r="H105">
        <v>0</v>
      </c>
      <c r="I105">
        <v>0</v>
      </c>
      <c r="J105">
        <v>0</v>
      </c>
      <c r="K105" s="5">
        <f>IF(VLOOKUP(TabVMEnv[VM],TabOceanet[],16,FALSE) = "Tarif_VM",1,0)/TabVMEnv[[#This Row],[Mutualisé]]</f>
        <v>1</v>
      </c>
      <c r="L105" s="5">
        <f>IF(VLOOKUP(TabVMEnv[VM],TabOceanet[],9,FALSE) = "PoweredOn",1,0)</f>
        <v>1</v>
      </c>
      <c r="M105" s="5">
        <f>TabVMEnv[[#This Row],[IsVMPoweredOn]]*VLOOKUP(TabVMEnv[VM],TabOceanet[],3,FALSE)/TabVMEnv[[#This Row],[Mutualisé]]</f>
        <v>2</v>
      </c>
      <c r="N105" s="5">
        <f>VLOOKUP(TabVMEnv[VM],TabOceanet[],4,FALSE)/TabVMEnv[[#This Row],[Mutualisé]]</f>
        <v>27</v>
      </c>
      <c r="O105" s="5">
        <f>IF(LEFT(VLOOKUP(TabVMEnv[VM],TabOceanet[],5,FALSE),3)="win",1,0)</f>
        <v>0</v>
      </c>
      <c r="P105"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05" t="str">
        <f>VLOOKUP(TabVMEnv[EnvProjet],TabEnvProjet[],4,FALSE)</f>
        <v>MAE-PII-L2/334179-17</v>
      </c>
      <c r="R105" s="5" t="str">
        <f>VLOOKUP(TabVMEnv[[#This Row],[SYGES]],TabContrat[],2,FALSE)</f>
        <v>MINISTERE DE L'EUROPE ET DES AFFAIRES ETRANGERES</v>
      </c>
      <c r="S105" s="5" t="str">
        <f>IF(VLOOKUP(TabVMEnv[[#This Row],[VM]],TabOceanet[],1,FALSE) = "","Disparue","")</f>
        <v/>
      </c>
      <c r="T105" s="25">
        <f>VLOOKUP(TabVMEnv[[#This Row],[VM]],TabOceanet[],36,FALSE)/TabVMEnv[[#This Row],[Mutualisé]]</f>
        <v>9.41</v>
      </c>
      <c r="U105" s="25">
        <f>IF(TabVMEnv[[#This Row],[CostCenter]]="CostCenterDI",0,TabVMEnv[[#This Row],[CoutGlobal]])</f>
        <v>9.41</v>
      </c>
      <c r="V105" s="25">
        <f>TabVMEnv[[#This Row],[CoutGlobalSansCostCenterDI]]/TabVMEnv[[#Totals],[CoutGlobalSansCostCenterDI]]*(GlobalARepartirSansMS+GlobalARepartirMSOnly+GlobalARepartirInfraReseau)</f>
        <v>16.424750782873971</v>
      </c>
      <c r="W105" s="25">
        <f>TabVMEnv[[#This Row],[CoutGlobalSansCostCenterDI]]+TabVMEnv[[#This Row],[CoutGlobalSupplementaire]]</f>
        <v>25.834750782873972</v>
      </c>
      <c r="X105" s="5" t="str">
        <f>VLOOKUP(TabVMEnv[[#This Row],[EnvProjet]],TabEnvProjet[],2,FALSE) &amp; " - " &amp; IFERROR(VLOOKUP(TabVMEnv[[#This Row],[EnvProjet]],TabEnvProjet[],4,FALSE),"INCONNU") &amp; " - " &amp; IFERROR(VLOOKUP(TabVMEnv[[#This Row],[EnvProjet]],TabEnvProjet[],5,FALSE),"INCONNU")</f>
        <v>MEAE-Visa - MAE-PII-L2/334179-17 - Axel Benoist-Gironiere</v>
      </c>
      <c r="Y105" s="5" t="str">
        <f>VLOOKUP(TabVMEnv[EnvProjet],TabEnvProjet[],5,FALSE)</f>
        <v>Axel Benoist-Gironiere</v>
      </c>
      <c r="Z105" s="5">
        <f>VLOOKUP(TabVMEnv[EnvProjet],TabEnvProjet[],6,FALSE)</f>
        <v>341531</v>
      </c>
      <c r="AA105" s="5" t="str">
        <f>VLOOKUP(TabVMEnv[[#This Row],[EnvProjet]],TabEnvProjet[],3,FALSE)</f>
        <v>DEV</v>
      </c>
      <c r="AB105" s="5">
        <f>COUNTIF(TabVMEnv[VM],TabVMEnv[VM])</f>
        <v>1</v>
      </c>
    </row>
    <row r="106" spans="1:28" x14ac:dyDescent="0.25">
      <c r="A106" t="s">
        <v>247</v>
      </c>
      <c r="B106" t="s">
        <v>346</v>
      </c>
      <c r="D106">
        <v>0.5</v>
      </c>
      <c r="E106" s="13" t="s">
        <v>1198</v>
      </c>
      <c r="F106">
        <f>IF(VLOOKUP(TabVMEnv[VM],TabOceanet[],16,FALSE) = "Tarif_VM",IF(VLOOKUP(TabVMEnv[VM],TabOceanet[],2,FALSE)&lt;4,4,VLOOKUP(TabVMEnv[VM],TabOceanet[],2,FALSE)),0)</f>
        <v>4</v>
      </c>
      <c r="G106">
        <v>0</v>
      </c>
      <c r="H106">
        <v>0</v>
      </c>
      <c r="I106">
        <v>0</v>
      </c>
      <c r="J106">
        <v>0</v>
      </c>
      <c r="K106">
        <f>IF(VLOOKUP(TabVMEnv[VM],TabOceanet[],16,FALSE) = "Tarif_VM",1,0)/TabVMEnv[[#This Row],[Mutualisé]]</f>
        <v>1</v>
      </c>
      <c r="L106">
        <f>IF(VLOOKUP(TabVMEnv[VM],TabOceanet[],9,FALSE) = "PoweredOn",1,0)</f>
        <v>1</v>
      </c>
      <c r="M106">
        <f>TabVMEnv[[#This Row],[IsVMPoweredOn]]*VLOOKUP(TabVMEnv[VM],TabOceanet[],3,FALSE)/TabVMEnv[[#This Row],[Mutualisé]]</f>
        <v>1</v>
      </c>
      <c r="N106">
        <f>VLOOKUP(TabVMEnv[VM],TabOceanet[],4,FALSE)/TabVMEnv[[#This Row],[Mutualisé]]</f>
        <v>6</v>
      </c>
      <c r="O106">
        <f>IF(LEFT(VLOOKUP(TabVMEnv[VM],TabOceanet[],5,FALSE),3)="win",1,0)</f>
        <v>0</v>
      </c>
      <c r="P106"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06" t="str">
        <f>VLOOKUP(TabVMEnv[EnvProjet],TabEnvProjet[],4,FALSE)</f>
        <v>GFIINT2019/ NRT-PJINT</v>
      </c>
      <c r="R106" s="5" t="str">
        <f>VLOOKUP(TabVMEnv[[#This Row],[SYGES]],TabContrat[],2,FALSE)</f>
        <v>GFI-NIORT</v>
      </c>
      <c r="S106" s="5" t="str">
        <f>IF(VLOOKUP(TabVMEnv[[#This Row],[VM]],TabOceanet[],1,FALSE) = "","Disparue","")</f>
        <v/>
      </c>
      <c r="T106" s="25">
        <f>VLOOKUP(TabVMEnv[[#This Row],[VM]],TabOceanet[],36,FALSE)/TabVMEnv[[#This Row],[Mutualisé]]</f>
        <v>2.9800000000000004</v>
      </c>
      <c r="U106" s="25">
        <f>IF(TabVMEnv[[#This Row],[CostCenter]]="CostCenterDI",0,TabVMEnv[[#This Row],[CoutGlobal]])</f>
        <v>2.9800000000000004</v>
      </c>
      <c r="V106" s="25">
        <f>TabVMEnv[[#This Row],[CoutGlobalSansCostCenterDI]]/TabVMEnv[[#Totals],[CoutGlobalSansCostCenterDI]]*(GlobalARepartirSansMS+GlobalARepartirMSOnly+GlobalARepartirInfraReseau)</f>
        <v>5.2014619907507376</v>
      </c>
      <c r="W106" s="25">
        <f>TabVMEnv[[#This Row],[CoutGlobalSansCostCenterDI]]+TabVMEnv[[#This Row],[CoutGlobalSupplementaire]]</f>
        <v>8.1814619907507371</v>
      </c>
      <c r="X106" s="5" t="str">
        <f>VLOOKUP(TabVMEnv[[#This Row],[EnvProjet]],TabEnvProjet[],2,FALSE) &amp; " - " &amp; IFERROR(VLOOKUP(TabVMEnv[[#This Row],[EnvProjet]],TabEnvProjet[],4,FALSE),"INCONNU") &amp; " - " &amp; IFERROR(VLOOKUP(TabVMEnv[[#This Row],[EnvProjet]],TabEnvProjet[],5,FALSE),"INCONNU")</f>
        <v>GFI-Outil de notification automatique Jira (Niort) - GFIINT2019/ NRT-PJINT - Philippe De Guio</v>
      </c>
      <c r="Y106" s="5" t="str">
        <f>VLOOKUP(TabVMEnv[EnvProjet],TabEnvProjet[],5,FALSE)</f>
        <v>Philippe De Guio</v>
      </c>
      <c r="Z106" s="5">
        <f>VLOOKUP(TabVMEnv[EnvProjet],TabEnvProjet[],6,FALSE)</f>
        <v>341530</v>
      </c>
      <c r="AA106" s="5" t="str">
        <f>VLOOKUP(TabVMEnv[[#This Row],[EnvProjet]],TabEnvProjet[],3,FALSE)</f>
        <v>PROD</v>
      </c>
      <c r="AB106" s="5">
        <f>COUNTIF(TabVMEnv[VM],TabVMEnv[VM])</f>
        <v>1</v>
      </c>
    </row>
    <row r="107" spans="1:28" x14ac:dyDescent="0.25">
      <c r="A107" s="46" t="s">
        <v>50</v>
      </c>
      <c r="B107" t="s">
        <v>333</v>
      </c>
      <c r="C107" s="13" t="s">
        <v>51</v>
      </c>
      <c r="D107">
        <v>0</v>
      </c>
      <c r="E107" s="13" t="s">
        <v>1197</v>
      </c>
      <c r="F107" s="13">
        <f>IF(VLOOKUP(TabVMEnv[VM],TabOceanet[],16,FALSE) = "Tarif_VM",IF(VLOOKUP(TabVMEnv[VM],TabOceanet[],2,FALSE)&lt;4,4,VLOOKUP(TabVMEnv[VM],TabOceanet[],2,FALSE)),0)</f>
        <v>4</v>
      </c>
      <c r="G107">
        <v>2</v>
      </c>
      <c r="H107">
        <v>1</v>
      </c>
      <c r="I107">
        <v>0</v>
      </c>
      <c r="J107" s="24">
        <v>4</v>
      </c>
      <c r="K107" s="24">
        <f>IF(VLOOKUP(TabVMEnv[VM],TabOceanet[],16,FALSE) = "Tarif_VM",1,0)/TabVMEnv[[#This Row],[Mutualisé]]</f>
        <v>1</v>
      </c>
      <c r="L107" s="24">
        <f>IF(VLOOKUP(TabVMEnv[VM],TabOceanet[],9,FALSE) = "PoweredOn",1,0)</f>
        <v>1</v>
      </c>
      <c r="M107" s="24">
        <f>TabVMEnv[[#This Row],[IsVMPoweredOn]]*VLOOKUP(TabVMEnv[VM],TabOceanet[],3,FALSE)/TabVMEnv[[#This Row],[Mutualisé]]</f>
        <v>4</v>
      </c>
      <c r="N107" s="24">
        <f>VLOOKUP(TabVMEnv[VM],TabOceanet[],4,FALSE)/TabVMEnv[[#This Row],[Mutualisé]]</f>
        <v>240</v>
      </c>
      <c r="O107" s="24">
        <f>IF(LEFT(VLOOKUP(TabVMEnv[VM],TabOceanet[],5,FALSE),3)="win",1,0)</f>
        <v>1</v>
      </c>
      <c r="P107"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309.45</v>
      </c>
      <c r="Q107" t="str">
        <f>VLOOKUP(TabVMEnv[EnvProjet],TabEnvProjet[],4,FALSE)</f>
        <v>MAE-PII-L2/334179-17</v>
      </c>
      <c r="R107" s="5" t="str">
        <f>VLOOKUP(TabVMEnv[[#This Row],[SYGES]],TabContrat[],2,FALSE)</f>
        <v>MINISTERE DE L'EUROPE ET DES AFFAIRES ETRANGERES</v>
      </c>
      <c r="S107" s="5" t="str">
        <f>IF(VLOOKUP(TabVMEnv[[#This Row],[VM]],TabOceanet[],1,FALSE) = "","Disparue","")</f>
        <v/>
      </c>
      <c r="T107" s="25">
        <f>VLOOKUP(TabVMEnv[[#This Row],[VM]],TabOceanet[],36,FALSE)/TabVMEnv[[#This Row],[Mutualisé]]</f>
        <v>61.6</v>
      </c>
      <c r="U107" s="25">
        <f>IF(TabVMEnv[[#This Row],[CostCenter]]="CostCenterDI",0,TabVMEnv[[#This Row],[CoutGlobal]])</f>
        <v>61.6</v>
      </c>
      <c r="V107" s="25">
        <f>TabVMEnv[[#This Row],[CoutGlobalSansCostCenterDI]]/TabVMEnv[[#Totals],[CoutGlobalSansCostCenterDI]]*(GlobalARepartirSansMS+GlobalARepartirMSOnly+GlobalARepartirInfraReseau)</f>
        <v>107.52015390276689</v>
      </c>
      <c r="W107" s="25">
        <f>TabVMEnv[[#This Row],[CoutGlobalSansCostCenterDI]]+TabVMEnv[[#This Row],[CoutGlobalSupplementaire]]</f>
        <v>169.1201539027669</v>
      </c>
      <c r="X107" s="5" t="str">
        <f>VLOOKUP(TabVMEnv[[#This Row],[EnvProjet]],TabEnvProjet[],2,FALSE) &amp; " - " &amp; IFERROR(VLOOKUP(TabVMEnv[[#This Row],[EnvProjet]],TabEnvProjet[],4,FALSE),"INCONNU") &amp; " - " &amp; IFERROR(VLOOKUP(TabVMEnv[[#This Row],[EnvProjet]],TabEnvProjet[],5,FALSE),"INCONNU")</f>
        <v>MEAE-Visa - MAE-PII-L2/334179-17 - Axel Benoist-Gironiere</v>
      </c>
      <c r="Y107" s="5" t="str">
        <f>VLOOKUP(TabVMEnv[EnvProjet],TabEnvProjet[],5,FALSE)</f>
        <v>Axel Benoist-Gironiere</v>
      </c>
      <c r="Z107" s="5">
        <f>VLOOKUP(TabVMEnv[EnvProjet],TabEnvProjet[],6,FALSE)</f>
        <v>341531</v>
      </c>
      <c r="AA107" s="5" t="str">
        <f>VLOOKUP(TabVMEnv[[#This Row],[EnvProjet]],TabEnvProjet[],3,FALSE)</f>
        <v>SOCLE</v>
      </c>
      <c r="AB107" s="5">
        <f>COUNTIF(TabVMEnv[VM],TabVMEnv[VM])</f>
        <v>1</v>
      </c>
    </row>
    <row r="108" spans="1:28" ht="30" x14ac:dyDescent="0.25">
      <c r="A108" t="s">
        <v>34</v>
      </c>
      <c r="B108" t="s">
        <v>334</v>
      </c>
      <c r="C108" s="13" t="s">
        <v>35</v>
      </c>
      <c r="D108">
        <v>0</v>
      </c>
      <c r="E108" s="13" t="s">
        <v>1197</v>
      </c>
      <c r="F108" s="13">
        <f>IF(VLOOKUP(TabVMEnv[VM],TabOceanet[],16,FALSE) = "Tarif_VM",IF(VLOOKUP(TabVMEnv[VM],TabOceanet[],2,FALSE)&lt;4,4,VLOOKUP(TabVMEnv[VM],TabOceanet[],2,FALSE)),0)</f>
        <v>4</v>
      </c>
      <c r="G108">
        <v>2</v>
      </c>
      <c r="H108">
        <v>0</v>
      </c>
      <c r="I108">
        <v>0</v>
      </c>
      <c r="J108">
        <v>0</v>
      </c>
      <c r="K108">
        <f>IF(VLOOKUP(TabVMEnv[VM],TabOceanet[],16,FALSE) = "Tarif_VM",1,0)/TabVMEnv[[#This Row],[Mutualisé]]</f>
        <v>1</v>
      </c>
      <c r="L108">
        <f>IF(VLOOKUP(TabVMEnv[VM],TabOceanet[],9,FALSE) = "PoweredOn",1,0)</f>
        <v>1</v>
      </c>
      <c r="M108">
        <f>TabVMEnv[[#This Row],[IsVMPoweredOn]]*VLOOKUP(TabVMEnv[VM],TabOceanet[],3,FALSE)/TabVMEnv[[#This Row],[Mutualisé]]</f>
        <v>2</v>
      </c>
      <c r="N108">
        <f>VLOOKUP(TabVMEnv[VM],TabOceanet[],4,FALSE)/TabVMEnv[[#This Row],[Mutualisé]]</f>
        <v>40</v>
      </c>
      <c r="O108">
        <f>IF(LEFT(VLOOKUP(TabVMEnv[VM],TabOceanet[],5,FALSE),3)="win",1,0)</f>
        <v>1</v>
      </c>
      <c r="P108"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11.96</v>
      </c>
      <c r="Q108" t="str">
        <f>VLOOKUP(TabVMEnv[EnvProjet],TabEnvProjet[],4,FALSE)</f>
        <v>MAE-PII-L2/334179-17</v>
      </c>
      <c r="R108" s="5" t="str">
        <f>VLOOKUP(TabVMEnv[[#This Row],[SYGES]],TabContrat[],2,FALSE)</f>
        <v>MINISTERE DE L'EUROPE ET DES AFFAIRES ETRANGERES</v>
      </c>
      <c r="S108" s="5" t="str">
        <f>IF(VLOOKUP(TabVMEnv[[#This Row],[VM]],TabOceanet[],1,FALSE) = "","Disparue","")</f>
        <v/>
      </c>
      <c r="T108" s="17">
        <f>VLOOKUP(TabVMEnv[[#This Row],[VM]],TabOceanet[],36,FALSE)/TabVMEnv[[#This Row],[Mutualisé]]</f>
        <v>12.400000000000002</v>
      </c>
      <c r="U108" s="17">
        <f>IF(TabVMEnv[[#This Row],[CostCenter]]="CostCenterDI",0,TabVMEnv[[#This Row],[CoutGlobal]])</f>
        <v>12.400000000000002</v>
      </c>
      <c r="V108" s="17">
        <f>TabVMEnv[[#This Row],[CoutGlobalSansCostCenterDI]]/TabVMEnv[[#Totals],[CoutGlobalSansCostCenterDI]]*(GlobalARepartirSansMS+GlobalARepartirMSOnly+GlobalARepartirInfraReseau)</f>
        <v>21.64366734406347</v>
      </c>
      <c r="W108" s="17">
        <f>TabVMEnv[[#This Row],[CoutGlobalSansCostCenterDI]]+TabVMEnv[[#This Row],[CoutGlobalSupplementaire]]</f>
        <v>34.043667344063472</v>
      </c>
      <c r="X108" s="5" t="str">
        <f>VLOOKUP(TabVMEnv[[#This Row],[EnvProjet]],TabEnvProjet[],2,FALSE) &amp; " - " &amp; IFERROR(VLOOKUP(TabVMEnv[[#This Row],[EnvProjet]],TabEnvProjet[],4,FALSE),"INCONNU") &amp; " - " &amp; IFERROR(VLOOKUP(TabVMEnv[[#This Row],[EnvProjet]],TabEnvProjet[],5,FALSE),"INCONNU")</f>
        <v>MEAE-Visa - MAE-PII-L2/334179-17 - Axel Benoist-Gironiere</v>
      </c>
      <c r="Y108" s="5" t="str">
        <f>VLOOKUP(TabVMEnv[EnvProjet],TabEnvProjet[],5,FALSE)</f>
        <v>Axel Benoist-Gironiere</v>
      </c>
      <c r="Z108" s="5">
        <f>VLOOKUP(TabVMEnv[EnvProjet],TabEnvProjet[],6,FALSE)</f>
        <v>341531</v>
      </c>
      <c r="AA108" s="5" t="str">
        <f>VLOOKUP(TabVMEnv[[#This Row],[EnvProjet]],TabEnvProjet[],3,FALSE)</f>
        <v>DEV</v>
      </c>
      <c r="AB108" s="5">
        <f>COUNTIF(TabVMEnv[VM],TabVMEnv[VM])</f>
        <v>1</v>
      </c>
    </row>
    <row r="109" spans="1:28" x14ac:dyDescent="0.25">
      <c r="A109" t="s">
        <v>232</v>
      </c>
      <c r="B109" t="s">
        <v>347</v>
      </c>
      <c r="D109">
        <v>3</v>
      </c>
      <c r="E109" s="13" t="s">
        <v>1198</v>
      </c>
      <c r="F109">
        <f>IF(VLOOKUP(TabVMEnv[VM],TabOceanet[],16,FALSE) = "Tarif_VM",IF(VLOOKUP(TabVMEnv[VM],TabOceanet[],2,FALSE)&lt;4,4,VLOOKUP(TabVMEnv[VM],TabOceanet[],2,FALSE)),0)</f>
        <v>4</v>
      </c>
      <c r="G109">
        <v>0</v>
      </c>
      <c r="H109">
        <v>0</v>
      </c>
      <c r="I109">
        <v>0</v>
      </c>
      <c r="J109">
        <v>0</v>
      </c>
      <c r="K109">
        <f>IF(VLOOKUP(TabVMEnv[VM],TabOceanet[],16,FALSE) = "Tarif_VM",1,0)/TabVMEnv[[#This Row],[Mutualisé]]</f>
        <v>1</v>
      </c>
      <c r="L109">
        <f>IF(VLOOKUP(TabVMEnv[VM],TabOceanet[],9,FALSE) = "PoweredOn",1,0)</f>
        <v>1</v>
      </c>
      <c r="M109">
        <f>TabVMEnv[[#This Row],[IsVMPoweredOn]]*VLOOKUP(TabVMEnv[VM],TabOceanet[],3,FALSE)/TabVMEnv[[#This Row],[Mutualisé]]</f>
        <v>1</v>
      </c>
      <c r="N109">
        <f>VLOOKUP(TabVMEnv[VM],TabOceanet[],4,FALSE)/TabVMEnv[[#This Row],[Mutualisé]]</f>
        <v>4</v>
      </c>
      <c r="O109">
        <f>IF(LEFT(VLOOKUP(TabVMEnv[VM],TabOceanet[],5,FALSE),3)="win",1,0)</f>
        <v>0</v>
      </c>
      <c r="P109"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09" t="str">
        <f>VLOOKUP(TabVMEnv[EnvProjet],TabEnvProjet[],4,FALSE)</f>
        <v>GFI Oceanet Infra Réseau</v>
      </c>
      <c r="R109" s="5" t="str">
        <f>VLOOKUP(TabVMEnv[[#This Row],[SYGES]],TabContrat[],2,FALSE)</f>
        <v>GFI</v>
      </c>
      <c r="S109" s="5" t="str">
        <f>IF(VLOOKUP(TabVMEnv[[#This Row],[VM]],TabOceanet[],1,FALSE) = "","Disparue","")</f>
        <v/>
      </c>
      <c r="T109" s="17">
        <f>VLOOKUP(TabVMEnv[[#This Row],[VM]],TabOceanet[],36,FALSE)/TabVMEnv[[#This Row],[Mutualisé]]</f>
        <v>2.52</v>
      </c>
      <c r="U109" s="17">
        <f>IF(TabVMEnv[[#This Row],[CostCenter]]="CostCenterDI",0,TabVMEnv[[#This Row],[CoutGlobal]])</f>
        <v>0</v>
      </c>
      <c r="V109" s="17">
        <f>TabVMEnv[[#This Row],[CoutGlobalSansCostCenterDI]]/TabVMEnv[[#Totals],[CoutGlobalSansCostCenterDI]]*(GlobalARepartirSansMS+GlobalARepartirMSOnly+GlobalARepartirInfraReseau)</f>
        <v>0</v>
      </c>
      <c r="W109" s="17">
        <f>TabVMEnv[[#This Row],[CoutGlobalSansCostCenterDI]]+TabVMEnv[[#This Row],[CoutGlobalSupplementaire]]</f>
        <v>0</v>
      </c>
      <c r="X109" s="5" t="str">
        <f>VLOOKUP(TabVMEnv[[#This Row],[EnvProjet]],TabEnvProjet[],2,FALSE) &amp; " - " &amp; IFERROR(VLOOKUP(TabVMEnv[[#This Row],[EnvProjet]],TabEnvProjet[],4,FALSE),"INCONNU") &amp; " - " &amp; IFERROR(VLOOKUP(TabVMEnv[[#This Row],[EnvProjet]],TabEnvProjet[],5,FALSE),"INCONNU")</f>
        <v>GFI-Oceanet Gestion VM - GFI Oceanet Infra Réseau - Jérôme JACOB</v>
      </c>
      <c r="Y109" s="5" t="str">
        <f>VLOOKUP(TabVMEnv[EnvProjet],TabEnvProjet[],5,FALSE)</f>
        <v>Jérôme JACOB</v>
      </c>
      <c r="Z109" s="5" t="str">
        <f>VLOOKUP(TabVMEnv[EnvProjet],TabEnvProjet[],6,FALSE)</f>
        <v>CostCenterDI</v>
      </c>
      <c r="AA109" s="5" t="str">
        <f>VLOOKUP(TabVMEnv[[#This Row],[EnvProjet]],TabEnvProjet[],3,FALSE)</f>
        <v>PROD</v>
      </c>
      <c r="AB109" s="5">
        <f>COUNTIF(TabVMEnv[VM],TabVMEnv[VM])</f>
        <v>1</v>
      </c>
    </row>
    <row r="110" spans="1:28" x14ac:dyDescent="0.25">
      <c r="A110" t="s">
        <v>69</v>
      </c>
      <c r="B110" t="s">
        <v>342</v>
      </c>
      <c r="C110" t="s">
        <v>70</v>
      </c>
      <c r="D110">
        <v>5</v>
      </c>
      <c r="E110" s="13" t="s">
        <v>1201</v>
      </c>
      <c r="F110">
        <f>IF(VLOOKUP(TabVMEnv[VM],TabOceanet[],16,FALSE) = "Tarif_VM",IF(VLOOKUP(TabVMEnv[VM],TabOceanet[],2,FALSE)&lt;4,4,VLOOKUP(TabVMEnv[VM],TabOceanet[],2,FALSE)),0)</f>
        <v>4</v>
      </c>
      <c r="G110">
        <v>0</v>
      </c>
      <c r="H110">
        <v>0</v>
      </c>
      <c r="I110">
        <v>0</v>
      </c>
      <c r="J110">
        <v>0</v>
      </c>
      <c r="K110">
        <f>IF(VLOOKUP(TabVMEnv[VM],TabOceanet[],16,FALSE) = "Tarif_VM",1,0)/TabVMEnv[[#This Row],[Mutualisé]]</f>
        <v>1</v>
      </c>
      <c r="L110">
        <f>IF(VLOOKUP(TabVMEnv[VM],TabOceanet[],9,FALSE) = "PoweredOn",1,0)</f>
        <v>1</v>
      </c>
      <c r="M110">
        <f>TabVMEnv[[#This Row],[IsVMPoweredOn]]*VLOOKUP(TabVMEnv[VM],TabOceanet[],3,FALSE)/TabVMEnv[[#This Row],[Mutualisé]]</f>
        <v>2</v>
      </c>
      <c r="N110">
        <f>VLOOKUP(TabVMEnv[VM],TabOceanet[],4,FALSE)/TabVMEnv[[#This Row],[Mutualisé]]</f>
        <v>20</v>
      </c>
      <c r="O110">
        <f>IF(LEFT(VLOOKUP(TabVMEnv[VM],TabOceanet[],5,FALSE),3)="win",1,0)</f>
        <v>0</v>
      </c>
      <c r="P110"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10" t="str">
        <f>VLOOKUP(TabVMEnv[EnvProjet],TabEnvProjet[],4,FALSE)</f>
        <v>VIVESC-TAU/S240776A</v>
      </c>
      <c r="R110" s="5" t="str">
        <f>VLOOKUP(TabVMEnv[[#This Row],[SYGES]],TabContrat[],2,FALSE)</f>
        <v>CAT'HELIUM VIVESCO</v>
      </c>
      <c r="S110" s="5" t="str">
        <f>IF(VLOOKUP(TabVMEnv[[#This Row],[VM]],TabOceanet[],1,FALSE) = "","Disparue","")</f>
        <v/>
      </c>
      <c r="T110" s="17">
        <f>VLOOKUP(TabVMEnv[[#This Row],[VM]],TabOceanet[],36,FALSE)/TabVMEnv[[#This Row],[Mutualisé]]</f>
        <v>7.8000000000000007</v>
      </c>
      <c r="U110" s="17">
        <f>IF(TabVMEnv[[#This Row],[CostCenter]]="CostCenterDI",0,TabVMEnv[[#This Row],[CoutGlobal]])</f>
        <v>7.8000000000000007</v>
      </c>
      <c r="V110" s="17">
        <f>TabVMEnv[[#This Row],[CoutGlobalSansCostCenterDI]]/TabVMEnv[[#Totals],[CoutGlobalSansCostCenterDI]]*(GlobalARepartirSansMS+GlobalARepartirMSOnly+GlobalARepartirInfraReseau)</f>
        <v>13.614564942233473</v>
      </c>
      <c r="W110" s="17">
        <f>TabVMEnv[[#This Row],[CoutGlobalSansCostCenterDI]]+TabVMEnv[[#This Row],[CoutGlobalSupplementaire]]</f>
        <v>21.414564942233476</v>
      </c>
      <c r="X110" s="5" t="str">
        <f>VLOOKUP(TabVMEnv[[#This Row],[EnvProjet]],TabEnvProjet[],2,FALSE) &amp; " - " &amp; IFERROR(VLOOKUP(TabVMEnv[[#This Row],[EnvProjet]],TabEnvProjet[],4,FALSE),"INCONNU") &amp; " - " &amp; IFERROR(VLOOKUP(TabVMEnv[[#This Row],[EnvProjet]],TabEnvProjet[],5,FALSE),"INCONNU")</f>
        <v>Vivesco-Vives-taux - VIVESC-TAU/S240776A - Pierre Maurupt</v>
      </c>
      <c r="Y110" s="5" t="str">
        <f>VLOOKUP(TabVMEnv[EnvProjet],TabEnvProjet[],5,FALSE)</f>
        <v>Pierre Maurupt</v>
      </c>
      <c r="Z110" s="5">
        <f>VLOOKUP(TabVMEnv[EnvProjet],TabEnvProjet[],6,FALSE)</f>
        <v>341530</v>
      </c>
      <c r="AA110" s="5" t="str">
        <f>VLOOKUP(TabVMEnv[[#This Row],[EnvProjet]],TabEnvProjet[],3,FALSE)</f>
        <v>DEV</v>
      </c>
      <c r="AB110" s="5">
        <f>COUNTIF(TabVMEnv[VM],TabVMEnv[VM])</f>
        <v>1</v>
      </c>
    </row>
    <row r="111" spans="1:28" x14ac:dyDescent="0.25">
      <c r="A111" s="24" t="s">
        <v>42</v>
      </c>
      <c r="B111" t="s">
        <v>333</v>
      </c>
      <c r="C111" t="s">
        <v>43</v>
      </c>
      <c r="D111">
        <v>5</v>
      </c>
      <c r="E111" s="13" t="s">
        <v>1201</v>
      </c>
      <c r="F111">
        <f>IF(VLOOKUP(TabVMEnv[VM],TabOceanet[],16,FALSE) = "Tarif_VM",IF(VLOOKUP(TabVMEnv[VM],TabOceanet[],2,FALSE)&lt;4,4,VLOOKUP(TabVMEnv[VM],TabOceanet[],2,FALSE)),0)</f>
        <v>6</v>
      </c>
      <c r="G111">
        <v>0</v>
      </c>
      <c r="H111">
        <v>0</v>
      </c>
      <c r="I111">
        <v>0</v>
      </c>
      <c r="J111">
        <v>0</v>
      </c>
      <c r="K111">
        <f>IF(VLOOKUP(TabVMEnv[VM],TabOceanet[],16,FALSE) = "Tarif_VM",1,0)/TabVMEnv[[#This Row],[Mutualisé]]</f>
        <v>1</v>
      </c>
      <c r="L111">
        <f>IF(VLOOKUP(TabVMEnv[VM],TabOceanet[],9,FALSE) = "PoweredOn",1,0)</f>
        <v>1</v>
      </c>
      <c r="M111">
        <f>TabVMEnv[[#This Row],[IsVMPoweredOn]]*VLOOKUP(TabVMEnv[VM],TabOceanet[],3,FALSE)/TabVMEnv[[#This Row],[Mutualisé]]</f>
        <v>4</v>
      </c>
      <c r="N111">
        <f>VLOOKUP(TabVMEnv[VM],TabOceanet[],4,FALSE)/TabVMEnv[[#This Row],[Mutualisé]]</f>
        <v>120</v>
      </c>
      <c r="O111">
        <f>IF(LEFT(VLOOKUP(TabVMEnv[VM],TabOceanet[],5,FALSE),3)="win",1,0)</f>
        <v>0</v>
      </c>
      <c r="P111"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11" t="str">
        <f>VLOOKUP(TabVMEnv[EnvProjet],TabEnvProjet[],4,FALSE)</f>
        <v>MAE-PII-L2/334179-17</v>
      </c>
      <c r="R111" s="5" t="str">
        <f>VLOOKUP(TabVMEnv[[#This Row],[SYGES]],TabContrat[],2,FALSE)</f>
        <v>MINISTERE DE L'EUROPE ET DES AFFAIRES ETRANGERES</v>
      </c>
      <c r="S111" s="5" t="str">
        <f>IF(VLOOKUP(TabVMEnv[[#This Row],[VM]],TabOceanet[],1,FALSE) = "","Disparue","")</f>
        <v/>
      </c>
      <c r="T111" s="25">
        <f>VLOOKUP(TabVMEnv[[#This Row],[VM]],TabOceanet[],36,FALSE)/TabVMEnv[[#This Row],[Mutualisé]]</f>
        <v>34</v>
      </c>
      <c r="U111" s="25">
        <f>IF(TabVMEnv[[#This Row],[CostCenter]]="CostCenterDI",0,TabVMEnv[[#This Row],[CoutGlobal]])</f>
        <v>34</v>
      </c>
      <c r="V111" s="25">
        <f>TabVMEnv[[#This Row],[CoutGlobalSansCostCenterDI]]/TabVMEnv[[#Totals],[CoutGlobalSansCostCenterDI]]*(GlobalARepartirSansMS+GlobalARepartirMSOnly+GlobalARepartirInfraReseau)</f>
        <v>59.345539491786923</v>
      </c>
      <c r="W111" s="25">
        <f>TabVMEnv[[#This Row],[CoutGlobalSansCostCenterDI]]+TabVMEnv[[#This Row],[CoutGlobalSupplementaire]]</f>
        <v>93.345539491786923</v>
      </c>
      <c r="X111" s="5" t="str">
        <f>VLOOKUP(TabVMEnv[[#This Row],[EnvProjet]],TabEnvProjet[],2,FALSE) &amp; " - " &amp; IFERROR(VLOOKUP(TabVMEnv[[#This Row],[EnvProjet]],TabEnvProjet[],4,FALSE),"INCONNU") &amp; " - " &amp; IFERROR(VLOOKUP(TabVMEnv[[#This Row],[EnvProjet]],TabEnvProjet[],5,FALSE),"INCONNU")</f>
        <v>MEAE-Visa - MAE-PII-L2/334179-17 - Axel Benoist-Gironiere</v>
      </c>
      <c r="Y111" s="5" t="str">
        <f>VLOOKUP(TabVMEnv[EnvProjet],TabEnvProjet[],5,FALSE)</f>
        <v>Axel Benoist-Gironiere</v>
      </c>
      <c r="Z111" s="5">
        <f>VLOOKUP(TabVMEnv[EnvProjet],TabEnvProjet[],6,FALSE)</f>
        <v>341531</v>
      </c>
      <c r="AA111" s="5" t="str">
        <f>VLOOKUP(TabVMEnv[[#This Row],[EnvProjet]],TabEnvProjet[],3,FALSE)</f>
        <v>SOCLE</v>
      </c>
      <c r="AB111" s="5">
        <f>COUNTIF(TabVMEnv[VM],TabVMEnv[VM])</f>
        <v>1</v>
      </c>
    </row>
    <row r="112" spans="1:28" ht="30" x14ac:dyDescent="0.25">
      <c r="A112" t="s">
        <v>154</v>
      </c>
      <c r="B112" t="s">
        <v>294</v>
      </c>
      <c r="C112" t="s">
        <v>155</v>
      </c>
      <c r="D112">
        <v>2</v>
      </c>
      <c r="E112" s="13" t="s">
        <v>1202</v>
      </c>
      <c r="F112">
        <f>IF(VLOOKUP(TabVMEnv[VM],TabOceanet[],16,FALSE) = "Tarif_VM",IF(VLOOKUP(TabVMEnv[VM],TabOceanet[],2,FALSE)&lt;4,4,VLOOKUP(TabVMEnv[VM],TabOceanet[],2,FALSE)),0)</f>
        <v>4</v>
      </c>
      <c r="G112">
        <v>0</v>
      </c>
      <c r="H112">
        <v>0</v>
      </c>
      <c r="I112">
        <v>0</v>
      </c>
      <c r="J112">
        <v>0</v>
      </c>
      <c r="K112">
        <f>IF(VLOOKUP(TabVMEnv[VM],TabOceanet[],16,FALSE) = "Tarif_VM",1,0)/TabVMEnv[[#This Row],[Mutualisé]]</f>
        <v>1</v>
      </c>
      <c r="L112">
        <f>IF(VLOOKUP(TabVMEnv[VM],TabOceanet[],9,FALSE) = "PoweredOn",1,0)</f>
        <v>1</v>
      </c>
      <c r="M112">
        <f>TabVMEnv[[#This Row],[IsVMPoweredOn]]*VLOOKUP(TabVMEnv[VM],TabOceanet[],3,FALSE)/TabVMEnv[[#This Row],[Mutualisé]]</f>
        <v>1</v>
      </c>
      <c r="N112">
        <f>VLOOKUP(TabVMEnv[VM],TabOceanet[],4,FALSE)/TabVMEnv[[#This Row],[Mutualisé]]</f>
        <v>4</v>
      </c>
      <c r="O112">
        <f>IF(LEFT(VLOOKUP(TabVMEnv[VM],TabOceanet[],5,FALSE),3)="win",1,0)</f>
        <v>0</v>
      </c>
      <c r="P112"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12" t="str">
        <f>VLOOKUP(TabVMEnv[EnvProjet],TabEnvProjet[],4,FALSE)</f>
        <v>GFI Oceanet Infra Réseau</v>
      </c>
      <c r="R112" s="5" t="str">
        <f>VLOOKUP(TabVMEnv[[#This Row],[SYGES]],TabContrat[],2,FALSE)</f>
        <v>GFI</v>
      </c>
      <c r="S112" s="5" t="str">
        <f>IF(VLOOKUP(TabVMEnv[[#This Row],[VM]],TabOceanet[],1,FALSE) = "","Disparue","")</f>
        <v/>
      </c>
      <c r="T112" s="17">
        <f>VLOOKUP(TabVMEnv[[#This Row],[VM]],TabOceanet[],36,FALSE)/TabVMEnv[[#This Row],[Mutualisé]]</f>
        <v>2.52</v>
      </c>
      <c r="U112" s="17">
        <f>IF(TabVMEnv[[#This Row],[CostCenter]]="CostCenterDI",0,TabVMEnv[[#This Row],[CoutGlobal]])</f>
        <v>0</v>
      </c>
      <c r="V112" s="17">
        <f>TabVMEnv[[#This Row],[CoutGlobalSansCostCenterDI]]/TabVMEnv[[#Totals],[CoutGlobalSansCostCenterDI]]*(GlobalARepartirSansMS+GlobalARepartirMSOnly+GlobalARepartirInfraReseau)</f>
        <v>0</v>
      </c>
      <c r="W112" s="17">
        <f>TabVMEnv[[#This Row],[CoutGlobalSansCostCenterDI]]+TabVMEnv[[#This Row],[CoutGlobalSupplementaire]]</f>
        <v>0</v>
      </c>
      <c r="X112" s="5" t="str">
        <f>VLOOKUP(TabVMEnv[[#This Row],[EnvProjet]],TabEnvProjet[],2,FALSE) &amp; " - " &amp; IFERROR(VLOOKUP(TabVMEnv[[#This Row],[EnvProjet]],TabEnvProjet[],4,FALSE),"INCONNU") &amp; " - " &amp; IFERROR(VLOOKUP(TabVMEnv[[#This Row],[EnvProjet]],TabEnvProjet[],5,FALSE),"INCONNU")</f>
        <v>GFI-Oceanet Infra Réseau - GFI Oceanet Infra Réseau - Jérôme JACOB</v>
      </c>
      <c r="Y112" s="5" t="str">
        <f>VLOOKUP(TabVMEnv[EnvProjet],TabEnvProjet[],5,FALSE)</f>
        <v>Jérôme JACOB</v>
      </c>
      <c r="Z112" s="5" t="str">
        <f>VLOOKUP(TabVMEnv[EnvProjet],TabEnvProjet[],6,FALSE)</f>
        <v>CostCenterDI</v>
      </c>
      <c r="AA112" s="5" t="str">
        <f>VLOOKUP(TabVMEnv[[#This Row],[EnvProjet]],TabEnvProjet[],3,FALSE)</f>
        <v>SOCLE</v>
      </c>
      <c r="AB112" s="5">
        <f>COUNTIF(TabVMEnv[VM],TabVMEnv[VM])</f>
        <v>1</v>
      </c>
    </row>
    <row r="113" spans="1:28" x14ac:dyDescent="0.25">
      <c r="A113" s="24" t="s">
        <v>44</v>
      </c>
      <c r="B113" t="s">
        <v>333</v>
      </c>
      <c r="C113" t="s">
        <v>45</v>
      </c>
      <c r="D113">
        <v>5</v>
      </c>
      <c r="E113" s="13" t="s">
        <v>1201</v>
      </c>
      <c r="F113">
        <f>IF(VLOOKUP(TabVMEnv[VM],TabOceanet[],16,FALSE) = "Tarif_VM",IF(VLOOKUP(TabVMEnv[VM],TabOceanet[],2,FALSE)&lt;4,4,VLOOKUP(TabVMEnv[VM],TabOceanet[],2,FALSE)),0)</f>
        <v>4</v>
      </c>
      <c r="G113">
        <v>0</v>
      </c>
      <c r="H113">
        <v>0</v>
      </c>
      <c r="I113">
        <v>0</v>
      </c>
      <c r="J113">
        <v>0</v>
      </c>
      <c r="K113">
        <f>IF(VLOOKUP(TabVMEnv[VM],TabOceanet[],16,FALSE) = "Tarif_VM",1,0)/TabVMEnv[[#This Row],[Mutualisé]]</f>
        <v>1</v>
      </c>
      <c r="L113">
        <f>IF(VLOOKUP(TabVMEnv[VM],TabOceanet[],9,FALSE) = "PoweredOn",1,0)</f>
        <v>1</v>
      </c>
      <c r="M113">
        <f>TabVMEnv[[#This Row],[IsVMPoweredOn]]*VLOOKUP(TabVMEnv[VM],TabOceanet[],3,FALSE)/TabVMEnv[[#This Row],[Mutualisé]]</f>
        <v>1</v>
      </c>
      <c r="N113">
        <f>VLOOKUP(TabVMEnv[VM],TabOceanet[],4,FALSE)/TabVMEnv[[#This Row],[Mutualisé]]</f>
        <v>38</v>
      </c>
      <c r="O113">
        <f>IF(LEFT(VLOOKUP(TabVMEnv[VM],TabOceanet[],5,FALSE),3)="win",1,0)</f>
        <v>0</v>
      </c>
      <c r="P113"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13" t="str">
        <f>VLOOKUP(TabVMEnv[EnvProjet],TabEnvProjet[],4,FALSE)</f>
        <v>MAE-PII-L2/334179-17</v>
      </c>
      <c r="R113" s="5" t="str">
        <f>VLOOKUP(TabVMEnv[[#This Row],[SYGES]],TabContrat[],2,FALSE)</f>
        <v>MINISTERE DE L'EUROPE ET DES AFFAIRES ETRANGERES</v>
      </c>
      <c r="S113" s="5" t="str">
        <f>IF(VLOOKUP(TabVMEnv[[#This Row],[VM]],TabOceanet[],1,FALSE) = "","Disparue","")</f>
        <v/>
      </c>
      <c r="T113" s="25">
        <f>VLOOKUP(TabVMEnv[[#This Row],[VM]],TabOceanet[],36,FALSE)/TabVMEnv[[#This Row],[Mutualisé]]</f>
        <v>10.34</v>
      </c>
      <c r="U113" s="25">
        <f>IF(TabVMEnv[[#This Row],[CostCenter]]="CostCenterDI",0,TabVMEnv[[#This Row],[CoutGlobal]])</f>
        <v>10.34</v>
      </c>
      <c r="V113" s="25">
        <f>TabVMEnv[[#This Row],[CoutGlobalSansCostCenterDI]]/TabVMEnv[[#Totals],[CoutGlobalSansCostCenterDI]]*(GlobalARepartirSansMS+GlobalARepartirMSOnly+GlobalARepartirInfraReseau)</f>
        <v>18.048025833678732</v>
      </c>
      <c r="W113" s="25">
        <f>TabVMEnv[[#This Row],[CoutGlobalSansCostCenterDI]]+TabVMEnv[[#This Row],[CoutGlobalSupplementaire]]</f>
        <v>28.388025833678732</v>
      </c>
      <c r="X113" s="5" t="str">
        <f>VLOOKUP(TabVMEnv[[#This Row],[EnvProjet]],TabEnvProjet[],2,FALSE) &amp; " - " &amp; IFERROR(VLOOKUP(TabVMEnv[[#This Row],[EnvProjet]],TabEnvProjet[],4,FALSE),"INCONNU") &amp; " - " &amp; IFERROR(VLOOKUP(TabVMEnv[[#This Row],[EnvProjet]],TabEnvProjet[],5,FALSE),"INCONNU")</f>
        <v>MEAE-Visa - MAE-PII-L2/334179-17 - Axel Benoist-Gironiere</v>
      </c>
      <c r="Y113" s="5" t="str">
        <f>VLOOKUP(TabVMEnv[EnvProjet],TabEnvProjet[],5,FALSE)</f>
        <v>Axel Benoist-Gironiere</v>
      </c>
      <c r="Z113" s="5">
        <f>VLOOKUP(TabVMEnv[EnvProjet],TabEnvProjet[],6,FALSE)</f>
        <v>341531</v>
      </c>
      <c r="AA113" s="5" t="str">
        <f>VLOOKUP(TabVMEnv[[#This Row],[EnvProjet]],TabEnvProjet[],3,FALSE)</f>
        <v>SOCLE</v>
      </c>
      <c r="AB113" s="5">
        <f>COUNTIF(TabVMEnv[VM],TabVMEnv[VM])</f>
        <v>1</v>
      </c>
    </row>
    <row r="114" spans="1:28" x14ac:dyDescent="0.25">
      <c r="A114" s="24" t="s">
        <v>62</v>
      </c>
      <c r="B114" t="s">
        <v>349</v>
      </c>
      <c r="C114" t="s">
        <v>63</v>
      </c>
      <c r="D114">
        <v>0</v>
      </c>
      <c r="E114" s="13" t="s">
        <v>1196</v>
      </c>
      <c r="F114">
        <f>IF(VLOOKUP(TabVMEnv[VM],TabOceanet[],16,FALSE) = "Tarif_VM",IF(VLOOKUP(TabVMEnv[VM],TabOceanet[],2,FALSE)&lt;4,4,VLOOKUP(TabVMEnv[VM],TabOceanet[],2,FALSE)),0)</f>
        <v>4</v>
      </c>
      <c r="G114">
        <v>0</v>
      </c>
      <c r="H114">
        <v>0</v>
      </c>
      <c r="I114">
        <v>0</v>
      </c>
      <c r="J114">
        <v>0</v>
      </c>
      <c r="K114">
        <f>IF(VLOOKUP(TabVMEnv[VM],TabOceanet[],16,FALSE) = "Tarif_VM",1,0)/TabVMEnv[[#This Row],[Mutualisé]]</f>
        <v>0.5</v>
      </c>
      <c r="L114">
        <f>IF(VLOOKUP(TabVMEnv[VM],TabOceanet[],9,FALSE) = "PoweredOn",1,0)</f>
        <v>1</v>
      </c>
      <c r="M114">
        <f>TabVMEnv[[#This Row],[IsVMPoweredOn]]*VLOOKUP(TabVMEnv[VM],TabOceanet[],3,FALSE)/TabVMEnv[[#This Row],[Mutualisé]]</f>
        <v>0.5</v>
      </c>
      <c r="N114">
        <f>VLOOKUP(TabVMEnv[VM],TabOceanet[],4,FALSE)/TabVMEnv[[#This Row],[Mutualisé]]</f>
        <v>2</v>
      </c>
      <c r="O114">
        <f>IF(LEFT(VLOOKUP(TabVMEnv[VM],TabOceanet[],5,FALSE),3)="win",1,0)</f>
        <v>0</v>
      </c>
      <c r="P114"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14" t="str">
        <f>VLOOKUP(TabVMEnv[EnvProjet],TabEnvProjet[],4,FALSE)</f>
        <v>MAE-PII-L2/334179-17</v>
      </c>
      <c r="R114" s="5" t="str">
        <f>VLOOKUP(TabVMEnv[[#This Row],[SYGES]],TabContrat[],2,FALSE)</f>
        <v>MINISTERE DE L'EUROPE ET DES AFFAIRES ETRANGERES</v>
      </c>
      <c r="S114" s="5" t="str">
        <f>IF(VLOOKUP(TabVMEnv[[#This Row],[VM]],TabOceanet[],1,FALSE) = "","Disparue","")</f>
        <v/>
      </c>
      <c r="T114" s="25">
        <f>VLOOKUP(TabVMEnv[[#This Row],[VM]],TabOceanet[],36,FALSE)/TabVMEnv[[#This Row],[Mutualisé]]</f>
        <v>1.26</v>
      </c>
      <c r="U114" s="25">
        <f>IF(TabVMEnv[[#This Row],[CostCenter]]="CostCenterDI",0,TabVMEnv[[#This Row],[CoutGlobal]])</f>
        <v>1.26</v>
      </c>
      <c r="V114" s="25">
        <f>TabVMEnv[[#This Row],[CoutGlobalSansCostCenterDI]]/TabVMEnv[[#Totals],[CoutGlobalSansCostCenterDI]]*(GlobalARepartirSansMS+GlobalARepartirMSOnly+GlobalARepartirInfraReseau)</f>
        <v>2.1992758752838686</v>
      </c>
      <c r="W114" s="25">
        <f>TabVMEnv[[#This Row],[CoutGlobalSansCostCenterDI]]+TabVMEnv[[#This Row],[CoutGlobalSupplementaire]]</f>
        <v>3.4592758752838684</v>
      </c>
      <c r="X114" s="5" t="str">
        <f>VLOOKUP(TabVMEnv[[#This Row],[EnvProjet]],TabEnvProjet[],2,FALSE) &amp; " - " &amp; IFERROR(VLOOKUP(TabVMEnv[[#This Row],[EnvProjet]],TabEnvProjet[],4,FALSE),"INCONNU") &amp; " - " &amp; IFERROR(VLOOKUP(TabVMEnv[[#This Row],[EnvProjet]],TabEnvProjet[],5,FALSE),"INCONNU")</f>
        <v>MEAE-Visa - MAE-PII-L2/334179-17 - Axel Benoist-Gironiere</v>
      </c>
      <c r="Y114" s="5" t="str">
        <f>VLOOKUP(TabVMEnv[EnvProjet],TabEnvProjet[],5,FALSE)</f>
        <v>Axel Benoist-Gironiere</v>
      </c>
      <c r="Z114" s="5">
        <f>VLOOKUP(TabVMEnv[EnvProjet],TabEnvProjet[],6,FALSE)</f>
        <v>341531</v>
      </c>
      <c r="AA114" s="5" t="str">
        <f>VLOOKUP(TabVMEnv[[#This Row],[EnvProjet]],TabEnvProjet[],3,FALSE)</f>
        <v>ARRET</v>
      </c>
      <c r="AB114" s="5">
        <f>COUNTIF(TabVMEnv[VM],TabVMEnv[VM])</f>
        <v>2</v>
      </c>
    </row>
    <row r="115" spans="1:28" ht="15" customHeight="1" x14ac:dyDescent="0.25">
      <c r="A115" s="24" t="s">
        <v>62</v>
      </c>
      <c r="B115" t="s">
        <v>348</v>
      </c>
      <c r="C115" t="s">
        <v>71</v>
      </c>
      <c r="D115">
        <v>0</v>
      </c>
      <c r="E115" s="13" t="s">
        <v>1196</v>
      </c>
      <c r="F115">
        <f>IF(VLOOKUP(TabVMEnv[VM],TabOceanet[],16,FALSE) = "Tarif_VM",IF(VLOOKUP(TabVMEnv[VM],TabOceanet[],2,FALSE)&lt;4,4,VLOOKUP(TabVMEnv[VM],TabOceanet[],2,FALSE)),0)</f>
        <v>4</v>
      </c>
      <c r="G115">
        <v>0</v>
      </c>
      <c r="H115">
        <v>0</v>
      </c>
      <c r="I115">
        <v>0</v>
      </c>
      <c r="J115">
        <v>0</v>
      </c>
      <c r="K115">
        <f>IF(VLOOKUP(TabVMEnv[VM],TabOceanet[],16,FALSE) = "Tarif_VM",1,0)/TabVMEnv[[#This Row],[Mutualisé]]</f>
        <v>0.5</v>
      </c>
      <c r="L115">
        <f>IF(VLOOKUP(TabVMEnv[VM],TabOceanet[],9,FALSE) = "PoweredOn",1,0)</f>
        <v>1</v>
      </c>
      <c r="M115">
        <f>TabVMEnv[[#This Row],[IsVMPoweredOn]]*VLOOKUP(TabVMEnv[VM],TabOceanet[],3,FALSE)/TabVMEnv[[#This Row],[Mutualisé]]</f>
        <v>0.5</v>
      </c>
      <c r="N115">
        <f>VLOOKUP(TabVMEnv[VM],TabOceanet[],4,FALSE)/TabVMEnv[[#This Row],[Mutualisé]]</f>
        <v>2</v>
      </c>
      <c r="O115">
        <f>IF(LEFT(VLOOKUP(TabVMEnv[VM],TabOceanet[],5,FALSE),3)="win",1,0)</f>
        <v>0</v>
      </c>
      <c r="P115"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15" t="str">
        <f>VLOOKUP(TabVMEnv[EnvProjet],TabEnvProjet[],4,FALSE)</f>
        <v>VIVESC-TAU/S240776A</v>
      </c>
      <c r="R115" s="5" t="str">
        <f>VLOOKUP(TabVMEnv[[#This Row],[SYGES]],TabContrat[],2,FALSE)</f>
        <v>CAT'HELIUM VIVESCO</v>
      </c>
      <c r="S115" s="5" t="str">
        <f>IF(VLOOKUP(TabVMEnv[[#This Row],[VM]],TabOceanet[],1,FALSE) = "","Disparue","")</f>
        <v/>
      </c>
      <c r="T115" s="17">
        <f>VLOOKUP(TabVMEnv[[#This Row],[VM]],TabOceanet[],36,FALSE)/TabVMEnv[[#This Row],[Mutualisé]]</f>
        <v>1.26</v>
      </c>
      <c r="U115" s="17">
        <f>IF(TabVMEnv[[#This Row],[CostCenter]]="CostCenterDI",0,TabVMEnv[[#This Row],[CoutGlobal]])</f>
        <v>1.26</v>
      </c>
      <c r="V115" s="17">
        <f>TabVMEnv[[#This Row],[CoutGlobalSansCostCenterDI]]/TabVMEnv[[#Totals],[CoutGlobalSansCostCenterDI]]*(GlobalARepartirSansMS+GlobalARepartirMSOnly+GlobalARepartirInfraReseau)</f>
        <v>2.1992758752838686</v>
      </c>
      <c r="W115" s="17">
        <f>TabVMEnv[[#This Row],[CoutGlobalSansCostCenterDI]]+TabVMEnv[[#This Row],[CoutGlobalSupplementaire]]</f>
        <v>3.4592758752838684</v>
      </c>
      <c r="X115" s="5" t="str">
        <f>VLOOKUP(TabVMEnv[[#This Row],[EnvProjet]],TabEnvProjet[],2,FALSE) &amp; " - " &amp; IFERROR(VLOOKUP(TabVMEnv[[#This Row],[EnvProjet]],TabEnvProjet[],4,FALSE),"INCONNU") &amp; " - " &amp; IFERROR(VLOOKUP(TabVMEnv[[#This Row],[EnvProjet]],TabEnvProjet[],5,FALSE),"INCONNU")</f>
        <v>Vivesco-Vives-taux - VIVESC-TAU/S240776A - Pierre Maurupt</v>
      </c>
      <c r="Y115" s="5" t="str">
        <f>VLOOKUP(TabVMEnv[EnvProjet],TabEnvProjet[],5,FALSE)</f>
        <v>Pierre Maurupt</v>
      </c>
      <c r="Z115" s="5">
        <f>VLOOKUP(TabVMEnv[EnvProjet],TabEnvProjet[],6,FALSE)</f>
        <v>341530</v>
      </c>
      <c r="AA115" s="5" t="str">
        <f>VLOOKUP(TabVMEnv[[#This Row],[EnvProjet]],TabEnvProjet[],3,FALSE)</f>
        <v>QUAL</v>
      </c>
      <c r="AB115" s="5">
        <f>COUNTIF(TabVMEnv[VM],TabVMEnv[VM])</f>
        <v>2</v>
      </c>
    </row>
    <row r="116" spans="1:28" x14ac:dyDescent="0.25">
      <c r="A116" t="s">
        <v>156</v>
      </c>
      <c r="B116" t="s">
        <v>294</v>
      </c>
      <c r="D116">
        <v>0</v>
      </c>
      <c r="E116" s="13" t="s">
        <v>1196</v>
      </c>
      <c r="F116">
        <f>IF(VLOOKUP(TabVMEnv[VM],TabOceanet[],16,FALSE) = "Tarif_VM",IF(VLOOKUP(TabVMEnv[VM],TabOceanet[],2,FALSE)&lt;4,4,VLOOKUP(TabVMEnv[VM],TabOceanet[],2,FALSE)),0)</f>
        <v>4</v>
      </c>
      <c r="G116">
        <v>0</v>
      </c>
      <c r="H116">
        <v>0</v>
      </c>
      <c r="I116">
        <v>0</v>
      </c>
      <c r="J116">
        <v>0</v>
      </c>
      <c r="K116">
        <f>IF(VLOOKUP(TabVMEnv[VM],TabOceanet[],16,FALSE) = "Tarif_VM",1,0)/TabVMEnv[[#This Row],[Mutualisé]]</f>
        <v>1</v>
      </c>
      <c r="L116">
        <f>IF(VLOOKUP(TabVMEnv[VM],TabOceanet[],9,FALSE) = "PoweredOn",1,0)</f>
        <v>1</v>
      </c>
      <c r="M116">
        <f>TabVMEnv[[#This Row],[IsVMPoweredOn]]*VLOOKUP(TabVMEnv[VM],TabOceanet[],3,FALSE)/TabVMEnv[[#This Row],[Mutualisé]]</f>
        <v>1</v>
      </c>
      <c r="N116">
        <f>VLOOKUP(TabVMEnv[VM],TabOceanet[],4,FALSE)/TabVMEnv[[#This Row],[Mutualisé]]</f>
        <v>4</v>
      </c>
      <c r="O116">
        <f>IF(LEFT(VLOOKUP(TabVMEnv[VM],TabOceanet[],5,FALSE),3)="win",1,0)</f>
        <v>0</v>
      </c>
      <c r="P116"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16" t="str">
        <f>VLOOKUP(TabVMEnv[EnvProjet],TabEnvProjet[],4,FALSE)</f>
        <v>GFI Oceanet Infra Réseau</v>
      </c>
      <c r="R116" s="5" t="str">
        <f>VLOOKUP(TabVMEnv[[#This Row],[SYGES]],TabContrat[],2,FALSE)</f>
        <v>GFI</v>
      </c>
      <c r="S116" s="5" t="str">
        <f>IF(VLOOKUP(TabVMEnv[[#This Row],[VM]],TabOceanet[],1,FALSE) = "","Disparue","")</f>
        <v/>
      </c>
      <c r="T116" s="17">
        <f>VLOOKUP(TabVMEnv[[#This Row],[VM]],TabOceanet[],36,FALSE)/TabVMEnv[[#This Row],[Mutualisé]]</f>
        <v>2.52</v>
      </c>
      <c r="U116" s="17">
        <f>IF(TabVMEnv[[#This Row],[CostCenter]]="CostCenterDI",0,TabVMEnv[[#This Row],[CoutGlobal]])</f>
        <v>0</v>
      </c>
      <c r="V116" s="17">
        <f>TabVMEnv[[#This Row],[CoutGlobalSansCostCenterDI]]/TabVMEnv[[#Totals],[CoutGlobalSansCostCenterDI]]*(GlobalARepartirSansMS+GlobalARepartirMSOnly+GlobalARepartirInfraReseau)</f>
        <v>0</v>
      </c>
      <c r="W116" s="17">
        <f>TabVMEnv[[#This Row],[CoutGlobalSansCostCenterDI]]+TabVMEnv[[#This Row],[CoutGlobalSupplementaire]]</f>
        <v>0</v>
      </c>
      <c r="X116" s="5" t="str">
        <f>VLOOKUP(TabVMEnv[[#This Row],[EnvProjet]],TabEnvProjet[],2,FALSE) &amp; " - " &amp; IFERROR(VLOOKUP(TabVMEnv[[#This Row],[EnvProjet]],TabEnvProjet[],4,FALSE),"INCONNU") &amp; " - " &amp; IFERROR(VLOOKUP(TabVMEnv[[#This Row],[EnvProjet]],TabEnvProjet[],5,FALSE),"INCONNU")</f>
        <v>GFI-Oceanet Infra Réseau - GFI Oceanet Infra Réseau - Jérôme JACOB</v>
      </c>
      <c r="Y116" s="5" t="str">
        <f>VLOOKUP(TabVMEnv[EnvProjet],TabEnvProjet[],5,FALSE)</f>
        <v>Jérôme JACOB</v>
      </c>
      <c r="Z116" s="5" t="str">
        <f>VLOOKUP(TabVMEnv[EnvProjet],TabEnvProjet[],6,FALSE)</f>
        <v>CostCenterDI</v>
      </c>
      <c r="AA116" s="5" t="str">
        <f>VLOOKUP(TabVMEnv[[#This Row],[EnvProjet]],TabEnvProjet[],3,FALSE)</f>
        <v>SOCLE</v>
      </c>
      <c r="AB116" s="5">
        <f>COUNTIF(TabVMEnv[VM],TabVMEnv[VM])</f>
        <v>1</v>
      </c>
    </row>
    <row r="117" spans="1:28" x14ac:dyDescent="0.25">
      <c r="A117" s="24" t="s">
        <v>46</v>
      </c>
      <c r="B117" t="s">
        <v>343</v>
      </c>
      <c r="D117">
        <v>5</v>
      </c>
      <c r="E117" s="13" t="s">
        <v>1201</v>
      </c>
      <c r="F117">
        <f>IF(VLOOKUP(TabVMEnv[VM],TabOceanet[],16,FALSE) = "Tarif_VM",IF(VLOOKUP(TabVMEnv[VM],TabOceanet[],2,FALSE)&lt;4,4,VLOOKUP(TabVMEnv[VM],TabOceanet[],2,FALSE)),0)</f>
        <v>4</v>
      </c>
      <c r="G117">
        <v>0</v>
      </c>
      <c r="H117">
        <v>0</v>
      </c>
      <c r="I117">
        <v>0</v>
      </c>
      <c r="J117">
        <v>0</v>
      </c>
      <c r="K117">
        <f>IF(VLOOKUP(TabVMEnv[VM],TabOceanet[],16,FALSE) = "Tarif_VM",1,0)/TabVMEnv[[#This Row],[Mutualisé]]</f>
        <v>0.33333333333333331</v>
      </c>
      <c r="L117">
        <f>IF(VLOOKUP(TabVMEnv[VM],TabOceanet[],9,FALSE) = "PoweredOn",1,0)</f>
        <v>1</v>
      </c>
      <c r="M117">
        <f>TabVMEnv[[#This Row],[IsVMPoweredOn]]*VLOOKUP(TabVMEnv[VM],TabOceanet[],3,FALSE)/TabVMEnv[[#This Row],[Mutualisé]]</f>
        <v>0.33333333333333331</v>
      </c>
      <c r="N117">
        <f>VLOOKUP(TabVMEnv[VM],TabOceanet[],4,FALSE)/TabVMEnv[[#This Row],[Mutualisé]]</f>
        <v>7.333333333333333</v>
      </c>
      <c r="O117">
        <f>IF(LEFT(VLOOKUP(TabVMEnv[VM],TabOceanet[],5,FALSE),3)="win",1,0)</f>
        <v>0</v>
      </c>
      <c r="P117"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17" t="str">
        <f>VLOOKUP(TabVMEnv[EnvProjet],TabEnvProjet[],4,FALSE)</f>
        <v>ADE-SAGA/S364196A</v>
      </c>
      <c r="R117" s="5" t="str">
        <f>VLOOKUP(TabVMEnv[[#This Row],[SYGES]],TabContrat[],2,FALSE)</f>
        <v>ADEME</v>
      </c>
      <c r="S117" s="5" t="str">
        <f>IF(VLOOKUP(TabVMEnv[[#This Row],[VM]],TabOceanet[],1,FALSE) = "","Disparue","")</f>
        <v/>
      </c>
      <c r="T117" s="17">
        <f>VLOOKUP(TabVMEnv[[#This Row],[VM]],TabOceanet[],36,FALSE)/TabVMEnv[[#This Row],[Mutualisé]]</f>
        <v>2.2200000000000002</v>
      </c>
      <c r="U117" s="17">
        <f>IF(TabVMEnv[[#This Row],[CostCenter]]="CostCenterDI",0,TabVMEnv[[#This Row],[CoutGlobal]])</f>
        <v>2.2200000000000002</v>
      </c>
      <c r="V117" s="17">
        <f>TabVMEnv[[#This Row],[CoutGlobalSansCostCenterDI]]/TabVMEnv[[#Totals],[CoutGlobalSansCostCenterDI]]*(GlobalARepartirSansMS+GlobalARepartirMSOnly+GlobalARepartirInfraReseau)</f>
        <v>3.8749146374049115</v>
      </c>
      <c r="W117" s="17">
        <f>TabVMEnv[[#This Row],[CoutGlobalSansCostCenterDI]]+TabVMEnv[[#This Row],[CoutGlobalSupplementaire]]</f>
        <v>6.0949146374049121</v>
      </c>
      <c r="X117" s="5" t="str">
        <f>VLOOKUP(TabVMEnv[[#This Row],[EnvProjet]],TabEnvProjet[],2,FALSE) &amp; " - " &amp; IFERROR(VLOOKUP(TabVMEnv[[#This Row],[EnvProjet]],TabEnvProjet[],4,FALSE),"INCONNU") &amp; " - " &amp; IFERROR(VLOOKUP(TabVMEnv[[#This Row],[EnvProjet]],TabEnvProjet[],5,FALSE),"INCONNU")</f>
        <v>ADEME-SAGA - ADE-SAGA/S364196A - Pascale CRINE</v>
      </c>
      <c r="Y117" s="5" t="str">
        <f>VLOOKUP(TabVMEnv[EnvProjet],TabEnvProjet[],5,FALSE)</f>
        <v>Pascale CRINE</v>
      </c>
      <c r="Z117" s="5">
        <f>VLOOKUP(TabVMEnv[EnvProjet],TabEnvProjet[],6,FALSE)</f>
        <v>341531</v>
      </c>
      <c r="AA117" s="5" t="str">
        <f>VLOOKUP(TabVMEnv[[#This Row],[EnvProjet]],TabEnvProjet[],3,FALSE)</f>
        <v>TMA</v>
      </c>
      <c r="AB117" s="5">
        <f>COUNTIF(TabVMEnv[VM],TabVMEnv[VM])</f>
        <v>3</v>
      </c>
    </row>
    <row r="118" spans="1:28" x14ac:dyDescent="0.25">
      <c r="A118" s="24" t="s">
        <v>46</v>
      </c>
      <c r="B118" t="s">
        <v>350</v>
      </c>
      <c r="E118" s="13"/>
      <c r="F118">
        <f>IF(VLOOKUP(TabVMEnv[VM],TabOceanet[],16,FALSE) = "Tarif_VM",IF(VLOOKUP(TabVMEnv[VM],TabOceanet[],2,FALSE)&lt;4,4,VLOOKUP(TabVMEnv[VM],TabOceanet[],2,FALSE)),0)</f>
        <v>4</v>
      </c>
      <c r="G118">
        <v>0</v>
      </c>
      <c r="H118">
        <v>0</v>
      </c>
      <c r="I118">
        <v>0</v>
      </c>
      <c r="J118">
        <v>0</v>
      </c>
      <c r="K118">
        <f>IF(VLOOKUP(TabVMEnv[VM],TabOceanet[],16,FALSE) = "Tarif_VM",1,0)/TabVMEnv[[#This Row],[Mutualisé]]</f>
        <v>0.33333333333333331</v>
      </c>
      <c r="L118">
        <f>IF(VLOOKUP(TabVMEnv[VM],TabOceanet[],9,FALSE) = "PoweredOn",1,0)</f>
        <v>1</v>
      </c>
      <c r="M118">
        <f>TabVMEnv[[#This Row],[IsVMPoweredOn]]*VLOOKUP(TabVMEnv[VM],TabOceanet[],3,FALSE)/TabVMEnv[[#This Row],[Mutualisé]]</f>
        <v>0.33333333333333331</v>
      </c>
      <c r="N118">
        <f>VLOOKUP(TabVMEnv[VM],TabOceanet[],4,FALSE)/TabVMEnv[[#This Row],[Mutualisé]]</f>
        <v>7.333333333333333</v>
      </c>
      <c r="O118">
        <f>IF(LEFT(VLOOKUP(TabVMEnv[VM],TabOceanet[],5,FALSE),3)="win",1,0)</f>
        <v>0</v>
      </c>
      <c r="P118"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18" t="str">
        <f>VLOOKUP(TabVMEnv[EnvProjet],TabEnvProjet[],4,FALSE)</f>
        <v>ADEME-SIN/16-S240097</v>
      </c>
      <c r="R118" s="5" t="str">
        <f>VLOOKUP(TabVMEnv[[#This Row],[SYGES]],TabContrat[],2,FALSE)</f>
        <v>ADEME</v>
      </c>
      <c r="S118" s="5" t="str">
        <f>IF(VLOOKUP(TabVMEnv[[#This Row],[VM]],TabOceanet[],1,FALSE) = "","Disparue","")</f>
        <v/>
      </c>
      <c r="T118" s="17">
        <f>VLOOKUP(TabVMEnv[[#This Row],[VM]],TabOceanet[],36,FALSE)/TabVMEnv[[#This Row],[Mutualisé]]</f>
        <v>2.2200000000000002</v>
      </c>
      <c r="U118" s="17">
        <f>IF(TabVMEnv[[#This Row],[CostCenter]]="CostCenterDI",0,TabVMEnv[[#This Row],[CoutGlobal]])</f>
        <v>2.2200000000000002</v>
      </c>
      <c r="V118" s="17">
        <f>TabVMEnv[[#This Row],[CoutGlobalSansCostCenterDI]]/TabVMEnv[[#Totals],[CoutGlobalSansCostCenterDI]]*(GlobalARepartirSansMS+GlobalARepartirMSOnly+GlobalARepartirInfraReseau)</f>
        <v>3.8749146374049115</v>
      </c>
      <c r="W118" s="17">
        <f>TabVMEnv[[#This Row],[CoutGlobalSansCostCenterDI]]+TabVMEnv[[#This Row],[CoutGlobalSupplementaire]]</f>
        <v>6.0949146374049121</v>
      </c>
      <c r="X118" s="5" t="str">
        <f>VLOOKUP(TabVMEnv[[#This Row],[EnvProjet]],TabEnvProjet[],2,FALSE) &amp; " - " &amp; IFERROR(VLOOKUP(TabVMEnv[[#This Row],[EnvProjet]],TabEnvProjet[],4,FALSE),"INCONNU") &amp; " - " &amp; IFERROR(VLOOKUP(TabVMEnv[[#This Row],[EnvProjet]],TabEnvProjet[],5,FALSE),"INCONNU")</f>
        <v>ADEME-SINOE - ADEME-SIN/16-S240097 - Pascale CRINE</v>
      </c>
      <c r="Y118" s="5" t="str">
        <f>VLOOKUP(TabVMEnv[EnvProjet],TabEnvProjet[],5,FALSE)</f>
        <v>Pascale CRINE</v>
      </c>
      <c r="Z118" s="5">
        <f>VLOOKUP(TabVMEnv[EnvProjet],TabEnvProjet[],6,FALSE)</f>
        <v>341531</v>
      </c>
      <c r="AA118" s="5" t="str">
        <f>VLOOKUP(TabVMEnv[[#This Row],[EnvProjet]],TabEnvProjet[],3,FALSE)</f>
        <v>TMA</v>
      </c>
      <c r="AB118" s="5">
        <f>COUNTIF(TabVMEnv[VM],TabVMEnv[VM])</f>
        <v>3</v>
      </c>
    </row>
    <row r="119" spans="1:28" x14ac:dyDescent="0.25">
      <c r="A119" s="24" t="s">
        <v>46</v>
      </c>
      <c r="B119" t="s">
        <v>333</v>
      </c>
      <c r="C119" t="s">
        <v>47</v>
      </c>
      <c r="E119" s="13"/>
      <c r="F119">
        <f>IF(VLOOKUP(TabVMEnv[VM],TabOceanet[],16,FALSE) = "Tarif_VM",IF(VLOOKUP(TabVMEnv[VM],TabOceanet[],2,FALSE)&lt;4,4,VLOOKUP(TabVMEnv[VM],TabOceanet[],2,FALSE)),0)</f>
        <v>4</v>
      </c>
      <c r="G119">
        <v>0</v>
      </c>
      <c r="H119">
        <v>0</v>
      </c>
      <c r="I119">
        <v>0</v>
      </c>
      <c r="J119">
        <v>0</v>
      </c>
      <c r="K119">
        <f>IF(VLOOKUP(TabVMEnv[VM],TabOceanet[],16,FALSE) = "Tarif_VM",1,0)/TabVMEnv[[#This Row],[Mutualisé]]</f>
        <v>0.33333333333333331</v>
      </c>
      <c r="L119">
        <f>IF(VLOOKUP(TabVMEnv[VM],TabOceanet[],9,FALSE) = "PoweredOn",1,0)</f>
        <v>1</v>
      </c>
      <c r="M119">
        <f>TabVMEnv[[#This Row],[IsVMPoweredOn]]*VLOOKUP(TabVMEnv[VM],TabOceanet[],3,FALSE)/TabVMEnv[[#This Row],[Mutualisé]]</f>
        <v>0.33333333333333331</v>
      </c>
      <c r="N119">
        <f>VLOOKUP(TabVMEnv[VM],TabOceanet[],4,FALSE)/TabVMEnv[[#This Row],[Mutualisé]]</f>
        <v>7.333333333333333</v>
      </c>
      <c r="O119">
        <f>IF(LEFT(VLOOKUP(TabVMEnv[VM],TabOceanet[],5,FALSE),3)="win",1,0)</f>
        <v>0</v>
      </c>
      <c r="P119"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19" t="str">
        <f>VLOOKUP(TabVMEnv[EnvProjet],TabEnvProjet[],4,FALSE)</f>
        <v>MAE-PII-L2/334179-17</v>
      </c>
      <c r="R119" s="5" t="str">
        <f>VLOOKUP(TabVMEnv[[#This Row],[SYGES]],TabContrat[],2,FALSE)</f>
        <v>MINISTERE DE L'EUROPE ET DES AFFAIRES ETRANGERES</v>
      </c>
      <c r="S119" s="5" t="str">
        <f>IF(VLOOKUP(TabVMEnv[[#This Row],[VM]],TabOceanet[],1,FALSE) = "","Disparue","")</f>
        <v/>
      </c>
      <c r="T119" s="25">
        <f>VLOOKUP(TabVMEnv[[#This Row],[VM]],TabOceanet[],36,FALSE)/TabVMEnv[[#This Row],[Mutualisé]]</f>
        <v>2.2200000000000002</v>
      </c>
      <c r="U119" s="25">
        <f>IF(TabVMEnv[[#This Row],[CostCenter]]="CostCenterDI",0,TabVMEnv[[#This Row],[CoutGlobal]])</f>
        <v>2.2200000000000002</v>
      </c>
      <c r="V119" s="25">
        <f>TabVMEnv[[#This Row],[CoutGlobalSansCostCenterDI]]/TabVMEnv[[#Totals],[CoutGlobalSansCostCenterDI]]*(GlobalARepartirSansMS+GlobalARepartirMSOnly+GlobalARepartirInfraReseau)</f>
        <v>3.8749146374049115</v>
      </c>
      <c r="W119" s="25">
        <f>TabVMEnv[[#This Row],[CoutGlobalSansCostCenterDI]]+TabVMEnv[[#This Row],[CoutGlobalSupplementaire]]</f>
        <v>6.0949146374049121</v>
      </c>
      <c r="X119" s="5" t="str">
        <f>VLOOKUP(TabVMEnv[[#This Row],[EnvProjet]],TabEnvProjet[],2,FALSE) &amp; " - " &amp; IFERROR(VLOOKUP(TabVMEnv[[#This Row],[EnvProjet]],TabEnvProjet[],4,FALSE),"INCONNU") &amp; " - " &amp; IFERROR(VLOOKUP(TabVMEnv[[#This Row],[EnvProjet]],TabEnvProjet[],5,FALSE),"INCONNU")</f>
        <v>MEAE-Visa - MAE-PII-L2/334179-17 - Axel Benoist-Gironiere</v>
      </c>
      <c r="Y119" s="5" t="str">
        <f>VLOOKUP(TabVMEnv[EnvProjet],TabEnvProjet[],5,FALSE)</f>
        <v>Axel Benoist-Gironiere</v>
      </c>
      <c r="Z119" s="5">
        <f>VLOOKUP(TabVMEnv[EnvProjet],TabEnvProjet[],6,FALSE)</f>
        <v>341531</v>
      </c>
      <c r="AA119" s="5" t="str">
        <f>VLOOKUP(TabVMEnv[[#This Row],[EnvProjet]],TabEnvProjet[],3,FALSE)</f>
        <v>SOCLE</v>
      </c>
      <c r="AB119" s="5">
        <f>COUNTIF(TabVMEnv[VM],TabVMEnv[VM])</f>
        <v>3</v>
      </c>
    </row>
    <row r="120" spans="1:28" x14ac:dyDescent="0.25">
      <c r="A120" t="s">
        <v>233</v>
      </c>
      <c r="B120" t="s">
        <v>347</v>
      </c>
      <c r="D120">
        <v>0</v>
      </c>
      <c r="E120" s="13" t="s">
        <v>1197</v>
      </c>
      <c r="F120">
        <f>IF(VLOOKUP(TabVMEnv[VM],TabOceanet[],16,FALSE) = "Tarif_VM",IF(VLOOKUP(TabVMEnv[VM],TabOceanet[],2,FALSE)&lt;4,4,VLOOKUP(TabVMEnv[VM],TabOceanet[],2,FALSE)),0)</f>
        <v>4</v>
      </c>
      <c r="G120">
        <v>0</v>
      </c>
      <c r="H120">
        <v>0</v>
      </c>
      <c r="I120">
        <v>0</v>
      </c>
      <c r="J120">
        <v>0</v>
      </c>
      <c r="K120">
        <f>IF(VLOOKUP(TabVMEnv[VM],TabOceanet[],16,FALSE) = "Tarif_VM",1,0)/TabVMEnv[[#This Row],[Mutualisé]]</f>
        <v>1</v>
      </c>
      <c r="L120">
        <f>IF(VLOOKUP(TabVMEnv[VM],TabOceanet[],9,FALSE) = "PoweredOn",1,0)</f>
        <v>0</v>
      </c>
      <c r="M120">
        <f>TabVMEnv[[#This Row],[IsVMPoweredOn]]*VLOOKUP(TabVMEnv[VM],TabOceanet[],3,FALSE)/TabVMEnv[[#This Row],[Mutualisé]]</f>
        <v>0</v>
      </c>
      <c r="N120">
        <f>VLOOKUP(TabVMEnv[VM],TabOceanet[],4,FALSE)/TabVMEnv[[#This Row],[Mutualisé]]</f>
        <v>40</v>
      </c>
      <c r="O120">
        <f>IF(LEFT(VLOOKUP(TabVMEnv[VM],TabOceanet[],5,FALSE),3)="win",1,0)</f>
        <v>1</v>
      </c>
      <c r="P120"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20" t="str">
        <f>VLOOKUP(TabVMEnv[EnvProjet],TabEnvProjet[],4,FALSE)</f>
        <v>GFI Oceanet Infra Réseau</v>
      </c>
      <c r="R120" s="5" t="str">
        <f>VLOOKUP(TabVMEnv[[#This Row],[SYGES]],TabContrat[],2,FALSE)</f>
        <v>GFI</v>
      </c>
      <c r="S120" s="5" t="str">
        <f>IF(VLOOKUP(TabVMEnv[[#This Row],[VM]],TabOceanet[],1,FALSE) = "","Disparue","")</f>
        <v/>
      </c>
      <c r="T120" s="17">
        <f>VLOOKUP(TabVMEnv[[#This Row],[VM]],TabOceanet[],36,FALSE)/TabVMEnv[[#This Row],[Mutualisé]]</f>
        <v>9.2000000000000011</v>
      </c>
      <c r="U120" s="17">
        <f>IF(TabVMEnv[[#This Row],[CostCenter]]="CostCenterDI",0,TabVMEnv[[#This Row],[CoutGlobal]])</f>
        <v>0</v>
      </c>
      <c r="V120" s="17">
        <f>TabVMEnv[[#This Row],[CoutGlobalSansCostCenterDI]]/TabVMEnv[[#Totals],[CoutGlobalSansCostCenterDI]]*(GlobalARepartirSansMS+GlobalARepartirMSOnly+GlobalARepartirInfraReseau)</f>
        <v>0</v>
      </c>
      <c r="W120" s="17">
        <f>TabVMEnv[[#This Row],[CoutGlobalSansCostCenterDI]]+TabVMEnv[[#This Row],[CoutGlobalSupplementaire]]</f>
        <v>0</v>
      </c>
      <c r="X120" s="5" t="str">
        <f>VLOOKUP(TabVMEnv[[#This Row],[EnvProjet]],TabEnvProjet[],2,FALSE) &amp; " - " &amp; IFERROR(VLOOKUP(TabVMEnv[[#This Row],[EnvProjet]],TabEnvProjet[],4,FALSE),"INCONNU") &amp; " - " &amp; IFERROR(VLOOKUP(TabVMEnv[[#This Row],[EnvProjet]],TabEnvProjet[],5,FALSE),"INCONNU")</f>
        <v>GFI-Oceanet Gestion VM - GFI Oceanet Infra Réseau - Jérôme JACOB</v>
      </c>
      <c r="Y120" s="5" t="str">
        <f>VLOOKUP(TabVMEnv[EnvProjet],TabEnvProjet[],5,FALSE)</f>
        <v>Jérôme JACOB</v>
      </c>
      <c r="Z120" s="5" t="str">
        <f>VLOOKUP(TabVMEnv[EnvProjet],TabEnvProjet[],6,FALSE)</f>
        <v>CostCenterDI</v>
      </c>
      <c r="AA120" s="5" t="str">
        <f>VLOOKUP(TabVMEnv[[#This Row],[EnvProjet]],TabEnvProjet[],3,FALSE)</f>
        <v>PROD</v>
      </c>
      <c r="AB120" s="5">
        <f>COUNTIF(TabVMEnv[VM],TabVMEnv[VM])</f>
        <v>1</v>
      </c>
    </row>
    <row r="121" spans="1:28" x14ac:dyDescent="0.25">
      <c r="A121" t="s">
        <v>79</v>
      </c>
      <c r="B121" t="s">
        <v>295</v>
      </c>
      <c r="E121" s="13"/>
      <c r="F121">
        <f>IF(VLOOKUP(TabVMEnv[VM],TabOceanet[],16,FALSE) = "Tarif_VM",IF(VLOOKUP(TabVMEnv[VM],TabOceanet[],2,FALSE)&lt;4,4,VLOOKUP(TabVMEnv[VM],TabOceanet[],2,FALSE)),0)</f>
        <v>4</v>
      </c>
      <c r="G121">
        <v>0</v>
      </c>
      <c r="H121">
        <v>0</v>
      </c>
      <c r="I121">
        <v>0</v>
      </c>
      <c r="J121">
        <v>0</v>
      </c>
      <c r="K121">
        <f>IF(VLOOKUP(TabVMEnv[VM],TabOceanet[],16,FALSE) = "Tarif_VM",1,0)/TabVMEnv[[#This Row],[Mutualisé]]</f>
        <v>1</v>
      </c>
      <c r="L121">
        <f>IF(VLOOKUP(TabVMEnv[VM],TabOceanet[],9,FALSE) = "PoweredOn",1,0)</f>
        <v>1</v>
      </c>
      <c r="M121">
        <f>TabVMEnv[[#This Row],[IsVMPoweredOn]]*VLOOKUP(TabVMEnv[VM],TabOceanet[],3,FALSE)/TabVMEnv[[#This Row],[Mutualisé]]</f>
        <v>16</v>
      </c>
      <c r="N121">
        <f>VLOOKUP(TabVMEnv[VM],TabOceanet[],4,FALSE)/TabVMEnv[[#This Row],[Mutualisé]]</f>
        <v>127</v>
      </c>
      <c r="O121">
        <f>IF(LEFT(VLOOKUP(TabVMEnv[VM],TabOceanet[],5,FALSE),3)="win",1,0)</f>
        <v>0</v>
      </c>
      <c r="P121"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21" t="str">
        <f>VLOOKUP(TabVMEnv[EnvProjet],TabEnvProjet[],4,FALSE)</f>
        <v>Fablab-Firmin</v>
      </c>
      <c r="R121" s="5" t="str">
        <f>VLOOKUP(TabVMEnv[[#This Row],[SYGES]],TabContrat[],2,FALSE)</f>
        <v>Fablab</v>
      </c>
      <c r="S121" s="5" t="str">
        <f>IF(VLOOKUP(TabVMEnv[[#This Row],[VM]],TabOceanet[],1,FALSE) = "","Disparue","")</f>
        <v/>
      </c>
      <c r="T121" s="17">
        <f>VLOOKUP(TabVMEnv[[#This Row],[VM]],TabOceanet[],36,FALSE)/TabVMEnv[[#This Row],[Mutualisé]]</f>
        <v>54.81</v>
      </c>
      <c r="U121" s="17">
        <f>IF(TabVMEnv[[#This Row],[CostCenter]]="CostCenterDI",0,TabVMEnv[[#This Row],[CoutGlobal]])</f>
        <v>54.81</v>
      </c>
      <c r="V121" s="17">
        <f>TabVMEnv[[#This Row],[CoutGlobalSansCostCenterDI]]/TabVMEnv[[#Totals],[CoutGlobalSansCostCenterDI]]*(GlobalARepartirSansMS+GlobalARepartirMSOnly+GlobalARepartirInfraReseau)</f>
        <v>95.668500574848281</v>
      </c>
      <c r="W121" s="17">
        <f>TabVMEnv[[#This Row],[CoutGlobalSansCostCenterDI]]+TabVMEnv[[#This Row],[CoutGlobalSupplementaire]]</f>
        <v>150.47850057484828</v>
      </c>
      <c r="X121" s="5" t="str">
        <f>VLOOKUP(TabVMEnv[[#This Row],[EnvProjet]],TabEnvProjet[],2,FALSE) &amp; " - " &amp; IFERROR(VLOOKUP(TabVMEnv[[#This Row],[EnvProjet]],TabEnvProjet[],4,FALSE),"INCONNU") &amp; " - " &amp; IFERROR(VLOOKUP(TabVMEnv[[#This Row],[EnvProjet]],TabEnvProjet[],5,FALSE),"INCONNU")</f>
        <v>Fablab-Firmin - Fablab-Firmin - Pierre-Yves Baloche</v>
      </c>
      <c r="Y121" s="5" t="str">
        <f>VLOOKUP(TabVMEnv[EnvProjet],TabEnvProjet[],5,FALSE)</f>
        <v>Pierre-Yves Baloche</v>
      </c>
      <c r="Z121" s="5" t="str">
        <f>VLOOKUP(TabVMEnv[EnvProjet],TabEnvProjet[],6,FALSE)</f>
        <v>Fablab</v>
      </c>
      <c r="AA121" s="5" t="str">
        <f>VLOOKUP(TabVMEnv[[#This Row],[EnvProjet]],TabEnvProjet[],3,FALSE)</f>
        <v>SOCLE</v>
      </c>
      <c r="AB121" s="5">
        <f>COUNTIF(TabVMEnv[VM],TabVMEnv[VM])</f>
        <v>1</v>
      </c>
    </row>
    <row r="122" spans="1:28" x14ac:dyDescent="0.25">
      <c r="A122" t="s">
        <v>80</v>
      </c>
      <c r="B122" t="s">
        <v>295</v>
      </c>
      <c r="E122" s="13"/>
      <c r="F122">
        <f>IF(VLOOKUP(TabVMEnv[VM],TabOceanet[],16,FALSE) = "Tarif_VM",IF(VLOOKUP(TabVMEnv[VM],TabOceanet[],2,FALSE)&lt;4,4,VLOOKUP(TabVMEnv[VM],TabOceanet[],2,FALSE)),0)</f>
        <v>4</v>
      </c>
      <c r="G122">
        <v>0</v>
      </c>
      <c r="H122">
        <v>0</v>
      </c>
      <c r="I122">
        <v>0</v>
      </c>
      <c r="J122">
        <v>0</v>
      </c>
      <c r="K122">
        <f>IF(VLOOKUP(TabVMEnv[VM],TabOceanet[],16,FALSE) = "Tarif_VM",1,0)/TabVMEnv[[#This Row],[Mutualisé]]</f>
        <v>1</v>
      </c>
      <c r="L122">
        <f>IF(VLOOKUP(TabVMEnv[VM],TabOceanet[],9,FALSE) = "PoweredOn",1,0)</f>
        <v>1</v>
      </c>
      <c r="M122">
        <f>TabVMEnv[[#This Row],[IsVMPoweredOn]]*VLOOKUP(TabVMEnv[VM],TabOceanet[],3,FALSE)/TabVMEnv[[#This Row],[Mutualisé]]</f>
        <v>4</v>
      </c>
      <c r="N122">
        <f>VLOOKUP(TabVMEnv[VM],TabOceanet[],4,FALSE)/TabVMEnv[[#This Row],[Mutualisé]]</f>
        <v>27</v>
      </c>
      <c r="O122">
        <f>IF(LEFT(VLOOKUP(TabVMEnv[VM],TabOceanet[],5,FALSE),3)="win",1,0)</f>
        <v>0</v>
      </c>
      <c r="P122"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22" t="str">
        <f>VLOOKUP(TabVMEnv[EnvProjet],TabEnvProjet[],4,FALSE)</f>
        <v>Fablab-Firmin</v>
      </c>
      <c r="R122" s="5" t="str">
        <f>VLOOKUP(TabVMEnv[[#This Row],[SYGES]],TabContrat[],2,FALSE)</f>
        <v>Fablab</v>
      </c>
      <c r="S122" s="5" t="str">
        <f>IF(VLOOKUP(TabVMEnv[[#This Row],[VM]],TabOceanet[],1,FALSE) = "","Disparue","")</f>
        <v/>
      </c>
      <c r="T122" s="17">
        <f>VLOOKUP(TabVMEnv[[#This Row],[VM]],TabOceanet[],36,FALSE)/TabVMEnv[[#This Row],[Mutualisé]]</f>
        <v>12.61</v>
      </c>
      <c r="U122" s="17">
        <f>IF(TabVMEnv[[#This Row],[CostCenter]]="CostCenterDI",0,TabVMEnv[[#This Row],[CoutGlobal]])</f>
        <v>12.61</v>
      </c>
      <c r="V122" s="17">
        <f>TabVMEnv[[#This Row],[CoutGlobalSansCostCenterDI]]/TabVMEnv[[#Totals],[CoutGlobalSansCostCenterDI]]*(GlobalARepartirSansMS+GlobalARepartirMSOnly+GlobalARepartirInfraReseau)</f>
        <v>22.010213323277448</v>
      </c>
      <c r="W122" s="17">
        <f>TabVMEnv[[#This Row],[CoutGlobalSansCostCenterDI]]+TabVMEnv[[#This Row],[CoutGlobalSupplementaire]]</f>
        <v>34.620213323277447</v>
      </c>
      <c r="X122" s="5" t="str">
        <f>VLOOKUP(TabVMEnv[[#This Row],[EnvProjet]],TabEnvProjet[],2,FALSE) &amp; " - " &amp; IFERROR(VLOOKUP(TabVMEnv[[#This Row],[EnvProjet]],TabEnvProjet[],4,FALSE),"INCONNU") &amp; " - " &amp; IFERROR(VLOOKUP(TabVMEnv[[#This Row],[EnvProjet]],TabEnvProjet[],5,FALSE),"INCONNU")</f>
        <v>Fablab-Firmin - Fablab-Firmin - Pierre-Yves Baloche</v>
      </c>
      <c r="Y122" s="5" t="str">
        <f>VLOOKUP(TabVMEnv[EnvProjet],TabEnvProjet[],5,FALSE)</f>
        <v>Pierre-Yves Baloche</v>
      </c>
      <c r="Z122" s="5" t="str">
        <f>VLOOKUP(TabVMEnv[EnvProjet],TabEnvProjet[],6,FALSE)</f>
        <v>Fablab</v>
      </c>
      <c r="AA122" s="5" t="str">
        <f>VLOOKUP(TabVMEnv[[#This Row],[EnvProjet]],TabEnvProjet[],3,FALSE)</f>
        <v>SOCLE</v>
      </c>
      <c r="AB122" s="5">
        <f>COUNTIF(TabVMEnv[VM],TabVMEnv[VM])</f>
        <v>1</v>
      </c>
    </row>
    <row r="123" spans="1:28" x14ac:dyDescent="0.25">
      <c r="A123" t="s">
        <v>81</v>
      </c>
      <c r="B123" t="s">
        <v>295</v>
      </c>
      <c r="E123" s="13"/>
      <c r="F123">
        <f>IF(VLOOKUP(TabVMEnv[VM],TabOceanet[],16,FALSE) = "Tarif_VM",IF(VLOOKUP(TabVMEnv[VM],TabOceanet[],2,FALSE)&lt;4,4,VLOOKUP(TabVMEnv[VM],TabOceanet[],2,FALSE)),0)</f>
        <v>4</v>
      </c>
      <c r="G123">
        <v>0</v>
      </c>
      <c r="H123">
        <v>0</v>
      </c>
      <c r="I123">
        <v>0</v>
      </c>
      <c r="J123">
        <v>0</v>
      </c>
      <c r="K123">
        <f>IF(VLOOKUP(TabVMEnv[VM],TabOceanet[],16,FALSE) = "Tarif_VM",1,0)/TabVMEnv[[#This Row],[Mutualisé]]</f>
        <v>1</v>
      </c>
      <c r="L123">
        <f>IF(VLOOKUP(TabVMEnv[VM],TabOceanet[],9,FALSE) = "PoweredOn",1,0)</f>
        <v>1</v>
      </c>
      <c r="M123">
        <f>TabVMEnv[[#This Row],[IsVMPoweredOn]]*VLOOKUP(TabVMEnv[VM],TabOceanet[],3,FALSE)/TabVMEnv[[#This Row],[Mutualisé]]</f>
        <v>16</v>
      </c>
      <c r="N123">
        <f>VLOOKUP(TabVMEnv[VM],TabOceanet[],4,FALSE)/TabVMEnv[[#This Row],[Mutualisé]]</f>
        <v>47</v>
      </c>
      <c r="O123">
        <f>IF(LEFT(VLOOKUP(TabVMEnv[VM],TabOceanet[],5,FALSE),3)="win",1,0)</f>
        <v>0</v>
      </c>
      <c r="P123"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23" t="str">
        <f>VLOOKUP(TabVMEnv[EnvProjet],TabEnvProjet[],4,FALSE)</f>
        <v>Fablab-Firmin</v>
      </c>
      <c r="R123" s="5" t="str">
        <f>VLOOKUP(TabVMEnv[[#This Row],[SYGES]],TabContrat[],2,FALSE)</f>
        <v>Fablab</v>
      </c>
      <c r="S123" s="5" t="str">
        <f>IF(VLOOKUP(TabVMEnv[[#This Row],[VM]],TabOceanet[],1,FALSE) = "","Disparue","")</f>
        <v/>
      </c>
      <c r="T123" s="17">
        <f>VLOOKUP(TabVMEnv[[#This Row],[VM]],TabOceanet[],36,FALSE)/TabVMEnv[[#This Row],[Mutualisé]]</f>
        <v>36.410000000000004</v>
      </c>
      <c r="U123" s="17">
        <f>IF(TabVMEnv[[#This Row],[CostCenter]]="CostCenterDI",0,TabVMEnv[[#This Row],[CoutGlobal]])</f>
        <v>36.410000000000004</v>
      </c>
      <c r="V123" s="17">
        <f>TabVMEnv[[#This Row],[CoutGlobalSansCostCenterDI]]/TabVMEnv[[#Totals],[CoutGlobalSansCostCenterDI]]*(GlobalARepartirSansMS+GlobalARepartirMSOnly+GlobalARepartirInfraReseau)</f>
        <v>63.552090967528301</v>
      </c>
      <c r="W123" s="17">
        <f>TabVMEnv[[#This Row],[CoutGlobalSansCostCenterDI]]+TabVMEnv[[#This Row],[CoutGlobalSupplementaire]]</f>
        <v>99.962090967528297</v>
      </c>
      <c r="X123" s="5" t="str">
        <f>VLOOKUP(TabVMEnv[[#This Row],[EnvProjet]],TabEnvProjet[],2,FALSE) &amp; " - " &amp; IFERROR(VLOOKUP(TabVMEnv[[#This Row],[EnvProjet]],TabEnvProjet[],4,FALSE),"INCONNU") &amp; " - " &amp; IFERROR(VLOOKUP(TabVMEnv[[#This Row],[EnvProjet]],TabEnvProjet[],5,FALSE),"INCONNU")</f>
        <v>Fablab-Firmin - Fablab-Firmin - Pierre-Yves Baloche</v>
      </c>
      <c r="Y123" s="5" t="str">
        <f>VLOOKUP(TabVMEnv[EnvProjet],TabEnvProjet[],5,FALSE)</f>
        <v>Pierre-Yves Baloche</v>
      </c>
      <c r="Z123" s="5" t="str">
        <f>VLOOKUP(TabVMEnv[EnvProjet],TabEnvProjet[],6,FALSE)</f>
        <v>Fablab</v>
      </c>
      <c r="AA123" s="5" t="str">
        <f>VLOOKUP(TabVMEnv[[#This Row],[EnvProjet]],TabEnvProjet[],3,FALSE)</f>
        <v>SOCLE</v>
      </c>
      <c r="AB123" s="5">
        <f>COUNTIF(TabVMEnv[VM],TabVMEnv[VM])</f>
        <v>1</v>
      </c>
    </row>
    <row r="124" spans="1:28" x14ac:dyDescent="0.25">
      <c r="A124" t="s">
        <v>186</v>
      </c>
      <c r="B124" t="s">
        <v>351</v>
      </c>
      <c r="D124">
        <v>2</v>
      </c>
      <c r="E124" s="13" t="s">
        <v>1198</v>
      </c>
      <c r="F124">
        <f>IF(VLOOKUP(TabVMEnv[VM],TabOceanet[],16,FALSE) = "Tarif_VM",IF(VLOOKUP(TabVMEnv[VM],TabOceanet[],2,FALSE)&lt;4,4,VLOOKUP(TabVMEnv[VM],TabOceanet[],2,FALSE)),0)</f>
        <v>4</v>
      </c>
      <c r="G124">
        <v>0</v>
      </c>
      <c r="H124">
        <v>0</v>
      </c>
      <c r="I124">
        <v>0</v>
      </c>
      <c r="J124">
        <v>0</v>
      </c>
      <c r="K124">
        <f>IF(VLOOKUP(TabVMEnv[VM],TabOceanet[],16,FALSE) = "Tarif_VM",1,0)/TabVMEnv[[#This Row],[Mutualisé]]</f>
        <v>1</v>
      </c>
      <c r="L124">
        <f>IF(VLOOKUP(TabVMEnv[VM],TabOceanet[],9,FALSE) = "PoweredOn",1,0)</f>
        <v>1</v>
      </c>
      <c r="M124">
        <f>TabVMEnv[[#This Row],[IsVMPoweredOn]]*VLOOKUP(TabVMEnv[VM],TabOceanet[],3,FALSE)/TabVMEnv[[#This Row],[Mutualisé]]</f>
        <v>4</v>
      </c>
      <c r="N124">
        <f>VLOOKUP(TabVMEnv[VM],TabOceanet[],4,FALSE)/TabVMEnv[[#This Row],[Mutualisé]]</f>
        <v>6</v>
      </c>
      <c r="O124">
        <f>IF(LEFT(VLOOKUP(TabVMEnv[VM],TabOceanet[],5,FALSE),3)="win",1,0)</f>
        <v>0</v>
      </c>
      <c r="P124"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24" t="str">
        <f>VLOOKUP(TabVMEnv[EnvProjet],TabEnvProjet[],4,FALSE)</f>
        <v>GFI-Jetbrain serveur licence</v>
      </c>
      <c r="R124" s="5" t="str">
        <f>VLOOKUP(TabVMEnv[[#This Row],[SYGES]],TabContrat[],2,FALSE)</f>
        <v>GFI</v>
      </c>
      <c r="S124" s="5" t="str">
        <f>IF(VLOOKUP(TabVMEnv[[#This Row],[VM]],TabOceanet[],1,FALSE) = "","Disparue","")</f>
        <v/>
      </c>
      <c r="T124" s="25">
        <f>VLOOKUP(TabVMEnv[[#This Row],[VM]],TabOceanet[],36,FALSE)/TabVMEnv[[#This Row],[Mutualisé]]</f>
        <v>7.78</v>
      </c>
      <c r="U124" s="25">
        <f>IF(TabVMEnv[[#This Row],[CostCenter]]="CostCenterDI",0,TabVMEnv[[#This Row],[CoutGlobal]])</f>
        <v>7.78</v>
      </c>
      <c r="V124" s="25">
        <f>TabVMEnv[[#This Row],[CoutGlobalSansCostCenterDI]]/TabVMEnv[[#Totals],[CoutGlobalSansCostCenterDI]]*(GlobalARepartirSansMS+GlobalARepartirMSOnly+GlobalARepartirInfraReseau)</f>
        <v>13.579655801355949</v>
      </c>
      <c r="W124" s="25">
        <f>TabVMEnv[[#This Row],[CoutGlobalSansCostCenterDI]]+TabVMEnv[[#This Row],[CoutGlobalSupplementaire]]</f>
        <v>21.359655801355949</v>
      </c>
      <c r="X124" s="5" t="str">
        <f>VLOOKUP(TabVMEnv[[#This Row],[EnvProjet]],TabEnvProjet[],2,FALSE) &amp; " - " &amp; IFERROR(VLOOKUP(TabVMEnv[[#This Row],[EnvProjet]],TabEnvProjet[],4,FALSE),"INCONNU") &amp; " - " &amp; IFERROR(VLOOKUP(TabVMEnv[[#This Row],[EnvProjet]],TabEnvProjet[],5,FALSE),"INCONNU")</f>
        <v>GFI-Jetbrain serveur licence - GFI-Jetbrain serveur licence - Jérôme JACOB</v>
      </c>
      <c r="Y124" s="5" t="str">
        <f>VLOOKUP(TabVMEnv[EnvProjet],TabEnvProjet[],5,FALSE)</f>
        <v>Jérôme JACOB</v>
      </c>
      <c r="Z124" s="5">
        <f>VLOOKUP(TabVMEnv[EnvProjet],TabEnvProjet[],6,FALSE)</f>
        <v>341531</v>
      </c>
      <c r="AA124" s="5" t="str">
        <f>VLOOKUP(TabVMEnv[[#This Row],[EnvProjet]],TabEnvProjet[],3,FALSE)</f>
        <v>PROD</v>
      </c>
      <c r="AB124" s="5">
        <f>COUNTIF(TabVMEnv[VM],TabVMEnv[VM])</f>
        <v>1</v>
      </c>
    </row>
    <row r="125" spans="1:28" x14ac:dyDescent="0.25">
      <c r="A125" s="24" t="s">
        <v>72</v>
      </c>
      <c r="B125" t="s">
        <v>352</v>
      </c>
      <c r="E125" s="13"/>
      <c r="F125">
        <f>IF(VLOOKUP(TabVMEnv[VM],TabOceanet[],16,FALSE) = "Tarif_VM",IF(VLOOKUP(TabVMEnv[VM],TabOceanet[],2,FALSE)&lt;4,4,VLOOKUP(TabVMEnv[VM],TabOceanet[],2,FALSE)),0)</f>
        <v>4</v>
      </c>
      <c r="G125">
        <v>0</v>
      </c>
      <c r="H125">
        <v>0</v>
      </c>
      <c r="I125">
        <v>0</v>
      </c>
      <c r="J125">
        <v>0</v>
      </c>
      <c r="K125">
        <f>IF(VLOOKUP(TabVMEnv[VM],TabOceanet[],16,FALSE) = "Tarif_VM",1,0)/TabVMEnv[[#This Row],[Mutualisé]]</f>
        <v>0.5</v>
      </c>
      <c r="L125">
        <f>IF(VLOOKUP(TabVMEnv[VM],TabOceanet[],9,FALSE) = "PoweredOn",1,0)</f>
        <v>1</v>
      </c>
      <c r="M125">
        <f>TabVMEnv[[#This Row],[IsVMPoweredOn]]*VLOOKUP(TabVMEnv[VM],TabOceanet[],3,FALSE)/TabVMEnv[[#This Row],[Mutualisé]]</f>
        <v>0.5</v>
      </c>
      <c r="N125">
        <f>VLOOKUP(TabVMEnv[VM],TabOceanet[],4,FALSE)/TabVMEnv[[#This Row],[Mutualisé]]</f>
        <v>9.5</v>
      </c>
      <c r="O125">
        <f>IF(LEFT(VLOOKUP(TabVMEnv[VM],TabOceanet[],5,FALSE),3)="win",1,0)</f>
        <v>0</v>
      </c>
      <c r="P125"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25" t="str">
        <f>VLOOKUP(TabVMEnv[EnvProjet],TabEnvProjet[],4,FALSE)</f>
        <v>GFI Oceanet Infra Réseau</v>
      </c>
      <c r="R125" s="5" t="str">
        <f>VLOOKUP(TabVMEnv[[#This Row],[SYGES]],TabContrat[],2,FALSE)</f>
        <v>GFI</v>
      </c>
      <c r="S125" s="5" t="str">
        <f>IF(VLOOKUP(TabVMEnv[[#This Row],[VM]],TabOceanet[],1,FALSE) = "","Disparue","")</f>
        <v/>
      </c>
      <c r="T125" s="25">
        <f>VLOOKUP(TabVMEnv[[#This Row],[VM]],TabOceanet[],36,FALSE)/TabVMEnv[[#This Row],[Mutualisé]]</f>
        <v>2.9850000000000003</v>
      </c>
      <c r="U125" s="25">
        <f>IF(TabVMEnv[[#This Row],[CostCenter]]="CostCenterDI",0,TabVMEnv[[#This Row],[CoutGlobal]])</f>
        <v>0</v>
      </c>
      <c r="V125" s="25">
        <f>TabVMEnv[[#This Row],[CoutGlobalSansCostCenterDI]]/TabVMEnv[[#Totals],[CoutGlobalSansCostCenterDI]]*(GlobalARepartirSansMS+GlobalARepartirMSOnly+GlobalARepartirInfraReseau)</f>
        <v>0</v>
      </c>
      <c r="W125" s="25">
        <f>TabVMEnv[[#This Row],[CoutGlobalSansCostCenterDI]]+TabVMEnv[[#This Row],[CoutGlobalSupplementaire]]</f>
        <v>0</v>
      </c>
      <c r="X125" s="5" t="str">
        <f>VLOOKUP(TabVMEnv[[#This Row],[EnvProjet]],TabEnvProjet[],2,FALSE) &amp; " - " &amp; IFERROR(VLOOKUP(TabVMEnv[[#This Row],[EnvProjet]],TabEnvProjet[],4,FALSE),"INCONNU") &amp; " - " &amp; IFERROR(VLOOKUP(TabVMEnv[[#This Row],[EnvProjet]],TabEnvProjet[],5,FALSE),"INCONNU")</f>
        <v>GFI-Oceanet Gestion VM - GFI Oceanet Infra Réseau - Jérôme JACOB</v>
      </c>
      <c r="Y125" s="5" t="str">
        <f>VLOOKUP(TabVMEnv[EnvProjet],TabEnvProjet[],5,FALSE)</f>
        <v>Jérôme JACOB</v>
      </c>
      <c r="Z125" s="5" t="str">
        <f>VLOOKUP(TabVMEnv[EnvProjet],TabEnvProjet[],6,FALSE)</f>
        <v>CostCenterDI</v>
      </c>
      <c r="AA125" s="5" t="str">
        <f>VLOOKUP(TabVMEnv[[#This Row],[EnvProjet]],TabEnvProjet[],3,FALSE)</f>
        <v>QUAL_RUN</v>
      </c>
      <c r="AB125" s="5">
        <f>COUNTIF(TabVMEnv[VM],TabVMEnv[VM])</f>
        <v>2</v>
      </c>
    </row>
    <row r="126" spans="1:28" x14ac:dyDescent="0.25">
      <c r="A126" s="24" t="s">
        <v>72</v>
      </c>
      <c r="B126" t="s">
        <v>348</v>
      </c>
      <c r="D126">
        <v>0.5</v>
      </c>
      <c r="E126" s="13" t="s">
        <v>1200</v>
      </c>
      <c r="F126">
        <f>IF(VLOOKUP(TabVMEnv[VM],TabOceanet[],16,FALSE) = "Tarif_VM",IF(VLOOKUP(TabVMEnv[VM],TabOceanet[],2,FALSE)&lt;4,4,VLOOKUP(TabVMEnv[VM],TabOceanet[],2,FALSE)),0)</f>
        <v>4</v>
      </c>
      <c r="G126">
        <v>0</v>
      </c>
      <c r="H126">
        <v>0</v>
      </c>
      <c r="I126">
        <v>0</v>
      </c>
      <c r="J126">
        <v>0</v>
      </c>
      <c r="K126">
        <f>IF(VLOOKUP(TabVMEnv[VM],TabOceanet[],16,FALSE) = "Tarif_VM",1,0)/TabVMEnv[[#This Row],[Mutualisé]]</f>
        <v>0.5</v>
      </c>
      <c r="L126">
        <f>IF(VLOOKUP(TabVMEnv[VM],TabOceanet[],9,FALSE) = "PoweredOn",1,0)</f>
        <v>1</v>
      </c>
      <c r="M126">
        <f>TabVMEnv[[#This Row],[IsVMPoweredOn]]*VLOOKUP(TabVMEnv[VM],TabOceanet[],3,FALSE)/TabVMEnv[[#This Row],[Mutualisé]]</f>
        <v>0.5</v>
      </c>
      <c r="N126">
        <f>VLOOKUP(TabVMEnv[VM],TabOceanet[],4,FALSE)/TabVMEnv[[#This Row],[Mutualisé]]</f>
        <v>9.5</v>
      </c>
      <c r="O126">
        <f>IF(LEFT(VLOOKUP(TabVMEnv[VM],TabOceanet[],5,FALSE),3)="win",1,0)</f>
        <v>0</v>
      </c>
      <c r="P126"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26" t="str">
        <f>VLOOKUP(TabVMEnv[EnvProjet],TabEnvProjet[],4,FALSE)</f>
        <v>VIVESC-TAU/S240776A</v>
      </c>
      <c r="R126" s="5" t="str">
        <f>VLOOKUP(TabVMEnv[[#This Row],[SYGES]],TabContrat[],2,FALSE)</f>
        <v>CAT'HELIUM VIVESCO</v>
      </c>
      <c r="S126" s="5" t="str">
        <f>IF(VLOOKUP(TabVMEnv[[#This Row],[VM]],TabOceanet[],1,FALSE) = "","Disparue","")</f>
        <v/>
      </c>
      <c r="T126" s="17">
        <f>VLOOKUP(TabVMEnv[[#This Row],[VM]],TabOceanet[],36,FALSE)/TabVMEnv[[#This Row],[Mutualisé]]</f>
        <v>2.9850000000000003</v>
      </c>
      <c r="U126" s="17">
        <f>IF(TabVMEnv[[#This Row],[CostCenter]]="CostCenterDI",0,TabVMEnv[[#This Row],[CoutGlobal]])</f>
        <v>2.9850000000000003</v>
      </c>
      <c r="V126" s="17">
        <f>TabVMEnv[[#This Row],[CoutGlobalSansCostCenterDI]]/TabVMEnv[[#Totals],[CoutGlobalSansCostCenterDI]]*(GlobalARepartirSansMS+GlobalARepartirMSOnly+GlobalARepartirInfraReseau)</f>
        <v>5.2101892759701176</v>
      </c>
      <c r="W126" s="17">
        <f>TabVMEnv[[#This Row],[CoutGlobalSansCostCenterDI]]+TabVMEnv[[#This Row],[CoutGlobalSupplementaire]]</f>
        <v>8.1951892759701188</v>
      </c>
      <c r="X126" s="5" t="str">
        <f>VLOOKUP(TabVMEnv[[#This Row],[EnvProjet]],TabEnvProjet[],2,FALSE) &amp; " - " &amp; IFERROR(VLOOKUP(TabVMEnv[[#This Row],[EnvProjet]],TabEnvProjet[],4,FALSE),"INCONNU") &amp; " - " &amp; IFERROR(VLOOKUP(TabVMEnv[[#This Row],[EnvProjet]],TabEnvProjet[],5,FALSE),"INCONNU")</f>
        <v>Vivesco-Vives-taux - VIVESC-TAU/S240776A - Pierre Maurupt</v>
      </c>
      <c r="Y126" s="5" t="str">
        <f>VLOOKUP(TabVMEnv[EnvProjet],TabEnvProjet[],5,FALSE)</f>
        <v>Pierre Maurupt</v>
      </c>
      <c r="Z126" s="5">
        <f>VLOOKUP(TabVMEnv[EnvProjet],TabEnvProjet[],6,FALSE)</f>
        <v>341530</v>
      </c>
      <c r="AA126" s="5" t="str">
        <f>VLOOKUP(TabVMEnv[[#This Row],[EnvProjet]],TabEnvProjet[],3,FALSE)</f>
        <v>QUAL</v>
      </c>
      <c r="AB126" s="5">
        <f>COUNTIF(TabVMEnv[VM],TabVMEnv[VM])</f>
        <v>2</v>
      </c>
    </row>
    <row r="127" spans="1:28" x14ac:dyDescent="0.25">
      <c r="A127" t="s">
        <v>234</v>
      </c>
      <c r="B127" t="s">
        <v>353</v>
      </c>
      <c r="D127">
        <v>2</v>
      </c>
      <c r="E127" s="13" t="s">
        <v>1198</v>
      </c>
      <c r="F127">
        <f>IF(VLOOKUP(TabVMEnv[VM],TabOceanet[],16,FALSE) = "Tarif_VM",IF(VLOOKUP(TabVMEnv[VM],TabOceanet[],2,FALSE)&lt;4,4,VLOOKUP(TabVMEnv[VM],TabOceanet[],2,FALSE)),0)</f>
        <v>4</v>
      </c>
      <c r="G127">
        <v>0</v>
      </c>
      <c r="H127">
        <v>0</v>
      </c>
      <c r="I127">
        <v>0</v>
      </c>
      <c r="J127">
        <v>0</v>
      </c>
      <c r="K127">
        <f>IF(VLOOKUP(TabVMEnv[VM],TabOceanet[],16,FALSE) = "Tarif_VM",1,0)/TabVMEnv[[#This Row],[Mutualisé]]</f>
        <v>1</v>
      </c>
      <c r="L127">
        <f>IF(VLOOKUP(TabVMEnv[VM],TabOceanet[],9,FALSE) = "PoweredOn",1,0)</f>
        <v>1</v>
      </c>
      <c r="M127">
        <f>TabVMEnv[[#This Row],[IsVMPoweredOn]]*VLOOKUP(TabVMEnv[VM],TabOceanet[],3,FALSE)/TabVMEnv[[#This Row],[Mutualisé]]</f>
        <v>2</v>
      </c>
      <c r="N127">
        <f>VLOOKUP(TabVMEnv[VM],TabOceanet[],4,FALSE)/TabVMEnv[[#This Row],[Mutualisé]]</f>
        <v>14</v>
      </c>
      <c r="O127">
        <f>IF(LEFT(VLOOKUP(TabVMEnv[VM],TabOceanet[],5,FALSE),3)="win",1,0)</f>
        <v>0</v>
      </c>
      <c r="P127"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27" t="str">
        <f>VLOOKUP(TabVMEnv[EnvProjet],TabEnvProjet[],4,FALSE)</f>
        <v>SILICONE - 1530-2018 - 0 - 1 - Tache 1 – MarcoPolo</v>
      </c>
      <c r="R127" s="5" t="str">
        <f>VLOOKUP(TabVMEnv[[#This Row],[SYGES]],TabContrat[],2,FALSE)</f>
        <v>GFI</v>
      </c>
      <c r="S127" s="5" t="str">
        <f>IF(VLOOKUP(TabVMEnv[[#This Row],[VM]],TabOceanet[],1,FALSE) = "","Disparue","")</f>
        <v/>
      </c>
      <c r="T127" s="17">
        <f>VLOOKUP(TabVMEnv[[#This Row],[VM]],TabOceanet[],36,FALSE)/TabVMEnv[[#This Row],[Mutualisé]]</f>
        <v>6.42</v>
      </c>
      <c r="U127" s="17">
        <f>IF(TabVMEnv[[#This Row],[CostCenter]]="CostCenterDI",0,TabVMEnv[[#This Row],[CoutGlobal]])</f>
        <v>6.42</v>
      </c>
      <c r="V127" s="17">
        <f>TabVMEnv[[#This Row],[CoutGlobalSansCostCenterDI]]/TabVMEnv[[#Totals],[CoutGlobalSansCostCenterDI]]*(GlobalARepartirSansMS+GlobalARepartirMSOnly+GlobalARepartirInfraReseau)</f>
        <v>11.205834221684471</v>
      </c>
      <c r="W127" s="17">
        <f>TabVMEnv[[#This Row],[CoutGlobalSansCostCenterDI]]+TabVMEnv[[#This Row],[CoutGlobalSupplementaire]]</f>
        <v>17.625834221684471</v>
      </c>
      <c r="X127" s="5" t="str">
        <f>VLOOKUP(TabVMEnv[[#This Row],[EnvProjet]],TabEnvProjet[],2,FALSE) &amp; " - " &amp; IFERROR(VLOOKUP(TabVMEnv[[#This Row],[EnvProjet]],TabEnvProjet[],4,FALSE),"INCONNU") &amp; " - " &amp; IFERROR(VLOOKUP(TabVMEnv[[#This Row],[EnvProjet]],TabEnvProjet[],5,FALSE),"INCONNU")</f>
        <v>GFI-MARCO POLO - SILICONE - 1530-2018 - 0 - 1 - Tache 1 – MarcoPolo - Philippe De Guio</v>
      </c>
      <c r="Y127" s="5" t="str">
        <f>VLOOKUP(TabVMEnv[EnvProjet],TabEnvProjet[],5,FALSE)</f>
        <v>Philippe De Guio</v>
      </c>
      <c r="Z127" s="5">
        <f>VLOOKUP(TabVMEnv[EnvProjet],TabEnvProjet[],6,FALSE)</f>
        <v>341531</v>
      </c>
      <c r="AA127" s="5" t="str">
        <f>VLOOKUP(TabVMEnv[[#This Row],[EnvProjet]],TabEnvProjet[],3,FALSE)</f>
        <v>DEV_BUILD</v>
      </c>
      <c r="AB127" s="5">
        <f>COUNTIF(TabVMEnv[VM],TabVMEnv[VM])</f>
        <v>1</v>
      </c>
    </row>
    <row r="128" spans="1:28" x14ac:dyDescent="0.25">
      <c r="A128" t="s">
        <v>73</v>
      </c>
      <c r="B128" t="s">
        <v>348</v>
      </c>
      <c r="D128">
        <v>2</v>
      </c>
      <c r="E128" s="13" t="s">
        <v>1198</v>
      </c>
      <c r="F128">
        <f>IF(VLOOKUP(TabVMEnv[VM],TabOceanet[],16,FALSE) = "Tarif_VM",IF(VLOOKUP(TabVMEnv[VM],TabOceanet[],2,FALSE)&lt;4,4,VLOOKUP(TabVMEnv[VM],TabOceanet[],2,FALSE)),0)</f>
        <v>4</v>
      </c>
      <c r="G128">
        <v>0</v>
      </c>
      <c r="H128">
        <v>0</v>
      </c>
      <c r="I128">
        <v>0</v>
      </c>
      <c r="J128">
        <v>0</v>
      </c>
      <c r="K128">
        <f>IF(VLOOKUP(TabVMEnv[VM],TabOceanet[],16,FALSE) = "Tarif_VM",1,0)/TabVMEnv[[#This Row],[Mutualisé]]</f>
        <v>1</v>
      </c>
      <c r="L128">
        <f>IF(VLOOKUP(TabVMEnv[VM],TabOceanet[],9,FALSE) = "PoweredOn",1,0)</f>
        <v>1</v>
      </c>
      <c r="M128">
        <f>TabVMEnv[[#This Row],[IsVMPoweredOn]]*VLOOKUP(TabVMEnv[VM],TabOceanet[],3,FALSE)/TabVMEnv[[#This Row],[Mutualisé]]</f>
        <v>1</v>
      </c>
      <c r="N128">
        <f>VLOOKUP(TabVMEnv[VM],TabOceanet[],4,FALSE)/TabVMEnv[[#This Row],[Mutualisé]]</f>
        <v>4</v>
      </c>
      <c r="O128">
        <f>IF(LEFT(VLOOKUP(TabVMEnv[VM],TabOceanet[],5,FALSE),3)="win",1,0)</f>
        <v>0</v>
      </c>
      <c r="P128"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28" t="str">
        <f>VLOOKUP(TabVMEnv[EnvProjet],TabEnvProjet[],4,FALSE)</f>
        <v>VIVESC-TAU/S240776A</v>
      </c>
      <c r="R128" s="5" t="str">
        <f>VLOOKUP(TabVMEnv[[#This Row],[SYGES]],TabContrat[],2,FALSE)</f>
        <v>CAT'HELIUM VIVESCO</v>
      </c>
      <c r="S128" s="5" t="str">
        <f>IF(VLOOKUP(TabVMEnv[[#This Row],[VM]],TabOceanet[],1,FALSE) = "","Disparue","")</f>
        <v/>
      </c>
      <c r="T128" s="17">
        <f>VLOOKUP(TabVMEnv[[#This Row],[VM]],TabOceanet[],36,FALSE)/TabVMEnv[[#This Row],[Mutualisé]]</f>
        <v>2.52</v>
      </c>
      <c r="U128" s="17">
        <f>IF(TabVMEnv[[#This Row],[CostCenter]]="CostCenterDI",0,TabVMEnv[[#This Row],[CoutGlobal]])</f>
        <v>2.52</v>
      </c>
      <c r="V128" s="17">
        <f>TabVMEnv[[#This Row],[CoutGlobalSansCostCenterDI]]/TabVMEnv[[#Totals],[CoutGlobalSansCostCenterDI]]*(GlobalARepartirSansMS+GlobalARepartirMSOnly+GlobalARepartirInfraReseau)</f>
        <v>4.3985517505677372</v>
      </c>
      <c r="W128" s="17">
        <f>TabVMEnv[[#This Row],[CoutGlobalSansCostCenterDI]]+TabVMEnv[[#This Row],[CoutGlobalSupplementaire]]</f>
        <v>6.9185517505677367</v>
      </c>
      <c r="X128" s="5" t="str">
        <f>VLOOKUP(TabVMEnv[[#This Row],[EnvProjet]],TabEnvProjet[],2,FALSE) &amp; " - " &amp; IFERROR(VLOOKUP(TabVMEnv[[#This Row],[EnvProjet]],TabEnvProjet[],4,FALSE),"INCONNU") &amp; " - " &amp; IFERROR(VLOOKUP(TabVMEnv[[#This Row],[EnvProjet]],TabEnvProjet[],5,FALSE),"INCONNU")</f>
        <v>Vivesco-Vives-taux - VIVESC-TAU/S240776A - Pierre Maurupt</v>
      </c>
      <c r="Y128" s="5" t="str">
        <f>VLOOKUP(TabVMEnv[EnvProjet],TabEnvProjet[],5,FALSE)</f>
        <v>Pierre Maurupt</v>
      </c>
      <c r="Z128" s="5">
        <f>VLOOKUP(TabVMEnv[EnvProjet],TabEnvProjet[],6,FALSE)</f>
        <v>341530</v>
      </c>
      <c r="AA128" s="5" t="str">
        <f>VLOOKUP(TabVMEnv[[#This Row],[EnvProjet]],TabEnvProjet[],3,FALSE)</f>
        <v>QUAL</v>
      </c>
      <c r="AB128" s="5">
        <f>COUNTIF(TabVMEnv[VM],TabVMEnv[VM])</f>
        <v>1</v>
      </c>
    </row>
    <row r="129" spans="1:28" x14ac:dyDescent="0.25">
      <c r="A129" t="s">
        <v>231</v>
      </c>
      <c r="B129" t="s">
        <v>352</v>
      </c>
      <c r="D129">
        <v>2</v>
      </c>
      <c r="E129" s="13" t="s">
        <v>1198</v>
      </c>
      <c r="F129">
        <f>IF(VLOOKUP(TabVMEnv[VM],TabOceanet[],16,FALSE) = "Tarif_VM",IF(VLOOKUP(TabVMEnv[VM],TabOceanet[],2,FALSE)&lt;4,4,VLOOKUP(TabVMEnv[VM],TabOceanet[],2,FALSE)),0)</f>
        <v>4</v>
      </c>
      <c r="G129">
        <v>0</v>
      </c>
      <c r="H129">
        <v>0</v>
      </c>
      <c r="I129">
        <v>0</v>
      </c>
      <c r="J129">
        <v>0</v>
      </c>
      <c r="K129">
        <f>IF(VLOOKUP(TabVMEnv[VM],TabOceanet[],16,FALSE) = "Tarif_VM",1,0)/TabVMEnv[[#This Row],[Mutualisé]]</f>
        <v>1</v>
      </c>
      <c r="L129">
        <f>IF(VLOOKUP(TabVMEnv[VM],TabOceanet[],9,FALSE) = "PoweredOn",1,0)</f>
        <v>0</v>
      </c>
      <c r="M129">
        <f>TabVMEnv[[#This Row],[IsVMPoweredOn]]*VLOOKUP(TabVMEnv[VM],TabOceanet[],3,FALSE)/TabVMEnv[[#This Row],[Mutualisé]]</f>
        <v>0</v>
      </c>
      <c r="N129">
        <f>VLOOKUP(TabVMEnv[VM],TabOceanet[],4,FALSE)/TabVMEnv[[#This Row],[Mutualisé]]</f>
        <v>4</v>
      </c>
      <c r="O129">
        <f>IF(LEFT(VLOOKUP(TabVMEnv[VM],TabOceanet[],5,FALSE),3)="win",1,0)</f>
        <v>0</v>
      </c>
      <c r="P129"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29" t="str">
        <f>VLOOKUP(TabVMEnv[EnvProjet],TabEnvProjet[],4,FALSE)</f>
        <v>GFI Oceanet Infra Réseau</v>
      </c>
      <c r="R129" s="5" t="str">
        <f>VLOOKUP(TabVMEnv[[#This Row],[SYGES]],TabContrat[],2,FALSE)</f>
        <v>GFI</v>
      </c>
      <c r="S129" s="5" t="str">
        <f>IF(VLOOKUP(TabVMEnv[[#This Row],[VM]],TabOceanet[],1,FALSE) = "","Disparue","")</f>
        <v/>
      </c>
      <c r="T129" s="17">
        <f>VLOOKUP(TabVMEnv[[#This Row],[VM]],TabOceanet[],36,FALSE)/TabVMEnv[[#This Row],[Mutualisé]]</f>
        <v>0.92</v>
      </c>
      <c r="U129" s="17">
        <f>IF(TabVMEnv[[#This Row],[CostCenter]]="CostCenterDI",0,TabVMEnv[[#This Row],[CoutGlobal]])</f>
        <v>0</v>
      </c>
      <c r="V129" s="17">
        <f>TabVMEnv[[#This Row],[CoutGlobalSansCostCenterDI]]/TabVMEnv[[#Totals],[CoutGlobalSansCostCenterDI]]*(GlobalARepartirSansMS+GlobalARepartirMSOnly+GlobalARepartirInfraReseau)</f>
        <v>0</v>
      </c>
      <c r="W129" s="17">
        <f>TabVMEnv[[#This Row],[CoutGlobalSansCostCenterDI]]+TabVMEnv[[#This Row],[CoutGlobalSupplementaire]]</f>
        <v>0</v>
      </c>
      <c r="X129" s="5" t="str">
        <f>VLOOKUP(TabVMEnv[[#This Row],[EnvProjet]],TabEnvProjet[],2,FALSE) &amp; " - " &amp; IFERROR(VLOOKUP(TabVMEnv[[#This Row],[EnvProjet]],TabEnvProjet[],4,FALSE),"INCONNU") &amp; " - " &amp; IFERROR(VLOOKUP(TabVMEnv[[#This Row],[EnvProjet]],TabEnvProjet[],5,FALSE),"INCONNU")</f>
        <v>GFI-Oceanet Gestion VM - GFI Oceanet Infra Réseau - Jérôme JACOB</v>
      </c>
      <c r="Y129" s="5" t="str">
        <f>VLOOKUP(TabVMEnv[EnvProjet],TabEnvProjet[],5,FALSE)</f>
        <v>Jérôme JACOB</v>
      </c>
      <c r="Z129" s="5" t="str">
        <f>VLOOKUP(TabVMEnv[EnvProjet],TabEnvProjet[],6,FALSE)</f>
        <v>CostCenterDI</v>
      </c>
      <c r="AA129" s="5" t="str">
        <f>VLOOKUP(TabVMEnv[[#This Row],[EnvProjet]],TabEnvProjet[],3,FALSE)</f>
        <v>QUAL_RUN</v>
      </c>
      <c r="AB129" s="5">
        <f>COUNTIF(TabVMEnv[VM],TabVMEnv[VM])</f>
        <v>1</v>
      </c>
    </row>
    <row r="130" spans="1:28" x14ac:dyDescent="0.25">
      <c r="A130" t="s">
        <v>235</v>
      </c>
      <c r="B130" t="s">
        <v>353</v>
      </c>
      <c r="D130">
        <v>2</v>
      </c>
      <c r="E130" s="13" t="s">
        <v>1198</v>
      </c>
      <c r="F130">
        <f>IF(VLOOKUP(TabVMEnv[VM],TabOceanet[],16,FALSE) = "Tarif_VM",IF(VLOOKUP(TabVMEnv[VM],TabOceanet[],2,FALSE)&lt;4,4,VLOOKUP(TabVMEnv[VM],TabOceanet[],2,FALSE)),0)</f>
        <v>4</v>
      </c>
      <c r="G130">
        <v>0</v>
      </c>
      <c r="H130">
        <v>0</v>
      </c>
      <c r="I130">
        <v>0</v>
      </c>
      <c r="J130">
        <v>0</v>
      </c>
      <c r="K130">
        <f>IF(VLOOKUP(TabVMEnv[VM],TabOceanet[],16,FALSE) = "Tarif_VM",1,0)/TabVMEnv[[#This Row],[Mutualisé]]</f>
        <v>1</v>
      </c>
      <c r="L130">
        <f>IF(VLOOKUP(TabVMEnv[VM],TabOceanet[],9,FALSE) = "PoweredOn",1,0)</f>
        <v>1</v>
      </c>
      <c r="M130">
        <f>TabVMEnv[[#This Row],[IsVMPoweredOn]]*VLOOKUP(TabVMEnv[VM],TabOceanet[],3,FALSE)/TabVMEnv[[#This Row],[Mutualisé]]</f>
        <v>2</v>
      </c>
      <c r="N130">
        <f>VLOOKUP(TabVMEnv[VM],TabOceanet[],4,FALSE)/TabVMEnv[[#This Row],[Mutualisé]]</f>
        <v>14</v>
      </c>
      <c r="O130">
        <f>IF(LEFT(VLOOKUP(TabVMEnv[VM],TabOceanet[],5,FALSE),3)="win",1,0)</f>
        <v>0</v>
      </c>
      <c r="P130"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30" t="str">
        <f>VLOOKUP(TabVMEnv[EnvProjet],TabEnvProjet[],4,FALSE)</f>
        <v>SILICONE - 1530-2018 - 0 - 1 - Tache 1 – MarcoPolo</v>
      </c>
      <c r="R130" s="5" t="str">
        <f>VLOOKUP(TabVMEnv[[#This Row],[SYGES]],TabContrat[],2,FALSE)</f>
        <v>GFI</v>
      </c>
      <c r="S130" s="5" t="str">
        <f>IF(VLOOKUP(TabVMEnv[[#This Row],[VM]],TabOceanet[],1,FALSE) = "","Disparue","")</f>
        <v/>
      </c>
      <c r="T130" s="17">
        <f>VLOOKUP(TabVMEnv[[#This Row],[VM]],TabOceanet[],36,FALSE)/TabVMEnv[[#This Row],[Mutualisé]]</f>
        <v>6.42</v>
      </c>
      <c r="U130" s="17">
        <f>IF(TabVMEnv[[#This Row],[CostCenter]]="CostCenterDI",0,TabVMEnv[[#This Row],[CoutGlobal]])</f>
        <v>6.42</v>
      </c>
      <c r="V130" s="17">
        <f>TabVMEnv[[#This Row],[CoutGlobalSansCostCenterDI]]/TabVMEnv[[#Totals],[CoutGlobalSansCostCenterDI]]*(GlobalARepartirSansMS+GlobalARepartirMSOnly+GlobalARepartirInfraReseau)</f>
        <v>11.205834221684471</v>
      </c>
      <c r="W130" s="17">
        <f>TabVMEnv[[#This Row],[CoutGlobalSansCostCenterDI]]+TabVMEnv[[#This Row],[CoutGlobalSupplementaire]]</f>
        <v>17.625834221684471</v>
      </c>
      <c r="X130" s="5" t="str">
        <f>VLOOKUP(TabVMEnv[[#This Row],[EnvProjet]],TabEnvProjet[],2,FALSE) &amp; " - " &amp; IFERROR(VLOOKUP(TabVMEnv[[#This Row],[EnvProjet]],TabEnvProjet[],4,FALSE),"INCONNU") &amp; " - " &amp; IFERROR(VLOOKUP(TabVMEnv[[#This Row],[EnvProjet]],TabEnvProjet[],5,FALSE),"INCONNU")</f>
        <v>GFI-MARCO POLO - SILICONE - 1530-2018 - 0 - 1 - Tache 1 – MarcoPolo - Philippe De Guio</v>
      </c>
      <c r="Y130" s="5" t="str">
        <f>VLOOKUP(TabVMEnv[EnvProjet],TabEnvProjet[],5,FALSE)</f>
        <v>Philippe De Guio</v>
      </c>
      <c r="Z130" s="5">
        <f>VLOOKUP(TabVMEnv[EnvProjet],TabEnvProjet[],6,FALSE)</f>
        <v>341531</v>
      </c>
      <c r="AA130" s="5" t="str">
        <f>VLOOKUP(TabVMEnv[[#This Row],[EnvProjet]],TabEnvProjet[],3,FALSE)</f>
        <v>DEV_BUILD</v>
      </c>
      <c r="AB130" s="5">
        <f>COUNTIF(TabVMEnv[VM],TabVMEnv[VM])</f>
        <v>1</v>
      </c>
    </row>
    <row r="131" spans="1:28" x14ac:dyDescent="0.25">
      <c r="A131" t="s">
        <v>74</v>
      </c>
      <c r="B131" t="s">
        <v>348</v>
      </c>
      <c r="D131">
        <v>2</v>
      </c>
      <c r="E131" s="13" t="s">
        <v>1198</v>
      </c>
      <c r="F131">
        <f>IF(VLOOKUP(TabVMEnv[VM],TabOceanet[],16,FALSE) = "Tarif_VM",IF(VLOOKUP(TabVMEnv[VM],TabOceanet[],2,FALSE)&lt;4,4,VLOOKUP(TabVMEnv[VM],TabOceanet[],2,FALSE)),0)</f>
        <v>4</v>
      </c>
      <c r="G131">
        <v>0</v>
      </c>
      <c r="H131">
        <v>0</v>
      </c>
      <c r="I131">
        <v>0</v>
      </c>
      <c r="J131">
        <v>0</v>
      </c>
      <c r="K131">
        <f>IF(VLOOKUP(TabVMEnv[VM],TabOceanet[],16,FALSE) = "Tarif_VM",1,0)/TabVMEnv[[#This Row],[Mutualisé]]</f>
        <v>1</v>
      </c>
      <c r="L131">
        <f>IF(VLOOKUP(TabVMEnv[VM],TabOceanet[],9,FALSE) = "PoweredOn",1,0)</f>
        <v>1</v>
      </c>
      <c r="M131">
        <f>TabVMEnv[[#This Row],[IsVMPoweredOn]]*VLOOKUP(TabVMEnv[VM],TabOceanet[],3,FALSE)/TabVMEnv[[#This Row],[Mutualisé]]</f>
        <v>1</v>
      </c>
      <c r="N131">
        <f>VLOOKUP(TabVMEnv[VM],TabOceanet[],4,FALSE)/TabVMEnv[[#This Row],[Mutualisé]]</f>
        <v>8</v>
      </c>
      <c r="O131">
        <f>IF(LEFT(VLOOKUP(TabVMEnv[VM],TabOceanet[],5,FALSE),3)="win",1,0)</f>
        <v>0</v>
      </c>
      <c r="P131"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31" t="str">
        <f>VLOOKUP(TabVMEnv[EnvProjet],TabEnvProjet[],4,FALSE)</f>
        <v>VIVESC-TAU/S240776A</v>
      </c>
      <c r="R131" s="5" t="str">
        <f>VLOOKUP(TabVMEnv[[#This Row],[SYGES]],TabContrat[],2,FALSE)</f>
        <v>CAT'HELIUM VIVESCO</v>
      </c>
      <c r="S131" s="5" t="str">
        <f>IF(VLOOKUP(TabVMEnv[[#This Row],[VM]],TabOceanet[],1,FALSE) = "","Disparue","")</f>
        <v/>
      </c>
      <c r="T131" s="25">
        <f>VLOOKUP(TabVMEnv[[#This Row],[VM]],TabOceanet[],36,FALSE)/TabVMEnv[[#This Row],[Mutualisé]]</f>
        <v>3.4400000000000004</v>
      </c>
      <c r="U131" s="25">
        <f>IF(TabVMEnv[[#This Row],[CostCenter]]="CostCenterDI",0,TabVMEnv[[#This Row],[CoutGlobal]])</f>
        <v>3.4400000000000004</v>
      </c>
      <c r="V131" s="25">
        <f>TabVMEnv[[#This Row],[CoutGlobalSansCostCenterDI]]/TabVMEnv[[#Totals],[CoutGlobalSansCostCenterDI]]*(GlobalARepartirSansMS+GlobalARepartirMSOnly+GlobalARepartirInfraReseau)</f>
        <v>6.0043722309337362</v>
      </c>
      <c r="W131" s="25">
        <f>TabVMEnv[[#This Row],[CoutGlobalSansCostCenterDI]]+TabVMEnv[[#This Row],[CoutGlobalSupplementaire]]</f>
        <v>9.4443722309337375</v>
      </c>
      <c r="X131" s="5" t="str">
        <f>VLOOKUP(TabVMEnv[[#This Row],[EnvProjet]],TabEnvProjet[],2,FALSE) &amp; " - " &amp; IFERROR(VLOOKUP(TabVMEnv[[#This Row],[EnvProjet]],TabEnvProjet[],4,FALSE),"INCONNU") &amp; " - " &amp; IFERROR(VLOOKUP(TabVMEnv[[#This Row],[EnvProjet]],TabEnvProjet[],5,FALSE),"INCONNU")</f>
        <v>Vivesco-Vives-taux - VIVESC-TAU/S240776A - Pierre Maurupt</v>
      </c>
      <c r="Y131" s="5" t="str">
        <f>VLOOKUP(TabVMEnv[EnvProjet],TabEnvProjet[],5,FALSE)</f>
        <v>Pierre Maurupt</v>
      </c>
      <c r="Z131" s="5">
        <f>VLOOKUP(TabVMEnv[EnvProjet],TabEnvProjet[],6,FALSE)</f>
        <v>341530</v>
      </c>
      <c r="AA131" s="5" t="str">
        <f>VLOOKUP(TabVMEnv[[#This Row],[EnvProjet]],TabEnvProjet[],3,FALSE)</f>
        <v>QUAL</v>
      </c>
      <c r="AB131" s="5">
        <f>COUNTIF(TabVMEnv[VM],TabVMEnv[VM])</f>
        <v>1</v>
      </c>
    </row>
    <row r="132" spans="1:28" x14ac:dyDescent="0.25">
      <c r="A132" t="s">
        <v>236</v>
      </c>
      <c r="B132" t="s">
        <v>354</v>
      </c>
      <c r="D132">
        <v>2</v>
      </c>
      <c r="E132" s="13" t="s">
        <v>1198</v>
      </c>
      <c r="F132">
        <f>IF(VLOOKUP(TabVMEnv[VM],TabOceanet[],16,FALSE) = "Tarif_VM",IF(VLOOKUP(TabVMEnv[VM],TabOceanet[],2,FALSE)&lt;4,4,VLOOKUP(TabVMEnv[VM],TabOceanet[],2,FALSE)),0)</f>
        <v>4</v>
      </c>
      <c r="G132">
        <v>0</v>
      </c>
      <c r="H132">
        <v>0</v>
      </c>
      <c r="I132">
        <v>0</v>
      </c>
      <c r="J132">
        <v>0</v>
      </c>
      <c r="K132">
        <f>IF(VLOOKUP(TabVMEnv[VM],TabOceanet[],16,FALSE) = "Tarif_VM",1,0)/TabVMEnv[[#This Row],[Mutualisé]]</f>
        <v>1</v>
      </c>
      <c r="L132">
        <f>IF(VLOOKUP(TabVMEnv[VM],TabOceanet[],9,FALSE) = "PoweredOn",1,0)</f>
        <v>1</v>
      </c>
      <c r="M132">
        <f>TabVMEnv[[#This Row],[IsVMPoweredOn]]*VLOOKUP(TabVMEnv[VM],TabOceanet[],3,FALSE)/TabVMEnv[[#This Row],[Mutualisé]]</f>
        <v>2</v>
      </c>
      <c r="N132">
        <f>VLOOKUP(TabVMEnv[VM],TabOceanet[],4,FALSE)/TabVMEnv[[#This Row],[Mutualisé]]</f>
        <v>9</v>
      </c>
      <c r="O132">
        <f>IF(LEFT(VLOOKUP(TabVMEnv[VM],TabOceanet[],5,FALSE),3)="win",1,0)</f>
        <v>0</v>
      </c>
      <c r="P132"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32" t="str">
        <f>VLOOKUP(TabVMEnv[EnvProjet],TabEnvProjet[],4,FALSE)</f>
        <v>SILICONE - 1530-2018 - 0 - 1 - Tache 1 – MarcoPolo</v>
      </c>
      <c r="R132" s="5" t="str">
        <f>VLOOKUP(TabVMEnv[[#This Row],[SYGES]],TabContrat[],2,FALSE)</f>
        <v>GFI</v>
      </c>
      <c r="S132" s="5" t="str">
        <f>IF(VLOOKUP(TabVMEnv[[#This Row],[VM]],TabOceanet[],1,FALSE) = "","Disparue","")</f>
        <v/>
      </c>
      <c r="T132" s="25">
        <f>VLOOKUP(TabVMEnv[[#This Row],[VM]],TabOceanet[],36,FALSE)/TabVMEnv[[#This Row],[Mutualisé]]</f>
        <v>5.2700000000000005</v>
      </c>
      <c r="U132" s="25">
        <f>IF(TabVMEnv[[#This Row],[CostCenter]]="CostCenterDI",0,TabVMEnv[[#This Row],[CoutGlobal]])</f>
        <v>5.2700000000000005</v>
      </c>
      <c r="V132" s="25">
        <f>TabVMEnv[[#This Row],[CoutGlobalSansCostCenterDI]]/TabVMEnv[[#Totals],[CoutGlobalSansCostCenterDI]]*(GlobalARepartirSansMS+GlobalARepartirMSOnly+GlobalARepartirInfraReseau)</f>
        <v>9.1985586212269741</v>
      </c>
      <c r="W132" s="25">
        <f>TabVMEnv[[#This Row],[CoutGlobalSansCostCenterDI]]+TabVMEnv[[#This Row],[CoutGlobalSupplementaire]]</f>
        <v>14.468558621226975</v>
      </c>
      <c r="X132" s="5" t="str">
        <f>VLOOKUP(TabVMEnv[[#This Row],[EnvProjet]],TabEnvProjet[],2,FALSE) &amp; " - " &amp; IFERROR(VLOOKUP(TabVMEnv[[#This Row],[EnvProjet]],TabEnvProjet[],4,FALSE),"INCONNU") &amp; " - " &amp; IFERROR(VLOOKUP(TabVMEnv[[#This Row],[EnvProjet]],TabEnvProjet[],5,FALSE),"INCONNU")</f>
        <v>GFI-MARCO POLO - SILICONE - 1530-2018 - 0 - 1 - Tache 1 – MarcoPolo - Philippe De Guio</v>
      </c>
      <c r="Y132" s="5" t="str">
        <f>VLOOKUP(TabVMEnv[EnvProjet],TabEnvProjet[],5,FALSE)</f>
        <v>Philippe De Guio</v>
      </c>
      <c r="Z132" s="5">
        <f>VLOOKUP(TabVMEnv[EnvProjet],TabEnvProjet[],6,FALSE)</f>
        <v>341531</v>
      </c>
      <c r="AA132" s="5" t="str">
        <f>VLOOKUP(TabVMEnv[[#This Row],[EnvProjet]],TabEnvProjet[],3,FALSE)</f>
        <v>PROD</v>
      </c>
      <c r="AB132" s="5">
        <f>COUNTIF(TabVMEnv[VM],TabVMEnv[VM])</f>
        <v>1</v>
      </c>
    </row>
    <row r="133" spans="1:28" x14ac:dyDescent="0.25">
      <c r="A133" t="s">
        <v>253</v>
      </c>
      <c r="B133" t="s">
        <v>355</v>
      </c>
      <c r="D133">
        <v>2</v>
      </c>
      <c r="E133" s="13" t="s">
        <v>1198</v>
      </c>
      <c r="F133">
        <f>IF(VLOOKUP(TabVMEnv[VM],TabOceanet[],16,FALSE) = "Tarif_VM",IF(VLOOKUP(TabVMEnv[VM],TabOceanet[],2,FALSE)&lt;4,4,VLOOKUP(TabVMEnv[VM],TabOceanet[],2,FALSE)),0)</f>
        <v>4</v>
      </c>
      <c r="G133">
        <v>0</v>
      </c>
      <c r="H133">
        <v>0</v>
      </c>
      <c r="I133">
        <v>0</v>
      </c>
      <c r="J133">
        <v>0</v>
      </c>
      <c r="K133">
        <f>IF(VLOOKUP(TabVMEnv[VM],TabOceanet[],16,FALSE) = "Tarif_VM",1,0)/TabVMEnv[[#This Row],[Mutualisé]]</f>
        <v>1</v>
      </c>
      <c r="L133">
        <f>IF(VLOOKUP(TabVMEnv[VM],TabOceanet[],9,FALSE) = "PoweredOn",1,0)</f>
        <v>1</v>
      </c>
      <c r="M133">
        <f>TabVMEnv[[#This Row],[IsVMPoweredOn]]*VLOOKUP(TabVMEnv[VM],TabOceanet[],3,FALSE)/TabVMEnv[[#This Row],[Mutualisé]]</f>
        <v>2</v>
      </c>
      <c r="N133">
        <f>VLOOKUP(TabVMEnv[VM],TabOceanet[],4,FALSE)/TabVMEnv[[#This Row],[Mutualisé]]</f>
        <v>6</v>
      </c>
      <c r="O133">
        <f>IF(LEFT(VLOOKUP(TabVMEnv[VM],TabOceanet[],5,FALSE),3)="win",1,0)</f>
        <v>0</v>
      </c>
      <c r="P133"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33" t="str">
        <f>VLOOKUP(TabVMEnv[EnvProjet],TabEnvProjet[],4,FALSE)</f>
        <v>LAPOST-SIB - 382233 - 0 - 1 - Refonte du portail SIBP</v>
      </c>
      <c r="R133" s="5" t="str">
        <f>VLOOKUP(TabVMEnv[[#This Row],[SYGES]],TabContrat[],2,FALSE)</f>
        <v>LA POSTE</v>
      </c>
      <c r="S133" s="5" t="str">
        <f>IF(VLOOKUP(TabVMEnv[[#This Row],[VM]],TabOceanet[],1,FALSE) = "","Disparue","")</f>
        <v/>
      </c>
      <c r="T133" s="17">
        <f>VLOOKUP(TabVMEnv[[#This Row],[VM]],TabOceanet[],36,FALSE)/TabVMEnv[[#This Row],[Mutualisé]]</f>
        <v>4.58</v>
      </c>
      <c r="U133" s="17">
        <f>IF(TabVMEnv[[#This Row],[CostCenter]]="CostCenterDI",0,TabVMEnv[[#This Row],[CoutGlobal]])</f>
        <v>4.58</v>
      </c>
      <c r="V133" s="17">
        <f>TabVMEnv[[#This Row],[CoutGlobalSansCostCenterDI]]/TabVMEnv[[#Totals],[CoutGlobalSansCostCenterDI]]*(GlobalARepartirSansMS+GlobalARepartirMSOnly+GlobalARepartirInfraReseau)</f>
        <v>7.994193260952474</v>
      </c>
      <c r="W133" s="17">
        <f>TabVMEnv[[#This Row],[CoutGlobalSansCostCenterDI]]+TabVMEnv[[#This Row],[CoutGlobalSupplementaire]]</f>
        <v>12.574193260952473</v>
      </c>
      <c r="X133" s="5" t="str">
        <f>VLOOKUP(TabVMEnv[[#This Row],[EnvProjet]],TabEnvProjet[],2,FALSE) &amp; " - " &amp; IFERROR(VLOOKUP(TabVMEnv[[#This Row],[EnvProjet]],TabEnvProjet[],4,FALSE),"INCONNU") &amp; " - " &amp; IFERROR(VLOOKUP(TabVMEnv[[#This Row],[EnvProjet]],TabEnvProjet[],5,FALSE),"INCONNU")</f>
        <v>LA POSTE-SIBP - LAPOST-SIB - 382233 - 0 - 1 - Refonte du portail SIBP - Nicolas Legros</v>
      </c>
      <c r="Y133" s="5" t="str">
        <f>VLOOKUP(TabVMEnv[EnvProjet],TabEnvProjet[],5,FALSE)</f>
        <v>Nicolas Legros</v>
      </c>
      <c r="Z133" s="5">
        <f>VLOOKUP(TabVMEnv[EnvProjet],TabEnvProjet[],6,FALSE)</f>
        <v>341530</v>
      </c>
      <c r="AA133" s="5" t="str">
        <f>VLOOKUP(TabVMEnv[[#This Row],[EnvProjet]],TabEnvProjet[],3,FALSE)</f>
        <v>QUAL_RUN</v>
      </c>
      <c r="AB133" s="5">
        <f>COUNTIF(TabVMEnv[VM],TabVMEnv[VM])</f>
        <v>1</v>
      </c>
    </row>
    <row r="134" spans="1:28" x14ac:dyDescent="0.25">
      <c r="A134" t="s">
        <v>237</v>
      </c>
      <c r="B134" t="s">
        <v>356</v>
      </c>
      <c r="D134">
        <v>2</v>
      </c>
      <c r="E134" s="13" t="s">
        <v>1198</v>
      </c>
      <c r="F134">
        <f>IF(VLOOKUP(TabVMEnv[VM],TabOceanet[],16,FALSE) = "Tarif_VM",IF(VLOOKUP(TabVMEnv[VM],TabOceanet[],2,FALSE)&lt;4,4,VLOOKUP(TabVMEnv[VM],TabOceanet[],2,FALSE)),0)</f>
        <v>4</v>
      </c>
      <c r="G134">
        <v>0</v>
      </c>
      <c r="H134">
        <v>0</v>
      </c>
      <c r="I134">
        <v>0</v>
      </c>
      <c r="J134">
        <v>0</v>
      </c>
      <c r="K134">
        <f>IF(VLOOKUP(TabVMEnv[VM],TabOceanet[],16,FALSE) = "Tarif_VM",1,0)/TabVMEnv[[#This Row],[Mutualisé]]</f>
        <v>1</v>
      </c>
      <c r="L134">
        <f>IF(VLOOKUP(TabVMEnv[VM],TabOceanet[],9,FALSE) = "PoweredOn",1,0)</f>
        <v>1</v>
      </c>
      <c r="M134">
        <f>TabVMEnv[[#This Row],[IsVMPoweredOn]]*VLOOKUP(TabVMEnv[VM],TabOceanet[],3,FALSE)/TabVMEnv[[#This Row],[Mutualisé]]</f>
        <v>2</v>
      </c>
      <c r="N134">
        <f>VLOOKUP(TabVMEnv[VM],TabOceanet[],4,FALSE)/TabVMEnv[[#This Row],[Mutualisé]]</f>
        <v>26</v>
      </c>
      <c r="O134">
        <f>IF(LEFT(VLOOKUP(TabVMEnv[VM],TabOceanet[],5,FALSE),3)="win",1,0)</f>
        <v>0</v>
      </c>
      <c r="P134"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34" t="str">
        <f>VLOOKUP(TabVMEnv[EnvProjet],TabEnvProjet[],4,FALSE)</f>
        <v>SILICONE - 1530-2018 - 0 - 2 - Tache 2 – ORS</v>
      </c>
      <c r="R134" s="5" t="str">
        <f>VLOOKUP(TabVMEnv[[#This Row],[SYGES]],TabContrat[],2,FALSE)</f>
        <v>GFI</v>
      </c>
      <c r="S134" s="5" t="str">
        <f>IF(VLOOKUP(TabVMEnv[[#This Row],[VM]],TabOceanet[],1,FALSE) = "","Disparue","")</f>
        <v/>
      </c>
      <c r="T134" s="17">
        <f>VLOOKUP(TabVMEnv[[#This Row],[VM]],TabOceanet[],36,FALSE)/TabVMEnv[[#This Row],[Mutualisé]]</f>
        <v>9.18</v>
      </c>
      <c r="U134" s="17">
        <f>IF(TabVMEnv[[#This Row],[CostCenter]]="CostCenterDI",0,TabVMEnv[[#This Row],[CoutGlobal]])</f>
        <v>9.18</v>
      </c>
      <c r="V134" s="17">
        <f>TabVMEnv[[#This Row],[CoutGlobalSansCostCenterDI]]/TabVMEnv[[#Totals],[CoutGlobalSansCostCenterDI]]*(GlobalARepartirSansMS+GlobalARepartirMSOnly+GlobalARepartirInfraReseau)</f>
        <v>16.02329566278247</v>
      </c>
      <c r="W134" s="17">
        <f>TabVMEnv[[#This Row],[CoutGlobalSansCostCenterDI]]+TabVMEnv[[#This Row],[CoutGlobalSupplementaire]]</f>
        <v>25.20329566278247</v>
      </c>
      <c r="X134" s="5" t="str">
        <f>VLOOKUP(TabVMEnv[[#This Row],[EnvProjet]],TabEnvProjet[],2,FALSE) &amp; " - " &amp; IFERROR(VLOOKUP(TabVMEnv[[#This Row],[EnvProjet]],TabEnvProjet[],4,FALSE),"INCONNU") &amp; " - " &amp; IFERROR(VLOOKUP(TabVMEnv[[#This Row],[EnvProjet]],TabEnvProjet[],5,FALSE),"INCONNU")</f>
        <v>GFI-WE SPEC - SILICONE - 1530-2018 - 0 - 2 - Tache 2 – ORS - Vincent MERIAU</v>
      </c>
      <c r="Y134" s="5" t="str">
        <f>VLOOKUP(TabVMEnv[EnvProjet],TabEnvProjet[],5,FALSE)</f>
        <v>Vincent MERIAU</v>
      </c>
      <c r="Z134" s="5">
        <f>VLOOKUP(TabVMEnv[EnvProjet],TabEnvProjet[],6,FALSE)</f>
        <v>341531</v>
      </c>
      <c r="AA134" s="5" t="str">
        <f>VLOOKUP(TabVMEnv[[#This Row],[EnvProjet]],TabEnvProjet[],3,FALSE)</f>
        <v>QUAL</v>
      </c>
      <c r="AB134" s="5">
        <f>COUNTIF(TabVMEnv[VM],TabVMEnv[VM])</f>
        <v>1</v>
      </c>
    </row>
    <row r="135" spans="1:28" x14ac:dyDescent="0.25">
      <c r="A135" t="s">
        <v>1305</v>
      </c>
      <c r="B135" t="s">
        <v>290</v>
      </c>
      <c r="E135" s="13"/>
      <c r="F135">
        <f>IF(VLOOKUP(TabVMEnv[VM],TabOceanet[],16,FALSE) = "Tarif_VM",IF(VLOOKUP(TabVMEnv[VM],TabOceanet[],2,FALSE)&lt;4,4,VLOOKUP(TabVMEnv[VM],TabOceanet[],2,FALSE)),0)</f>
        <v>0</v>
      </c>
      <c r="G135">
        <v>0</v>
      </c>
      <c r="H135">
        <v>0</v>
      </c>
      <c r="I135">
        <v>0</v>
      </c>
      <c r="J135">
        <v>0</v>
      </c>
      <c r="K135">
        <f>IF(VLOOKUP(TabVMEnv[VM],TabOceanet[],16,FALSE) = "Tarif_VM",1,0)/TabVMEnv[[#This Row],[Mutualisé]]</f>
        <v>0</v>
      </c>
      <c r="L135">
        <f>IF(VLOOKUP(TabVMEnv[VM],TabOceanet[],9,FALSE) = "PoweredOn",1,0)</f>
        <v>0</v>
      </c>
      <c r="M135">
        <f>TabVMEnv[[#This Row],[IsVMPoweredOn]]*VLOOKUP(TabVMEnv[VM],TabOceanet[],3,FALSE)/TabVMEnv[[#This Row],[Mutualisé]]</f>
        <v>0</v>
      </c>
      <c r="N135">
        <f>VLOOKUP(TabVMEnv[VM],TabOceanet[],4,FALSE)/TabVMEnv[[#This Row],[Mutualisé]]</f>
        <v>0</v>
      </c>
      <c r="O135">
        <f>IF(LEFT(VLOOKUP(TabVMEnv[VM],TabOceanet[],5,FALSE),3)="win",1,0)</f>
        <v>0</v>
      </c>
      <c r="P135"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35" t="str">
        <f>VLOOKUP(TabVMEnv[EnvProjet],TabEnvProjet[],4,FALSE)</f>
        <v>HEBERG-EDI  MUT-2018</v>
      </c>
      <c r="R135" s="5" t="str">
        <f>VLOOKUP(TabVMEnv[[#This Row],[SYGES]],TabContrat[],2,FALSE)</f>
        <v>HEBERG-EDI</v>
      </c>
      <c r="S135" s="5" t="str">
        <f>IF(VLOOKUP(TabVMEnv[[#This Row],[VM]],TabOceanet[],1,FALSE) = "","Disparue","")</f>
        <v/>
      </c>
      <c r="T135" s="25">
        <f>VLOOKUP(TabVMEnv[[#This Row],[VM]],TabOceanet[],36,FALSE)/TabVMEnv[[#This Row],[Mutualisé]]</f>
        <v>2</v>
      </c>
      <c r="U135" s="25">
        <f>IF(TabVMEnv[[#This Row],[CostCenter]]="CostCenterDI",0,TabVMEnv[[#This Row],[CoutGlobal]])</f>
        <v>2</v>
      </c>
      <c r="V135" s="25">
        <f>TabVMEnv[[#This Row],[CoutGlobalSansCostCenterDI]]/TabVMEnv[[#Totals],[CoutGlobalSansCostCenterDI]]*(GlobalARepartirSansMS+GlobalARepartirMSOnly+GlobalARepartirInfraReseau)</f>
        <v>3.4909140877521723</v>
      </c>
      <c r="W135" s="25">
        <f>TabVMEnv[[#This Row],[CoutGlobalSansCostCenterDI]]+TabVMEnv[[#This Row],[CoutGlobalSupplementaire]]</f>
        <v>5.4909140877521718</v>
      </c>
      <c r="X135" s="5" t="str">
        <f>VLOOKUP(TabVMEnv[[#This Row],[EnvProjet]],TabEnvProjet[],2,FALSE) &amp; " - " &amp; IFERROR(VLOOKUP(TabVMEnv[[#This Row],[EnvProjet]],TabEnvProjet[],4,FALSE),"INCONNU") &amp; " - " &amp; IFERROR(VLOOKUP(TabVMEnv[[#This Row],[EnvProjet]],TabEnvProjet[],5,FALSE),"INCONNU")</f>
        <v>EDI-MUT-EDI-MUT - HEBERG-EDI  MUT-2018 - David LEMALHEUX</v>
      </c>
      <c r="Y135" s="5" t="str">
        <f>VLOOKUP(TabVMEnv[EnvProjet],TabEnvProjet[],5,FALSE)</f>
        <v>David LEMALHEUX</v>
      </c>
      <c r="Z135" s="5" t="str">
        <f>VLOOKUP(TabVMEnv[EnvProjet],TabEnvProjet[],6,FALSE)</f>
        <v>341530-EDI</v>
      </c>
      <c r="AA135" s="5" t="str">
        <f>VLOOKUP(TabVMEnv[[#This Row],[EnvProjet]],TabEnvProjet[],3,FALSE)</f>
        <v>PROD</v>
      </c>
      <c r="AB135" s="5">
        <f>COUNTIF(TabVMEnv[VM],TabVMEnv[VM])</f>
        <v>1</v>
      </c>
    </row>
    <row r="136" spans="1:28" x14ac:dyDescent="0.25">
      <c r="A136" t="s">
        <v>1306</v>
      </c>
      <c r="B136" t="s">
        <v>294</v>
      </c>
      <c r="E136" s="13"/>
      <c r="F136">
        <f>IF(VLOOKUP(TabVMEnv[VM],TabOceanet[],16,FALSE) = "Tarif_VM",IF(VLOOKUP(TabVMEnv[VM],TabOceanet[],2,FALSE)&lt;4,4,VLOOKUP(TabVMEnv[VM],TabOceanet[],2,FALSE)),0)</f>
        <v>0</v>
      </c>
      <c r="G136">
        <v>0</v>
      </c>
      <c r="H136">
        <v>0</v>
      </c>
      <c r="I136">
        <v>0</v>
      </c>
      <c r="J136">
        <v>0</v>
      </c>
      <c r="K136">
        <f>IF(VLOOKUP(TabVMEnv[VM],TabOceanet[],16,FALSE) = "Tarif_VM",1,0)/TabVMEnv[[#This Row],[Mutualisé]]</f>
        <v>0</v>
      </c>
      <c r="L136">
        <f>IF(VLOOKUP(TabVMEnv[VM],TabOceanet[],9,FALSE) = "PoweredOn",1,0)</f>
        <v>0</v>
      </c>
      <c r="M136">
        <f>TabVMEnv[[#This Row],[IsVMPoweredOn]]*VLOOKUP(TabVMEnv[VM],TabOceanet[],3,FALSE)/TabVMEnv[[#This Row],[Mutualisé]]</f>
        <v>0</v>
      </c>
      <c r="N136">
        <f>VLOOKUP(TabVMEnv[VM],TabOceanet[],4,FALSE)/TabVMEnv[[#This Row],[Mutualisé]]</f>
        <v>0</v>
      </c>
      <c r="O136">
        <f>IF(LEFT(VLOOKUP(TabVMEnv[VM],TabOceanet[],5,FALSE),3)="win",1,0)</f>
        <v>0</v>
      </c>
      <c r="P136"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36" t="str">
        <f>VLOOKUP(TabVMEnv[EnvProjet],TabEnvProjet[],4,FALSE)</f>
        <v>GFI Oceanet Infra Réseau</v>
      </c>
      <c r="R136" s="5" t="str">
        <f>VLOOKUP(TabVMEnv[[#This Row],[SYGES]],TabContrat[],2,FALSE)</f>
        <v>GFI</v>
      </c>
      <c r="S136" s="5" t="str">
        <f>IF(VLOOKUP(TabVMEnv[[#This Row],[VM]],TabOceanet[],1,FALSE) = "","Disparue","")</f>
        <v/>
      </c>
      <c r="T136" s="25">
        <f>VLOOKUP(TabVMEnv[[#This Row],[VM]],TabOceanet[],36,FALSE)/TabVMEnv[[#This Row],[Mutualisé]]</f>
        <v>2</v>
      </c>
      <c r="U136" s="25">
        <f>IF(TabVMEnv[[#This Row],[CostCenter]]="CostCenterDI",0,TabVMEnv[[#This Row],[CoutGlobal]])</f>
        <v>0</v>
      </c>
      <c r="V136" s="25">
        <f>TabVMEnv[[#This Row],[CoutGlobalSansCostCenterDI]]/TabVMEnv[[#Totals],[CoutGlobalSansCostCenterDI]]*(GlobalARepartirSansMS+GlobalARepartirMSOnly+GlobalARepartirInfraReseau)</f>
        <v>0</v>
      </c>
      <c r="W136" s="25">
        <f>TabVMEnv[[#This Row],[CoutGlobalSansCostCenterDI]]+TabVMEnv[[#This Row],[CoutGlobalSupplementaire]]</f>
        <v>0</v>
      </c>
      <c r="X136" s="5" t="str">
        <f>VLOOKUP(TabVMEnv[[#This Row],[EnvProjet]],TabEnvProjet[],2,FALSE) &amp; " - " &amp; IFERROR(VLOOKUP(TabVMEnv[[#This Row],[EnvProjet]],TabEnvProjet[],4,FALSE),"INCONNU") &amp; " - " &amp; IFERROR(VLOOKUP(TabVMEnv[[#This Row],[EnvProjet]],TabEnvProjet[],5,FALSE),"INCONNU")</f>
        <v>GFI-Oceanet Infra Réseau - GFI Oceanet Infra Réseau - Jérôme JACOB</v>
      </c>
      <c r="Y136" s="5" t="str">
        <f>VLOOKUP(TabVMEnv[EnvProjet],TabEnvProjet[],5,FALSE)</f>
        <v>Jérôme JACOB</v>
      </c>
      <c r="Z136" s="5" t="str">
        <f>VLOOKUP(TabVMEnv[EnvProjet],TabEnvProjet[],6,FALSE)</f>
        <v>CostCenterDI</v>
      </c>
      <c r="AA136" s="5" t="str">
        <f>VLOOKUP(TabVMEnv[[#This Row],[EnvProjet]],TabEnvProjet[],3,FALSE)</f>
        <v>SOCLE</v>
      </c>
      <c r="AB136" s="5">
        <f>COUNTIF(TabVMEnv[VM],TabVMEnv[VM])</f>
        <v>1</v>
      </c>
    </row>
    <row r="137" spans="1:28" x14ac:dyDescent="0.25">
      <c r="A137" t="s">
        <v>1307</v>
      </c>
      <c r="B137" t="s">
        <v>291</v>
      </c>
      <c r="E137" s="13"/>
      <c r="F137">
        <f>IF(VLOOKUP(TabVMEnv[VM],TabOceanet[],16,FALSE) = "Tarif_VM",IF(VLOOKUP(TabVMEnv[VM],TabOceanet[],2,FALSE)&lt;4,4,VLOOKUP(TabVMEnv[VM],TabOceanet[],2,FALSE)),0)</f>
        <v>0</v>
      </c>
      <c r="G137">
        <v>0</v>
      </c>
      <c r="H137">
        <v>0</v>
      </c>
      <c r="I137">
        <v>0</v>
      </c>
      <c r="J137">
        <v>0</v>
      </c>
      <c r="K137">
        <f>IF(VLOOKUP(TabVMEnv[VM],TabOceanet[],16,FALSE) = "Tarif_VM",1,0)/TabVMEnv[[#This Row],[Mutualisé]]</f>
        <v>0</v>
      </c>
      <c r="L137">
        <f>IF(VLOOKUP(TabVMEnv[VM],TabOceanet[],9,FALSE) = "PoweredOn",1,0)</f>
        <v>0</v>
      </c>
      <c r="M137">
        <f>TabVMEnv[[#This Row],[IsVMPoweredOn]]*VLOOKUP(TabVMEnv[VM],TabOceanet[],3,FALSE)/TabVMEnv[[#This Row],[Mutualisé]]</f>
        <v>0</v>
      </c>
      <c r="N137">
        <f>VLOOKUP(TabVMEnv[VM],TabOceanet[],4,FALSE)/TabVMEnv[[#This Row],[Mutualisé]]</f>
        <v>0</v>
      </c>
      <c r="O137">
        <f>IF(LEFT(VLOOKUP(TabVMEnv[VM],TabOceanet[],5,FALSE),3)="win",1,0)</f>
        <v>0</v>
      </c>
      <c r="P137"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37" t="str">
        <f>VLOOKUP(TabVMEnv[EnvProjet],TabEnvProjet[],4,FALSE)</f>
        <v>Fablab-Firmin</v>
      </c>
      <c r="R137" s="5" t="str">
        <f>VLOOKUP(TabVMEnv[[#This Row],[SYGES]],TabContrat[],2,FALSE)</f>
        <v>Fablab</v>
      </c>
      <c r="S137" s="5" t="str">
        <f>IF(VLOOKUP(TabVMEnv[[#This Row],[VM]],TabOceanet[],1,FALSE) = "","Disparue","")</f>
        <v/>
      </c>
      <c r="T137" s="25">
        <f>VLOOKUP(TabVMEnv[[#This Row],[VM]],TabOceanet[],36,FALSE)/TabVMEnv[[#This Row],[Mutualisé]]</f>
        <v>2</v>
      </c>
      <c r="U137" s="25">
        <f>IF(TabVMEnv[[#This Row],[CostCenter]]="CostCenterDI",0,TabVMEnv[[#This Row],[CoutGlobal]])</f>
        <v>2</v>
      </c>
      <c r="V137" s="25">
        <f>TabVMEnv[[#This Row],[CoutGlobalSansCostCenterDI]]/TabVMEnv[[#Totals],[CoutGlobalSansCostCenterDI]]*(GlobalARepartirSansMS+GlobalARepartirMSOnly+GlobalARepartirInfraReseau)</f>
        <v>3.4909140877521723</v>
      </c>
      <c r="W137" s="25">
        <f>TabVMEnv[[#This Row],[CoutGlobalSansCostCenterDI]]+TabVMEnv[[#This Row],[CoutGlobalSupplementaire]]</f>
        <v>5.4909140877521718</v>
      </c>
      <c r="X137" s="5" t="str">
        <f>VLOOKUP(TabVMEnv[[#This Row],[EnvProjet]],TabEnvProjet[],2,FALSE) &amp; " - " &amp; IFERROR(VLOOKUP(TabVMEnv[[#This Row],[EnvProjet]],TabEnvProjet[],4,FALSE),"INCONNU") &amp; " - " &amp; IFERROR(VLOOKUP(TabVMEnv[[#This Row],[EnvProjet]],TabEnvProjet[],5,FALSE),"INCONNU")</f>
        <v>Fablab-Firmin - Fablab-Firmin - Pierre-Yves Baloche</v>
      </c>
      <c r="Y137" s="5" t="str">
        <f>VLOOKUP(TabVMEnv[EnvProjet],TabEnvProjet[],5,FALSE)</f>
        <v>Pierre-Yves Baloche</v>
      </c>
      <c r="Z137" s="5" t="str">
        <f>VLOOKUP(TabVMEnv[EnvProjet],TabEnvProjet[],6,FALSE)</f>
        <v>Fablab</v>
      </c>
      <c r="AA137" s="5" t="str">
        <f>VLOOKUP(TabVMEnv[[#This Row],[EnvProjet]],TabEnvProjet[],3,FALSE)</f>
        <v>PROD</v>
      </c>
      <c r="AB137" s="5">
        <f>COUNTIF(TabVMEnv[VM],TabVMEnv[VM])</f>
        <v>1</v>
      </c>
    </row>
    <row r="138" spans="1:28" x14ac:dyDescent="0.25">
      <c r="A138" t="s">
        <v>1308</v>
      </c>
      <c r="B138" t="s">
        <v>292</v>
      </c>
      <c r="E138" s="13"/>
      <c r="F138">
        <f>IF(VLOOKUP(TabVMEnv[VM],TabOceanet[],16,FALSE) = "Tarif_VM",IF(VLOOKUP(TabVMEnv[VM],TabOceanet[],2,FALSE)&lt;4,4,VLOOKUP(TabVMEnv[VM],TabOceanet[],2,FALSE)),0)</f>
        <v>0</v>
      </c>
      <c r="G138">
        <v>0</v>
      </c>
      <c r="H138">
        <v>0</v>
      </c>
      <c r="I138">
        <v>0</v>
      </c>
      <c r="J138">
        <v>0</v>
      </c>
      <c r="K138">
        <f>IF(VLOOKUP(TabVMEnv[VM],TabOceanet[],16,FALSE) = "Tarif_VM",1,0)/TabVMEnv[[#This Row],[Mutualisé]]</f>
        <v>0</v>
      </c>
      <c r="L138">
        <f>IF(VLOOKUP(TabVMEnv[VM],TabOceanet[],9,FALSE) = "PoweredOn",1,0)</f>
        <v>0</v>
      </c>
      <c r="M138">
        <f>TabVMEnv[[#This Row],[IsVMPoweredOn]]*VLOOKUP(TabVMEnv[VM],TabOceanet[],3,FALSE)/TabVMEnv[[#This Row],[Mutualisé]]</f>
        <v>0</v>
      </c>
      <c r="N138">
        <f>VLOOKUP(TabVMEnv[VM],TabOceanet[],4,FALSE)/TabVMEnv[[#This Row],[Mutualisé]]</f>
        <v>0</v>
      </c>
      <c r="O138">
        <f>IF(LEFT(VLOOKUP(TabVMEnv[VM],TabOceanet[],5,FALSE),3)="win",1,0)</f>
        <v>0</v>
      </c>
      <c r="P138"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38" t="str">
        <f>VLOOKUP(TabVMEnv[EnvProjet],TabEnvProjet[],4,FALSE)</f>
        <v>Fablab-Firmin</v>
      </c>
      <c r="R138" s="5" t="str">
        <f>VLOOKUP(TabVMEnv[[#This Row],[SYGES]],TabContrat[],2,FALSE)</f>
        <v>Fablab</v>
      </c>
      <c r="S138" s="5" t="str">
        <f>IF(VLOOKUP(TabVMEnv[[#This Row],[VM]],TabOceanet[],1,FALSE) = "","Disparue","")</f>
        <v/>
      </c>
      <c r="T138" s="25">
        <f>VLOOKUP(TabVMEnv[[#This Row],[VM]],TabOceanet[],36,FALSE)/TabVMEnv[[#This Row],[Mutualisé]]</f>
        <v>2</v>
      </c>
      <c r="U138" s="25">
        <f>IF(TabVMEnv[[#This Row],[CostCenter]]="CostCenterDI",0,TabVMEnv[[#This Row],[CoutGlobal]])</f>
        <v>2</v>
      </c>
      <c r="V138" s="25">
        <f>TabVMEnv[[#This Row],[CoutGlobalSansCostCenterDI]]/TabVMEnv[[#Totals],[CoutGlobalSansCostCenterDI]]*(GlobalARepartirSansMS+GlobalARepartirMSOnly+GlobalARepartirInfraReseau)</f>
        <v>3.4909140877521723</v>
      </c>
      <c r="W138" s="25">
        <f>TabVMEnv[[#This Row],[CoutGlobalSansCostCenterDI]]+TabVMEnv[[#This Row],[CoutGlobalSupplementaire]]</f>
        <v>5.4909140877521718</v>
      </c>
      <c r="X138" s="5" t="str">
        <f>VLOOKUP(TabVMEnv[[#This Row],[EnvProjet]],TabEnvProjet[],2,FALSE) &amp; " - " &amp; IFERROR(VLOOKUP(TabVMEnv[[#This Row],[EnvProjet]],TabEnvProjet[],4,FALSE),"INCONNU") &amp; " - " &amp; IFERROR(VLOOKUP(TabVMEnv[[#This Row],[EnvProjet]],TabEnvProjet[],5,FALSE),"INCONNU")</f>
        <v>Fablab-Firmin - Fablab-Firmin - Pierre-Yves Baloche</v>
      </c>
      <c r="Y138" s="5" t="str">
        <f>VLOOKUP(TabVMEnv[EnvProjet],TabEnvProjet[],5,FALSE)</f>
        <v>Pierre-Yves Baloche</v>
      </c>
      <c r="Z138" s="5" t="str">
        <f>VLOOKUP(TabVMEnv[EnvProjet],TabEnvProjet[],6,FALSE)</f>
        <v>Fablab</v>
      </c>
      <c r="AA138" s="5" t="str">
        <f>VLOOKUP(TabVMEnv[[#This Row],[EnvProjet]],TabEnvProjet[],3,FALSE)</f>
        <v>PREPROD</v>
      </c>
      <c r="AB138" s="5">
        <f>COUNTIF(TabVMEnv[VM],TabVMEnv[VM])</f>
        <v>1</v>
      </c>
    </row>
    <row r="139" spans="1:28" x14ac:dyDescent="0.25">
      <c r="A139" t="s">
        <v>1309</v>
      </c>
      <c r="B139" t="s">
        <v>291</v>
      </c>
      <c r="E139" s="13"/>
      <c r="F139">
        <f>IF(VLOOKUP(TabVMEnv[VM],TabOceanet[],16,FALSE) = "Tarif_VM",IF(VLOOKUP(TabVMEnv[VM],TabOceanet[],2,FALSE)&lt;4,4,VLOOKUP(TabVMEnv[VM],TabOceanet[],2,FALSE)),0)</f>
        <v>0</v>
      </c>
      <c r="G139">
        <v>0</v>
      </c>
      <c r="H139">
        <v>0</v>
      </c>
      <c r="I139">
        <v>0</v>
      </c>
      <c r="J139">
        <v>0</v>
      </c>
      <c r="K139">
        <f>IF(VLOOKUP(TabVMEnv[VM],TabOceanet[],16,FALSE) = "Tarif_VM",1,0)/TabVMEnv[[#This Row],[Mutualisé]]</f>
        <v>0</v>
      </c>
      <c r="L139">
        <f>IF(VLOOKUP(TabVMEnv[VM],TabOceanet[],9,FALSE) = "PoweredOn",1,0)</f>
        <v>0</v>
      </c>
      <c r="M139">
        <f>TabVMEnv[[#This Row],[IsVMPoweredOn]]*VLOOKUP(TabVMEnv[VM],TabOceanet[],3,FALSE)/TabVMEnv[[#This Row],[Mutualisé]]</f>
        <v>0</v>
      </c>
      <c r="N139">
        <f>VLOOKUP(TabVMEnv[VM],TabOceanet[],4,FALSE)/TabVMEnv[[#This Row],[Mutualisé]]</f>
        <v>0</v>
      </c>
      <c r="O139">
        <f>IF(LEFT(VLOOKUP(TabVMEnv[VM],TabOceanet[],5,FALSE),3)="win",1,0)</f>
        <v>0</v>
      </c>
      <c r="P139"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39" t="str">
        <f>VLOOKUP(TabVMEnv[EnvProjet],TabEnvProjet[],4,FALSE)</f>
        <v>Fablab-Firmin</v>
      </c>
      <c r="R139" s="5" t="str">
        <f>VLOOKUP(TabVMEnv[[#This Row],[SYGES]],TabContrat[],2,FALSE)</f>
        <v>Fablab</v>
      </c>
      <c r="S139" s="5" t="str">
        <f>IF(VLOOKUP(TabVMEnv[[#This Row],[VM]],TabOceanet[],1,FALSE) = "","Disparue","")</f>
        <v/>
      </c>
      <c r="T139" s="25">
        <f>VLOOKUP(TabVMEnv[[#This Row],[VM]],TabOceanet[],36,FALSE)/TabVMEnv[[#This Row],[Mutualisé]]</f>
        <v>2</v>
      </c>
      <c r="U139" s="25">
        <f>IF(TabVMEnv[[#This Row],[CostCenter]]="CostCenterDI",0,TabVMEnv[[#This Row],[CoutGlobal]])</f>
        <v>2</v>
      </c>
      <c r="V139" s="25">
        <f>TabVMEnv[[#This Row],[CoutGlobalSansCostCenterDI]]/TabVMEnv[[#Totals],[CoutGlobalSansCostCenterDI]]*(GlobalARepartirSansMS+GlobalARepartirMSOnly+GlobalARepartirInfraReseau)</f>
        <v>3.4909140877521723</v>
      </c>
      <c r="W139" s="25">
        <f>TabVMEnv[[#This Row],[CoutGlobalSansCostCenterDI]]+TabVMEnv[[#This Row],[CoutGlobalSupplementaire]]</f>
        <v>5.4909140877521718</v>
      </c>
      <c r="X139" s="5" t="str">
        <f>VLOOKUP(TabVMEnv[[#This Row],[EnvProjet]],TabEnvProjet[],2,FALSE) &amp; " - " &amp; IFERROR(VLOOKUP(TabVMEnv[[#This Row],[EnvProjet]],TabEnvProjet[],4,FALSE),"INCONNU") &amp; " - " &amp; IFERROR(VLOOKUP(TabVMEnv[[#This Row],[EnvProjet]],TabEnvProjet[],5,FALSE),"INCONNU")</f>
        <v>Fablab-Firmin - Fablab-Firmin - Pierre-Yves Baloche</v>
      </c>
      <c r="Y139" s="5" t="str">
        <f>VLOOKUP(TabVMEnv[EnvProjet],TabEnvProjet[],5,FALSE)</f>
        <v>Pierre-Yves Baloche</v>
      </c>
      <c r="Z139" s="5" t="str">
        <f>VLOOKUP(TabVMEnv[EnvProjet],TabEnvProjet[],6,FALSE)</f>
        <v>Fablab</v>
      </c>
      <c r="AA139" s="5" t="str">
        <f>VLOOKUP(TabVMEnv[[#This Row],[EnvProjet]],TabEnvProjet[],3,FALSE)</f>
        <v>PROD</v>
      </c>
      <c r="AB139" s="5">
        <f>COUNTIF(TabVMEnv[VM],TabVMEnv[VM])</f>
        <v>1</v>
      </c>
    </row>
    <row r="140" spans="1:28" x14ac:dyDescent="0.25">
      <c r="A140" t="s">
        <v>1310</v>
      </c>
      <c r="B140" t="s">
        <v>294</v>
      </c>
      <c r="E140" s="13"/>
      <c r="F140">
        <f>IF(VLOOKUP(TabVMEnv[VM],TabOceanet[],16,FALSE) = "Tarif_VM",IF(VLOOKUP(TabVMEnv[VM],TabOceanet[],2,FALSE)&lt;4,4,VLOOKUP(TabVMEnv[VM],TabOceanet[],2,FALSE)),0)</f>
        <v>0</v>
      </c>
      <c r="G140">
        <v>0</v>
      </c>
      <c r="H140">
        <v>0</v>
      </c>
      <c r="I140">
        <v>0</v>
      </c>
      <c r="J140">
        <v>0</v>
      </c>
      <c r="K140">
        <f>IF(VLOOKUP(TabVMEnv[VM],TabOceanet[],16,FALSE) = "Tarif_VM",1,0)/TabVMEnv[[#This Row],[Mutualisé]]</f>
        <v>0</v>
      </c>
      <c r="L140">
        <f>IF(VLOOKUP(TabVMEnv[VM],TabOceanet[],9,FALSE) = "PoweredOn",1,0)</f>
        <v>0</v>
      </c>
      <c r="M140">
        <f>TabVMEnv[[#This Row],[IsVMPoweredOn]]*VLOOKUP(TabVMEnv[VM],TabOceanet[],3,FALSE)/TabVMEnv[[#This Row],[Mutualisé]]</f>
        <v>0</v>
      </c>
      <c r="N140">
        <f>VLOOKUP(TabVMEnv[VM],TabOceanet[],4,FALSE)/TabVMEnv[[#This Row],[Mutualisé]]</f>
        <v>0</v>
      </c>
      <c r="O140">
        <f>IF(LEFT(VLOOKUP(TabVMEnv[VM],TabOceanet[],5,FALSE),3)="win",1,0)</f>
        <v>0</v>
      </c>
      <c r="P140"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40" t="str">
        <f>VLOOKUP(TabVMEnv[EnvProjet],TabEnvProjet[],4,FALSE)</f>
        <v>GFI Oceanet Infra Réseau</v>
      </c>
      <c r="R140" s="5" t="str">
        <f>VLOOKUP(TabVMEnv[[#This Row],[SYGES]],TabContrat[],2,FALSE)</f>
        <v>GFI</v>
      </c>
      <c r="S140" s="5" t="str">
        <f>IF(VLOOKUP(TabVMEnv[[#This Row],[VM]],TabOceanet[],1,FALSE) = "","Disparue","")</f>
        <v/>
      </c>
      <c r="T140" s="25">
        <f>VLOOKUP(TabVMEnv[[#This Row],[VM]],TabOceanet[],36,FALSE)/TabVMEnv[[#This Row],[Mutualisé]]</f>
        <v>2</v>
      </c>
      <c r="U140" s="25">
        <f>IF(TabVMEnv[[#This Row],[CostCenter]]="CostCenterDI",0,TabVMEnv[[#This Row],[CoutGlobal]])</f>
        <v>0</v>
      </c>
      <c r="V140" s="25">
        <f>TabVMEnv[[#This Row],[CoutGlobalSansCostCenterDI]]/TabVMEnv[[#Totals],[CoutGlobalSansCostCenterDI]]*(GlobalARepartirSansMS+GlobalARepartirMSOnly+GlobalARepartirInfraReseau)</f>
        <v>0</v>
      </c>
      <c r="W140" s="25">
        <f>TabVMEnv[[#This Row],[CoutGlobalSansCostCenterDI]]+TabVMEnv[[#This Row],[CoutGlobalSupplementaire]]</f>
        <v>0</v>
      </c>
      <c r="X140" s="5" t="str">
        <f>VLOOKUP(TabVMEnv[[#This Row],[EnvProjet]],TabEnvProjet[],2,FALSE) &amp; " - " &amp; IFERROR(VLOOKUP(TabVMEnv[[#This Row],[EnvProjet]],TabEnvProjet[],4,FALSE),"INCONNU") &amp; " - " &amp; IFERROR(VLOOKUP(TabVMEnv[[#This Row],[EnvProjet]],TabEnvProjet[],5,FALSE),"INCONNU")</f>
        <v>GFI-Oceanet Infra Réseau - GFI Oceanet Infra Réseau - Jérôme JACOB</v>
      </c>
      <c r="Y140" s="5" t="str">
        <f>VLOOKUP(TabVMEnv[EnvProjet],TabEnvProjet[],5,FALSE)</f>
        <v>Jérôme JACOB</v>
      </c>
      <c r="Z140" s="5" t="str">
        <f>VLOOKUP(TabVMEnv[EnvProjet],TabEnvProjet[],6,FALSE)</f>
        <v>CostCenterDI</v>
      </c>
      <c r="AA140" s="5" t="str">
        <f>VLOOKUP(TabVMEnv[[#This Row],[EnvProjet]],TabEnvProjet[],3,FALSE)</f>
        <v>SOCLE</v>
      </c>
      <c r="AB140" s="5">
        <f>COUNTIF(TabVMEnv[VM],TabVMEnv[VM])</f>
        <v>1</v>
      </c>
    </row>
    <row r="141" spans="1:28" x14ac:dyDescent="0.25">
      <c r="A141" t="s">
        <v>157</v>
      </c>
      <c r="B141" t="s">
        <v>294</v>
      </c>
      <c r="D141">
        <v>2</v>
      </c>
      <c r="E141" s="13" t="s">
        <v>1195</v>
      </c>
      <c r="F141">
        <f>IF(VLOOKUP(TabVMEnv[VM],TabOceanet[],16,FALSE) = "Tarif_VM",IF(VLOOKUP(TabVMEnv[VM],TabOceanet[],2,FALSE)&lt;4,4,VLOOKUP(TabVMEnv[VM],TabOceanet[],2,FALSE)),0)</f>
        <v>4</v>
      </c>
      <c r="G141">
        <v>0</v>
      </c>
      <c r="H141">
        <v>0</v>
      </c>
      <c r="I141">
        <v>0</v>
      </c>
      <c r="J141">
        <v>0</v>
      </c>
      <c r="K141">
        <f>IF(VLOOKUP(TabVMEnv[VM],TabOceanet[],16,FALSE) = "Tarif_VM",1,0)/TabVMEnv[[#This Row],[Mutualisé]]</f>
        <v>1</v>
      </c>
      <c r="L141">
        <f>IF(VLOOKUP(TabVMEnv[VM],TabOceanet[],9,FALSE) = "PoweredOn",1,0)</f>
        <v>1</v>
      </c>
      <c r="M141">
        <f>TabVMEnv[[#This Row],[IsVMPoweredOn]]*VLOOKUP(TabVMEnv[VM],TabOceanet[],3,FALSE)/TabVMEnv[[#This Row],[Mutualisé]]</f>
        <v>1</v>
      </c>
      <c r="N141">
        <f>VLOOKUP(TabVMEnv[VM],TabOceanet[],4,FALSE)/TabVMEnv[[#This Row],[Mutualisé]]</f>
        <v>4</v>
      </c>
      <c r="O141">
        <f>IF(LEFT(VLOOKUP(TabVMEnv[VM],TabOceanet[],5,FALSE),3)="win",1,0)</f>
        <v>0</v>
      </c>
      <c r="P141"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41" t="str">
        <f>VLOOKUP(TabVMEnv[EnvProjet],TabEnvProjet[],4,FALSE)</f>
        <v>GFI Oceanet Infra Réseau</v>
      </c>
      <c r="R141" s="5" t="str">
        <f>VLOOKUP(TabVMEnv[[#This Row],[SYGES]],TabContrat[],2,FALSE)</f>
        <v>GFI</v>
      </c>
      <c r="S141" s="5" t="str">
        <f>IF(VLOOKUP(TabVMEnv[[#This Row],[VM]],TabOceanet[],1,FALSE) = "","Disparue","")</f>
        <v/>
      </c>
      <c r="T141" s="17">
        <f>VLOOKUP(TabVMEnv[[#This Row],[VM]],TabOceanet[],36,FALSE)/TabVMEnv[[#This Row],[Mutualisé]]</f>
        <v>2.52</v>
      </c>
      <c r="U141" s="17">
        <f>IF(TabVMEnv[[#This Row],[CostCenter]]="CostCenterDI",0,TabVMEnv[[#This Row],[CoutGlobal]])</f>
        <v>0</v>
      </c>
      <c r="V141" s="17">
        <f>TabVMEnv[[#This Row],[CoutGlobalSansCostCenterDI]]/TabVMEnv[[#Totals],[CoutGlobalSansCostCenterDI]]*(GlobalARepartirSansMS+GlobalARepartirMSOnly+GlobalARepartirInfraReseau)</f>
        <v>0</v>
      </c>
      <c r="W141" s="17">
        <f>TabVMEnv[[#This Row],[CoutGlobalSansCostCenterDI]]+TabVMEnv[[#This Row],[CoutGlobalSupplementaire]]</f>
        <v>0</v>
      </c>
      <c r="X141" s="5" t="str">
        <f>VLOOKUP(TabVMEnv[[#This Row],[EnvProjet]],TabEnvProjet[],2,FALSE) &amp; " - " &amp; IFERROR(VLOOKUP(TabVMEnv[[#This Row],[EnvProjet]],TabEnvProjet[],4,FALSE),"INCONNU") &amp; " - " &amp; IFERROR(VLOOKUP(TabVMEnv[[#This Row],[EnvProjet]],TabEnvProjet[],5,FALSE),"INCONNU")</f>
        <v>GFI-Oceanet Infra Réseau - GFI Oceanet Infra Réseau - Jérôme JACOB</v>
      </c>
      <c r="Y141" s="5" t="str">
        <f>VLOOKUP(TabVMEnv[EnvProjet],TabEnvProjet[],5,FALSE)</f>
        <v>Jérôme JACOB</v>
      </c>
      <c r="Z141" s="5" t="str">
        <f>VLOOKUP(TabVMEnv[EnvProjet],TabEnvProjet[],6,FALSE)</f>
        <v>CostCenterDI</v>
      </c>
      <c r="AA141" s="5" t="str">
        <f>VLOOKUP(TabVMEnv[[#This Row],[EnvProjet]],TabEnvProjet[],3,FALSE)</f>
        <v>SOCLE</v>
      </c>
      <c r="AB141" s="5">
        <f>COUNTIF(TabVMEnv[VM],TabVMEnv[VM])</f>
        <v>1</v>
      </c>
    </row>
    <row r="142" spans="1:28" x14ac:dyDescent="0.25">
      <c r="A142" t="s">
        <v>158</v>
      </c>
      <c r="B142" t="s">
        <v>294</v>
      </c>
      <c r="D142">
        <v>0</v>
      </c>
      <c r="E142" s="13" t="s">
        <v>1195</v>
      </c>
      <c r="F142">
        <f>IF(VLOOKUP(TabVMEnv[VM],TabOceanet[],16,FALSE) = "Tarif_VM",IF(VLOOKUP(TabVMEnv[VM],TabOceanet[],2,FALSE)&lt;4,4,VLOOKUP(TabVMEnv[VM],TabOceanet[],2,FALSE)),0)</f>
        <v>4</v>
      </c>
      <c r="G142">
        <v>0</v>
      </c>
      <c r="H142">
        <v>0</v>
      </c>
      <c r="I142">
        <v>0</v>
      </c>
      <c r="J142">
        <v>0</v>
      </c>
      <c r="K142">
        <f>IF(VLOOKUP(TabVMEnv[VM],TabOceanet[],16,FALSE) = "Tarif_VM",1,0)/TabVMEnv[[#This Row],[Mutualisé]]</f>
        <v>1</v>
      </c>
      <c r="L142">
        <f>IF(VLOOKUP(TabVMEnv[VM],TabOceanet[],9,FALSE) = "PoweredOn",1,0)</f>
        <v>1</v>
      </c>
      <c r="M142">
        <f>TabVMEnv[[#This Row],[IsVMPoweredOn]]*VLOOKUP(TabVMEnv[VM],TabOceanet[],3,FALSE)/TabVMEnv[[#This Row],[Mutualisé]]</f>
        <v>1</v>
      </c>
      <c r="N142">
        <f>VLOOKUP(TabVMEnv[VM],TabOceanet[],4,FALSE)/TabVMEnv[[#This Row],[Mutualisé]]</f>
        <v>4</v>
      </c>
      <c r="O142">
        <f>IF(LEFT(VLOOKUP(TabVMEnv[VM],TabOceanet[],5,FALSE),3)="win",1,0)</f>
        <v>0</v>
      </c>
      <c r="P142"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42" t="str">
        <f>VLOOKUP(TabVMEnv[EnvProjet],TabEnvProjet[],4,FALSE)</f>
        <v>GFI Oceanet Infra Réseau</v>
      </c>
      <c r="R142" s="5" t="str">
        <f>VLOOKUP(TabVMEnv[[#This Row],[SYGES]],TabContrat[],2,FALSE)</f>
        <v>GFI</v>
      </c>
      <c r="S142" s="5" t="str">
        <f>IF(VLOOKUP(TabVMEnv[[#This Row],[VM]],TabOceanet[],1,FALSE) = "","Disparue","")</f>
        <v/>
      </c>
      <c r="T142" s="17">
        <f>VLOOKUP(TabVMEnv[[#This Row],[VM]],TabOceanet[],36,FALSE)/TabVMEnv[[#This Row],[Mutualisé]]</f>
        <v>2.52</v>
      </c>
      <c r="U142" s="17">
        <f>IF(TabVMEnv[[#This Row],[CostCenter]]="CostCenterDI",0,TabVMEnv[[#This Row],[CoutGlobal]])</f>
        <v>0</v>
      </c>
      <c r="V142" s="17">
        <f>TabVMEnv[[#This Row],[CoutGlobalSansCostCenterDI]]/TabVMEnv[[#Totals],[CoutGlobalSansCostCenterDI]]*(GlobalARepartirSansMS+GlobalARepartirMSOnly+GlobalARepartirInfraReseau)</f>
        <v>0</v>
      </c>
      <c r="W142" s="17">
        <f>TabVMEnv[[#This Row],[CoutGlobalSansCostCenterDI]]+TabVMEnv[[#This Row],[CoutGlobalSupplementaire]]</f>
        <v>0</v>
      </c>
      <c r="X142" s="5" t="str">
        <f>VLOOKUP(TabVMEnv[[#This Row],[EnvProjet]],TabEnvProjet[],2,FALSE) &amp; " - " &amp; IFERROR(VLOOKUP(TabVMEnv[[#This Row],[EnvProjet]],TabEnvProjet[],4,FALSE),"INCONNU") &amp; " - " &amp; IFERROR(VLOOKUP(TabVMEnv[[#This Row],[EnvProjet]],TabEnvProjet[],5,FALSE),"INCONNU")</f>
        <v>GFI-Oceanet Infra Réseau - GFI Oceanet Infra Réseau - Jérôme JACOB</v>
      </c>
      <c r="Y142" s="5" t="str">
        <f>VLOOKUP(TabVMEnv[EnvProjet],TabEnvProjet[],5,FALSE)</f>
        <v>Jérôme JACOB</v>
      </c>
      <c r="Z142" s="5" t="str">
        <f>VLOOKUP(TabVMEnv[EnvProjet],TabEnvProjet[],6,FALSE)</f>
        <v>CostCenterDI</v>
      </c>
      <c r="AA142" s="5" t="str">
        <f>VLOOKUP(TabVMEnv[[#This Row],[EnvProjet]],TabEnvProjet[],3,FALSE)</f>
        <v>SOCLE</v>
      </c>
      <c r="AB142" s="5">
        <f>COUNTIF(TabVMEnv[VM],TabVMEnv[VM])</f>
        <v>1</v>
      </c>
    </row>
    <row r="143" spans="1:28" x14ac:dyDescent="0.25">
      <c r="A143" t="s">
        <v>183</v>
      </c>
      <c r="B143" t="s">
        <v>357</v>
      </c>
      <c r="D143">
        <v>2</v>
      </c>
      <c r="E143" s="13" t="s">
        <v>1198</v>
      </c>
      <c r="F143">
        <f>IF(VLOOKUP(TabVMEnv[VM],TabOceanet[],16,FALSE) = "Tarif_VM",IF(VLOOKUP(TabVMEnv[VM],TabOceanet[],2,FALSE)&lt;4,4,VLOOKUP(TabVMEnv[VM],TabOceanet[],2,FALSE)),0)</f>
        <v>4</v>
      </c>
      <c r="G143">
        <v>0</v>
      </c>
      <c r="H143">
        <v>0</v>
      </c>
      <c r="I143">
        <v>0</v>
      </c>
      <c r="J143">
        <v>0</v>
      </c>
      <c r="K143">
        <f>IF(VLOOKUP(TabVMEnv[VM],TabOceanet[],16,FALSE) = "Tarif_VM",1,0)/TabVMEnv[[#This Row],[Mutualisé]]</f>
        <v>1</v>
      </c>
      <c r="L143">
        <f>IF(VLOOKUP(TabVMEnv[VM],TabOceanet[],9,FALSE) = "PoweredOn",1,0)</f>
        <v>1</v>
      </c>
      <c r="M143">
        <f>TabVMEnv[[#This Row],[IsVMPoweredOn]]*VLOOKUP(TabVMEnv[VM],TabOceanet[],3,FALSE)/TabVMEnv[[#This Row],[Mutualisé]]</f>
        <v>4</v>
      </c>
      <c r="N143">
        <f>VLOOKUP(TabVMEnv[VM],TabOceanet[],4,FALSE)/TabVMEnv[[#This Row],[Mutualisé]]</f>
        <v>28</v>
      </c>
      <c r="O143">
        <f>IF(LEFT(VLOOKUP(TabVMEnv[VM],TabOceanet[],5,FALSE),3)="win",1,0)</f>
        <v>0</v>
      </c>
      <c r="P143"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43" t="str">
        <f>VLOOKUP(TabVMEnv[EnvProjet],TabEnvProjet[],4,FALSE)</f>
        <v>GitLab Orléans</v>
      </c>
      <c r="R143" s="5" t="str">
        <f>VLOOKUP(TabVMEnv[[#This Row],[SYGES]],TabContrat[],2,FALSE)</f>
        <v>GFI</v>
      </c>
      <c r="S143" s="5" t="str">
        <f>IF(VLOOKUP(TabVMEnv[[#This Row],[VM]],TabOceanet[],1,FALSE) = "","Disparue","")</f>
        <v/>
      </c>
      <c r="T143" s="17">
        <f>VLOOKUP(TabVMEnv[[#This Row],[VM]],TabOceanet[],36,FALSE)/TabVMEnv[[#This Row],[Mutualisé]]</f>
        <v>12.84</v>
      </c>
      <c r="U143" s="17">
        <f>IF(TabVMEnv[[#This Row],[CostCenter]]="CostCenterDI",0,TabVMEnv[[#This Row],[CoutGlobal]])</f>
        <v>12.84</v>
      </c>
      <c r="V143" s="17">
        <f>TabVMEnv[[#This Row],[CoutGlobalSansCostCenterDI]]/TabVMEnv[[#Totals],[CoutGlobalSansCostCenterDI]]*(GlobalARepartirSansMS+GlobalARepartirMSOnly+GlobalARepartirInfraReseau)</f>
        <v>22.411668443368942</v>
      </c>
      <c r="W143" s="17">
        <f>TabVMEnv[[#This Row],[CoutGlobalSansCostCenterDI]]+TabVMEnv[[#This Row],[CoutGlobalSupplementaire]]</f>
        <v>35.251668443368942</v>
      </c>
      <c r="X143" s="5" t="str">
        <f>VLOOKUP(TabVMEnv[[#This Row],[EnvProjet]],TabEnvProjet[],2,FALSE) &amp; " - " &amp; IFERROR(VLOOKUP(TabVMEnv[[#This Row],[EnvProjet]],TabEnvProjet[],4,FALSE),"INCONNU") &amp; " - " &amp; IFERROR(VLOOKUP(TabVMEnv[[#This Row],[EnvProjet]],TabEnvProjet[],5,FALSE),"INCONNU")</f>
        <v>GFI-GitLab Orléans - GitLab Orléans - Christophe ORLANDO</v>
      </c>
      <c r="Y143" s="5" t="str">
        <f>VLOOKUP(TabVMEnv[EnvProjet],TabEnvProjet[],5,FALSE)</f>
        <v>Christophe ORLANDO</v>
      </c>
      <c r="Z143" s="5">
        <f>VLOOKUP(TabVMEnv[EnvProjet],TabEnvProjet[],6,FALSE)</f>
        <v>305704</v>
      </c>
      <c r="AA143" s="5" t="str">
        <f>VLOOKUP(TabVMEnv[[#This Row],[EnvProjet]],TabEnvProjet[],3,FALSE)</f>
        <v>PROD</v>
      </c>
      <c r="AB143" s="5">
        <f>COUNTIF(TabVMEnv[VM],TabVMEnv[VM])</f>
        <v>1</v>
      </c>
    </row>
    <row r="144" spans="1:28" x14ac:dyDescent="0.25">
      <c r="A144" t="s">
        <v>1324</v>
      </c>
      <c r="B144" t="s">
        <v>333</v>
      </c>
      <c r="C144" t="s">
        <v>48</v>
      </c>
      <c r="D144">
        <v>0</v>
      </c>
      <c r="E144" s="13" t="s">
        <v>1197</v>
      </c>
      <c r="F144">
        <f>IF(VLOOKUP(TabVMEnv[VM],TabOceanet[],16,FALSE) = "Tarif_VM",IF(VLOOKUP(TabVMEnv[VM],TabOceanet[],2,FALSE)&lt;4,4,VLOOKUP(TabVMEnv[VM],TabOceanet[],2,FALSE)),0)</f>
        <v>4</v>
      </c>
      <c r="G144">
        <v>0</v>
      </c>
      <c r="H144">
        <v>0</v>
      </c>
      <c r="I144">
        <v>0</v>
      </c>
      <c r="J144">
        <v>0</v>
      </c>
      <c r="K144">
        <f>IF(VLOOKUP(TabVMEnv[VM],TabOceanet[],16,FALSE) = "Tarif_VM",1,0)/TabVMEnv[[#This Row],[Mutualisé]]</f>
        <v>1</v>
      </c>
      <c r="L144">
        <f>IF(VLOOKUP(TabVMEnv[VM],TabOceanet[],9,FALSE) = "PoweredOn",1,0)</f>
        <v>1</v>
      </c>
      <c r="M144">
        <f>TabVMEnv[[#This Row],[IsVMPoweredOn]]*VLOOKUP(TabVMEnv[VM],TabOceanet[],3,FALSE)/TabVMEnv[[#This Row],[Mutualisé]]</f>
        <v>8</v>
      </c>
      <c r="N144">
        <f>VLOOKUP(TabVMEnv[VM],TabOceanet[],4,FALSE)/TabVMEnv[[#This Row],[Mutualisé]]</f>
        <v>48</v>
      </c>
      <c r="O144">
        <f>IF(LEFT(VLOOKUP(TabVMEnv[VM],TabOceanet[],5,FALSE),3)="win",1,0)</f>
        <v>0</v>
      </c>
      <c r="P144"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44" t="str">
        <f>VLOOKUP(TabVMEnv[EnvProjet],TabEnvProjet[],4,FALSE)</f>
        <v>MAE-PII-L2/334179-17</v>
      </c>
      <c r="R144" s="5" t="str">
        <f>VLOOKUP(TabVMEnv[[#This Row],[SYGES]],TabContrat[],2,FALSE)</f>
        <v>MINISTERE DE L'EUROPE ET DES AFFAIRES ETRANGERES</v>
      </c>
      <c r="S144" s="5" t="str">
        <f>IF(VLOOKUP(TabVMEnv[[#This Row],[VM]],TabOceanet[],1,FALSE) = "","Disparue","")</f>
        <v/>
      </c>
      <c r="T144" s="17">
        <f>VLOOKUP(TabVMEnv[[#This Row],[VM]],TabOceanet[],36,FALSE)/TabVMEnv[[#This Row],[Mutualisé]]</f>
        <v>23.840000000000003</v>
      </c>
      <c r="U144" s="17">
        <f>IF(TabVMEnv[[#This Row],[CostCenter]]="CostCenterDI",0,TabVMEnv[[#This Row],[CoutGlobal]])</f>
        <v>23.840000000000003</v>
      </c>
      <c r="V144" s="17">
        <f>TabVMEnv[[#This Row],[CoutGlobalSansCostCenterDI]]/TabVMEnv[[#Totals],[CoutGlobalSansCostCenterDI]]*(GlobalARepartirSansMS+GlobalARepartirMSOnly+GlobalARepartirInfraReseau)</f>
        <v>41.611695926005901</v>
      </c>
      <c r="W144" s="17">
        <f>TabVMEnv[[#This Row],[CoutGlobalSansCostCenterDI]]+TabVMEnv[[#This Row],[CoutGlobalSupplementaire]]</f>
        <v>65.451695926005897</v>
      </c>
      <c r="X144" s="5" t="str">
        <f>VLOOKUP(TabVMEnv[[#This Row],[EnvProjet]],TabEnvProjet[],2,FALSE) &amp; " - " &amp; IFERROR(VLOOKUP(TabVMEnv[[#This Row],[EnvProjet]],TabEnvProjet[],4,FALSE),"INCONNU") &amp; " - " &amp; IFERROR(VLOOKUP(TabVMEnv[[#This Row],[EnvProjet]],TabEnvProjet[],5,FALSE),"INCONNU")</f>
        <v>MEAE-Visa - MAE-PII-L2/334179-17 - Axel Benoist-Gironiere</v>
      </c>
      <c r="Y144" s="5" t="str">
        <f>VLOOKUP(TabVMEnv[EnvProjet],TabEnvProjet[],5,FALSE)</f>
        <v>Axel Benoist-Gironiere</v>
      </c>
      <c r="Z144" s="5">
        <f>VLOOKUP(TabVMEnv[EnvProjet],TabEnvProjet[],6,FALSE)</f>
        <v>341531</v>
      </c>
      <c r="AA144" s="5" t="str">
        <f>VLOOKUP(TabVMEnv[[#This Row],[EnvProjet]],TabEnvProjet[],3,FALSE)</f>
        <v>SOCLE</v>
      </c>
      <c r="AB144" s="5">
        <f>COUNTIF(TabVMEnv[VM],TabVMEnv[VM])</f>
        <v>1</v>
      </c>
    </row>
    <row r="145" spans="1:28" x14ac:dyDescent="0.25">
      <c r="A145" t="s">
        <v>1325</v>
      </c>
      <c r="B145" t="s">
        <v>333</v>
      </c>
      <c r="C145" t="s">
        <v>49</v>
      </c>
      <c r="D145">
        <v>0</v>
      </c>
      <c r="E145" s="13" t="s">
        <v>1197</v>
      </c>
      <c r="F145">
        <f>IF(VLOOKUP(TabVMEnv[VM],TabOceanet[],16,FALSE) = "Tarif_VM",IF(VLOOKUP(TabVMEnv[VM],TabOceanet[],2,FALSE)&lt;4,4,VLOOKUP(TabVMEnv[VM],TabOceanet[],2,FALSE)),0)</f>
        <v>4</v>
      </c>
      <c r="G145">
        <v>0</v>
      </c>
      <c r="H145">
        <v>0</v>
      </c>
      <c r="I145">
        <v>0</v>
      </c>
      <c r="J145">
        <v>0</v>
      </c>
      <c r="K145">
        <f>IF(VLOOKUP(TabVMEnv[VM],TabOceanet[],16,FALSE) = "Tarif_VM",1,0)/TabVMEnv[[#This Row],[Mutualisé]]</f>
        <v>1</v>
      </c>
      <c r="L145">
        <f>IF(VLOOKUP(TabVMEnv[VM],TabOceanet[],9,FALSE) = "PoweredOn",1,0)</f>
        <v>1</v>
      </c>
      <c r="M145">
        <f>TabVMEnv[[#This Row],[IsVMPoweredOn]]*VLOOKUP(TabVMEnv[VM],TabOceanet[],3,FALSE)/TabVMEnv[[#This Row],[Mutualisé]]</f>
        <v>1</v>
      </c>
      <c r="N145">
        <f>VLOOKUP(TabVMEnv[VM],TabOceanet[],4,FALSE)/TabVMEnv[[#This Row],[Mutualisé]]</f>
        <v>14</v>
      </c>
      <c r="O145">
        <f>IF(LEFT(VLOOKUP(TabVMEnv[VM],TabOceanet[],5,FALSE),3)="win",1,0)</f>
        <v>0</v>
      </c>
      <c r="P145"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45" t="str">
        <f>VLOOKUP(TabVMEnv[EnvProjet],TabEnvProjet[],4,FALSE)</f>
        <v>MAE-PII-L2/334179-17</v>
      </c>
      <c r="R145" s="5" t="str">
        <f>VLOOKUP(TabVMEnv[[#This Row],[SYGES]],TabContrat[],2,FALSE)</f>
        <v>MINISTERE DE L'EUROPE ET DES AFFAIRES ETRANGERES</v>
      </c>
      <c r="S145" s="5" t="str">
        <f>IF(VLOOKUP(TabVMEnv[[#This Row],[VM]],TabOceanet[],1,FALSE) = "","Disparue","")</f>
        <v/>
      </c>
      <c r="T145" s="17">
        <f>VLOOKUP(TabVMEnv[[#This Row],[VM]],TabOceanet[],36,FALSE)/TabVMEnv[[#This Row],[Mutualisé]]</f>
        <v>4.82</v>
      </c>
      <c r="U145" s="17">
        <f>IF(TabVMEnv[[#This Row],[CostCenter]]="CostCenterDI",0,TabVMEnv[[#This Row],[CoutGlobal]])</f>
        <v>4.82</v>
      </c>
      <c r="V145" s="17">
        <f>TabVMEnv[[#This Row],[CoutGlobalSansCostCenterDI]]/TabVMEnv[[#Totals],[CoutGlobalSansCostCenterDI]]*(GlobalARepartirSansMS+GlobalARepartirMSOnly+GlobalARepartirInfraReseau)</f>
        <v>8.4131029514827347</v>
      </c>
      <c r="W145" s="17">
        <f>TabVMEnv[[#This Row],[CoutGlobalSansCostCenterDI]]+TabVMEnv[[#This Row],[CoutGlobalSupplementaire]]</f>
        <v>13.233102951482735</v>
      </c>
      <c r="X145" s="5" t="str">
        <f>VLOOKUP(TabVMEnv[[#This Row],[EnvProjet]],TabEnvProjet[],2,FALSE) &amp; " - " &amp; IFERROR(VLOOKUP(TabVMEnv[[#This Row],[EnvProjet]],TabEnvProjet[],4,FALSE),"INCONNU") &amp; " - " &amp; IFERROR(VLOOKUP(TabVMEnv[[#This Row],[EnvProjet]],TabEnvProjet[],5,FALSE),"INCONNU")</f>
        <v>MEAE-Visa - MAE-PII-L2/334179-17 - Axel Benoist-Gironiere</v>
      </c>
      <c r="Y145" s="5" t="str">
        <f>VLOOKUP(TabVMEnv[EnvProjet],TabEnvProjet[],5,FALSE)</f>
        <v>Axel Benoist-Gironiere</v>
      </c>
      <c r="Z145" s="5">
        <f>VLOOKUP(TabVMEnv[EnvProjet],TabEnvProjet[],6,FALSE)</f>
        <v>341531</v>
      </c>
      <c r="AA145" s="5" t="str">
        <f>VLOOKUP(TabVMEnv[[#This Row],[EnvProjet]],TabEnvProjet[],3,FALSE)</f>
        <v>SOCLE</v>
      </c>
      <c r="AB145" s="5">
        <f>COUNTIF(TabVMEnv[VM],TabVMEnv[VM])</f>
        <v>1</v>
      </c>
    </row>
    <row r="146" spans="1:28" x14ac:dyDescent="0.25">
      <c r="A146" t="s">
        <v>90</v>
      </c>
      <c r="B146" t="s">
        <v>295</v>
      </c>
      <c r="E146" s="13"/>
      <c r="F146">
        <f>IF(VLOOKUP(TabVMEnv[VM],TabOceanet[],16,FALSE) = "Tarif_VM",IF(VLOOKUP(TabVMEnv[VM],TabOceanet[],2,FALSE)&lt;4,4,VLOOKUP(TabVMEnv[VM],TabOceanet[],2,FALSE)),0)</f>
        <v>4</v>
      </c>
      <c r="G146">
        <v>0</v>
      </c>
      <c r="H146">
        <v>0</v>
      </c>
      <c r="I146">
        <v>0</v>
      </c>
      <c r="J146">
        <v>0</v>
      </c>
      <c r="K146">
        <f>IF(VLOOKUP(TabVMEnv[VM],TabOceanet[],16,FALSE) = "Tarif_VM",1,0)/TabVMEnv[[#This Row],[Mutualisé]]</f>
        <v>1</v>
      </c>
      <c r="L146">
        <f>IF(VLOOKUP(TabVMEnv[VM],TabOceanet[],9,FALSE) = "PoweredOn",1,0)</f>
        <v>1</v>
      </c>
      <c r="M146">
        <f>TabVMEnv[[#This Row],[IsVMPoweredOn]]*VLOOKUP(TabVMEnv[VM],TabOceanet[],3,FALSE)/TabVMEnv[[#This Row],[Mutualisé]]</f>
        <v>4</v>
      </c>
      <c r="N146">
        <f>VLOOKUP(TabVMEnv[VM],TabOceanet[],4,FALSE)/TabVMEnv[[#This Row],[Mutualisé]]</f>
        <v>20</v>
      </c>
      <c r="O146">
        <f>IF(LEFT(VLOOKUP(TabVMEnv[VM],TabOceanet[],5,FALSE),3)="win",1,0)</f>
        <v>0</v>
      </c>
      <c r="P146"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46" t="str">
        <f>VLOOKUP(TabVMEnv[EnvProjet],TabEnvProjet[],4,FALSE)</f>
        <v>Fablab-Firmin</v>
      </c>
      <c r="R146" s="5" t="str">
        <f>VLOOKUP(TabVMEnv[[#This Row],[SYGES]],TabContrat[],2,FALSE)</f>
        <v>Fablab</v>
      </c>
      <c r="S146" s="5" t="str">
        <f>IF(VLOOKUP(TabVMEnv[[#This Row],[VM]],TabOceanet[],1,FALSE) = "","Disparue","")</f>
        <v/>
      </c>
      <c r="T146" s="17">
        <f>VLOOKUP(TabVMEnv[[#This Row],[VM]],TabOceanet[],36,FALSE)/TabVMEnv[[#This Row],[Mutualisé]]</f>
        <v>11</v>
      </c>
      <c r="U146" s="17">
        <f>IF(TabVMEnv[[#This Row],[CostCenter]]="CostCenterDI",0,TabVMEnv[[#This Row],[CoutGlobal]])</f>
        <v>11</v>
      </c>
      <c r="V146" s="17">
        <f>TabVMEnv[[#This Row],[CoutGlobalSansCostCenterDI]]/TabVMEnv[[#Totals],[CoutGlobalSansCostCenterDI]]*(GlobalARepartirSansMS+GlobalARepartirMSOnly+GlobalARepartirInfraReseau)</f>
        <v>19.200027482636948</v>
      </c>
      <c r="W146" s="17">
        <f>TabVMEnv[[#This Row],[CoutGlobalSansCostCenterDI]]+TabVMEnv[[#This Row],[CoutGlobalSupplementaire]]</f>
        <v>30.200027482636948</v>
      </c>
      <c r="X146" s="5" t="str">
        <f>VLOOKUP(TabVMEnv[[#This Row],[EnvProjet]],TabEnvProjet[],2,FALSE) &amp; " - " &amp; IFERROR(VLOOKUP(TabVMEnv[[#This Row],[EnvProjet]],TabEnvProjet[],4,FALSE),"INCONNU") &amp; " - " &amp; IFERROR(VLOOKUP(TabVMEnv[[#This Row],[EnvProjet]],TabEnvProjet[],5,FALSE),"INCONNU")</f>
        <v>Fablab-Firmin - Fablab-Firmin - Pierre-Yves Baloche</v>
      </c>
      <c r="Y146" s="5" t="str">
        <f>VLOOKUP(TabVMEnv[EnvProjet],TabEnvProjet[],5,FALSE)</f>
        <v>Pierre-Yves Baloche</v>
      </c>
      <c r="Z146" s="5" t="str">
        <f>VLOOKUP(TabVMEnv[EnvProjet],TabEnvProjet[],6,FALSE)</f>
        <v>Fablab</v>
      </c>
      <c r="AA146" s="5" t="str">
        <f>VLOOKUP(TabVMEnv[[#This Row],[EnvProjet]],TabEnvProjet[],3,FALSE)</f>
        <v>SOCLE</v>
      </c>
      <c r="AB146" s="5">
        <f>COUNTIF(TabVMEnv[VM],TabVMEnv[VM])</f>
        <v>1</v>
      </c>
    </row>
    <row r="147" spans="1:28" x14ac:dyDescent="0.25">
      <c r="A147" t="s">
        <v>82</v>
      </c>
      <c r="B147" t="s">
        <v>295</v>
      </c>
      <c r="E147" s="13"/>
      <c r="F147">
        <f>IF(VLOOKUP(TabVMEnv[VM],TabOceanet[],16,FALSE) = "Tarif_VM",IF(VLOOKUP(TabVMEnv[VM],TabOceanet[],2,FALSE)&lt;4,4,VLOOKUP(TabVMEnv[VM],TabOceanet[],2,FALSE)),0)</f>
        <v>4</v>
      </c>
      <c r="G147">
        <v>0</v>
      </c>
      <c r="H147">
        <v>0</v>
      </c>
      <c r="I147">
        <v>0</v>
      </c>
      <c r="J147">
        <v>0</v>
      </c>
      <c r="K147">
        <f>IF(VLOOKUP(TabVMEnv[VM],TabOceanet[],16,FALSE) = "Tarif_VM",1,0)/TabVMEnv[[#This Row],[Mutualisé]]</f>
        <v>1</v>
      </c>
      <c r="L147">
        <f>IF(VLOOKUP(TabVMEnv[VM],TabOceanet[],9,FALSE) = "PoweredOn",1,0)</f>
        <v>1</v>
      </c>
      <c r="M147">
        <f>TabVMEnv[[#This Row],[IsVMPoweredOn]]*VLOOKUP(TabVMEnv[VM],TabOceanet[],3,FALSE)/TabVMEnv[[#This Row],[Mutualisé]]</f>
        <v>4</v>
      </c>
      <c r="N147">
        <f>VLOOKUP(TabVMEnv[VM],TabOceanet[],4,FALSE)/TabVMEnv[[#This Row],[Mutualisé]]</f>
        <v>107</v>
      </c>
      <c r="O147">
        <f>IF(LEFT(VLOOKUP(TabVMEnv[VM],TabOceanet[],5,FALSE),3)="win",1,0)</f>
        <v>0</v>
      </c>
      <c r="P147"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47" t="str">
        <f>VLOOKUP(TabVMEnv[EnvProjet],TabEnvProjet[],4,FALSE)</f>
        <v>Fablab-Firmin</v>
      </c>
      <c r="R147" s="5" t="str">
        <f>VLOOKUP(TabVMEnv[[#This Row],[SYGES]],TabContrat[],2,FALSE)</f>
        <v>Fablab</v>
      </c>
      <c r="S147" s="5" t="str">
        <f>IF(VLOOKUP(TabVMEnv[[#This Row],[VM]],TabOceanet[],1,FALSE) = "","Disparue","")</f>
        <v/>
      </c>
      <c r="T147" s="17">
        <f>VLOOKUP(TabVMEnv[[#This Row],[VM]],TabOceanet[],36,FALSE)/TabVMEnv[[#This Row],[Mutualisé]]</f>
        <v>31.009999999999998</v>
      </c>
      <c r="U147" s="17">
        <f>IF(TabVMEnv[[#This Row],[CostCenter]]="CostCenterDI",0,TabVMEnv[[#This Row],[CoutGlobal]])</f>
        <v>31.009999999999998</v>
      </c>
      <c r="V147" s="17">
        <f>TabVMEnv[[#This Row],[CoutGlobalSansCostCenterDI]]/TabVMEnv[[#Totals],[CoutGlobalSansCostCenterDI]]*(GlobalARepartirSansMS+GlobalARepartirMSOnly+GlobalARepartirInfraReseau)</f>
        <v>54.126622930597428</v>
      </c>
      <c r="W147" s="17">
        <f>TabVMEnv[[#This Row],[CoutGlobalSansCostCenterDI]]+TabVMEnv[[#This Row],[CoutGlobalSupplementaire]]</f>
        <v>85.136622930597426</v>
      </c>
      <c r="X147" s="5" t="str">
        <f>VLOOKUP(TabVMEnv[[#This Row],[EnvProjet]],TabEnvProjet[],2,FALSE) &amp; " - " &amp; IFERROR(VLOOKUP(TabVMEnv[[#This Row],[EnvProjet]],TabEnvProjet[],4,FALSE),"INCONNU") &amp; " - " &amp; IFERROR(VLOOKUP(TabVMEnv[[#This Row],[EnvProjet]],TabEnvProjet[],5,FALSE),"INCONNU")</f>
        <v>Fablab-Firmin - Fablab-Firmin - Pierre-Yves Baloche</v>
      </c>
      <c r="Y147" s="5" t="str">
        <f>VLOOKUP(TabVMEnv[EnvProjet],TabEnvProjet[],5,FALSE)</f>
        <v>Pierre-Yves Baloche</v>
      </c>
      <c r="Z147" s="5" t="str">
        <f>VLOOKUP(TabVMEnv[EnvProjet],TabEnvProjet[],6,FALSE)</f>
        <v>Fablab</v>
      </c>
      <c r="AA147" s="5" t="str">
        <f>VLOOKUP(TabVMEnv[[#This Row],[EnvProjet]],TabEnvProjet[],3,FALSE)</f>
        <v>SOCLE</v>
      </c>
      <c r="AB147" s="5">
        <f>COUNTIF(TabVMEnv[VM],TabVMEnv[VM])</f>
        <v>1</v>
      </c>
    </row>
    <row r="148" spans="1:28" x14ac:dyDescent="0.25">
      <c r="A148" t="s">
        <v>83</v>
      </c>
      <c r="B148" t="s">
        <v>295</v>
      </c>
      <c r="E148" s="13"/>
      <c r="F148">
        <f>IF(VLOOKUP(TabVMEnv[VM],TabOceanet[],16,FALSE) = "Tarif_VM",IF(VLOOKUP(TabVMEnv[VM],TabOceanet[],2,FALSE)&lt;4,4,VLOOKUP(TabVMEnv[VM],TabOceanet[],2,FALSE)),0)</f>
        <v>4</v>
      </c>
      <c r="G148">
        <v>0</v>
      </c>
      <c r="H148">
        <v>0</v>
      </c>
      <c r="I148">
        <v>0</v>
      </c>
      <c r="J148">
        <v>0</v>
      </c>
      <c r="K148">
        <f>IF(VLOOKUP(TabVMEnv[VM],TabOceanet[],16,FALSE) = "Tarif_VM",1,0)/TabVMEnv[[#This Row],[Mutualisé]]</f>
        <v>1</v>
      </c>
      <c r="L148">
        <f>IF(VLOOKUP(TabVMEnv[VM],TabOceanet[],9,FALSE) = "PoweredOn",1,0)</f>
        <v>1</v>
      </c>
      <c r="M148">
        <f>TabVMEnv[[#This Row],[IsVMPoweredOn]]*VLOOKUP(TabVMEnv[VM],TabOceanet[],3,FALSE)/TabVMEnv[[#This Row],[Mutualisé]]</f>
        <v>4</v>
      </c>
      <c r="N148">
        <f>VLOOKUP(TabVMEnv[VM],TabOceanet[],4,FALSE)/TabVMEnv[[#This Row],[Mutualisé]]</f>
        <v>12</v>
      </c>
      <c r="O148">
        <f>IF(LEFT(VLOOKUP(TabVMEnv[VM],TabOceanet[],5,FALSE),3)="win",1,0)</f>
        <v>0</v>
      </c>
      <c r="P148"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48" t="str">
        <f>VLOOKUP(TabVMEnv[EnvProjet],TabEnvProjet[],4,FALSE)</f>
        <v>Fablab-Firmin</v>
      </c>
      <c r="R148" s="5" t="str">
        <f>VLOOKUP(TabVMEnv[[#This Row],[SYGES]],TabContrat[],2,FALSE)</f>
        <v>Fablab</v>
      </c>
      <c r="S148" s="5" t="str">
        <f>IF(VLOOKUP(TabVMEnv[[#This Row],[VM]],TabOceanet[],1,FALSE) = "","Disparue","")</f>
        <v/>
      </c>
      <c r="T148" s="17">
        <f>VLOOKUP(TabVMEnv[[#This Row],[VM]],TabOceanet[],36,FALSE)/TabVMEnv[[#This Row],[Mutualisé]]</f>
        <v>9.16</v>
      </c>
      <c r="U148" s="17">
        <f>IF(TabVMEnv[[#This Row],[CostCenter]]="CostCenterDI",0,TabVMEnv[[#This Row],[CoutGlobal]])</f>
        <v>9.16</v>
      </c>
      <c r="V148" s="17">
        <f>TabVMEnv[[#This Row],[CoutGlobalSansCostCenterDI]]/TabVMEnv[[#Totals],[CoutGlobalSansCostCenterDI]]*(GlobalARepartirSansMS+GlobalARepartirMSOnly+GlobalARepartirInfraReseau)</f>
        <v>15.988386521904948</v>
      </c>
      <c r="W148" s="17">
        <f>TabVMEnv[[#This Row],[CoutGlobalSansCostCenterDI]]+TabVMEnv[[#This Row],[CoutGlobalSupplementaire]]</f>
        <v>25.148386521904946</v>
      </c>
      <c r="X148" s="5" t="str">
        <f>VLOOKUP(TabVMEnv[[#This Row],[EnvProjet]],TabEnvProjet[],2,FALSE) &amp; " - " &amp; IFERROR(VLOOKUP(TabVMEnv[[#This Row],[EnvProjet]],TabEnvProjet[],4,FALSE),"INCONNU") &amp; " - " &amp; IFERROR(VLOOKUP(TabVMEnv[[#This Row],[EnvProjet]],TabEnvProjet[],5,FALSE),"INCONNU")</f>
        <v>Fablab-Firmin - Fablab-Firmin - Pierre-Yves Baloche</v>
      </c>
      <c r="Y148" s="5" t="str">
        <f>VLOOKUP(TabVMEnv[EnvProjet],TabEnvProjet[],5,FALSE)</f>
        <v>Pierre-Yves Baloche</v>
      </c>
      <c r="Z148" s="5" t="str">
        <f>VLOOKUP(TabVMEnv[EnvProjet],TabEnvProjet[],6,FALSE)</f>
        <v>Fablab</v>
      </c>
      <c r="AA148" s="5" t="str">
        <f>VLOOKUP(TabVMEnv[[#This Row],[EnvProjet]],TabEnvProjet[],3,FALSE)</f>
        <v>SOCLE</v>
      </c>
      <c r="AB148" s="5">
        <f>COUNTIF(TabVMEnv[VM],TabVMEnv[VM])</f>
        <v>1</v>
      </c>
    </row>
    <row r="149" spans="1:28" x14ac:dyDescent="0.25">
      <c r="A149" t="s">
        <v>84</v>
      </c>
      <c r="B149" t="s">
        <v>295</v>
      </c>
      <c r="E149" s="13"/>
      <c r="F149">
        <f>IF(VLOOKUP(TabVMEnv[VM],TabOceanet[],16,FALSE) = "Tarif_VM",IF(VLOOKUP(TabVMEnv[VM],TabOceanet[],2,FALSE)&lt;4,4,VLOOKUP(TabVMEnv[VM],TabOceanet[],2,FALSE)),0)</f>
        <v>4</v>
      </c>
      <c r="G149">
        <v>0</v>
      </c>
      <c r="H149">
        <v>0</v>
      </c>
      <c r="I149">
        <v>0</v>
      </c>
      <c r="J149">
        <v>0</v>
      </c>
      <c r="K149">
        <f>IF(VLOOKUP(TabVMEnv[VM],TabOceanet[],16,FALSE) = "Tarif_VM",1,0)/TabVMEnv[[#This Row],[Mutualisé]]</f>
        <v>1</v>
      </c>
      <c r="L149">
        <f>IF(VLOOKUP(TabVMEnv[VM],TabOceanet[],9,FALSE) = "PoweredOn",1,0)</f>
        <v>1</v>
      </c>
      <c r="M149">
        <f>TabVMEnv[[#This Row],[IsVMPoweredOn]]*VLOOKUP(TabVMEnv[VM],TabOceanet[],3,FALSE)/TabVMEnv[[#This Row],[Mutualisé]]</f>
        <v>4</v>
      </c>
      <c r="N149">
        <f>VLOOKUP(TabVMEnv[VM],TabOceanet[],4,FALSE)/TabVMEnv[[#This Row],[Mutualisé]]</f>
        <v>12</v>
      </c>
      <c r="O149">
        <f>IF(LEFT(VLOOKUP(TabVMEnv[VM],TabOceanet[],5,FALSE),3)="win",1,0)</f>
        <v>0</v>
      </c>
      <c r="P149"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49" t="str">
        <f>VLOOKUP(TabVMEnv[EnvProjet],TabEnvProjet[],4,FALSE)</f>
        <v>Fablab-Firmin</v>
      </c>
      <c r="R149" s="5" t="str">
        <f>VLOOKUP(TabVMEnv[[#This Row],[SYGES]],TabContrat[],2,FALSE)</f>
        <v>Fablab</v>
      </c>
      <c r="S149" s="5" t="str">
        <f>IF(VLOOKUP(TabVMEnv[[#This Row],[VM]],TabOceanet[],1,FALSE) = "","Disparue","")</f>
        <v/>
      </c>
      <c r="T149" s="17">
        <f>VLOOKUP(TabVMEnv[[#This Row],[VM]],TabOceanet[],36,FALSE)/TabVMEnv[[#This Row],[Mutualisé]]</f>
        <v>9.16</v>
      </c>
      <c r="U149" s="17">
        <f>IF(TabVMEnv[[#This Row],[CostCenter]]="CostCenterDI",0,TabVMEnv[[#This Row],[CoutGlobal]])</f>
        <v>9.16</v>
      </c>
      <c r="V149" s="17">
        <f>TabVMEnv[[#This Row],[CoutGlobalSansCostCenterDI]]/TabVMEnv[[#Totals],[CoutGlobalSansCostCenterDI]]*(GlobalARepartirSansMS+GlobalARepartirMSOnly+GlobalARepartirInfraReseau)</f>
        <v>15.988386521904948</v>
      </c>
      <c r="W149" s="17">
        <f>TabVMEnv[[#This Row],[CoutGlobalSansCostCenterDI]]+TabVMEnv[[#This Row],[CoutGlobalSupplementaire]]</f>
        <v>25.148386521904946</v>
      </c>
      <c r="X149" s="5" t="str">
        <f>VLOOKUP(TabVMEnv[[#This Row],[EnvProjet]],TabEnvProjet[],2,FALSE) &amp; " - " &amp; IFERROR(VLOOKUP(TabVMEnv[[#This Row],[EnvProjet]],TabEnvProjet[],4,FALSE),"INCONNU") &amp; " - " &amp; IFERROR(VLOOKUP(TabVMEnv[[#This Row],[EnvProjet]],TabEnvProjet[],5,FALSE),"INCONNU")</f>
        <v>Fablab-Firmin - Fablab-Firmin - Pierre-Yves Baloche</v>
      </c>
      <c r="Y149" s="5" t="str">
        <f>VLOOKUP(TabVMEnv[EnvProjet],TabEnvProjet[],5,FALSE)</f>
        <v>Pierre-Yves Baloche</v>
      </c>
      <c r="Z149" s="5" t="str">
        <f>VLOOKUP(TabVMEnv[EnvProjet],TabEnvProjet[],6,FALSE)</f>
        <v>Fablab</v>
      </c>
      <c r="AA149" s="5" t="str">
        <f>VLOOKUP(TabVMEnv[[#This Row],[EnvProjet]],TabEnvProjet[],3,FALSE)</f>
        <v>SOCLE</v>
      </c>
      <c r="AB149" s="5">
        <f>COUNTIF(TabVMEnv[VM],TabVMEnv[VM])</f>
        <v>1</v>
      </c>
    </row>
    <row r="150" spans="1:28" x14ac:dyDescent="0.25">
      <c r="A150" t="s">
        <v>125</v>
      </c>
      <c r="B150" t="s">
        <v>292</v>
      </c>
      <c r="E150" s="13"/>
      <c r="F150">
        <f>IF(VLOOKUP(TabVMEnv[VM],TabOceanet[],16,FALSE) = "Tarif_VM",IF(VLOOKUP(TabVMEnv[VM],TabOceanet[],2,FALSE)&lt;4,4,VLOOKUP(TabVMEnv[VM],TabOceanet[],2,FALSE)),0)</f>
        <v>4</v>
      </c>
      <c r="G150">
        <v>0</v>
      </c>
      <c r="H150">
        <v>0</v>
      </c>
      <c r="I150">
        <v>0</v>
      </c>
      <c r="J150">
        <v>0</v>
      </c>
      <c r="K150">
        <f>IF(VLOOKUP(TabVMEnv[VM],TabOceanet[],16,FALSE) = "Tarif_VM",1,0)/TabVMEnv[[#This Row],[Mutualisé]]</f>
        <v>1</v>
      </c>
      <c r="L150">
        <f>IF(VLOOKUP(TabVMEnv[VM],TabOceanet[],9,FALSE) = "PoweredOn",1,0)</f>
        <v>1</v>
      </c>
      <c r="M150">
        <f>TabVMEnv[[#This Row],[IsVMPoweredOn]]*VLOOKUP(TabVMEnv[VM],TabOceanet[],3,FALSE)/TabVMEnv[[#This Row],[Mutualisé]]</f>
        <v>4</v>
      </c>
      <c r="N150">
        <f>VLOOKUP(TabVMEnv[VM],TabOceanet[],4,FALSE)/TabVMEnv[[#This Row],[Mutualisé]]</f>
        <v>16</v>
      </c>
      <c r="O150">
        <f>IF(LEFT(VLOOKUP(TabVMEnv[VM],TabOceanet[],5,FALSE),3)="win",1,0)</f>
        <v>0</v>
      </c>
      <c r="P150"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50" t="str">
        <f>VLOOKUP(TabVMEnv[EnvProjet],TabEnvProjet[],4,FALSE)</f>
        <v>Fablab-Firmin</v>
      </c>
      <c r="R150" s="5" t="str">
        <f>VLOOKUP(TabVMEnv[[#This Row],[SYGES]],TabContrat[],2,FALSE)</f>
        <v>Fablab</v>
      </c>
      <c r="S150" s="5" t="str">
        <f>IF(VLOOKUP(TabVMEnv[[#This Row],[VM]],TabOceanet[],1,FALSE) = "","Disparue","")</f>
        <v/>
      </c>
      <c r="T150" s="17">
        <f>VLOOKUP(TabVMEnv[[#This Row],[VM]],TabOceanet[],36,FALSE)/TabVMEnv[[#This Row],[Mutualisé]]</f>
        <v>10.08</v>
      </c>
      <c r="U150" s="17">
        <f>IF(TabVMEnv[[#This Row],[CostCenter]]="CostCenterDI",0,TabVMEnv[[#This Row],[CoutGlobal]])</f>
        <v>10.08</v>
      </c>
      <c r="V150" s="17">
        <f>TabVMEnv[[#This Row],[CoutGlobalSansCostCenterDI]]/TabVMEnv[[#Totals],[CoutGlobalSansCostCenterDI]]*(GlobalARepartirSansMS+GlobalARepartirMSOnly+GlobalARepartirInfraReseau)</f>
        <v>17.594207002270949</v>
      </c>
      <c r="W150" s="17">
        <f>TabVMEnv[[#This Row],[CoutGlobalSansCostCenterDI]]+TabVMEnv[[#This Row],[CoutGlobalSupplementaire]]</f>
        <v>27.674207002270947</v>
      </c>
      <c r="X150" s="5" t="str">
        <f>VLOOKUP(TabVMEnv[[#This Row],[EnvProjet]],TabEnvProjet[],2,FALSE) &amp; " - " &amp; IFERROR(VLOOKUP(TabVMEnv[[#This Row],[EnvProjet]],TabEnvProjet[],4,FALSE),"INCONNU") &amp; " - " &amp; IFERROR(VLOOKUP(TabVMEnv[[#This Row],[EnvProjet]],TabEnvProjet[],5,FALSE),"INCONNU")</f>
        <v>Fablab-Firmin - Fablab-Firmin - Pierre-Yves Baloche</v>
      </c>
      <c r="Y150" s="5" t="str">
        <f>VLOOKUP(TabVMEnv[EnvProjet],TabEnvProjet[],5,FALSE)</f>
        <v>Pierre-Yves Baloche</v>
      </c>
      <c r="Z150" s="5" t="str">
        <f>VLOOKUP(TabVMEnv[EnvProjet],TabEnvProjet[],6,FALSE)</f>
        <v>Fablab</v>
      </c>
      <c r="AA150" s="5" t="str">
        <f>VLOOKUP(TabVMEnv[[#This Row],[EnvProjet]],TabEnvProjet[],3,FALSE)</f>
        <v>PREPROD</v>
      </c>
      <c r="AB150" s="5">
        <f>COUNTIF(TabVMEnv[VM],TabVMEnv[VM])</f>
        <v>1</v>
      </c>
    </row>
    <row r="151" spans="1:28" x14ac:dyDescent="0.25">
      <c r="A151" t="s">
        <v>126</v>
      </c>
      <c r="B151" t="s">
        <v>292</v>
      </c>
      <c r="E151" s="13"/>
      <c r="F151">
        <f>IF(VLOOKUP(TabVMEnv[VM],TabOceanet[],16,FALSE) = "Tarif_VM",IF(VLOOKUP(TabVMEnv[VM],TabOceanet[],2,FALSE)&lt;4,4,VLOOKUP(TabVMEnv[VM],TabOceanet[],2,FALSE)),0)</f>
        <v>4</v>
      </c>
      <c r="G151">
        <v>0</v>
      </c>
      <c r="H151">
        <v>0</v>
      </c>
      <c r="I151">
        <v>0</v>
      </c>
      <c r="J151">
        <v>0</v>
      </c>
      <c r="K151">
        <f>IF(VLOOKUP(TabVMEnv[VM],TabOceanet[],16,FALSE) = "Tarif_VM",1,0)/TabVMEnv[[#This Row],[Mutualisé]]</f>
        <v>1</v>
      </c>
      <c r="L151">
        <f>IF(VLOOKUP(TabVMEnv[VM],TabOceanet[],9,FALSE) = "PoweredOn",1,0)</f>
        <v>1</v>
      </c>
      <c r="M151">
        <f>TabVMEnv[[#This Row],[IsVMPoweredOn]]*VLOOKUP(TabVMEnv[VM],TabOceanet[],3,FALSE)/TabVMEnv[[#This Row],[Mutualisé]]</f>
        <v>4</v>
      </c>
      <c r="N151">
        <f>VLOOKUP(TabVMEnv[VM],TabOceanet[],4,FALSE)/TabVMEnv[[#This Row],[Mutualisé]]</f>
        <v>21</v>
      </c>
      <c r="O151">
        <f>IF(LEFT(VLOOKUP(TabVMEnv[VM],TabOceanet[],5,FALSE),3)="win",1,0)</f>
        <v>0</v>
      </c>
      <c r="P151"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51" t="str">
        <f>VLOOKUP(TabVMEnv[EnvProjet],TabEnvProjet[],4,FALSE)</f>
        <v>Fablab-Firmin</v>
      </c>
      <c r="R151" s="5" t="str">
        <f>VLOOKUP(TabVMEnv[[#This Row],[SYGES]],TabContrat[],2,FALSE)</f>
        <v>Fablab</v>
      </c>
      <c r="S151" s="5" t="str">
        <f>IF(VLOOKUP(TabVMEnv[[#This Row],[VM]],TabOceanet[],1,FALSE) = "","Disparue","")</f>
        <v/>
      </c>
      <c r="T151" s="17">
        <f>VLOOKUP(TabVMEnv[[#This Row],[VM]],TabOceanet[],36,FALSE)/TabVMEnv[[#This Row],[Mutualisé]]</f>
        <v>11.23</v>
      </c>
      <c r="U151" s="17">
        <f>IF(TabVMEnv[[#This Row],[CostCenter]]="CostCenterDI",0,TabVMEnv[[#This Row],[CoutGlobal]])</f>
        <v>11.23</v>
      </c>
      <c r="V151" s="17">
        <f>TabVMEnv[[#This Row],[CoutGlobalSansCostCenterDI]]/TabVMEnv[[#Totals],[CoutGlobalSansCostCenterDI]]*(GlobalARepartirSansMS+GlobalARepartirMSOnly+GlobalARepartirInfraReseau)</f>
        <v>19.601482602728449</v>
      </c>
      <c r="W151" s="17">
        <f>TabVMEnv[[#This Row],[CoutGlobalSansCostCenterDI]]+TabVMEnv[[#This Row],[CoutGlobalSupplementaire]]</f>
        <v>30.83148260272845</v>
      </c>
      <c r="X151" s="5" t="str">
        <f>VLOOKUP(TabVMEnv[[#This Row],[EnvProjet]],TabEnvProjet[],2,FALSE) &amp; " - " &amp; IFERROR(VLOOKUP(TabVMEnv[[#This Row],[EnvProjet]],TabEnvProjet[],4,FALSE),"INCONNU") &amp; " - " &amp; IFERROR(VLOOKUP(TabVMEnv[[#This Row],[EnvProjet]],TabEnvProjet[],5,FALSE),"INCONNU")</f>
        <v>Fablab-Firmin - Fablab-Firmin - Pierre-Yves Baloche</v>
      </c>
      <c r="Y151" s="5" t="str">
        <f>VLOOKUP(TabVMEnv[EnvProjet],TabEnvProjet[],5,FALSE)</f>
        <v>Pierre-Yves Baloche</v>
      </c>
      <c r="Z151" s="5" t="str">
        <f>VLOOKUP(TabVMEnv[EnvProjet],TabEnvProjet[],6,FALSE)</f>
        <v>Fablab</v>
      </c>
      <c r="AA151" s="5" t="str">
        <f>VLOOKUP(TabVMEnv[[#This Row],[EnvProjet]],TabEnvProjet[],3,FALSE)</f>
        <v>PREPROD</v>
      </c>
      <c r="AB151" s="5">
        <f>COUNTIF(TabVMEnv[VM],TabVMEnv[VM])</f>
        <v>1</v>
      </c>
    </row>
    <row r="152" spans="1:28" x14ac:dyDescent="0.25">
      <c r="A152" t="s">
        <v>91</v>
      </c>
      <c r="B152" t="s">
        <v>291</v>
      </c>
      <c r="E152" s="13"/>
      <c r="F152">
        <f>IF(VLOOKUP(TabVMEnv[VM],TabOceanet[],16,FALSE) = "Tarif_VM",IF(VLOOKUP(TabVMEnv[VM],TabOceanet[],2,FALSE)&lt;4,4,VLOOKUP(TabVMEnv[VM],TabOceanet[],2,FALSE)),0)</f>
        <v>4</v>
      </c>
      <c r="G152">
        <v>0</v>
      </c>
      <c r="H152">
        <v>0</v>
      </c>
      <c r="I152">
        <v>0</v>
      </c>
      <c r="J152">
        <v>0</v>
      </c>
      <c r="K152">
        <f>IF(VLOOKUP(TabVMEnv[VM],TabOceanet[],16,FALSE) = "Tarif_VM",1,0)/TabVMEnv[[#This Row],[Mutualisé]]</f>
        <v>1</v>
      </c>
      <c r="L152">
        <f>IF(VLOOKUP(TabVMEnv[VM],TabOceanet[],9,FALSE) = "PoweredOn",1,0)</f>
        <v>1</v>
      </c>
      <c r="M152">
        <f>TabVMEnv[[#This Row],[IsVMPoweredOn]]*VLOOKUP(TabVMEnv[VM],TabOceanet[],3,FALSE)/TabVMEnv[[#This Row],[Mutualisé]]</f>
        <v>4</v>
      </c>
      <c r="N152">
        <f>VLOOKUP(TabVMEnv[VM],TabOceanet[],4,FALSE)/TabVMEnv[[#This Row],[Mutualisé]]</f>
        <v>16</v>
      </c>
      <c r="O152">
        <f>IF(LEFT(VLOOKUP(TabVMEnv[VM],TabOceanet[],5,FALSE),3)="win",1,0)</f>
        <v>0</v>
      </c>
      <c r="P152"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52" t="str">
        <f>VLOOKUP(TabVMEnv[EnvProjet],TabEnvProjet[],4,FALSE)</f>
        <v>Fablab-Firmin</v>
      </c>
      <c r="R152" s="5" t="str">
        <f>VLOOKUP(TabVMEnv[[#This Row],[SYGES]],TabContrat[],2,FALSE)</f>
        <v>Fablab</v>
      </c>
      <c r="S152" s="5" t="str">
        <f>IF(VLOOKUP(TabVMEnv[[#This Row],[VM]],TabOceanet[],1,FALSE) = "","Disparue","")</f>
        <v/>
      </c>
      <c r="T152" s="17">
        <f>VLOOKUP(TabVMEnv[[#This Row],[VM]],TabOceanet[],36,FALSE)/TabVMEnv[[#This Row],[Mutualisé]]</f>
        <v>10.08</v>
      </c>
      <c r="U152" s="17">
        <f>IF(TabVMEnv[[#This Row],[CostCenter]]="CostCenterDI",0,TabVMEnv[[#This Row],[CoutGlobal]])</f>
        <v>10.08</v>
      </c>
      <c r="V152" s="17">
        <f>TabVMEnv[[#This Row],[CoutGlobalSansCostCenterDI]]/TabVMEnv[[#Totals],[CoutGlobalSansCostCenterDI]]*(GlobalARepartirSansMS+GlobalARepartirMSOnly+GlobalARepartirInfraReseau)</f>
        <v>17.594207002270949</v>
      </c>
      <c r="W152" s="17">
        <f>TabVMEnv[[#This Row],[CoutGlobalSansCostCenterDI]]+TabVMEnv[[#This Row],[CoutGlobalSupplementaire]]</f>
        <v>27.674207002270947</v>
      </c>
      <c r="X152" s="5" t="str">
        <f>VLOOKUP(TabVMEnv[[#This Row],[EnvProjet]],TabEnvProjet[],2,FALSE) &amp; " - " &amp; IFERROR(VLOOKUP(TabVMEnv[[#This Row],[EnvProjet]],TabEnvProjet[],4,FALSE),"INCONNU") &amp; " - " &amp; IFERROR(VLOOKUP(TabVMEnv[[#This Row],[EnvProjet]],TabEnvProjet[],5,FALSE),"INCONNU")</f>
        <v>Fablab-Firmin - Fablab-Firmin - Pierre-Yves Baloche</v>
      </c>
      <c r="Y152" s="5" t="str">
        <f>VLOOKUP(TabVMEnv[EnvProjet],TabEnvProjet[],5,FALSE)</f>
        <v>Pierre-Yves Baloche</v>
      </c>
      <c r="Z152" s="5" t="str">
        <f>VLOOKUP(TabVMEnv[EnvProjet],TabEnvProjet[],6,FALSE)</f>
        <v>Fablab</v>
      </c>
      <c r="AA152" s="5" t="str">
        <f>VLOOKUP(TabVMEnv[[#This Row],[EnvProjet]],TabEnvProjet[],3,FALSE)</f>
        <v>PROD</v>
      </c>
      <c r="AB152" s="5">
        <f>COUNTIF(TabVMEnv[VM],TabVMEnv[VM])</f>
        <v>1</v>
      </c>
    </row>
    <row r="153" spans="1:28" x14ac:dyDescent="0.25">
      <c r="A153" t="s">
        <v>92</v>
      </c>
      <c r="B153" t="s">
        <v>291</v>
      </c>
      <c r="E153" s="13"/>
      <c r="F153">
        <f>IF(VLOOKUP(TabVMEnv[VM],TabOceanet[],16,FALSE) = "Tarif_VM",IF(VLOOKUP(TabVMEnv[VM],TabOceanet[],2,FALSE)&lt;4,4,VLOOKUP(TabVMEnv[VM],TabOceanet[],2,FALSE)),0)</f>
        <v>4</v>
      </c>
      <c r="G153">
        <v>0</v>
      </c>
      <c r="H153">
        <v>0</v>
      </c>
      <c r="I153">
        <v>0</v>
      </c>
      <c r="J153">
        <v>0</v>
      </c>
      <c r="K153">
        <f>IF(VLOOKUP(TabVMEnv[VM],TabOceanet[],16,FALSE) = "Tarif_VM",1,0)/TabVMEnv[[#This Row],[Mutualisé]]</f>
        <v>1</v>
      </c>
      <c r="L153">
        <f>IF(VLOOKUP(TabVMEnv[VM],TabOceanet[],9,FALSE) = "PoweredOn",1,0)</f>
        <v>1</v>
      </c>
      <c r="M153">
        <f>TabVMEnv[[#This Row],[IsVMPoweredOn]]*VLOOKUP(TabVMEnv[VM],TabOceanet[],3,FALSE)/TabVMEnv[[#This Row],[Mutualisé]]</f>
        <v>4</v>
      </c>
      <c r="N153">
        <f>VLOOKUP(TabVMEnv[VM],TabOceanet[],4,FALSE)/TabVMEnv[[#This Row],[Mutualisé]]</f>
        <v>16</v>
      </c>
      <c r="O153">
        <f>IF(LEFT(VLOOKUP(TabVMEnv[VM],TabOceanet[],5,FALSE),3)="win",1,0)</f>
        <v>0</v>
      </c>
      <c r="P153"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53" t="str">
        <f>VLOOKUP(TabVMEnv[EnvProjet],TabEnvProjet[],4,FALSE)</f>
        <v>Fablab-Firmin</v>
      </c>
      <c r="R153" s="5" t="str">
        <f>VLOOKUP(TabVMEnv[[#This Row],[SYGES]],TabContrat[],2,FALSE)</f>
        <v>Fablab</v>
      </c>
      <c r="S153" s="5" t="str">
        <f>IF(VLOOKUP(TabVMEnv[[#This Row],[VM]],TabOceanet[],1,FALSE) = "","Disparue","")</f>
        <v/>
      </c>
      <c r="T153" s="17">
        <f>VLOOKUP(TabVMEnv[[#This Row],[VM]],TabOceanet[],36,FALSE)/TabVMEnv[[#This Row],[Mutualisé]]</f>
        <v>10.08</v>
      </c>
      <c r="U153" s="17">
        <f>IF(TabVMEnv[[#This Row],[CostCenter]]="CostCenterDI",0,TabVMEnv[[#This Row],[CoutGlobal]])</f>
        <v>10.08</v>
      </c>
      <c r="V153" s="17">
        <f>TabVMEnv[[#This Row],[CoutGlobalSansCostCenterDI]]/TabVMEnv[[#Totals],[CoutGlobalSansCostCenterDI]]*(GlobalARepartirSansMS+GlobalARepartirMSOnly+GlobalARepartirInfraReseau)</f>
        <v>17.594207002270949</v>
      </c>
      <c r="W153" s="17">
        <f>TabVMEnv[[#This Row],[CoutGlobalSansCostCenterDI]]+TabVMEnv[[#This Row],[CoutGlobalSupplementaire]]</f>
        <v>27.674207002270947</v>
      </c>
      <c r="X153" s="5" t="str">
        <f>VLOOKUP(TabVMEnv[[#This Row],[EnvProjet]],TabEnvProjet[],2,FALSE) &amp; " - " &amp; IFERROR(VLOOKUP(TabVMEnv[[#This Row],[EnvProjet]],TabEnvProjet[],4,FALSE),"INCONNU") &amp; " - " &amp; IFERROR(VLOOKUP(TabVMEnv[[#This Row],[EnvProjet]],TabEnvProjet[],5,FALSE),"INCONNU")</f>
        <v>Fablab-Firmin - Fablab-Firmin - Pierre-Yves Baloche</v>
      </c>
      <c r="Y153" s="5" t="str">
        <f>VLOOKUP(TabVMEnv[EnvProjet],TabEnvProjet[],5,FALSE)</f>
        <v>Pierre-Yves Baloche</v>
      </c>
      <c r="Z153" s="5" t="str">
        <f>VLOOKUP(TabVMEnv[EnvProjet],TabEnvProjet[],6,FALSE)</f>
        <v>Fablab</v>
      </c>
      <c r="AA153" s="5" t="str">
        <f>VLOOKUP(TabVMEnv[[#This Row],[EnvProjet]],TabEnvProjet[],3,FALSE)</f>
        <v>PROD</v>
      </c>
      <c r="AB153" s="5">
        <f>COUNTIF(TabVMEnv[VM],TabVMEnv[VM])</f>
        <v>1</v>
      </c>
    </row>
    <row r="154" spans="1:28" x14ac:dyDescent="0.25">
      <c r="A154" t="s">
        <v>93</v>
      </c>
      <c r="B154" t="s">
        <v>291</v>
      </c>
      <c r="E154" s="13"/>
      <c r="F154">
        <f>IF(VLOOKUP(TabVMEnv[VM],TabOceanet[],16,FALSE) = "Tarif_VM",IF(VLOOKUP(TabVMEnv[VM],TabOceanet[],2,FALSE)&lt;4,4,VLOOKUP(TabVMEnv[VM],TabOceanet[],2,FALSE)),0)</f>
        <v>4</v>
      </c>
      <c r="G154">
        <v>0</v>
      </c>
      <c r="H154">
        <v>0</v>
      </c>
      <c r="I154">
        <v>0</v>
      </c>
      <c r="J154">
        <v>0</v>
      </c>
      <c r="K154">
        <f>IF(VLOOKUP(TabVMEnv[VM],TabOceanet[],16,FALSE) = "Tarif_VM",1,0)/TabVMEnv[[#This Row],[Mutualisé]]</f>
        <v>1</v>
      </c>
      <c r="L154">
        <f>IF(VLOOKUP(TabVMEnv[VM],TabOceanet[],9,FALSE) = "PoweredOn",1,0)</f>
        <v>0</v>
      </c>
      <c r="M154">
        <f>TabVMEnv[[#This Row],[IsVMPoweredOn]]*VLOOKUP(TabVMEnv[VM],TabOceanet[],3,FALSE)/TabVMEnv[[#This Row],[Mutualisé]]</f>
        <v>0</v>
      </c>
      <c r="N154">
        <f>VLOOKUP(TabVMEnv[VM],TabOceanet[],4,FALSE)/TabVMEnv[[#This Row],[Mutualisé]]</f>
        <v>16</v>
      </c>
      <c r="O154">
        <f>IF(LEFT(VLOOKUP(TabVMEnv[VM],TabOceanet[],5,FALSE),3)="win",1,0)</f>
        <v>0</v>
      </c>
      <c r="P154"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54" t="str">
        <f>VLOOKUP(TabVMEnv[EnvProjet],TabEnvProjet[],4,FALSE)</f>
        <v>Fablab-Firmin</v>
      </c>
      <c r="R154" s="5" t="str">
        <f>VLOOKUP(TabVMEnv[[#This Row],[SYGES]],TabContrat[],2,FALSE)</f>
        <v>Fablab</v>
      </c>
      <c r="S154" s="5" t="str">
        <f>IF(VLOOKUP(TabVMEnv[[#This Row],[VM]],TabOceanet[],1,FALSE) = "","Disparue","")</f>
        <v/>
      </c>
      <c r="T154" s="17">
        <f>VLOOKUP(TabVMEnv[[#This Row],[VM]],TabOceanet[],36,FALSE)/TabVMEnv[[#This Row],[Mutualisé]]</f>
        <v>3.68</v>
      </c>
      <c r="U154" s="17">
        <f>IF(TabVMEnv[[#This Row],[CostCenter]]="CostCenterDI",0,TabVMEnv[[#This Row],[CoutGlobal]])</f>
        <v>3.68</v>
      </c>
      <c r="V154" s="17">
        <f>TabVMEnv[[#This Row],[CoutGlobalSansCostCenterDI]]/TabVMEnv[[#Totals],[CoutGlobalSansCostCenterDI]]*(GlobalARepartirSansMS+GlobalARepartirMSOnly+GlobalARepartirInfraReseau)</f>
        <v>6.4232819214639969</v>
      </c>
      <c r="W154" s="17">
        <f>TabVMEnv[[#This Row],[CoutGlobalSansCostCenterDI]]+TabVMEnv[[#This Row],[CoutGlobalSupplementaire]]</f>
        <v>10.103281921463998</v>
      </c>
      <c r="X154" s="5" t="str">
        <f>VLOOKUP(TabVMEnv[[#This Row],[EnvProjet]],TabEnvProjet[],2,FALSE) &amp; " - " &amp; IFERROR(VLOOKUP(TabVMEnv[[#This Row],[EnvProjet]],TabEnvProjet[],4,FALSE),"INCONNU") &amp; " - " &amp; IFERROR(VLOOKUP(TabVMEnv[[#This Row],[EnvProjet]],TabEnvProjet[],5,FALSE),"INCONNU")</f>
        <v>Fablab-Firmin - Fablab-Firmin - Pierre-Yves Baloche</v>
      </c>
      <c r="Y154" s="5" t="str">
        <f>VLOOKUP(TabVMEnv[EnvProjet],TabEnvProjet[],5,FALSE)</f>
        <v>Pierre-Yves Baloche</v>
      </c>
      <c r="Z154" s="5" t="str">
        <f>VLOOKUP(TabVMEnv[EnvProjet],TabEnvProjet[],6,FALSE)</f>
        <v>Fablab</v>
      </c>
      <c r="AA154" s="5" t="str">
        <f>VLOOKUP(TabVMEnv[[#This Row],[EnvProjet]],TabEnvProjet[],3,FALSE)</f>
        <v>PROD</v>
      </c>
      <c r="AB154" s="5">
        <f>COUNTIF(TabVMEnv[VM],TabVMEnv[VM])</f>
        <v>1</v>
      </c>
    </row>
    <row r="155" spans="1:28" x14ac:dyDescent="0.25">
      <c r="A155" t="s">
        <v>127</v>
      </c>
      <c r="B155" t="s">
        <v>292</v>
      </c>
      <c r="E155" s="13"/>
      <c r="F155">
        <f>IF(VLOOKUP(TabVMEnv[VM],TabOceanet[],16,FALSE) = "Tarif_VM",IF(VLOOKUP(TabVMEnv[VM],TabOceanet[],2,FALSE)&lt;4,4,VLOOKUP(TabVMEnv[VM],TabOceanet[],2,FALSE)),0)</f>
        <v>4</v>
      </c>
      <c r="G155">
        <v>0</v>
      </c>
      <c r="H155">
        <v>0</v>
      </c>
      <c r="I155">
        <v>0</v>
      </c>
      <c r="J155">
        <v>0</v>
      </c>
      <c r="K155">
        <f>IF(VLOOKUP(TabVMEnv[VM],TabOceanet[],16,FALSE) = "Tarif_VM",1,0)/TabVMEnv[[#This Row],[Mutualisé]]</f>
        <v>1</v>
      </c>
      <c r="L155">
        <f>IF(VLOOKUP(TabVMEnv[VM],TabOceanet[],9,FALSE) = "PoweredOn",1,0)</f>
        <v>1</v>
      </c>
      <c r="M155">
        <f>TabVMEnv[[#This Row],[IsVMPoweredOn]]*VLOOKUP(TabVMEnv[VM],TabOceanet[],3,FALSE)/TabVMEnv[[#This Row],[Mutualisé]]</f>
        <v>4</v>
      </c>
      <c r="N155">
        <f>VLOOKUP(TabVMEnv[VM],TabOceanet[],4,FALSE)/TabVMEnv[[#This Row],[Mutualisé]]</f>
        <v>16</v>
      </c>
      <c r="O155">
        <f>IF(LEFT(VLOOKUP(TabVMEnv[VM],TabOceanet[],5,FALSE),3)="win",1,0)</f>
        <v>0</v>
      </c>
      <c r="P155"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55" t="str">
        <f>VLOOKUP(TabVMEnv[EnvProjet],TabEnvProjet[],4,FALSE)</f>
        <v>Fablab-Firmin</v>
      </c>
      <c r="R155" s="5" t="str">
        <f>VLOOKUP(TabVMEnv[[#This Row],[SYGES]],TabContrat[],2,FALSE)</f>
        <v>Fablab</v>
      </c>
      <c r="S155" s="5" t="str">
        <f>IF(VLOOKUP(TabVMEnv[[#This Row],[VM]],TabOceanet[],1,FALSE) = "","Disparue","")</f>
        <v/>
      </c>
      <c r="T155" s="17">
        <f>VLOOKUP(TabVMEnv[[#This Row],[VM]],TabOceanet[],36,FALSE)/TabVMEnv[[#This Row],[Mutualisé]]</f>
        <v>10.08</v>
      </c>
      <c r="U155" s="17">
        <f>IF(TabVMEnv[[#This Row],[CostCenter]]="CostCenterDI",0,TabVMEnv[[#This Row],[CoutGlobal]])</f>
        <v>10.08</v>
      </c>
      <c r="V155" s="17">
        <f>TabVMEnv[[#This Row],[CoutGlobalSansCostCenterDI]]/TabVMEnv[[#Totals],[CoutGlobalSansCostCenterDI]]*(GlobalARepartirSansMS+GlobalARepartirMSOnly+GlobalARepartirInfraReseau)</f>
        <v>17.594207002270949</v>
      </c>
      <c r="W155" s="17">
        <f>TabVMEnv[[#This Row],[CoutGlobalSansCostCenterDI]]+TabVMEnv[[#This Row],[CoutGlobalSupplementaire]]</f>
        <v>27.674207002270947</v>
      </c>
      <c r="X155" s="5" t="str">
        <f>VLOOKUP(TabVMEnv[[#This Row],[EnvProjet]],TabEnvProjet[],2,FALSE) &amp; " - " &amp; IFERROR(VLOOKUP(TabVMEnv[[#This Row],[EnvProjet]],TabEnvProjet[],4,FALSE),"INCONNU") &amp; " - " &amp; IFERROR(VLOOKUP(TabVMEnv[[#This Row],[EnvProjet]],TabEnvProjet[],5,FALSE),"INCONNU")</f>
        <v>Fablab-Firmin - Fablab-Firmin - Pierre-Yves Baloche</v>
      </c>
      <c r="Y155" s="5" t="str">
        <f>VLOOKUP(TabVMEnv[EnvProjet],TabEnvProjet[],5,FALSE)</f>
        <v>Pierre-Yves Baloche</v>
      </c>
      <c r="Z155" s="5" t="str">
        <f>VLOOKUP(TabVMEnv[EnvProjet],TabEnvProjet[],6,FALSE)</f>
        <v>Fablab</v>
      </c>
      <c r="AA155" s="5" t="str">
        <f>VLOOKUP(TabVMEnv[[#This Row],[EnvProjet]],TabEnvProjet[],3,FALSE)</f>
        <v>PREPROD</v>
      </c>
      <c r="AB155" s="5">
        <f>COUNTIF(TabVMEnv[VM],TabVMEnv[VM])</f>
        <v>1</v>
      </c>
    </row>
    <row r="156" spans="1:28" x14ac:dyDescent="0.25">
      <c r="A156" t="s">
        <v>94</v>
      </c>
      <c r="B156" t="s">
        <v>291</v>
      </c>
      <c r="E156" s="13"/>
      <c r="F156">
        <f>IF(VLOOKUP(TabVMEnv[VM],TabOceanet[],16,FALSE) = "Tarif_VM",IF(VLOOKUP(TabVMEnv[VM],TabOceanet[],2,FALSE)&lt;4,4,VLOOKUP(TabVMEnv[VM],TabOceanet[],2,FALSE)),0)</f>
        <v>4</v>
      </c>
      <c r="G156">
        <v>0</v>
      </c>
      <c r="H156">
        <v>0</v>
      </c>
      <c r="I156">
        <v>0</v>
      </c>
      <c r="J156">
        <v>0</v>
      </c>
      <c r="K156">
        <f>IF(VLOOKUP(TabVMEnv[VM],TabOceanet[],16,FALSE) = "Tarif_VM",1,0)/TabVMEnv[[#This Row],[Mutualisé]]</f>
        <v>1</v>
      </c>
      <c r="L156">
        <f>IF(VLOOKUP(TabVMEnv[VM],TabOceanet[],9,FALSE) = "PoweredOn",1,0)</f>
        <v>1</v>
      </c>
      <c r="M156">
        <f>TabVMEnv[[#This Row],[IsVMPoweredOn]]*VLOOKUP(TabVMEnv[VM],TabOceanet[],3,FALSE)/TabVMEnv[[#This Row],[Mutualisé]]</f>
        <v>4</v>
      </c>
      <c r="N156">
        <f>VLOOKUP(TabVMEnv[VM],TabOceanet[],4,FALSE)/TabVMEnv[[#This Row],[Mutualisé]]</f>
        <v>16</v>
      </c>
      <c r="O156">
        <f>IF(LEFT(VLOOKUP(TabVMEnv[VM],TabOceanet[],5,FALSE),3)="win",1,0)</f>
        <v>0</v>
      </c>
      <c r="P156"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56" t="str">
        <f>VLOOKUP(TabVMEnv[EnvProjet],TabEnvProjet[],4,FALSE)</f>
        <v>Fablab-Firmin</v>
      </c>
      <c r="R156" s="5" t="str">
        <f>VLOOKUP(TabVMEnv[[#This Row],[SYGES]],TabContrat[],2,FALSE)</f>
        <v>Fablab</v>
      </c>
      <c r="S156" s="5" t="str">
        <f>IF(VLOOKUP(TabVMEnv[[#This Row],[VM]],TabOceanet[],1,FALSE) = "","Disparue","")</f>
        <v/>
      </c>
      <c r="T156" s="17">
        <f>VLOOKUP(TabVMEnv[[#This Row],[VM]],TabOceanet[],36,FALSE)/TabVMEnv[[#This Row],[Mutualisé]]</f>
        <v>10.08</v>
      </c>
      <c r="U156" s="17">
        <f>IF(TabVMEnv[[#This Row],[CostCenter]]="CostCenterDI",0,TabVMEnv[[#This Row],[CoutGlobal]])</f>
        <v>10.08</v>
      </c>
      <c r="V156" s="17">
        <f>TabVMEnv[[#This Row],[CoutGlobalSansCostCenterDI]]/TabVMEnv[[#Totals],[CoutGlobalSansCostCenterDI]]*(GlobalARepartirSansMS+GlobalARepartirMSOnly+GlobalARepartirInfraReseau)</f>
        <v>17.594207002270949</v>
      </c>
      <c r="W156" s="17">
        <f>TabVMEnv[[#This Row],[CoutGlobalSansCostCenterDI]]+TabVMEnv[[#This Row],[CoutGlobalSupplementaire]]</f>
        <v>27.674207002270947</v>
      </c>
      <c r="X156" s="5" t="str">
        <f>VLOOKUP(TabVMEnv[[#This Row],[EnvProjet]],TabEnvProjet[],2,FALSE) &amp; " - " &amp; IFERROR(VLOOKUP(TabVMEnv[[#This Row],[EnvProjet]],TabEnvProjet[],4,FALSE),"INCONNU") &amp; " - " &amp; IFERROR(VLOOKUP(TabVMEnv[[#This Row],[EnvProjet]],TabEnvProjet[],5,FALSE),"INCONNU")</f>
        <v>Fablab-Firmin - Fablab-Firmin - Pierre-Yves Baloche</v>
      </c>
      <c r="Y156" s="5" t="str">
        <f>VLOOKUP(TabVMEnv[EnvProjet],TabEnvProjet[],5,FALSE)</f>
        <v>Pierre-Yves Baloche</v>
      </c>
      <c r="Z156" s="5" t="str">
        <f>VLOOKUP(TabVMEnv[EnvProjet],TabEnvProjet[],6,FALSE)</f>
        <v>Fablab</v>
      </c>
      <c r="AA156" s="5" t="str">
        <f>VLOOKUP(TabVMEnv[[#This Row],[EnvProjet]],TabEnvProjet[],3,FALSE)</f>
        <v>PROD</v>
      </c>
      <c r="AB156" s="5">
        <f>COUNTIF(TabVMEnv[VM],TabVMEnv[VM])</f>
        <v>1</v>
      </c>
    </row>
    <row r="157" spans="1:28" x14ac:dyDescent="0.25">
      <c r="A157" t="s">
        <v>128</v>
      </c>
      <c r="B157" t="s">
        <v>292</v>
      </c>
      <c r="E157" s="13"/>
      <c r="F157">
        <f>IF(VLOOKUP(TabVMEnv[VM],TabOceanet[],16,FALSE) = "Tarif_VM",IF(VLOOKUP(TabVMEnv[VM],TabOceanet[],2,FALSE)&lt;4,4,VLOOKUP(TabVMEnv[VM],TabOceanet[],2,FALSE)),0)</f>
        <v>4</v>
      </c>
      <c r="G157">
        <v>0</v>
      </c>
      <c r="H157">
        <v>0</v>
      </c>
      <c r="I157">
        <v>0</v>
      </c>
      <c r="J157">
        <v>0</v>
      </c>
      <c r="K157">
        <f>IF(VLOOKUP(TabVMEnv[VM],TabOceanet[],16,FALSE) = "Tarif_VM",1,0)/TabVMEnv[[#This Row],[Mutualisé]]</f>
        <v>1</v>
      </c>
      <c r="L157">
        <f>IF(VLOOKUP(TabVMEnv[VM],TabOceanet[],9,FALSE) = "PoweredOn",1,0)</f>
        <v>1</v>
      </c>
      <c r="M157">
        <f>TabVMEnv[[#This Row],[IsVMPoweredOn]]*VLOOKUP(TabVMEnv[VM],TabOceanet[],3,FALSE)/TabVMEnv[[#This Row],[Mutualisé]]</f>
        <v>4</v>
      </c>
      <c r="N157">
        <f>VLOOKUP(TabVMEnv[VM],TabOceanet[],4,FALSE)/TabVMEnv[[#This Row],[Mutualisé]]</f>
        <v>21</v>
      </c>
      <c r="O157">
        <f>IF(LEFT(VLOOKUP(TabVMEnv[VM],TabOceanet[],5,FALSE),3)="win",1,0)</f>
        <v>0</v>
      </c>
      <c r="P157"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57" t="str">
        <f>VLOOKUP(TabVMEnv[EnvProjet],TabEnvProjet[],4,FALSE)</f>
        <v>Fablab-Firmin</v>
      </c>
      <c r="R157" s="5" t="str">
        <f>VLOOKUP(TabVMEnv[[#This Row],[SYGES]],TabContrat[],2,FALSE)</f>
        <v>Fablab</v>
      </c>
      <c r="S157" s="5" t="str">
        <f>IF(VLOOKUP(TabVMEnv[[#This Row],[VM]],TabOceanet[],1,FALSE) = "","Disparue","")</f>
        <v/>
      </c>
      <c r="T157" s="17">
        <f>VLOOKUP(TabVMEnv[[#This Row],[VM]],TabOceanet[],36,FALSE)/TabVMEnv[[#This Row],[Mutualisé]]</f>
        <v>11.23</v>
      </c>
      <c r="U157" s="17">
        <f>IF(TabVMEnv[[#This Row],[CostCenter]]="CostCenterDI",0,TabVMEnv[[#This Row],[CoutGlobal]])</f>
        <v>11.23</v>
      </c>
      <c r="V157" s="17">
        <f>TabVMEnv[[#This Row],[CoutGlobalSansCostCenterDI]]/TabVMEnv[[#Totals],[CoutGlobalSansCostCenterDI]]*(GlobalARepartirSansMS+GlobalARepartirMSOnly+GlobalARepartirInfraReseau)</f>
        <v>19.601482602728449</v>
      </c>
      <c r="W157" s="17">
        <f>TabVMEnv[[#This Row],[CoutGlobalSansCostCenterDI]]+TabVMEnv[[#This Row],[CoutGlobalSupplementaire]]</f>
        <v>30.83148260272845</v>
      </c>
      <c r="X157" s="5" t="str">
        <f>VLOOKUP(TabVMEnv[[#This Row],[EnvProjet]],TabEnvProjet[],2,FALSE) &amp; " - " &amp; IFERROR(VLOOKUP(TabVMEnv[[#This Row],[EnvProjet]],TabEnvProjet[],4,FALSE),"INCONNU") &amp; " - " &amp; IFERROR(VLOOKUP(TabVMEnv[[#This Row],[EnvProjet]],TabEnvProjet[],5,FALSE),"INCONNU")</f>
        <v>Fablab-Firmin - Fablab-Firmin - Pierre-Yves Baloche</v>
      </c>
      <c r="Y157" s="5" t="str">
        <f>VLOOKUP(TabVMEnv[EnvProjet],TabEnvProjet[],5,FALSE)</f>
        <v>Pierre-Yves Baloche</v>
      </c>
      <c r="Z157" s="5" t="str">
        <f>VLOOKUP(TabVMEnv[EnvProjet],TabEnvProjet[],6,FALSE)</f>
        <v>Fablab</v>
      </c>
      <c r="AA157" s="5" t="str">
        <f>VLOOKUP(TabVMEnv[[#This Row],[EnvProjet]],TabEnvProjet[],3,FALSE)</f>
        <v>PREPROD</v>
      </c>
      <c r="AB157" s="5">
        <f>COUNTIF(TabVMEnv[VM],TabVMEnv[VM])</f>
        <v>1</v>
      </c>
    </row>
    <row r="158" spans="1:28" x14ac:dyDescent="0.25">
      <c r="A158" t="s">
        <v>129</v>
      </c>
      <c r="B158" t="s">
        <v>292</v>
      </c>
      <c r="E158" s="13"/>
      <c r="F158">
        <f>IF(VLOOKUP(TabVMEnv[VM],TabOceanet[],16,FALSE) = "Tarif_VM",IF(VLOOKUP(TabVMEnv[VM],TabOceanet[],2,FALSE)&lt;4,4,VLOOKUP(TabVMEnv[VM],TabOceanet[],2,FALSE)),0)</f>
        <v>4</v>
      </c>
      <c r="G158">
        <v>0</v>
      </c>
      <c r="H158">
        <v>0</v>
      </c>
      <c r="I158">
        <v>0</v>
      </c>
      <c r="J158">
        <v>0</v>
      </c>
      <c r="K158">
        <f>IF(VLOOKUP(TabVMEnv[VM],TabOceanet[],16,FALSE) = "Tarif_VM",1,0)/TabVMEnv[[#This Row],[Mutualisé]]</f>
        <v>1</v>
      </c>
      <c r="L158">
        <f>IF(VLOOKUP(TabVMEnv[VM],TabOceanet[],9,FALSE) = "PoweredOn",1,0)</f>
        <v>1</v>
      </c>
      <c r="M158">
        <f>TabVMEnv[[#This Row],[IsVMPoweredOn]]*VLOOKUP(TabVMEnv[VM],TabOceanet[],3,FALSE)/TabVMEnv[[#This Row],[Mutualisé]]</f>
        <v>4</v>
      </c>
      <c r="N158">
        <f>VLOOKUP(TabVMEnv[VM],TabOceanet[],4,FALSE)/TabVMEnv[[#This Row],[Mutualisé]]</f>
        <v>16</v>
      </c>
      <c r="O158">
        <f>IF(LEFT(VLOOKUP(TabVMEnv[VM],TabOceanet[],5,FALSE),3)="win",1,0)</f>
        <v>0</v>
      </c>
      <c r="P158"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58" t="str">
        <f>VLOOKUP(TabVMEnv[EnvProjet],TabEnvProjet[],4,FALSE)</f>
        <v>Fablab-Firmin</v>
      </c>
      <c r="R158" s="5" t="str">
        <f>VLOOKUP(TabVMEnv[[#This Row],[SYGES]],TabContrat[],2,FALSE)</f>
        <v>Fablab</v>
      </c>
      <c r="S158" s="5" t="str">
        <f>IF(VLOOKUP(TabVMEnv[[#This Row],[VM]],TabOceanet[],1,FALSE) = "","Disparue","")</f>
        <v/>
      </c>
      <c r="T158" s="17">
        <f>VLOOKUP(TabVMEnv[[#This Row],[VM]],TabOceanet[],36,FALSE)/TabVMEnv[[#This Row],[Mutualisé]]</f>
        <v>10.08</v>
      </c>
      <c r="U158" s="17">
        <f>IF(TabVMEnv[[#This Row],[CostCenter]]="CostCenterDI",0,TabVMEnv[[#This Row],[CoutGlobal]])</f>
        <v>10.08</v>
      </c>
      <c r="V158" s="17">
        <f>TabVMEnv[[#This Row],[CoutGlobalSansCostCenterDI]]/TabVMEnv[[#Totals],[CoutGlobalSansCostCenterDI]]*(GlobalARepartirSansMS+GlobalARepartirMSOnly+GlobalARepartirInfraReseau)</f>
        <v>17.594207002270949</v>
      </c>
      <c r="W158" s="17">
        <f>TabVMEnv[[#This Row],[CoutGlobalSansCostCenterDI]]+TabVMEnv[[#This Row],[CoutGlobalSupplementaire]]</f>
        <v>27.674207002270947</v>
      </c>
      <c r="X158" s="5" t="str">
        <f>VLOOKUP(TabVMEnv[[#This Row],[EnvProjet]],TabEnvProjet[],2,FALSE) &amp; " - " &amp; IFERROR(VLOOKUP(TabVMEnv[[#This Row],[EnvProjet]],TabEnvProjet[],4,FALSE),"INCONNU") &amp; " - " &amp; IFERROR(VLOOKUP(TabVMEnv[[#This Row],[EnvProjet]],TabEnvProjet[],5,FALSE),"INCONNU")</f>
        <v>Fablab-Firmin - Fablab-Firmin - Pierre-Yves Baloche</v>
      </c>
      <c r="Y158" s="5" t="str">
        <f>VLOOKUP(TabVMEnv[EnvProjet],TabEnvProjet[],5,FALSE)</f>
        <v>Pierre-Yves Baloche</v>
      </c>
      <c r="Z158" s="5" t="str">
        <f>VLOOKUP(TabVMEnv[EnvProjet],TabEnvProjet[],6,FALSE)</f>
        <v>Fablab</v>
      </c>
      <c r="AA158" s="5" t="str">
        <f>VLOOKUP(TabVMEnv[[#This Row],[EnvProjet]],TabEnvProjet[],3,FALSE)</f>
        <v>PREPROD</v>
      </c>
      <c r="AB158" s="5">
        <f>COUNTIF(TabVMEnv[VM],TabVMEnv[VM])</f>
        <v>1</v>
      </c>
    </row>
    <row r="159" spans="1:28" x14ac:dyDescent="0.25">
      <c r="A159" t="s">
        <v>130</v>
      </c>
      <c r="B159" t="s">
        <v>292</v>
      </c>
      <c r="E159" s="13"/>
      <c r="F159">
        <f>IF(VLOOKUP(TabVMEnv[VM],TabOceanet[],16,FALSE) = "Tarif_VM",IF(VLOOKUP(TabVMEnv[VM],TabOceanet[],2,FALSE)&lt;4,4,VLOOKUP(TabVMEnv[VM],TabOceanet[],2,FALSE)),0)</f>
        <v>4</v>
      </c>
      <c r="G159">
        <v>0</v>
      </c>
      <c r="H159">
        <v>0</v>
      </c>
      <c r="I159">
        <v>0</v>
      </c>
      <c r="J159">
        <v>0</v>
      </c>
      <c r="K159">
        <f>IF(VLOOKUP(TabVMEnv[VM],TabOceanet[],16,FALSE) = "Tarif_VM",1,0)/TabVMEnv[[#This Row],[Mutualisé]]</f>
        <v>1</v>
      </c>
      <c r="L159">
        <f>IF(VLOOKUP(TabVMEnv[VM],TabOceanet[],9,FALSE) = "PoweredOn",1,0)</f>
        <v>1</v>
      </c>
      <c r="M159">
        <f>TabVMEnv[[#This Row],[IsVMPoweredOn]]*VLOOKUP(TabVMEnv[VM],TabOceanet[],3,FALSE)/TabVMEnv[[#This Row],[Mutualisé]]</f>
        <v>4</v>
      </c>
      <c r="N159">
        <f>VLOOKUP(TabVMEnv[VM],TabOceanet[],4,FALSE)/TabVMEnv[[#This Row],[Mutualisé]]</f>
        <v>21</v>
      </c>
      <c r="O159">
        <f>IF(LEFT(VLOOKUP(TabVMEnv[VM],TabOceanet[],5,FALSE),3)="win",1,0)</f>
        <v>0</v>
      </c>
      <c r="P159"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59" t="str">
        <f>VLOOKUP(TabVMEnv[EnvProjet],TabEnvProjet[],4,FALSE)</f>
        <v>Fablab-Firmin</v>
      </c>
      <c r="R159" s="5" t="str">
        <f>VLOOKUP(TabVMEnv[[#This Row],[SYGES]],TabContrat[],2,FALSE)</f>
        <v>Fablab</v>
      </c>
      <c r="S159" s="5" t="str">
        <f>IF(VLOOKUP(TabVMEnv[[#This Row],[VM]],TabOceanet[],1,FALSE) = "","Disparue","")</f>
        <v/>
      </c>
      <c r="T159" s="17">
        <f>VLOOKUP(TabVMEnv[[#This Row],[VM]],TabOceanet[],36,FALSE)/TabVMEnv[[#This Row],[Mutualisé]]</f>
        <v>11.23</v>
      </c>
      <c r="U159" s="17">
        <f>IF(TabVMEnv[[#This Row],[CostCenter]]="CostCenterDI",0,TabVMEnv[[#This Row],[CoutGlobal]])</f>
        <v>11.23</v>
      </c>
      <c r="V159" s="17">
        <f>TabVMEnv[[#This Row],[CoutGlobalSansCostCenterDI]]/TabVMEnv[[#Totals],[CoutGlobalSansCostCenterDI]]*(GlobalARepartirSansMS+GlobalARepartirMSOnly+GlobalARepartirInfraReseau)</f>
        <v>19.601482602728449</v>
      </c>
      <c r="W159" s="17">
        <f>TabVMEnv[[#This Row],[CoutGlobalSansCostCenterDI]]+TabVMEnv[[#This Row],[CoutGlobalSupplementaire]]</f>
        <v>30.83148260272845</v>
      </c>
      <c r="X159" s="5" t="str">
        <f>VLOOKUP(TabVMEnv[[#This Row],[EnvProjet]],TabEnvProjet[],2,FALSE) &amp; " - " &amp; IFERROR(VLOOKUP(TabVMEnv[[#This Row],[EnvProjet]],TabEnvProjet[],4,FALSE),"INCONNU") &amp; " - " &amp; IFERROR(VLOOKUP(TabVMEnv[[#This Row],[EnvProjet]],TabEnvProjet[],5,FALSE),"INCONNU")</f>
        <v>Fablab-Firmin - Fablab-Firmin - Pierre-Yves Baloche</v>
      </c>
      <c r="Y159" s="5" t="str">
        <f>VLOOKUP(TabVMEnv[EnvProjet],TabEnvProjet[],5,FALSE)</f>
        <v>Pierre-Yves Baloche</v>
      </c>
      <c r="Z159" s="5" t="str">
        <f>VLOOKUP(TabVMEnv[EnvProjet],TabEnvProjet[],6,FALSE)</f>
        <v>Fablab</v>
      </c>
      <c r="AA159" s="5" t="str">
        <f>VLOOKUP(TabVMEnv[[#This Row],[EnvProjet]],TabEnvProjet[],3,FALSE)</f>
        <v>PREPROD</v>
      </c>
      <c r="AB159" s="5">
        <f>COUNTIF(TabVMEnv[VM],TabVMEnv[VM])</f>
        <v>1</v>
      </c>
    </row>
    <row r="160" spans="1:28" x14ac:dyDescent="0.25">
      <c r="A160" t="s">
        <v>131</v>
      </c>
      <c r="B160" t="s">
        <v>292</v>
      </c>
      <c r="E160" s="13"/>
      <c r="F160">
        <f>IF(VLOOKUP(TabVMEnv[VM],TabOceanet[],16,FALSE) = "Tarif_VM",IF(VLOOKUP(TabVMEnv[VM],TabOceanet[],2,FALSE)&lt;4,4,VLOOKUP(TabVMEnv[VM],TabOceanet[],2,FALSE)),0)</f>
        <v>4</v>
      </c>
      <c r="G160">
        <v>0</v>
      </c>
      <c r="H160">
        <v>0</v>
      </c>
      <c r="I160">
        <v>0</v>
      </c>
      <c r="J160">
        <v>0</v>
      </c>
      <c r="K160">
        <f>IF(VLOOKUP(TabVMEnv[VM],TabOceanet[],16,FALSE) = "Tarif_VM",1,0)/TabVMEnv[[#This Row],[Mutualisé]]</f>
        <v>1</v>
      </c>
      <c r="L160">
        <f>IF(VLOOKUP(TabVMEnv[VM],TabOceanet[],9,FALSE) = "PoweredOn",1,0)</f>
        <v>1</v>
      </c>
      <c r="M160">
        <f>TabVMEnv[[#This Row],[IsVMPoweredOn]]*VLOOKUP(TabVMEnv[VM],TabOceanet[],3,FALSE)/TabVMEnv[[#This Row],[Mutualisé]]</f>
        <v>4</v>
      </c>
      <c r="N160">
        <f>VLOOKUP(TabVMEnv[VM],TabOceanet[],4,FALSE)/TabVMEnv[[#This Row],[Mutualisé]]</f>
        <v>16</v>
      </c>
      <c r="O160">
        <f>IF(LEFT(VLOOKUP(TabVMEnv[VM],TabOceanet[],5,FALSE),3)="win",1,0)</f>
        <v>0</v>
      </c>
      <c r="P160"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60" t="str">
        <f>VLOOKUP(TabVMEnv[EnvProjet],TabEnvProjet[],4,FALSE)</f>
        <v>Fablab-Firmin</v>
      </c>
      <c r="R160" s="5" t="str">
        <f>VLOOKUP(TabVMEnv[[#This Row],[SYGES]],TabContrat[],2,FALSE)</f>
        <v>Fablab</v>
      </c>
      <c r="S160" s="5" t="str">
        <f>IF(VLOOKUP(TabVMEnv[[#This Row],[VM]],TabOceanet[],1,FALSE) = "","Disparue","")</f>
        <v/>
      </c>
      <c r="T160" s="17">
        <f>VLOOKUP(TabVMEnv[[#This Row],[VM]],TabOceanet[],36,FALSE)/TabVMEnv[[#This Row],[Mutualisé]]</f>
        <v>10.08</v>
      </c>
      <c r="U160" s="17">
        <f>IF(TabVMEnv[[#This Row],[CostCenter]]="CostCenterDI",0,TabVMEnv[[#This Row],[CoutGlobal]])</f>
        <v>10.08</v>
      </c>
      <c r="V160" s="17">
        <f>TabVMEnv[[#This Row],[CoutGlobalSansCostCenterDI]]/TabVMEnv[[#Totals],[CoutGlobalSansCostCenterDI]]*(GlobalARepartirSansMS+GlobalARepartirMSOnly+GlobalARepartirInfraReseau)</f>
        <v>17.594207002270949</v>
      </c>
      <c r="W160" s="17">
        <f>TabVMEnv[[#This Row],[CoutGlobalSansCostCenterDI]]+TabVMEnv[[#This Row],[CoutGlobalSupplementaire]]</f>
        <v>27.674207002270947</v>
      </c>
      <c r="X160" s="5" t="str">
        <f>VLOOKUP(TabVMEnv[[#This Row],[EnvProjet]],TabEnvProjet[],2,FALSE) &amp; " - " &amp; IFERROR(VLOOKUP(TabVMEnv[[#This Row],[EnvProjet]],TabEnvProjet[],4,FALSE),"INCONNU") &amp; " - " &amp; IFERROR(VLOOKUP(TabVMEnv[[#This Row],[EnvProjet]],TabEnvProjet[],5,FALSE),"INCONNU")</f>
        <v>Fablab-Firmin - Fablab-Firmin - Pierre-Yves Baloche</v>
      </c>
      <c r="Y160" s="5" t="str">
        <f>VLOOKUP(TabVMEnv[EnvProjet],TabEnvProjet[],5,FALSE)</f>
        <v>Pierre-Yves Baloche</v>
      </c>
      <c r="Z160" s="5" t="str">
        <f>VLOOKUP(TabVMEnv[EnvProjet],TabEnvProjet[],6,FALSE)</f>
        <v>Fablab</v>
      </c>
      <c r="AA160" s="5" t="str">
        <f>VLOOKUP(TabVMEnv[[#This Row],[EnvProjet]],TabEnvProjet[],3,FALSE)</f>
        <v>PREPROD</v>
      </c>
      <c r="AB160" s="5">
        <f>COUNTIF(TabVMEnv[VM],TabVMEnv[VM])</f>
        <v>1</v>
      </c>
    </row>
    <row r="161" spans="1:28" x14ac:dyDescent="0.25">
      <c r="A161" t="s">
        <v>132</v>
      </c>
      <c r="B161" t="s">
        <v>292</v>
      </c>
      <c r="E161" s="13"/>
      <c r="F161">
        <f>IF(VLOOKUP(TabVMEnv[VM],TabOceanet[],16,FALSE) = "Tarif_VM",IF(VLOOKUP(TabVMEnv[VM],TabOceanet[],2,FALSE)&lt;4,4,VLOOKUP(TabVMEnv[VM],TabOceanet[],2,FALSE)),0)</f>
        <v>4</v>
      </c>
      <c r="G161">
        <v>0</v>
      </c>
      <c r="H161">
        <v>0</v>
      </c>
      <c r="I161">
        <v>0</v>
      </c>
      <c r="J161">
        <v>0</v>
      </c>
      <c r="K161">
        <f>IF(VLOOKUP(TabVMEnv[VM],TabOceanet[],16,FALSE) = "Tarif_VM",1,0)/TabVMEnv[[#This Row],[Mutualisé]]</f>
        <v>1</v>
      </c>
      <c r="L161">
        <f>IF(VLOOKUP(TabVMEnv[VM],TabOceanet[],9,FALSE) = "PoweredOn",1,0)</f>
        <v>1</v>
      </c>
      <c r="M161">
        <f>TabVMEnv[[#This Row],[IsVMPoweredOn]]*VLOOKUP(TabVMEnv[VM],TabOceanet[],3,FALSE)/TabVMEnv[[#This Row],[Mutualisé]]</f>
        <v>4</v>
      </c>
      <c r="N161">
        <f>VLOOKUP(TabVMEnv[VM],TabOceanet[],4,FALSE)/TabVMEnv[[#This Row],[Mutualisé]]</f>
        <v>21</v>
      </c>
      <c r="O161">
        <f>IF(LEFT(VLOOKUP(TabVMEnv[VM],TabOceanet[],5,FALSE),3)="win",1,0)</f>
        <v>0</v>
      </c>
      <c r="P161"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61" t="str">
        <f>VLOOKUP(TabVMEnv[EnvProjet],TabEnvProjet[],4,FALSE)</f>
        <v>Fablab-Firmin</v>
      </c>
      <c r="R161" s="5" t="str">
        <f>VLOOKUP(TabVMEnv[[#This Row],[SYGES]],TabContrat[],2,FALSE)</f>
        <v>Fablab</v>
      </c>
      <c r="S161" s="5" t="str">
        <f>IF(VLOOKUP(TabVMEnv[[#This Row],[VM]],TabOceanet[],1,FALSE) = "","Disparue","")</f>
        <v/>
      </c>
      <c r="T161" s="17">
        <f>VLOOKUP(TabVMEnv[[#This Row],[VM]],TabOceanet[],36,FALSE)/TabVMEnv[[#This Row],[Mutualisé]]</f>
        <v>11.23</v>
      </c>
      <c r="U161" s="17">
        <f>IF(TabVMEnv[[#This Row],[CostCenter]]="CostCenterDI",0,TabVMEnv[[#This Row],[CoutGlobal]])</f>
        <v>11.23</v>
      </c>
      <c r="V161" s="17">
        <f>TabVMEnv[[#This Row],[CoutGlobalSansCostCenterDI]]/TabVMEnv[[#Totals],[CoutGlobalSansCostCenterDI]]*(GlobalARepartirSansMS+GlobalARepartirMSOnly+GlobalARepartirInfraReseau)</f>
        <v>19.601482602728449</v>
      </c>
      <c r="W161" s="17">
        <f>TabVMEnv[[#This Row],[CoutGlobalSansCostCenterDI]]+TabVMEnv[[#This Row],[CoutGlobalSupplementaire]]</f>
        <v>30.83148260272845</v>
      </c>
      <c r="X161" s="5" t="str">
        <f>VLOOKUP(TabVMEnv[[#This Row],[EnvProjet]],TabEnvProjet[],2,FALSE) &amp; " - " &amp; IFERROR(VLOOKUP(TabVMEnv[[#This Row],[EnvProjet]],TabEnvProjet[],4,FALSE),"INCONNU") &amp; " - " &amp; IFERROR(VLOOKUP(TabVMEnv[[#This Row],[EnvProjet]],TabEnvProjet[],5,FALSE),"INCONNU")</f>
        <v>Fablab-Firmin - Fablab-Firmin - Pierre-Yves Baloche</v>
      </c>
      <c r="Y161" s="5" t="str">
        <f>VLOOKUP(TabVMEnv[EnvProjet],TabEnvProjet[],5,FALSE)</f>
        <v>Pierre-Yves Baloche</v>
      </c>
      <c r="Z161" s="5" t="str">
        <f>VLOOKUP(TabVMEnv[EnvProjet],TabEnvProjet[],6,FALSE)</f>
        <v>Fablab</v>
      </c>
      <c r="AA161" s="5" t="str">
        <f>VLOOKUP(TabVMEnv[[#This Row],[EnvProjet]],TabEnvProjet[],3,FALSE)</f>
        <v>PREPROD</v>
      </c>
      <c r="AB161" s="5">
        <f>COUNTIF(TabVMEnv[VM],TabVMEnv[VM])</f>
        <v>1</v>
      </c>
    </row>
    <row r="162" spans="1:28" ht="15" customHeight="1" x14ac:dyDescent="0.25">
      <c r="A162" t="s">
        <v>144</v>
      </c>
      <c r="B162" t="s">
        <v>292</v>
      </c>
      <c r="E162" s="13"/>
      <c r="F162">
        <f>IF(VLOOKUP(TabVMEnv[VM],TabOceanet[],16,FALSE) = "Tarif_VM",IF(VLOOKUP(TabVMEnv[VM],TabOceanet[],2,FALSE)&lt;4,4,VLOOKUP(TabVMEnv[VM],TabOceanet[],2,FALSE)),0)</f>
        <v>4</v>
      </c>
      <c r="G162">
        <v>0</v>
      </c>
      <c r="H162">
        <v>0</v>
      </c>
      <c r="I162">
        <v>0</v>
      </c>
      <c r="J162">
        <v>0</v>
      </c>
      <c r="K162">
        <f>IF(VLOOKUP(TabVMEnv[VM],TabOceanet[],16,FALSE) = "Tarif_VM",1,0)/TabVMEnv[[#This Row],[Mutualisé]]</f>
        <v>1</v>
      </c>
      <c r="L162">
        <f>IF(VLOOKUP(TabVMEnv[VM],TabOceanet[],9,FALSE) = "PoweredOn",1,0)</f>
        <v>1</v>
      </c>
      <c r="M162">
        <f>TabVMEnv[[#This Row],[IsVMPoweredOn]]*VLOOKUP(TabVMEnv[VM],TabOceanet[],3,FALSE)/TabVMEnv[[#This Row],[Mutualisé]]</f>
        <v>4</v>
      </c>
      <c r="N162">
        <f>VLOOKUP(TabVMEnv[VM],TabOceanet[],4,FALSE)/TabVMEnv[[#This Row],[Mutualisé]]</f>
        <v>21</v>
      </c>
      <c r="O162">
        <f>IF(LEFT(VLOOKUP(TabVMEnv[VM],TabOceanet[],5,FALSE),3)="win",1,0)</f>
        <v>0</v>
      </c>
      <c r="P162"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62" t="str">
        <f>VLOOKUP(TabVMEnv[EnvProjet],TabEnvProjet[],4,FALSE)</f>
        <v>Fablab-Firmin</v>
      </c>
      <c r="R162" s="5" t="str">
        <f>VLOOKUP(TabVMEnv[[#This Row],[SYGES]],TabContrat[],2,FALSE)</f>
        <v>Fablab</v>
      </c>
      <c r="S162" s="5" t="str">
        <f>IF(VLOOKUP(TabVMEnv[[#This Row],[VM]],TabOceanet[],1,FALSE) = "","Disparue","")</f>
        <v/>
      </c>
      <c r="T162" s="25">
        <f>VLOOKUP(TabVMEnv[[#This Row],[VM]],TabOceanet[],36,FALSE)/TabVMEnv[[#This Row],[Mutualisé]]</f>
        <v>11.23</v>
      </c>
      <c r="U162" s="25">
        <f>IF(TabVMEnv[[#This Row],[CostCenter]]="CostCenterDI",0,TabVMEnv[[#This Row],[CoutGlobal]])</f>
        <v>11.23</v>
      </c>
      <c r="V162" s="25">
        <f>TabVMEnv[[#This Row],[CoutGlobalSansCostCenterDI]]/TabVMEnv[[#Totals],[CoutGlobalSansCostCenterDI]]*(GlobalARepartirSansMS+GlobalARepartirMSOnly+GlobalARepartirInfraReseau)</f>
        <v>19.601482602728449</v>
      </c>
      <c r="W162" s="25">
        <f>TabVMEnv[[#This Row],[CoutGlobalSansCostCenterDI]]+TabVMEnv[[#This Row],[CoutGlobalSupplementaire]]</f>
        <v>30.83148260272845</v>
      </c>
      <c r="X162" s="5" t="str">
        <f>VLOOKUP(TabVMEnv[[#This Row],[EnvProjet]],TabEnvProjet[],2,FALSE) &amp; " - " &amp; IFERROR(VLOOKUP(TabVMEnv[[#This Row],[EnvProjet]],TabEnvProjet[],4,FALSE),"INCONNU") &amp; " - " &amp; IFERROR(VLOOKUP(TabVMEnv[[#This Row],[EnvProjet]],TabEnvProjet[],5,FALSE),"INCONNU")</f>
        <v>Fablab-Firmin - Fablab-Firmin - Pierre-Yves Baloche</v>
      </c>
      <c r="Y162" s="5" t="str">
        <f>VLOOKUP(TabVMEnv[EnvProjet],TabEnvProjet[],5,FALSE)</f>
        <v>Pierre-Yves Baloche</v>
      </c>
      <c r="Z162" s="5" t="str">
        <f>VLOOKUP(TabVMEnv[EnvProjet],TabEnvProjet[],6,FALSE)</f>
        <v>Fablab</v>
      </c>
      <c r="AA162" s="5" t="str">
        <f>VLOOKUP(TabVMEnv[[#This Row],[EnvProjet]],TabEnvProjet[],3,FALSE)</f>
        <v>PREPROD</v>
      </c>
      <c r="AB162" s="5">
        <f>COUNTIF(TabVMEnv[VM],TabVMEnv[VM])</f>
        <v>1</v>
      </c>
    </row>
    <row r="163" spans="1:28" x14ac:dyDescent="0.25">
      <c r="A163" t="s">
        <v>133</v>
      </c>
      <c r="B163" t="s">
        <v>292</v>
      </c>
      <c r="E163" s="13"/>
      <c r="F163">
        <f>IF(VLOOKUP(TabVMEnv[VM],TabOceanet[],16,FALSE) = "Tarif_VM",IF(VLOOKUP(TabVMEnv[VM],TabOceanet[],2,FALSE)&lt;4,4,VLOOKUP(TabVMEnv[VM],TabOceanet[],2,FALSE)),0)</f>
        <v>4</v>
      </c>
      <c r="G163">
        <v>0</v>
      </c>
      <c r="H163">
        <v>0</v>
      </c>
      <c r="I163">
        <v>0</v>
      </c>
      <c r="J163">
        <v>0</v>
      </c>
      <c r="K163">
        <f>IF(VLOOKUP(TabVMEnv[VM],TabOceanet[],16,FALSE) = "Tarif_VM",1,0)/TabVMEnv[[#This Row],[Mutualisé]]</f>
        <v>1</v>
      </c>
      <c r="L163">
        <f>IF(VLOOKUP(TabVMEnv[VM],TabOceanet[],9,FALSE) = "PoweredOn",1,0)</f>
        <v>1</v>
      </c>
      <c r="M163">
        <f>TabVMEnv[[#This Row],[IsVMPoweredOn]]*VLOOKUP(TabVMEnv[VM],TabOceanet[],3,FALSE)/TabVMEnv[[#This Row],[Mutualisé]]</f>
        <v>4</v>
      </c>
      <c r="N163">
        <f>VLOOKUP(TabVMEnv[VM],TabOceanet[],4,FALSE)/TabVMEnv[[#This Row],[Mutualisé]]</f>
        <v>16</v>
      </c>
      <c r="O163">
        <f>IF(LEFT(VLOOKUP(TabVMEnv[VM],TabOceanet[],5,FALSE),3)="win",1,0)</f>
        <v>0</v>
      </c>
      <c r="P163"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63" t="str">
        <f>VLOOKUP(TabVMEnv[EnvProjet],TabEnvProjet[],4,FALSE)</f>
        <v>Fablab-Firmin</v>
      </c>
      <c r="R163" s="5" t="str">
        <f>VLOOKUP(TabVMEnv[[#This Row],[SYGES]],TabContrat[],2,FALSE)</f>
        <v>Fablab</v>
      </c>
      <c r="S163" s="5" t="str">
        <f>IF(VLOOKUP(TabVMEnv[[#This Row],[VM]],TabOceanet[],1,FALSE) = "","Disparue","")</f>
        <v/>
      </c>
      <c r="T163" s="17">
        <f>VLOOKUP(TabVMEnv[[#This Row],[VM]],TabOceanet[],36,FALSE)/TabVMEnv[[#This Row],[Mutualisé]]</f>
        <v>10.08</v>
      </c>
      <c r="U163" s="17">
        <f>IF(TabVMEnv[[#This Row],[CostCenter]]="CostCenterDI",0,TabVMEnv[[#This Row],[CoutGlobal]])</f>
        <v>10.08</v>
      </c>
      <c r="V163" s="17">
        <f>TabVMEnv[[#This Row],[CoutGlobalSansCostCenterDI]]/TabVMEnv[[#Totals],[CoutGlobalSansCostCenterDI]]*(GlobalARepartirSansMS+GlobalARepartirMSOnly+GlobalARepartirInfraReseau)</f>
        <v>17.594207002270949</v>
      </c>
      <c r="W163" s="17">
        <f>TabVMEnv[[#This Row],[CoutGlobalSansCostCenterDI]]+TabVMEnv[[#This Row],[CoutGlobalSupplementaire]]</f>
        <v>27.674207002270947</v>
      </c>
      <c r="X163" s="5" t="str">
        <f>VLOOKUP(TabVMEnv[[#This Row],[EnvProjet]],TabEnvProjet[],2,FALSE) &amp; " - " &amp; IFERROR(VLOOKUP(TabVMEnv[[#This Row],[EnvProjet]],TabEnvProjet[],4,FALSE),"INCONNU") &amp; " - " &amp; IFERROR(VLOOKUP(TabVMEnv[[#This Row],[EnvProjet]],TabEnvProjet[],5,FALSE),"INCONNU")</f>
        <v>Fablab-Firmin - Fablab-Firmin - Pierre-Yves Baloche</v>
      </c>
      <c r="Y163" s="5" t="str">
        <f>VLOOKUP(TabVMEnv[EnvProjet],TabEnvProjet[],5,FALSE)</f>
        <v>Pierre-Yves Baloche</v>
      </c>
      <c r="Z163" s="5" t="str">
        <f>VLOOKUP(TabVMEnv[EnvProjet],TabEnvProjet[],6,FALSE)</f>
        <v>Fablab</v>
      </c>
      <c r="AA163" s="5" t="str">
        <f>VLOOKUP(TabVMEnv[[#This Row],[EnvProjet]],TabEnvProjet[],3,FALSE)</f>
        <v>PREPROD</v>
      </c>
      <c r="AB163" s="5">
        <f>COUNTIF(TabVMEnv[VM],TabVMEnv[VM])</f>
        <v>1</v>
      </c>
    </row>
    <row r="164" spans="1:28" x14ac:dyDescent="0.25">
      <c r="A164" t="s">
        <v>134</v>
      </c>
      <c r="B164" t="s">
        <v>292</v>
      </c>
      <c r="E164" s="13"/>
      <c r="F164">
        <f>IF(VLOOKUP(TabVMEnv[VM],TabOceanet[],16,FALSE) = "Tarif_VM",IF(VLOOKUP(TabVMEnv[VM],TabOceanet[],2,FALSE)&lt;4,4,VLOOKUP(TabVMEnv[VM],TabOceanet[],2,FALSE)),0)</f>
        <v>4</v>
      </c>
      <c r="G164">
        <v>0</v>
      </c>
      <c r="H164">
        <v>0</v>
      </c>
      <c r="I164">
        <v>0</v>
      </c>
      <c r="J164">
        <v>0</v>
      </c>
      <c r="K164">
        <f>IF(VLOOKUP(TabVMEnv[VM],TabOceanet[],16,FALSE) = "Tarif_VM",1,0)/TabVMEnv[[#This Row],[Mutualisé]]</f>
        <v>1</v>
      </c>
      <c r="L164">
        <f>IF(VLOOKUP(TabVMEnv[VM],TabOceanet[],9,FALSE) = "PoweredOn",1,0)</f>
        <v>1</v>
      </c>
      <c r="M164">
        <f>TabVMEnv[[#This Row],[IsVMPoweredOn]]*VLOOKUP(TabVMEnv[VM],TabOceanet[],3,FALSE)/TabVMEnv[[#This Row],[Mutualisé]]</f>
        <v>4</v>
      </c>
      <c r="N164">
        <f>VLOOKUP(TabVMEnv[VM],TabOceanet[],4,FALSE)/TabVMEnv[[#This Row],[Mutualisé]]</f>
        <v>21</v>
      </c>
      <c r="O164">
        <f>IF(LEFT(VLOOKUP(TabVMEnv[VM],TabOceanet[],5,FALSE),3)="win",1,0)</f>
        <v>0</v>
      </c>
      <c r="P164"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64" t="str">
        <f>VLOOKUP(TabVMEnv[EnvProjet],TabEnvProjet[],4,FALSE)</f>
        <v>Fablab-Firmin</v>
      </c>
      <c r="R164" s="5" t="str">
        <f>VLOOKUP(TabVMEnv[[#This Row],[SYGES]],TabContrat[],2,FALSE)</f>
        <v>Fablab</v>
      </c>
      <c r="S164" s="5" t="str">
        <f>IF(VLOOKUP(TabVMEnv[[#This Row],[VM]],TabOceanet[],1,FALSE) = "","Disparue","")</f>
        <v/>
      </c>
      <c r="T164" s="17">
        <f>VLOOKUP(TabVMEnv[[#This Row],[VM]],TabOceanet[],36,FALSE)/TabVMEnv[[#This Row],[Mutualisé]]</f>
        <v>11.23</v>
      </c>
      <c r="U164" s="17">
        <f>IF(TabVMEnv[[#This Row],[CostCenter]]="CostCenterDI",0,TabVMEnv[[#This Row],[CoutGlobal]])</f>
        <v>11.23</v>
      </c>
      <c r="V164" s="17">
        <f>TabVMEnv[[#This Row],[CoutGlobalSansCostCenterDI]]/TabVMEnv[[#Totals],[CoutGlobalSansCostCenterDI]]*(GlobalARepartirSansMS+GlobalARepartirMSOnly+GlobalARepartirInfraReseau)</f>
        <v>19.601482602728449</v>
      </c>
      <c r="W164" s="17">
        <f>TabVMEnv[[#This Row],[CoutGlobalSansCostCenterDI]]+TabVMEnv[[#This Row],[CoutGlobalSupplementaire]]</f>
        <v>30.83148260272845</v>
      </c>
      <c r="X164" s="5" t="str">
        <f>VLOOKUP(TabVMEnv[[#This Row],[EnvProjet]],TabEnvProjet[],2,FALSE) &amp; " - " &amp; IFERROR(VLOOKUP(TabVMEnv[[#This Row],[EnvProjet]],TabEnvProjet[],4,FALSE),"INCONNU") &amp; " - " &amp; IFERROR(VLOOKUP(TabVMEnv[[#This Row],[EnvProjet]],TabEnvProjet[],5,FALSE),"INCONNU")</f>
        <v>Fablab-Firmin - Fablab-Firmin - Pierre-Yves Baloche</v>
      </c>
      <c r="Y164" s="5" t="str">
        <f>VLOOKUP(TabVMEnv[EnvProjet],TabEnvProjet[],5,FALSE)</f>
        <v>Pierre-Yves Baloche</v>
      </c>
      <c r="Z164" s="5" t="str">
        <f>VLOOKUP(TabVMEnv[EnvProjet],TabEnvProjet[],6,FALSE)</f>
        <v>Fablab</v>
      </c>
      <c r="AA164" s="5" t="str">
        <f>VLOOKUP(TabVMEnv[[#This Row],[EnvProjet]],TabEnvProjet[],3,FALSE)</f>
        <v>PREPROD</v>
      </c>
      <c r="AB164" s="5">
        <f>COUNTIF(TabVMEnv[VM],TabVMEnv[VM])</f>
        <v>1</v>
      </c>
    </row>
    <row r="165" spans="1:28" x14ac:dyDescent="0.25">
      <c r="A165" t="s">
        <v>143</v>
      </c>
      <c r="B165" t="s">
        <v>292</v>
      </c>
      <c r="E165" s="13"/>
      <c r="F165">
        <f>IF(VLOOKUP(TabVMEnv[VM],TabOceanet[],16,FALSE) = "Tarif_VM",IF(VLOOKUP(TabVMEnv[VM],TabOceanet[],2,FALSE)&lt;4,4,VLOOKUP(TabVMEnv[VM],TabOceanet[],2,FALSE)),0)</f>
        <v>4</v>
      </c>
      <c r="G165">
        <v>0</v>
      </c>
      <c r="H165">
        <v>0</v>
      </c>
      <c r="I165">
        <v>0</v>
      </c>
      <c r="J165">
        <v>0</v>
      </c>
      <c r="K165">
        <f>IF(VLOOKUP(TabVMEnv[VM],TabOceanet[],16,FALSE) = "Tarif_VM",1,0)/TabVMEnv[[#This Row],[Mutualisé]]</f>
        <v>1</v>
      </c>
      <c r="L165">
        <f>IF(VLOOKUP(TabVMEnv[VM],TabOceanet[],9,FALSE) = "PoweredOn",1,0)</f>
        <v>1</v>
      </c>
      <c r="M165">
        <f>TabVMEnv[[#This Row],[IsVMPoweredOn]]*VLOOKUP(TabVMEnv[VM],TabOceanet[],3,FALSE)/TabVMEnv[[#This Row],[Mutualisé]]</f>
        <v>4</v>
      </c>
      <c r="N165">
        <f>VLOOKUP(TabVMEnv[VM],TabOceanet[],4,FALSE)/TabVMEnv[[#This Row],[Mutualisé]]</f>
        <v>21</v>
      </c>
      <c r="O165">
        <f>IF(LEFT(VLOOKUP(TabVMEnv[VM],TabOceanet[],5,FALSE),3)="win",1,0)</f>
        <v>0</v>
      </c>
      <c r="P165"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65" t="str">
        <f>VLOOKUP(TabVMEnv[EnvProjet],TabEnvProjet[],4,FALSE)</f>
        <v>Fablab-Firmin</v>
      </c>
      <c r="R165" s="5" t="str">
        <f>VLOOKUP(TabVMEnv[[#This Row],[SYGES]],TabContrat[],2,FALSE)</f>
        <v>Fablab</v>
      </c>
      <c r="S165" s="5" t="str">
        <f>IF(VLOOKUP(TabVMEnv[[#This Row],[VM]],TabOceanet[],1,FALSE) = "","Disparue","")</f>
        <v/>
      </c>
      <c r="T165" s="25">
        <f>VLOOKUP(TabVMEnv[[#This Row],[VM]],TabOceanet[],36,FALSE)/TabVMEnv[[#This Row],[Mutualisé]]</f>
        <v>11.23</v>
      </c>
      <c r="U165" s="25">
        <f>IF(TabVMEnv[[#This Row],[CostCenter]]="CostCenterDI",0,TabVMEnv[[#This Row],[CoutGlobal]])</f>
        <v>11.23</v>
      </c>
      <c r="V165" s="25">
        <f>TabVMEnv[[#This Row],[CoutGlobalSansCostCenterDI]]/TabVMEnv[[#Totals],[CoutGlobalSansCostCenterDI]]*(GlobalARepartirSansMS+GlobalARepartirMSOnly+GlobalARepartirInfraReseau)</f>
        <v>19.601482602728449</v>
      </c>
      <c r="W165" s="25">
        <f>TabVMEnv[[#This Row],[CoutGlobalSansCostCenterDI]]+TabVMEnv[[#This Row],[CoutGlobalSupplementaire]]</f>
        <v>30.83148260272845</v>
      </c>
      <c r="X165" s="5" t="str">
        <f>VLOOKUP(TabVMEnv[[#This Row],[EnvProjet]],TabEnvProjet[],2,FALSE) &amp; " - " &amp; IFERROR(VLOOKUP(TabVMEnv[[#This Row],[EnvProjet]],TabEnvProjet[],4,FALSE),"INCONNU") &amp; " - " &amp; IFERROR(VLOOKUP(TabVMEnv[[#This Row],[EnvProjet]],TabEnvProjet[],5,FALSE),"INCONNU")</f>
        <v>Fablab-Firmin - Fablab-Firmin - Pierre-Yves Baloche</v>
      </c>
      <c r="Y165" s="5" t="str">
        <f>VLOOKUP(TabVMEnv[EnvProjet],TabEnvProjet[],5,FALSE)</f>
        <v>Pierre-Yves Baloche</v>
      </c>
      <c r="Z165" s="5" t="str">
        <f>VLOOKUP(TabVMEnv[EnvProjet],TabEnvProjet[],6,FALSE)</f>
        <v>Fablab</v>
      </c>
      <c r="AA165" s="5" t="str">
        <f>VLOOKUP(TabVMEnv[[#This Row],[EnvProjet]],TabEnvProjet[],3,FALSE)</f>
        <v>PREPROD</v>
      </c>
      <c r="AB165" s="5">
        <f>COUNTIF(TabVMEnv[VM],TabVMEnv[VM])</f>
        <v>1</v>
      </c>
    </row>
    <row r="166" spans="1:28" x14ac:dyDescent="0.25">
      <c r="A166" t="s">
        <v>145</v>
      </c>
      <c r="B166" t="s">
        <v>292</v>
      </c>
      <c r="E166" s="13"/>
      <c r="F166">
        <f>IF(VLOOKUP(TabVMEnv[VM],TabOceanet[],16,FALSE) = "Tarif_VM",IF(VLOOKUP(TabVMEnv[VM],TabOceanet[],2,FALSE)&lt;4,4,VLOOKUP(TabVMEnv[VM],TabOceanet[],2,FALSE)),0)</f>
        <v>4</v>
      </c>
      <c r="G166">
        <v>0</v>
      </c>
      <c r="H166">
        <v>0</v>
      </c>
      <c r="I166">
        <v>0</v>
      </c>
      <c r="J166">
        <v>0</v>
      </c>
      <c r="K166">
        <f>IF(VLOOKUP(TabVMEnv[VM],TabOceanet[],16,FALSE) = "Tarif_VM",1,0)/TabVMEnv[[#This Row],[Mutualisé]]</f>
        <v>1</v>
      </c>
      <c r="L166">
        <f>IF(VLOOKUP(TabVMEnv[VM],TabOceanet[],9,FALSE) = "PoweredOn",1,0)</f>
        <v>1</v>
      </c>
      <c r="M166">
        <f>TabVMEnv[[#This Row],[IsVMPoweredOn]]*VLOOKUP(TabVMEnv[VM],TabOceanet[],3,FALSE)/TabVMEnv[[#This Row],[Mutualisé]]</f>
        <v>4</v>
      </c>
      <c r="N166">
        <f>VLOOKUP(TabVMEnv[VM],TabOceanet[],4,FALSE)/TabVMEnv[[#This Row],[Mutualisé]]</f>
        <v>21</v>
      </c>
      <c r="O166">
        <f>IF(LEFT(VLOOKUP(TabVMEnv[VM],TabOceanet[],5,FALSE),3)="win",1,0)</f>
        <v>0</v>
      </c>
      <c r="P166"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66" t="str">
        <f>VLOOKUP(TabVMEnv[EnvProjet],TabEnvProjet[],4,FALSE)</f>
        <v>Fablab-Firmin</v>
      </c>
      <c r="R166" s="5" t="str">
        <f>VLOOKUP(TabVMEnv[[#This Row],[SYGES]],TabContrat[],2,FALSE)</f>
        <v>Fablab</v>
      </c>
      <c r="S166" s="5" t="str">
        <f>IF(VLOOKUP(TabVMEnv[[#This Row],[VM]],TabOceanet[],1,FALSE) = "","Disparue","")</f>
        <v/>
      </c>
      <c r="T166" s="25">
        <f>VLOOKUP(TabVMEnv[[#This Row],[VM]],TabOceanet[],36,FALSE)/TabVMEnv[[#This Row],[Mutualisé]]</f>
        <v>11.23</v>
      </c>
      <c r="U166" s="25">
        <f>IF(TabVMEnv[[#This Row],[CostCenter]]="CostCenterDI",0,TabVMEnv[[#This Row],[CoutGlobal]])</f>
        <v>11.23</v>
      </c>
      <c r="V166" s="25">
        <f>TabVMEnv[[#This Row],[CoutGlobalSansCostCenterDI]]/TabVMEnv[[#Totals],[CoutGlobalSansCostCenterDI]]*(GlobalARepartirSansMS+GlobalARepartirMSOnly+GlobalARepartirInfraReseau)</f>
        <v>19.601482602728449</v>
      </c>
      <c r="W166" s="25">
        <f>TabVMEnv[[#This Row],[CoutGlobalSansCostCenterDI]]+TabVMEnv[[#This Row],[CoutGlobalSupplementaire]]</f>
        <v>30.83148260272845</v>
      </c>
      <c r="X166" s="5" t="str">
        <f>VLOOKUP(TabVMEnv[[#This Row],[EnvProjet]],TabEnvProjet[],2,FALSE) &amp; " - " &amp; IFERROR(VLOOKUP(TabVMEnv[[#This Row],[EnvProjet]],TabEnvProjet[],4,FALSE),"INCONNU") &amp; " - " &amp; IFERROR(VLOOKUP(TabVMEnv[[#This Row],[EnvProjet]],TabEnvProjet[],5,FALSE),"INCONNU")</f>
        <v>Fablab-Firmin - Fablab-Firmin - Pierre-Yves Baloche</v>
      </c>
      <c r="Y166" s="5" t="str">
        <f>VLOOKUP(TabVMEnv[EnvProjet],TabEnvProjet[],5,FALSE)</f>
        <v>Pierre-Yves Baloche</v>
      </c>
      <c r="Z166" s="5" t="str">
        <f>VLOOKUP(TabVMEnv[EnvProjet],TabEnvProjet[],6,FALSE)</f>
        <v>Fablab</v>
      </c>
      <c r="AA166" s="5" t="str">
        <f>VLOOKUP(TabVMEnv[[#This Row],[EnvProjet]],TabEnvProjet[],3,FALSE)</f>
        <v>PREPROD</v>
      </c>
      <c r="AB166" s="5">
        <f>COUNTIF(TabVMEnv[VM],TabVMEnv[VM])</f>
        <v>1</v>
      </c>
    </row>
    <row r="167" spans="1:28" x14ac:dyDescent="0.25">
      <c r="A167" t="s">
        <v>146</v>
      </c>
      <c r="B167" t="s">
        <v>292</v>
      </c>
      <c r="E167" s="13"/>
      <c r="F167">
        <f>IF(VLOOKUP(TabVMEnv[VM],TabOceanet[],16,FALSE) = "Tarif_VM",IF(VLOOKUP(TabVMEnv[VM],TabOceanet[],2,FALSE)&lt;4,4,VLOOKUP(TabVMEnv[VM],TabOceanet[],2,FALSE)),0)</f>
        <v>4</v>
      </c>
      <c r="G167">
        <v>0</v>
      </c>
      <c r="H167">
        <v>0</v>
      </c>
      <c r="I167">
        <v>0</v>
      </c>
      <c r="J167">
        <v>0</v>
      </c>
      <c r="K167">
        <f>IF(VLOOKUP(TabVMEnv[VM],TabOceanet[],16,FALSE) = "Tarif_VM",1,0)/TabVMEnv[[#This Row],[Mutualisé]]</f>
        <v>1</v>
      </c>
      <c r="L167">
        <f>IF(VLOOKUP(TabVMEnv[VM],TabOceanet[],9,FALSE) = "PoweredOn",1,0)</f>
        <v>1</v>
      </c>
      <c r="M167">
        <f>TabVMEnv[[#This Row],[IsVMPoweredOn]]*VLOOKUP(TabVMEnv[VM],TabOceanet[],3,FALSE)/TabVMEnv[[#This Row],[Mutualisé]]</f>
        <v>4</v>
      </c>
      <c r="N167">
        <f>VLOOKUP(TabVMEnv[VM],TabOceanet[],4,FALSE)/TabVMEnv[[#This Row],[Mutualisé]]</f>
        <v>21</v>
      </c>
      <c r="O167">
        <f>IF(LEFT(VLOOKUP(TabVMEnv[VM],TabOceanet[],5,FALSE),3)="win",1,0)</f>
        <v>0</v>
      </c>
      <c r="P167"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67" t="str">
        <f>VLOOKUP(TabVMEnv[EnvProjet],TabEnvProjet[],4,FALSE)</f>
        <v>Fablab-Firmin</v>
      </c>
      <c r="R167" s="5" t="str">
        <f>VLOOKUP(TabVMEnv[[#This Row],[SYGES]],TabContrat[],2,FALSE)</f>
        <v>Fablab</v>
      </c>
      <c r="S167" s="5" t="str">
        <f>IF(VLOOKUP(TabVMEnv[[#This Row],[VM]],TabOceanet[],1,FALSE) = "","Disparue","")</f>
        <v/>
      </c>
      <c r="T167" s="25">
        <f>VLOOKUP(TabVMEnv[[#This Row],[VM]],TabOceanet[],36,FALSE)/TabVMEnv[[#This Row],[Mutualisé]]</f>
        <v>11.23</v>
      </c>
      <c r="U167" s="25">
        <f>IF(TabVMEnv[[#This Row],[CostCenter]]="CostCenterDI",0,TabVMEnv[[#This Row],[CoutGlobal]])</f>
        <v>11.23</v>
      </c>
      <c r="V167" s="25">
        <f>TabVMEnv[[#This Row],[CoutGlobalSansCostCenterDI]]/TabVMEnv[[#Totals],[CoutGlobalSansCostCenterDI]]*(GlobalARepartirSansMS+GlobalARepartirMSOnly+GlobalARepartirInfraReseau)</f>
        <v>19.601482602728449</v>
      </c>
      <c r="W167" s="25">
        <f>TabVMEnv[[#This Row],[CoutGlobalSansCostCenterDI]]+TabVMEnv[[#This Row],[CoutGlobalSupplementaire]]</f>
        <v>30.83148260272845</v>
      </c>
      <c r="X167" s="5" t="str">
        <f>VLOOKUP(TabVMEnv[[#This Row],[EnvProjet]],TabEnvProjet[],2,FALSE) &amp; " - " &amp; IFERROR(VLOOKUP(TabVMEnv[[#This Row],[EnvProjet]],TabEnvProjet[],4,FALSE),"INCONNU") &amp; " - " &amp; IFERROR(VLOOKUP(TabVMEnv[[#This Row],[EnvProjet]],TabEnvProjet[],5,FALSE),"INCONNU")</f>
        <v>Fablab-Firmin - Fablab-Firmin - Pierre-Yves Baloche</v>
      </c>
      <c r="Y167" s="5" t="str">
        <f>VLOOKUP(TabVMEnv[EnvProjet],TabEnvProjet[],5,FALSE)</f>
        <v>Pierre-Yves Baloche</v>
      </c>
      <c r="Z167" s="5" t="str">
        <f>VLOOKUP(TabVMEnv[EnvProjet],TabEnvProjet[],6,FALSE)</f>
        <v>Fablab</v>
      </c>
      <c r="AA167" s="5" t="str">
        <f>VLOOKUP(TabVMEnv[[#This Row],[EnvProjet]],TabEnvProjet[],3,FALSE)</f>
        <v>PREPROD</v>
      </c>
      <c r="AB167" s="5">
        <f>COUNTIF(TabVMEnv[VM],TabVMEnv[VM])</f>
        <v>1</v>
      </c>
    </row>
    <row r="168" spans="1:28" x14ac:dyDescent="0.25">
      <c r="A168" t="s">
        <v>147</v>
      </c>
      <c r="B168" t="s">
        <v>292</v>
      </c>
      <c r="E168" s="13"/>
      <c r="F168">
        <f>IF(VLOOKUP(TabVMEnv[VM],TabOceanet[],16,FALSE) = "Tarif_VM",IF(VLOOKUP(TabVMEnv[VM],TabOceanet[],2,FALSE)&lt;4,4,VLOOKUP(TabVMEnv[VM],TabOceanet[],2,FALSE)),0)</f>
        <v>4</v>
      </c>
      <c r="G168">
        <v>0</v>
      </c>
      <c r="H168">
        <v>0</v>
      </c>
      <c r="I168">
        <v>0</v>
      </c>
      <c r="J168">
        <v>0</v>
      </c>
      <c r="K168">
        <f>IF(VLOOKUP(TabVMEnv[VM],TabOceanet[],16,FALSE) = "Tarif_VM",1,0)/TabVMEnv[[#This Row],[Mutualisé]]</f>
        <v>1</v>
      </c>
      <c r="L168">
        <f>IF(VLOOKUP(TabVMEnv[VM],TabOceanet[],9,FALSE) = "PoweredOn",1,0)</f>
        <v>1</v>
      </c>
      <c r="M168">
        <f>TabVMEnv[[#This Row],[IsVMPoweredOn]]*VLOOKUP(TabVMEnv[VM],TabOceanet[],3,FALSE)/TabVMEnv[[#This Row],[Mutualisé]]</f>
        <v>4</v>
      </c>
      <c r="N168">
        <f>VLOOKUP(TabVMEnv[VM],TabOceanet[],4,FALSE)/TabVMEnv[[#This Row],[Mutualisé]]</f>
        <v>21</v>
      </c>
      <c r="O168">
        <f>IF(LEFT(VLOOKUP(TabVMEnv[VM],TabOceanet[],5,FALSE),3)="win",1,0)</f>
        <v>0</v>
      </c>
      <c r="P168"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68" t="str">
        <f>VLOOKUP(TabVMEnv[EnvProjet],TabEnvProjet[],4,FALSE)</f>
        <v>Fablab-Firmin</v>
      </c>
      <c r="R168" s="5" t="str">
        <f>VLOOKUP(TabVMEnv[[#This Row],[SYGES]],TabContrat[],2,FALSE)</f>
        <v>Fablab</v>
      </c>
      <c r="S168" s="5" t="str">
        <f>IF(VLOOKUP(TabVMEnv[[#This Row],[VM]],TabOceanet[],1,FALSE) = "","Disparue","")</f>
        <v/>
      </c>
      <c r="T168" s="25">
        <f>VLOOKUP(TabVMEnv[[#This Row],[VM]],TabOceanet[],36,FALSE)/TabVMEnv[[#This Row],[Mutualisé]]</f>
        <v>11.23</v>
      </c>
      <c r="U168" s="25">
        <f>IF(TabVMEnv[[#This Row],[CostCenter]]="CostCenterDI",0,TabVMEnv[[#This Row],[CoutGlobal]])</f>
        <v>11.23</v>
      </c>
      <c r="V168" s="25">
        <f>TabVMEnv[[#This Row],[CoutGlobalSansCostCenterDI]]/TabVMEnv[[#Totals],[CoutGlobalSansCostCenterDI]]*(GlobalARepartirSansMS+GlobalARepartirMSOnly+GlobalARepartirInfraReseau)</f>
        <v>19.601482602728449</v>
      </c>
      <c r="W168" s="25">
        <f>TabVMEnv[[#This Row],[CoutGlobalSansCostCenterDI]]+TabVMEnv[[#This Row],[CoutGlobalSupplementaire]]</f>
        <v>30.83148260272845</v>
      </c>
      <c r="X168" s="5" t="str">
        <f>VLOOKUP(TabVMEnv[[#This Row],[EnvProjet]],TabEnvProjet[],2,FALSE) &amp; " - " &amp; IFERROR(VLOOKUP(TabVMEnv[[#This Row],[EnvProjet]],TabEnvProjet[],4,FALSE),"INCONNU") &amp; " - " &amp; IFERROR(VLOOKUP(TabVMEnv[[#This Row],[EnvProjet]],TabEnvProjet[],5,FALSE),"INCONNU")</f>
        <v>Fablab-Firmin - Fablab-Firmin - Pierre-Yves Baloche</v>
      </c>
      <c r="Y168" s="5" t="str">
        <f>VLOOKUP(TabVMEnv[EnvProjet],TabEnvProjet[],5,FALSE)</f>
        <v>Pierre-Yves Baloche</v>
      </c>
      <c r="Z168" s="5" t="str">
        <f>VLOOKUP(TabVMEnv[EnvProjet],TabEnvProjet[],6,FALSE)</f>
        <v>Fablab</v>
      </c>
      <c r="AA168" s="5" t="str">
        <f>VLOOKUP(TabVMEnv[[#This Row],[EnvProjet]],TabEnvProjet[],3,FALSE)</f>
        <v>PREPROD</v>
      </c>
      <c r="AB168" s="5">
        <f>COUNTIF(TabVMEnv[VM],TabVMEnv[VM])</f>
        <v>1</v>
      </c>
    </row>
    <row r="169" spans="1:28" x14ac:dyDescent="0.25">
      <c r="A169" t="s">
        <v>123</v>
      </c>
      <c r="B169" t="s">
        <v>291</v>
      </c>
      <c r="E169" s="13"/>
      <c r="F169">
        <f>IF(VLOOKUP(TabVMEnv[VM],TabOceanet[],16,FALSE) = "Tarif_VM",IF(VLOOKUP(TabVMEnv[VM],TabOceanet[],2,FALSE)&lt;4,4,VLOOKUP(TabVMEnv[VM],TabOceanet[],2,FALSE)),0)</f>
        <v>4</v>
      </c>
      <c r="G169">
        <v>0</v>
      </c>
      <c r="H169">
        <v>0</v>
      </c>
      <c r="I169">
        <v>0</v>
      </c>
      <c r="J169">
        <v>0</v>
      </c>
      <c r="K169">
        <f>IF(VLOOKUP(TabVMEnv[VM],TabOceanet[],16,FALSE) = "Tarif_VM",1,0)/TabVMEnv[[#This Row],[Mutualisé]]</f>
        <v>1</v>
      </c>
      <c r="L169">
        <f>IF(VLOOKUP(TabVMEnv[VM],TabOceanet[],9,FALSE) = "PoweredOn",1,0)</f>
        <v>1</v>
      </c>
      <c r="M169">
        <f>TabVMEnv[[#This Row],[IsVMPoweredOn]]*VLOOKUP(TabVMEnv[VM],TabOceanet[],3,FALSE)/TabVMEnv[[#This Row],[Mutualisé]]</f>
        <v>4</v>
      </c>
      <c r="N169">
        <f>VLOOKUP(TabVMEnv[VM],TabOceanet[],4,FALSE)/TabVMEnv[[#This Row],[Mutualisé]]</f>
        <v>21</v>
      </c>
      <c r="O169">
        <f>IF(LEFT(VLOOKUP(TabVMEnv[VM],TabOceanet[],5,FALSE),3)="win",1,0)</f>
        <v>0</v>
      </c>
      <c r="P169"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69" t="str">
        <f>VLOOKUP(TabVMEnv[EnvProjet],TabEnvProjet[],4,FALSE)</f>
        <v>Fablab-Firmin</v>
      </c>
      <c r="R169" s="5" t="str">
        <f>VLOOKUP(TabVMEnv[[#This Row],[SYGES]],TabContrat[],2,FALSE)</f>
        <v>Fablab</v>
      </c>
      <c r="S169" s="5" t="str">
        <f>IF(VLOOKUP(TabVMEnv[[#This Row],[VM]],TabOceanet[],1,FALSE) = "","Disparue","")</f>
        <v/>
      </c>
      <c r="T169" s="25">
        <f>VLOOKUP(TabVMEnv[[#This Row],[VM]],TabOceanet[],36,FALSE)/TabVMEnv[[#This Row],[Mutualisé]]</f>
        <v>11.23</v>
      </c>
      <c r="U169" s="25">
        <f>IF(TabVMEnv[[#This Row],[CostCenter]]="CostCenterDI",0,TabVMEnv[[#This Row],[CoutGlobal]])</f>
        <v>11.23</v>
      </c>
      <c r="V169" s="25">
        <f>TabVMEnv[[#This Row],[CoutGlobalSansCostCenterDI]]/TabVMEnv[[#Totals],[CoutGlobalSansCostCenterDI]]*(GlobalARepartirSansMS+GlobalARepartirMSOnly+GlobalARepartirInfraReseau)</f>
        <v>19.601482602728449</v>
      </c>
      <c r="W169" s="25">
        <f>TabVMEnv[[#This Row],[CoutGlobalSansCostCenterDI]]+TabVMEnv[[#This Row],[CoutGlobalSupplementaire]]</f>
        <v>30.83148260272845</v>
      </c>
      <c r="X169" s="5" t="str">
        <f>VLOOKUP(TabVMEnv[[#This Row],[EnvProjet]],TabEnvProjet[],2,FALSE) &amp; " - " &amp; IFERROR(VLOOKUP(TabVMEnv[[#This Row],[EnvProjet]],TabEnvProjet[],4,FALSE),"INCONNU") &amp; " - " &amp; IFERROR(VLOOKUP(TabVMEnv[[#This Row],[EnvProjet]],TabEnvProjet[],5,FALSE),"INCONNU")</f>
        <v>Fablab-Firmin - Fablab-Firmin - Pierre-Yves Baloche</v>
      </c>
      <c r="Y169" s="5" t="str">
        <f>VLOOKUP(TabVMEnv[EnvProjet],TabEnvProjet[],5,FALSE)</f>
        <v>Pierre-Yves Baloche</v>
      </c>
      <c r="Z169" s="5" t="str">
        <f>VLOOKUP(TabVMEnv[EnvProjet],TabEnvProjet[],6,FALSE)</f>
        <v>Fablab</v>
      </c>
      <c r="AA169" s="5" t="str">
        <f>VLOOKUP(TabVMEnv[[#This Row],[EnvProjet]],TabEnvProjet[],3,FALSE)</f>
        <v>PROD</v>
      </c>
      <c r="AB169" s="5">
        <f>COUNTIF(TabVMEnv[VM],TabVMEnv[VM])</f>
        <v>1</v>
      </c>
    </row>
    <row r="170" spans="1:28" x14ac:dyDescent="0.25">
      <c r="A170" t="s">
        <v>1236</v>
      </c>
      <c r="B170" t="s">
        <v>292</v>
      </c>
      <c r="E170" s="13"/>
      <c r="F170" s="5">
        <f>IF(VLOOKUP(TabVMEnv[VM],TabOceanet[],16,FALSE) = "Tarif_VM",IF(VLOOKUP(TabVMEnv[VM],TabOceanet[],2,FALSE)&lt;4,4,VLOOKUP(TabVMEnv[VM],TabOceanet[],2,FALSE)),0)</f>
        <v>4</v>
      </c>
      <c r="G170">
        <v>0</v>
      </c>
      <c r="H170">
        <v>0</v>
      </c>
      <c r="I170">
        <v>0</v>
      </c>
      <c r="J170">
        <v>0</v>
      </c>
      <c r="K170" s="5">
        <f>IF(VLOOKUP(TabVMEnv[VM],TabOceanet[],16,FALSE) = "Tarif_VM",1,0)/TabVMEnv[[#This Row],[Mutualisé]]</f>
        <v>1</v>
      </c>
      <c r="L170" s="5">
        <f>IF(VLOOKUP(TabVMEnv[VM],TabOceanet[],9,FALSE) = "PoweredOn",1,0)</f>
        <v>1</v>
      </c>
      <c r="M170" s="5">
        <f>TabVMEnv[[#This Row],[IsVMPoweredOn]]*VLOOKUP(TabVMEnv[VM],TabOceanet[],3,FALSE)/TabVMEnv[[#This Row],[Mutualisé]]</f>
        <v>4</v>
      </c>
      <c r="N170" s="5">
        <f>VLOOKUP(TabVMEnv[VM],TabOceanet[],4,FALSE)/TabVMEnv[[#This Row],[Mutualisé]]</f>
        <v>21</v>
      </c>
      <c r="O170" s="5">
        <f>IF(LEFT(VLOOKUP(TabVMEnv[VM],TabOceanet[],5,FALSE),3)="win",1,0)</f>
        <v>0</v>
      </c>
      <c r="P170"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70" t="str">
        <f>VLOOKUP(TabVMEnv[EnvProjet],TabEnvProjet[],4,FALSE)</f>
        <v>Fablab-Firmin</v>
      </c>
      <c r="R170" s="5" t="str">
        <f>VLOOKUP(TabVMEnv[[#This Row],[SYGES]],TabContrat[],2,FALSE)</f>
        <v>Fablab</v>
      </c>
      <c r="S170" s="5" t="str">
        <f>IF(VLOOKUP(TabVMEnv[[#This Row],[VM]],TabOceanet[],1,FALSE) = "","Disparue","")</f>
        <v/>
      </c>
      <c r="T170" s="25">
        <f>VLOOKUP(TabVMEnv[[#This Row],[VM]],TabOceanet[],36,FALSE)/TabVMEnv[[#This Row],[Mutualisé]]</f>
        <v>11.23</v>
      </c>
      <c r="U170" s="25">
        <f>IF(TabVMEnv[[#This Row],[CostCenter]]="CostCenterDI",0,TabVMEnv[[#This Row],[CoutGlobal]])</f>
        <v>11.23</v>
      </c>
      <c r="V170" s="25">
        <f>TabVMEnv[[#This Row],[CoutGlobalSansCostCenterDI]]/TabVMEnv[[#Totals],[CoutGlobalSansCostCenterDI]]*(GlobalARepartirSansMS+GlobalARepartirMSOnly+GlobalARepartirInfraReseau)</f>
        <v>19.601482602728449</v>
      </c>
      <c r="W170" s="25">
        <f>TabVMEnv[[#This Row],[CoutGlobalSansCostCenterDI]]+TabVMEnv[[#This Row],[CoutGlobalSupplementaire]]</f>
        <v>30.83148260272845</v>
      </c>
      <c r="X170" s="5" t="str">
        <f>VLOOKUP(TabVMEnv[[#This Row],[EnvProjet]],TabEnvProjet[],2,FALSE) &amp; " - " &amp; IFERROR(VLOOKUP(TabVMEnv[[#This Row],[EnvProjet]],TabEnvProjet[],4,FALSE),"INCONNU") &amp; " - " &amp; IFERROR(VLOOKUP(TabVMEnv[[#This Row],[EnvProjet]],TabEnvProjet[],5,FALSE),"INCONNU")</f>
        <v>Fablab-Firmin - Fablab-Firmin - Pierre-Yves Baloche</v>
      </c>
      <c r="Y170" s="5" t="str">
        <f>VLOOKUP(TabVMEnv[EnvProjet],TabEnvProjet[],5,FALSE)</f>
        <v>Pierre-Yves Baloche</v>
      </c>
      <c r="Z170" s="5" t="str">
        <f>VLOOKUP(TabVMEnv[EnvProjet],TabEnvProjet[],6,FALSE)</f>
        <v>Fablab</v>
      </c>
      <c r="AA170" s="5" t="str">
        <f>VLOOKUP(TabVMEnv[[#This Row],[EnvProjet]],TabEnvProjet[],3,FALSE)</f>
        <v>PREPROD</v>
      </c>
      <c r="AB170" s="5">
        <f>COUNTIF(TabVMEnv[VM],TabVMEnv[VM])</f>
        <v>1</v>
      </c>
    </row>
    <row r="171" spans="1:28" x14ac:dyDescent="0.25">
      <c r="A171" t="s">
        <v>1237</v>
      </c>
      <c r="B171" t="s">
        <v>292</v>
      </c>
      <c r="E171" s="13"/>
      <c r="F171" s="5">
        <f>IF(VLOOKUP(TabVMEnv[VM],TabOceanet[],16,FALSE) = "Tarif_VM",IF(VLOOKUP(TabVMEnv[VM],TabOceanet[],2,FALSE)&lt;4,4,VLOOKUP(TabVMEnv[VM],TabOceanet[],2,FALSE)),0)</f>
        <v>4</v>
      </c>
      <c r="G171">
        <v>0</v>
      </c>
      <c r="H171">
        <v>0</v>
      </c>
      <c r="I171">
        <v>0</v>
      </c>
      <c r="J171">
        <v>0</v>
      </c>
      <c r="K171" s="5">
        <f>IF(VLOOKUP(TabVMEnv[VM],TabOceanet[],16,FALSE) = "Tarif_VM",1,0)/TabVMEnv[[#This Row],[Mutualisé]]</f>
        <v>1</v>
      </c>
      <c r="L171" s="5">
        <f>IF(VLOOKUP(TabVMEnv[VM],TabOceanet[],9,FALSE) = "PoweredOn",1,0)</f>
        <v>1</v>
      </c>
      <c r="M171" s="5">
        <f>TabVMEnv[[#This Row],[IsVMPoweredOn]]*VLOOKUP(TabVMEnv[VM],TabOceanet[],3,FALSE)/TabVMEnv[[#This Row],[Mutualisé]]</f>
        <v>4</v>
      </c>
      <c r="N171" s="5">
        <f>VLOOKUP(TabVMEnv[VM],TabOceanet[],4,FALSE)/TabVMEnv[[#This Row],[Mutualisé]]</f>
        <v>21</v>
      </c>
      <c r="O171" s="5">
        <f>IF(LEFT(VLOOKUP(TabVMEnv[VM],TabOceanet[],5,FALSE),3)="win",1,0)</f>
        <v>0</v>
      </c>
      <c r="P171"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71" t="str">
        <f>VLOOKUP(TabVMEnv[EnvProjet],TabEnvProjet[],4,FALSE)</f>
        <v>Fablab-Firmin</v>
      </c>
      <c r="R171" s="5" t="str">
        <f>VLOOKUP(TabVMEnv[[#This Row],[SYGES]],TabContrat[],2,FALSE)</f>
        <v>Fablab</v>
      </c>
      <c r="S171" s="5" t="str">
        <f>IF(VLOOKUP(TabVMEnv[[#This Row],[VM]],TabOceanet[],1,FALSE) = "","Disparue","")</f>
        <v/>
      </c>
      <c r="T171" s="25">
        <f>VLOOKUP(TabVMEnv[[#This Row],[VM]],TabOceanet[],36,FALSE)/TabVMEnv[[#This Row],[Mutualisé]]</f>
        <v>11.23</v>
      </c>
      <c r="U171" s="25">
        <f>IF(TabVMEnv[[#This Row],[CostCenter]]="CostCenterDI",0,TabVMEnv[[#This Row],[CoutGlobal]])</f>
        <v>11.23</v>
      </c>
      <c r="V171" s="25">
        <f>TabVMEnv[[#This Row],[CoutGlobalSansCostCenterDI]]/TabVMEnv[[#Totals],[CoutGlobalSansCostCenterDI]]*(GlobalARepartirSansMS+GlobalARepartirMSOnly+GlobalARepartirInfraReseau)</f>
        <v>19.601482602728449</v>
      </c>
      <c r="W171" s="25">
        <f>TabVMEnv[[#This Row],[CoutGlobalSansCostCenterDI]]+TabVMEnv[[#This Row],[CoutGlobalSupplementaire]]</f>
        <v>30.83148260272845</v>
      </c>
      <c r="X171" s="5" t="str">
        <f>VLOOKUP(TabVMEnv[[#This Row],[EnvProjet]],TabEnvProjet[],2,FALSE) &amp; " - " &amp; IFERROR(VLOOKUP(TabVMEnv[[#This Row],[EnvProjet]],TabEnvProjet[],4,FALSE),"INCONNU") &amp; " - " &amp; IFERROR(VLOOKUP(TabVMEnv[[#This Row],[EnvProjet]],TabEnvProjet[],5,FALSE),"INCONNU")</f>
        <v>Fablab-Firmin - Fablab-Firmin - Pierre-Yves Baloche</v>
      </c>
      <c r="Y171" s="5" t="str">
        <f>VLOOKUP(TabVMEnv[EnvProjet],TabEnvProjet[],5,FALSE)</f>
        <v>Pierre-Yves Baloche</v>
      </c>
      <c r="Z171" s="5" t="str">
        <f>VLOOKUP(TabVMEnv[EnvProjet],TabEnvProjet[],6,FALSE)</f>
        <v>Fablab</v>
      </c>
      <c r="AA171" s="5" t="str">
        <f>VLOOKUP(TabVMEnv[[#This Row],[EnvProjet]],TabEnvProjet[],3,FALSE)</f>
        <v>PREPROD</v>
      </c>
      <c r="AB171" s="5">
        <f>COUNTIF(TabVMEnv[VM],TabVMEnv[VM])</f>
        <v>1</v>
      </c>
    </row>
    <row r="172" spans="1:28" x14ac:dyDescent="0.25">
      <c r="A172" t="s">
        <v>1281</v>
      </c>
      <c r="B172" t="s">
        <v>292</v>
      </c>
      <c r="E172" s="13"/>
      <c r="F172" s="5">
        <f>IF(VLOOKUP(TabVMEnv[VM],TabOceanet[],16,FALSE) = "Tarif_VM",IF(VLOOKUP(TabVMEnv[VM],TabOceanet[],2,FALSE)&lt;4,4,VLOOKUP(TabVMEnv[VM],TabOceanet[],2,FALSE)),0)</f>
        <v>4</v>
      </c>
      <c r="G172">
        <v>0</v>
      </c>
      <c r="H172">
        <v>0</v>
      </c>
      <c r="I172">
        <v>0</v>
      </c>
      <c r="J172">
        <v>0</v>
      </c>
      <c r="K172" s="5">
        <f>IF(VLOOKUP(TabVMEnv[VM],TabOceanet[],16,FALSE) = "Tarif_VM",1,0)/TabVMEnv[[#This Row],[Mutualisé]]</f>
        <v>1</v>
      </c>
      <c r="L172" s="5">
        <f>IF(VLOOKUP(TabVMEnv[VM],TabOceanet[],9,FALSE) = "PoweredOn",1,0)</f>
        <v>1</v>
      </c>
      <c r="M172" s="5">
        <f>TabVMEnv[[#This Row],[IsVMPoweredOn]]*VLOOKUP(TabVMEnv[VM],TabOceanet[],3,FALSE)/TabVMEnv[[#This Row],[Mutualisé]]</f>
        <v>4</v>
      </c>
      <c r="N172" s="5">
        <f>VLOOKUP(TabVMEnv[VM],TabOceanet[],4,FALSE)/TabVMEnv[[#This Row],[Mutualisé]]</f>
        <v>21</v>
      </c>
      <c r="O172" s="5">
        <f>IF(LEFT(VLOOKUP(TabVMEnv[VM],TabOceanet[],5,FALSE),3)="win",1,0)</f>
        <v>0</v>
      </c>
      <c r="P172"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72" t="str">
        <f>VLOOKUP(TabVMEnv[EnvProjet],TabEnvProjet[],4,FALSE)</f>
        <v>Fablab-Firmin</v>
      </c>
      <c r="R172" s="5" t="str">
        <f>VLOOKUP(TabVMEnv[[#This Row],[SYGES]],TabContrat[],2,FALSE)</f>
        <v>Fablab</v>
      </c>
      <c r="S172" s="5" t="str">
        <f>IF(VLOOKUP(TabVMEnv[[#This Row],[VM]],TabOceanet[],1,FALSE) = "","Disparue","")</f>
        <v/>
      </c>
      <c r="T172" s="25">
        <f>VLOOKUP(TabVMEnv[[#This Row],[VM]],TabOceanet[],36,FALSE)/TabVMEnv[[#This Row],[Mutualisé]]</f>
        <v>11.23</v>
      </c>
      <c r="U172" s="25">
        <f>IF(TabVMEnv[[#This Row],[CostCenter]]="CostCenterDI",0,TabVMEnv[[#This Row],[CoutGlobal]])</f>
        <v>11.23</v>
      </c>
      <c r="V172" s="25">
        <f>TabVMEnv[[#This Row],[CoutGlobalSansCostCenterDI]]/TabVMEnv[[#Totals],[CoutGlobalSansCostCenterDI]]*(GlobalARepartirSansMS+GlobalARepartirMSOnly+GlobalARepartirInfraReseau)</f>
        <v>19.601482602728449</v>
      </c>
      <c r="W172" s="25">
        <f>TabVMEnv[[#This Row],[CoutGlobalSansCostCenterDI]]+TabVMEnv[[#This Row],[CoutGlobalSupplementaire]]</f>
        <v>30.83148260272845</v>
      </c>
      <c r="X172" s="5" t="str">
        <f>VLOOKUP(TabVMEnv[[#This Row],[EnvProjet]],TabEnvProjet[],2,FALSE) &amp; " - " &amp; IFERROR(VLOOKUP(TabVMEnv[[#This Row],[EnvProjet]],TabEnvProjet[],4,FALSE),"INCONNU") &amp; " - " &amp; IFERROR(VLOOKUP(TabVMEnv[[#This Row],[EnvProjet]],TabEnvProjet[],5,FALSE),"INCONNU")</f>
        <v>Fablab-Firmin - Fablab-Firmin - Pierre-Yves Baloche</v>
      </c>
      <c r="Y172" s="5" t="str">
        <f>VLOOKUP(TabVMEnv[EnvProjet],TabEnvProjet[],5,FALSE)</f>
        <v>Pierre-Yves Baloche</v>
      </c>
      <c r="Z172" s="5" t="str">
        <f>VLOOKUP(TabVMEnv[EnvProjet],TabEnvProjet[],6,FALSE)</f>
        <v>Fablab</v>
      </c>
      <c r="AA172" s="5" t="str">
        <f>VLOOKUP(TabVMEnv[[#This Row],[EnvProjet]],TabEnvProjet[],3,FALSE)</f>
        <v>PREPROD</v>
      </c>
      <c r="AB172" s="5">
        <f>COUNTIF(TabVMEnv[VM],TabVMEnv[VM])</f>
        <v>1</v>
      </c>
    </row>
    <row r="173" spans="1:28" x14ac:dyDescent="0.25">
      <c r="A173" t="s">
        <v>1282</v>
      </c>
      <c r="B173" t="s">
        <v>291</v>
      </c>
      <c r="E173" s="13"/>
      <c r="F173" s="5">
        <f>IF(VLOOKUP(TabVMEnv[VM],TabOceanet[],16,FALSE) = "Tarif_VM",IF(VLOOKUP(TabVMEnv[VM],TabOceanet[],2,FALSE)&lt;4,4,VLOOKUP(TabVMEnv[VM],TabOceanet[],2,FALSE)),0)</f>
        <v>4</v>
      </c>
      <c r="G173">
        <v>0</v>
      </c>
      <c r="H173">
        <v>0</v>
      </c>
      <c r="I173">
        <v>0</v>
      </c>
      <c r="J173">
        <v>0</v>
      </c>
      <c r="K173" s="5">
        <f>IF(VLOOKUP(TabVMEnv[VM],TabOceanet[],16,FALSE) = "Tarif_VM",1,0)/TabVMEnv[[#This Row],[Mutualisé]]</f>
        <v>1</v>
      </c>
      <c r="L173" s="5">
        <f>IF(VLOOKUP(TabVMEnv[VM],TabOceanet[],9,FALSE) = "PoweredOn",1,0)</f>
        <v>1</v>
      </c>
      <c r="M173" s="5">
        <f>TabVMEnv[[#This Row],[IsVMPoweredOn]]*VLOOKUP(TabVMEnv[VM],TabOceanet[],3,FALSE)/TabVMEnv[[#This Row],[Mutualisé]]</f>
        <v>4</v>
      </c>
      <c r="N173" s="5">
        <f>VLOOKUP(TabVMEnv[VM],TabOceanet[],4,FALSE)/TabVMEnv[[#This Row],[Mutualisé]]</f>
        <v>21</v>
      </c>
      <c r="O173" s="5">
        <f>IF(LEFT(VLOOKUP(TabVMEnv[VM],TabOceanet[],5,FALSE),3)="win",1,0)</f>
        <v>0</v>
      </c>
      <c r="P173"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73" t="str">
        <f>VLOOKUP(TabVMEnv[EnvProjet],TabEnvProjet[],4,FALSE)</f>
        <v>Fablab-Firmin</v>
      </c>
      <c r="R173" s="5" t="str">
        <f>VLOOKUP(TabVMEnv[[#This Row],[SYGES]],TabContrat[],2,FALSE)</f>
        <v>Fablab</v>
      </c>
      <c r="S173" s="5" t="str">
        <f>IF(VLOOKUP(TabVMEnv[[#This Row],[VM]],TabOceanet[],1,FALSE) = "","Disparue","")</f>
        <v/>
      </c>
      <c r="T173" s="25">
        <f>VLOOKUP(TabVMEnv[[#This Row],[VM]],TabOceanet[],36,FALSE)/TabVMEnv[[#This Row],[Mutualisé]]</f>
        <v>11.23</v>
      </c>
      <c r="U173" s="25">
        <f>IF(TabVMEnv[[#This Row],[CostCenter]]="CostCenterDI",0,TabVMEnv[[#This Row],[CoutGlobal]])</f>
        <v>11.23</v>
      </c>
      <c r="V173" s="25">
        <f>TabVMEnv[[#This Row],[CoutGlobalSansCostCenterDI]]/TabVMEnv[[#Totals],[CoutGlobalSansCostCenterDI]]*(GlobalARepartirSansMS+GlobalARepartirMSOnly+GlobalARepartirInfraReseau)</f>
        <v>19.601482602728449</v>
      </c>
      <c r="W173" s="25">
        <f>TabVMEnv[[#This Row],[CoutGlobalSansCostCenterDI]]+TabVMEnv[[#This Row],[CoutGlobalSupplementaire]]</f>
        <v>30.83148260272845</v>
      </c>
      <c r="X173" s="5" t="str">
        <f>VLOOKUP(TabVMEnv[[#This Row],[EnvProjet]],TabEnvProjet[],2,FALSE) &amp; " - " &amp; IFERROR(VLOOKUP(TabVMEnv[[#This Row],[EnvProjet]],TabEnvProjet[],4,FALSE),"INCONNU") &amp; " - " &amp; IFERROR(VLOOKUP(TabVMEnv[[#This Row],[EnvProjet]],TabEnvProjet[],5,FALSE),"INCONNU")</f>
        <v>Fablab-Firmin - Fablab-Firmin - Pierre-Yves Baloche</v>
      </c>
      <c r="Y173" s="5" t="str">
        <f>VLOOKUP(TabVMEnv[EnvProjet],TabEnvProjet[],5,FALSE)</f>
        <v>Pierre-Yves Baloche</v>
      </c>
      <c r="Z173" s="5" t="str">
        <f>VLOOKUP(TabVMEnv[EnvProjet],TabEnvProjet[],6,FALSE)</f>
        <v>Fablab</v>
      </c>
      <c r="AA173" s="5" t="str">
        <f>VLOOKUP(TabVMEnv[[#This Row],[EnvProjet]],TabEnvProjet[],3,FALSE)</f>
        <v>PROD</v>
      </c>
      <c r="AB173" s="5">
        <f>COUNTIF(TabVMEnv[VM],TabVMEnv[VM])</f>
        <v>1</v>
      </c>
    </row>
    <row r="174" spans="1:28" x14ac:dyDescent="0.25">
      <c r="A174" t="s">
        <v>1302</v>
      </c>
      <c r="B174" t="s">
        <v>292</v>
      </c>
      <c r="E174" s="13"/>
      <c r="F174" s="5">
        <f>IF(VLOOKUP(TabVMEnv[VM],TabOceanet[],16,FALSE) = "Tarif_VM",IF(VLOOKUP(TabVMEnv[VM],TabOceanet[],2,FALSE)&lt;4,4,VLOOKUP(TabVMEnv[VM],TabOceanet[],2,FALSE)),0)</f>
        <v>4</v>
      </c>
      <c r="G174">
        <v>0</v>
      </c>
      <c r="H174">
        <v>0</v>
      </c>
      <c r="I174">
        <v>0</v>
      </c>
      <c r="J174">
        <v>0</v>
      </c>
      <c r="K174" s="5">
        <f>IF(VLOOKUP(TabVMEnv[VM],TabOceanet[],16,FALSE) = "Tarif_VM",1,0)/TabVMEnv[[#This Row],[Mutualisé]]</f>
        <v>1</v>
      </c>
      <c r="L174" s="5">
        <f>IF(VLOOKUP(TabVMEnv[VM],TabOceanet[],9,FALSE) = "PoweredOn",1,0)</f>
        <v>1</v>
      </c>
      <c r="M174" s="5">
        <f>TabVMEnv[[#This Row],[IsVMPoweredOn]]*VLOOKUP(TabVMEnv[VM],TabOceanet[],3,FALSE)/TabVMEnv[[#This Row],[Mutualisé]]</f>
        <v>4</v>
      </c>
      <c r="N174" s="5">
        <f>VLOOKUP(TabVMEnv[VM],TabOceanet[],4,FALSE)/TabVMEnv[[#This Row],[Mutualisé]]</f>
        <v>21</v>
      </c>
      <c r="O174" s="5">
        <f>IF(LEFT(VLOOKUP(TabVMEnv[VM],TabOceanet[],5,FALSE),3)="win",1,0)</f>
        <v>0</v>
      </c>
      <c r="P174"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74" t="str">
        <f>VLOOKUP(TabVMEnv[EnvProjet],TabEnvProjet[],4,FALSE)</f>
        <v>Fablab-Firmin</v>
      </c>
      <c r="R174" s="5" t="str">
        <f>VLOOKUP(TabVMEnv[[#This Row],[SYGES]],TabContrat[],2,FALSE)</f>
        <v>Fablab</v>
      </c>
      <c r="S174" s="5" t="str">
        <f>IF(VLOOKUP(TabVMEnv[[#This Row],[VM]],TabOceanet[],1,FALSE) = "","Disparue","")</f>
        <v/>
      </c>
      <c r="T174" s="25">
        <f>VLOOKUP(TabVMEnv[[#This Row],[VM]],TabOceanet[],36,FALSE)/TabVMEnv[[#This Row],[Mutualisé]]</f>
        <v>11.23</v>
      </c>
      <c r="U174" s="25">
        <f>IF(TabVMEnv[[#This Row],[CostCenter]]="CostCenterDI",0,TabVMEnv[[#This Row],[CoutGlobal]])</f>
        <v>11.23</v>
      </c>
      <c r="V174" s="25">
        <f>TabVMEnv[[#This Row],[CoutGlobalSansCostCenterDI]]/TabVMEnv[[#Totals],[CoutGlobalSansCostCenterDI]]*(GlobalARepartirSansMS+GlobalARepartirMSOnly+GlobalARepartirInfraReseau)</f>
        <v>19.601482602728449</v>
      </c>
      <c r="W174" s="25">
        <f>TabVMEnv[[#This Row],[CoutGlobalSansCostCenterDI]]+TabVMEnv[[#This Row],[CoutGlobalSupplementaire]]</f>
        <v>30.83148260272845</v>
      </c>
      <c r="X174" s="5" t="str">
        <f>VLOOKUP(TabVMEnv[[#This Row],[EnvProjet]],TabEnvProjet[],2,FALSE) &amp; " - " &amp; IFERROR(VLOOKUP(TabVMEnv[[#This Row],[EnvProjet]],TabEnvProjet[],4,FALSE),"INCONNU") &amp; " - " &amp; IFERROR(VLOOKUP(TabVMEnv[[#This Row],[EnvProjet]],TabEnvProjet[],5,FALSE),"INCONNU")</f>
        <v>Fablab-Firmin - Fablab-Firmin - Pierre-Yves Baloche</v>
      </c>
      <c r="Y174" s="5" t="str">
        <f>VLOOKUP(TabVMEnv[EnvProjet],TabEnvProjet[],5,FALSE)</f>
        <v>Pierre-Yves Baloche</v>
      </c>
      <c r="Z174" s="5" t="str">
        <f>VLOOKUP(TabVMEnv[EnvProjet],TabEnvProjet[],6,FALSE)</f>
        <v>Fablab</v>
      </c>
      <c r="AA174" s="5" t="str">
        <f>VLOOKUP(TabVMEnv[[#This Row],[EnvProjet]],TabEnvProjet[],3,FALSE)</f>
        <v>PREPROD</v>
      </c>
      <c r="AB174" s="5">
        <f>COUNTIF(TabVMEnv[VM],TabVMEnv[VM])</f>
        <v>1</v>
      </c>
    </row>
    <row r="175" spans="1:28" x14ac:dyDescent="0.25">
      <c r="A175" t="s">
        <v>1303</v>
      </c>
      <c r="B175" t="s">
        <v>292</v>
      </c>
      <c r="E175" s="13"/>
      <c r="F175" s="5">
        <f>IF(VLOOKUP(TabVMEnv[VM],TabOceanet[],16,FALSE) = "Tarif_VM",IF(VLOOKUP(TabVMEnv[VM],TabOceanet[],2,FALSE)&lt;4,4,VLOOKUP(TabVMEnv[VM],TabOceanet[],2,FALSE)),0)</f>
        <v>4</v>
      </c>
      <c r="G175">
        <v>0</v>
      </c>
      <c r="H175">
        <v>0</v>
      </c>
      <c r="I175">
        <v>0</v>
      </c>
      <c r="J175">
        <v>0</v>
      </c>
      <c r="K175" s="5">
        <f>IF(VLOOKUP(TabVMEnv[VM],TabOceanet[],16,FALSE) = "Tarif_VM",1,0)/TabVMEnv[[#This Row],[Mutualisé]]</f>
        <v>1</v>
      </c>
      <c r="L175" s="5">
        <f>IF(VLOOKUP(TabVMEnv[VM],TabOceanet[],9,FALSE) = "PoweredOn",1,0)</f>
        <v>1</v>
      </c>
      <c r="M175" s="5">
        <f>TabVMEnv[[#This Row],[IsVMPoweredOn]]*VLOOKUP(TabVMEnv[VM],TabOceanet[],3,FALSE)/TabVMEnv[[#This Row],[Mutualisé]]</f>
        <v>4</v>
      </c>
      <c r="N175" s="5">
        <f>VLOOKUP(TabVMEnv[VM],TabOceanet[],4,FALSE)/TabVMEnv[[#This Row],[Mutualisé]]</f>
        <v>21</v>
      </c>
      <c r="O175" s="5">
        <f>IF(LEFT(VLOOKUP(TabVMEnv[VM],TabOceanet[],5,FALSE),3)="win",1,0)</f>
        <v>0</v>
      </c>
      <c r="P175"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75" t="str">
        <f>VLOOKUP(TabVMEnv[EnvProjet],TabEnvProjet[],4,FALSE)</f>
        <v>Fablab-Firmin</v>
      </c>
      <c r="R175" s="5" t="str">
        <f>VLOOKUP(TabVMEnv[[#This Row],[SYGES]],TabContrat[],2,FALSE)</f>
        <v>Fablab</v>
      </c>
      <c r="S175" s="5" t="str">
        <f>IF(VLOOKUP(TabVMEnv[[#This Row],[VM]],TabOceanet[],1,FALSE) = "","Disparue","")</f>
        <v/>
      </c>
      <c r="T175" s="25">
        <f>VLOOKUP(TabVMEnv[[#This Row],[VM]],TabOceanet[],36,FALSE)/TabVMEnv[[#This Row],[Mutualisé]]</f>
        <v>11.23</v>
      </c>
      <c r="U175" s="25">
        <f>IF(TabVMEnv[[#This Row],[CostCenter]]="CostCenterDI",0,TabVMEnv[[#This Row],[CoutGlobal]])</f>
        <v>11.23</v>
      </c>
      <c r="V175" s="25">
        <f>TabVMEnv[[#This Row],[CoutGlobalSansCostCenterDI]]/TabVMEnv[[#Totals],[CoutGlobalSansCostCenterDI]]*(GlobalARepartirSansMS+GlobalARepartirMSOnly+GlobalARepartirInfraReseau)</f>
        <v>19.601482602728449</v>
      </c>
      <c r="W175" s="25">
        <f>TabVMEnv[[#This Row],[CoutGlobalSansCostCenterDI]]+TabVMEnv[[#This Row],[CoutGlobalSupplementaire]]</f>
        <v>30.83148260272845</v>
      </c>
      <c r="X175" s="5" t="str">
        <f>VLOOKUP(TabVMEnv[[#This Row],[EnvProjet]],TabEnvProjet[],2,FALSE) &amp; " - " &amp; IFERROR(VLOOKUP(TabVMEnv[[#This Row],[EnvProjet]],TabEnvProjet[],4,FALSE),"INCONNU") &amp; " - " &amp; IFERROR(VLOOKUP(TabVMEnv[[#This Row],[EnvProjet]],TabEnvProjet[],5,FALSE),"INCONNU")</f>
        <v>Fablab-Firmin - Fablab-Firmin - Pierre-Yves Baloche</v>
      </c>
      <c r="Y175" s="5" t="str">
        <f>VLOOKUP(TabVMEnv[EnvProjet],TabEnvProjet[],5,FALSE)</f>
        <v>Pierre-Yves Baloche</v>
      </c>
      <c r="Z175" s="5" t="str">
        <f>VLOOKUP(TabVMEnv[EnvProjet],TabEnvProjet[],6,FALSE)</f>
        <v>Fablab</v>
      </c>
      <c r="AA175" s="5" t="str">
        <f>VLOOKUP(TabVMEnv[[#This Row],[EnvProjet]],TabEnvProjet[],3,FALSE)</f>
        <v>PREPROD</v>
      </c>
      <c r="AB175" s="5">
        <f>COUNTIF(TabVMEnv[VM],TabVMEnv[VM])</f>
        <v>1</v>
      </c>
    </row>
    <row r="176" spans="1:28" x14ac:dyDescent="0.25">
      <c r="A176" t="s">
        <v>1312</v>
      </c>
      <c r="B176" t="s">
        <v>291</v>
      </c>
      <c r="E176" s="13"/>
      <c r="F176" s="5">
        <f>IF(VLOOKUP(TabVMEnv[VM],TabOceanet[],16,FALSE) = "Tarif_VM",IF(VLOOKUP(TabVMEnv[VM],TabOceanet[],2,FALSE)&lt;4,4,VLOOKUP(TabVMEnv[VM],TabOceanet[],2,FALSE)),0)</f>
        <v>4</v>
      </c>
      <c r="G176">
        <v>0</v>
      </c>
      <c r="H176">
        <v>0</v>
      </c>
      <c r="I176">
        <v>0</v>
      </c>
      <c r="J176">
        <v>0</v>
      </c>
      <c r="K176" s="5">
        <f>IF(VLOOKUP(TabVMEnv[VM],TabOceanet[],16,FALSE) = "Tarif_VM",1,0)/TabVMEnv[[#This Row],[Mutualisé]]</f>
        <v>1</v>
      </c>
      <c r="L176" s="5">
        <f>IF(VLOOKUP(TabVMEnv[VM],TabOceanet[],9,FALSE) = "PoweredOn",1,0)</f>
        <v>1</v>
      </c>
      <c r="M176" s="5">
        <f>TabVMEnv[[#This Row],[IsVMPoweredOn]]*VLOOKUP(TabVMEnv[VM],TabOceanet[],3,FALSE)/TabVMEnv[[#This Row],[Mutualisé]]</f>
        <v>4</v>
      </c>
      <c r="N176" s="5">
        <f>VLOOKUP(TabVMEnv[VM],TabOceanet[],4,FALSE)/TabVMEnv[[#This Row],[Mutualisé]]</f>
        <v>21</v>
      </c>
      <c r="O176" s="5">
        <f>IF(LEFT(VLOOKUP(TabVMEnv[VM],TabOceanet[],5,FALSE),3)="win",1,0)</f>
        <v>0</v>
      </c>
      <c r="P176"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76" t="str">
        <f>VLOOKUP(TabVMEnv[EnvProjet],TabEnvProjet[],4,FALSE)</f>
        <v>Fablab-Firmin</v>
      </c>
      <c r="R176" s="5" t="str">
        <f>VLOOKUP(TabVMEnv[[#This Row],[SYGES]],TabContrat[],2,FALSE)</f>
        <v>Fablab</v>
      </c>
      <c r="S176" s="5" t="str">
        <f>IF(VLOOKUP(TabVMEnv[[#This Row],[VM]],TabOceanet[],1,FALSE) = "","Disparue","")</f>
        <v/>
      </c>
      <c r="T176" s="25">
        <f>VLOOKUP(TabVMEnv[[#This Row],[VM]],TabOceanet[],36,FALSE)/TabVMEnv[[#This Row],[Mutualisé]]</f>
        <v>11.23</v>
      </c>
      <c r="U176" s="25">
        <f>IF(TabVMEnv[[#This Row],[CostCenter]]="CostCenterDI",0,TabVMEnv[[#This Row],[CoutGlobal]])</f>
        <v>11.23</v>
      </c>
      <c r="V176" s="25">
        <f>TabVMEnv[[#This Row],[CoutGlobalSansCostCenterDI]]/TabVMEnv[[#Totals],[CoutGlobalSansCostCenterDI]]*(GlobalARepartirSansMS+GlobalARepartirMSOnly+GlobalARepartirInfraReseau)</f>
        <v>19.601482602728449</v>
      </c>
      <c r="W176" s="25">
        <f>TabVMEnv[[#This Row],[CoutGlobalSansCostCenterDI]]+TabVMEnv[[#This Row],[CoutGlobalSupplementaire]]</f>
        <v>30.83148260272845</v>
      </c>
      <c r="X176" s="5" t="str">
        <f>VLOOKUP(TabVMEnv[[#This Row],[EnvProjet]],TabEnvProjet[],2,FALSE) &amp; " - " &amp; IFERROR(VLOOKUP(TabVMEnv[[#This Row],[EnvProjet]],TabEnvProjet[],4,FALSE),"INCONNU") &amp; " - " &amp; IFERROR(VLOOKUP(TabVMEnv[[#This Row],[EnvProjet]],TabEnvProjet[],5,FALSE),"INCONNU")</f>
        <v>Fablab-Firmin - Fablab-Firmin - Pierre-Yves Baloche</v>
      </c>
      <c r="Y176" s="5" t="str">
        <f>VLOOKUP(TabVMEnv[EnvProjet],TabEnvProjet[],5,FALSE)</f>
        <v>Pierre-Yves Baloche</v>
      </c>
      <c r="Z176" s="5" t="str">
        <f>VLOOKUP(TabVMEnv[EnvProjet],TabEnvProjet[],6,FALSE)</f>
        <v>Fablab</v>
      </c>
      <c r="AA176" s="5" t="str">
        <f>VLOOKUP(TabVMEnv[[#This Row],[EnvProjet]],TabEnvProjet[],3,FALSE)</f>
        <v>PROD</v>
      </c>
      <c r="AB176" s="5">
        <f>COUNTIF(TabVMEnv[VM],TabVMEnv[VM])</f>
        <v>1</v>
      </c>
    </row>
    <row r="177" spans="1:28" ht="15" customHeight="1" x14ac:dyDescent="0.3">
      <c r="A177" t="s">
        <v>214</v>
      </c>
      <c r="B177" t="s">
        <v>290</v>
      </c>
      <c r="D177">
        <v>0</v>
      </c>
      <c r="E177" s="13" t="s">
        <v>1197</v>
      </c>
      <c r="F177">
        <f>IF(VLOOKUP(TabVMEnv[VM],TabOceanet[],16,FALSE) = "Tarif_VM",IF(VLOOKUP(TabVMEnv[VM],TabOceanet[],2,FALSE)&lt;4,4,VLOOKUP(TabVMEnv[VM],TabOceanet[],2,FALSE)),0)</f>
        <v>4</v>
      </c>
      <c r="G177">
        <v>4</v>
      </c>
      <c r="H177" s="67">
        <v>1</v>
      </c>
      <c r="I177">
        <v>0</v>
      </c>
      <c r="J177" s="24">
        <v>0</v>
      </c>
      <c r="K177" s="24">
        <f>IF(VLOOKUP(TabVMEnv[VM],TabOceanet[],16,FALSE) = "Tarif_VM",1,0)/TabVMEnv[[#This Row],[Mutualisé]]</f>
        <v>1</v>
      </c>
      <c r="L177" s="24">
        <f>IF(VLOOKUP(TabVMEnv[VM],TabOceanet[],9,FALSE) = "PoweredOn",1,0)</f>
        <v>1</v>
      </c>
      <c r="M177" s="24">
        <f>TabVMEnv[[#This Row],[IsVMPoweredOn]]*VLOOKUP(TabVMEnv[VM],TabOceanet[],3,FALSE)/TabVMEnv[[#This Row],[Mutualisé]]</f>
        <v>4</v>
      </c>
      <c r="N177" s="24">
        <f>VLOOKUP(TabVMEnv[VM],TabOceanet[],4,FALSE)/TabVMEnv[[#This Row],[Mutualisé]]</f>
        <v>200</v>
      </c>
      <c r="O177" s="24">
        <f>IF(LEFT(VLOOKUP(TabVMEnv[VM],TabOceanet[],5,FALSE),3)="win",1,0)</f>
        <v>1</v>
      </c>
      <c r="P177"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321.41000000000003</v>
      </c>
      <c r="Q177" t="str">
        <f>VLOOKUP(TabVMEnv[EnvProjet],TabEnvProjet[],4,FALSE)</f>
        <v>HEBERG-EDI  MUT-2018</v>
      </c>
      <c r="R177" s="5" t="str">
        <f>VLOOKUP(TabVMEnv[[#This Row],[SYGES]],TabContrat[],2,FALSE)</f>
        <v>HEBERG-EDI</v>
      </c>
      <c r="S177" s="5" t="str">
        <f>IF(VLOOKUP(TabVMEnv[[#This Row],[VM]],TabOceanet[],1,FALSE) = "","Disparue","")</f>
        <v/>
      </c>
      <c r="T177" s="17">
        <f>VLOOKUP(TabVMEnv[[#This Row],[VM]],TabOceanet[],36,FALSE)/TabVMEnv[[#This Row],[Mutualisé]]</f>
        <v>52.4</v>
      </c>
      <c r="U177" s="17">
        <f>IF(TabVMEnv[[#This Row],[CostCenter]]="CostCenterDI",0,TabVMEnv[[#This Row],[CoutGlobal]])</f>
        <v>52.4</v>
      </c>
      <c r="V177" s="17">
        <f>TabVMEnv[[#This Row],[CoutGlobalSansCostCenterDI]]/TabVMEnv[[#Totals],[CoutGlobalSansCostCenterDI]]*(GlobalARepartirSansMS+GlobalARepartirMSOnly+GlobalARepartirInfraReseau)</f>
        <v>91.461949099106903</v>
      </c>
      <c r="W177" s="17">
        <f>TabVMEnv[[#This Row],[CoutGlobalSansCostCenterDI]]+TabVMEnv[[#This Row],[CoutGlobalSupplementaire]]</f>
        <v>143.86194909910691</v>
      </c>
      <c r="X177" s="5" t="str">
        <f>VLOOKUP(TabVMEnv[[#This Row],[EnvProjet]],TabEnvProjet[],2,FALSE) &amp; " - " &amp; IFERROR(VLOOKUP(TabVMEnv[[#This Row],[EnvProjet]],TabEnvProjet[],4,FALSE),"INCONNU") &amp; " - " &amp; IFERROR(VLOOKUP(TabVMEnv[[#This Row],[EnvProjet]],TabEnvProjet[],5,FALSE),"INCONNU")</f>
        <v>EDI-MUT-EDI-MUT - HEBERG-EDI  MUT-2018 - David LEMALHEUX</v>
      </c>
      <c r="Y177" s="5" t="str">
        <f>VLOOKUP(TabVMEnv[EnvProjet],TabEnvProjet[],5,FALSE)</f>
        <v>David LEMALHEUX</v>
      </c>
      <c r="Z177" s="5" t="str">
        <f>VLOOKUP(TabVMEnv[EnvProjet],TabEnvProjet[],6,FALSE)</f>
        <v>341530-EDI</v>
      </c>
      <c r="AA177" s="5" t="str">
        <f>VLOOKUP(TabVMEnv[[#This Row],[EnvProjet]],TabEnvProjet[],3,FALSE)</f>
        <v>PROD</v>
      </c>
      <c r="AB177" s="5">
        <f>COUNTIF(TabVMEnv[VM],TabVMEnv[VM])</f>
        <v>1</v>
      </c>
    </row>
    <row r="178" spans="1:28" x14ac:dyDescent="0.25">
      <c r="A178" t="s">
        <v>215</v>
      </c>
      <c r="B178" t="s">
        <v>290</v>
      </c>
      <c r="D178">
        <v>0</v>
      </c>
      <c r="E178" s="13" t="s">
        <v>1197</v>
      </c>
      <c r="F178">
        <f>IF(VLOOKUP(TabVMEnv[VM],TabOceanet[],16,FALSE) = "Tarif_VM",IF(VLOOKUP(TabVMEnv[VM],TabOceanet[],2,FALSE)&lt;4,4,VLOOKUP(TabVMEnv[VM],TabOceanet[],2,FALSE)),0)</f>
        <v>4</v>
      </c>
      <c r="G178">
        <v>0</v>
      </c>
      <c r="H178">
        <v>0</v>
      </c>
      <c r="I178">
        <v>0</v>
      </c>
      <c r="J178">
        <v>0</v>
      </c>
      <c r="K178">
        <f>IF(VLOOKUP(TabVMEnv[VM],TabOceanet[],16,FALSE) = "Tarif_VM",1,0)/TabVMEnv[[#This Row],[Mutualisé]]</f>
        <v>1</v>
      </c>
      <c r="L178">
        <f>IF(VLOOKUP(TabVMEnv[VM],TabOceanet[],9,FALSE) = "PoweredOn",1,0)</f>
        <v>1</v>
      </c>
      <c r="M178">
        <f>TabVMEnv[[#This Row],[IsVMPoweredOn]]*VLOOKUP(TabVMEnv[VM],TabOceanet[],3,FALSE)/TabVMEnv[[#This Row],[Mutualisé]]</f>
        <v>4</v>
      </c>
      <c r="N178">
        <f>VLOOKUP(TabVMEnv[VM],TabOceanet[],4,FALSE)/TabVMEnv[[#This Row],[Mutualisé]]</f>
        <v>55</v>
      </c>
      <c r="O178">
        <f>IF(LEFT(VLOOKUP(TabVMEnv[VM],TabOceanet[],5,FALSE),3)="win",1,0)</f>
        <v>1</v>
      </c>
      <c r="P178"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78" t="str">
        <f>VLOOKUP(TabVMEnv[EnvProjet],TabEnvProjet[],4,FALSE)</f>
        <v>HEBERG-EDI  MUT-2018</v>
      </c>
      <c r="R178" s="5" t="str">
        <f>VLOOKUP(TabVMEnv[[#This Row],[SYGES]],TabContrat[],2,FALSE)</f>
        <v>HEBERG-EDI</v>
      </c>
      <c r="S178" s="5" t="str">
        <f>IF(VLOOKUP(TabVMEnv[[#This Row],[VM]],TabOceanet[],1,FALSE) = "","Disparue","")</f>
        <v/>
      </c>
      <c r="T178" s="17">
        <f>VLOOKUP(TabVMEnv[[#This Row],[VM]],TabOceanet[],36,FALSE)/TabVMEnv[[#This Row],[Mutualisé]]</f>
        <v>19.05</v>
      </c>
      <c r="U178" s="17">
        <f>IF(TabVMEnv[[#This Row],[CostCenter]]="CostCenterDI",0,TabVMEnv[[#This Row],[CoutGlobal]])</f>
        <v>19.05</v>
      </c>
      <c r="V178" s="17">
        <f>TabVMEnv[[#This Row],[CoutGlobalSansCostCenterDI]]/TabVMEnv[[#Totals],[CoutGlobalSansCostCenterDI]]*(GlobalARepartirSansMS+GlobalARepartirMSOnly+GlobalARepartirInfraReseau)</f>
        <v>33.250956685839441</v>
      </c>
      <c r="W178" s="17">
        <f>TabVMEnv[[#This Row],[CoutGlobalSansCostCenterDI]]+TabVMEnv[[#This Row],[CoutGlobalSupplementaire]]</f>
        <v>52.300956685839438</v>
      </c>
      <c r="X178" s="5" t="str">
        <f>VLOOKUP(TabVMEnv[[#This Row],[EnvProjet]],TabEnvProjet[],2,FALSE) &amp; " - " &amp; IFERROR(VLOOKUP(TabVMEnv[[#This Row],[EnvProjet]],TabEnvProjet[],4,FALSE),"INCONNU") &amp; " - " &amp; IFERROR(VLOOKUP(TabVMEnv[[#This Row],[EnvProjet]],TabEnvProjet[],5,FALSE),"INCONNU")</f>
        <v>EDI-MUT-EDI-MUT - HEBERG-EDI  MUT-2018 - David LEMALHEUX</v>
      </c>
      <c r="Y178" s="5" t="str">
        <f>VLOOKUP(TabVMEnv[EnvProjet],TabEnvProjet[],5,FALSE)</f>
        <v>David LEMALHEUX</v>
      </c>
      <c r="Z178" s="5" t="str">
        <f>VLOOKUP(TabVMEnv[EnvProjet],TabEnvProjet[],6,FALSE)</f>
        <v>341530-EDI</v>
      </c>
      <c r="AA178" s="5" t="str">
        <f>VLOOKUP(TabVMEnv[[#This Row],[EnvProjet]],TabEnvProjet[],3,FALSE)</f>
        <v>PROD</v>
      </c>
      <c r="AB178" s="5">
        <f>COUNTIF(TabVMEnv[VM],TabVMEnv[VM])</f>
        <v>1</v>
      </c>
    </row>
    <row r="179" spans="1:28" x14ac:dyDescent="0.25">
      <c r="A179" t="s">
        <v>85</v>
      </c>
      <c r="B179" t="s">
        <v>295</v>
      </c>
      <c r="E179" s="13"/>
      <c r="F179">
        <f>IF(VLOOKUP(TabVMEnv[VM],TabOceanet[],16,FALSE) = "Tarif_VM",IF(VLOOKUP(TabVMEnv[VM],TabOceanet[],2,FALSE)&lt;4,4,VLOOKUP(TabVMEnv[VM],TabOceanet[],2,FALSE)),0)</f>
        <v>4</v>
      </c>
      <c r="G179">
        <v>0</v>
      </c>
      <c r="H179">
        <v>0</v>
      </c>
      <c r="I179">
        <v>0</v>
      </c>
      <c r="J179">
        <v>0</v>
      </c>
      <c r="K179">
        <f>IF(VLOOKUP(TabVMEnv[VM],TabOceanet[],16,FALSE) = "Tarif_VM",1,0)/TabVMEnv[[#This Row],[Mutualisé]]</f>
        <v>1</v>
      </c>
      <c r="L179">
        <f>IF(VLOOKUP(TabVMEnv[VM],TabOceanet[],9,FALSE) = "PoweredOn",1,0)</f>
        <v>1</v>
      </c>
      <c r="M179">
        <f>TabVMEnv[[#This Row],[IsVMPoweredOn]]*VLOOKUP(TabVMEnv[VM],TabOceanet[],3,FALSE)/TabVMEnv[[#This Row],[Mutualisé]]</f>
        <v>2</v>
      </c>
      <c r="N179">
        <f>VLOOKUP(TabVMEnv[VM],TabOceanet[],4,FALSE)/TabVMEnv[[#This Row],[Mutualisé]]</f>
        <v>10</v>
      </c>
      <c r="O179">
        <f>IF(LEFT(VLOOKUP(TabVMEnv[VM],TabOceanet[],5,FALSE),3)="win",1,0)</f>
        <v>0</v>
      </c>
      <c r="P179"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79" t="str">
        <f>VLOOKUP(TabVMEnv[EnvProjet],TabEnvProjet[],4,FALSE)</f>
        <v>Fablab-Firmin</v>
      </c>
      <c r="R179" s="5" t="str">
        <f>VLOOKUP(TabVMEnv[[#This Row],[SYGES]],TabContrat[],2,FALSE)</f>
        <v>Fablab</v>
      </c>
      <c r="S179" s="5" t="str">
        <f>IF(VLOOKUP(TabVMEnv[[#This Row],[VM]],TabOceanet[],1,FALSE) = "","Disparue","")</f>
        <v/>
      </c>
      <c r="T179" s="17">
        <f>VLOOKUP(TabVMEnv[[#This Row],[VM]],TabOceanet[],36,FALSE)/TabVMEnv[[#This Row],[Mutualisé]]</f>
        <v>5.5</v>
      </c>
      <c r="U179" s="17">
        <f>IF(TabVMEnv[[#This Row],[CostCenter]]="CostCenterDI",0,TabVMEnv[[#This Row],[CoutGlobal]])</f>
        <v>5.5</v>
      </c>
      <c r="V179" s="17">
        <f>TabVMEnv[[#This Row],[CoutGlobalSansCostCenterDI]]/TabVMEnv[[#Totals],[CoutGlobalSansCostCenterDI]]*(GlobalARepartirSansMS+GlobalARepartirMSOnly+GlobalARepartirInfraReseau)</f>
        <v>9.6000137413184738</v>
      </c>
      <c r="W179" s="17">
        <f>TabVMEnv[[#This Row],[CoutGlobalSansCostCenterDI]]+TabVMEnv[[#This Row],[CoutGlobalSupplementaire]]</f>
        <v>15.100013741318474</v>
      </c>
      <c r="X179" s="5" t="str">
        <f>VLOOKUP(TabVMEnv[[#This Row],[EnvProjet]],TabEnvProjet[],2,FALSE) &amp; " - " &amp; IFERROR(VLOOKUP(TabVMEnv[[#This Row],[EnvProjet]],TabEnvProjet[],4,FALSE),"INCONNU") &amp; " - " &amp; IFERROR(VLOOKUP(TabVMEnv[[#This Row],[EnvProjet]],TabEnvProjet[],5,FALSE),"INCONNU")</f>
        <v>Fablab-Firmin - Fablab-Firmin - Pierre-Yves Baloche</v>
      </c>
      <c r="Y179" s="5" t="str">
        <f>VLOOKUP(TabVMEnv[EnvProjet],TabEnvProjet[],5,FALSE)</f>
        <v>Pierre-Yves Baloche</v>
      </c>
      <c r="Z179" s="5" t="str">
        <f>VLOOKUP(TabVMEnv[EnvProjet],TabEnvProjet[],6,FALSE)</f>
        <v>Fablab</v>
      </c>
      <c r="AA179" s="5" t="str">
        <f>VLOOKUP(TabVMEnv[[#This Row],[EnvProjet]],TabEnvProjet[],3,FALSE)</f>
        <v>SOCLE</v>
      </c>
      <c r="AB179" s="5">
        <f>COUNTIF(TabVMEnv[VM],TabVMEnv[VM])</f>
        <v>1</v>
      </c>
    </row>
    <row r="180" spans="1:28" x14ac:dyDescent="0.25">
      <c r="A180" t="s">
        <v>216</v>
      </c>
      <c r="B180" t="s">
        <v>290</v>
      </c>
      <c r="D180">
        <v>0</v>
      </c>
      <c r="E180" s="13" t="s">
        <v>1197</v>
      </c>
      <c r="F180">
        <f>IF(VLOOKUP(TabVMEnv[VM],TabOceanet[],16,FALSE) = "Tarif_VM",IF(VLOOKUP(TabVMEnv[VM],TabOceanet[],2,FALSE)&lt;4,4,VLOOKUP(TabVMEnv[VM],TabOceanet[],2,FALSE)),0)</f>
        <v>4</v>
      </c>
      <c r="G180">
        <v>0</v>
      </c>
      <c r="H180">
        <v>0</v>
      </c>
      <c r="I180">
        <v>0</v>
      </c>
      <c r="J180">
        <v>0</v>
      </c>
      <c r="K180">
        <f>IF(VLOOKUP(TabVMEnv[VM],TabOceanet[],16,FALSE) = "Tarif_VM",1,0)/TabVMEnv[[#This Row],[Mutualisé]]</f>
        <v>1</v>
      </c>
      <c r="L180">
        <f>IF(VLOOKUP(TabVMEnv[VM],TabOceanet[],9,FALSE) = "PoweredOn",1,0)</f>
        <v>1</v>
      </c>
      <c r="M180">
        <f>TabVMEnv[[#This Row],[IsVMPoweredOn]]*VLOOKUP(TabVMEnv[VM],TabOceanet[],3,FALSE)/TabVMEnv[[#This Row],[Mutualisé]]</f>
        <v>1</v>
      </c>
      <c r="N180">
        <f>VLOOKUP(TabVMEnv[VM],TabOceanet[],4,FALSE)/TabVMEnv[[#This Row],[Mutualisé]]</f>
        <v>4</v>
      </c>
      <c r="O180">
        <f>IF(LEFT(VLOOKUP(TabVMEnv[VM],TabOceanet[],5,FALSE),3)="win",1,0)</f>
        <v>0</v>
      </c>
      <c r="P180"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80" t="str">
        <f>VLOOKUP(TabVMEnv[EnvProjet],TabEnvProjet[],4,FALSE)</f>
        <v>HEBERG-EDI  MUT-2018</v>
      </c>
      <c r="R180" s="5" t="str">
        <f>VLOOKUP(TabVMEnv[[#This Row],[SYGES]],TabContrat[],2,FALSE)</f>
        <v>HEBERG-EDI</v>
      </c>
      <c r="S180" s="5" t="str">
        <f>IF(VLOOKUP(TabVMEnv[[#This Row],[VM]],TabOceanet[],1,FALSE) = "","Disparue","")</f>
        <v/>
      </c>
      <c r="T180" s="17">
        <f>VLOOKUP(TabVMEnv[[#This Row],[VM]],TabOceanet[],36,FALSE)/TabVMEnv[[#This Row],[Mutualisé]]</f>
        <v>2.52</v>
      </c>
      <c r="U180" s="17">
        <f>IF(TabVMEnv[[#This Row],[CostCenter]]="CostCenterDI",0,TabVMEnv[[#This Row],[CoutGlobal]])</f>
        <v>2.52</v>
      </c>
      <c r="V180" s="17">
        <f>TabVMEnv[[#This Row],[CoutGlobalSansCostCenterDI]]/TabVMEnv[[#Totals],[CoutGlobalSansCostCenterDI]]*(GlobalARepartirSansMS+GlobalARepartirMSOnly+GlobalARepartirInfraReseau)</f>
        <v>4.3985517505677372</v>
      </c>
      <c r="W180" s="17">
        <f>TabVMEnv[[#This Row],[CoutGlobalSansCostCenterDI]]+TabVMEnv[[#This Row],[CoutGlobalSupplementaire]]</f>
        <v>6.9185517505677367</v>
      </c>
      <c r="X180" s="5" t="str">
        <f>VLOOKUP(TabVMEnv[[#This Row],[EnvProjet]],TabEnvProjet[],2,FALSE) &amp; " - " &amp; IFERROR(VLOOKUP(TabVMEnv[[#This Row],[EnvProjet]],TabEnvProjet[],4,FALSE),"INCONNU") &amp; " - " &amp; IFERROR(VLOOKUP(TabVMEnv[[#This Row],[EnvProjet]],TabEnvProjet[],5,FALSE),"INCONNU")</f>
        <v>EDI-MUT-EDI-MUT - HEBERG-EDI  MUT-2018 - David LEMALHEUX</v>
      </c>
      <c r="Y180" s="5" t="str">
        <f>VLOOKUP(TabVMEnv[EnvProjet],TabEnvProjet[],5,FALSE)</f>
        <v>David LEMALHEUX</v>
      </c>
      <c r="Z180" s="5" t="str">
        <f>VLOOKUP(TabVMEnv[EnvProjet],TabEnvProjet[],6,FALSE)</f>
        <v>341530-EDI</v>
      </c>
      <c r="AA180" s="5" t="str">
        <f>VLOOKUP(TabVMEnv[[#This Row],[EnvProjet]],TabEnvProjet[],3,FALSE)</f>
        <v>PROD</v>
      </c>
      <c r="AB180" s="5">
        <f>COUNTIF(TabVMEnv[VM],TabVMEnv[VM])</f>
        <v>1</v>
      </c>
    </row>
    <row r="181" spans="1:28" x14ac:dyDescent="0.25">
      <c r="A181" t="s">
        <v>135</v>
      </c>
      <c r="B181" t="s">
        <v>292</v>
      </c>
      <c r="E181" s="13"/>
      <c r="F181">
        <f>IF(VLOOKUP(TabVMEnv[VM],TabOceanet[],16,FALSE) = "Tarif_VM",IF(VLOOKUP(TabVMEnv[VM],TabOceanet[],2,FALSE)&lt;4,4,VLOOKUP(TabVMEnv[VM],TabOceanet[],2,FALSE)),0)</f>
        <v>4</v>
      </c>
      <c r="G181">
        <v>0</v>
      </c>
      <c r="H181">
        <v>0</v>
      </c>
      <c r="I181">
        <v>0</v>
      </c>
      <c r="J181">
        <v>0</v>
      </c>
      <c r="K181">
        <f>IF(VLOOKUP(TabVMEnv[VM],TabOceanet[],16,FALSE) = "Tarif_VM",1,0)/TabVMEnv[[#This Row],[Mutualisé]]</f>
        <v>1</v>
      </c>
      <c r="L181">
        <f>IF(VLOOKUP(TabVMEnv[VM],TabOceanet[],9,FALSE) = "PoweredOn",1,0)</f>
        <v>1</v>
      </c>
      <c r="M181">
        <f>TabVMEnv[[#This Row],[IsVMPoweredOn]]*VLOOKUP(TabVMEnv[VM],TabOceanet[],3,FALSE)/TabVMEnv[[#This Row],[Mutualisé]]</f>
        <v>1</v>
      </c>
      <c r="N181">
        <f>VLOOKUP(TabVMEnv[VM],TabOceanet[],4,FALSE)/TabVMEnv[[#This Row],[Mutualisé]]</f>
        <v>4</v>
      </c>
      <c r="O181">
        <f>IF(LEFT(VLOOKUP(TabVMEnv[VM],TabOceanet[],5,FALSE),3)="win",1,0)</f>
        <v>0</v>
      </c>
      <c r="P181"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81" t="str">
        <f>VLOOKUP(TabVMEnv[EnvProjet],TabEnvProjet[],4,FALSE)</f>
        <v>Fablab-Firmin</v>
      </c>
      <c r="R181" s="5" t="str">
        <f>VLOOKUP(TabVMEnv[[#This Row],[SYGES]],TabContrat[],2,FALSE)</f>
        <v>Fablab</v>
      </c>
      <c r="S181" s="5" t="str">
        <f>IF(VLOOKUP(TabVMEnv[[#This Row],[VM]],TabOceanet[],1,FALSE) = "","Disparue","")</f>
        <v/>
      </c>
      <c r="T181" s="17">
        <f>VLOOKUP(TabVMEnv[[#This Row],[VM]],TabOceanet[],36,FALSE)/TabVMEnv[[#This Row],[Mutualisé]]</f>
        <v>2.52</v>
      </c>
      <c r="U181" s="17">
        <f>IF(TabVMEnv[[#This Row],[CostCenter]]="CostCenterDI",0,TabVMEnv[[#This Row],[CoutGlobal]])</f>
        <v>2.52</v>
      </c>
      <c r="V181" s="17">
        <f>TabVMEnv[[#This Row],[CoutGlobalSansCostCenterDI]]/TabVMEnv[[#Totals],[CoutGlobalSansCostCenterDI]]*(GlobalARepartirSansMS+GlobalARepartirMSOnly+GlobalARepartirInfraReseau)</f>
        <v>4.3985517505677372</v>
      </c>
      <c r="W181" s="17">
        <f>TabVMEnv[[#This Row],[CoutGlobalSansCostCenterDI]]+TabVMEnv[[#This Row],[CoutGlobalSupplementaire]]</f>
        <v>6.9185517505677367</v>
      </c>
      <c r="X181" s="5" t="str">
        <f>VLOOKUP(TabVMEnv[[#This Row],[EnvProjet]],TabEnvProjet[],2,FALSE) &amp; " - " &amp; IFERROR(VLOOKUP(TabVMEnv[[#This Row],[EnvProjet]],TabEnvProjet[],4,FALSE),"INCONNU") &amp; " - " &amp; IFERROR(VLOOKUP(TabVMEnv[[#This Row],[EnvProjet]],TabEnvProjet[],5,FALSE),"INCONNU")</f>
        <v>Fablab-Firmin - Fablab-Firmin - Pierre-Yves Baloche</v>
      </c>
      <c r="Y181" s="5" t="str">
        <f>VLOOKUP(TabVMEnv[EnvProjet],TabEnvProjet[],5,FALSE)</f>
        <v>Pierre-Yves Baloche</v>
      </c>
      <c r="Z181" s="5" t="str">
        <f>VLOOKUP(TabVMEnv[EnvProjet],TabEnvProjet[],6,FALSE)</f>
        <v>Fablab</v>
      </c>
      <c r="AA181" s="5" t="str">
        <f>VLOOKUP(TabVMEnv[[#This Row],[EnvProjet]],TabEnvProjet[],3,FALSE)</f>
        <v>PREPROD</v>
      </c>
      <c r="AB181" s="5">
        <f>COUNTIF(TabVMEnv[VM],TabVMEnv[VM])</f>
        <v>1</v>
      </c>
    </row>
    <row r="182" spans="1:28" x14ac:dyDescent="0.25">
      <c r="A182" t="s">
        <v>86</v>
      </c>
      <c r="B182" t="s">
        <v>295</v>
      </c>
      <c r="E182" s="13"/>
      <c r="F182">
        <f>IF(VLOOKUP(TabVMEnv[VM],TabOceanet[],16,FALSE) = "Tarif_VM",IF(VLOOKUP(TabVMEnv[VM],TabOceanet[],2,FALSE)&lt;4,4,VLOOKUP(TabVMEnv[VM],TabOceanet[],2,FALSE)),0)</f>
        <v>4</v>
      </c>
      <c r="G182">
        <v>0</v>
      </c>
      <c r="H182">
        <v>0</v>
      </c>
      <c r="I182">
        <v>0</v>
      </c>
      <c r="J182">
        <v>0</v>
      </c>
      <c r="K182">
        <f>IF(VLOOKUP(TabVMEnv[VM],TabOceanet[],16,FALSE) = "Tarif_VM",1,0)/TabVMEnv[[#This Row],[Mutualisé]]</f>
        <v>1</v>
      </c>
      <c r="L182">
        <f>IF(VLOOKUP(TabVMEnv[VM],TabOceanet[],9,FALSE) = "PoweredOn",1,0)</f>
        <v>1</v>
      </c>
      <c r="M182">
        <f>TabVMEnv[[#This Row],[IsVMPoweredOn]]*VLOOKUP(TabVMEnv[VM],TabOceanet[],3,FALSE)/TabVMEnv[[#This Row],[Mutualisé]]</f>
        <v>1</v>
      </c>
      <c r="N182">
        <f>VLOOKUP(TabVMEnv[VM],TabOceanet[],4,FALSE)/TabVMEnv[[#This Row],[Mutualisé]]</f>
        <v>4</v>
      </c>
      <c r="O182">
        <f>IF(LEFT(VLOOKUP(TabVMEnv[VM],TabOceanet[],5,FALSE),3)="win",1,0)</f>
        <v>0</v>
      </c>
      <c r="P182"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82" t="str">
        <f>VLOOKUP(TabVMEnv[EnvProjet],TabEnvProjet[],4,FALSE)</f>
        <v>Fablab-Firmin</v>
      </c>
      <c r="R182" s="5" t="str">
        <f>VLOOKUP(TabVMEnv[[#This Row],[SYGES]],TabContrat[],2,FALSE)</f>
        <v>Fablab</v>
      </c>
      <c r="S182" s="5" t="str">
        <f>IF(VLOOKUP(TabVMEnv[[#This Row],[VM]],TabOceanet[],1,FALSE) = "","Disparue","")</f>
        <v/>
      </c>
      <c r="T182" s="17">
        <f>VLOOKUP(TabVMEnv[[#This Row],[VM]],TabOceanet[],36,FALSE)/TabVMEnv[[#This Row],[Mutualisé]]</f>
        <v>2.52</v>
      </c>
      <c r="U182" s="17">
        <f>IF(TabVMEnv[[#This Row],[CostCenter]]="CostCenterDI",0,TabVMEnv[[#This Row],[CoutGlobal]])</f>
        <v>2.52</v>
      </c>
      <c r="V182" s="17">
        <f>TabVMEnv[[#This Row],[CoutGlobalSansCostCenterDI]]/TabVMEnv[[#Totals],[CoutGlobalSansCostCenterDI]]*(GlobalARepartirSansMS+GlobalARepartirMSOnly+GlobalARepartirInfraReseau)</f>
        <v>4.3985517505677372</v>
      </c>
      <c r="W182" s="17">
        <f>TabVMEnv[[#This Row],[CoutGlobalSansCostCenterDI]]+TabVMEnv[[#This Row],[CoutGlobalSupplementaire]]</f>
        <v>6.9185517505677367</v>
      </c>
      <c r="X182" s="5" t="str">
        <f>VLOOKUP(TabVMEnv[[#This Row],[EnvProjet]],TabEnvProjet[],2,FALSE) &amp; " - " &amp; IFERROR(VLOOKUP(TabVMEnv[[#This Row],[EnvProjet]],TabEnvProjet[],4,FALSE),"INCONNU") &amp; " - " &amp; IFERROR(VLOOKUP(TabVMEnv[[#This Row],[EnvProjet]],TabEnvProjet[],5,FALSE),"INCONNU")</f>
        <v>Fablab-Firmin - Fablab-Firmin - Pierre-Yves Baloche</v>
      </c>
      <c r="Y182" s="5" t="str">
        <f>VLOOKUP(TabVMEnv[EnvProjet],TabEnvProjet[],5,FALSE)</f>
        <v>Pierre-Yves Baloche</v>
      </c>
      <c r="Z182" s="5" t="str">
        <f>VLOOKUP(TabVMEnv[EnvProjet],TabEnvProjet[],6,FALSE)</f>
        <v>Fablab</v>
      </c>
      <c r="AA182" s="5" t="str">
        <f>VLOOKUP(TabVMEnv[[#This Row],[EnvProjet]],TabEnvProjet[],3,FALSE)</f>
        <v>SOCLE</v>
      </c>
      <c r="AB182" s="5">
        <f>COUNTIF(TabVMEnv[VM],TabVMEnv[VM])</f>
        <v>1</v>
      </c>
    </row>
    <row r="183" spans="1:28" x14ac:dyDescent="0.25">
      <c r="A183" t="s">
        <v>87</v>
      </c>
      <c r="B183" t="s">
        <v>295</v>
      </c>
      <c r="E183" s="13"/>
      <c r="F183">
        <f>IF(VLOOKUP(TabVMEnv[VM],TabOceanet[],16,FALSE) = "Tarif_VM",IF(VLOOKUP(TabVMEnv[VM],TabOceanet[],2,FALSE)&lt;4,4,VLOOKUP(TabVMEnv[VM],TabOceanet[],2,FALSE)),0)</f>
        <v>4</v>
      </c>
      <c r="G183">
        <v>0</v>
      </c>
      <c r="H183">
        <v>0</v>
      </c>
      <c r="I183">
        <v>0</v>
      </c>
      <c r="J183">
        <v>0</v>
      </c>
      <c r="K183">
        <f>IF(VLOOKUP(TabVMEnv[VM],TabOceanet[],16,FALSE) = "Tarif_VM",1,0)/TabVMEnv[[#This Row],[Mutualisé]]</f>
        <v>1</v>
      </c>
      <c r="L183">
        <f>IF(VLOOKUP(TabVMEnv[VM],TabOceanet[],9,FALSE) = "PoweredOn",1,0)</f>
        <v>1</v>
      </c>
      <c r="M183">
        <f>TabVMEnv[[#This Row],[IsVMPoweredOn]]*VLOOKUP(TabVMEnv[VM],TabOceanet[],3,FALSE)/TabVMEnv[[#This Row],[Mutualisé]]</f>
        <v>1</v>
      </c>
      <c r="N183">
        <f>VLOOKUP(TabVMEnv[VM],TabOceanet[],4,FALSE)/TabVMEnv[[#This Row],[Mutualisé]]</f>
        <v>4</v>
      </c>
      <c r="O183">
        <f>IF(LEFT(VLOOKUP(TabVMEnv[VM],TabOceanet[],5,FALSE),3)="win",1,0)</f>
        <v>0</v>
      </c>
      <c r="P183"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83" t="str">
        <f>VLOOKUP(TabVMEnv[EnvProjet],TabEnvProjet[],4,FALSE)</f>
        <v>Fablab-Firmin</v>
      </c>
      <c r="R183" s="5" t="str">
        <f>VLOOKUP(TabVMEnv[[#This Row],[SYGES]],TabContrat[],2,FALSE)</f>
        <v>Fablab</v>
      </c>
      <c r="S183" s="5" t="str">
        <f>IF(VLOOKUP(TabVMEnv[[#This Row],[VM]],TabOceanet[],1,FALSE) = "","Disparue","")</f>
        <v/>
      </c>
      <c r="T183" s="17">
        <f>VLOOKUP(TabVMEnv[[#This Row],[VM]],TabOceanet[],36,FALSE)/TabVMEnv[[#This Row],[Mutualisé]]</f>
        <v>2.52</v>
      </c>
      <c r="U183" s="17">
        <f>IF(TabVMEnv[[#This Row],[CostCenter]]="CostCenterDI",0,TabVMEnv[[#This Row],[CoutGlobal]])</f>
        <v>2.52</v>
      </c>
      <c r="V183" s="17">
        <f>TabVMEnv[[#This Row],[CoutGlobalSansCostCenterDI]]/TabVMEnv[[#Totals],[CoutGlobalSansCostCenterDI]]*(GlobalARepartirSansMS+GlobalARepartirMSOnly+GlobalARepartirInfraReseau)</f>
        <v>4.3985517505677372</v>
      </c>
      <c r="W183" s="17">
        <f>TabVMEnv[[#This Row],[CoutGlobalSansCostCenterDI]]+TabVMEnv[[#This Row],[CoutGlobalSupplementaire]]</f>
        <v>6.9185517505677367</v>
      </c>
      <c r="X183" s="5" t="str">
        <f>VLOOKUP(TabVMEnv[[#This Row],[EnvProjet]],TabEnvProjet[],2,FALSE) &amp; " - " &amp; IFERROR(VLOOKUP(TabVMEnv[[#This Row],[EnvProjet]],TabEnvProjet[],4,FALSE),"INCONNU") &amp; " - " &amp; IFERROR(VLOOKUP(TabVMEnv[[#This Row],[EnvProjet]],TabEnvProjet[],5,FALSE),"INCONNU")</f>
        <v>Fablab-Firmin - Fablab-Firmin - Pierre-Yves Baloche</v>
      </c>
      <c r="Y183" s="5" t="str">
        <f>VLOOKUP(TabVMEnv[EnvProjet],TabEnvProjet[],5,FALSE)</f>
        <v>Pierre-Yves Baloche</v>
      </c>
      <c r="Z183" s="5" t="str">
        <f>VLOOKUP(TabVMEnv[EnvProjet],TabEnvProjet[],6,FALSE)</f>
        <v>Fablab</v>
      </c>
      <c r="AA183" s="5" t="str">
        <f>VLOOKUP(TabVMEnv[[#This Row],[EnvProjet]],TabEnvProjet[],3,FALSE)</f>
        <v>SOCLE</v>
      </c>
      <c r="AB183" s="5">
        <f>COUNTIF(TabVMEnv[VM],TabVMEnv[VM])</f>
        <v>1</v>
      </c>
    </row>
    <row r="184" spans="1:28" x14ac:dyDescent="0.25">
      <c r="A184" t="s">
        <v>95</v>
      </c>
      <c r="B184" t="s">
        <v>291</v>
      </c>
      <c r="E184" s="13"/>
      <c r="F184">
        <f>IF(VLOOKUP(TabVMEnv[VM],TabOceanet[],16,FALSE) = "Tarif_VM",IF(VLOOKUP(TabVMEnv[VM],TabOceanet[],2,FALSE)&lt;4,4,VLOOKUP(TabVMEnv[VM],TabOceanet[],2,FALSE)),0)</f>
        <v>4</v>
      </c>
      <c r="G184">
        <v>0</v>
      </c>
      <c r="H184">
        <v>0</v>
      </c>
      <c r="I184">
        <v>0</v>
      </c>
      <c r="J184">
        <v>0</v>
      </c>
      <c r="K184">
        <f>IF(VLOOKUP(TabVMEnv[VM],TabOceanet[],16,FALSE) = "Tarif_VM",1,0)/TabVMEnv[[#This Row],[Mutualisé]]</f>
        <v>1</v>
      </c>
      <c r="L184">
        <f>IF(VLOOKUP(TabVMEnv[VM],TabOceanet[],9,FALSE) = "PoweredOn",1,0)</f>
        <v>1</v>
      </c>
      <c r="M184">
        <f>TabVMEnv[[#This Row],[IsVMPoweredOn]]*VLOOKUP(TabVMEnv[VM],TabOceanet[],3,FALSE)/TabVMEnv[[#This Row],[Mutualisé]]</f>
        <v>4</v>
      </c>
      <c r="N184">
        <f>VLOOKUP(TabVMEnv[VM],TabOceanet[],4,FALSE)/TabVMEnv[[#This Row],[Mutualisé]]</f>
        <v>4</v>
      </c>
      <c r="O184">
        <f>IF(LEFT(VLOOKUP(TabVMEnv[VM],TabOceanet[],5,FALSE),3)="win",1,0)</f>
        <v>0</v>
      </c>
      <c r="P184"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84" t="str">
        <f>VLOOKUP(TabVMEnv[EnvProjet],TabEnvProjet[],4,FALSE)</f>
        <v>Fablab-Firmin</v>
      </c>
      <c r="R184" s="5" t="str">
        <f>VLOOKUP(TabVMEnv[[#This Row],[SYGES]],TabContrat[],2,FALSE)</f>
        <v>Fablab</v>
      </c>
      <c r="S184" s="5" t="str">
        <f>IF(VLOOKUP(TabVMEnv[[#This Row],[VM]],TabOceanet[],1,FALSE) = "","Disparue","")</f>
        <v/>
      </c>
      <c r="T184" s="17">
        <f>VLOOKUP(TabVMEnv[[#This Row],[VM]],TabOceanet[],36,FALSE)/TabVMEnv[[#This Row],[Mutualisé]]</f>
        <v>7.32</v>
      </c>
      <c r="U184" s="17">
        <f>IF(TabVMEnv[[#This Row],[CostCenter]]="CostCenterDI",0,TabVMEnv[[#This Row],[CoutGlobal]])</f>
        <v>7.32</v>
      </c>
      <c r="V184" s="17">
        <f>TabVMEnv[[#This Row],[CoutGlobalSansCostCenterDI]]/TabVMEnv[[#Totals],[CoutGlobalSansCostCenterDI]]*(GlobalARepartirSansMS+GlobalARepartirMSOnly+GlobalARepartirInfraReseau)</f>
        <v>12.776745561172952</v>
      </c>
      <c r="W184" s="17">
        <f>TabVMEnv[[#This Row],[CoutGlobalSansCostCenterDI]]+TabVMEnv[[#This Row],[CoutGlobalSupplementaire]]</f>
        <v>20.096745561172952</v>
      </c>
      <c r="X184" s="5" t="str">
        <f>VLOOKUP(TabVMEnv[[#This Row],[EnvProjet]],TabEnvProjet[],2,FALSE) &amp; " - " &amp; IFERROR(VLOOKUP(TabVMEnv[[#This Row],[EnvProjet]],TabEnvProjet[],4,FALSE),"INCONNU") &amp; " - " &amp; IFERROR(VLOOKUP(TabVMEnv[[#This Row],[EnvProjet]],TabEnvProjet[],5,FALSE),"INCONNU")</f>
        <v>Fablab-Firmin - Fablab-Firmin - Pierre-Yves Baloche</v>
      </c>
      <c r="Y184" s="5" t="str">
        <f>VLOOKUP(TabVMEnv[EnvProjet],TabEnvProjet[],5,FALSE)</f>
        <v>Pierre-Yves Baloche</v>
      </c>
      <c r="Z184" s="5" t="str">
        <f>VLOOKUP(TabVMEnv[EnvProjet],TabEnvProjet[],6,FALSE)</f>
        <v>Fablab</v>
      </c>
      <c r="AA184" s="5" t="str">
        <f>VLOOKUP(TabVMEnv[[#This Row],[EnvProjet]],TabEnvProjet[],3,FALSE)</f>
        <v>PROD</v>
      </c>
      <c r="AB184" s="5">
        <f>COUNTIF(TabVMEnv[VM],TabVMEnv[VM])</f>
        <v>1</v>
      </c>
    </row>
    <row r="185" spans="1:28" x14ac:dyDescent="0.25">
      <c r="A185" t="s">
        <v>96</v>
      </c>
      <c r="B185" t="s">
        <v>291</v>
      </c>
      <c r="E185" s="13"/>
      <c r="F185">
        <f>IF(VLOOKUP(TabVMEnv[VM],TabOceanet[],16,FALSE) = "Tarif_VM",IF(VLOOKUP(TabVMEnv[VM],TabOceanet[],2,FALSE)&lt;4,4,VLOOKUP(TabVMEnv[VM],TabOceanet[],2,FALSE)),0)</f>
        <v>4</v>
      </c>
      <c r="G185">
        <v>0</v>
      </c>
      <c r="H185">
        <v>0</v>
      </c>
      <c r="I185">
        <v>0</v>
      </c>
      <c r="J185">
        <v>0</v>
      </c>
      <c r="K185">
        <f>IF(VLOOKUP(TabVMEnv[VM],TabOceanet[],16,FALSE) = "Tarif_VM",1,0)/TabVMEnv[[#This Row],[Mutualisé]]</f>
        <v>1</v>
      </c>
      <c r="L185">
        <f>IF(VLOOKUP(TabVMEnv[VM],TabOceanet[],9,FALSE) = "PoweredOn",1,0)</f>
        <v>1</v>
      </c>
      <c r="M185">
        <f>TabVMEnv[[#This Row],[IsVMPoweredOn]]*VLOOKUP(TabVMEnv[VM],TabOceanet[],3,FALSE)/TabVMEnv[[#This Row],[Mutualisé]]</f>
        <v>4</v>
      </c>
      <c r="N185">
        <f>VLOOKUP(TabVMEnv[VM],TabOceanet[],4,FALSE)/TabVMEnv[[#This Row],[Mutualisé]]</f>
        <v>8</v>
      </c>
      <c r="O185">
        <f>IF(LEFT(VLOOKUP(TabVMEnv[VM],TabOceanet[],5,FALSE),3)="win",1,0)</f>
        <v>0</v>
      </c>
      <c r="P185"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85" t="str">
        <f>VLOOKUP(TabVMEnv[EnvProjet],TabEnvProjet[],4,FALSE)</f>
        <v>Fablab-Firmin</v>
      </c>
      <c r="R185" s="5" t="str">
        <f>VLOOKUP(TabVMEnv[[#This Row],[SYGES]],TabContrat[],2,FALSE)</f>
        <v>Fablab</v>
      </c>
      <c r="S185" s="5" t="str">
        <f>IF(VLOOKUP(TabVMEnv[[#This Row],[VM]],TabOceanet[],1,FALSE) = "","Disparue","")</f>
        <v/>
      </c>
      <c r="T185" s="17">
        <f>VLOOKUP(TabVMEnv[[#This Row],[VM]],TabOceanet[],36,FALSE)/TabVMEnv[[#This Row],[Mutualisé]]</f>
        <v>8.24</v>
      </c>
      <c r="U185" s="17">
        <f>IF(TabVMEnv[[#This Row],[CostCenter]]="CostCenterDI",0,TabVMEnv[[#This Row],[CoutGlobal]])</f>
        <v>8.24</v>
      </c>
      <c r="V185" s="17">
        <f>TabVMEnv[[#This Row],[CoutGlobalSansCostCenterDI]]/TabVMEnv[[#Totals],[CoutGlobalSansCostCenterDI]]*(GlobalARepartirSansMS+GlobalARepartirMSOnly+GlobalARepartirInfraReseau)</f>
        <v>14.382566041538949</v>
      </c>
      <c r="W185" s="17">
        <f>TabVMEnv[[#This Row],[CoutGlobalSansCostCenterDI]]+TabVMEnv[[#This Row],[CoutGlobalSupplementaire]]</f>
        <v>22.622566041538949</v>
      </c>
      <c r="X185" s="5" t="str">
        <f>VLOOKUP(TabVMEnv[[#This Row],[EnvProjet]],TabEnvProjet[],2,FALSE) &amp; " - " &amp; IFERROR(VLOOKUP(TabVMEnv[[#This Row],[EnvProjet]],TabEnvProjet[],4,FALSE),"INCONNU") &amp; " - " &amp; IFERROR(VLOOKUP(TabVMEnv[[#This Row],[EnvProjet]],TabEnvProjet[],5,FALSE),"INCONNU")</f>
        <v>Fablab-Firmin - Fablab-Firmin - Pierre-Yves Baloche</v>
      </c>
      <c r="Y185" s="5" t="str">
        <f>VLOOKUP(TabVMEnv[EnvProjet],TabEnvProjet[],5,FALSE)</f>
        <v>Pierre-Yves Baloche</v>
      </c>
      <c r="Z185" s="5" t="str">
        <f>VLOOKUP(TabVMEnv[EnvProjet],TabEnvProjet[],6,FALSE)</f>
        <v>Fablab</v>
      </c>
      <c r="AA185" s="5" t="str">
        <f>VLOOKUP(TabVMEnv[[#This Row],[EnvProjet]],TabEnvProjet[],3,FALSE)</f>
        <v>PROD</v>
      </c>
      <c r="AB185" s="5">
        <f>COUNTIF(TabVMEnv[VM],TabVMEnv[VM])</f>
        <v>1</v>
      </c>
    </row>
    <row r="186" spans="1:28" x14ac:dyDescent="0.25">
      <c r="A186" t="s">
        <v>136</v>
      </c>
      <c r="B186" t="s">
        <v>292</v>
      </c>
      <c r="E186" s="13"/>
      <c r="F186">
        <f>IF(VLOOKUP(TabVMEnv[VM],TabOceanet[],16,FALSE) = "Tarif_VM",IF(VLOOKUP(TabVMEnv[VM],TabOceanet[],2,FALSE)&lt;4,4,VLOOKUP(TabVMEnv[VM],TabOceanet[],2,FALSE)),0)</f>
        <v>4</v>
      </c>
      <c r="G186">
        <v>0</v>
      </c>
      <c r="H186">
        <v>0</v>
      </c>
      <c r="I186">
        <v>0</v>
      </c>
      <c r="J186">
        <v>0</v>
      </c>
      <c r="K186">
        <f>IF(VLOOKUP(TabVMEnv[VM],TabOceanet[],16,FALSE) = "Tarif_VM",1,0)/TabVMEnv[[#This Row],[Mutualisé]]</f>
        <v>1</v>
      </c>
      <c r="L186">
        <f>IF(VLOOKUP(TabVMEnv[VM],TabOceanet[],9,FALSE) = "PoweredOn",1,0)</f>
        <v>0</v>
      </c>
      <c r="M186">
        <f>TabVMEnv[[#This Row],[IsVMPoweredOn]]*VLOOKUP(TabVMEnv[VM],TabOceanet[],3,FALSE)/TabVMEnv[[#This Row],[Mutualisé]]</f>
        <v>0</v>
      </c>
      <c r="N186">
        <f>VLOOKUP(TabVMEnv[VM],TabOceanet[],4,FALSE)/TabVMEnv[[#This Row],[Mutualisé]]</f>
        <v>8</v>
      </c>
      <c r="O186">
        <f>IF(LEFT(VLOOKUP(TabVMEnv[VM],TabOceanet[],5,FALSE),3)="win",1,0)</f>
        <v>0</v>
      </c>
      <c r="P186"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86" t="str">
        <f>VLOOKUP(TabVMEnv[EnvProjet],TabEnvProjet[],4,FALSE)</f>
        <v>Fablab-Firmin</v>
      </c>
      <c r="R186" s="5" t="str">
        <f>VLOOKUP(TabVMEnv[[#This Row],[SYGES]],TabContrat[],2,FALSE)</f>
        <v>Fablab</v>
      </c>
      <c r="S186" s="5" t="str">
        <f>IF(VLOOKUP(TabVMEnv[[#This Row],[VM]],TabOceanet[],1,FALSE) = "","Disparue","")</f>
        <v/>
      </c>
      <c r="T186" s="17">
        <f>VLOOKUP(TabVMEnv[[#This Row],[VM]],TabOceanet[],36,FALSE)/TabVMEnv[[#This Row],[Mutualisé]]</f>
        <v>1.84</v>
      </c>
      <c r="U186" s="17">
        <f>IF(TabVMEnv[[#This Row],[CostCenter]]="CostCenterDI",0,TabVMEnv[[#This Row],[CoutGlobal]])</f>
        <v>1.84</v>
      </c>
      <c r="V186" s="17">
        <f>TabVMEnv[[#This Row],[CoutGlobalSansCostCenterDI]]/TabVMEnv[[#Totals],[CoutGlobalSansCostCenterDI]]*(GlobalARepartirSansMS+GlobalARepartirMSOnly+GlobalARepartirInfraReseau)</f>
        <v>3.2116409607319985</v>
      </c>
      <c r="W186" s="17">
        <f>TabVMEnv[[#This Row],[CoutGlobalSansCostCenterDI]]+TabVMEnv[[#This Row],[CoutGlobalSupplementaire]]</f>
        <v>5.0516409607319988</v>
      </c>
      <c r="X186" s="5" t="str">
        <f>VLOOKUP(TabVMEnv[[#This Row],[EnvProjet]],TabEnvProjet[],2,FALSE) &amp; " - " &amp; IFERROR(VLOOKUP(TabVMEnv[[#This Row],[EnvProjet]],TabEnvProjet[],4,FALSE),"INCONNU") &amp; " - " &amp; IFERROR(VLOOKUP(TabVMEnv[[#This Row],[EnvProjet]],TabEnvProjet[],5,FALSE),"INCONNU")</f>
        <v>Fablab-Firmin - Fablab-Firmin - Pierre-Yves Baloche</v>
      </c>
      <c r="Y186" s="5" t="str">
        <f>VLOOKUP(TabVMEnv[EnvProjet],TabEnvProjet[],5,FALSE)</f>
        <v>Pierre-Yves Baloche</v>
      </c>
      <c r="Z186" s="5" t="str">
        <f>VLOOKUP(TabVMEnv[EnvProjet],TabEnvProjet[],6,FALSE)</f>
        <v>Fablab</v>
      </c>
      <c r="AA186" s="5" t="str">
        <f>VLOOKUP(TabVMEnv[[#This Row],[EnvProjet]],TabEnvProjet[],3,FALSE)</f>
        <v>PREPROD</v>
      </c>
      <c r="AB186" s="5">
        <f>COUNTIF(TabVMEnv[VM],TabVMEnv[VM])</f>
        <v>1</v>
      </c>
    </row>
    <row r="187" spans="1:28" x14ac:dyDescent="0.25">
      <c r="A187" t="s">
        <v>137</v>
      </c>
      <c r="B187" t="s">
        <v>292</v>
      </c>
      <c r="E187" s="13"/>
      <c r="F187">
        <f>IF(VLOOKUP(TabVMEnv[VM],TabOceanet[],16,FALSE) = "Tarif_VM",IF(VLOOKUP(TabVMEnv[VM],TabOceanet[],2,FALSE)&lt;4,4,VLOOKUP(TabVMEnv[VM],TabOceanet[],2,FALSE)),0)</f>
        <v>4</v>
      </c>
      <c r="G187">
        <v>0</v>
      </c>
      <c r="H187">
        <v>0</v>
      </c>
      <c r="I187">
        <v>0</v>
      </c>
      <c r="J187">
        <v>0</v>
      </c>
      <c r="K187">
        <f>IF(VLOOKUP(TabVMEnv[VM],TabOceanet[],16,FALSE) = "Tarif_VM",1,0)/TabVMEnv[[#This Row],[Mutualisé]]</f>
        <v>1</v>
      </c>
      <c r="L187">
        <f>IF(VLOOKUP(TabVMEnv[VM],TabOceanet[],9,FALSE) = "PoweredOn",1,0)</f>
        <v>1</v>
      </c>
      <c r="M187">
        <f>TabVMEnv[[#This Row],[IsVMPoweredOn]]*VLOOKUP(TabVMEnv[VM],TabOceanet[],3,FALSE)/TabVMEnv[[#This Row],[Mutualisé]]</f>
        <v>4</v>
      </c>
      <c r="N187">
        <f>VLOOKUP(TabVMEnv[VM],TabOceanet[],4,FALSE)/TabVMEnv[[#This Row],[Mutualisé]]</f>
        <v>8</v>
      </c>
      <c r="O187">
        <f>IF(LEFT(VLOOKUP(TabVMEnv[VM],TabOceanet[],5,FALSE),3)="win",1,0)</f>
        <v>0</v>
      </c>
      <c r="P187"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87" t="str">
        <f>VLOOKUP(TabVMEnv[EnvProjet],TabEnvProjet[],4,FALSE)</f>
        <v>Fablab-Firmin</v>
      </c>
      <c r="R187" s="5" t="str">
        <f>VLOOKUP(TabVMEnv[[#This Row],[SYGES]],TabContrat[],2,FALSE)</f>
        <v>Fablab</v>
      </c>
      <c r="S187" s="5" t="str">
        <f>IF(VLOOKUP(TabVMEnv[[#This Row],[VM]],TabOceanet[],1,FALSE) = "","Disparue","")</f>
        <v/>
      </c>
      <c r="T187" s="17">
        <f>VLOOKUP(TabVMEnv[[#This Row],[VM]],TabOceanet[],36,FALSE)/TabVMEnv[[#This Row],[Mutualisé]]</f>
        <v>8.24</v>
      </c>
      <c r="U187" s="17">
        <f>IF(TabVMEnv[[#This Row],[CostCenter]]="CostCenterDI",0,TabVMEnv[[#This Row],[CoutGlobal]])</f>
        <v>8.24</v>
      </c>
      <c r="V187" s="17">
        <f>TabVMEnv[[#This Row],[CoutGlobalSansCostCenterDI]]/TabVMEnv[[#Totals],[CoutGlobalSansCostCenterDI]]*(GlobalARepartirSansMS+GlobalARepartirMSOnly+GlobalARepartirInfraReseau)</f>
        <v>14.382566041538949</v>
      </c>
      <c r="W187" s="17">
        <f>TabVMEnv[[#This Row],[CoutGlobalSansCostCenterDI]]+TabVMEnv[[#This Row],[CoutGlobalSupplementaire]]</f>
        <v>22.622566041538949</v>
      </c>
      <c r="X187" s="5" t="str">
        <f>VLOOKUP(TabVMEnv[[#This Row],[EnvProjet]],TabEnvProjet[],2,FALSE) &amp; " - " &amp; IFERROR(VLOOKUP(TabVMEnv[[#This Row],[EnvProjet]],TabEnvProjet[],4,FALSE),"INCONNU") &amp; " - " &amp; IFERROR(VLOOKUP(TabVMEnv[[#This Row],[EnvProjet]],TabEnvProjet[],5,FALSE),"INCONNU")</f>
        <v>Fablab-Firmin - Fablab-Firmin - Pierre-Yves Baloche</v>
      </c>
      <c r="Y187" s="5" t="str">
        <f>VLOOKUP(TabVMEnv[EnvProjet],TabEnvProjet[],5,FALSE)</f>
        <v>Pierre-Yves Baloche</v>
      </c>
      <c r="Z187" s="5" t="str">
        <f>VLOOKUP(TabVMEnv[EnvProjet],TabEnvProjet[],6,FALSE)</f>
        <v>Fablab</v>
      </c>
      <c r="AA187" s="5" t="str">
        <f>VLOOKUP(TabVMEnv[[#This Row],[EnvProjet]],TabEnvProjet[],3,FALSE)</f>
        <v>PREPROD</v>
      </c>
      <c r="AB187" s="5">
        <f>COUNTIF(TabVMEnv[VM],TabVMEnv[VM])</f>
        <v>1</v>
      </c>
    </row>
    <row r="188" spans="1:28" x14ac:dyDescent="0.25">
      <c r="A188" t="s">
        <v>88</v>
      </c>
      <c r="B188" t="s">
        <v>295</v>
      </c>
      <c r="E188" s="13"/>
      <c r="F188">
        <f>IF(VLOOKUP(TabVMEnv[VM],TabOceanet[],16,FALSE) = "Tarif_VM",IF(VLOOKUP(TabVMEnv[VM],TabOceanet[],2,FALSE)&lt;4,4,VLOOKUP(TabVMEnv[VM],TabOceanet[],2,FALSE)),0)</f>
        <v>4</v>
      </c>
      <c r="G188">
        <v>0</v>
      </c>
      <c r="H188">
        <v>0</v>
      </c>
      <c r="I188">
        <v>0</v>
      </c>
      <c r="J188">
        <v>0</v>
      </c>
      <c r="K188">
        <f>IF(VLOOKUP(TabVMEnv[VM],TabOceanet[],16,FALSE) = "Tarif_VM",1,0)/TabVMEnv[[#This Row],[Mutualisé]]</f>
        <v>1</v>
      </c>
      <c r="L188">
        <f>IF(VLOOKUP(TabVMEnv[VM],TabOceanet[],9,FALSE) = "PoweredOn",1,0)</f>
        <v>1</v>
      </c>
      <c r="M188">
        <f>TabVMEnv[[#This Row],[IsVMPoweredOn]]*VLOOKUP(TabVMEnv[VM],TabOceanet[],3,FALSE)/TabVMEnv[[#This Row],[Mutualisé]]</f>
        <v>1</v>
      </c>
      <c r="N188">
        <f>VLOOKUP(TabVMEnv[VM],TabOceanet[],4,FALSE)/TabVMEnv[[#This Row],[Mutualisé]]</f>
        <v>4</v>
      </c>
      <c r="O188">
        <f>IF(LEFT(VLOOKUP(TabVMEnv[VM],TabOceanet[],5,FALSE),3)="win",1,0)</f>
        <v>0</v>
      </c>
      <c r="P188"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88" t="str">
        <f>VLOOKUP(TabVMEnv[EnvProjet],TabEnvProjet[],4,FALSE)</f>
        <v>Fablab-Firmin</v>
      </c>
      <c r="R188" s="5" t="str">
        <f>VLOOKUP(TabVMEnv[[#This Row],[SYGES]],TabContrat[],2,FALSE)</f>
        <v>Fablab</v>
      </c>
      <c r="S188" s="5" t="str">
        <f>IF(VLOOKUP(TabVMEnv[[#This Row],[VM]],TabOceanet[],1,FALSE) = "","Disparue","")</f>
        <v/>
      </c>
      <c r="T188" s="17">
        <f>VLOOKUP(TabVMEnv[[#This Row],[VM]],TabOceanet[],36,FALSE)/TabVMEnv[[#This Row],[Mutualisé]]</f>
        <v>2.52</v>
      </c>
      <c r="U188" s="17">
        <f>IF(TabVMEnv[[#This Row],[CostCenter]]="CostCenterDI",0,TabVMEnv[[#This Row],[CoutGlobal]])</f>
        <v>2.52</v>
      </c>
      <c r="V188" s="17">
        <f>TabVMEnv[[#This Row],[CoutGlobalSansCostCenterDI]]/TabVMEnv[[#Totals],[CoutGlobalSansCostCenterDI]]*(GlobalARepartirSansMS+GlobalARepartirMSOnly+GlobalARepartirInfraReseau)</f>
        <v>4.3985517505677372</v>
      </c>
      <c r="W188" s="17">
        <f>TabVMEnv[[#This Row],[CoutGlobalSansCostCenterDI]]+TabVMEnv[[#This Row],[CoutGlobalSupplementaire]]</f>
        <v>6.9185517505677367</v>
      </c>
      <c r="X188" s="5" t="str">
        <f>VLOOKUP(TabVMEnv[[#This Row],[EnvProjet]],TabEnvProjet[],2,FALSE) &amp; " - " &amp; IFERROR(VLOOKUP(TabVMEnv[[#This Row],[EnvProjet]],TabEnvProjet[],4,FALSE),"INCONNU") &amp; " - " &amp; IFERROR(VLOOKUP(TabVMEnv[[#This Row],[EnvProjet]],TabEnvProjet[],5,FALSE),"INCONNU")</f>
        <v>Fablab-Firmin - Fablab-Firmin - Pierre-Yves Baloche</v>
      </c>
      <c r="Y188" s="5" t="str">
        <f>VLOOKUP(TabVMEnv[EnvProjet],TabEnvProjet[],5,FALSE)</f>
        <v>Pierre-Yves Baloche</v>
      </c>
      <c r="Z188" s="5" t="str">
        <f>VLOOKUP(TabVMEnv[EnvProjet],TabEnvProjet[],6,FALSE)</f>
        <v>Fablab</v>
      </c>
      <c r="AA188" s="5" t="str">
        <f>VLOOKUP(TabVMEnv[[#This Row],[EnvProjet]],TabEnvProjet[],3,FALSE)</f>
        <v>SOCLE</v>
      </c>
      <c r="AB188" s="5">
        <f>COUNTIF(TabVMEnv[VM],TabVMEnv[VM])</f>
        <v>1</v>
      </c>
    </row>
    <row r="189" spans="1:28" x14ac:dyDescent="0.25">
      <c r="A189" t="s">
        <v>89</v>
      </c>
      <c r="B189" t="s">
        <v>295</v>
      </c>
      <c r="E189" s="13"/>
      <c r="F189">
        <f>IF(VLOOKUP(TabVMEnv[VM],TabOceanet[],16,FALSE) = "Tarif_VM",IF(VLOOKUP(TabVMEnv[VM],TabOceanet[],2,FALSE)&lt;4,4,VLOOKUP(TabVMEnv[VM],TabOceanet[],2,FALSE)),0)</f>
        <v>4</v>
      </c>
      <c r="G189">
        <v>0</v>
      </c>
      <c r="H189">
        <v>0</v>
      </c>
      <c r="I189">
        <v>0</v>
      </c>
      <c r="J189">
        <v>0</v>
      </c>
      <c r="K189">
        <f>IF(VLOOKUP(TabVMEnv[VM],TabOceanet[],16,FALSE) = "Tarif_VM",1,0)/TabVMEnv[[#This Row],[Mutualisé]]</f>
        <v>1</v>
      </c>
      <c r="L189">
        <f>IF(VLOOKUP(TabVMEnv[VM],TabOceanet[],9,FALSE) = "PoweredOn",1,0)</f>
        <v>1</v>
      </c>
      <c r="M189">
        <f>TabVMEnv[[#This Row],[IsVMPoweredOn]]*VLOOKUP(TabVMEnv[VM],TabOceanet[],3,FALSE)/TabVMEnv[[#This Row],[Mutualisé]]</f>
        <v>4</v>
      </c>
      <c r="N189">
        <f>VLOOKUP(TabVMEnv[VM],TabOceanet[],4,FALSE)/TabVMEnv[[#This Row],[Mutualisé]]</f>
        <v>24</v>
      </c>
      <c r="O189">
        <f>IF(LEFT(VLOOKUP(TabVMEnv[VM],TabOceanet[],5,FALSE),3)="win",1,0)</f>
        <v>0</v>
      </c>
      <c r="P189"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89" t="str">
        <f>VLOOKUP(TabVMEnv[EnvProjet],TabEnvProjet[],4,FALSE)</f>
        <v>Fablab-Firmin</v>
      </c>
      <c r="R189" s="5" t="str">
        <f>VLOOKUP(TabVMEnv[[#This Row],[SYGES]],TabContrat[],2,FALSE)</f>
        <v>Fablab</v>
      </c>
      <c r="S189" s="5" t="str">
        <f>IF(VLOOKUP(TabVMEnv[[#This Row],[VM]],TabOceanet[],1,FALSE) = "","Disparue","")</f>
        <v/>
      </c>
      <c r="T189" s="17">
        <f>VLOOKUP(TabVMEnv[[#This Row],[VM]],TabOceanet[],36,FALSE)/TabVMEnv[[#This Row],[Mutualisé]]</f>
        <v>11.920000000000002</v>
      </c>
      <c r="U189" s="17">
        <f>IF(TabVMEnv[[#This Row],[CostCenter]]="CostCenterDI",0,TabVMEnv[[#This Row],[CoutGlobal]])</f>
        <v>11.920000000000002</v>
      </c>
      <c r="V189" s="17">
        <f>TabVMEnv[[#This Row],[CoutGlobalSansCostCenterDI]]/TabVMEnv[[#Totals],[CoutGlobalSansCostCenterDI]]*(GlobalARepartirSansMS+GlobalARepartirMSOnly+GlobalARepartirInfraReseau)</f>
        <v>20.80584796300295</v>
      </c>
      <c r="W189" s="17">
        <f>TabVMEnv[[#This Row],[CoutGlobalSansCostCenterDI]]+TabVMEnv[[#This Row],[CoutGlobalSupplementaire]]</f>
        <v>32.725847963002948</v>
      </c>
      <c r="X189" s="5" t="str">
        <f>VLOOKUP(TabVMEnv[[#This Row],[EnvProjet]],TabEnvProjet[],2,FALSE) &amp; " - " &amp; IFERROR(VLOOKUP(TabVMEnv[[#This Row],[EnvProjet]],TabEnvProjet[],4,FALSE),"INCONNU") &amp; " - " &amp; IFERROR(VLOOKUP(TabVMEnv[[#This Row],[EnvProjet]],TabEnvProjet[],5,FALSE),"INCONNU")</f>
        <v>Fablab-Firmin - Fablab-Firmin - Pierre-Yves Baloche</v>
      </c>
      <c r="Y189" s="5" t="str">
        <f>VLOOKUP(TabVMEnv[EnvProjet],TabEnvProjet[],5,FALSE)</f>
        <v>Pierre-Yves Baloche</v>
      </c>
      <c r="Z189" s="5" t="str">
        <f>VLOOKUP(TabVMEnv[EnvProjet],TabEnvProjet[],6,FALSE)</f>
        <v>Fablab</v>
      </c>
      <c r="AA189" s="5" t="str">
        <f>VLOOKUP(TabVMEnv[[#This Row],[EnvProjet]],TabEnvProjet[],3,FALSE)</f>
        <v>SOCLE</v>
      </c>
      <c r="AB189" s="5">
        <f>COUNTIF(TabVMEnv[VM],TabVMEnv[VM])</f>
        <v>1</v>
      </c>
    </row>
    <row r="190" spans="1:28" x14ac:dyDescent="0.25">
      <c r="A190" t="s">
        <v>226</v>
      </c>
      <c r="B190" t="s">
        <v>359</v>
      </c>
      <c r="C190" t="s">
        <v>1232</v>
      </c>
      <c r="D190">
        <v>0</v>
      </c>
      <c r="E190" s="13" t="s">
        <v>1197</v>
      </c>
      <c r="F190">
        <f>IF(VLOOKUP(TabVMEnv[VM],TabOceanet[],16,FALSE) = "Tarif_VM",IF(VLOOKUP(TabVMEnv[VM],TabOceanet[],2,FALSE)&lt;4,4,VLOOKUP(TabVMEnv[VM],TabOceanet[],2,FALSE)),0)</f>
        <v>4</v>
      </c>
      <c r="G190">
        <v>0</v>
      </c>
      <c r="H190">
        <v>0</v>
      </c>
      <c r="I190">
        <v>0</v>
      </c>
      <c r="J190">
        <v>0</v>
      </c>
      <c r="K190">
        <f>IF(VLOOKUP(TabVMEnv[VM],TabOceanet[],16,FALSE) = "Tarif_VM",1,0)/TabVMEnv[[#This Row],[Mutualisé]]</f>
        <v>1</v>
      </c>
      <c r="L190">
        <f>IF(VLOOKUP(TabVMEnv[VM],TabOceanet[],9,FALSE) = "PoweredOn",1,0)</f>
        <v>1</v>
      </c>
      <c r="M190">
        <f>TabVMEnv[[#This Row],[IsVMPoweredOn]]*VLOOKUP(TabVMEnv[VM],TabOceanet[],3,FALSE)/TabVMEnv[[#This Row],[Mutualisé]]</f>
        <v>2</v>
      </c>
      <c r="N190">
        <f>VLOOKUP(TabVMEnv[VM],TabOceanet[],4,FALSE)/TabVMEnv[[#This Row],[Mutualisé]]</f>
        <v>40</v>
      </c>
      <c r="O190">
        <f>IF(LEFT(VLOOKUP(TabVMEnv[VM],TabOceanet[],5,FALSE),3)="win",1,0)</f>
        <v>1</v>
      </c>
      <c r="P190"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90" t="str">
        <f>VLOOKUP(TabVMEnv[EnvProjet],TabEnvProjet[],4,FALSE)</f>
        <v>SILICONE - 1530-2018 - 0 - 2 - Tache 2 – ORS</v>
      </c>
      <c r="R190" s="5" t="str">
        <f>VLOOKUP(TabVMEnv[[#This Row],[SYGES]],TabContrat[],2,FALSE)</f>
        <v>GFI</v>
      </c>
      <c r="S190" s="5" t="str">
        <f>IF(VLOOKUP(TabVMEnv[[#This Row],[VM]],TabOceanet[],1,FALSE) = "","Disparue","")</f>
        <v/>
      </c>
      <c r="T190" s="17">
        <f>VLOOKUP(TabVMEnv[[#This Row],[VM]],TabOceanet[],36,FALSE)/TabVMEnv[[#This Row],[Mutualisé]]</f>
        <v>12.400000000000002</v>
      </c>
      <c r="U190" s="17">
        <f>IF(TabVMEnv[[#This Row],[CostCenter]]="CostCenterDI",0,TabVMEnv[[#This Row],[CoutGlobal]])</f>
        <v>12.400000000000002</v>
      </c>
      <c r="V190" s="17">
        <f>TabVMEnv[[#This Row],[CoutGlobalSansCostCenterDI]]/TabVMEnv[[#Totals],[CoutGlobalSansCostCenterDI]]*(GlobalARepartirSansMS+GlobalARepartirMSOnly+GlobalARepartirInfraReseau)</f>
        <v>21.64366734406347</v>
      </c>
      <c r="W190" s="17">
        <f>TabVMEnv[[#This Row],[CoutGlobalSansCostCenterDI]]+TabVMEnv[[#This Row],[CoutGlobalSupplementaire]]</f>
        <v>34.043667344063472</v>
      </c>
      <c r="X190" s="5" t="str">
        <f>VLOOKUP(TabVMEnv[[#This Row],[EnvProjet]],TabEnvProjet[],2,FALSE) &amp; " - " &amp; IFERROR(VLOOKUP(TabVMEnv[[#This Row],[EnvProjet]],TabEnvProjet[],4,FALSE),"INCONNU") &amp; " - " &amp; IFERROR(VLOOKUP(TabVMEnv[[#This Row],[EnvProjet]],TabEnvProjet[],5,FALSE),"INCONNU")</f>
        <v>GFI-Linkus - SILICONE - 1530-2018 - 0 - 2 - Tache 2 – ORS - Michael Le-Ridant</v>
      </c>
      <c r="Y190" s="5" t="str">
        <f>VLOOKUP(TabVMEnv[EnvProjet],TabEnvProjet[],5,FALSE)</f>
        <v>Michael Le-Ridant</v>
      </c>
      <c r="Z190" s="5">
        <f>VLOOKUP(TabVMEnv[EnvProjet],TabEnvProjet[],6,FALSE)</f>
        <v>341531</v>
      </c>
      <c r="AA190" s="5" t="str">
        <f>VLOOKUP(TabVMEnv[[#This Row],[EnvProjet]],TabEnvProjet[],3,FALSE)</f>
        <v>PROD</v>
      </c>
      <c r="AB190" s="5">
        <f>COUNTIF(TabVMEnv[VM],TabVMEnv[VM])</f>
        <v>1</v>
      </c>
    </row>
    <row r="191" spans="1:28" x14ac:dyDescent="0.25">
      <c r="A191" t="s">
        <v>1313</v>
      </c>
      <c r="B191" t="s">
        <v>1316</v>
      </c>
      <c r="E191" s="13"/>
      <c r="F191" s="5">
        <f>IF(VLOOKUP(TabVMEnv[VM],TabOceanet[],16,FALSE) = "Tarif_VM",IF(VLOOKUP(TabVMEnv[VM],TabOceanet[],2,FALSE)&lt;4,4,VLOOKUP(TabVMEnv[VM],TabOceanet[],2,FALSE)),0)</f>
        <v>4</v>
      </c>
      <c r="G191">
        <v>0</v>
      </c>
      <c r="H191">
        <v>0</v>
      </c>
      <c r="I191">
        <v>0</v>
      </c>
      <c r="J191">
        <v>0</v>
      </c>
      <c r="K191" s="5">
        <f>IF(VLOOKUP(TabVMEnv[VM],TabOceanet[],16,FALSE) = "Tarif_VM",1,0)/TabVMEnv[[#This Row],[Mutualisé]]</f>
        <v>1</v>
      </c>
      <c r="L191" s="5">
        <f>IF(VLOOKUP(TabVMEnv[VM],TabOceanet[],9,FALSE) = "PoweredOn",1,0)</f>
        <v>1</v>
      </c>
      <c r="M191" s="5">
        <f>TabVMEnv[[#This Row],[IsVMPoweredOn]]*VLOOKUP(TabVMEnv[VM],TabOceanet[],3,FALSE)/TabVMEnv[[#This Row],[Mutualisé]]</f>
        <v>4</v>
      </c>
      <c r="N191" s="5">
        <f>VLOOKUP(TabVMEnv[VM],TabOceanet[],4,FALSE)/TabVMEnv[[#This Row],[Mutualisé]]</f>
        <v>100</v>
      </c>
      <c r="O191" s="5">
        <f>IF(LEFT(VLOOKUP(TabVMEnv[VM],TabOceanet[],5,FALSE),3)="win",1,0)</f>
        <v>0</v>
      </c>
      <c r="P191"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91" t="str">
        <f>VLOOKUP(TabVMEnv[EnvProjet],TabEnvProjet[],4,FALSE)</f>
        <v>LA-POSTE-CDC-DRUPAL</v>
      </c>
      <c r="R191" s="5" t="str">
        <f>VLOOKUP(TabVMEnv[[#This Row],[SYGES]],TabContrat[],2,FALSE)</f>
        <v>LA POSTE</v>
      </c>
      <c r="S191" s="5" t="str">
        <f>IF(VLOOKUP(TabVMEnv[[#This Row],[VM]],TabOceanet[],1,FALSE) = "","Disparue","")</f>
        <v/>
      </c>
      <c r="T191" s="25">
        <f>VLOOKUP(TabVMEnv[[#This Row],[VM]],TabOceanet[],36,FALSE)/TabVMEnv[[#This Row],[Mutualisé]]</f>
        <v>29.4</v>
      </c>
      <c r="U191" s="25">
        <f>IF(TabVMEnv[[#This Row],[CostCenter]]="CostCenterDI",0,TabVMEnv[[#This Row],[CoutGlobal]])</f>
        <v>29.4</v>
      </c>
      <c r="V191" s="25">
        <f>TabVMEnv[[#This Row],[CoutGlobalSansCostCenterDI]]/TabVMEnv[[#Totals],[CoutGlobalSansCostCenterDI]]*(GlobalARepartirSansMS+GlobalARepartirMSOnly+GlobalARepartirInfraReseau)</f>
        <v>51.316437089956928</v>
      </c>
      <c r="W191" s="25">
        <f>TabVMEnv[[#This Row],[CoutGlobalSansCostCenterDI]]+TabVMEnv[[#This Row],[CoutGlobalSupplementaire]]</f>
        <v>80.716437089956926</v>
      </c>
      <c r="X191" s="5" t="str">
        <f>VLOOKUP(TabVMEnv[[#This Row],[EnvProjet]],TabEnvProjet[],2,FALSE) &amp; " - " &amp; IFERROR(VLOOKUP(TabVMEnv[[#This Row],[EnvProjet]],TabEnvProjet[],4,FALSE),"INCONNU") &amp; " - " &amp; IFERROR(VLOOKUP(TabVMEnv[[#This Row],[EnvProjet]],TabEnvProjet[],5,FALSE),"INCONNU")</f>
        <v>LA POSTE-CDC-DRUPAL - LA-POSTE-CDC-DRUPAL - Christophe ORLANDO</v>
      </c>
      <c r="Y191" s="5" t="str">
        <f>VLOOKUP(TabVMEnv[EnvProjet],TabEnvProjet[],5,FALSE)</f>
        <v>Christophe ORLANDO</v>
      </c>
      <c r="Z191" s="5">
        <f>VLOOKUP(TabVMEnv[EnvProjet],TabEnvProjet[],6,FALSE)</f>
        <v>305704</v>
      </c>
      <c r="AA191" s="5" t="str">
        <f>VLOOKUP(TabVMEnv[[#This Row],[EnvProjet]],TabEnvProjet[],3,FALSE)</f>
        <v>DEV</v>
      </c>
      <c r="AB191" s="5">
        <f>COUNTIF(TabVMEnv[VM],TabVMEnv[VM])</f>
        <v>1</v>
      </c>
    </row>
    <row r="192" spans="1:28" x14ac:dyDescent="0.25">
      <c r="A192" t="s">
        <v>206</v>
      </c>
      <c r="B192" t="s">
        <v>360</v>
      </c>
      <c r="E192" s="13"/>
      <c r="F192">
        <f>IF(VLOOKUP(TabVMEnv[VM],TabOceanet[],16,FALSE) = "Tarif_VM",IF(VLOOKUP(TabVMEnv[VM],TabOceanet[],2,FALSE)&lt;4,4,VLOOKUP(TabVMEnv[VM],TabOceanet[],2,FALSE)),0)</f>
        <v>4</v>
      </c>
      <c r="G192">
        <v>0</v>
      </c>
      <c r="H192">
        <v>0</v>
      </c>
      <c r="I192">
        <v>0</v>
      </c>
      <c r="J192">
        <v>0</v>
      </c>
      <c r="K192">
        <f>IF(VLOOKUP(TabVMEnv[VM],TabOceanet[],16,FALSE) = "Tarif_VM",1,0)/TabVMEnv[[#This Row],[Mutualisé]]</f>
        <v>1</v>
      </c>
      <c r="L192">
        <f>IF(VLOOKUP(TabVMEnv[VM],TabOceanet[],9,FALSE) = "PoweredOn",1,0)</f>
        <v>1</v>
      </c>
      <c r="M192">
        <f>TabVMEnv[[#This Row],[IsVMPoweredOn]]*VLOOKUP(TabVMEnv[VM],TabOceanet[],3,FALSE)/TabVMEnv[[#This Row],[Mutualisé]]</f>
        <v>2</v>
      </c>
      <c r="N192">
        <f>VLOOKUP(TabVMEnv[VM],TabOceanet[],4,FALSE)/TabVMEnv[[#This Row],[Mutualisé]]</f>
        <v>34</v>
      </c>
      <c r="O192">
        <f>IF(LEFT(VLOOKUP(TabVMEnv[VM],TabOceanet[],5,FALSE),3)="win",1,0)</f>
        <v>0</v>
      </c>
      <c r="P192"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92" t="str">
        <f>VLOOKUP(TabVMEnv[EnvProjet],TabEnvProjet[],4,FALSE)</f>
        <v>ONEMA/TMAWEB-16</v>
      </c>
      <c r="R192" s="5" t="str">
        <f>VLOOKUP(TabVMEnv[[#This Row],[SYGES]],TabContrat[],2,FALSE)</f>
        <v>ONEMA</v>
      </c>
      <c r="S192" s="5" t="str">
        <f>IF(VLOOKUP(TabVMEnv[[#This Row],[VM]],TabOceanet[],1,FALSE) = "","Disparue","")</f>
        <v/>
      </c>
      <c r="T192" s="17">
        <f>VLOOKUP(TabVMEnv[[#This Row],[VM]],TabOceanet[],36,FALSE)/TabVMEnv[[#This Row],[Mutualisé]]</f>
        <v>11.02</v>
      </c>
      <c r="U192" s="17">
        <f>IF(TabVMEnv[[#This Row],[CostCenter]]="CostCenterDI",0,TabVMEnv[[#This Row],[CoutGlobal]])</f>
        <v>11.02</v>
      </c>
      <c r="V192" s="17">
        <f>TabVMEnv[[#This Row],[CoutGlobalSansCostCenterDI]]/TabVMEnv[[#Totals],[CoutGlobalSansCostCenterDI]]*(GlobalARepartirSansMS+GlobalARepartirMSOnly+GlobalARepartirInfraReseau)</f>
        <v>19.234936623514468</v>
      </c>
      <c r="W192" s="17">
        <f>TabVMEnv[[#This Row],[CoutGlobalSansCostCenterDI]]+TabVMEnv[[#This Row],[CoutGlobalSupplementaire]]</f>
        <v>30.254936623514467</v>
      </c>
      <c r="X192" s="5" t="str">
        <f>VLOOKUP(TabVMEnv[[#This Row],[EnvProjet]],TabEnvProjet[],2,FALSE) &amp; " - " &amp; IFERROR(VLOOKUP(TabVMEnv[[#This Row],[EnvProjet]],TabEnvProjet[],4,FALSE),"INCONNU") &amp; " - " &amp; IFERROR(VLOOKUP(TabVMEnv[[#This Row],[EnvProjet]],TabEnvProjet[],5,FALSE),"INCONNU")</f>
        <v>ONEMA-CDR - TMA WEB - ONEMA/TMAWEB-16 - Pierre BOURLIEUX</v>
      </c>
      <c r="Y192" s="5" t="str">
        <f>VLOOKUP(TabVMEnv[EnvProjet],TabEnvProjet[],5,FALSE)</f>
        <v>Pierre BOURLIEUX</v>
      </c>
      <c r="Z192" s="5">
        <f>VLOOKUP(TabVMEnv[EnvProjet],TabEnvProjet[],6,FALSE)</f>
        <v>305704</v>
      </c>
      <c r="AA192" s="5" t="str">
        <f>VLOOKUP(TabVMEnv[[#This Row],[EnvProjet]],TabEnvProjet[],3,FALSE)</f>
        <v>TMA</v>
      </c>
      <c r="AB192" s="5">
        <f>COUNTIF(TabVMEnv[VM],TabVMEnv[VM])</f>
        <v>1</v>
      </c>
    </row>
    <row r="193" spans="1:28" x14ac:dyDescent="0.25">
      <c r="A193" t="s">
        <v>207</v>
      </c>
      <c r="B193" t="s">
        <v>360</v>
      </c>
      <c r="E193" s="13"/>
      <c r="F193">
        <f>IF(VLOOKUP(TabVMEnv[VM],TabOceanet[],16,FALSE) = "Tarif_VM",IF(VLOOKUP(TabVMEnv[VM],TabOceanet[],2,FALSE)&lt;4,4,VLOOKUP(TabVMEnv[VM],TabOceanet[],2,FALSE)),0)</f>
        <v>4</v>
      </c>
      <c r="G193">
        <v>0</v>
      </c>
      <c r="H193">
        <v>0</v>
      </c>
      <c r="I193">
        <v>0</v>
      </c>
      <c r="J193">
        <v>0</v>
      </c>
      <c r="K193">
        <f>IF(VLOOKUP(TabVMEnv[VM],TabOceanet[],16,FALSE) = "Tarif_VM",1,0)/TabVMEnv[[#This Row],[Mutualisé]]</f>
        <v>1</v>
      </c>
      <c r="L193">
        <f>IF(VLOOKUP(TabVMEnv[VM],TabOceanet[],9,FALSE) = "PoweredOn",1,0)</f>
        <v>1</v>
      </c>
      <c r="M193">
        <f>TabVMEnv[[#This Row],[IsVMPoweredOn]]*VLOOKUP(TabVMEnv[VM],TabOceanet[],3,FALSE)/TabVMEnv[[#This Row],[Mutualisé]]</f>
        <v>2</v>
      </c>
      <c r="N193">
        <f>VLOOKUP(TabVMEnv[VM],TabOceanet[],4,FALSE)/TabVMEnv[[#This Row],[Mutualisé]]</f>
        <v>34</v>
      </c>
      <c r="O193">
        <f>IF(LEFT(VLOOKUP(TabVMEnv[VM],TabOceanet[],5,FALSE),3)="win",1,0)</f>
        <v>0</v>
      </c>
      <c r="P193"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93" t="str">
        <f>VLOOKUP(TabVMEnv[EnvProjet],TabEnvProjet[],4,FALSE)</f>
        <v>ONEMA/TMAWEB-16</v>
      </c>
      <c r="R193" s="5" t="str">
        <f>VLOOKUP(TabVMEnv[[#This Row],[SYGES]],TabContrat[],2,FALSE)</f>
        <v>ONEMA</v>
      </c>
      <c r="S193" s="5" t="str">
        <f>IF(VLOOKUP(TabVMEnv[[#This Row],[VM]],TabOceanet[],1,FALSE) = "","Disparue","")</f>
        <v/>
      </c>
      <c r="T193" s="25">
        <f>VLOOKUP(TabVMEnv[[#This Row],[VM]],TabOceanet[],36,FALSE)/TabVMEnv[[#This Row],[Mutualisé]]</f>
        <v>11.02</v>
      </c>
      <c r="U193" s="25">
        <f>IF(TabVMEnv[[#This Row],[CostCenter]]="CostCenterDI",0,TabVMEnv[[#This Row],[CoutGlobal]])</f>
        <v>11.02</v>
      </c>
      <c r="V193" s="25">
        <f>TabVMEnv[[#This Row],[CoutGlobalSansCostCenterDI]]/TabVMEnv[[#Totals],[CoutGlobalSansCostCenterDI]]*(GlobalARepartirSansMS+GlobalARepartirMSOnly+GlobalARepartirInfraReseau)</f>
        <v>19.234936623514468</v>
      </c>
      <c r="W193" s="25">
        <f>TabVMEnv[[#This Row],[CoutGlobalSansCostCenterDI]]+TabVMEnv[[#This Row],[CoutGlobalSupplementaire]]</f>
        <v>30.254936623514467</v>
      </c>
      <c r="X193" s="5" t="str">
        <f>VLOOKUP(TabVMEnv[[#This Row],[EnvProjet]],TabEnvProjet[],2,FALSE) &amp; " - " &amp; IFERROR(VLOOKUP(TabVMEnv[[#This Row],[EnvProjet]],TabEnvProjet[],4,FALSE),"INCONNU") &amp; " - " &amp; IFERROR(VLOOKUP(TabVMEnv[[#This Row],[EnvProjet]],TabEnvProjet[],5,FALSE),"INCONNU")</f>
        <v>ONEMA-CDR - TMA WEB - ONEMA/TMAWEB-16 - Pierre BOURLIEUX</v>
      </c>
      <c r="Y193" s="5" t="str">
        <f>VLOOKUP(TabVMEnv[EnvProjet],TabEnvProjet[],5,FALSE)</f>
        <v>Pierre BOURLIEUX</v>
      </c>
      <c r="Z193" s="5">
        <f>VLOOKUP(TabVMEnv[EnvProjet],TabEnvProjet[],6,FALSE)</f>
        <v>305704</v>
      </c>
      <c r="AA193" s="5" t="str">
        <f>VLOOKUP(TabVMEnv[[#This Row],[EnvProjet]],TabEnvProjet[],3,FALSE)</f>
        <v>TMA</v>
      </c>
      <c r="AB193" s="5">
        <f>COUNTIF(TabVMEnv[VM],TabVMEnv[VM])</f>
        <v>1</v>
      </c>
    </row>
    <row r="194" spans="1:28" x14ac:dyDescent="0.25">
      <c r="A194" t="s">
        <v>187</v>
      </c>
      <c r="B194" t="s">
        <v>361</v>
      </c>
      <c r="E194" s="13"/>
      <c r="F194">
        <f>IF(VLOOKUP(TabVMEnv[VM],TabOceanet[],16,FALSE) = "Tarif_VM",IF(VLOOKUP(TabVMEnv[VM],TabOceanet[],2,FALSE)&lt;4,4,VLOOKUP(TabVMEnv[VM],TabOceanet[],2,FALSE)),0)</f>
        <v>4</v>
      </c>
      <c r="G194">
        <v>0</v>
      </c>
      <c r="H194">
        <v>0</v>
      </c>
      <c r="I194">
        <v>0</v>
      </c>
      <c r="J194">
        <v>0</v>
      </c>
      <c r="K194">
        <f>IF(VLOOKUP(TabVMEnv[VM],TabOceanet[],16,FALSE) = "Tarif_VM",1,0)/TabVMEnv[[#This Row],[Mutualisé]]</f>
        <v>1</v>
      </c>
      <c r="L194">
        <f>IF(VLOOKUP(TabVMEnv[VM],TabOceanet[],9,FALSE) = "PoweredOn",1,0)</f>
        <v>1</v>
      </c>
      <c r="M194">
        <f>TabVMEnv[[#This Row],[IsVMPoweredOn]]*VLOOKUP(TabVMEnv[VM],TabOceanet[],3,FALSE)/TabVMEnv[[#This Row],[Mutualisé]]</f>
        <v>16</v>
      </c>
      <c r="N194">
        <f>VLOOKUP(TabVMEnv[VM],TabOceanet[],4,FALSE)/TabVMEnv[[#This Row],[Mutualisé]]</f>
        <v>74</v>
      </c>
      <c r="O194">
        <f>IF(LEFT(VLOOKUP(TabVMEnv[VM],TabOceanet[],5,FALSE),3)="win",1,0)</f>
        <v>0</v>
      </c>
      <c r="P194"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94" t="str">
        <f>VLOOKUP(TabVMEnv[EnvProjet],TabEnvProjet[],4,FALSE)</f>
        <v>GIP RECIA-Plateformes CLOUD / Edition</v>
      </c>
      <c r="R194" s="5" t="str">
        <f>VLOOKUP(TabVMEnv[[#This Row],[SYGES]],TabContrat[],2,FALSE)</f>
        <v>GIP RECIA</v>
      </c>
      <c r="S194" s="5" t="str">
        <f>IF(VLOOKUP(TabVMEnv[[#This Row],[VM]],TabOceanet[],1,FALSE) = "","Disparue","")</f>
        <v/>
      </c>
      <c r="T194" s="17">
        <f>VLOOKUP(TabVMEnv[[#This Row],[VM]],TabOceanet[],36,FALSE)/TabVMEnv[[#This Row],[Mutualisé]]</f>
        <v>42.620000000000005</v>
      </c>
      <c r="U194" s="17">
        <f>IF(TabVMEnv[[#This Row],[CostCenter]]="CostCenterDI",0,TabVMEnv[[#This Row],[CoutGlobal]])</f>
        <v>42.620000000000005</v>
      </c>
      <c r="V194" s="17">
        <f>TabVMEnv[[#This Row],[CoutGlobalSansCostCenterDI]]/TabVMEnv[[#Totals],[CoutGlobalSansCostCenterDI]]*(GlobalARepartirSansMS+GlobalARepartirMSOnly+GlobalARepartirInfraReseau)</f>
        <v>74.391379209998789</v>
      </c>
      <c r="W194" s="17">
        <f>TabVMEnv[[#This Row],[CoutGlobalSansCostCenterDI]]+TabVMEnv[[#This Row],[CoutGlobalSupplementaire]]</f>
        <v>117.01137920999879</v>
      </c>
      <c r="X194" s="5" t="str">
        <f>VLOOKUP(TabVMEnv[[#This Row],[EnvProjet]],TabEnvProjet[],2,FALSE) &amp; " - " &amp; IFERROR(VLOOKUP(TabVMEnv[[#This Row],[EnvProjet]],TabEnvProjet[],4,FALSE),"INCONNU") &amp; " - " &amp; IFERROR(VLOOKUP(TabVMEnv[[#This Row],[EnvProjet]],TabEnvProjet[],5,FALSE),"INCONNU")</f>
        <v>GIP RECIA-Plateformes CLOUD / Edition - GIP RECIA-Plateformes CLOUD / Edition - Christophe ORLANDO</v>
      </c>
      <c r="Y194" s="5" t="str">
        <f>VLOOKUP(TabVMEnv[EnvProjet],TabEnvProjet[],5,FALSE)</f>
        <v>Christophe ORLANDO</v>
      </c>
      <c r="Z194" s="5">
        <f>VLOOKUP(TabVMEnv[EnvProjet],TabEnvProjet[],6,FALSE)</f>
        <v>305704</v>
      </c>
      <c r="AA194" s="5" t="str">
        <f>VLOOKUP(TabVMEnv[[#This Row],[EnvProjet]],TabEnvProjet[],3,FALSE)</f>
        <v>DEV</v>
      </c>
      <c r="AB194" s="5">
        <f>COUNTIF(TabVMEnv[VM],TabVMEnv[VM])</f>
        <v>1</v>
      </c>
    </row>
    <row r="195" spans="1:28" x14ac:dyDescent="0.25">
      <c r="A195" t="s">
        <v>1225</v>
      </c>
      <c r="B195" t="s">
        <v>1246</v>
      </c>
      <c r="E195" s="13"/>
      <c r="F195" s="5">
        <f>IF(VLOOKUP(TabVMEnv[VM],TabOceanet[],16,FALSE) = "Tarif_VM",IF(VLOOKUP(TabVMEnv[VM],TabOceanet[],2,FALSE)&lt;4,4,VLOOKUP(TabVMEnv[VM],TabOceanet[],2,FALSE)),0)</f>
        <v>4</v>
      </c>
      <c r="G195">
        <v>0</v>
      </c>
      <c r="H195">
        <v>0</v>
      </c>
      <c r="I195">
        <v>0</v>
      </c>
      <c r="J195">
        <v>0</v>
      </c>
      <c r="K195" s="5">
        <f>IF(VLOOKUP(TabVMEnv[VM],TabOceanet[],16,FALSE) = "Tarif_VM",1,0)/TabVMEnv[[#This Row],[Mutualisé]]</f>
        <v>1</v>
      </c>
      <c r="L195" s="5">
        <f>IF(VLOOKUP(TabVMEnv[VM],TabOceanet[],9,FALSE) = "PoweredOn",1,0)</f>
        <v>1</v>
      </c>
      <c r="M195" s="5">
        <f>TabVMEnv[[#This Row],[IsVMPoweredOn]]*VLOOKUP(TabVMEnv[VM],TabOceanet[],3,FALSE)/TabVMEnv[[#This Row],[Mutualisé]]</f>
        <v>2</v>
      </c>
      <c r="N195" s="5">
        <f>VLOOKUP(TabVMEnv[VM],TabOceanet[],4,FALSE)/TabVMEnv[[#This Row],[Mutualisé]]</f>
        <v>16</v>
      </c>
      <c r="O195" s="5">
        <f>IF(LEFT(VLOOKUP(TabVMEnv[VM],TabOceanet[],5,FALSE),3)="win",1,0)</f>
        <v>0</v>
      </c>
      <c r="P195"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95" t="str">
        <f>VLOOKUP(TabVMEnv[EnvProjet],TabEnvProjet[],4,FALSE)</f>
        <v>AFB/OFB_LOT2</v>
      </c>
      <c r="R195" s="5" t="str">
        <f>VLOOKUP(TabVMEnv[[#This Row],[SYGES]],TabContrat[],2,FALSE)</f>
        <v>AFB</v>
      </c>
      <c r="S195" s="5" t="str">
        <f>IF(VLOOKUP(TabVMEnv[[#This Row],[VM]],TabOceanet[],1,FALSE) = "","Disparue","")</f>
        <v/>
      </c>
      <c r="T195" s="25">
        <f>VLOOKUP(TabVMEnv[[#This Row],[VM]],TabOceanet[],36,FALSE)/TabVMEnv[[#This Row],[Mutualisé]]</f>
        <v>6.8800000000000008</v>
      </c>
      <c r="U195" s="25">
        <f>IF(TabVMEnv[[#This Row],[CostCenter]]="CostCenterDI",0,TabVMEnv[[#This Row],[CoutGlobal]])</f>
        <v>6.8800000000000008</v>
      </c>
      <c r="V195" s="25">
        <f>TabVMEnv[[#This Row],[CoutGlobalSansCostCenterDI]]/TabVMEnv[[#Totals],[CoutGlobalSansCostCenterDI]]*(GlobalARepartirSansMS+GlobalARepartirMSOnly+GlobalARepartirInfraReseau)</f>
        <v>12.008744461867472</v>
      </c>
      <c r="W195" s="25">
        <f>TabVMEnv[[#This Row],[CoutGlobalSansCostCenterDI]]+TabVMEnv[[#This Row],[CoutGlobalSupplementaire]]</f>
        <v>18.888744461867475</v>
      </c>
      <c r="X195" s="5" t="str">
        <f>VLOOKUP(TabVMEnv[[#This Row],[EnvProjet]],TabEnvProjet[],2,FALSE) &amp; " - " &amp; IFERROR(VLOOKUP(TabVMEnv[[#This Row],[EnvProjet]],TabEnvProjet[],4,FALSE),"INCONNU") &amp; " - " &amp; IFERROR(VLOOKUP(TabVMEnv[[#This Row],[EnvProjet]],TabEnvProjet[],5,FALSE),"INCONNU")</f>
        <v>AFB-PNM - AFB/OFB_LOT2 - Eric RAUCOURT</v>
      </c>
      <c r="Y195" s="5" t="str">
        <f>VLOOKUP(TabVMEnv[EnvProjet],TabEnvProjet[],5,FALSE)</f>
        <v>Eric RAUCOURT</v>
      </c>
      <c r="Z195" s="5">
        <f>VLOOKUP(TabVMEnv[EnvProjet],TabEnvProjet[],6,FALSE)</f>
        <v>305704</v>
      </c>
      <c r="AA195" s="5" t="str">
        <f>VLOOKUP(TabVMEnv[[#This Row],[EnvProjet]],TabEnvProjet[],3,FALSE)</f>
        <v>RECETTE</v>
      </c>
      <c r="AB195" s="5">
        <f>COUNTIF(TabVMEnv[VM],TabVMEnv[VM])</f>
        <v>1</v>
      </c>
    </row>
    <row r="196" spans="1:28" x14ac:dyDescent="0.25">
      <c r="A196" t="s">
        <v>159</v>
      </c>
      <c r="B196" t="s">
        <v>294</v>
      </c>
      <c r="D196">
        <v>2</v>
      </c>
      <c r="E196" s="13" t="s">
        <v>1195</v>
      </c>
      <c r="F196">
        <f>IF(VLOOKUP(TabVMEnv[VM],TabOceanet[],16,FALSE) = "Tarif_VM",IF(VLOOKUP(TabVMEnv[VM],TabOceanet[],2,FALSE)&lt;4,4,VLOOKUP(TabVMEnv[VM],TabOceanet[],2,FALSE)),0)</f>
        <v>4</v>
      </c>
      <c r="G196">
        <v>0</v>
      </c>
      <c r="H196">
        <v>0</v>
      </c>
      <c r="I196">
        <v>0</v>
      </c>
      <c r="J196">
        <v>0</v>
      </c>
      <c r="K196">
        <f>IF(VLOOKUP(TabVMEnv[VM],TabOceanet[],16,FALSE) = "Tarif_VM",1,0)/TabVMEnv[[#This Row],[Mutualisé]]</f>
        <v>1</v>
      </c>
      <c r="L196">
        <f>IF(VLOOKUP(TabVMEnv[VM],TabOceanet[],9,FALSE) = "PoweredOn",1,0)</f>
        <v>1</v>
      </c>
      <c r="M196">
        <f>TabVMEnv[[#This Row],[IsVMPoweredOn]]*VLOOKUP(TabVMEnv[VM],TabOceanet[],3,FALSE)/TabVMEnv[[#This Row],[Mutualisé]]</f>
        <v>1</v>
      </c>
      <c r="N196">
        <f>VLOOKUP(TabVMEnv[VM],TabOceanet[],4,FALSE)/TabVMEnv[[#This Row],[Mutualisé]]</f>
        <v>4</v>
      </c>
      <c r="O196">
        <f>IF(LEFT(VLOOKUP(TabVMEnv[VM],TabOceanet[],5,FALSE),3)="win",1,0)</f>
        <v>0</v>
      </c>
      <c r="P196"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96" t="str">
        <f>VLOOKUP(TabVMEnv[EnvProjet],TabEnvProjet[],4,FALSE)</f>
        <v>GFI Oceanet Infra Réseau</v>
      </c>
      <c r="R196" s="5" t="str">
        <f>VLOOKUP(TabVMEnv[[#This Row],[SYGES]],TabContrat[],2,FALSE)</f>
        <v>GFI</v>
      </c>
      <c r="S196" s="5" t="str">
        <f>IF(VLOOKUP(TabVMEnv[[#This Row],[VM]],TabOceanet[],1,FALSE) = "","Disparue","")</f>
        <v/>
      </c>
      <c r="T196" s="17">
        <f>VLOOKUP(TabVMEnv[[#This Row],[VM]],TabOceanet[],36,FALSE)/TabVMEnv[[#This Row],[Mutualisé]]</f>
        <v>2.52</v>
      </c>
      <c r="U196" s="17">
        <f>IF(TabVMEnv[[#This Row],[CostCenter]]="CostCenterDI",0,TabVMEnv[[#This Row],[CoutGlobal]])</f>
        <v>0</v>
      </c>
      <c r="V196" s="17">
        <f>TabVMEnv[[#This Row],[CoutGlobalSansCostCenterDI]]/TabVMEnv[[#Totals],[CoutGlobalSansCostCenterDI]]*(GlobalARepartirSansMS+GlobalARepartirMSOnly+GlobalARepartirInfraReseau)</f>
        <v>0</v>
      </c>
      <c r="W196" s="17">
        <f>TabVMEnv[[#This Row],[CoutGlobalSansCostCenterDI]]+TabVMEnv[[#This Row],[CoutGlobalSupplementaire]]</f>
        <v>0</v>
      </c>
      <c r="X196" s="5" t="str">
        <f>VLOOKUP(TabVMEnv[[#This Row],[EnvProjet]],TabEnvProjet[],2,FALSE) &amp; " - " &amp; IFERROR(VLOOKUP(TabVMEnv[[#This Row],[EnvProjet]],TabEnvProjet[],4,FALSE),"INCONNU") &amp; " - " &amp; IFERROR(VLOOKUP(TabVMEnv[[#This Row],[EnvProjet]],TabEnvProjet[],5,FALSE),"INCONNU")</f>
        <v>GFI-Oceanet Infra Réseau - GFI Oceanet Infra Réseau - Jérôme JACOB</v>
      </c>
      <c r="Y196" s="5" t="str">
        <f>VLOOKUP(TabVMEnv[EnvProjet],TabEnvProjet[],5,FALSE)</f>
        <v>Jérôme JACOB</v>
      </c>
      <c r="Z196" s="5" t="str">
        <f>VLOOKUP(TabVMEnv[EnvProjet],TabEnvProjet[],6,FALSE)</f>
        <v>CostCenterDI</v>
      </c>
      <c r="AA196" s="5" t="str">
        <f>VLOOKUP(TabVMEnv[[#This Row],[EnvProjet]],TabEnvProjet[],3,FALSE)</f>
        <v>SOCLE</v>
      </c>
      <c r="AB196" s="5">
        <f>COUNTIF(TabVMEnv[VM],TabVMEnv[VM])</f>
        <v>1</v>
      </c>
    </row>
    <row r="197" spans="1:28" x14ac:dyDescent="0.25">
      <c r="A197" t="s">
        <v>238</v>
      </c>
      <c r="B197" t="s">
        <v>362</v>
      </c>
      <c r="D197">
        <v>2</v>
      </c>
      <c r="E197" s="13" t="s">
        <v>1198</v>
      </c>
      <c r="F197">
        <f>IF(VLOOKUP(TabVMEnv[VM],TabOceanet[],16,FALSE) = "Tarif_VM",IF(VLOOKUP(TabVMEnv[VM],TabOceanet[],2,FALSE)&lt;4,4,VLOOKUP(TabVMEnv[VM],TabOceanet[],2,FALSE)),0)</f>
        <v>4</v>
      </c>
      <c r="G197">
        <v>0</v>
      </c>
      <c r="H197">
        <v>0</v>
      </c>
      <c r="I197">
        <v>0</v>
      </c>
      <c r="J197">
        <v>0</v>
      </c>
      <c r="K197">
        <f>IF(VLOOKUP(TabVMEnv[VM],TabOceanet[],16,FALSE) = "Tarif_VM",1,0)/TabVMEnv[[#This Row],[Mutualisé]]</f>
        <v>1</v>
      </c>
      <c r="L197">
        <f>IF(VLOOKUP(TabVMEnv[VM],TabOceanet[],9,FALSE) = "PoweredOn",1,0)</f>
        <v>1</v>
      </c>
      <c r="M197">
        <f>TabVMEnv[[#This Row],[IsVMPoweredOn]]*VLOOKUP(TabVMEnv[VM],TabOceanet[],3,FALSE)/TabVMEnv[[#This Row],[Mutualisé]]</f>
        <v>1</v>
      </c>
      <c r="N197">
        <f>VLOOKUP(TabVMEnv[VM],TabOceanet[],4,FALSE)/TabVMEnv[[#This Row],[Mutualisé]]</f>
        <v>35</v>
      </c>
      <c r="O197">
        <f>IF(LEFT(VLOOKUP(TabVMEnv[VM],TabOceanet[],5,FALSE),3)="win",1,0)</f>
        <v>0</v>
      </c>
      <c r="P197"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97" t="str">
        <f>VLOOKUP(TabVMEnv[EnvProjet],TabEnvProjet[],4,FALSE)</f>
        <v>SUPP-DIGI - 1530-2018 - 0 - 1 - Tache 1 - Perform</v>
      </c>
      <c r="R197" s="5" t="str">
        <f>VLOOKUP(TabVMEnv[[#This Row],[SYGES]],TabContrat[],2,FALSE)</f>
        <v>GFI</v>
      </c>
      <c r="S197" s="5" t="str">
        <f>IF(VLOOKUP(TabVMEnv[[#This Row],[VM]],TabOceanet[],1,FALSE) = "","Disparue","")</f>
        <v/>
      </c>
      <c r="T197" s="17">
        <f>VLOOKUP(TabVMEnv[[#This Row],[VM]],TabOceanet[],36,FALSE)/TabVMEnv[[#This Row],[Mutualisé]]</f>
        <v>9.65</v>
      </c>
      <c r="U197" s="17">
        <f>IF(TabVMEnv[[#This Row],[CostCenter]]="CostCenterDI",0,TabVMEnv[[#This Row],[CoutGlobal]])</f>
        <v>9.65</v>
      </c>
      <c r="V197" s="17">
        <f>TabVMEnv[[#This Row],[CoutGlobalSansCostCenterDI]]/TabVMEnv[[#Totals],[CoutGlobalSansCostCenterDI]]*(GlobalARepartirSansMS+GlobalARepartirMSOnly+GlobalARepartirInfraReseau)</f>
        <v>16.843660473404231</v>
      </c>
      <c r="W197" s="17">
        <f>TabVMEnv[[#This Row],[CoutGlobalSansCostCenterDI]]+TabVMEnv[[#This Row],[CoutGlobalSupplementaire]]</f>
        <v>26.493660473404233</v>
      </c>
      <c r="X197" s="5" t="str">
        <f>VLOOKUP(TabVMEnv[[#This Row],[EnvProjet]],TabEnvProjet[],2,FALSE) &amp; " - " &amp; IFERROR(VLOOKUP(TabVMEnv[[#This Row],[EnvProjet]],TabEnvProjet[],4,FALSE),"INCONNU") &amp; " - " &amp; IFERROR(VLOOKUP(TabVMEnv[[#This Row],[EnvProjet]],TabEnvProjet[],5,FALSE),"INCONNU")</f>
        <v>GFI-EveryDaily - SUPP-DIGI - 1530-2018 - 0 - 1 - Tache 1 - Perform - Vincent MERIAU</v>
      </c>
      <c r="Y197" s="5" t="str">
        <f>VLOOKUP(TabVMEnv[EnvProjet],TabEnvProjet[],5,FALSE)</f>
        <v>Vincent MERIAU</v>
      </c>
      <c r="Z197" s="5">
        <f>VLOOKUP(TabVMEnv[EnvProjet],TabEnvProjet[],6,FALSE)</f>
        <v>341531</v>
      </c>
      <c r="AA197" s="5" t="str">
        <f>VLOOKUP(TabVMEnv[[#This Row],[EnvProjet]],TabEnvProjet[],3,FALSE)</f>
        <v>QUAL_BUILD</v>
      </c>
      <c r="AB197" s="5">
        <f>COUNTIF(TabVMEnv[VM],TabVMEnv[VM])</f>
        <v>1</v>
      </c>
    </row>
    <row r="198" spans="1:28" x14ac:dyDescent="0.25">
      <c r="A198" t="s">
        <v>1326</v>
      </c>
      <c r="B198" t="s">
        <v>1338</v>
      </c>
      <c r="E198" s="13"/>
      <c r="F198" s="5">
        <f>IF(VLOOKUP(TabVMEnv[VM],TabOceanet[],16,FALSE) = "Tarif_VM",IF(VLOOKUP(TabVMEnv[VM],TabOceanet[],2,FALSE)&lt;4,4,VLOOKUP(TabVMEnv[VM],TabOceanet[],2,FALSE)),0)</f>
        <v>4</v>
      </c>
      <c r="G198">
        <v>10</v>
      </c>
      <c r="H198">
        <v>0</v>
      </c>
      <c r="I198">
        <v>0</v>
      </c>
      <c r="J198">
        <v>0</v>
      </c>
      <c r="K198" s="5">
        <f>IF(VLOOKUP(TabVMEnv[VM],TabOceanet[],16,FALSE) = "Tarif_VM",1,0)/TabVMEnv[[#This Row],[Mutualisé]]</f>
        <v>1</v>
      </c>
      <c r="L198" s="5">
        <f>IF(VLOOKUP(TabVMEnv[VM],TabOceanet[],9,FALSE) = "PoweredOn",1,0)</f>
        <v>1</v>
      </c>
      <c r="M198" s="5">
        <f>TabVMEnv[[#This Row],[IsVMPoweredOn]]*VLOOKUP(TabVMEnv[VM],TabOceanet[],3,FALSE)/TabVMEnv[[#This Row],[Mutualisé]]</f>
        <v>4</v>
      </c>
      <c r="N198" s="5">
        <f>VLOOKUP(TabVMEnv[VM],TabOceanet[],4,FALSE)/TabVMEnv[[#This Row],[Mutualisé]]</f>
        <v>60</v>
      </c>
      <c r="O198" s="5">
        <f>IF(LEFT(VLOOKUP(TabVMEnv[VM],TabOceanet[],5,FALSE),3)="win",1,0)</f>
        <v>1</v>
      </c>
      <c r="P198"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59.800000000000004</v>
      </c>
      <c r="Q198" t="str">
        <f>VLOOKUP(TabVMEnv[EnvProjet],TabEnvProjet[],4,FALSE)</f>
        <v>GIESV/PCN17-01</v>
      </c>
      <c r="R198" s="5" t="str">
        <f>VLOOKUP(TabVMEnv[[#This Row],[SYGES]],TabContrat[],2,FALSE)</f>
        <v>GIESV</v>
      </c>
      <c r="S198" s="5" t="str">
        <f>IF(VLOOKUP(TabVMEnv[[#This Row],[VM]],TabOceanet[],1,FALSE) = "","Disparue","")</f>
        <v/>
      </c>
      <c r="T198" s="25">
        <f>VLOOKUP(TabVMEnv[[#This Row],[VM]],TabOceanet[],36,FALSE)/TabVMEnv[[#This Row],[Mutualisé]]</f>
        <v>20.200000000000003</v>
      </c>
      <c r="U198" s="25">
        <f>IF(TabVMEnv[[#This Row],[CostCenter]]="CostCenterDI",0,TabVMEnv[[#This Row],[CoutGlobal]])</f>
        <v>20.200000000000003</v>
      </c>
      <c r="V198" s="25">
        <f>TabVMEnv[[#This Row],[CoutGlobalSansCostCenterDI]]/TabVMEnv[[#Totals],[CoutGlobalSansCostCenterDI]]*(GlobalARepartirSansMS+GlobalARepartirMSOnly+GlobalARepartirInfraReseau)</f>
        <v>35.258232286296945</v>
      </c>
      <c r="W198" s="25">
        <f>TabVMEnv[[#This Row],[CoutGlobalSansCostCenterDI]]+TabVMEnv[[#This Row],[CoutGlobalSupplementaire]]</f>
        <v>55.458232286296948</v>
      </c>
      <c r="X198" s="5" t="str">
        <f>VLOOKUP(TabVMEnv[[#This Row],[EnvProjet]],TabEnvProjet[],2,FALSE) &amp; " - " &amp; IFERROR(VLOOKUP(TabVMEnv[[#This Row],[EnvProjet]],TabEnvProjet[],4,FALSE),"INCONNU") &amp; " - " &amp; IFERROR(VLOOKUP(TabVMEnv[[#This Row],[EnvProjet]],TabEnvProjet[],5,FALSE),"INCONNU")</f>
        <v>GIE S-V-Infra Citrix - GIESV/PCN17-01 - Nicolas Cordier</v>
      </c>
      <c r="Y198" s="5" t="str">
        <f>VLOOKUP(TabVMEnv[EnvProjet],TabEnvProjet[],5,FALSE)</f>
        <v>Nicolas Cordier</v>
      </c>
      <c r="Z198" s="5">
        <f>VLOOKUP(TabVMEnv[EnvProjet],TabEnvProjet[],6,FALSE)</f>
        <v>341531</v>
      </c>
      <c r="AA198" s="5" t="str">
        <f>VLOOKUP(TabVMEnv[[#This Row],[EnvProjet]],TabEnvProjet[],3,FALSE)</f>
        <v>DEV</v>
      </c>
      <c r="AB198" s="5">
        <f>COUNTIF(TabVMEnv[VM],TabVMEnv[VM])</f>
        <v>1</v>
      </c>
    </row>
    <row r="199" spans="1:28" x14ac:dyDescent="0.25">
      <c r="A199" t="s">
        <v>1328</v>
      </c>
      <c r="B199" t="s">
        <v>1338</v>
      </c>
      <c r="E199" s="13"/>
      <c r="F199" s="5">
        <f>IF(VLOOKUP(TabVMEnv[VM],TabOceanet[],16,FALSE) = "Tarif_VM",IF(VLOOKUP(TabVMEnv[VM],TabOceanet[],2,FALSE)&lt;4,4,VLOOKUP(TabVMEnv[VM],TabOceanet[],2,FALSE)),0)</f>
        <v>4</v>
      </c>
      <c r="G199">
        <v>0</v>
      </c>
      <c r="H199">
        <v>0</v>
      </c>
      <c r="I199">
        <v>0</v>
      </c>
      <c r="J199">
        <v>0</v>
      </c>
      <c r="K199" s="5">
        <f>IF(VLOOKUP(TabVMEnv[VM],TabOceanet[],16,FALSE) = "Tarif_VM",1,0)/TabVMEnv[[#This Row],[Mutualisé]]</f>
        <v>1</v>
      </c>
      <c r="L199" s="5">
        <f>IF(VLOOKUP(TabVMEnv[VM],TabOceanet[],9,FALSE) = "PoweredOn",1,0)</f>
        <v>1</v>
      </c>
      <c r="M199" s="5">
        <f>TabVMEnv[[#This Row],[IsVMPoweredOn]]*VLOOKUP(TabVMEnv[VM],TabOceanet[],3,FALSE)/TabVMEnv[[#This Row],[Mutualisé]]</f>
        <v>8</v>
      </c>
      <c r="N199" s="5">
        <f>VLOOKUP(TabVMEnv[VM],TabOceanet[],4,FALSE)/TabVMEnv[[#This Row],[Mutualisé]]</f>
        <v>60</v>
      </c>
      <c r="O199" s="5">
        <f>IF(LEFT(VLOOKUP(TabVMEnv[VM],TabOceanet[],5,FALSE),3)="win",1,0)</f>
        <v>1</v>
      </c>
      <c r="P199"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99" t="str">
        <f>VLOOKUP(TabVMEnv[EnvProjet],TabEnvProjet[],4,FALSE)</f>
        <v>GIESV/PCN17-01</v>
      </c>
      <c r="R199" s="5" t="str">
        <f>VLOOKUP(TabVMEnv[[#This Row],[SYGES]],TabContrat[],2,FALSE)</f>
        <v>GIESV</v>
      </c>
      <c r="S199" s="5" t="str">
        <f>IF(VLOOKUP(TabVMEnv[[#This Row],[VM]],TabOceanet[],1,FALSE) = "","Disparue","")</f>
        <v/>
      </c>
      <c r="T199" s="25">
        <f>VLOOKUP(TabVMEnv[[#This Row],[VM]],TabOceanet[],36,FALSE)/TabVMEnv[[#This Row],[Mutualisé]]</f>
        <v>26.6</v>
      </c>
      <c r="U199" s="25">
        <f>IF(TabVMEnv[[#This Row],[CostCenter]]="CostCenterDI",0,TabVMEnv[[#This Row],[CoutGlobal]])</f>
        <v>26.6</v>
      </c>
      <c r="V199" s="25">
        <f>TabVMEnv[[#This Row],[CoutGlobalSansCostCenterDI]]/TabVMEnv[[#Totals],[CoutGlobalSansCostCenterDI]]*(GlobalARepartirSansMS+GlobalARepartirMSOnly+GlobalARepartirInfraReseau)</f>
        <v>46.42915736710389</v>
      </c>
      <c r="W199" s="25">
        <f>TabVMEnv[[#This Row],[CoutGlobalSansCostCenterDI]]+TabVMEnv[[#This Row],[CoutGlobalSupplementaire]]</f>
        <v>73.029157367103892</v>
      </c>
      <c r="X199" s="5" t="str">
        <f>VLOOKUP(TabVMEnv[[#This Row],[EnvProjet]],TabEnvProjet[],2,FALSE) &amp; " - " &amp; IFERROR(VLOOKUP(TabVMEnv[[#This Row],[EnvProjet]],TabEnvProjet[],4,FALSE),"INCONNU") &amp; " - " &amp; IFERROR(VLOOKUP(TabVMEnv[[#This Row],[EnvProjet]],TabEnvProjet[],5,FALSE),"INCONNU")</f>
        <v>GIE S-V-Infra Citrix - GIESV/PCN17-01 - Nicolas Cordier</v>
      </c>
      <c r="Y199" s="5" t="str">
        <f>VLOOKUP(TabVMEnv[EnvProjet],TabEnvProjet[],5,FALSE)</f>
        <v>Nicolas Cordier</v>
      </c>
      <c r="Z199" s="5">
        <f>VLOOKUP(TabVMEnv[EnvProjet],TabEnvProjet[],6,FALSE)</f>
        <v>341531</v>
      </c>
      <c r="AA199" s="5" t="str">
        <f>VLOOKUP(TabVMEnv[[#This Row],[EnvProjet]],TabEnvProjet[],3,FALSE)</f>
        <v>DEV</v>
      </c>
      <c r="AB199" s="5">
        <f>COUNTIF(TabVMEnv[VM],TabVMEnv[VM])</f>
        <v>1</v>
      </c>
    </row>
    <row r="200" spans="1:28" x14ac:dyDescent="0.25">
      <c r="A200" t="s">
        <v>1329</v>
      </c>
      <c r="B200" t="s">
        <v>1338</v>
      </c>
      <c r="E200" s="13"/>
      <c r="F200" s="5">
        <f>IF(VLOOKUP(TabVMEnv[VM],TabOceanet[],16,FALSE) = "Tarif_VM",IF(VLOOKUP(TabVMEnv[VM],TabOceanet[],2,FALSE)&lt;4,4,VLOOKUP(TabVMEnv[VM],TabOceanet[],2,FALSE)),0)</f>
        <v>4</v>
      </c>
      <c r="G200">
        <v>0</v>
      </c>
      <c r="H200">
        <v>0</v>
      </c>
      <c r="I200">
        <v>0</v>
      </c>
      <c r="J200">
        <v>0</v>
      </c>
      <c r="K200" s="5">
        <f>IF(VLOOKUP(TabVMEnv[VM],TabOceanet[],16,FALSE) = "Tarif_VM",1,0)/TabVMEnv[[#This Row],[Mutualisé]]</f>
        <v>1</v>
      </c>
      <c r="L200" s="5">
        <f>IF(VLOOKUP(TabVMEnv[VM],TabOceanet[],9,FALSE) = "PoweredOn",1,0)</f>
        <v>1</v>
      </c>
      <c r="M200" s="5">
        <f>TabVMEnv[[#This Row],[IsVMPoweredOn]]*VLOOKUP(TabVMEnv[VM],TabOceanet[],3,FALSE)/TabVMEnv[[#This Row],[Mutualisé]]</f>
        <v>8</v>
      </c>
      <c r="N200" s="5">
        <f>VLOOKUP(TabVMEnv[VM],TabOceanet[],4,FALSE)/TabVMEnv[[#This Row],[Mutualisé]]</f>
        <v>60</v>
      </c>
      <c r="O200" s="5">
        <f>IF(LEFT(VLOOKUP(TabVMEnv[VM],TabOceanet[],5,FALSE),3)="win",1,0)</f>
        <v>1</v>
      </c>
      <c r="P200"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00" t="str">
        <f>VLOOKUP(TabVMEnv[EnvProjet],TabEnvProjet[],4,FALSE)</f>
        <v>GIESV/PCN17-01</v>
      </c>
      <c r="R200" s="5" t="str">
        <f>VLOOKUP(TabVMEnv[[#This Row],[SYGES]],TabContrat[],2,FALSE)</f>
        <v>GIESV</v>
      </c>
      <c r="S200" s="5" t="str">
        <f>IF(VLOOKUP(TabVMEnv[[#This Row],[VM]],TabOceanet[],1,FALSE) = "","Disparue","")</f>
        <v/>
      </c>
      <c r="T200" s="25">
        <f>VLOOKUP(TabVMEnv[[#This Row],[VM]],TabOceanet[],36,FALSE)/TabVMEnv[[#This Row],[Mutualisé]]</f>
        <v>26.6</v>
      </c>
      <c r="U200" s="25">
        <f>IF(TabVMEnv[[#This Row],[CostCenter]]="CostCenterDI",0,TabVMEnv[[#This Row],[CoutGlobal]])</f>
        <v>26.6</v>
      </c>
      <c r="V200" s="25">
        <f>TabVMEnv[[#This Row],[CoutGlobalSansCostCenterDI]]/TabVMEnv[[#Totals],[CoutGlobalSansCostCenterDI]]*(GlobalARepartirSansMS+GlobalARepartirMSOnly+GlobalARepartirInfraReseau)</f>
        <v>46.42915736710389</v>
      </c>
      <c r="W200" s="25">
        <f>TabVMEnv[[#This Row],[CoutGlobalSansCostCenterDI]]+TabVMEnv[[#This Row],[CoutGlobalSupplementaire]]</f>
        <v>73.029157367103892</v>
      </c>
      <c r="X200" s="5" t="str">
        <f>VLOOKUP(TabVMEnv[[#This Row],[EnvProjet]],TabEnvProjet[],2,FALSE) &amp; " - " &amp; IFERROR(VLOOKUP(TabVMEnv[[#This Row],[EnvProjet]],TabEnvProjet[],4,FALSE),"INCONNU") &amp; " - " &amp; IFERROR(VLOOKUP(TabVMEnv[[#This Row],[EnvProjet]],TabEnvProjet[],5,FALSE),"INCONNU")</f>
        <v>GIE S-V-Infra Citrix - GIESV/PCN17-01 - Nicolas Cordier</v>
      </c>
      <c r="Y200" s="5" t="str">
        <f>VLOOKUP(TabVMEnv[EnvProjet],TabEnvProjet[],5,FALSE)</f>
        <v>Nicolas Cordier</v>
      </c>
      <c r="Z200" s="5">
        <f>VLOOKUP(TabVMEnv[EnvProjet],TabEnvProjet[],6,FALSE)</f>
        <v>341531</v>
      </c>
      <c r="AA200" s="5" t="str">
        <f>VLOOKUP(TabVMEnv[[#This Row],[EnvProjet]],TabEnvProjet[],3,FALSE)</f>
        <v>DEV</v>
      </c>
      <c r="AB200" s="5">
        <f>COUNTIF(TabVMEnv[VM],TabVMEnv[VM])</f>
        <v>1</v>
      </c>
    </row>
    <row r="201" spans="1:28" x14ac:dyDescent="0.25">
      <c r="A201" t="s">
        <v>1330</v>
      </c>
      <c r="B201" t="s">
        <v>1338</v>
      </c>
      <c r="E201" s="13"/>
      <c r="F201" s="5">
        <f>IF(VLOOKUP(TabVMEnv[VM],TabOceanet[],16,FALSE) = "Tarif_VM",IF(VLOOKUP(TabVMEnv[VM],TabOceanet[],2,FALSE)&lt;4,4,VLOOKUP(TabVMEnv[VM],TabOceanet[],2,FALSE)),0)</f>
        <v>4</v>
      </c>
      <c r="G201">
        <v>0</v>
      </c>
      <c r="H201">
        <v>0</v>
      </c>
      <c r="I201">
        <v>0</v>
      </c>
      <c r="J201">
        <v>0</v>
      </c>
      <c r="K201" s="5">
        <f>IF(VLOOKUP(TabVMEnv[VM],TabOceanet[],16,FALSE) = "Tarif_VM",1,0)/TabVMEnv[[#This Row],[Mutualisé]]</f>
        <v>1</v>
      </c>
      <c r="L201" s="5">
        <f>IF(VLOOKUP(TabVMEnv[VM],TabOceanet[],9,FALSE) = "PoweredOn",1,0)</f>
        <v>1</v>
      </c>
      <c r="M201" s="5">
        <f>TabVMEnv[[#This Row],[IsVMPoweredOn]]*VLOOKUP(TabVMEnv[VM],TabOceanet[],3,FALSE)/TabVMEnv[[#This Row],[Mutualisé]]</f>
        <v>4</v>
      </c>
      <c r="N201" s="5">
        <f>VLOOKUP(TabVMEnv[VM],TabOceanet[],4,FALSE)/TabVMEnv[[#This Row],[Mutualisé]]</f>
        <v>40</v>
      </c>
      <c r="O201" s="5">
        <f>IF(LEFT(VLOOKUP(TabVMEnv[VM],TabOceanet[],5,FALSE),3)="win",1,0)</f>
        <v>1</v>
      </c>
      <c r="P201"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01" t="str">
        <f>VLOOKUP(TabVMEnv[EnvProjet],TabEnvProjet[],4,FALSE)</f>
        <v>GIESV/PCN17-01</v>
      </c>
      <c r="R201" s="5" t="str">
        <f>VLOOKUP(TabVMEnv[[#This Row],[SYGES]],TabContrat[],2,FALSE)</f>
        <v>GIESV</v>
      </c>
      <c r="S201" s="5" t="str">
        <f>IF(VLOOKUP(TabVMEnv[[#This Row],[VM]],TabOceanet[],1,FALSE) = "","Disparue","")</f>
        <v/>
      </c>
      <c r="T201" s="25">
        <f>VLOOKUP(TabVMEnv[[#This Row],[VM]],TabOceanet[],36,FALSE)/TabVMEnv[[#This Row],[Mutualisé]]</f>
        <v>15.600000000000001</v>
      </c>
      <c r="U201" s="25">
        <f>IF(TabVMEnv[[#This Row],[CostCenter]]="CostCenterDI",0,TabVMEnv[[#This Row],[CoutGlobal]])</f>
        <v>15.600000000000001</v>
      </c>
      <c r="V201" s="25">
        <f>TabVMEnv[[#This Row],[CoutGlobalSansCostCenterDI]]/TabVMEnv[[#Totals],[CoutGlobalSansCostCenterDI]]*(GlobalARepartirSansMS+GlobalARepartirMSOnly+GlobalARepartirInfraReseau)</f>
        <v>27.229129884466946</v>
      </c>
      <c r="W201" s="25">
        <f>TabVMEnv[[#This Row],[CoutGlobalSansCostCenterDI]]+TabVMEnv[[#This Row],[CoutGlobalSupplementaire]]</f>
        <v>42.829129884466951</v>
      </c>
      <c r="X201" s="5" t="str">
        <f>VLOOKUP(TabVMEnv[[#This Row],[EnvProjet]],TabEnvProjet[],2,FALSE) &amp; " - " &amp; IFERROR(VLOOKUP(TabVMEnv[[#This Row],[EnvProjet]],TabEnvProjet[],4,FALSE),"INCONNU") &amp; " - " &amp; IFERROR(VLOOKUP(TabVMEnv[[#This Row],[EnvProjet]],TabEnvProjet[],5,FALSE),"INCONNU")</f>
        <v>GIE S-V-Infra Citrix - GIESV/PCN17-01 - Nicolas Cordier</v>
      </c>
      <c r="Y201" s="5" t="str">
        <f>VLOOKUP(TabVMEnv[EnvProjet],TabEnvProjet[],5,FALSE)</f>
        <v>Nicolas Cordier</v>
      </c>
      <c r="Z201" s="5">
        <f>VLOOKUP(TabVMEnv[EnvProjet],TabEnvProjet[],6,FALSE)</f>
        <v>341531</v>
      </c>
      <c r="AA201" s="5" t="str">
        <f>VLOOKUP(TabVMEnv[[#This Row],[EnvProjet]],TabEnvProjet[],3,FALSE)</f>
        <v>DEV</v>
      </c>
      <c r="AB201" s="5">
        <f>COUNTIF(TabVMEnv[VM],TabVMEnv[VM])</f>
        <v>1</v>
      </c>
    </row>
    <row r="202" spans="1:28" ht="30" x14ac:dyDescent="0.25">
      <c r="A202" t="s">
        <v>160</v>
      </c>
      <c r="B202" t="s">
        <v>294</v>
      </c>
      <c r="D202">
        <v>2</v>
      </c>
      <c r="E202" s="13" t="s">
        <v>1202</v>
      </c>
      <c r="F202">
        <f>IF(VLOOKUP(TabVMEnv[VM],TabOceanet[],16,FALSE) = "Tarif_VM",IF(VLOOKUP(TabVMEnv[VM],TabOceanet[],2,FALSE)&lt;4,4,VLOOKUP(TabVMEnv[VM],TabOceanet[],2,FALSE)),0)</f>
        <v>4</v>
      </c>
      <c r="G202">
        <v>0</v>
      </c>
      <c r="H202">
        <v>0</v>
      </c>
      <c r="I202">
        <v>0</v>
      </c>
      <c r="J202">
        <v>0</v>
      </c>
      <c r="K202">
        <f>IF(VLOOKUP(TabVMEnv[VM],TabOceanet[],16,FALSE) = "Tarif_VM",1,0)/TabVMEnv[[#This Row],[Mutualisé]]</f>
        <v>1</v>
      </c>
      <c r="L202">
        <f>IF(VLOOKUP(TabVMEnv[VM],TabOceanet[],9,FALSE) = "PoweredOn",1,0)</f>
        <v>1</v>
      </c>
      <c r="M202">
        <f>TabVMEnv[[#This Row],[IsVMPoweredOn]]*VLOOKUP(TabVMEnv[VM],TabOceanet[],3,FALSE)/TabVMEnv[[#This Row],[Mutualisé]]</f>
        <v>1</v>
      </c>
      <c r="N202">
        <f>VLOOKUP(TabVMEnv[VM],TabOceanet[],4,FALSE)/TabVMEnv[[#This Row],[Mutualisé]]</f>
        <v>4</v>
      </c>
      <c r="O202">
        <f>IF(LEFT(VLOOKUP(TabVMEnv[VM],TabOceanet[],5,FALSE),3)="win",1,0)</f>
        <v>0</v>
      </c>
      <c r="P202"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02" t="str">
        <f>VLOOKUP(TabVMEnv[EnvProjet],TabEnvProjet[],4,FALSE)</f>
        <v>GFI Oceanet Infra Réseau</v>
      </c>
      <c r="R202" s="5" t="str">
        <f>VLOOKUP(TabVMEnv[[#This Row],[SYGES]],TabContrat[],2,FALSE)</f>
        <v>GFI</v>
      </c>
      <c r="S202" s="5" t="str">
        <f>IF(VLOOKUP(TabVMEnv[[#This Row],[VM]],TabOceanet[],1,FALSE) = "","Disparue","")</f>
        <v/>
      </c>
      <c r="T202" s="17">
        <f>VLOOKUP(TabVMEnv[[#This Row],[VM]],TabOceanet[],36,FALSE)/TabVMEnv[[#This Row],[Mutualisé]]</f>
        <v>2.52</v>
      </c>
      <c r="U202" s="17">
        <f>IF(TabVMEnv[[#This Row],[CostCenter]]="CostCenterDI",0,TabVMEnv[[#This Row],[CoutGlobal]])</f>
        <v>0</v>
      </c>
      <c r="V202" s="17">
        <f>TabVMEnv[[#This Row],[CoutGlobalSansCostCenterDI]]/TabVMEnv[[#Totals],[CoutGlobalSansCostCenterDI]]*(GlobalARepartirSansMS+GlobalARepartirMSOnly+GlobalARepartirInfraReseau)</f>
        <v>0</v>
      </c>
      <c r="W202" s="17">
        <f>TabVMEnv[[#This Row],[CoutGlobalSansCostCenterDI]]+TabVMEnv[[#This Row],[CoutGlobalSupplementaire]]</f>
        <v>0</v>
      </c>
      <c r="X202" s="5" t="str">
        <f>VLOOKUP(TabVMEnv[[#This Row],[EnvProjet]],TabEnvProjet[],2,FALSE) &amp; " - " &amp; IFERROR(VLOOKUP(TabVMEnv[[#This Row],[EnvProjet]],TabEnvProjet[],4,FALSE),"INCONNU") &amp; " - " &amp; IFERROR(VLOOKUP(TabVMEnv[[#This Row],[EnvProjet]],TabEnvProjet[],5,FALSE),"INCONNU")</f>
        <v>GFI-Oceanet Infra Réseau - GFI Oceanet Infra Réseau - Jérôme JACOB</v>
      </c>
      <c r="Y202" s="5" t="str">
        <f>VLOOKUP(TabVMEnv[EnvProjet],TabEnvProjet[],5,FALSE)</f>
        <v>Jérôme JACOB</v>
      </c>
      <c r="Z202" s="5" t="str">
        <f>VLOOKUP(TabVMEnv[EnvProjet],TabEnvProjet[],6,FALSE)</f>
        <v>CostCenterDI</v>
      </c>
      <c r="AA202" s="5" t="str">
        <f>VLOOKUP(TabVMEnv[[#This Row],[EnvProjet]],TabEnvProjet[],3,FALSE)</f>
        <v>SOCLE</v>
      </c>
      <c r="AB202" s="5">
        <f>COUNTIF(TabVMEnv[VM],TabVMEnv[VM])</f>
        <v>1</v>
      </c>
    </row>
    <row r="203" spans="1:28" x14ac:dyDescent="0.25">
      <c r="A203" t="s">
        <v>161</v>
      </c>
      <c r="B203" t="s">
        <v>294</v>
      </c>
      <c r="D203">
        <v>0.5</v>
      </c>
      <c r="E203" s="13" t="s">
        <v>1200</v>
      </c>
      <c r="F203">
        <f>IF(VLOOKUP(TabVMEnv[VM],TabOceanet[],16,FALSE) = "Tarif_VM",IF(VLOOKUP(TabVMEnv[VM],TabOceanet[],2,FALSE)&lt;4,4,VLOOKUP(TabVMEnv[VM],TabOceanet[],2,FALSE)),0)</f>
        <v>4</v>
      </c>
      <c r="G203">
        <v>0</v>
      </c>
      <c r="H203">
        <v>0</v>
      </c>
      <c r="I203">
        <v>0</v>
      </c>
      <c r="J203">
        <v>0</v>
      </c>
      <c r="K203">
        <f>IF(VLOOKUP(TabVMEnv[VM],TabOceanet[],16,FALSE) = "Tarif_VM",1,0)/TabVMEnv[[#This Row],[Mutualisé]]</f>
        <v>1</v>
      </c>
      <c r="L203">
        <f>IF(VLOOKUP(TabVMEnv[VM],TabOceanet[],9,FALSE) = "PoweredOn",1,0)</f>
        <v>1</v>
      </c>
      <c r="M203">
        <f>TabVMEnv[[#This Row],[IsVMPoweredOn]]*VLOOKUP(TabVMEnv[VM],TabOceanet[],3,FALSE)/TabVMEnv[[#This Row],[Mutualisé]]</f>
        <v>4</v>
      </c>
      <c r="N203">
        <f>VLOOKUP(TabVMEnv[VM],TabOceanet[],4,FALSE)/TabVMEnv[[#This Row],[Mutualisé]]</f>
        <v>14</v>
      </c>
      <c r="O203">
        <f>IF(LEFT(VLOOKUP(TabVMEnv[VM],TabOceanet[],5,FALSE),3)="win",1,0)</f>
        <v>0</v>
      </c>
      <c r="P203"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03" t="str">
        <f>VLOOKUP(TabVMEnv[EnvProjet],TabEnvProjet[],4,FALSE)</f>
        <v>GFI Oceanet Infra Réseau</v>
      </c>
      <c r="R203" s="5" t="str">
        <f>VLOOKUP(TabVMEnv[[#This Row],[SYGES]],TabContrat[],2,FALSE)</f>
        <v>GFI</v>
      </c>
      <c r="S203" s="5" t="str">
        <f>IF(VLOOKUP(TabVMEnv[[#This Row],[VM]],TabOceanet[],1,FALSE) = "","Disparue","")</f>
        <v/>
      </c>
      <c r="T203" s="17">
        <f>VLOOKUP(TabVMEnv[[#This Row],[VM]],TabOceanet[],36,FALSE)/TabVMEnv[[#This Row],[Mutualisé]]</f>
        <v>9.620000000000001</v>
      </c>
      <c r="U203" s="17">
        <f>IF(TabVMEnv[[#This Row],[CostCenter]]="CostCenterDI",0,TabVMEnv[[#This Row],[CoutGlobal]])</f>
        <v>0</v>
      </c>
      <c r="V203" s="17">
        <f>TabVMEnv[[#This Row],[CoutGlobalSansCostCenterDI]]/TabVMEnv[[#Totals],[CoutGlobalSansCostCenterDI]]*(GlobalARepartirSansMS+GlobalARepartirMSOnly+GlobalARepartirInfraReseau)</f>
        <v>0</v>
      </c>
      <c r="W203" s="17">
        <f>TabVMEnv[[#This Row],[CoutGlobalSansCostCenterDI]]+TabVMEnv[[#This Row],[CoutGlobalSupplementaire]]</f>
        <v>0</v>
      </c>
      <c r="X203" s="5" t="str">
        <f>VLOOKUP(TabVMEnv[[#This Row],[EnvProjet]],TabEnvProjet[],2,FALSE) &amp; " - " &amp; IFERROR(VLOOKUP(TabVMEnv[[#This Row],[EnvProjet]],TabEnvProjet[],4,FALSE),"INCONNU") &amp; " - " &amp; IFERROR(VLOOKUP(TabVMEnv[[#This Row],[EnvProjet]],TabEnvProjet[],5,FALSE),"INCONNU")</f>
        <v>GFI-Oceanet Infra Réseau - GFI Oceanet Infra Réseau - Jérôme JACOB</v>
      </c>
      <c r="Y203" s="5" t="str">
        <f>VLOOKUP(TabVMEnv[EnvProjet],TabEnvProjet[],5,FALSE)</f>
        <v>Jérôme JACOB</v>
      </c>
      <c r="Z203" s="5" t="str">
        <f>VLOOKUP(TabVMEnv[EnvProjet],TabEnvProjet[],6,FALSE)</f>
        <v>CostCenterDI</v>
      </c>
      <c r="AA203" s="5" t="str">
        <f>VLOOKUP(TabVMEnv[[#This Row],[EnvProjet]],TabEnvProjet[],3,FALSE)</f>
        <v>SOCLE</v>
      </c>
      <c r="AB203" s="5">
        <f>COUNTIF(TabVMEnv[VM],TabVMEnv[VM])</f>
        <v>1</v>
      </c>
    </row>
    <row r="204" spans="1:28" x14ac:dyDescent="0.25">
      <c r="A204" t="s">
        <v>77</v>
      </c>
      <c r="B204" t="s">
        <v>363</v>
      </c>
      <c r="D204">
        <v>0.5</v>
      </c>
      <c r="E204" s="13" t="s">
        <v>1200</v>
      </c>
      <c r="F204">
        <f>IF(VLOOKUP(TabVMEnv[VM],TabOceanet[],16,FALSE) = "Tarif_VM",IF(VLOOKUP(TabVMEnv[VM],TabOceanet[],2,FALSE)&lt;4,4,VLOOKUP(TabVMEnv[VM],TabOceanet[],2,FALSE)),0)</f>
        <v>4</v>
      </c>
      <c r="G204">
        <v>0</v>
      </c>
      <c r="H204">
        <v>0</v>
      </c>
      <c r="I204">
        <v>0</v>
      </c>
      <c r="J204">
        <v>0</v>
      </c>
      <c r="K204">
        <f>IF(VLOOKUP(TabVMEnv[VM],TabOceanet[],16,FALSE) = "Tarif_VM",1,0)/TabVMEnv[[#This Row],[Mutualisé]]</f>
        <v>1</v>
      </c>
      <c r="L204">
        <f>IF(VLOOKUP(TabVMEnv[VM],TabOceanet[],9,FALSE) = "PoweredOn",1,0)</f>
        <v>1</v>
      </c>
      <c r="M204">
        <f>TabVMEnv[[#This Row],[IsVMPoweredOn]]*VLOOKUP(TabVMEnv[VM],TabOceanet[],3,FALSE)/TabVMEnv[[#This Row],[Mutualisé]]</f>
        <v>1</v>
      </c>
      <c r="N204">
        <f>VLOOKUP(TabVMEnv[VM],TabOceanet[],4,FALSE)/TabVMEnv[[#This Row],[Mutualisé]]</f>
        <v>6</v>
      </c>
      <c r="O204">
        <f>IF(LEFT(VLOOKUP(TabVMEnv[VM],TabOceanet[],5,FALSE),3)="win",1,0)</f>
        <v>0</v>
      </c>
      <c r="P204"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04" t="str">
        <f>VLOOKUP(TabVMEnv[EnvProjet],TabEnvProjet[],4,FALSE)</f>
        <v>GIESV/PCN17-01</v>
      </c>
      <c r="R204" s="5" t="str">
        <f>VLOOKUP(TabVMEnv[[#This Row],[SYGES]],TabContrat[],2,FALSE)</f>
        <v>GIESV</v>
      </c>
      <c r="S204" s="5" t="str">
        <f>IF(VLOOKUP(TabVMEnv[[#This Row],[VM]],TabOceanet[],1,FALSE) = "","Disparue","")</f>
        <v/>
      </c>
      <c r="T204" s="17">
        <f>VLOOKUP(TabVMEnv[[#This Row],[VM]],TabOceanet[],36,FALSE)/TabVMEnv[[#This Row],[Mutualisé]]</f>
        <v>2.9800000000000004</v>
      </c>
      <c r="U204" s="17">
        <f>IF(TabVMEnv[[#This Row],[CostCenter]]="CostCenterDI",0,TabVMEnv[[#This Row],[CoutGlobal]])</f>
        <v>2.9800000000000004</v>
      </c>
      <c r="V204" s="17">
        <f>TabVMEnv[[#This Row],[CoutGlobalSansCostCenterDI]]/TabVMEnv[[#Totals],[CoutGlobalSansCostCenterDI]]*(GlobalARepartirSansMS+GlobalARepartirMSOnly+GlobalARepartirInfraReseau)</f>
        <v>5.2014619907507376</v>
      </c>
      <c r="W204" s="17">
        <f>TabVMEnv[[#This Row],[CoutGlobalSansCostCenterDI]]+TabVMEnv[[#This Row],[CoutGlobalSupplementaire]]</f>
        <v>8.1814619907507371</v>
      </c>
      <c r="X204" s="5" t="str">
        <f>VLOOKUP(TabVMEnv[[#This Row],[EnvProjet]],TabEnvProjet[],2,FALSE) &amp; " - " &amp; IFERROR(VLOOKUP(TabVMEnv[[#This Row],[EnvProjet]],TabEnvProjet[],4,FALSE),"INCONNU") &amp; " - " &amp; IFERROR(VLOOKUP(TabVMEnv[[#This Row],[EnvProjet]],TabEnvProjet[],5,FALSE),"INCONNU")</f>
        <v>GIE S-V-Mantis - RR - GIESV/PCN17-01 - Nicolas Cordier</v>
      </c>
      <c r="Y204" s="5" t="str">
        <f>VLOOKUP(TabVMEnv[EnvProjet],TabEnvProjet[],5,FALSE)</f>
        <v>Nicolas Cordier</v>
      </c>
      <c r="Z204" s="5">
        <f>VLOOKUP(TabVMEnv[EnvProjet],TabEnvProjet[],6,FALSE)</f>
        <v>341531</v>
      </c>
      <c r="AA204" s="5" t="str">
        <f>VLOOKUP(TabVMEnv[[#This Row],[EnvProjet]],TabEnvProjet[],3,FALSE)</f>
        <v>PROD</v>
      </c>
      <c r="AB204" s="5">
        <f>COUNTIF(TabVMEnv[VM],TabVMEnv[VM])</f>
        <v>1</v>
      </c>
    </row>
    <row r="205" spans="1:28" x14ac:dyDescent="0.25">
      <c r="A205" t="s">
        <v>203</v>
      </c>
      <c r="B205" t="s">
        <v>313</v>
      </c>
      <c r="E205" s="13"/>
      <c r="F205">
        <f>IF(VLOOKUP(TabVMEnv[VM],TabOceanet[],16,FALSE) = "Tarif_VM",IF(VLOOKUP(TabVMEnv[VM],TabOceanet[],2,FALSE)&lt;4,4,VLOOKUP(TabVMEnv[VM],TabOceanet[],2,FALSE)),0)</f>
        <v>4</v>
      </c>
      <c r="G205">
        <v>0</v>
      </c>
      <c r="H205">
        <v>0</v>
      </c>
      <c r="I205">
        <v>0</v>
      </c>
      <c r="J205">
        <v>0</v>
      </c>
      <c r="K205">
        <f>IF(VLOOKUP(TabVMEnv[VM],TabOceanet[],16,FALSE) = "Tarif_VM",1,0)/TabVMEnv[[#This Row],[Mutualisé]]</f>
        <v>1</v>
      </c>
      <c r="L205">
        <f>IF(VLOOKUP(TabVMEnv[VM],TabOceanet[],9,FALSE) = "PoweredOn",1,0)</f>
        <v>1</v>
      </c>
      <c r="M205">
        <f>TabVMEnv[[#This Row],[IsVMPoweredOn]]*VLOOKUP(TabVMEnv[VM],TabOceanet[],3,FALSE)/TabVMEnv[[#This Row],[Mutualisé]]</f>
        <v>4</v>
      </c>
      <c r="N205">
        <f>VLOOKUP(TabVMEnv[VM],TabOceanet[],4,FALSE)/TabVMEnv[[#This Row],[Mutualisé]]</f>
        <v>39</v>
      </c>
      <c r="O205">
        <f>IF(LEFT(VLOOKUP(TabVMEnv[VM],TabOceanet[],5,FALSE),3)="win",1,0)</f>
        <v>0</v>
      </c>
      <c r="P205"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05" t="str">
        <f>VLOOKUP(TabVMEnv[EnvProjet],TabEnvProjet[],4,FALSE)</f>
        <v>ONEMA/TMADCUA-15</v>
      </c>
      <c r="R205" s="5" t="str">
        <f>VLOOKUP(TabVMEnv[[#This Row],[SYGES]],TabContrat[],2,FALSE)</f>
        <v>ONEMA</v>
      </c>
      <c r="S205" s="5" t="str">
        <f>IF(VLOOKUP(TabVMEnv[[#This Row],[VM]],TabOceanet[],1,FALSE) = "","Disparue","")</f>
        <v/>
      </c>
      <c r="T205" s="17">
        <f>VLOOKUP(TabVMEnv[[#This Row],[VM]],TabOceanet[],36,FALSE)/TabVMEnv[[#This Row],[Mutualisé]]</f>
        <v>15.370000000000001</v>
      </c>
      <c r="U205" s="17">
        <f>IF(TabVMEnv[[#This Row],[CostCenter]]="CostCenterDI",0,TabVMEnv[[#This Row],[CoutGlobal]])</f>
        <v>15.370000000000001</v>
      </c>
      <c r="V205" s="17">
        <f>TabVMEnv[[#This Row],[CoutGlobalSansCostCenterDI]]/TabVMEnv[[#Totals],[CoutGlobalSansCostCenterDI]]*(GlobalARepartirSansMS+GlobalARepartirMSOnly+GlobalARepartirInfraReseau)</f>
        <v>26.827674764375445</v>
      </c>
      <c r="W205" s="17">
        <f>TabVMEnv[[#This Row],[CoutGlobalSansCostCenterDI]]+TabVMEnv[[#This Row],[CoutGlobalSupplementaire]]</f>
        <v>42.197674764375449</v>
      </c>
      <c r="X205" s="5" t="str">
        <f>VLOOKUP(TabVMEnv[[#This Row],[EnvProjet]],TabEnvProjet[],2,FALSE) &amp; " - " &amp; IFERROR(VLOOKUP(TabVMEnv[[#This Row],[EnvProjet]],TabEnvProjet[],4,FALSE),"INCONNU") &amp; " - " &amp; IFERROR(VLOOKUP(TabVMEnv[[#This Row],[EnvProjet]],TabEnvProjet[],5,FALSE),"INCONNU")</f>
        <v>AFB-Patbiodiv - ONEMA/TMADCUA-15 - Rodolphe Habegger</v>
      </c>
      <c r="Y205" s="5" t="str">
        <f>VLOOKUP(TabVMEnv[EnvProjet],TabEnvProjet[],5,FALSE)</f>
        <v>Rodolphe Habegger</v>
      </c>
      <c r="Z205" s="5">
        <f>VLOOKUP(TabVMEnv[EnvProjet],TabEnvProjet[],6,FALSE)</f>
        <v>305704</v>
      </c>
      <c r="AA205" s="5" t="str">
        <f>VLOOKUP(TabVMEnv[[#This Row],[EnvProjet]],TabEnvProjet[],3,FALSE)</f>
        <v>RECETTE</v>
      </c>
      <c r="AB205" s="5">
        <f>COUNTIF(TabVMEnv[VM],TabVMEnv[VM])</f>
        <v>1</v>
      </c>
    </row>
    <row r="206" spans="1:28" x14ac:dyDescent="0.25">
      <c r="A206" t="s">
        <v>227</v>
      </c>
      <c r="B206" t="s">
        <v>359</v>
      </c>
      <c r="D206">
        <v>0</v>
      </c>
      <c r="E206" s="13" t="s">
        <v>1197</v>
      </c>
      <c r="F206">
        <f>IF(VLOOKUP(TabVMEnv[VM],TabOceanet[],16,FALSE) = "Tarif_VM",IF(VLOOKUP(TabVMEnv[VM],TabOceanet[],2,FALSE)&lt;4,4,VLOOKUP(TabVMEnv[VM],TabOceanet[],2,FALSE)),0)</f>
        <v>4</v>
      </c>
      <c r="G206">
        <v>0</v>
      </c>
      <c r="H206">
        <v>0</v>
      </c>
      <c r="I206">
        <v>0</v>
      </c>
      <c r="J206">
        <v>0</v>
      </c>
      <c r="K206">
        <f>IF(VLOOKUP(TabVMEnv[VM],TabOceanet[],16,FALSE) = "Tarif_VM",1,0)/TabVMEnv[[#This Row],[Mutualisé]]</f>
        <v>1</v>
      </c>
      <c r="L206">
        <f>IF(VLOOKUP(TabVMEnv[VM],TabOceanet[],9,FALSE) = "PoweredOn",1,0)</f>
        <v>1</v>
      </c>
      <c r="M206">
        <f>TabVMEnv[[#This Row],[IsVMPoweredOn]]*VLOOKUP(TabVMEnv[VM],TabOceanet[],3,FALSE)/TabVMEnv[[#This Row],[Mutualisé]]</f>
        <v>2</v>
      </c>
      <c r="N206">
        <f>VLOOKUP(TabVMEnv[VM],TabOceanet[],4,FALSE)/TabVMEnv[[#This Row],[Mutualisé]]</f>
        <v>12</v>
      </c>
      <c r="O206">
        <f>IF(LEFT(VLOOKUP(TabVMEnv[VM],TabOceanet[],5,FALSE),3)="win",1,0)</f>
        <v>0</v>
      </c>
      <c r="P206"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06" t="str">
        <f>VLOOKUP(TabVMEnv[EnvProjet],TabEnvProjet[],4,FALSE)</f>
        <v>SILICONE - 1530-2018 - 0 - 2 - Tache 2 – ORS</v>
      </c>
      <c r="R206" s="5" t="str">
        <f>VLOOKUP(TabVMEnv[[#This Row],[SYGES]],TabContrat[],2,FALSE)</f>
        <v>GFI</v>
      </c>
      <c r="S206" s="5" t="str">
        <f>IF(VLOOKUP(TabVMEnv[[#This Row],[VM]],TabOceanet[],1,FALSE) = "","Disparue","")</f>
        <v/>
      </c>
      <c r="T206" s="17">
        <f>VLOOKUP(TabVMEnv[[#This Row],[VM]],TabOceanet[],36,FALSE)/TabVMEnv[[#This Row],[Mutualisé]]</f>
        <v>5.9600000000000009</v>
      </c>
      <c r="U206" s="17">
        <f>IF(TabVMEnv[[#This Row],[CostCenter]]="CostCenterDI",0,TabVMEnv[[#This Row],[CoutGlobal]])</f>
        <v>5.9600000000000009</v>
      </c>
      <c r="V206" s="17">
        <f>TabVMEnv[[#This Row],[CoutGlobalSansCostCenterDI]]/TabVMEnv[[#Totals],[CoutGlobalSansCostCenterDI]]*(GlobalARepartirSansMS+GlobalARepartirMSOnly+GlobalARepartirInfraReseau)</f>
        <v>10.402923981501475</v>
      </c>
      <c r="W206" s="17">
        <f>TabVMEnv[[#This Row],[CoutGlobalSansCostCenterDI]]+TabVMEnv[[#This Row],[CoutGlobalSupplementaire]]</f>
        <v>16.362923981501474</v>
      </c>
      <c r="X206" s="5" t="str">
        <f>VLOOKUP(TabVMEnv[[#This Row],[EnvProjet]],TabEnvProjet[],2,FALSE) &amp; " - " &amp; IFERROR(VLOOKUP(TabVMEnv[[#This Row],[EnvProjet]],TabEnvProjet[],4,FALSE),"INCONNU") &amp; " - " &amp; IFERROR(VLOOKUP(TabVMEnv[[#This Row],[EnvProjet]],TabEnvProjet[],5,FALSE),"INCONNU")</f>
        <v>GFI-Linkus - SILICONE - 1530-2018 - 0 - 2 - Tache 2 – ORS - Michael Le-Ridant</v>
      </c>
      <c r="Y206" s="5" t="str">
        <f>VLOOKUP(TabVMEnv[EnvProjet],TabEnvProjet[],5,FALSE)</f>
        <v>Michael Le-Ridant</v>
      </c>
      <c r="Z206" s="5">
        <f>VLOOKUP(TabVMEnv[EnvProjet],TabEnvProjet[],6,FALSE)</f>
        <v>341531</v>
      </c>
      <c r="AA206" s="5" t="str">
        <f>VLOOKUP(TabVMEnv[[#This Row],[EnvProjet]],TabEnvProjet[],3,FALSE)</f>
        <v>PROD</v>
      </c>
      <c r="AB206" s="5">
        <f>COUNTIF(TabVMEnv[VM],TabVMEnv[VM])</f>
        <v>1</v>
      </c>
    </row>
    <row r="207" spans="1:28" x14ac:dyDescent="0.25">
      <c r="A207" s="24" t="s">
        <v>59</v>
      </c>
      <c r="B207" t="s">
        <v>365</v>
      </c>
      <c r="C207" t="s">
        <v>60</v>
      </c>
      <c r="E207" s="13"/>
      <c r="F207">
        <f>IF(VLOOKUP(TabVMEnv[VM],TabOceanet[],16,FALSE) = "Tarif_VM",IF(VLOOKUP(TabVMEnv[VM],TabOceanet[],2,FALSE)&lt;4,4,VLOOKUP(TabVMEnv[VM],TabOceanet[],2,FALSE)),0)</f>
        <v>4</v>
      </c>
      <c r="G207">
        <v>0</v>
      </c>
      <c r="H207">
        <v>0</v>
      </c>
      <c r="I207">
        <v>0</v>
      </c>
      <c r="J207">
        <v>0</v>
      </c>
      <c r="K207">
        <f>IF(VLOOKUP(TabVMEnv[VM],TabOceanet[],16,FALSE) = "Tarif_VM",1,0)/TabVMEnv[[#This Row],[Mutualisé]]</f>
        <v>0.5</v>
      </c>
      <c r="L207">
        <f>IF(VLOOKUP(TabVMEnv[VM],TabOceanet[],9,FALSE) = "PoweredOn",1,0)</f>
        <v>1</v>
      </c>
      <c r="M207">
        <f>TabVMEnv[[#This Row],[IsVMPoweredOn]]*VLOOKUP(TabVMEnv[VM],TabOceanet[],3,FALSE)/TabVMEnv[[#This Row],[Mutualisé]]</f>
        <v>0.5</v>
      </c>
      <c r="N207">
        <f>VLOOKUP(TabVMEnv[VM],TabOceanet[],4,FALSE)/TabVMEnv[[#This Row],[Mutualisé]]</f>
        <v>20.5</v>
      </c>
      <c r="O207">
        <f>IF(LEFT(VLOOKUP(TabVMEnv[VM],TabOceanet[],5,FALSE),3)="win",1,0)</f>
        <v>0</v>
      </c>
      <c r="P207"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07" t="str">
        <f>VLOOKUP(TabVMEnv[EnvProjet],TabEnvProjet[],4,FALSE)</f>
        <v>MACIF-PHP/284244-17</v>
      </c>
      <c r="R207" s="5" t="str">
        <f>VLOOKUP(TabVMEnv[[#This Row],[SYGES]],TabContrat[],2,FALSE)</f>
        <v>MACIF</v>
      </c>
      <c r="S207" s="5" t="str">
        <f>IF(VLOOKUP(TabVMEnv[[#This Row],[VM]],TabOceanet[],1,FALSE) = "","Disparue","")</f>
        <v/>
      </c>
      <c r="T207" s="25">
        <f>VLOOKUP(TabVMEnv[[#This Row],[VM]],TabOceanet[],36,FALSE)/TabVMEnv[[#This Row],[Mutualisé]]</f>
        <v>5.5149999999999997</v>
      </c>
      <c r="U207" s="25">
        <f>IF(TabVMEnv[[#This Row],[CostCenter]]="CostCenterDI",0,TabVMEnv[[#This Row],[CoutGlobal]])</f>
        <v>5.5149999999999997</v>
      </c>
      <c r="V207" s="25">
        <f>TabVMEnv[[#This Row],[CoutGlobalSansCostCenterDI]]/TabVMEnv[[#Totals],[CoutGlobalSansCostCenterDI]]*(GlobalARepartirSansMS+GlobalARepartirMSOnly+GlobalARepartirInfraReseau)</f>
        <v>9.6261955969766149</v>
      </c>
      <c r="W207" s="25">
        <f>TabVMEnv[[#This Row],[CoutGlobalSansCostCenterDI]]+TabVMEnv[[#This Row],[CoutGlobalSupplementaire]]</f>
        <v>15.141195596976615</v>
      </c>
      <c r="X207" s="5" t="str">
        <f>VLOOKUP(TabVMEnv[[#This Row],[EnvProjet]],TabEnvProjet[],2,FALSE) &amp; " - " &amp; IFERROR(VLOOKUP(TabVMEnv[[#This Row],[EnvProjet]],TabEnvProjet[],4,FALSE),"INCONNU") &amp; " - " &amp; IFERROR(VLOOKUP(TabVMEnv[[#This Row],[EnvProjet]],TabEnvProjet[],5,FALSE),"INCONNU")</f>
        <v>MACIF-Transverse - MACIF-PHP/284244-17 - Yann-Herve Mauguen</v>
      </c>
      <c r="Y207" s="5" t="str">
        <f>VLOOKUP(TabVMEnv[EnvProjet],TabEnvProjet[],5,FALSE)</f>
        <v>Yann-Herve Mauguen</v>
      </c>
      <c r="Z207" s="5">
        <f>VLOOKUP(TabVMEnv[EnvProjet],TabEnvProjet[],6,FALSE)</f>
        <v>341530</v>
      </c>
      <c r="AA207" s="5" t="str">
        <f>VLOOKUP(TabVMEnv[[#This Row],[EnvProjet]],TabEnvProjet[],3,FALSE)</f>
        <v>SOCLE</v>
      </c>
      <c r="AB207" s="5">
        <f>COUNTIF(TabVMEnv[VM],TabVMEnv[VM])</f>
        <v>2</v>
      </c>
    </row>
    <row r="208" spans="1:28" x14ac:dyDescent="0.25">
      <c r="A208" s="24" t="s">
        <v>59</v>
      </c>
      <c r="B208" t="s">
        <v>364</v>
      </c>
      <c r="C208" t="s">
        <v>60</v>
      </c>
      <c r="D208">
        <v>4</v>
      </c>
      <c r="E208" s="13" t="s">
        <v>1198</v>
      </c>
      <c r="F208">
        <f>IF(VLOOKUP(TabVMEnv[VM],TabOceanet[],16,FALSE) = "Tarif_VM",IF(VLOOKUP(TabVMEnv[VM],TabOceanet[],2,FALSE)&lt;4,4,VLOOKUP(TabVMEnv[VM],TabOceanet[],2,FALSE)),0)</f>
        <v>4</v>
      </c>
      <c r="G208">
        <v>0</v>
      </c>
      <c r="H208">
        <v>0</v>
      </c>
      <c r="I208">
        <v>0</v>
      </c>
      <c r="J208">
        <v>0</v>
      </c>
      <c r="K208">
        <f>IF(VLOOKUP(TabVMEnv[VM],TabOceanet[],16,FALSE) = "Tarif_VM",1,0)/TabVMEnv[[#This Row],[Mutualisé]]</f>
        <v>0.5</v>
      </c>
      <c r="L208">
        <f>IF(VLOOKUP(TabVMEnv[VM],TabOceanet[],9,FALSE) = "PoweredOn",1,0)</f>
        <v>1</v>
      </c>
      <c r="M208">
        <f>TabVMEnv[[#This Row],[IsVMPoweredOn]]*VLOOKUP(TabVMEnv[VM],TabOceanet[],3,FALSE)/TabVMEnv[[#This Row],[Mutualisé]]</f>
        <v>0.5</v>
      </c>
      <c r="N208">
        <f>VLOOKUP(TabVMEnv[VM],TabOceanet[],4,FALSE)/TabVMEnv[[#This Row],[Mutualisé]]</f>
        <v>20.5</v>
      </c>
      <c r="O208">
        <f>IF(LEFT(VLOOKUP(TabVMEnv[VM],TabOceanet[],5,FALSE),3)="win",1,0)</f>
        <v>0</v>
      </c>
      <c r="P208"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08" t="str">
        <f>VLOOKUP(TabVMEnv[EnvProjet],TabEnvProjet[],4,FALSE)</f>
        <v>MAE-PII-L2/334179-17</v>
      </c>
      <c r="R208" s="5" t="str">
        <f>VLOOKUP(TabVMEnv[[#This Row],[SYGES]],TabContrat[],2,FALSE)</f>
        <v>MINISTERE DE L'EUROPE ET DES AFFAIRES ETRANGERES</v>
      </c>
      <c r="S208" s="5" t="str">
        <f>IF(VLOOKUP(TabVMEnv[[#This Row],[VM]],TabOceanet[],1,FALSE) = "","Disparue","")</f>
        <v/>
      </c>
      <c r="T208" s="17">
        <f>VLOOKUP(TabVMEnv[[#This Row],[VM]],TabOceanet[],36,FALSE)/TabVMEnv[[#This Row],[Mutualisé]]</f>
        <v>5.5149999999999997</v>
      </c>
      <c r="U208" s="17">
        <f>IF(TabVMEnv[[#This Row],[CostCenter]]="CostCenterDI",0,TabVMEnv[[#This Row],[CoutGlobal]])</f>
        <v>5.5149999999999997</v>
      </c>
      <c r="V208" s="17">
        <f>TabVMEnv[[#This Row],[CoutGlobalSansCostCenterDI]]/TabVMEnv[[#Totals],[CoutGlobalSansCostCenterDI]]*(GlobalARepartirSansMS+GlobalARepartirMSOnly+GlobalARepartirInfraReseau)</f>
        <v>9.6261955969766149</v>
      </c>
      <c r="W208" s="17">
        <f>TabVMEnv[[#This Row],[CoutGlobalSansCostCenterDI]]+TabVMEnv[[#This Row],[CoutGlobalSupplementaire]]</f>
        <v>15.141195596976615</v>
      </c>
      <c r="X208" s="5" t="str">
        <f>VLOOKUP(TabVMEnv[[#This Row],[EnvProjet]],TabEnvProjet[],2,FALSE) &amp; " - " &amp; IFERROR(VLOOKUP(TabVMEnv[[#This Row],[EnvProjet]],TabEnvProjet[],4,FALSE),"INCONNU") &amp; " - " &amp; IFERROR(VLOOKUP(TabVMEnv[[#This Row],[EnvProjet]],TabEnvProjet[],5,FALSE),"INCONNU")</f>
        <v>MEAE-Visa - MAE-PII-L2/334179-17 - Axel Benoist-Gironiere</v>
      </c>
      <c r="Y208" s="5" t="str">
        <f>VLOOKUP(TabVMEnv[EnvProjet],TabEnvProjet[],5,FALSE)</f>
        <v>Axel Benoist-Gironiere</v>
      </c>
      <c r="Z208" s="5">
        <f>VLOOKUP(TabVMEnv[EnvProjet],TabEnvProjet[],6,FALSE)</f>
        <v>341531</v>
      </c>
      <c r="AA208" s="5" t="str">
        <f>VLOOKUP(TabVMEnv[[#This Row],[EnvProjet]],TabEnvProjet[],3,FALSE)</f>
        <v>OBSOLETE</v>
      </c>
      <c r="AB208" s="5">
        <f>COUNTIF(TabVMEnv[VM],TabVMEnv[VM])</f>
        <v>2</v>
      </c>
    </row>
    <row r="209" spans="1:28" x14ac:dyDescent="0.25">
      <c r="A209" t="s">
        <v>188</v>
      </c>
      <c r="B209" t="s">
        <v>366</v>
      </c>
      <c r="D209">
        <v>4</v>
      </c>
      <c r="E209" s="13" t="s">
        <v>1198</v>
      </c>
      <c r="F209">
        <f>IF(VLOOKUP(TabVMEnv[VM],TabOceanet[],16,FALSE) = "Tarif_VM",IF(VLOOKUP(TabVMEnv[VM],TabOceanet[],2,FALSE)&lt;4,4,VLOOKUP(TabVMEnv[VM],TabOceanet[],2,FALSE)),0)</f>
        <v>4</v>
      </c>
      <c r="G209">
        <v>0</v>
      </c>
      <c r="H209">
        <v>0</v>
      </c>
      <c r="I209">
        <v>0</v>
      </c>
      <c r="J209">
        <v>0</v>
      </c>
      <c r="K209">
        <f>IF(VLOOKUP(TabVMEnv[VM],TabOceanet[],16,FALSE) = "Tarif_VM",1,0)/TabVMEnv[[#This Row],[Mutualisé]]</f>
        <v>1</v>
      </c>
      <c r="L209">
        <f>IF(VLOOKUP(TabVMEnv[VM],TabOceanet[],9,FALSE) = "PoweredOn",1,0)</f>
        <v>1</v>
      </c>
      <c r="M209">
        <f>TabVMEnv[[#This Row],[IsVMPoweredOn]]*VLOOKUP(TabVMEnv[VM],TabOceanet[],3,FALSE)/TabVMEnv[[#This Row],[Mutualisé]]</f>
        <v>4</v>
      </c>
      <c r="N209">
        <f>VLOOKUP(TabVMEnv[VM],TabOceanet[],4,FALSE)/TabVMEnv[[#This Row],[Mutualisé]]</f>
        <v>17</v>
      </c>
      <c r="O209">
        <f>IF(LEFT(VLOOKUP(TabVMEnv[VM],TabOceanet[],5,FALSE),3)="win",1,0)</f>
        <v>0</v>
      </c>
      <c r="P209"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09" t="str">
        <f>VLOOKUP(TabVMEnv[EnvProjet],TabEnvProjet[],4,FALSE)</f>
        <v>GFI Redmine Niort</v>
      </c>
      <c r="R209" s="5" t="str">
        <f>VLOOKUP(TabVMEnv[[#This Row],[SYGES]],TabContrat[],2,FALSE)</f>
        <v>GFI</v>
      </c>
      <c r="S209" s="5" t="str">
        <f>IF(VLOOKUP(TabVMEnv[[#This Row],[VM]],TabOceanet[],1,FALSE) = "","Disparue","")</f>
        <v/>
      </c>
      <c r="T209" s="17">
        <f>VLOOKUP(TabVMEnv[[#This Row],[VM]],TabOceanet[],36,FALSE)/TabVMEnv[[#This Row],[Mutualisé]]</f>
        <v>10.31</v>
      </c>
      <c r="U209" s="17">
        <f>IF(TabVMEnv[[#This Row],[CostCenter]]="CostCenterDI",0,TabVMEnv[[#This Row],[CoutGlobal]])</f>
        <v>10.31</v>
      </c>
      <c r="V209" s="17">
        <f>TabVMEnv[[#This Row],[CoutGlobalSansCostCenterDI]]/TabVMEnv[[#Totals],[CoutGlobalSansCostCenterDI]]*(GlobalARepartirSansMS+GlobalARepartirMSOnly+GlobalARepartirInfraReseau)</f>
        <v>17.995662122362447</v>
      </c>
      <c r="W209" s="17">
        <f>TabVMEnv[[#This Row],[CoutGlobalSansCostCenterDI]]+TabVMEnv[[#This Row],[CoutGlobalSupplementaire]]</f>
        <v>28.305662122362449</v>
      </c>
      <c r="X209" s="5" t="str">
        <f>VLOOKUP(TabVMEnv[[#This Row],[EnvProjet]],TabEnvProjet[],2,FALSE) &amp; " - " &amp; IFERROR(VLOOKUP(TabVMEnv[[#This Row],[EnvProjet]],TabEnvProjet[],4,FALSE),"INCONNU") &amp; " - " &amp; IFERROR(VLOOKUP(TabVMEnv[[#This Row],[EnvProjet]],TabEnvProjet[],5,FALSE),"INCONNU")</f>
        <v>GFI-Redmine Niort - GFI Redmine Niort - Philippe De Guio</v>
      </c>
      <c r="Y209" s="5" t="str">
        <f>VLOOKUP(TabVMEnv[EnvProjet],TabEnvProjet[],5,FALSE)</f>
        <v>Philippe De Guio</v>
      </c>
      <c r="Z209" s="5">
        <f>VLOOKUP(TabVMEnv[EnvProjet],TabEnvProjet[],6,FALSE)</f>
        <v>341530</v>
      </c>
      <c r="AA209" s="5" t="str">
        <f>VLOOKUP(TabVMEnv[[#This Row],[EnvProjet]],TabEnvProjet[],3,FALSE)</f>
        <v>PROD</v>
      </c>
      <c r="AB209" s="5">
        <f>COUNTIF(TabVMEnv[VM],TabVMEnv[VM])</f>
        <v>1</v>
      </c>
    </row>
    <row r="210" spans="1:28" x14ac:dyDescent="0.25">
      <c r="A210" s="24" t="s">
        <v>31</v>
      </c>
      <c r="B210" t="s">
        <v>367</v>
      </c>
      <c r="D210">
        <v>4</v>
      </c>
      <c r="E210" s="13" t="s">
        <v>1198</v>
      </c>
      <c r="F210">
        <f>IF(VLOOKUP(TabVMEnv[VM],TabOceanet[],16,FALSE) = "Tarif_VM",IF(VLOOKUP(TabVMEnv[VM],TabOceanet[],2,FALSE)&lt;4,4,VLOOKUP(TabVMEnv[VM],TabOceanet[],2,FALSE)),0)</f>
        <v>4</v>
      </c>
      <c r="G210">
        <v>0</v>
      </c>
      <c r="H210">
        <v>0</v>
      </c>
      <c r="I210">
        <v>0</v>
      </c>
      <c r="J210">
        <v>0</v>
      </c>
      <c r="K210">
        <f>IF(VLOOKUP(TabVMEnv[VM],TabOceanet[],16,FALSE) = "Tarif_VM",1,0)/TabVMEnv[[#This Row],[Mutualisé]]</f>
        <v>1</v>
      </c>
      <c r="L210">
        <f>IF(VLOOKUP(TabVMEnv[VM],TabOceanet[],9,FALSE) = "PoweredOn",1,0)</f>
        <v>1</v>
      </c>
      <c r="M210">
        <f>TabVMEnv[[#This Row],[IsVMPoweredOn]]*VLOOKUP(TabVMEnv[VM],TabOceanet[],3,FALSE)/TabVMEnv[[#This Row],[Mutualisé]]</f>
        <v>1</v>
      </c>
      <c r="N210">
        <f>VLOOKUP(TabVMEnv[VM],TabOceanet[],4,FALSE)/TabVMEnv[[#This Row],[Mutualisé]]</f>
        <v>8</v>
      </c>
      <c r="O210">
        <f>IF(LEFT(VLOOKUP(TabVMEnv[VM],TabOceanet[],5,FALSE),3)="win",1,0)</f>
        <v>0</v>
      </c>
      <c r="P210"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10" t="str">
        <f>VLOOKUP(TabVMEnv[EnvProjet],TabEnvProjet[],4,FALSE)</f>
        <v>MAE-PII-L2/334179</v>
      </c>
      <c r="R210" s="5" t="str">
        <f>VLOOKUP(TabVMEnv[[#This Row],[SYGES]],TabContrat[],2,FALSE)</f>
        <v>MINISTERE DE L'EUROPE ET DES AFFAIRES ETRANGERES</v>
      </c>
      <c r="S210" s="5" t="str">
        <f>IF(VLOOKUP(TabVMEnv[[#This Row],[VM]],TabOceanet[],1,FALSE) = "","Disparue","")</f>
        <v/>
      </c>
      <c r="T210" s="17">
        <f>VLOOKUP(TabVMEnv[[#This Row],[VM]],TabOceanet[],36,FALSE)/TabVMEnv[[#This Row],[Mutualisé]]</f>
        <v>3.4400000000000004</v>
      </c>
      <c r="U210" s="17">
        <f>IF(TabVMEnv[[#This Row],[CostCenter]]="CostCenterDI",0,TabVMEnv[[#This Row],[CoutGlobal]])</f>
        <v>3.4400000000000004</v>
      </c>
      <c r="V210" s="17">
        <f>TabVMEnv[[#This Row],[CoutGlobalSansCostCenterDI]]/TabVMEnv[[#Totals],[CoutGlobalSansCostCenterDI]]*(GlobalARepartirSansMS+GlobalARepartirMSOnly+GlobalARepartirInfraReseau)</f>
        <v>6.0043722309337362</v>
      </c>
      <c r="W210" s="17">
        <f>TabVMEnv[[#This Row],[CoutGlobalSansCostCenterDI]]+TabVMEnv[[#This Row],[CoutGlobalSupplementaire]]</f>
        <v>9.4443722309337375</v>
      </c>
      <c r="X210" s="5" t="str">
        <f>VLOOKUP(TabVMEnv[[#This Row],[EnvProjet]],TabEnvProjet[],2,FALSE) &amp; " - " &amp; IFERROR(VLOOKUP(TabVMEnv[[#This Row],[EnvProjet]],TabEnvProjet[],4,FALSE),"INCONNU") &amp; " - " &amp; IFERROR(VLOOKUP(TabVMEnv[[#This Row],[EnvProjet]],TabEnvProjet[],5,FALSE),"INCONNU")</f>
        <v>MEAE-Redmine MEAE - MAE-PII-L2/334179 - Axel Benoist-Gironiere</v>
      </c>
      <c r="Y210" s="5" t="str">
        <f>VLOOKUP(TabVMEnv[EnvProjet],TabEnvProjet[],5,FALSE)</f>
        <v>Axel Benoist-Gironiere</v>
      </c>
      <c r="Z210" s="5">
        <f>VLOOKUP(TabVMEnv[EnvProjet],TabEnvProjet[],6,FALSE)</f>
        <v>341531</v>
      </c>
      <c r="AA210" s="5" t="str">
        <f>VLOOKUP(TabVMEnv[[#This Row],[EnvProjet]],TabEnvProjet[],3,FALSE)</f>
        <v>PROD</v>
      </c>
      <c r="AB210" s="5">
        <f>COUNTIF(TabVMEnv[VM],TabVMEnv[VM])</f>
        <v>1</v>
      </c>
    </row>
    <row r="211" spans="1:28" x14ac:dyDescent="0.25">
      <c r="A211" t="s">
        <v>78</v>
      </c>
      <c r="B211" t="s">
        <v>363</v>
      </c>
      <c r="D211">
        <v>2</v>
      </c>
      <c r="E211" s="13" t="s">
        <v>1198</v>
      </c>
      <c r="F211">
        <f>IF(VLOOKUP(TabVMEnv[VM],TabOceanet[],16,FALSE) = "Tarif_VM",IF(VLOOKUP(TabVMEnv[VM],TabOceanet[],2,FALSE)&lt;4,4,VLOOKUP(TabVMEnv[VM],TabOceanet[],2,FALSE)),0)</f>
        <v>4</v>
      </c>
      <c r="G211">
        <v>0</v>
      </c>
      <c r="H211">
        <v>0</v>
      </c>
      <c r="I211">
        <v>0</v>
      </c>
      <c r="J211">
        <v>0</v>
      </c>
      <c r="K211">
        <f>IF(VLOOKUP(TabVMEnv[VM],TabOceanet[],16,FALSE) = "Tarif_VM",1,0)/TabVMEnv[[#This Row],[Mutualisé]]</f>
        <v>1</v>
      </c>
      <c r="L211">
        <f>IF(VLOOKUP(TabVMEnv[VM],TabOceanet[],9,FALSE) = "PoweredOn",1,0)</f>
        <v>1</v>
      </c>
      <c r="M211">
        <f>TabVMEnv[[#This Row],[IsVMPoweredOn]]*VLOOKUP(TabVMEnv[VM],TabOceanet[],3,FALSE)/TabVMEnv[[#This Row],[Mutualisé]]</f>
        <v>1</v>
      </c>
      <c r="N211">
        <f>VLOOKUP(TabVMEnv[VM],TabOceanet[],4,FALSE)/TabVMEnv[[#This Row],[Mutualisé]]</f>
        <v>5</v>
      </c>
      <c r="O211">
        <f>IF(LEFT(VLOOKUP(TabVMEnv[VM],TabOceanet[],5,FALSE),3)="win",1,0)</f>
        <v>0</v>
      </c>
      <c r="P211"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11" t="str">
        <f>VLOOKUP(TabVMEnv[EnvProjet],TabEnvProjet[],4,FALSE)</f>
        <v>GIESV/PCN17-01</v>
      </c>
      <c r="R211" s="5" t="str">
        <f>VLOOKUP(TabVMEnv[[#This Row],[SYGES]],TabContrat[],2,FALSE)</f>
        <v>GIESV</v>
      </c>
      <c r="S211" s="5" t="str">
        <f>IF(VLOOKUP(TabVMEnv[[#This Row],[VM]],TabOceanet[],1,FALSE) = "","Disparue","")</f>
        <v/>
      </c>
      <c r="T211" s="17">
        <f>VLOOKUP(TabVMEnv[[#This Row],[VM]],TabOceanet[],36,FALSE)/TabVMEnv[[#This Row],[Mutualisé]]</f>
        <v>2.75</v>
      </c>
      <c r="U211" s="17">
        <f>IF(TabVMEnv[[#This Row],[CostCenter]]="CostCenterDI",0,TabVMEnv[[#This Row],[CoutGlobal]])</f>
        <v>2.75</v>
      </c>
      <c r="V211" s="17">
        <f>TabVMEnv[[#This Row],[CoutGlobalSansCostCenterDI]]/TabVMEnv[[#Totals],[CoutGlobalSansCostCenterDI]]*(GlobalARepartirSansMS+GlobalARepartirMSOnly+GlobalARepartirInfraReseau)</f>
        <v>4.8000068706592369</v>
      </c>
      <c r="W211" s="17">
        <f>TabVMEnv[[#This Row],[CoutGlobalSansCostCenterDI]]+TabVMEnv[[#This Row],[CoutGlobalSupplementaire]]</f>
        <v>7.5500068706592369</v>
      </c>
      <c r="X211" s="5" t="str">
        <f>VLOOKUP(TabVMEnv[[#This Row],[EnvProjet]],TabEnvProjet[],2,FALSE) &amp; " - " &amp; IFERROR(VLOOKUP(TabVMEnv[[#This Row],[EnvProjet]],TabEnvProjet[],4,FALSE),"INCONNU") &amp; " - " &amp; IFERROR(VLOOKUP(TabVMEnv[[#This Row],[EnvProjet]],TabEnvProjet[],5,FALSE),"INCONNU")</f>
        <v>GIE S-V-Mantis - RR - GIESV/PCN17-01 - Nicolas Cordier</v>
      </c>
      <c r="Y211" s="5" t="str">
        <f>VLOOKUP(TabVMEnv[EnvProjet],TabEnvProjet[],5,FALSE)</f>
        <v>Nicolas Cordier</v>
      </c>
      <c r="Z211" s="5">
        <f>VLOOKUP(TabVMEnv[EnvProjet],TabEnvProjet[],6,FALSE)</f>
        <v>341531</v>
      </c>
      <c r="AA211" s="5" t="str">
        <f>VLOOKUP(TabVMEnv[[#This Row],[EnvProjet]],TabEnvProjet[],3,FALSE)</f>
        <v>PROD</v>
      </c>
      <c r="AB211" s="5">
        <f>COUNTIF(TabVMEnv[VM],TabVMEnv[VM])</f>
        <v>1</v>
      </c>
    </row>
    <row r="212" spans="1:28" x14ac:dyDescent="0.25">
      <c r="A212" t="s">
        <v>189</v>
      </c>
      <c r="B212" t="s">
        <v>368</v>
      </c>
      <c r="D212">
        <v>4</v>
      </c>
      <c r="E212" s="13" t="s">
        <v>1198</v>
      </c>
      <c r="F212">
        <f>IF(VLOOKUP(TabVMEnv[VM],TabOceanet[],16,FALSE) = "Tarif_VM",IF(VLOOKUP(TabVMEnv[VM],TabOceanet[],2,FALSE)&lt;4,4,VLOOKUP(TabVMEnv[VM],TabOceanet[],2,FALSE)),0)</f>
        <v>4</v>
      </c>
      <c r="G212">
        <v>0</v>
      </c>
      <c r="H212">
        <v>0</v>
      </c>
      <c r="I212">
        <v>0</v>
      </c>
      <c r="J212">
        <v>0</v>
      </c>
      <c r="K212">
        <f>IF(VLOOKUP(TabVMEnv[VM],TabOceanet[],16,FALSE) = "Tarif_VM",1,0)/TabVMEnv[[#This Row],[Mutualisé]]</f>
        <v>1</v>
      </c>
      <c r="L212">
        <f>IF(VLOOKUP(TabVMEnv[VM],TabOceanet[],9,FALSE) = "PoweredOn",1,0)</f>
        <v>1</v>
      </c>
      <c r="M212">
        <f>TabVMEnv[[#This Row],[IsVMPoweredOn]]*VLOOKUP(TabVMEnv[VM],TabOceanet[],3,FALSE)/TabVMEnv[[#This Row],[Mutualisé]]</f>
        <v>1</v>
      </c>
      <c r="N212">
        <f>VLOOKUP(TabVMEnv[VM],TabOceanet[],4,FALSE)/TabVMEnv[[#This Row],[Mutualisé]]</f>
        <v>21</v>
      </c>
      <c r="O212">
        <f>IF(LEFT(VLOOKUP(TabVMEnv[VM],TabOceanet[],5,FALSE),3)="win",1,0)</f>
        <v>0</v>
      </c>
      <c r="P212"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12" t="str">
        <f>VLOOKUP(TabVMEnv[EnvProjet],TabEnvProjet[],4,FALSE)</f>
        <v>GFI Redmine Orléans</v>
      </c>
      <c r="R212" s="5" t="str">
        <f>VLOOKUP(TabVMEnv[[#This Row],[SYGES]],TabContrat[],2,FALSE)</f>
        <v>GFI</v>
      </c>
      <c r="S212" s="5" t="str">
        <f>IF(VLOOKUP(TabVMEnv[[#This Row],[VM]],TabOceanet[],1,FALSE) = "","Disparue","")</f>
        <v/>
      </c>
      <c r="T212" s="17">
        <f>VLOOKUP(TabVMEnv[[#This Row],[VM]],TabOceanet[],36,FALSE)/TabVMEnv[[#This Row],[Mutualisé]]</f>
        <v>6.43</v>
      </c>
      <c r="U212" s="17">
        <f>IF(TabVMEnv[[#This Row],[CostCenter]]="CostCenterDI",0,TabVMEnv[[#This Row],[CoutGlobal]])</f>
        <v>6.43</v>
      </c>
      <c r="V212" s="17">
        <f>TabVMEnv[[#This Row],[CoutGlobalSansCostCenterDI]]/TabVMEnv[[#Totals],[CoutGlobalSansCostCenterDI]]*(GlobalARepartirSansMS+GlobalARepartirMSOnly+GlobalARepartirInfraReseau)</f>
        <v>11.223288792123231</v>
      </c>
      <c r="W212" s="17">
        <f>TabVMEnv[[#This Row],[CoutGlobalSansCostCenterDI]]+TabVMEnv[[#This Row],[CoutGlobalSupplementaire]]</f>
        <v>17.653288792123231</v>
      </c>
      <c r="X212" s="5" t="str">
        <f>VLOOKUP(TabVMEnv[[#This Row],[EnvProjet]],TabEnvProjet[],2,FALSE) &amp; " - " &amp; IFERROR(VLOOKUP(TabVMEnv[[#This Row],[EnvProjet]],TabEnvProjet[],4,FALSE),"INCONNU") &amp; " - " &amp; IFERROR(VLOOKUP(TabVMEnv[[#This Row],[EnvProjet]],TabEnvProjet[],5,FALSE),"INCONNU")</f>
        <v>GFI-Redmine Orléans - GFI Redmine Orléans - Christophe ORLANDO</v>
      </c>
      <c r="Y212" s="5" t="str">
        <f>VLOOKUP(TabVMEnv[EnvProjet],TabEnvProjet[],5,FALSE)</f>
        <v>Christophe ORLANDO</v>
      </c>
      <c r="Z212" s="5">
        <f>VLOOKUP(TabVMEnv[EnvProjet],TabEnvProjet[],6,FALSE)</f>
        <v>305704</v>
      </c>
      <c r="AA212" s="5" t="str">
        <f>VLOOKUP(TabVMEnv[[#This Row],[EnvProjet]],TabEnvProjet[],3,FALSE)</f>
        <v>PROD</v>
      </c>
      <c r="AB212" s="5">
        <f>COUNTIF(TabVMEnv[VM],TabVMEnv[VM])</f>
        <v>1</v>
      </c>
    </row>
    <row r="213" spans="1:28" x14ac:dyDescent="0.25">
      <c r="A213" t="s">
        <v>162</v>
      </c>
      <c r="B213" t="s">
        <v>294</v>
      </c>
      <c r="D213">
        <v>2</v>
      </c>
      <c r="E213" s="13" t="s">
        <v>1198</v>
      </c>
      <c r="F213">
        <f>IF(VLOOKUP(TabVMEnv[VM],TabOceanet[],16,FALSE) = "Tarif_VM",IF(VLOOKUP(TabVMEnv[VM],TabOceanet[],2,FALSE)&lt;4,4,VLOOKUP(TabVMEnv[VM],TabOceanet[],2,FALSE)),0)</f>
        <v>4</v>
      </c>
      <c r="G213">
        <v>0</v>
      </c>
      <c r="H213">
        <v>0</v>
      </c>
      <c r="I213">
        <v>0</v>
      </c>
      <c r="J213">
        <v>0</v>
      </c>
      <c r="K213">
        <f>IF(VLOOKUP(TabVMEnv[VM],TabOceanet[],16,FALSE) = "Tarif_VM",1,0)/TabVMEnv[[#This Row],[Mutualisé]]</f>
        <v>1</v>
      </c>
      <c r="L213">
        <f>IF(VLOOKUP(TabVMEnv[VM],TabOceanet[],9,FALSE) = "PoweredOn",1,0)</f>
        <v>1</v>
      </c>
      <c r="M213">
        <f>TabVMEnv[[#This Row],[IsVMPoweredOn]]*VLOOKUP(TabVMEnv[VM],TabOceanet[],3,FALSE)/TabVMEnv[[#This Row],[Mutualisé]]</f>
        <v>1</v>
      </c>
      <c r="N213">
        <f>VLOOKUP(TabVMEnv[VM],TabOceanet[],4,FALSE)/TabVMEnv[[#This Row],[Mutualisé]]</f>
        <v>4</v>
      </c>
      <c r="O213">
        <f>IF(LEFT(VLOOKUP(TabVMEnv[VM],TabOceanet[],5,FALSE),3)="win",1,0)</f>
        <v>0</v>
      </c>
      <c r="P213"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13" t="str">
        <f>VLOOKUP(TabVMEnv[EnvProjet],TabEnvProjet[],4,FALSE)</f>
        <v>GFI Oceanet Infra Réseau</v>
      </c>
      <c r="R213" s="5" t="str">
        <f>VLOOKUP(TabVMEnv[[#This Row],[SYGES]],TabContrat[],2,FALSE)</f>
        <v>GFI</v>
      </c>
      <c r="S213" s="5" t="str">
        <f>IF(VLOOKUP(TabVMEnv[[#This Row],[VM]],TabOceanet[],1,FALSE) = "","Disparue","")</f>
        <v/>
      </c>
      <c r="T213" s="17">
        <f>VLOOKUP(TabVMEnv[[#This Row],[VM]],TabOceanet[],36,FALSE)/TabVMEnv[[#This Row],[Mutualisé]]</f>
        <v>2.52</v>
      </c>
      <c r="U213" s="17">
        <f>IF(TabVMEnv[[#This Row],[CostCenter]]="CostCenterDI",0,TabVMEnv[[#This Row],[CoutGlobal]])</f>
        <v>0</v>
      </c>
      <c r="V213" s="17">
        <f>TabVMEnv[[#This Row],[CoutGlobalSansCostCenterDI]]/TabVMEnv[[#Totals],[CoutGlobalSansCostCenterDI]]*(GlobalARepartirSansMS+GlobalARepartirMSOnly+GlobalARepartirInfraReseau)</f>
        <v>0</v>
      </c>
      <c r="W213" s="17">
        <f>TabVMEnv[[#This Row],[CoutGlobalSansCostCenterDI]]+TabVMEnv[[#This Row],[CoutGlobalSupplementaire]]</f>
        <v>0</v>
      </c>
      <c r="X213" s="5" t="str">
        <f>VLOOKUP(TabVMEnv[[#This Row],[EnvProjet]],TabEnvProjet[],2,FALSE) &amp; " - " &amp; IFERROR(VLOOKUP(TabVMEnv[[#This Row],[EnvProjet]],TabEnvProjet[],4,FALSE),"INCONNU") &amp; " - " &amp; IFERROR(VLOOKUP(TabVMEnv[[#This Row],[EnvProjet]],TabEnvProjet[],5,FALSE),"INCONNU")</f>
        <v>GFI-Oceanet Infra Réseau - GFI Oceanet Infra Réseau - Jérôme JACOB</v>
      </c>
      <c r="Y213" s="5" t="str">
        <f>VLOOKUP(TabVMEnv[EnvProjet],TabEnvProjet[],5,FALSE)</f>
        <v>Jérôme JACOB</v>
      </c>
      <c r="Z213" s="5" t="str">
        <f>VLOOKUP(TabVMEnv[EnvProjet],TabEnvProjet[],6,FALSE)</f>
        <v>CostCenterDI</v>
      </c>
      <c r="AA213" s="5" t="str">
        <f>VLOOKUP(TabVMEnv[[#This Row],[EnvProjet]],TabEnvProjet[],3,FALSE)</f>
        <v>SOCLE</v>
      </c>
      <c r="AB213" s="5">
        <f>COUNTIF(TabVMEnv[VM],TabVMEnv[VM])</f>
        <v>1</v>
      </c>
    </row>
    <row r="214" spans="1:28" x14ac:dyDescent="0.25">
      <c r="A214" t="s">
        <v>163</v>
      </c>
      <c r="B214" t="s">
        <v>294</v>
      </c>
      <c r="D214">
        <v>2</v>
      </c>
      <c r="E214" s="13" t="s">
        <v>1198</v>
      </c>
      <c r="F214">
        <f>IF(VLOOKUP(TabVMEnv[VM],TabOceanet[],16,FALSE) = "Tarif_VM",IF(VLOOKUP(TabVMEnv[VM],TabOceanet[],2,FALSE)&lt;4,4,VLOOKUP(TabVMEnv[VM],TabOceanet[],2,FALSE)),0)</f>
        <v>4</v>
      </c>
      <c r="G214">
        <v>0</v>
      </c>
      <c r="H214">
        <v>0</v>
      </c>
      <c r="I214">
        <v>0</v>
      </c>
      <c r="J214">
        <v>0</v>
      </c>
      <c r="K214">
        <f>IF(VLOOKUP(TabVMEnv[VM],TabOceanet[],16,FALSE) = "Tarif_VM",1,0)/TabVMEnv[[#This Row],[Mutualisé]]</f>
        <v>1</v>
      </c>
      <c r="L214">
        <f>IF(VLOOKUP(TabVMEnv[VM],TabOceanet[],9,FALSE) = "PoweredOn",1,0)</f>
        <v>1</v>
      </c>
      <c r="M214">
        <f>TabVMEnv[[#This Row],[IsVMPoweredOn]]*VLOOKUP(TabVMEnv[VM],TabOceanet[],3,FALSE)/TabVMEnv[[#This Row],[Mutualisé]]</f>
        <v>1</v>
      </c>
      <c r="N214">
        <f>VLOOKUP(TabVMEnv[VM],TabOceanet[],4,FALSE)/TabVMEnv[[#This Row],[Mutualisé]]</f>
        <v>124</v>
      </c>
      <c r="O214">
        <f>IF(LEFT(VLOOKUP(TabVMEnv[VM],TabOceanet[],5,FALSE),3)="win",1,0)</f>
        <v>0</v>
      </c>
      <c r="P214"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14" t="str">
        <f>VLOOKUP(TabVMEnv[EnvProjet],TabEnvProjet[],4,FALSE)</f>
        <v>GFI Oceanet Infra Réseau</v>
      </c>
      <c r="R214" s="5" t="str">
        <f>VLOOKUP(TabVMEnv[[#This Row],[SYGES]],TabContrat[],2,FALSE)</f>
        <v>GFI</v>
      </c>
      <c r="S214" s="5" t="str">
        <f>IF(VLOOKUP(TabVMEnv[[#This Row],[VM]],TabOceanet[],1,FALSE) = "","Disparue","")</f>
        <v/>
      </c>
      <c r="T214" s="17">
        <f>VLOOKUP(TabVMEnv[[#This Row],[VM]],TabOceanet[],36,FALSE)/TabVMEnv[[#This Row],[Mutualisé]]</f>
        <v>30.12</v>
      </c>
      <c r="U214" s="17">
        <f>IF(TabVMEnv[[#This Row],[CostCenter]]="CostCenterDI",0,TabVMEnv[[#This Row],[CoutGlobal]])</f>
        <v>0</v>
      </c>
      <c r="V214" s="17">
        <f>TabVMEnv[[#This Row],[CoutGlobalSansCostCenterDI]]/TabVMEnv[[#Totals],[CoutGlobalSansCostCenterDI]]*(GlobalARepartirSansMS+GlobalARepartirMSOnly+GlobalARepartirInfraReseau)</f>
        <v>0</v>
      </c>
      <c r="W214" s="17">
        <f>TabVMEnv[[#This Row],[CoutGlobalSansCostCenterDI]]+TabVMEnv[[#This Row],[CoutGlobalSupplementaire]]</f>
        <v>0</v>
      </c>
      <c r="X214" s="5" t="str">
        <f>VLOOKUP(TabVMEnv[[#This Row],[EnvProjet]],TabEnvProjet[],2,FALSE) &amp; " - " &amp; IFERROR(VLOOKUP(TabVMEnv[[#This Row],[EnvProjet]],TabEnvProjet[],4,FALSE),"INCONNU") &amp; " - " &amp; IFERROR(VLOOKUP(TabVMEnv[[#This Row],[EnvProjet]],TabEnvProjet[],5,FALSE),"INCONNU")</f>
        <v>GFI-Oceanet Infra Réseau - GFI Oceanet Infra Réseau - Jérôme JACOB</v>
      </c>
      <c r="Y214" s="5" t="str">
        <f>VLOOKUP(TabVMEnv[EnvProjet],TabEnvProjet[],5,FALSE)</f>
        <v>Jérôme JACOB</v>
      </c>
      <c r="Z214" s="5" t="str">
        <f>VLOOKUP(TabVMEnv[EnvProjet],TabEnvProjet[],6,FALSE)</f>
        <v>CostCenterDI</v>
      </c>
      <c r="AA214" s="5" t="str">
        <f>VLOOKUP(TabVMEnv[[#This Row],[EnvProjet]],TabEnvProjet[],3,FALSE)</f>
        <v>SOCLE</v>
      </c>
      <c r="AB214" s="5">
        <f>COUNTIF(TabVMEnv[VM],TabVMEnv[VM])</f>
        <v>1</v>
      </c>
    </row>
    <row r="215" spans="1:28" x14ac:dyDescent="0.25">
      <c r="A215" t="s">
        <v>1332</v>
      </c>
      <c r="B215" t="s">
        <v>1338</v>
      </c>
      <c r="E215" s="13"/>
      <c r="F215" s="5">
        <f>IF(VLOOKUP(TabVMEnv[VM],TabOceanet[],16,FALSE) = "Tarif_VM",IF(VLOOKUP(TabVMEnv[VM],TabOceanet[],2,FALSE)&lt;4,4,VLOOKUP(TabVMEnv[VM],TabOceanet[],2,FALSE)),0)</f>
        <v>4</v>
      </c>
      <c r="G215">
        <v>0</v>
      </c>
      <c r="H215">
        <v>0</v>
      </c>
      <c r="I215">
        <v>0</v>
      </c>
      <c r="J215">
        <v>0</v>
      </c>
      <c r="K215" s="5">
        <f>IF(VLOOKUP(TabVMEnv[VM],TabOceanet[],16,FALSE) = "Tarif_VM",1,0)/TabVMEnv[[#This Row],[Mutualisé]]</f>
        <v>1</v>
      </c>
      <c r="L215" s="5">
        <f>IF(VLOOKUP(TabVMEnv[VM],TabOceanet[],9,FALSE) = "PoweredOn",1,0)</f>
        <v>1</v>
      </c>
      <c r="M215" s="5">
        <f>TabVMEnv[[#This Row],[IsVMPoweredOn]]*VLOOKUP(TabVMEnv[VM],TabOceanet[],3,FALSE)/TabVMEnv[[#This Row],[Mutualisé]]</f>
        <v>2</v>
      </c>
      <c r="N215" s="5">
        <f>VLOOKUP(TabVMEnv[VM],TabOceanet[],4,FALSE)/TabVMEnv[[#This Row],[Mutualisé]]</f>
        <v>20</v>
      </c>
      <c r="O215" s="5">
        <f>IF(LEFT(VLOOKUP(TabVMEnv[VM],TabOceanet[],5,FALSE),3)="win",1,0)</f>
        <v>0</v>
      </c>
      <c r="P215"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15" t="str">
        <f>VLOOKUP(TabVMEnv[EnvProjet],TabEnvProjet[],4,FALSE)</f>
        <v>GIESV/PCN17-01</v>
      </c>
      <c r="R215" s="5" t="str">
        <f>VLOOKUP(TabVMEnv[[#This Row],[SYGES]],TabContrat[],2,FALSE)</f>
        <v>GIESV</v>
      </c>
      <c r="S215" s="5" t="str">
        <f>IF(VLOOKUP(TabVMEnv[[#This Row],[VM]],TabOceanet[],1,FALSE) = "","Disparue","")</f>
        <v/>
      </c>
      <c r="T215" s="25">
        <f>VLOOKUP(TabVMEnv[[#This Row],[VM]],TabOceanet[],36,FALSE)/TabVMEnv[[#This Row],[Mutualisé]]</f>
        <v>7.8000000000000007</v>
      </c>
      <c r="U215" s="25">
        <f>IF(TabVMEnv[[#This Row],[CostCenter]]="CostCenterDI",0,TabVMEnv[[#This Row],[CoutGlobal]])</f>
        <v>7.8000000000000007</v>
      </c>
      <c r="V215" s="25">
        <f>TabVMEnv[[#This Row],[CoutGlobalSansCostCenterDI]]/TabVMEnv[[#Totals],[CoutGlobalSansCostCenterDI]]*(GlobalARepartirSansMS+GlobalARepartirMSOnly+GlobalARepartirInfraReseau)</f>
        <v>13.614564942233473</v>
      </c>
      <c r="W215" s="25">
        <f>TabVMEnv[[#This Row],[CoutGlobalSansCostCenterDI]]+TabVMEnv[[#This Row],[CoutGlobalSupplementaire]]</f>
        <v>21.414564942233476</v>
      </c>
      <c r="X215" s="5" t="str">
        <f>VLOOKUP(TabVMEnv[[#This Row],[EnvProjet]],TabEnvProjet[],2,FALSE) &amp; " - " &amp; IFERROR(VLOOKUP(TabVMEnv[[#This Row],[EnvProjet]],TabEnvProjet[],4,FALSE),"INCONNU") &amp; " - " &amp; IFERROR(VLOOKUP(TabVMEnv[[#This Row],[EnvProjet]],TabEnvProjet[],5,FALSE),"INCONNU")</f>
        <v>GIE S-V-Infra Citrix - GIESV/PCN17-01 - Nicolas Cordier</v>
      </c>
      <c r="Y215" s="5" t="str">
        <f>VLOOKUP(TabVMEnv[EnvProjet],TabEnvProjet[],5,FALSE)</f>
        <v>Nicolas Cordier</v>
      </c>
      <c r="Z215" s="5">
        <f>VLOOKUP(TabVMEnv[EnvProjet],TabEnvProjet[],6,FALSE)</f>
        <v>341531</v>
      </c>
      <c r="AA215" s="5" t="str">
        <f>VLOOKUP(TabVMEnv[[#This Row],[EnvProjet]],TabEnvProjet[],3,FALSE)</f>
        <v>DEV</v>
      </c>
      <c r="AB215" s="5">
        <f>COUNTIF(TabVMEnv[VM],TabVMEnv[VM])</f>
        <v>1</v>
      </c>
    </row>
    <row r="216" spans="1:28" x14ac:dyDescent="0.25">
      <c r="A216" t="s">
        <v>97</v>
      </c>
      <c r="B216" t="s">
        <v>291</v>
      </c>
      <c r="E216" s="13"/>
      <c r="F216">
        <f>IF(VLOOKUP(TabVMEnv[VM],TabOceanet[],16,FALSE) = "Tarif_VM",IF(VLOOKUP(TabVMEnv[VM],TabOceanet[],2,FALSE)&lt;4,4,VLOOKUP(TabVMEnv[VM],TabOceanet[],2,FALSE)),0)</f>
        <v>4</v>
      </c>
      <c r="G216">
        <v>0</v>
      </c>
      <c r="H216">
        <v>0</v>
      </c>
      <c r="I216">
        <v>0</v>
      </c>
      <c r="J216">
        <v>0</v>
      </c>
      <c r="K216">
        <f>IF(VLOOKUP(TabVMEnv[VM],TabOceanet[],16,FALSE) = "Tarif_VM",1,0)/TabVMEnv[[#This Row],[Mutualisé]]</f>
        <v>1</v>
      </c>
      <c r="L216">
        <f>IF(VLOOKUP(TabVMEnv[VM],TabOceanet[],9,FALSE) = "PoweredOn",1,0)</f>
        <v>1</v>
      </c>
      <c r="M216">
        <f>TabVMEnv[[#This Row],[IsVMPoweredOn]]*VLOOKUP(TabVMEnv[VM],TabOceanet[],3,FALSE)/TabVMEnv[[#This Row],[Mutualisé]]</f>
        <v>1</v>
      </c>
      <c r="N216">
        <f>VLOOKUP(TabVMEnv[VM],TabOceanet[],4,FALSE)/TabVMEnv[[#This Row],[Mutualisé]]</f>
        <v>4</v>
      </c>
      <c r="O216">
        <f>IF(LEFT(VLOOKUP(TabVMEnv[VM],TabOceanet[],5,FALSE),3)="win",1,0)</f>
        <v>0</v>
      </c>
      <c r="P216"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16" t="str">
        <f>VLOOKUP(TabVMEnv[EnvProjet],TabEnvProjet[],4,FALSE)</f>
        <v>Fablab-Firmin</v>
      </c>
      <c r="R216" s="5" t="str">
        <f>VLOOKUP(TabVMEnv[[#This Row],[SYGES]],TabContrat[],2,FALSE)</f>
        <v>Fablab</v>
      </c>
      <c r="S216" s="5" t="str">
        <f>IF(VLOOKUP(TabVMEnv[[#This Row],[VM]],TabOceanet[],1,FALSE) = "","Disparue","")</f>
        <v/>
      </c>
      <c r="T216" s="17">
        <f>VLOOKUP(TabVMEnv[[#This Row],[VM]],TabOceanet[],36,FALSE)/TabVMEnv[[#This Row],[Mutualisé]]</f>
        <v>2.52</v>
      </c>
      <c r="U216" s="17">
        <f>IF(TabVMEnv[[#This Row],[CostCenter]]="CostCenterDI",0,TabVMEnv[[#This Row],[CoutGlobal]])</f>
        <v>2.52</v>
      </c>
      <c r="V216" s="17">
        <f>TabVMEnv[[#This Row],[CoutGlobalSansCostCenterDI]]/TabVMEnv[[#Totals],[CoutGlobalSansCostCenterDI]]*(GlobalARepartirSansMS+GlobalARepartirMSOnly+GlobalARepartirInfraReseau)</f>
        <v>4.3985517505677372</v>
      </c>
      <c r="W216" s="17">
        <f>TabVMEnv[[#This Row],[CoutGlobalSansCostCenterDI]]+TabVMEnv[[#This Row],[CoutGlobalSupplementaire]]</f>
        <v>6.9185517505677367</v>
      </c>
      <c r="X216" s="5" t="str">
        <f>VLOOKUP(TabVMEnv[[#This Row],[EnvProjet]],TabEnvProjet[],2,FALSE) &amp; " - " &amp; IFERROR(VLOOKUP(TabVMEnv[[#This Row],[EnvProjet]],TabEnvProjet[],4,FALSE),"INCONNU") &amp; " - " &amp; IFERROR(VLOOKUP(TabVMEnv[[#This Row],[EnvProjet]],TabEnvProjet[],5,FALSE),"INCONNU")</f>
        <v>Fablab-Firmin - Fablab-Firmin - Pierre-Yves Baloche</v>
      </c>
      <c r="Y216" s="5" t="str">
        <f>VLOOKUP(TabVMEnv[EnvProjet],TabEnvProjet[],5,FALSE)</f>
        <v>Pierre-Yves Baloche</v>
      </c>
      <c r="Z216" s="5" t="str">
        <f>VLOOKUP(TabVMEnv[EnvProjet],TabEnvProjet[],6,FALSE)</f>
        <v>Fablab</v>
      </c>
      <c r="AA216" s="5" t="str">
        <f>VLOOKUP(TabVMEnv[[#This Row],[EnvProjet]],TabEnvProjet[],3,FALSE)</f>
        <v>PROD</v>
      </c>
      <c r="AB216" s="5">
        <f>COUNTIF(TabVMEnv[VM],TabVMEnv[VM])</f>
        <v>1</v>
      </c>
    </row>
    <row r="217" spans="1:28" x14ac:dyDescent="0.25">
      <c r="A217" t="s">
        <v>164</v>
      </c>
      <c r="B217" t="s">
        <v>294</v>
      </c>
      <c r="D217">
        <v>0</v>
      </c>
      <c r="E217" s="13" t="s">
        <v>1196</v>
      </c>
      <c r="F217">
        <f>IF(VLOOKUP(TabVMEnv[VM],TabOceanet[],16,FALSE) = "Tarif_VM",IF(VLOOKUP(TabVMEnv[VM],TabOceanet[],2,FALSE)&lt;4,4,VLOOKUP(TabVMEnv[VM],TabOceanet[],2,FALSE)),0)</f>
        <v>4</v>
      </c>
      <c r="G217">
        <v>0</v>
      </c>
      <c r="H217">
        <v>0</v>
      </c>
      <c r="I217">
        <v>0</v>
      </c>
      <c r="J217">
        <v>0</v>
      </c>
      <c r="K217">
        <f>IF(VLOOKUP(TabVMEnv[VM],TabOceanet[],16,FALSE) = "Tarif_VM",1,0)/TabVMEnv[[#This Row],[Mutualisé]]</f>
        <v>1</v>
      </c>
      <c r="L217">
        <f>IF(VLOOKUP(TabVMEnv[VM],TabOceanet[],9,FALSE) = "PoweredOn",1,0)</f>
        <v>0</v>
      </c>
      <c r="M217">
        <f>TabVMEnv[[#This Row],[IsVMPoweredOn]]*VLOOKUP(TabVMEnv[VM],TabOceanet[],3,FALSE)/TabVMEnv[[#This Row],[Mutualisé]]</f>
        <v>0</v>
      </c>
      <c r="N217">
        <f>VLOOKUP(TabVMEnv[VM],TabOceanet[],4,FALSE)/TabVMEnv[[#This Row],[Mutualisé]]</f>
        <v>4</v>
      </c>
      <c r="O217">
        <f>IF(LEFT(VLOOKUP(TabVMEnv[VM],TabOceanet[],5,FALSE),3)="win",1,0)</f>
        <v>0</v>
      </c>
      <c r="P217"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17" t="str">
        <f>VLOOKUP(TabVMEnv[EnvProjet],TabEnvProjet[],4,FALSE)</f>
        <v>GFI Oceanet Infra Réseau</v>
      </c>
      <c r="R217" s="5" t="str">
        <f>VLOOKUP(TabVMEnv[[#This Row],[SYGES]],TabContrat[],2,FALSE)</f>
        <v>GFI</v>
      </c>
      <c r="S217" s="5" t="str">
        <f>IF(VLOOKUP(TabVMEnv[[#This Row],[VM]],TabOceanet[],1,FALSE) = "","Disparue","")</f>
        <v/>
      </c>
      <c r="T217" s="17">
        <f>VLOOKUP(TabVMEnv[[#This Row],[VM]],TabOceanet[],36,FALSE)/TabVMEnv[[#This Row],[Mutualisé]]</f>
        <v>0.92</v>
      </c>
      <c r="U217" s="17">
        <f>IF(TabVMEnv[[#This Row],[CostCenter]]="CostCenterDI",0,TabVMEnv[[#This Row],[CoutGlobal]])</f>
        <v>0</v>
      </c>
      <c r="V217" s="17">
        <f>TabVMEnv[[#This Row],[CoutGlobalSansCostCenterDI]]/TabVMEnv[[#Totals],[CoutGlobalSansCostCenterDI]]*(GlobalARepartirSansMS+GlobalARepartirMSOnly+GlobalARepartirInfraReseau)</f>
        <v>0</v>
      </c>
      <c r="W217" s="17">
        <f>TabVMEnv[[#This Row],[CoutGlobalSansCostCenterDI]]+TabVMEnv[[#This Row],[CoutGlobalSupplementaire]]</f>
        <v>0</v>
      </c>
      <c r="X217" s="5" t="str">
        <f>VLOOKUP(TabVMEnv[[#This Row],[EnvProjet]],TabEnvProjet[],2,FALSE) &amp; " - " &amp; IFERROR(VLOOKUP(TabVMEnv[[#This Row],[EnvProjet]],TabEnvProjet[],4,FALSE),"INCONNU") &amp; " - " &amp; IFERROR(VLOOKUP(TabVMEnv[[#This Row],[EnvProjet]],TabEnvProjet[],5,FALSE),"INCONNU")</f>
        <v>GFI-Oceanet Infra Réseau - GFI Oceanet Infra Réseau - Jérôme JACOB</v>
      </c>
      <c r="Y217" s="5" t="str">
        <f>VLOOKUP(TabVMEnv[EnvProjet],TabEnvProjet[],5,FALSE)</f>
        <v>Jérôme JACOB</v>
      </c>
      <c r="Z217" s="5" t="str">
        <f>VLOOKUP(TabVMEnv[EnvProjet],TabEnvProjet[],6,FALSE)</f>
        <v>CostCenterDI</v>
      </c>
      <c r="AA217" s="5" t="str">
        <f>VLOOKUP(TabVMEnv[[#This Row],[EnvProjet]],TabEnvProjet[],3,FALSE)</f>
        <v>SOCLE</v>
      </c>
      <c r="AB217" s="5">
        <f>COUNTIF(TabVMEnv[VM],TabVMEnv[VM])</f>
        <v>1</v>
      </c>
    </row>
    <row r="218" spans="1:28" x14ac:dyDescent="0.25">
      <c r="A218" t="s">
        <v>217</v>
      </c>
      <c r="B218" t="s">
        <v>290</v>
      </c>
      <c r="D218">
        <v>0</v>
      </c>
      <c r="E218" s="13" t="s">
        <v>1197</v>
      </c>
      <c r="F218">
        <f>IF(VLOOKUP(TabVMEnv[VM],TabOceanet[],16,FALSE) = "Tarif_VM",IF(VLOOKUP(TabVMEnv[VM],TabOceanet[],2,FALSE)&lt;4,4,VLOOKUP(TabVMEnv[VM],TabOceanet[],2,FALSE)),0)</f>
        <v>4</v>
      </c>
      <c r="G218">
        <v>0</v>
      </c>
      <c r="H218">
        <v>0</v>
      </c>
      <c r="I218">
        <v>0</v>
      </c>
      <c r="J218">
        <v>0</v>
      </c>
      <c r="K218">
        <f>IF(VLOOKUP(TabVMEnv[VM],TabOceanet[],16,FALSE) = "Tarif_VM",1,0)/TabVMEnv[[#This Row],[Mutualisé]]</f>
        <v>1</v>
      </c>
      <c r="L218">
        <f>IF(VLOOKUP(TabVMEnv[VM],TabOceanet[],9,FALSE) = "PoweredOn",1,0)</f>
        <v>1</v>
      </c>
      <c r="M218">
        <f>TabVMEnv[[#This Row],[IsVMPoweredOn]]*VLOOKUP(TabVMEnv[VM],TabOceanet[],3,FALSE)/TabVMEnv[[#This Row],[Mutualisé]]</f>
        <v>1</v>
      </c>
      <c r="N218">
        <f>VLOOKUP(TabVMEnv[VM],TabOceanet[],4,FALSE)/TabVMEnv[[#This Row],[Mutualisé]]</f>
        <v>19</v>
      </c>
      <c r="O218">
        <f>IF(LEFT(VLOOKUP(TabVMEnv[VM],TabOceanet[],5,FALSE),3)="win",1,0)</f>
        <v>0</v>
      </c>
      <c r="P218"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18" t="str">
        <f>VLOOKUP(TabVMEnv[EnvProjet],TabEnvProjet[],4,FALSE)</f>
        <v>HEBERG-EDI  MUT-2018</v>
      </c>
      <c r="R218" s="5" t="str">
        <f>VLOOKUP(TabVMEnv[[#This Row],[SYGES]],TabContrat[],2,FALSE)</f>
        <v>HEBERG-EDI</v>
      </c>
      <c r="S218" s="5" t="str">
        <f>IF(VLOOKUP(TabVMEnv[[#This Row],[VM]],TabOceanet[],1,FALSE) = "","Disparue","")</f>
        <v/>
      </c>
      <c r="T218" s="17">
        <f>VLOOKUP(TabVMEnv[[#This Row],[VM]],TabOceanet[],36,FALSE)/TabVMEnv[[#This Row],[Mutualisé]]</f>
        <v>5.9700000000000006</v>
      </c>
      <c r="U218" s="17">
        <f>IF(TabVMEnv[[#This Row],[CostCenter]]="CostCenterDI",0,TabVMEnv[[#This Row],[CoutGlobal]])</f>
        <v>5.9700000000000006</v>
      </c>
      <c r="V218" s="17">
        <f>TabVMEnv[[#This Row],[CoutGlobalSansCostCenterDI]]/TabVMEnv[[#Totals],[CoutGlobalSansCostCenterDI]]*(GlobalARepartirSansMS+GlobalARepartirMSOnly+GlobalARepartirInfraReseau)</f>
        <v>10.420378551940235</v>
      </c>
      <c r="W218" s="17">
        <f>TabVMEnv[[#This Row],[CoutGlobalSansCostCenterDI]]+TabVMEnv[[#This Row],[CoutGlobalSupplementaire]]</f>
        <v>16.390378551940238</v>
      </c>
      <c r="X218" s="5" t="str">
        <f>VLOOKUP(TabVMEnv[[#This Row],[EnvProjet]],TabEnvProjet[],2,FALSE) &amp; " - " &amp; IFERROR(VLOOKUP(TabVMEnv[[#This Row],[EnvProjet]],TabEnvProjet[],4,FALSE),"INCONNU") &amp; " - " &amp; IFERROR(VLOOKUP(TabVMEnv[[#This Row],[EnvProjet]],TabEnvProjet[],5,FALSE),"INCONNU")</f>
        <v>EDI-MUT-EDI-MUT - HEBERG-EDI  MUT-2018 - David LEMALHEUX</v>
      </c>
      <c r="Y218" s="5" t="str">
        <f>VLOOKUP(TabVMEnv[EnvProjet],TabEnvProjet[],5,FALSE)</f>
        <v>David LEMALHEUX</v>
      </c>
      <c r="Z218" s="5" t="str">
        <f>VLOOKUP(TabVMEnv[EnvProjet],TabEnvProjet[],6,FALSE)</f>
        <v>341530-EDI</v>
      </c>
      <c r="AA218" s="5" t="str">
        <f>VLOOKUP(TabVMEnv[[#This Row],[EnvProjet]],TabEnvProjet[],3,FALSE)</f>
        <v>PROD</v>
      </c>
      <c r="AB218" s="5">
        <f>COUNTIF(TabVMEnv[VM],TabVMEnv[VM])</f>
        <v>1</v>
      </c>
    </row>
    <row r="219" spans="1:28" ht="30" x14ac:dyDescent="0.25">
      <c r="A219" t="s">
        <v>165</v>
      </c>
      <c r="B219" t="s">
        <v>294</v>
      </c>
      <c r="D219">
        <v>4</v>
      </c>
      <c r="E219" s="13" t="s">
        <v>1203</v>
      </c>
      <c r="F219">
        <f>IF(VLOOKUP(TabVMEnv[VM],TabOceanet[],16,FALSE) = "Tarif_VM",IF(VLOOKUP(TabVMEnv[VM],TabOceanet[],2,FALSE)&lt;4,4,VLOOKUP(TabVMEnv[VM],TabOceanet[],2,FALSE)),0)</f>
        <v>4</v>
      </c>
      <c r="G219">
        <v>0</v>
      </c>
      <c r="H219">
        <v>0</v>
      </c>
      <c r="I219">
        <v>0</v>
      </c>
      <c r="J219">
        <v>0</v>
      </c>
      <c r="K219">
        <f>IF(VLOOKUP(TabVMEnv[VM],TabOceanet[],16,FALSE) = "Tarif_VM",1,0)/TabVMEnv[[#This Row],[Mutualisé]]</f>
        <v>1</v>
      </c>
      <c r="L219">
        <f>IF(VLOOKUP(TabVMEnv[VM],TabOceanet[],9,FALSE) = "PoweredOn",1,0)</f>
        <v>1</v>
      </c>
      <c r="M219">
        <f>TabVMEnv[[#This Row],[IsVMPoweredOn]]*VLOOKUP(TabVMEnv[VM],TabOceanet[],3,FALSE)/TabVMEnv[[#This Row],[Mutualisé]]</f>
        <v>2</v>
      </c>
      <c r="N219">
        <f>VLOOKUP(TabVMEnv[VM],TabOceanet[],4,FALSE)/TabVMEnv[[#This Row],[Mutualisé]]</f>
        <v>4</v>
      </c>
      <c r="O219">
        <f>IF(LEFT(VLOOKUP(TabVMEnv[VM],TabOceanet[],5,FALSE),3)="win",1,0)</f>
        <v>0</v>
      </c>
      <c r="P219"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19" t="str">
        <f>VLOOKUP(TabVMEnv[EnvProjet],TabEnvProjet[],4,FALSE)</f>
        <v>GFI Oceanet Infra Réseau</v>
      </c>
      <c r="R219" s="5" t="str">
        <f>VLOOKUP(TabVMEnv[[#This Row],[SYGES]],TabContrat[],2,FALSE)</f>
        <v>GFI</v>
      </c>
      <c r="S219" s="5" t="str">
        <f>IF(VLOOKUP(TabVMEnv[[#This Row],[VM]],TabOceanet[],1,FALSE) = "","Disparue","")</f>
        <v/>
      </c>
      <c r="T219" s="17">
        <f>VLOOKUP(TabVMEnv[[#This Row],[VM]],TabOceanet[],36,FALSE)/TabVMEnv[[#This Row],[Mutualisé]]</f>
        <v>4.12</v>
      </c>
      <c r="U219" s="17">
        <f>IF(TabVMEnv[[#This Row],[CostCenter]]="CostCenterDI",0,TabVMEnv[[#This Row],[CoutGlobal]])</f>
        <v>0</v>
      </c>
      <c r="V219" s="17">
        <f>TabVMEnv[[#This Row],[CoutGlobalSansCostCenterDI]]/TabVMEnv[[#Totals],[CoutGlobalSansCostCenterDI]]*(GlobalARepartirSansMS+GlobalARepartirMSOnly+GlobalARepartirInfraReseau)</f>
        <v>0</v>
      </c>
      <c r="W219" s="17">
        <f>TabVMEnv[[#This Row],[CoutGlobalSansCostCenterDI]]+TabVMEnv[[#This Row],[CoutGlobalSupplementaire]]</f>
        <v>0</v>
      </c>
      <c r="X219" s="5" t="str">
        <f>VLOOKUP(TabVMEnv[[#This Row],[EnvProjet]],TabEnvProjet[],2,FALSE) &amp; " - " &amp; IFERROR(VLOOKUP(TabVMEnv[[#This Row],[EnvProjet]],TabEnvProjet[],4,FALSE),"INCONNU") &amp; " - " &amp; IFERROR(VLOOKUP(TabVMEnv[[#This Row],[EnvProjet]],TabEnvProjet[],5,FALSE),"INCONNU")</f>
        <v>GFI-Oceanet Infra Réseau - GFI Oceanet Infra Réseau - Jérôme JACOB</v>
      </c>
      <c r="Y219" s="5" t="str">
        <f>VLOOKUP(TabVMEnv[EnvProjet],TabEnvProjet[],5,FALSE)</f>
        <v>Jérôme JACOB</v>
      </c>
      <c r="Z219" s="5" t="str">
        <f>VLOOKUP(TabVMEnv[EnvProjet],TabEnvProjet[],6,FALSE)</f>
        <v>CostCenterDI</v>
      </c>
      <c r="AA219" s="5" t="str">
        <f>VLOOKUP(TabVMEnv[[#This Row],[EnvProjet]],TabEnvProjet[],3,FALSE)</f>
        <v>SOCLE</v>
      </c>
      <c r="AB219" s="5">
        <f>COUNTIF(TabVMEnv[VM],TabVMEnv[VM])</f>
        <v>1</v>
      </c>
    </row>
    <row r="220" spans="1:28" x14ac:dyDescent="0.25">
      <c r="A220" t="s">
        <v>138</v>
      </c>
      <c r="B220" t="s">
        <v>292</v>
      </c>
      <c r="E220" s="13"/>
      <c r="F220">
        <f>IF(VLOOKUP(TabVMEnv[VM],TabOceanet[],16,FALSE) = "Tarif_VM",IF(VLOOKUP(TabVMEnv[VM],TabOceanet[],2,FALSE)&lt;4,4,VLOOKUP(TabVMEnv[VM],TabOceanet[],2,FALSE)),0)</f>
        <v>4</v>
      </c>
      <c r="G220">
        <v>0</v>
      </c>
      <c r="H220">
        <v>0</v>
      </c>
      <c r="I220">
        <v>0</v>
      </c>
      <c r="J220">
        <v>0</v>
      </c>
      <c r="K220">
        <f>IF(VLOOKUP(TabVMEnv[VM],TabOceanet[],16,FALSE) = "Tarif_VM",1,0)/TabVMEnv[[#This Row],[Mutualisé]]</f>
        <v>1</v>
      </c>
      <c r="L220">
        <f>IF(VLOOKUP(TabVMEnv[VM],TabOceanet[],9,FALSE) = "PoweredOn",1,0)</f>
        <v>1</v>
      </c>
      <c r="M220">
        <f>TabVMEnv[[#This Row],[IsVMPoweredOn]]*VLOOKUP(TabVMEnv[VM],TabOceanet[],3,FALSE)/TabVMEnv[[#This Row],[Mutualisé]]</f>
        <v>1</v>
      </c>
      <c r="N220">
        <f>VLOOKUP(TabVMEnv[VM],TabOceanet[],4,FALSE)/TabVMEnv[[#This Row],[Mutualisé]]</f>
        <v>4</v>
      </c>
      <c r="O220">
        <f>IF(LEFT(VLOOKUP(TabVMEnv[VM],TabOceanet[],5,FALSE),3)="win",1,0)</f>
        <v>0</v>
      </c>
      <c r="P220"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20" t="str">
        <f>VLOOKUP(TabVMEnv[EnvProjet],TabEnvProjet[],4,FALSE)</f>
        <v>Fablab-Firmin</v>
      </c>
      <c r="R220" s="5" t="str">
        <f>VLOOKUP(TabVMEnv[[#This Row],[SYGES]],TabContrat[],2,FALSE)</f>
        <v>Fablab</v>
      </c>
      <c r="S220" s="5" t="str">
        <f>IF(VLOOKUP(TabVMEnv[[#This Row],[VM]],TabOceanet[],1,FALSE) = "","Disparue","")</f>
        <v/>
      </c>
      <c r="T220" s="17">
        <f>VLOOKUP(TabVMEnv[[#This Row],[VM]],TabOceanet[],36,FALSE)/TabVMEnv[[#This Row],[Mutualisé]]</f>
        <v>2.52</v>
      </c>
      <c r="U220" s="17">
        <f>IF(TabVMEnv[[#This Row],[CostCenter]]="CostCenterDI",0,TabVMEnv[[#This Row],[CoutGlobal]])</f>
        <v>2.52</v>
      </c>
      <c r="V220" s="17">
        <f>TabVMEnv[[#This Row],[CoutGlobalSansCostCenterDI]]/TabVMEnv[[#Totals],[CoutGlobalSansCostCenterDI]]*(GlobalARepartirSansMS+GlobalARepartirMSOnly+GlobalARepartirInfraReseau)</f>
        <v>4.3985517505677372</v>
      </c>
      <c r="W220" s="17">
        <f>TabVMEnv[[#This Row],[CoutGlobalSansCostCenterDI]]+TabVMEnv[[#This Row],[CoutGlobalSupplementaire]]</f>
        <v>6.9185517505677367</v>
      </c>
      <c r="X220" s="5" t="str">
        <f>VLOOKUP(TabVMEnv[[#This Row],[EnvProjet]],TabEnvProjet[],2,FALSE) &amp; " - " &amp; IFERROR(VLOOKUP(TabVMEnv[[#This Row],[EnvProjet]],TabEnvProjet[],4,FALSE),"INCONNU") &amp; " - " &amp; IFERROR(VLOOKUP(TabVMEnv[[#This Row],[EnvProjet]],TabEnvProjet[],5,FALSE),"INCONNU")</f>
        <v>Fablab-Firmin - Fablab-Firmin - Pierre-Yves Baloche</v>
      </c>
      <c r="Y220" s="5" t="str">
        <f>VLOOKUP(TabVMEnv[EnvProjet],TabEnvProjet[],5,FALSE)</f>
        <v>Pierre-Yves Baloche</v>
      </c>
      <c r="Z220" s="5" t="str">
        <f>VLOOKUP(TabVMEnv[EnvProjet],TabEnvProjet[],6,FALSE)</f>
        <v>Fablab</v>
      </c>
      <c r="AA220" s="5" t="str">
        <f>VLOOKUP(TabVMEnv[[#This Row],[EnvProjet]],TabEnvProjet[],3,FALSE)</f>
        <v>PREPROD</v>
      </c>
      <c r="AB220" s="5">
        <f>COUNTIF(TabVMEnv[VM],TabVMEnv[VM])</f>
        <v>1</v>
      </c>
    </row>
    <row r="221" spans="1:28" x14ac:dyDescent="0.25">
      <c r="A221" t="s">
        <v>98</v>
      </c>
      <c r="B221" t="s">
        <v>291</v>
      </c>
      <c r="E221" s="13"/>
      <c r="F221">
        <f>IF(VLOOKUP(TabVMEnv[VM],TabOceanet[],16,FALSE) = "Tarif_VM",IF(VLOOKUP(TabVMEnv[VM],TabOceanet[],2,FALSE)&lt;4,4,VLOOKUP(TabVMEnv[VM],TabOceanet[],2,FALSE)),0)</f>
        <v>4</v>
      </c>
      <c r="G221">
        <v>0</v>
      </c>
      <c r="H221">
        <v>0</v>
      </c>
      <c r="I221">
        <v>0</v>
      </c>
      <c r="J221">
        <v>0</v>
      </c>
      <c r="K221">
        <f>IF(VLOOKUP(TabVMEnv[VM],TabOceanet[],16,FALSE) = "Tarif_VM",1,0)/TabVMEnv[[#This Row],[Mutualisé]]</f>
        <v>1</v>
      </c>
      <c r="L221">
        <f>IF(VLOOKUP(TabVMEnv[VM],TabOceanet[],9,FALSE) = "PoweredOn",1,0)</f>
        <v>1</v>
      </c>
      <c r="M221">
        <f>TabVMEnv[[#This Row],[IsVMPoweredOn]]*VLOOKUP(TabVMEnv[VM],TabOceanet[],3,FALSE)/TabVMEnv[[#This Row],[Mutualisé]]</f>
        <v>1</v>
      </c>
      <c r="N221">
        <f>VLOOKUP(TabVMEnv[VM],TabOceanet[],4,FALSE)/TabVMEnv[[#This Row],[Mutualisé]]</f>
        <v>4</v>
      </c>
      <c r="O221">
        <f>IF(LEFT(VLOOKUP(TabVMEnv[VM],TabOceanet[],5,FALSE),3)="win",1,0)</f>
        <v>0</v>
      </c>
      <c r="P221"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21" t="str">
        <f>VLOOKUP(TabVMEnv[EnvProjet],TabEnvProjet[],4,FALSE)</f>
        <v>Fablab-Firmin</v>
      </c>
      <c r="R221" s="5" t="str">
        <f>VLOOKUP(TabVMEnv[[#This Row],[SYGES]],TabContrat[],2,FALSE)</f>
        <v>Fablab</v>
      </c>
      <c r="S221" s="5" t="str">
        <f>IF(VLOOKUP(TabVMEnv[[#This Row],[VM]],TabOceanet[],1,FALSE) = "","Disparue","")</f>
        <v/>
      </c>
      <c r="T221" s="17">
        <f>VLOOKUP(TabVMEnv[[#This Row],[VM]],TabOceanet[],36,FALSE)/TabVMEnv[[#This Row],[Mutualisé]]</f>
        <v>2.52</v>
      </c>
      <c r="U221" s="17">
        <f>IF(TabVMEnv[[#This Row],[CostCenter]]="CostCenterDI",0,TabVMEnv[[#This Row],[CoutGlobal]])</f>
        <v>2.52</v>
      </c>
      <c r="V221" s="17">
        <f>TabVMEnv[[#This Row],[CoutGlobalSansCostCenterDI]]/TabVMEnv[[#Totals],[CoutGlobalSansCostCenterDI]]*(GlobalARepartirSansMS+GlobalARepartirMSOnly+GlobalARepartirInfraReseau)</f>
        <v>4.3985517505677372</v>
      </c>
      <c r="W221" s="17">
        <f>TabVMEnv[[#This Row],[CoutGlobalSansCostCenterDI]]+TabVMEnv[[#This Row],[CoutGlobalSupplementaire]]</f>
        <v>6.9185517505677367</v>
      </c>
      <c r="X221" s="5" t="str">
        <f>VLOOKUP(TabVMEnv[[#This Row],[EnvProjet]],TabEnvProjet[],2,FALSE) &amp; " - " &amp; IFERROR(VLOOKUP(TabVMEnv[[#This Row],[EnvProjet]],TabEnvProjet[],4,FALSE),"INCONNU") &amp; " - " &amp; IFERROR(VLOOKUP(TabVMEnv[[#This Row],[EnvProjet]],TabEnvProjet[],5,FALSE),"INCONNU")</f>
        <v>Fablab-Firmin - Fablab-Firmin - Pierre-Yves Baloche</v>
      </c>
      <c r="Y221" s="5" t="str">
        <f>VLOOKUP(TabVMEnv[EnvProjet],TabEnvProjet[],5,FALSE)</f>
        <v>Pierre-Yves Baloche</v>
      </c>
      <c r="Z221" s="5" t="str">
        <f>VLOOKUP(TabVMEnv[EnvProjet],TabEnvProjet[],6,FALSE)</f>
        <v>Fablab</v>
      </c>
      <c r="AA221" s="5" t="str">
        <f>VLOOKUP(TabVMEnv[[#This Row],[EnvProjet]],TabEnvProjet[],3,FALSE)</f>
        <v>PROD</v>
      </c>
      <c r="AB221" s="5">
        <f>COUNTIF(TabVMEnv[VM],TabVMEnv[VM])</f>
        <v>1</v>
      </c>
    </row>
    <row r="222" spans="1:28" x14ac:dyDescent="0.25">
      <c r="A222" t="s">
        <v>76</v>
      </c>
      <c r="B222" t="s">
        <v>358</v>
      </c>
      <c r="D222">
        <v>2</v>
      </c>
      <c r="E222" s="13" t="s">
        <v>1198</v>
      </c>
      <c r="F222">
        <f>IF(VLOOKUP(TabVMEnv[VM],TabOceanet[],16,FALSE) = "Tarif_VM",IF(VLOOKUP(TabVMEnv[VM],TabOceanet[],2,FALSE)&lt;4,4,VLOOKUP(TabVMEnv[VM],TabOceanet[],2,FALSE)),0)</f>
        <v>4</v>
      </c>
      <c r="G222">
        <v>0</v>
      </c>
      <c r="H222">
        <v>0</v>
      </c>
      <c r="I222">
        <v>0</v>
      </c>
      <c r="J222">
        <v>0</v>
      </c>
      <c r="K222">
        <f>IF(VLOOKUP(TabVMEnv[VM],TabOceanet[],16,FALSE) = "Tarif_VM",1,0)/TabVMEnv[[#This Row],[Mutualisé]]</f>
        <v>1</v>
      </c>
      <c r="L222">
        <f>IF(VLOOKUP(TabVMEnv[VM],TabOceanet[],9,FALSE) = "PoweredOn",1,0)</f>
        <v>1</v>
      </c>
      <c r="M222">
        <f>TabVMEnv[[#This Row],[IsVMPoweredOn]]*VLOOKUP(TabVMEnv[VM],TabOceanet[],3,FALSE)/TabVMEnv[[#This Row],[Mutualisé]]</f>
        <v>1</v>
      </c>
      <c r="N222">
        <f>VLOOKUP(TabVMEnv[VM],TabOceanet[],4,FALSE)/TabVMEnv[[#This Row],[Mutualisé]]</f>
        <v>10</v>
      </c>
      <c r="O222">
        <f>IF(LEFT(VLOOKUP(TabVMEnv[VM],TabOceanet[],5,FALSE),3)="win",1,0)</f>
        <v>0</v>
      </c>
      <c r="P222"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22" t="str">
        <f>VLOOKUP(TabVMEnv[EnvProjet],TabEnvProjet[],4,FALSE)</f>
        <v>VIVESC-TAU/S240776A</v>
      </c>
      <c r="R222" s="5" t="str">
        <f>VLOOKUP(TabVMEnv[[#This Row],[SYGES]],TabContrat[],2,FALSE)</f>
        <v>CAT'HELIUM VIVESCO</v>
      </c>
      <c r="S222" s="5" t="str">
        <f>IF(VLOOKUP(TabVMEnv[[#This Row],[VM]],TabOceanet[],1,FALSE) = "","Disparue","")</f>
        <v/>
      </c>
      <c r="T222" s="17">
        <f>VLOOKUP(TabVMEnv[[#This Row],[VM]],TabOceanet[],36,FALSE)/TabVMEnv[[#This Row],[Mutualisé]]</f>
        <v>3.9000000000000004</v>
      </c>
      <c r="U222" s="17">
        <f>IF(TabVMEnv[[#This Row],[CostCenter]]="CostCenterDI",0,TabVMEnv[[#This Row],[CoutGlobal]])</f>
        <v>3.9000000000000004</v>
      </c>
      <c r="V222" s="17">
        <f>TabVMEnv[[#This Row],[CoutGlobalSansCostCenterDI]]/TabVMEnv[[#Totals],[CoutGlobalSansCostCenterDI]]*(GlobalARepartirSansMS+GlobalARepartirMSOnly+GlobalARepartirInfraReseau)</f>
        <v>6.8072824711167366</v>
      </c>
      <c r="W222" s="17">
        <f>TabVMEnv[[#This Row],[CoutGlobalSansCostCenterDI]]+TabVMEnv[[#This Row],[CoutGlobalSupplementaire]]</f>
        <v>10.707282471116738</v>
      </c>
      <c r="X222" s="5" t="str">
        <f>VLOOKUP(TabVMEnv[[#This Row],[EnvProjet]],TabEnvProjet[],2,FALSE) &amp; " - " &amp; IFERROR(VLOOKUP(TabVMEnv[[#This Row],[EnvProjet]],TabEnvProjet[],4,FALSE),"INCONNU") &amp; " - " &amp; IFERROR(VLOOKUP(TabVMEnv[[#This Row],[EnvProjet]],TabEnvProjet[],5,FALSE),"INCONNU")</f>
        <v>Vivesco-Vives-taux - VIVESC-TAU/S240776A - Pierre Maurupt</v>
      </c>
      <c r="Y222" s="5" t="str">
        <f>VLOOKUP(TabVMEnv[EnvProjet],TabEnvProjet[],5,FALSE)</f>
        <v>Pierre Maurupt</v>
      </c>
      <c r="Z222" s="5">
        <f>VLOOKUP(TabVMEnv[EnvProjet],TabEnvProjet[],6,FALSE)</f>
        <v>341530</v>
      </c>
      <c r="AA222" s="5" t="str">
        <f>VLOOKUP(TabVMEnv[[#This Row],[EnvProjet]],TabEnvProjet[],3,FALSE)</f>
        <v>RECETTE</v>
      </c>
      <c r="AB222" s="5">
        <f>COUNTIF(TabVMEnv[VM],TabVMEnv[VM])</f>
        <v>1</v>
      </c>
    </row>
    <row r="223" spans="1:28" x14ac:dyDescent="0.25">
      <c r="A223" t="s">
        <v>229</v>
      </c>
      <c r="B223" t="s">
        <v>293</v>
      </c>
      <c r="D223">
        <v>0</v>
      </c>
      <c r="E223" s="13" t="s">
        <v>1196</v>
      </c>
      <c r="F223">
        <f>IF(VLOOKUP(TabVMEnv[VM],TabOceanet[],16,FALSE) = "Tarif_VM",IF(VLOOKUP(TabVMEnv[VM],TabOceanet[],2,FALSE)&lt;4,4,VLOOKUP(TabVMEnv[VM],TabOceanet[],2,FALSE)),0)</f>
        <v>4</v>
      </c>
      <c r="G223">
        <v>0</v>
      </c>
      <c r="H223">
        <v>0</v>
      </c>
      <c r="I223">
        <v>0</v>
      </c>
      <c r="J223">
        <v>0</v>
      </c>
      <c r="K223">
        <f>IF(VLOOKUP(TabVMEnv[VM],TabOceanet[],16,FALSE) = "Tarif_VM",1,0)/TabVMEnv[[#This Row],[Mutualisé]]</f>
        <v>1</v>
      </c>
      <c r="L223">
        <f>IF(VLOOKUP(TabVMEnv[VM],TabOceanet[],9,FALSE) = "PoweredOn",1,0)</f>
        <v>0</v>
      </c>
      <c r="M223">
        <f>TabVMEnv[[#This Row],[IsVMPoweredOn]]*VLOOKUP(TabVMEnv[VM],TabOceanet[],3,FALSE)/TabVMEnv[[#This Row],[Mutualisé]]</f>
        <v>0</v>
      </c>
      <c r="N223">
        <f>VLOOKUP(TabVMEnv[VM],TabOceanet[],4,FALSE)/TabVMEnv[[#This Row],[Mutualisé]]</f>
        <v>60</v>
      </c>
      <c r="O223">
        <f>IF(LEFT(VLOOKUP(TabVMEnv[VM],TabOceanet[],5,FALSE),3)="win",1,0)</f>
        <v>0</v>
      </c>
      <c r="P223"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23" t="str">
        <f>VLOOKUP(TabVMEnv[EnvProjet],TabEnvProjet[],4,FALSE)</f>
        <v>GFI Oceanet Infra Réseau</v>
      </c>
      <c r="R223" s="5" t="str">
        <f>VLOOKUP(TabVMEnv[[#This Row],[SYGES]],TabContrat[],2,FALSE)</f>
        <v>GFI</v>
      </c>
      <c r="S223" s="5" t="str">
        <f>IF(VLOOKUP(TabVMEnv[[#This Row],[VM]],TabOceanet[],1,FALSE) = "","Disparue","")</f>
        <v/>
      </c>
      <c r="T223" s="17">
        <f>VLOOKUP(TabVMEnv[[#This Row],[VM]],TabOceanet[],36,FALSE)/TabVMEnv[[#This Row],[Mutualisé]]</f>
        <v>13.8</v>
      </c>
      <c r="U223" s="17">
        <f>IF(TabVMEnv[[#This Row],[CostCenter]]="CostCenterDI",0,TabVMEnv[[#This Row],[CoutGlobal]])</f>
        <v>0</v>
      </c>
      <c r="V223" s="17">
        <f>TabVMEnv[[#This Row],[CoutGlobalSansCostCenterDI]]/TabVMEnv[[#Totals],[CoutGlobalSansCostCenterDI]]*(GlobalARepartirSansMS+GlobalARepartirMSOnly+GlobalARepartirInfraReseau)</f>
        <v>0</v>
      </c>
      <c r="W223" s="17">
        <f>TabVMEnv[[#This Row],[CoutGlobalSansCostCenterDI]]+TabVMEnv[[#This Row],[CoutGlobalSupplementaire]]</f>
        <v>0</v>
      </c>
      <c r="X223" s="5" t="str">
        <f>VLOOKUP(TabVMEnv[[#This Row],[EnvProjet]],TabEnvProjet[],2,FALSE) &amp; " - " &amp; IFERROR(VLOOKUP(TabVMEnv[[#This Row],[EnvProjet]],TabEnvProjet[],4,FALSE),"INCONNU") &amp; " - " &amp; IFERROR(VLOOKUP(TabVMEnv[[#This Row],[EnvProjet]],TabEnvProjet[],5,FALSE),"INCONNU")</f>
        <v>GFI-Oceanet Infra Modèles - GFI Oceanet Infra Réseau - Jérôme JACOB</v>
      </c>
      <c r="Y223" s="5" t="str">
        <f>VLOOKUP(TabVMEnv[EnvProjet],TabEnvProjet[],5,FALSE)</f>
        <v>Jérôme JACOB</v>
      </c>
      <c r="Z223" s="5" t="str">
        <f>VLOOKUP(TabVMEnv[EnvProjet],TabEnvProjet[],6,FALSE)</f>
        <v>CostCenterDI</v>
      </c>
      <c r="AA223" s="5" t="str">
        <f>VLOOKUP(TabVMEnv[[#This Row],[EnvProjet]],TabEnvProjet[],3,FALSE)</f>
        <v>SOCLE</v>
      </c>
      <c r="AB223" s="5">
        <f>COUNTIF(TabVMEnv[VM],TabVMEnv[VM])</f>
        <v>1</v>
      </c>
    </row>
    <row r="224" spans="1:28" x14ac:dyDescent="0.25">
      <c r="A224" t="s">
        <v>1319</v>
      </c>
      <c r="B224" t="s">
        <v>293</v>
      </c>
      <c r="E224" s="13"/>
      <c r="F224" s="5">
        <f>IF(VLOOKUP(TabVMEnv[VM],TabOceanet[],16,FALSE) = "Tarif_VM",IF(VLOOKUP(TabVMEnv[VM],TabOceanet[],2,FALSE)&lt;4,4,VLOOKUP(TabVMEnv[VM],TabOceanet[],2,FALSE)),0)</f>
        <v>4</v>
      </c>
      <c r="G224">
        <v>0</v>
      </c>
      <c r="H224">
        <v>0</v>
      </c>
      <c r="I224">
        <v>0</v>
      </c>
      <c r="J224">
        <v>0</v>
      </c>
      <c r="K224" s="5">
        <f>IF(VLOOKUP(TabVMEnv[VM],TabOceanet[],16,FALSE) = "Tarif_VM",1,0)/TabVMEnv[[#This Row],[Mutualisé]]</f>
        <v>1</v>
      </c>
      <c r="L224" s="5">
        <f>IF(VLOOKUP(TabVMEnv[VM],TabOceanet[],9,FALSE) = "PoweredOn",1,0)</f>
        <v>0</v>
      </c>
      <c r="M224" s="5">
        <f>TabVMEnv[[#This Row],[IsVMPoweredOn]]*VLOOKUP(TabVMEnv[VM],TabOceanet[],3,FALSE)/TabVMEnv[[#This Row],[Mutualisé]]</f>
        <v>0</v>
      </c>
      <c r="N224" s="5">
        <f>VLOOKUP(TabVMEnv[VM],TabOceanet[],4,FALSE)/TabVMEnv[[#This Row],[Mutualisé]]</f>
        <v>60</v>
      </c>
      <c r="O224" s="5">
        <f>IF(LEFT(VLOOKUP(TabVMEnv[VM],TabOceanet[],5,FALSE),3)="win",1,0)</f>
        <v>0</v>
      </c>
      <c r="P224"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24" t="str">
        <f>VLOOKUP(TabVMEnv[EnvProjet],TabEnvProjet[],4,FALSE)</f>
        <v>GFI Oceanet Infra Réseau</v>
      </c>
      <c r="R224" s="5" t="str">
        <f>VLOOKUP(TabVMEnv[[#This Row],[SYGES]],TabContrat[],2,FALSE)</f>
        <v>GFI</v>
      </c>
      <c r="S224" s="5" t="str">
        <f>IF(VLOOKUP(TabVMEnv[[#This Row],[VM]],TabOceanet[],1,FALSE) = "","Disparue","")</f>
        <v/>
      </c>
      <c r="T224" s="25">
        <f>VLOOKUP(TabVMEnv[[#This Row],[VM]],TabOceanet[],36,FALSE)/TabVMEnv[[#This Row],[Mutualisé]]</f>
        <v>13.8</v>
      </c>
      <c r="U224" s="25">
        <f>IF(TabVMEnv[[#This Row],[CostCenter]]="CostCenterDI",0,TabVMEnv[[#This Row],[CoutGlobal]])</f>
        <v>0</v>
      </c>
      <c r="V224" s="25">
        <f>TabVMEnv[[#This Row],[CoutGlobalSansCostCenterDI]]/TabVMEnv[[#Totals],[CoutGlobalSansCostCenterDI]]*(GlobalARepartirSansMS+GlobalARepartirMSOnly+GlobalARepartirInfraReseau)</f>
        <v>0</v>
      </c>
      <c r="W224" s="25">
        <f>TabVMEnv[[#This Row],[CoutGlobalSansCostCenterDI]]+TabVMEnv[[#This Row],[CoutGlobalSupplementaire]]</f>
        <v>0</v>
      </c>
      <c r="X224" s="5" t="str">
        <f>VLOOKUP(TabVMEnv[[#This Row],[EnvProjet]],TabEnvProjet[],2,FALSE) &amp; " - " &amp; IFERROR(VLOOKUP(TabVMEnv[[#This Row],[EnvProjet]],TabEnvProjet[],4,FALSE),"INCONNU") &amp; " - " &amp; IFERROR(VLOOKUP(TabVMEnv[[#This Row],[EnvProjet]],TabEnvProjet[],5,FALSE),"INCONNU")</f>
        <v>GFI-Oceanet Infra Modèles - GFI Oceanet Infra Réseau - Jérôme JACOB</v>
      </c>
      <c r="Y224" s="5" t="str">
        <f>VLOOKUP(TabVMEnv[EnvProjet],TabEnvProjet[],5,FALSE)</f>
        <v>Jérôme JACOB</v>
      </c>
      <c r="Z224" s="5" t="str">
        <f>VLOOKUP(TabVMEnv[EnvProjet],TabEnvProjet[],6,FALSE)</f>
        <v>CostCenterDI</v>
      </c>
      <c r="AA224" s="5" t="str">
        <f>VLOOKUP(TabVMEnv[[#This Row],[EnvProjet]],TabEnvProjet[],3,FALSE)</f>
        <v>SOCLE</v>
      </c>
      <c r="AB224" s="5">
        <f>COUNTIF(TabVMEnv[VM],TabVMEnv[VM])</f>
        <v>1</v>
      </c>
    </row>
    <row r="225" spans="1:28" x14ac:dyDescent="0.25">
      <c r="A225" t="s">
        <v>1320</v>
      </c>
      <c r="B225" t="s">
        <v>293</v>
      </c>
      <c r="E225" s="13"/>
      <c r="F225" s="5">
        <f>IF(VLOOKUP(TabVMEnv[VM],TabOceanet[],16,FALSE) = "Tarif_VM",IF(VLOOKUP(TabVMEnv[VM],TabOceanet[],2,FALSE)&lt;4,4,VLOOKUP(TabVMEnv[VM],TabOceanet[],2,FALSE)),0)</f>
        <v>4</v>
      </c>
      <c r="G225">
        <v>0</v>
      </c>
      <c r="H225">
        <v>0</v>
      </c>
      <c r="I225">
        <v>0</v>
      </c>
      <c r="J225">
        <v>0</v>
      </c>
      <c r="K225" s="5">
        <f>IF(VLOOKUP(TabVMEnv[VM],TabOceanet[],16,FALSE) = "Tarif_VM",1,0)/TabVMEnv[[#This Row],[Mutualisé]]</f>
        <v>1</v>
      </c>
      <c r="L225" s="5">
        <f>IF(VLOOKUP(TabVMEnv[VM],TabOceanet[],9,FALSE) = "PoweredOn",1,0)</f>
        <v>0</v>
      </c>
      <c r="M225" s="5">
        <f>TabVMEnv[[#This Row],[IsVMPoweredOn]]*VLOOKUP(TabVMEnv[VM],TabOceanet[],3,FALSE)/TabVMEnv[[#This Row],[Mutualisé]]</f>
        <v>0</v>
      </c>
      <c r="N225" s="5">
        <f>VLOOKUP(TabVMEnv[VM],TabOceanet[],4,FALSE)/TabVMEnv[[#This Row],[Mutualisé]]</f>
        <v>40</v>
      </c>
      <c r="O225" s="5">
        <f>IF(LEFT(VLOOKUP(TabVMEnv[VM],TabOceanet[],5,FALSE),3)="win",1,0)</f>
        <v>0</v>
      </c>
      <c r="P225"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25" t="str">
        <f>VLOOKUP(TabVMEnv[EnvProjet],TabEnvProjet[],4,FALSE)</f>
        <v>GFI Oceanet Infra Réseau</v>
      </c>
      <c r="R225" s="5" t="str">
        <f>VLOOKUP(TabVMEnv[[#This Row],[SYGES]],TabContrat[],2,FALSE)</f>
        <v>GFI</v>
      </c>
      <c r="S225" s="5" t="str">
        <f>IF(VLOOKUP(TabVMEnv[[#This Row],[VM]],TabOceanet[],1,FALSE) = "","Disparue","")</f>
        <v/>
      </c>
      <c r="T225" s="25">
        <f>VLOOKUP(TabVMEnv[[#This Row],[VM]],TabOceanet[],36,FALSE)/TabVMEnv[[#This Row],[Mutualisé]]</f>
        <v>9.2000000000000011</v>
      </c>
      <c r="U225" s="25">
        <f>IF(TabVMEnv[[#This Row],[CostCenter]]="CostCenterDI",0,TabVMEnv[[#This Row],[CoutGlobal]])</f>
        <v>0</v>
      </c>
      <c r="V225" s="25">
        <f>TabVMEnv[[#This Row],[CoutGlobalSansCostCenterDI]]/TabVMEnv[[#Totals],[CoutGlobalSansCostCenterDI]]*(GlobalARepartirSansMS+GlobalARepartirMSOnly+GlobalARepartirInfraReseau)</f>
        <v>0</v>
      </c>
      <c r="W225" s="25">
        <f>TabVMEnv[[#This Row],[CoutGlobalSansCostCenterDI]]+TabVMEnv[[#This Row],[CoutGlobalSupplementaire]]</f>
        <v>0</v>
      </c>
      <c r="X225" s="5" t="str">
        <f>VLOOKUP(TabVMEnv[[#This Row],[EnvProjet]],TabEnvProjet[],2,FALSE) &amp; " - " &amp; IFERROR(VLOOKUP(TabVMEnv[[#This Row],[EnvProjet]],TabEnvProjet[],4,FALSE),"INCONNU") &amp; " - " &amp; IFERROR(VLOOKUP(TabVMEnv[[#This Row],[EnvProjet]],TabEnvProjet[],5,FALSE),"INCONNU")</f>
        <v>GFI-Oceanet Infra Modèles - GFI Oceanet Infra Réseau - Jérôme JACOB</v>
      </c>
      <c r="Y225" s="5" t="str">
        <f>VLOOKUP(TabVMEnv[EnvProjet],TabEnvProjet[],5,FALSE)</f>
        <v>Jérôme JACOB</v>
      </c>
      <c r="Z225" s="5" t="str">
        <f>VLOOKUP(TabVMEnv[EnvProjet],TabEnvProjet[],6,FALSE)</f>
        <v>CostCenterDI</v>
      </c>
      <c r="AA225" s="5" t="str">
        <f>VLOOKUP(TabVMEnv[[#This Row],[EnvProjet]],TabEnvProjet[],3,FALSE)</f>
        <v>SOCLE</v>
      </c>
      <c r="AB225" s="5">
        <f>COUNTIF(TabVMEnv[VM],TabVMEnv[VM])</f>
        <v>1</v>
      </c>
    </row>
    <row r="226" spans="1:28" x14ac:dyDescent="0.25">
      <c r="A226" t="s">
        <v>1321</v>
      </c>
      <c r="B226" t="s">
        <v>293</v>
      </c>
      <c r="E226" s="13"/>
      <c r="F226" s="5">
        <f>IF(VLOOKUP(TabVMEnv[VM],TabOceanet[],16,FALSE) = "Tarif_VM",IF(VLOOKUP(TabVMEnv[VM],TabOceanet[],2,FALSE)&lt;4,4,VLOOKUP(TabVMEnv[VM],TabOceanet[],2,FALSE)),0)</f>
        <v>4</v>
      </c>
      <c r="G226">
        <v>0</v>
      </c>
      <c r="H226">
        <v>0</v>
      </c>
      <c r="I226">
        <v>0</v>
      </c>
      <c r="J226">
        <v>0</v>
      </c>
      <c r="K226" s="5">
        <f>IF(VLOOKUP(TabVMEnv[VM],TabOceanet[],16,FALSE) = "Tarif_VM",1,0)/TabVMEnv[[#This Row],[Mutualisé]]</f>
        <v>1</v>
      </c>
      <c r="L226" s="5">
        <f>IF(VLOOKUP(TabVMEnv[VM],TabOceanet[],9,FALSE) = "PoweredOn",1,0)</f>
        <v>0</v>
      </c>
      <c r="M226" s="5">
        <f>TabVMEnv[[#This Row],[IsVMPoweredOn]]*VLOOKUP(TabVMEnv[VM],TabOceanet[],3,FALSE)/TabVMEnv[[#This Row],[Mutualisé]]</f>
        <v>0</v>
      </c>
      <c r="N226" s="5">
        <f>VLOOKUP(TabVMEnv[VM],TabOceanet[],4,FALSE)/TabVMEnv[[#This Row],[Mutualisé]]</f>
        <v>4</v>
      </c>
      <c r="O226" s="5">
        <f>IF(LEFT(VLOOKUP(TabVMEnv[VM],TabOceanet[],5,FALSE),3)="win",1,0)</f>
        <v>0</v>
      </c>
      <c r="P226"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26" t="str">
        <f>VLOOKUP(TabVMEnv[EnvProjet],TabEnvProjet[],4,FALSE)</f>
        <v>GFI Oceanet Infra Réseau</v>
      </c>
      <c r="R226" s="5" t="str">
        <f>VLOOKUP(TabVMEnv[[#This Row],[SYGES]],TabContrat[],2,FALSE)</f>
        <v>GFI</v>
      </c>
      <c r="S226" s="5" t="str">
        <f>IF(VLOOKUP(TabVMEnv[[#This Row],[VM]],TabOceanet[],1,FALSE) = "","Disparue","")</f>
        <v/>
      </c>
      <c r="T226" s="25">
        <f>VLOOKUP(TabVMEnv[[#This Row],[VM]],TabOceanet[],36,FALSE)/TabVMEnv[[#This Row],[Mutualisé]]</f>
        <v>0.92</v>
      </c>
      <c r="U226" s="25">
        <f>IF(TabVMEnv[[#This Row],[CostCenter]]="CostCenterDI",0,TabVMEnv[[#This Row],[CoutGlobal]])</f>
        <v>0</v>
      </c>
      <c r="V226" s="25">
        <f>TabVMEnv[[#This Row],[CoutGlobalSansCostCenterDI]]/TabVMEnv[[#Totals],[CoutGlobalSansCostCenterDI]]*(GlobalARepartirSansMS+GlobalARepartirMSOnly+GlobalARepartirInfraReseau)</f>
        <v>0</v>
      </c>
      <c r="W226" s="25">
        <f>TabVMEnv[[#This Row],[CoutGlobalSansCostCenterDI]]+TabVMEnv[[#This Row],[CoutGlobalSupplementaire]]</f>
        <v>0</v>
      </c>
      <c r="X226" s="5" t="str">
        <f>VLOOKUP(TabVMEnv[[#This Row],[EnvProjet]],TabEnvProjet[],2,FALSE) &amp; " - " &amp; IFERROR(VLOOKUP(TabVMEnv[[#This Row],[EnvProjet]],TabEnvProjet[],4,FALSE),"INCONNU") &amp; " - " &amp; IFERROR(VLOOKUP(TabVMEnv[[#This Row],[EnvProjet]],TabEnvProjet[],5,FALSE),"INCONNU")</f>
        <v>GFI-Oceanet Infra Modèles - GFI Oceanet Infra Réseau - Jérôme JACOB</v>
      </c>
      <c r="Y226" s="5" t="str">
        <f>VLOOKUP(TabVMEnv[EnvProjet],TabEnvProjet[],5,FALSE)</f>
        <v>Jérôme JACOB</v>
      </c>
      <c r="Z226" s="5" t="str">
        <f>VLOOKUP(TabVMEnv[EnvProjet],TabEnvProjet[],6,FALSE)</f>
        <v>CostCenterDI</v>
      </c>
      <c r="AA226" s="5" t="str">
        <f>VLOOKUP(TabVMEnv[[#This Row],[EnvProjet]],TabEnvProjet[],3,FALSE)</f>
        <v>SOCLE</v>
      </c>
      <c r="AB226" s="5">
        <f>COUNTIF(TabVMEnv[VM],TabVMEnv[VM])</f>
        <v>1</v>
      </c>
    </row>
    <row r="227" spans="1:28" x14ac:dyDescent="0.25">
      <c r="A227" t="s">
        <v>213</v>
      </c>
      <c r="B227" t="s">
        <v>290</v>
      </c>
      <c r="E227" s="13"/>
      <c r="F227">
        <f>IF(VLOOKUP(TabVMEnv[VM],TabOceanet[],16,FALSE) = "Tarif_VM",IF(VLOOKUP(TabVMEnv[VM],TabOceanet[],2,FALSE)&lt;4,4,VLOOKUP(TabVMEnv[VM],TabOceanet[],2,FALSE)),0)</f>
        <v>0</v>
      </c>
      <c r="G227">
        <v>0</v>
      </c>
      <c r="H227">
        <v>0</v>
      </c>
      <c r="I227">
        <v>0</v>
      </c>
      <c r="J227">
        <v>0</v>
      </c>
      <c r="K227">
        <f>IF(VLOOKUP(TabVMEnv[VM],TabOceanet[],16,FALSE) = "Tarif_VM",1,0)/TabVMEnv[[#This Row],[Mutualisé]]</f>
        <v>0</v>
      </c>
      <c r="L227">
        <f>IF(VLOOKUP(TabVMEnv[VM],TabOceanet[],9,FALSE) = "PoweredOn",1,0)</f>
        <v>0</v>
      </c>
      <c r="M227">
        <f>TabVMEnv[[#This Row],[IsVMPoweredOn]]*VLOOKUP(TabVMEnv[VM],TabOceanet[],3,FALSE)/TabVMEnv[[#This Row],[Mutualisé]]</f>
        <v>0</v>
      </c>
      <c r="N227">
        <f>VLOOKUP(TabVMEnv[VM],TabOceanet[],4,FALSE)/TabVMEnv[[#This Row],[Mutualisé]]</f>
        <v>0</v>
      </c>
      <c r="O227">
        <f>IF(LEFT(VLOOKUP(TabVMEnv[VM],TabOceanet[],5,FALSE),3)="win",1,0)</f>
        <v>0</v>
      </c>
      <c r="P227"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27" t="str">
        <f>VLOOKUP(TabVMEnv[EnvProjet],TabEnvProjet[],4,FALSE)</f>
        <v>HEBERG-EDI  MUT-2018</v>
      </c>
      <c r="R227" s="5" t="str">
        <f>VLOOKUP(TabVMEnv[[#This Row],[SYGES]],TabContrat[],2,FALSE)</f>
        <v>HEBERG-EDI</v>
      </c>
      <c r="S227" s="5" t="str">
        <f>IF(VLOOKUP(TabVMEnv[[#This Row],[VM]],TabOceanet[],1,FALSE) = "","Disparue","")</f>
        <v/>
      </c>
      <c r="T227" s="25">
        <f>VLOOKUP(TabVMEnv[[#This Row],[VM]],TabOceanet[],36,FALSE)/TabVMEnv[[#This Row],[Mutualisé]]</f>
        <v>10</v>
      </c>
      <c r="U227" s="25">
        <f>IF(TabVMEnv[[#This Row],[CostCenter]]="CostCenterDI",0,TabVMEnv[[#This Row],[CoutGlobal]])</f>
        <v>10</v>
      </c>
      <c r="V227" s="25">
        <f>TabVMEnv[[#This Row],[CoutGlobalSansCostCenterDI]]/TabVMEnv[[#Totals],[CoutGlobalSansCostCenterDI]]*(GlobalARepartirSansMS+GlobalARepartirMSOnly+GlobalARepartirInfraReseau)</f>
        <v>17.454570438760861</v>
      </c>
      <c r="W227" s="25">
        <f>TabVMEnv[[#This Row],[CoutGlobalSansCostCenterDI]]+TabVMEnv[[#This Row],[CoutGlobalSupplementaire]]</f>
        <v>27.454570438760861</v>
      </c>
      <c r="X227" s="5" t="str">
        <f>VLOOKUP(TabVMEnv[[#This Row],[EnvProjet]],TabEnvProjet[],2,FALSE) &amp; " - " &amp; IFERROR(VLOOKUP(TabVMEnv[[#This Row],[EnvProjet]],TabEnvProjet[],4,FALSE),"INCONNU") &amp; " - " &amp; IFERROR(VLOOKUP(TabVMEnv[[#This Row],[EnvProjet]],TabEnvProjet[],5,FALSE),"INCONNU")</f>
        <v>EDI-MUT-EDI-MUT - HEBERG-EDI  MUT-2018 - David LEMALHEUX</v>
      </c>
      <c r="Y227" s="5" t="str">
        <f>VLOOKUP(TabVMEnv[EnvProjet],TabEnvProjet[],5,FALSE)</f>
        <v>David LEMALHEUX</v>
      </c>
      <c r="Z227" s="5" t="str">
        <f>VLOOKUP(TabVMEnv[EnvProjet],TabEnvProjet[],6,FALSE)</f>
        <v>341530-EDI</v>
      </c>
      <c r="AA227" s="5" t="str">
        <f>VLOOKUP(TabVMEnv[[#This Row],[EnvProjet]],TabEnvProjet[],3,FALSE)</f>
        <v>PROD</v>
      </c>
      <c r="AB227" s="5">
        <f>COUNTIF(TabVMEnv[VM],TabVMEnv[VM])</f>
        <v>1</v>
      </c>
    </row>
    <row r="228" spans="1:28" x14ac:dyDescent="0.25">
      <c r="A228" t="s">
        <v>170</v>
      </c>
      <c r="B228" t="s">
        <v>294</v>
      </c>
      <c r="E228" s="13"/>
      <c r="F228">
        <f>IF(VLOOKUP(TabVMEnv[VM],TabOceanet[],16,FALSE) = "Tarif_VM",IF(VLOOKUP(TabVMEnv[VM],TabOceanet[],2,FALSE)&lt;4,4,VLOOKUP(TabVMEnv[VM],TabOceanet[],2,FALSE)),0)</f>
        <v>0</v>
      </c>
      <c r="G228">
        <v>0</v>
      </c>
      <c r="H228">
        <v>0</v>
      </c>
      <c r="I228">
        <v>0</v>
      </c>
      <c r="J228">
        <v>0</v>
      </c>
      <c r="K228">
        <f>IF(VLOOKUP(TabVMEnv[VM],TabOceanet[],16,FALSE) = "Tarif_VM",1,0)/TabVMEnv[[#This Row],[Mutualisé]]</f>
        <v>0</v>
      </c>
      <c r="L228">
        <f>IF(VLOOKUP(TabVMEnv[VM],TabOceanet[],9,FALSE) = "PoweredOn",1,0)</f>
        <v>0</v>
      </c>
      <c r="M228">
        <f>TabVMEnv[[#This Row],[IsVMPoweredOn]]*VLOOKUP(TabVMEnv[VM],TabOceanet[],3,FALSE)/TabVMEnv[[#This Row],[Mutualisé]]</f>
        <v>0</v>
      </c>
      <c r="N228">
        <f>VLOOKUP(TabVMEnv[VM],TabOceanet[],4,FALSE)/TabVMEnv[[#This Row],[Mutualisé]]</f>
        <v>0</v>
      </c>
      <c r="O228">
        <f>IF(LEFT(VLOOKUP(TabVMEnv[VM],TabOceanet[],5,FALSE),3)="win",1,0)</f>
        <v>0</v>
      </c>
      <c r="P228"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28" t="str">
        <f>VLOOKUP(TabVMEnv[EnvProjet],TabEnvProjet[],4,FALSE)</f>
        <v>GFI Oceanet Infra Réseau</v>
      </c>
      <c r="R228" s="5" t="str">
        <f>VLOOKUP(TabVMEnv[[#This Row],[SYGES]],TabContrat[],2,FALSE)</f>
        <v>GFI</v>
      </c>
      <c r="S228" s="5" t="str">
        <f>IF(VLOOKUP(TabVMEnv[[#This Row],[VM]],TabOceanet[],1,FALSE) = "","Disparue","")</f>
        <v/>
      </c>
      <c r="T228" s="25">
        <f>VLOOKUP(TabVMEnv[[#This Row],[VM]],TabOceanet[],36,FALSE)/TabVMEnv[[#This Row],[Mutualisé]]</f>
        <v>10</v>
      </c>
      <c r="U228" s="25">
        <f>IF(TabVMEnv[[#This Row],[CostCenter]]="CostCenterDI",0,TabVMEnv[[#This Row],[CoutGlobal]])</f>
        <v>0</v>
      </c>
      <c r="V228" s="25">
        <f>TabVMEnv[[#This Row],[CoutGlobalSansCostCenterDI]]/TabVMEnv[[#Totals],[CoutGlobalSansCostCenterDI]]*(GlobalARepartirSansMS+GlobalARepartirMSOnly+GlobalARepartirInfraReseau)</f>
        <v>0</v>
      </c>
      <c r="W228" s="25">
        <f>TabVMEnv[[#This Row],[CoutGlobalSansCostCenterDI]]+TabVMEnv[[#This Row],[CoutGlobalSupplementaire]]</f>
        <v>0</v>
      </c>
      <c r="X228" s="5" t="str">
        <f>VLOOKUP(TabVMEnv[[#This Row],[EnvProjet]],TabEnvProjet[],2,FALSE) &amp; " - " &amp; IFERROR(VLOOKUP(TabVMEnv[[#This Row],[EnvProjet]],TabEnvProjet[],4,FALSE),"INCONNU") &amp; " - " &amp; IFERROR(VLOOKUP(TabVMEnv[[#This Row],[EnvProjet]],TabEnvProjet[],5,FALSE),"INCONNU")</f>
        <v>GFI-Oceanet Infra Réseau - GFI Oceanet Infra Réseau - Jérôme JACOB</v>
      </c>
      <c r="Y228" s="5" t="str">
        <f>VLOOKUP(TabVMEnv[EnvProjet],TabEnvProjet[],5,FALSE)</f>
        <v>Jérôme JACOB</v>
      </c>
      <c r="Z228" s="5" t="str">
        <f>VLOOKUP(TabVMEnv[EnvProjet],TabEnvProjet[],6,FALSE)</f>
        <v>CostCenterDI</v>
      </c>
      <c r="AA228" s="5" t="str">
        <f>VLOOKUP(TabVMEnv[[#This Row],[EnvProjet]],TabEnvProjet[],3,FALSE)</f>
        <v>SOCLE</v>
      </c>
      <c r="AB228" s="5">
        <f>COUNTIF(TabVMEnv[VM],TabVMEnv[VM])</f>
        <v>1</v>
      </c>
    </row>
    <row r="229" spans="1:28" x14ac:dyDescent="0.25">
      <c r="A229" t="s">
        <v>171</v>
      </c>
      <c r="B229" t="s">
        <v>294</v>
      </c>
      <c r="E229" s="13"/>
      <c r="F229">
        <f>IF(VLOOKUP(TabVMEnv[VM],TabOceanet[],16,FALSE) = "Tarif_VM",IF(VLOOKUP(TabVMEnv[VM],TabOceanet[],2,FALSE)&lt;4,4,VLOOKUP(TabVMEnv[VM],TabOceanet[],2,FALSE)),0)</f>
        <v>0</v>
      </c>
      <c r="G229">
        <v>0</v>
      </c>
      <c r="H229">
        <v>0</v>
      </c>
      <c r="I229">
        <v>0</v>
      </c>
      <c r="J229">
        <v>0</v>
      </c>
      <c r="K229">
        <f>IF(VLOOKUP(TabVMEnv[VM],TabOceanet[],16,FALSE) = "Tarif_VM",1,0)/TabVMEnv[[#This Row],[Mutualisé]]</f>
        <v>0</v>
      </c>
      <c r="L229">
        <f>IF(VLOOKUP(TabVMEnv[VM],TabOceanet[],9,FALSE) = "PoweredOn",1,0)</f>
        <v>0</v>
      </c>
      <c r="M229">
        <f>TabVMEnv[[#This Row],[IsVMPoweredOn]]*VLOOKUP(TabVMEnv[VM],TabOceanet[],3,FALSE)/TabVMEnv[[#This Row],[Mutualisé]]</f>
        <v>0</v>
      </c>
      <c r="N229">
        <f>VLOOKUP(TabVMEnv[VM],TabOceanet[],4,FALSE)/TabVMEnv[[#This Row],[Mutualisé]]</f>
        <v>0</v>
      </c>
      <c r="O229">
        <f>IF(LEFT(VLOOKUP(TabVMEnv[VM],TabOceanet[],5,FALSE),3)="win",1,0)</f>
        <v>0</v>
      </c>
      <c r="P229"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29" t="str">
        <f>VLOOKUP(TabVMEnv[EnvProjet],TabEnvProjet[],4,FALSE)</f>
        <v>GFI Oceanet Infra Réseau</v>
      </c>
      <c r="R229" s="5" t="str">
        <f>VLOOKUP(TabVMEnv[[#This Row],[SYGES]],TabContrat[],2,FALSE)</f>
        <v>GFI</v>
      </c>
      <c r="S229" s="5" t="str">
        <f>IF(VLOOKUP(TabVMEnv[[#This Row],[VM]],TabOceanet[],1,FALSE) = "","Disparue","")</f>
        <v/>
      </c>
      <c r="T229" s="25">
        <f>VLOOKUP(TabVMEnv[[#This Row],[VM]],TabOceanet[],36,FALSE)/TabVMEnv[[#This Row],[Mutualisé]]</f>
        <v>10</v>
      </c>
      <c r="U229" s="25">
        <f>IF(TabVMEnv[[#This Row],[CostCenter]]="CostCenterDI",0,TabVMEnv[[#This Row],[CoutGlobal]])</f>
        <v>0</v>
      </c>
      <c r="V229" s="25">
        <f>TabVMEnv[[#This Row],[CoutGlobalSansCostCenterDI]]/TabVMEnv[[#Totals],[CoutGlobalSansCostCenterDI]]*(GlobalARepartirSansMS+GlobalARepartirMSOnly+GlobalARepartirInfraReseau)</f>
        <v>0</v>
      </c>
      <c r="W229" s="25">
        <f>TabVMEnv[[#This Row],[CoutGlobalSansCostCenterDI]]+TabVMEnv[[#This Row],[CoutGlobalSupplementaire]]</f>
        <v>0</v>
      </c>
      <c r="X229" s="5" t="str">
        <f>VLOOKUP(TabVMEnv[[#This Row],[EnvProjet]],TabEnvProjet[],2,FALSE) &amp; " - " &amp; IFERROR(VLOOKUP(TabVMEnv[[#This Row],[EnvProjet]],TabEnvProjet[],4,FALSE),"INCONNU") &amp; " - " &amp; IFERROR(VLOOKUP(TabVMEnv[[#This Row],[EnvProjet]],TabEnvProjet[],5,FALSE),"INCONNU")</f>
        <v>GFI-Oceanet Infra Réseau - GFI Oceanet Infra Réseau - Jérôme JACOB</v>
      </c>
      <c r="Y229" s="5" t="str">
        <f>VLOOKUP(TabVMEnv[EnvProjet],TabEnvProjet[],5,FALSE)</f>
        <v>Jérôme JACOB</v>
      </c>
      <c r="Z229" s="5" t="str">
        <f>VLOOKUP(TabVMEnv[EnvProjet],TabEnvProjet[],6,FALSE)</f>
        <v>CostCenterDI</v>
      </c>
      <c r="AA229" s="5" t="str">
        <f>VLOOKUP(TabVMEnv[[#This Row],[EnvProjet]],TabEnvProjet[],3,FALSE)</f>
        <v>SOCLE</v>
      </c>
      <c r="AB229" s="5">
        <f>COUNTIF(TabVMEnv[VM],TabVMEnv[VM])</f>
        <v>1</v>
      </c>
    </row>
    <row r="230" spans="1:28" x14ac:dyDescent="0.25">
      <c r="A230" t="s">
        <v>172</v>
      </c>
      <c r="B230" t="s">
        <v>294</v>
      </c>
      <c r="E230" s="13"/>
      <c r="F230">
        <f>IF(VLOOKUP(TabVMEnv[VM],TabOceanet[],16,FALSE) = "Tarif_VM",IF(VLOOKUP(TabVMEnv[VM],TabOceanet[],2,FALSE)&lt;4,4,VLOOKUP(TabVMEnv[VM],TabOceanet[],2,FALSE)),0)</f>
        <v>0</v>
      </c>
      <c r="G230">
        <v>0</v>
      </c>
      <c r="H230">
        <v>0</v>
      </c>
      <c r="I230">
        <v>0</v>
      </c>
      <c r="J230">
        <v>0</v>
      </c>
      <c r="K230">
        <f>IF(VLOOKUP(TabVMEnv[VM],TabOceanet[],16,FALSE) = "Tarif_VM",1,0)/TabVMEnv[[#This Row],[Mutualisé]]</f>
        <v>0</v>
      </c>
      <c r="L230">
        <f>IF(VLOOKUP(TabVMEnv[VM],TabOceanet[],9,FALSE) = "PoweredOn",1,0)</f>
        <v>0</v>
      </c>
      <c r="M230">
        <f>TabVMEnv[[#This Row],[IsVMPoweredOn]]*VLOOKUP(TabVMEnv[VM],TabOceanet[],3,FALSE)/TabVMEnv[[#This Row],[Mutualisé]]</f>
        <v>0</v>
      </c>
      <c r="N230">
        <f>VLOOKUP(TabVMEnv[VM],TabOceanet[],4,FALSE)/TabVMEnv[[#This Row],[Mutualisé]]</f>
        <v>0</v>
      </c>
      <c r="O230">
        <f>IF(LEFT(VLOOKUP(TabVMEnv[VM],TabOceanet[],5,FALSE),3)="win",1,0)</f>
        <v>0</v>
      </c>
      <c r="P230"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30" t="str">
        <f>VLOOKUP(TabVMEnv[EnvProjet],TabEnvProjet[],4,FALSE)</f>
        <v>GFI Oceanet Infra Réseau</v>
      </c>
      <c r="R230" s="5" t="str">
        <f>VLOOKUP(TabVMEnv[[#This Row],[SYGES]],TabContrat[],2,FALSE)</f>
        <v>GFI</v>
      </c>
      <c r="S230" s="5" t="str">
        <f>IF(VLOOKUP(TabVMEnv[[#This Row],[VM]],TabOceanet[],1,FALSE) = "","Disparue","")</f>
        <v/>
      </c>
      <c r="T230" s="25">
        <f>VLOOKUP(TabVMEnv[[#This Row],[VM]],TabOceanet[],36,FALSE)/TabVMEnv[[#This Row],[Mutualisé]]</f>
        <v>10</v>
      </c>
      <c r="U230" s="25">
        <f>IF(TabVMEnv[[#This Row],[CostCenter]]="CostCenterDI",0,TabVMEnv[[#This Row],[CoutGlobal]])</f>
        <v>0</v>
      </c>
      <c r="V230" s="25">
        <f>TabVMEnv[[#This Row],[CoutGlobalSansCostCenterDI]]/TabVMEnv[[#Totals],[CoutGlobalSansCostCenterDI]]*(GlobalARepartirSansMS+GlobalARepartirMSOnly+GlobalARepartirInfraReseau)</f>
        <v>0</v>
      </c>
      <c r="W230" s="25">
        <f>TabVMEnv[[#This Row],[CoutGlobalSansCostCenterDI]]+TabVMEnv[[#This Row],[CoutGlobalSupplementaire]]</f>
        <v>0</v>
      </c>
      <c r="X230" s="5" t="str">
        <f>VLOOKUP(TabVMEnv[[#This Row],[EnvProjet]],TabEnvProjet[],2,FALSE) &amp; " - " &amp; IFERROR(VLOOKUP(TabVMEnv[[#This Row],[EnvProjet]],TabEnvProjet[],4,FALSE),"INCONNU") &amp; " - " &amp; IFERROR(VLOOKUP(TabVMEnv[[#This Row],[EnvProjet]],TabEnvProjet[],5,FALSE),"INCONNU")</f>
        <v>GFI-Oceanet Infra Réseau - GFI Oceanet Infra Réseau - Jérôme JACOB</v>
      </c>
      <c r="Y230" s="5" t="str">
        <f>VLOOKUP(TabVMEnv[EnvProjet],TabEnvProjet[],5,FALSE)</f>
        <v>Jérôme JACOB</v>
      </c>
      <c r="Z230" s="5" t="str">
        <f>VLOOKUP(TabVMEnv[EnvProjet],TabEnvProjet[],6,FALSE)</f>
        <v>CostCenterDI</v>
      </c>
      <c r="AA230" s="5" t="str">
        <f>VLOOKUP(TabVMEnv[[#This Row],[EnvProjet]],TabEnvProjet[],3,FALSE)</f>
        <v>SOCLE</v>
      </c>
      <c r="AB230" s="5">
        <f>COUNTIF(TabVMEnv[VM],TabVMEnv[VM])</f>
        <v>1</v>
      </c>
    </row>
    <row r="231" spans="1:28" x14ac:dyDescent="0.25">
      <c r="A231" t="s">
        <v>173</v>
      </c>
      <c r="B231" t="s">
        <v>294</v>
      </c>
      <c r="E231" s="13"/>
      <c r="F231">
        <f>IF(VLOOKUP(TabVMEnv[VM],TabOceanet[],16,FALSE) = "Tarif_VM",IF(VLOOKUP(TabVMEnv[VM],TabOceanet[],2,FALSE)&lt;4,4,VLOOKUP(TabVMEnv[VM],TabOceanet[],2,FALSE)),0)</f>
        <v>0</v>
      </c>
      <c r="G231">
        <v>0</v>
      </c>
      <c r="H231">
        <v>0</v>
      </c>
      <c r="I231">
        <v>0</v>
      </c>
      <c r="J231">
        <v>0</v>
      </c>
      <c r="K231">
        <f>IF(VLOOKUP(TabVMEnv[VM],TabOceanet[],16,FALSE) = "Tarif_VM",1,0)/TabVMEnv[[#This Row],[Mutualisé]]</f>
        <v>0</v>
      </c>
      <c r="L231">
        <f>IF(VLOOKUP(TabVMEnv[VM],TabOceanet[],9,FALSE) = "PoweredOn",1,0)</f>
        <v>0</v>
      </c>
      <c r="M231">
        <f>TabVMEnv[[#This Row],[IsVMPoweredOn]]*VLOOKUP(TabVMEnv[VM],TabOceanet[],3,FALSE)/TabVMEnv[[#This Row],[Mutualisé]]</f>
        <v>0</v>
      </c>
      <c r="N231">
        <f>VLOOKUP(TabVMEnv[VM],TabOceanet[],4,FALSE)/TabVMEnv[[#This Row],[Mutualisé]]</f>
        <v>0</v>
      </c>
      <c r="O231">
        <f>IF(LEFT(VLOOKUP(TabVMEnv[VM],TabOceanet[],5,FALSE),3)="win",1,0)</f>
        <v>0</v>
      </c>
      <c r="P231"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31" t="str">
        <f>VLOOKUP(TabVMEnv[EnvProjet],TabEnvProjet[],4,FALSE)</f>
        <v>GFI Oceanet Infra Réseau</v>
      </c>
      <c r="R231" s="5" t="str">
        <f>VLOOKUP(TabVMEnv[[#This Row],[SYGES]],TabContrat[],2,FALSE)</f>
        <v>GFI</v>
      </c>
      <c r="S231" s="5" t="str">
        <f>IF(VLOOKUP(TabVMEnv[[#This Row],[VM]],TabOceanet[],1,FALSE) = "","Disparue","")</f>
        <v/>
      </c>
      <c r="T231" s="25">
        <f>VLOOKUP(TabVMEnv[[#This Row],[VM]],TabOceanet[],36,FALSE)/TabVMEnv[[#This Row],[Mutualisé]]</f>
        <v>10</v>
      </c>
      <c r="U231" s="25">
        <f>IF(TabVMEnv[[#This Row],[CostCenter]]="CostCenterDI",0,TabVMEnv[[#This Row],[CoutGlobal]])</f>
        <v>0</v>
      </c>
      <c r="V231" s="25">
        <f>TabVMEnv[[#This Row],[CoutGlobalSansCostCenterDI]]/TabVMEnv[[#Totals],[CoutGlobalSansCostCenterDI]]*(GlobalARepartirSansMS+GlobalARepartirMSOnly+GlobalARepartirInfraReseau)</f>
        <v>0</v>
      </c>
      <c r="W231" s="25">
        <f>TabVMEnv[[#This Row],[CoutGlobalSansCostCenterDI]]+TabVMEnv[[#This Row],[CoutGlobalSupplementaire]]</f>
        <v>0</v>
      </c>
      <c r="X231" s="5" t="str">
        <f>VLOOKUP(TabVMEnv[[#This Row],[EnvProjet]],TabEnvProjet[],2,FALSE) &amp; " - " &amp; IFERROR(VLOOKUP(TabVMEnv[[#This Row],[EnvProjet]],TabEnvProjet[],4,FALSE),"INCONNU") &amp; " - " &amp; IFERROR(VLOOKUP(TabVMEnv[[#This Row],[EnvProjet]],TabEnvProjet[],5,FALSE),"INCONNU")</f>
        <v>GFI-Oceanet Infra Réseau - GFI Oceanet Infra Réseau - Jérôme JACOB</v>
      </c>
      <c r="Y231" s="5" t="str">
        <f>VLOOKUP(TabVMEnv[EnvProjet],TabEnvProjet[],5,FALSE)</f>
        <v>Jérôme JACOB</v>
      </c>
      <c r="Z231" s="5" t="str">
        <f>VLOOKUP(TabVMEnv[EnvProjet],TabEnvProjet[],6,FALSE)</f>
        <v>CostCenterDI</v>
      </c>
      <c r="AA231" s="5" t="str">
        <f>VLOOKUP(TabVMEnv[[#This Row],[EnvProjet]],TabEnvProjet[],3,FALSE)</f>
        <v>SOCLE</v>
      </c>
      <c r="AB231" s="5">
        <f>COUNTIF(TabVMEnv[VM],TabVMEnv[VM])</f>
        <v>1</v>
      </c>
    </row>
    <row r="232" spans="1:28" x14ac:dyDescent="0.25">
      <c r="A232" t="s">
        <v>174</v>
      </c>
      <c r="B232" t="s">
        <v>294</v>
      </c>
      <c r="E232" s="13"/>
      <c r="F232">
        <f>IF(VLOOKUP(TabVMEnv[VM],TabOceanet[],16,FALSE) = "Tarif_VM",IF(VLOOKUP(TabVMEnv[VM],TabOceanet[],2,FALSE)&lt;4,4,VLOOKUP(TabVMEnv[VM],TabOceanet[],2,FALSE)),0)</f>
        <v>0</v>
      </c>
      <c r="G232">
        <v>0</v>
      </c>
      <c r="H232">
        <v>0</v>
      </c>
      <c r="I232">
        <v>0</v>
      </c>
      <c r="J232">
        <v>0</v>
      </c>
      <c r="K232">
        <f>IF(VLOOKUP(TabVMEnv[VM],TabOceanet[],16,FALSE) = "Tarif_VM",1,0)/TabVMEnv[[#This Row],[Mutualisé]]</f>
        <v>0</v>
      </c>
      <c r="L232">
        <f>IF(VLOOKUP(TabVMEnv[VM],TabOceanet[],9,FALSE) = "PoweredOn",1,0)</f>
        <v>0</v>
      </c>
      <c r="M232">
        <f>TabVMEnv[[#This Row],[IsVMPoweredOn]]*VLOOKUP(TabVMEnv[VM],TabOceanet[],3,FALSE)/TabVMEnv[[#This Row],[Mutualisé]]</f>
        <v>0</v>
      </c>
      <c r="N232">
        <f>VLOOKUP(TabVMEnv[VM],TabOceanet[],4,FALSE)/TabVMEnv[[#This Row],[Mutualisé]]</f>
        <v>0</v>
      </c>
      <c r="O232">
        <f>IF(LEFT(VLOOKUP(TabVMEnv[VM],TabOceanet[],5,FALSE),3)="win",1,0)</f>
        <v>0</v>
      </c>
      <c r="P232"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32" t="str">
        <f>VLOOKUP(TabVMEnv[EnvProjet],TabEnvProjet[],4,FALSE)</f>
        <v>GFI Oceanet Infra Réseau</v>
      </c>
      <c r="R232" s="5" t="str">
        <f>VLOOKUP(TabVMEnv[[#This Row],[SYGES]],TabContrat[],2,FALSE)</f>
        <v>GFI</v>
      </c>
      <c r="S232" s="5" t="str">
        <f>IF(VLOOKUP(TabVMEnv[[#This Row],[VM]],TabOceanet[],1,FALSE) = "","Disparue","")</f>
        <v/>
      </c>
      <c r="T232" s="25">
        <f>VLOOKUP(TabVMEnv[[#This Row],[VM]],TabOceanet[],36,FALSE)/TabVMEnv[[#This Row],[Mutualisé]]</f>
        <v>10</v>
      </c>
      <c r="U232" s="25">
        <f>IF(TabVMEnv[[#This Row],[CostCenter]]="CostCenterDI",0,TabVMEnv[[#This Row],[CoutGlobal]])</f>
        <v>0</v>
      </c>
      <c r="V232" s="25">
        <f>TabVMEnv[[#This Row],[CoutGlobalSansCostCenterDI]]/TabVMEnv[[#Totals],[CoutGlobalSansCostCenterDI]]*(GlobalARepartirSansMS+GlobalARepartirMSOnly+GlobalARepartirInfraReseau)</f>
        <v>0</v>
      </c>
      <c r="W232" s="25">
        <f>TabVMEnv[[#This Row],[CoutGlobalSansCostCenterDI]]+TabVMEnv[[#This Row],[CoutGlobalSupplementaire]]</f>
        <v>0</v>
      </c>
      <c r="X232" s="5" t="str">
        <f>VLOOKUP(TabVMEnv[[#This Row],[EnvProjet]],TabEnvProjet[],2,FALSE) &amp; " - " &amp; IFERROR(VLOOKUP(TabVMEnv[[#This Row],[EnvProjet]],TabEnvProjet[],4,FALSE),"INCONNU") &amp; " - " &amp; IFERROR(VLOOKUP(TabVMEnv[[#This Row],[EnvProjet]],TabEnvProjet[],5,FALSE),"INCONNU")</f>
        <v>GFI-Oceanet Infra Réseau - GFI Oceanet Infra Réseau - Jérôme JACOB</v>
      </c>
      <c r="Y232" s="5" t="str">
        <f>VLOOKUP(TabVMEnv[EnvProjet],TabEnvProjet[],5,FALSE)</f>
        <v>Jérôme JACOB</v>
      </c>
      <c r="Z232" s="5" t="str">
        <f>VLOOKUP(TabVMEnv[EnvProjet],TabEnvProjet[],6,FALSE)</f>
        <v>CostCenterDI</v>
      </c>
      <c r="AA232" s="5" t="str">
        <f>VLOOKUP(TabVMEnv[[#This Row],[EnvProjet]],TabEnvProjet[],3,FALSE)</f>
        <v>SOCLE</v>
      </c>
      <c r="AB232" s="5">
        <f>COUNTIF(TabVMEnv[VM],TabVMEnv[VM])</f>
        <v>1</v>
      </c>
    </row>
    <row r="233" spans="1:28" x14ac:dyDescent="0.25">
      <c r="A233" t="s">
        <v>175</v>
      </c>
      <c r="B233" t="s">
        <v>294</v>
      </c>
      <c r="E233" s="13"/>
      <c r="F233">
        <f>IF(VLOOKUP(TabVMEnv[VM],TabOceanet[],16,FALSE) = "Tarif_VM",IF(VLOOKUP(TabVMEnv[VM],TabOceanet[],2,FALSE)&lt;4,4,VLOOKUP(TabVMEnv[VM],TabOceanet[],2,FALSE)),0)</f>
        <v>0</v>
      </c>
      <c r="G233">
        <v>0</v>
      </c>
      <c r="H233">
        <v>0</v>
      </c>
      <c r="I233">
        <v>0</v>
      </c>
      <c r="J233">
        <v>0</v>
      </c>
      <c r="K233">
        <f>IF(VLOOKUP(TabVMEnv[VM],TabOceanet[],16,FALSE) = "Tarif_VM",1,0)/TabVMEnv[[#This Row],[Mutualisé]]</f>
        <v>0</v>
      </c>
      <c r="L233">
        <f>IF(VLOOKUP(TabVMEnv[VM],TabOceanet[],9,FALSE) = "PoweredOn",1,0)</f>
        <v>0</v>
      </c>
      <c r="M233">
        <f>TabVMEnv[[#This Row],[IsVMPoweredOn]]*VLOOKUP(TabVMEnv[VM],TabOceanet[],3,FALSE)/TabVMEnv[[#This Row],[Mutualisé]]</f>
        <v>0</v>
      </c>
      <c r="N233">
        <f>VLOOKUP(TabVMEnv[VM],TabOceanet[],4,FALSE)/TabVMEnv[[#This Row],[Mutualisé]]</f>
        <v>0</v>
      </c>
      <c r="O233">
        <f>IF(LEFT(VLOOKUP(TabVMEnv[VM],TabOceanet[],5,FALSE),3)="win",1,0)</f>
        <v>0</v>
      </c>
      <c r="P233"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33" t="str">
        <f>VLOOKUP(TabVMEnv[EnvProjet],TabEnvProjet[],4,FALSE)</f>
        <v>GFI Oceanet Infra Réseau</v>
      </c>
      <c r="R233" s="5" t="str">
        <f>VLOOKUP(TabVMEnv[[#This Row],[SYGES]],TabContrat[],2,FALSE)</f>
        <v>GFI</v>
      </c>
      <c r="S233" s="5" t="str">
        <f>IF(VLOOKUP(TabVMEnv[[#This Row],[VM]],TabOceanet[],1,FALSE) = "","Disparue","")</f>
        <v/>
      </c>
      <c r="T233" s="25">
        <f>VLOOKUP(TabVMEnv[[#This Row],[VM]],TabOceanet[],36,FALSE)/TabVMEnv[[#This Row],[Mutualisé]]</f>
        <v>10</v>
      </c>
      <c r="U233" s="25">
        <f>IF(TabVMEnv[[#This Row],[CostCenter]]="CostCenterDI",0,TabVMEnv[[#This Row],[CoutGlobal]])</f>
        <v>0</v>
      </c>
      <c r="V233" s="25">
        <f>TabVMEnv[[#This Row],[CoutGlobalSansCostCenterDI]]/TabVMEnv[[#Totals],[CoutGlobalSansCostCenterDI]]*(GlobalARepartirSansMS+GlobalARepartirMSOnly+GlobalARepartirInfraReseau)</f>
        <v>0</v>
      </c>
      <c r="W233" s="25">
        <f>TabVMEnv[[#This Row],[CoutGlobalSansCostCenterDI]]+TabVMEnv[[#This Row],[CoutGlobalSupplementaire]]</f>
        <v>0</v>
      </c>
      <c r="X233" s="5" t="str">
        <f>VLOOKUP(TabVMEnv[[#This Row],[EnvProjet]],TabEnvProjet[],2,FALSE) &amp; " - " &amp; IFERROR(VLOOKUP(TabVMEnv[[#This Row],[EnvProjet]],TabEnvProjet[],4,FALSE),"INCONNU") &amp; " - " &amp; IFERROR(VLOOKUP(TabVMEnv[[#This Row],[EnvProjet]],TabEnvProjet[],5,FALSE),"INCONNU")</f>
        <v>GFI-Oceanet Infra Réseau - GFI Oceanet Infra Réseau - Jérôme JACOB</v>
      </c>
      <c r="Y233" s="5" t="str">
        <f>VLOOKUP(TabVMEnv[EnvProjet],TabEnvProjet[],5,FALSE)</f>
        <v>Jérôme JACOB</v>
      </c>
      <c r="Z233" s="5" t="str">
        <f>VLOOKUP(TabVMEnv[EnvProjet],TabEnvProjet[],6,FALSE)</f>
        <v>CostCenterDI</v>
      </c>
      <c r="AA233" s="5" t="str">
        <f>VLOOKUP(TabVMEnv[[#This Row],[EnvProjet]],TabEnvProjet[],3,FALSE)</f>
        <v>SOCLE</v>
      </c>
      <c r="AB233" s="5">
        <f>COUNTIF(TabVMEnv[VM],TabVMEnv[VM])</f>
        <v>1</v>
      </c>
    </row>
    <row r="234" spans="1:28" x14ac:dyDescent="0.25">
      <c r="A234" t="s">
        <v>176</v>
      </c>
      <c r="B234" t="s">
        <v>294</v>
      </c>
      <c r="E234" s="13"/>
      <c r="F234">
        <f>IF(VLOOKUP(TabVMEnv[VM],TabOceanet[],16,FALSE) = "Tarif_VM",IF(VLOOKUP(TabVMEnv[VM],TabOceanet[],2,FALSE)&lt;4,4,VLOOKUP(TabVMEnv[VM],TabOceanet[],2,FALSE)),0)</f>
        <v>0</v>
      </c>
      <c r="G234">
        <v>0</v>
      </c>
      <c r="H234">
        <v>0</v>
      </c>
      <c r="I234">
        <v>0</v>
      </c>
      <c r="J234">
        <v>0</v>
      </c>
      <c r="K234">
        <f>IF(VLOOKUP(TabVMEnv[VM],TabOceanet[],16,FALSE) = "Tarif_VM",1,0)/TabVMEnv[[#This Row],[Mutualisé]]</f>
        <v>0</v>
      </c>
      <c r="L234">
        <f>IF(VLOOKUP(TabVMEnv[VM],TabOceanet[],9,FALSE) = "PoweredOn",1,0)</f>
        <v>0</v>
      </c>
      <c r="M234">
        <f>TabVMEnv[[#This Row],[IsVMPoweredOn]]*VLOOKUP(TabVMEnv[VM],TabOceanet[],3,FALSE)/TabVMEnv[[#This Row],[Mutualisé]]</f>
        <v>0</v>
      </c>
      <c r="N234">
        <f>VLOOKUP(TabVMEnv[VM],TabOceanet[],4,FALSE)/TabVMEnv[[#This Row],[Mutualisé]]</f>
        <v>0</v>
      </c>
      <c r="O234">
        <f>IF(LEFT(VLOOKUP(TabVMEnv[VM],TabOceanet[],5,FALSE),3)="win",1,0)</f>
        <v>0</v>
      </c>
      <c r="P234"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34" t="str">
        <f>VLOOKUP(TabVMEnv[EnvProjet],TabEnvProjet[],4,FALSE)</f>
        <v>GFI Oceanet Infra Réseau</v>
      </c>
      <c r="R234" s="5" t="str">
        <f>VLOOKUP(TabVMEnv[[#This Row],[SYGES]],TabContrat[],2,FALSE)</f>
        <v>GFI</v>
      </c>
      <c r="S234" s="5" t="str">
        <f>IF(VLOOKUP(TabVMEnv[[#This Row],[VM]],TabOceanet[],1,FALSE) = "","Disparue","")</f>
        <v/>
      </c>
      <c r="T234" s="25">
        <f>VLOOKUP(TabVMEnv[[#This Row],[VM]],TabOceanet[],36,FALSE)/TabVMEnv[[#This Row],[Mutualisé]]</f>
        <v>10</v>
      </c>
      <c r="U234" s="25">
        <f>IF(TabVMEnv[[#This Row],[CostCenter]]="CostCenterDI",0,TabVMEnv[[#This Row],[CoutGlobal]])</f>
        <v>0</v>
      </c>
      <c r="V234" s="25">
        <f>TabVMEnv[[#This Row],[CoutGlobalSansCostCenterDI]]/TabVMEnv[[#Totals],[CoutGlobalSansCostCenterDI]]*(GlobalARepartirSansMS+GlobalARepartirMSOnly+GlobalARepartirInfraReseau)</f>
        <v>0</v>
      </c>
      <c r="W234" s="25">
        <f>TabVMEnv[[#This Row],[CoutGlobalSansCostCenterDI]]+TabVMEnv[[#This Row],[CoutGlobalSupplementaire]]</f>
        <v>0</v>
      </c>
      <c r="X234" s="5" t="str">
        <f>VLOOKUP(TabVMEnv[[#This Row],[EnvProjet]],TabEnvProjet[],2,FALSE) &amp; " - " &amp; IFERROR(VLOOKUP(TabVMEnv[[#This Row],[EnvProjet]],TabEnvProjet[],4,FALSE),"INCONNU") &amp; " - " &amp; IFERROR(VLOOKUP(TabVMEnv[[#This Row],[EnvProjet]],TabEnvProjet[],5,FALSE),"INCONNU")</f>
        <v>GFI-Oceanet Infra Réseau - GFI Oceanet Infra Réseau - Jérôme JACOB</v>
      </c>
      <c r="Y234" s="5" t="str">
        <f>VLOOKUP(TabVMEnv[EnvProjet],TabEnvProjet[],5,FALSE)</f>
        <v>Jérôme JACOB</v>
      </c>
      <c r="Z234" s="5" t="str">
        <f>VLOOKUP(TabVMEnv[EnvProjet],TabEnvProjet[],6,FALSE)</f>
        <v>CostCenterDI</v>
      </c>
      <c r="AA234" s="5" t="str">
        <f>VLOOKUP(TabVMEnv[[#This Row],[EnvProjet]],TabEnvProjet[],3,FALSE)</f>
        <v>SOCLE</v>
      </c>
      <c r="AB234" s="5">
        <f>COUNTIF(TabVMEnv[VM],TabVMEnv[VM])</f>
        <v>1</v>
      </c>
    </row>
    <row r="235" spans="1:28" x14ac:dyDescent="0.25">
      <c r="A235" t="s">
        <v>177</v>
      </c>
      <c r="B235" t="s">
        <v>294</v>
      </c>
      <c r="E235" s="13"/>
      <c r="F235">
        <f>IF(VLOOKUP(TabVMEnv[VM],TabOceanet[],16,FALSE) = "Tarif_VM",IF(VLOOKUP(TabVMEnv[VM],TabOceanet[],2,FALSE)&lt;4,4,VLOOKUP(TabVMEnv[VM],TabOceanet[],2,FALSE)),0)</f>
        <v>0</v>
      </c>
      <c r="G235">
        <v>0</v>
      </c>
      <c r="H235">
        <v>0</v>
      </c>
      <c r="I235">
        <v>0</v>
      </c>
      <c r="J235">
        <v>0</v>
      </c>
      <c r="K235">
        <f>IF(VLOOKUP(TabVMEnv[VM],TabOceanet[],16,FALSE) = "Tarif_VM",1,0)/TabVMEnv[[#This Row],[Mutualisé]]</f>
        <v>0</v>
      </c>
      <c r="L235">
        <f>IF(VLOOKUP(TabVMEnv[VM],TabOceanet[],9,FALSE) = "PoweredOn",1,0)</f>
        <v>0</v>
      </c>
      <c r="M235">
        <f>TabVMEnv[[#This Row],[IsVMPoweredOn]]*VLOOKUP(TabVMEnv[VM],TabOceanet[],3,FALSE)/TabVMEnv[[#This Row],[Mutualisé]]</f>
        <v>0</v>
      </c>
      <c r="N235">
        <f>VLOOKUP(TabVMEnv[VM],TabOceanet[],4,FALSE)/TabVMEnv[[#This Row],[Mutualisé]]</f>
        <v>0</v>
      </c>
      <c r="O235">
        <f>IF(LEFT(VLOOKUP(TabVMEnv[VM],TabOceanet[],5,FALSE),3)="win",1,0)</f>
        <v>0</v>
      </c>
      <c r="P235"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35" t="str">
        <f>VLOOKUP(TabVMEnv[EnvProjet],TabEnvProjet[],4,FALSE)</f>
        <v>GFI Oceanet Infra Réseau</v>
      </c>
      <c r="R235" s="5" t="str">
        <f>VLOOKUP(TabVMEnv[[#This Row],[SYGES]],TabContrat[],2,FALSE)</f>
        <v>GFI</v>
      </c>
      <c r="S235" s="5" t="str">
        <f>IF(VLOOKUP(TabVMEnv[[#This Row],[VM]],TabOceanet[],1,FALSE) = "","Disparue","")</f>
        <v/>
      </c>
      <c r="T235" s="25">
        <f>VLOOKUP(TabVMEnv[[#This Row],[VM]],TabOceanet[],36,FALSE)/TabVMEnv[[#This Row],[Mutualisé]]</f>
        <v>10</v>
      </c>
      <c r="U235" s="25">
        <f>IF(TabVMEnv[[#This Row],[CostCenter]]="CostCenterDI",0,TabVMEnv[[#This Row],[CoutGlobal]])</f>
        <v>0</v>
      </c>
      <c r="V235" s="25">
        <f>TabVMEnv[[#This Row],[CoutGlobalSansCostCenterDI]]/TabVMEnv[[#Totals],[CoutGlobalSansCostCenterDI]]*(GlobalARepartirSansMS+GlobalARepartirMSOnly+GlobalARepartirInfraReseau)</f>
        <v>0</v>
      </c>
      <c r="W235" s="25">
        <f>TabVMEnv[[#This Row],[CoutGlobalSansCostCenterDI]]+TabVMEnv[[#This Row],[CoutGlobalSupplementaire]]</f>
        <v>0</v>
      </c>
      <c r="X235" s="5" t="str">
        <f>VLOOKUP(TabVMEnv[[#This Row],[EnvProjet]],TabEnvProjet[],2,FALSE) &amp; " - " &amp; IFERROR(VLOOKUP(TabVMEnv[[#This Row],[EnvProjet]],TabEnvProjet[],4,FALSE),"INCONNU") &amp; " - " &amp; IFERROR(VLOOKUP(TabVMEnv[[#This Row],[EnvProjet]],TabEnvProjet[],5,FALSE),"INCONNU")</f>
        <v>GFI-Oceanet Infra Réseau - GFI Oceanet Infra Réseau - Jérôme JACOB</v>
      </c>
      <c r="Y235" s="5" t="str">
        <f>VLOOKUP(TabVMEnv[EnvProjet],TabEnvProjet[],5,FALSE)</f>
        <v>Jérôme JACOB</v>
      </c>
      <c r="Z235" s="5" t="str">
        <f>VLOOKUP(TabVMEnv[EnvProjet],TabEnvProjet[],6,FALSE)</f>
        <v>CostCenterDI</v>
      </c>
      <c r="AA235" s="5" t="str">
        <f>VLOOKUP(TabVMEnv[[#This Row],[EnvProjet]],TabEnvProjet[],3,FALSE)</f>
        <v>SOCLE</v>
      </c>
      <c r="AB235" s="5">
        <f>COUNTIF(TabVMEnv[VM],TabVMEnv[VM])</f>
        <v>1</v>
      </c>
    </row>
    <row r="236" spans="1:28" x14ac:dyDescent="0.25">
      <c r="A236" t="s">
        <v>184</v>
      </c>
      <c r="B236" t="s">
        <v>357</v>
      </c>
      <c r="E236" s="13"/>
      <c r="F236">
        <f>IF(VLOOKUP(TabVMEnv[VM],TabOceanet[],16,FALSE) = "Tarif_VM",IF(VLOOKUP(TabVMEnv[VM],TabOceanet[],2,FALSE)&lt;4,4,VLOOKUP(TabVMEnv[VM],TabOceanet[],2,FALSE)),0)</f>
        <v>0</v>
      </c>
      <c r="G236">
        <v>0</v>
      </c>
      <c r="H236">
        <v>0</v>
      </c>
      <c r="I236">
        <v>0</v>
      </c>
      <c r="J236">
        <v>0</v>
      </c>
      <c r="K236">
        <f>IF(VLOOKUP(TabVMEnv[VM],TabOceanet[],16,FALSE) = "Tarif_VM",1,0)/TabVMEnv[[#This Row],[Mutualisé]]</f>
        <v>0</v>
      </c>
      <c r="L236">
        <f>IF(VLOOKUP(TabVMEnv[VM],TabOceanet[],9,FALSE) = "PoweredOn",1,0)</f>
        <v>0</v>
      </c>
      <c r="M236">
        <f>TabVMEnv[[#This Row],[IsVMPoweredOn]]*VLOOKUP(TabVMEnv[VM],TabOceanet[],3,FALSE)/TabVMEnv[[#This Row],[Mutualisé]]</f>
        <v>0</v>
      </c>
      <c r="N236">
        <f>VLOOKUP(TabVMEnv[VM],TabOceanet[],4,FALSE)/TabVMEnv[[#This Row],[Mutualisé]]</f>
        <v>0</v>
      </c>
      <c r="O236">
        <f>IF(LEFT(VLOOKUP(TabVMEnv[VM],TabOceanet[],5,FALSE),3)="win",1,0)</f>
        <v>0</v>
      </c>
      <c r="P236"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36" t="str">
        <f>VLOOKUP(TabVMEnv[EnvProjet],TabEnvProjet[],4,FALSE)</f>
        <v>GitLab Orléans</v>
      </c>
      <c r="R236" s="5" t="str">
        <f>VLOOKUP(TabVMEnv[[#This Row],[SYGES]],TabContrat[],2,FALSE)</f>
        <v>GFI</v>
      </c>
      <c r="S236" s="5" t="str">
        <f>IF(VLOOKUP(TabVMEnv[[#This Row],[VM]],TabOceanet[],1,FALSE) = "","Disparue","")</f>
        <v/>
      </c>
      <c r="T236" s="25">
        <f>VLOOKUP(TabVMEnv[[#This Row],[VM]],TabOceanet[],36,FALSE)/TabVMEnv[[#This Row],[Mutualisé]]</f>
        <v>10</v>
      </c>
      <c r="U236" s="25">
        <f>IF(TabVMEnv[[#This Row],[CostCenter]]="CostCenterDI",0,TabVMEnv[[#This Row],[CoutGlobal]])</f>
        <v>10</v>
      </c>
      <c r="V236" s="25">
        <f>TabVMEnv[[#This Row],[CoutGlobalSansCostCenterDI]]/TabVMEnv[[#Totals],[CoutGlobalSansCostCenterDI]]*(GlobalARepartirSansMS+GlobalARepartirMSOnly+GlobalARepartirInfraReseau)</f>
        <v>17.454570438760861</v>
      </c>
      <c r="W236" s="25">
        <f>TabVMEnv[[#This Row],[CoutGlobalSansCostCenterDI]]+TabVMEnv[[#This Row],[CoutGlobalSupplementaire]]</f>
        <v>27.454570438760861</v>
      </c>
      <c r="X236" s="5" t="str">
        <f>VLOOKUP(TabVMEnv[[#This Row],[EnvProjet]],TabEnvProjet[],2,FALSE) &amp; " - " &amp; IFERROR(VLOOKUP(TabVMEnv[[#This Row],[EnvProjet]],TabEnvProjet[],4,FALSE),"INCONNU") &amp; " - " &amp; IFERROR(VLOOKUP(TabVMEnv[[#This Row],[EnvProjet]],TabEnvProjet[],5,FALSE),"INCONNU")</f>
        <v>GFI-GitLab Orléans - GitLab Orléans - Christophe ORLANDO</v>
      </c>
      <c r="Y236" s="5" t="str">
        <f>VLOOKUP(TabVMEnv[EnvProjet],TabEnvProjet[],5,FALSE)</f>
        <v>Christophe ORLANDO</v>
      </c>
      <c r="Z236" s="5">
        <f>VLOOKUP(TabVMEnv[EnvProjet],TabEnvProjet[],6,FALSE)</f>
        <v>305704</v>
      </c>
      <c r="AA236" s="5" t="str">
        <f>VLOOKUP(TabVMEnv[[#This Row],[EnvProjet]],TabEnvProjet[],3,FALSE)</f>
        <v>PROD</v>
      </c>
      <c r="AB236" s="5">
        <f>COUNTIF(TabVMEnv[VM],TabVMEnv[VM])</f>
        <v>1</v>
      </c>
    </row>
    <row r="237" spans="1:28" x14ac:dyDescent="0.25">
      <c r="A237" t="s">
        <v>218</v>
      </c>
      <c r="B237" t="s">
        <v>290</v>
      </c>
      <c r="E237" s="13"/>
      <c r="F237">
        <f>IF(VLOOKUP(TabVMEnv[VM],TabOceanet[],16,FALSE) = "Tarif_VM",IF(VLOOKUP(TabVMEnv[VM],TabOceanet[],2,FALSE)&lt;4,4,VLOOKUP(TabVMEnv[VM],TabOceanet[],2,FALSE)),0)</f>
        <v>0</v>
      </c>
      <c r="G237">
        <v>0</v>
      </c>
      <c r="H237">
        <v>0</v>
      </c>
      <c r="I237">
        <v>0</v>
      </c>
      <c r="J237">
        <v>0</v>
      </c>
      <c r="K237">
        <f>IF(VLOOKUP(TabVMEnv[VM],TabOceanet[],16,FALSE) = "Tarif_VM",1,0)/TabVMEnv[[#This Row],[Mutualisé]]</f>
        <v>0</v>
      </c>
      <c r="L237">
        <f>IF(VLOOKUP(TabVMEnv[VM],TabOceanet[],9,FALSE) = "PoweredOn",1,0)</f>
        <v>0</v>
      </c>
      <c r="M237">
        <f>TabVMEnv[[#This Row],[IsVMPoweredOn]]*VLOOKUP(TabVMEnv[VM],TabOceanet[],3,FALSE)/TabVMEnv[[#This Row],[Mutualisé]]</f>
        <v>0</v>
      </c>
      <c r="N237">
        <f>VLOOKUP(TabVMEnv[VM],TabOceanet[],4,FALSE)/TabVMEnv[[#This Row],[Mutualisé]]</f>
        <v>0</v>
      </c>
      <c r="O237">
        <f>IF(LEFT(VLOOKUP(TabVMEnv[VM],TabOceanet[],5,FALSE),3)="win",1,0)</f>
        <v>0</v>
      </c>
      <c r="P237"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37" t="str">
        <f>VLOOKUP(TabVMEnv[EnvProjet],TabEnvProjet[],4,FALSE)</f>
        <v>HEBERG-EDI  MUT-2018</v>
      </c>
      <c r="R237" s="5" t="str">
        <f>VLOOKUP(TabVMEnv[[#This Row],[SYGES]],TabContrat[],2,FALSE)</f>
        <v>HEBERG-EDI</v>
      </c>
      <c r="S237" s="5" t="str">
        <f>IF(VLOOKUP(TabVMEnv[[#This Row],[VM]],TabOceanet[],1,FALSE) = "","Disparue","")</f>
        <v/>
      </c>
      <c r="T237" s="25">
        <f>VLOOKUP(TabVMEnv[[#This Row],[VM]],TabOceanet[],36,FALSE)/TabVMEnv[[#This Row],[Mutualisé]]</f>
        <v>10</v>
      </c>
      <c r="U237" s="25">
        <f>IF(TabVMEnv[[#This Row],[CostCenter]]="CostCenterDI",0,TabVMEnv[[#This Row],[CoutGlobal]])</f>
        <v>10</v>
      </c>
      <c r="V237" s="25">
        <f>TabVMEnv[[#This Row],[CoutGlobalSansCostCenterDI]]/TabVMEnv[[#Totals],[CoutGlobalSansCostCenterDI]]*(GlobalARepartirSansMS+GlobalARepartirMSOnly+GlobalARepartirInfraReseau)</f>
        <v>17.454570438760861</v>
      </c>
      <c r="W237" s="25">
        <f>TabVMEnv[[#This Row],[CoutGlobalSansCostCenterDI]]+TabVMEnv[[#This Row],[CoutGlobalSupplementaire]]</f>
        <v>27.454570438760861</v>
      </c>
      <c r="X237" s="5" t="str">
        <f>VLOOKUP(TabVMEnv[[#This Row],[EnvProjet]],TabEnvProjet[],2,FALSE) &amp; " - " &amp; IFERROR(VLOOKUP(TabVMEnv[[#This Row],[EnvProjet]],TabEnvProjet[],4,FALSE),"INCONNU") &amp; " - " &amp; IFERROR(VLOOKUP(TabVMEnv[[#This Row],[EnvProjet]],TabEnvProjet[],5,FALSE),"INCONNU")</f>
        <v>EDI-MUT-EDI-MUT - HEBERG-EDI  MUT-2018 - David LEMALHEUX</v>
      </c>
      <c r="Y237" s="5" t="str">
        <f>VLOOKUP(TabVMEnv[EnvProjet],TabEnvProjet[],5,FALSE)</f>
        <v>David LEMALHEUX</v>
      </c>
      <c r="Z237" s="5" t="str">
        <f>VLOOKUP(TabVMEnv[EnvProjet],TabEnvProjet[],6,FALSE)</f>
        <v>341530-EDI</v>
      </c>
      <c r="AA237" s="5" t="str">
        <f>VLOOKUP(TabVMEnv[[#This Row],[EnvProjet]],TabEnvProjet[],3,FALSE)</f>
        <v>PROD</v>
      </c>
      <c r="AB237" s="5">
        <f>COUNTIF(TabVMEnv[VM],TabVMEnv[VM])</f>
        <v>1</v>
      </c>
    </row>
    <row r="238" spans="1:28" x14ac:dyDescent="0.25">
      <c r="A238" t="s">
        <v>178</v>
      </c>
      <c r="B238" t="s">
        <v>294</v>
      </c>
      <c r="E238" s="13"/>
      <c r="F238">
        <f>IF(VLOOKUP(TabVMEnv[VM],TabOceanet[],16,FALSE) = "Tarif_VM",IF(VLOOKUP(TabVMEnv[VM],TabOceanet[],2,FALSE)&lt;4,4,VLOOKUP(TabVMEnv[VM],TabOceanet[],2,FALSE)),0)</f>
        <v>0</v>
      </c>
      <c r="G238">
        <v>0</v>
      </c>
      <c r="H238">
        <v>0</v>
      </c>
      <c r="I238">
        <v>0</v>
      </c>
      <c r="J238">
        <v>0</v>
      </c>
      <c r="K238">
        <f>IF(VLOOKUP(TabVMEnv[VM],TabOceanet[],16,FALSE) = "Tarif_VM",1,0)/TabVMEnv[[#This Row],[Mutualisé]]</f>
        <v>0</v>
      </c>
      <c r="L238">
        <f>IF(VLOOKUP(TabVMEnv[VM],TabOceanet[],9,FALSE) = "PoweredOn",1,0)</f>
        <v>0</v>
      </c>
      <c r="M238">
        <f>TabVMEnv[[#This Row],[IsVMPoweredOn]]*VLOOKUP(TabVMEnv[VM],TabOceanet[],3,FALSE)/TabVMEnv[[#This Row],[Mutualisé]]</f>
        <v>0</v>
      </c>
      <c r="N238">
        <f>VLOOKUP(TabVMEnv[VM],TabOceanet[],4,FALSE)/TabVMEnv[[#This Row],[Mutualisé]]</f>
        <v>0</v>
      </c>
      <c r="O238">
        <f>IF(LEFT(VLOOKUP(TabVMEnv[VM],TabOceanet[],5,FALSE),3)="win",1,0)</f>
        <v>0</v>
      </c>
      <c r="P238"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38" t="str">
        <f>VLOOKUP(TabVMEnv[EnvProjet],TabEnvProjet[],4,FALSE)</f>
        <v>GFI Oceanet Infra Réseau</v>
      </c>
      <c r="R238" s="5" t="str">
        <f>VLOOKUP(TabVMEnv[[#This Row],[SYGES]],TabContrat[],2,FALSE)</f>
        <v>GFI</v>
      </c>
      <c r="S238" s="5" t="str">
        <f>IF(VLOOKUP(TabVMEnv[[#This Row],[VM]],TabOceanet[],1,FALSE) = "","Disparue","")</f>
        <v/>
      </c>
      <c r="T238" s="25">
        <f>VLOOKUP(TabVMEnv[[#This Row],[VM]],TabOceanet[],36,FALSE)/TabVMEnv[[#This Row],[Mutualisé]]</f>
        <v>10</v>
      </c>
      <c r="U238" s="25">
        <f>IF(TabVMEnv[[#This Row],[CostCenter]]="CostCenterDI",0,TabVMEnv[[#This Row],[CoutGlobal]])</f>
        <v>0</v>
      </c>
      <c r="V238" s="25">
        <f>TabVMEnv[[#This Row],[CoutGlobalSansCostCenterDI]]/TabVMEnv[[#Totals],[CoutGlobalSansCostCenterDI]]*(GlobalARepartirSansMS+GlobalARepartirMSOnly+GlobalARepartirInfraReseau)</f>
        <v>0</v>
      </c>
      <c r="W238" s="25">
        <f>TabVMEnv[[#This Row],[CoutGlobalSansCostCenterDI]]+TabVMEnv[[#This Row],[CoutGlobalSupplementaire]]</f>
        <v>0</v>
      </c>
      <c r="X238" s="5" t="str">
        <f>VLOOKUP(TabVMEnv[[#This Row],[EnvProjet]],TabEnvProjet[],2,FALSE) &amp; " - " &amp; IFERROR(VLOOKUP(TabVMEnv[[#This Row],[EnvProjet]],TabEnvProjet[],4,FALSE),"INCONNU") &amp; " - " &amp; IFERROR(VLOOKUP(TabVMEnv[[#This Row],[EnvProjet]],TabEnvProjet[],5,FALSE),"INCONNU")</f>
        <v>GFI-Oceanet Infra Réseau - GFI Oceanet Infra Réseau - Jérôme JACOB</v>
      </c>
      <c r="Y238" s="5" t="str">
        <f>VLOOKUP(TabVMEnv[EnvProjet],TabEnvProjet[],5,FALSE)</f>
        <v>Jérôme JACOB</v>
      </c>
      <c r="Z238" s="5" t="str">
        <f>VLOOKUP(TabVMEnv[EnvProjet],TabEnvProjet[],6,FALSE)</f>
        <v>CostCenterDI</v>
      </c>
      <c r="AA238" s="5" t="str">
        <f>VLOOKUP(TabVMEnv[[#This Row],[EnvProjet]],TabEnvProjet[],3,FALSE)</f>
        <v>SOCLE</v>
      </c>
      <c r="AB238" s="5">
        <f>COUNTIF(TabVMEnv[VM],TabVMEnv[VM])</f>
        <v>1</v>
      </c>
    </row>
    <row r="239" spans="1:28" x14ac:dyDescent="0.25">
      <c r="A239" t="s">
        <v>219</v>
      </c>
      <c r="B239" t="s">
        <v>290</v>
      </c>
      <c r="E239" s="13"/>
      <c r="F239">
        <f>IF(VLOOKUP(TabVMEnv[VM],TabOceanet[],16,FALSE) = "Tarif_VM",IF(VLOOKUP(TabVMEnv[VM],TabOceanet[],2,FALSE)&lt;4,4,VLOOKUP(TabVMEnv[VM],TabOceanet[],2,FALSE)),0)</f>
        <v>0</v>
      </c>
      <c r="G239">
        <v>0</v>
      </c>
      <c r="H239">
        <v>0</v>
      </c>
      <c r="I239">
        <v>0</v>
      </c>
      <c r="J239">
        <v>0</v>
      </c>
      <c r="K239">
        <f>IF(VLOOKUP(TabVMEnv[VM],TabOceanet[],16,FALSE) = "Tarif_VM",1,0)/TabVMEnv[[#This Row],[Mutualisé]]</f>
        <v>0</v>
      </c>
      <c r="L239">
        <f>IF(VLOOKUP(TabVMEnv[VM],TabOceanet[],9,FALSE) = "PoweredOn",1,0)</f>
        <v>0</v>
      </c>
      <c r="M239">
        <f>TabVMEnv[[#This Row],[IsVMPoweredOn]]*VLOOKUP(TabVMEnv[VM],TabOceanet[],3,FALSE)/TabVMEnv[[#This Row],[Mutualisé]]</f>
        <v>0</v>
      </c>
      <c r="N239">
        <f>VLOOKUP(TabVMEnv[VM],TabOceanet[],4,FALSE)/TabVMEnv[[#This Row],[Mutualisé]]</f>
        <v>0</v>
      </c>
      <c r="O239">
        <f>IF(LEFT(VLOOKUP(TabVMEnv[VM],TabOceanet[],5,FALSE),3)="win",1,0)</f>
        <v>0</v>
      </c>
      <c r="P239"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39" t="str">
        <f>VLOOKUP(TabVMEnv[EnvProjet],TabEnvProjet[],4,FALSE)</f>
        <v>HEBERG-EDI  MUT-2018</v>
      </c>
      <c r="R239" s="5" t="str">
        <f>VLOOKUP(TabVMEnv[[#This Row],[SYGES]],TabContrat[],2,FALSE)</f>
        <v>HEBERG-EDI</v>
      </c>
      <c r="S239" s="5" t="str">
        <f>IF(VLOOKUP(TabVMEnv[[#This Row],[VM]],TabOceanet[],1,FALSE) = "","Disparue","")</f>
        <v/>
      </c>
      <c r="T239" s="25">
        <f>VLOOKUP(TabVMEnv[[#This Row],[VM]],TabOceanet[],36,FALSE)/TabVMEnv[[#This Row],[Mutualisé]]</f>
        <v>10</v>
      </c>
      <c r="U239" s="25">
        <f>IF(TabVMEnv[[#This Row],[CostCenter]]="CostCenterDI",0,TabVMEnv[[#This Row],[CoutGlobal]])</f>
        <v>10</v>
      </c>
      <c r="V239" s="25">
        <f>TabVMEnv[[#This Row],[CoutGlobalSansCostCenterDI]]/TabVMEnv[[#Totals],[CoutGlobalSansCostCenterDI]]*(GlobalARepartirSansMS+GlobalARepartirMSOnly+GlobalARepartirInfraReseau)</f>
        <v>17.454570438760861</v>
      </c>
      <c r="W239" s="25">
        <f>TabVMEnv[[#This Row],[CoutGlobalSansCostCenterDI]]+TabVMEnv[[#This Row],[CoutGlobalSupplementaire]]</f>
        <v>27.454570438760861</v>
      </c>
      <c r="X239" s="5" t="str">
        <f>VLOOKUP(TabVMEnv[[#This Row],[EnvProjet]],TabEnvProjet[],2,FALSE) &amp; " - " &amp; IFERROR(VLOOKUP(TabVMEnv[[#This Row],[EnvProjet]],TabEnvProjet[],4,FALSE),"INCONNU") &amp; " - " &amp; IFERROR(VLOOKUP(TabVMEnv[[#This Row],[EnvProjet]],TabEnvProjet[],5,FALSE),"INCONNU")</f>
        <v>EDI-MUT-EDI-MUT - HEBERG-EDI  MUT-2018 - David LEMALHEUX</v>
      </c>
      <c r="Y239" s="5" t="str">
        <f>VLOOKUP(TabVMEnv[EnvProjet],TabEnvProjet[],5,FALSE)</f>
        <v>David LEMALHEUX</v>
      </c>
      <c r="Z239" s="5" t="str">
        <f>VLOOKUP(TabVMEnv[EnvProjet],TabEnvProjet[],6,FALSE)</f>
        <v>341530-EDI</v>
      </c>
      <c r="AA239" s="5" t="str">
        <f>VLOOKUP(TabVMEnv[[#This Row],[EnvProjet]],TabEnvProjet[],3,FALSE)</f>
        <v>PROD</v>
      </c>
      <c r="AB239" s="5">
        <f>COUNTIF(TabVMEnv[VM],TabVMEnv[VM])</f>
        <v>1</v>
      </c>
    </row>
    <row r="240" spans="1:28" x14ac:dyDescent="0.25">
      <c r="A240" t="s">
        <v>139</v>
      </c>
      <c r="B240" t="s">
        <v>292</v>
      </c>
      <c r="E240" s="13"/>
      <c r="F240">
        <f>IF(VLOOKUP(TabVMEnv[VM],TabOceanet[],16,FALSE) = "Tarif_VM",IF(VLOOKUP(TabVMEnv[VM],TabOceanet[],2,FALSE)&lt;4,4,VLOOKUP(TabVMEnv[VM],TabOceanet[],2,FALSE)),0)</f>
        <v>0</v>
      </c>
      <c r="G240">
        <v>0</v>
      </c>
      <c r="H240">
        <v>0</v>
      </c>
      <c r="I240">
        <v>0</v>
      </c>
      <c r="J240">
        <v>0</v>
      </c>
      <c r="K240">
        <f>IF(VLOOKUP(TabVMEnv[VM],TabOceanet[],16,FALSE) = "Tarif_VM",1,0)/TabVMEnv[[#This Row],[Mutualisé]]</f>
        <v>0</v>
      </c>
      <c r="L240">
        <f>IF(VLOOKUP(TabVMEnv[VM],TabOceanet[],9,FALSE) = "PoweredOn",1,0)</f>
        <v>0</v>
      </c>
      <c r="M240">
        <f>TabVMEnv[[#This Row],[IsVMPoweredOn]]*VLOOKUP(TabVMEnv[VM],TabOceanet[],3,FALSE)/TabVMEnv[[#This Row],[Mutualisé]]</f>
        <v>0</v>
      </c>
      <c r="N240">
        <f>VLOOKUP(TabVMEnv[VM],TabOceanet[],4,FALSE)/TabVMEnv[[#This Row],[Mutualisé]]</f>
        <v>0</v>
      </c>
      <c r="O240">
        <f>IF(LEFT(VLOOKUP(TabVMEnv[VM],TabOceanet[],5,FALSE),3)="win",1,0)</f>
        <v>0</v>
      </c>
      <c r="P240"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40" t="str">
        <f>VLOOKUP(TabVMEnv[EnvProjet],TabEnvProjet[],4,FALSE)</f>
        <v>Fablab-Firmin</v>
      </c>
      <c r="R240" s="5" t="str">
        <f>VLOOKUP(TabVMEnv[[#This Row],[SYGES]],TabContrat[],2,FALSE)</f>
        <v>Fablab</v>
      </c>
      <c r="S240" s="5" t="str">
        <f>IF(VLOOKUP(TabVMEnv[[#This Row],[VM]],TabOceanet[],1,FALSE) = "","Disparue","")</f>
        <v/>
      </c>
      <c r="T240" s="25">
        <f>VLOOKUP(TabVMEnv[[#This Row],[VM]],TabOceanet[],36,FALSE)/TabVMEnv[[#This Row],[Mutualisé]]</f>
        <v>10</v>
      </c>
      <c r="U240" s="25">
        <f>IF(TabVMEnv[[#This Row],[CostCenter]]="CostCenterDI",0,TabVMEnv[[#This Row],[CoutGlobal]])</f>
        <v>10</v>
      </c>
      <c r="V240" s="25">
        <f>TabVMEnv[[#This Row],[CoutGlobalSansCostCenterDI]]/TabVMEnv[[#Totals],[CoutGlobalSansCostCenterDI]]*(GlobalARepartirSansMS+GlobalARepartirMSOnly+GlobalARepartirInfraReseau)</f>
        <v>17.454570438760861</v>
      </c>
      <c r="W240" s="25">
        <f>TabVMEnv[[#This Row],[CoutGlobalSansCostCenterDI]]+TabVMEnv[[#This Row],[CoutGlobalSupplementaire]]</f>
        <v>27.454570438760861</v>
      </c>
      <c r="X240" s="5" t="str">
        <f>VLOOKUP(TabVMEnv[[#This Row],[EnvProjet]],TabEnvProjet[],2,FALSE) &amp; " - " &amp; IFERROR(VLOOKUP(TabVMEnv[[#This Row],[EnvProjet]],TabEnvProjet[],4,FALSE),"INCONNU") &amp; " - " &amp; IFERROR(VLOOKUP(TabVMEnv[[#This Row],[EnvProjet]],TabEnvProjet[],5,FALSE),"INCONNU")</f>
        <v>Fablab-Firmin - Fablab-Firmin - Pierre-Yves Baloche</v>
      </c>
      <c r="Y240" s="5" t="str">
        <f>VLOOKUP(TabVMEnv[EnvProjet],TabEnvProjet[],5,FALSE)</f>
        <v>Pierre-Yves Baloche</v>
      </c>
      <c r="Z240" s="5" t="str">
        <f>VLOOKUP(TabVMEnv[EnvProjet],TabEnvProjet[],6,FALSE)</f>
        <v>Fablab</v>
      </c>
      <c r="AA240" s="5" t="str">
        <f>VLOOKUP(TabVMEnv[[#This Row],[EnvProjet]],TabEnvProjet[],3,FALSE)</f>
        <v>PREPROD</v>
      </c>
      <c r="AB240" s="5">
        <f>COUNTIF(TabVMEnv[VM],TabVMEnv[VM])</f>
        <v>1</v>
      </c>
    </row>
    <row r="241" spans="1:28" x14ac:dyDescent="0.25">
      <c r="A241" t="s">
        <v>140</v>
      </c>
      <c r="B241" t="s">
        <v>292</v>
      </c>
      <c r="E241" s="13"/>
      <c r="F241">
        <f>IF(VLOOKUP(TabVMEnv[VM],TabOceanet[],16,FALSE) = "Tarif_VM",IF(VLOOKUP(TabVMEnv[VM],TabOceanet[],2,FALSE)&lt;4,4,VLOOKUP(TabVMEnv[VM],TabOceanet[],2,FALSE)),0)</f>
        <v>0</v>
      </c>
      <c r="G241">
        <v>0</v>
      </c>
      <c r="H241">
        <v>0</v>
      </c>
      <c r="I241">
        <v>0</v>
      </c>
      <c r="J241">
        <v>0</v>
      </c>
      <c r="K241">
        <f>IF(VLOOKUP(TabVMEnv[VM],TabOceanet[],16,FALSE) = "Tarif_VM",1,0)/TabVMEnv[[#This Row],[Mutualisé]]</f>
        <v>0</v>
      </c>
      <c r="L241">
        <f>IF(VLOOKUP(TabVMEnv[VM],TabOceanet[],9,FALSE) = "PoweredOn",1,0)</f>
        <v>0</v>
      </c>
      <c r="M241">
        <f>TabVMEnv[[#This Row],[IsVMPoweredOn]]*VLOOKUP(TabVMEnv[VM],TabOceanet[],3,FALSE)/TabVMEnv[[#This Row],[Mutualisé]]</f>
        <v>0</v>
      </c>
      <c r="N241">
        <f>VLOOKUP(TabVMEnv[VM],TabOceanet[],4,FALSE)/TabVMEnv[[#This Row],[Mutualisé]]</f>
        <v>0</v>
      </c>
      <c r="O241">
        <f>IF(LEFT(VLOOKUP(TabVMEnv[VM],TabOceanet[],5,FALSE),3)="win",1,0)</f>
        <v>0</v>
      </c>
      <c r="P241"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41" t="str">
        <f>VLOOKUP(TabVMEnv[EnvProjet],TabEnvProjet[],4,FALSE)</f>
        <v>Fablab-Firmin</v>
      </c>
      <c r="R241" s="5" t="str">
        <f>VLOOKUP(TabVMEnv[[#This Row],[SYGES]],TabContrat[],2,FALSE)</f>
        <v>Fablab</v>
      </c>
      <c r="S241" s="5" t="str">
        <f>IF(VLOOKUP(TabVMEnv[[#This Row],[VM]],TabOceanet[],1,FALSE) = "","Disparue","")</f>
        <v/>
      </c>
      <c r="T241" s="25">
        <f>VLOOKUP(TabVMEnv[[#This Row],[VM]],TabOceanet[],36,FALSE)/TabVMEnv[[#This Row],[Mutualisé]]</f>
        <v>10</v>
      </c>
      <c r="U241" s="25">
        <f>IF(TabVMEnv[[#This Row],[CostCenter]]="CostCenterDI",0,TabVMEnv[[#This Row],[CoutGlobal]])</f>
        <v>10</v>
      </c>
      <c r="V241" s="25">
        <f>TabVMEnv[[#This Row],[CoutGlobalSansCostCenterDI]]/TabVMEnv[[#Totals],[CoutGlobalSansCostCenterDI]]*(GlobalARepartirSansMS+GlobalARepartirMSOnly+GlobalARepartirInfraReseau)</f>
        <v>17.454570438760861</v>
      </c>
      <c r="W241" s="25">
        <f>TabVMEnv[[#This Row],[CoutGlobalSansCostCenterDI]]+TabVMEnv[[#This Row],[CoutGlobalSupplementaire]]</f>
        <v>27.454570438760861</v>
      </c>
      <c r="X241" s="5" t="str">
        <f>VLOOKUP(TabVMEnv[[#This Row],[EnvProjet]],TabEnvProjet[],2,FALSE) &amp; " - " &amp; IFERROR(VLOOKUP(TabVMEnv[[#This Row],[EnvProjet]],TabEnvProjet[],4,FALSE),"INCONNU") &amp; " - " &amp; IFERROR(VLOOKUP(TabVMEnv[[#This Row],[EnvProjet]],TabEnvProjet[],5,FALSE),"INCONNU")</f>
        <v>Fablab-Firmin - Fablab-Firmin - Pierre-Yves Baloche</v>
      </c>
      <c r="Y241" s="5" t="str">
        <f>VLOOKUP(TabVMEnv[EnvProjet],TabEnvProjet[],5,FALSE)</f>
        <v>Pierre-Yves Baloche</v>
      </c>
      <c r="Z241" s="5" t="str">
        <f>VLOOKUP(TabVMEnv[EnvProjet],TabEnvProjet[],6,FALSE)</f>
        <v>Fablab</v>
      </c>
      <c r="AA241" s="5" t="str">
        <f>VLOOKUP(TabVMEnv[[#This Row],[EnvProjet]],TabEnvProjet[],3,FALSE)</f>
        <v>PREPROD</v>
      </c>
      <c r="AB241" s="5">
        <f>COUNTIF(TabVMEnv[VM],TabVMEnv[VM])</f>
        <v>1</v>
      </c>
    </row>
    <row r="242" spans="1:28" x14ac:dyDescent="0.25">
      <c r="A242" t="s">
        <v>99</v>
      </c>
      <c r="B242" t="s">
        <v>291</v>
      </c>
      <c r="E242" s="13"/>
      <c r="F242">
        <f>IF(VLOOKUP(TabVMEnv[VM],TabOceanet[],16,FALSE) = "Tarif_VM",IF(VLOOKUP(TabVMEnv[VM],TabOceanet[],2,FALSE)&lt;4,4,VLOOKUP(TabVMEnv[VM],TabOceanet[],2,FALSE)),0)</f>
        <v>0</v>
      </c>
      <c r="G242">
        <v>0</v>
      </c>
      <c r="H242">
        <v>0</v>
      </c>
      <c r="I242">
        <v>0</v>
      </c>
      <c r="J242">
        <v>0</v>
      </c>
      <c r="K242">
        <f>IF(VLOOKUP(TabVMEnv[VM],TabOceanet[],16,FALSE) = "Tarif_VM",1,0)/TabVMEnv[[#This Row],[Mutualisé]]</f>
        <v>0</v>
      </c>
      <c r="L242">
        <f>IF(VLOOKUP(TabVMEnv[VM],TabOceanet[],9,FALSE) = "PoweredOn",1,0)</f>
        <v>0</v>
      </c>
      <c r="M242">
        <f>TabVMEnv[[#This Row],[IsVMPoweredOn]]*VLOOKUP(TabVMEnv[VM],TabOceanet[],3,FALSE)/TabVMEnv[[#This Row],[Mutualisé]]</f>
        <v>0</v>
      </c>
      <c r="N242">
        <f>VLOOKUP(TabVMEnv[VM],TabOceanet[],4,FALSE)/TabVMEnv[[#This Row],[Mutualisé]]</f>
        <v>0</v>
      </c>
      <c r="O242">
        <f>IF(LEFT(VLOOKUP(TabVMEnv[VM],TabOceanet[],5,FALSE),3)="win",1,0)</f>
        <v>0</v>
      </c>
      <c r="P242"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42" t="str">
        <f>VLOOKUP(TabVMEnv[EnvProjet],TabEnvProjet[],4,FALSE)</f>
        <v>Fablab-Firmin</v>
      </c>
      <c r="R242" s="5" t="str">
        <f>VLOOKUP(TabVMEnv[[#This Row],[SYGES]],TabContrat[],2,FALSE)</f>
        <v>Fablab</v>
      </c>
      <c r="S242" s="5" t="str">
        <f>IF(VLOOKUP(TabVMEnv[[#This Row],[VM]],TabOceanet[],1,FALSE) = "","Disparue","")</f>
        <v/>
      </c>
      <c r="T242" s="25">
        <f>VLOOKUP(TabVMEnv[[#This Row],[VM]],TabOceanet[],36,FALSE)/TabVMEnv[[#This Row],[Mutualisé]]</f>
        <v>10</v>
      </c>
      <c r="U242" s="25">
        <f>IF(TabVMEnv[[#This Row],[CostCenter]]="CostCenterDI",0,TabVMEnv[[#This Row],[CoutGlobal]])</f>
        <v>10</v>
      </c>
      <c r="V242" s="25">
        <f>TabVMEnv[[#This Row],[CoutGlobalSansCostCenterDI]]/TabVMEnv[[#Totals],[CoutGlobalSansCostCenterDI]]*(GlobalARepartirSansMS+GlobalARepartirMSOnly+GlobalARepartirInfraReseau)</f>
        <v>17.454570438760861</v>
      </c>
      <c r="W242" s="25">
        <f>TabVMEnv[[#This Row],[CoutGlobalSansCostCenterDI]]+TabVMEnv[[#This Row],[CoutGlobalSupplementaire]]</f>
        <v>27.454570438760861</v>
      </c>
      <c r="X242" s="5" t="str">
        <f>VLOOKUP(TabVMEnv[[#This Row],[EnvProjet]],TabEnvProjet[],2,FALSE) &amp; " - " &amp; IFERROR(VLOOKUP(TabVMEnv[[#This Row],[EnvProjet]],TabEnvProjet[],4,FALSE),"INCONNU") &amp; " - " &amp; IFERROR(VLOOKUP(TabVMEnv[[#This Row],[EnvProjet]],TabEnvProjet[],5,FALSE),"INCONNU")</f>
        <v>Fablab-Firmin - Fablab-Firmin - Pierre-Yves Baloche</v>
      </c>
      <c r="Y242" s="5" t="str">
        <f>VLOOKUP(TabVMEnv[EnvProjet],TabEnvProjet[],5,FALSE)</f>
        <v>Pierre-Yves Baloche</v>
      </c>
      <c r="Z242" s="5" t="str">
        <f>VLOOKUP(TabVMEnv[EnvProjet],TabEnvProjet[],6,FALSE)</f>
        <v>Fablab</v>
      </c>
      <c r="AA242" s="5" t="str">
        <f>VLOOKUP(TabVMEnv[[#This Row],[EnvProjet]],TabEnvProjet[],3,FALSE)</f>
        <v>PROD</v>
      </c>
      <c r="AB242" s="5">
        <f>COUNTIF(TabVMEnv[VM],TabVMEnv[VM])</f>
        <v>1</v>
      </c>
    </row>
    <row r="243" spans="1:28" x14ac:dyDescent="0.25">
      <c r="A243" t="s">
        <v>100</v>
      </c>
      <c r="B243" t="s">
        <v>291</v>
      </c>
      <c r="E243" s="13"/>
      <c r="F243">
        <f>IF(VLOOKUP(TabVMEnv[VM],TabOceanet[],16,FALSE) = "Tarif_VM",IF(VLOOKUP(TabVMEnv[VM],TabOceanet[],2,FALSE)&lt;4,4,VLOOKUP(TabVMEnv[VM],TabOceanet[],2,FALSE)),0)</f>
        <v>0</v>
      </c>
      <c r="G243">
        <v>0</v>
      </c>
      <c r="H243">
        <v>0</v>
      </c>
      <c r="I243">
        <v>0</v>
      </c>
      <c r="J243">
        <v>0</v>
      </c>
      <c r="K243">
        <f>IF(VLOOKUP(TabVMEnv[VM],TabOceanet[],16,FALSE) = "Tarif_VM",1,0)/TabVMEnv[[#This Row],[Mutualisé]]</f>
        <v>0</v>
      </c>
      <c r="L243">
        <f>IF(VLOOKUP(TabVMEnv[VM],TabOceanet[],9,FALSE) = "PoweredOn",1,0)</f>
        <v>0</v>
      </c>
      <c r="M243">
        <f>TabVMEnv[[#This Row],[IsVMPoweredOn]]*VLOOKUP(TabVMEnv[VM],TabOceanet[],3,FALSE)/TabVMEnv[[#This Row],[Mutualisé]]</f>
        <v>0</v>
      </c>
      <c r="N243">
        <f>VLOOKUP(TabVMEnv[VM],TabOceanet[],4,FALSE)/TabVMEnv[[#This Row],[Mutualisé]]</f>
        <v>0</v>
      </c>
      <c r="O243">
        <f>IF(LEFT(VLOOKUP(TabVMEnv[VM],TabOceanet[],5,FALSE),3)="win",1,0)</f>
        <v>0</v>
      </c>
      <c r="P243"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43" t="str">
        <f>VLOOKUP(TabVMEnv[EnvProjet],TabEnvProjet[],4,FALSE)</f>
        <v>Fablab-Firmin</v>
      </c>
      <c r="R243" s="5" t="str">
        <f>VLOOKUP(TabVMEnv[[#This Row],[SYGES]],TabContrat[],2,FALSE)</f>
        <v>Fablab</v>
      </c>
      <c r="S243" s="5" t="str">
        <f>IF(VLOOKUP(TabVMEnv[[#This Row],[VM]],TabOceanet[],1,FALSE) = "","Disparue","")</f>
        <v/>
      </c>
      <c r="T243" s="25">
        <f>VLOOKUP(TabVMEnv[[#This Row],[VM]],TabOceanet[],36,FALSE)/TabVMEnv[[#This Row],[Mutualisé]]</f>
        <v>10</v>
      </c>
      <c r="U243" s="25">
        <f>IF(TabVMEnv[[#This Row],[CostCenter]]="CostCenterDI",0,TabVMEnv[[#This Row],[CoutGlobal]])</f>
        <v>10</v>
      </c>
      <c r="V243" s="25">
        <f>TabVMEnv[[#This Row],[CoutGlobalSansCostCenterDI]]/TabVMEnv[[#Totals],[CoutGlobalSansCostCenterDI]]*(GlobalARepartirSansMS+GlobalARepartirMSOnly+GlobalARepartirInfraReseau)</f>
        <v>17.454570438760861</v>
      </c>
      <c r="W243" s="25">
        <f>TabVMEnv[[#This Row],[CoutGlobalSansCostCenterDI]]+TabVMEnv[[#This Row],[CoutGlobalSupplementaire]]</f>
        <v>27.454570438760861</v>
      </c>
      <c r="X243" s="5" t="str">
        <f>VLOOKUP(TabVMEnv[[#This Row],[EnvProjet]],TabEnvProjet[],2,FALSE) &amp; " - " &amp; IFERROR(VLOOKUP(TabVMEnv[[#This Row],[EnvProjet]],TabEnvProjet[],4,FALSE),"INCONNU") &amp; " - " &amp; IFERROR(VLOOKUP(TabVMEnv[[#This Row],[EnvProjet]],TabEnvProjet[],5,FALSE),"INCONNU")</f>
        <v>Fablab-Firmin - Fablab-Firmin - Pierre-Yves Baloche</v>
      </c>
      <c r="Y243" s="5" t="str">
        <f>VLOOKUP(TabVMEnv[EnvProjet],TabEnvProjet[],5,FALSE)</f>
        <v>Pierre-Yves Baloche</v>
      </c>
      <c r="Z243" s="5" t="str">
        <f>VLOOKUP(TabVMEnv[EnvProjet],TabEnvProjet[],6,FALSE)</f>
        <v>Fablab</v>
      </c>
      <c r="AA243" s="5" t="str">
        <f>VLOOKUP(TabVMEnv[[#This Row],[EnvProjet]],TabEnvProjet[],3,FALSE)</f>
        <v>PROD</v>
      </c>
      <c r="AB243" s="5">
        <f>COUNTIF(TabVMEnv[VM],TabVMEnv[VM])</f>
        <v>1</v>
      </c>
    </row>
    <row r="244" spans="1:28" x14ac:dyDescent="0.25">
      <c r="A244" t="s">
        <v>101</v>
      </c>
      <c r="B244" t="s">
        <v>291</v>
      </c>
      <c r="E244" s="13"/>
      <c r="F244">
        <f>IF(VLOOKUP(TabVMEnv[VM],TabOceanet[],16,FALSE) = "Tarif_VM",IF(VLOOKUP(TabVMEnv[VM],TabOceanet[],2,FALSE)&lt;4,4,VLOOKUP(TabVMEnv[VM],TabOceanet[],2,FALSE)),0)</f>
        <v>0</v>
      </c>
      <c r="G244">
        <v>0</v>
      </c>
      <c r="H244">
        <v>0</v>
      </c>
      <c r="I244">
        <v>0</v>
      </c>
      <c r="J244">
        <v>0</v>
      </c>
      <c r="K244">
        <f>IF(VLOOKUP(TabVMEnv[VM],TabOceanet[],16,FALSE) = "Tarif_VM",1,0)/TabVMEnv[[#This Row],[Mutualisé]]</f>
        <v>0</v>
      </c>
      <c r="L244">
        <f>IF(VLOOKUP(TabVMEnv[VM],TabOceanet[],9,FALSE) = "PoweredOn",1,0)</f>
        <v>0</v>
      </c>
      <c r="M244">
        <f>TabVMEnv[[#This Row],[IsVMPoweredOn]]*VLOOKUP(TabVMEnv[VM],TabOceanet[],3,FALSE)/TabVMEnv[[#This Row],[Mutualisé]]</f>
        <v>0</v>
      </c>
      <c r="N244">
        <f>VLOOKUP(TabVMEnv[VM],TabOceanet[],4,FALSE)/TabVMEnv[[#This Row],[Mutualisé]]</f>
        <v>0</v>
      </c>
      <c r="O244">
        <f>IF(LEFT(VLOOKUP(TabVMEnv[VM],TabOceanet[],5,FALSE),3)="win",1,0)</f>
        <v>0</v>
      </c>
      <c r="P244"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44" t="str">
        <f>VLOOKUP(TabVMEnv[EnvProjet],TabEnvProjet[],4,FALSE)</f>
        <v>Fablab-Firmin</v>
      </c>
      <c r="R244" s="5" t="str">
        <f>VLOOKUP(TabVMEnv[[#This Row],[SYGES]],TabContrat[],2,FALSE)</f>
        <v>Fablab</v>
      </c>
      <c r="S244" s="5" t="str">
        <f>IF(VLOOKUP(TabVMEnv[[#This Row],[VM]],TabOceanet[],1,FALSE) = "","Disparue","")</f>
        <v/>
      </c>
      <c r="T244" s="25">
        <f>VLOOKUP(TabVMEnv[[#This Row],[VM]],TabOceanet[],36,FALSE)/TabVMEnv[[#This Row],[Mutualisé]]</f>
        <v>10</v>
      </c>
      <c r="U244" s="25">
        <f>IF(TabVMEnv[[#This Row],[CostCenter]]="CostCenterDI",0,TabVMEnv[[#This Row],[CoutGlobal]])</f>
        <v>10</v>
      </c>
      <c r="V244" s="25">
        <f>TabVMEnv[[#This Row],[CoutGlobalSansCostCenterDI]]/TabVMEnv[[#Totals],[CoutGlobalSansCostCenterDI]]*(GlobalARepartirSansMS+GlobalARepartirMSOnly+GlobalARepartirInfraReseau)</f>
        <v>17.454570438760861</v>
      </c>
      <c r="W244" s="25">
        <f>TabVMEnv[[#This Row],[CoutGlobalSansCostCenterDI]]+TabVMEnv[[#This Row],[CoutGlobalSupplementaire]]</f>
        <v>27.454570438760861</v>
      </c>
      <c r="X244" s="5" t="str">
        <f>VLOOKUP(TabVMEnv[[#This Row],[EnvProjet]],TabEnvProjet[],2,FALSE) &amp; " - " &amp; IFERROR(VLOOKUP(TabVMEnv[[#This Row],[EnvProjet]],TabEnvProjet[],4,FALSE),"INCONNU") &amp; " - " &amp; IFERROR(VLOOKUP(TabVMEnv[[#This Row],[EnvProjet]],TabEnvProjet[],5,FALSE),"INCONNU")</f>
        <v>Fablab-Firmin - Fablab-Firmin - Pierre-Yves Baloche</v>
      </c>
      <c r="Y244" s="5" t="str">
        <f>VLOOKUP(TabVMEnv[EnvProjet],TabEnvProjet[],5,FALSE)</f>
        <v>Pierre-Yves Baloche</v>
      </c>
      <c r="Z244" s="5" t="str">
        <f>VLOOKUP(TabVMEnv[EnvProjet],TabEnvProjet[],6,FALSE)</f>
        <v>Fablab</v>
      </c>
      <c r="AA244" s="5" t="str">
        <f>VLOOKUP(TabVMEnv[[#This Row],[EnvProjet]],TabEnvProjet[],3,FALSE)</f>
        <v>PROD</v>
      </c>
      <c r="AB244" s="5">
        <f>COUNTIF(TabVMEnv[VM],TabVMEnv[VM])</f>
        <v>1</v>
      </c>
    </row>
    <row r="245" spans="1:28" x14ac:dyDescent="0.25">
      <c r="A245" t="s">
        <v>102</v>
      </c>
      <c r="B245" t="s">
        <v>291</v>
      </c>
      <c r="E245" s="13"/>
      <c r="F245">
        <f>IF(VLOOKUP(TabVMEnv[VM],TabOceanet[],16,FALSE) = "Tarif_VM",IF(VLOOKUP(TabVMEnv[VM],TabOceanet[],2,FALSE)&lt;4,4,VLOOKUP(TabVMEnv[VM],TabOceanet[],2,FALSE)),0)</f>
        <v>0</v>
      </c>
      <c r="G245">
        <v>0</v>
      </c>
      <c r="H245">
        <v>0</v>
      </c>
      <c r="I245">
        <v>0</v>
      </c>
      <c r="J245">
        <v>0</v>
      </c>
      <c r="K245">
        <f>IF(VLOOKUP(TabVMEnv[VM],TabOceanet[],16,FALSE) = "Tarif_VM",1,0)/TabVMEnv[[#This Row],[Mutualisé]]</f>
        <v>0</v>
      </c>
      <c r="L245">
        <f>IF(VLOOKUP(TabVMEnv[VM],TabOceanet[],9,FALSE) = "PoweredOn",1,0)</f>
        <v>0</v>
      </c>
      <c r="M245">
        <f>TabVMEnv[[#This Row],[IsVMPoweredOn]]*VLOOKUP(TabVMEnv[VM],TabOceanet[],3,FALSE)/TabVMEnv[[#This Row],[Mutualisé]]</f>
        <v>0</v>
      </c>
      <c r="N245">
        <f>VLOOKUP(TabVMEnv[VM],TabOceanet[],4,FALSE)/TabVMEnv[[#This Row],[Mutualisé]]</f>
        <v>0</v>
      </c>
      <c r="O245">
        <f>IF(LEFT(VLOOKUP(TabVMEnv[VM],TabOceanet[],5,FALSE),3)="win",1,0)</f>
        <v>0</v>
      </c>
      <c r="P245"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45" t="str">
        <f>VLOOKUP(TabVMEnv[EnvProjet],TabEnvProjet[],4,FALSE)</f>
        <v>Fablab-Firmin</v>
      </c>
      <c r="R245" s="5" t="str">
        <f>VLOOKUP(TabVMEnv[[#This Row],[SYGES]],TabContrat[],2,FALSE)</f>
        <v>Fablab</v>
      </c>
      <c r="S245" s="5" t="str">
        <f>IF(VLOOKUP(TabVMEnv[[#This Row],[VM]],TabOceanet[],1,FALSE) = "","Disparue","")</f>
        <v/>
      </c>
      <c r="T245" s="25">
        <f>VLOOKUP(TabVMEnv[[#This Row],[VM]],TabOceanet[],36,FALSE)/TabVMEnv[[#This Row],[Mutualisé]]</f>
        <v>10</v>
      </c>
      <c r="U245" s="25">
        <f>IF(TabVMEnv[[#This Row],[CostCenter]]="CostCenterDI",0,TabVMEnv[[#This Row],[CoutGlobal]])</f>
        <v>10</v>
      </c>
      <c r="V245" s="25">
        <f>TabVMEnv[[#This Row],[CoutGlobalSansCostCenterDI]]/TabVMEnv[[#Totals],[CoutGlobalSansCostCenterDI]]*(GlobalARepartirSansMS+GlobalARepartirMSOnly+GlobalARepartirInfraReseau)</f>
        <v>17.454570438760861</v>
      </c>
      <c r="W245" s="25">
        <f>TabVMEnv[[#This Row],[CoutGlobalSansCostCenterDI]]+TabVMEnv[[#This Row],[CoutGlobalSupplementaire]]</f>
        <v>27.454570438760861</v>
      </c>
      <c r="X245" s="5" t="str">
        <f>VLOOKUP(TabVMEnv[[#This Row],[EnvProjet]],TabEnvProjet[],2,FALSE) &amp; " - " &amp; IFERROR(VLOOKUP(TabVMEnv[[#This Row],[EnvProjet]],TabEnvProjet[],4,FALSE),"INCONNU") &amp; " - " &amp; IFERROR(VLOOKUP(TabVMEnv[[#This Row],[EnvProjet]],TabEnvProjet[],5,FALSE),"INCONNU")</f>
        <v>Fablab-Firmin - Fablab-Firmin - Pierre-Yves Baloche</v>
      </c>
      <c r="Y245" s="5" t="str">
        <f>VLOOKUP(TabVMEnv[EnvProjet],TabEnvProjet[],5,FALSE)</f>
        <v>Pierre-Yves Baloche</v>
      </c>
      <c r="Z245" s="5" t="str">
        <f>VLOOKUP(TabVMEnv[EnvProjet],TabEnvProjet[],6,FALSE)</f>
        <v>Fablab</v>
      </c>
      <c r="AA245" s="5" t="str">
        <f>VLOOKUP(TabVMEnv[[#This Row],[EnvProjet]],TabEnvProjet[],3,FALSE)</f>
        <v>PROD</v>
      </c>
      <c r="AB245" s="5">
        <f>COUNTIF(TabVMEnv[VM],TabVMEnv[VM])</f>
        <v>1</v>
      </c>
    </row>
    <row r="246" spans="1:28" x14ac:dyDescent="0.25">
      <c r="A246" t="s">
        <v>103</v>
      </c>
      <c r="B246" t="s">
        <v>291</v>
      </c>
      <c r="E246" s="13"/>
      <c r="F246">
        <f>IF(VLOOKUP(TabVMEnv[VM],TabOceanet[],16,FALSE) = "Tarif_VM",IF(VLOOKUP(TabVMEnv[VM],TabOceanet[],2,FALSE)&lt;4,4,VLOOKUP(TabVMEnv[VM],TabOceanet[],2,FALSE)),0)</f>
        <v>0</v>
      </c>
      <c r="G246">
        <v>0</v>
      </c>
      <c r="H246">
        <v>0</v>
      </c>
      <c r="I246">
        <v>0</v>
      </c>
      <c r="J246">
        <v>0</v>
      </c>
      <c r="K246">
        <f>IF(VLOOKUP(TabVMEnv[VM],TabOceanet[],16,FALSE) = "Tarif_VM",1,0)/TabVMEnv[[#This Row],[Mutualisé]]</f>
        <v>0</v>
      </c>
      <c r="L246">
        <f>IF(VLOOKUP(TabVMEnv[VM],TabOceanet[],9,FALSE) = "PoweredOn",1,0)</f>
        <v>0</v>
      </c>
      <c r="M246">
        <f>TabVMEnv[[#This Row],[IsVMPoweredOn]]*VLOOKUP(TabVMEnv[VM],TabOceanet[],3,FALSE)/TabVMEnv[[#This Row],[Mutualisé]]</f>
        <v>0</v>
      </c>
      <c r="N246">
        <f>VLOOKUP(TabVMEnv[VM],TabOceanet[],4,FALSE)/TabVMEnv[[#This Row],[Mutualisé]]</f>
        <v>0</v>
      </c>
      <c r="O246">
        <f>IF(LEFT(VLOOKUP(TabVMEnv[VM],TabOceanet[],5,FALSE),3)="win",1,0)</f>
        <v>0</v>
      </c>
      <c r="P246"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46" t="str">
        <f>VLOOKUP(TabVMEnv[EnvProjet],TabEnvProjet[],4,FALSE)</f>
        <v>Fablab-Firmin</v>
      </c>
      <c r="R246" s="5" t="str">
        <f>VLOOKUP(TabVMEnv[[#This Row],[SYGES]],TabContrat[],2,FALSE)</f>
        <v>Fablab</v>
      </c>
      <c r="S246" s="5" t="str">
        <f>IF(VLOOKUP(TabVMEnv[[#This Row],[VM]],TabOceanet[],1,FALSE) = "","Disparue","")</f>
        <v/>
      </c>
      <c r="T246" s="25">
        <f>VLOOKUP(TabVMEnv[[#This Row],[VM]],TabOceanet[],36,FALSE)/TabVMEnv[[#This Row],[Mutualisé]]</f>
        <v>10</v>
      </c>
      <c r="U246" s="25">
        <f>IF(TabVMEnv[[#This Row],[CostCenter]]="CostCenterDI",0,TabVMEnv[[#This Row],[CoutGlobal]])</f>
        <v>10</v>
      </c>
      <c r="V246" s="25">
        <f>TabVMEnv[[#This Row],[CoutGlobalSansCostCenterDI]]/TabVMEnv[[#Totals],[CoutGlobalSansCostCenterDI]]*(GlobalARepartirSansMS+GlobalARepartirMSOnly+GlobalARepartirInfraReseau)</f>
        <v>17.454570438760861</v>
      </c>
      <c r="W246" s="25">
        <f>TabVMEnv[[#This Row],[CoutGlobalSansCostCenterDI]]+TabVMEnv[[#This Row],[CoutGlobalSupplementaire]]</f>
        <v>27.454570438760861</v>
      </c>
      <c r="X246" s="5" t="str">
        <f>VLOOKUP(TabVMEnv[[#This Row],[EnvProjet]],TabEnvProjet[],2,FALSE) &amp; " - " &amp; IFERROR(VLOOKUP(TabVMEnv[[#This Row],[EnvProjet]],TabEnvProjet[],4,FALSE),"INCONNU") &amp; " - " &amp; IFERROR(VLOOKUP(TabVMEnv[[#This Row],[EnvProjet]],TabEnvProjet[],5,FALSE),"INCONNU")</f>
        <v>Fablab-Firmin - Fablab-Firmin - Pierre-Yves Baloche</v>
      </c>
      <c r="Y246" s="5" t="str">
        <f>VLOOKUP(TabVMEnv[EnvProjet],TabEnvProjet[],5,FALSE)</f>
        <v>Pierre-Yves Baloche</v>
      </c>
      <c r="Z246" s="5" t="str">
        <f>VLOOKUP(TabVMEnv[EnvProjet],TabEnvProjet[],6,FALSE)</f>
        <v>Fablab</v>
      </c>
      <c r="AA246" s="5" t="str">
        <f>VLOOKUP(TabVMEnv[[#This Row],[EnvProjet]],TabEnvProjet[],3,FALSE)</f>
        <v>PROD</v>
      </c>
      <c r="AB246" s="5">
        <f>COUNTIF(TabVMEnv[VM],TabVMEnv[VM])</f>
        <v>1</v>
      </c>
    </row>
    <row r="247" spans="1:28" x14ac:dyDescent="0.25">
      <c r="A247" t="s">
        <v>104</v>
      </c>
      <c r="B247" t="s">
        <v>291</v>
      </c>
      <c r="E247" s="13"/>
      <c r="F247">
        <f>IF(VLOOKUP(TabVMEnv[VM],TabOceanet[],16,FALSE) = "Tarif_VM",IF(VLOOKUP(TabVMEnv[VM],TabOceanet[],2,FALSE)&lt;4,4,VLOOKUP(TabVMEnv[VM],TabOceanet[],2,FALSE)),0)</f>
        <v>0</v>
      </c>
      <c r="G247">
        <v>0</v>
      </c>
      <c r="H247">
        <v>0</v>
      </c>
      <c r="I247">
        <v>0</v>
      </c>
      <c r="J247">
        <v>0</v>
      </c>
      <c r="K247">
        <f>IF(VLOOKUP(TabVMEnv[VM],TabOceanet[],16,FALSE) = "Tarif_VM",1,0)/TabVMEnv[[#This Row],[Mutualisé]]</f>
        <v>0</v>
      </c>
      <c r="L247">
        <f>IF(VLOOKUP(TabVMEnv[VM],TabOceanet[],9,FALSE) = "PoweredOn",1,0)</f>
        <v>0</v>
      </c>
      <c r="M247">
        <f>TabVMEnv[[#This Row],[IsVMPoweredOn]]*VLOOKUP(TabVMEnv[VM],TabOceanet[],3,FALSE)/TabVMEnv[[#This Row],[Mutualisé]]</f>
        <v>0</v>
      </c>
      <c r="N247">
        <f>VLOOKUP(TabVMEnv[VM],TabOceanet[],4,FALSE)/TabVMEnv[[#This Row],[Mutualisé]]</f>
        <v>0</v>
      </c>
      <c r="O247">
        <f>IF(LEFT(VLOOKUP(TabVMEnv[VM],TabOceanet[],5,FALSE),3)="win",1,0)</f>
        <v>0</v>
      </c>
      <c r="P247"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47" t="str">
        <f>VLOOKUP(TabVMEnv[EnvProjet],TabEnvProjet[],4,FALSE)</f>
        <v>Fablab-Firmin</v>
      </c>
      <c r="R247" s="5" t="str">
        <f>VLOOKUP(TabVMEnv[[#This Row],[SYGES]],TabContrat[],2,FALSE)</f>
        <v>Fablab</v>
      </c>
      <c r="S247" s="5" t="str">
        <f>IF(VLOOKUP(TabVMEnv[[#This Row],[VM]],TabOceanet[],1,FALSE) = "","Disparue","")</f>
        <v/>
      </c>
      <c r="T247" s="25">
        <f>VLOOKUP(TabVMEnv[[#This Row],[VM]],TabOceanet[],36,FALSE)/TabVMEnv[[#This Row],[Mutualisé]]</f>
        <v>10</v>
      </c>
      <c r="U247" s="25">
        <f>IF(TabVMEnv[[#This Row],[CostCenter]]="CostCenterDI",0,TabVMEnv[[#This Row],[CoutGlobal]])</f>
        <v>10</v>
      </c>
      <c r="V247" s="25">
        <f>TabVMEnv[[#This Row],[CoutGlobalSansCostCenterDI]]/TabVMEnv[[#Totals],[CoutGlobalSansCostCenterDI]]*(GlobalARepartirSansMS+GlobalARepartirMSOnly+GlobalARepartirInfraReseau)</f>
        <v>17.454570438760861</v>
      </c>
      <c r="W247" s="25">
        <f>TabVMEnv[[#This Row],[CoutGlobalSansCostCenterDI]]+TabVMEnv[[#This Row],[CoutGlobalSupplementaire]]</f>
        <v>27.454570438760861</v>
      </c>
      <c r="X247" s="5" t="str">
        <f>VLOOKUP(TabVMEnv[[#This Row],[EnvProjet]],TabEnvProjet[],2,FALSE) &amp; " - " &amp; IFERROR(VLOOKUP(TabVMEnv[[#This Row],[EnvProjet]],TabEnvProjet[],4,FALSE),"INCONNU") &amp; " - " &amp; IFERROR(VLOOKUP(TabVMEnv[[#This Row],[EnvProjet]],TabEnvProjet[],5,FALSE),"INCONNU")</f>
        <v>Fablab-Firmin - Fablab-Firmin - Pierre-Yves Baloche</v>
      </c>
      <c r="Y247" s="5" t="str">
        <f>VLOOKUP(TabVMEnv[EnvProjet],TabEnvProjet[],5,FALSE)</f>
        <v>Pierre-Yves Baloche</v>
      </c>
      <c r="Z247" s="5" t="str">
        <f>VLOOKUP(TabVMEnv[EnvProjet],TabEnvProjet[],6,FALSE)</f>
        <v>Fablab</v>
      </c>
      <c r="AA247" s="5" t="str">
        <f>VLOOKUP(TabVMEnv[[#This Row],[EnvProjet]],TabEnvProjet[],3,FALSE)</f>
        <v>PROD</v>
      </c>
      <c r="AB247" s="5">
        <f>COUNTIF(TabVMEnv[VM],TabVMEnv[VM])</f>
        <v>1</v>
      </c>
    </row>
    <row r="248" spans="1:28" x14ac:dyDescent="0.25">
      <c r="A248" t="s">
        <v>105</v>
      </c>
      <c r="B248" t="s">
        <v>291</v>
      </c>
      <c r="E248" s="13"/>
      <c r="F248">
        <f>IF(VLOOKUP(TabVMEnv[VM],TabOceanet[],16,FALSE) = "Tarif_VM",IF(VLOOKUP(TabVMEnv[VM],TabOceanet[],2,FALSE)&lt;4,4,VLOOKUP(TabVMEnv[VM],TabOceanet[],2,FALSE)),0)</f>
        <v>0</v>
      </c>
      <c r="G248">
        <v>0</v>
      </c>
      <c r="H248">
        <v>0</v>
      </c>
      <c r="I248">
        <v>0</v>
      </c>
      <c r="J248">
        <v>0</v>
      </c>
      <c r="K248">
        <f>IF(VLOOKUP(TabVMEnv[VM],TabOceanet[],16,FALSE) = "Tarif_VM",1,0)/TabVMEnv[[#This Row],[Mutualisé]]</f>
        <v>0</v>
      </c>
      <c r="L248">
        <f>IF(VLOOKUP(TabVMEnv[VM],TabOceanet[],9,FALSE) = "PoweredOn",1,0)</f>
        <v>0</v>
      </c>
      <c r="M248">
        <f>TabVMEnv[[#This Row],[IsVMPoweredOn]]*VLOOKUP(TabVMEnv[VM],TabOceanet[],3,FALSE)/TabVMEnv[[#This Row],[Mutualisé]]</f>
        <v>0</v>
      </c>
      <c r="N248">
        <f>VLOOKUP(TabVMEnv[VM],TabOceanet[],4,FALSE)/TabVMEnv[[#This Row],[Mutualisé]]</f>
        <v>0</v>
      </c>
      <c r="O248">
        <f>IF(LEFT(VLOOKUP(TabVMEnv[VM],TabOceanet[],5,FALSE),3)="win",1,0)</f>
        <v>0</v>
      </c>
      <c r="P248"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48" t="str">
        <f>VLOOKUP(TabVMEnv[EnvProjet],TabEnvProjet[],4,FALSE)</f>
        <v>Fablab-Firmin</v>
      </c>
      <c r="R248" s="5" t="str">
        <f>VLOOKUP(TabVMEnv[[#This Row],[SYGES]],TabContrat[],2,FALSE)</f>
        <v>Fablab</v>
      </c>
      <c r="S248" s="5" t="str">
        <f>IF(VLOOKUP(TabVMEnv[[#This Row],[VM]],TabOceanet[],1,FALSE) = "","Disparue","")</f>
        <v/>
      </c>
      <c r="T248" s="25">
        <f>VLOOKUP(TabVMEnv[[#This Row],[VM]],TabOceanet[],36,FALSE)/TabVMEnv[[#This Row],[Mutualisé]]</f>
        <v>10</v>
      </c>
      <c r="U248" s="25">
        <f>IF(TabVMEnv[[#This Row],[CostCenter]]="CostCenterDI",0,TabVMEnv[[#This Row],[CoutGlobal]])</f>
        <v>10</v>
      </c>
      <c r="V248" s="25">
        <f>TabVMEnv[[#This Row],[CoutGlobalSansCostCenterDI]]/TabVMEnv[[#Totals],[CoutGlobalSansCostCenterDI]]*(GlobalARepartirSansMS+GlobalARepartirMSOnly+GlobalARepartirInfraReseau)</f>
        <v>17.454570438760861</v>
      </c>
      <c r="W248" s="25">
        <f>TabVMEnv[[#This Row],[CoutGlobalSansCostCenterDI]]+TabVMEnv[[#This Row],[CoutGlobalSupplementaire]]</f>
        <v>27.454570438760861</v>
      </c>
      <c r="X248" s="5" t="str">
        <f>VLOOKUP(TabVMEnv[[#This Row],[EnvProjet]],TabEnvProjet[],2,FALSE) &amp; " - " &amp; IFERROR(VLOOKUP(TabVMEnv[[#This Row],[EnvProjet]],TabEnvProjet[],4,FALSE),"INCONNU") &amp; " - " &amp; IFERROR(VLOOKUP(TabVMEnv[[#This Row],[EnvProjet]],TabEnvProjet[],5,FALSE),"INCONNU")</f>
        <v>Fablab-Firmin - Fablab-Firmin - Pierre-Yves Baloche</v>
      </c>
      <c r="Y248" s="5" t="str">
        <f>VLOOKUP(TabVMEnv[EnvProjet],TabEnvProjet[],5,FALSE)</f>
        <v>Pierre-Yves Baloche</v>
      </c>
      <c r="Z248" s="5" t="str">
        <f>VLOOKUP(TabVMEnv[EnvProjet],TabEnvProjet[],6,FALSE)</f>
        <v>Fablab</v>
      </c>
      <c r="AA248" s="5" t="str">
        <f>VLOOKUP(TabVMEnv[[#This Row],[EnvProjet]],TabEnvProjet[],3,FALSE)</f>
        <v>PROD</v>
      </c>
      <c r="AB248" s="5">
        <f>COUNTIF(TabVMEnv[VM],TabVMEnv[VM])</f>
        <v>1</v>
      </c>
    </row>
    <row r="249" spans="1:28" x14ac:dyDescent="0.25">
      <c r="A249" t="s">
        <v>106</v>
      </c>
      <c r="B249" t="s">
        <v>291</v>
      </c>
      <c r="E249" s="13"/>
      <c r="F249">
        <f>IF(VLOOKUP(TabVMEnv[VM],TabOceanet[],16,FALSE) = "Tarif_VM",IF(VLOOKUP(TabVMEnv[VM],TabOceanet[],2,FALSE)&lt;4,4,VLOOKUP(TabVMEnv[VM],TabOceanet[],2,FALSE)),0)</f>
        <v>0</v>
      </c>
      <c r="G249">
        <v>0</v>
      </c>
      <c r="H249">
        <v>0</v>
      </c>
      <c r="I249">
        <v>0</v>
      </c>
      <c r="J249">
        <v>0</v>
      </c>
      <c r="K249">
        <f>IF(VLOOKUP(TabVMEnv[VM],TabOceanet[],16,FALSE) = "Tarif_VM",1,0)/TabVMEnv[[#This Row],[Mutualisé]]</f>
        <v>0</v>
      </c>
      <c r="L249">
        <f>IF(VLOOKUP(TabVMEnv[VM],TabOceanet[],9,FALSE) = "PoweredOn",1,0)</f>
        <v>0</v>
      </c>
      <c r="M249">
        <f>TabVMEnv[[#This Row],[IsVMPoweredOn]]*VLOOKUP(TabVMEnv[VM],TabOceanet[],3,FALSE)/TabVMEnv[[#This Row],[Mutualisé]]</f>
        <v>0</v>
      </c>
      <c r="N249">
        <f>VLOOKUP(TabVMEnv[VM],TabOceanet[],4,FALSE)/TabVMEnv[[#This Row],[Mutualisé]]</f>
        <v>0</v>
      </c>
      <c r="O249">
        <f>IF(LEFT(VLOOKUP(TabVMEnv[VM],TabOceanet[],5,FALSE),3)="win",1,0)</f>
        <v>0</v>
      </c>
      <c r="P249"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49" t="str">
        <f>VLOOKUP(TabVMEnv[EnvProjet],TabEnvProjet[],4,FALSE)</f>
        <v>Fablab-Firmin</v>
      </c>
      <c r="R249" s="5" t="str">
        <f>VLOOKUP(TabVMEnv[[#This Row],[SYGES]],TabContrat[],2,FALSE)</f>
        <v>Fablab</v>
      </c>
      <c r="S249" s="5" t="str">
        <f>IF(VLOOKUP(TabVMEnv[[#This Row],[VM]],TabOceanet[],1,FALSE) = "","Disparue","")</f>
        <v/>
      </c>
      <c r="T249" s="25">
        <f>VLOOKUP(TabVMEnv[[#This Row],[VM]],TabOceanet[],36,FALSE)/TabVMEnv[[#This Row],[Mutualisé]]</f>
        <v>10</v>
      </c>
      <c r="U249" s="25">
        <f>IF(TabVMEnv[[#This Row],[CostCenter]]="CostCenterDI",0,TabVMEnv[[#This Row],[CoutGlobal]])</f>
        <v>10</v>
      </c>
      <c r="V249" s="25">
        <f>TabVMEnv[[#This Row],[CoutGlobalSansCostCenterDI]]/TabVMEnv[[#Totals],[CoutGlobalSansCostCenterDI]]*(GlobalARepartirSansMS+GlobalARepartirMSOnly+GlobalARepartirInfraReseau)</f>
        <v>17.454570438760861</v>
      </c>
      <c r="W249" s="25">
        <f>TabVMEnv[[#This Row],[CoutGlobalSansCostCenterDI]]+TabVMEnv[[#This Row],[CoutGlobalSupplementaire]]</f>
        <v>27.454570438760861</v>
      </c>
      <c r="X249" s="5" t="str">
        <f>VLOOKUP(TabVMEnv[[#This Row],[EnvProjet]],TabEnvProjet[],2,FALSE) &amp; " - " &amp; IFERROR(VLOOKUP(TabVMEnv[[#This Row],[EnvProjet]],TabEnvProjet[],4,FALSE),"INCONNU") &amp; " - " &amp; IFERROR(VLOOKUP(TabVMEnv[[#This Row],[EnvProjet]],TabEnvProjet[],5,FALSE),"INCONNU")</f>
        <v>Fablab-Firmin - Fablab-Firmin - Pierre-Yves Baloche</v>
      </c>
      <c r="Y249" s="5" t="str">
        <f>VLOOKUP(TabVMEnv[EnvProjet],TabEnvProjet[],5,FALSE)</f>
        <v>Pierre-Yves Baloche</v>
      </c>
      <c r="Z249" s="5" t="str">
        <f>VLOOKUP(TabVMEnv[EnvProjet],TabEnvProjet[],6,FALSE)</f>
        <v>Fablab</v>
      </c>
      <c r="AA249" s="5" t="str">
        <f>VLOOKUP(TabVMEnv[[#This Row],[EnvProjet]],TabEnvProjet[],3,FALSE)</f>
        <v>PROD</v>
      </c>
      <c r="AB249" s="5">
        <f>COUNTIF(TabVMEnv[VM],TabVMEnv[VM])</f>
        <v>1</v>
      </c>
    </row>
    <row r="250" spans="1:28" x14ac:dyDescent="0.25">
      <c r="A250" t="s">
        <v>107</v>
      </c>
      <c r="B250" t="s">
        <v>291</v>
      </c>
      <c r="E250" s="13"/>
      <c r="F250">
        <f>IF(VLOOKUP(TabVMEnv[VM],TabOceanet[],16,FALSE) = "Tarif_VM",IF(VLOOKUP(TabVMEnv[VM],TabOceanet[],2,FALSE)&lt;4,4,VLOOKUP(TabVMEnv[VM],TabOceanet[],2,FALSE)),0)</f>
        <v>0</v>
      </c>
      <c r="G250">
        <v>0</v>
      </c>
      <c r="H250">
        <v>0</v>
      </c>
      <c r="I250">
        <v>0</v>
      </c>
      <c r="J250">
        <v>0</v>
      </c>
      <c r="K250">
        <f>IF(VLOOKUP(TabVMEnv[VM],TabOceanet[],16,FALSE) = "Tarif_VM",1,0)/TabVMEnv[[#This Row],[Mutualisé]]</f>
        <v>0</v>
      </c>
      <c r="L250">
        <f>IF(VLOOKUP(TabVMEnv[VM],TabOceanet[],9,FALSE) = "PoweredOn",1,0)</f>
        <v>0</v>
      </c>
      <c r="M250">
        <f>TabVMEnv[[#This Row],[IsVMPoweredOn]]*VLOOKUP(TabVMEnv[VM],TabOceanet[],3,FALSE)/TabVMEnv[[#This Row],[Mutualisé]]</f>
        <v>0</v>
      </c>
      <c r="N250">
        <f>VLOOKUP(TabVMEnv[VM],TabOceanet[],4,FALSE)/TabVMEnv[[#This Row],[Mutualisé]]</f>
        <v>0</v>
      </c>
      <c r="O250">
        <f>IF(LEFT(VLOOKUP(TabVMEnv[VM],TabOceanet[],5,FALSE),3)="win",1,0)</f>
        <v>0</v>
      </c>
      <c r="P250"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50" t="str">
        <f>VLOOKUP(TabVMEnv[EnvProjet],TabEnvProjet[],4,FALSE)</f>
        <v>Fablab-Firmin</v>
      </c>
      <c r="R250" s="5" t="str">
        <f>VLOOKUP(TabVMEnv[[#This Row],[SYGES]],TabContrat[],2,FALSE)</f>
        <v>Fablab</v>
      </c>
      <c r="S250" s="5" t="str">
        <f>IF(VLOOKUP(TabVMEnv[[#This Row],[VM]],TabOceanet[],1,FALSE) = "","Disparue","")</f>
        <v/>
      </c>
      <c r="T250" s="25">
        <f>VLOOKUP(TabVMEnv[[#This Row],[VM]],TabOceanet[],36,FALSE)/TabVMEnv[[#This Row],[Mutualisé]]</f>
        <v>10</v>
      </c>
      <c r="U250" s="25">
        <f>IF(TabVMEnv[[#This Row],[CostCenter]]="CostCenterDI",0,TabVMEnv[[#This Row],[CoutGlobal]])</f>
        <v>10</v>
      </c>
      <c r="V250" s="25">
        <f>TabVMEnv[[#This Row],[CoutGlobalSansCostCenterDI]]/TabVMEnv[[#Totals],[CoutGlobalSansCostCenterDI]]*(GlobalARepartirSansMS+GlobalARepartirMSOnly+GlobalARepartirInfraReseau)</f>
        <v>17.454570438760861</v>
      </c>
      <c r="W250" s="25">
        <f>TabVMEnv[[#This Row],[CoutGlobalSansCostCenterDI]]+TabVMEnv[[#This Row],[CoutGlobalSupplementaire]]</f>
        <v>27.454570438760861</v>
      </c>
      <c r="X250" s="5" t="str">
        <f>VLOOKUP(TabVMEnv[[#This Row],[EnvProjet]],TabEnvProjet[],2,FALSE) &amp; " - " &amp; IFERROR(VLOOKUP(TabVMEnv[[#This Row],[EnvProjet]],TabEnvProjet[],4,FALSE),"INCONNU") &amp; " - " &amp; IFERROR(VLOOKUP(TabVMEnv[[#This Row],[EnvProjet]],TabEnvProjet[],5,FALSE),"INCONNU")</f>
        <v>Fablab-Firmin - Fablab-Firmin - Pierre-Yves Baloche</v>
      </c>
      <c r="Y250" s="5" t="str">
        <f>VLOOKUP(TabVMEnv[EnvProjet],TabEnvProjet[],5,FALSE)</f>
        <v>Pierre-Yves Baloche</v>
      </c>
      <c r="Z250" s="5" t="str">
        <f>VLOOKUP(TabVMEnv[EnvProjet],TabEnvProjet[],6,FALSE)</f>
        <v>Fablab</v>
      </c>
      <c r="AA250" s="5" t="str">
        <f>VLOOKUP(TabVMEnv[[#This Row],[EnvProjet]],TabEnvProjet[],3,FALSE)</f>
        <v>PROD</v>
      </c>
      <c r="AB250" s="5">
        <f>COUNTIF(TabVMEnv[VM],TabVMEnv[VM])</f>
        <v>1</v>
      </c>
    </row>
    <row r="251" spans="1:28" x14ac:dyDescent="0.25">
      <c r="A251" t="s">
        <v>108</v>
      </c>
      <c r="B251" t="s">
        <v>291</v>
      </c>
      <c r="E251" s="13"/>
      <c r="F251">
        <f>IF(VLOOKUP(TabVMEnv[VM],TabOceanet[],16,FALSE) = "Tarif_VM",IF(VLOOKUP(TabVMEnv[VM],TabOceanet[],2,FALSE)&lt;4,4,VLOOKUP(TabVMEnv[VM],TabOceanet[],2,FALSE)),0)</f>
        <v>0</v>
      </c>
      <c r="G251">
        <v>0</v>
      </c>
      <c r="H251">
        <v>0</v>
      </c>
      <c r="I251">
        <v>0</v>
      </c>
      <c r="J251">
        <v>0</v>
      </c>
      <c r="K251">
        <f>IF(VLOOKUP(TabVMEnv[VM],TabOceanet[],16,FALSE) = "Tarif_VM",1,0)/TabVMEnv[[#This Row],[Mutualisé]]</f>
        <v>0</v>
      </c>
      <c r="L251">
        <f>IF(VLOOKUP(TabVMEnv[VM],TabOceanet[],9,FALSE) = "PoweredOn",1,0)</f>
        <v>0</v>
      </c>
      <c r="M251">
        <f>TabVMEnv[[#This Row],[IsVMPoweredOn]]*VLOOKUP(TabVMEnv[VM],TabOceanet[],3,FALSE)/TabVMEnv[[#This Row],[Mutualisé]]</f>
        <v>0</v>
      </c>
      <c r="N251">
        <f>VLOOKUP(TabVMEnv[VM],TabOceanet[],4,FALSE)/TabVMEnv[[#This Row],[Mutualisé]]</f>
        <v>0</v>
      </c>
      <c r="O251">
        <f>IF(LEFT(VLOOKUP(TabVMEnv[VM],TabOceanet[],5,FALSE),3)="win",1,0)</f>
        <v>0</v>
      </c>
      <c r="P251"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51" t="str">
        <f>VLOOKUP(TabVMEnv[EnvProjet],TabEnvProjet[],4,FALSE)</f>
        <v>Fablab-Firmin</v>
      </c>
      <c r="R251" s="5" t="str">
        <f>VLOOKUP(TabVMEnv[[#This Row],[SYGES]],TabContrat[],2,FALSE)</f>
        <v>Fablab</v>
      </c>
      <c r="S251" s="5" t="str">
        <f>IF(VLOOKUP(TabVMEnv[[#This Row],[VM]],TabOceanet[],1,FALSE) = "","Disparue","")</f>
        <v/>
      </c>
      <c r="T251" s="25">
        <f>VLOOKUP(TabVMEnv[[#This Row],[VM]],TabOceanet[],36,FALSE)/TabVMEnv[[#This Row],[Mutualisé]]</f>
        <v>10</v>
      </c>
      <c r="U251" s="25">
        <f>IF(TabVMEnv[[#This Row],[CostCenter]]="CostCenterDI",0,TabVMEnv[[#This Row],[CoutGlobal]])</f>
        <v>10</v>
      </c>
      <c r="V251" s="25">
        <f>TabVMEnv[[#This Row],[CoutGlobalSansCostCenterDI]]/TabVMEnv[[#Totals],[CoutGlobalSansCostCenterDI]]*(GlobalARepartirSansMS+GlobalARepartirMSOnly+GlobalARepartirInfraReseau)</f>
        <v>17.454570438760861</v>
      </c>
      <c r="W251" s="25">
        <f>TabVMEnv[[#This Row],[CoutGlobalSansCostCenterDI]]+TabVMEnv[[#This Row],[CoutGlobalSupplementaire]]</f>
        <v>27.454570438760861</v>
      </c>
      <c r="X251" s="5" t="str">
        <f>VLOOKUP(TabVMEnv[[#This Row],[EnvProjet]],TabEnvProjet[],2,FALSE) &amp; " - " &amp; IFERROR(VLOOKUP(TabVMEnv[[#This Row],[EnvProjet]],TabEnvProjet[],4,FALSE),"INCONNU") &amp; " - " &amp; IFERROR(VLOOKUP(TabVMEnv[[#This Row],[EnvProjet]],TabEnvProjet[],5,FALSE),"INCONNU")</f>
        <v>Fablab-Firmin - Fablab-Firmin - Pierre-Yves Baloche</v>
      </c>
      <c r="Y251" s="5" t="str">
        <f>VLOOKUP(TabVMEnv[EnvProjet],TabEnvProjet[],5,FALSE)</f>
        <v>Pierre-Yves Baloche</v>
      </c>
      <c r="Z251" s="5" t="str">
        <f>VLOOKUP(TabVMEnv[EnvProjet],TabEnvProjet[],6,FALSE)</f>
        <v>Fablab</v>
      </c>
      <c r="AA251" s="5" t="str">
        <f>VLOOKUP(TabVMEnv[[#This Row],[EnvProjet]],TabEnvProjet[],3,FALSE)</f>
        <v>PROD</v>
      </c>
      <c r="AB251" s="5">
        <f>COUNTIF(TabVMEnv[VM],TabVMEnv[VM])</f>
        <v>1</v>
      </c>
    </row>
    <row r="252" spans="1:28" x14ac:dyDescent="0.25">
      <c r="A252" t="s">
        <v>109</v>
      </c>
      <c r="B252" t="s">
        <v>291</v>
      </c>
      <c r="E252" s="13"/>
      <c r="F252">
        <f>IF(VLOOKUP(TabVMEnv[VM],TabOceanet[],16,FALSE) = "Tarif_VM",IF(VLOOKUP(TabVMEnv[VM],TabOceanet[],2,FALSE)&lt;4,4,VLOOKUP(TabVMEnv[VM],TabOceanet[],2,FALSE)),0)</f>
        <v>0</v>
      </c>
      <c r="G252">
        <v>0</v>
      </c>
      <c r="H252">
        <v>0</v>
      </c>
      <c r="I252">
        <v>0</v>
      </c>
      <c r="J252">
        <v>0</v>
      </c>
      <c r="K252">
        <f>IF(VLOOKUP(TabVMEnv[VM],TabOceanet[],16,FALSE) = "Tarif_VM",1,0)/TabVMEnv[[#This Row],[Mutualisé]]</f>
        <v>0</v>
      </c>
      <c r="L252">
        <f>IF(VLOOKUP(TabVMEnv[VM],TabOceanet[],9,FALSE) = "PoweredOn",1,0)</f>
        <v>0</v>
      </c>
      <c r="M252">
        <f>TabVMEnv[[#This Row],[IsVMPoweredOn]]*VLOOKUP(TabVMEnv[VM],TabOceanet[],3,FALSE)/TabVMEnv[[#This Row],[Mutualisé]]</f>
        <v>0</v>
      </c>
      <c r="N252">
        <f>VLOOKUP(TabVMEnv[VM],TabOceanet[],4,FALSE)/TabVMEnv[[#This Row],[Mutualisé]]</f>
        <v>0</v>
      </c>
      <c r="O252">
        <f>IF(LEFT(VLOOKUP(TabVMEnv[VM],TabOceanet[],5,FALSE),3)="win",1,0)</f>
        <v>0</v>
      </c>
      <c r="P252"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52" t="str">
        <f>VLOOKUP(TabVMEnv[EnvProjet],TabEnvProjet[],4,FALSE)</f>
        <v>Fablab-Firmin</v>
      </c>
      <c r="R252" s="5" t="str">
        <f>VLOOKUP(TabVMEnv[[#This Row],[SYGES]],TabContrat[],2,FALSE)</f>
        <v>Fablab</v>
      </c>
      <c r="S252" s="5" t="str">
        <f>IF(VLOOKUP(TabVMEnv[[#This Row],[VM]],TabOceanet[],1,FALSE) = "","Disparue","")</f>
        <v/>
      </c>
      <c r="T252" s="25">
        <f>VLOOKUP(TabVMEnv[[#This Row],[VM]],TabOceanet[],36,FALSE)/TabVMEnv[[#This Row],[Mutualisé]]</f>
        <v>10</v>
      </c>
      <c r="U252" s="25">
        <f>IF(TabVMEnv[[#This Row],[CostCenter]]="CostCenterDI",0,TabVMEnv[[#This Row],[CoutGlobal]])</f>
        <v>10</v>
      </c>
      <c r="V252" s="25">
        <f>TabVMEnv[[#This Row],[CoutGlobalSansCostCenterDI]]/TabVMEnv[[#Totals],[CoutGlobalSansCostCenterDI]]*(GlobalARepartirSansMS+GlobalARepartirMSOnly+GlobalARepartirInfraReseau)</f>
        <v>17.454570438760861</v>
      </c>
      <c r="W252" s="25">
        <f>TabVMEnv[[#This Row],[CoutGlobalSansCostCenterDI]]+TabVMEnv[[#This Row],[CoutGlobalSupplementaire]]</f>
        <v>27.454570438760861</v>
      </c>
      <c r="X252" s="5" t="str">
        <f>VLOOKUP(TabVMEnv[[#This Row],[EnvProjet]],TabEnvProjet[],2,FALSE) &amp; " - " &amp; IFERROR(VLOOKUP(TabVMEnv[[#This Row],[EnvProjet]],TabEnvProjet[],4,FALSE),"INCONNU") &amp; " - " &amp; IFERROR(VLOOKUP(TabVMEnv[[#This Row],[EnvProjet]],TabEnvProjet[],5,FALSE),"INCONNU")</f>
        <v>Fablab-Firmin - Fablab-Firmin - Pierre-Yves Baloche</v>
      </c>
      <c r="Y252" s="5" t="str">
        <f>VLOOKUP(TabVMEnv[EnvProjet],TabEnvProjet[],5,FALSE)</f>
        <v>Pierre-Yves Baloche</v>
      </c>
      <c r="Z252" s="5" t="str">
        <f>VLOOKUP(TabVMEnv[EnvProjet],TabEnvProjet[],6,FALSE)</f>
        <v>Fablab</v>
      </c>
      <c r="AA252" s="5" t="str">
        <f>VLOOKUP(TabVMEnv[[#This Row],[EnvProjet]],TabEnvProjet[],3,FALSE)</f>
        <v>PROD</v>
      </c>
      <c r="AB252" s="5">
        <f>COUNTIF(TabVMEnv[VM],TabVMEnv[VM])</f>
        <v>1</v>
      </c>
    </row>
    <row r="253" spans="1:28" x14ac:dyDescent="0.25">
      <c r="A253" t="s">
        <v>110</v>
      </c>
      <c r="B253" t="s">
        <v>291</v>
      </c>
      <c r="E253" s="13"/>
      <c r="F253">
        <f>IF(VLOOKUP(TabVMEnv[VM],TabOceanet[],16,FALSE) = "Tarif_VM",IF(VLOOKUP(TabVMEnv[VM],TabOceanet[],2,FALSE)&lt;4,4,VLOOKUP(TabVMEnv[VM],TabOceanet[],2,FALSE)),0)</f>
        <v>0</v>
      </c>
      <c r="G253">
        <v>0</v>
      </c>
      <c r="H253">
        <v>0</v>
      </c>
      <c r="I253">
        <v>0</v>
      </c>
      <c r="J253">
        <v>0</v>
      </c>
      <c r="K253">
        <f>IF(VLOOKUP(TabVMEnv[VM],TabOceanet[],16,FALSE) = "Tarif_VM",1,0)/TabVMEnv[[#This Row],[Mutualisé]]</f>
        <v>0</v>
      </c>
      <c r="L253">
        <f>IF(VLOOKUP(TabVMEnv[VM],TabOceanet[],9,FALSE) = "PoweredOn",1,0)</f>
        <v>0</v>
      </c>
      <c r="M253">
        <f>TabVMEnv[[#This Row],[IsVMPoweredOn]]*VLOOKUP(TabVMEnv[VM],TabOceanet[],3,FALSE)/TabVMEnv[[#This Row],[Mutualisé]]</f>
        <v>0</v>
      </c>
      <c r="N253">
        <f>VLOOKUP(TabVMEnv[VM],TabOceanet[],4,FALSE)/TabVMEnv[[#This Row],[Mutualisé]]</f>
        <v>0</v>
      </c>
      <c r="O253">
        <f>IF(LEFT(VLOOKUP(TabVMEnv[VM],TabOceanet[],5,FALSE),3)="win",1,0)</f>
        <v>0</v>
      </c>
      <c r="P253"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53" t="str">
        <f>VLOOKUP(TabVMEnv[EnvProjet],TabEnvProjet[],4,FALSE)</f>
        <v>Fablab-Firmin</v>
      </c>
      <c r="R253" s="5" t="str">
        <f>VLOOKUP(TabVMEnv[[#This Row],[SYGES]],TabContrat[],2,FALSE)</f>
        <v>Fablab</v>
      </c>
      <c r="S253" s="5" t="str">
        <f>IF(VLOOKUP(TabVMEnv[[#This Row],[VM]],TabOceanet[],1,FALSE) = "","Disparue","")</f>
        <v/>
      </c>
      <c r="T253" s="25">
        <f>VLOOKUP(TabVMEnv[[#This Row],[VM]],TabOceanet[],36,FALSE)/TabVMEnv[[#This Row],[Mutualisé]]</f>
        <v>10</v>
      </c>
      <c r="U253" s="25">
        <f>IF(TabVMEnv[[#This Row],[CostCenter]]="CostCenterDI",0,TabVMEnv[[#This Row],[CoutGlobal]])</f>
        <v>10</v>
      </c>
      <c r="V253" s="25">
        <f>TabVMEnv[[#This Row],[CoutGlobalSansCostCenterDI]]/TabVMEnv[[#Totals],[CoutGlobalSansCostCenterDI]]*(GlobalARepartirSansMS+GlobalARepartirMSOnly+GlobalARepartirInfraReseau)</f>
        <v>17.454570438760861</v>
      </c>
      <c r="W253" s="25">
        <f>TabVMEnv[[#This Row],[CoutGlobalSansCostCenterDI]]+TabVMEnv[[#This Row],[CoutGlobalSupplementaire]]</f>
        <v>27.454570438760861</v>
      </c>
      <c r="X253" s="5" t="str">
        <f>VLOOKUP(TabVMEnv[[#This Row],[EnvProjet]],TabEnvProjet[],2,FALSE) &amp; " - " &amp; IFERROR(VLOOKUP(TabVMEnv[[#This Row],[EnvProjet]],TabEnvProjet[],4,FALSE),"INCONNU") &amp; " - " &amp; IFERROR(VLOOKUP(TabVMEnv[[#This Row],[EnvProjet]],TabEnvProjet[],5,FALSE),"INCONNU")</f>
        <v>Fablab-Firmin - Fablab-Firmin - Pierre-Yves Baloche</v>
      </c>
      <c r="Y253" s="5" t="str">
        <f>VLOOKUP(TabVMEnv[EnvProjet],TabEnvProjet[],5,FALSE)</f>
        <v>Pierre-Yves Baloche</v>
      </c>
      <c r="Z253" s="5" t="str">
        <f>VLOOKUP(TabVMEnv[EnvProjet],TabEnvProjet[],6,FALSE)</f>
        <v>Fablab</v>
      </c>
      <c r="AA253" s="5" t="str">
        <f>VLOOKUP(TabVMEnv[[#This Row],[EnvProjet]],TabEnvProjet[],3,FALSE)</f>
        <v>PROD</v>
      </c>
      <c r="AB253" s="5">
        <f>COUNTIF(TabVMEnv[VM],TabVMEnv[VM])</f>
        <v>1</v>
      </c>
    </row>
    <row r="254" spans="1:28" x14ac:dyDescent="0.25">
      <c r="A254" t="s">
        <v>111</v>
      </c>
      <c r="B254" t="s">
        <v>291</v>
      </c>
      <c r="E254" s="13"/>
      <c r="F254">
        <f>IF(VLOOKUP(TabVMEnv[VM],TabOceanet[],16,FALSE) = "Tarif_VM",IF(VLOOKUP(TabVMEnv[VM],TabOceanet[],2,FALSE)&lt;4,4,VLOOKUP(TabVMEnv[VM],TabOceanet[],2,FALSE)),0)</f>
        <v>0</v>
      </c>
      <c r="G254">
        <v>0</v>
      </c>
      <c r="H254">
        <v>0</v>
      </c>
      <c r="I254">
        <v>0</v>
      </c>
      <c r="J254">
        <v>0</v>
      </c>
      <c r="K254">
        <f>IF(VLOOKUP(TabVMEnv[VM],TabOceanet[],16,FALSE) = "Tarif_VM",1,0)/TabVMEnv[[#This Row],[Mutualisé]]</f>
        <v>0</v>
      </c>
      <c r="L254">
        <f>IF(VLOOKUP(TabVMEnv[VM],TabOceanet[],9,FALSE) = "PoweredOn",1,0)</f>
        <v>0</v>
      </c>
      <c r="M254">
        <f>TabVMEnv[[#This Row],[IsVMPoweredOn]]*VLOOKUP(TabVMEnv[VM],TabOceanet[],3,FALSE)/TabVMEnv[[#This Row],[Mutualisé]]</f>
        <v>0</v>
      </c>
      <c r="N254">
        <f>VLOOKUP(TabVMEnv[VM],TabOceanet[],4,FALSE)/TabVMEnv[[#This Row],[Mutualisé]]</f>
        <v>0</v>
      </c>
      <c r="O254">
        <f>IF(LEFT(VLOOKUP(TabVMEnv[VM],TabOceanet[],5,FALSE),3)="win",1,0)</f>
        <v>0</v>
      </c>
      <c r="P254"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54" t="str">
        <f>VLOOKUP(TabVMEnv[EnvProjet],TabEnvProjet[],4,FALSE)</f>
        <v>Fablab-Firmin</v>
      </c>
      <c r="R254" s="5" t="str">
        <f>VLOOKUP(TabVMEnv[[#This Row],[SYGES]],TabContrat[],2,FALSE)</f>
        <v>Fablab</v>
      </c>
      <c r="S254" s="5" t="str">
        <f>IF(VLOOKUP(TabVMEnv[[#This Row],[VM]],TabOceanet[],1,FALSE) = "","Disparue","")</f>
        <v/>
      </c>
      <c r="T254" s="25">
        <f>VLOOKUP(TabVMEnv[[#This Row],[VM]],TabOceanet[],36,FALSE)/TabVMEnv[[#This Row],[Mutualisé]]</f>
        <v>10</v>
      </c>
      <c r="U254" s="25">
        <f>IF(TabVMEnv[[#This Row],[CostCenter]]="CostCenterDI",0,TabVMEnv[[#This Row],[CoutGlobal]])</f>
        <v>10</v>
      </c>
      <c r="V254" s="25">
        <f>TabVMEnv[[#This Row],[CoutGlobalSansCostCenterDI]]/TabVMEnv[[#Totals],[CoutGlobalSansCostCenterDI]]*(GlobalARepartirSansMS+GlobalARepartirMSOnly+GlobalARepartirInfraReseau)</f>
        <v>17.454570438760861</v>
      </c>
      <c r="W254" s="25">
        <f>TabVMEnv[[#This Row],[CoutGlobalSansCostCenterDI]]+TabVMEnv[[#This Row],[CoutGlobalSupplementaire]]</f>
        <v>27.454570438760861</v>
      </c>
      <c r="X254" s="5" t="str">
        <f>VLOOKUP(TabVMEnv[[#This Row],[EnvProjet]],TabEnvProjet[],2,FALSE) &amp; " - " &amp; IFERROR(VLOOKUP(TabVMEnv[[#This Row],[EnvProjet]],TabEnvProjet[],4,FALSE),"INCONNU") &amp; " - " &amp; IFERROR(VLOOKUP(TabVMEnv[[#This Row],[EnvProjet]],TabEnvProjet[],5,FALSE),"INCONNU")</f>
        <v>Fablab-Firmin - Fablab-Firmin - Pierre-Yves Baloche</v>
      </c>
      <c r="Y254" s="5" t="str">
        <f>VLOOKUP(TabVMEnv[EnvProjet],TabEnvProjet[],5,FALSE)</f>
        <v>Pierre-Yves Baloche</v>
      </c>
      <c r="Z254" s="5" t="str">
        <f>VLOOKUP(TabVMEnv[EnvProjet],TabEnvProjet[],6,FALSE)</f>
        <v>Fablab</v>
      </c>
      <c r="AA254" s="5" t="str">
        <f>VLOOKUP(TabVMEnv[[#This Row],[EnvProjet]],TabEnvProjet[],3,FALSE)</f>
        <v>PROD</v>
      </c>
      <c r="AB254" s="5">
        <f>COUNTIF(TabVMEnv[VM],TabVMEnv[VM])</f>
        <v>1</v>
      </c>
    </row>
    <row r="255" spans="1:28" x14ac:dyDescent="0.25">
      <c r="A255" t="s">
        <v>112</v>
      </c>
      <c r="B255" t="s">
        <v>291</v>
      </c>
      <c r="E255" s="13"/>
      <c r="F255">
        <f>IF(VLOOKUP(TabVMEnv[VM],TabOceanet[],16,FALSE) = "Tarif_VM",IF(VLOOKUP(TabVMEnv[VM],TabOceanet[],2,FALSE)&lt;4,4,VLOOKUP(TabVMEnv[VM],TabOceanet[],2,FALSE)),0)</f>
        <v>0</v>
      </c>
      <c r="G255">
        <v>0</v>
      </c>
      <c r="H255">
        <v>0</v>
      </c>
      <c r="I255">
        <v>0</v>
      </c>
      <c r="J255">
        <v>0</v>
      </c>
      <c r="K255">
        <f>IF(VLOOKUP(TabVMEnv[VM],TabOceanet[],16,FALSE) = "Tarif_VM",1,0)/TabVMEnv[[#This Row],[Mutualisé]]</f>
        <v>0</v>
      </c>
      <c r="L255">
        <f>IF(VLOOKUP(TabVMEnv[VM],TabOceanet[],9,FALSE) = "PoweredOn",1,0)</f>
        <v>0</v>
      </c>
      <c r="M255">
        <f>TabVMEnv[[#This Row],[IsVMPoweredOn]]*VLOOKUP(TabVMEnv[VM],TabOceanet[],3,FALSE)/TabVMEnv[[#This Row],[Mutualisé]]</f>
        <v>0</v>
      </c>
      <c r="N255">
        <f>VLOOKUP(TabVMEnv[VM],TabOceanet[],4,FALSE)/TabVMEnv[[#This Row],[Mutualisé]]</f>
        <v>0</v>
      </c>
      <c r="O255">
        <f>IF(LEFT(VLOOKUP(TabVMEnv[VM],TabOceanet[],5,FALSE),3)="win",1,0)</f>
        <v>0</v>
      </c>
      <c r="P255"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55" t="str">
        <f>VLOOKUP(TabVMEnv[EnvProjet],TabEnvProjet[],4,FALSE)</f>
        <v>Fablab-Firmin</v>
      </c>
      <c r="R255" s="5" t="str">
        <f>VLOOKUP(TabVMEnv[[#This Row],[SYGES]],TabContrat[],2,FALSE)</f>
        <v>Fablab</v>
      </c>
      <c r="S255" s="5" t="str">
        <f>IF(VLOOKUP(TabVMEnv[[#This Row],[VM]],TabOceanet[],1,FALSE) = "","Disparue","")</f>
        <v/>
      </c>
      <c r="T255" s="25">
        <f>VLOOKUP(TabVMEnv[[#This Row],[VM]],TabOceanet[],36,FALSE)/TabVMEnv[[#This Row],[Mutualisé]]</f>
        <v>10</v>
      </c>
      <c r="U255" s="25">
        <f>IF(TabVMEnv[[#This Row],[CostCenter]]="CostCenterDI",0,TabVMEnv[[#This Row],[CoutGlobal]])</f>
        <v>10</v>
      </c>
      <c r="V255" s="25">
        <f>TabVMEnv[[#This Row],[CoutGlobalSansCostCenterDI]]/TabVMEnv[[#Totals],[CoutGlobalSansCostCenterDI]]*(GlobalARepartirSansMS+GlobalARepartirMSOnly+GlobalARepartirInfraReseau)</f>
        <v>17.454570438760861</v>
      </c>
      <c r="W255" s="25">
        <f>TabVMEnv[[#This Row],[CoutGlobalSansCostCenterDI]]+TabVMEnv[[#This Row],[CoutGlobalSupplementaire]]</f>
        <v>27.454570438760861</v>
      </c>
      <c r="X255" s="5" t="str">
        <f>VLOOKUP(TabVMEnv[[#This Row],[EnvProjet]],TabEnvProjet[],2,FALSE) &amp; " - " &amp; IFERROR(VLOOKUP(TabVMEnv[[#This Row],[EnvProjet]],TabEnvProjet[],4,FALSE),"INCONNU") &amp; " - " &amp; IFERROR(VLOOKUP(TabVMEnv[[#This Row],[EnvProjet]],TabEnvProjet[],5,FALSE),"INCONNU")</f>
        <v>Fablab-Firmin - Fablab-Firmin - Pierre-Yves Baloche</v>
      </c>
      <c r="Y255" s="5" t="str">
        <f>VLOOKUP(TabVMEnv[EnvProjet],TabEnvProjet[],5,FALSE)</f>
        <v>Pierre-Yves Baloche</v>
      </c>
      <c r="Z255" s="5" t="str">
        <f>VLOOKUP(TabVMEnv[EnvProjet],TabEnvProjet[],6,FALSE)</f>
        <v>Fablab</v>
      </c>
      <c r="AA255" s="5" t="str">
        <f>VLOOKUP(TabVMEnv[[#This Row],[EnvProjet]],TabEnvProjet[],3,FALSE)</f>
        <v>PROD</v>
      </c>
      <c r="AB255" s="5">
        <f>COUNTIF(TabVMEnv[VM],TabVMEnv[VM])</f>
        <v>1</v>
      </c>
    </row>
    <row r="256" spans="1:28" x14ac:dyDescent="0.25">
      <c r="A256" t="s">
        <v>113</v>
      </c>
      <c r="B256" t="s">
        <v>291</v>
      </c>
      <c r="E256" s="13"/>
      <c r="F256">
        <f>IF(VLOOKUP(TabVMEnv[VM],TabOceanet[],16,FALSE) = "Tarif_VM",IF(VLOOKUP(TabVMEnv[VM],TabOceanet[],2,FALSE)&lt;4,4,VLOOKUP(TabVMEnv[VM],TabOceanet[],2,FALSE)),0)</f>
        <v>0</v>
      </c>
      <c r="G256">
        <v>0</v>
      </c>
      <c r="H256">
        <v>0</v>
      </c>
      <c r="I256">
        <v>0</v>
      </c>
      <c r="J256">
        <v>0</v>
      </c>
      <c r="K256">
        <f>IF(VLOOKUP(TabVMEnv[VM],TabOceanet[],16,FALSE) = "Tarif_VM",1,0)/TabVMEnv[[#This Row],[Mutualisé]]</f>
        <v>0</v>
      </c>
      <c r="L256">
        <f>IF(VLOOKUP(TabVMEnv[VM],TabOceanet[],9,FALSE) = "PoweredOn",1,0)</f>
        <v>0</v>
      </c>
      <c r="M256">
        <f>TabVMEnv[[#This Row],[IsVMPoweredOn]]*VLOOKUP(TabVMEnv[VM],TabOceanet[],3,FALSE)/TabVMEnv[[#This Row],[Mutualisé]]</f>
        <v>0</v>
      </c>
      <c r="N256">
        <f>VLOOKUP(TabVMEnv[VM],TabOceanet[],4,FALSE)/TabVMEnv[[#This Row],[Mutualisé]]</f>
        <v>0</v>
      </c>
      <c r="O256">
        <f>IF(LEFT(VLOOKUP(TabVMEnv[VM],TabOceanet[],5,FALSE),3)="win",1,0)</f>
        <v>0</v>
      </c>
      <c r="P256"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56" t="str">
        <f>VLOOKUP(TabVMEnv[EnvProjet],TabEnvProjet[],4,FALSE)</f>
        <v>Fablab-Firmin</v>
      </c>
      <c r="R256" s="5" t="str">
        <f>VLOOKUP(TabVMEnv[[#This Row],[SYGES]],TabContrat[],2,FALSE)</f>
        <v>Fablab</v>
      </c>
      <c r="S256" s="5" t="str">
        <f>IF(VLOOKUP(TabVMEnv[[#This Row],[VM]],TabOceanet[],1,FALSE) = "","Disparue","")</f>
        <v/>
      </c>
      <c r="T256" s="25">
        <f>VLOOKUP(TabVMEnv[[#This Row],[VM]],TabOceanet[],36,FALSE)/TabVMEnv[[#This Row],[Mutualisé]]</f>
        <v>10</v>
      </c>
      <c r="U256" s="25">
        <f>IF(TabVMEnv[[#This Row],[CostCenter]]="CostCenterDI",0,TabVMEnv[[#This Row],[CoutGlobal]])</f>
        <v>10</v>
      </c>
      <c r="V256" s="25">
        <f>TabVMEnv[[#This Row],[CoutGlobalSansCostCenterDI]]/TabVMEnv[[#Totals],[CoutGlobalSansCostCenterDI]]*(GlobalARepartirSansMS+GlobalARepartirMSOnly+GlobalARepartirInfraReseau)</f>
        <v>17.454570438760861</v>
      </c>
      <c r="W256" s="25">
        <f>TabVMEnv[[#This Row],[CoutGlobalSansCostCenterDI]]+TabVMEnv[[#This Row],[CoutGlobalSupplementaire]]</f>
        <v>27.454570438760861</v>
      </c>
      <c r="X256" s="5" t="str">
        <f>VLOOKUP(TabVMEnv[[#This Row],[EnvProjet]],TabEnvProjet[],2,FALSE) &amp; " - " &amp; IFERROR(VLOOKUP(TabVMEnv[[#This Row],[EnvProjet]],TabEnvProjet[],4,FALSE),"INCONNU") &amp; " - " &amp; IFERROR(VLOOKUP(TabVMEnv[[#This Row],[EnvProjet]],TabEnvProjet[],5,FALSE),"INCONNU")</f>
        <v>Fablab-Firmin - Fablab-Firmin - Pierre-Yves Baloche</v>
      </c>
      <c r="Y256" s="5" t="str">
        <f>VLOOKUP(TabVMEnv[EnvProjet],TabEnvProjet[],5,FALSE)</f>
        <v>Pierre-Yves Baloche</v>
      </c>
      <c r="Z256" s="5" t="str">
        <f>VLOOKUP(TabVMEnv[EnvProjet],TabEnvProjet[],6,FALSE)</f>
        <v>Fablab</v>
      </c>
      <c r="AA256" s="5" t="str">
        <f>VLOOKUP(TabVMEnv[[#This Row],[EnvProjet]],TabEnvProjet[],3,FALSE)</f>
        <v>PROD</v>
      </c>
      <c r="AB256" s="5">
        <f>COUNTIF(TabVMEnv[VM],TabVMEnv[VM])</f>
        <v>1</v>
      </c>
    </row>
    <row r="257" spans="1:28" x14ac:dyDescent="0.25">
      <c r="A257" t="s">
        <v>179</v>
      </c>
      <c r="B257" t="s">
        <v>294</v>
      </c>
      <c r="E257" s="13"/>
      <c r="F257">
        <f>IF(VLOOKUP(TabVMEnv[VM],TabOceanet[],16,FALSE) = "Tarif_VM",IF(VLOOKUP(TabVMEnv[VM],TabOceanet[],2,FALSE)&lt;4,4,VLOOKUP(TabVMEnv[VM],TabOceanet[],2,FALSE)),0)</f>
        <v>0</v>
      </c>
      <c r="G257">
        <v>0</v>
      </c>
      <c r="H257">
        <v>0</v>
      </c>
      <c r="I257">
        <v>0</v>
      </c>
      <c r="J257">
        <v>0</v>
      </c>
      <c r="K257">
        <f>IF(VLOOKUP(TabVMEnv[VM],TabOceanet[],16,FALSE) = "Tarif_VM",1,0)/TabVMEnv[[#This Row],[Mutualisé]]</f>
        <v>0</v>
      </c>
      <c r="L257">
        <f>IF(VLOOKUP(TabVMEnv[VM],TabOceanet[],9,FALSE) = "PoweredOn",1,0)</f>
        <v>0</v>
      </c>
      <c r="M257">
        <f>TabVMEnv[[#This Row],[IsVMPoweredOn]]*VLOOKUP(TabVMEnv[VM],TabOceanet[],3,FALSE)/TabVMEnv[[#This Row],[Mutualisé]]</f>
        <v>0</v>
      </c>
      <c r="N257">
        <f>VLOOKUP(TabVMEnv[VM],TabOceanet[],4,FALSE)/TabVMEnv[[#This Row],[Mutualisé]]</f>
        <v>0</v>
      </c>
      <c r="O257">
        <f>IF(LEFT(VLOOKUP(TabVMEnv[VM],TabOceanet[],5,FALSE),3)="win",1,0)</f>
        <v>0</v>
      </c>
      <c r="P257"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57" t="str">
        <f>VLOOKUP(TabVMEnv[EnvProjet],TabEnvProjet[],4,FALSE)</f>
        <v>GFI Oceanet Infra Réseau</v>
      </c>
      <c r="R257" s="5" t="str">
        <f>VLOOKUP(TabVMEnv[[#This Row],[SYGES]],TabContrat[],2,FALSE)</f>
        <v>GFI</v>
      </c>
      <c r="S257" s="5" t="str">
        <f>IF(VLOOKUP(TabVMEnv[[#This Row],[VM]],TabOceanet[],1,FALSE) = "","Disparue","")</f>
        <v/>
      </c>
      <c r="T257" s="25">
        <f>VLOOKUP(TabVMEnv[[#This Row],[VM]],TabOceanet[],36,FALSE)/TabVMEnv[[#This Row],[Mutualisé]]</f>
        <v>10</v>
      </c>
      <c r="U257" s="25">
        <f>IF(TabVMEnv[[#This Row],[CostCenter]]="CostCenterDI",0,TabVMEnv[[#This Row],[CoutGlobal]])</f>
        <v>0</v>
      </c>
      <c r="V257" s="25">
        <f>TabVMEnv[[#This Row],[CoutGlobalSansCostCenterDI]]/TabVMEnv[[#Totals],[CoutGlobalSansCostCenterDI]]*(GlobalARepartirSansMS+GlobalARepartirMSOnly+GlobalARepartirInfraReseau)</f>
        <v>0</v>
      </c>
      <c r="W257" s="25">
        <f>TabVMEnv[[#This Row],[CoutGlobalSansCostCenterDI]]+TabVMEnv[[#This Row],[CoutGlobalSupplementaire]]</f>
        <v>0</v>
      </c>
      <c r="X257" s="5" t="str">
        <f>VLOOKUP(TabVMEnv[[#This Row],[EnvProjet]],TabEnvProjet[],2,FALSE) &amp; " - " &amp; IFERROR(VLOOKUP(TabVMEnv[[#This Row],[EnvProjet]],TabEnvProjet[],4,FALSE),"INCONNU") &amp; " - " &amp; IFERROR(VLOOKUP(TabVMEnv[[#This Row],[EnvProjet]],TabEnvProjet[],5,FALSE),"INCONNU")</f>
        <v>GFI-Oceanet Infra Réseau - GFI Oceanet Infra Réseau - Jérôme JACOB</v>
      </c>
      <c r="Y257" s="5" t="str">
        <f>VLOOKUP(TabVMEnv[EnvProjet],TabEnvProjet[],5,FALSE)</f>
        <v>Jérôme JACOB</v>
      </c>
      <c r="Z257" s="5" t="str">
        <f>VLOOKUP(TabVMEnv[EnvProjet],TabEnvProjet[],6,FALSE)</f>
        <v>CostCenterDI</v>
      </c>
      <c r="AA257" s="5" t="str">
        <f>VLOOKUP(TabVMEnv[[#This Row],[EnvProjet]],TabEnvProjet[],3,FALSE)</f>
        <v>SOCLE</v>
      </c>
      <c r="AB257" s="5">
        <f>COUNTIF(TabVMEnv[VM],TabVMEnv[VM])</f>
        <v>1</v>
      </c>
    </row>
    <row r="258" spans="1:28" x14ac:dyDescent="0.25">
      <c r="A258" t="s">
        <v>251</v>
      </c>
      <c r="B258" t="s">
        <v>296</v>
      </c>
      <c r="E258" s="13"/>
      <c r="F258">
        <f>IF(VLOOKUP(TabVMEnv[VM],TabOceanet[],16,FALSE) = "Tarif_VM",IF(VLOOKUP(TabVMEnv[VM],TabOceanet[],2,FALSE)&lt;4,4,VLOOKUP(TabVMEnv[VM],TabOceanet[],2,FALSE)),0)</f>
        <v>4</v>
      </c>
      <c r="G258">
        <v>0</v>
      </c>
      <c r="H258">
        <v>0</v>
      </c>
      <c r="I258">
        <v>0</v>
      </c>
      <c r="J258">
        <v>0</v>
      </c>
      <c r="K258">
        <f>IF(VLOOKUP(TabVMEnv[VM],TabOceanet[],16,FALSE) = "Tarif_VM",1,0)/TabVMEnv[[#This Row],[Mutualisé]]</f>
        <v>1</v>
      </c>
      <c r="L258">
        <f>IF(VLOOKUP(TabVMEnv[VM],TabOceanet[],9,FALSE) = "PoweredOn",1,0)</f>
        <v>1</v>
      </c>
      <c r="M258">
        <f>TabVMEnv[[#This Row],[IsVMPoweredOn]]*VLOOKUP(TabVMEnv[VM],TabOceanet[],3,FALSE)/TabVMEnv[[#This Row],[Mutualisé]]</f>
        <v>2</v>
      </c>
      <c r="N258">
        <f>VLOOKUP(TabVMEnv[VM],TabOceanet[],4,FALSE)/TabVMEnv[[#This Row],[Mutualisé]]</f>
        <v>80</v>
      </c>
      <c r="O258">
        <f>IF(LEFT(VLOOKUP(TabVMEnv[VM],TabOceanet[],5,FALSE),3)="win",1,0)</f>
        <v>1</v>
      </c>
      <c r="P258"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58" t="str">
        <f>VLOOKUP(TabVMEnv[EnvProjet],TabEnvProjet[],4,FALSE)</f>
        <v>IT-CE/DFA</v>
      </c>
      <c r="R258" s="5" t="str">
        <f>VLOOKUP(TabVMEnv[[#This Row],[SYGES]],TabContrat[],2,FALSE)</f>
        <v>IT-CE</v>
      </c>
      <c r="S258" s="5" t="str">
        <f>IF(VLOOKUP(TabVMEnv[[#This Row],[VM]],TabOceanet[],1,FALSE) = "","Disparue","")</f>
        <v/>
      </c>
      <c r="T258" s="25">
        <f>VLOOKUP(TabVMEnv[[#This Row],[VM]],TabOceanet[],36,FALSE)/TabVMEnv[[#This Row],[Mutualisé]]</f>
        <v>21.6</v>
      </c>
      <c r="U258" s="25">
        <f>IF(TabVMEnv[[#This Row],[CostCenter]]="CostCenterDI",0,TabVMEnv[[#This Row],[CoutGlobal]])</f>
        <v>21.6</v>
      </c>
      <c r="V258" s="25">
        <f>TabVMEnv[[#This Row],[CoutGlobalSansCostCenterDI]]/TabVMEnv[[#Totals],[CoutGlobalSansCostCenterDI]]*(GlobalARepartirSansMS+GlobalARepartirMSOnly+GlobalARepartirInfraReseau)</f>
        <v>37.701872147723464</v>
      </c>
      <c r="W258" s="25">
        <f>TabVMEnv[[#This Row],[CoutGlobalSansCostCenterDI]]+TabVMEnv[[#This Row],[CoutGlobalSupplementaire]]</f>
        <v>59.301872147723465</v>
      </c>
      <c r="X258" s="5" t="str">
        <f>VLOOKUP(TabVMEnv[[#This Row],[EnvProjet]],TabEnvProjet[],2,FALSE) &amp; " - " &amp; IFERROR(VLOOKUP(TabVMEnv[[#This Row],[EnvProjet]],TabEnvProjet[],4,FALSE),"INCONNU") &amp; " - " &amp; IFERROR(VLOOKUP(TabVMEnv[[#This Row],[EnvProjet]],TabEnvProjet[],5,FALSE),"INCONNU")</f>
        <v>IT-CE-TMA - IT-CE/DFA - Christophe ORLANDO</v>
      </c>
      <c r="Y258" s="5" t="str">
        <f>VLOOKUP(TabVMEnv[EnvProjet],TabEnvProjet[],5,FALSE)</f>
        <v>Christophe ORLANDO</v>
      </c>
      <c r="Z258" s="5">
        <f>VLOOKUP(TabVMEnv[EnvProjet],TabEnvProjet[],6,FALSE)</f>
        <v>305704</v>
      </c>
      <c r="AA258" s="5" t="str">
        <f>VLOOKUP(TabVMEnv[[#This Row],[EnvProjet]],TabEnvProjet[],3,FALSE)</f>
        <v>TMA</v>
      </c>
      <c r="AB258" s="5">
        <f>COUNTIF(TabVMEnv[VM],TabVMEnv[VM])</f>
        <v>1</v>
      </c>
    </row>
    <row r="259" spans="1:28" x14ac:dyDescent="0.25">
      <c r="A259" s="24" t="s">
        <v>195</v>
      </c>
      <c r="B259" t="s">
        <v>325</v>
      </c>
      <c r="E259" s="13"/>
      <c r="F259">
        <f>IF(VLOOKUP(TabVMEnv[VM],TabOceanet[],16,FALSE) = "Tarif_VM",IF(VLOOKUP(TabVMEnv[VM],TabOceanet[],2,FALSE)&lt;4,4,VLOOKUP(TabVMEnv[VM],TabOceanet[],2,FALSE)),0)</f>
        <v>4</v>
      </c>
      <c r="G259">
        <v>0</v>
      </c>
      <c r="H259">
        <v>0</v>
      </c>
      <c r="I259">
        <v>0</v>
      </c>
      <c r="J259">
        <v>0</v>
      </c>
      <c r="K259">
        <f>IF(VLOOKUP(TabVMEnv[VM],TabOceanet[],16,FALSE) = "Tarif_VM",1,0)/TabVMEnv[[#This Row],[Mutualisé]]</f>
        <v>0.5</v>
      </c>
      <c r="L259">
        <f>IF(VLOOKUP(TabVMEnv[VM],TabOceanet[],9,FALSE) = "PoweredOn",1,0)</f>
        <v>1</v>
      </c>
      <c r="M259">
        <f>TabVMEnv[[#This Row],[IsVMPoweredOn]]*VLOOKUP(TabVMEnv[VM],TabOceanet[],3,FALSE)/TabVMEnv[[#This Row],[Mutualisé]]</f>
        <v>3</v>
      </c>
      <c r="N259">
        <f>VLOOKUP(TabVMEnv[VM],TabOceanet[],4,FALSE)/TabVMEnv[[#This Row],[Mutualisé]]</f>
        <v>170</v>
      </c>
      <c r="O259">
        <f>IF(LEFT(VLOOKUP(TabVMEnv[VM],TabOceanet[],5,FALSE),3)="win",1,0)</f>
        <v>1</v>
      </c>
      <c r="P259"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59" t="str">
        <f>VLOOKUP(TabVMEnv[EnvProjet],TabEnvProjet[],4,FALSE)</f>
        <v>FRR/TMASI</v>
      </c>
      <c r="R259" s="5" t="str">
        <f>VLOOKUP(TabVMEnv[[#This Row],[SYGES]],TabContrat[],2,FALSE)</f>
        <v>FRR</v>
      </c>
      <c r="S259" s="5" t="str">
        <f>IF(VLOOKUP(TabVMEnv[[#This Row],[VM]],TabOceanet[],1,FALSE) = "","Disparue","")</f>
        <v/>
      </c>
      <c r="T259" s="25">
        <f>VLOOKUP(TabVMEnv[[#This Row],[VM]],TabOceanet[],36,FALSE)/TabVMEnv[[#This Row],[Mutualisé]]</f>
        <v>43.900000000000006</v>
      </c>
      <c r="U259" s="25">
        <f>IF(TabVMEnv[[#This Row],[CostCenter]]="CostCenterDI",0,TabVMEnv[[#This Row],[CoutGlobal]])</f>
        <v>43.900000000000006</v>
      </c>
      <c r="V259" s="25">
        <f>TabVMEnv[[#This Row],[CoutGlobalSansCostCenterDI]]/TabVMEnv[[#Totals],[CoutGlobalSansCostCenterDI]]*(GlobalARepartirSansMS+GlobalARepartirMSOnly+GlobalARepartirInfraReseau)</f>
        <v>76.625564226160193</v>
      </c>
      <c r="W259" s="25">
        <f>TabVMEnv[[#This Row],[CoutGlobalSansCostCenterDI]]+TabVMEnv[[#This Row],[CoutGlobalSupplementaire]]</f>
        <v>120.5255642261602</v>
      </c>
      <c r="X259" s="5" t="str">
        <f>VLOOKUP(TabVMEnv[[#This Row],[EnvProjet]],TabEnvProjet[],2,FALSE) &amp; " - " &amp; IFERROR(VLOOKUP(TabVMEnv[[#This Row],[EnvProjet]],TabEnvProjet[],4,FALSE),"INCONNU") &amp; " - " &amp; IFERROR(VLOOKUP(TabVMEnv[[#This Row],[EnvProjet]],TabEnvProjet[],5,FALSE),"INCONNU")</f>
        <v>FRR-APPLIFRR - FRR/TMASI - Pierre BOURLIEUX</v>
      </c>
      <c r="Y259" s="5" t="str">
        <f>VLOOKUP(TabVMEnv[EnvProjet],TabEnvProjet[],5,FALSE)</f>
        <v>Pierre BOURLIEUX</v>
      </c>
      <c r="Z259" s="5">
        <f>VLOOKUP(TabVMEnv[EnvProjet],TabEnvProjet[],6,FALSE)</f>
        <v>305704</v>
      </c>
      <c r="AA259" s="5" t="str">
        <f>VLOOKUP(TabVMEnv[[#This Row],[EnvProjet]],TabEnvProjet[],3,FALSE)</f>
        <v>DEV</v>
      </c>
      <c r="AB259" s="5">
        <f>COUNTIF(TabVMEnv[VM],TabVMEnv[VM])</f>
        <v>2</v>
      </c>
    </row>
    <row r="260" spans="1:28" x14ac:dyDescent="0.25">
      <c r="A260" s="24" t="s">
        <v>195</v>
      </c>
      <c r="B260" t="s">
        <v>310</v>
      </c>
      <c r="E260" s="13"/>
      <c r="F260">
        <f>IF(VLOOKUP(TabVMEnv[VM],TabOceanet[],16,FALSE) = "Tarif_VM",IF(VLOOKUP(TabVMEnv[VM],TabOceanet[],2,FALSE)&lt;4,4,VLOOKUP(TabVMEnv[VM],TabOceanet[],2,FALSE)),0)</f>
        <v>4</v>
      </c>
      <c r="G260">
        <v>0</v>
      </c>
      <c r="H260">
        <v>0</v>
      </c>
      <c r="I260">
        <v>0</v>
      </c>
      <c r="J260">
        <v>0</v>
      </c>
      <c r="K260">
        <f>IF(VLOOKUP(TabVMEnv[VM],TabOceanet[],16,FALSE) = "Tarif_VM",1,0)/TabVMEnv[[#This Row],[Mutualisé]]</f>
        <v>0.5</v>
      </c>
      <c r="L260">
        <f>IF(VLOOKUP(TabVMEnv[VM],TabOceanet[],9,FALSE) = "PoweredOn",1,0)</f>
        <v>1</v>
      </c>
      <c r="M260">
        <f>TabVMEnv[[#This Row],[IsVMPoweredOn]]*VLOOKUP(TabVMEnv[VM],TabOceanet[],3,FALSE)/TabVMEnv[[#This Row],[Mutualisé]]</f>
        <v>3</v>
      </c>
      <c r="N260">
        <f>VLOOKUP(TabVMEnv[VM],TabOceanet[],4,FALSE)/TabVMEnv[[#This Row],[Mutualisé]]</f>
        <v>170</v>
      </c>
      <c r="O260">
        <f>IF(LEFT(VLOOKUP(TabVMEnv[VM],TabOceanet[],5,FALSE),3)="win",1,0)</f>
        <v>1</v>
      </c>
      <c r="P260"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60" t="str">
        <f>VLOOKUP(TabVMEnv[EnvProjet],TabEnvProjet[],4,FALSE)</f>
        <v>FRR/TMASI</v>
      </c>
      <c r="R260" s="5" t="str">
        <f>VLOOKUP(TabVMEnv[[#This Row],[SYGES]],TabContrat[],2,FALSE)</f>
        <v>FRR</v>
      </c>
      <c r="S260" s="5" t="str">
        <f>IF(VLOOKUP(TabVMEnv[[#This Row],[VM]],TabOceanet[],1,FALSE) = "","Disparue","")</f>
        <v/>
      </c>
      <c r="T260" s="25">
        <f>VLOOKUP(TabVMEnv[[#This Row],[VM]],TabOceanet[],36,FALSE)/TabVMEnv[[#This Row],[Mutualisé]]</f>
        <v>43.900000000000006</v>
      </c>
      <c r="U260" s="25">
        <f>IF(TabVMEnv[[#This Row],[CostCenter]]="CostCenterDI",0,TabVMEnv[[#This Row],[CoutGlobal]])</f>
        <v>43.900000000000006</v>
      </c>
      <c r="V260" s="25">
        <f>TabVMEnv[[#This Row],[CoutGlobalSansCostCenterDI]]/TabVMEnv[[#Totals],[CoutGlobalSansCostCenterDI]]*(GlobalARepartirSansMS+GlobalARepartirMSOnly+GlobalARepartirInfraReseau)</f>
        <v>76.625564226160193</v>
      </c>
      <c r="W260" s="25">
        <f>TabVMEnv[[#This Row],[CoutGlobalSansCostCenterDI]]+TabVMEnv[[#This Row],[CoutGlobalSupplementaire]]</f>
        <v>120.5255642261602</v>
      </c>
      <c r="X260" s="5" t="str">
        <f>VLOOKUP(TabVMEnv[[#This Row],[EnvProjet]],TabEnvProjet[],2,FALSE) &amp; " - " &amp; IFERROR(VLOOKUP(TabVMEnv[[#This Row],[EnvProjet]],TabEnvProjet[],4,FALSE),"INCONNU") &amp; " - " &amp; IFERROR(VLOOKUP(TabVMEnv[[#This Row],[EnvProjet]],TabEnvProjet[],5,FALSE),"INCONNU")</f>
        <v>FRR-CADENCIER - FRR/TMASI - Pierre BOURLIEUX</v>
      </c>
      <c r="Y260" s="5" t="str">
        <f>VLOOKUP(TabVMEnv[EnvProjet],TabEnvProjet[],5,FALSE)</f>
        <v>Pierre BOURLIEUX</v>
      </c>
      <c r="Z260" s="5">
        <f>VLOOKUP(TabVMEnv[EnvProjet],TabEnvProjet[],6,FALSE)</f>
        <v>305704</v>
      </c>
      <c r="AA260" s="5" t="str">
        <f>VLOOKUP(TabVMEnv[[#This Row],[EnvProjet]],TabEnvProjet[],3,FALSE)</f>
        <v>RECETTE</v>
      </c>
      <c r="AB260" s="5">
        <f>COUNTIF(TabVMEnv[VM],TabVMEnv[VM])</f>
        <v>2</v>
      </c>
    </row>
    <row r="261" spans="1:28" x14ac:dyDescent="0.25">
      <c r="A261" t="s">
        <v>190</v>
      </c>
      <c r="B261" t="s">
        <v>369</v>
      </c>
      <c r="E261" s="13"/>
      <c r="F261">
        <f>IF(VLOOKUP(TabVMEnv[VM],TabOceanet[],16,FALSE) = "Tarif_VM",IF(VLOOKUP(TabVMEnv[VM],TabOceanet[],2,FALSE)&lt;4,4,VLOOKUP(TabVMEnv[VM],TabOceanet[],2,FALSE)),0)</f>
        <v>4</v>
      </c>
      <c r="G261">
        <v>0</v>
      </c>
      <c r="H261">
        <v>1</v>
      </c>
      <c r="I261">
        <v>0</v>
      </c>
      <c r="J261" s="24">
        <v>4</v>
      </c>
      <c r="K261" s="24">
        <f>IF(VLOOKUP(TabVMEnv[VM],TabOceanet[],16,FALSE) = "Tarif_VM",1,0)/TabVMEnv[[#This Row],[Mutualisé]]</f>
        <v>1</v>
      </c>
      <c r="L261" s="24">
        <f>IF(VLOOKUP(TabVMEnv[VM],TabOceanet[],9,FALSE) = "PoweredOn",1,0)</f>
        <v>1</v>
      </c>
      <c r="M261" s="24">
        <f>TabVMEnv[[#This Row],[IsVMPoweredOn]]*VLOOKUP(TabVMEnv[VM],TabOceanet[],3,FALSE)/TabVMEnv[[#This Row],[Mutualisé]]</f>
        <v>2</v>
      </c>
      <c r="N261" s="24">
        <f>VLOOKUP(TabVMEnv[VM],TabOceanet[],4,FALSE)/TabVMEnv[[#This Row],[Mutualisé]]</f>
        <v>120</v>
      </c>
      <c r="O261" s="24">
        <f>IF(LEFT(VLOOKUP(TabVMEnv[VM],TabOceanet[],5,FALSE),3)="win",1,0)</f>
        <v>1</v>
      </c>
      <c r="P261"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297.49</v>
      </c>
      <c r="Q261" t="str">
        <f>VLOOKUP(TabVMEnv[EnvProjet],TabEnvProjet[],4,FALSE)</f>
        <v>PRIZER-TMA</v>
      </c>
      <c r="R261" s="5" t="str">
        <f>VLOOKUP(TabVMEnv[[#This Row],[SYGES]],TabContrat[],2,FALSE)</f>
        <v>PRIZER</v>
      </c>
      <c r="S261" s="5" t="str">
        <f>IF(VLOOKUP(TabVMEnv[[#This Row],[VM]],TabOceanet[],1,FALSE) = "","Disparue","")</f>
        <v/>
      </c>
      <c r="T261" s="25">
        <f>VLOOKUP(TabVMEnv[[#This Row],[VM]],TabOceanet[],36,FALSE)/TabVMEnv[[#This Row],[Mutualisé]]</f>
        <v>30.8</v>
      </c>
      <c r="U261" s="25">
        <f>IF(TabVMEnv[[#This Row],[CostCenter]]="CostCenterDI",0,TabVMEnv[[#This Row],[CoutGlobal]])</f>
        <v>30.8</v>
      </c>
      <c r="V261" s="25">
        <f>TabVMEnv[[#This Row],[CoutGlobalSansCostCenterDI]]/TabVMEnv[[#Totals],[CoutGlobalSansCostCenterDI]]*(GlobalARepartirSansMS+GlobalARepartirMSOnly+GlobalARepartirInfraReseau)</f>
        <v>53.760076951383446</v>
      </c>
      <c r="W261" s="25">
        <f>TabVMEnv[[#This Row],[CoutGlobalSansCostCenterDI]]+TabVMEnv[[#This Row],[CoutGlobalSupplementaire]]</f>
        <v>84.560076951383451</v>
      </c>
      <c r="X261" s="5" t="str">
        <f>VLOOKUP(TabVMEnv[[#This Row],[EnvProjet]],TabEnvProjet[],2,FALSE) &amp; " - " &amp; IFERROR(VLOOKUP(TabVMEnv[[#This Row],[EnvProjet]],TabEnvProjet[],4,FALSE),"INCONNU") &amp; " - " &amp; IFERROR(VLOOKUP(TabVMEnv[[#This Row],[EnvProjet]],TabEnvProjet[],5,FALSE),"INCONNU")</f>
        <v>PRIZER-TMA - PRIZER-TMA - Valerie ASSELIN LOZACHMEUR</v>
      </c>
      <c r="Y261" s="5" t="str">
        <f>VLOOKUP(TabVMEnv[EnvProjet],TabEnvProjet[],5,FALSE)</f>
        <v>Valerie ASSELIN LOZACHMEUR</v>
      </c>
      <c r="Z261" s="5">
        <f>VLOOKUP(TabVMEnv[EnvProjet],TabEnvProjet[],6,FALSE)</f>
        <v>305704</v>
      </c>
      <c r="AA261" s="5" t="str">
        <f>VLOOKUP(TabVMEnv[[#This Row],[EnvProjet]],TabEnvProjet[],3,FALSE)</f>
        <v>TMA</v>
      </c>
      <c r="AB261" s="5">
        <f>COUNTIF(TabVMEnv[VM],TabVMEnv[VM])</f>
        <v>1</v>
      </c>
    </row>
    <row r="262" spans="1:28" x14ac:dyDescent="0.25">
      <c r="A262" t="s">
        <v>265</v>
      </c>
      <c r="G262">
        <f>SUBTOTAL(109,TabVMEnv[NbUtilCalTse])</f>
        <v>64</v>
      </c>
      <c r="H262">
        <f>SUBTOTAL(109,TabVMEnv[IsTypeLicenceSQLServerPerCore])</f>
        <v>7</v>
      </c>
      <c r="I262">
        <f>SUBTOTAL(109,TabVMEnv[NbUtilCalSql])</f>
        <v>0</v>
      </c>
      <c r="J262">
        <f>SUBTOTAL(109,TabVMEnv[NbUtilCalSqlTMP])</f>
        <v>25</v>
      </c>
      <c r="K262">
        <f>SUBTOTAL(109,TabVMEnv[IsVMDiviseMutual])</f>
        <v>179.99999999999997</v>
      </c>
      <c r="M262">
        <f>SUBTOTAL(109,TabVMEnv[RamActiveDiviseMutual])</f>
        <v>552</v>
      </c>
      <c r="P262" s="53">
        <f>SUBTOTAL(109,TabVMEnv[CoutLicenceMS])</f>
        <v>2167.6600000000003</v>
      </c>
      <c r="T262" s="68">
        <f>SUBTOTAL(109,TabVMEnv[CoutGlobal])</f>
        <v>3230.5099999999984</v>
      </c>
      <c r="U262" s="69">
        <f>SUBTOTAL(109,TabVMEnv[CoutGlobalSansCostCenterDI])</f>
        <v>2987.744999999999</v>
      </c>
      <c r="V262" s="69">
        <f>SUBTOTAL(109,TabVMEnv[CoutGlobalSupplementaire])</f>
        <v>5214.9805555555649</v>
      </c>
      <c r="W262" s="69">
        <f>SUBTOTAL(109,TabVMEnv[CoutGlobalFinal])</f>
        <v>8202.7255555555621</v>
      </c>
      <c r="AB262">
        <f>SUBTOTAL(109,TabVMEnv[Mutualisé])</f>
        <v>402</v>
      </c>
    </row>
    <row r="266" spans="1:28" x14ac:dyDescent="0.25">
      <c r="I266">
        <f>25*Tarif_Licence_CAL_SQL_Standard_en_location</f>
        <v>401.75</v>
      </c>
      <c r="P266">
        <v>957.88</v>
      </c>
    </row>
    <row r="267" spans="1:28" x14ac:dyDescent="0.25">
      <c r="I267">
        <f>4*Tarif_Licence_CAL_SQL_Standard_en_location</f>
        <v>64.28</v>
      </c>
    </row>
    <row r="268" spans="1:28" x14ac:dyDescent="0.25">
      <c r="O268" t="s">
        <v>1230</v>
      </c>
      <c r="P268">
        <f>2445.33-I266+I267</f>
        <v>2107.86</v>
      </c>
    </row>
  </sheetData>
  <dataValidations xWindow="145" yWindow="748" count="3">
    <dataValidation allowBlank="1" showInputMessage="1" promptTitle="Recherche projet" prompt="Saisir les 1ères lettres puis afficher la liste déroulante" sqref="E67:E96 C69:D96 F69:F96 C2:F66 C97:F260 G2:P261" xr:uid="{00000000-0002-0000-0700-000000000000}"/>
    <dataValidation type="list" allowBlank="1" showInputMessage="1" promptTitle="Recherche projet" prompt="Saisir les 1ères lettres puis afficher la liste déroulante" sqref="B2:B261" xr:uid="{00000000-0002-0000-0700-000001000000}">
      <formula1>OFFSET(ListeEnvProjet,MATCH($B2&amp;"*",ListeEnvProjet,0)-1,,COUNTIF(ListeEnvProjet,$B2&amp;"*"))</formula1>
    </dataValidation>
    <dataValidation type="list" allowBlank="1" showInputMessage="1" promptTitle="Recherche VM" prompt="Saisir les 1ères lettres puis afficher la liste déroulante" sqref="A2:A261" xr:uid="{00000000-0002-0000-0700-000002000000}">
      <formula1>OFFSET(ListeVM,MATCH($A2&amp;"*",ListeVM,0)-1,,COUNTIF(ListeVM,$A2&amp;"*"))</formula1>
    </dataValidation>
  </dataValidations>
  <pageMargins left="0.7" right="0.7" top="0.75" bottom="0.75" header="0.3" footer="0.3"/>
  <pageSetup paperSize="9" orientation="portrait" horizontalDpi="300" verticalDpi="30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dimension ref="A1:C10"/>
  <sheetViews>
    <sheetView workbookViewId="0">
      <selection activeCell="A14" sqref="A14"/>
    </sheetView>
  </sheetViews>
  <sheetFormatPr baseColWidth="10" defaultColWidth="11.42578125" defaultRowHeight="15" x14ac:dyDescent="0.25"/>
  <cols>
    <col min="2" max="2" width="8.5703125" bestFit="1" customWidth="1"/>
  </cols>
  <sheetData>
    <row r="1" spans="1:3" x14ac:dyDescent="0.25">
      <c r="A1" s="27" t="s">
        <v>447</v>
      </c>
      <c r="B1" s="27" t="s">
        <v>448</v>
      </c>
      <c r="C1" s="27" t="s">
        <v>449</v>
      </c>
    </row>
    <row r="2" spans="1:3" x14ac:dyDescent="0.25">
      <c r="A2" s="28" t="s">
        <v>450</v>
      </c>
      <c r="B2" s="29" t="s">
        <v>408</v>
      </c>
      <c r="C2" s="40">
        <v>2</v>
      </c>
    </row>
    <row r="3" spans="1:3" x14ac:dyDescent="0.25">
      <c r="A3" s="28" t="s">
        <v>451</v>
      </c>
      <c r="B3" s="29" t="s">
        <v>408</v>
      </c>
      <c r="C3" s="40">
        <v>2</v>
      </c>
    </row>
    <row r="4" spans="1:3" x14ac:dyDescent="0.25">
      <c r="A4" s="28" t="s">
        <v>452</v>
      </c>
      <c r="B4" s="29" t="s">
        <v>408</v>
      </c>
      <c r="C4" s="40">
        <v>2</v>
      </c>
    </row>
    <row r="5" spans="1:3" x14ac:dyDescent="0.25">
      <c r="A5" s="28" t="s">
        <v>453</v>
      </c>
      <c r="B5" s="29" t="s">
        <v>408</v>
      </c>
      <c r="C5" s="40">
        <v>2</v>
      </c>
    </row>
    <row r="6" spans="1:3" x14ac:dyDescent="0.25">
      <c r="A6" s="28" t="s">
        <v>454</v>
      </c>
      <c r="B6" s="30" t="s">
        <v>403</v>
      </c>
      <c r="C6" s="40">
        <v>2</v>
      </c>
    </row>
    <row r="7" spans="1:3" x14ac:dyDescent="0.25">
      <c r="A7" s="28" t="s">
        <v>455</v>
      </c>
      <c r="B7" s="31" t="s">
        <v>406</v>
      </c>
      <c r="C7" s="40">
        <v>2</v>
      </c>
    </row>
    <row r="8" spans="1:3" x14ac:dyDescent="0.25">
      <c r="A8" s="28" t="s">
        <v>456</v>
      </c>
      <c r="B8" s="31" t="s">
        <v>406</v>
      </c>
      <c r="C8" s="40">
        <v>2</v>
      </c>
    </row>
    <row r="9" spans="1:3" x14ac:dyDescent="0.25">
      <c r="A9" s="28" t="s">
        <v>457</v>
      </c>
      <c r="B9" s="31" t="s">
        <v>406</v>
      </c>
      <c r="C9" s="40">
        <v>2</v>
      </c>
    </row>
    <row r="10" spans="1:3" x14ac:dyDescent="0.25">
      <c r="C10" s="41">
        <f>SUM(C2:C9)</f>
        <v>16</v>
      </c>
    </row>
  </sheetData>
  <pageMargins left="0.7" right="0.7" top="0.75" bottom="0.75" header="0.3" footer="0.3"/>
  <pageSetup paperSize="9"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8"/>
  <dimension ref="A1:L50"/>
  <sheetViews>
    <sheetView topLeftCell="B1" workbookViewId="0">
      <selection activeCell="L15" sqref="L15"/>
    </sheetView>
  </sheetViews>
  <sheetFormatPr baseColWidth="10" defaultColWidth="11.42578125" defaultRowHeight="15" x14ac:dyDescent="0.25"/>
  <cols>
    <col min="1" max="1" width="53.28515625" customWidth="1"/>
    <col min="2" max="2" width="23.28515625" customWidth="1"/>
    <col min="3" max="4" width="23.28515625" style="39" customWidth="1"/>
    <col min="5" max="5" width="32" style="39" customWidth="1"/>
    <col min="6" max="6" width="44.85546875" customWidth="1"/>
    <col min="8" max="8" width="30" hidden="1" customWidth="1"/>
    <col min="9" max="9" width="31" hidden="1" customWidth="1"/>
  </cols>
  <sheetData>
    <row r="1" spans="1:12" x14ac:dyDescent="0.25">
      <c r="A1" s="32" t="s">
        <v>458</v>
      </c>
      <c r="B1" s="32" t="s">
        <v>459</v>
      </c>
      <c r="C1" s="27" t="s">
        <v>460</v>
      </c>
      <c r="D1" s="27"/>
      <c r="E1" s="27" t="s">
        <v>448</v>
      </c>
      <c r="F1" s="27" t="s">
        <v>461</v>
      </c>
      <c r="G1" s="32" t="s">
        <v>462</v>
      </c>
      <c r="H1" s="32" t="s">
        <v>463</v>
      </c>
      <c r="I1" s="32" t="s">
        <v>464</v>
      </c>
      <c r="J1" s="32" t="s">
        <v>270</v>
      </c>
      <c r="K1" s="32" t="s">
        <v>465</v>
      </c>
      <c r="L1" s="32" t="s">
        <v>449</v>
      </c>
    </row>
    <row r="2" spans="1:12" x14ac:dyDescent="0.25">
      <c r="A2" s="28" t="s">
        <v>466</v>
      </c>
      <c r="B2" s="28" t="s">
        <v>467</v>
      </c>
      <c r="C2" s="33" t="s">
        <v>468</v>
      </c>
      <c r="D2" s="33" t="str">
        <f>"VLAN_" &amp; C2</f>
        <v>VLAN_???</v>
      </c>
      <c r="E2" s="33" t="s">
        <v>468</v>
      </c>
      <c r="F2" s="34" t="s">
        <v>469</v>
      </c>
      <c r="G2" s="28" t="s">
        <v>470</v>
      </c>
      <c r="H2" s="28" t="s">
        <v>471</v>
      </c>
      <c r="I2" s="28"/>
      <c r="J2" s="28">
        <v>3</v>
      </c>
      <c r="K2" s="28">
        <v>8</v>
      </c>
      <c r="L2" s="40">
        <v>10</v>
      </c>
    </row>
    <row r="3" spans="1:12" x14ac:dyDescent="0.25">
      <c r="A3" s="28" t="s">
        <v>472</v>
      </c>
      <c r="B3" s="28" t="s">
        <v>473</v>
      </c>
      <c r="C3" s="33" t="s">
        <v>474</v>
      </c>
      <c r="D3" s="33" t="str">
        <f t="shared" ref="D3:D49" si="0">"VLAN_" &amp; C3</f>
        <v>VLAN_10.20.100.0/254</v>
      </c>
      <c r="E3" s="35" t="s">
        <v>475</v>
      </c>
      <c r="F3" s="35" t="s">
        <v>476</v>
      </c>
      <c r="G3" s="28" t="s">
        <v>470</v>
      </c>
      <c r="H3" s="28" t="s">
        <v>471</v>
      </c>
      <c r="I3" s="28"/>
      <c r="J3" s="28">
        <v>0</v>
      </c>
      <c r="K3" s="28">
        <v>8</v>
      </c>
      <c r="L3" s="40">
        <v>10</v>
      </c>
    </row>
    <row r="4" spans="1:12" x14ac:dyDescent="0.25">
      <c r="A4" s="28" t="s">
        <v>477</v>
      </c>
      <c r="B4" s="28" t="s">
        <v>478</v>
      </c>
      <c r="C4" s="33" t="s">
        <v>479</v>
      </c>
      <c r="D4" s="33" t="str">
        <f t="shared" si="0"/>
        <v>VLAN_10.20.101.0/254</v>
      </c>
      <c r="E4" s="35" t="s">
        <v>475</v>
      </c>
      <c r="F4" s="35" t="s">
        <v>476</v>
      </c>
      <c r="G4" s="28" t="s">
        <v>470</v>
      </c>
      <c r="H4" s="28" t="s">
        <v>471</v>
      </c>
      <c r="I4" s="28"/>
      <c r="J4" s="28">
        <v>0</v>
      </c>
      <c r="K4" s="28">
        <v>8</v>
      </c>
      <c r="L4" s="40">
        <v>10</v>
      </c>
    </row>
    <row r="5" spans="1:12" x14ac:dyDescent="0.25">
      <c r="A5" s="28" t="s">
        <v>480</v>
      </c>
      <c r="B5" s="28" t="s">
        <v>481</v>
      </c>
      <c r="C5" s="33" t="s">
        <v>482</v>
      </c>
      <c r="D5" s="33" t="str">
        <f t="shared" si="0"/>
        <v>VLAN_10.20.102.0/254</v>
      </c>
      <c r="E5" s="35" t="s">
        <v>475</v>
      </c>
      <c r="F5" s="35" t="s">
        <v>476</v>
      </c>
      <c r="G5" s="28" t="s">
        <v>470</v>
      </c>
      <c r="H5" s="28" t="s">
        <v>471</v>
      </c>
      <c r="I5" s="28"/>
      <c r="J5" s="28">
        <v>0</v>
      </c>
      <c r="K5" s="28">
        <v>8</v>
      </c>
      <c r="L5" s="40">
        <v>10</v>
      </c>
    </row>
    <row r="6" spans="1:12" x14ac:dyDescent="0.25">
      <c r="A6" s="28" t="s">
        <v>483</v>
      </c>
      <c r="B6" s="28" t="s">
        <v>484</v>
      </c>
      <c r="C6" s="33" t="s">
        <v>485</v>
      </c>
      <c r="D6" s="33" t="str">
        <f t="shared" si="0"/>
        <v>VLAN_10.20.18.0/254</v>
      </c>
      <c r="E6" s="29" t="s">
        <v>486</v>
      </c>
      <c r="F6" s="28"/>
      <c r="G6" s="28" t="s">
        <v>470</v>
      </c>
      <c r="H6" s="28" t="s">
        <v>471</v>
      </c>
      <c r="I6" s="28"/>
      <c r="J6" s="28">
        <v>14</v>
      </c>
      <c r="K6" s="28">
        <v>16</v>
      </c>
      <c r="L6" s="40">
        <v>10</v>
      </c>
    </row>
    <row r="7" spans="1:12" x14ac:dyDescent="0.25">
      <c r="A7" s="28" t="s">
        <v>487</v>
      </c>
      <c r="B7" s="28" t="s">
        <v>488</v>
      </c>
      <c r="C7" s="33" t="s">
        <v>489</v>
      </c>
      <c r="D7" s="33" t="str">
        <f t="shared" si="0"/>
        <v>VLAN_10.20.19.0/254</v>
      </c>
      <c r="E7" s="30" t="s">
        <v>403</v>
      </c>
      <c r="F7" s="28"/>
      <c r="G7" s="28" t="s">
        <v>470</v>
      </c>
      <c r="H7" s="28" t="s">
        <v>471</v>
      </c>
      <c r="I7" s="28"/>
      <c r="J7" s="28">
        <v>1</v>
      </c>
      <c r="K7" s="28">
        <v>8</v>
      </c>
      <c r="L7" s="40">
        <v>10</v>
      </c>
    </row>
    <row r="8" spans="1:12" x14ac:dyDescent="0.25">
      <c r="A8" s="28" t="s">
        <v>490</v>
      </c>
      <c r="B8" s="28" t="s">
        <v>491</v>
      </c>
      <c r="C8" s="33" t="s">
        <v>492</v>
      </c>
      <c r="D8" s="33" t="str">
        <f t="shared" si="0"/>
        <v>VLAN_10.20.20.0/254</v>
      </c>
      <c r="E8" s="29" t="s">
        <v>486</v>
      </c>
      <c r="F8" s="28"/>
      <c r="G8" s="28" t="s">
        <v>470</v>
      </c>
      <c r="H8" s="28" t="s">
        <v>471</v>
      </c>
      <c r="I8" s="28"/>
      <c r="J8" s="28">
        <v>32</v>
      </c>
      <c r="K8" s="28">
        <v>40</v>
      </c>
      <c r="L8" s="40">
        <v>10</v>
      </c>
    </row>
    <row r="9" spans="1:12" x14ac:dyDescent="0.25">
      <c r="A9" s="28" t="s">
        <v>493</v>
      </c>
      <c r="B9" s="28" t="s">
        <v>494</v>
      </c>
      <c r="C9" s="33" t="s">
        <v>495</v>
      </c>
      <c r="D9" s="33" t="str">
        <f t="shared" si="0"/>
        <v>VLAN_10.20.21.0/254</v>
      </c>
      <c r="E9" s="29" t="s">
        <v>486</v>
      </c>
      <c r="F9" s="28"/>
      <c r="G9" s="28" t="s">
        <v>470</v>
      </c>
      <c r="H9" s="28" t="s">
        <v>471</v>
      </c>
      <c r="I9" s="28"/>
      <c r="J9" s="28">
        <v>13</v>
      </c>
      <c r="K9" s="28">
        <v>16</v>
      </c>
      <c r="L9" s="40">
        <v>10</v>
      </c>
    </row>
    <row r="10" spans="1:12" x14ac:dyDescent="0.25">
      <c r="A10" s="28" t="s">
        <v>496</v>
      </c>
      <c r="B10" s="28" t="s">
        <v>497</v>
      </c>
      <c r="C10" s="33" t="s">
        <v>498</v>
      </c>
      <c r="D10" s="33" t="str">
        <f t="shared" si="0"/>
        <v>VLAN_10.20.22.0/254</v>
      </c>
      <c r="E10" s="29" t="s">
        <v>486</v>
      </c>
      <c r="F10" s="28"/>
      <c r="G10" s="28" t="s">
        <v>470</v>
      </c>
      <c r="H10" s="28" t="s">
        <v>471</v>
      </c>
      <c r="I10" s="28"/>
      <c r="J10" s="28">
        <v>17</v>
      </c>
      <c r="K10" s="28">
        <v>24</v>
      </c>
      <c r="L10" s="40">
        <v>10</v>
      </c>
    </row>
    <row r="11" spans="1:12" x14ac:dyDescent="0.25">
      <c r="A11" s="28" t="s">
        <v>499</v>
      </c>
      <c r="B11" s="28" t="s">
        <v>500</v>
      </c>
      <c r="C11" s="33" t="s">
        <v>501</v>
      </c>
      <c r="D11" s="33" t="str">
        <f t="shared" si="0"/>
        <v>VLAN_10.20.23.0/254</v>
      </c>
      <c r="E11" s="29" t="s">
        <v>486</v>
      </c>
      <c r="F11" s="28"/>
      <c r="G11" s="28" t="s">
        <v>470</v>
      </c>
      <c r="H11" s="28" t="s">
        <v>471</v>
      </c>
      <c r="I11" s="28"/>
      <c r="J11" s="28">
        <v>4</v>
      </c>
      <c r="K11" s="28">
        <v>8</v>
      </c>
      <c r="L11" s="40">
        <v>10</v>
      </c>
    </row>
    <row r="12" spans="1:12" x14ac:dyDescent="0.25">
      <c r="A12" s="28" t="s">
        <v>502</v>
      </c>
      <c r="B12" s="28" t="s">
        <v>503</v>
      </c>
      <c r="C12" s="33" t="s">
        <v>504</v>
      </c>
      <c r="D12" s="33" t="str">
        <f t="shared" si="0"/>
        <v>VLAN_10.20.30.0/254</v>
      </c>
      <c r="E12" s="29" t="s">
        <v>486</v>
      </c>
      <c r="F12" s="28"/>
      <c r="G12" s="28" t="s">
        <v>470</v>
      </c>
      <c r="H12" s="28" t="s">
        <v>471</v>
      </c>
      <c r="I12" s="28"/>
      <c r="J12" s="28">
        <v>0</v>
      </c>
      <c r="K12" s="28">
        <v>8</v>
      </c>
      <c r="L12" s="40">
        <v>10</v>
      </c>
    </row>
    <row r="13" spans="1:12" x14ac:dyDescent="0.25">
      <c r="A13" s="28" t="s">
        <v>505</v>
      </c>
      <c r="B13" s="28" t="s">
        <v>506</v>
      </c>
      <c r="C13" s="33" t="s">
        <v>507</v>
      </c>
      <c r="D13" s="33" t="str">
        <f t="shared" si="0"/>
        <v>VLAN_10.20.31.0/254</v>
      </c>
      <c r="E13" s="29" t="s">
        <v>486</v>
      </c>
      <c r="F13" s="28"/>
      <c r="G13" s="28" t="s">
        <v>470</v>
      </c>
      <c r="H13" s="28" t="s">
        <v>471</v>
      </c>
      <c r="I13" s="28"/>
      <c r="J13" s="28">
        <v>1</v>
      </c>
      <c r="K13" s="28">
        <v>8</v>
      </c>
      <c r="L13" s="40">
        <v>10</v>
      </c>
    </row>
    <row r="14" spans="1:12" x14ac:dyDescent="0.25">
      <c r="A14" s="28" t="s">
        <v>508</v>
      </c>
      <c r="B14" s="28" t="s">
        <v>509</v>
      </c>
      <c r="C14" s="33" t="s">
        <v>510</v>
      </c>
      <c r="D14" s="33" t="str">
        <f t="shared" si="0"/>
        <v>VLAN_10.20.32.0/254</v>
      </c>
      <c r="E14" s="29" t="s">
        <v>486</v>
      </c>
      <c r="F14" s="28"/>
      <c r="G14" s="28" t="s">
        <v>470</v>
      </c>
      <c r="H14" s="28" t="s">
        <v>471</v>
      </c>
      <c r="I14" s="28"/>
      <c r="J14" s="28">
        <v>3</v>
      </c>
      <c r="K14" s="28">
        <v>8</v>
      </c>
      <c r="L14" s="40">
        <v>10</v>
      </c>
    </row>
    <row r="15" spans="1:12" x14ac:dyDescent="0.25">
      <c r="A15" s="28" t="s">
        <v>511</v>
      </c>
      <c r="B15" s="28" t="s">
        <v>512</v>
      </c>
      <c r="C15" s="33" t="s">
        <v>513</v>
      </c>
      <c r="D15" s="33" t="str">
        <f t="shared" si="0"/>
        <v>VLAN_10.20.33.0/254</v>
      </c>
      <c r="E15" s="29" t="s">
        <v>486</v>
      </c>
      <c r="F15" s="28"/>
      <c r="G15" s="28" t="s">
        <v>470</v>
      </c>
      <c r="H15" s="28" t="s">
        <v>471</v>
      </c>
      <c r="I15" s="28"/>
      <c r="J15" s="28">
        <v>2</v>
      </c>
      <c r="K15" s="28">
        <v>8</v>
      </c>
      <c r="L15" s="40">
        <v>10</v>
      </c>
    </row>
    <row r="16" spans="1:12" x14ac:dyDescent="0.25">
      <c r="A16" s="28" t="s">
        <v>514</v>
      </c>
      <c r="B16" s="28" t="s">
        <v>515</v>
      </c>
      <c r="C16" s="33" t="s">
        <v>516</v>
      </c>
      <c r="D16" s="33" t="str">
        <f t="shared" si="0"/>
        <v>VLAN_10.20.34.0/254</v>
      </c>
      <c r="E16" s="29" t="s">
        <v>486</v>
      </c>
      <c r="F16" s="28"/>
      <c r="G16" s="28" t="s">
        <v>470</v>
      </c>
      <c r="H16" s="28" t="s">
        <v>471</v>
      </c>
      <c r="I16" s="28"/>
      <c r="J16" s="28">
        <v>4</v>
      </c>
      <c r="K16" s="28">
        <v>8</v>
      </c>
      <c r="L16" s="40">
        <v>10</v>
      </c>
    </row>
    <row r="17" spans="1:12" x14ac:dyDescent="0.25">
      <c r="A17" s="28" t="s">
        <v>517</v>
      </c>
      <c r="B17" s="28" t="s">
        <v>518</v>
      </c>
      <c r="C17" s="33" t="s">
        <v>519</v>
      </c>
      <c r="D17" s="33" t="str">
        <f t="shared" si="0"/>
        <v>VLAN_10.20.35.0/254</v>
      </c>
      <c r="E17" s="29" t="s">
        <v>486</v>
      </c>
      <c r="F17" s="28"/>
      <c r="G17" s="28" t="s">
        <v>470</v>
      </c>
      <c r="H17" s="28" t="s">
        <v>471</v>
      </c>
      <c r="I17" s="28"/>
      <c r="J17" s="28">
        <v>21</v>
      </c>
      <c r="K17" s="28">
        <v>24</v>
      </c>
      <c r="L17" s="40">
        <v>10</v>
      </c>
    </row>
    <row r="18" spans="1:12" x14ac:dyDescent="0.25">
      <c r="A18" s="28" t="s">
        <v>520</v>
      </c>
      <c r="B18" s="28" t="s">
        <v>521</v>
      </c>
      <c r="C18" s="33" t="s">
        <v>522</v>
      </c>
      <c r="D18" s="33" t="str">
        <f t="shared" si="0"/>
        <v>VLAN_10.20.36.0/254</v>
      </c>
      <c r="E18" s="29" t="s">
        <v>486</v>
      </c>
      <c r="F18" s="28"/>
      <c r="G18" s="28" t="s">
        <v>470</v>
      </c>
      <c r="H18" s="28" t="s">
        <v>471</v>
      </c>
      <c r="I18" s="28"/>
      <c r="J18" s="28">
        <v>4</v>
      </c>
      <c r="K18" s="28">
        <v>8</v>
      </c>
      <c r="L18" s="40">
        <v>10</v>
      </c>
    </row>
    <row r="19" spans="1:12" x14ac:dyDescent="0.25">
      <c r="A19" s="28" t="s">
        <v>523</v>
      </c>
      <c r="B19" s="28" t="s">
        <v>524</v>
      </c>
      <c r="C19" s="33" t="s">
        <v>525</v>
      </c>
      <c r="D19" s="33" t="str">
        <f t="shared" si="0"/>
        <v>VLAN_10.20.37.0/254</v>
      </c>
      <c r="E19" s="29" t="s">
        <v>486</v>
      </c>
      <c r="F19" s="28"/>
      <c r="G19" s="28" t="s">
        <v>470</v>
      </c>
      <c r="H19" s="28" t="s">
        <v>471</v>
      </c>
      <c r="I19" s="28"/>
      <c r="J19" s="28">
        <v>1</v>
      </c>
      <c r="K19" s="28">
        <v>8</v>
      </c>
      <c r="L19" s="40">
        <v>10</v>
      </c>
    </row>
    <row r="20" spans="1:12" x14ac:dyDescent="0.25">
      <c r="A20" s="28" t="s">
        <v>526</v>
      </c>
      <c r="B20" s="28" t="s">
        <v>527</v>
      </c>
      <c r="C20" s="33" t="s">
        <v>528</v>
      </c>
      <c r="D20" s="33" t="str">
        <f t="shared" si="0"/>
        <v>VLAN_10.20.40.0/254</v>
      </c>
      <c r="E20" s="30" t="s">
        <v>403</v>
      </c>
      <c r="F20" s="28"/>
      <c r="G20" s="28" t="s">
        <v>470</v>
      </c>
      <c r="H20" s="28" t="s">
        <v>471</v>
      </c>
      <c r="I20" s="28"/>
      <c r="J20" s="28">
        <v>3</v>
      </c>
      <c r="K20" s="28">
        <v>8</v>
      </c>
      <c r="L20" s="40">
        <v>10</v>
      </c>
    </row>
    <row r="21" spans="1:12" ht="45" x14ac:dyDescent="0.25">
      <c r="A21" s="28" t="s">
        <v>529</v>
      </c>
      <c r="B21" s="28" t="s">
        <v>530</v>
      </c>
      <c r="C21" s="33" t="s">
        <v>531</v>
      </c>
      <c r="D21" s="33" t="str">
        <f t="shared" si="0"/>
        <v>VLAN_10.20.41.0/254</v>
      </c>
      <c r="E21" s="29" t="s">
        <v>486</v>
      </c>
      <c r="F21" s="36" t="s">
        <v>532</v>
      </c>
      <c r="G21" s="28" t="s">
        <v>470</v>
      </c>
      <c r="H21" s="28" t="s">
        <v>471</v>
      </c>
      <c r="I21" s="28"/>
      <c r="J21" s="28">
        <v>0</v>
      </c>
      <c r="K21" s="28">
        <v>8</v>
      </c>
      <c r="L21" s="40">
        <v>10</v>
      </c>
    </row>
    <row r="22" spans="1:12" x14ac:dyDescent="0.25">
      <c r="A22" s="28" t="s">
        <v>533</v>
      </c>
      <c r="B22" s="28" t="s">
        <v>534</v>
      </c>
      <c r="C22" s="33" t="s">
        <v>535</v>
      </c>
      <c r="D22" s="33" t="str">
        <f t="shared" si="0"/>
        <v>VLAN_10.20.42.0/254</v>
      </c>
      <c r="E22" s="30" t="s">
        <v>403</v>
      </c>
      <c r="F22" s="28"/>
      <c r="G22" s="28" t="s">
        <v>470</v>
      </c>
      <c r="H22" s="28" t="s">
        <v>471</v>
      </c>
      <c r="I22" s="28"/>
      <c r="J22" s="28">
        <v>1</v>
      </c>
      <c r="K22" s="28">
        <v>8</v>
      </c>
      <c r="L22" s="40">
        <v>10</v>
      </c>
    </row>
    <row r="23" spans="1:12" x14ac:dyDescent="0.25">
      <c r="A23" s="28" t="s">
        <v>536</v>
      </c>
      <c r="B23" s="28" t="s">
        <v>537</v>
      </c>
      <c r="C23" s="33" t="s">
        <v>538</v>
      </c>
      <c r="D23" s="33" t="str">
        <f t="shared" si="0"/>
        <v>VLAN_10.20.44.0/254</v>
      </c>
      <c r="E23" s="29" t="s">
        <v>486</v>
      </c>
      <c r="F23" s="28"/>
      <c r="G23" s="28" t="s">
        <v>470</v>
      </c>
      <c r="H23" s="28" t="s">
        <v>471</v>
      </c>
      <c r="I23" s="28"/>
      <c r="J23" s="28">
        <v>1</v>
      </c>
      <c r="K23" s="28">
        <v>8</v>
      </c>
      <c r="L23" s="40">
        <v>10</v>
      </c>
    </row>
    <row r="24" spans="1:12" x14ac:dyDescent="0.25">
      <c r="A24" s="28" t="s">
        <v>539</v>
      </c>
      <c r="B24" s="28" t="s">
        <v>540</v>
      </c>
      <c r="C24" s="33" t="s">
        <v>541</v>
      </c>
      <c r="D24" s="33" t="str">
        <f t="shared" si="0"/>
        <v>VLAN_10.20.45.0/254</v>
      </c>
      <c r="E24" s="29" t="s">
        <v>486</v>
      </c>
      <c r="F24" s="28"/>
      <c r="G24" s="28" t="s">
        <v>470</v>
      </c>
      <c r="H24" s="28" t="s">
        <v>471</v>
      </c>
      <c r="I24" s="28"/>
      <c r="J24" s="28">
        <v>3</v>
      </c>
      <c r="K24" s="28">
        <v>8</v>
      </c>
      <c r="L24" s="40">
        <v>10</v>
      </c>
    </row>
    <row r="25" spans="1:12" x14ac:dyDescent="0.25">
      <c r="A25" s="28" t="s">
        <v>542</v>
      </c>
      <c r="B25" s="28" t="s">
        <v>543</v>
      </c>
      <c r="C25" s="33" t="s">
        <v>544</v>
      </c>
      <c r="D25" s="33" t="str">
        <f t="shared" si="0"/>
        <v>VLAN_10.20.51.0/254</v>
      </c>
      <c r="E25" s="29" t="s">
        <v>486</v>
      </c>
      <c r="F25" s="28"/>
      <c r="G25" s="28" t="s">
        <v>470</v>
      </c>
      <c r="H25" s="28" t="s">
        <v>471</v>
      </c>
      <c r="I25" s="28"/>
      <c r="J25" s="28">
        <v>0</v>
      </c>
      <c r="K25" s="28">
        <v>8</v>
      </c>
      <c r="L25" s="40">
        <v>10</v>
      </c>
    </row>
    <row r="26" spans="1:12" x14ac:dyDescent="0.25">
      <c r="A26" s="28" t="s">
        <v>545</v>
      </c>
      <c r="B26" s="28" t="s">
        <v>546</v>
      </c>
      <c r="C26" s="33" t="s">
        <v>547</v>
      </c>
      <c r="D26" s="33" t="str">
        <f t="shared" si="0"/>
        <v>VLAN_10.20.64.0/254</v>
      </c>
      <c r="E26" s="31" t="s">
        <v>406</v>
      </c>
      <c r="F26" s="28"/>
      <c r="G26" s="28" t="s">
        <v>470</v>
      </c>
      <c r="H26" s="28" t="s">
        <v>471</v>
      </c>
      <c r="I26" s="28"/>
      <c r="J26" s="28">
        <v>2</v>
      </c>
      <c r="K26" s="28">
        <v>8</v>
      </c>
      <c r="L26" s="40">
        <v>10</v>
      </c>
    </row>
    <row r="27" spans="1:12" x14ac:dyDescent="0.25">
      <c r="A27" s="28" t="s">
        <v>548</v>
      </c>
      <c r="B27" s="28" t="s">
        <v>549</v>
      </c>
      <c r="C27" s="33" t="s">
        <v>550</v>
      </c>
      <c r="D27" s="33" t="str">
        <f t="shared" si="0"/>
        <v>VLAN_10.20.65.0/254</v>
      </c>
      <c r="E27" s="31" t="s">
        <v>406</v>
      </c>
      <c r="F27" s="28"/>
      <c r="G27" s="28" t="s">
        <v>470</v>
      </c>
      <c r="H27" s="28" t="s">
        <v>471</v>
      </c>
      <c r="I27" s="28"/>
      <c r="J27" s="28">
        <v>22</v>
      </c>
      <c r="K27" s="28">
        <v>24</v>
      </c>
      <c r="L27" s="40">
        <v>10</v>
      </c>
    </row>
    <row r="28" spans="1:12" x14ac:dyDescent="0.25">
      <c r="A28" s="28" t="s">
        <v>551</v>
      </c>
      <c r="B28" s="28" t="s">
        <v>552</v>
      </c>
      <c r="C28" s="33" t="s">
        <v>553</v>
      </c>
      <c r="D28" s="33" t="str">
        <f t="shared" si="0"/>
        <v>VLAN_10.20.66.0/254</v>
      </c>
      <c r="E28" s="31" t="s">
        <v>406</v>
      </c>
      <c r="F28" s="28"/>
      <c r="G28" s="28" t="s">
        <v>470</v>
      </c>
      <c r="H28" s="28" t="s">
        <v>471</v>
      </c>
      <c r="I28" s="28"/>
      <c r="J28" s="28">
        <v>3</v>
      </c>
      <c r="K28" s="28">
        <v>8</v>
      </c>
      <c r="L28" s="40">
        <v>10</v>
      </c>
    </row>
    <row r="29" spans="1:12" x14ac:dyDescent="0.25">
      <c r="A29" s="28" t="s">
        <v>554</v>
      </c>
      <c r="B29" s="28" t="s">
        <v>555</v>
      </c>
      <c r="C29" s="33" t="s">
        <v>556</v>
      </c>
      <c r="D29" s="33" t="str">
        <f t="shared" si="0"/>
        <v>VLAN_10.20.74.0/254</v>
      </c>
      <c r="E29" s="37" t="s">
        <v>475</v>
      </c>
      <c r="F29" s="38" t="s">
        <v>557</v>
      </c>
      <c r="G29" s="28" t="s">
        <v>470</v>
      </c>
      <c r="H29" s="28" t="s">
        <v>471</v>
      </c>
      <c r="I29" s="28"/>
      <c r="J29" s="28">
        <v>0</v>
      </c>
      <c r="K29" s="28">
        <v>8</v>
      </c>
      <c r="L29" s="40">
        <v>10</v>
      </c>
    </row>
    <row r="30" spans="1:12" x14ac:dyDescent="0.25">
      <c r="A30" s="28" t="s">
        <v>558</v>
      </c>
      <c r="B30" s="28" t="s">
        <v>559</v>
      </c>
      <c r="C30" s="33" t="s">
        <v>560</v>
      </c>
      <c r="D30" s="33" t="str">
        <f t="shared" si="0"/>
        <v>VLAN_10.20.80.0/254</v>
      </c>
      <c r="E30" s="31" t="s">
        <v>406</v>
      </c>
      <c r="F30" s="28"/>
      <c r="G30" s="28" t="s">
        <v>470</v>
      </c>
      <c r="H30" s="28" t="s">
        <v>471</v>
      </c>
      <c r="I30" s="28"/>
      <c r="J30" s="28">
        <v>3</v>
      </c>
      <c r="K30" s="28">
        <v>8</v>
      </c>
      <c r="L30" s="40">
        <v>10</v>
      </c>
    </row>
    <row r="31" spans="1:12" x14ac:dyDescent="0.25">
      <c r="A31" s="28" t="s">
        <v>561</v>
      </c>
      <c r="B31" s="28" t="s">
        <v>562</v>
      </c>
      <c r="C31" s="33" t="s">
        <v>563</v>
      </c>
      <c r="D31" s="33" t="str">
        <f t="shared" si="0"/>
        <v>VLAN_10.20.81.0/254</v>
      </c>
      <c r="E31" s="31" t="s">
        <v>406</v>
      </c>
      <c r="F31" s="28"/>
      <c r="G31" s="28" t="s">
        <v>470</v>
      </c>
      <c r="H31" s="28" t="s">
        <v>471</v>
      </c>
      <c r="I31" s="28"/>
      <c r="J31" s="28">
        <v>2</v>
      </c>
      <c r="K31" s="28">
        <v>8</v>
      </c>
      <c r="L31" s="40">
        <v>10</v>
      </c>
    </row>
    <row r="32" spans="1:12" x14ac:dyDescent="0.25">
      <c r="A32" s="28" t="s">
        <v>564</v>
      </c>
      <c r="B32" s="28" t="s">
        <v>565</v>
      </c>
      <c r="C32" s="33" t="s">
        <v>566</v>
      </c>
      <c r="D32" s="33" t="str">
        <f t="shared" si="0"/>
        <v>VLAN_10.20.82.0/254</v>
      </c>
      <c r="E32" s="31" t="s">
        <v>406</v>
      </c>
      <c r="F32" s="28"/>
      <c r="G32" s="28" t="s">
        <v>470</v>
      </c>
      <c r="H32" s="28" t="s">
        <v>471</v>
      </c>
      <c r="I32" s="28"/>
      <c r="J32" s="28">
        <v>3</v>
      </c>
      <c r="K32" s="28">
        <v>8</v>
      </c>
      <c r="L32" s="40">
        <v>10</v>
      </c>
    </row>
    <row r="33" spans="1:12" x14ac:dyDescent="0.25">
      <c r="A33" s="28" t="s">
        <v>567</v>
      </c>
      <c r="B33" s="28" t="s">
        <v>568</v>
      </c>
      <c r="C33" s="33" t="s">
        <v>569</v>
      </c>
      <c r="D33" s="33" t="str">
        <f t="shared" si="0"/>
        <v>VLAN_10.20.83.0/254</v>
      </c>
      <c r="E33" s="31" t="s">
        <v>406</v>
      </c>
      <c r="F33" s="28" t="s">
        <v>570</v>
      </c>
      <c r="G33" s="28" t="s">
        <v>470</v>
      </c>
      <c r="H33" s="28" t="s">
        <v>471</v>
      </c>
      <c r="I33" s="28"/>
      <c r="J33" s="28">
        <v>0</v>
      </c>
      <c r="K33" s="28">
        <v>8</v>
      </c>
      <c r="L33" s="40">
        <v>10</v>
      </c>
    </row>
    <row r="34" spans="1:12" x14ac:dyDescent="0.25">
      <c r="A34" s="28" t="s">
        <v>571</v>
      </c>
      <c r="B34" s="28" t="s">
        <v>572</v>
      </c>
      <c r="C34" s="33" t="s">
        <v>573</v>
      </c>
      <c r="D34" s="33" t="str">
        <f t="shared" si="0"/>
        <v>VLAN_10.20.84.0/254</v>
      </c>
      <c r="E34" s="31" t="s">
        <v>406</v>
      </c>
      <c r="F34" s="28"/>
      <c r="G34" s="28" t="s">
        <v>470</v>
      </c>
      <c r="H34" s="28" t="s">
        <v>471</v>
      </c>
      <c r="I34" s="28"/>
      <c r="J34" s="28">
        <v>2</v>
      </c>
      <c r="K34" s="28">
        <v>8</v>
      </c>
      <c r="L34" s="40">
        <v>10</v>
      </c>
    </row>
    <row r="35" spans="1:12" x14ac:dyDescent="0.25">
      <c r="A35" s="28" t="s">
        <v>574</v>
      </c>
      <c r="B35" s="28" t="s">
        <v>575</v>
      </c>
      <c r="C35" s="33" t="s">
        <v>576</v>
      </c>
      <c r="D35" s="33" t="str">
        <f t="shared" si="0"/>
        <v>VLAN_10.20.85.0/254</v>
      </c>
      <c r="E35" s="31" t="s">
        <v>406</v>
      </c>
      <c r="F35" s="28"/>
      <c r="G35" s="28" t="s">
        <v>470</v>
      </c>
      <c r="H35" s="28" t="s">
        <v>471</v>
      </c>
      <c r="I35" s="28"/>
      <c r="J35" s="28">
        <v>2</v>
      </c>
      <c r="K35" s="28">
        <v>8</v>
      </c>
      <c r="L35" s="40">
        <v>10</v>
      </c>
    </row>
    <row r="36" spans="1:12" x14ac:dyDescent="0.25">
      <c r="A36" s="28" t="s">
        <v>577</v>
      </c>
      <c r="B36" s="28" t="s">
        <v>578</v>
      </c>
      <c r="C36" s="33" t="s">
        <v>579</v>
      </c>
      <c r="D36" s="33" t="str">
        <f t="shared" si="0"/>
        <v>VLAN_10.20.86.0/254</v>
      </c>
      <c r="E36" s="31" t="s">
        <v>406</v>
      </c>
      <c r="F36" s="28" t="s">
        <v>580</v>
      </c>
      <c r="G36" s="28" t="s">
        <v>470</v>
      </c>
      <c r="H36" s="28" t="s">
        <v>471</v>
      </c>
      <c r="I36" s="28"/>
      <c r="J36" s="28">
        <v>0</v>
      </c>
      <c r="K36" s="28">
        <v>8</v>
      </c>
      <c r="L36" s="40">
        <v>10</v>
      </c>
    </row>
    <row r="37" spans="1:12" x14ac:dyDescent="0.25">
      <c r="A37" s="28" t="s">
        <v>581</v>
      </c>
      <c r="B37" s="28" t="s">
        <v>582</v>
      </c>
      <c r="C37" s="33" t="s">
        <v>583</v>
      </c>
      <c r="D37" s="33" t="str">
        <f t="shared" si="0"/>
        <v>VLAN_10.20.87.0/254</v>
      </c>
      <c r="E37" s="31" t="s">
        <v>406</v>
      </c>
      <c r="F37" s="28"/>
      <c r="G37" s="28" t="s">
        <v>470</v>
      </c>
      <c r="H37" s="28" t="s">
        <v>471</v>
      </c>
      <c r="I37" s="28"/>
      <c r="J37" s="28">
        <v>1</v>
      </c>
      <c r="K37" s="28">
        <v>8</v>
      </c>
      <c r="L37" s="40">
        <v>10</v>
      </c>
    </row>
    <row r="38" spans="1:12" x14ac:dyDescent="0.25">
      <c r="A38" s="28" t="s">
        <v>584</v>
      </c>
      <c r="B38" s="28" t="s">
        <v>585</v>
      </c>
      <c r="C38" s="33" t="s">
        <v>586</v>
      </c>
      <c r="D38" s="33" t="str">
        <f t="shared" si="0"/>
        <v>VLAN_10.20.88.0/254</v>
      </c>
      <c r="E38" s="31" t="s">
        <v>406</v>
      </c>
      <c r="F38" s="28"/>
      <c r="G38" s="28" t="s">
        <v>470</v>
      </c>
      <c r="H38" s="28" t="s">
        <v>471</v>
      </c>
      <c r="I38" s="28"/>
      <c r="J38" s="28">
        <v>2</v>
      </c>
      <c r="K38" s="28">
        <v>8</v>
      </c>
      <c r="L38" s="40">
        <v>10</v>
      </c>
    </row>
    <row r="39" spans="1:12" x14ac:dyDescent="0.25">
      <c r="A39" s="28" t="s">
        <v>587</v>
      </c>
      <c r="B39" s="28" t="s">
        <v>588</v>
      </c>
      <c r="C39" s="33" t="s">
        <v>589</v>
      </c>
      <c r="D39" s="33" t="str">
        <f t="shared" si="0"/>
        <v>VLAN_10.20.89.0/254</v>
      </c>
      <c r="E39" s="31" t="s">
        <v>406</v>
      </c>
      <c r="F39" s="28"/>
      <c r="G39" s="28" t="s">
        <v>470</v>
      </c>
      <c r="H39" s="28" t="s">
        <v>471</v>
      </c>
      <c r="I39" s="28"/>
      <c r="J39" s="28">
        <v>2</v>
      </c>
      <c r="K39" s="28">
        <v>8</v>
      </c>
      <c r="L39" s="40">
        <v>10</v>
      </c>
    </row>
    <row r="40" spans="1:12" x14ac:dyDescent="0.25">
      <c r="A40" s="28" t="s">
        <v>590</v>
      </c>
      <c r="B40" s="28" t="s">
        <v>591</v>
      </c>
      <c r="C40" s="33" t="s">
        <v>592</v>
      </c>
      <c r="D40" s="33" t="str">
        <f t="shared" si="0"/>
        <v>VLAN_10.20.90.0/254</v>
      </c>
      <c r="E40" s="31" t="s">
        <v>406</v>
      </c>
      <c r="F40" s="28"/>
      <c r="G40" s="28" t="s">
        <v>470</v>
      </c>
      <c r="H40" s="28" t="s">
        <v>471</v>
      </c>
      <c r="I40" s="28"/>
      <c r="J40" s="28">
        <v>2</v>
      </c>
      <c r="K40" s="28">
        <v>8</v>
      </c>
      <c r="L40" s="40">
        <v>10</v>
      </c>
    </row>
    <row r="41" spans="1:12" x14ac:dyDescent="0.25">
      <c r="A41" s="28" t="s">
        <v>593</v>
      </c>
      <c r="B41" s="28" t="s">
        <v>594</v>
      </c>
      <c r="C41" s="33" t="s">
        <v>595</v>
      </c>
      <c r="D41" s="33" t="str">
        <f t="shared" si="0"/>
        <v>VLAN_10.20.91.0/254</v>
      </c>
      <c r="E41" s="31" t="s">
        <v>406</v>
      </c>
      <c r="F41" s="28"/>
      <c r="G41" s="28" t="s">
        <v>470</v>
      </c>
      <c r="H41" s="28" t="s">
        <v>471</v>
      </c>
      <c r="I41" s="28"/>
      <c r="J41" s="28">
        <v>1</v>
      </c>
      <c r="K41" s="28">
        <v>8</v>
      </c>
      <c r="L41" s="40">
        <v>10</v>
      </c>
    </row>
    <row r="42" spans="1:12" x14ac:dyDescent="0.25">
      <c r="A42" s="28" t="s">
        <v>596</v>
      </c>
      <c r="B42" s="28" t="s">
        <v>597</v>
      </c>
      <c r="C42" s="33" t="s">
        <v>598</v>
      </c>
      <c r="D42" s="33" t="str">
        <f t="shared" si="0"/>
        <v>VLAN_10.20.92.0/254</v>
      </c>
      <c r="E42" s="31" t="s">
        <v>406</v>
      </c>
      <c r="F42" s="28"/>
      <c r="G42" s="28" t="s">
        <v>470</v>
      </c>
      <c r="H42" s="28" t="s">
        <v>471</v>
      </c>
      <c r="I42" s="28"/>
      <c r="J42" s="28">
        <v>1</v>
      </c>
      <c r="K42" s="28">
        <v>8</v>
      </c>
      <c r="L42" s="40">
        <v>10</v>
      </c>
    </row>
    <row r="43" spans="1:12" x14ac:dyDescent="0.25">
      <c r="A43" s="28" t="s">
        <v>599</v>
      </c>
      <c r="B43" s="28" t="s">
        <v>600</v>
      </c>
      <c r="C43" s="33" t="s">
        <v>601</v>
      </c>
      <c r="D43" s="33" t="str">
        <f t="shared" si="0"/>
        <v>VLAN_10.20.93.0/254</v>
      </c>
      <c r="E43" s="31" t="s">
        <v>406</v>
      </c>
      <c r="F43" s="28"/>
      <c r="G43" s="28" t="s">
        <v>470</v>
      </c>
      <c r="H43" s="28" t="s">
        <v>471</v>
      </c>
      <c r="I43" s="28"/>
      <c r="J43" s="28">
        <v>1</v>
      </c>
      <c r="K43" s="28">
        <v>8</v>
      </c>
      <c r="L43" s="40">
        <v>10</v>
      </c>
    </row>
    <row r="44" spans="1:12" x14ac:dyDescent="0.25">
      <c r="A44" s="28" t="s">
        <v>602</v>
      </c>
      <c r="B44" s="28" t="s">
        <v>603</v>
      </c>
      <c r="C44" s="33" t="s">
        <v>604</v>
      </c>
      <c r="D44" s="33" t="str">
        <f t="shared" si="0"/>
        <v>VLAN_10.20.94.0/254</v>
      </c>
      <c r="E44" s="35" t="s">
        <v>475</v>
      </c>
      <c r="F44" s="35" t="s">
        <v>476</v>
      </c>
      <c r="G44" s="28" t="s">
        <v>470</v>
      </c>
      <c r="H44" s="28" t="s">
        <v>471</v>
      </c>
      <c r="I44" s="28"/>
      <c r="J44" s="28">
        <v>0</v>
      </c>
      <c r="K44" s="28">
        <v>8</v>
      </c>
      <c r="L44" s="40">
        <v>10</v>
      </c>
    </row>
    <row r="45" spans="1:12" x14ac:dyDescent="0.25">
      <c r="A45" s="28" t="s">
        <v>605</v>
      </c>
      <c r="B45" s="28" t="s">
        <v>606</v>
      </c>
      <c r="C45" s="33" t="s">
        <v>607</v>
      </c>
      <c r="D45" s="33" t="str">
        <f t="shared" si="0"/>
        <v>VLAN_10.20.95.0/254</v>
      </c>
      <c r="E45" s="35" t="s">
        <v>475</v>
      </c>
      <c r="F45" s="35" t="s">
        <v>476</v>
      </c>
      <c r="G45" s="28" t="s">
        <v>470</v>
      </c>
      <c r="H45" s="28" t="s">
        <v>471</v>
      </c>
      <c r="I45" s="28"/>
      <c r="J45" s="28">
        <v>0</v>
      </c>
      <c r="K45" s="28">
        <v>8</v>
      </c>
      <c r="L45" s="40">
        <v>10</v>
      </c>
    </row>
    <row r="46" spans="1:12" x14ac:dyDescent="0.25">
      <c r="A46" s="28" t="s">
        <v>608</v>
      </c>
      <c r="B46" s="28" t="s">
        <v>609</v>
      </c>
      <c r="C46" s="33" t="s">
        <v>610</v>
      </c>
      <c r="D46" s="33" t="str">
        <f t="shared" si="0"/>
        <v>VLAN_10.20.96.0/254</v>
      </c>
      <c r="E46" s="35" t="s">
        <v>475</v>
      </c>
      <c r="F46" s="35" t="s">
        <v>476</v>
      </c>
      <c r="G46" s="28" t="s">
        <v>470</v>
      </c>
      <c r="H46" s="28" t="s">
        <v>471</v>
      </c>
      <c r="I46" s="28"/>
      <c r="J46" s="28">
        <v>0</v>
      </c>
      <c r="K46" s="28">
        <v>8</v>
      </c>
      <c r="L46" s="40">
        <v>10</v>
      </c>
    </row>
    <row r="47" spans="1:12" x14ac:dyDescent="0.25">
      <c r="A47" s="28" t="s">
        <v>611</v>
      </c>
      <c r="B47" s="28" t="s">
        <v>612</v>
      </c>
      <c r="C47" s="33" t="s">
        <v>613</v>
      </c>
      <c r="D47" s="33" t="str">
        <f t="shared" si="0"/>
        <v>VLAN_10.20.97.0/254</v>
      </c>
      <c r="E47" s="35" t="s">
        <v>475</v>
      </c>
      <c r="F47" s="35" t="s">
        <v>476</v>
      </c>
      <c r="G47" s="28" t="s">
        <v>470</v>
      </c>
      <c r="H47" s="28" t="s">
        <v>471</v>
      </c>
      <c r="I47" s="28"/>
      <c r="J47" s="28">
        <v>0</v>
      </c>
      <c r="K47" s="28">
        <v>8</v>
      </c>
      <c r="L47" s="40">
        <v>10</v>
      </c>
    </row>
    <row r="48" spans="1:12" x14ac:dyDescent="0.25">
      <c r="A48" s="28" t="s">
        <v>614</v>
      </c>
      <c r="B48" s="28" t="s">
        <v>615</v>
      </c>
      <c r="C48" s="33" t="s">
        <v>616</v>
      </c>
      <c r="D48" s="33" t="str">
        <f t="shared" si="0"/>
        <v>VLAN_10.20.98.0/254</v>
      </c>
      <c r="E48" s="35" t="s">
        <v>475</v>
      </c>
      <c r="F48" s="35" t="s">
        <v>476</v>
      </c>
      <c r="G48" s="28" t="s">
        <v>470</v>
      </c>
      <c r="H48" s="28" t="s">
        <v>471</v>
      </c>
      <c r="I48" s="28"/>
      <c r="J48" s="28">
        <v>0</v>
      </c>
      <c r="K48" s="28">
        <v>8</v>
      </c>
      <c r="L48" s="40">
        <v>10</v>
      </c>
    </row>
    <row r="49" spans="1:12" x14ac:dyDescent="0.25">
      <c r="A49" s="28" t="s">
        <v>617</v>
      </c>
      <c r="B49" s="28" t="s">
        <v>618</v>
      </c>
      <c r="C49" s="33" t="s">
        <v>619</v>
      </c>
      <c r="D49" s="33" t="str">
        <f t="shared" si="0"/>
        <v>VLAN_10.20.99.0/254</v>
      </c>
      <c r="E49" s="35" t="s">
        <v>475</v>
      </c>
      <c r="F49" s="35" t="s">
        <v>476</v>
      </c>
      <c r="G49" s="28" t="s">
        <v>470</v>
      </c>
      <c r="H49" s="28" t="s">
        <v>471</v>
      </c>
      <c r="I49" s="28"/>
      <c r="J49" s="28">
        <v>0</v>
      </c>
      <c r="K49" s="28">
        <v>8</v>
      </c>
      <c r="L49" s="40">
        <v>10</v>
      </c>
    </row>
    <row r="50" spans="1:12" x14ac:dyDescent="0.25">
      <c r="L50" s="41">
        <f>SUM(L2:L49)</f>
        <v>480</v>
      </c>
    </row>
  </sheetData>
  <sortState ref="A2:L50">
    <sortCondition ref="C2:C50"/>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9"/>
  <dimension ref="A1:D16"/>
  <sheetViews>
    <sheetView workbookViewId="0">
      <selection activeCell="C22" sqref="C22"/>
    </sheetView>
  </sheetViews>
  <sheetFormatPr baseColWidth="10" defaultColWidth="11.42578125" defaultRowHeight="15" x14ac:dyDescent="0.25"/>
  <cols>
    <col min="1" max="2" width="32.42578125" customWidth="1"/>
    <col min="3" max="3" width="18.42578125" customWidth="1"/>
    <col min="4" max="4" width="20.42578125" customWidth="1"/>
  </cols>
  <sheetData>
    <row r="1" spans="1:4" x14ac:dyDescent="0.25">
      <c r="A1" s="27" t="s">
        <v>620</v>
      </c>
      <c r="B1" s="27"/>
      <c r="C1" s="27" t="s">
        <v>448</v>
      </c>
      <c r="D1" s="27" t="s">
        <v>449</v>
      </c>
    </row>
    <row r="2" spans="1:4" x14ac:dyDescent="0.25">
      <c r="A2" s="28" t="s">
        <v>621</v>
      </c>
      <c r="B2" s="28" t="str">
        <f>"DNS_" &amp; A2</f>
        <v>DNS_asogfi.fr</v>
      </c>
      <c r="C2" s="29" t="s">
        <v>408</v>
      </c>
      <c r="D2" s="40">
        <v>3.5</v>
      </c>
    </row>
    <row r="3" spans="1:4" x14ac:dyDescent="0.25">
      <c r="A3" s="28" t="s">
        <v>622</v>
      </c>
      <c r="B3" s="28" t="str">
        <f t="shared" ref="B3:B15" si="0">"DNS_" &amp; A3</f>
        <v>DNS_gfidevfight.com</v>
      </c>
      <c r="C3" s="29" t="s">
        <v>408</v>
      </c>
      <c r="D3" s="40">
        <v>3.5</v>
      </c>
    </row>
    <row r="4" spans="1:4" x14ac:dyDescent="0.25">
      <c r="A4" s="28" t="s">
        <v>623</v>
      </c>
      <c r="B4" s="28" t="str">
        <f t="shared" si="0"/>
        <v>DNS_gfidevfight.fr</v>
      </c>
      <c r="C4" s="29" t="s">
        <v>408</v>
      </c>
      <c r="D4" s="40">
        <v>3.5</v>
      </c>
    </row>
    <row r="5" spans="1:4" x14ac:dyDescent="0.25">
      <c r="A5" s="28" t="s">
        <v>624</v>
      </c>
      <c r="B5" s="28" t="str">
        <f t="shared" si="0"/>
        <v>DNS_gfidevfight.net</v>
      </c>
      <c r="C5" s="29" t="s">
        <v>408</v>
      </c>
      <c r="D5" s="40">
        <v>3.5</v>
      </c>
    </row>
    <row r="6" spans="1:4" x14ac:dyDescent="0.25">
      <c r="A6" s="28" t="s">
        <v>625</v>
      </c>
      <c r="B6" s="28" t="str">
        <f t="shared" si="0"/>
        <v>DNS_gfidevfight.org</v>
      </c>
      <c r="C6" s="29" t="s">
        <v>408</v>
      </c>
      <c r="D6" s="40">
        <v>3.5</v>
      </c>
    </row>
    <row r="7" spans="1:4" x14ac:dyDescent="0.25">
      <c r="A7" s="28" t="s">
        <v>626</v>
      </c>
      <c r="B7" s="28" t="str">
        <f t="shared" si="0"/>
        <v>DNS_gfidevfight.info</v>
      </c>
      <c r="C7" s="29" t="s">
        <v>408</v>
      </c>
      <c r="D7" s="40">
        <v>3.5</v>
      </c>
    </row>
    <row r="8" spans="1:4" x14ac:dyDescent="0.25">
      <c r="A8" s="28" t="s">
        <v>627</v>
      </c>
      <c r="B8" s="28" t="str">
        <f t="shared" si="0"/>
        <v>DNS_socialrobotics.fr</v>
      </c>
      <c r="C8" s="31" t="s">
        <v>406</v>
      </c>
      <c r="D8" s="40">
        <v>3.5</v>
      </c>
    </row>
    <row r="9" spans="1:4" x14ac:dyDescent="0.25">
      <c r="A9" s="28" t="s">
        <v>628</v>
      </c>
      <c r="B9" s="28" t="str">
        <f t="shared" si="0"/>
        <v>DNS_socialroboticslab.fr</v>
      </c>
      <c r="C9" s="31" t="s">
        <v>406</v>
      </c>
      <c r="D9" s="40">
        <v>3.5</v>
      </c>
    </row>
    <row r="10" spans="1:4" x14ac:dyDescent="0.25">
      <c r="A10" s="28" t="s">
        <v>629</v>
      </c>
      <c r="B10" s="28" t="str">
        <f t="shared" si="0"/>
        <v>DNS_socialroboticslab.com</v>
      </c>
      <c r="C10" s="31" t="s">
        <v>406</v>
      </c>
      <c r="D10" s="40">
        <v>3.5</v>
      </c>
    </row>
    <row r="11" spans="1:4" x14ac:dyDescent="0.25">
      <c r="A11" s="28" t="s">
        <v>630</v>
      </c>
      <c r="B11" s="28" t="str">
        <f t="shared" si="0"/>
        <v>DNS_labsocialrobotics.fr</v>
      </c>
      <c r="C11" s="31" t="s">
        <v>406</v>
      </c>
      <c r="D11" s="40">
        <v>3.5</v>
      </c>
    </row>
    <row r="12" spans="1:4" x14ac:dyDescent="0.25">
      <c r="A12" s="28" t="s">
        <v>631</v>
      </c>
      <c r="B12" s="28" t="str">
        <f t="shared" si="0"/>
        <v>DNS_labsocialrobotics.com</v>
      </c>
      <c r="C12" s="31" t="s">
        <v>406</v>
      </c>
      <c r="D12" s="40">
        <v>3.5</v>
      </c>
    </row>
    <row r="13" spans="1:4" x14ac:dyDescent="0.25">
      <c r="A13" s="28" t="s">
        <v>632</v>
      </c>
      <c r="B13" s="28" t="str">
        <f t="shared" si="0"/>
        <v>DNS_gfisocialrobotics.com</v>
      </c>
      <c r="C13" s="31" t="s">
        <v>406</v>
      </c>
      <c r="D13" s="40">
        <v>3.5</v>
      </c>
    </row>
    <row r="14" spans="1:4" x14ac:dyDescent="0.25">
      <c r="A14" s="28" t="s">
        <v>633</v>
      </c>
      <c r="B14" s="28" t="str">
        <f t="shared" si="0"/>
        <v>DNS_sroboticsp.com</v>
      </c>
      <c r="C14" s="31" t="s">
        <v>406</v>
      </c>
      <c r="D14" s="40">
        <v>3.5</v>
      </c>
    </row>
    <row r="15" spans="1:4" x14ac:dyDescent="0.25">
      <c r="A15" s="28" t="s">
        <v>634</v>
      </c>
      <c r="B15" s="28" t="str">
        <f t="shared" si="0"/>
        <v>DNS_sroboticsd.com</v>
      </c>
      <c r="C15" s="31" t="s">
        <v>406</v>
      </c>
      <c r="D15" s="40">
        <v>3.5</v>
      </c>
    </row>
    <row r="16" spans="1:4" x14ac:dyDescent="0.25">
      <c r="D16" s="41">
        <f>SUM(D2:D15)</f>
        <v>49</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10"/>
  <dimension ref="A1:C6"/>
  <sheetViews>
    <sheetView workbookViewId="0">
      <selection activeCell="A2" sqref="A2:A5"/>
    </sheetView>
  </sheetViews>
  <sheetFormatPr baseColWidth="10" defaultColWidth="11.42578125" defaultRowHeight="15" x14ac:dyDescent="0.25"/>
  <cols>
    <col min="1" max="1" width="44.7109375" customWidth="1"/>
    <col min="2" max="2" width="18.42578125" customWidth="1"/>
    <col min="3" max="3" width="18" customWidth="1"/>
  </cols>
  <sheetData>
    <row r="1" spans="1:3" x14ac:dyDescent="0.25">
      <c r="A1" s="27" t="s">
        <v>635</v>
      </c>
      <c r="B1" s="27" t="s">
        <v>448</v>
      </c>
      <c r="C1" s="27" t="s">
        <v>449</v>
      </c>
    </row>
    <row r="2" spans="1:3" x14ac:dyDescent="0.25">
      <c r="A2" s="28" t="s">
        <v>636</v>
      </c>
      <c r="B2" s="29" t="s">
        <v>408</v>
      </c>
      <c r="C2" s="40">
        <v>14.08</v>
      </c>
    </row>
    <row r="3" spans="1:3" x14ac:dyDescent="0.25">
      <c r="A3" s="28" t="s">
        <v>637</v>
      </c>
      <c r="B3" s="31" t="s">
        <v>406</v>
      </c>
      <c r="C3" s="40">
        <v>45</v>
      </c>
    </row>
    <row r="4" spans="1:3" x14ac:dyDescent="0.25">
      <c r="A4" s="28" t="s">
        <v>638</v>
      </c>
      <c r="B4" s="31" t="s">
        <v>406</v>
      </c>
      <c r="C4" s="40">
        <v>45</v>
      </c>
    </row>
    <row r="5" spans="1:3" x14ac:dyDescent="0.25">
      <c r="A5" s="28" t="s">
        <v>639</v>
      </c>
      <c r="B5" s="31" t="s">
        <v>406</v>
      </c>
      <c r="C5" s="40">
        <v>45</v>
      </c>
    </row>
    <row r="6" spans="1:3" x14ac:dyDescent="0.25">
      <c r="C6" s="41">
        <f>SUM(C2:C5)</f>
        <v>149.07999999999998</v>
      </c>
    </row>
  </sheetData>
  <pageMargins left="0.7" right="0.7" top="0.75" bottom="0.75" header="0.3" footer="0.3"/>
  <pageSetup paperSize="9" orientation="portrait" horizontalDpi="300" verticalDpi="3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euil11">
    <tabColor rgb="FFFFC000"/>
  </sheetPr>
  <dimension ref="A1:F117"/>
  <sheetViews>
    <sheetView topLeftCell="A44" workbookViewId="0">
      <selection activeCell="D69" sqref="D69"/>
    </sheetView>
  </sheetViews>
  <sheetFormatPr baseColWidth="10" defaultColWidth="11.42578125" defaultRowHeight="15" x14ac:dyDescent="0.25"/>
  <cols>
    <col min="1" max="1" width="42.7109375" customWidth="1"/>
    <col min="2" max="2" width="47.7109375" customWidth="1"/>
    <col min="3" max="3" width="15.85546875" customWidth="1"/>
    <col min="4" max="4" width="46.7109375" bestFit="1" customWidth="1"/>
    <col min="5" max="5" width="31.5703125" customWidth="1"/>
    <col min="6" max="6" width="23.140625" customWidth="1"/>
  </cols>
  <sheetData>
    <row r="1" spans="1:6" x14ac:dyDescent="0.25">
      <c r="A1" s="6" t="s">
        <v>272</v>
      </c>
      <c r="B1" t="s">
        <v>640</v>
      </c>
      <c r="C1" t="s">
        <v>641</v>
      </c>
      <c r="D1" s="6" t="s">
        <v>283</v>
      </c>
      <c r="E1" s="6" t="s">
        <v>288</v>
      </c>
      <c r="F1" s="6" t="s">
        <v>266</v>
      </c>
    </row>
    <row r="2" spans="1:6" x14ac:dyDescent="0.25">
      <c r="A2" s="5" t="str">
        <f>TabEnvProjet[[#This Row],[RefProjet]] &amp; " .:. " &amp; TabEnvProjet[[#This Row],[RefEnv]]</f>
        <v>ADEME-SAGA .:. TMA</v>
      </c>
      <c r="B2" t="s">
        <v>642</v>
      </c>
      <c r="C2" t="s">
        <v>65</v>
      </c>
      <c r="D2" s="5" t="str">
        <f>VLOOKUP(TabEnvProjet[[#This Row],[RefProjet]],TabProjet[],8,FALSE)</f>
        <v>ADE-SAGA/S364196A</v>
      </c>
      <c r="E2" t="str">
        <f>VLOOKUP(TabEnvProjet[[#This Row],[RefProjet]],TabProjet[],6,FALSE)</f>
        <v>Pascale CRINE</v>
      </c>
      <c r="F2" s="5">
        <f>VLOOKUP(TabEnvProjet[[#This Row],[SYGES]],TabContrat[],3,FALSE)</f>
        <v>341531</v>
      </c>
    </row>
    <row r="3" spans="1:6" x14ac:dyDescent="0.25">
      <c r="A3" s="5" t="str">
        <f>TabEnvProjet[[#This Row],[RefProjet]] &amp; " .:. " &amp; TabEnvProjet[[#This Row],[RefEnv]]</f>
        <v>ADEME-SINOE .:. TMA</v>
      </c>
      <c r="B3" t="s">
        <v>643</v>
      </c>
      <c r="C3" t="s">
        <v>65</v>
      </c>
      <c r="D3" s="5" t="str">
        <f>VLOOKUP(TabEnvProjet[[#This Row],[RefProjet]],TabProjet[],8,FALSE)</f>
        <v>ADEME-SIN/16-S240097</v>
      </c>
      <c r="E3" t="str">
        <f>VLOOKUP(TabEnvProjet[[#This Row],[RefProjet]],TabProjet[],6,FALSE)</f>
        <v>Pascale CRINE</v>
      </c>
      <c r="F3" s="5">
        <f>VLOOKUP(TabEnvProjet[[#This Row],[SYGES]],TabContrat[],3,FALSE)</f>
        <v>341531</v>
      </c>
    </row>
    <row r="4" spans="1:6" x14ac:dyDescent="0.25">
      <c r="A4" s="5" t="str">
        <f>TabEnvProjet[[#This Row],[RefProjet]] &amp; " .:. " &amp; TabEnvProjet[[#This Row],[RefEnv]]</f>
        <v>AFB-ASPE .:. TMA</v>
      </c>
      <c r="B4" t="s">
        <v>644</v>
      </c>
      <c r="C4" t="s">
        <v>65</v>
      </c>
      <c r="D4" s="5" t="str">
        <f>VLOOKUP(TabEnvProjet[[#This Row],[RefProjet]],TabProjet[],8,FALSE)</f>
        <v>ONEMA/TMADCUA-15</v>
      </c>
      <c r="E4" t="str">
        <f>VLOOKUP(TabEnvProjet[[#This Row],[RefProjet]],TabProjet[],6,FALSE)</f>
        <v>Jean-Philippe STROIAZZO</v>
      </c>
      <c r="F4" s="5">
        <f>VLOOKUP(TabEnvProjet[[#This Row],[SYGES]],TabContrat[],3,FALSE)</f>
        <v>305704</v>
      </c>
    </row>
    <row r="5" spans="1:6" x14ac:dyDescent="0.25">
      <c r="A5" s="5" t="str">
        <f>TabEnvProjet[[#This Row],[RefProjet]] &amp; " .:. " &amp; TabEnvProjet[[#This Row],[RefEnv]]</f>
        <v>AFB-BASEINDICATEURS .:. RECETTE</v>
      </c>
      <c r="B5" t="s">
        <v>645</v>
      </c>
      <c r="C5" t="s">
        <v>75</v>
      </c>
      <c r="D5" s="5" t="str">
        <f>VLOOKUP(TabEnvProjet[[#This Row],[RefProjet]],TabProjet[],8,FALSE)</f>
        <v>ONEMA/TMADCUA-15</v>
      </c>
      <c r="E5" t="str">
        <f>VLOOKUP(TabEnvProjet[[#This Row],[RefProjet]],TabProjet[],6,FALSE)</f>
        <v>Pierre BOURLIEUX</v>
      </c>
      <c r="F5" s="5">
        <f>VLOOKUP(TabEnvProjet[[#This Row],[SYGES]],TabContrat[],3,FALSE)</f>
        <v>305704</v>
      </c>
    </row>
    <row r="6" spans="1:6" x14ac:dyDescent="0.25">
      <c r="A6" s="5" t="str">
        <f>TabEnvProjet[[#This Row],[RefProjet]] &amp; " .:. " &amp; TabEnvProjet[[#This Row],[RefEnv]]</f>
        <v>AFB-CARHYCE .:. TMA</v>
      </c>
      <c r="B6" t="s">
        <v>646</v>
      </c>
      <c r="C6" t="s">
        <v>65</v>
      </c>
      <c r="D6" s="5" t="str">
        <f>VLOOKUP(TabEnvProjet[[#This Row],[RefProjet]],TabProjet[],8,FALSE)</f>
        <v>ONEMA/TMADCUA-15</v>
      </c>
      <c r="E6" t="str">
        <f>VLOOKUP(TabEnvProjet[[#This Row],[RefProjet]],TabProjet[],6,FALSE)</f>
        <v>Jean-Philippe STROIAZZO</v>
      </c>
      <c r="F6" s="5">
        <f>VLOOKUP(TabEnvProjet[[#This Row],[SYGES]],TabContrat[],3,FALSE)</f>
        <v>305704</v>
      </c>
    </row>
    <row r="7" spans="1:6" x14ac:dyDescent="0.25">
      <c r="A7" s="5" t="str">
        <f>TabEnvProjet[[#This Row],[RefProjet]] &amp; " .:. " &amp; TabEnvProjet[[#This Row],[RefEnv]]</f>
        <v>AFB-CATALOGUEINDICATEURS .:. RECETTE</v>
      </c>
      <c r="B7" t="s">
        <v>647</v>
      </c>
      <c r="C7" t="s">
        <v>75</v>
      </c>
      <c r="D7" s="5" t="str">
        <f>VLOOKUP(TabEnvProjet[[#This Row],[RefProjet]],TabProjet[],8,FALSE)</f>
        <v>ONEMA/TMADCUA-15</v>
      </c>
      <c r="E7" t="str">
        <f>VLOOKUP(TabEnvProjet[[#This Row],[RefProjet]],TabProjet[],6,FALSE)</f>
        <v>Pierre BOURLIEUX</v>
      </c>
      <c r="F7" s="5">
        <f>VLOOKUP(TabEnvProjet[[#This Row],[SYGES]],TabContrat[],3,FALSE)</f>
        <v>305704</v>
      </c>
    </row>
    <row r="8" spans="1:6" x14ac:dyDescent="0.25">
      <c r="A8" s="5" t="str">
        <f>TabEnvProjet[[#This Row],[RefProjet]] &amp; " .:. " &amp; TabEnvProjet[[#This Row],[RefEnv]]</f>
        <v>AFB-ENQUETEDEAU .:. RECETTE</v>
      </c>
      <c r="B8" t="s">
        <v>648</v>
      </c>
      <c r="C8" t="s">
        <v>75</v>
      </c>
      <c r="D8" s="5" t="str">
        <f>VLOOKUP(TabEnvProjet[[#This Row],[RefProjet]],TabProjet[],8,FALSE)</f>
        <v>ONEMA/TMADCUA-15</v>
      </c>
      <c r="E8" t="str">
        <f>VLOOKUP(TabEnvProjet[[#This Row],[RefProjet]],TabProjet[],6,FALSE)</f>
        <v>Jean-Philippe STROIAZZO</v>
      </c>
      <c r="F8" s="5">
        <f>VLOOKUP(TabEnvProjet[[#This Row],[SYGES]],TabContrat[],3,FALSE)</f>
        <v>305704</v>
      </c>
    </row>
    <row r="9" spans="1:6" x14ac:dyDescent="0.25">
      <c r="A9" s="5" t="str">
        <f>TabEnvProjet[[#This Row],[RefProjet]] &amp; " .:. " &amp; TabEnvProjet[[#This Row],[RefEnv]]</f>
        <v>AFB-GEOBS .:. TMA</v>
      </c>
      <c r="B9" t="s">
        <v>649</v>
      </c>
      <c r="C9" t="s">
        <v>65</v>
      </c>
      <c r="D9" s="5" t="str">
        <f>VLOOKUP(TabEnvProjet[[#This Row],[RefProjet]],TabProjet[],8,FALSE)</f>
        <v>ONEMA/TMADCUA-15</v>
      </c>
      <c r="E9" t="str">
        <f>VLOOKUP(TabEnvProjet[[#This Row],[RefProjet]],TabProjet[],6,FALSE)</f>
        <v>Jean-Philippe STROIAZZO</v>
      </c>
      <c r="F9" s="5">
        <f>VLOOKUP(TabEnvProjet[[#This Row],[SYGES]],TabContrat[],3,FALSE)</f>
        <v>305704</v>
      </c>
    </row>
    <row r="10" spans="1:6" x14ac:dyDescent="0.25">
      <c r="A10" s="5" t="str">
        <f>TabEnvProjet[[#This Row],[RefProjet]] &amp; " .:. " &amp; TabEnvProjet[[#This Row],[RefEnv]]</f>
        <v>AFB-OISON .:. RECETTE</v>
      </c>
      <c r="B10" t="s">
        <v>650</v>
      </c>
      <c r="C10" t="s">
        <v>75</v>
      </c>
      <c r="D10" s="5" t="str">
        <f>VLOOKUP(TabEnvProjet[[#This Row],[RefProjet]],TabProjet[],8,FALSE)</f>
        <v>ONEMA/TMADCUA-15</v>
      </c>
      <c r="E10" t="str">
        <f>VLOOKUP(TabEnvProjet[[#This Row],[RefProjet]],TabProjet[],6,FALSE)</f>
        <v>Jean-Philippe STROIAZZO</v>
      </c>
      <c r="F10" s="5">
        <f>VLOOKUP(TabEnvProjet[[#This Row],[SYGES]],TabContrat[],3,FALSE)</f>
        <v>305704</v>
      </c>
    </row>
    <row r="11" spans="1:6" x14ac:dyDescent="0.25">
      <c r="A11" s="5" t="str">
        <f>TabEnvProjet[[#This Row],[RefProjet]] &amp; " .:. " &amp; TabEnvProjet[[#This Row],[RefEnv]]</f>
        <v>AFB-ONDE .:. TMA</v>
      </c>
      <c r="B11" t="s">
        <v>651</v>
      </c>
      <c r="C11" t="s">
        <v>65</v>
      </c>
      <c r="D11" s="5" t="str">
        <f>VLOOKUP(TabEnvProjet[[#This Row],[RefProjet]],TabProjet[],8,FALSE)</f>
        <v>ONEMA/TMADCUA-15</v>
      </c>
      <c r="E11" t="str">
        <f>VLOOKUP(TabEnvProjet[[#This Row],[RefProjet]],TabProjet[],6,FALSE)</f>
        <v>Jean-Philippe STROIAZZO</v>
      </c>
      <c r="F11" s="5">
        <f>VLOOKUP(TabEnvProjet[[#This Row],[SYGES]],TabContrat[],3,FALSE)</f>
        <v>305704</v>
      </c>
    </row>
    <row r="12" spans="1:6" x14ac:dyDescent="0.25">
      <c r="A12" s="5" t="str">
        <f>TabEnvProjet[[#This Row],[RefProjet]] &amp; " .:. " &amp; TabEnvProjet[[#This Row],[RefEnv]]</f>
        <v>AFB-Patbiodiv .:. RECETTE</v>
      </c>
      <c r="B12" t="s">
        <v>652</v>
      </c>
      <c r="C12" t="s">
        <v>75</v>
      </c>
      <c r="D12" s="5" t="str">
        <f>VLOOKUP(TabEnvProjet[[#This Row],[RefProjet]],TabProjet[],8,FALSE)</f>
        <v>ONEMA/TMADCUA-15</v>
      </c>
      <c r="E12" t="str">
        <f>VLOOKUP(TabEnvProjet[[#This Row],[RefProjet]],TabProjet[],6,FALSE)</f>
        <v>Rodolphe Habegger</v>
      </c>
      <c r="F12" s="5">
        <f>VLOOKUP(TabEnvProjet[[#This Row],[SYGES]],TabContrat[],3,FALSE)</f>
        <v>305704</v>
      </c>
    </row>
    <row r="13" spans="1:6" x14ac:dyDescent="0.25">
      <c r="A13" s="5" t="str">
        <f>TabEnvProjet[[#This Row],[RefProjet]] &amp; " .:. " &amp; TabEnvProjet[[#This Row],[RefEnv]]</f>
        <v>AFB-PNM .:. RECETTE</v>
      </c>
      <c r="B13" t="s">
        <v>1226</v>
      </c>
      <c r="C13" t="s">
        <v>75</v>
      </c>
      <c r="D13" s="5" t="str">
        <f>VLOOKUP(TabEnvProjet[[#This Row],[RefProjet]],TabProjet[],8,FALSE)</f>
        <v>AFB/OFB_LOT2</v>
      </c>
      <c r="E13" s="5" t="str">
        <f>VLOOKUP(TabEnvProjet[[#This Row],[RefProjet]],TabProjet[],6,FALSE)</f>
        <v>Eric RAUCOURT</v>
      </c>
      <c r="F13" s="5">
        <f>VLOOKUP(TabEnvProjet[[#This Row],[SYGES]],TabContrat[],3,FALSE)</f>
        <v>305704</v>
      </c>
    </row>
    <row r="14" spans="1:6" x14ac:dyDescent="0.25">
      <c r="A14" s="5" t="str">
        <f>TabEnvProjet[[#This Row],[RefProjet]] &amp; " .:. " &amp; TabEnvProjet[[#This Row],[RefEnv]]</f>
        <v>AFB-RNT .:. TMA</v>
      </c>
      <c r="B14" t="s">
        <v>653</v>
      </c>
      <c r="C14" t="s">
        <v>65</v>
      </c>
      <c r="D14" s="5" t="str">
        <f>VLOOKUP(TabEnvProjet[[#This Row],[RefProjet]],TabProjet[],8,FALSE)</f>
        <v>ONEMA/TMADCUA-15</v>
      </c>
      <c r="E14" t="str">
        <f>VLOOKUP(TabEnvProjet[[#This Row],[RefProjet]],TabProjet[],6,FALSE)</f>
        <v>Christophe ORLANDO</v>
      </c>
      <c r="F14" s="5">
        <f>VLOOKUP(TabEnvProjet[[#This Row],[SYGES]],TabContrat[],3,FALSE)</f>
        <v>305704</v>
      </c>
    </row>
    <row r="15" spans="1:6" x14ac:dyDescent="0.25">
      <c r="A15" s="5" t="str">
        <f>TabEnvProjet[[#This Row],[RefProjet]] &amp; " .:. " &amp; TabEnvProjet[[#This Row],[RefEnv]]</f>
        <v>AFB-SIFLORE .:. RECETTE</v>
      </c>
      <c r="B15" t="s">
        <v>654</v>
      </c>
      <c r="C15" t="s">
        <v>75</v>
      </c>
      <c r="D15" s="5" t="str">
        <f>VLOOKUP(TabEnvProjet[[#This Row],[RefProjet]],TabProjet[],8,FALSE)</f>
        <v>ONEMA/TMADCUA-15</v>
      </c>
      <c r="E15" t="str">
        <f>VLOOKUP(TabEnvProjet[[#This Row],[RefProjet]],TabProjet[],6,FALSE)</f>
        <v>Pierre BOURLIEUX</v>
      </c>
      <c r="F15" s="5">
        <f>VLOOKUP(TabEnvProjet[[#This Row],[SYGES]],TabContrat[],3,FALSE)</f>
        <v>305704</v>
      </c>
    </row>
    <row r="16" spans="1:6" x14ac:dyDescent="0.25">
      <c r="A16" s="5" t="str">
        <f>TabEnvProjet[[#This Row],[RefProjet]] &amp; " .:. " &amp; TabEnvProjet[[#This Row],[RefEnv]]</f>
        <v>AFB-SISPEA .:. RECETTE</v>
      </c>
      <c r="B16" t="s">
        <v>655</v>
      </c>
      <c r="C16" t="s">
        <v>75</v>
      </c>
      <c r="D16" s="5" t="str">
        <f>VLOOKUP(TabEnvProjet[[#This Row],[RefProjet]],TabProjet[],8,FALSE)</f>
        <v>ONEMA/TMADCUA-15</v>
      </c>
      <c r="E16" t="str">
        <f>VLOOKUP(TabEnvProjet[[#This Row],[RefProjet]],TabProjet[],6,FALSE)</f>
        <v>Pierre BOURLIEUX</v>
      </c>
      <c r="F16" s="5">
        <f>VLOOKUP(TabEnvProjet[[#This Row],[SYGES]],TabContrat[],3,FALSE)</f>
        <v>305704</v>
      </c>
    </row>
    <row r="17" spans="1:6" x14ac:dyDescent="0.25">
      <c r="A17" s="5" t="str">
        <f>TabEnvProjet[[#This Row],[RefProjet]] &amp; " .:. " &amp; TabEnvProjet[[#This Row],[RefEnv]]</f>
        <v>AS24-Redmine .:. PROD</v>
      </c>
      <c r="B17" t="s">
        <v>656</v>
      </c>
      <c r="C17" t="s">
        <v>30</v>
      </c>
      <c r="D17" s="5" t="str">
        <f>VLOOKUP(TabEnvProjet[[#This Row],[RefProjet]],TabProjet[],8,FALSE)</f>
        <v>AS24/342220-18</v>
      </c>
      <c r="E17" t="str">
        <f>VLOOKUP(TabEnvProjet[[#This Row],[RefProjet]],TabProjet[],6,FALSE)</f>
        <v>Florian DUPONT</v>
      </c>
      <c r="F17" s="5">
        <f>VLOOKUP(TabEnvProjet[[#This Row],[SYGES]],TabContrat[],3,FALSE)</f>
        <v>341530</v>
      </c>
    </row>
    <row r="18" spans="1:6" x14ac:dyDescent="0.25">
      <c r="A18" s="5" t="str">
        <f>TabEnvProjet[[#This Row],[RefProjet]] &amp; " .:. " &amp; TabEnvProjet[[#This Row],[RefEnv]]</f>
        <v>AS24-ChantierPIC .:. DEV</v>
      </c>
      <c r="B18" t="s">
        <v>1244</v>
      </c>
      <c r="C18" t="s">
        <v>6</v>
      </c>
      <c r="D18" s="5" t="str">
        <f>VLOOKUP(TabEnvProjet[[#This Row],[RefProjet]],TabProjet[],8,FALSE)</f>
        <v>AS24/ChantierPIC</v>
      </c>
      <c r="E18" s="5" t="str">
        <f>VLOOKUP(TabEnvProjet[[#This Row],[RefProjet]],TabProjet[],6,FALSE)</f>
        <v>Florian DUPONT</v>
      </c>
      <c r="F18" s="5">
        <f>VLOOKUP(TabEnvProjet[[#This Row],[SYGES]],TabContrat[],3,FALSE)</f>
        <v>341530</v>
      </c>
    </row>
    <row r="19" spans="1:6" x14ac:dyDescent="0.25">
      <c r="A19" s="5" t="str">
        <f>TabEnvProjet[[#This Row],[RefProjet]] &amp; " .:. " &amp; TabEnvProjet[[#This Row],[RefEnv]]</f>
        <v>BRGM-BDLISA .:. DEV</v>
      </c>
      <c r="B19" t="s">
        <v>657</v>
      </c>
      <c r="C19" t="s">
        <v>6</v>
      </c>
      <c r="D19" s="5" t="str">
        <f>VLOOKUP(TabEnvProjet[[#This Row],[RefProjet]],TabProjet[],8,FALSE)</f>
        <v>BRGM/BDLISA-18</v>
      </c>
      <c r="E19" t="str">
        <f>VLOOKUP(TabEnvProjet[[#This Row],[RefProjet]],TabProjet[],6,FALSE)</f>
        <v>Jean-Philippe STROIAZZO</v>
      </c>
      <c r="F19" s="5">
        <f>VLOOKUP(TabEnvProjet[[#This Row],[SYGES]],TabContrat[],3,FALSE)</f>
        <v>305704</v>
      </c>
    </row>
    <row r="20" spans="1:6" x14ac:dyDescent="0.25">
      <c r="A20" s="5" t="str">
        <f>TabEnvProjet[[#This Row],[RefProjet]] &amp; " .:. " &amp; TabEnvProjet[[#This Row],[RefEnv]]</f>
        <v>BRGM-BNPE .:. DEV</v>
      </c>
      <c r="B20" t="s">
        <v>658</v>
      </c>
      <c r="C20" t="s">
        <v>6</v>
      </c>
      <c r="D20" s="5" t="str">
        <f>VLOOKUP(TabEnvProjet[[#This Row],[RefProjet]],TabProjet[],8,FALSE)</f>
        <v>BRGM/BDLISA-18</v>
      </c>
      <c r="E20" t="str">
        <f>VLOOKUP(TabEnvProjet[[#This Row],[RefProjet]],TabProjet[],6,FALSE)</f>
        <v>Jean-Philippe STROIAZZO</v>
      </c>
      <c r="F20" s="5">
        <f>VLOOKUP(TabEnvProjet[[#This Row],[SYGES]],TabContrat[],3,FALSE)</f>
        <v>305704</v>
      </c>
    </row>
    <row r="21" spans="1:6" x14ac:dyDescent="0.25">
      <c r="A21" s="5" t="str">
        <f>TabEnvProjet[[#This Row],[RefProjet]] &amp; " .:. " &amp; TabEnvProjet[[#This Row],[RefEnv]]</f>
        <v>BRGM-DEGATS-MINERS .:. RECETTE</v>
      </c>
      <c r="B21" t="s">
        <v>659</v>
      </c>
      <c r="C21" t="s">
        <v>75</v>
      </c>
      <c r="D21" s="5" t="str">
        <f>VLOOKUP(TabEnvProjet[[#This Row],[RefProjet]],TabProjet[],8,FALSE)</f>
        <v>BRGM/DEGAT-16</v>
      </c>
      <c r="E21" t="str">
        <f>VLOOKUP(TabEnvProjet[[#This Row],[RefProjet]],TabProjet[],6,FALSE)</f>
        <v>Pierre BOURLIEUX</v>
      </c>
      <c r="F21" s="5">
        <f>VLOOKUP(TabEnvProjet[[#This Row],[SYGES]],TabContrat[],3,FALSE)</f>
        <v>305704</v>
      </c>
    </row>
    <row r="22" spans="1:6" x14ac:dyDescent="0.25">
      <c r="A22" s="5" t="str">
        <f>TabEnvProjet[[#This Row],[RefProjet]] &amp; " .:. " &amp; TabEnvProjet[[#This Row],[RefEnv]]</f>
        <v>CA-TITRES-COGNOS .:. DEV</v>
      </c>
      <c r="B22" t="s">
        <v>660</v>
      </c>
      <c r="C22" t="s">
        <v>6</v>
      </c>
      <c r="D22" s="5" t="str">
        <f>VLOOKUP(TabEnvProjet[[#This Row],[RefProjet]],TabProjet[],8,FALSE)</f>
        <v>CA-TITRES/TMA</v>
      </c>
      <c r="E22" t="str">
        <f>VLOOKUP(TabEnvProjet[[#This Row],[RefProjet]],TabProjet[],6,FALSE)</f>
        <v>Jean-Philippe STROIAZZO</v>
      </c>
      <c r="F22" s="5">
        <f>VLOOKUP(TabEnvProjet[[#This Row],[SYGES]],TabContrat[],3,FALSE)</f>
        <v>305704</v>
      </c>
    </row>
    <row r="23" spans="1:6" x14ac:dyDescent="0.25">
      <c r="A23" s="5" t="str">
        <f>TabEnvProjet[[#This Row],[RefProjet]] &amp; " .:. " &amp; TabEnvProjet[[#This Row],[RefEnv]]</f>
        <v>CA-TITRES-CRR .:. DEV</v>
      </c>
      <c r="B23" t="s">
        <v>661</v>
      </c>
      <c r="C23" t="s">
        <v>6</v>
      </c>
      <c r="D23" s="5" t="str">
        <f>VLOOKUP(TabEnvProjet[[#This Row],[RefProjet]],TabProjet[],8,FALSE)</f>
        <v>CA-TITRES/TMA</v>
      </c>
      <c r="E23" t="str">
        <f>VLOOKUP(TabEnvProjet[[#This Row],[RefProjet]],TabProjet[],6,FALSE)</f>
        <v>Jean-Philippe STROIAZZO</v>
      </c>
      <c r="F23" s="5">
        <f>VLOOKUP(TabEnvProjet[[#This Row],[SYGES]],TabContrat[],3,FALSE)</f>
        <v>305704</v>
      </c>
    </row>
    <row r="24" spans="1:6" x14ac:dyDescent="0.25">
      <c r="A24" s="5" t="str">
        <f>TabEnvProjet[[#This Row],[RefProjet]] &amp; " .:. " &amp; TabEnvProjet[[#This Row],[RefEnv]]</f>
        <v>DEVIS-DEVIS .:. DEV</v>
      </c>
      <c r="B24" t="s">
        <v>1239</v>
      </c>
      <c r="C24" t="s">
        <v>6</v>
      </c>
      <c r="D24" s="5" t="str">
        <f>VLOOKUP(TabEnvProjet[[#This Row],[RefProjet]],TabProjet[],8,FALSE)</f>
        <v>DEVIS</v>
      </c>
      <c r="E24" s="5" t="str">
        <f>VLOOKUP(TabEnvProjet[[#This Row],[RefProjet]],TabProjet[],6,FALSE)</f>
        <v>DEVIS</v>
      </c>
      <c r="F24" s="5" t="str">
        <f>VLOOKUP(TabEnvProjet[[#This Row],[SYGES]],TabContrat[],3,FALSE)</f>
        <v>DEVIS</v>
      </c>
    </row>
    <row r="25" spans="1:6" x14ac:dyDescent="0.25">
      <c r="A25" s="5" t="str">
        <f>TabEnvProjet[[#This Row],[RefProjet]] &amp; " .:. " &amp; TabEnvProjet[[#This Row],[RefEnv]]</f>
        <v>DEVIS-DEVIS .:. ONE_SHOT</v>
      </c>
      <c r="B25" t="s">
        <v>1239</v>
      </c>
      <c r="C25" t="s">
        <v>1269</v>
      </c>
      <c r="D25" s="5" t="str">
        <f>VLOOKUP(TabEnvProjet[[#This Row],[RefProjet]],TabProjet[],8,FALSE)</f>
        <v>DEVIS</v>
      </c>
      <c r="E25" s="5" t="str">
        <f>VLOOKUP(TabEnvProjet[[#This Row],[RefProjet]],TabProjet[],6,FALSE)</f>
        <v>DEVIS</v>
      </c>
      <c r="F25" s="5" t="str">
        <f>VLOOKUP(TabEnvProjet[[#This Row],[SYGES]],TabContrat[],3,FALSE)</f>
        <v>DEVIS</v>
      </c>
    </row>
    <row r="26" spans="1:6" x14ac:dyDescent="0.25">
      <c r="A26" s="5" t="str">
        <f>TabEnvProjet[[#This Row],[RefProjet]] &amp; " .:. " &amp; TabEnvProjet[[#This Row],[RefEnv]]</f>
        <v>DIG-Perform .:. SOCLE</v>
      </c>
      <c r="B26" t="s">
        <v>662</v>
      </c>
      <c r="C26" t="s">
        <v>9</v>
      </c>
      <c r="D26" s="5" t="str">
        <f>VLOOKUP(TabEnvProjet[[#This Row],[RefProjet]],TabProjet[],8,FALSE)</f>
        <v>SUPP-DIGI - 1530-2018 - 0 - 1 - Tache 1 - Perform</v>
      </c>
      <c r="E26" t="str">
        <f>VLOOKUP(TabEnvProjet[[#This Row],[RefProjet]],TabProjet[],6,FALSE)</f>
        <v>Vincent MERIAU</v>
      </c>
      <c r="F26" s="5">
        <f>VLOOKUP(TabEnvProjet[[#This Row],[SYGES]],TabContrat[],3,FALSE)</f>
        <v>341531</v>
      </c>
    </row>
    <row r="27" spans="1:6" x14ac:dyDescent="0.25">
      <c r="A27" s="5" t="str">
        <f>TabEnvProjet[[#This Row],[RefProjet]] &amp; " .:. " &amp; TabEnvProjet[[#This Row],[RefEnv]]</f>
        <v>EDI-MUT-EDI-MUT-DEV .:. DEV</v>
      </c>
      <c r="B27" t="s">
        <v>1286</v>
      </c>
      <c r="C27" t="s">
        <v>6</v>
      </c>
      <c r="D27" s="5" t="str">
        <f>VLOOKUP(TabEnvProjet[[#This Row],[RefProjet]],TabProjet[],8,FALSE)</f>
        <v>HEBERG-EDI  MUT-2018 - DEV</v>
      </c>
      <c r="E27" t="str">
        <f>VLOOKUP(TabEnvProjet[[#This Row],[RefProjet]],TabProjet[],6,FALSE)</f>
        <v>David LEMALHEUX</v>
      </c>
      <c r="F27" s="5">
        <f>VLOOKUP(TabEnvProjet[[#This Row],[SYGES]],TabContrat[],3,FALSE)</f>
        <v>341530</v>
      </c>
    </row>
    <row r="28" spans="1:6" x14ac:dyDescent="0.25">
      <c r="A28" s="5" t="str">
        <f>TabEnvProjet[[#This Row],[RefProjet]] &amp; " .:. " &amp; TabEnvProjet[[#This Row],[RefEnv]]</f>
        <v>EDI-MUT-EDI-MUT .:. PROD</v>
      </c>
      <c r="B28" t="s">
        <v>663</v>
      </c>
      <c r="C28" t="s">
        <v>30</v>
      </c>
      <c r="D28" s="5" t="str">
        <f>VLOOKUP(TabEnvProjet[[#This Row],[RefProjet]],TabProjet[],8,FALSE)</f>
        <v>HEBERG-EDI  MUT-2018</v>
      </c>
      <c r="E28" t="str">
        <f>VLOOKUP(TabEnvProjet[[#This Row],[RefProjet]],TabProjet[],6,FALSE)</f>
        <v>David LEMALHEUX</v>
      </c>
      <c r="F28" s="5" t="str">
        <f>VLOOKUP(TabEnvProjet[[#This Row],[SYGES]],TabContrat[],3,FALSE)</f>
        <v>341530-EDI</v>
      </c>
    </row>
    <row r="29" spans="1:6" x14ac:dyDescent="0.25">
      <c r="A29" s="5" t="str">
        <f>TabEnvProjet[[#This Row],[RefProjet]] &amp; " .:. " &amp; TabEnvProjet[[#This Row],[RefEnv]]</f>
        <v>Fablab-Firmin .:. DEV</v>
      </c>
      <c r="B29" t="s">
        <v>664</v>
      </c>
      <c r="C29" t="s">
        <v>6</v>
      </c>
      <c r="D29" s="5" t="str">
        <f>VLOOKUP(TabEnvProjet[[#This Row],[RefProjet]],TabProjet[],8,FALSE)</f>
        <v>Fablab-Firmin</v>
      </c>
      <c r="E29" t="str">
        <f>VLOOKUP(TabEnvProjet[[#This Row],[RefProjet]],TabProjet[],6,FALSE)</f>
        <v>Pierre-Yves Baloche</v>
      </c>
      <c r="F29" s="5" t="str">
        <f>VLOOKUP(TabEnvProjet[[#This Row],[SYGES]],TabContrat[],3,FALSE)</f>
        <v>Fablab</v>
      </c>
    </row>
    <row r="30" spans="1:6" x14ac:dyDescent="0.25">
      <c r="A30" s="5" t="str">
        <f>TabEnvProjet[[#This Row],[RefProjet]] &amp; " .:. " &amp; TabEnvProjet[[#This Row],[RefEnv]]</f>
        <v>Fablab-Firmin .:. PREPROD</v>
      </c>
      <c r="B30" t="s">
        <v>664</v>
      </c>
      <c r="C30" t="s">
        <v>124</v>
      </c>
      <c r="D30" s="5" t="str">
        <f>VLOOKUP(TabEnvProjet[[#This Row],[RefProjet]],TabProjet[],8,FALSE)</f>
        <v>Fablab-Firmin</v>
      </c>
      <c r="E30" t="str">
        <f>VLOOKUP(TabEnvProjet[[#This Row],[RefProjet]],TabProjet[],6,FALSE)</f>
        <v>Pierre-Yves Baloche</v>
      </c>
      <c r="F30" s="5" t="str">
        <f>VLOOKUP(TabEnvProjet[[#This Row],[SYGES]],TabContrat[],3,FALSE)</f>
        <v>Fablab</v>
      </c>
    </row>
    <row r="31" spans="1:6" x14ac:dyDescent="0.25">
      <c r="A31" s="5" t="str">
        <f>TabEnvProjet[[#This Row],[RefProjet]] &amp; " .:. " &amp; TabEnvProjet[[#This Row],[RefEnv]]</f>
        <v>Fablab-Firmin .:. PROD</v>
      </c>
      <c r="B31" t="s">
        <v>664</v>
      </c>
      <c r="C31" t="s">
        <v>30</v>
      </c>
      <c r="D31" s="5" t="str">
        <f>VLOOKUP(TabEnvProjet[[#This Row],[RefProjet]],TabProjet[],8,FALSE)</f>
        <v>Fablab-Firmin</v>
      </c>
      <c r="E31" t="str">
        <f>VLOOKUP(TabEnvProjet[[#This Row],[RefProjet]],TabProjet[],6,FALSE)</f>
        <v>Pierre-Yves Baloche</v>
      </c>
      <c r="F31" s="5" t="str">
        <f>VLOOKUP(TabEnvProjet[[#This Row],[SYGES]],TabContrat[],3,FALSE)</f>
        <v>Fablab</v>
      </c>
    </row>
    <row r="32" spans="1:6" x14ac:dyDescent="0.25">
      <c r="A32" s="5" t="str">
        <f>TabEnvProjet[[#This Row],[RefProjet]] &amp; " .:. " &amp; TabEnvProjet[[#This Row],[RefEnv]]</f>
        <v>Fablab-Firmin .:. QUAL</v>
      </c>
      <c r="B32" t="s">
        <v>664</v>
      </c>
      <c r="C32" t="s">
        <v>52</v>
      </c>
      <c r="D32" s="5" t="str">
        <f>VLOOKUP(TabEnvProjet[[#This Row],[RefProjet]],TabProjet[],8,FALSE)</f>
        <v>Fablab-Firmin</v>
      </c>
      <c r="E32" t="str">
        <f>VLOOKUP(TabEnvProjet[[#This Row],[RefProjet]],TabProjet[],6,FALSE)</f>
        <v>Pierre-Yves Baloche</v>
      </c>
      <c r="F32" s="5" t="str">
        <f>VLOOKUP(TabEnvProjet[[#This Row],[SYGES]],TabContrat[],3,FALSE)</f>
        <v>Fablab</v>
      </c>
    </row>
    <row r="33" spans="1:6" x14ac:dyDescent="0.25">
      <c r="A33" s="5" t="str">
        <f>TabEnvProjet[[#This Row],[RefProjet]] &amp; " .:. " &amp; TabEnvProjet[[#This Row],[RefEnv]]</f>
        <v>Fablab-Firmin .:. SOCLE</v>
      </c>
      <c r="B33" t="s">
        <v>664</v>
      </c>
      <c r="C33" t="s">
        <v>9</v>
      </c>
      <c r="D33" s="5" t="str">
        <f>VLOOKUP(TabEnvProjet[[#This Row],[RefProjet]],TabProjet[],8,FALSE)</f>
        <v>Fablab-Firmin</v>
      </c>
      <c r="E33" t="str">
        <f>VLOOKUP(TabEnvProjet[[#This Row],[RefProjet]],TabProjet[],6,FALSE)</f>
        <v>Pierre-Yves Baloche</v>
      </c>
      <c r="F33" s="5" t="str">
        <f>VLOOKUP(TabEnvProjet[[#This Row],[SYGES]],TabContrat[],3,FALSE)</f>
        <v>Fablab</v>
      </c>
    </row>
    <row r="34" spans="1:6" x14ac:dyDescent="0.25">
      <c r="A34" s="5" t="str">
        <f>TabEnvProjet[[#This Row],[RefProjet]] &amp; " .:. " &amp; TabEnvProjet[[#This Row],[RefEnv]]</f>
        <v>FOBA-Foba .:. OBSOLETE</v>
      </c>
      <c r="B34" t="s">
        <v>665</v>
      </c>
      <c r="C34" t="s">
        <v>14</v>
      </c>
      <c r="D34" s="5" t="str">
        <f>VLOOKUP(TabEnvProjet[[#This Row],[RefProjet]],TabProjet[],8,FALSE)</f>
        <v>Foba</v>
      </c>
      <c r="E34" t="str">
        <f>VLOOKUP(TabEnvProjet[[#This Row],[RefProjet]],TabProjet[],6,FALSE)</f>
        <v>Carl PITRE</v>
      </c>
      <c r="F34" s="5">
        <f>VLOOKUP(TabEnvProjet[[#This Row],[SYGES]],TabContrat[],3,FALSE)</f>
        <v>341530</v>
      </c>
    </row>
    <row r="35" spans="1:6" x14ac:dyDescent="0.25">
      <c r="A35" s="5" t="str">
        <f>TabEnvProjet[[#This Row],[RefProjet]] &amp; " .:. " &amp; TabEnvProjet[[#This Row],[RefEnv]]</f>
        <v>FRR-APPLIFRR .:. DEV</v>
      </c>
      <c r="B35" t="s">
        <v>666</v>
      </c>
      <c r="C35" t="s">
        <v>6</v>
      </c>
      <c r="D35" s="5" t="str">
        <f>VLOOKUP(TabEnvProjet[[#This Row],[RefProjet]],TabProjet[],8,FALSE)</f>
        <v>FRR/TMASI</v>
      </c>
      <c r="E35" t="str">
        <f>VLOOKUP(TabEnvProjet[[#This Row],[RefProjet]],TabProjet[],6,FALSE)</f>
        <v>Pierre BOURLIEUX</v>
      </c>
      <c r="F35" s="5">
        <f>VLOOKUP(TabEnvProjet[[#This Row],[SYGES]],TabContrat[],3,FALSE)</f>
        <v>305704</v>
      </c>
    </row>
    <row r="36" spans="1:6" x14ac:dyDescent="0.25">
      <c r="A36" s="5" t="str">
        <f>TabEnvProjet[[#This Row],[RefProjet]] &amp; " .:. " &amp; TabEnvProjet[[#This Row],[RefEnv]]</f>
        <v>FRR-CADENCIER .:. RECETTE</v>
      </c>
      <c r="B36" t="s">
        <v>667</v>
      </c>
      <c r="C36" t="s">
        <v>75</v>
      </c>
      <c r="D36" s="5" t="str">
        <f>VLOOKUP(TabEnvProjet[[#This Row],[RefProjet]],TabProjet[],8,FALSE)</f>
        <v>FRR/TMASI</v>
      </c>
      <c r="E36" t="str">
        <f>VLOOKUP(TabEnvProjet[[#This Row],[RefProjet]],TabProjet[],6,FALSE)</f>
        <v>Pierre BOURLIEUX</v>
      </c>
      <c r="F36" s="5">
        <f>VLOOKUP(TabEnvProjet[[#This Row],[SYGES]],TabContrat[],3,FALSE)</f>
        <v>305704</v>
      </c>
    </row>
    <row r="37" spans="1:6" x14ac:dyDescent="0.25">
      <c r="A37" s="5" t="str">
        <f>TabEnvProjet[[#This Row],[RefProjet]] &amp; " .:. " &amp; TabEnvProjet[[#This Row],[RefEnv]]</f>
        <v>FRR-Patapain .:. RECETTE</v>
      </c>
      <c r="B37" t="s">
        <v>668</v>
      </c>
      <c r="C37" t="s">
        <v>75</v>
      </c>
      <c r="D37" s="5" t="str">
        <f>VLOOKUP(TabEnvProjet[[#This Row],[RefProjet]],TabProjet[],8,FALSE)</f>
        <v>FRR/TMASI</v>
      </c>
      <c r="E37" t="str">
        <f>VLOOKUP(TabEnvProjet[[#This Row],[RefProjet]],TabProjet[],6,FALSE)</f>
        <v>Rodolphe Habegger</v>
      </c>
      <c r="F37" s="5">
        <f>VLOOKUP(TabEnvProjet[[#This Row],[SYGES]],TabContrat[],3,FALSE)</f>
        <v>305704</v>
      </c>
    </row>
    <row r="38" spans="1:6" x14ac:dyDescent="0.25">
      <c r="A38" s="5" t="str">
        <f>TabEnvProjet[[#This Row],[RefProjet]] &amp; " .:. " &amp; TabEnvProjet[[#This Row],[RefEnv]]</f>
        <v>FRR-STAGEDATA .:. DEV</v>
      </c>
      <c r="B38" t="s">
        <v>669</v>
      </c>
      <c r="C38" t="s">
        <v>6</v>
      </c>
      <c r="D38" s="5" t="str">
        <f>VLOOKUP(TabEnvProjet[[#This Row],[RefProjet]],TabProjet[],8,FALSE)</f>
        <v>FRR/TMASI</v>
      </c>
      <c r="E38" t="str">
        <f>VLOOKUP(TabEnvProjet[[#This Row],[RefProjet]],TabProjet[],6,FALSE)</f>
        <v>Valerie ASSELIN LOZACHMEUR</v>
      </c>
      <c r="F38" s="5">
        <f>VLOOKUP(TabEnvProjet[[#This Row],[SYGES]],TabContrat[],3,FALSE)</f>
        <v>305704</v>
      </c>
    </row>
    <row r="39" spans="1:6" x14ac:dyDescent="0.25">
      <c r="A39" s="5" t="str">
        <f>TabEnvProjet[[#This Row],[RefProjet]] &amp; " .:. " &amp; TabEnvProjet[[#This Row],[RefEnv]]</f>
        <v>FRR-TCPOS .:. DEV</v>
      </c>
      <c r="B39" t="s">
        <v>670</v>
      </c>
      <c r="C39" t="s">
        <v>6</v>
      </c>
      <c r="D39" s="5" t="str">
        <f>VLOOKUP(TabEnvProjet[[#This Row],[RefProjet]],TabProjet[],8,FALSE)</f>
        <v>FRR/TMASI</v>
      </c>
      <c r="E39" t="str">
        <f>VLOOKUP(TabEnvProjet[[#This Row],[RefProjet]],TabProjet[],6,FALSE)</f>
        <v>Pierre BOURLIEUX</v>
      </c>
      <c r="F39" s="5">
        <f>VLOOKUP(TabEnvProjet[[#This Row],[SYGES]],TabContrat[],3,FALSE)</f>
        <v>305704</v>
      </c>
    </row>
    <row r="40" spans="1:6" x14ac:dyDescent="0.25">
      <c r="A40" s="5" t="str">
        <f>TabEnvProjet[[#This Row],[RefProjet]] &amp; " .:. " &amp; TabEnvProjet[[#This Row],[RefEnv]]</f>
        <v>Gest'ea / OUGC-Gest'ea / OUGC .:. DEV</v>
      </c>
      <c r="B40" t="s">
        <v>671</v>
      </c>
      <c r="C40" t="s">
        <v>6</v>
      </c>
      <c r="D40" s="5" t="str">
        <f>VLOOKUP(TabEnvProjet[[#This Row],[RefProjet]],TabProjet[],8,FALSE)</f>
        <v>Gest'ea / OUGC</v>
      </c>
      <c r="E40" t="str">
        <f>VLOOKUP(TabEnvProjet[[#This Row],[RefProjet]],TabProjet[],6,FALSE)</f>
        <v>Jean-Philippe STROIAZZO</v>
      </c>
      <c r="F40" s="5">
        <f>VLOOKUP(TabEnvProjet[[#This Row],[SYGES]],TabContrat[],3,FALSE)</f>
        <v>305704</v>
      </c>
    </row>
    <row r="41" spans="1:6" x14ac:dyDescent="0.25">
      <c r="A41" s="5" t="str">
        <f>TabEnvProjet[[#This Row],[RefProjet]] &amp; " .:. " &amp; TabEnvProjet[[#This Row],[RefEnv]]</f>
        <v>GFI-BASECONTACT .:. DEV</v>
      </c>
      <c r="B41" t="s">
        <v>672</v>
      </c>
      <c r="C41" t="s">
        <v>6</v>
      </c>
      <c r="D41" s="5" t="str">
        <f>VLOOKUP(TabEnvProjet[[#This Row],[RefProjet]],TabProjet[],8,FALSE)</f>
        <v>projet interne</v>
      </c>
      <c r="E41" t="str">
        <f>VLOOKUP(TabEnvProjet[[#This Row],[RefProjet]],TabProjet[],6,FALSE)</f>
        <v>Vincent MERIAU</v>
      </c>
      <c r="F41" s="5">
        <f>VLOOKUP(TabEnvProjet[[#This Row],[SYGES]],TabContrat[],3,FALSE)</f>
        <v>341531</v>
      </c>
    </row>
    <row r="42" spans="1:6" x14ac:dyDescent="0.25">
      <c r="A42" s="5" t="str">
        <f>TabEnvProjet[[#This Row],[RefProjet]] &amp; " .:. " &amp; TabEnvProjet[[#This Row],[RefEnv]]</f>
        <v>GFI-Dev Fight .:. OBSOLETE</v>
      </c>
      <c r="B42" t="s">
        <v>673</v>
      </c>
      <c r="C42" t="s">
        <v>14</v>
      </c>
      <c r="D42" s="5" t="str">
        <f>VLOOKUP(TabEnvProjet[[#This Row],[RefProjet]],TabProjet[],8,FALSE)</f>
        <v>projet interne</v>
      </c>
      <c r="E42" t="str">
        <f>VLOOKUP(TabEnvProjet[[#This Row],[RefProjet]],TabProjet[],6,FALSE)</f>
        <v>Jérôme JACOB</v>
      </c>
      <c r="F42" s="5">
        <f>VLOOKUP(TabEnvProjet[[#This Row],[SYGES]],TabContrat[],3,FALSE)</f>
        <v>341531</v>
      </c>
    </row>
    <row r="43" spans="1:6" x14ac:dyDescent="0.25">
      <c r="A43" s="5" t="str">
        <f>TabEnvProjet[[#This Row],[RefProjet]] &amp; " .:. " &amp; TabEnvProjet[[#This Row],[RefEnv]]</f>
        <v>GFI-EveryDaily .:. QUAL_BUILD</v>
      </c>
      <c r="B43" t="s">
        <v>674</v>
      </c>
      <c r="C43" t="s">
        <v>27</v>
      </c>
      <c r="D43" s="5" t="str">
        <f>VLOOKUP(TabEnvProjet[[#This Row],[RefProjet]],TabProjet[],8,FALSE)</f>
        <v>SUPP-DIGI - 1530-2018 - 0 - 1 - Tache 1 - Perform</v>
      </c>
      <c r="E43" t="str">
        <f>VLOOKUP(TabEnvProjet[[#This Row],[RefProjet]],TabProjet[],6,FALSE)</f>
        <v>Vincent MERIAU</v>
      </c>
      <c r="F43" s="5">
        <f>VLOOKUP(TabEnvProjet[[#This Row],[SYGES]],TabContrat[],3,FALSE)</f>
        <v>341531</v>
      </c>
    </row>
    <row r="44" spans="1:6" x14ac:dyDescent="0.25">
      <c r="A44" s="5" t="str">
        <f>TabEnvProjet[[#This Row],[RefProjet]] &amp; " .:. " &amp; TabEnvProjet[[#This Row],[RefEnv]]</f>
        <v>GFI-Gestionnaire de devis (Niort) .:. DEV</v>
      </c>
      <c r="B44" t="s">
        <v>675</v>
      </c>
      <c r="C44" t="s">
        <v>6</v>
      </c>
      <c r="D44" s="5" t="str">
        <f>VLOOKUP(TabEnvProjet[[#This Row],[RefProjet]],TabProjet[],8,FALSE)</f>
        <v>GFIINT2019/ NRT-PJINT</v>
      </c>
      <c r="E44" t="str">
        <f>VLOOKUP(TabEnvProjet[[#This Row],[RefProjet]],TabProjet[],6,FALSE)</f>
        <v>Philippe De Guio</v>
      </c>
      <c r="F44" s="5">
        <f>VLOOKUP(TabEnvProjet[[#This Row],[SYGES]],TabContrat[],3,FALSE)</f>
        <v>341530</v>
      </c>
    </row>
    <row r="45" spans="1:6" x14ac:dyDescent="0.25">
      <c r="A45" s="5" t="str">
        <f>TabEnvProjet[[#This Row],[RefProjet]] &amp; " .:. " &amp; TabEnvProjet[[#This Row],[RefEnv]]</f>
        <v>GFI-Gestionnaire de tickets (Niort) .:. DEV</v>
      </c>
      <c r="B45" t="s">
        <v>676</v>
      </c>
      <c r="C45" t="s">
        <v>6</v>
      </c>
      <c r="D45" s="5" t="str">
        <f>VLOOKUP(TabEnvProjet[[#This Row],[RefProjet]],TabProjet[],8,FALSE)</f>
        <v>GFIINT2019/ NRT-PJINT</v>
      </c>
      <c r="E45" t="str">
        <f>VLOOKUP(TabEnvProjet[[#This Row],[RefProjet]],TabProjet[],6,FALSE)</f>
        <v>Philippe De Guio</v>
      </c>
      <c r="F45" s="5">
        <f>VLOOKUP(TabEnvProjet[[#This Row],[SYGES]],TabContrat[],3,FALSE)</f>
        <v>341530</v>
      </c>
    </row>
    <row r="46" spans="1:6" x14ac:dyDescent="0.25">
      <c r="A46" s="5" t="str">
        <f>TabEnvProjet[[#This Row],[RefProjet]] &amp; " .:. " &amp; TabEnvProjet[[#This Row],[RefEnv]]</f>
        <v>GFI-GFICOFFEE .:. DEV</v>
      </c>
      <c r="B46" t="s">
        <v>677</v>
      </c>
      <c r="C46" t="s">
        <v>6</v>
      </c>
      <c r="D46" s="5" t="str">
        <f>VLOOKUP(TabEnvProjet[[#This Row],[RefProjet]],TabProjet[],8,FALSE)</f>
        <v>projet interne Orléans</v>
      </c>
      <c r="E46" t="str">
        <f>VLOOKUP(TabEnvProjet[[#This Row],[RefProjet]],TabProjet[],6,FALSE)</f>
        <v>Christophe ORLANDO</v>
      </c>
      <c r="F46" s="5">
        <f>VLOOKUP(TabEnvProjet[[#This Row],[SYGES]],TabContrat[],3,FALSE)</f>
        <v>305704</v>
      </c>
    </row>
    <row r="47" spans="1:6" x14ac:dyDescent="0.25">
      <c r="A47" s="5" t="str">
        <f>TabEnvProjet[[#This Row],[RefProjet]] &amp; " .:. " &amp; TabEnvProjet[[#This Row],[RefEnv]]</f>
        <v>GFI-GitLab Orléans .:. PROD</v>
      </c>
      <c r="B47" t="s">
        <v>678</v>
      </c>
      <c r="C47" t="s">
        <v>30</v>
      </c>
      <c r="D47" s="5" t="str">
        <f>VLOOKUP(TabEnvProjet[[#This Row],[RefProjet]],TabProjet[],8,FALSE)</f>
        <v>GitLab Orléans</v>
      </c>
      <c r="E47" t="str">
        <f>VLOOKUP(TabEnvProjet[[#This Row],[RefProjet]],TabProjet[],6,FALSE)</f>
        <v>Christophe ORLANDO</v>
      </c>
      <c r="F47" s="5">
        <f>VLOOKUP(TabEnvProjet[[#This Row],[SYGES]],TabContrat[],3,FALSE)</f>
        <v>305704</v>
      </c>
    </row>
    <row r="48" spans="1:6" x14ac:dyDescent="0.25">
      <c r="A48" s="5" t="str">
        <f>TabEnvProjet[[#This Row],[RefProjet]] &amp; " .:. " &amp; TabEnvProjet[[#This Row],[RefEnv]]</f>
        <v>GFI-Jetbrain serveur licence .:. PROD</v>
      </c>
      <c r="B48" t="s">
        <v>692</v>
      </c>
      <c r="C48" t="s">
        <v>30</v>
      </c>
      <c r="D48" s="5" t="str">
        <f>VLOOKUP(TabEnvProjet[[#This Row],[RefProjet]],TabProjet[],8,FALSE)</f>
        <v>GFI-Jetbrain serveur licence</v>
      </c>
      <c r="E48" t="str">
        <f>VLOOKUP(TabEnvProjet[[#This Row],[RefProjet]],TabProjet[],6,FALSE)</f>
        <v>Jérôme JACOB</v>
      </c>
      <c r="F48" s="5">
        <f>VLOOKUP(TabEnvProjet[[#This Row],[SYGES]],TabContrat[],3,FALSE)</f>
        <v>341531</v>
      </c>
    </row>
    <row r="49" spans="1:6" x14ac:dyDescent="0.25">
      <c r="A49" s="5" t="str">
        <f>TabEnvProjet[[#This Row],[RefProjet]] &amp; " .:. " &amp; TabEnvProjet[[#This Row],[RefEnv]]</f>
        <v>GFI-Linkus .:. PROD</v>
      </c>
      <c r="B49" t="s">
        <v>679</v>
      </c>
      <c r="C49" t="s">
        <v>30</v>
      </c>
      <c r="D49" s="5" t="str">
        <f>VLOOKUP(TabEnvProjet[[#This Row],[RefProjet]],TabProjet[],8,FALSE)</f>
        <v>SILICONE - 1530-2018 - 0 - 2 - Tache 2 – ORS</v>
      </c>
      <c r="E49" t="str">
        <f>VLOOKUP(TabEnvProjet[[#This Row],[RefProjet]],TabProjet[],6,FALSE)</f>
        <v>Michael Le-Ridant</v>
      </c>
      <c r="F49" s="5">
        <f>VLOOKUP(TabEnvProjet[[#This Row],[SYGES]],TabContrat[],3,FALSE)</f>
        <v>341531</v>
      </c>
    </row>
    <row r="50" spans="1:6" x14ac:dyDescent="0.25">
      <c r="A50" s="5" t="str">
        <f>TabEnvProjet[[#This Row],[RefProjet]] &amp; " .:. " &amp; TabEnvProjet[[#This Row],[RefEnv]]</f>
        <v>GFI-Lotus Domino .:. DEV</v>
      </c>
      <c r="B50" t="s">
        <v>680</v>
      </c>
      <c r="C50" t="s">
        <v>6</v>
      </c>
      <c r="D50" s="5" t="str">
        <f>VLOOKUP(TabEnvProjet[[#This Row],[RefProjet]],TabProjet[],8,FALSE)</f>
        <v>GFI Lotus Domino</v>
      </c>
      <c r="E50" t="str">
        <f>VLOOKUP(TabEnvProjet[[#This Row],[RefProjet]],TabProjet[],6,FALSE)</f>
        <v>Matthias Rousseau</v>
      </c>
      <c r="F50" s="5">
        <f>VLOOKUP(TabEnvProjet[[#This Row],[SYGES]],TabContrat[],3,FALSE)</f>
        <v>341531</v>
      </c>
    </row>
    <row r="51" spans="1:6" x14ac:dyDescent="0.25">
      <c r="A51" s="5" t="str">
        <f>TabEnvProjet[[#This Row],[RefProjet]] &amp; " .:. " &amp; TabEnvProjet[[#This Row],[RefEnv]]</f>
        <v>GFI-MARCO POLO .:. DEV_BUILD</v>
      </c>
      <c r="B51" t="s">
        <v>681</v>
      </c>
      <c r="C51" t="s">
        <v>20</v>
      </c>
      <c r="D51" s="5" t="str">
        <f>VLOOKUP(TabEnvProjet[[#This Row],[RefProjet]],TabProjet[],8,FALSE)</f>
        <v>SILICONE - 1530-2018 - 0 - 1 - Tache 1 – MarcoPolo</v>
      </c>
      <c r="E51" t="str">
        <f>VLOOKUP(TabEnvProjet[[#This Row],[RefProjet]],TabProjet[],6,FALSE)</f>
        <v>Philippe De Guio</v>
      </c>
      <c r="F51" s="5">
        <f>VLOOKUP(TabEnvProjet[[#This Row],[SYGES]],TabContrat[],3,FALSE)</f>
        <v>341531</v>
      </c>
    </row>
    <row r="52" spans="1:6" x14ac:dyDescent="0.25">
      <c r="A52" s="5" t="str">
        <f>TabEnvProjet[[#This Row],[RefProjet]] &amp; " .:. " &amp; TabEnvProjet[[#This Row],[RefEnv]]</f>
        <v>GFI-MARCO POLO .:. PROD</v>
      </c>
      <c r="B52" t="s">
        <v>681</v>
      </c>
      <c r="C52" t="s">
        <v>30</v>
      </c>
      <c r="D52" s="5" t="str">
        <f>VLOOKUP(TabEnvProjet[[#This Row],[RefProjet]],TabProjet[],8,FALSE)</f>
        <v>SILICONE - 1530-2018 - 0 - 1 - Tache 1 – MarcoPolo</v>
      </c>
      <c r="E52" t="str">
        <f>VLOOKUP(TabEnvProjet[[#This Row],[RefProjet]],TabProjet[],6,FALSE)</f>
        <v>Philippe De Guio</v>
      </c>
      <c r="F52" s="5">
        <f>VLOOKUP(TabEnvProjet[[#This Row],[SYGES]],TabContrat[],3,FALSE)</f>
        <v>341531</v>
      </c>
    </row>
    <row r="53" spans="1:6" x14ac:dyDescent="0.25">
      <c r="A53" s="5" t="str">
        <f>TabEnvProjet[[#This Row],[RefProjet]] &amp; " .:. " &amp; TabEnvProjet[[#This Row],[RefEnv]]</f>
        <v>GFI-MY BUSINESS .:. DEV</v>
      </c>
      <c r="B53" t="s">
        <v>682</v>
      </c>
      <c r="C53" t="s">
        <v>6</v>
      </c>
      <c r="D53" s="5" t="str">
        <f>VLOOKUP(TabEnvProjet[[#This Row],[RefProjet]],TabProjet[],8,FALSE)</f>
        <v>GFIINT2019/ NRT-PJINT</v>
      </c>
      <c r="E53" t="str">
        <f>VLOOKUP(TabEnvProjet[[#This Row],[RefProjet]],TabProjet[],6,FALSE)</f>
        <v>Philippe De Guio</v>
      </c>
      <c r="F53" s="5">
        <f>VLOOKUP(TabEnvProjet[[#This Row],[SYGES]],TabContrat[],3,FALSE)</f>
        <v>341530</v>
      </c>
    </row>
    <row r="54" spans="1:6" x14ac:dyDescent="0.25">
      <c r="A54" s="5" t="str">
        <f>TabEnvProjet[[#This Row],[RefProjet]] &amp; " .:. " &amp; TabEnvProjet[[#This Row],[RefEnv]]</f>
        <v>GFI-MY BUSINESS .:. PROD</v>
      </c>
      <c r="B54" t="s">
        <v>682</v>
      </c>
      <c r="C54" t="s">
        <v>30</v>
      </c>
      <c r="D54" s="5" t="str">
        <f>VLOOKUP(TabEnvProjet[[#This Row],[RefProjet]],TabProjet[],8,FALSE)</f>
        <v>GFIINT2019/ NRT-PJINT</v>
      </c>
      <c r="E54" t="str">
        <f>VLOOKUP(TabEnvProjet[[#This Row],[RefProjet]],TabProjet[],6,FALSE)</f>
        <v>Philippe De Guio</v>
      </c>
      <c r="F54" s="5">
        <f>VLOOKUP(TabEnvProjet[[#This Row],[SYGES]],TabContrat[],3,FALSE)</f>
        <v>341530</v>
      </c>
    </row>
    <row r="55" spans="1:6" x14ac:dyDescent="0.25">
      <c r="A55" s="5" t="str">
        <f>TabEnvProjet[[#This Row],[RefProjet]] &amp; " .:. " &amp; TabEnvProjet[[#This Row],[RefEnv]]</f>
        <v>GFI-MY BUSINESS .:. QUAL</v>
      </c>
      <c r="B55" t="s">
        <v>682</v>
      </c>
      <c r="C55" t="s">
        <v>52</v>
      </c>
      <c r="D55" s="5" t="str">
        <f>VLOOKUP(TabEnvProjet[[#This Row],[RefProjet]],TabProjet[],8,FALSE)</f>
        <v>GFIINT2019/ NRT-PJINT</v>
      </c>
      <c r="E55" t="str">
        <f>VLOOKUP(TabEnvProjet[[#This Row],[RefProjet]],TabProjet[],6,FALSE)</f>
        <v>Philippe De Guio</v>
      </c>
      <c r="F55" s="5">
        <f>VLOOKUP(TabEnvProjet[[#This Row],[SYGES]],TabContrat[],3,FALSE)</f>
        <v>341530</v>
      </c>
    </row>
    <row r="56" spans="1:6" x14ac:dyDescent="0.25">
      <c r="A56" s="5" t="str">
        <f>TabEnvProjet[[#This Row],[RefProjet]] &amp; " .:. " &amp; TabEnvProjet[[#This Row],[RefEnv]]</f>
        <v>GFI-Oceanet Gestion VM .:. PROD</v>
      </c>
      <c r="B56" t="s">
        <v>683</v>
      </c>
      <c r="C56" t="s">
        <v>30</v>
      </c>
      <c r="D56" s="5" t="str">
        <f>VLOOKUP(TabEnvProjet[[#This Row],[RefProjet]],TabProjet[],8,FALSE)</f>
        <v>GFI Oceanet Infra Réseau</v>
      </c>
      <c r="E56" t="str">
        <f>VLOOKUP(TabEnvProjet[[#This Row],[RefProjet]],TabProjet[],6,FALSE)</f>
        <v>Jérôme JACOB</v>
      </c>
      <c r="F56" s="5" t="str">
        <f>VLOOKUP(TabEnvProjet[[#This Row],[SYGES]],TabContrat[],3,FALSE)</f>
        <v>CostCenterDI</v>
      </c>
    </row>
    <row r="57" spans="1:6" x14ac:dyDescent="0.25">
      <c r="A57" s="5" t="str">
        <f>TabEnvProjet[[#This Row],[RefProjet]] &amp; " .:. " &amp; TabEnvProjet[[#This Row],[RefEnv]]</f>
        <v>GFI-Oceanet Gestion VM .:. QUAL_RUN</v>
      </c>
      <c r="B57" t="s">
        <v>683</v>
      </c>
      <c r="C57" t="s">
        <v>25</v>
      </c>
      <c r="D57" s="5" t="str">
        <f>VLOOKUP(TabEnvProjet[[#This Row],[RefProjet]],TabProjet[],8,FALSE)</f>
        <v>GFI Oceanet Infra Réseau</v>
      </c>
      <c r="E57" t="str">
        <f>VLOOKUP(TabEnvProjet[[#This Row],[RefProjet]],TabProjet[],6,FALSE)</f>
        <v>Jérôme JACOB</v>
      </c>
      <c r="F57" s="5" t="str">
        <f>VLOOKUP(TabEnvProjet[[#This Row],[SYGES]],TabContrat[],3,FALSE)</f>
        <v>CostCenterDI</v>
      </c>
    </row>
    <row r="58" spans="1:6" x14ac:dyDescent="0.25">
      <c r="A58" s="5" t="str">
        <f>TabEnvProjet[[#This Row],[RefProjet]] &amp; " .:. " &amp; TabEnvProjet[[#This Row],[RefEnv]]</f>
        <v>GFI-Oceanet Infra Modèles .:. SOCLE</v>
      </c>
      <c r="B58" t="s">
        <v>684</v>
      </c>
      <c r="C58" t="s">
        <v>9</v>
      </c>
      <c r="D58" s="5" t="str">
        <f>VLOOKUP(TabEnvProjet[[#This Row],[RefProjet]],TabProjet[],8,FALSE)</f>
        <v>GFI Oceanet Infra Réseau</v>
      </c>
      <c r="E58" t="str">
        <f>VLOOKUP(TabEnvProjet[[#This Row],[RefProjet]],TabProjet[],6,FALSE)</f>
        <v>Jérôme JACOB</v>
      </c>
      <c r="F58" s="5" t="str">
        <f>VLOOKUP(TabEnvProjet[[#This Row],[SYGES]],TabContrat[],3,FALSE)</f>
        <v>CostCenterDI</v>
      </c>
    </row>
    <row r="59" spans="1:6" x14ac:dyDescent="0.25">
      <c r="A59" s="5" t="str">
        <f>TabEnvProjet[[#This Row],[RefProjet]] &amp; " .:. " &amp; TabEnvProjet[[#This Row],[RefEnv]]</f>
        <v>GFI-Oceanet Infra Réseau .:. SOCLE</v>
      </c>
      <c r="B59" t="s">
        <v>685</v>
      </c>
      <c r="C59" t="s">
        <v>9</v>
      </c>
      <c r="D59" s="5" t="str">
        <f>VLOOKUP(TabEnvProjet[[#This Row],[RefProjet]],TabProjet[],8,FALSE)</f>
        <v>GFI Oceanet Infra Réseau</v>
      </c>
      <c r="E59" t="str">
        <f>VLOOKUP(TabEnvProjet[[#This Row],[RefProjet]],TabProjet[],6,FALSE)</f>
        <v>Jérôme JACOB</v>
      </c>
      <c r="F59" s="5" t="str">
        <f>VLOOKUP(TabEnvProjet[[#This Row],[SYGES]],TabContrat[],3,FALSE)</f>
        <v>CostCenterDI</v>
      </c>
    </row>
    <row r="60" spans="1:6" x14ac:dyDescent="0.25">
      <c r="A60" s="5" t="str">
        <f>TabEnvProjet[[#This Row],[RefProjet]] &amp; " .:. " &amp; TabEnvProjet[[#This Row],[RefEnv]]</f>
        <v>GFI-Oceanet Infra Réseau Orléans .:. SOCLE</v>
      </c>
      <c r="B60" t="s">
        <v>1189</v>
      </c>
      <c r="C60" t="s">
        <v>9</v>
      </c>
      <c r="D60" s="5" t="str">
        <f>VLOOKUP(TabEnvProjet[[#This Row],[RefProjet]],TabProjet[],8,FALSE)</f>
        <v>GFI Oceanet Infra Réseau Orléans</v>
      </c>
      <c r="E60" s="5" t="str">
        <f>VLOOKUP(TabEnvProjet[[#This Row],[RefProjet]],TabProjet[],6,FALSE)</f>
        <v>Christophe ORLANDO</v>
      </c>
      <c r="F60" s="5">
        <f>VLOOKUP(TabEnvProjet[[#This Row],[SYGES]],TabContrat[],3,FALSE)</f>
        <v>305704</v>
      </c>
    </row>
    <row r="61" spans="1:6" x14ac:dyDescent="0.25">
      <c r="A61" s="5" t="str">
        <f>TabEnvProjet[[#This Row],[RefProjet]] &amp; " .:. " &amp; TabEnvProjet[[#This Row],[RefEnv]]</f>
        <v>GFI-Oceanet Orléans PIC .:. QUAL_BUILD</v>
      </c>
      <c r="B61" t="s">
        <v>686</v>
      </c>
      <c r="C61" t="s">
        <v>27</v>
      </c>
      <c r="D61" s="5" t="str">
        <f>VLOOKUP(TabEnvProjet[[#This Row],[RefProjet]],TabProjet[],8,FALSE)</f>
        <v>GFI Oceanet Orléans PIC</v>
      </c>
      <c r="E61" t="str">
        <f>VLOOKUP(TabEnvProjet[[#This Row],[RefProjet]],TabProjet[],6,FALSE)</f>
        <v>Christophe ORLANDO</v>
      </c>
      <c r="F61" s="5">
        <f>VLOOKUP(TabEnvProjet[[#This Row],[SYGES]],TabContrat[],3,FALSE)</f>
        <v>305704</v>
      </c>
    </row>
    <row r="62" spans="1:6" x14ac:dyDescent="0.25">
      <c r="A62" s="5" t="str">
        <f>TabEnvProjet[[#This Row],[RefProjet]] &amp; " .:. " &amp; TabEnvProjet[[#This Row],[RefEnv]]</f>
        <v>GFI-Outil de notification automatique Jira (Niort) .:. PROD</v>
      </c>
      <c r="B62" t="s">
        <v>687</v>
      </c>
      <c r="C62" t="s">
        <v>30</v>
      </c>
      <c r="D62" s="5" t="str">
        <f>VLOOKUP(TabEnvProjet[[#This Row],[RefProjet]],TabProjet[],8,FALSE)</f>
        <v>GFIINT2019/ NRT-PJINT</v>
      </c>
      <c r="E62" t="str">
        <f>VLOOKUP(TabEnvProjet[[#This Row],[RefProjet]],TabProjet[],6,FALSE)</f>
        <v>Philippe De Guio</v>
      </c>
      <c r="F62" s="5">
        <f>VLOOKUP(TabEnvProjet[[#This Row],[SYGES]],TabContrat[],3,FALSE)</f>
        <v>341530</v>
      </c>
    </row>
    <row r="63" spans="1:6" x14ac:dyDescent="0.25">
      <c r="A63" s="5" t="str">
        <f>TabEnvProjet[[#This Row],[RefProjet]] &amp; " .:. " &amp; TabEnvProjet[[#This Row],[RefEnv]]</f>
        <v>GFI-POC Android .:. DEV_BUILD</v>
      </c>
      <c r="B63" t="s">
        <v>688</v>
      </c>
      <c r="C63" t="s">
        <v>20</v>
      </c>
      <c r="D63" s="5" t="str">
        <f>VLOOKUP(TabEnvProjet[[#This Row],[RefProjet]],TabProjet[],8,FALSE)</f>
        <v>SUPP-DIGI - 1530-2018 - 0 - 1 - Tache 1 - Perform</v>
      </c>
      <c r="E63" t="str">
        <f>VLOOKUP(TabEnvProjet[[#This Row],[RefProjet]],TabProjet[],6,FALSE)</f>
        <v>Vincent MERIAU</v>
      </c>
      <c r="F63" s="5">
        <f>VLOOKUP(TabEnvProjet[[#This Row],[SYGES]],TabContrat[],3,FALSE)</f>
        <v>341531</v>
      </c>
    </row>
    <row r="64" spans="1:6" x14ac:dyDescent="0.25">
      <c r="A64" s="5" t="str">
        <f>TabEnvProjet[[#This Row],[RefProjet]] &amp; " .:. " &amp; TabEnvProjet[[#This Row],[RefEnv]]</f>
        <v>GFI-Redmine Niort .:. PROD</v>
      </c>
      <c r="B64" t="s">
        <v>689</v>
      </c>
      <c r="C64" t="s">
        <v>30</v>
      </c>
      <c r="D64" s="5" t="str">
        <f>VLOOKUP(TabEnvProjet[[#This Row],[RefProjet]],TabProjet[],8,FALSE)</f>
        <v>GFI Redmine Niort</v>
      </c>
      <c r="E64" t="str">
        <f>VLOOKUP(TabEnvProjet[[#This Row],[RefProjet]],TabProjet[],6,FALSE)</f>
        <v>Philippe De Guio</v>
      </c>
      <c r="F64" s="5">
        <f>VLOOKUP(TabEnvProjet[[#This Row],[SYGES]],TabContrat[],3,FALSE)</f>
        <v>341530</v>
      </c>
    </row>
    <row r="65" spans="1:6" x14ac:dyDescent="0.25">
      <c r="A65" s="5" t="str">
        <f>TabEnvProjet[[#This Row],[RefProjet]] &amp; " .:. " &amp; TabEnvProjet[[#This Row],[RefEnv]]</f>
        <v>GFI-Redmine Orléans .:. PROD</v>
      </c>
      <c r="B65" t="s">
        <v>690</v>
      </c>
      <c r="C65" t="s">
        <v>30</v>
      </c>
      <c r="D65" s="5" t="str">
        <f>VLOOKUP(TabEnvProjet[[#This Row],[RefProjet]],TabProjet[],8,FALSE)</f>
        <v>GFI Redmine Orléans</v>
      </c>
      <c r="E65" t="str">
        <f>VLOOKUP(TabEnvProjet[[#This Row],[RefProjet]],TabProjet[],6,FALSE)</f>
        <v>Christophe ORLANDO</v>
      </c>
      <c r="F65" s="5">
        <f>VLOOKUP(TabEnvProjet[[#This Row],[SYGES]],TabContrat[],3,FALSE)</f>
        <v>305704</v>
      </c>
    </row>
    <row r="66" spans="1:6" x14ac:dyDescent="0.25">
      <c r="A66" s="5" t="str">
        <f>TabEnvProjet[[#This Row],[RefProjet]] &amp; " .:. " &amp; TabEnvProjet[[#This Row],[RefEnv]]</f>
        <v>GFI-TENDER .:. DEV</v>
      </c>
      <c r="B66" t="s">
        <v>691</v>
      </c>
      <c r="C66" t="s">
        <v>6</v>
      </c>
      <c r="D66" s="5" t="str">
        <f>VLOOKUP(TabEnvProjet[[#This Row],[RefProjet]],TabProjet[],8,FALSE)</f>
        <v>projet interne</v>
      </c>
      <c r="E66" t="str">
        <f>VLOOKUP(TabEnvProjet[[#This Row],[RefProjet]],TabProjet[],6,FALSE)</f>
        <v>Christophe ORLANDO</v>
      </c>
      <c r="F66" s="5">
        <f>VLOOKUP(TabEnvProjet[[#This Row],[SYGES]],TabContrat[],3,FALSE)</f>
        <v>341531</v>
      </c>
    </row>
    <row r="67" spans="1:6" x14ac:dyDescent="0.25">
      <c r="A67" s="5" t="str">
        <f>TabEnvProjet[[#This Row],[RefProjet]] &amp; " .:. " &amp; TabEnvProjet[[#This Row],[RefEnv]]</f>
        <v>GFI-WE SPEC .:. QUAL</v>
      </c>
      <c r="B67" t="s">
        <v>693</v>
      </c>
      <c r="C67" t="s">
        <v>52</v>
      </c>
      <c r="D67" s="5" t="str">
        <f>VLOOKUP(TabEnvProjet[[#This Row],[RefProjet]],TabProjet[],8,FALSE)</f>
        <v>SILICONE - 1530-2018 - 0 - 2 - Tache 2 – ORS</v>
      </c>
      <c r="E67" t="str">
        <f>VLOOKUP(TabEnvProjet[[#This Row],[RefProjet]],TabProjet[],6,FALSE)</f>
        <v>Vincent MERIAU</v>
      </c>
      <c r="F67" s="5">
        <f>VLOOKUP(TabEnvProjet[[#This Row],[SYGES]],TabContrat[],3,FALSE)</f>
        <v>341531</v>
      </c>
    </row>
    <row r="68" spans="1:6" x14ac:dyDescent="0.25">
      <c r="A68" s="5" t="str">
        <f>TabEnvProjet[[#This Row],[RefProjet]] &amp; " .:. " &amp; TabEnvProjet[[#This Row],[RefEnv]]</f>
        <v>GIE S-V-Mantis - RR .:. PROD</v>
      </c>
      <c r="B68" t="s">
        <v>694</v>
      </c>
      <c r="C68" t="s">
        <v>30</v>
      </c>
      <c r="D68" s="5" t="str">
        <f>VLOOKUP(TabEnvProjet[[#This Row],[RefProjet]],TabProjet[],8,FALSE)</f>
        <v>GIESV/PCN17-01</v>
      </c>
      <c r="E68" t="str">
        <f>VLOOKUP(TabEnvProjet[[#This Row],[RefProjet]],TabProjet[],6,FALSE)</f>
        <v>Nicolas Cordier</v>
      </c>
      <c r="F68" s="5">
        <f>VLOOKUP(TabEnvProjet[[#This Row],[SYGES]],TabContrat[],3,FALSE)</f>
        <v>341531</v>
      </c>
    </row>
    <row r="69" spans="1:6" x14ac:dyDescent="0.25">
      <c r="A69" s="5" t="str">
        <f>TabEnvProjet[[#This Row],[RefProjet]] &amp; " .:. " &amp; TabEnvProjet[[#This Row],[RefEnv]]</f>
        <v>GIE S-V-Infra Citrix .:. DEV</v>
      </c>
      <c r="B69" t="s">
        <v>1337</v>
      </c>
      <c r="C69" t="s">
        <v>6</v>
      </c>
      <c r="D69" s="5" t="str">
        <f>VLOOKUP(TabEnvProjet[[#This Row],[RefProjet]],TabProjet[],8,FALSE)</f>
        <v>GIESV/PCN17-01</v>
      </c>
      <c r="E69" s="5" t="str">
        <f>VLOOKUP(TabEnvProjet[[#This Row],[RefProjet]],TabProjet[],6,FALSE)</f>
        <v>Nicolas Cordier</v>
      </c>
      <c r="F69" s="5">
        <f>VLOOKUP(TabEnvProjet[[#This Row],[SYGES]],TabContrat[],3,FALSE)</f>
        <v>341531</v>
      </c>
    </row>
    <row r="70" spans="1:6" x14ac:dyDescent="0.25">
      <c r="A70" s="5" t="str">
        <f>TabEnvProjet[[#This Row],[RefProjet]] &amp; " .:. " &amp; TabEnvProjet[[#This Row],[RefEnv]]</f>
        <v>GIP RECIA-Plateformes CLOUD / Edition .:. DEV</v>
      </c>
      <c r="B70" t="s">
        <v>695</v>
      </c>
      <c r="C70" t="s">
        <v>6</v>
      </c>
      <c r="D70" s="5" t="str">
        <f>VLOOKUP(TabEnvProjet[[#This Row],[RefProjet]],TabProjet[],8,FALSE)</f>
        <v>GIP RECIA-Plateformes CLOUD / Edition</v>
      </c>
      <c r="E70" t="str">
        <f>VLOOKUP(TabEnvProjet[[#This Row],[RefProjet]],TabProjet[],6,FALSE)</f>
        <v>Christophe ORLANDO</v>
      </c>
      <c r="F70" s="5">
        <f>VLOOKUP(TabEnvProjet[[#This Row],[SYGES]],TabContrat[],3,FALSE)</f>
        <v>305704</v>
      </c>
    </row>
    <row r="71" spans="1:6" x14ac:dyDescent="0.25">
      <c r="A71" s="5" t="str">
        <f>TabEnvProjet[[#This Row],[RefProjet]] &amp; " .:. " &amp; TabEnvProjet[[#This Row],[RefEnv]]</f>
        <v>IT-CE-TMA .:. TMA</v>
      </c>
      <c r="B71" t="s">
        <v>696</v>
      </c>
      <c r="C71" t="s">
        <v>65</v>
      </c>
      <c r="D71" s="5" t="str">
        <f>VLOOKUP(TabEnvProjet[[#This Row],[RefProjet]],TabProjet[],8,FALSE)</f>
        <v>IT-CE/DFA</v>
      </c>
      <c r="E71" t="str">
        <f>VLOOKUP(TabEnvProjet[[#This Row],[RefProjet]],TabProjet[],6,FALSE)</f>
        <v>Christophe ORLANDO</v>
      </c>
      <c r="F71" s="5">
        <f>VLOOKUP(TabEnvProjet[[#This Row],[SYGES]],TabContrat[],3,FALSE)</f>
        <v>305704</v>
      </c>
    </row>
    <row r="72" spans="1:6" x14ac:dyDescent="0.25">
      <c r="A72" s="5" t="str">
        <f>TabEnvProjet[[#This Row],[RefProjet]] &amp; " .:. " &amp; TabEnvProjet[[#This Row],[RefEnv]]</f>
        <v>LA POSTE-CDC-DRUPAL .:. DEV</v>
      </c>
      <c r="B72" t="s">
        <v>1315</v>
      </c>
      <c r="C72" t="s">
        <v>6</v>
      </c>
      <c r="D72" s="5" t="str">
        <f>VLOOKUP(TabEnvProjet[[#This Row],[RefProjet]],TabProjet[],8,FALSE)</f>
        <v>LA-POSTE-CDC-DRUPAL</v>
      </c>
      <c r="E72" s="5" t="str">
        <f>VLOOKUP(TabEnvProjet[[#This Row],[RefProjet]],TabProjet[],6,FALSE)</f>
        <v>Christophe ORLANDO</v>
      </c>
      <c r="F72" s="5">
        <f>VLOOKUP(TabEnvProjet[[#This Row],[SYGES]],TabContrat[],3,FALSE)</f>
        <v>305704</v>
      </c>
    </row>
    <row r="73" spans="1:6" x14ac:dyDescent="0.25">
      <c r="A73" s="5" t="str">
        <f>TabEnvProjet[[#This Row],[RefProjet]] &amp; " .:. " &amp; TabEnvProjet[[#This Row],[RefEnv]]</f>
        <v>LA POSTE-Go ACT .:. DEV</v>
      </c>
      <c r="B73" t="s">
        <v>697</v>
      </c>
      <c r="C73" t="s">
        <v>6</v>
      </c>
      <c r="D73">
        <f>VLOOKUP(TabEnvProjet[[#This Row],[RefProjet]],TabProjet[],8,FALSE)</f>
        <v>0</v>
      </c>
      <c r="E73" t="str">
        <f>VLOOKUP(TabEnvProjet[[#This Row],[RefProjet]],TabProjet[],6,FALSE)</f>
        <v>Paul Noitaky, Julien</v>
      </c>
      <c r="F73" s="5" t="e">
        <f>VLOOKUP(TabEnvProjet[[#This Row],[SYGES]],TabContrat[],3,FALSE)</f>
        <v>#N/A</v>
      </c>
    </row>
    <row r="74" spans="1:6" x14ac:dyDescent="0.25">
      <c r="A74" s="5" t="str">
        <f>TabEnvProjet[[#This Row],[RefProjet]] &amp; " .:. " &amp; TabEnvProjet[[#This Row],[RefEnv]]</f>
        <v>LA POSTE-OPOSSUM .:. DEV</v>
      </c>
      <c r="B74" t="s">
        <v>698</v>
      </c>
      <c r="C74" t="s">
        <v>6</v>
      </c>
      <c r="D74" s="5">
        <f>VLOOKUP(TabEnvProjet[[#This Row],[RefProjet]],TabProjet[],8,FALSE)</f>
        <v>0</v>
      </c>
      <c r="E74" t="str">
        <f>VLOOKUP(TabEnvProjet[[#This Row],[RefProjet]],TabProjet[],6,FALSE)</f>
        <v>Florian DUPONT</v>
      </c>
      <c r="F74" s="5" t="e">
        <f>VLOOKUP(TabEnvProjet[[#This Row],[SYGES]],TabContrat[],3,FALSE)</f>
        <v>#N/A</v>
      </c>
    </row>
    <row r="75" spans="1:6" x14ac:dyDescent="0.25">
      <c r="A75" s="5" t="str">
        <f>TabEnvProjet[[#This Row],[RefProjet]] &amp; " .:. " &amp; TabEnvProjet[[#This Row],[RefEnv]]</f>
        <v>LA POSTE-OPUS .:. DEV</v>
      </c>
      <c r="B75" t="s">
        <v>699</v>
      </c>
      <c r="C75" t="s">
        <v>6</v>
      </c>
      <c r="D75" s="5">
        <f>VLOOKUP(TabEnvProjet[[#This Row],[RefProjet]],TabProjet[],8,FALSE)</f>
        <v>0</v>
      </c>
      <c r="E75" t="str">
        <f>VLOOKUP(TabEnvProjet[[#This Row],[RefProjet]],TabProjet[],6,FALSE)</f>
        <v>Florian DUPONT</v>
      </c>
      <c r="F75" s="5" t="e">
        <f>VLOOKUP(TabEnvProjet[[#This Row],[SYGES]],TabContrat[],3,FALSE)</f>
        <v>#N/A</v>
      </c>
    </row>
    <row r="76" spans="1:6" x14ac:dyDescent="0.25">
      <c r="A76" s="5" t="str">
        <f>TabEnvProjet[[#This Row],[RefProjet]] &amp; " .:. " &amp; TabEnvProjet[[#This Row],[RefEnv]]</f>
        <v>LA POSTE-POP .:. DEV</v>
      </c>
      <c r="B76" t="s">
        <v>700</v>
      </c>
      <c r="C76" t="s">
        <v>6</v>
      </c>
      <c r="D76" s="5">
        <f>VLOOKUP(TabEnvProjet[[#This Row],[RefProjet]],TabProjet[],8,FALSE)</f>
        <v>0</v>
      </c>
      <c r="E76" t="str">
        <f>VLOOKUP(TabEnvProjet[[#This Row],[RefProjet]],TabProjet[],6,FALSE)</f>
        <v>Florian DUPONT</v>
      </c>
      <c r="F76" s="5" t="e">
        <f>VLOOKUP(TabEnvProjet[[#This Row],[SYGES]],TabContrat[],3,FALSE)</f>
        <v>#N/A</v>
      </c>
    </row>
    <row r="77" spans="1:6" x14ac:dyDescent="0.25">
      <c r="A77" s="5" t="str">
        <f>TabEnvProjet[[#This Row],[RefProjet]] &amp; " .:. " &amp; TabEnvProjet[[#This Row],[RefEnv]]</f>
        <v>LA POSTE-SIBP .:. DEV_BUILD</v>
      </c>
      <c r="B77" t="s">
        <v>701</v>
      </c>
      <c r="C77" t="s">
        <v>20</v>
      </c>
      <c r="D77" s="5" t="str">
        <f>VLOOKUP(TabEnvProjet[[#This Row],[RefProjet]],TabProjet[],8,FALSE)</f>
        <v>LAPOST-SIB - 382233 - 0 - 1 - Refonte du portail SIBP</v>
      </c>
      <c r="E77" t="str">
        <f>VLOOKUP(TabEnvProjet[[#This Row],[RefProjet]],TabProjet[],6,FALSE)</f>
        <v>Nicolas Legros</v>
      </c>
      <c r="F77" s="5">
        <f>VLOOKUP(TabEnvProjet[[#This Row],[SYGES]],TabContrat[],3,FALSE)</f>
        <v>341530</v>
      </c>
    </row>
    <row r="78" spans="1:6" x14ac:dyDescent="0.25">
      <c r="A78" s="5" t="str">
        <f>TabEnvProjet[[#This Row],[RefProjet]] &amp; " .:. " &amp; TabEnvProjet[[#This Row],[RefEnv]]</f>
        <v>LA POSTE-SIBP .:. QUAL_RUN</v>
      </c>
      <c r="B78" t="s">
        <v>701</v>
      </c>
      <c r="C78" t="s">
        <v>25</v>
      </c>
      <c r="D78" s="5" t="str">
        <f>VLOOKUP(TabEnvProjet[[#This Row],[RefProjet]],TabProjet[],8,FALSE)</f>
        <v>LAPOST-SIB - 382233 - 0 - 1 - Refonte du portail SIBP</v>
      </c>
      <c r="E78" t="str">
        <f>VLOOKUP(TabEnvProjet[[#This Row],[RefProjet]],TabProjet[],6,FALSE)</f>
        <v>Nicolas Legros</v>
      </c>
      <c r="F78" s="5">
        <f>VLOOKUP(TabEnvProjet[[#This Row],[SYGES]],TabContrat[],3,FALSE)</f>
        <v>341530</v>
      </c>
    </row>
    <row r="79" spans="1:6" x14ac:dyDescent="0.25">
      <c r="A79" s="5" t="str">
        <f>TabEnvProjet[[#This Row],[RefProjet]] &amp; " .:. " &amp; TabEnvProjet[[#This Row],[RefEnv]]</f>
        <v>MACIF-Transverse .:. SOCLE</v>
      </c>
      <c r="B79" t="s">
        <v>702</v>
      </c>
      <c r="C79" t="s">
        <v>9</v>
      </c>
      <c r="D79" s="5" t="str">
        <f>VLOOKUP(TabEnvProjet[[#This Row],[RefProjet]],TabProjet[],8,FALSE)</f>
        <v>MACIF-PHP/284244-17</v>
      </c>
      <c r="E79" t="str">
        <f>VLOOKUP(TabEnvProjet[[#This Row],[RefProjet]],TabProjet[],6,FALSE)</f>
        <v>Yann-Herve Mauguen</v>
      </c>
      <c r="F79" s="5">
        <f>VLOOKUP(TabEnvProjet[[#This Row],[SYGES]],TabContrat[],3,FALSE)</f>
        <v>341530</v>
      </c>
    </row>
    <row r="80" spans="1:6" x14ac:dyDescent="0.25">
      <c r="A80" s="5" t="str">
        <f>TabEnvProjet[[#This Row],[RefProjet]] &amp; " .:. " &amp; TabEnvProjet[[#This Row],[RefEnv]]</f>
        <v>MEAE-Hornet .:. DEV_RUN</v>
      </c>
      <c r="B80" t="s">
        <v>703</v>
      </c>
      <c r="C80" t="s">
        <v>17</v>
      </c>
      <c r="D80" s="5" t="str">
        <f>VLOOKUP(TabEnvProjet[[#This Row],[RefProjet]],TabProjet[],8,FALSE)</f>
        <v>MAE-PII-L2/334179-17</v>
      </c>
      <c r="E80" t="str">
        <f>VLOOKUP(TabEnvProjet[[#This Row],[RefProjet]],TabProjet[],6,FALSE)</f>
        <v>Axel Benoist-Gironiere</v>
      </c>
      <c r="F80" s="5">
        <f>VLOOKUP(TabEnvProjet[[#This Row],[SYGES]],TabContrat[],3,FALSE)</f>
        <v>341531</v>
      </c>
    </row>
    <row r="81" spans="1:6" x14ac:dyDescent="0.25">
      <c r="A81" s="5" t="str">
        <f>TabEnvProjet[[#This Row],[RefProjet]] &amp; " .:. " &amp; TabEnvProjet[[#This Row],[RefEnv]]</f>
        <v>MEAE-Redmine MEAE .:. PROD</v>
      </c>
      <c r="B81" t="s">
        <v>704</v>
      </c>
      <c r="C81" t="s">
        <v>30</v>
      </c>
      <c r="D81" s="5" t="str">
        <f>VLOOKUP(TabEnvProjet[[#This Row],[RefProjet]],TabProjet[],8,FALSE)</f>
        <v>MAE-PII-L2/334179</v>
      </c>
      <c r="E81" t="str">
        <f>VLOOKUP(TabEnvProjet[[#This Row],[RefProjet]],TabProjet[],6,FALSE)</f>
        <v>Axel Benoist-Gironiere</v>
      </c>
      <c r="F81" s="5">
        <f>VLOOKUP(TabEnvProjet[[#This Row],[SYGES]],TabContrat[],3,FALSE)</f>
        <v>341531</v>
      </c>
    </row>
    <row r="82" spans="1:6" x14ac:dyDescent="0.25">
      <c r="A82" s="5" t="str">
        <f>TabEnvProjet[[#This Row],[RefProjet]] &amp; " .:. " &amp; TabEnvProjet[[#This Row],[RefEnv]]</f>
        <v>MEAE-SAGAIE TMA .:. ARCHIVE</v>
      </c>
      <c r="B82" t="s">
        <v>705</v>
      </c>
      <c r="C82" t="s">
        <v>706</v>
      </c>
      <c r="D82" s="5" t="str">
        <f>VLOOKUP(TabEnvProjet[[#This Row],[RefProjet]],TabProjet[],8,FALSE)</f>
        <v>MAE-PII-L2/334179-17</v>
      </c>
      <c r="E82" t="str">
        <f>VLOOKUP(TabEnvProjet[[#This Row],[RefProjet]],TabProjet[],6,FALSE)</f>
        <v>Axel Benoist-Gironiere, Vincent MERIAU</v>
      </c>
      <c r="F82" s="5">
        <f>VLOOKUP(TabEnvProjet[[#This Row],[SYGES]],TabContrat[],3,FALSE)</f>
        <v>341531</v>
      </c>
    </row>
    <row r="83" spans="1:6" x14ac:dyDescent="0.25">
      <c r="A83" s="5" t="str">
        <f>TabEnvProjet[[#This Row],[RefProjet]] &amp; " .:. " &amp; TabEnvProjet[[#This Row],[RefEnv]]</f>
        <v>MEAE-SAGAIE TMA .:. ARRET</v>
      </c>
      <c r="B83" t="s">
        <v>705</v>
      </c>
      <c r="C83" t="s">
        <v>61</v>
      </c>
      <c r="D83" s="5" t="str">
        <f>VLOOKUP(TabEnvProjet[[#This Row],[RefProjet]],TabProjet[],8,FALSE)</f>
        <v>MAE-PII-L2/334179-17</v>
      </c>
      <c r="E83" t="str">
        <f>VLOOKUP(TabEnvProjet[[#This Row],[RefProjet]],TabProjet[],6,FALSE)</f>
        <v>Axel Benoist-Gironiere, Vincent MERIAU</v>
      </c>
      <c r="F83" s="5">
        <f>VLOOKUP(TabEnvProjet[[#This Row],[SYGES]],TabContrat[],3,FALSE)</f>
        <v>341531</v>
      </c>
    </row>
    <row r="84" spans="1:6" x14ac:dyDescent="0.25">
      <c r="A84" t="str">
        <f>TabEnvProjet[[#This Row],[RefProjet]] &amp; " .:. " &amp; TabEnvProjet[[#This Row],[RefEnv]]</f>
        <v>MEAE-SAGAIE TMA .:. DEV</v>
      </c>
      <c r="B84" t="s">
        <v>705</v>
      </c>
      <c r="C84" t="s">
        <v>6</v>
      </c>
      <c r="D84" t="str">
        <f>VLOOKUP(TabEnvProjet[[#This Row],[RefProjet]],TabProjet[],8,FALSE)</f>
        <v>MAE-PII-L2/334179-17</v>
      </c>
      <c r="E84" t="str">
        <f>VLOOKUP(TabEnvProjet[[#This Row],[RefProjet]],TabProjet[],6,FALSE)</f>
        <v>Axel Benoist-Gironiere, Vincent MERIAU</v>
      </c>
      <c r="F84" s="5">
        <f>VLOOKUP(TabEnvProjet[[#This Row],[SYGES]],TabContrat[],3,FALSE)</f>
        <v>341531</v>
      </c>
    </row>
    <row r="85" spans="1:6" x14ac:dyDescent="0.25">
      <c r="A85" s="5" t="str">
        <f>TabEnvProjet[[#This Row],[RefProjet]] &amp; " .:. " &amp; TabEnvProjet[[#This Row],[RefEnv]]</f>
        <v>MEAE-SAGAIE TMA .:. DEV_BUILD</v>
      </c>
      <c r="B85" t="s">
        <v>705</v>
      </c>
      <c r="C85" t="s">
        <v>20</v>
      </c>
      <c r="D85" s="5" t="str">
        <f>VLOOKUP(TabEnvProjet[[#This Row],[RefProjet]],TabProjet[],8,FALSE)</f>
        <v>MAE-PII-L2/334179-17</v>
      </c>
      <c r="E85" t="str">
        <f>VLOOKUP(TabEnvProjet[[#This Row],[RefProjet]],TabProjet[],6,FALSE)</f>
        <v>Axel Benoist-Gironiere, Vincent MERIAU</v>
      </c>
      <c r="F85" s="5">
        <f>VLOOKUP(TabEnvProjet[[#This Row],[SYGES]],TabContrat[],3,FALSE)</f>
        <v>341531</v>
      </c>
    </row>
    <row r="86" spans="1:6" x14ac:dyDescent="0.25">
      <c r="A86" s="5" t="str">
        <f>TabEnvProjet[[#This Row],[RefProjet]] &amp; " .:. " &amp; TabEnvProjet[[#This Row],[RefEnv]]</f>
        <v>MEAE-SAGAIE TMA .:. DEV_RUN</v>
      </c>
      <c r="B86" t="s">
        <v>705</v>
      </c>
      <c r="C86" t="s">
        <v>17</v>
      </c>
      <c r="D86" s="5" t="str">
        <f>VLOOKUP(TabEnvProjet[[#This Row],[RefProjet]],TabProjet[],8,FALSE)</f>
        <v>MAE-PII-L2/334179-17</v>
      </c>
      <c r="E86" t="str">
        <f>VLOOKUP(TabEnvProjet[[#This Row],[RefProjet]],TabProjet[],6,FALSE)</f>
        <v>Axel Benoist-Gironiere, Vincent MERIAU</v>
      </c>
      <c r="F86" s="5">
        <f>VLOOKUP(TabEnvProjet[[#This Row],[SYGES]],TabContrat[],3,FALSE)</f>
        <v>341531</v>
      </c>
    </row>
    <row r="87" spans="1:6" x14ac:dyDescent="0.25">
      <c r="A87" t="str">
        <f>TabEnvProjet[[#This Row],[RefProjet]] &amp; " .:. " &amp; TabEnvProjet[[#This Row],[RefEnv]]</f>
        <v>MEAE-SAGAIE TMA .:. OBSOLETE</v>
      </c>
      <c r="B87" t="s">
        <v>705</v>
      </c>
      <c r="C87" t="s">
        <v>14</v>
      </c>
      <c r="D87" t="str">
        <f>VLOOKUP(TabEnvProjet[[#This Row],[RefProjet]],TabProjet[],8,FALSE)</f>
        <v>MAE-PII-L2/334179-17</v>
      </c>
      <c r="E87" t="str">
        <f>VLOOKUP(TabEnvProjet[[#This Row],[RefProjet]],TabProjet[],6,FALSE)</f>
        <v>Axel Benoist-Gironiere, Vincent MERIAU</v>
      </c>
      <c r="F87" s="5">
        <f>VLOOKUP(TabEnvProjet[[#This Row],[SYGES]],TabContrat[],3,FALSE)</f>
        <v>341531</v>
      </c>
    </row>
    <row r="88" spans="1:6" x14ac:dyDescent="0.25">
      <c r="A88" t="str">
        <f>TabEnvProjet[[#This Row],[RefProjet]] &amp; " .:. " &amp; TabEnvProjet[[#This Row],[RefEnv]]</f>
        <v>MEAE-SAGAIE TMA .:. QUAL</v>
      </c>
      <c r="B88" t="s">
        <v>705</v>
      </c>
      <c r="C88" t="s">
        <v>52</v>
      </c>
      <c r="D88" t="str">
        <f>VLOOKUP(TabEnvProjet[[#This Row],[RefProjet]],TabProjet[],8,FALSE)</f>
        <v>MAE-PII-L2/334179-17</v>
      </c>
      <c r="E88" t="str">
        <f>VLOOKUP(TabEnvProjet[[#This Row],[RefProjet]],TabProjet[],6,FALSE)</f>
        <v>Axel Benoist-Gironiere, Vincent MERIAU</v>
      </c>
      <c r="F88" s="5">
        <f>VLOOKUP(TabEnvProjet[[#This Row],[SYGES]],TabContrat[],3,FALSE)</f>
        <v>341531</v>
      </c>
    </row>
    <row r="89" spans="1:6" x14ac:dyDescent="0.25">
      <c r="A89" s="5" t="str">
        <f>TabEnvProjet[[#This Row],[RefProjet]] &amp; " .:. " &amp; TabEnvProjet[[#This Row],[RefEnv]]</f>
        <v>MEAE-SAGAIE TMA .:. QUAL_BUILD</v>
      </c>
      <c r="B89" t="s">
        <v>705</v>
      </c>
      <c r="C89" t="s">
        <v>27</v>
      </c>
      <c r="D89" s="5" t="str">
        <f>VLOOKUP(TabEnvProjet[[#This Row],[RefProjet]],TabProjet[],8,FALSE)</f>
        <v>MAE-PII-L2/334179-17</v>
      </c>
      <c r="E89" t="str">
        <f>VLOOKUP(TabEnvProjet[[#This Row],[RefProjet]],TabProjet[],6,FALSE)</f>
        <v>Axel Benoist-Gironiere, Vincent MERIAU</v>
      </c>
      <c r="F89" s="5">
        <f>VLOOKUP(TabEnvProjet[[#This Row],[SYGES]],TabContrat[],3,FALSE)</f>
        <v>341531</v>
      </c>
    </row>
    <row r="90" spans="1:6" x14ac:dyDescent="0.25">
      <c r="A90" s="5" t="str">
        <f>TabEnvProjet[[#This Row],[RefProjet]] &amp; " .:. " &amp; TabEnvProjet[[#This Row],[RefEnv]]</f>
        <v>MEAE-SAGAIE TMA .:. QUAL_RUN</v>
      </c>
      <c r="B90" t="s">
        <v>705</v>
      </c>
      <c r="C90" t="s">
        <v>25</v>
      </c>
      <c r="D90" s="5" t="str">
        <f>VLOOKUP(TabEnvProjet[[#This Row],[RefProjet]],TabProjet[],8,FALSE)</f>
        <v>MAE-PII-L2/334179-17</v>
      </c>
      <c r="E90" t="str">
        <f>VLOOKUP(TabEnvProjet[[#This Row],[RefProjet]],TabProjet[],6,FALSE)</f>
        <v>Axel Benoist-Gironiere, Vincent MERIAU</v>
      </c>
      <c r="F90" s="5">
        <f>VLOOKUP(TabEnvProjet[[#This Row],[SYGES]],TabContrat[],3,FALSE)</f>
        <v>341531</v>
      </c>
    </row>
    <row r="91" spans="1:6" x14ac:dyDescent="0.25">
      <c r="A91" s="5" t="str">
        <f>TabEnvProjet[[#This Row],[RefProjet]] &amp; " .:. " &amp; TabEnvProjet[[#This Row],[RefEnv]]</f>
        <v>MEAE-SAGAIE TMA .:. SOCLE</v>
      </c>
      <c r="B91" t="s">
        <v>705</v>
      </c>
      <c r="C91" t="s">
        <v>9</v>
      </c>
      <c r="D91" s="5" t="str">
        <f>VLOOKUP(TabEnvProjet[[#This Row],[RefProjet]],TabProjet[],8,FALSE)</f>
        <v>MAE-PII-L2/334179-17</v>
      </c>
      <c r="E91" t="str">
        <f>VLOOKUP(TabEnvProjet[[#This Row],[RefProjet]],TabProjet[],6,FALSE)</f>
        <v>Axel Benoist-Gironiere, Vincent MERIAU</v>
      </c>
      <c r="F91" s="5">
        <f>VLOOKUP(TabEnvProjet[[#This Row],[SYGES]],TabContrat[],3,FALSE)</f>
        <v>341531</v>
      </c>
    </row>
    <row r="92" spans="1:6" x14ac:dyDescent="0.25">
      <c r="A92" s="5" t="str">
        <f>TabEnvProjet[[#This Row],[RefProjet]] &amp; " .:. " &amp; TabEnvProjet[[#This Row],[RefEnv]]</f>
        <v>MEAE-SAGAIE TMA .:. SUPPR</v>
      </c>
      <c r="B92" t="s">
        <v>705</v>
      </c>
      <c r="C92" t="s">
        <v>707</v>
      </c>
      <c r="D92" s="5" t="str">
        <f>VLOOKUP(TabEnvProjet[[#This Row],[RefProjet]],TabProjet[],8,FALSE)</f>
        <v>MAE-PII-L2/334179-17</v>
      </c>
      <c r="E92" t="str">
        <f>VLOOKUP(TabEnvProjet[[#This Row],[RefProjet]],TabProjet[],6,FALSE)</f>
        <v>Axel Benoist-Gironiere, Vincent MERIAU</v>
      </c>
      <c r="F92" s="5">
        <f>VLOOKUP(TabEnvProjet[[#This Row],[SYGES]],TabContrat[],3,FALSE)</f>
        <v>341531</v>
      </c>
    </row>
    <row r="93" spans="1:6" x14ac:dyDescent="0.25">
      <c r="A93" s="5" t="str">
        <f>TabEnvProjet[[#This Row],[RefProjet]] &amp; " .:. " &amp; TabEnvProjet[[#This Row],[RefEnv]]</f>
        <v>MEAE-SAGAIE TMA .:. TMA-PROD</v>
      </c>
      <c r="B93" t="s">
        <v>705</v>
      </c>
      <c r="C93" t="s">
        <v>708</v>
      </c>
      <c r="D93" s="5" t="str">
        <f>VLOOKUP(TabEnvProjet[[#This Row],[RefProjet]],TabProjet[],8,FALSE)</f>
        <v>MAE-PII-L2/334179-17</v>
      </c>
      <c r="E93" t="str">
        <f>VLOOKUP(TabEnvProjet[[#This Row],[RefProjet]],TabProjet[],6,FALSE)</f>
        <v>Axel Benoist-Gironiere, Vincent MERIAU</v>
      </c>
      <c r="F93" s="5">
        <f>VLOOKUP(TabEnvProjet[[#This Row],[SYGES]],TabContrat[],3,FALSE)</f>
        <v>341531</v>
      </c>
    </row>
    <row r="94" spans="1:6" x14ac:dyDescent="0.25">
      <c r="A94" s="5" t="str">
        <f>TabEnvProjet[[#This Row],[RefProjet]] &amp; " .:. " &amp; TabEnvProjet[[#This Row],[RefEnv]]</f>
        <v>MEAE-Visa .:. ARCHIVE</v>
      </c>
      <c r="B94" t="s">
        <v>709</v>
      </c>
      <c r="C94" t="s">
        <v>706</v>
      </c>
      <c r="D94" s="5" t="str">
        <f>VLOOKUP(TabEnvProjet[[#This Row],[RefProjet]],TabProjet[],8,FALSE)</f>
        <v>MAE-PII-L2/334179-17</v>
      </c>
      <c r="E94" t="str">
        <f>VLOOKUP(TabEnvProjet[[#This Row],[RefProjet]],TabProjet[],6,FALSE)</f>
        <v>Axel Benoist-Gironiere</v>
      </c>
      <c r="F94" s="5">
        <f>VLOOKUP(TabEnvProjet[[#This Row],[SYGES]],TabContrat[],3,FALSE)</f>
        <v>341531</v>
      </c>
    </row>
    <row r="95" spans="1:6" x14ac:dyDescent="0.25">
      <c r="A95" s="5" t="str">
        <f>TabEnvProjet[[#This Row],[RefProjet]] &amp; " .:. " &amp; TabEnvProjet[[#This Row],[RefEnv]]</f>
        <v>MEAE-Visa .:. ARRET</v>
      </c>
      <c r="B95" t="s">
        <v>709</v>
      </c>
      <c r="C95" t="s">
        <v>61</v>
      </c>
      <c r="D95" s="5" t="str">
        <f>VLOOKUP(TabEnvProjet[[#This Row],[RefProjet]],TabProjet[],8,FALSE)</f>
        <v>MAE-PII-L2/334179-17</v>
      </c>
      <c r="E95" t="str">
        <f>VLOOKUP(TabEnvProjet[[#This Row],[RefProjet]],TabProjet[],6,FALSE)</f>
        <v>Axel Benoist-Gironiere</v>
      </c>
      <c r="F95" s="5">
        <f>VLOOKUP(TabEnvProjet[[#This Row],[SYGES]],TabContrat[],3,FALSE)</f>
        <v>341531</v>
      </c>
    </row>
    <row r="96" spans="1:6" x14ac:dyDescent="0.25">
      <c r="A96" s="5" t="str">
        <f>TabEnvProjet[[#This Row],[RefProjet]] &amp; " .:. " &amp; TabEnvProjet[[#This Row],[RefEnv]]</f>
        <v>MEAE-Visa .:. DEV</v>
      </c>
      <c r="B96" t="s">
        <v>709</v>
      </c>
      <c r="C96" t="s">
        <v>6</v>
      </c>
      <c r="D96" s="5" t="str">
        <f>VLOOKUP(TabEnvProjet[[#This Row],[RefProjet]],TabProjet[],8,FALSE)</f>
        <v>MAE-PII-L2/334179-17</v>
      </c>
      <c r="E96" t="str">
        <f>VLOOKUP(TabEnvProjet[[#This Row],[RefProjet]],TabProjet[],6,FALSE)</f>
        <v>Axel Benoist-Gironiere</v>
      </c>
      <c r="F96" s="5">
        <f>VLOOKUP(TabEnvProjet[[#This Row],[SYGES]],TabContrat[],3,FALSE)</f>
        <v>341531</v>
      </c>
    </row>
    <row r="97" spans="1:6" x14ac:dyDescent="0.25">
      <c r="A97" s="5" t="str">
        <f>TabEnvProjet[[#This Row],[RefProjet]] &amp; " .:. " &amp; TabEnvProjet[[#This Row],[RefEnv]]</f>
        <v>MEAE-Visa .:. OBSOLETE</v>
      </c>
      <c r="B97" t="s">
        <v>709</v>
      </c>
      <c r="C97" t="s">
        <v>14</v>
      </c>
      <c r="D97" s="5" t="str">
        <f>VLOOKUP(TabEnvProjet[[#This Row],[RefProjet]],TabProjet[],8,FALSE)</f>
        <v>MAE-PII-L2/334179-17</v>
      </c>
      <c r="E97" t="str">
        <f>VLOOKUP(TabEnvProjet[[#This Row],[RefProjet]],TabProjet[],6,FALSE)</f>
        <v>Axel Benoist-Gironiere</v>
      </c>
      <c r="F97" s="5">
        <f>VLOOKUP(TabEnvProjet[[#This Row],[SYGES]],TabContrat[],3,FALSE)</f>
        <v>341531</v>
      </c>
    </row>
    <row r="98" spans="1:6" x14ac:dyDescent="0.25">
      <c r="A98" s="5" t="str">
        <f>TabEnvProjet[[#This Row],[RefProjet]] &amp; " .:. " &amp; TabEnvProjet[[#This Row],[RefEnv]]</f>
        <v>MEAE-Visa .:. QUAL</v>
      </c>
      <c r="B98" t="s">
        <v>709</v>
      </c>
      <c r="C98" t="s">
        <v>52</v>
      </c>
      <c r="D98" s="5" t="str">
        <f>VLOOKUP(TabEnvProjet[[#This Row],[RefProjet]],TabProjet[],8,FALSE)</f>
        <v>MAE-PII-L2/334179-17</v>
      </c>
      <c r="E98" t="str">
        <f>VLOOKUP(TabEnvProjet[[#This Row],[RefProjet]],TabProjet[],6,FALSE)</f>
        <v>Axel Benoist-Gironiere</v>
      </c>
      <c r="F98" s="5">
        <f>VLOOKUP(TabEnvProjet[[#This Row],[SYGES]],TabContrat[],3,FALSE)</f>
        <v>341531</v>
      </c>
    </row>
    <row r="99" spans="1:6" x14ac:dyDescent="0.25">
      <c r="A99" s="5" t="str">
        <f>TabEnvProjet[[#This Row],[RefProjet]] &amp; " .:. " &amp; TabEnvProjet[[#This Row],[RefEnv]]</f>
        <v>MEAE-Visa .:. SOCLE</v>
      </c>
      <c r="B99" t="s">
        <v>709</v>
      </c>
      <c r="C99" t="s">
        <v>9</v>
      </c>
      <c r="D99" s="5" t="str">
        <f>VLOOKUP(TabEnvProjet[[#This Row],[RefProjet]],TabProjet[],8,FALSE)</f>
        <v>MAE-PII-L2/334179-17</v>
      </c>
      <c r="E99" t="str">
        <f>VLOOKUP(TabEnvProjet[[#This Row],[RefProjet]],TabProjet[],6,FALSE)</f>
        <v>Axel Benoist-Gironiere</v>
      </c>
      <c r="F99" s="5">
        <f>VLOOKUP(TabEnvProjet[[#This Row],[SYGES]],TabContrat[],3,FALSE)</f>
        <v>341531</v>
      </c>
    </row>
    <row r="100" spans="1:6" x14ac:dyDescent="0.25">
      <c r="A100" s="5" t="str">
        <f>TabEnvProjet[[#This Row],[RefProjet]] &amp; " .:. " &amp; TabEnvProjet[[#This Row],[RefEnv]]</f>
        <v>MEAE-Visa .:. SUPPR</v>
      </c>
      <c r="B100" t="s">
        <v>709</v>
      </c>
      <c r="C100" t="s">
        <v>707</v>
      </c>
      <c r="D100" s="5" t="str">
        <f>VLOOKUP(TabEnvProjet[[#This Row],[RefProjet]],TabProjet[],8,FALSE)</f>
        <v>MAE-PII-L2/334179-17</v>
      </c>
      <c r="E100" t="str">
        <f>VLOOKUP(TabEnvProjet[[#This Row],[RefProjet]],TabProjet[],6,FALSE)</f>
        <v>Axel Benoist-Gironiere</v>
      </c>
      <c r="F100" s="5">
        <f>VLOOKUP(TabEnvProjet[[#This Row],[SYGES]],TabContrat[],3,FALSE)</f>
        <v>341531</v>
      </c>
    </row>
    <row r="101" spans="1:6" x14ac:dyDescent="0.25">
      <c r="A101" s="5" t="str">
        <f>TabEnvProjet[[#This Row],[RefProjet]] &amp; " .:. " &amp; TabEnvProjet[[#This Row],[RefEnv]]</f>
        <v>MEAE-Prevoirh .:. DEV</v>
      </c>
      <c r="B101" t="s">
        <v>1335</v>
      </c>
      <c r="C101" t="s">
        <v>6</v>
      </c>
      <c r="D101" s="5" t="str">
        <f>VLOOKUP(TabEnvProjet[[#This Row],[RefProjet]],TabProjet[],8,FALSE)</f>
        <v>MAE-PII-L2/334179-17</v>
      </c>
      <c r="E101" s="5" t="str">
        <f>VLOOKUP(TabEnvProjet[[#This Row],[RefProjet]],TabProjet[],6,FALSE)</f>
        <v>Axel Benoist-Gironiere</v>
      </c>
      <c r="F101" s="5">
        <f>VLOOKUP(TabEnvProjet[[#This Row],[SYGES]],TabContrat[],3,FALSE)</f>
        <v>341531</v>
      </c>
    </row>
    <row r="102" spans="1:6" x14ac:dyDescent="0.25">
      <c r="A102" s="5" t="str">
        <f>TabEnvProjet[[#This Row],[RefProjet]] &amp; " .:. " &amp; TabEnvProjet[[#This Row],[RefEnv]]</f>
        <v>MENESR-APAE .:. RECETTE</v>
      </c>
      <c r="B102" t="s">
        <v>710</v>
      </c>
      <c r="C102" t="s">
        <v>75</v>
      </c>
      <c r="D102" s="5" t="str">
        <f>VLOOKUP(TabEnvProjet[[#This Row],[RefProjet]],TabProjet[],8,FALSE)</f>
        <v>MENESR/TMA</v>
      </c>
      <c r="E102" t="str">
        <f>VLOOKUP(TabEnvProjet[[#This Row],[RefProjet]],TabProjet[],6,FALSE)</f>
        <v>Pierre BOURLIEUX</v>
      </c>
      <c r="F102" s="5">
        <f>VLOOKUP(TabEnvProjet[[#This Row],[SYGES]],TabContrat[],3,FALSE)</f>
        <v>305704</v>
      </c>
    </row>
    <row r="103" spans="1:6" x14ac:dyDescent="0.25">
      <c r="A103" s="5" t="str">
        <f>TabEnvProjet[[#This Row],[RefProjet]] &amp; " .:. " &amp; TabEnvProjet[[#This Row],[RefEnv]]</f>
        <v>MENESR-BNIE .:. RECETTE</v>
      </c>
      <c r="B103" t="s">
        <v>711</v>
      </c>
      <c r="C103" t="s">
        <v>75</v>
      </c>
      <c r="D103" s="5" t="str">
        <f>VLOOKUP(TabEnvProjet[[#This Row],[RefProjet]],TabProjet[],8,FALSE)</f>
        <v>MENESR/TMA</v>
      </c>
      <c r="E103" t="str">
        <f>VLOOKUP(TabEnvProjet[[#This Row],[RefProjet]],TabProjet[],6,FALSE)</f>
        <v>Pierre BOURLIEUX</v>
      </c>
      <c r="F103" s="5">
        <f>VLOOKUP(TabEnvProjet[[#This Row],[SYGES]],TabContrat[],3,FALSE)</f>
        <v>305704</v>
      </c>
    </row>
    <row r="104" spans="1:6" x14ac:dyDescent="0.25">
      <c r="A104" s="5" t="str">
        <f>TabEnvProjet[[#This Row],[RefProjet]] &amp; " .:. " &amp; TabEnvProjet[[#This Row],[RefEnv]]</f>
        <v>MENESR-INES .:. RECETTE</v>
      </c>
      <c r="B104" t="s">
        <v>712</v>
      </c>
      <c r="C104" t="s">
        <v>75</v>
      </c>
      <c r="D104" s="5" t="str">
        <f>VLOOKUP(TabEnvProjet[[#This Row],[RefProjet]],TabProjet[],8,FALSE)</f>
        <v>MENESR/TMA</v>
      </c>
      <c r="E104" t="str">
        <f>VLOOKUP(TabEnvProjet[[#This Row],[RefProjet]],TabProjet[],6,FALSE)</f>
        <v>Pierre BOURLIEUX</v>
      </c>
      <c r="F104" s="5">
        <f>VLOOKUP(TabEnvProjet[[#This Row],[SYGES]],TabContrat[],3,FALSE)</f>
        <v>305704</v>
      </c>
    </row>
    <row r="105" spans="1:6" x14ac:dyDescent="0.25">
      <c r="A105" s="5" t="str">
        <f>TabEnvProjet[[#This Row],[RefProjet]] &amp; " .:. " &amp; TabEnvProjet[[#This Row],[RefEnv]]</f>
        <v>MENESR-RNIE .:. DEV</v>
      </c>
      <c r="B105" t="s">
        <v>713</v>
      </c>
      <c r="C105" t="s">
        <v>6</v>
      </c>
      <c r="D105" s="5" t="str">
        <f>VLOOKUP(TabEnvProjet[[#This Row],[RefProjet]],TabProjet[],8,FALSE)</f>
        <v>MENESR/TMA</v>
      </c>
      <c r="E105" t="str">
        <f>VLOOKUP(TabEnvProjet[[#This Row],[RefProjet]],TabProjet[],6,FALSE)</f>
        <v>Pierre BOURLIEUX</v>
      </c>
      <c r="F105" s="5">
        <f>VLOOKUP(TabEnvProjet[[#This Row],[SYGES]],TabContrat[],3,FALSE)</f>
        <v>305704</v>
      </c>
    </row>
    <row r="106" spans="1:6" x14ac:dyDescent="0.25">
      <c r="A106" s="5" t="str">
        <f>TabEnvProjet[[#This Row],[RefProjet]] &amp; " .:. " &amp; TabEnvProjet[[#This Row],[RefEnv]]</f>
        <v>ONEMA-ASPE .:. DEV</v>
      </c>
      <c r="B106" t="s">
        <v>714</v>
      </c>
      <c r="C106" t="s">
        <v>6</v>
      </c>
      <c r="D106" s="5" t="str">
        <f>VLOOKUP(TabEnvProjet[[#This Row],[RefProjet]],TabProjet[],8,FALSE)</f>
        <v>ONEMA/TMADCIE-15</v>
      </c>
      <c r="E106" t="str">
        <f>VLOOKUP(TabEnvProjet[[#This Row],[RefProjet]],TabProjet[],6,FALSE)</f>
        <v>Christophe ORLANDO</v>
      </c>
      <c r="F106" s="5">
        <f>VLOOKUP(TabEnvProjet[[#This Row],[SYGES]],TabContrat[],3,FALSE)</f>
        <v>305704</v>
      </c>
    </row>
    <row r="107" spans="1:6" x14ac:dyDescent="0.25">
      <c r="A107" s="5" t="str">
        <f>TabEnvProjet[[#This Row],[RefProjet]] &amp; " .:. " &amp; TabEnvProjet[[#This Row],[RefEnv]]</f>
        <v>ONEMA-CDR - TMA WEB .:. TMA</v>
      </c>
      <c r="B107" t="s">
        <v>715</v>
      </c>
      <c r="C107" t="s">
        <v>65</v>
      </c>
      <c r="D107" s="5" t="str">
        <f>VLOOKUP(TabEnvProjet[[#This Row],[RefProjet]],TabProjet[],8,FALSE)</f>
        <v>ONEMA/TMAWEB-16</v>
      </c>
      <c r="E107" t="str">
        <f>VLOOKUP(TabEnvProjet[[#This Row],[RefProjet]],TabProjet[],6,FALSE)</f>
        <v>Pierre BOURLIEUX</v>
      </c>
      <c r="F107" s="5">
        <f>VLOOKUP(TabEnvProjet[[#This Row],[SYGES]],TabContrat[],3,FALSE)</f>
        <v>305704</v>
      </c>
    </row>
    <row r="108" spans="1:6" x14ac:dyDescent="0.25">
      <c r="A108" s="5" t="str">
        <f>TabEnvProjet[[#This Row],[RefProjet]] &amp; " .:. " &amp; TabEnvProjet[[#This Row],[RefEnv]]</f>
        <v>ONEMA-GEOF-SNPE .:. TMA</v>
      </c>
      <c r="B108" t="s">
        <v>716</v>
      </c>
      <c r="C108" t="s">
        <v>65</v>
      </c>
      <c r="D108" s="5" t="str">
        <f>VLOOKUP(TabEnvProjet[[#This Row],[RefProjet]],TabProjet[],8,FALSE)</f>
        <v>ONEMA/TMADCIE-15</v>
      </c>
      <c r="E108" t="str">
        <f>VLOOKUP(TabEnvProjet[[#This Row],[RefProjet]],TabProjet[],6,FALSE)</f>
        <v>Christophe ORLANDO</v>
      </c>
      <c r="F108" s="5">
        <f>VLOOKUP(TabEnvProjet[[#This Row],[SYGES]],TabContrat[],3,FALSE)</f>
        <v>305704</v>
      </c>
    </row>
    <row r="109" spans="1:6" x14ac:dyDescent="0.25">
      <c r="A109" s="5" t="str">
        <f>TabEnvProjet[[#This Row],[RefProjet]] &amp; " .:. " &amp; TabEnvProjet[[#This Row],[RefEnv]]</f>
        <v>ONEMA-OPALE .:. RECETTE</v>
      </c>
      <c r="B109" t="s">
        <v>717</v>
      </c>
      <c r="C109" t="s">
        <v>75</v>
      </c>
      <c r="D109" s="5" t="str">
        <f>VLOOKUP(TabEnvProjet[[#This Row],[RefProjet]],TabProjet[],8,FALSE)</f>
        <v>ONEMA/TMADCIE-15</v>
      </c>
      <c r="E109" t="str">
        <f>VLOOKUP(TabEnvProjet[[#This Row],[RefProjet]],TabProjet[],6,FALSE)</f>
        <v>Pierre BOURLIEUX</v>
      </c>
      <c r="F109" s="5">
        <f>VLOOKUP(TabEnvProjet[[#This Row],[SYGES]],TabContrat[],3,FALSE)</f>
        <v>305704</v>
      </c>
    </row>
    <row r="110" spans="1:6" x14ac:dyDescent="0.25">
      <c r="A110" s="5" t="str">
        <f>TabEnvProjet[[#This Row],[RefProjet]] &amp; " .:. " &amp; TabEnvProjet[[#This Row],[RefEnv]]</f>
        <v>PCM-ALS .:. RECETTE</v>
      </c>
      <c r="B110" t="s">
        <v>718</v>
      </c>
      <c r="C110" t="s">
        <v>75</v>
      </c>
      <c r="D110" s="5" t="str">
        <f>VLOOKUP(TabEnvProjet[[#This Row],[RefProjet]],TabProjet[],8,FALSE)</f>
        <v>PCM-WEB</v>
      </c>
      <c r="E110" t="str">
        <f>VLOOKUP(TabEnvProjet[[#This Row],[RefProjet]],TabProjet[],6,FALSE)</f>
        <v>Alice MARCHAL</v>
      </c>
      <c r="F110" s="5">
        <f>VLOOKUP(TabEnvProjet[[#This Row],[SYGES]],TabContrat[],3,FALSE)</f>
        <v>305704</v>
      </c>
    </row>
    <row r="111" spans="1:6" x14ac:dyDescent="0.25">
      <c r="A111" s="5" t="str">
        <f>TabEnvProjet[[#This Row],[RefProjet]] &amp; " .:. " &amp; TabEnvProjet[[#This Row],[RefEnv]]</f>
        <v>PRIZER-TMA .:. TMA</v>
      </c>
      <c r="B111" t="s">
        <v>719</v>
      </c>
      <c r="C111" t="s">
        <v>65</v>
      </c>
      <c r="D111" s="5" t="str">
        <f>VLOOKUP(TabEnvProjet[[#This Row],[RefProjet]],TabProjet[],8,FALSE)</f>
        <v>PRIZER-TMA</v>
      </c>
      <c r="E111" t="str">
        <f>VLOOKUP(TabEnvProjet[[#This Row],[RefProjet]],TabProjet[],6,FALSE)</f>
        <v>Valerie ASSELIN LOZACHMEUR</v>
      </c>
      <c r="F111" s="5">
        <f>VLOOKUP(TabEnvProjet[[#This Row],[SYGES]],TabContrat[],3,FALSE)</f>
        <v>305704</v>
      </c>
    </row>
    <row r="112" spans="1:6" x14ac:dyDescent="0.25">
      <c r="A112" s="5" t="str">
        <f>TabEnvProjet[[#This Row],[RefProjet]] &amp; " .:. " &amp; TabEnvProjet[[#This Row],[RefEnv]]</f>
        <v>RECIA-GRR .:. DEV</v>
      </c>
      <c r="B112" t="s">
        <v>720</v>
      </c>
      <c r="C112" t="s">
        <v>6</v>
      </c>
      <c r="D112" s="5" t="str">
        <f>VLOOKUP(TabEnvProjet[[#This Row],[RefProjet]],TabProjet[],8,FALSE)</f>
        <v>RECIA/AC-18</v>
      </c>
      <c r="E112" t="str">
        <f>VLOOKUP(TabEnvProjet[[#This Row],[RefProjet]],TabProjet[],6,FALSE)</f>
        <v>Christophe ORLANDO</v>
      </c>
      <c r="F112" s="5">
        <f>VLOOKUP(TabEnvProjet[[#This Row],[SYGES]],TabContrat[],3,FALSE)</f>
        <v>305704</v>
      </c>
    </row>
    <row r="113" spans="1:6" x14ac:dyDescent="0.25">
      <c r="A113" s="5" t="str">
        <f>TabEnvProjet[[#This Row],[RefProjet]] &amp; " .:. " &amp; TabEnvProjet[[#This Row],[RefEnv]]</f>
        <v>STMICRO-RUN2RUN .:. DEV</v>
      </c>
      <c r="B113" t="s">
        <v>721</v>
      </c>
      <c r="C113" t="s">
        <v>6</v>
      </c>
      <c r="D113" s="5" t="str">
        <f>VLOOKUP(TabEnvProjet[[#This Row],[RefProjet]],TabProjet[],8,FALSE)</f>
        <v>STMICRO/TMA-R2R-17</v>
      </c>
      <c r="E113" t="str">
        <f>VLOOKUP(TabEnvProjet[[#This Row],[RefProjet]],TabProjet[],6,FALSE)</f>
        <v>Jean-Philippe STROIAZZO</v>
      </c>
      <c r="F113" s="5">
        <f>VLOOKUP(TabEnvProjet[[#This Row],[SYGES]],TabContrat[],3,FALSE)</f>
        <v>305704</v>
      </c>
    </row>
    <row r="114" spans="1:6" x14ac:dyDescent="0.25">
      <c r="A114" s="5" t="str">
        <f>TabEnvProjet[[#This Row],[RefProjet]] &amp; " .:. " &amp; TabEnvProjet[[#This Row],[RefEnv]]</f>
        <v>STMICRO-STARK .:. DEV</v>
      </c>
      <c r="B114" t="s">
        <v>723</v>
      </c>
      <c r="C114" t="s">
        <v>6</v>
      </c>
      <c r="D114" s="5" t="str">
        <f>VLOOKUP(TabEnvProjet[[#This Row],[RefProjet]],TabProjet[],8,FALSE)</f>
        <v>STMICRO/TMASI</v>
      </c>
      <c r="E114" t="str">
        <f>VLOOKUP(TabEnvProjet[[#This Row],[RefProjet]],TabProjet[],6,FALSE)</f>
        <v>Jean-Philippe STROIAZZO</v>
      </c>
      <c r="F114" s="5">
        <f>VLOOKUP(TabEnvProjet[[#This Row],[SYGES]],TabContrat[],3,FALSE)</f>
        <v>305704</v>
      </c>
    </row>
    <row r="115" spans="1:6" x14ac:dyDescent="0.25">
      <c r="A115" s="5" t="str">
        <f>TabEnvProjet[[#This Row],[RefProjet]] &amp; " .:. " &amp; TabEnvProjet[[#This Row],[RefEnv]]</f>
        <v>Vivesco-Vives-taux .:. DEV</v>
      </c>
      <c r="B115" t="s">
        <v>722</v>
      </c>
      <c r="C115" t="s">
        <v>6</v>
      </c>
      <c r="D115" s="5" t="str">
        <f>VLOOKUP(TabEnvProjet[[#This Row],[RefProjet]],TabProjet[],8,FALSE)</f>
        <v>VIVESC-TAU/S240776A</v>
      </c>
      <c r="E115" t="str">
        <f>VLOOKUP(TabEnvProjet[[#This Row],[RefProjet]],TabProjet[],6,FALSE)</f>
        <v>Pierre Maurupt</v>
      </c>
      <c r="F115" s="5">
        <f>VLOOKUP(TabEnvProjet[[#This Row],[SYGES]],TabContrat[],3,FALSE)</f>
        <v>341530</v>
      </c>
    </row>
    <row r="116" spans="1:6" x14ac:dyDescent="0.25">
      <c r="A116" s="5" t="str">
        <f>TabEnvProjet[[#This Row],[RefProjet]] &amp; " .:. " &amp; TabEnvProjet[[#This Row],[RefEnv]]</f>
        <v>Vivesco-Vives-taux .:. QUAL</v>
      </c>
      <c r="B116" t="s">
        <v>722</v>
      </c>
      <c r="C116" t="s">
        <v>52</v>
      </c>
      <c r="D116" s="5" t="str">
        <f>VLOOKUP(TabEnvProjet[[#This Row],[RefProjet]],TabProjet[],8,FALSE)</f>
        <v>VIVESC-TAU/S240776A</v>
      </c>
      <c r="E116" t="str">
        <f>VLOOKUP(TabEnvProjet[[#This Row],[RefProjet]],TabProjet[],6,FALSE)</f>
        <v>Pierre Maurupt</v>
      </c>
      <c r="F116" s="5">
        <f>VLOOKUP(TabEnvProjet[[#This Row],[SYGES]],TabContrat[],3,FALSE)</f>
        <v>341530</v>
      </c>
    </row>
    <row r="117" spans="1:6" x14ac:dyDescent="0.25">
      <c r="A117" s="5" t="str">
        <f>TabEnvProjet[[#This Row],[RefProjet]] &amp; " .:. " &amp; TabEnvProjet[[#This Row],[RefEnv]]</f>
        <v>Vivesco-Vives-taux .:. RECETTE</v>
      </c>
      <c r="B117" t="s">
        <v>722</v>
      </c>
      <c r="C117" t="s">
        <v>75</v>
      </c>
      <c r="D117" s="5" t="str">
        <f>VLOOKUP(TabEnvProjet[[#This Row],[RefProjet]],TabProjet[],8,FALSE)</f>
        <v>VIVESC-TAU/S240776A</v>
      </c>
      <c r="E117" t="str">
        <f>VLOOKUP(TabEnvProjet[[#This Row],[RefProjet]],TabProjet[],6,FALSE)</f>
        <v>Pierre Maurupt</v>
      </c>
      <c r="F117" s="5">
        <f>VLOOKUP(TabEnvProjet[[#This Row],[SYGES]],TabContrat[],3,FALSE)</f>
        <v>341530</v>
      </c>
    </row>
  </sheetData>
  <dataValidations count="2">
    <dataValidation type="list" allowBlank="1" showInputMessage="1" showErrorMessage="1" sqref="C2:C117" xr:uid="{00000000-0002-0000-0800-000000000000}">
      <formula1>ListeEnv</formula1>
    </dataValidation>
    <dataValidation type="list" allowBlank="1" showInputMessage="1" promptTitle="Recherche projet" prompt="Saisir les 1ères lettres puis afficher la liste déroulante" sqref="B2:B117" xr:uid="{00000000-0002-0000-0800-000001000000}">
      <formula1>OFFSET(ListeProjet,MATCH($B2&amp;"*",ListeProjet,0)-1,,COUNTIF(ListeProjet,$B2&amp;"*"))</formula1>
    </dataValidation>
  </dataValidations>
  <pageMargins left="0.7" right="0.7" top="0.75" bottom="0.75" header="0.3" footer="0.3"/>
  <pageSetup paperSize="9" orientation="portrait" horizontalDpi="300" verticalDpi="30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euil4">
    <tabColor rgb="FF00B0F0"/>
  </sheetPr>
  <dimension ref="A1:I125"/>
  <sheetViews>
    <sheetView showGridLines="0" topLeftCell="A58" zoomScale="70" zoomScaleNormal="70" workbookViewId="0">
      <selection activeCell="F82" sqref="F82:H82"/>
    </sheetView>
  </sheetViews>
  <sheetFormatPr baseColWidth="10" defaultColWidth="11.42578125" defaultRowHeight="15" x14ac:dyDescent="0.25"/>
  <cols>
    <col min="1" max="1" width="33.28515625" customWidth="1"/>
    <col min="2" max="2" width="16" customWidth="1"/>
    <col min="3" max="3" width="42.7109375" customWidth="1"/>
    <col min="4" max="4" width="14.28515625" customWidth="1"/>
    <col min="5" max="5" width="13.140625" customWidth="1"/>
    <col min="6" max="6" width="33.85546875" bestFit="1" customWidth="1"/>
    <col min="7" max="7" width="19.42578125" bestFit="1" customWidth="1"/>
    <col min="8" max="8" width="53.5703125" bestFit="1" customWidth="1"/>
    <col min="9" max="9" width="68.7109375" bestFit="1" customWidth="1"/>
  </cols>
  <sheetData>
    <row r="1" spans="1:9" ht="26.25" customHeight="1" x14ac:dyDescent="0.25">
      <c r="D1" s="1"/>
    </row>
    <row r="2" spans="1:9" x14ac:dyDescent="0.25">
      <c r="A2" s="2" t="s">
        <v>724</v>
      </c>
      <c r="B2" t="s">
        <v>284</v>
      </c>
      <c r="C2" t="s">
        <v>287</v>
      </c>
      <c r="D2" t="s">
        <v>725</v>
      </c>
      <c r="E2" t="s">
        <v>726</v>
      </c>
      <c r="F2" t="s">
        <v>288</v>
      </c>
      <c r="G2" t="s">
        <v>727</v>
      </c>
      <c r="H2" t="s">
        <v>283</v>
      </c>
      <c r="I2" t="s">
        <v>1</v>
      </c>
    </row>
    <row r="3" spans="1:9" x14ac:dyDescent="0.25">
      <c r="A3" t="str">
        <f>TabProjet[[#This Row],[Client]] &amp; "-" &amp; TabProjet[[#This Row],[Projet]]</f>
        <v>ACOSS-CAP2</v>
      </c>
      <c r="B3" s="3" t="s">
        <v>728</v>
      </c>
      <c r="C3" s="3" t="s">
        <v>729</v>
      </c>
      <c r="D3" s="4">
        <v>43435</v>
      </c>
      <c r="E3" s="4">
        <v>43585</v>
      </c>
      <c r="F3" s="3" t="s">
        <v>730</v>
      </c>
      <c r="G3" s="3"/>
      <c r="H3" s="3" t="s">
        <v>731</v>
      </c>
      <c r="I3" s="3"/>
    </row>
    <row r="4" spans="1:9" x14ac:dyDescent="0.25">
      <c r="A4" s="5" t="str">
        <f>TabProjet[[#This Row],[Client]] &amp; "-" &amp; TabProjet[[#This Row],[Projet]]</f>
        <v>ACOSS-PMO</v>
      </c>
      <c r="B4" s="3" t="s">
        <v>728</v>
      </c>
      <c r="C4" s="3" t="s">
        <v>732</v>
      </c>
      <c r="D4" s="4">
        <v>43466</v>
      </c>
      <c r="E4" s="4">
        <v>43830</v>
      </c>
      <c r="F4" s="3" t="s">
        <v>730</v>
      </c>
      <c r="G4" s="3" t="s">
        <v>733</v>
      </c>
      <c r="H4" s="3" t="s">
        <v>731</v>
      </c>
      <c r="I4" s="3"/>
    </row>
    <row r="5" spans="1:9" x14ac:dyDescent="0.25">
      <c r="A5" t="str">
        <f>TabProjet[[#This Row],[Client]] &amp; "-" &amp; TabProjet[[#This Row],[Projet]]</f>
        <v>ADEME-DECTER</v>
      </c>
      <c r="B5" s="3" t="s">
        <v>64</v>
      </c>
      <c r="C5" s="3" t="s">
        <v>734</v>
      </c>
      <c r="D5" s="4"/>
      <c r="E5" s="4">
        <v>43646</v>
      </c>
      <c r="F5" s="3" t="s">
        <v>735</v>
      </c>
      <c r="G5" s="3"/>
      <c r="H5" s="3" t="s">
        <v>736</v>
      </c>
      <c r="I5" s="3"/>
    </row>
    <row r="6" spans="1:9" x14ac:dyDescent="0.25">
      <c r="A6" t="str">
        <f>TabProjet[[#This Row],[Client]] &amp; "-" &amp; TabProjet[[#This Row],[Projet]]</f>
        <v>ADEME-PNB</v>
      </c>
      <c r="B6" s="3" t="s">
        <v>64</v>
      </c>
      <c r="C6" s="3" t="s">
        <v>737</v>
      </c>
      <c r="D6" s="4"/>
      <c r="E6" s="4">
        <v>43646</v>
      </c>
      <c r="F6" s="3" t="s">
        <v>735</v>
      </c>
      <c r="G6" s="3"/>
      <c r="H6" s="3" t="s">
        <v>738</v>
      </c>
      <c r="I6" s="3"/>
    </row>
    <row r="7" spans="1:9" x14ac:dyDescent="0.25">
      <c r="A7" t="str">
        <f>TabProjet[[#This Row],[Client]] &amp; "-" &amp; TabProjet[[#This Row],[Projet]]</f>
        <v>ADEME-SAGA</v>
      </c>
      <c r="B7" s="3" t="s">
        <v>64</v>
      </c>
      <c r="C7" s="3" t="s">
        <v>739</v>
      </c>
      <c r="D7" s="4"/>
      <c r="E7" s="4">
        <v>43646</v>
      </c>
      <c r="F7" s="3" t="s">
        <v>735</v>
      </c>
      <c r="G7" s="3"/>
      <c r="H7" s="3" t="s">
        <v>740</v>
      </c>
      <c r="I7" s="3"/>
    </row>
    <row r="8" spans="1:9" x14ac:dyDescent="0.25">
      <c r="A8" t="str">
        <f>TabProjet[[#This Row],[Client]] &amp; "-" &amp; TabProjet[[#This Row],[Projet]]</f>
        <v>ADEME-Simul'Aides</v>
      </c>
      <c r="B8" s="3" t="s">
        <v>64</v>
      </c>
      <c r="C8" s="3" t="s">
        <v>741</v>
      </c>
      <c r="D8" s="4"/>
      <c r="E8" s="4">
        <v>43646</v>
      </c>
      <c r="F8" s="3" t="s">
        <v>735</v>
      </c>
      <c r="G8" s="3"/>
      <c r="H8" s="3" t="s">
        <v>742</v>
      </c>
      <c r="I8" s="3"/>
    </row>
    <row r="9" spans="1:9" x14ac:dyDescent="0.25">
      <c r="A9" t="str">
        <f>TabProjet[[#This Row],[Client]] &amp; "-" &amp; TabProjet[[#This Row],[Projet]]</f>
        <v>ADEME-SINOE</v>
      </c>
      <c r="B9" s="3" t="s">
        <v>64</v>
      </c>
      <c r="C9" s="3" t="s">
        <v>743</v>
      </c>
      <c r="D9" s="4"/>
      <c r="E9" s="4">
        <v>43646</v>
      </c>
      <c r="F9" s="3" t="s">
        <v>735</v>
      </c>
      <c r="G9" s="3"/>
      <c r="H9" s="3" t="s">
        <v>744</v>
      </c>
      <c r="I9" s="3"/>
    </row>
    <row r="10" spans="1:9" x14ac:dyDescent="0.25">
      <c r="A10" s="5" t="str">
        <f>TabProjet[[#This Row],[Client]] &amp; "-" &amp; TabProjet[[#This Row],[Projet]]</f>
        <v>AFB-ASPE</v>
      </c>
      <c r="B10" s="3" t="s">
        <v>745</v>
      </c>
      <c r="C10" s="3" t="s">
        <v>746</v>
      </c>
      <c r="D10" s="4"/>
      <c r="E10" s="4"/>
      <c r="F10" s="3" t="s">
        <v>924</v>
      </c>
      <c r="G10" s="3" t="s">
        <v>1156</v>
      </c>
      <c r="H10" s="3" t="s">
        <v>749</v>
      </c>
      <c r="I10" s="49" t="s">
        <v>750</v>
      </c>
    </row>
    <row r="11" spans="1:9" x14ac:dyDescent="0.25">
      <c r="A11" s="5" t="str">
        <f>TabProjet[[#This Row],[Client]] &amp; "-" &amp; TabProjet[[#This Row],[Projet]]</f>
        <v>AFB-BASEINDICATEURS</v>
      </c>
      <c r="B11" s="3" t="s">
        <v>745</v>
      </c>
      <c r="C11" s="3" t="s">
        <v>751</v>
      </c>
      <c r="D11" s="4"/>
      <c r="E11" s="4"/>
      <c r="F11" s="3" t="s">
        <v>1159</v>
      </c>
      <c r="G11" s="3" t="s">
        <v>1163</v>
      </c>
      <c r="H11" s="3" t="s">
        <v>749</v>
      </c>
      <c r="I11" s="49" t="s">
        <v>750</v>
      </c>
    </row>
    <row r="12" spans="1:9" x14ac:dyDescent="0.25">
      <c r="A12" s="5" t="str">
        <f>TabProjet[[#This Row],[Client]] &amp; "-" &amp; TabProjet[[#This Row],[Projet]]</f>
        <v>AFB-CARHYCE</v>
      </c>
      <c r="B12" s="3" t="s">
        <v>745</v>
      </c>
      <c r="C12" s="3" t="s">
        <v>752</v>
      </c>
      <c r="D12" s="4"/>
      <c r="E12" s="4"/>
      <c r="F12" s="3" t="s">
        <v>924</v>
      </c>
      <c r="G12" s="3" t="s">
        <v>1156</v>
      </c>
      <c r="H12" s="3" t="s">
        <v>749</v>
      </c>
      <c r="I12" s="49" t="s">
        <v>750</v>
      </c>
    </row>
    <row r="13" spans="1:9" x14ac:dyDescent="0.25">
      <c r="A13" s="5" t="str">
        <f>TabProjet[[#This Row],[Client]] &amp; "-" &amp; TabProjet[[#This Row],[Projet]]</f>
        <v>AFB-CATALOGUEINDICATEURS</v>
      </c>
      <c r="B13" s="3" t="s">
        <v>745</v>
      </c>
      <c r="C13" s="3" t="s">
        <v>753</v>
      </c>
      <c r="D13" s="4"/>
      <c r="E13" s="4"/>
      <c r="F13" s="3" t="s">
        <v>1159</v>
      </c>
      <c r="G13" s="3" t="s">
        <v>1163</v>
      </c>
      <c r="H13" s="3" t="s">
        <v>749</v>
      </c>
      <c r="I13" s="49" t="s">
        <v>750</v>
      </c>
    </row>
    <row r="14" spans="1:9" x14ac:dyDescent="0.25">
      <c r="A14" s="5" t="str">
        <f>TabProjet[[#This Row],[Client]] &amp; "-" &amp; TabProjet[[#This Row],[Projet]]</f>
        <v>AFB-CESMIA</v>
      </c>
      <c r="B14" s="3" t="s">
        <v>745</v>
      </c>
      <c r="C14" s="3" t="s">
        <v>1186</v>
      </c>
      <c r="D14" s="4"/>
      <c r="E14" s="4"/>
      <c r="F14" s="3" t="s">
        <v>924</v>
      </c>
      <c r="G14" s="3" t="s">
        <v>1162</v>
      </c>
      <c r="H14" s="3" t="s">
        <v>1270</v>
      </c>
      <c r="I14" s="48"/>
    </row>
    <row r="15" spans="1:9" x14ac:dyDescent="0.25">
      <c r="A15" s="5" t="str">
        <f>TabProjet[[#This Row],[Client]] &amp; "-" &amp; TabProjet[[#This Row],[Projet]]</f>
        <v>AFB-ENQUETEDEAU</v>
      </c>
      <c r="B15" s="3" t="s">
        <v>745</v>
      </c>
      <c r="C15" s="3" t="s">
        <v>754</v>
      </c>
      <c r="D15" s="4"/>
      <c r="E15" s="4"/>
      <c r="F15" s="3" t="s">
        <v>924</v>
      </c>
      <c r="G15" s="3" t="s">
        <v>1162</v>
      </c>
      <c r="H15" s="3" t="s">
        <v>749</v>
      </c>
      <c r="I15" s="49" t="s">
        <v>750</v>
      </c>
    </row>
    <row r="16" spans="1:9" x14ac:dyDescent="0.25">
      <c r="A16" s="5" t="str">
        <f>TabProjet[[#This Row],[Client]] &amp; "-" &amp; TabProjet[[#This Row],[Projet]]</f>
        <v>AFB-GEOBS</v>
      </c>
      <c r="B16" s="3" t="s">
        <v>745</v>
      </c>
      <c r="C16" s="3" t="s">
        <v>755</v>
      </c>
      <c r="D16" s="4"/>
      <c r="E16" s="4"/>
      <c r="F16" s="3" t="s">
        <v>924</v>
      </c>
      <c r="G16" s="3" t="s">
        <v>1156</v>
      </c>
      <c r="H16" s="3" t="s">
        <v>749</v>
      </c>
      <c r="I16" s="49" t="s">
        <v>750</v>
      </c>
    </row>
    <row r="17" spans="1:9" x14ac:dyDescent="0.25">
      <c r="A17" s="5" t="str">
        <f>TabProjet[[#This Row],[Client]] &amp; "-" &amp; TabProjet[[#This Row],[Projet]]</f>
        <v>AFB-OISON</v>
      </c>
      <c r="B17" s="3" t="s">
        <v>745</v>
      </c>
      <c r="C17" s="3" t="s">
        <v>756</v>
      </c>
      <c r="D17" s="4"/>
      <c r="E17" s="4"/>
      <c r="F17" s="3" t="s">
        <v>924</v>
      </c>
      <c r="G17" s="3" t="s">
        <v>1162</v>
      </c>
      <c r="H17" s="3" t="s">
        <v>749</v>
      </c>
      <c r="I17" s="49" t="s">
        <v>750</v>
      </c>
    </row>
    <row r="18" spans="1:9" x14ac:dyDescent="0.25">
      <c r="A18" s="5" t="str">
        <f>TabProjet[[#This Row],[Client]] &amp; "-" &amp; TabProjet[[#This Row],[Projet]]</f>
        <v>AFB-ONDE</v>
      </c>
      <c r="B18" s="3" t="s">
        <v>745</v>
      </c>
      <c r="C18" s="3" t="s">
        <v>757</v>
      </c>
      <c r="D18" s="4"/>
      <c r="E18" s="4"/>
      <c r="F18" s="3" t="s">
        <v>924</v>
      </c>
      <c r="G18" s="3" t="s">
        <v>1156</v>
      </c>
      <c r="H18" s="3" t="s">
        <v>749</v>
      </c>
      <c r="I18" s="49" t="s">
        <v>750</v>
      </c>
    </row>
    <row r="19" spans="1:9" x14ac:dyDescent="0.25">
      <c r="A19" s="5" t="str">
        <f>TabProjet[[#This Row],[Client]] &amp; "-" &amp; TabProjet[[#This Row],[Projet]]</f>
        <v>AFB-Patbiodiv</v>
      </c>
      <c r="B19" s="3" t="s">
        <v>745</v>
      </c>
      <c r="C19" s="3" t="s">
        <v>758</v>
      </c>
      <c r="D19" s="4"/>
      <c r="E19" s="4"/>
      <c r="F19" s="3" t="s">
        <v>798</v>
      </c>
      <c r="G19" s="3" t="s">
        <v>798</v>
      </c>
      <c r="H19" s="3" t="s">
        <v>749</v>
      </c>
      <c r="I19" s="49" t="s">
        <v>750</v>
      </c>
    </row>
    <row r="20" spans="1:9" x14ac:dyDescent="0.25">
      <c r="A20" s="5" t="str">
        <f>TabProjet[[#This Row],[Client]] &amp; "-" &amp; TabProjet[[#This Row],[Projet]]</f>
        <v>AFB-PNM</v>
      </c>
      <c r="B20" s="3" t="s">
        <v>745</v>
      </c>
      <c r="C20" s="3" t="s">
        <v>1185</v>
      </c>
      <c r="D20" s="4"/>
      <c r="E20" s="4"/>
      <c r="F20" s="3" t="s">
        <v>1227</v>
      </c>
      <c r="G20" s="3" t="s">
        <v>748</v>
      </c>
      <c r="H20" s="3" t="s">
        <v>1228</v>
      </c>
      <c r="I20" s="3"/>
    </row>
    <row r="21" spans="1:9" x14ac:dyDescent="0.25">
      <c r="A21" s="5" t="str">
        <f>TabProjet[[#This Row],[Client]] &amp; "-" &amp; TabProjet[[#This Row],[Projet]]</f>
        <v>AFB-PNX</v>
      </c>
      <c r="B21" s="3" t="s">
        <v>745</v>
      </c>
      <c r="C21" s="3" t="s">
        <v>1184</v>
      </c>
      <c r="D21" s="4"/>
      <c r="E21" s="4"/>
      <c r="F21" s="3" t="s">
        <v>1159</v>
      </c>
      <c r="G21" s="3" t="s">
        <v>748</v>
      </c>
      <c r="H21" s="3" t="s">
        <v>1228</v>
      </c>
      <c r="I21" s="48"/>
    </row>
    <row r="22" spans="1:9" x14ac:dyDescent="0.25">
      <c r="A22" s="5" t="str">
        <f>TabProjet[[#This Row],[Client]] &amp; "-" &amp; TabProjet[[#This Row],[Projet]]</f>
        <v>AFB-RNT</v>
      </c>
      <c r="B22" s="3" t="s">
        <v>745</v>
      </c>
      <c r="C22" s="3" t="s">
        <v>759</v>
      </c>
      <c r="D22" s="4"/>
      <c r="E22" s="4"/>
      <c r="F22" s="3" t="s">
        <v>747</v>
      </c>
      <c r="G22" s="3" t="s">
        <v>748</v>
      </c>
      <c r="H22" s="3" t="s">
        <v>749</v>
      </c>
      <c r="I22" s="49" t="s">
        <v>750</v>
      </c>
    </row>
    <row r="23" spans="1:9" x14ac:dyDescent="0.25">
      <c r="A23" s="5" t="str">
        <f>TabProjet[[#This Row],[Client]] &amp; "-" &amp; TabProjet[[#This Row],[Projet]]</f>
        <v>AFB-SIFLORE</v>
      </c>
      <c r="B23" s="3" t="s">
        <v>745</v>
      </c>
      <c r="C23" s="3" t="s">
        <v>760</v>
      </c>
      <c r="D23" s="4"/>
      <c r="E23" s="4"/>
      <c r="F23" s="3" t="s">
        <v>1159</v>
      </c>
      <c r="G23" s="3" t="s">
        <v>925</v>
      </c>
      <c r="H23" s="3" t="s">
        <v>749</v>
      </c>
      <c r="I23" s="49" t="s">
        <v>750</v>
      </c>
    </row>
    <row r="24" spans="1:9" x14ac:dyDescent="0.25">
      <c r="A24" s="5" t="str">
        <f>TabProjet[[#This Row],[Client]] &amp; "-" &amp; TabProjet[[#This Row],[Projet]]</f>
        <v>AFB-SISPEA</v>
      </c>
      <c r="B24" s="3" t="s">
        <v>745</v>
      </c>
      <c r="C24" s="3" t="s">
        <v>761</v>
      </c>
      <c r="D24" s="4"/>
      <c r="E24" s="4"/>
      <c r="F24" s="3" t="s">
        <v>1159</v>
      </c>
      <c r="G24" s="3" t="s">
        <v>925</v>
      </c>
      <c r="H24" s="3" t="s">
        <v>749</v>
      </c>
      <c r="I24" s="49" t="s">
        <v>750</v>
      </c>
    </row>
    <row r="25" spans="1:9" x14ac:dyDescent="0.25">
      <c r="A25" s="5" t="str">
        <f>TabProjet[[#This Row],[Client]] &amp; "-" &amp; TabProjet[[#This Row],[Projet]]</f>
        <v>AS24-Redmine</v>
      </c>
      <c r="B25" s="3" t="s">
        <v>191</v>
      </c>
      <c r="C25" s="3" t="s">
        <v>762</v>
      </c>
      <c r="D25" s="4"/>
      <c r="E25" s="4"/>
      <c r="F25" s="3" t="s">
        <v>763</v>
      </c>
      <c r="G25" s="3"/>
      <c r="H25" s="3" t="s">
        <v>764</v>
      </c>
      <c r="I25" s="3"/>
    </row>
    <row r="26" spans="1:9" x14ac:dyDescent="0.25">
      <c r="A26" t="str">
        <f>TabProjet[[#This Row],[Client]] &amp; "-" &amp; TabProjet[[#This Row],[Projet]]</f>
        <v>AS24-TMA PEAGE</v>
      </c>
      <c r="B26" s="3" t="s">
        <v>191</v>
      </c>
      <c r="C26" s="3" t="s">
        <v>765</v>
      </c>
      <c r="D26" s="4"/>
      <c r="E26" s="4">
        <v>43830</v>
      </c>
      <c r="F26" s="3" t="s">
        <v>763</v>
      </c>
      <c r="G26" s="3"/>
      <c r="H26" s="3" t="s">
        <v>764</v>
      </c>
      <c r="I26" s="49" t="s">
        <v>750</v>
      </c>
    </row>
    <row r="27" spans="1:9" x14ac:dyDescent="0.25">
      <c r="A27" t="str">
        <f>TabProjet[[#This Row],[Client]] &amp; "-" &amp; TabProjet[[#This Row],[Projet]]</f>
        <v>AS24-TRA PEAGE</v>
      </c>
      <c r="B27" s="3" t="s">
        <v>191</v>
      </c>
      <c r="C27" s="3" t="s">
        <v>766</v>
      </c>
      <c r="D27" s="4"/>
      <c r="E27" s="4">
        <v>43830</v>
      </c>
      <c r="F27" s="3" t="s">
        <v>763</v>
      </c>
      <c r="G27" s="3"/>
      <c r="H27" s="3" t="s">
        <v>764</v>
      </c>
      <c r="I27" s="49" t="s">
        <v>750</v>
      </c>
    </row>
    <row r="28" spans="1:9" x14ac:dyDescent="0.25">
      <c r="A28" s="5" t="str">
        <f>TabProjet[[#This Row],[Client]] &amp; "-" &amp; TabProjet[[#This Row],[Projet]]</f>
        <v>AS24-ChantierPIC</v>
      </c>
      <c r="B28" s="3" t="s">
        <v>191</v>
      </c>
      <c r="C28" s="3" t="s">
        <v>1243</v>
      </c>
      <c r="D28" s="4"/>
      <c r="E28" s="4"/>
      <c r="F28" s="3" t="s">
        <v>763</v>
      </c>
      <c r="G28" s="3"/>
      <c r="H28" s="3" t="s">
        <v>1242</v>
      </c>
      <c r="I28" s="49" t="s">
        <v>750</v>
      </c>
    </row>
    <row r="29" spans="1:9" x14ac:dyDescent="0.25">
      <c r="A29" s="5" t="str">
        <f>TabProjet[[#This Row],[Client]] &amp; "-" &amp; TabProjet[[#This Row],[Projet]]</f>
        <v>BRGM-BDLISA</v>
      </c>
      <c r="B29" s="3" t="s">
        <v>197</v>
      </c>
      <c r="C29" s="3" t="s">
        <v>767</v>
      </c>
      <c r="D29" s="4"/>
      <c r="E29" s="4"/>
      <c r="F29" s="3" t="s">
        <v>924</v>
      </c>
      <c r="G29" s="3" t="s">
        <v>1156</v>
      </c>
      <c r="H29" s="3" t="s">
        <v>768</v>
      </c>
      <c r="I29" s="3"/>
    </row>
    <row r="30" spans="1:9" x14ac:dyDescent="0.25">
      <c r="A30" s="5" t="str">
        <f>TabProjet[[#This Row],[Client]] &amp; "-" &amp; TabProjet[[#This Row],[Projet]]</f>
        <v>BRGM-BNPE</v>
      </c>
      <c r="B30" s="3" t="s">
        <v>197</v>
      </c>
      <c r="C30" s="3" t="s">
        <v>769</v>
      </c>
      <c r="D30" s="4"/>
      <c r="E30" s="4"/>
      <c r="F30" s="3" t="s">
        <v>924</v>
      </c>
      <c r="G30" s="3" t="s">
        <v>925</v>
      </c>
      <c r="H30" s="3" t="s">
        <v>768</v>
      </c>
      <c r="I30" s="49" t="s">
        <v>750</v>
      </c>
    </row>
    <row r="31" spans="1:9" x14ac:dyDescent="0.25">
      <c r="A31" s="5" t="str">
        <f>TabProjet[[#This Row],[Client]] &amp; "-" &amp; TabProjet[[#This Row],[Projet]]</f>
        <v>BRGM-DEGATS-MINERS</v>
      </c>
      <c r="B31" s="3" t="s">
        <v>197</v>
      </c>
      <c r="C31" s="3" t="s">
        <v>770</v>
      </c>
      <c r="D31" s="4"/>
      <c r="E31" s="4"/>
      <c r="F31" s="3" t="s">
        <v>1159</v>
      </c>
      <c r="G31" s="3" t="s">
        <v>1161</v>
      </c>
      <c r="H31" s="3" t="s">
        <v>771</v>
      </c>
      <c r="I31" s="3"/>
    </row>
    <row r="32" spans="1:9" x14ac:dyDescent="0.25">
      <c r="A32" t="str">
        <f>TabProjet[[#This Row],[Client]] &amp; "-" &amp; TabProjet[[#This Row],[Projet]]</f>
        <v>BYTEL-EDI</v>
      </c>
      <c r="B32" s="3" t="s">
        <v>772</v>
      </c>
      <c r="C32" s="3" t="s">
        <v>773</v>
      </c>
      <c r="D32" s="4"/>
      <c r="E32" s="4"/>
      <c r="F32" s="3" t="s">
        <v>774</v>
      </c>
      <c r="G32" s="3"/>
      <c r="H32" s="3" t="s">
        <v>775</v>
      </c>
      <c r="I32" s="3"/>
    </row>
    <row r="33" spans="1:9" x14ac:dyDescent="0.25">
      <c r="A33" s="5" t="str">
        <f>TabProjet[[#This Row],[Client]] &amp; "-" &amp; TabProjet[[#This Row],[Projet]]</f>
        <v>CA-TITRES-COGNOS</v>
      </c>
      <c r="B33" s="3" t="s">
        <v>208</v>
      </c>
      <c r="C33" s="3" t="s">
        <v>776</v>
      </c>
      <c r="D33" s="4"/>
      <c r="E33" s="4"/>
      <c r="F33" s="3" t="s">
        <v>924</v>
      </c>
      <c r="G33" s="3" t="s">
        <v>1158</v>
      </c>
      <c r="H33" s="3" t="s">
        <v>777</v>
      </c>
      <c r="I33" s="49" t="s">
        <v>750</v>
      </c>
    </row>
    <row r="34" spans="1:9" x14ac:dyDescent="0.25">
      <c r="A34" s="5" t="str">
        <f>TabProjet[[#This Row],[Client]] &amp; "-" &amp; TabProjet[[#This Row],[Projet]]</f>
        <v>CA-TITRES-CRR</v>
      </c>
      <c r="B34" s="3" t="s">
        <v>208</v>
      </c>
      <c r="C34" s="3" t="s">
        <v>778</v>
      </c>
      <c r="D34" s="4"/>
      <c r="E34" s="4"/>
      <c r="F34" s="3" t="s">
        <v>924</v>
      </c>
      <c r="G34" s="3" t="s">
        <v>1158</v>
      </c>
      <c r="H34" s="3" t="s">
        <v>777</v>
      </c>
      <c r="I34" s="49" t="s">
        <v>750</v>
      </c>
    </row>
    <row r="35" spans="1:9" x14ac:dyDescent="0.25">
      <c r="A35" t="str">
        <f>TabProjet[[#This Row],[Client]] &amp; "-" &amp; TabProjet[[#This Row],[Projet]]</f>
        <v>CDA-BO pour Nestix</v>
      </c>
      <c r="B35" s="3" t="s">
        <v>779</v>
      </c>
      <c r="C35" s="3" t="s">
        <v>780</v>
      </c>
      <c r="D35" s="4">
        <v>43524</v>
      </c>
      <c r="E35" s="4">
        <v>43677</v>
      </c>
      <c r="F35" s="3" t="s">
        <v>735</v>
      </c>
      <c r="G35" s="3"/>
      <c r="H35" s="3"/>
      <c r="I35" s="3"/>
    </row>
    <row r="36" spans="1:9" x14ac:dyDescent="0.25">
      <c r="A36" t="str">
        <f>TabProjet[[#This Row],[Client]] &amp; "-" &amp; TabProjet[[#This Row],[Projet]]</f>
        <v>CG44-CG44</v>
      </c>
      <c r="B36" s="3" t="s">
        <v>781</v>
      </c>
      <c r="C36" s="3" t="s">
        <v>781</v>
      </c>
      <c r="D36" s="4">
        <v>43556</v>
      </c>
      <c r="E36" s="4">
        <v>43830</v>
      </c>
      <c r="F36" s="3" t="s">
        <v>782</v>
      </c>
      <c r="G36" s="3"/>
      <c r="H36" s="3"/>
      <c r="I36" s="3"/>
    </row>
    <row r="37" spans="1:9" x14ac:dyDescent="0.25">
      <c r="A37" s="5" t="str">
        <f>TabProjet[[#This Row],[Client]] &amp; "-" &amp; TabProjet[[#This Row],[Projet]]</f>
        <v>CNAV-BI-RGCU</v>
      </c>
      <c r="B37" s="3" t="s">
        <v>1180</v>
      </c>
      <c r="C37" s="3" t="s">
        <v>1181</v>
      </c>
      <c r="D37" s="4"/>
      <c r="E37" s="4"/>
      <c r="F37" s="3" t="s">
        <v>1166</v>
      </c>
      <c r="G37" s="3" t="s">
        <v>1182</v>
      </c>
      <c r="H37" s="3" t="s">
        <v>1271</v>
      </c>
      <c r="I37" s="48"/>
    </row>
    <row r="38" spans="1:9" x14ac:dyDescent="0.25">
      <c r="A38" t="str">
        <f>TabProjet[[#This Row],[Client]] &amp; "-" &amp; TabProjet[[#This Row],[Projet]]</f>
        <v>CNIEG-SIRIUS</v>
      </c>
      <c r="B38" s="3" t="s">
        <v>783</v>
      </c>
      <c r="C38" s="3" t="s">
        <v>784</v>
      </c>
      <c r="D38" s="4"/>
      <c r="E38" s="4">
        <v>43830</v>
      </c>
      <c r="F38" s="3" t="s">
        <v>785</v>
      </c>
      <c r="G38" s="3"/>
      <c r="H38" s="3"/>
      <c r="I38" s="3"/>
    </row>
    <row r="39" spans="1:9" x14ac:dyDescent="0.25">
      <c r="A39" s="5" t="str">
        <f>TabProjet[[#This Row],[Client]] &amp; "-" &amp; TabProjet[[#This Row],[Projet]]</f>
        <v>DEVIS-DEVIS</v>
      </c>
      <c r="B39" s="3" t="s">
        <v>1238</v>
      </c>
      <c r="C39" s="3" t="s">
        <v>1238</v>
      </c>
      <c r="D39" s="4"/>
      <c r="E39" s="4"/>
      <c r="F39" s="3" t="s">
        <v>1238</v>
      </c>
      <c r="G39" s="3"/>
      <c r="H39" s="3" t="s">
        <v>1238</v>
      </c>
      <c r="I39" s="3"/>
    </row>
    <row r="40" spans="1:9" x14ac:dyDescent="0.25">
      <c r="A40" t="str">
        <f>TabProjet[[#This Row],[Client]] &amp; "-" &amp; TabProjet[[#This Row],[Projet]]</f>
        <v>DIG-Perform</v>
      </c>
      <c r="B40" s="3" t="s">
        <v>786</v>
      </c>
      <c r="C40" s="3" t="s">
        <v>787</v>
      </c>
      <c r="D40" s="4">
        <v>43358</v>
      </c>
      <c r="E40" s="4">
        <v>43830</v>
      </c>
      <c r="F40" s="3" t="s">
        <v>788</v>
      </c>
      <c r="G40" s="3"/>
      <c r="H40" s="3" t="s">
        <v>789</v>
      </c>
      <c r="I40" s="3"/>
    </row>
    <row r="41" spans="1:9" x14ac:dyDescent="0.25">
      <c r="A41" s="5" t="str">
        <f>TabProjet[[#This Row],[Client]] &amp; "-" &amp; TabProjet[[#This Row],[Projet]]</f>
        <v>EDI-MUT-EDI-MUT</v>
      </c>
      <c r="B41" s="3" t="s">
        <v>403</v>
      </c>
      <c r="C41" s="3" t="s">
        <v>403</v>
      </c>
      <c r="D41" s="4"/>
      <c r="E41" s="4"/>
      <c r="F41" s="3" t="s">
        <v>790</v>
      </c>
      <c r="G41" s="3"/>
      <c r="H41" s="3" t="s">
        <v>791</v>
      </c>
      <c r="I41" s="3"/>
    </row>
    <row r="42" spans="1:9" ht="23.25" x14ac:dyDescent="0.35">
      <c r="A42" s="81" t="str">
        <f>TabProjet[[#This Row],[Client]] &amp; "-" &amp; TabProjet[[#This Row],[Projet]]</f>
        <v>EDI-MUT-EDI-MUT-DEV</v>
      </c>
      <c r="B42" s="82" t="s">
        <v>403</v>
      </c>
      <c r="C42" s="82" t="s">
        <v>1285</v>
      </c>
      <c r="D42" s="83"/>
      <c r="E42" s="83"/>
      <c r="F42" s="82" t="s">
        <v>790</v>
      </c>
      <c r="G42" s="82"/>
      <c r="H42" s="82" t="s">
        <v>1284</v>
      </c>
      <c r="I42" s="82"/>
    </row>
    <row r="43" spans="1:9" x14ac:dyDescent="0.25">
      <c r="A43" s="5" t="str">
        <f>TabProjet[[#This Row],[Client]] &amp; "-" &amp; TabProjet[[#This Row],[Projet]]</f>
        <v>Fablab-Firmin</v>
      </c>
      <c r="B43" s="3" t="s">
        <v>267</v>
      </c>
      <c r="C43" s="3" t="s">
        <v>792</v>
      </c>
      <c r="D43" s="4"/>
      <c r="E43" s="4"/>
      <c r="F43" s="3" t="s">
        <v>793</v>
      </c>
      <c r="G43" s="3"/>
      <c r="H43" s="3" t="s">
        <v>664</v>
      </c>
      <c r="I43" s="3"/>
    </row>
    <row r="44" spans="1:9" x14ac:dyDescent="0.25">
      <c r="A44" s="5" t="str">
        <f>TabProjet[[#This Row],[Client]] &amp; "-" &amp; TabProjet[[#This Row],[Projet]]</f>
        <v>FOBA-Foba</v>
      </c>
      <c r="B44" s="3" t="s">
        <v>794</v>
      </c>
      <c r="C44" s="3" t="s">
        <v>795</v>
      </c>
      <c r="D44" s="4"/>
      <c r="E44" s="4"/>
      <c r="F44" s="3" t="s">
        <v>796</v>
      </c>
      <c r="G44" s="3"/>
      <c r="H44" s="3" t="s">
        <v>795</v>
      </c>
      <c r="I44" s="3"/>
    </row>
    <row r="45" spans="1:9" x14ac:dyDescent="0.25">
      <c r="A45" s="5" t="str">
        <f>TabProjet[[#This Row],[Client]] &amp; "-" &amp; TabProjet[[#This Row],[Projet]]</f>
        <v>FRR-APPLIFRR</v>
      </c>
      <c r="B45" s="3" t="s">
        <v>192</v>
      </c>
      <c r="C45" s="3" t="s">
        <v>797</v>
      </c>
      <c r="D45" s="4"/>
      <c r="E45" s="4"/>
      <c r="F45" s="3" t="s">
        <v>1159</v>
      </c>
      <c r="G45" s="3" t="s">
        <v>1161</v>
      </c>
      <c r="H45" s="3" t="s">
        <v>799</v>
      </c>
      <c r="I45" s="3"/>
    </row>
    <row r="46" spans="1:9" x14ac:dyDescent="0.25">
      <c r="A46" s="5" t="str">
        <f>TabProjet[[#This Row],[Client]] &amp; "-" &amp; TabProjet[[#This Row],[Projet]]</f>
        <v>FRR-CADENCIER</v>
      </c>
      <c r="B46" s="3" t="s">
        <v>192</v>
      </c>
      <c r="C46" s="3" t="s">
        <v>800</v>
      </c>
      <c r="D46" s="4"/>
      <c r="E46" s="4"/>
      <c r="F46" s="3" t="s">
        <v>1159</v>
      </c>
      <c r="G46" s="3" t="s">
        <v>1161</v>
      </c>
      <c r="H46" s="3" t="s">
        <v>799</v>
      </c>
      <c r="I46" s="3"/>
    </row>
    <row r="47" spans="1:9" x14ac:dyDescent="0.25">
      <c r="A47" s="5" t="str">
        <f>TabProjet[[#This Row],[Client]] &amp; "-" &amp; TabProjet[[#This Row],[Projet]]</f>
        <v>FRR-DIGIPAT</v>
      </c>
      <c r="B47" s="3" t="s">
        <v>192</v>
      </c>
      <c r="C47" s="3" t="s">
        <v>1179</v>
      </c>
      <c r="D47" s="4"/>
      <c r="E47" s="4"/>
      <c r="F47" s="3" t="s">
        <v>1176</v>
      </c>
      <c r="G47" s="3" t="s">
        <v>798</v>
      </c>
      <c r="H47" s="3" t="s">
        <v>799</v>
      </c>
      <c r="I47" s="3"/>
    </row>
    <row r="48" spans="1:9" x14ac:dyDescent="0.25">
      <c r="A48" s="5" t="str">
        <f>TabProjet[[#This Row],[Client]] &amp; "-" &amp; TabProjet[[#This Row],[Projet]]</f>
        <v>FRR-Patapain</v>
      </c>
      <c r="B48" s="3" t="s">
        <v>192</v>
      </c>
      <c r="C48" s="3" t="s">
        <v>801</v>
      </c>
      <c r="D48" s="4"/>
      <c r="E48" s="4"/>
      <c r="F48" s="3" t="s">
        <v>798</v>
      </c>
      <c r="G48" s="3" t="s">
        <v>798</v>
      </c>
      <c r="H48" s="3" t="s">
        <v>799</v>
      </c>
      <c r="I48" s="3"/>
    </row>
    <row r="49" spans="1:9" x14ac:dyDescent="0.25">
      <c r="A49" s="5" t="str">
        <f>TabProjet[[#This Row],[Client]] &amp; "-" &amp; TabProjet[[#This Row],[Projet]]</f>
        <v>FRR-STAGEDATA</v>
      </c>
      <c r="B49" s="3" t="s">
        <v>192</v>
      </c>
      <c r="C49" s="3" t="s">
        <v>802</v>
      </c>
      <c r="D49" s="4"/>
      <c r="E49" s="4"/>
      <c r="F49" s="3" t="s">
        <v>1166</v>
      </c>
      <c r="G49" s="3" t="s">
        <v>1206</v>
      </c>
      <c r="H49" s="3" t="s">
        <v>799</v>
      </c>
      <c r="I49" s="3"/>
    </row>
    <row r="50" spans="1:9" x14ac:dyDescent="0.25">
      <c r="A50" s="5" t="str">
        <f>TabProjet[[#This Row],[Client]] &amp; "-" &amp; TabProjet[[#This Row],[Projet]]</f>
        <v>FRR-TCPOS</v>
      </c>
      <c r="B50" s="3" t="s">
        <v>192</v>
      </c>
      <c r="C50" s="3" t="s">
        <v>803</v>
      </c>
      <c r="D50" s="4"/>
      <c r="E50" s="4"/>
      <c r="F50" s="3" t="s">
        <v>1159</v>
      </c>
      <c r="G50" s="3" t="s">
        <v>1161</v>
      </c>
      <c r="H50" s="3" t="s">
        <v>799</v>
      </c>
      <c r="I50" s="3"/>
    </row>
    <row r="51" spans="1:9" x14ac:dyDescent="0.25">
      <c r="A51" s="5" t="str">
        <f>TabProjet[[#This Row],[Client]] &amp; "-" &amp; TabProjet[[#This Row],[Projet]]</f>
        <v>Gest'ea / OUGC-Gest'ea / OUGC</v>
      </c>
      <c r="B51" s="3" t="s">
        <v>804</v>
      </c>
      <c r="C51" s="3" t="s">
        <v>804</v>
      </c>
      <c r="D51" s="4"/>
      <c r="E51" s="4"/>
      <c r="F51" s="3" t="s">
        <v>924</v>
      </c>
      <c r="G51" s="3" t="s">
        <v>1165</v>
      </c>
      <c r="H51" s="3" t="s">
        <v>804</v>
      </c>
      <c r="I51" s="3"/>
    </row>
    <row r="52" spans="1:9" x14ac:dyDescent="0.25">
      <c r="A52" t="str">
        <f>TabProjet[[#This Row],[Client]] &amp; "-" &amp; TabProjet[[#This Row],[Projet]]</f>
        <v>GFI-Autres</v>
      </c>
      <c r="B52" s="3" t="s">
        <v>224</v>
      </c>
      <c r="C52" s="3" t="s">
        <v>806</v>
      </c>
      <c r="D52" s="4"/>
      <c r="E52" s="4">
        <v>43830</v>
      </c>
      <c r="F52" s="3" t="s">
        <v>807</v>
      </c>
      <c r="G52" s="3" t="s">
        <v>808</v>
      </c>
      <c r="H52" s="3"/>
      <c r="I52" s="3"/>
    </row>
    <row r="53" spans="1:9" x14ac:dyDescent="0.25">
      <c r="A53" s="5" t="str">
        <f>TabProjet[[#This Row],[Client]] &amp; "-" &amp; TabProjet[[#This Row],[Projet]]</f>
        <v>GFI-BASECONTACT</v>
      </c>
      <c r="B53" s="3" t="s">
        <v>224</v>
      </c>
      <c r="C53" s="3" t="s">
        <v>809</v>
      </c>
      <c r="D53" s="4"/>
      <c r="E53" s="4"/>
      <c r="F53" s="3" t="s">
        <v>788</v>
      </c>
      <c r="G53" s="3"/>
      <c r="H53" s="3" t="s">
        <v>810</v>
      </c>
      <c r="I53" s="48" t="s">
        <v>805</v>
      </c>
    </row>
    <row r="54" spans="1:9" x14ac:dyDescent="0.25">
      <c r="A54" s="5" t="str">
        <f>TabProjet[[#This Row],[Client]] &amp; "-" &amp; TabProjet[[#This Row],[Projet]]</f>
        <v>GFI-Dev Fight</v>
      </c>
      <c r="B54" s="3" t="s">
        <v>224</v>
      </c>
      <c r="C54" s="3" t="s">
        <v>811</v>
      </c>
      <c r="D54" s="4"/>
      <c r="E54" s="4"/>
      <c r="F54" s="3" t="s">
        <v>812</v>
      </c>
      <c r="G54" s="3"/>
      <c r="H54" s="3" t="s">
        <v>810</v>
      </c>
      <c r="I54" s="3"/>
    </row>
    <row r="55" spans="1:9" x14ac:dyDescent="0.25">
      <c r="A55" s="5" t="str">
        <f>TabProjet[[#This Row],[Client]] &amp; "-" &amp; TabProjet[[#This Row],[Projet]]</f>
        <v>GFI-EveryDaily</v>
      </c>
      <c r="B55" s="3" t="s">
        <v>224</v>
      </c>
      <c r="C55" s="3" t="s">
        <v>813</v>
      </c>
      <c r="D55" s="4"/>
      <c r="E55" s="4"/>
      <c r="F55" s="3" t="s">
        <v>788</v>
      </c>
      <c r="G55" s="3" t="s">
        <v>814</v>
      </c>
      <c r="H55" s="3" t="s">
        <v>789</v>
      </c>
      <c r="I55" s="3"/>
    </row>
    <row r="56" spans="1:9" x14ac:dyDescent="0.25">
      <c r="A56" s="5" t="str">
        <f>TabProjet[[#This Row],[Client]] &amp; "-" &amp; TabProjet[[#This Row],[Projet]]</f>
        <v>GFI-Gestionnaire de devis (Niort)</v>
      </c>
      <c r="B56" s="3" t="s">
        <v>224</v>
      </c>
      <c r="C56" s="3" t="s">
        <v>815</v>
      </c>
      <c r="D56" s="4"/>
      <c r="E56" s="4"/>
      <c r="F56" s="3" t="s">
        <v>816</v>
      </c>
      <c r="G56" s="3"/>
      <c r="H56" s="3" t="s">
        <v>817</v>
      </c>
      <c r="I56" s="3"/>
    </row>
    <row r="57" spans="1:9" x14ac:dyDescent="0.25">
      <c r="A57" s="5" t="str">
        <f>TabProjet[[#This Row],[Client]] &amp; "-" &amp; TabProjet[[#This Row],[Projet]]</f>
        <v>GFI-Gestionnaire de tickets (Niort)</v>
      </c>
      <c r="B57" s="3" t="s">
        <v>224</v>
      </c>
      <c r="C57" s="3" t="s">
        <v>818</v>
      </c>
      <c r="D57" s="4"/>
      <c r="E57" s="4"/>
      <c r="F57" s="3" t="s">
        <v>816</v>
      </c>
      <c r="G57" s="3"/>
      <c r="H57" s="3" t="s">
        <v>817</v>
      </c>
      <c r="I57" s="3"/>
    </row>
    <row r="58" spans="1:9" x14ac:dyDescent="0.25">
      <c r="A58" s="5" t="str">
        <f>TabProjet[[#This Row],[Client]] &amp; "-" &amp; TabProjet[[#This Row],[Projet]]</f>
        <v>GFI-GFICOFFEE</v>
      </c>
      <c r="B58" s="3" t="s">
        <v>224</v>
      </c>
      <c r="C58" s="3" t="s">
        <v>819</v>
      </c>
      <c r="D58" s="4"/>
      <c r="E58" s="4"/>
      <c r="F58" s="3" t="s">
        <v>747</v>
      </c>
      <c r="G58" s="3" t="s">
        <v>1164</v>
      </c>
      <c r="H58" s="3" t="s">
        <v>820</v>
      </c>
      <c r="I58" s="3"/>
    </row>
    <row r="59" spans="1:9" x14ac:dyDescent="0.25">
      <c r="A59" s="5" t="str">
        <f>TabProjet[[#This Row],[Client]] &amp; "-" &amp; TabProjet[[#This Row],[Projet]]</f>
        <v>GFI-GitLab Orléans</v>
      </c>
      <c r="B59" s="3" t="s">
        <v>224</v>
      </c>
      <c r="C59" s="3" t="s">
        <v>821</v>
      </c>
      <c r="D59" s="4"/>
      <c r="E59" s="4"/>
      <c r="F59" s="3" t="s">
        <v>747</v>
      </c>
      <c r="G59" s="3"/>
      <c r="H59" s="3" t="s">
        <v>821</v>
      </c>
      <c r="I59" s="3"/>
    </row>
    <row r="60" spans="1:9" x14ac:dyDescent="0.25">
      <c r="A60" s="5" t="str">
        <f>TabProjet[[#This Row],[Client]] &amp; "-" &amp; TabProjet[[#This Row],[Projet]]</f>
        <v>GFI-Jetbrain serveur licence</v>
      </c>
      <c r="B60" s="3" t="s">
        <v>224</v>
      </c>
      <c r="C60" s="3" t="s">
        <v>822</v>
      </c>
      <c r="D60" s="4"/>
      <c r="E60" s="4"/>
      <c r="F60" s="3" t="s">
        <v>812</v>
      </c>
      <c r="G60" s="3"/>
      <c r="H60" s="3" t="s">
        <v>692</v>
      </c>
      <c r="I60" s="48" t="s">
        <v>805</v>
      </c>
    </row>
    <row r="61" spans="1:9" x14ac:dyDescent="0.25">
      <c r="A61" s="5" t="str">
        <f>TabProjet[[#This Row],[Client]] &amp; "-" &amp; TabProjet[[#This Row],[Projet]]</f>
        <v>GFI-Linkus</v>
      </c>
      <c r="B61" s="3" t="s">
        <v>224</v>
      </c>
      <c r="C61" s="3" t="s">
        <v>823</v>
      </c>
      <c r="D61" s="4"/>
      <c r="E61" s="4"/>
      <c r="F61" s="3" t="s">
        <v>824</v>
      </c>
      <c r="G61" s="3"/>
      <c r="H61" s="3" t="s">
        <v>825</v>
      </c>
      <c r="I61" s="3"/>
    </row>
    <row r="62" spans="1:9" x14ac:dyDescent="0.25">
      <c r="A62" s="5" t="str">
        <f>TabProjet[[#This Row],[Client]] &amp; "-" &amp; TabProjet[[#This Row],[Projet]]</f>
        <v>GFI-Lotus Domino</v>
      </c>
      <c r="B62" s="3" t="s">
        <v>224</v>
      </c>
      <c r="C62" s="3" t="s">
        <v>826</v>
      </c>
      <c r="D62" s="4"/>
      <c r="E62" s="4"/>
      <c r="F62" s="3" t="s">
        <v>827</v>
      </c>
      <c r="G62" s="3" t="s">
        <v>828</v>
      </c>
      <c r="H62" s="3" t="s">
        <v>829</v>
      </c>
      <c r="I62" s="3"/>
    </row>
    <row r="63" spans="1:9" x14ac:dyDescent="0.25">
      <c r="A63" t="str">
        <f>TabProjet[[#This Row],[Client]] &amp; "-" &amp; TabProjet[[#This Row],[Projet]]</f>
        <v>GFI-MARCO POLO</v>
      </c>
      <c r="B63" s="3" t="s">
        <v>224</v>
      </c>
      <c r="C63" s="3" t="s">
        <v>830</v>
      </c>
      <c r="D63" s="4"/>
      <c r="E63" s="4">
        <v>43585</v>
      </c>
      <c r="F63" s="3" t="s">
        <v>816</v>
      </c>
      <c r="G63" s="3" t="s">
        <v>831</v>
      </c>
      <c r="H63" s="3" t="s">
        <v>832</v>
      </c>
      <c r="I63" s="3"/>
    </row>
    <row r="64" spans="1:9" x14ac:dyDescent="0.25">
      <c r="A64" t="str">
        <f>TabProjet[[#This Row],[Client]] &amp; "-" &amp; TabProjet[[#This Row],[Projet]]</f>
        <v>GFI-MY BUSINESS</v>
      </c>
      <c r="B64" s="3" t="s">
        <v>224</v>
      </c>
      <c r="C64" s="3" t="s">
        <v>833</v>
      </c>
      <c r="D64" s="4"/>
      <c r="E64" s="4">
        <v>43830</v>
      </c>
      <c r="F64" s="3" t="s">
        <v>816</v>
      </c>
      <c r="G64" s="3" t="s">
        <v>831</v>
      </c>
      <c r="H64" s="3" t="s">
        <v>817</v>
      </c>
      <c r="I64" s="3"/>
    </row>
    <row r="65" spans="1:9" x14ac:dyDescent="0.25">
      <c r="A65" s="5" t="str">
        <f>TabProjet[[#This Row],[Client]] &amp; "-" &amp; TabProjet[[#This Row],[Projet]]</f>
        <v>GFI-Oceanet Gestion VM</v>
      </c>
      <c r="B65" s="3" t="s">
        <v>224</v>
      </c>
      <c r="C65" s="3" t="s">
        <v>834</v>
      </c>
      <c r="D65" s="4"/>
      <c r="E65" s="4"/>
      <c r="F65" s="3" t="s">
        <v>812</v>
      </c>
      <c r="G65" s="3"/>
      <c r="H65" s="3" t="s">
        <v>838</v>
      </c>
      <c r="I65" s="3"/>
    </row>
    <row r="66" spans="1:9" x14ac:dyDescent="0.25">
      <c r="A66" s="5" t="str">
        <f>TabProjet[[#This Row],[Client]] &amp; "-" &amp; TabProjet[[#This Row],[Projet]]</f>
        <v>GFI-Oceanet Infra Modèles</v>
      </c>
      <c r="B66" s="3" t="s">
        <v>224</v>
      </c>
      <c r="C66" s="3" t="s">
        <v>836</v>
      </c>
      <c r="D66" s="4"/>
      <c r="E66" s="4"/>
      <c r="F66" s="3" t="s">
        <v>812</v>
      </c>
      <c r="G66" s="3"/>
      <c r="H66" s="3" t="s">
        <v>838</v>
      </c>
      <c r="I66" s="3"/>
    </row>
    <row r="67" spans="1:9" x14ac:dyDescent="0.25">
      <c r="A67" s="5" t="str">
        <f>TabProjet[[#This Row],[Client]] &amp; "-" &amp; TabProjet[[#This Row],[Projet]]</f>
        <v>GFI-Oceanet Infra Réseau</v>
      </c>
      <c r="B67" s="3" t="s">
        <v>224</v>
      </c>
      <c r="C67" s="3" t="s">
        <v>837</v>
      </c>
      <c r="D67" s="4"/>
      <c r="E67" s="4"/>
      <c r="F67" s="3" t="s">
        <v>812</v>
      </c>
      <c r="G67" s="3"/>
      <c r="H67" s="3" t="s">
        <v>838</v>
      </c>
      <c r="I67" s="3"/>
    </row>
    <row r="68" spans="1:9" x14ac:dyDescent="0.25">
      <c r="A68" s="5" t="str">
        <f>TabProjet[[#This Row],[Client]] &amp; "-" &amp; TabProjet[[#This Row],[Projet]]</f>
        <v>GFI-Oceanet Infra Réseau Orléans</v>
      </c>
      <c r="B68" s="3" t="s">
        <v>224</v>
      </c>
      <c r="C68" s="3" t="s">
        <v>1188</v>
      </c>
      <c r="D68" s="4"/>
      <c r="E68" s="4"/>
      <c r="F68" s="3" t="s">
        <v>747</v>
      </c>
      <c r="G68" s="3"/>
      <c r="H68" s="3" t="s">
        <v>1183</v>
      </c>
      <c r="I68" s="3"/>
    </row>
    <row r="69" spans="1:9" ht="30" x14ac:dyDescent="0.25">
      <c r="A69" s="5" t="str">
        <f>TabProjet[[#This Row],[Client]] &amp; "-" &amp; TabProjet[[#This Row],[Projet]]</f>
        <v>GFI-Oceanet Orléans PIC</v>
      </c>
      <c r="B69" s="3" t="s">
        <v>224</v>
      </c>
      <c r="C69" s="3" t="s">
        <v>839</v>
      </c>
      <c r="D69" s="4"/>
      <c r="E69" s="4"/>
      <c r="F69" s="3" t="s">
        <v>747</v>
      </c>
      <c r="G69" s="3"/>
      <c r="H69" s="3" t="s">
        <v>840</v>
      </c>
      <c r="I69" s="42" t="s">
        <v>841</v>
      </c>
    </row>
    <row r="70" spans="1:9" x14ac:dyDescent="0.25">
      <c r="A70" t="str">
        <f>TabProjet[[#This Row],[Client]] &amp; "-" &amp; TabProjet[[#This Row],[Projet]]</f>
        <v>GFI-OK Gfi</v>
      </c>
      <c r="B70" s="3" t="s">
        <v>224</v>
      </c>
      <c r="C70" s="3" t="s">
        <v>842</v>
      </c>
      <c r="D70" s="4">
        <v>43523</v>
      </c>
      <c r="E70" s="4">
        <v>43646</v>
      </c>
      <c r="F70" s="3" t="s">
        <v>730</v>
      </c>
      <c r="G70" s="3"/>
      <c r="H70" s="3" t="s">
        <v>789</v>
      </c>
      <c r="I70" s="3"/>
    </row>
    <row r="71" spans="1:9" x14ac:dyDescent="0.25">
      <c r="A71" s="5" t="str">
        <f>TabProjet[[#This Row],[Client]] &amp; "-" &amp; TabProjet[[#This Row],[Projet]]</f>
        <v>GFI-Outil de notification automatique Jira (Niort)</v>
      </c>
      <c r="B71" s="3" t="s">
        <v>224</v>
      </c>
      <c r="C71" s="3" t="s">
        <v>843</v>
      </c>
      <c r="D71" s="4"/>
      <c r="E71" s="4"/>
      <c r="F71" s="3" t="s">
        <v>816</v>
      </c>
      <c r="G71" s="3"/>
      <c r="H71" s="3" t="s">
        <v>817</v>
      </c>
      <c r="I71" s="3"/>
    </row>
    <row r="72" spans="1:9" x14ac:dyDescent="0.25">
      <c r="A72" t="str">
        <f>TabProjet[[#This Row],[Client]] &amp; "-" &amp; TabProjet[[#This Row],[Projet]]</f>
        <v>GFI-PANGOLIN</v>
      </c>
      <c r="B72" s="3" t="s">
        <v>224</v>
      </c>
      <c r="C72" s="3" t="s">
        <v>844</v>
      </c>
      <c r="D72" s="4"/>
      <c r="E72" s="4">
        <v>43830</v>
      </c>
      <c r="F72" s="3" t="s">
        <v>788</v>
      </c>
      <c r="G72" s="3" t="s">
        <v>831</v>
      </c>
      <c r="H72" s="3" t="s">
        <v>789</v>
      </c>
      <c r="I72" s="3"/>
    </row>
    <row r="73" spans="1:9" x14ac:dyDescent="0.25">
      <c r="A73" s="5" t="str">
        <f>TabProjet[[#This Row],[Client]] &amp; "-" &amp; TabProjet[[#This Row],[Projet]]</f>
        <v>GFI-POC Android</v>
      </c>
      <c r="B73" s="3" t="s">
        <v>224</v>
      </c>
      <c r="C73" s="3" t="s">
        <v>845</v>
      </c>
      <c r="D73" s="4"/>
      <c r="E73" s="4"/>
      <c r="F73" s="3" t="s">
        <v>788</v>
      </c>
      <c r="G73" s="3" t="s">
        <v>846</v>
      </c>
      <c r="H73" s="3" t="s">
        <v>789</v>
      </c>
      <c r="I73" s="3"/>
    </row>
    <row r="74" spans="1:9" x14ac:dyDescent="0.25">
      <c r="A74" s="5" t="str">
        <f>TabProjet[[#This Row],[Client]] &amp; "-" &amp; TabProjet[[#This Row],[Projet]]</f>
        <v>GFI-Redmine Niort</v>
      </c>
      <c r="B74" s="3" t="s">
        <v>224</v>
      </c>
      <c r="C74" s="3" t="s">
        <v>847</v>
      </c>
      <c r="D74" s="4"/>
      <c r="E74" s="4"/>
      <c r="F74" s="3" t="s">
        <v>816</v>
      </c>
      <c r="G74" s="3"/>
      <c r="H74" s="3" t="s">
        <v>848</v>
      </c>
      <c r="I74" s="48" t="s">
        <v>805</v>
      </c>
    </row>
    <row r="75" spans="1:9" x14ac:dyDescent="0.25">
      <c r="A75" s="5" t="str">
        <f>TabProjet[[#This Row],[Client]] &amp; "-" &amp; TabProjet[[#This Row],[Projet]]</f>
        <v>GFI-Redmine Orléans</v>
      </c>
      <c r="B75" s="3" t="s">
        <v>224</v>
      </c>
      <c r="C75" s="3" t="s">
        <v>849</v>
      </c>
      <c r="D75" s="4"/>
      <c r="E75" s="4"/>
      <c r="F75" s="3" t="s">
        <v>747</v>
      </c>
      <c r="G75" s="3"/>
      <c r="H75" s="3" t="s">
        <v>850</v>
      </c>
      <c r="I75" s="48" t="s">
        <v>805</v>
      </c>
    </row>
    <row r="76" spans="1:9" x14ac:dyDescent="0.25">
      <c r="A76" s="5" t="str">
        <f>TabProjet[[#This Row],[Client]] &amp; "-" &amp; TabProjet[[#This Row],[Projet]]</f>
        <v>GFI-TENDER</v>
      </c>
      <c r="B76" s="3" t="s">
        <v>224</v>
      </c>
      <c r="C76" s="3" t="s">
        <v>851</v>
      </c>
      <c r="D76" s="4"/>
      <c r="E76" s="4"/>
      <c r="F76" s="3" t="s">
        <v>747</v>
      </c>
      <c r="G76" s="3"/>
      <c r="H76" s="3" t="s">
        <v>810</v>
      </c>
      <c r="I76" s="48" t="s">
        <v>805</v>
      </c>
    </row>
    <row r="77" spans="1:9" x14ac:dyDescent="0.25">
      <c r="A77" t="str">
        <f>TabProjet[[#This Row],[Client]] &amp; "-" &amp; TabProjet[[#This Row],[Projet]]</f>
        <v>GFI-WE SPEC</v>
      </c>
      <c r="B77" s="3" t="s">
        <v>224</v>
      </c>
      <c r="C77" s="3" t="s">
        <v>852</v>
      </c>
      <c r="D77" s="4"/>
      <c r="E77" s="4">
        <v>43830</v>
      </c>
      <c r="F77" s="3" t="s">
        <v>788</v>
      </c>
      <c r="G77" s="3" t="s">
        <v>831</v>
      </c>
      <c r="H77" s="3" t="s">
        <v>825</v>
      </c>
      <c r="I77" s="3"/>
    </row>
    <row r="78" spans="1:9" x14ac:dyDescent="0.25">
      <c r="A78" s="5" t="str">
        <f>TabProjet[[#This Row],[Client]] &amp; "-" &amp; TabProjet[[#This Row],[Projet]]</f>
        <v>GIE S-V-CDS</v>
      </c>
      <c r="B78" s="3" t="s">
        <v>853</v>
      </c>
      <c r="C78" s="3" t="s">
        <v>854</v>
      </c>
      <c r="D78" s="4">
        <v>43600</v>
      </c>
      <c r="E78" s="4">
        <v>43769</v>
      </c>
      <c r="F78" s="3" t="s">
        <v>855</v>
      </c>
      <c r="G78" s="3"/>
      <c r="H78" s="3"/>
      <c r="I78" s="3"/>
    </row>
    <row r="79" spans="1:9" x14ac:dyDescent="0.25">
      <c r="A79" t="str">
        <f>TabProjet[[#This Row],[Client]] &amp; "-" &amp; TabProjet[[#This Row],[Projet]]</f>
        <v>GIE S-V-CEAM en RR</v>
      </c>
      <c r="B79" s="3" t="s">
        <v>853</v>
      </c>
      <c r="C79" s="3" t="s">
        <v>856</v>
      </c>
      <c r="D79" s="4"/>
      <c r="E79" s="4">
        <v>44926</v>
      </c>
      <c r="F79" s="3" t="s">
        <v>855</v>
      </c>
      <c r="G79" s="3"/>
      <c r="H79" s="3"/>
      <c r="I79" s="3"/>
    </row>
    <row r="80" spans="1:9" x14ac:dyDescent="0.25">
      <c r="A80" t="str">
        <f>TabProjet[[#This Row],[Client]] &amp; "-" &amp; TabProjet[[#This Row],[Projet]]</f>
        <v>GIE S-V-DYS en RR</v>
      </c>
      <c r="B80" s="3" t="s">
        <v>853</v>
      </c>
      <c r="C80" s="3" t="s">
        <v>857</v>
      </c>
      <c r="D80" s="4">
        <v>43525</v>
      </c>
      <c r="E80" s="4">
        <v>42643</v>
      </c>
      <c r="F80" s="3" t="s">
        <v>855</v>
      </c>
      <c r="G80" s="3"/>
      <c r="H80" s="3"/>
      <c r="I80" s="3"/>
    </row>
    <row r="81" spans="1:9" x14ac:dyDescent="0.25">
      <c r="A81" s="5" t="str">
        <f>TabProjet[[#This Row],[Client]] &amp; "-" &amp; TabProjet[[#This Row],[Projet]]</f>
        <v>GIE S-V-Mantis - RR</v>
      </c>
      <c r="B81" s="3" t="s">
        <v>853</v>
      </c>
      <c r="C81" s="3" t="s">
        <v>858</v>
      </c>
      <c r="D81" s="4"/>
      <c r="E81" s="4"/>
      <c r="F81" s="3" t="s">
        <v>855</v>
      </c>
      <c r="G81" s="3"/>
      <c r="H81" s="3" t="s">
        <v>859</v>
      </c>
      <c r="I81" s="3"/>
    </row>
    <row r="82" spans="1:9" x14ac:dyDescent="0.25">
      <c r="A82" s="5" t="str">
        <f>TabProjet[[#This Row],[Client]] &amp; "-" &amp; TabProjet[[#This Row],[Projet]]</f>
        <v>GIE S-V-Infra Citrix</v>
      </c>
      <c r="B82" s="3" t="s">
        <v>853</v>
      </c>
      <c r="C82" s="3" t="s">
        <v>1336</v>
      </c>
      <c r="D82" s="4"/>
      <c r="E82" s="4"/>
      <c r="F82" s="3" t="s">
        <v>855</v>
      </c>
      <c r="G82" s="3"/>
      <c r="H82" s="3" t="s">
        <v>859</v>
      </c>
      <c r="I82" s="3"/>
    </row>
    <row r="83" spans="1:9" x14ac:dyDescent="0.25">
      <c r="A83" t="str">
        <f>TabProjet[[#This Row],[Client]] &amp; "-" &amp; TabProjet[[#This Row],[Projet]]</f>
        <v>GIE S-V-OPTIMA en RR</v>
      </c>
      <c r="B83" s="3" t="s">
        <v>853</v>
      </c>
      <c r="C83" s="3" t="s">
        <v>860</v>
      </c>
      <c r="D83" s="4">
        <v>43467</v>
      </c>
      <c r="E83" s="4">
        <v>43738</v>
      </c>
      <c r="F83" s="3" t="s">
        <v>855</v>
      </c>
      <c r="G83" s="3"/>
      <c r="H83" s="3"/>
      <c r="I83" s="3"/>
    </row>
    <row r="84" spans="1:9" x14ac:dyDescent="0.25">
      <c r="A84" s="5" t="str">
        <f>TabProjet[[#This Row],[Client]] &amp; "-" &amp; TabProjet[[#This Row],[Projet]]</f>
        <v>GIE S-V-Site</v>
      </c>
      <c r="B84" s="3" t="s">
        <v>853</v>
      </c>
      <c r="C84" s="3" t="s">
        <v>861</v>
      </c>
      <c r="D84" s="4">
        <v>43466</v>
      </c>
      <c r="E84" s="4">
        <v>43830</v>
      </c>
      <c r="F84" s="3" t="s">
        <v>855</v>
      </c>
      <c r="G84" s="3"/>
      <c r="H84" s="3"/>
      <c r="I84" s="3"/>
    </row>
    <row r="85" spans="1:9" x14ac:dyDescent="0.25">
      <c r="A85" s="5" t="str">
        <f>TabProjet[[#This Row],[Client]] &amp; "-" &amp; TabProjet[[#This Row],[Projet]]</f>
        <v>GIP RECIA-Plateformes CLOUD / Edition</v>
      </c>
      <c r="B85" s="3" t="s">
        <v>862</v>
      </c>
      <c r="C85" s="3" t="s">
        <v>863</v>
      </c>
      <c r="D85" s="4"/>
      <c r="E85" s="4"/>
      <c r="F85" s="3" t="s">
        <v>747</v>
      </c>
      <c r="G85" s="3"/>
      <c r="H85" s="3" t="s">
        <v>695</v>
      </c>
      <c r="I85" s="48" t="s">
        <v>805</v>
      </c>
    </row>
    <row r="86" spans="1:9" x14ac:dyDescent="0.25">
      <c r="A86" s="5" t="str">
        <f>TabProjet[[#This Row],[Client]] &amp; "-" &amp; TabProjet[[#This Row],[Projet]]</f>
        <v>IT-CE-TMA</v>
      </c>
      <c r="B86" s="3" t="s">
        <v>248</v>
      </c>
      <c r="C86" s="3" t="s">
        <v>65</v>
      </c>
      <c r="D86" s="4"/>
      <c r="E86" s="4"/>
      <c r="F86" s="3" t="s">
        <v>747</v>
      </c>
      <c r="G86" s="3" t="s">
        <v>1157</v>
      </c>
      <c r="H86" s="3" t="s">
        <v>864</v>
      </c>
      <c r="I86" s="3"/>
    </row>
    <row r="87" spans="1:9" x14ac:dyDescent="0.25">
      <c r="A87" s="5" t="str">
        <f>TabProjet[[#This Row],[Client]] &amp; "-" &amp; TabProjet[[#This Row],[Projet]]</f>
        <v>LA POSTE-CDC-DRUPAL</v>
      </c>
      <c r="B87" s="3" t="s">
        <v>252</v>
      </c>
      <c r="C87" s="3" t="s">
        <v>1314</v>
      </c>
      <c r="D87" s="4"/>
      <c r="E87" s="4"/>
      <c r="F87" s="3" t="s">
        <v>747</v>
      </c>
      <c r="G87" s="3" t="s">
        <v>798</v>
      </c>
      <c r="H87" s="3" t="s">
        <v>1317</v>
      </c>
      <c r="I87" s="3"/>
    </row>
    <row r="88" spans="1:9" x14ac:dyDescent="0.25">
      <c r="A88" t="str">
        <f>TabProjet[[#This Row],[Client]] &amp; "-" &amp; TabProjet[[#This Row],[Projet]]</f>
        <v>LA POSTE-DIGITAL</v>
      </c>
      <c r="B88" s="3" t="s">
        <v>252</v>
      </c>
      <c r="C88" s="3" t="s">
        <v>865</v>
      </c>
      <c r="D88" s="4"/>
      <c r="E88" s="4">
        <v>43830</v>
      </c>
      <c r="F88" s="3" t="s">
        <v>774</v>
      </c>
      <c r="G88" s="3"/>
      <c r="H88" s="3"/>
      <c r="I88" s="3"/>
    </row>
    <row r="89" spans="1:9" x14ac:dyDescent="0.25">
      <c r="A89" t="str">
        <f>TabProjet[[#This Row],[Client]] &amp; "-" &amp; TabProjet[[#This Row],[Projet]]</f>
        <v>LA POSTE-Go ACT</v>
      </c>
      <c r="B89" s="3" t="s">
        <v>252</v>
      </c>
      <c r="C89" s="3" t="s">
        <v>866</v>
      </c>
      <c r="D89" s="4"/>
      <c r="E89" s="4">
        <v>43830</v>
      </c>
      <c r="F89" s="3" t="s">
        <v>867</v>
      </c>
      <c r="G89" s="3"/>
      <c r="H89" s="3"/>
      <c r="I89" s="3"/>
    </row>
    <row r="90" spans="1:9" x14ac:dyDescent="0.25">
      <c r="A90" t="str">
        <f>TabProjet[[#This Row],[Client]] &amp; "-" &amp; TabProjet[[#This Row],[Projet]]</f>
        <v>LA POSTE-OPOSSUM</v>
      </c>
      <c r="B90" s="3" t="s">
        <v>252</v>
      </c>
      <c r="C90" s="3" t="s">
        <v>868</v>
      </c>
      <c r="D90" s="4"/>
      <c r="E90" s="4">
        <v>43646</v>
      </c>
      <c r="F90" s="3" t="s">
        <v>763</v>
      </c>
      <c r="G90" s="3"/>
      <c r="H90" s="3"/>
      <c r="I90" s="3"/>
    </row>
    <row r="91" spans="1:9" x14ac:dyDescent="0.25">
      <c r="A91" t="str">
        <f>TabProjet[[#This Row],[Client]] &amp; "-" &amp; TabProjet[[#This Row],[Projet]]</f>
        <v>LA POSTE-OPUS</v>
      </c>
      <c r="B91" s="3" t="s">
        <v>252</v>
      </c>
      <c r="C91" s="3" t="s">
        <v>869</v>
      </c>
      <c r="D91" s="4"/>
      <c r="E91" s="4">
        <v>43646</v>
      </c>
      <c r="F91" s="3" t="s">
        <v>763</v>
      </c>
      <c r="G91" s="3"/>
      <c r="H91" s="3"/>
      <c r="I91" s="3"/>
    </row>
    <row r="92" spans="1:9" x14ac:dyDescent="0.25">
      <c r="A92" s="5" t="str">
        <f>TabProjet[[#This Row],[Client]] &amp; "-" &amp; TabProjet[[#This Row],[Projet]]</f>
        <v>LA POSTE-POC Go-ACT</v>
      </c>
      <c r="B92" s="3" t="s">
        <v>252</v>
      </c>
      <c r="C92" s="3" t="s">
        <v>870</v>
      </c>
      <c r="D92" s="4">
        <v>43556</v>
      </c>
      <c r="E92" s="4">
        <v>43580</v>
      </c>
      <c r="F92" s="3" t="s">
        <v>788</v>
      </c>
      <c r="G92" s="3"/>
      <c r="H92" s="3"/>
      <c r="I92" s="3"/>
    </row>
    <row r="93" spans="1:9" x14ac:dyDescent="0.25">
      <c r="A93" t="str">
        <f>TabProjet[[#This Row],[Client]] &amp; "-" &amp; TabProjet[[#This Row],[Projet]]</f>
        <v>LA POSTE-POP</v>
      </c>
      <c r="B93" s="3" t="s">
        <v>252</v>
      </c>
      <c r="C93" s="3" t="s">
        <v>871</v>
      </c>
      <c r="D93" s="4"/>
      <c r="E93" s="4">
        <v>43646</v>
      </c>
      <c r="F93" s="3" t="s">
        <v>763</v>
      </c>
      <c r="G93" s="3"/>
      <c r="H93" s="3"/>
      <c r="I93" s="3"/>
    </row>
    <row r="94" spans="1:9" x14ac:dyDescent="0.25">
      <c r="A94" t="str">
        <f>TabProjet[[#This Row],[Client]] &amp; "-" &amp; TabProjet[[#This Row],[Projet]]</f>
        <v>LA POSTE-SIBP</v>
      </c>
      <c r="B94" s="3" t="s">
        <v>252</v>
      </c>
      <c r="C94" s="3" t="s">
        <v>872</v>
      </c>
      <c r="D94" s="4">
        <v>43528</v>
      </c>
      <c r="E94" s="4">
        <v>43600</v>
      </c>
      <c r="F94" s="3" t="s">
        <v>831</v>
      </c>
      <c r="G94" s="3" t="s">
        <v>831</v>
      </c>
      <c r="H94" s="3" t="s">
        <v>873</v>
      </c>
      <c r="I94" s="3"/>
    </row>
    <row r="95" spans="1:9" x14ac:dyDescent="0.25">
      <c r="A95" t="str">
        <f>TabProjet[[#This Row],[Client]] &amp; "-" &amp; TabProjet[[#This Row],[Projet]]</f>
        <v>MACIF-Transverse</v>
      </c>
      <c r="B95" s="3" t="s">
        <v>254</v>
      </c>
      <c r="C95" s="3" t="s">
        <v>874</v>
      </c>
      <c r="D95" s="4">
        <v>43466</v>
      </c>
      <c r="E95" s="4">
        <v>43585</v>
      </c>
      <c r="F95" s="3" t="s">
        <v>875</v>
      </c>
      <c r="G95" s="3"/>
      <c r="H95" s="3" t="s">
        <v>876</v>
      </c>
      <c r="I95" s="3"/>
    </row>
    <row r="96" spans="1:9" x14ac:dyDescent="0.25">
      <c r="A96" s="5" t="str">
        <f>TabProjet[[#This Row],[Client]] &amp; "-" &amp; TabProjet[[#This Row],[Projet]]</f>
        <v>MEAE-AIG</v>
      </c>
      <c r="B96" s="3" t="s">
        <v>877</v>
      </c>
      <c r="C96" s="3" t="s">
        <v>878</v>
      </c>
      <c r="D96" s="4">
        <v>43579</v>
      </c>
      <c r="E96" s="4">
        <v>43830</v>
      </c>
      <c r="F96" s="3" t="s">
        <v>879</v>
      </c>
      <c r="G96" s="3"/>
      <c r="H96" s="3"/>
      <c r="I96" s="3"/>
    </row>
    <row r="97" spans="1:9" x14ac:dyDescent="0.25">
      <c r="A97" t="str">
        <f>TabProjet[[#This Row],[Client]] &amp; "-" &amp; TabProjet[[#This Row],[Projet]]</f>
        <v>MEAE-DIPLO</v>
      </c>
      <c r="B97" s="3" t="s">
        <v>877</v>
      </c>
      <c r="C97" s="3" t="s">
        <v>880</v>
      </c>
      <c r="D97" s="4">
        <v>43466</v>
      </c>
      <c r="E97" s="4">
        <v>43830</v>
      </c>
      <c r="F97" s="3" t="s">
        <v>881</v>
      </c>
      <c r="G97" s="3"/>
      <c r="H97" s="3"/>
      <c r="I97" s="3"/>
    </row>
    <row r="98" spans="1:9" x14ac:dyDescent="0.25">
      <c r="A98" t="str">
        <f>TabProjet[[#This Row],[Client]] &amp; "-" &amp; TabProjet[[#This Row],[Projet]]</f>
        <v>MEAE-FVBO</v>
      </c>
      <c r="B98" s="3" t="s">
        <v>877</v>
      </c>
      <c r="C98" s="3" t="s">
        <v>882</v>
      </c>
      <c r="D98" s="4"/>
      <c r="E98" s="4">
        <v>43830</v>
      </c>
      <c r="F98" s="3" t="s">
        <v>785</v>
      </c>
      <c r="G98" s="3"/>
      <c r="H98" s="3"/>
      <c r="I98" s="3"/>
    </row>
    <row r="99" spans="1:9" x14ac:dyDescent="0.25">
      <c r="A99" s="5" t="str">
        <f>TabProjet[[#This Row],[Client]] &amp; "-" &amp; TabProjet[[#This Row],[Projet]]</f>
        <v>MEAE-Hornet</v>
      </c>
      <c r="B99" s="3" t="s">
        <v>877</v>
      </c>
      <c r="C99" s="3" t="s">
        <v>883</v>
      </c>
      <c r="D99" s="4"/>
      <c r="E99" s="4"/>
      <c r="F99" s="3" t="s">
        <v>881</v>
      </c>
      <c r="G99" s="3"/>
      <c r="H99" s="3" t="s">
        <v>884</v>
      </c>
      <c r="I99" s="3" t="s">
        <v>885</v>
      </c>
    </row>
    <row r="100" spans="1:9" x14ac:dyDescent="0.25">
      <c r="A100" t="str">
        <f>TabProjet[[#This Row],[Client]] &amp; "-" &amp; TabProjet[[#This Row],[Projet]]</f>
        <v>MEAE-Migration SAGAIE</v>
      </c>
      <c r="B100" s="3" t="s">
        <v>877</v>
      </c>
      <c r="C100" s="3" t="s">
        <v>886</v>
      </c>
      <c r="D100" s="4">
        <v>43252</v>
      </c>
      <c r="E100" s="4">
        <v>43555</v>
      </c>
      <c r="F100" s="3" t="s">
        <v>887</v>
      </c>
      <c r="G100" s="3"/>
      <c r="H100" s="3" t="s">
        <v>884</v>
      </c>
      <c r="I100" s="3" t="s">
        <v>885</v>
      </c>
    </row>
    <row r="101" spans="1:9" x14ac:dyDescent="0.25">
      <c r="A101" t="str">
        <f>TabProjet[[#This Row],[Client]] &amp; "-" &amp; TabProjet[[#This Row],[Projet]]</f>
        <v>MEAE-Migration VisMail</v>
      </c>
      <c r="B101" s="3" t="s">
        <v>877</v>
      </c>
      <c r="C101" s="3" t="s">
        <v>888</v>
      </c>
      <c r="D101" s="4"/>
      <c r="E101" s="4">
        <v>43554</v>
      </c>
      <c r="F101" s="3" t="s">
        <v>881</v>
      </c>
      <c r="G101" s="3" t="s">
        <v>889</v>
      </c>
      <c r="H101" s="3" t="s">
        <v>884</v>
      </c>
      <c r="I101" s="3" t="s">
        <v>890</v>
      </c>
    </row>
    <row r="102" spans="1:9" x14ac:dyDescent="0.25">
      <c r="A102" t="str">
        <f>TabProjet[[#This Row],[Client]] &amp; "-" &amp; TabProjet[[#This Row],[Projet]]</f>
        <v>MEAE-OPT</v>
      </c>
      <c r="B102" s="3" t="s">
        <v>877</v>
      </c>
      <c r="C102" s="3" t="s">
        <v>891</v>
      </c>
      <c r="D102" s="4"/>
      <c r="E102" s="4">
        <v>43830</v>
      </c>
      <c r="F102" s="3" t="s">
        <v>881</v>
      </c>
      <c r="G102" s="3"/>
      <c r="H102" s="3"/>
      <c r="I102" s="3"/>
    </row>
    <row r="103" spans="1:9" x14ac:dyDescent="0.25">
      <c r="A103" s="5" t="str">
        <f>TabProjet[[#This Row],[Client]] &amp; "-" &amp; TabProjet[[#This Row],[Projet]]</f>
        <v>MEAE-Redmine MEAE</v>
      </c>
      <c r="B103" s="3" t="s">
        <v>877</v>
      </c>
      <c r="C103" s="3" t="s">
        <v>892</v>
      </c>
      <c r="D103" s="4"/>
      <c r="E103" s="4"/>
      <c r="F103" s="3" t="s">
        <v>881</v>
      </c>
      <c r="G103" s="3"/>
      <c r="H103" s="3" t="s">
        <v>893</v>
      </c>
      <c r="I103" s="49" t="s">
        <v>750</v>
      </c>
    </row>
    <row r="104" spans="1:9" x14ac:dyDescent="0.25">
      <c r="A104" t="str">
        <f>TabProjet[[#This Row],[Client]] &amp; "-" &amp; TabProjet[[#This Row],[Projet]]</f>
        <v>MEAE-SAGAIE TMA</v>
      </c>
      <c r="B104" s="3" t="s">
        <v>877</v>
      </c>
      <c r="C104" s="3" t="s">
        <v>894</v>
      </c>
      <c r="D104" s="4">
        <v>43388</v>
      </c>
      <c r="E104" s="4">
        <v>43830</v>
      </c>
      <c r="F104" s="3" t="s">
        <v>895</v>
      </c>
      <c r="G104" s="3"/>
      <c r="H104" s="3" t="s">
        <v>884</v>
      </c>
      <c r="I104" s="3"/>
    </row>
    <row r="105" spans="1:9" x14ac:dyDescent="0.25">
      <c r="A105" t="str">
        <f>TabProjet[[#This Row],[Client]] &amp; "-" &amp; TabProjet[[#This Row],[Projet]]</f>
        <v>MEAE-Visa</v>
      </c>
      <c r="B105" s="3" t="s">
        <v>877</v>
      </c>
      <c r="C105" s="3" t="s">
        <v>896</v>
      </c>
      <c r="D105" s="4"/>
      <c r="E105" s="4">
        <v>43830</v>
      </c>
      <c r="F105" s="3" t="s">
        <v>881</v>
      </c>
      <c r="G105" s="3" t="s">
        <v>889</v>
      </c>
      <c r="H105" s="3" t="s">
        <v>884</v>
      </c>
      <c r="I105" s="3"/>
    </row>
    <row r="106" spans="1:9" x14ac:dyDescent="0.25">
      <c r="A106" s="5" t="str">
        <f>TabProjet[[#This Row],[Client]] &amp; "-" &amp; TabProjet[[#This Row],[Projet]]</f>
        <v>MEAE-Prevoirh</v>
      </c>
      <c r="B106" s="3" t="s">
        <v>877</v>
      </c>
      <c r="C106" s="3" t="s">
        <v>1334</v>
      </c>
      <c r="D106" s="4"/>
      <c r="E106" s="4"/>
      <c r="F106" s="3" t="s">
        <v>881</v>
      </c>
      <c r="G106" s="3"/>
      <c r="H106" s="3" t="s">
        <v>884</v>
      </c>
      <c r="I106" s="3"/>
    </row>
    <row r="107" spans="1:9" x14ac:dyDescent="0.25">
      <c r="A107" s="5" t="str">
        <f>TabProjet[[#This Row],[Client]] &amp; "-" &amp; TabProjet[[#This Row],[Projet]]</f>
        <v>MENESR-APAE</v>
      </c>
      <c r="B107" s="3" t="s">
        <v>240</v>
      </c>
      <c r="C107" s="3" t="s">
        <v>897</v>
      </c>
      <c r="D107" s="4"/>
      <c r="E107" s="4"/>
      <c r="F107" s="3" t="s">
        <v>1159</v>
      </c>
      <c r="G107" s="3" t="s">
        <v>1160</v>
      </c>
      <c r="H107" s="3" t="s">
        <v>898</v>
      </c>
      <c r="I107" s="3"/>
    </row>
    <row r="108" spans="1:9" x14ac:dyDescent="0.25">
      <c r="A108" s="5" t="str">
        <f>TabProjet[[#This Row],[Client]] &amp; "-" &amp; TabProjet[[#This Row],[Projet]]</f>
        <v>MENESR-BNIE</v>
      </c>
      <c r="B108" s="3" t="s">
        <v>240</v>
      </c>
      <c r="C108" s="3" t="s">
        <v>899</v>
      </c>
      <c r="D108" s="4"/>
      <c r="E108" s="4"/>
      <c r="F108" s="3" t="s">
        <v>1159</v>
      </c>
      <c r="G108" s="3" t="s">
        <v>1160</v>
      </c>
      <c r="H108" s="3" t="s">
        <v>898</v>
      </c>
      <c r="I108" s="3"/>
    </row>
    <row r="109" spans="1:9" x14ac:dyDescent="0.25">
      <c r="A109" s="5" t="str">
        <f>TabProjet[[#This Row],[Client]] &amp; "-" &amp; TabProjet[[#This Row],[Projet]]</f>
        <v>MENESR-INES</v>
      </c>
      <c r="B109" s="3" t="s">
        <v>240</v>
      </c>
      <c r="C109" s="3" t="s">
        <v>900</v>
      </c>
      <c r="D109" s="4"/>
      <c r="E109" s="4"/>
      <c r="F109" s="3" t="s">
        <v>1159</v>
      </c>
      <c r="G109" s="3" t="s">
        <v>1160</v>
      </c>
      <c r="H109" s="3" t="s">
        <v>898</v>
      </c>
      <c r="I109" s="3"/>
    </row>
    <row r="110" spans="1:9" x14ac:dyDescent="0.25">
      <c r="A110" s="5" t="str">
        <f>TabProjet[[#This Row],[Client]] &amp; "-" &amp; TabProjet[[#This Row],[Projet]]</f>
        <v>MENESR-RNIE</v>
      </c>
      <c r="B110" s="3" t="s">
        <v>240</v>
      </c>
      <c r="C110" s="3" t="s">
        <v>901</v>
      </c>
      <c r="D110" s="4"/>
      <c r="E110" s="4"/>
      <c r="F110" s="3" t="s">
        <v>1159</v>
      </c>
      <c r="G110" s="3" t="s">
        <v>1160</v>
      </c>
      <c r="H110" s="3" t="s">
        <v>898</v>
      </c>
      <c r="I110" s="3"/>
    </row>
    <row r="111" spans="1:9" x14ac:dyDescent="0.25">
      <c r="A111" t="str">
        <f>TabProjet[[#This Row],[Client]] &amp; "-" &amp; TabProjet[[#This Row],[Projet]]</f>
        <v>MIN-ANEF</v>
      </c>
      <c r="B111" s="3" t="s">
        <v>902</v>
      </c>
      <c r="C111" s="3" t="s">
        <v>903</v>
      </c>
      <c r="D111" s="4"/>
      <c r="E111" s="4">
        <v>43830</v>
      </c>
      <c r="F111" s="3"/>
      <c r="G111" s="3"/>
      <c r="H111" s="3"/>
      <c r="I111" s="3"/>
    </row>
    <row r="112" spans="1:9" x14ac:dyDescent="0.25">
      <c r="A112" t="str">
        <f>TabProjet[[#This Row],[Client]] &amp; "-" &amp; TabProjet[[#This Row],[Projet]]</f>
        <v>Ntes Métro-AT MS 15</v>
      </c>
      <c r="B112" s="3" t="s">
        <v>904</v>
      </c>
      <c r="C112" s="3" t="s">
        <v>905</v>
      </c>
      <c r="D112" s="4">
        <v>43556</v>
      </c>
      <c r="E112" s="4">
        <v>44285</v>
      </c>
      <c r="F112" s="3" t="s">
        <v>906</v>
      </c>
      <c r="G112" s="3"/>
      <c r="H112" s="3"/>
      <c r="I112" s="3"/>
    </row>
    <row r="113" spans="1:9" x14ac:dyDescent="0.25">
      <c r="A113" s="5" t="str">
        <f>TabProjet[[#This Row],[Client]] &amp; "-" &amp; TabProjet[[#This Row],[Projet]]</f>
        <v>ONEMA-ASPE</v>
      </c>
      <c r="B113" s="3" t="s">
        <v>200</v>
      </c>
      <c r="C113" s="3" t="s">
        <v>746</v>
      </c>
      <c r="D113" s="4"/>
      <c r="E113" s="4"/>
      <c r="F113" s="3" t="s">
        <v>747</v>
      </c>
      <c r="G113" s="3"/>
      <c r="H113" s="3" t="s">
        <v>907</v>
      </c>
      <c r="I113" s="49" t="s">
        <v>750</v>
      </c>
    </row>
    <row r="114" spans="1:9" x14ac:dyDescent="0.25">
      <c r="A114" s="5" t="str">
        <f>TabProjet[[#This Row],[Client]] &amp; "-" &amp; TabProjet[[#This Row],[Projet]]</f>
        <v>ONEMA-CDR - TMA WEB</v>
      </c>
      <c r="B114" s="3" t="s">
        <v>200</v>
      </c>
      <c r="C114" s="3" t="s">
        <v>908</v>
      </c>
      <c r="D114" s="4"/>
      <c r="E114" s="4"/>
      <c r="F114" s="3" t="s">
        <v>1159</v>
      </c>
      <c r="G114" s="3" t="s">
        <v>748</v>
      </c>
      <c r="H114" s="3" t="s">
        <v>1187</v>
      </c>
      <c r="I114" s="49" t="s">
        <v>750</v>
      </c>
    </row>
    <row r="115" spans="1:9" x14ac:dyDescent="0.25">
      <c r="A115" s="5" t="str">
        <f>TabProjet[[#This Row],[Client]] &amp; "-" &amp; TabProjet[[#This Row],[Projet]]</f>
        <v>ONEMA-GEOF-SNPE</v>
      </c>
      <c r="B115" s="3" t="s">
        <v>200</v>
      </c>
      <c r="C115" s="3" t="s">
        <v>909</v>
      </c>
      <c r="D115" s="4"/>
      <c r="E115" s="4"/>
      <c r="F115" s="3" t="s">
        <v>747</v>
      </c>
      <c r="G115" s="3"/>
      <c r="H115" s="3" t="s">
        <v>907</v>
      </c>
      <c r="I115" s="49" t="s">
        <v>750</v>
      </c>
    </row>
    <row r="116" spans="1:9" x14ac:dyDescent="0.25">
      <c r="A116" s="5" t="str">
        <f>TabProjet[[#This Row],[Client]] &amp; "-" &amp; TabProjet[[#This Row],[Projet]]</f>
        <v>ONEMA-OPALE</v>
      </c>
      <c r="B116" s="3" t="s">
        <v>200</v>
      </c>
      <c r="C116" s="3" t="s">
        <v>910</v>
      </c>
      <c r="D116" s="4"/>
      <c r="E116" s="4"/>
      <c r="F116" s="3" t="s">
        <v>1159</v>
      </c>
      <c r="G116" s="3" t="s">
        <v>1161</v>
      </c>
      <c r="H116" s="3" t="s">
        <v>907</v>
      </c>
      <c r="I116" s="49" t="s">
        <v>750</v>
      </c>
    </row>
    <row r="117" spans="1:9" x14ac:dyDescent="0.25">
      <c r="A117" s="5" t="str">
        <f>TabProjet[[#This Row],[Client]] &amp; "-" &amp; TabProjet[[#This Row],[Projet]]</f>
        <v>PCM-ALS</v>
      </c>
      <c r="B117" s="3" t="s">
        <v>911</v>
      </c>
      <c r="C117" s="3" t="s">
        <v>912</v>
      </c>
      <c r="D117" s="4"/>
      <c r="E117" s="4"/>
      <c r="F117" s="3" t="s">
        <v>1176</v>
      </c>
      <c r="G117" s="3" t="s">
        <v>748</v>
      </c>
      <c r="H117" s="3" t="s">
        <v>1177</v>
      </c>
      <c r="I117" s="50"/>
    </row>
    <row r="118" spans="1:9" x14ac:dyDescent="0.25">
      <c r="A118" s="5" t="str">
        <f>TabProjet[[#This Row],[Client]] &amp; "-" &amp; TabProjet[[#This Row],[Projet]]</f>
        <v>PCM-WEB</v>
      </c>
      <c r="B118" s="3" t="s">
        <v>911</v>
      </c>
      <c r="C118" s="3" t="s">
        <v>1178</v>
      </c>
      <c r="D118" s="4"/>
      <c r="E118" s="4"/>
      <c r="F118" s="3" t="s">
        <v>798</v>
      </c>
      <c r="G118" s="3" t="s">
        <v>798</v>
      </c>
      <c r="H118" s="3" t="s">
        <v>1177</v>
      </c>
      <c r="I118" s="3"/>
    </row>
    <row r="119" spans="1:9" x14ac:dyDescent="0.25">
      <c r="A119" s="5" t="str">
        <f>TabProjet[[#This Row],[Client]] &amp; "-" &amp; TabProjet[[#This Row],[Projet]]</f>
        <v>PRIZER-TMA</v>
      </c>
      <c r="B119" s="3" t="s">
        <v>913</v>
      </c>
      <c r="C119" s="3" t="s">
        <v>65</v>
      </c>
      <c r="D119" s="4"/>
      <c r="E119" s="4"/>
      <c r="F119" s="3" t="s">
        <v>1166</v>
      </c>
      <c r="G119" s="3" t="s">
        <v>1167</v>
      </c>
      <c r="H119" s="3" t="s">
        <v>719</v>
      </c>
      <c r="I119" s="50"/>
    </row>
    <row r="120" spans="1:9" x14ac:dyDescent="0.25">
      <c r="A120" s="5" t="str">
        <f>TabProjet[[#This Row],[Client]] &amp; "-" &amp; TabProjet[[#This Row],[Projet]]</f>
        <v>RECIA-GRR</v>
      </c>
      <c r="B120" s="3" t="s">
        <v>239</v>
      </c>
      <c r="C120" s="3" t="s">
        <v>914</v>
      </c>
      <c r="D120" s="4"/>
      <c r="E120" s="4"/>
      <c r="F120" s="3" t="s">
        <v>747</v>
      </c>
      <c r="G120" s="3"/>
      <c r="H120" s="3" t="s">
        <v>915</v>
      </c>
      <c r="I120" s="3"/>
    </row>
    <row r="121" spans="1:9" x14ac:dyDescent="0.25">
      <c r="A121" t="str">
        <f>TabProjet[[#This Row],[Client]] &amp; "-" &amp; TabProjet[[#This Row],[Projet]]</f>
        <v>ROUAIX-MVP</v>
      </c>
      <c r="B121" s="3" t="s">
        <v>916</v>
      </c>
      <c r="C121" s="3" t="s">
        <v>917</v>
      </c>
      <c r="D121" s="4"/>
      <c r="E121" s="4">
        <v>43465</v>
      </c>
      <c r="F121" s="3"/>
      <c r="G121" s="3"/>
      <c r="H121" s="3"/>
      <c r="I121" s="3"/>
    </row>
    <row r="122" spans="1:9" x14ac:dyDescent="0.25">
      <c r="A122" s="5" t="str">
        <f>TabProjet[[#This Row],[Client]] &amp; "-" &amp; TabProjet[[#This Row],[Projet]]</f>
        <v>SG-CDR</v>
      </c>
      <c r="B122" s="3" t="s">
        <v>918</v>
      </c>
      <c r="C122" s="3" t="s">
        <v>919</v>
      </c>
      <c r="D122" s="4">
        <v>43466</v>
      </c>
      <c r="E122" s="4">
        <v>43600</v>
      </c>
      <c r="F122" s="3"/>
      <c r="G122" s="3"/>
      <c r="H122" s="3" t="s">
        <v>920</v>
      </c>
      <c r="I122" s="48" t="s">
        <v>805</v>
      </c>
    </row>
    <row r="123" spans="1:9" x14ac:dyDescent="0.25">
      <c r="A123" s="5" t="str">
        <f>TabProjet[[#This Row],[Client]] &amp; "-" &amp; TabProjet[[#This Row],[Projet]]</f>
        <v>STMICRO-RUN2RUN</v>
      </c>
      <c r="B123" s="3" t="s">
        <v>255</v>
      </c>
      <c r="C123" s="3" t="s">
        <v>921</v>
      </c>
      <c r="D123" s="4"/>
      <c r="E123" s="4"/>
      <c r="F123" s="3" t="s">
        <v>924</v>
      </c>
      <c r="G123" s="3" t="s">
        <v>925</v>
      </c>
      <c r="H123" s="3" t="s">
        <v>922</v>
      </c>
      <c r="I123" s="50"/>
    </row>
    <row r="124" spans="1:9" x14ac:dyDescent="0.25">
      <c r="A124" s="5" t="str">
        <f>TabProjet[[#This Row],[Client]] &amp; "-" &amp; TabProjet[[#This Row],[Projet]]</f>
        <v>STMICRO-STARK</v>
      </c>
      <c r="B124" s="3" t="s">
        <v>255</v>
      </c>
      <c r="C124" s="3" t="s">
        <v>923</v>
      </c>
      <c r="D124" s="4">
        <v>43636</v>
      </c>
      <c r="E124" s="4"/>
      <c r="F124" s="3" t="s">
        <v>924</v>
      </c>
      <c r="G124" s="3" t="s">
        <v>925</v>
      </c>
      <c r="H124" s="3" t="s">
        <v>926</v>
      </c>
      <c r="I124" s="52"/>
    </row>
    <row r="125" spans="1:9" x14ac:dyDescent="0.25">
      <c r="A125" t="str">
        <f>TabProjet[[#This Row],[Client]] &amp; "-" &amp; TabProjet[[#This Row],[Projet]]</f>
        <v>Vivesco-Vives-taux</v>
      </c>
      <c r="B125" s="3" t="s">
        <v>927</v>
      </c>
      <c r="C125" s="3" t="s">
        <v>928</v>
      </c>
      <c r="D125" s="4">
        <v>43600</v>
      </c>
      <c r="E125" s="4">
        <v>43830</v>
      </c>
      <c r="F125" s="3" t="s">
        <v>730</v>
      </c>
      <c r="G125" s="3"/>
      <c r="H125" s="3" t="s">
        <v>929</v>
      </c>
      <c r="I125" s="3"/>
    </row>
  </sheetData>
  <sheetProtection autoFilter="0" pivotTables="0"/>
  <conditionalFormatting sqref="E3:E41 E43:E125">
    <cfRule type="expression" dxfId="92" priority="4">
      <formula>$E3&lt;NOW()</formula>
    </cfRule>
  </conditionalFormatting>
  <conditionalFormatting sqref="D41 D43">
    <cfRule type="expression" dxfId="91" priority="3">
      <formula>$E41&lt;NOW()</formula>
    </cfRule>
  </conditionalFormatting>
  <conditionalFormatting sqref="E42">
    <cfRule type="expression" dxfId="90" priority="2">
      <formula>$E42&lt;NOW()</formula>
    </cfRule>
  </conditionalFormatting>
  <conditionalFormatting sqref="D42">
    <cfRule type="expression" dxfId="89" priority="1">
      <formula>$E42&lt;NOW()</formula>
    </cfRule>
  </conditionalFormatting>
  <dataValidations count="1">
    <dataValidation type="list" allowBlank="1" showInputMessage="1" promptTitle="Recherche projet" prompt="Saisir les 1ères lettres puis afficher la liste déroulante" sqref="H3:H125" xr:uid="{00000000-0002-0000-0900-000000000000}">
      <formula1>OFFSET(ListeContrat,MATCH($H3&amp;"*",ListeContrat,0)-1,,COUNTIF(ListeContrat,$H3&amp;"*"))</formula1>
    </dataValidation>
  </dataValidations>
  <pageMargins left="0.7" right="0.7" top="0.75" bottom="0.75" header="0.3" footer="0.3"/>
  <pageSetup paperSize="9" orientation="portrait" horizontalDpi="300" verticalDpi="300"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euil12">
    <tabColor theme="4"/>
  </sheetPr>
  <dimension ref="A1:G170"/>
  <sheetViews>
    <sheetView showGridLines="0" zoomScaleNormal="100" workbookViewId="0">
      <pane xSplit="2" ySplit="2" topLeftCell="C96" activePane="bottomRight" state="frozenSplit"/>
      <selection pane="topRight" activeCell="A27" sqref="A27"/>
      <selection pane="bottomLeft" activeCell="A89" sqref="A89"/>
      <selection pane="bottomRight" activeCell="A117" sqref="A117"/>
    </sheetView>
  </sheetViews>
  <sheetFormatPr baseColWidth="10" defaultColWidth="11.42578125" defaultRowHeight="15" x14ac:dyDescent="0.25"/>
  <cols>
    <col min="1" max="1" width="51.85546875" customWidth="1"/>
    <col min="2" max="2" width="47.28515625" bestFit="1" customWidth="1"/>
    <col min="3" max="3" width="16.5703125" bestFit="1" customWidth="1"/>
    <col min="4" max="4" width="24.85546875" customWidth="1"/>
    <col min="5" max="5" width="19.7109375" style="7" bestFit="1" customWidth="1"/>
    <col min="6" max="6" width="19.28515625" style="7" customWidth="1"/>
    <col min="7" max="7" width="41.28515625" customWidth="1"/>
  </cols>
  <sheetData>
    <row r="1" spans="1:6" x14ac:dyDescent="0.25">
      <c r="D1" s="7"/>
    </row>
    <row r="2" spans="1:6" ht="36" customHeight="1" x14ac:dyDescent="0.25">
      <c r="A2" s="8" t="s">
        <v>930</v>
      </c>
      <c r="B2" s="11" t="s">
        <v>284</v>
      </c>
      <c r="C2" s="11" t="s">
        <v>931</v>
      </c>
      <c r="D2" s="11" t="s">
        <v>932</v>
      </c>
      <c r="E2" s="11" t="s">
        <v>933</v>
      </c>
      <c r="F2" s="11" t="s">
        <v>934</v>
      </c>
    </row>
    <row r="3" spans="1:6" x14ac:dyDescent="0.25">
      <c r="A3" s="9" t="s">
        <v>731</v>
      </c>
      <c r="B3" s="10" t="s">
        <v>728</v>
      </c>
      <c r="C3" s="10">
        <v>341531</v>
      </c>
      <c r="D3" s="10"/>
      <c r="E3" s="10"/>
      <c r="F3" s="10" t="s">
        <v>935</v>
      </c>
    </row>
    <row r="4" spans="1:6" x14ac:dyDescent="0.25">
      <c r="A4" s="9" t="s">
        <v>736</v>
      </c>
      <c r="B4" s="10" t="s">
        <v>64</v>
      </c>
      <c r="C4" s="10">
        <v>341531</v>
      </c>
      <c r="D4" s="10" t="s">
        <v>936</v>
      </c>
      <c r="E4" s="10" t="s">
        <v>854</v>
      </c>
      <c r="F4" s="10" t="s">
        <v>935</v>
      </c>
    </row>
    <row r="5" spans="1:6" x14ac:dyDescent="0.25">
      <c r="A5" s="9" t="s">
        <v>937</v>
      </c>
      <c r="B5" s="10" t="s">
        <v>64</v>
      </c>
      <c r="C5" s="10">
        <v>341531</v>
      </c>
      <c r="D5" s="10" t="s">
        <v>938</v>
      </c>
      <c r="E5" s="10" t="s">
        <v>854</v>
      </c>
      <c r="F5" s="10" t="s">
        <v>939</v>
      </c>
    </row>
    <row r="6" spans="1:6" x14ac:dyDescent="0.25">
      <c r="A6" s="9" t="s">
        <v>940</v>
      </c>
      <c r="B6" s="10" t="s">
        <v>64</v>
      </c>
      <c r="C6" s="10">
        <v>341531</v>
      </c>
      <c r="D6" s="10" t="s">
        <v>938</v>
      </c>
      <c r="E6" s="10" t="s">
        <v>854</v>
      </c>
      <c r="F6" s="10" t="s">
        <v>939</v>
      </c>
    </row>
    <row r="7" spans="1:6" x14ac:dyDescent="0.25">
      <c r="A7" s="9" t="s">
        <v>941</v>
      </c>
      <c r="B7" s="10" t="s">
        <v>64</v>
      </c>
      <c r="C7" s="10">
        <v>341531</v>
      </c>
      <c r="D7" s="10" t="s">
        <v>938</v>
      </c>
      <c r="E7" s="10" t="s">
        <v>854</v>
      </c>
      <c r="F7" s="10" t="s">
        <v>935</v>
      </c>
    </row>
    <row r="8" spans="1:6" x14ac:dyDescent="0.25">
      <c r="A8" s="9" t="s">
        <v>742</v>
      </c>
      <c r="B8" s="10" t="s">
        <v>64</v>
      </c>
      <c r="C8" s="10">
        <v>341531</v>
      </c>
      <c r="D8" s="10" t="s">
        <v>936</v>
      </c>
      <c r="E8" s="10" t="s">
        <v>854</v>
      </c>
      <c r="F8" s="10" t="s">
        <v>935</v>
      </c>
    </row>
    <row r="9" spans="1:6" x14ac:dyDescent="0.25">
      <c r="A9" s="9" t="s">
        <v>744</v>
      </c>
      <c r="B9" s="10" t="s">
        <v>64</v>
      </c>
      <c r="C9" s="10">
        <v>341531</v>
      </c>
      <c r="D9" s="10" t="s">
        <v>936</v>
      </c>
      <c r="E9" s="10" t="s">
        <v>854</v>
      </c>
      <c r="F9" s="10" t="s">
        <v>935</v>
      </c>
    </row>
    <row r="10" spans="1:6" x14ac:dyDescent="0.25">
      <c r="A10" s="9" t="s">
        <v>942</v>
      </c>
      <c r="B10" s="10" t="s">
        <v>64</v>
      </c>
      <c r="C10" s="10">
        <v>341531</v>
      </c>
      <c r="D10" s="10" t="s">
        <v>938</v>
      </c>
      <c r="E10" s="10" t="s">
        <v>854</v>
      </c>
      <c r="F10" s="10" t="s">
        <v>935</v>
      </c>
    </row>
    <row r="11" spans="1:6" x14ac:dyDescent="0.25">
      <c r="A11" s="9" t="s">
        <v>943</v>
      </c>
      <c r="B11" s="10" t="s">
        <v>64</v>
      </c>
      <c r="C11" s="10">
        <v>341531</v>
      </c>
      <c r="D11" s="10" t="s">
        <v>938</v>
      </c>
      <c r="E11" s="10" t="s">
        <v>854</v>
      </c>
      <c r="F11" s="10" t="s">
        <v>935</v>
      </c>
    </row>
    <row r="12" spans="1:6" x14ac:dyDescent="0.25">
      <c r="A12" s="9" t="s">
        <v>738</v>
      </c>
      <c r="B12" s="10" t="s">
        <v>64</v>
      </c>
      <c r="C12" s="10">
        <v>341531</v>
      </c>
      <c r="D12" s="10" t="s">
        <v>936</v>
      </c>
      <c r="E12" s="10" t="s">
        <v>854</v>
      </c>
      <c r="F12" s="10" t="s">
        <v>935</v>
      </c>
    </row>
    <row r="13" spans="1:6" x14ac:dyDescent="0.25">
      <c r="A13" s="9" t="s">
        <v>944</v>
      </c>
      <c r="B13" s="10" t="s">
        <v>64</v>
      </c>
      <c r="C13" s="10">
        <v>341531</v>
      </c>
      <c r="D13" s="10" t="s">
        <v>936</v>
      </c>
      <c r="E13" s="10" t="s">
        <v>854</v>
      </c>
      <c r="F13" s="10" t="s">
        <v>935</v>
      </c>
    </row>
    <row r="14" spans="1:6" x14ac:dyDescent="0.25">
      <c r="A14" s="9" t="s">
        <v>740</v>
      </c>
      <c r="B14" s="10" t="s">
        <v>64</v>
      </c>
      <c r="C14" s="10">
        <v>341531</v>
      </c>
      <c r="D14" s="10" t="s">
        <v>936</v>
      </c>
      <c r="E14" s="10" t="s">
        <v>854</v>
      </c>
      <c r="F14" s="10" t="s">
        <v>935</v>
      </c>
    </row>
    <row r="15" spans="1:6" x14ac:dyDescent="0.25">
      <c r="A15" s="9" t="s">
        <v>1270</v>
      </c>
      <c r="B15" s="73" t="s">
        <v>745</v>
      </c>
      <c r="C15" s="10">
        <v>305704</v>
      </c>
      <c r="D15" s="10"/>
      <c r="E15" s="10"/>
      <c r="F15" s="10"/>
    </row>
    <row r="16" spans="1:6" x14ac:dyDescent="0.25">
      <c r="A16" s="9" t="s">
        <v>1228</v>
      </c>
      <c r="B16" s="73" t="s">
        <v>745</v>
      </c>
      <c r="C16" s="10">
        <v>305704</v>
      </c>
      <c r="D16" s="10" t="s">
        <v>1229</v>
      </c>
      <c r="E16" s="10" t="s">
        <v>1229</v>
      </c>
      <c r="F16" s="10" t="s">
        <v>1229</v>
      </c>
    </row>
    <row r="17" spans="1:6" x14ac:dyDescent="0.25">
      <c r="A17" s="9" t="s">
        <v>945</v>
      </c>
      <c r="B17" s="10" t="s">
        <v>946</v>
      </c>
      <c r="C17" s="10">
        <v>341531</v>
      </c>
      <c r="D17" s="10"/>
      <c r="E17" s="10"/>
      <c r="F17" s="10"/>
    </row>
    <row r="18" spans="1:6" x14ac:dyDescent="0.25">
      <c r="A18" s="9" t="s">
        <v>947</v>
      </c>
      <c r="B18" s="10" t="s">
        <v>948</v>
      </c>
      <c r="C18" s="10">
        <v>341530</v>
      </c>
      <c r="D18" s="10" t="s">
        <v>936</v>
      </c>
      <c r="E18" s="10" t="s">
        <v>949</v>
      </c>
      <c r="F18" s="10" t="s">
        <v>939</v>
      </c>
    </row>
    <row r="19" spans="1:6" x14ac:dyDescent="0.25">
      <c r="A19" s="9" t="s">
        <v>950</v>
      </c>
      <c r="B19" s="10" t="s">
        <v>951</v>
      </c>
      <c r="C19" s="10">
        <v>341531</v>
      </c>
      <c r="D19" s="10"/>
      <c r="E19" s="10"/>
      <c r="F19" s="10"/>
    </row>
    <row r="20" spans="1:6" x14ac:dyDescent="0.25">
      <c r="A20" s="9" t="s">
        <v>952</v>
      </c>
      <c r="B20" s="10" t="s">
        <v>951</v>
      </c>
      <c r="C20" s="10">
        <v>341531</v>
      </c>
      <c r="D20" s="10"/>
      <c r="E20" s="10"/>
      <c r="F20" s="10" t="s">
        <v>935</v>
      </c>
    </row>
    <row r="21" spans="1:6" x14ac:dyDescent="0.25">
      <c r="A21" s="9" t="s">
        <v>953</v>
      </c>
      <c r="B21" s="10" t="s">
        <v>954</v>
      </c>
      <c r="C21" s="10">
        <v>341530</v>
      </c>
      <c r="D21" s="10"/>
      <c r="E21" s="10"/>
      <c r="F21" s="10" t="s">
        <v>939</v>
      </c>
    </row>
    <row r="22" spans="1:6" x14ac:dyDescent="0.25">
      <c r="A22" s="9" t="s">
        <v>955</v>
      </c>
      <c r="B22" s="10" t="s">
        <v>954</v>
      </c>
      <c r="C22" s="10">
        <v>341530</v>
      </c>
      <c r="D22" s="10"/>
      <c r="E22" s="10"/>
      <c r="F22" s="10" t="s">
        <v>939</v>
      </c>
    </row>
    <row r="23" spans="1:6" x14ac:dyDescent="0.25">
      <c r="A23" s="9" t="s">
        <v>764</v>
      </c>
      <c r="B23" s="10" t="s">
        <v>191</v>
      </c>
      <c r="C23" s="10">
        <v>341530</v>
      </c>
      <c r="D23" s="10" t="s">
        <v>936</v>
      </c>
      <c r="E23" s="10" t="s">
        <v>65</v>
      </c>
      <c r="F23" s="10" t="s">
        <v>939</v>
      </c>
    </row>
    <row r="24" spans="1:6" x14ac:dyDescent="0.25">
      <c r="A24" s="9" t="s">
        <v>956</v>
      </c>
      <c r="B24" s="10" t="s">
        <v>191</v>
      </c>
      <c r="C24" s="10">
        <v>341530</v>
      </c>
      <c r="D24" s="10" t="s">
        <v>938</v>
      </c>
      <c r="E24" s="10"/>
      <c r="F24" s="10" t="s">
        <v>939</v>
      </c>
    </row>
    <row r="25" spans="1:6" x14ac:dyDescent="0.25">
      <c r="A25" s="9" t="s">
        <v>957</v>
      </c>
      <c r="B25" s="10" t="s">
        <v>191</v>
      </c>
      <c r="C25" s="10">
        <v>341530</v>
      </c>
      <c r="D25" s="10" t="s">
        <v>958</v>
      </c>
      <c r="E25" s="10"/>
      <c r="F25" s="10" t="s">
        <v>939</v>
      </c>
    </row>
    <row r="26" spans="1:6" x14ac:dyDescent="0.25">
      <c r="A26" s="9" t="s">
        <v>959</v>
      </c>
      <c r="B26" s="10" t="s">
        <v>191</v>
      </c>
      <c r="C26" s="10">
        <v>341530</v>
      </c>
      <c r="D26" s="10" t="s">
        <v>958</v>
      </c>
      <c r="E26" s="10"/>
      <c r="F26" s="10" t="s">
        <v>939</v>
      </c>
    </row>
    <row r="27" spans="1:6" x14ac:dyDescent="0.25">
      <c r="A27" s="62" t="s">
        <v>1242</v>
      </c>
      <c r="B27" s="64" t="s">
        <v>191</v>
      </c>
      <c r="C27" s="10">
        <v>341530</v>
      </c>
      <c r="D27" s="10"/>
      <c r="E27" s="10"/>
      <c r="F27" s="10" t="s">
        <v>939</v>
      </c>
    </row>
    <row r="28" spans="1:6" x14ac:dyDescent="0.25">
      <c r="A28" s="9" t="s">
        <v>960</v>
      </c>
      <c r="B28" s="10" t="s">
        <v>961</v>
      </c>
      <c r="C28" s="10">
        <v>341530</v>
      </c>
      <c r="D28" s="10"/>
      <c r="E28" s="10"/>
      <c r="F28" s="10" t="s">
        <v>935</v>
      </c>
    </row>
    <row r="29" spans="1:6" x14ac:dyDescent="0.25">
      <c r="A29" s="47" t="s">
        <v>768</v>
      </c>
      <c r="B29" s="10" t="s">
        <v>197</v>
      </c>
      <c r="C29" s="10">
        <v>305704</v>
      </c>
      <c r="D29" s="10"/>
      <c r="E29" s="10"/>
      <c r="F29" s="10"/>
    </row>
    <row r="30" spans="1:6" x14ac:dyDescent="0.25">
      <c r="A30" s="47" t="s">
        <v>771</v>
      </c>
      <c r="B30" s="10" t="s">
        <v>197</v>
      </c>
      <c r="C30" s="10">
        <v>305704</v>
      </c>
      <c r="D30" s="10"/>
      <c r="E30" s="10"/>
      <c r="F30" s="10"/>
    </row>
    <row r="31" spans="1:6" x14ac:dyDescent="0.25">
      <c r="A31" s="9" t="s">
        <v>962</v>
      </c>
      <c r="B31" s="10" t="s">
        <v>963</v>
      </c>
      <c r="C31" s="10">
        <v>341531</v>
      </c>
      <c r="D31" s="10"/>
      <c r="E31" s="10"/>
      <c r="F31" s="10" t="s">
        <v>939</v>
      </c>
    </row>
    <row r="32" spans="1:6" x14ac:dyDescent="0.25">
      <c r="A32" s="9" t="s">
        <v>964</v>
      </c>
      <c r="B32" s="10" t="s">
        <v>963</v>
      </c>
      <c r="C32" s="10">
        <v>341531</v>
      </c>
      <c r="D32" s="10"/>
      <c r="E32" s="10"/>
      <c r="F32" s="10" t="s">
        <v>939</v>
      </c>
    </row>
    <row r="33" spans="1:6" x14ac:dyDescent="0.25">
      <c r="A33" s="9" t="s">
        <v>775</v>
      </c>
      <c r="B33" s="10" t="s">
        <v>963</v>
      </c>
      <c r="C33" s="10">
        <v>341531</v>
      </c>
      <c r="D33" s="10"/>
      <c r="E33" s="10"/>
      <c r="F33" s="10" t="s">
        <v>935</v>
      </c>
    </row>
    <row r="34" spans="1:6" x14ac:dyDescent="0.25">
      <c r="A34" s="9" t="s">
        <v>965</v>
      </c>
      <c r="B34" s="10" t="s">
        <v>966</v>
      </c>
      <c r="C34" s="10">
        <v>341530</v>
      </c>
      <c r="D34" s="10"/>
      <c r="E34" s="10"/>
      <c r="F34" s="10" t="s">
        <v>935</v>
      </c>
    </row>
    <row r="35" spans="1:6" x14ac:dyDescent="0.25">
      <c r="A35" s="47" t="s">
        <v>777</v>
      </c>
      <c r="B35" s="10" t="s">
        <v>208</v>
      </c>
      <c r="C35" s="10">
        <v>305704</v>
      </c>
      <c r="D35" s="10"/>
      <c r="E35" s="10"/>
      <c r="F35" s="10"/>
    </row>
    <row r="36" spans="1:6" x14ac:dyDescent="0.25">
      <c r="A36" s="9" t="s">
        <v>967</v>
      </c>
      <c r="B36" s="10" t="s">
        <v>968</v>
      </c>
      <c r="C36" s="10">
        <v>341531</v>
      </c>
      <c r="D36" s="10" t="s">
        <v>938</v>
      </c>
      <c r="E36" s="10"/>
      <c r="F36" s="10" t="s">
        <v>935</v>
      </c>
    </row>
    <row r="37" spans="1:6" x14ac:dyDescent="0.25">
      <c r="A37" s="9" t="s">
        <v>969</v>
      </c>
      <c r="B37" s="10" t="s">
        <v>1168</v>
      </c>
      <c r="C37" s="10">
        <v>341530</v>
      </c>
      <c r="D37" s="10" t="s">
        <v>938</v>
      </c>
      <c r="E37" s="10" t="s">
        <v>970</v>
      </c>
      <c r="F37" s="10" t="s">
        <v>935</v>
      </c>
    </row>
    <row r="38" spans="1:6" x14ac:dyDescent="0.25">
      <c r="A38" s="9" t="s">
        <v>971</v>
      </c>
      <c r="B38" s="10" t="s">
        <v>972</v>
      </c>
      <c r="C38" s="10">
        <v>341530</v>
      </c>
      <c r="D38" s="10"/>
      <c r="E38" s="10"/>
      <c r="F38" s="10" t="s">
        <v>939</v>
      </c>
    </row>
    <row r="39" spans="1:6" x14ac:dyDescent="0.25">
      <c r="A39" s="9" t="s">
        <v>973</v>
      </c>
      <c r="B39" s="10" t="s">
        <v>972</v>
      </c>
      <c r="C39" s="10">
        <v>341530</v>
      </c>
      <c r="D39" s="10"/>
      <c r="E39" s="10"/>
      <c r="F39" s="10" t="s">
        <v>939</v>
      </c>
    </row>
    <row r="40" spans="1:6" x14ac:dyDescent="0.25">
      <c r="A40" s="9" t="s">
        <v>974</v>
      </c>
      <c r="B40" s="10" t="s">
        <v>972</v>
      </c>
      <c r="C40" s="10">
        <v>341530</v>
      </c>
      <c r="D40" s="10"/>
      <c r="E40" s="10"/>
      <c r="F40" s="10" t="s">
        <v>935</v>
      </c>
    </row>
    <row r="41" spans="1:6" x14ac:dyDescent="0.25">
      <c r="A41" s="9" t="s">
        <v>975</v>
      </c>
      <c r="B41" s="10" t="s">
        <v>976</v>
      </c>
      <c r="C41" s="10">
        <v>341531</v>
      </c>
      <c r="D41" s="10"/>
      <c r="E41" s="10"/>
      <c r="F41" s="10" t="s">
        <v>935</v>
      </c>
    </row>
    <row r="42" spans="1:6" x14ac:dyDescent="0.25">
      <c r="A42" s="9" t="s">
        <v>977</v>
      </c>
      <c r="B42" s="10" t="s">
        <v>978</v>
      </c>
      <c r="C42" s="10">
        <v>341531</v>
      </c>
      <c r="D42" s="10"/>
      <c r="E42" s="10"/>
      <c r="F42" s="10" t="s">
        <v>939</v>
      </c>
    </row>
    <row r="43" spans="1:6" x14ac:dyDescent="0.25">
      <c r="A43" s="9" t="s">
        <v>979</v>
      </c>
      <c r="B43" s="10" t="s">
        <v>978</v>
      </c>
      <c r="C43" s="10">
        <v>341531</v>
      </c>
      <c r="D43" s="10"/>
      <c r="E43" s="10"/>
      <c r="F43" s="10" t="s">
        <v>939</v>
      </c>
    </row>
    <row r="44" spans="1:6" x14ac:dyDescent="0.25">
      <c r="A44" s="9" t="s">
        <v>1271</v>
      </c>
      <c r="B44" s="51" t="s">
        <v>1180</v>
      </c>
      <c r="C44" s="10">
        <v>305704</v>
      </c>
      <c r="D44" s="10"/>
      <c r="E44" s="10"/>
      <c r="F44" s="10"/>
    </row>
    <row r="45" spans="1:6" x14ac:dyDescent="0.25">
      <c r="A45" s="9" t="s">
        <v>980</v>
      </c>
      <c r="B45" s="10" t="s">
        <v>783</v>
      </c>
      <c r="C45" s="10">
        <v>341531</v>
      </c>
      <c r="D45" s="10"/>
      <c r="E45" s="10"/>
      <c r="F45" s="10" t="s">
        <v>935</v>
      </c>
    </row>
    <row r="46" spans="1:6" x14ac:dyDescent="0.25">
      <c r="A46" s="9" t="s">
        <v>981</v>
      </c>
      <c r="B46" s="10" t="s">
        <v>783</v>
      </c>
      <c r="C46" s="10">
        <v>341531</v>
      </c>
      <c r="D46" s="10"/>
      <c r="E46" s="10"/>
      <c r="F46" s="10" t="s">
        <v>935</v>
      </c>
    </row>
    <row r="47" spans="1:6" x14ac:dyDescent="0.25">
      <c r="A47" s="9" t="s">
        <v>982</v>
      </c>
      <c r="B47" s="10" t="s">
        <v>983</v>
      </c>
      <c r="C47" s="10">
        <v>341530</v>
      </c>
      <c r="D47" s="10"/>
      <c r="E47" s="10"/>
      <c r="F47" s="10" t="s">
        <v>935</v>
      </c>
    </row>
    <row r="48" spans="1:6" x14ac:dyDescent="0.25">
      <c r="A48" s="62" t="s">
        <v>1238</v>
      </c>
      <c r="B48" s="62" t="s">
        <v>1238</v>
      </c>
      <c r="C48" s="62" t="s">
        <v>1238</v>
      </c>
      <c r="D48" s="10"/>
      <c r="E48" s="10"/>
      <c r="F48" s="10"/>
    </row>
    <row r="49" spans="1:6" x14ac:dyDescent="0.25">
      <c r="A49" s="62" t="s">
        <v>664</v>
      </c>
      <c r="B49" s="63" t="s">
        <v>267</v>
      </c>
      <c r="C49" s="64" t="s">
        <v>267</v>
      </c>
      <c r="D49" s="10"/>
      <c r="E49" s="10"/>
      <c r="F49" s="10"/>
    </row>
    <row r="50" spans="1:6" x14ac:dyDescent="0.25">
      <c r="A50" s="62" t="s">
        <v>795</v>
      </c>
      <c r="B50" s="63" t="s">
        <v>795</v>
      </c>
      <c r="C50" s="64">
        <v>341530</v>
      </c>
      <c r="D50" s="10"/>
      <c r="E50" s="10"/>
      <c r="F50" s="10"/>
    </row>
    <row r="51" spans="1:6" x14ac:dyDescent="0.25">
      <c r="A51" s="47" t="s">
        <v>799</v>
      </c>
      <c r="B51" s="10" t="s">
        <v>192</v>
      </c>
      <c r="C51" s="10">
        <v>305704</v>
      </c>
      <c r="D51" s="10"/>
      <c r="E51" s="10"/>
      <c r="F51" s="10"/>
    </row>
    <row r="52" spans="1:6" x14ac:dyDescent="0.25">
      <c r="A52" s="9" t="s">
        <v>984</v>
      </c>
      <c r="B52" s="10" t="s">
        <v>985</v>
      </c>
      <c r="C52" s="10">
        <v>341530</v>
      </c>
      <c r="D52" s="10" t="s">
        <v>958</v>
      </c>
      <c r="E52" s="10"/>
      <c r="F52" s="10" t="s">
        <v>939</v>
      </c>
    </row>
    <row r="53" spans="1:6" x14ac:dyDescent="0.25">
      <c r="A53" s="9" t="s">
        <v>986</v>
      </c>
      <c r="B53" s="10" t="s">
        <v>985</v>
      </c>
      <c r="C53" s="10">
        <v>341530</v>
      </c>
      <c r="D53" s="10" t="s">
        <v>936</v>
      </c>
      <c r="E53" s="10" t="s">
        <v>949</v>
      </c>
      <c r="F53" s="10" t="s">
        <v>939</v>
      </c>
    </row>
    <row r="54" spans="1:6" x14ac:dyDescent="0.25">
      <c r="A54" s="62" t="s">
        <v>804</v>
      </c>
      <c r="B54" s="63" t="s">
        <v>804</v>
      </c>
      <c r="C54" s="10">
        <v>305704</v>
      </c>
      <c r="D54" s="10"/>
      <c r="E54" s="10"/>
      <c r="F54" s="10"/>
    </row>
    <row r="55" spans="1:6" x14ac:dyDescent="0.25">
      <c r="A55" s="62" t="s">
        <v>829</v>
      </c>
      <c r="B55" s="63" t="s">
        <v>224</v>
      </c>
      <c r="C55" s="65">
        <v>341531</v>
      </c>
      <c r="D55" s="10"/>
      <c r="E55" s="10"/>
      <c r="F55" s="10"/>
    </row>
    <row r="56" spans="1:6" x14ac:dyDescent="0.25">
      <c r="A56" s="62" t="s">
        <v>838</v>
      </c>
      <c r="B56" s="63" t="s">
        <v>224</v>
      </c>
      <c r="C56" s="62" t="s">
        <v>268</v>
      </c>
      <c r="D56" s="10"/>
      <c r="E56" s="10"/>
      <c r="F56" s="10"/>
    </row>
    <row r="57" spans="1:6" x14ac:dyDescent="0.25">
      <c r="A57" s="9" t="s">
        <v>1183</v>
      </c>
      <c r="B57" s="51" t="s">
        <v>224</v>
      </c>
      <c r="C57" s="9">
        <v>305704</v>
      </c>
      <c r="D57" s="10"/>
      <c r="E57" s="10"/>
      <c r="F57" s="10"/>
    </row>
    <row r="58" spans="1:6" x14ac:dyDescent="0.25">
      <c r="A58" s="62" t="s">
        <v>840</v>
      </c>
      <c r="B58" s="63" t="s">
        <v>224</v>
      </c>
      <c r="C58" s="10">
        <v>305704</v>
      </c>
      <c r="D58" s="10"/>
      <c r="E58" s="10"/>
      <c r="F58" s="10"/>
    </row>
    <row r="59" spans="1:6" x14ac:dyDescent="0.25">
      <c r="A59" s="62" t="s">
        <v>848</v>
      </c>
      <c r="B59" s="63" t="s">
        <v>224</v>
      </c>
      <c r="C59" s="10">
        <v>341530</v>
      </c>
      <c r="D59" s="10"/>
      <c r="E59" s="10"/>
      <c r="F59" s="10"/>
    </row>
    <row r="60" spans="1:6" x14ac:dyDescent="0.25">
      <c r="A60" s="62" t="s">
        <v>850</v>
      </c>
      <c r="B60" s="63" t="s">
        <v>224</v>
      </c>
      <c r="C60" s="10">
        <v>305704</v>
      </c>
      <c r="D60" s="10"/>
      <c r="E60" s="10"/>
      <c r="F60" s="10"/>
    </row>
    <row r="61" spans="1:6" x14ac:dyDescent="0.25">
      <c r="A61" s="47" t="s">
        <v>817</v>
      </c>
      <c r="B61" s="10" t="s">
        <v>243</v>
      </c>
      <c r="C61" s="10">
        <v>341530</v>
      </c>
      <c r="D61" s="10"/>
      <c r="E61" s="10"/>
      <c r="F61" s="10"/>
    </row>
    <row r="62" spans="1:6" x14ac:dyDescent="0.25">
      <c r="A62" s="62" t="s">
        <v>692</v>
      </c>
      <c r="B62" s="63" t="s">
        <v>224</v>
      </c>
      <c r="C62" s="64">
        <v>341531</v>
      </c>
      <c r="D62" s="10"/>
      <c r="E62" s="10"/>
      <c r="F62" s="10"/>
    </row>
    <row r="63" spans="1:6" x14ac:dyDescent="0.25">
      <c r="A63" s="9" t="s">
        <v>987</v>
      </c>
      <c r="B63" s="10" t="s">
        <v>1169</v>
      </c>
      <c r="C63" s="10">
        <v>341531</v>
      </c>
      <c r="D63" s="10" t="s">
        <v>938</v>
      </c>
      <c r="E63" s="10" t="s">
        <v>970</v>
      </c>
      <c r="F63" s="10" t="s">
        <v>939</v>
      </c>
    </row>
    <row r="64" spans="1:6" x14ac:dyDescent="0.25">
      <c r="A64" s="9" t="s">
        <v>988</v>
      </c>
      <c r="B64" s="10" t="s">
        <v>1169</v>
      </c>
      <c r="C64" s="10">
        <v>341531</v>
      </c>
      <c r="D64" s="10" t="s">
        <v>938</v>
      </c>
      <c r="E64" s="10" t="s">
        <v>970</v>
      </c>
      <c r="F64" s="10" t="s">
        <v>939</v>
      </c>
    </row>
    <row r="65" spans="1:7" x14ac:dyDescent="0.25">
      <c r="A65" s="9" t="s">
        <v>859</v>
      </c>
      <c r="B65" s="10" t="s">
        <v>1169</v>
      </c>
      <c r="C65" s="10">
        <v>341531</v>
      </c>
      <c r="D65" s="10" t="s">
        <v>936</v>
      </c>
      <c r="E65" s="10" t="s">
        <v>970</v>
      </c>
      <c r="F65" s="10" t="s">
        <v>939</v>
      </c>
    </row>
    <row r="66" spans="1:7" x14ac:dyDescent="0.25">
      <c r="A66" s="62" t="s">
        <v>695</v>
      </c>
      <c r="B66" s="63" t="s">
        <v>862</v>
      </c>
      <c r="C66" s="10">
        <v>305704</v>
      </c>
      <c r="D66" s="10"/>
      <c r="E66" s="10"/>
      <c r="F66" s="10"/>
    </row>
    <row r="67" spans="1:7" x14ac:dyDescent="0.25">
      <c r="A67" s="62" t="s">
        <v>821</v>
      </c>
      <c r="B67" s="63" t="s">
        <v>224</v>
      </c>
      <c r="C67" s="10">
        <v>305704</v>
      </c>
      <c r="D67" s="10"/>
      <c r="E67" s="10"/>
      <c r="F67" s="10"/>
    </row>
    <row r="68" spans="1:7" x14ac:dyDescent="0.25">
      <c r="A68" s="47" t="s">
        <v>791</v>
      </c>
      <c r="B68" s="10" t="s">
        <v>210</v>
      </c>
      <c r="C68" s="64" t="s">
        <v>269</v>
      </c>
      <c r="D68" s="10"/>
      <c r="E68" s="10"/>
      <c r="F68" s="10"/>
    </row>
    <row r="69" spans="1:7" ht="21" x14ac:dyDescent="0.35">
      <c r="A69" s="77" t="s">
        <v>1284</v>
      </c>
      <c r="B69" s="78" t="s">
        <v>210</v>
      </c>
      <c r="C69" s="79">
        <v>341530</v>
      </c>
      <c r="D69" s="79"/>
      <c r="E69" s="79"/>
      <c r="F69" s="79"/>
      <c r="G69" s="80"/>
    </row>
    <row r="70" spans="1:7" x14ac:dyDescent="0.25">
      <c r="A70" s="47" t="s">
        <v>864</v>
      </c>
      <c r="B70" s="10" t="s">
        <v>248</v>
      </c>
      <c r="C70" s="10">
        <v>305704</v>
      </c>
      <c r="D70" s="10"/>
      <c r="E70" s="10"/>
      <c r="F70" s="10"/>
    </row>
    <row r="71" spans="1:7" x14ac:dyDescent="0.25">
      <c r="A71" s="47" t="s">
        <v>989</v>
      </c>
      <c r="B71" s="10" t="s">
        <v>990</v>
      </c>
      <c r="C71" s="10">
        <v>341530</v>
      </c>
      <c r="D71" s="10" t="s">
        <v>958</v>
      </c>
      <c r="E71" s="10" t="s">
        <v>65</v>
      </c>
      <c r="F71" s="10" t="s">
        <v>939</v>
      </c>
    </row>
    <row r="72" spans="1:7" x14ac:dyDescent="0.25">
      <c r="A72" s="9" t="s">
        <v>991</v>
      </c>
      <c r="B72" s="10" t="s">
        <v>990</v>
      </c>
      <c r="C72" s="10">
        <v>341530</v>
      </c>
      <c r="D72" s="10" t="s">
        <v>936</v>
      </c>
      <c r="E72" s="10" t="s">
        <v>65</v>
      </c>
      <c r="F72" s="10" t="s">
        <v>939</v>
      </c>
    </row>
    <row r="73" spans="1:7" x14ac:dyDescent="0.25">
      <c r="A73" s="9" t="s">
        <v>992</v>
      </c>
      <c r="B73" s="10" t="s">
        <v>990</v>
      </c>
      <c r="C73" s="10">
        <v>341530</v>
      </c>
      <c r="D73" s="10" t="s">
        <v>958</v>
      </c>
      <c r="E73" s="10" t="s">
        <v>949</v>
      </c>
      <c r="F73" s="10" t="s">
        <v>939</v>
      </c>
    </row>
    <row r="74" spans="1:7" x14ac:dyDescent="0.25">
      <c r="A74" s="9" t="s">
        <v>993</v>
      </c>
      <c r="B74" s="10" t="s">
        <v>990</v>
      </c>
      <c r="C74" s="10">
        <v>341530</v>
      </c>
      <c r="D74" s="10" t="s">
        <v>936</v>
      </c>
      <c r="E74" s="10" t="s">
        <v>949</v>
      </c>
      <c r="F74" s="10" t="s">
        <v>939</v>
      </c>
    </row>
    <row r="75" spans="1:7" x14ac:dyDescent="0.25">
      <c r="A75" s="9" t="s">
        <v>1170</v>
      </c>
      <c r="B75" s="10" t="s">
        <v>1170</v>
      </c>
      <c r="C75" s="10">
        <v>341530</v>
      </c>
      <c r="D75" s="10"/>
      <c r="E75" s="10"/>
      <c r="F75" s="10"/>
    </row>
    <row r="76" spans="1:7" x14ac:dyDescent="0.25">
      <c r="A76" s="9" t="s">
        <v>994</v>
      </c>
      <c r="B76" s="10" t="s">
        <v>995</v>
      </c>
      <c r="C76" s="10">
        <v>341530</v>
      </c>
      <c r="D76" s="10"/>
      <c r="E76" s="10"/>
      <c r="F76" s="10" t="s">
        <v>935</v>
      </c>
    </row>
    <row r="77" spans="1:7" x14ac:dyDescent="0.25">
      <c r="A77" s="9" t="s">
        <v>996</v>
      </c>
      <c r="B77" s="10" t="s">
        <v>252</v>
      </c>
      <c r="C77" s="10">
        <v>341530</v>
      </c>
      <c r="D77" s="10" t="s">
        <v>936</v>
      </c>
      <c r="E77" s="10" t="s">
        <v>997</v>
      </c>
      <c r="F77" s="10" t="s">
        <v>935</v>
      </c>
    </row>
    <row r="78" spans="1:7" x14ac:dyDescent="0.25">
      <c r="A78" s="9" t="s">
        <v>998</v>
      </c>
      <c r="B78" s="10" t="s">
        <v>252</v>
      </c>
      <c r="C78" s="10">
        <v>341530</v>
      </c>
      <c r="D78" s="10" t="s">
        <v>958</v>
      </c>
      <c r="E78" s="10" t="s">
        <v>997</v>
      </c>
      <c r="F78" s="10" t="s">
        <v>935</v>
      </c>
    </row>
    <row r="79" spans="1:7" x14ac:dyDescent="0.25">
      <c r="A79" s="9" t="s">
        <v>999</v>
      </c>
      <c r="B79" s="10" t="s">
        <v>252</v>
      </c>
      <c r="C79" s="10">
        <v>341530</v>
      </c>
      <c r="D79" s="10" t="s">
        <v>936</v>
      </c>
      <c r="E79" s="10" t="s">
        <v>997</v>
      </c>
      <c r="F79" s="10" t="s">
        <v>935</v>
      </c>
    </row>
    <row r="80" spans="1:7" x14ac:dyDescent="0.25">
      <c r="A80" s="9" t="s">
        <v>1000</v>
      </c>
      <c r="B80" s="10" t="s">
        <v>252</v>
      </c>
      <c r="C80" s="10">
        <v>341530</v>
      </c>
      <c r="D80" s="10"/>
      <c r="E80" s="10"/>
      <c r="F80" s="10"/>
    </row>
    <row r="81" spans="1:6" x14ac:dyDescent="0.25">
      <c r="A81" s="9" t="s">
        <v>1001</v>
      </c>
      <c r="B81" s="10" t="s">
        <v>252</v>
      </c>
      <c r="C81" s="10">
        <v>341530</v>
      </c>
      <c r="D81" s="10"/>
      <c r="E81" s="10"/>
      <c r="F81" s="10"/>
    </row>
    <row r="82" spans="1:6" x14ac:dyDescent="0.25">
      <c r="A82" s="9" t="s">
        <v>1002</v>
      </c>
      <c r="B82" s="10" t="s">
        <v>252</v>
      </c>
      <c r="C82" s="10">
        <v>341530</v>
      </c>
      <c r="D82" s="10"/>
      <c r="E82" s="10"/>
      <c r="F82" s="10"/>
    </row>
    <row r="83" spans="1:6" x14ac:dyDescent="0.25">
      <c r="A83" s="9" t="s">
        <v>1003</v>
      </c>
      <c r="B83" s="10" t="s">
        <v>252</v>
      </c>
      <c r="C83" s="10">
        <v>341530</v>
      </c>
      <c r="D83" s="10"/>
      <c r="E83" s="10"/>
      <c r="F83" s="10"/>
    </row>
    <row r="84" spans="1:6" x14ac:dyDescent="0.25">
      <c r="A84" s="9" t="s">
        <v>1004</v>
      </c>
      <c r="B84" s="10" t="s">
        <v>252</v>
      </c>
      <c r="C84" s="10">
        <v>341530</v>
      </c>
      <c r="D84" s="10"/>
      <c r="E84" s="10"/>
      <c r="F84" s="10"/>
    </row>
    <row r="85" spans="1:6" x14ac:dyDescent="0.25">
      <c r="A85" s="9" t="s">
        <v>1005</v>
      </c>
      <c r="B85" s="10" t="s">
        <v>252</v>
      </c>
      <c r="C85" s="10">
        <v>341530</v>
      </c>
      <c r="D85" s="10"/>
      <c r="E85" s="10"/>
      <c r="F85" s="10"/>
    </row>
    <row r="86" spans="1:6" x14ac:dyDescent="0.25">
      <c r="A86" s="9" t="s">
        <v>1006</v>
      </c>
      <c r="B86" s="10" t="s">
        <v>252</v>
      </c>
      <c r="C86" s="10">
        <v>341530</v>
      </c>
      <c r="D86" s="10"/>
      <c r="E86" s="10"/>
      <c r="F86" s="10"/>
    </row>
    <row r="87" spans="1:6" x14ac:dyDescent="0.25">
      <c r="A87" s="9" t="s">
        <v>1007</v>
      </c>
      <c r="B87" s="10" t="s">
        <v>252</v>
      </c>
      <c r="C87" s="10">
        <v>341530</v>
      </c>
      <c r="D87" s="10"/>
      <c r="E87" s="10"/>
      <c r="F87" s="10"/>
    </row>
    <row r="88" spans="1:6" x14ac:dyDescent="0.25">
      <c r="A88" s="9" t="s">
        <v>1008</v>
      </c>
      <c r="B88" s="10" t="s">
        <v>252</v>
      </c>
      <c r="C88" s="10">
        <v>341530</v>
      </c>
      <c r="D88" s="10"/>
      <c r="E88" s="10"/>
      <c r="F88" s="10"/>
    </row>
    <row r="89" spans="1:6" x14ac:dyDescent="0.25">
      <c r="A89" s="9" t="s">
        <v>1009</v>
      </c>
      <c r="B89" s="10" t="s">
        <v>252</v>
      </c>
      <c r="C89" s="10">
        <v>341530</v>
      </c>
      <c r="D89" s="10"/>
      <c r="E89" s="10"/>
      <c r="F89" s="10"/>
    </row>
    <row r="90" spans="1:6" x14ac:dyDescent="0.25">
      <c r="A90" s="9" t="s">
        <v>1010</v>
      </c>
      <c r="B90" s="10" t="s">
        <v>252</v>
      </c>
      <c r="C90" s="10">
        <v>341530</v>
      </c>
      <c r="D90" s="10"/>
      <c r="E90" s="10"/>
      <c r="F90" s="10"/>
    </row>
    <row r="91" spans="1:6" x14ac:dyDescent="0.25">
      <c r="A91" s="9" t="s">
        <v>1011</v>
      </c>
      <c r="B91" s="10" t="s">
        <v>252</v>
      </c>
      <c r="C91" s="10">
        <v>341530</v>
      </c>
      <c r="D91" s="10"/>
      <c r="E91" s="10"/>
      <c r="F91" s="10"/>
    </row>
    <row r="92" spans="1:6" x14ac:dyDescent="0.25">
      <c r="A92" s="9" t="s">
        <v>1012</v>
      </c>
      <c r="B92" s="10" t="s">
        <v>252</v>
      </c>
      <c r="C92" s="10">
        <v>341530</v>
      </c>
      <c r="D92" s="10"/>
      <c r="E92" s="10"/>
      <c r="F92" s="10"/>
    </row>
    <row r="93" spans="1:6" x14ac:dyDescent="0.25">
      <c r="A93" s="9" t="s">
        <v>1013</v>
      </c>
      <c r="B93" s="10" t="s">
        <v>252</v>
      </c>
      <c r="C93" s="10">
        <v>341530</v>
      </c>
      <c r="D93" s="10"/>
      <c r="E93" s="10"/>
      <c r="F93" s="10"/>
    </row>
    <row r="94" spans="1:6" x14ac:dyDescent="0.25">
      <c r="A94" s="9" t="s">
        <v>1014</v>
      </c>
      <c r="B94" s="10" t="s">
        <v>252</v>
      </c>
      <c r="C94" s="10">
        <v>341530</v>
      </c>
      <c r="D94" s="10"/>
      <c r="E94" s="10"/>
      <c r="F94" s="10"/>
    </row>
    <row r="95" spans="1:6" x14ac:dyDescent="0.25">
      <c r="A95" s="9" t="s">
        <v>1015</v>
      </c>
      <c r="B95" s="10" t="s">
        <v>252</v>
      </c>
      <c r="C95" s="10">
        <v>341530</v>
      </c>
      <c r="D95" s="10"/>
      <c r="E95" s="10"/>
      <c r="F95" s="10"/>
    </row>
    <row r="96" spans="1:6" x14ac:dyDescent="0.25">
      <c r="A96" s="9" t="s">
        <v>1016</v>
      </c>
      <c r="B96" s="10" t="s">
        <v>252</v>
      </c>
      <c r="C96" s="10">
        <v>341530</v>
      </c>
      <c r="D96" s="10"/>
      <c r="E96" s="10"/>
      <c r="F96" s="10"/>
    </row>
    <row r="97" spans="1:6" x14ac:dyDescent="0.25">
      <c r="A97" s="9" t="s">
        <v>1017</v>
      </c>
      <c r="B97" s="10" t="s">
        <v>252</v>
      </c>
      <c r="C97" s="10">
        <v>341530</v>
      </c>
      <c r="D97" s="10"/>
      <c r="E97" s="10"/>
      <c r="F97" s="10"/>
    </row>
    <row r="98" spans="1:6" x14ac:dyDescent="0.25">
      <c r="A98" s="9" t="s">
        <v>1018</v>
      </c>
      <c r="B98" s="10" t="s">
        <v>252</v>
      </c>
      <c r="C98" s="10">
        <v>341530</v>
      </c>
      <c r="D98" s="10"/>
      <c r="E98" s="10"/>
      <c r="F98" s="10"/>
    </row>
    <row r="99" spans="1:6" x14ac:dyDescent="0.25">
      <c r="A99" s="9" t="s">
        <v>1019</v>
      </c>
      <c r="B99" s="10" t="s">
        <v>252</v>
      </c>
      <c r="C99" s="10">
        <v>341530</v>
      </c>
      <c r="D99" s="10"/>
      <c r="E99" s="10"/>
      <c r="F99" s="10"/>
    </row>
    <row r="100" spans="1:6" x14ac:dyDescent="0.25">
      <c r="A100" s="9" t="s">
        <v>1020</v>
      </c>
      <c r="B100" s="10" t="s">
        <v>252</v>
      </c>
      <c r="C100" s="10">
        <v>341530</v>
      </c>
      <c r="D100" s="10"/>
      <c r="E100" s="10"/>
      <c r="F100" s="10"/>
    </row>
    <row r="101" spans="1:6" x14ac:dyDescent="0.25">
      <c r="A101" s="9" t="s">
        <v>1021</v>
      </c>
      <c r="B101" s="10" t="s">
        <v>252</v>
      </c>
      <c r="C101" s="10">
        <v>341530</v>
      </c>
      <c r="D101" s="10"/>
      <c r="E101" s="10"/>
      <c r="F101" s="10"/>
    </row>
    <row r="102" spans="1:6" x14ac:dyDescent="0.25">
      <c r="A102" s="9" t="s">
        <v>1022</v>
      </c>
      <c r="B102" s="10" t="s">
        <v>252</v>
      </c>
      <c r="C102" s="10">
        <v>341530</v>
      </c>
      <c r="D102" s="10"/>
      <c r="E102" s="10"/>
      <c r="F102" s="10"/>
    </row>
    <row r="103" spans="1:6" x14ac:dyDescent="0.25">
      <c r="A103" s="9" t="s">
        <v>1023</v>
      </c>
      <c r="B103" s="10" t="s">
        <v>252</v>
      </c>
      <c r="C103" s="10">
        <v>341530</v>
      </c>
      <c r="D103" s="10"/>
      <c r="E103" s="10"/>
      <c r="F103" s="10"/>
    </row>
    <row r="104" spans="1:6" x14ac:dyDescent="0.25">
      <c r="A104" s="9" t="s">
        <v>1024</v>
      </c>
      <c r="B104" s="10" t="s">
        <v>252</v>
      </c>
      <c r="C104" s="10">
        <v>341530</v>
      </c>
      <c r="D104" s="10"/>
      <c r="E104" s="10"/>
      <c r="F104" s="10"/>
    </row>
    <row r="105" spans="1:6" x14ac:dyDescent="0.25">
      <c r="A105" s="9" t="s">
        <v>1025</v>
      </c>
      <c r="B105" s="10" t="s">
        <v>252</v>
      </c>
      <c r="C105" s="10">
        <v>341530</v>
      </c>
      <c r="D105" s="10"/>
      <c r="E105" s="10"/>
      <c r="F105" s="10"/>
    </row>
    <row r="106" spans="1:6" x14ac:dyDescent="0.25">
      <c r="A106" s="9" t="s">
        <v>1026</v>
      </c>
      <c r="B106" s="10" t="s">
        <v>252</v>
      </c>
      <c r="C106" s="10">
        <v>341530</v>
      </c>
      <c r="D106" s="10"/>
      <c r="E106" s="10"/>
      <c r="F106" s="10"/>
    </row>
    <row r="107" spans="1:6" x14ac:dyDescent="0.25">
      <c r="A107" s="9" t="s">
        <v>1027</v>
      </c>
      <c r="B107" s="10" t="s">
        <v>252</v>
      </c>
      <c r="C107" s="10">
        <v>341530</v>
      </c>
      <c r="D107" s="10" t="s">
        <v>936</v>
      </c>
      <c r="E107" s="10"/>
      <c r="F107" s="10"/>
    </row>
    <row r="108" spans="1:6" x14ac:dyDescent="0.25">
      <c r="A108" s="9" t="s">
        <v>1028</v>
      </c>
      <c r="B108" s="10" t="s">
        <v>252</v>
      </c>
      <c r="C108" s="10">
        <v>341530</v>
      </c>
      <c r="D108" s="10" t="s">
        <v>936</v>
      </c>
      <c r="E108" s="10"/>
      <c r="F108" s="10"/>
    </row>
    <row r="109" spans="1:6" x14ac:dyDescent="0.25">
      <c r="A109" s="9" t="s">
        <v>1029</v>
      </c>
      <c r="B109" s="10" t="s">
        <v>252</v>
      </c>
      <c r="C109" s="10">
        <v>341530</v>
      </c>
      <c r="D109" s="10" t="s">
        <v>958</v>
      </c>
      <c r="E109" s="10"/>
      <c r="F109" s="10"/>
    </row>
    <row r="110" spans="1:6" x14ac:dyDescent="0.25">
      <c r="A110" s="47" t="s">
        <v>873</v>
      </c>
      <c r="B110" s="10" t="s">
        <v>252</v>
      </c>
      <c r="C110" s="10">
        <v>341530</v>
      </c>
      <c r="D110" s="10"/>
      <c r="E110" s="10"/>
      <c r="F110" s="10"/>
    </row>
    <row r="111" spans="1:6" x14ac:dyDescent="0.25">
      <c r="A111" s="9" t="s">
        <v>1030</v>
      </c>
      <c r="B111" s="10" t="s">
        <v>252</v>
      </c>
      <c r="C111" s="10">
        <v>341530</v>
      </c>
      <c r="D111" s="10" t="s">
        <v>958</v>
      </c>
      <c r="E111" s="10" t="s">
        <v>997</v>
      </c>
      <c r="F111" s="10" t="s">
        <v>935</v>
      </c>
    </row>
    <row r="112" spans="1:6" x14ac:dyDescent="0.25">
      <c r="A112" s="9" t="s">
        <v>1031</v>
      </c>
      <c r="B112" s="10" t="s">
        <v>252</v>
      </c>
      <c r="C112" s="10">
        <v>341530</v>
      </c>
      <c r="D112" s="10" t="s">
        <v>936</v>
      </c>
      <c r="E112" s="10" t="s">
        <v>997</v>
      </c>
      <c r="F112" s="10" t="s">
        <v>935</v>
      </c>
    </row>
    <row r="113" spans="1:6" x14ac:dyDescent="0.25">
      <c r="A113" s="62" t="s">
        <v>1317</v>
      </c>
      <c r="B113" s="10" t="s">
        <v>252</v>
      </c>
      <c r="C113" s="10">
        <v>305704</v>
      </c>
      <c r="D113" s="10"/>
      <c r="E113" s="10"/>
      <c r="F113" s="10"/>
    </row>
    <row r="114" spans="1:6" x14ac:dyDescent="0.25">
      <c r="A114" s="9" t="s">
        <v>1032</v>
      </c>
      <c r="B114" s="10" t="s">
        <v>254</v>
      </c>
      <c r="C114" s="10">
        <v>341530</v>
      </c>
      <c r="D114" s="10" t="s">
        <v>938</v>
      </c>
      <c r="E114" s="10"/>
      <c r="F114" s="10" t="s">
        <v>939</v>
      </c>
    </row>
    <row r="115" spans="1:6" x14ac:dyDescent="0.25">
      <c r="A115" s="9" t="s">
        <v>876</v>
      </c>
      <c r="B115" s="10" t="s">
        <v>254</v>
      </c>
      <c r="C115" s="10">
        <v>341530</v>
      </c>
      <c r="D115" s="10" t="s">
        <v>938</v>
      </c>
      <c r="E115" s="10"/>
      <c r="F115" s="10" t="s">
        <v>939</v>
      </c>
    </row>
    <row r="116" spans="1:6" x14ac:dyDescent="0.25">
      <c r="A116" s="9" t="s">
        <v>1033</v>
      </c>
      <c r="B116" s="10" t="s">
        <v>1034</v>
      </c>
      <c r="C116" s="10">
        <v>341531</v>
      </c>
      <c r="D116" s="10" t="s">
        <v>938</v>
      </c>
      <c r="E116" s="10"/>
      <c r="F116" s="10" t="s">
        <v>935</v>
      </c>
    </row>
    <row r="117" spans="1:6" x14ac:dyDescent="0.25">
      <c r="A117" s="9" t="s">
        <v>1035</v>
      </c>
      <c r="B117" s="10" t="s">
        <v>1034</v>
      </c>
      <c r="C117" s="10">
        <v>341531</v>
      </c>
      <c r="D117" s="10" t="s">
        <v>938</v>
      </c>
      <c r="E117" s="10"/>
      <c r="F117" s="10" t="s">
        <v>935</v>
      </c>
    </row>
    <row r="118" spans="1:6" x14ac:dyDescent="0.25">
      <c r="A118" s="9" t="s">
        <v>1036</v>
      </c>
      <c r="B118" s="10" t="s">
        <v>1034</v>
      </c>
      <c r="C118" s="10">
        <v>341531</v>
      </c>
      <c r="D118" s="10" t="s">
        <v>938</v>
      </c>
      <c r="E118" s="10"/>
      <c r="F118" s="10" t="s">
        <v>935</v>
      </c>
    </row>
    <row r="119" spans="1:6" x14ac:dyDescent="0.25">
      <c r="A119" s="9" t="s">
        <v>1037</v>
      </c>
      <c r="B119" s="10" t="s">
        <v>5</v>
      </c>
      <c r="C119" s="10">
        <v>341531</v>
      </c>
      <c r="D119" s="10" t="s">
        <v>936</v>
      </c>
      <c r="E119" s="10" t="s">
        <v>970</v>
      </c>
      <c r="F119" s="10" t="s">
        <v>935</v>
      </c>
    </row>
    <row r="120" spans="1:6" x14ac:dyDescent="0.25">
      <c r="A120" s="47" t="s">
        <v>893</v>
      </c>
      <c r="B120" s="10" t="s">
        <v>5</v>
      </c>
      <c r="C120" s="10">
        <v>341531</v>
      </c>
      <c r="D120" s="10"/>
      <c r="E120" s="10"/>
      <c r="F120" s="10"/>
    </row>
    <row r="121" spans="1:6" x14ac:dyDescent="0.25">
      <c r="A121" s="9" t="s">
        <v>884</v>
      </c>
      <c r="B121" s="10" t="s">
        <v>5</v>
      </c>
      <c r="C121" s="10">
        <v>341531</v>
      </c>
      <c r="D121" s="10" t="s">
        <v>936</v>
      </c>
      <c r="E121" s="10" t="s">
        <v>854</v>
      </c>
      <c r="F121" s="10" t="s">
        <v>939</v>
      </c>
    </row>
    <row r="122" spans="1:6" x14ac:dyDescent="0.25">
      <c r="A122" s="9" t="s">
        <v>1038</v>
      </c>
      <c r="B122" s="10" t="s">
        <v>5</v>
      </c>
      <c r="C122" s="10">
        <v>341531</v>
      </c>
      <c r="D122" s="10" t="s">
        <v>936</v>
      </c>
      <c r="E122" s="10" t="s">
        <v>970</v>
      </c>
      <c r="F122" s="10" t="s">
        <v>935</v>
      </c>
    </row>
    <row r="123" spans="1:6" x14ac:dyDescent="0.25">
      <c r="A123" s="9" t="s">
        <v>1039</v>
      </c>
      <c r="B123" s="10" t="s">
        <v>5</v>
      </c>
      <c r="C123" s="10">
        <v>341531</v>
      </c>
      <c r="D123" s="10" t="s">
        <v>936</v>
      </c>
      <c r="E123" s="10" t="s">
        <v>970</v>
      </c>
      <c r="F123" s="10" t="s">
        <v>935</v>
      </c>
    </row>
    <row r="124" spans="1:6" x14ac:dyDescent="0.25">
      <c r="A124" s="9" t="s">
        <v>1040</v>
      </c>
      <c r="B124" s="10" t="s">
        <v>1034</v>
      </c>
      <c r="C124" s="10">
        <v>341531</v>
      </c>
      <c r="D124" s="10" t="s">
        <v>938</v>
      </c>
      <c r="E124" s="10"/>
      <c r="F124" s="10" t="s">
        <v>935</v>
      </c>
    </row>
    <row r="125" spans="1:6" x14ac:dyDescent="0.25">
      <c r="A125" s="9" t="s">
        <v>1041</v>
      </c>
      <c r="B125" s="10" t="s">
        <v>1034</v>
      </c>
      <c r="C125" s="10">
        <v>341531</v>
      </c>
      <c r="D125" s="10" t="s">
        <v>938</v>
      </c>
      <c r="E125" s="10"/>
      <c r="F125" s="10" t="s">
        <v>935</v>
      </c>
    </row>
    <row r="126" spans="1:6" x14ac:dyDescent="0.25">
      <c r="A126" s="47" t="s">
        <v>898</v>
      </c>
      <c r="B126" s="10" t="s">
        <v>240</v>
      </c>
      <c r="C126" s="10">
        <v>305704</v>
      </c>
      <c r="D126" s="10"/>
      <c r="E126" s="10"/>
      <c r="F126" s="10"/>
    </row>
    <row r="127" spans="1:6" x14ac:dyDescent="0.25">
      <c r="A127" s="9" t="s">
        <v>1042</v>
      </c>
      <c r="B127" s="10" t="s">
        <v>902</v>
      </c>
      <c r="C127" s="10">
        <v>341531</v>
      </c>
      <c r="D127" s="10"/>
      <c r="E127" s="10"/>
      <c r="F127" s="10"/>
    </row>
    <row r="128" spans="1:6" x14ac:dyDescent="0.25">
      <c r="A128" s="9" t="s">
        <v>1043</v>
      </c>
      <c r="B128" s="10" t="s">
        <v>1171</v>
      </c>
      <c r="C128" s="10">
        <v>341530</v>
      </c>
      <c r="D128" s="10"/>
      <c r="E128" s="10"/>
      <c r="F128" s="10"/>
    </row>
    <row r="129" spans="1:6" x14ac:dyDescent="0.25">
      <c r="A129" s="9" t="s">
        <v>1044</v>
      </c>
      <c r="B129" s="10" t="s">
        <v>1171</v>
      </c>
      <c r="C129" s="10">
        <v>341530</v>
      </c>
      <c r="D129" s="10"/>
      <c r="E129" s="10"/>
      <c r="F129" s="10"/>
    </row>
    <row r="130" spans="1:6" x14ac:dyDescent="0.25">
      <c r="A130" s="9" t="s">
        <v>1045</v>
      </c>
      <c r="B130" s="10" t="s">
        <v>1172</v>
      </c>
      <c r="C130" s="10">
        <v>341530</v>
      </c>
      <c r="D130" s="10"/>
      <c r="E130" s="10"/>
      <c r="F130" s="10"/>
    </row>
    <row r="131" spans="1:6" x14ac:dyDescent="0.25">
      <c r="A131" s="9" t="s">
        <v>1046</v>
      </c>
      <c r="B131" s="10" t="s">
        <v>1173</v>
      </c>
      <c r="C131" s="10">
        <v>341531</v>
      </c>
      <c r="D131" s="10" t="s">
        <v>936</v>
      </c>
      <c r="E131" s="10" t="s">
        <v>970</v>
      </c>
      <c r="F131" s="10" t="s">
        <v>939</v>
      </c>
    </row>
    <row r="132" spans="1:6" x14ac:dyDescent="0.25">
      <c r="A132" s="9" t="s">
        <v>1047</v>
      </c>
      <c r="B132" s="10" t="s">
        <v>1173</v>
      </c>
      <c r="C132" s="10">
        <v>341531</v>
      </c>
      <c r="D132" s="10" t="s">
        <v>938</v>
      </c>
      <c r="E132" s="10" t="s">
        <v>970</v>
      </c>
      <c r="F132" s="10" t="s">
        <v>939</v>
      </c>
    </row>
    <row r="133" spans="1:6" x14ac:dyDescent="0.25">
      <c r="A133" s="47" t="s">
        <v>907</v>
      </c>
      <c r="B133" s="10" t="s">
        <v>200</v>
      </c>
      <c r="C133" s="10">
        <v>305704</v>
      </c>
      <c r="D133" s="10"/>
      <c r="E133" s="10"/>
      <c r="F133" s="10"/>
    </row>
    <row r="134" spans="1:6" x14ac:dyDescent="0.25">
      <c r="A134" s="47" t="s">
        <v>749</v>
      </c>
      <c r="B134" s="10" t="s">
        <v>200</v>
      </c>
      <c r="C134" s="10">
        <v>305704</v>
      </c>
      <c r="D134" s="10"/>
      <c r="E134" s="10"/>
      <c r="F134" s="10"/>
    </row>
    <row r="135" spans="1:6" x14ac:dyDescent="0.25">
      <c r="A135" s="9" t="s">
        <v>1187</v>
      </c>
      <c r="B135" s="10" t="s">
        <v>200</v>
      </c>
      <c r="C135" s="10">
        <v>305704</v>
      </c>
      <c r="D135" s="10"/>
      <c r="E135" s="10"/>
      <c r="F135" s="10"/>
    </row>
    <row r="136" spans="1:6" x14ac:dyDescent="0.25">
      <c r="A136" s="62" t="s">
        <v>718</v>
      </c>
      <c r="B136" s="63" t="s">
        <v>911</v>
      </c>
      <c r="C136" s="10">
        <v>305704</v>
      </c>
      <c r="D136" s="10"/>
      <c r="E136" s="10"/>
      <c r="F136" s="10"/>
    </row>
    <row r="137" spans="1:6" x14ac:dyDescent="0.25">
      <c r="A137" s="9" t="s">
        <v>1048</v>
      </c>
      <c r="B137" s="10" t="s">
        <v>911</v>
      </c>
      <c r="C137" s="10">
        <v>305704</v>
      </c>
      <c r="D137" s="10"/>
      <c r="E137" s="10"/>
      <c r="F137" s="10"/>
    </row>
    <row r="138" spans="1:6" x14ac:dyDescent="0.25">
      <c r="A138" s="9" t="s">
        <v>1177</v>
      </c>
      <c r="B138" s="51" t="s">
        <v>911</v>
      </c>
      <c r="C138" s="10">
        <v>305704</v>
      </c>
      <c r="D138" s="10"/>
      <c r="E138" s="10"/>
      <c r="F138" s="10"/>
    </row>
    <row r="139" spans="1:6" x14ac:dyDescent="0.25">
      <c r="A139" s="47" t="s">
        <v>835</v>
      </c>
      <c r="B139" s="10" t="s">
        <v>224</v>
      </c>
      <c r="C139" s="10">
        <v>341531</v>
      </c>
      <c r="D139" s="10"/>
      <c r="E139" s="10"/>
      <c r="F139" s="10"/>
    </row>
    <row r="140" spans="1:6" x14ac:dyDescent="0.25">
      <c r="A140" s="9" t="s">
        <v>1049</v>
      </c>
      <c r="B140" s="10" t="s">
        <v>1050</v>
      </c>
      <c r="C140" s="10">
        <v>341530</v>
      </c>
      <c r="D140" s="10" t="s">
        <v>958</v>
      </c>
      <c r="E140" s="10"/>
      <c r="F140" s="10"/>
    </row>
    <row r="141" spans="1:6" x14ac:dyDescent="0.25">
      <c r="A141" s="62" t="s">
        <v>719</v>
      </c>
      <c r="B141" s="63" t="s">
        <v>913</v>
      </c>
      <c r="C141" s="10">
        <v>305704</v>
      </c>
      <c r="D141" s="10"/>
      <c r="E141" s="10"/>
      <c r="F141" s="10"/>
    </row>
    <row r="142" spans="1:6" x14ac:dyDescent="0.25">
      <c r="A142" s="47" t="s">
        <v>810</v>
      </c>
      <c r="B142" s="10" t="s">
        <v>224</v>
      </c>
      <c r="C142" s="10">
        <v>341531</v>
      </c>
      <c r="D142" s="10"/>
      <c r="E142" s="10"/>
      <c r="F142" s="10"/>
    </row>
    <row r="143" spans="1:6" x14ac:dyDescent="0.25">
      <c r="A143" s="62" t="s">
        <v>820</v>
      </c>
      <c r="B143" s="63" t="s">
        <v>224</v>
      </c>
      <c r="C143" s="10">
        <v>305704</v>
      </c>
      <c r="D143" s="10"/>
      <c r="E143" s="10"/>
      <c r="F143" s="10"/>
    </row>
    <row r="144" spans="1:6" x14ac:dyDescent="0.25">
      <c r="A144" s="47" t="s">
        <v>915</v>
      </c>
      <c r="B144" s="10" t="s">
        <v>239</v>
      </c>
      <c r="C144" s="10">
        <v>305704</v>
      </c>
      <c r="D144" s="10"/>
      <c r="E144" s="10"/>
      <c r="F144" s="10"/>
    </row>
    <row r="145" spans="1:6" x14ac:dyDescent="0.25">
      <c r="A145" s="47" t="s">
        <v>1051</v>
      </c>
      <c r="B145" s="10" t="s">
        <v>1052</v>
      </c>
      <c r="C145" s="10">
        <v>341531</v>
      </c>
      <c r="D145" s="10"/>
      <c r="E145" s="10"/>
      <c r="F145" s="10"/>
    </row>
    <row r="146" spans="1:6" x14ac:dyDescent="0.25">
      <c r="A146" s="47" t="s">
        <v>1053</v>
      </c>
      <c r="B146" s="10" t="s">
        <v>1054</v>
      </c>
      <c r="C146" s="10">
        <v>341530</v>
      </c>
      <c r="D146" s="10"/>
      <c r="E146" s="10"/>
      <c r="F146" s="10"/>
    </row>
    <row r="147" spans="1:6" x14ac:dyDescent="0.25">
      <c r="A147" s="47" t="s">
        <v>1055</v>
      </c>
      <c r="B147" s="10" t="s">
        <v>1052</v>
      </c>
      <c r="C147" s="10">
        <v>341531</v>
      </c>
      <c r="D147" s="10"/>
      <c r="E147" s="10"/>
      <c r="F147" s="10"/>
    </row>
    <row r="148" spans="1:6" x14ac:dyDescent="0.25">
      <c r="A148" s="9" t="s">
        <v>1056</v>
      </c>
      <c r="B148" s="10" t="s">
        <v>1057</v>
      </c>
      <c r="C148" s="10">
        <v>341530</v>
      </c>
      <c r="D148" s="10" t="s">
        <v>936</v>
      </c>
      <c r="E148" s="10" t="s">
        <v>65</v>
      </c>
      <c r="F148" s="10"/>
    </row>
    <row r="149" spans="1:6" x14ac:dyDescent="0.25">
      <c r="A149" s="9" t="s">
        <v>1058</v>
      </c>
      <c r="B149" s="10" t="s">
        <v>1057</v>
      </c>
      <c r="C149" s="10">
        <v>341530</v>
      </c>
      <c r="D149" s="10" t="s">
        <v>936</v>
      </c>
      <c r="E149" s="10" t="s">
        <v>949</v>
      </c>
      <c r="F149" s="10"/>
    </row>
    <row r="150" spans="1:6" x14ac:dyDescent="0.25">
      <c r="A150" s="9" t="s">
        <v>920</v>
      </c>
      <c r="B150" s="10" t="s">
        <v>1059</v>
      </c>
      <c r="C150" s="10">
        <v>341530</v>
      </c>
      <c r="D150" s="10" t="s">
        <v>958</v>
      </c>
      <c r="E150" s="10" t="s">
        <v>970</v>
      </c>
      <c r="F150" s="10"/>
    </row>
    <row r="151" spans="1:6" x14ac:dyDescent="0.25">
      <c r="A151" s="9" t="s">
        <v>1060</v>
      </c>
      <c r="B151" s="10" t="s">
        <v>1059</v>
      </c>
      <c r="C151" s="10">
        <v>341530</v>
      </c>
      <c r="D151" s="10" t="s">
        <v>958</v>
      </c>
      <c r="E151" s="10" t="s">
        <v>970</v>
      </c>
      <c r="F151" s="10"/>
    </row>
    <row r="152" spans="1:6" x14ac:dyDescent="0.25">
      <c r="A152" s="9" t="s">
        <v>1061</v>
      </c>
      <c r="B152" s="10" t="s">
        <v>1059</v>
      </c>
      <c r="C152" s="10">
        <v>341530</v>
      </c>
      <c r="D152" s="10" t="s">
        <v>958</v>
      </c>
      <c r="E152" s="10" t="s">
        <v>970</v>
      </c>
      <c r="F152" s="10"/>
    </row>
    <row r="153" spans="1:6" x14ac:dyDescent="0.25">
      <c r="A153" s="9" t="s">
        <v>1062</v>
      </c>
      <c r="B153" s="10" t="s">
        <v>1059</v>
      </c>
      <c r="C153" s="10">
        <v>341530</v>
      </c>
      <c r="D153" s="10" t="s">
        <v>958</v>
      </c>
      <c r="E153" s="10" t="s">
        <v>970</v>
      </c>
      <c r="F153" s="10"/>
    </row>
    <row r="154" spans="1:6" x14ac:dyDescent="0.25">
      <c r="A154" s="47" t="s">
        <v>832</v>
      </c>
      <c r="B154" s="10" t="s">
        <v>224</v>
      </c>
      <c r="C154" s="10">
        <v>341531</v>
      </c>
      <c r="D154" s="10"/>
      <c r="E154" s="10"/>
      <c r="F154" s="10"/>
    </row>
    <row r="155" spans="1:6" x14ac:dyDescent="0.25">
      <c r="A155" s="47" t="s">
        <v>825</v>
      </c>
      <c r="B155" s="10" t="s">
        <v>224</v>
      </c>
      <c r="C155" s="10">
        <v>341531</v>
      </c>
      <c r="D155" s="10"/>
      <c r="E155" s="10"/>
      <c r="F155" s="10"/>
    </row>
    <row r="156" spans="1:6" x14ac:dyDescent="0.25">
      <c r="A156" s="9" t="s">
        <v>1063</v>
      </c>
      <c r="B156" s="10" t="s">
        <v>1174</v>
      </c>
      <c r="C156" s="10">
        <v>341531</v>
      </c>
      <c r="D156" s="10"/>
      <c r="E156" s="10"/>
      <c r="F156" s="10"/>
    </row>
    <row r="157" spans="1:6" x14ac:dyDescent="0.25">
      <c r="A157" s="9" t="s">
        <v>1064</v>
      </c>
      <c r="B157" s="10" t="s">
        <v>1175</v>
      </c>
      <c r="C157" s="10">
        <v>341531</v>
      </c>
      <c r="D157" s="10" t="s">
        <v>938</v>
      </c>
      <c r="E157" s="10"/>
      <c r="F157" s="10"/>
    </row>
    <row r="158" spans="1:6" x14ac:dyDescent="0.25">
      <c r="A158" s="47" t="s">
        <v>922</v>
      </c>
      <c r="B158" s="10" t="s">
        <v>255</v>
      </c>
      <c r="C158" s="10">
        <v>305704</v>
      </c>
      <c r="D158" s="10"/>
      <c r="E158" s="10"/>
      <c r="F158" s="10"/>
    </row>
    <row r="159" spans="1:6" x14ac:dyDescent="0.25">
      <c r="A159" s="9" t="s">
        <v>926</v>
      </c>
      <c r="B159" s="51" t="s">
        <v>255</v>
      </c>
      <c r="C159" s="10">
        <v>305704</v>
      </c>
      <c r="D159" s="10"/>
      <c r="E159" s="10"/>
      <c r="F159" s="10"/>
    </row>
    <row r="160" spans="1:6" x14ac:dyDescent="0.25">
      <c r="A160" s="9" t="s">
        <v>1065</v>
      </c>
      <c r="B160" s="10" t="s">
        <v>1066</v>
      </c>
      <c r="C160" s="10">
        <v>341531</v>
      </c>
      <c r="D160" s="10" t="s">
        <v>958</v>
      </c>
      <c r="E160" s="10" t="s">
        <v>997</v>
      </c>
      <c r="F160" s="10" t="s">
        <v>939</v>
      </c>
    </row>
    <row r="161" spans="1:6" x14ac:dyDescent="0.25">
      <c r="A161" s="47" t="s">
        <v>789</v>
      </c>
      <c r="B161" s="10" t="s">
        <v>224</v>
      </c>
      <c r="C161" s="10">
        <v>341531</v>
      </c>
      <c r="D161" s="10"/>
      <c r="E161" s="10"/>
      <c r="F161" s="10"/>
    </row>
    <row r="162" spans="1:6" x14ac:dyDescent="0.25">
      <c r="A162" s="9" t="s">
        <v>1067</v>
      </c>
      <c r="B162" s="10" t="s">
        <v>1068</v>
      </c>
      <c r="C162" s="10">
        <v>341530</v>
      </c>
      <c r="D162" s="10" t="s">
        <v>938</v>
      </c>
      <c r="E162" s="10"/>
      <c r="F162" s="10"/>
    </row>
    <row r="163" spans="1:6" x14ac:dyDescent="0.25">
      <c r="A163" s="9" t="s">
        <v>1069</v>
      </c>
      <c r="B163" s="10" t="s">
        <v>1070</v>
      </c>
      <c r="C163" s="10">
        <v>341530</v>
      </c>
      <c r="D163" s="10" t="s">
        <v>936</v>
      </c>
      <c r="E163" s="10" t="s">
        <v>65</v>
      </c>
      <c r="F163" s="10"/>
    </row>
    <row r="164" spans="1:6" x14ac:dyDescent="0.25">
      <c r="A164" s="9" t="s">
        <v>1071</v>
      </c>
      <c r="B164" s="10" t="s">
        <v>1070</v>
      </c>
      <c r="C164" s="10">
        <v>341530</v>
      </c>
      <c r="D164" s="10" t="s">
        <v>936</v>
      </c>
      <c r="E164" s="10" t="s">
        <v>65</v>
      </c>
      <c r="F164" s="10"/>
    </row>
    <row r="165" spans="1:6" x14ac:dyDescent="0.25">
      <c r="A165" s="9" t="s">
        <v>1072</v>
      </c>
      <c r="B165" s="10" t="s">
        <v>1070</v>
      </c>
      <c r="C165" s="10">
        <v>341530</v>
      </c>
      <c r="D165" s="10" t="s">
        <v>936</v>
      </c>
      <c r="E165" s="10" t="s">
        <v>949</v>
      </c>
      <c r="F165" s="10"/>
    </row>
    <row r="166" spans="1:6" x14ac:dyDescent="0.25">
      <c r="A166" s="9" t="s">
        <v>1073</v>
      </c>
      <c r="B166" s="10" t="s">
        <v>1070</v>
      </c>
      <c r="C166" s="10">
        <v>341530</v>
      </c>
      <c r="D166" s="10" t="s">
        <v>936</v>
      </c>
      <c r="E166" s="10" t="s">
        <v>949</v>
      </c>
      <c r="F166" s="10"/>
    </row>
    <row r="167" spans="1:6" x14ac:dyDescent="0.25">
      <c r="A167" s="9" t="s">
        <v>1074</v>
      </c>
      <c r="B167" s="10" t="s">
        <v>1070</v>
      </c>
      <c r="C167" s="10">
        <v>341530</v>
      </c>
      <c r="D167" s="10" t="s">
        <v>936</v>
      </c>
      <c r="E167" s="10" t="s">
        <v>949</v>
      </c>
      <c r="F167" s="10"/>
    </row>
    <row r="168" spans="1:6" x14ac:dyDescent="0.25">
      <c r="A168" s="47" t="s">
        <v>1075</v>
      </c>
      <c r="B168" s="10" t="s">
        <v>67</v>
      </c>
      <c r="C168" s="10">
        <v>341530</v>
      </c>
      <c r="D168" s="10"/>
      <c r="E168" s="10"/>
      <c r="F168" s="10"/>
    </row>
    <row r="169" spans="1:6" x14ac:dyDescent="0.25">
      <c r="A169" s="9" t="s">
        <v>929</v>
      </c>
      <c r="B169" s="10" t="s">
        <v>67</v>
      </c>
      <c r="C169" s="10">
        <v>341530</v>
      </c>
      <c r="D169" s="10" t="s">
        <v>936</v>
      </c>
      <c r="E169" s="10" t="s">
        <v>65</v>
      </c>
      <c r="F169" s="10" t="s">
        <v>939</v>
      </c>
    </row>
    <row r="170" spans="1:6" x14ac:dyDescent="0.25">
      <c r="A170" s="10">
        <f>SUBTOTAL(103,TabContrat[Contrat SYGES])</f>
        <v>167</v>
      </c>
      <c r="B170" s="10" t="s">
        <v>1076</v>
      </c>
      <c r="C170" s="23"/>
      <c r="D170" s="10"/>
      <c r="E170" s="10"/>
      <c r="F170" s="10"/>
    </row>
  </sheetData>
  <pageMargins left="0.7" right="0.7" top="0.75" bottom="0.75" header="0.3" footer="0.3"/>
  <pageSetup paperSize="9" orientation="portrait"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Feuil13">
    <tabColor rgb="FF00B0F0"/>
  </sheetPr>
  <dimension ref="A1:C20"/>
  <sheetViews>
    <sheetView workbookViewId="0">
      <selection activeCell="A9" sqref="A9"/>
    </sheetView>
  </sheetViews>
  <sheetFormatPr baseColWidth="10" defaultColWidth="11.42578125" defaultRowHeight="15" x14ac:dyDescent="0.25"/>
  <cols>
    <col min="2" max="2" width="23" customWidth="1"/>
    <col min="3" max="3" width="33.28515625" customWidth="1"/>
  </cols>
  <sheetData>
    <row r="1" spans="1:3" x14ac:dyDescent="0.25">
      <c r="A1" t="s">
        <v>641</v>
      </c>
      <c r="B1" t="s">
        <v>458</v>
      </c>
      <c r="C1" t="s">
        <v>1</v>
      </c>
    </row>
    <row r="2" spans="1:3" x14ac:dyDescent="0.25">
      <c r="A2" t="s">
        <v>706</v>
      </c>
      <c r="B2" t="s">
        <v>1077</v>
      </c>
      <c r="C2" t="s">
        <v>1077</v>
      </c>
    </row>
    <row r="3" spans="1:3" x14ac:dyDescent="0.25">
      <c r="A3" t="s">
        <v>61</v>
      </c>
      <c r="B3" t="s">
        <v>1078</v>
      </c>
      <c r="C3" t="s">
        <v>1078</v>
      </c>
    </row>
    <row r="4" spans="1:3" x14ac:dyDescent="0.25">
      <c r="A4" t="s">
        <v>6</v>
      </c>
      <c r="B4" t="s">
        <v>1079</v>
      </c>
    </row>
    <row r="5" spans="1:3" x14ac:dyDescent="0.25">
      <c r="A5" t="s">
        <v>20</v>
      </c>
      <c r="B5" t="s">
        <v>1080</v>
      </c>
      <c r="C5" t="s">
        <v>1081</v>
      </c>
    </row>
    <row r="6" spans="1:3" x14ac:dyDescent="0.25">
      <c r="A6" t="s">
        <v>17</v>
      </c>
      <c r="B6" t="s">
        <v>1082</v>
      </c>
      <c r="C6" t="s">
        <v>1083</v>
      </c>
    </row>
    <row r="7" spans="1:3" x14ac:dyDescent="0.25">
      <c r="A7" t="s">
        <v>1084</v>
      </c>
      <c r="B7" t="s">
        <v>1085</v>
      </c>
    </row>
    <row r="8" spans="1:3" x14ac:dyDescent="0.25">
      <c r="A8" t="s">
        <v>14</v>
      </c>
      <c r="B8" t="s">
        <v>1086</v>
      </c>
      <c r="C8" t="s">
        <v>1087</v>
      </c>
    </row>
    <row r="9" spans="1:3" x14ac:dyDescent="0.25">
      <c r="A9" t="s">
        <v>1269</v>
      </c>
      <c r="B9" t="s">
        <v>1269</v>
      </c>
    </row>
    <row r="10" spans="1:3" x14ac:dyDescent="0.25">
      <c r="A10" t="s">
        <v>1088</v>
      </c>
      <c r="B10" t="s">
        <v>1089</v>
      </c>
    </row>
    <row r="11" spans="1:3" x14ac:dyDescent="0.25">
      <c r="A11" t="s">
        <v>124</v>
      </c>
      <c r="B11" t="s">
        <v>1090</v>
      </c>
    </row>
    <row r="12" spans="1:3" x14ac:dyDescent="0.25">
      <c r="A12" t="s">
        <v>30</v>
      </c>
      <c r="B12" t="s">
        <v>1091</v>
      </c>
    </row>
    <row r="13" spans="1:3" x14ac:dyDescent="0.25">
      <c r="A13" t="s">
        <v>52</v>
      </c>
      <c r="B13" t="s">
        <v>1092</v>
      </c>
      <c r="C13" t="s">
        <v>1093</v>
      </c>
    </row>
    <row r="14" spans="1:3" x14ac:dyDescent="0.25">
      <c r="A14" t="s">
        <v>27</v>
      </c>
      <c r="B14" t="s">
        <v>1094</v>
      </c>
      <c r="C14" t="s">
        <v>1095</v>
      </c>
    </row>
    <row r="15" spans="1:3" x14ac:dyDescent="0.25">
      <c r="A15" t="s">
        <v>25</v>
      </c>
      <c r="B15" t="s">
        <v>1096</v>
      </c>
      <c r="C15" t="s">
        <v>1097</v>
      </c>
    </row>
    <row r="16" spans="1:3" x14ac:dyDescent="0.25">
      <c r="A16" t="s">
        <v>75</v>
      </c>
      <c r="B16" t="s">
        <v>1098</v>
      </c>
      <c r="C16" t="s">
        <v>1099</v>
      </c>
    </row>
    <row r="17" spans="1:3" x14ac:dyDescent="0.25">
      <c r="A17" t="s">
        <v>9</v>
      </c>
      <c r="B17" t="s">
        <v>1100</v>
      </c>
    </row>
    <row r="18" spans="1:3" x14ac:dyDescent="0.25">
      <c r="A18" t="s">
        <v>707</v>
      </c>
      <c r="B18" t="s">
        <v>1101</v>
      </c>
      <c r="C18" t="s">
        <v>1101</v>
      </c>
    </row>
    <row r="19" spans="1:3" x14ac:dyDescent="0.25">
      <c r="A19" t="s">
        <v>65</v>
      </c>
      <c r="B19" t="s">
        <v>65</v>
      </c>
    </row>
    <row r="20" spans="1:3" x14ac:dyDescent="0.25">
      <c r="A20" t="s">
        <v>708</v>
      </c>
      <c r="B20" t="s">
        <v>708</v>
      </c>
      <c r="C20" t="s">
        <v>708</v>
      </c>
    </row>
  </sheetData>
  <pageMargins left="0.7" right="0.7" top="0.75" bottom="0.75" header="0.3" footer="0.3"/>
  <pageSetup paperSize="9" orientation="portrait"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Feuil14">
    <tabColor rgb="FF00B0F0"/>
  </sheetPr>
  <dimension ref="A1:C25"/>
  <sheetViews>
    <sheetView workbookViewId="0">
      <selection activeCell="F10" sqref="F10"/>
    </sheetView>
  </sheetViews>
  <sheetFormatPr baseColWidth="10" defaultColWidth="11.42578125" defaultRowHeight="15" x14ac:dyDescent="0.25"/>
  <cols>
    <col min="1" max="1" width="58.42578125" bestFit="1" customWidth="1"/>
    <col min="2" max="2" width="63.140625" customWidth="1"/>
    <col min="3" max="3" width="11.5703125" customWidth="1"/>
  </cols>
  <sheetData>
    <row r="1" spans="1:3" x14ac:dyDescent="0.25">
      <c r="A1" s="7" t="s">
        <v>1102</v>
      </c>
      <c r="B1" s="14" t="s">
        <v>1103</v>
      </c>
      <c r="C1" s="14" t="s">
        <v>1104</v>
      </c>
    </row>
    <row r="2" spans="1:3" x14ac:dyDescent="0.25">
      <c r="A2" s="7" t="s">
        <v>1105</v>
      </c>
      <c r="B2" s="14" t="s">
        <v>1106</v>
      </c>
      <c r="C2" s="15">
        <v>1.6</v>
      </c>
    </row>
    <row r="3" spans="1:3" x14ac:dyDescent="0.25">
      <c r="A3" s="7" t="s">
        <v>1107</v>
      </c>
      <c r="B3" s="14" t="s">
        <v>1108</v>
      </c>
      <c r="C3" s="15">
        <v>0</v>
      </c>
    </row>
    <row r="4" spans="1:3" ht="90" x14ac:dyDescent="0.25">
      <c r="A4" s="7" t="s">
        <v>1109</v>
      </c>
      <c r="B4" s="16" t="s">
        <v>1110</v>
      </c>
      <c r="C4" s="15">
        <v>0.23</v>
      </c>
    </row>
    <row r="5" spans="1:3" ht="60" x14ac:dyDescent="0.25">
      <c r="A5" s="7" t="s">
        <v>1111</v>
      </c>
      <c r="B5" s="16" t="s">
        <v>1112</v>
      </c>
      <c r="C5" s="15">
        <v>0.23</v>
      </c>
    </row>
    <row r="6" spans="1:3" ht="45" x14ac:dyDescent="0.25">
      <c r="A6" s="7" t="s">
        <v>1113</v>
      </c>
      <c r="B6" s="16" t="s">
        <v>1114</v>
      </c>
      <c r="C6" s="15">
        <v>5.75</v>
      </c>
    </row>
    <row r="7" spans="1:3" x14ac:dyDescent="0.25">
      <c r="A7" s="7" t="s">
        <v>445</v>
      </c>
      <c r="B7" s="7"/>
      <c r="C7" s="44">
        <v>10</v>
      </c>
    </row>
    <row r="8" spans="1:3" x14ac:dyDescent="0.25">
      <c r="A8" s="7" t="s">
        <v>442</v>
      </c>
      <c r="B8" s="7"/>
      <c r="C8" s="44">
        <v>2</v>
      </c>
    </row>
    <row r="9" spans="1:3" x14ac:dyDescent="0.25">
      <c r="A9" s="7" t="s">
        <v>416</v>
      </c>
      <c r="B9" s="7"/>
      <c r="C9" s="44">
        <v>3.5</v>
      </c>
    </row>
    <row r="10" spans="1:3" x14ac:dyDescent="0.25">
      <c r="A10" s="7" t="s">
        <v>409</v>
      </c>
      <c r="B10" s="7"/>
      <c r="C10" s="44">
        <v>14.08</v>
      </c>
    </row>
    <row r="11" spans="1:3" x14ac:dyDescent="0.25">
      <c r="A11" s="7" t="s">
        <v>407</v>
      </c>
      <c r="B11" s="7"/>
      <c r="C11" s="44">
        <v>45</v>
      </c>
    </row>
    <row r="12" spans="1:3" x14ac:dyDescent="0.25">
      <c r="A12" s="7" t="s">
        <v>405</v>
      </c>
      <c r="B12" s="7"/>
      <c r="C12" s="44">
        <v>50</v>
      </c>
    </row>
    <row r="13" spans="1:3" x14ac:dyDescent="0.25">
      <c r="A13" s="7" t="s">
        <v>1115</v>
      </c>
      <c r="B13" s="7"/>
      <c r="C13" s="44">
        <v>16.07</v>
      </c>
    </row>
    <row r="14" spans="1:3" x14ac:dyDescent="0.25">
      <c r="A14" s="7" t="s">
        <v>1116</v>
      </c>
      <c r="B14" s="7"/>
      <c r="C14" s="44">
        <v>297.49</v>
      </c>
    </row>
    <row r="15" spans="1:3" ht="45" x14ac:dyDescent="0.25">
      <c r="A15" s="7" t="s">
        <v>1117</v>
      </c>
      <c r="B15" s="60" t="s">
        <v>1118</v>
      </c>
      <c r="C15" s="44">
        <v>5.98</v>
      </c>
    </row>
    <row r="18" spans="1:3" x14ac:dyDescent="0.25">
      <c r="A18" t="s">
        <v>1119</v>
      </c>
      <c r="B18" t="s">
        <v>1120</v>
      </c>
      <c r="C18" t="s">
        <v>1121</v>
      </c>
    </row>
    <row r="23" spans="1:3" x14ac:dyDescent="0.25">
      <c r="A23" s="59" t="s">
        <v>275</v>
      </c>
    </row>
    <row r="24" spans="1:3" x14ac:dyDescent="0.25">
      <c r="A24" s="28" t="s">
        <v>305</v>
      </c>
    </row>
    <row r="25" spans="1:3" x14ac:dyDescent="0.25">
      <c r="A25" s="28" t="s">
        <v>1122</v>
      </c>
    </row>
  </sheetData>
  <pageMargins left="0.7" right="0.7" top="0.75" bottom="0.75" header="0.3" footer="0.3"/>
  <pageSetup paperSize="9" orientation="portrait" r:id="rId1"/>
  <tableParts count="2">
    <tablePart r:id="rId2"/>
    <tablePart r:id="rId3"/>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158F4-8F47-4EFE-BDF8-31EFEE09CB9F}">
  <sheetPr codeName="Feuil15">
    <tabColor rgb="FF00B0F0"/>
  </sheetPr>
  <dimension ref="A2:J26"/>
  <sheetViews>
    <sheetView workbookViewId="0">
      <selection activeCell="A12" sqref="A12:B12"/>
    </sheetView>
  </sheetViews>
  <sheetFormatPr baseColWidth="10" defaultColWidth="11.42578125" defaultRowHeight="15" x14ac:dyDescent="0.25"/>
  <cols>
    <col min="1" max="1" width="56.28515625" customWidth="1"/>
    <col min="2" max="2" width="25.85546875" customWidth="1"/>
    <col min="3" max="3" width="22.5703125" customWidth="1"/>
    <col min="4" max="4" width="37.7109375" customWidth="1"/>
  </cols>
  <sheetData>
    <row r="2" spans="1:10" x14ac:dyDescent="0.25">
      <c r="B2" s="32" t="s">
        <v>1123</v>
      </c>
    </row>
    <row r="3" spans="1:10" x14ac:dyDescent="0.25">
      <c r="A3" s="54" t="s">
        <v>1124</v>
      </c>
      <c r="B3" s="55">
        <v>50</v>
      </c>
    </row>
    <row r="4" spans="1:10" x14ac:dyDescent="0.25">
      <c r="A4" s="54" t="s">
        <v>1125</v>
      </c>
      <c r="B4" s="55">
        <v>160</v>
      </c>
    </row>
    <row r="5" spans="1:10" x14ac:dyDescent="0.25">
      <c r="A5" s="54" t="s">
        <v>1126</v>
      </c>
      <c r="B5" s="55">
        <v>470</v>
      </c>
    </row>
    <row r="6" spans="1:10" x14ac:dyDescent="0.25">
      <c r="A6" s="54" t="s">
        <v>1127</v>
      </c>
      <c r="B6" s="55">
        <v>1784.52</v>
      </c>
    </row>
    <row r="7" spans="1:10" x14ac:dyDescent="0.25">
      <c r="A7" s="54" t="s">
        <v>1128</v>
      </c>
      <c r="B7" s="55">
        <v>323.95</v>
      </c>
    </row>
    <row r="8" spans="1:10" x14ac:dyDescent="0.25">
      <c r="A8" s="54" t="s">
        <v>1129</v>
      </c>
      <c r="B8" s="55">
        <v>540</v>
      </c>
    </row>
    <row r="9" spans="1:10" x14ac:dyDescent="0.25">
      <c r="A9" s="54" t="s">
        <v>1130</v>
      </c>
      <c r="B9" s="55">
        <v>600</v>
      </c>
    </row>
    <row r="10" spans="1:10" x14ac:dyDescent="0.25">
      <c r="A10" s="54" t="s">
        <v>1131</v>
      </c>
      <c r="B10" s="55">
        <v>790</v>
      </c>
    </row>
    <row r="11" spans="1:10" ht="30" x14ac:dyDescent="0.25">
      <c r="A11" s="56" t="s">
        <v>1132</v>
      </c>
      <c r="B11" s="55">
        <f>6320/36</f>
        <v>175.55555555555554</v>
      </c>
    </row>
    <row r="12" spans="1:10" x14ac:dyDescent="0.25">
      <c r="A12" s="56" t="s">
        <v>1407</v>
      </c>
      <c r="B12" s="55">
        <f>(2814.84)/36</f>
        <v>78.19</v>
      </c>
      <c r="D12">
        <f>(2225.37+2727.18)/36</f>
        <v>137.57083333333333</v>
      </c>
      <c r="E12" t="s">
        <v>1234</v>
      </c>
      <c r="J12" t="s">
        <v>1233</v>
      </c>
    </row>
    <row r="13" spans="1:10" ht="18.75" x14ac:dyDescent="0.3">
      <c r="B13" s="57">
        <f>SUM(B3:B12)</f>
        <v>4972.2155555555546</v>
      </c>
      <c r="C13" s="76">
        <f>SUM(B3:B11)</f>
        <v>4894.025555555555</v>
      </c>
      <c r="D13" s="2"/>
    </row>
    <row r="14" spans="1:10" x14ac:dyDescent="0.25">
      <c r="C14" s="2" t="s">
        <v>1283</v>
      </c>
      <c r="D14" s="2"/>
    </row>
    <row r="17" spans="1:10" x14ac:dyDescent="0.25">
      <c r="B17" s="32" t="s">
        <v>1123</v>
      </c>
    </row>
    <row r="18" spans="1:10" ht="33.75" x14ac:dyDescent="0.25">
      <c r="A18" s="56" t="s">
        <v>1133</v>
      </c>
      <c r="B18" s="55">
        <v>0</v>
      </c>
      <c r="E18" t="s">
        <v>1235</v>
      </c>
      <c r="J18" t="s">
        <v>1233</v>
      </c>
    </row>
    <row r="19" spans="1:10" ht="18.75" x14ac:dyDescent="0.3">
      <c r="B19" s="58">
        <f>SUM(B18)</f>
        <v>0</v>
      </c>
    </row>
    <row r="22" spans="1:10" x14ac:dyDescent="0.25">
      <c r="B22" s="32" t="s">
        <v>1123</v>
      </c>
    </row>
    <row r="23" spans="1:10" ht="30" x14ac:dyDescent="0.25">
      <c r="A23" s="66" t="s">
        <v>149</v>
      </c>
      <c r="B23" s="55">
        <v>185.05</v>
      </c>
    </row>
    <row r="24" spans="1:10" ht="30" x14ac:dyDescent="0.25">
      <c r="A24" s="66" t="s">
        <v>1204</v>
      </c>
      <c r="B24" s="55">
        <v>42.09</v>
      </c>
    </row>
    <row r="25" spans="1:10" ht="30" x14ac:dyDescent="0.25">
      <c r="A25" s="66" t="s">
        <v>1205</v>
      </c>
      <c r="B25" s="55">
        <v>15.625</v>
      </c>
    </row>
    <row r="26" spans="1:10" ht="18.75" x14ac:dyDescent="0.3">
      <c r="B26" s="58">
        <f>SUM(B23:B25)</f>
        <v>242.76500000000001</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Feuil16"/>
  <dimension ref="A1:E20"/>
  <sheetViews>
    <sheetView topLeftCell="A13" workbookViewId="0">
      <selection activeCell="C15" sqref="C15"/>
    </sheetView>
  </sheetViews>
  <sheetFormatPr baseColWidth="10" defaultColWidth="11.42578125" defaultRowHeight="15" x14ac:dyDescent="0.25"/>
  <cols>
    <col min="1" max="1" width="36.5703125" customWidth="1"/>
    <col min="2" max="2" width="41.5703125" customWidth="1"/>
    <col min="3" max="3" width="66.7109375" customWidth="1"/>
    <col min="4" max="5" width="29.140625" customWidth="1"/>
  </cols>
  <sheetData>
    <row r="1" spans="1:5" x14ac:dyDescent="0.25">
      <c r="A1" t="s">
        <v>1134</v>
      </c>
      <c r="B1" t="s">
        <v>1135</v>
      </c>
      <c r="C1" t="s">
        <v>1136</v>
      </c>
      <c r="D1" t="s">
        <v>1137</v>
      </c>
      <c r="E1" t="s">
        <v>1138</v>
      </c>
    </row>
    <row r="2" spans="1:5" x14ac:dyDescent="0.25">
      <c r="A2" s="12" t="s">
        <v>1139</v>
      </c>
      <c r="B2" s="13" t="s">
        <v>1140</v>
      </c>
      <c r="C2" s="13" t="s">
        <v>1141</v>
      </c>
      <c r="D2" s="13"/>
      <c r="E2" s="13"/>
    </row>
    <row r="3" spans="1:5" ht="113.25" customHeight="1" x14ac:dyDescent="0.25">
      <c r="A3" s="12" t="s">
        <v>1142</v>
      </c>
      <c r="B3" s="13" t="s">
        <v>1143</v>
      </c>
      <c r="C3" s="13" t="s">
        <v>1215</v>
      </c>
      <c r="D3" s="13"/>
      <c r="E3" s="13"/>
    </row>
    <row r="4" spans="1:5" ht="45" x14ac:dyDescent="0.25">
      <c r="A4" s="12" t="s">
        <v>261</v>
      </c>
      <c r="B4" s="13" t="s">
        <v>1144</v>
      </c>
      <c r="C4" s="13" t="s">
        <v>1216</v>
      </c>
      <c r="D4" s="13" t="s">
        <v>1145</v>
      </c>
      <c r="E4" s="13"/>
    </row>
    <row r="5" spans="1:5" x14ac:dyDescent="0.25">
      <c r="A5" s="12" t="s">
        <v>272</v>
      </c>
      <c r="B5" s="13" t="s">
        <v>1146</v>
      </c>
      <c r="C5" s="13"/>
      <c r="D5" s="13"/>
      <c r="E5" s="13"/>
    </row>
    <row r="6" spans="1:5" x14ac:dyDescent="0.25">
      <c r="A6" s="12" t="s">
        <v>1147</v>
      </c>
      <c r="B6" s="13" t="s">
        <v>1148</v>
      </c>
      <c r="C6" s="13"/>
      <c r="D6" s="13"/>
      <c r="E6" s="13"/>
    </row>
    <row r="7" spans="1:5" x14ac:dyDescent="0.25">
      <c r="A7" s="12" t="s">
        <v>1149</v>
      </c>
      <c r="B7" s="13" t="s">
        <v>1150</v>
      </c>
      <c r="C7" s="13" t="s">
        <v>1217</v>
      </c>
      <c r="D7" s="13"/>
      <c r="E7" s="13"/>
    </row>
    <row r="8" spans="1:5" x14ac:dyDescent="0.25">
      <c r="A8" s="72" t="s">
        <v>1212</v>
      </c>
      <c r="B8" s="13" t="s">
        <v>1151</v>
      </c>
      <c r="C8" s="13"/>
      <c r="D8" s="13"/>
      <c r="E8" s="13"/>
    </row>
    <row r="9" spans="1:5" ht="105" x14ac:dyDescent="0.25">
      <c r="A9" s="72" t="s">
        <v>1213</v>
      </c>
      <c r="B9" s="13" t="s">
        <v>1151</v>
      </c>
      <c r="C9" s="13" t="s">
        <v>1224</v>
      </c>
      <c r="D9" s="13"/>
      <c r="E9" s="13"/>
    </row>
    <row r="10" spans="1:5" ht="105" x14ac:dyDescent="0.25">
      <c r="A10" s="72" t="s">
        <v>1214</v>
      </c>
      <c r="B10" s="13" t="s">
        <v>1151</v>
      </c>
      <c r="C10" s="13" t="s">
        <v>1224</v>
      </c>
      <c r="D10" s="13"/>
      <c r="E10" s="13"/>
    </row>
    <row r="11" spans="1:5" ht="30" x14ac:dyDescent="0.25">
      <c r="A11" s="72" t="s">
        <v>1218</v>
      </c>
      <c r="B11" s="13" t="s">
        <v>1220</v>
      </c>
      <c r="C11" s="13"/>
      <c r="D11" s="13"/>
      <c r="E11" s="13"/>
    </row>
    <row r="12" spans="1:5" ht="150" x14ac:dyDescent="0.25">
      <c r="A12" s="72" t="s">
        <v>1219</v>
      </c>
      <c r="B12" s="13" t="s">
        <v>1221</v>
      </c>
      <c r="C12" s="13"/>
      <c r="D12" s="13"/>
      <c r="E12" s="13"/>
    </row>
    <row r="14" spans="1:5" x14ac:dyDescent="0.25">
      <c r="A14" t="s">
        <v>1152</v>
      </c>
    </row>
    <row r="15" spans="1:5" ht="45" x14ac:dyDescent="0.25">
      <c r="A15" s="13" t="s">
        <v>1153</v>
      </c>
    </row>
    <row r="16" spans="1:5" x14ac:dyDescent="0.25">
      <c r="A16" t="s">
        <v>1154</v>
      </c>
    </row>
    <row r="17" spans="1:3" ht="58.5" customHeight="1" x14ac:dyDescent="0.25">
      <c r="A17" s="90" t="s">
        <v>1155</v>
      </c>
      <c r="B17" s="90"/>
      <c r="C17" s="90"/>
    </row>
    <row r="19" spans="1:3" x14ac:dyDescent="0.25">
      <c r="A19" t="s">
        <v>1222</v>
      </c>
    </row>
    <row r="20" spans="1:3" x14ac:dyDescent="0.25">
      <c r="A20" t="s">
        <v>1223</v>
      </c>
    </row>
  </sheetData>
  <mergeCells count="1">
    <mergeCell ref="A17:C17"/>
  </mergeCells>
  <hyperlinks>
    <hyperlink ref="A2" location="Environnements!A1" display="Environnements!A1" xr:uid="{00000000-0004-0000-0D00-000000000000}"/>
    <hyperlink ref="A3" location="'CONTRATS DI'!A1" display="CONTRATS DI" xr:uid="{00000000-0004-0000-0D00-000001000000}"/>
    <hyperlink ref="A4" location="Projets!A1" display="Projets" xr:uid="{00000000-0004-0000-0D00-000002000000}"/>
    <hyperlink ref="A5" location="EnvProjet!A1" display="EnvProjet!A1" xr:uid="{00000000-0004-0000-0D00-000003000000}"/>
    <hyperlink ref="A6" location="VMEnvProjet!A1" display="VMEnvProjet" xr:uid="{00000000-0004-0000-0D00-000004000000}"/>
  </hyperlinks>
  <pageMargins left="0.7" right="0.7" top="0.75" bottom="0.75" header="0.3" footer="0.3"/>
  <pageSetup paperSize="9" orientation="portrait" horizontalDpi="300" verticalDpi="300"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24F25F71713F5D4F834F32A35165A00B" ma:contentTypeVersion="6" ma:contentTypeDescription="Crée un document." ma:contentTypeScope="" ma:versionID="2e57f1f69214bae302f34732889af6bb">
  <xsd:schema xmlns:xsd="http://www.w3.org/2001/XMLSchema" xmlns:xs="http://www.w3.org/2001/XMLSchema" xmlns:p="http://schemas.microsoft.com/office/2006/metadata/properties" xmlns:ns2="7a8f9d80-1a09-4d53-b5d2-6a0ab3b00fb6" targetNamespace="http://schemas.microsoft.com/office/2006/metadata/properties" ma:root="true" ma:fieldsID="1d980c84048433116051f892581ab49b" ns2:_="">
    <xsd:import namespace="7a8f9d80-1a09-4d53-b5d2-6a0ab3b00fb6"/>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a8f9d80-1a09-4d53-b5d2-6a0ab3b00fb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3D0017A-342C-49EB-999F-CD3D7F69E81B}">
  <ds:schemaRefs>
    <ds:schemaRef ds:uri="http://purl.org/dc/terms/"/>
    <ds:schemaRef ds:uri="http://schemas.openxmlformats.org/package/2006/metadata/core-properties"/>
    <ds:schemaRef ds:uri="http://schemas.microsoft.com/office/2006/documentManagement/types"/>
    <ds:schemaRef ds:uri="7a8f9d80-1a09-4d53-b5d2-6a0ab3b00fb6"/>
    <ds:schemaRef ds:uri="http://purl.org/dc/elements/1.1/"/>
    <ds:schemaRef ds:uri="http://schemas.microsoft.com/office/2006/metadata/properties"/>
    <ds:schemaRef ds:uri="http://schemas.microsoft.com/office/infopath/2007/PartnerControls"/>
    <ds:schemaRef ds:uri="http://www.w3.org/XML/1998/namespace"/>
    <ds:schemaRef ds:uri="http://purl.org/dc/dcmitype/"/>
  </ds:schemaRefs>
</ds:datastoreItem>
</file>

<file path=customXml/itemProps2.xml><?xml version="1.0" encoding="utf-8"?>
<ds:datastoreItem xmlns:ds="http://schemas.openxmlformats.org/officeDocument/2006/customXml" ds:itemID="{40D64D2A-AC48-4F6A-BBE9-E60487132A66}">
  <ds:schemaRefs>
    <ds:schemaRef ds:uri="http://schemas.microsoft.com/sharepoint/v3/contenttype/forms"/>
  </ds:schemaRefs>
</ds:datastoreItem>
</file>

<file path=customXml/itemProps3.xml><?xml version="1.0" encoding="utf-8"?>
<ds:datastoreItem xmlns:ds="http://schemas.openxmlformats.org/officeDocument/2006/customXml" ds:itemID="{8B66F08F-FB04-495E-88D7-8541B065A0F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a8f9d80-1a09-4d53-b5d2-6a0ab3b00fb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17</vt:i4>
      </vt:variant>
      <vt:variant>
        <vt:lpstr>Plages nommées</vt:lpstr>
      </vt:variant>
      <vt:variant>
        <vt:i4>43</vt:i4>
      </vt:variant>
    </vt:vector>
  </HeadingPairs>
  <TitlesOfParts>
    <vt:vector size="60" baseType="lpstr">
      <vt:lpstr>Synt_Cout_Ress_Sans_Rep_Glob</vt:lpstr>
      <vt:lpstr>Synthèse_Cout_Ressources</vt:lpstr>
      <vt:lpstr>Synt_Glob_Rep_CostCenter</vt:lpstr>
      <vt:lpstr>Mutualise</vt:lpstr>
      <vt:lpstr>Oceanet</vt:lpstr>
      <vt:lpstr>VMEnvProjet</vt:lpstr>
      <vt:lpstr>OceanetIPPub</vt:lpstr>
      <vt:lpstr>OceanetVlan</vt:lpstr>
      <vt:lpstr>OceanetDNS</vt:lpstr>
      <vt:lpstr>OceanetCertX509</vt:lpstr>
      <vt:lpstr>EnvProjet</vt:lpstr>
      <vt:lpstr>Projets</vt:lpstr>
      <vt:lpstr>CONTRATS DI</vt:lpstr>
      <vt:lpstr>Environnements</vt:lpstr>
      <vt:lpstr>Tarifs</vt:lpstr>
      <vt:lpstr>GlobalARepartir</vt:lpstr>
      <vt:lpstr>ModOp</vt:lpstr>
      <vt:lpstr>GlobalARepartirInfraReseau</vt:lpstr>
      <vt:lpstr>GlobalARepartirMSOnly</vt:lpstr>
      <vt:lpstr>GlobalARepartirSansMS</vt:lpstr>
      <vt:lpstr>GlobalARepartirSansMSEtSansVeeam</vt:lpstr>
      <vt:lpstr>Synt_Cout_Ress_Sans_Rep_Glob!Impression_des_titres</vt:lpstr>
      <vt:lpstr>Synthèse_Cout_Ressources!Impression_des_titres</vt:lpstr>
      <vt:lpstr>OceanetCertX509!ListeContrat</vt:lpstr>
      <vt:lpstr>OceanetVlan!ListeContrat</vt:lpstr>
      <vt:lpstr>Synt_Cout_Ress_Sans_Rep_Glob!ListeContrat</vt:lpstr>
      <vt:lpstr>ListeContrat</vt:lpstr>
      <vt:lpstr>OceanetCertX509!ListeEnv</vt:lpstr>
      <vt:lpstr>OceanetVlan!ListeEnv</vt:lpstr>
      <vt:lpstr>Synt_Cout_Ress_Sans_Rep_Glob!ListeEnv</vt:lpstr>
      <vt:lpstr>ListeEnv</vt:lpstr>
      <vt:lpstr>OceanetCertX509!ListeEnvProjet</vt:lpstr>
      <vt:lpstr>OceanetVlan!ListeEnvProjet</vt:lpstr>
      <vt:lpstr>Synt_Cout_Ress_Sans_Rep_Glob!ListeEnvProjet</vt:lpstr>
      <vt:lpstr>ListeEnvProjet</vt:lpstr>
      <vt:lpstr>OceanetCertX509!ListeProjet</vt:lpstr>
      <vt:lpstr>OceanetVlan!ListeProjet</vt:lpstr>
      <vt:lpstr>Synt_Cout_Ress_Sans_Rep_Glob!ListeProjet</vt:lpstr>
      <vt:lpstr>ListeProjet</vt:lpstr>
      <vt:lpstr>OceanetCertX509!ListeVM</vt:lpstr>
      <vt:lpstr>OceanetVlan!ListeVM</vt:lpstr>
      <vt:lpstr>Synt_Cout_Ress_Sans_Rep_Glob!ListeVM</vt:lpstr>
      <vt:lpstr>ListeVM</vt:lpstr>
      <vt:lpstr>Tarif_Astreinte_24_24_7_7</vt:lpstr>
      <vt:lpstr>Tarif_Backup_Horaire</vt:lpstr>
      <vt:lpstr>Tarif_Backup_J15</vt:lpstr>
      <vt:lpstr>Tarif_Certificat_X509_Simple</vt:lpstr>
      <vt:lpstr>Tarif_Certificat_X509_Wildcard</vt:lpstr>
      <vt:lpstr>Tarif_disque</vt:lpstr>
      <vt:lpstr>Tarif_DNS</vt:lpstr>
      <vt:lpstr>Tarif_IPPUB</vt:lpstr>
      <vt:lpstr>Tarif_Licence_CAL_SQL_Standard_en_location</vt:lpstr>
      <vt:lpstr>Tarif_Licence_SQL_Server_Standard_SPLA_4_Cores_en_location</vt:lpstr>
      <vt:lpstr>Tarif_Licences_CAL_TSE_en_location</vt:lpstr>
      <vt:lpstr>Tarif_Ram</vt:lpstr>
      <vt:lpstr>Tarif_Veeam_Backup_par_VM</vt:lpstr>
      <vt:lpstr>Tarif_VLAN</vt:lpstr>
      <vt:lpstr>TypeLicenceSQLServer</vt:lpstr>
      <vt:lpstr>Synt_Cout_Ress_Sans_Rep_Glob!Zone_d_impression</vt:lpstr>
      <vt:lpstr>Synthèse_Cout_Ressources!Zone_d_impression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Meriau Vincent</dc:creator>
  <cp:keywords/>
  <dc:description/>
  <cp:lastModifiedBy>Jacob Jerome</cp:lastModifiedBy>
  <cp:revision/>
  <cp:lastPrinted>2020-06-17T10:54:49Z</cp:lastPrinted>
  <dcterms:created xsi:type="dcterms:W3CDTF">2019-04-25T14:44:17Z</dcterms:created>
  <dcterms:modified xsi:type="dcterms:W3CDTF">2020-11-11T23:22:03Z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0x01010024F25F71713F5D4F834F32A35165A00B</vt:lpwstr>
  </property>
</Properties>
</file>