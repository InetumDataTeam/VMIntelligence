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jja\temp\"/>
    </mc:Choice>
  </mc:AlternateContent>
  <xr:revisionPtr revIDLastSave="0" documentId="13_ncr:1_{BAC1A229-21D7-42D7-B67F-04900EBDC1FB}" xr6:coauthVersionLast="36" xr6:coauthVersionMax="45" xr10:uidLastSave="{00000000-0000-0000-0000-000000000000}"/>
  <bookViews>
    <workbookView xWindow="-120" yWindow="-120" windowWidth="29040" windowHeight="17640" tabRatio="812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Tarifs!#REF!</definedName>
    <definedName name="_xlnm.Print_Area" localSheetId="0">Synt_Cout_Ress_Sans_Rep_Glob!$A$3:$E$108</definedName>
    <definedName name="_xlnm.Print_Area" localSheetId="1">Synthèse_Cout_Ressources!$A$3:$E$16</definedName>
  </definedNames>
  <calcPr calcId="191028"/>
  <pivotCaches>
    <pivotCache cacheId="18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9" i="7" l="1"/>
  <c r="D29" i="7"/>
  <c r="F29" i="7" s="1"/>
  <c r="E29" i="7"/>
  <c r="F141" i="3"/>
  <c r="L141" i="3"/>
  <c r="O141" i="3"/>
  <c r="S141" i="3"/>
  <c r="AB141" i="3"/>
  <c r="K141" i="3" s="1"/>
  <c r="F142" i="3"/>
  <c r="L142" i="3"/>
  <c r="O142" i="3"/>
  <c r="S142" i="3"/>
  <c r="AB142" i="3"/>
  <c r="K142" i="3" s="1"/>
  <c r="Q7" i="2"/>
  <c r="Q8" i="2"/>
  <c r="Q9" i="2"/>
  <c r="Q41" i="2"/>
  <c r="Q205" i="2"/>
  <c r="Q206" i="2"/>
  <c r="Q207" i="2"/>
  <c r="Q208" i="2"/>
  <c r="Q209" i="2"/>
  <c r="Q210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39" i="2"/>
  <c r="Q240" i="2"/>
  <c r="Q241" i="2"/>
  <c r="R7" i="2"/>
  <c r="R8" i="2"/>
  <c r="R9" i="2"/>
  <c r="R41" i="2"/>
  <c r="R205" i="2"/>
  <c r="R206" i="2"/>
  <c r="R207" i="2"/>
  <c r="R208" i="2"/>
  <c r="R209" i="2"/>
  <c r="R210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39" i="2"/>
  <c r="R240" i="2"/>
  <c r="R241" i="2"/>
  <c r="S7" i="2"/>
  <c r="S8" i="2"/>
  <c r="T8" i="2" s="1"/>
  <c r="S9" i="2"/>
  <c r="T9" i="2" s="1"/>
  <c r="S41" i="2"/>
  <c r="T41" i="2" s="1"/>
  <c r="S205" i="2"/>
  <c r="T205" i="2" s="1"/>
  <c r="S206" i="2"/>
  <c r="T206" i="2" s="1"/>
  <c r="S207" i="2"/>
  <c r="T207" i="2" s="1"/>
  <c r="S208" i="2"/>
  <c r="S209" i="2"/>
  <c r="S210" i="2"/>
  <c r="T210" i="2" s="1"/>
  <c r="S42" i="2"/>
  <c r="T42" i="2" s="1"/>
  <c r="S43" i="2"/>
  <c r="T43" i="2" s="1"/>
  <c r="S44" i="2"/>
  <c r="T44" i="2" s="1"/>
  <c r="S45" i="2"/>
  <c r="T45" i="2" s="1"/>
  <c r="S46" i="2"/>
  <c r="T46" i="2" s="1"/>
  <c r="S47" i="2"/>
  <c r="T47" i="2" s="1"/>
  <c r="S48" i="2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S56" i="2"/>
  <c r="S57" i="2"/>
  <c r="T57" i="2" s="1"/>
  <c r="S58" i="2"/>
  <c r="T58" i="2" s="1"/>
  <c r="S59" i="2"/>
  <c r="T59" i="2" s="1"/>
  <c r="S60" i="2"/>
  <c r="T60" i="2" s="1"/>
  <c r="S61" i="2"/>
  <c r="T61" i="2" s="1"/>
  <c r="S62" i="2"/>
  <c r="S63" i="2"/>
  <c r="S64" i="2"/>
  <c r="S65" i="2"/>
  <c r="T65" i="2" s="1"/>
  <c r="S66" i="2"/>
  <c r="T66" i="2" s="1"/>
  <c r="S67" i="2"/>
  <c r="S68" i="2"/>
  <c r="T68" i="2" s="1"/>
  <c r="S69" i="2"/>
  <c r="T69" i="2" s="1"/>
  <c r="S70" i="2"/>
  <c r="T70" i="2" s="1"/>
  <c r="S71" i="2"/>
  <c r="S72" i="2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S80" i="2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S88" i="2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S96" i="2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S105" i="2"/>
  <c r="T105" i="2" s="1"/>
  <c r="S106" i="2"/>
  <c r="S107" i="2"/>
  <c r="T107" i="2" s="1"/>
  <c r="S108" i="2"/>
  <c r="T108" i="2" s="1"/>
  <c r="S109" i="2"/>
  <c r="T109" i="2" s="1"/>
  <c r="S110" i="2"/>
  <c r="T110" i="2" s="1"/>
  <c r="S111" i="2"/>
  <c r="S112" i="2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S120" i="2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S129" i="2"/>
  <c r="T129" i="2" s="1"/>
  <c r="S130" i="2"/>
  <c r="T130" i="2" s="1"/>
  <c r="S136" i="2"/>
  <c r="T136" i="2" s="1"/>
  <c r="S137" i="2"/>
  <c r="T137" i="2" s="1"/>
  <c r="S138" i="2"/>
  <c r="T138" i="2" s="1"/>
  <c r="S139" i="2"/>
  <c r="T139" i="2" s="1"/>
  <c r="S140" i="2"/>
  <c r="S141" i="2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S149" i="2"/>
  <c r="S150" i="2"/>
  <c r="T150" i="2" s="1"/>
  <c r="S151" i="2"/>
  <c r="S152" i="2"/>
  <c r="T152" i="2" s="1"/>
  <c r="S153" i="2"/>
  <c r="T153" i="2" s="1"/>
  <c r="S154" i="2"/>
  <c r="T154" i="2" s="1"/>
  <c r="S155" i="2"/>
  <c r="S156" i="2"/>
  <c r="S157" i="2"/>
  <c r="S158" i="2"/>
  <c r="T158" i="2" s="1"/>
  <c r="S159" i="2"/>
  <c r="T159" i="2" s="1"/>
  <c r="S160" i="2"/>
  <c r="T160" i="2" s="1"/>
  <c r="S161" i="2"/>
  <c r="T161" i="2" s="1"/>
  <c r="S162" i="2"/>
  <c r="T162" i="2" s="1"/>
  <c r="S163" i="2"/>
  <c r="S164" i="2"/>
  <c r="S165" i="2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S174" i="2"/>
  <c r="T174" i="2" s="1"/>
  <c r="S175" i="2"/>
  <c r="S176" i="2"/>
  <c r="T176" i="2" s="1"/>
  <c r="S177" i="2"/>
  <c r="T177" i="2" s="1"/>
  <c r="S178" i="2"/>
  <c r="T178" i="2" s="1"/>
  <c r="S179" i="2"/>
  <c r="T179" i="2" s="1"/>
  <c r="S180" i="2"/>
  <c r="S181" i="2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S197" i="2"/>
  <c r="S198" i="2"/>
  <c r="T198" i="2" s="1"/>
  <c r="S199" i="2"/>
  <c r="T199" i="2" s="1"/>
  <c r="S200" i="2"/>
  <c r="S201" i="2"/>
  <c r="T201" i="2" s="1"/>
  <c r="S202" i="2"/>
  <c r="T202" i="2" s="1"/>
  <c r="S203" i="2"/>
  <c r="T203" i="2" s="1"/>
  <c r="S204" i="2"/>
  <c r="S239" i="2"/>
  <c r="S240" i="2"/>
  <c r="T240" i="2" s="1"/>
  <c r="S241" i="2"/>
  <c r="T241" i="2" s="1"/>
  <c r="T7" i="2"/>
  <c r="T208" i="2"/>
  <c r="T209" i="2"/>
  <c r="T48" i="2"/>
  <c r="T55" i="2"/>
  <c r="T56" i="2"/>
  <c r="T62" i="2"/>
  <c r="T63" i="2"/>
  <c r="T64" i="2"/>
  <c r="T67" i="2"/>
  <c r="T71" i="2"/>
  <c r="T72" i="2"/>
  <c r="T79" i="2"/>
  <c r="T80" i="2"/>
  <c r="T87" i="2"/>
  <c r="T88" i="2"/>
  <c r="T95" i="2"/>
  <c r="T96" i="2"/>
  <c r="T104" i="2"/>
  <c r="T106" i="2"/>
  <c r="T111" i="2"/>
  <c r="T112" i="2"/>
  <c r="T119" i="2"/>
  <c r="T120" i="2"/>
  <c r="T128" i="2"/>
  <c r="T140" i="2"/>
  <c r="T141" i="2"/>
  <c r="T148" i="2"/>
  <c r="T149" i="2"/>
  <c r="T151" i="2"/>
  <c r="T155" i="2"/>
  <c r="T156" i="2"/>
  <c r="T157" i="2"/>
  <c r="T163" i="2"/>
  <c r="T164" i="2"/>
  <c r="T165" i="2"/>
  <c r="T173" i="2"/>
  <c r="T175" i="2"/>
  <c r="T180" i="2"/>
  <c r="T181" i="2"/>
  <c r="T189" i="2"/>
  <c r="T196" i="2"/>
  <c r="T197" i="2"/>
  <c r="T200" i="2"/>
  <c r="T204" i="2"/>
  <c r="T239" i="2"/>
  <c r="U7" i="2"/>
  <c r="V7" i="2" s="1"/>
  <c r="U8" i="2"/>
  <c r="V8" i="2" s="1"/>
  <c r="U9" i="2"/>
  <c r="V9" i="2" s="1"/>
  <c r="U41" i="2"/>
  <c r="V41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U42" i="2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U57" i="2"/>
  <c r="U58" i="2"/>
  <c r="V58" i="2" s="1"/>
  <c r="U59" i="2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U69" i="2"/>
  <c r="V69" i="2" s="1"/>
  <c r="U70" i="2"/>
  <c r="V70" i="2" s="1"/>
  <c r="U71" i="2"/>
  <c r="V71" i="2" s="1"/>
  <c r="U72" i="2"/>
  <c r="V72" i="2" s="1"/>
  <c r="U73" i="2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U143" i="2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39" i="2"/>
  <c r="V239" i="2" s="1"/>
  <c r="U240" i="2"/>
  <c r="U241" i="2"/>
  <c r="V241" i="2" s="1"/>
  <c r="V210" i="2"/>
  <c r="V42" i="2"/>
  <c r="V56" i="2"/>
  <c r="V57" i="2"/>
  <c r="V59" i="2"/>
  <c r="V68" i="2"/>
  <c r="V73" i="2"/>
  <c r="V99" i="2"/>
  <c r="V105" i="2"/>
  <c r="V121" i="2"/>
  <c r="V130" i="2"/>
  <c r="V142" i="2"/>
  <c r="V143" i="2"/>
  <c r="V158" i="2"/>
  <c r="V174" i="2"/>
  <c r="V183" i="2"/>
  <c r="V190" i="2"/>
  <c r="V240" i="2"/>
  <c r="W7" i="2"/>
  <c r="X7" i="2" s="1"/>
  <c r="W8" i="2"/>
  <c r="X8" i="2" s="1"/>
  <c r="W9" i="2"/>
  <c r="X9" i="2" s="1"/>
  <c r="W41" i="2"/>
  <c r="X41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42" i="2"/>
  <c r="X42" i="2" s="1"/>
  <c r="W43" i="2"/>
  <c r="X43" i="2" s="1"/>
  <c r="W44" i="2"/>
  <c r="X44" i="2" s="1"/>
  <c r="W45" i="2"/>
  <c r="X45" i="2" s="1"/>
  <c r="W46" i="2"/>
  <c r="X46" i="2" s="1"/>
  <c r="W47" i="2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W56" i="2"/>
  <c r="X56" i="2" s="1"/>
  <c r="W57" i="2"/>
  <c r="X57" i="2" s="1"/>
  <c r="W58" i="2"/>
  <c r="W59" i="2"/>
  <c r="X59" i="2" s="1"/>
  <c r="W60" i="2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W84" i="2"/>
  <c r="X84" i="2" s="1"/>
  <c r="W85" i="2"/>
  <c r="X85" i="2" s="1"/>
  <c r="W86" i="2"/>
  <c r="X86" i="2" s="1"/>
  <c r="W87" i="2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W101" i="2"/>
  <c r="X101" i="2" s="1"/>
  <c r="W102" i="2"/>
  <c r="X102" i="2" s="1"/>
  <c r="W103" i="2"/>
  <c r="W104" i="2"/>
  <c r="X104" i="2" s="1"/>
  <c r="W105" i="2"/>
  <c r="X105" i="2" s="1"/>
  <c r="W106" i="2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W176" i="2"/>
  <c r="X176" i="2" s="1"/>
  <c r="W177" i="2"/>
  <c r="W178" i="2"/>
  <c r="X178" i="2" s="1"/>
  <c r="W179" i="2"/>
  <c r="X179" i="2" s="1"/>
  <c r="W180" i="2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39" i="2"/>
  <c r="X239" i="2" s="1"/>
  <c r="W240" i="2"/>
  <c r="X240" i="2" s="1"/>
  <c r="W241" i="2"/>
  <c r="X47" i="2"/>
  <c r="X55" i="2"/>
  <c r="X58" i="2"/>
  <c r="X60" i="2"/>
  <c r="X83" i="2"/>
  <c r="X87" i="2"/>
  <c r="X100" i="2"/>
  <c r="X103" i="2"/>
  <c r="X106" i="2"/>
  <c r="X164" i="2"/>
  <c r="X175" i="2"/>
  <c r="X177" i="2"/>
  <c r="X180" i="2"/>
  <c r="X241" i="2"/>
  <c r="Y7" i="2"/>
  <c r="Z7" i="2" s="1"/>
  <c r="Y8" i="2"/>
  <c r="Z8" i="2" s="1"/>
  <c r="Y9" i="2"/>
  <c r="Z9" i="2" s="1"/>
  <c r="Y41" i="2"/>
  <c r="Z41" i="2" s="1"/>
  <c r="Y205" i="2"/>
  <c r="Z205" i="2" s="1"/>
  <c r="Y206" i="2"/>
  <c r="Y207" i="2"/>
  <c r="Y208" i="2"/>
  <c r="Z208" i="2" s="1"/>
  <c r="Y209" i="2"/>
  <c r="Z209" i="2" s="1"/>
  <c r="Y210" i="2"/>
  <c r="Z210" i="2" s="1"/>
  <c r="Y42" i="2"/>
  <c r="Z42" i="2" s="1"/>
  <c r="Y43" i="2"/>
  <c r="Z43" i="2" s="1"/>
  <c r="Y44" i="2"/>
  <c r="Z44" i="2" s="1"/>
  <c r="Y45" i="2"/>
  <c r="Z45" i="2" s="1"/>
  <c r="Y46" i="2"/>
  <c r="Z46" i="2" s="1"/>
  <c r="Y47" i="2"/>
  <c r="Z47" i="2" s="1"/>
  <c r="Y48" i="2"/>
  <c r="Y49" i="2"/>
  <c r="Z49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Y58" i="2"/>
  <c r="Z58" i="2" s="1"/>
  <c r="Y59" i="2"/>
  <c r="Z59" i="2" s="1"/>
  <c r="Y60" i="2"/>
  <c r="Z60" i="2" s="1"/>
  <c r="Y61" i="2"/>
  <c r="Y62" i="2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Y79" i="2"/>
  <c r="Z79" i="2" s="1"/>
  <c r="Y80" i="2"/>
  <c r="Y81" i="2"/>
  <c r="Z81" i="2" s="1"/>
  <c r="Y82" i="2"/>
  <c r="Z82" i="2" s="1"/>
  <c r="Y83" i="2"/>
  <c r="Z83" i="2" s="1"/>
  <c r="Y84" i="2"/>
  <c r="Z84" i="2" s="1"/>
  <c r="Y85" i="2"/>
  <c r="Z85" i="2" s="1"/>
  <c r="Y86" i="2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6" i="2"/>
  <c r="Z136" i="2" s="1"/>
  <c r="Y137" i="2"/>
  <c r="Z137" i="2" s="1"/>
  <c r="Y138" i="2"/>
  <c r="Z138" i="2" s="1"/>
  <c r="Y139" i="2"/>
  <c r="Y140" i="2"/>
  <c r="Z140" i="2" s="1"/>
  <c r="Y141" i="2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Z150" i="2" s="1"/>
  <c r="Y151" i="2"/>
  <c r="Z151" i="2" s="1"/>
  <c r="Y152" i="2"/>
  <c r="Z152" i="2" s="1"/>
  <c r="Y153" i="2"/>
  <c r="Z153" i="2" s="1"/>
  <c r="Y154" i="2"/>
  <c r="Z154" i="2" s="1"/>
  <c r="Y155" i="2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Y180" i="2"/>
  <c r="Z180" i="2" s="1"/>
  <c r="Y181" i="2"/>
  <c r="Z181" i="2" s="1"/>
  <c r="Y182" i="2"/>
  <c r="Y183" i="2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Y202" i="2"/>
  <c r="Z202" i="2" s="1"/>
  <c r="Y203" i="2"/>
  <c r="Y204" i="2"/>
  <c r="Z204" i="2" s="1"/>
  <c r="Y239" i="2"/>
  <c r="Y240" i="2"/>
  <c r="Z240" i="2" s="1"/>
  <c r="Y241" i="2"/>
  <c r="Z241" i="2" s="1"/>
  <c r="Z206" i="2"/>
  <c r="Z207" i="2"/>
  <c r="Z48" i="2"/>
  <c r="Z57" i="2"/>
  <c r="Z61" i="2"/>
  <c r="Z62" i="2"/>
  <c r="Z69" i="2"/>
  <c r="Z78" i="2"/>
  <c r="Z80" i="2"/>
  <c r="Z86" i="2"/>
  <c r="Z94" i="2"/>
  <c r="Z110" i="2"/>
  <c r="Z118" i="2"/>
  <c r="Z139" i="2"/>
  <c r="Z141" i="2"/>
  <c r="Z155" i="2"/>
  <c r="Z171" i="2"/>
  <c r="Z179" i="2"/>
  <c r="Z182" i="2"/>
  <c r="Z183" i="2"/>
  <c r="Z195" i="2"/>
  <c r="Z201" i="2"/>
  <c r="Z203" i="2"/>
  <c r="Z239" i="2"/>
  <c r="AA7" i="2"/>
  <c r="AB7" i="2" s="1"/>
  <c r="AA8" i="2"/>
  <c r="AA9" i="2"/>
  <c r="AB9" i="2" s="1"/>
  <c r="AA41" i="2"/>
  <c r="AB41" i="2" s="1"/>
  <c r="AA205" i="2"/>
  <c r="AB205" i="2" s="1"/>
  <c r="AA206" i="2"/>
  <c r="AA207" i="2"/>
  <c r="AB207" i="2" s="1"/>
  <c r="AA208" i="2"/>
  <c r="AB208" i="2" s="1"/>
  <c r="AA209" i="2"/>
  <c r="AB209" i="2" s="1"/>
  <c r="AA210" i="2"/>
  <c r="AB210" i="2" s="1"/>
  <c r="AA42" i="2"/>
  <c r="AB42" i="2" s="1"/>
  <c r="AA43" i="2"/>
  <c r="AB43" i="2" s="1"/>
  <c r="AA44" i="2"/>
  <c r="AB44" i="2" s="1"/>
  <c r="AA45" i="2"/>
  <c r="AB45" i="2" s="1"/>
  <c r="AA46" i="2"/>
  <c r="AB46" i="2" s="1"/>
  <c r="AA47" i="2"/>
  <c r="AB47" i="2" s="1"/>
  <c r="AA48" i="2"/>
  <c r="AB48" i="2" s="1"/>
  <c r="AA49" i="2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A57" i="2"/>
  <c r="AA58" i="2"/>
  <c r="AB58" i="2" s="1"/>
  <c r="AA59" i="2"/>
  <c r="AA60" i="2"/>
  <c r="AB60" i="2" s="1"/>
  <c r="AA61" i="2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A90" i="2"/>
  <c r="AB90" i="2" s="1"/>
  <c r="AA91" i="2"/>
  <c r="AA92" i="2"/>
  <c r="AB92" i="2" s="1"/>
  <c r="AA93" i="2"/>
  <c r="AA94" i="2"/>
  <c r="AB94" i="2" s="1"/>
  <c r="AA95" i="2"/>
  <c r="AB95" i="2" s="1"/>
  <c r="AA96" i="2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A110" i="2"/>
  <c r="AB110" i="2" s="1"/>
  <c r="AA111" i="2"/>
  <c r="AB111" i="2" s="1"/>
  <c r="AA112" i="2"/>
  <c r="AA113" i="2"/>
  <c r="AA114" i="2"/>
  <c r="AB114" i="2" s="1"/>
  <c r="AA115" i="2"/>
  <c r="AB115" i="2" s="1"/>
  <c r="AA116" i="2"/>
  <c r="AB116" i="2" s="1"/>
  <c r="AA117" i="2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6" i="2"/>
  <c r="AB136" i="2" s="1"/>
  <c r="AA137" i="2"/>
  <c r="AB137" i="2" s="1"/>
  <c r="AA138" i="2"/>
  <c r="AA139" i="2"/>
  <c r="AB139" i="2" s="1"/>
  <c r="AA140" i="2"/>
  <c r="AB140" i="2" s="1"/>
  <c r="AA141" i="2"/>
  <c r="AB141" i="2" s="1"/>
  <c r="AA142" i="2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56" i="2"/>
  <c r="AB156" i="2" s="1"/>
  <c r="AA157" i="2"/>
  <c r="AB157" i="2" s="1"/>
  <c r="AA158" i="2"/>
  <c r="AA159" i="2"/>
  <c r="AB159" i="2" s="1"/>
  <c r="AA160" i="2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A193" i="2"/>
  <c r="AB193" i="2" s="1"/>
  <c r="AA194" i="2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A201" i="2"/>
  <c r="AB201" i="2" s="1"/>
  <c r="AA202" i="2"/>
  <c r="AA203" i="2"/>
  <c r="AB203" i="2" s="1"/>
  <c r="AA204" i="2"/>
  <c r="AB204" i="2" s="1"/>
  <c r="AA239" i="2"/>
  <c r="AB239" i="2" s="1"/>
  <c r="AA240" i="2"/>
  <c r="AB240" i="2" s="1"/>
  <c r="AA241" i="2"/>
  <c r="AB241" i="2" s="1"/>
  <c r="AB8" i="2"/>
  <c r="AB206" i="2"/>
  <c r="AB49" i="2"/>
  <c r="AB56" i="2"/>
  <c r="AB57" i="2"/>
  <c r="AB59" i="2"/>
  <c r="AB61" i="2"/>
  <c r="AB72" i="2"/>
  <c r="AB79" i="2"/>
  <c r="AB89" i="2"/>
  <c r="AB91" i="2"/>
  <c r="AB93" i="2"/>
  <c r="AB96" i="2"/>
  <c r="AB109" i="2"/>
  <c r="AB112" i="2"/>
  <c r="AB113" i="2"/>
  <c r="AB117" i="2"/>
  <c r="AB138" i="2"/>
  <c r="AB142" i="2"/>
  <c r="AB158" i="2"/>
  <c r="AB160" i="2"/>
  <c r="AB171" i="2"/>
  <c r="AB178" i="2"/>
  <c r="AB192" i="2"/>
  <c r="AB194" i="2"/>
  <c r="AB200" i="2"/>
  <c r="AB202" i="2"/>
  <c r="AC7" i="2"/>
  <c r="AD7" i="2" s="1"/>
  <c r="AC8" i="2"/>
  <c r="AC9" i="2"/>
  <c r="AD9" i="2" s="1"/>
  <c r="AC41" i="2"/>
  <c r="AD41" i="2" s="1"/>
  <c r="AC205" i="2"/>
  <c r="AD205" i="2" s="1"/>
  <c r="AC206" i="2"/>
  <c r="AC207" i="2"/>
  <c r="AD207" i="2" s="1"/>
  <c r="AC208" i="2"/>
  <c r="AD208" i="2" s="1"/>
  <c r="AC209" i="2"/>
  <c r="AC210" i="2"/>
  <c r="AD210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C49" i="2"/>
  <c r="AC50" i="2"/>
  <c r="AC51" i="2"/>
  <c r="AD51" i="2" s="1"/>
  <c r="AC52" i="2"/>
  <c r="AD52" i="2" s="1"/>
  <c r="AC53" i="2"/>
  <c r="AC54" i="2"/>
  <c r="AD54" i="2" s="1"/>
  <c r="AC55" i="2"/>
  <c r="AD55" i="2" s="1"/>
  <c r="AC56" i="2"/>
  <c r="AD56" i="2" s="1"/>
  <c r="AC57" i="2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C73" i="2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C89" i="2"/>
  <c r="AD89" i="2" s="1"/>
  <c r="AC90" i="2"/>
  <c r="AD90" i="2" s="1"/>
  <c r="AC91" i="2"/>
  <c r="AD91" i="2" s="1"/>
  <c r="AC92" i="2"/>
  <c r="AD92" i="2" s="1"/>
  <c r="AC93" i="2"/>
  <c r="AC94" i="2"/>
  <c r="AD94" i="2" s="1"/>
  <c r="AC95" i="2"/>
  <c r="AD95" i="2" s="1"/>
  <c r="AC96" i="2"/>
  <c r="AD96" i="2" s="1"/>
  <c r="AC97" i="2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C122" i="2"/>
  <c r="AD122" i="2" s="1"/>
  <c r="AC123" i="2"/>
  <c r="AD123" i="2" s="1"/>
  <c r="AC124" i="2"/>
  <c r="AD124" i="2" s="1"/>
  <c r="AC125" i="2"/>
  <c r="AC126" i="2"/>
  <c r="AD126" i="2" s="1"/>
  <c r="AC127" i="2"/>
  <c r="AD127" i="2" s="1"/>
  <c r="AC128" i="2"/>
  <c r="AC129" i="2"/>
  <c r="AD129" i="2" s="1"/>
  <c r="AC130" i="2"/>
  <c r="AD130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C150" i="2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C182" i="2"/>
  <c r="AD182" i="2" s="1"/>
  <c r="AC183" i="2"/>
  <c r="AD183" i="2" s="1"/>
  <c r="AC184" i="2"/>
  <c r="AC185" i="2"/>
  <c r="AD185" i="2" s="1"/>
  <c r="AC186" i="2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C196" i="2"/>
  <c r="AD196" i="2" s="1"/>
  <c r="AC197" i="2"/>
  <c r="AC198" i="2"/>
  <c r="AC199" i="2"/>
  <c r="AC200" i="2"/>
  <c r="AD200" i="2" s="1"/>
  <c r="AC201" i="2"/>
  <c r="AD201" i="2" s="1"/>
  <c r="AC202" i="2"/>
  <c r="AD202" i="2" s="1"/>
  <c r="AC203" i="2"/>
  <c r="AD203" i="2" s="1"/>
  <c r="AC204" i="2"/>
  <c r="AD204" i="2" s="1"/>
  <c r="AC239" i="2"/>
  <c r="AD239" i="2" s="1"/>
  <c r="AC240" i="2"/>
  <c r="AC241" i="2"/>
  <c r="AD241" i="2" s="1"/>
  <c r="AD8" i="2"/>
  <c r="AD206" i="2"/>
  <c r="AD209" i="2"/>
  <c r="AD48" i="2"/>
  <c r="AD49" i="2"/>
  <c r="AD50" i="2"/>
  <c r="AD53" i="2"/>
  <c r="AD57" i="2"/>
  <c r="AD64" i="2"/>
  <c r="AD72" i="2"/>
  <c r="AD73" i="2"/>
  <c r="AD88" i="2"/>
  <c r="AD93" i="2"/>
  <c r="AD97" i="2"/>
  <c r="AD114" i="2"/>
  <c r="AD121" i="2"/>
  <c r="AD125" i="2"/>
  <c r="AD128" i="2"/>
  <c r="AD142" i="2"/>
  <c r="AD149" i="2"/>
  <c r="AD150" i="2"/>
  <c r="AD157" i="2"/>
  <c r="AD166" i="2"/>
  <c r="AD174" i="2"/>
  <c r="AD181" i="2"/>
  <c r="AD184" i="2"/>
  <c r="AD186" i="2"/>
  <c r="AD195" i="2"/>
  <c r="AD197" i="2"/>
  <c r="AD198" i="2"/>
  <c r="AD199" i="2"/>
  <c r="AD240" i="2"/>
  <c r="AE7" i="2"/>
  <c r="AE8" i="2"/>
  <c r="AE9" i="2"/>
  <c r="AE41" i="2"/>
  <c r="AE205" i="2"/>
  <c r="AE206" i="2"/>
  <c r="AE207" i="2"/>
  <c r="AE208" i="2"/>
  <c r="AE209" i="2"/>
  <c r="AE210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39" i="2"/>
  <c r="AE240" i="2"/>
  <c r="AE241" i="2"/>
  <c r="AF7" i="2"/>
  <c r="AF8" i="2"/>
  <c r="AF9" i="2"/>
  <c r="AF41" i="2"/>
  <c r="AF205" i="2"/>
  <c r="AF206" i="2"/>
  <c r="AF207" i="2"/>
  <c r="AF208" i="2"/>
  <c r="AF209" i="2"/>
  <c r="AF210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39" i="2"/>
  <c r="AF240" i="2"/>
  <c r="AF241" i="2"/>
  <c r="AG7" i="2"/>
  <c r="AH7" i="2" s="1"/>
  <c r="AG8" i="2"/>
  <c r="AG9" i="2"/>
  <c r="AH9" i="2" s="1"/>
  <c r="AG41" i="2"/>
  <c r="AH41" i="2" s="1"/>
  <c r="AG205" i="2"/>
  <c r="AH205" i="2" s="1"/>
  <c r="AG206" i="2"/>
  <c r="AH206" i="2" s="1"/>
  <c r="AG207" i="2"/>
  <c r="AG208" i="2"/>
  <c r="AG209" i="2"/>
  <c r="AH209" i="2" s="1"/>
  <c r="AJ209" i="2" s="1"/>
  <c r="AG210" i="2"/>
  <c r="AG42" i="2"/>
  <c r="AH42" i="2" s="1"/>
  <c r="AG43" i="2"/>
  <c r="AH43" i="2" s="1"/>
  <c r="AG44" i="2"/>
  <c r="AH44" i="2" s="1"/>
  <c r="AG45" i="2"/>
  <c r="AH45" i="2" s="1"/>
  <c r="AG46" i="2"/>
  <c r="AG47" i="2"/>
  <c r="AG48" i="2"/>
  <c r="AH48" i="2" s="1"/>
  <c r="AG49" i="2"/>
  <c r="AH49" i="2" s="1"/>
  <c r="AG50" i="2"/>
  <c r="AH50" i="2" s="1"/>
  <c r="AG51" i="2"/>
  <c r="AH51" i="2" s="1"/>
  <c r="AG52" i="2"/>
  <c r="AH52" i="2" s="1"/>
  <c r="AG53" i="2"/>
  <c r="AH53" i="2" s="1"/>
  <c r="AG54" i="2"/>
  <c r="AG55" i="2"/>
  <c r="AG56" i="2"/>
  <c r="AH56" i="2" s="1"/>
  <c r="AG57" i="2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G71" i="2"/>
  <c r="AG72" i="2"/>
  <c r="AH72" i="2" s="1"/>
  <c r="AG73" i="2"/>
  <c r="AG74" i="2"/>
  <c r="AH74" i="2" s="1"/>
  <c r="AG75" i="2"/>
  <c r="AH75" i="2" s="1"/>
  <c r="AG76" i="2"/>
  <c r="AH76" i="2" s="1"/>
  <c r="AG77" i="2"/>
  <c r="AH77" i="2" s="1"/>
  <c r="AG78" i="2"/>
  <c r="AG79" i="2"/>
  <c r="AG80" i="2"/>
  <c r="AH80" i="2" s="1"/>
  <c r="AG81" i="2"/>
  <c r="AG82" i="2"/>
  <c r="AH82" i="2" s="1"/>
  <c r="AG83" i="2"/>
  <c r="AH83" i="2" s="1"/>
  <c r="AG84" i="2"/>
  <c r="AH84" i="2" s="1"/>
  <c r="AG85" i="2"/>
  <c r="AH85" i="2" s="1"/>
  <c r="AG86" i="2"/>
  <c r="AG87" i="2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G96" i="2"/>
  <c r="AH96" i="2" s="1"/>
  <c r="AJ96" i="2" s="1"/>
  <c r="AG97" i="2"/>
  <c r="AG98" i="2"/>
  <c r="AH98" i="2" s="1"/>
  <c r="AG99" i="2"/>
  <c r="AH99" i="2" s="1"/>
  <c r="AG100" i="2"/>
  <c r="AH100" i="2" s="1"/>
  <c r="AG101" i="2"/>
  <c r="AH101" i="2" s="1"/>
  <c r="AG102" i="2"/>
  <c r="AG103" i="2"/>
  <c r="AG104" i="2"/>
  <c r="AH104" i="2" s="1"/>
  <c r="AG105" i="2"/>
  <c r="AG106" i="2"/>
  <c r="AH106" i="2" s="1"/>
  <c r="AG107" i="2"/>
  <c r="AH107" i="2" s="1"/>
  <c r="AG108" i="2"/>
  <c r="AH108" i="2" s="1"/>
  <c r="AG109" i="2"/>
  <c r="AH109" i="2" s="1"/>
  <c r="AG110" i="2"/>
  <c r="AG111" i="2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G119" i="2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G126" i="2"/>
  <c r="AG127" i="2"/>
  <c r="AG128" i="2"/>
  <c r="AH128" i="2" s="1"/>
  <c r="AG129" i="2"/>
  <c r="AH129" i="2" s="1"/>
  <c r="AG130" i="2"/>
  <c r="AH130" i="2" s="1"/>
  <c r="AG136" i="2"/>
  <c r="AH136" i="2" s="1"/>
  <c r="AG137" i="2"/>
  <c r="AH137" i="2" s="1"/>
  <c r="AG138" i="2"/>
  <c r="AH138" i="2" s="1"/>
  <c r="AG139" i="2"/>
  <c r="AH139" i="2" s="1"/>
  <c r="AG140" i="2"/>
  <c r="AG141" i="2"/>
  <c r="AH141" i="2" s="1"/>
  <c r="AG142" i="2"/>
  <c r="AG143" i="2"/>
  <c r="AH143" i="2" s="1"/>
  <c r="AG144" i="2"/>
  <c r="AH144" i="2" s="1"/>
  <c r="AG145" i="2"/>
  <c r="AH145" i="2" s="1"/>
  <c r="AG146" i="2"/>
  <c r="AH146" i="2" s="1"/>
  <c r="AG147" i="2"/>
  <c r="AG148" i="2"/>
  <c r="AG149" i="2"/>
  <c r="AH149" i="2" s="1"/>
  <c r="AG150" i="2"/>
  <c r="AG151" i="2"/>
  <c r="AH151" i="2" s="1"/>
  <c r="AG152" i="2"/>
  <c r="AH152" i="2" s="1"/>
  <c r="AG153" i="2"/>
  <c r="AH153" i="2" s="1"/>
  <c r="AG154" i="2"/>
  <c r="AH154" i="2" s="1"/>
  <c r="AG155" i="2"/>
  <c r="AH155" i="2" s="1"/>
  <c r="AG156" i="2"/>
  <c r="AG157" i="2"/>
  <c r="AH157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G164" i="2"/>
  <c r="AG165" i="2"/>
  <c r="AH165" i="2" s="1"/>
  <c r="AG166" i="2"/>
  <c r="AG167" i="2"/>
  <c r="AH167" i="2" s="1"/>
  <c r="AG168" i="2"/>
  <c r="AH168" i="2" s="1"/>
  <c r="AG169" i="2"/>
  <c r="AH169" i="2" s="1"/>
  <c r="AG170" i="2"/>
  <c r="AH170" i="2" s="1"/>
  <c r="AG171" i="2"/>
  <c r="AG172" i="2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G180" i="2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G187" i="2"/>
  <c r="AG188" i="2"/>
  <c r="AG189" i="2"/>
  <c r="AH189" i="2" s="1"/>
  <c r="AG190" i="2"/>
  <c r="AG191" i="2"/>
  <c r="AH191" i="2" s="1"/>
  <c r="AG192" i="2"/>
  <c r="AH192" i="2" s="1"/>
  <c r="AG193" i="2"/>
  <c r="AH193" i="2" s="1"/>
  <c r="AG194" i="2"/>
  <c r="AH194" i="2" s="1"/>
  <c r="AG195" i="2"/>
  <c r="AG196" i="2"/>
  <c r="AG197" i="2"/>
  <c r="AG198" i="2"/>
  <c r="AH198" i="2" s="1"/>
  <c r="AG199" i="2"/>
  <c r="AH199" i="2" s="1"/>
  <c r="AG200" i="2"/>
  <c r="AH200" i="2" s="1"/>
  <c r="AG201" i="2"/>
  <c r="AH201" i="2" s="1"/>
  <c r="AG202" i="2"/>
  <c r="AG203" i="2"/>
  <c r="AG204" i="2"/>
  <c r="AG239" i="2"/>
  <c r="AH239" i="2" s="1"/>
  <c r="AG240" i="2"/>
  <c r="AH240" i="2" s="1"/>
  <c r="AG241" i="2"/>
  <c r="AH241" i="2" s="1"/>
  <c r="AH8" i="2"/>
  <c r="AH207" i="2"/>
  <c r="AH208" i="2"/>
  <c r="AH210" i="2"/>
  <c r="AH46" i="2"/>
  <c r="AH47" i="2"/>
  <c r="AH54" i="2"/>
  <c r="AH55" i="2"/>
  <c r="AH57" i="2"/>
  <c r="AH63" i="2"/>
  <c r="AH70" i="2"/>
  <c r="AH71" i="2"/>
  <c r="AH73" i="2"/>
  <c r="AH78" i="2"/>
  <c r="AH79" i="2"/>
  <c r="AH81" i="2"/>
  <c r="AH86" i="2"/>
  <c r="AH87" i="2"/>
  <c r="AH95" i="2"/>
  <c r="AH97" i="2"/>
  <c r="AH102" i="2"/>
  <c r="AH103" i="2"/>
  <c r="AH105" i="2"/>
  <c r="AH110" i="2"/>
  <c r="AH111" i="2"/>
  <c r="AH118" i="2"/>
  <c r="AH119" i="2"/>
  <c r="AH125" i="2"/>
  <c r="AH126" i="2"/>
  <c r="AH127" i="2"/>
  <c r="AH140" i="2"/>
  <c r="AH142" i="2"/>
  <c r="AH147" i="2"/>
  <c r="AH148" i="2"/>
  <c r="AH150" i="2"/>
  <c r="AH156" i="2"/>
  <c r="AH163" i="2"/>
  <c r="AH164" i="2"/>
  <c r="AH166" i="2"/>
  <c r="AH171" i="2"/>
  <c r="AH172" i="2"/>
  <c r="AH179" i="2"/>
  <c r="AH180" i="2"/>
  <c r="AH186" i="2"/>
  <c r="AH187" i="2"/>
  <c r="AH188" i="2"/>
  <c r="AH190" i="2"/>
  <c r="AH195" i="2"/>
  <c r="AH196" i="2"/>
  <c r="AH197" i="2"/>
  <c r="AH202" i="2"/>
  <c r="AH203" i="2"/>
  <c r="AH204" i="2"/>
  <c r="AI7" i="2"/>
  <c r="AI8" i="2"/>
  <c r="AI9" i="2"/>
  <c r="AI41" i="2"/>
  <c r="AI205" i="2"/>
  <c r="AI206" i="2"/>
  <c r="AI207" i="2"/>
  <c r="AI208" i="2"/>
  <c r="AI209" i="2"/>
  <c r="AI210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39" i="2"/>
  <c r="AI240" i="2"/>
  <c r="AI241" i="2"/>
  <c r="AJ174" i="2" l="1"/>
  <c r="AJ128" i="2"/>
  <c r="AJ88" i="2"/>
  <c r="AJ187" i="2"/>
  <c r="AJ155" i="2"/>
  <c r="AJ139" i="2"/>
  <c r="AJ118" i="2"/>
  <c r="AJ197" i="2"/>
  <c r="AJ110" i="2"/>
  <c r="AJ141" i="2"/>
  <c r="AJ104" i="2"/>
  <c r="AJ72" i="2"/>
  <c r="AJ189" i="2"/>
  <c r="AJ186" i="2"/>
  <c r="AJ109" i="2"/>
  <c r="AJ85" i="2"/>
  <c r="AJ120" i="2"/>
  <c r="AJ83" i="2"/>
  <c r="AJ59" i="2"/>
  <c r="AJ41" i="2"/>
  <c r="AJ102" i="2"/>
  <c r="AJ171" i="2"/>
  <c r="AJ240" i="2"/>
  <c r="AJ190" i="2"/>
  <c r="AJ142" i="2"/>
  <c r="AJ121" i="2"/>
  <c r="AJ81" i="2"/>
  <c r="AJ57" i="2"/>
  <c r="AJ210" i="2"/>
  <c r="AJ48" i="2"/>
  <c r="AJ163" i="2"/>
  <c r="AJ126" i="2"/>
  <c r="AJ239" i="2"/>
  <c r="AJ181" i="2"/>
  <c r="AJ165" i="2"/>
  <c r="AJ157" i="2"/>
  <c r="AJ80" i="2"/>
  <c r="AJ64" i="2"/>
  <c r="M141" i="3"/>
  <c r="P141" i="3"/>
  <c r="M142" i="3"/>
  <c r="N141" i="3"/>
  <c r="P142" i="3"/>
  <c r="N142" i="3"/>
  <c r="T142" i="3"/>
  <c r="AJ105" i="2"/>
  <c r="AJ195" i="2"/>
  <c r="AJ179" i="2"/>
  <c r="AJ150" i="2"/>
  <c r="AJ147" i="2"/>
  <c r="AJ62" i="2"/>
  <c r="AJ8" i="2"/>
  <c r="AJ7" i="2"/>
  <c r="AJ69" i="2"/>
  <c r="AJ56" i="2"/>
  <c r="AJ149" i="2"/>
  <c r="AJ112" i="2"/>
  <c r="AJ101" i="2"/>
  <c r="AJ97" i="2"/>
  <c r="AJ198" i="2"/>
  <c r="AJ158" i="2"/>
  <c r="AJ129" i="2"/>
  <c r="AJ113" i="2"/>
  <c r="AJ89" i="2"/>
  <c r="AJ65" i="2"/>
  <c r="AJ203" i="2"/>
  <c r="AJ73" i="2"/>
  <c r="AJ200" i="2"/>
  <c r="AJ192" i="2"/>
  <c r="AJ184" i="2"/>
  <c r="AJ176" i="2"/>
  <c r="AJ168" i="2"/>
  <c r="AJ160" i="2"/>
  <c r="AJ152" i="2"/>
  <c r="AJ144" i="2"/>
  <c r="AJ136" i="2"/>
  <c r="AJ123" i="2"/>
  <c r="AJ115" i="2"/>
  <c r="AJ107" i="2"/>
  <c r="AJ91" i="2"/>
  <c r="AJ75" i="2"/>
  <c r="AJ67" i="2"/>
  <c r="AJ51" i="2"/>
  <c r="AJ43" i="2"/>
  <c r="AJ173" i="2"/>
  <c r="AJ99" i="2"/>
  <c r="AJ49" i="2"/>
  <c r="AJ182" i="2"/>
  <c r="AJ166" i="2"/>
  <c r="AJ86" i="2"/>
  <c r="AJ241" i="2"/>
  <c r="AJ199" i="2"/>
  <c r="AJ191" i="2"/>
  <c r="AJ183" i="2"/>
  <c r="AJ175" i="2"/>
  <c r="AJ167" i="2"/>
  <c r="AJ159" i="2"/>
  <c r="AJ151" i="2"/>
  <c r="AJ143" i="2"/>
  <c r="AJ130" i="2"/>
  <c r="AJ122" i="2"/>
  <c r="AJ114" i="2"/>
  <c r="AJ106" i="2"/>
  <c r="AJ98" i="2"/>
  <c r="AJ90" i="2"/>
  <c r="AJ82" i="2"/>
  <c r="AJ74" i="2"/>
  <c r="AJ66" i="2"/>
  <c r="AJ58" i="2"/>
  <c r="AJ50" i="2"/>
  <c r="AJ42" i="2"/>
  <c r="AJ9" i="2"/>
  <c r="AJ201" i="2"/>
  <c r="AJ193" i="2"/>
  <c r="AJ185" i="2"/>
  <c r="AJ177" i="2"/>
  <c r="AJ169" i="2"/>
  <c r="AJ161" i="2"/>
  <c r="AJ153" i="2"/>
  <c r="AJ145" i="2"/>
  <c r="AJ137" i="2"/>
  <c r="AJ124" i="2"/>
  <c r="AJ116" i="2"/>
  <c r="AJ108" i="2"/>
  <c r="AJ100" i="2"/>
  <c r="AJ92" i="2"/>
  <c r="AJ84" i="2"/>
  <c r="AJ76" i="2"/>
  <c r="AJ68" i="2"/>
  <c r="AJ60" i="2"/>
  <c r="AJ52" i="2"/>
  <c r="AJ44" i="2"/>
  <c r="AJ205" i="2"/>
  <c r="AJ204" i="2"/>
  <c r="AJ196" i="2"/>
  <c r="AJ188" i="2"/>
  <c r="AJ180" i="2"/>
  <c r="AJ172" i="2"/>
  <c r="AJ164" i="2"/>
  <c r="AJ156" i="2"/>
  <c r="AJ148" i="2"/>
  <c r="AJ140" i="2"/>
  <c r="T141" i="3" s="1"/>
  <c r="AJ127" i="2"/>
  <c r="AJ119" i="2"/>
  <c r="AJ111" i="2"/>
  <c r="AJ103" i="2"/>
  <c r="AJ95" i="2"/>
  <c r="AJ87" i="2"/>
  <c r="AJ79" i="2"/>
  <c r="AJ71" i="2"/>
  <c r="AJ63" i="2"/>
  <c r="AJ55" i="2"/>
  <c r="AJ47" i="2"/>
  <c r="AJ208" i="2"/>
  <c r="AJ46" i="2"/>
  <c r="AJ54" i="2"/>
  <c r="AJ94" i="2"/>
  <c r="AJ78" i="2"/>
  <c r="AJ202" i="2"/>
  <c r="AJ194" i="2"/>
  <c r="AJ178" i="2"/>
  <c r="AJ170" i="2"/>
  <c r="AJ162" i="2"/>
  <c r="AJ154" i="2"/>
  <c r="AJ146" i="2"/>
  <c r="AJ138" i="2"/>
  <c r="AJ125" i="2"/>
  <c r="AJ117" i="2"/>
  <c r="AJ93" i="2"/>
  <c r="AJ77" i="2"/>
  <c r="AJ61" i="2"/>
  <c r="AJ53" i="2"/>
  <c r="AJ45" i="2"/>
  <c r="AJ206" i="2"/>
  <c r="AJ70" i="2"/>
  <c r="AJ207" i="2"/>
  <c r="B12" i="19"/>
  <c r="F91" i="3"/>
  <c r="L91" i="3"/>
  <c r="O91" i="3"/>
  <c r="S91" i="3"/>
  <c r="AB91" i="3"/>
  <c r="K91" i="3" s="1"/>
  <c r="F92" i="3"/>
  <c r="L92" i="3"/>
  <c r="O92" i="3"/>
  <c r="S92" i="3"/>
  <c r="AB92" i="3"/>
  <c r="K92" i="3" s="1"/>
  <c r="A66" i="7"/>
  <c r="A75" i="8"/>
  <c r="F7" i="3"/>
  <c r="L7" i="3"/>
  <c r="O7" i="3"/>
  <c r="S7" i="3"/>
  <c r="AB7" i="3"/>
  <c r="K7" i="3" s="1"/>
  <c r="F212" i="3"/>
  <c r="L212" i="3"/>
  <c r="O212" i="3"/>
  <c r="S212" i="3"/>
  <c r="AB212" i="3"/>
  <c r="K212" i="3" s="1"/>
  <c r="F173" i="3"/>
  <c r="L173" i="3"/>
  <c r="O173" i="3"/>
  <c r="S173" i="3"/>
  <c r="AB173" i="3"/>
  <c r="K173" i="3" s="1"/>
  <c r="Q3" i="2"/>
  <c r="R3" i="2"/>
  <c r="S3" i="2"/>
  <c r="T3" i="2" s="1"/>
  <c r="U3" i="2"/>
  <c r="V3" i="2" s="1"/>
  <c r="W3" i="2"/>
  <c r="X3" i="2" s="1"/>
  <c r="Y3" i="2"/>
  <c r="Z3" i="2" s="1"/>
  <c r="AA3" i="2"/>
  <c r="AB3" i="2" s="1"/>
  <c r="AC3" i="2"/>
  <c r="AD3" i="2" s="1"/>
  <c r="AE3" i="2"/>
  <c r="AF3" i="2"/>
  <c r="AG3" i="2"/>
  <c r="AH3" i="2" s="1"/>
  <c r="AI3" i="2"/>
  <c r="P92" i="3" l="1"/>
  <c r="P91" i="3"/>
  <c r="M92" i="3"/>
  <c r="N91" i="3"/>
  <c r="M91" i="3"/>
  <c r="N92" i="3"/>
  <c r="P7" i="3"/>
  <c r="N7" i="3"/>
  <c r="M7" i="3"/>
  <c r="M212" i="3"/>
  <c r="P212" i="3"/>
  <c r="N212" i="3"/>
  <c r="M173" i="3"/>
  <c r="P173" i="3"/>
  <c r="N173" i="3"/>
  <c r="AJ3" i="2"/>
  <c r="T173" i="3"/>
  <c r="T91" i="3"/>
  <c r="T92" i="3"/>
  <c r="T212" i="3"/>
  <c r="T7" i="3"/>
  <c r="R30" i="2"/>
  <c r="Q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AJ30" i="2" l="1"/>
  <c r="F211" i="3"/>
  <c r="L211" i="3"/>
  <c r="O211" i="3"/>
  <c r="S211" i="3"/>
  <c r="AB211" i="3"/>
  <c r="K211" i="3" s="1"/>
  <c r="F140" i="3"/>
  <c r="L140" i="3"/>
  <c r="O140" i="3"/>
  <c r="S140" i="3"/>
  <c r="AB140" i="3"/>
  <c r="K140" i="3" s="1"/>
  <c r="A30" i="7"/>
  <c r="A43" i="8"/>
  <c r="M211" i="3" l="1"/>
  <c r="P211" i="3"/>
  <c r="N211" i="3"/>
  <c r="M140" i="3"/>
  <c r="P140" i="3"/>
  <c r="N140" i="3"/>
  <c r="T211" i="3"/>
  <c r="T140" i="3"/>
  <c r="F208" i="3" l="1"/>
  <c r="L208" i="3"/>
  <c r="O208" i="3"/>
  <c r="S208" i="3"/>
  <c r="AB208" i="3"/>
  <c r="K208" i="3" s="1"/>
  <c r="F209" i="3"/>
  <c r="L209" i="3"/>
  <c r="O209" i="3"/>
  <c r="S209" i="3"/>
  <c r="AB209" i="3"/>
  <c r="K209" i="3" s="1"/>
  <c r="F210" i="3"/>
  <c r="L210" i="3"/>
  <c r="O210" i="3"/>
  <c r="S210" i="3"/>
  <c r="AB210" i="3"/>
  <c r="K210" i="3" s="1"/>
  <c r="F94" i="3"/>
  <c r="L94" i="3"/>
  <c r="O94" i="3"/>
  <c r="S94" i="3"/>
  <c r="AB94" i="3"/>
  <c r="K94" i="3" s="1"/>
  <c r="A72" i="7"/>
  <c r="A84" i="8"/>
  <c r="A104" i="7"/>
  <c r="A108" i="8"/>
  <c r="M208" i="3" l="1"/>
  <c r="P209" i="3"/>
  <c r="P208" i="3"/>
  <c r="N208" i="3"/>
  <c r="P210" i="3"/>
  <c r="M210" i="3"/>
  <c r="N209" i="3"/>
  <c r="M209" i="3"/>
  <c r="N210" i="3"/>
  <c r="P94" i="3"/>
  <c r="M94" i="3"/>
  <c r="N94" i="3"/>
  <c r="T208" i="3"/>
  <c r="T209" i="3"/>
  <c r="T210" i="3"/>
  <c r="T94" i="3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AJ31" i="2" l="1"/>
  <c r="F182" i="3"/>
  <c r="L182" i="3"/>
  <c r="O182" i="3"/>
  <c r="S182" i="3"/>
  <c r="AB182" i="3"/>
  <c r="K182" i="3" s="1"/>
  <c r="A75" i="7"/>
  <c r="A89" i="8"/>
  <c r="F172" i="3"/>
  <c r="L172" i="3"/>
  <c r="O172" i="3"/>
  <c r="S172" i="3"/>
  <c r="AB172" i="3"/>
  <c r="K172" i="3" s="1"/>
  <c r="F101" i="3"/>
  <c r="L101" i="3"/>
  <c r="O101" i="3"/>
  <c r="S101" i="3"/>
  <c r="AB101" i="3"/>
  <c r="K101" i="3" s="1"/>
  <c r="M182" i="3" l="1"/>
  <c r="P182" i="3"/>
  <c r="N182" i="3"/>
  <c r="M172" i="3"/>
  <c r="P172" i="3"/>
  <c r="N172" i="3"/>
  <c r="M101" i="3"/>
  <c r="P101" i="3"/>
  <c r="N101" i="3"/>
  <c r="T172" i="3"/>
  <c r="T101" i="3"/>
  <c r="T182" i="3"/>
  <c r="F170" i="3" l="1"/>
  <c r="L170" i="3"/>
  <c r="O170" i="3"/>
  <c r="S170" i="3"/>
  <c r="AB170" i="3"/>
  <c r="K170" i="3" s="1"/>
  <c r="F171" i="3"/>
  <c r="L171" i="3"/>
  <c r="O171" i="3"/>
  <c r="S171" i="3"/>
  <c r="AB171" i="3"/>
  <c r="K171" i="3" s="1"/>
  <c r="F90" i="3"/>
  <c r="L90" i="3"/>
  <c r="O90" i="3"/>
  <c r="S90" i="3"/>
  <c r="AB90" i="3"/>
  <c r="K90" i="3" s="1"/>
  <c r="M170" i="3" l="1"/>
  <c r="P170" i="3"/>
  <c r="M171" i="3"/>
  <c r="N170" i="3"/>
  <c r="P171" i="3"/>
  <c r="N171" i="3"/>
  <c r="P90" i="3"/>
  <c r="N90" i="3"/>
  <c r="M90" i="3"/>
  <c r="T171" i="3"/>
  <c r="T170" i="3"/>
  <c r="T90" i="3"/>
  <c r="A42" i="8" l="1"/>
  <c r="F84" i="3" l="1"/>
  <c r="L84" i="3"/>
  <c r="O84" i="3"/>
  <c r="S84" i="3"/>
  <c r="AB84" i="3"/>
  <c r="K84" i="3" s="1"/>
  <c r="F89" i="3"/>
  <c r="L89" i="3"/>
  <c r="O89" i="3"/>
  <c r="S89" i="3"/>
  <c r="AB89" i="3"/>
  <c r="K89" i="3" s="1"/>
  <c r="F168" i="3"/>
  <c r="L168" i="3"/>
  <c r="O168" i="3"/>
  <c r="S168" i="3"/>
  <c r="AB168" i="3"/>
  <c r="K168" i="3" s="1"/>
  <c r="F169" i="3"/>
  <c r="L169" i="3"/>
  <c r="O169" i="3"/>
  <c r="S169" i="3"/>
  <c r="AB169" i="3"/>
  <c r="K169" i="3" s="1"/>
  <c r="M84" i="3" l="1"/>
  <c r="P84" i="3"/>
  <c r="N84" i="3"/>
  <c r="P89" i="3"/>
  <c r="M89" i="3"/>
  <c r="N89" i="3"/>
  <c r="M168" i="3"/>
  <c r="P168" i="3"/>
  <c r="M169" i="3"/>
  <c r="N168" i="3"/>
  <c r="P169" i="3"/>
  <c r="N169" i="3"/>
  <c r="T84" i="3"/>
  <c r="T169" i="3"/>
  <c r="T89" i="3"/>
  <c r="T168" i="3"/>
  <c r="F44" i="3"/>
  <c r="L44" i="3"/>
  <c r="O44" i="3"/>
  <c r="S44" i="3"/>
  <c r="AB44" i="3"/>
  <c r="N44" i="3" s="1"/>
  <c r="M44" i="3" l="1"/>
  <c r="K44" i="3"/>
  <c r="P44" i="3"/>
  <c r="F2" i="3"/>
  <c r="L2" i="3"/>
  <c r="O2" i="3"/>
  <c r="S2" i="3"/>
  <c r="AB2" i="3"/>
  <c r="K2" i="3" s="1"/>
  <c r="M2" i="3" l="1"/>
  <c r="P2" i="3"/>
  <c r="N2" i="3"/>
  <c r="T44" i="3"/>
  <c r="A25" i="7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4" i="2"/>
  <c r="R14" i="2"/>
  <c r="S14" i="2"/>
  <c r="T14" i="2" s="1"/>
  <c r="U14" i="2"/>
  <c r="V14" i="2" s="1"/>
  <c r="W14" i="2"/>
  <c r="X14" i="2" s="1"/>
  <c r="Y14" i="2"/>
  <c r="Z14" i="2" s="1"/>
  <c r="AA14" i="2"/>
  <c r="AB14" i="2" s="1"/>
  <c r="AC14" i="2"/>
  <c r="AD14" i="2" s="1"/>
  <c r="AE14" i="2"/>
  <c r="AF14" i="2"/>
  <c r="AG14" i="2"/>
  <c r="AH14" i="2" s="1"/>
  <c r="AI14" i="2"/>
  <c r="Q13" i="2"/>
  <c r="R13" i="2"/>
  <c r="S13" i="2"/>
  <c r="T13" i="2" s="1"/>
  <c r="U13" i="2"/>
  <c r="V13" i="2" s="1"/>
  <c r="W13" i="2"/>
  <c r="X13" i="2" s="1"/>
  <c r="Y13" i="2"/>
  <c r="Z13" i="2" s="1"/>
  <c r="AA13" i="2"/>
  <c r="AB13" i="2" s="1"/>
  <c r="AC13" i="2"/>
  <c r="AD13" i="2" s="1"/>
  <c r="AE13" i="2"/>
  <c r="AF13" i="2"/>
  <c r="AG13" i="2"/>
  <c r="AH13" i="2" s="1"/>
  <c r="AI13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2" i="2"/>
  <c r="R12" i="2"/>
  <c r="S12" i="2"/>
  <c r="T12" i="2" s="1"/>
  <c r="U12" i="2"/>
  <c r="V12" i="2" s="1"/>
  <c r="W12" i="2"/>
  <c r="X12" i="2" s="1"/>
  <c r="Y12" i="2"/>
  <c r="Z12" i="2" s="1"/>
  <c r="AA12" i="2"/>
  <c r="AB12" i="2" s="1"/>
  <c r="AC12" i="2"/>
  <c r="AD12" i="2" s="1"/>
  <c r="AE12" i="2"/>
  <c r="AF12" i="2"/>
  <c r="AG12" i="2"/>
  <c r="AH12" i="2" s="1"/>
  <c r="AI12" i="2"/>
  <c r="Q10" i="2"/>
  <c r="R10" i="2"/>
  <c r="S10" i="2"/>
  <c r="T10" i="2" s="1"/>
  <c r="U10" i="2"/>
  <c r="V10" i="2" s="1"/>
  <c r="W10" i="2"/>
  <c r="X10" i="2" s="1"/>
  <c r="Y10" i="2"/>
  <c r="Z10" i="2" s="1"/>
  <c r="AA10" i="2"/>
  <c r="AB10" i="2" s="1"/>
  <c r="AC10" i="2"/>
  <c r="AD10" i="2" s="1"/>
  <c r="AE10" i="2"/>
  <c r="AF10" i="2"/>
  <c r="AG10" i="2"/>
  <c r="AH10" i="2" s="1"/>
  <c r="AI10" i="2"/>
  <c r="Q11" i="2"/>
  <c r="R11" i="2"/>
  <c r="S11" i="2"/>
  <c r="T11" i="2" s="1"/>
  <c r="U11" i="2"/>
  <c r="V11" i="2" s="1"/>
  <c r="W11" i="2"/>
  <c r="X11" i="2" s="1"/>
  <c r="Y11" i="2"/>
  <c r="Z11" i="2" s="1"/>
  <c r="AA11" i="2"/>
  <c r="AB11" i="2" s="1"/>
  <c r="AC11" i="2"/>
  <c r="AD11" i="2" s="1"/>
  <c r="AE11" i="2"/>
  <c r="AF11" i="2"/>
  <c r="AG11" i="2"/>
  <c r="AH11" i="2" s="1"/>
  <c r="AI11" i="2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AJ16" i="2" l="1"/>
  <c r="AJ17" i="2"/>
  <c r="AJ14" i="2"/>
  <c r="AJ13" i="2"/>
  <c r="AJ15" i="2"/>
  <c r="AJ18" i="2"/>
  <c r="AJ19" i="2"/>
  <c r="AJ12" i="2"/>
  <c r="AJ10" i="2"/>
  <c r="AJ11" i="2"/>
  <c r="AJ28" i="2"/>
  <c r="AJ27" i="2"/>
  <c r="AJ26" i="2"/>
  <c r="AJ29" i="2"/>
  <c r="AJ25" i="2"/>
  <c r="AJ20" i="2"/>
  <c r="AJ24" i="2"/>
  <c r="AJ21" i="2"/>
  <c r="AJ22" i="2"/>
  <c r="F185" i="3"/>
  <c r="L185" i="3"/>
  <c r="O185" i="3"/>
  <c r="S185" i="3"/>
  <c r="AB185" i="3"/>
  <c r="K185" i="3" s="1"/>
  <c r="C242" i="2"/>
  <c r="F77" i="3"/>
  <c r="L77" i="3"/>
  <c r="O77" i="3"/>
  <c r="S77" i="3"/>
  <c r="AB77" i="3"/>
  <c r="K77" i="3" s="1"/>
  <c r="A18" i="7"/>
  <c r="A28" i="8"/>
  <c r="P185" i="3" l="1"/>
  <c r="N185" i="3"/>
  <c r="M185" i="3"/>
  <c r="M77" i="3"/>
  <c r="P77" i="3"/>
  <c r="N77" i="3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AJ23" i="2" l="1"/>
  <c r="T2" i="3" l="1"/>
  <c r="T77" i="3"/>
  <c r="T185" i="3"/>
  <c r="F51" i="3"/>
  <c r="L51" i="3"/>
  <c r="O51" i="3"/>
  <c r="S51" i="3"/>
  <c r="AB51" i="3"/>
  <c r="K51" i="3" s="1"/>
  <c r="M51" i="3" l="1"/>
  <c r="P51" i="3"/>
  <c r="N51" i="3"/>
  <c r="T51" i="3" l="1"/>
  <c r="A24" i="7"/>
  <c r="A39" i="8"/>
  <c r="F166" i="3" l="1"/>
  <c r="L166" i="3"/>
  <c r="O166" i="3"/>
  <c r="S166" i="3"/>
  <c r="AB166" i="3"/>
  <c r="K166" i="3" s="1"/>
  <c r="F167" i="3"/>
  <c r="L167" i="3"/>
  <c r="O167" i="3"/>
  <c r="S167" i="3"/>
  <c r="AB167" i="3"/>
  <c r="K167" i="3" s="1"/>
  <c r="P166" i="3" l="1"/>
  <c r="P167" i="3"/>
  <c r="N166" i="3"/>
  <c r="M166" i="3"/>
  <c r="N167" i="3"/>
  <c r="M167" i="3"/>
  <c r="T167" i="3"/>
  <c r="T166" i="3"/>
  <c r="I250" i="3" l="1"/>
  <c r="J245" i="3"/>
  <c r="H245" i="3"/>
  <c r="I249" i="3"/>
  <c r="G245" i="3"/>
  <c r="I245" i="3"/>
  <c r="P251" i="3" l="1"/>
  <c r="A13" i="7"/>
  <c r="A63" i="8"/>
  <c r="B26" i="19" l="1"/>
  <c r="A62" i="7" l="1"/>
  <c r="A69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4" i="8"/>
  <c r="A45" i="8"/>
  <c r="A46" i="8"/>
  <c r="A47" i="8"/>
  <c r="A49" i="8"/>
  <c r="A50" i="8"/>
  <c r="A51" i="8"/>
  <c r="A48" i="8"/>
  <c r="A52" i="8"/>
  <c r="A53" i="8"/>
  <c r="A54" i="8"/>
  <c r="A55" i="8"/>
  <c r="A56" i="8"/>
  <c r="A57" i="8"/>
  <c r="A58" i="8"/>
  <c r="A59" i="8"/>
  <c r="A60" i="8"/>
  <c r="A61" i="8"/>
  <c r="A62" i="8"/>
  <c r="A64" i="8"/>
  <c r="A65" i="8"/>
  <c r="A66" i="8"/>
  <c r="A67" i="8"/>
  <c r="A68" i="8"/>
  <c r="A70" i="8"/>
  <c r="A71" i="8"/>
  <c r="A72" i="8"/>
  <c r="A73" i="8"/>
  <c r="A74" i="8"/>
  <c r="A76" i="8"/>
  <c r="A77" i="8"/>
  <c r="A78" i="8"/>
  <c r="A79" i="8"/>
  <c r="A80" i="8"/>
  <c r="A81" i="8"/>
  <c r="A82" i="8"/>
  <c r="A83" i="8"/>
  <c r="A85" i="8"/>
  <c r="A86" i="8"/>
  <c r="A87" i="8"/>
  <c r="A88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9" i="8"/>
  <c r="A110" i="8"/>
  <c r="A111" i="8"/>
  <c r="A112" i="8"/>
  <c r="A113" i="8"/>
  <c r="A114" i="8"/>
  <c r="A115" i="8"/>
  <c r="A116" i="8"/>
  <c r="A117" i="8"/>
  <c r="A118" i="8"/>
  <c r="A120" i="8"/>
  <c r="A119" i="8"/>
  <c r="A121" i="8"/>
  <c r="A122" i="8"/>
  <c r="A123" i="8"/>
  <c r="A124" i="8"/>
  <c r="A125" i="8"/>
  <c r="A126" i="8"/>
  <c r="A127" i="8"/>
  <c r="D66" i="7" l="1"/>
  <c r="F66" i="7" s="1"/>
  <c r="E66" i="7"/>
  <c r="D30" i="7"/>
  <c r="F30" i="7" s="1"/>
  <c r="E30" i="7"/>
  <c r="D72" i="7"/>
  <c r="F72" i="7" s="1"/>
  <c r="E72" i="7"/>
  <c r="D104" i="7"/>
  <c r="F104" i="7" s="1"/>
  <c r="E104" i="7"/>
  <c r="D75" i="7"/>
  <c r="F75" i="7" s="1"/>
  <c r="E75" i="7"/>
  <c r="D25" i="7"/>
  <c r="F25" i="7" s="1"/>
  <c r="E25" i="7"/>
  <c r="D18" i="7"/>
  <c r="E18" i="7"/>
  <c r="E24" i="7"/>
  <c r="D24" i="7"/>
  <c r="F24" i="7" s="1"/>
  <c r="D62" i="7"/>
  <c r="F62" i="7" s="1"/>
  <c r="D13" i="7"/>
  <c r="E13" i="7"/>
  <c r="E62" i="7"/>
  <c r="F18" i="7" l="1"/>
  <c r="F13" i="7"/>
  <c r="O3" i="3"/>
  <c r="O4" i="3"/>
  <c r="O5" i="3"/>
  <c r="O6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30" i="3"/>
  <c r="O29" i="3"/>
  <c r="O31" i="3"/>
  <c r="O34" i="3"/>
  <c r="O32" i="3"/>
  <c r="O33" i="3"/>
  <c r="O38" i="3"/>
  <c r="O42" i="3"/>
  <c r="O39" i="3"/>
  <c r="O41" i="3"/>
  <c r="O35" i="3"/>
  <c r="O36" i="3"/>
  <c r="O40" i="3"/>
  <c r="O43" i="3"/>
  <c r="O37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8" i="3"/>
  <c r="O79" i="3"/>
  <c r="O80" i="3"/>
  <c r="O81" i="3"/>
  <c r="O82" i="3"/>
  <c r="O83" i="3"/>
  <c r="O85" i="3"/>
  <c r="O86" i="3"/>
  <c r="O87" i="3"/>
  <c r="O88" i="3"/>
  <c r="O93" i="3"/>
  <c r="O95" i="3"/>
  <c r="O96" i="3"/>
  <c r="O98" i="3"/>
  <c r="O99" i="3"/>
  <c r="O100" i="3"/>
  <c r="O102" i="3"/>
  <c r="O103" i="3"/>
  <c r="O105" i="3"/>
  <c r="O106" i="3"/>
  <c r="O107" i="3"/>
  <c r="O108" i="3"/>
  <c r="O109" i="3"/>
  <c r="O110" i="3"/>
  <c r="O112" i="3"/>
  <c r="O111" i="3"/>
  <c r="O113" i="3"/>
  <c r="O114" i="3"/>
  <c r="O115" i="3"/>
  <c r="O116" i="3"/>
  <c r="O117" i="3"/>
  <c r="O118" i="3"/>
  <c r="O119" i="3"/>
  <c r="O120" i="3"/>
  <c r="O121" i="3"/>
  <c r="O123" i="3"/>
  <c r="O122" i="3"/>
  <c r="O124" i="3"/>
  <c r="O125" i="3"/>
  <c r="O126" i="3"/>
  <c r="O127" i="3"/>
  <c r="O128" i="3"/>
  <c r="O129" i="3"/>
  <c r="O130" i="3"/>
  <c r="O131" i="3"/>
  <c r="O134" i="3"/>
  <c r="O135" i="3"/>
  <c r="O136" i="3"/>
  <c r="O133" i="3"/>
  <c r="O132" i="3"/>
  <c r="O137" i="3"/>
  <c r="O138" i="3"/>
  <c r="O97" i="3"/>
  <c r="O104" i="3"/>
  <c r="O139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74" i="3"/>
  <c r="O175" i="3"/>
  <c r="O176" i="3"/>
  <c r="O177" i="3"/>
  <c r="O178" i="3"/>
  <c r="O179" i="3"/>
  <c r="O180" i="3"/>
  <c r="O181" i="3"/>
  <c r="O183" i="3"/>
  <c r="O184" i="3"/>
  <c r="O186" i="3"/>
  <c r="O187" i="3"/>
  <c r="O188" i="3"/>
  <c r="O189" i="3"/>
  <c r="O190" i="3"/>
  <c r="O191" i="3"/>
  <c r="O192" i="3"/>
  <c r="O194" i="3"/>
  <c r="O193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L3" i="3" l="1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29" i="3"/>
  <c r="L31" i="3"/>
  <c r="L34" i="3"/>
  <c r="L32" i="3"/>
  <c r="L33" i="3"/>
  <c r="L38" i="3"/>
  <c r="L42" i="3"/>
  <c r="L39" i="3"/>
  <c r="L41" i="3"/>
  <c r="L35" i="3"/>
  <c r="L36" i="3"/>
  <c r="L40" i="3"/>
  <c r="L43" i="3"/>
  <c r="L37" i="3"/>
  <c r="L45" i="3"/>
  <c r="L46" i="3"/>
  <c r="L47" i="3"/>
  <c r="L48" i="3"/>
  <c r="L49" i="3"/>
  <c r="L50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8" i="3"/>
  <c r="L79" i="3"/>
  <c r="L80" i="3"/>
  <c r="L81" i="3"/>
  <c r="L82" i="3"/>
  <c r="L83" i="3"/>
  <c r="L85" i="3"/>
  <c r="L86" i="3"/>
  <c r="L87" i="3"/>
  <c r="L88" i="3"/>
  <c r="L93" i="3"/>
  <c r="L95" i="3"/>
  <c r="L96" i="3"/>
  <c r="L98" i="3"/>
  <c r="L99" i="3"/>
  <c r="L100" i="3"/>
  <c r="L102" i="3"/>
  <c r="L103" i="3"/>
  <c r="L105" i="3"/>
  <c r="L106" i="3"/>
  <c r="L107" i="3"/>
  <c r="L108" i="3"/>
  <c r="L109" i="3"/>
  <c r="L110" i="3"/>
  <c r="L112" i="3"/>
  <c r="L111" i="3"/>
  <c r="L113" i="3"/>
  <c r="L114" i="3"/>
  <c r="L115" i="3"/>
  <c r="L116" i="3"/>
  <c r="L117" i="3"/>
  <c r="L118" i="3"/>
  <c r="L119" i="3"/>
  <c r="L120" i="3"/>
  <c r="L121" i="3"/>
  <c r="L123" i="3"/>
  <c r="L122" i="3"/>
  <c r="L124" i="3"/>
  <c r="L125" i="3"/>
  <c r="L126" i="3"/>
  <c r="L127" i="3"/>
  <c r="L128" i="3"/>
  <c r="L129" i="3"/>
  <c r="L130" i="3"/>
  <c r="L131" i="3"/>
  <c r="L134" i="3"/>
  <c r="L135" i="3"/>
  <c r="L136" i="3"/>
  <c r="L133" i="3"/>
  <c r="L132" i="3"/>
  <c r="L137" i="3"/>
  <c r="L138" i="3"/>
  <c r="L97" i="3"/>
  <c r="L104" i="3"/>
  <c r="L139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74" i="3"/>
  <c r="L175" i="3"/>
  <c r="L176" i="3"/>
  <c r="L177" i="3"/>
  <c r="L178" i="3"/>
  <c r="L179" i="3"/>
  <c r="L180" i="3"/>
  <c r="L181" i="3"/>
  <c r="L183" i="3"/>
  <c r="L184" i="3"/>
  <c r="L186" i="3"/>
  <c r="L187" i="3"/>
  <c r="L188" i="3"/>
  <c r="L189" i="3"/>
  <c r="L190" i="3"/>
  <c r="L191" i="3"/>
  <c r="L192" i="3"/>
  <c r="L194" i="3"/>
  <c r="L193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F3" i="3"/>
  <c r="F4" i="3"/>
  <c r="F5" i="3"/>
  <c r="F6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0" i="3"/>
  <c r="F29" i="3"/>
  <c r="F31" i="3"/>
  <c r="F34" i="3"/>
  <c r="F32" i="3"/>
  <c r="F33" i="3"/>
  <c r="F38" i="3"/>
  <c r="F42" i="3"/>
  <c r="F39" i="3"/>
  <c r="F41" i="3"/>
  <c r="F35" i="3"/>
  <c r="F36" i="3"/>
  <c r="F40" i="3"/>
  <c r="F43" i="3"/>
  <c r="F37" i="3"/>
  <c r="F45" i="3"/>
  <c r="F46" i="3"/>
  <c r="F47" i="3"/>
  <c r="F48" i="3"/>
  <c r="F49" i="3"/>
  <c r="F50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8" i="3"/>
  <c r="F79" i="3"/>
  <c r="F80" i="3"/>
  <c r="F81" i="3"/>
  <c r="F82" i="3"/>
  <c r="F83" i="3"/>
  <c r="F85" i="3"/>
  <c r="F86" i="3"/>
  <c r="F87" i="3"/>
  <c r="F88" i="3"/>
  <c r="F93" i="3"/>
  <c r="F95" i="3"/>
  <c r="F96" i="3"/>
  <c r="F98" i="3"/>
  <c r="F99" i="3"/>
  <c r="F100" i="3"/>
  <c r="F102" i="3"/>
  <c r="F103" i="3"/>
  <c r="F105" i="3"/>
  <c r="F106" i="3"/>
  <c r="F107" i="3"/>
  <c r="F108" i="3"/>
  <c r="F109" i="3"/>
  <c r="F110" i="3"/>
  <c r="F112" i="3"/>
  <c r="F111" i="3"/>
  <c r="F113" i="3"/>
  <c r="F114" i="3"/>
  <c r="F115" i="3"/>
  <c r="F116" i="3"/>
  <c r="F117" i="3"/>
  <c r="F118" i="3"/>
  <c r="F119" i="3"/>
  <c r="F120" i="3"/>
  <c r="F121" i="3"/>
  <c r="F123" i="3"/>
  <c r="F122" i="3"/>
  <c r="F124" i="3"/>
  <c r="F125" i="3"/>
  <c r="F126" i="3"/>
  <c r="F127" i="3"/>
  <c r="F128" i="3"/>
  <c r="F129" i="3"/>
  <c r="F130" i="3"/>
  <c r="F131" i="3"/>
  <c r="F134" i="3"/>
  <c r="F135" i="3"/>
  <c r="F136" i="3"/>
  <c r="F133" i="3"/>
  <c r="F132" i="3"/>
  <c r="F137" i="3"/>
  <c r="F138" i="3"/>
  <c r="F97" i="3"/>
  <c r="F104" i="3"/>
  <c r="F139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74" i="3"/>
  <c r="F175" i="3"/>
  <c r="F176" i="3"/>
  <c r="F177" i="3"/>
  <c r="F178" i="3"/>
  <c r="F179" i="3"/>
  <c r="F180" i="3"/>
  <c r="F181" i="3"/>
  <c r="F183" i="3"/>
  <c r="F184" i="3"/>
  <c r="F186" i="3"/>
  <c r="F187" i="3"/>
  <c r="F188" i="3"/>
  <c r="F189" i="3"/>
  <c r="F190" i="3"/>
  <c r="F191" i="3"/>
  <c r="F192" i="3"/>
  <c r="F194" i="3"/>
  <c r="F193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B19" i="19" l="1"/>
  <c r="B11" i="19"/>
  <c r="B13" i="19" l="1"/>
  <c r="C13" i="19"/>
  <c r="K43" i="23" s="1"/>
  <c r="K44" i="23" s="1"/>
  <c r="S102" i="3"/>
  <c r="AB102" i="3"/>
  <c r="P102" i="3" s="1"/>
  <c r="A64" i="7"/>
  <c r="S50" i="3"/>
  <c r="AB50" i="3"/>
  <c r="P50" i="3" s="1"/>
  <c r="S184" i="3"/>
  <c r="AB184" i="3"/>
  <c r="P184" i="3" s="1"/>
  <c r="S121" i="3"/>
  <c r="AB121" i="3"/>
  <c r="P121" i="3" s="1"/>
  <c r="A50" i="7"/>
  <c r="S164" i="3"/>
  <c r="AB164" i="3"/>
  <c r="P164" i="3" s="1"/>
  <c r="S162" i="3"/>
  <c r="AB162" i="3"/>
  <c r="P162" i="3" s="1"/>
  <c r="S163" i="3"/>
  <c r="AB163" i="3"/>
  <c r="P163" i="3" s="1"/>
  <c r="S165" i="3"/>
  <c r="AB165" i="3"/>
  <c r="P165" i="3" s="1"/>
  <c r="S158" i="3"/>
  <c r="AB158" i="3"/>
  <c r="P158" i="3" s="1"/>
  <c r="N158" i="3" l="1"/>
  <c r="M158" i="3"/>
  <c r="N165" i="3"/>
  <c r="M165" i="3"/>
  <c r="N163" i="3"/>
  <c r="M163" i="3"/>
  <c r="N162" i="3"/>
  <c r="M162" i="3"/>
  <c r="N164" i="3"/>
  <c r="M164" i="3"/>
  <c r="N121" i="3"/>
  <c r="M121" i="3"/>
  <c r="N184" i="3"/>
  <c r="M184" i="3"/>
  <c r="N50" i="3"/>
  <c r="M50" i="3"/>
  <c r="N102" i="3"/>
  <c r="M102" i="3"/>
  <c r="K163" i="3"/>
  <c r="K121" i="3"/>
  <c r="K184" i="3"/>
  <c r="K162" i="3"/>
  <c r="K164" i="3"/>
  <c r="K50" i="3"/>
  <c r="K158" i="3"/>
  <c r="K165" i="3"/>
  <c r="K102" i="3"/>
  <c r="S82" i="3"/>
  <c r="AB82" i="3"/>
  <c r="P82" i="3" s="1"/>
  <c r="S83" i="3"/>
  <c r="AB83" i="3"/>
  <c r="P83" i="3" s="1"/>
  <c r="S6" i="3"/>
  <c r="AB6" i="3"/>
  <c r="P6" i="3" l="1"/>
  <c r="T102" i="3"/>
  <c r="N6" i="3"/>
  <c r="M6" i="3"/>
  <c r="N83" i="3"/>
  <c r="M83" i="3"/>
  <c r="N82" i="3"/>
  <c r="M82" i="3"/>
  <c r="K6" i="3"/>
  <c r="K83" i="3"/>
  <c r="K82" i="3"/>
  <c r="S57" i="3"/>
  <c r="AB57" i="3"/>
  <c r="P57" i="3" s="1"/>
  <c r="S49" i="3"/>
  <c r="AB49" i="3"/>
  <c r="P49" i="3" s="1"/>
  <c r="S56" i="3"/>
  <c r="AB56" i="3"/>
  <c r="P56" i="3" s="1"/>
  <c r="S48" i="3"/>
  <c r="AB48" i="3"/>
  <c r="P48" i="3" s="1"/>
  <c r="T163" i="3" l="1"/>
  <c r="T162" i="3"/>
  <c r="T82" i="3"/>
  <c r="T164" i="3"/>
  <c r="T121" i="3"/>
  <c r="T50" i="3"/>
  <c r="T184" i="3"/>
  <c r="T158" i="3"/>
  <c r="T165" i="3"/>
  <c r="T83" i="3"/>
  <c r="N48" i="3"/>
  <c r="M48" i="3"/>
  <c r="N56" i="3"/>
  <c r="M56" i="3"/>
  <c r="N49" i="3"/>
  <c r="M49" i="3"/>
  <c r="N57" i="3"/>
  <c r="M57" i="3"/>
  <c r="K56" i="3"/>
  <c r="K49" i="3"/>
  <c r="K57" i="3"/>
  <c r="K48" i="3"/>
  <c r="T49" i="3"/>
  <c r="T57" i="3"/>
  <c r="T48" i="3"/>
  <c r="T56" i="3"/>
  <c r="A117" i="7"/>
  <c r="S161" i="3" l="1"/>
  <c r="AB161" i="3"/>
  <c r="P161" i="3" s="1"/>
  <c r="A54" i="7"/>
  <c r="S129" i="3"/>
  <c r="AB129" i="3"/>
  <c r="P129" i="3" s="1"/>
  <c r="S128" i="3"/>
  <c r="AB128" i="3"/>
  <c r="P128" i="3" s="1"/>
  <c r="N128" i="3" l="1"/>
  <c r="M128" i="3"/>
  <c r="N129" i="3"/>
  <c r="M129" i="3"/>
  <c r="N161" i="3"/>
  <c r="M161" i="3"/>
  <c r="K128" i="3"/>
  <c r="K129" i="3"/>
  <c r="K161" i="3"/>
  <c r="T128" i="3"/>
  <c r="T129" i="3"/>
  <c r="T161" i="3"/>
  <c r="S75" i="3"/>
  <c r="AB75" i="3"/>
  <c r="P75" i="3" s="1"/>
  <c r="N75" i="3" l="1"/>
  <c r="M75" i="3"/>
  <c r="K75" i="3"/>
  <c r="T75" i="3"/>
  <c r="S103" i="3"/>
  <c r="AB103" i="3"/>
  <c r="P103" i="3" s="1"/>
  <c r="T6" i="3" l="1"/>
  <c r="N103" i="3"/>
  <c r="M103" i="3"/>
  <c r="K103" i="3"/>
  <c r="T103" i="3"/>
  <c r="Q4" i="2"/>
  <c r="Q5" i="2"/>
  <c r="Q6" i="2"/>
  <c r="Q32" i="2"/>
  <c r="Q33" i="2"/>
  <c r="Q34" i="2"/>
  <c r="Q35" i="2"/>
  <c r="Q36" i="2"/>
  <c r="Q37" i="2"/>
  <c r="Q38" i="2"/>
  <c r="Q39" i="2"/>
  <c r="Q40" i="2"/>
  <c r="Q133" i="2"/>
  <c r="Q134" i="2"/>
  <c r="Q135" i="2"/>
  <c r="Q132" i="2"/>
  <c r="Q131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A103" i="7" l="1"/>
  <c r="A95" i="7"/>
  <c r="A98" i="7"/>
  <c r="A97" i="7"/>
  <c r="A85" i="7"/>
  <c r="A86" i="7"/>
  <c r="A102" i="7"/>
  <c r="A101" i="7"/>
  <c r="AB3" i="3"/>
  <c r="P3" i="3" s="1"/>
  <c r="AB4" i="3"/>
  <c r="P4" i="3" s="1"/>
  <c r="AB5" i="3"/>
  <c r="P5" i="3" s="1"/>
  <c r="AB8" i="3"/>
  <c r="P8" i="3" s="1"/>
  <c r="AB9" i="3"/>
  <c r="P9" i="3" s="1"/>
  <c r="AB10" i="3"/>
  <c r="P10" i="3" s="1"/>
  <c r="AB11" i="3"/>
  <c r="P11" i="3" s="1"/>
  <c r="AB12" i="3"/>
  <c r="P12" i="3" s="1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30" i="3"/>
  <c r="P30" i="3" s="1"/>
  <c r="AB29" i="3"/>
  <c r="P29" i="3" s="1"/>
  <c r="AB31" i="3"/>
  <c r="P31" i="3" s="1"/>
  <c r="AB34" i="3"/>
  <c r="P34" i="3" s="1"/>
  <c r="AB32" i="3"/>
  <c r="P32" i="3" s="1"/>
  <c r="AB33" i="3"/>
  <c r="P33" i="3" s="1"/>
  <c r="AB38" i="3"/>
  <c r="P38" i="3" s="1"/>
  <c r="AB42" i="3"/>
  <c r="P42" i="3" s="1"/>
  <c r="AB39" i="3"/>
  <c r="P39" i="3" s="1"/>
  <c r="AB41" i="3"/>
  <c r="P41" i="3" s="1"/>
  <c r="AB35" i="3"/>
  <c r="P35" i="3" s="1"/>
  <c r="AB36" i="3"/>
  <c r="P36" i="3" s="1"/>
  <c r="AB40" i="3"/>
  <c r="P40" i="3" s="1"/>
  <c r="AB43" i="3"/>
  <c r="P43" i="3" s="1"/>
  <c r="AB37" i="3"/>
  <c r="P37" i="3" s="1"/>
  <c r="AB45" i="3"/>
  <c r="P45" i="3" s="1"/>
  <c r="AB46" i="3"/>
  <c r="P46" i="3" s="1"/>
  <c r="AB47" i="3"/>
  <c r="P47" i="3" s="1"/>
  <c r="AB52" i="3"/>
  <c r="P52" i="3" s="1"/>
  <c r="AB53" i="3"/>
  <c r="P53" i="3" s="1"/>
  <c r="AB54" i="3"/>
  <c r="P54" i="3" s="1"/>
  <c r="AB55" i="3"/>
  <c r="P55" i="3" s="1"/>
  <c r="AB58" i="3"/>
  <c r="P58" i="3" s="1"/>
  <c r="AB59" i="3"/>
  <c r="P59" i="3" s="1"/>
  <c r="AB60" i="3"/>
  <c r="P60" i="3" s="1"/>
  <c r="AB61" i="3"/>
  <c r="P61" i="3" s="1"/>
  <c r="AB62" i="3"/>
  <c r="P62" i="3" s="1"/>
  <c r="AB63" i="3"/>
  <c r="P63" i="3" s="1"/>
  <c r="AB64" i="3"/>
  <c r="P64" i="3" s="1"/>
  <c r="AB65" i="3"/>
  <c r="P65" i="3" s="1"/>
  <c r="AB66" i="3"/>
  <c r="P66" i="3" s="1"/>
  <c r="AB67" i="3"/>
  <c r="P67" i="3" s="1"/>
  <c r="AB68" i="3"/>
  <c r="P68" i="3" s="1"/>
  <c r="AB69" i="3"/>
  <c r="P69" i="3" s="1"/>
  <c r="AB70" i="3"/>
  <c r="P70" i="3" s="1"/>
  <c r="AB72" i="3"/>
  <c r="P72" i="3" s="1"/>
  <c r="AB71" i="3"/>
  <c r="P71" i="3" s="1"/>
  <c r="AB73" i="3"/>
  <c r="P73" i="3" s="1"/>
  <c r="AB74" i="3"/>
  <c r="P74" i="3" s="1"/>
  <c r="AB76" i="3"/>
  <c r="P76" i="3" s="1"/>
  <c r="AB78" i="3"/>
  <c r="P78" i="3" s="1"/>
  <c r="AB79" i="3"/>
  <c r="P79" i="3" s="1"/>
  <c r="AB80" i="3"/>
  <c r="P80" i="3" s="1"/>
  <c r="AB81" i="3"/>
  <c r="P81" i="3" s="1"/>
  <c r="AB85" i="3"/>
  <c r="P85" i="3" s="1"/>
  <c r="AB86" i="3"/>
  <c r="P86" i="3" s="1"/>
  <c r="AB87" i="3"/>
  <c r="P87" i="3" s="1"/>
  <c r="AB88" i="3"/>
  <c r="P88" i="3" s="1"/>
  <c r="AB93" i="3"/>
  <c r="P93" i="3" s="1"/>
  <c r="AB95" i="3"/>
  <c r="P95" i="3" s="1"/>
  <c r="AB96" i="3"/>
  <c r="P96" i="3" s="1"/>
  <c r="AB98" i="3"/>
  <c r="P98" i="3" s="1"/>
  <c r="AB99" i="3"/>
  <c r="P99" i="3" s="1"/>
  <c r="AB100" i="3"/>
  <c r="P100" i="3" s="1"/>
  <c r="AB105" i="3"/>
  <c r="P105" i="3" s="1"/>
  <c r="AB106" i="3"/>
  <c r="P106" i="3" s="1"/>
  <c r="AB107" i="3"/>
  <c r="P107" i="3" s="1"/>
  <c r="AB108" i="3"/>
  <c r="P108" i="3" s="1"/>
  <c r="AB109" i="3"/>
  <c r="P109" i="3" s="1"/>
  <c r="AB110" i="3"/>
  <c r="P110" i="3" s="1"/>
  <c r="AB112" i="3"/>
  <c r="P112" i="3" s="1"/>
  <c r="AB111" i="3"/>
  <c r="P111" i="3" s="1"/>
  <c r="AB113" i="3"/>
  <c r="P113" i="3" s="1"/>
  <c r="AB114" i="3"/>
  <c r="P114" i="3" s="1"/>
  <c r="AB115" i="3"/>
  <c r="P115" i="3" s="1"/>
  <c r="AB116" i="3"/>
  <c r="P116" i="3" s="1"/>
  <c r="AB117" i="3"/>
  <c r="P117" i="3" s="1"/>
  <c r="AB118" i="3"/>
  <c r="P118" i="3" s="1"/>
  <c r="AB119" i="3"/>
  <c r="P119" i="3" s="1"/>
  <c r="AB120" i="3"/>
  <c r="P120" i="3" s="1"/>
  <c r="AB123" i="3"/>
  <c r="P123" i="3" s="1"/>
  <c r="AB122" i="3"/>
  <c r="P122" i="3" s="1"/>
  <c r="AB124" i="3"/>
  <c r="P124" i="3" s="1"/>
  <c r="AB125" i="3"/>
  <c r="P125" i="3" s="1"/>
  <c r="AB126" i="3"/>
  <c r="P126" i="3" s="1"/>
  <c r="AB127" i="3"/>
  <c r="P127" i="3" s="1"/>
  <c r="AB130" i="3"/>
  <c r="P130" i="3" s="1"/>
  <c r="AB131" i="3"/>
  <c r="P131" i="3" s="1"/>
  <c r="AB134" i="3"/>
  <c r="P134" i="3" s="1"/>
  <c r="AB135" i="3"/>
  <c r="P135" i="3" s="1"/>
  <c r="AB136" i="3"/>
  <c r="P136" i="3" s="1"/>
  <c r="AB133" i="3"/>
  <c r="P133" i="3" s="1"/>
  <c r="AB132" i="3"/>
  <c r="P132" i="3" s="1"/>
  <c r="AB137" i="3"/>
  <c r="P137" i="3" s="1"/>
  <c r="AB138" i="3"/>
  <c r="P138" i="3" s="1"/>
  <c r="AB97" i="3"/>
  <c r="P97" i="3" s="1"/>
  <c r="AB104" i="3"/>
  <c r="P104" i="3" s="1"/>
  <c r="AB139" i="3"/>
  <c r="P139" i="3" s="1"/>
  <c r="AB143" i="3"/>
  <c r="P143" i="3" s="1"/>
  <c r="AB144" i="3"/>
  <c r="P144" i="3" s="1"/>
  <c r="AB145" i="3"/>
  <c r="P145" i="3" s="1"/>
  <c r="AB146" i="3"/>
  <c r="P146" i="3" s="1"/>
  <c r="AB147" i="3"/>
  <c r="P147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5" i="3"/>
  <c r="P155" i="3" s="1"/>
  <c r="AB156" i="3"/>
  <c r="P156" i="3" s="1"/>
  <c r="AB157" i="3"/>
  <c r="P157" i="3" s="1"/>
  <c r="AB159" i="3"/>
  <c r="P159" i="3" s="1"/>
  <c r="AB160" i="3"/>
  <c r="P160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1" i="3"/>
  <c r="P181" i="3" s="1"/>
  <c r="AB183" i="3"/>
  <c r="P183" i="3" s="1"/>
  <c r="AB186" i="3"/>
  <c r="P186" i="3" s="1"/>
  <c r="AB187" i="3"/>
  <c r="P187" i="3" s="1"/>
  <c r="AB188" i="3"/>
  <c r="P188" i="3" s="1"/>
  <c r="AB189" i="3"/>
  <c r="P189" i="3" s="1"/>
  <c r="AB190" i="3"/>
  <c r="P190" i="3" s="1"/>
  <c r="AB191" i="3"/>
  <c r="P191" i="3" s="1"/>
  <c r="AB192" i="3"/>
  <c r="P192" i="3" s="1"/>
  <c r="AB194" i="3"/>
  <c r="P194" i="3" s="1"/>
  <c r="AB193" i="3"/>
  <c r="P193" i="3" s="1"/>
  <c r="AB195" i="3"/>
  <c r="P195" i="3" s="1"/>
  <c r="AB196" i="3"/>
  <c r="P196" i="3" s="1"/>
  <c r="AB197" i="3"/>
  <c r="P197" i="3" s="1"/>
  <c r="AB198" i="3"/>
  <c r="P198" i="3" s="1"/>
  <c r="AB199" i="3"/>
  <c r="P199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82" i="7"/>
  <c r="S193" i="3"/>
  <c r="A100" i="7"/>
  <c r="S71" i="3"/>
  <c r="S99" i="3"/>
  <c r="P245" i="3" l="1"/>
  <c r="AB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5" i="3"/>
  <c r="M215" i="3"/>
  <c r="N214" i="3"/>
  <c r="M214" i="3"/>
  <c r="N213" i="3"/>
  <c r="M213" i="3"/>
  <c r="N207" i="3"/>
  <c r="M207" i="3"/>
  <c r="N206" i="3"/>
  <c r="M206" i="3"/>
  <c r="N205" i="3"/>
  <c r="M205" i="3"/>
  <c r="N204" i="3"/>
  <c r="M204" i="3"/>
  <c r="N203" i="3"/>
  <c r="M203" i="3"/>
  <c r="N202" i="3"/>
  <c r="M202" i="3"/>
  <c r="N201" i="3"/>
  <c r="M201" i="3"/>
  <c r="N200" i="3"/>
  <c r="M200" i="3"/>
  <c r="N199" i="3"/>
  <c r="M199" i="3"/>
  <c r="N198" i="3"/>
  <c r="M198" i="3"/>
  <c r="N197" i="3"/>
  <c r="M197" i="3"/>
  <c r="N196" i="3"/>
  <c r="M196" i="3"/>
  <c r="N195" i="3"/>
  <c r="M195" i="3"/>
  <c r="N193" i="3"/>
  <c r="M193" i="3"/>
  <c r="N194" i="3"/>
  <c r="M194" i="3"/>
  <c r="N192" i="3"/>
  <c r="M192" i="3"/>
  <c r="N191" i="3"/>
  <c r="M191" i="3"/>
  <c r="N190" i="3"/>
  <c r="M190" i="3"/>
  <c r="N189" i="3"/>
  <c r="M189" i="3"/>
  <c r="N188" i="3"/>
  <c r="M188" i="3"/>
  <c r="N187" i="3"/>
  <c r="M187" i="3"/>
  <c r="N186" i="3"/>
  <c r="M186" i="3"/>
  <c r="N183" i="3"/>
  <c r="M183" i="3"/>
  <c r="N181" i="3"/>
  <c r="M181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60" i="3"/>
  <c r="M160" i="3"/>
  <c r="N159" i="3"/>
  <c r="M159" i="3"/>
  <c r="N157" i="3"/>
  <c r="M157" i="3"/>
  <c r="N156" i="3"/>
  <c r="M156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39" i="3"/>
  <c r="M139" i="3"/>
  <c r="N104" i="3"/>
  <c r="M104" i="3"/>
  <c r="N97" i="3"/>
  <c r="M97" i="3"/>
  <c r="N138" i="3"/>
  <c r="M138" i="3"/>
  <c r="N137" i="3"/>
  <c r="M137" i="3"/>
  <c r="N132" i="3"/>
  <c r="M132" i="3"/>
  <c r="N133" i="3"/>
  <c r="M133" i="3"/>
  <c r="N136" i="3"/>
  <c r="M136" i="3"/>
  <c r="N135" i="3"/>
  <c r="M135" i="3"/>
  <c r="N134" i="3"/>
  <c r="M134" i="3"/>
  <c r="N131" i="3"/>
  <c r="M131" i="3"/>
  <c r="N130" i="3"/>
  <c r="M130" i="3"/>
  <c r="N127" i="3"/>
  <c r="M127" i="3"/>
  <c r="N126" i="3"/>
  <c r="M126" i="3"/>
  <c r="N125" i="3"/>
  <c r="M125" i="3"/>
  <c r="N124" i="3"/>
  <c r="M124" i="3"/>
  <c r="N122" i="3"/>
  <c r="M122" i="3"/>
  <c r="N123" i="3"/>
  <c r="M123" i="3"/>
  <c r="N120" i="3"/>
  <c r="M120" i="3"/>
  <c r="N119" i="3"/>
  <c r="M119" i="3"/>
  <c r="N118" i="3"/>
  <c r="M118" i="3"/>
  <c r="N117" i="3"/>
  <c r="M117" i="3"/>
  <c r="N116" i="3"/>
  <c r="M116" i="3"/>
  <c r="N115" i="3"/>
  <c r="M115" i="3"/>
  <c r="N114" i="3"/>
  <c r="M114" i="3"/>
  <c r="N113" i="3"/>
  <c r="M113" i="3"/>
  <c r="N111" i="3"/>
  <c r="M111" i="3"/>
  <c r="N112" i="3"/>
  <c r="M112" i="3"/>
  <c r="N110" i="3"/>
  <c r="M110" i="3"/>
  <c r="N109" i="3"/>
  <c r="M109" i="3"/>
  <c r="N108" i="3"/>
  <c r="M108" i="3"/>
  <c r="N107" i="3"/>
  <c r="M107" i="3"/>
  <c r="N106" i="3"/>
  <c r="M106" i="3"/>
  <c r="N105" i="3"/>
  <c r="M105" i="3"/>
  <c r="N100" i="3"/>
  <c r="M100" i="3"/>
  <c r="N99" i="3"/>
  <c r="M99" i="3"/>
  <c r="N98" i="3"/>
  <c r="M98" i="3"/>
  <c r="N96" i="3"/>
  <c r="M96" i="3"/>
  <c r="N95" i="3"/>
  <c r="M95" i="3"/>
  <c r="N93" i="3"/>
  <c r="M93" i="3"/>
  <c r="N88" i="3"/>
  <c r="M88" i="3"/>
  <c r="N87" i="3"/>
  <c r="M87" i="3"/>
  <c r="N86" i="3"/>
  <c r="M86" i="3"/>
  <c r="N85" i="3"/>
  <c r="M85" i="3"/>
  <c r="N81" i="3"/>
  <c r="M81" i="3"/>
  <c r="N80" i="3"/>
  <c r="M80" i="3"/>
  <c r="N79" i="3"/>
  <c r="M79" i="3"/>
  <c r="N78" i="3"/>
  <c r="M78" i="3"/>
  <c r="N76" i="3"/>
  <c r="M76" i="3"/>
  <c r="N74" i="3"/>
  <c r="M74" i="3"/>
  <c r="N73" i="3"/>
  <c r="M73" i="3"/>
  <c r="N71" i="3"/>
  <c r="M71" i="3"/>
  <c r="N72" i="3"/>
  <c r="M72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5" i="3"/>
  <c r="M55" i="3"/>
  <c r="N54" i="3"/>
  <c r="M54" i="3"/>
  <c r="N53" i="3"/>
  <c r="M53" i="3"/>
  <c r="N52" i="3"/>
  <c r="M52" i="3"/>
  <c r="N47" i="3"/>
  <c r="M47" i="3"/>
  <c r="N46" i="3"/>
  <c r="M46" i="3"/>
  <c r="N45" i="3"/>
  <c r="M45" i="3"/>
  <c r="N37" i="3"/>
  <c r="M37" i="3"/>
  <c r="N43" i="3"/>
  <c r="M43" i="3"/>
  <c r="N40" i="3"/>
  <c r="M40" i="3"/>
  <c r="N36" i="3"/>
  <c r="M36" i="3"/>
  <c r="N35" i="3"/>
  <c r="M35" i="3"/>
  <c r="N41" i="3"/>
  <c r="M41" i="3"/>
  <c r="N39" i="3"/>
  <c r="M39" i="3"/>
  <c r="N42" i="3"/>
  <c r="M42" i="3"/>
  <c r="N38" i="3"/>
  <c r="M38" i="3"/>
  <c r="N33" i="3"/>
  <c r="M33" i="3"/>
  <c r="N32" i="3"/>
  <c r="M32" i="3"/>
  <c r="N34" i="3"/>
  <c r="M34" i="3"/>
  <c r="N31" i="3"/>
  <c r="M31" i="3"/>
  <c r="N29" i="3"/>
  <c r="M29" i="3"/>
  <c r="N30" i="3"/>
  <c r="M30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5" i="3"/>
  <c r="M5" i="3"/>
  <c r="N4" i="3"/>
  <c r="M4" i="3"/>
  <c r="N3" i="3"/>
  <c r="M3" i="3"/>
  <c r="K157" i="3"/>
  <c r="K46" i="3"/>
  <c r="K244" i="3"/>
  <c r="K213" i="3"/>
  <c r="K191" i="3"/>
  <c r="K156" i="3"/>
  <c r="K148" i="3"/>
  <c r="K97" i="3"/>
  <c r="K136" i="3"/>
  <c r="K119" i="3"/>
  <c r="K112" i="3"/>
  <c r="K105" i="3"/>
  <c r="K81" i="3"/>
  <c r="K73" i="3"/>
  <c r="K65" i="3"/>
  <c r="K39" i="3"/>
  <c r="K29" i="3"/>
  <c r="K23" i="3"/>
  <c r="K16" i="3"/>
  <c r="K5" i="3"/>
  <c r="K220" i="3"/>
  <c r="K74" i="3"/>
  <c r="K17" i="3"/>
  <c r="K219" i="3"/>
  <c r="K243" i="3"/>
  <c r="K235" i="3"/>
  <c r="K227" i="3"/>
  <c r="K218" i="3"/>
  <c r="K203" i="3"/>
  <c r="K197" i="3"/>
  <c r="K190" i="3"/>
  <c r="K183" i="3"/>
  <c r="K179" i="3"/>
  <c r="K155" i="3"/>
  <c r="K147" i="3"/>
  <c r="K135" i="3"/>
  <c r="K127" i="3"/>
  <c r="K118" i="3"/>
  <c r="K110" i="3"/>
  <c r="K96" i="3"/>
  <c r="K80" i="3"/>
  <c r="K71" i="3"/>
  <c r="K64" i="3"/>
  <c r="K55" i="3"/>
  <c r="K45" i="3"/>
  <c r="K30" i="3"/>
  <c r="K22" i="3"/>
  <c r="K15" i="3"/>
  <c r="K4" i="3"/>
  <c r="K180" i="3"/>
  <c r="K133" i="3"/>
  <c r="K85" i="3"/>
  <c r="K24" i="3"/>
  <c r="K198" i="3"/>
  <c r="K234" i="3"/>
  <c r="K226" i="3"/>
  <c r="K222" i="3"/>
  <c r="K189" i="3"/>
  <c r="K181" i="3"/>
  <c r="K178" i="3"/>
  <c r="K154" i="3"/>
  <c r="K146" i="3"/>
  <c r="K126" i="3"/>
  <c r="K117" i="3"/>
  <c r="K109" i="3"/>
  <c r="K95" i="3"/>
  <c r="K79" i="3"/>
  <c r="K72" i="3"/>
  <c r="K63" i="3"/>
  <c r="K54" i="3"/>
  <c r="K37" i="3"/>
  <c r="K42" i="3"/>
  <c r="K14" i="3"/>
  <c r="K3" i="3"/>
  <c r="K229" i="3"/>
  <c r="K186" i="3"/>
  <c r="K104" i="3"/>
  <c r="K31" i="3"/>
  <c r="K228" i="3"/>
  <c r="K204" i="3"/>
  <c r="K242" i="3"/>
  <c r="K241" i="3"/>
  <c r="K233" i="3"/>
  <c r="K225" i="3"/>
  <c r="K207" i="3"/>
  <c r="K202" i="3"/>
  <c r="K196" i="3"/>
  <c r="K188" i="3"/>
  <c r="K176" i="3"/>
  <c r="K153" i="3"/>
  <c r="K145" i="3"/>
  <c r="K138" i="3"/>
  <c r="K134" i="3"/>
  <c r="K125" i="3"/>
  <c r="K116" i="3"/>
  <c r="K108" i="3"/>
  <c r="K100" i="3"/>
  <c r="K93" i="3"/>
  <c r="K78" i="3"/>
  <c r="K70" i="3"/>
  <c r="K62" i="3"/>
  <c r="K53" i="3"/>
  <c r="K43" i="3"/>
  <c r="K38" i="3"/>
  <c r="K28" i="3"/>
  <c r="K21" i="3"/>
  <c r="K13" i="3"/>
  <c r="K214" i="3"/>
  <c r="K120" i="3"/>
  <c r="K66" i="3"/>
  <c r="K240" i="3"/>
  <c r="K232" i="3"/>
  <c r="K224" i="3"/>
  <c r="K217" i="3"/>
  <c r="K201" i="3"/>
  <c r="K195" i="3"/>
  <c r="K160" i="3"/>
  <c r="K152" i="3"/>
  <c r="K144" i="3"/>
  <c r="K137" i="3"/>
  <c r="K124" i="3"/>
  <c r="K115" i="3"/>
  <c r="K107" i="3"/>
  <c r="K99" i="3"/>
  <c r="K88" i="3"/>
  <c r="K69" i="3"/>
  <c r="K61" i="3"/>
  <c r="K52" i="3"/>
  <c r="K40" i="3"/>
  <c r="K33" i="3"/>
  <c r="K27" i="3"/>
  <c r="K20" i="3"/>
  <c r="K12" i="3"/>
  <c r="K9" i="3"/>
  <c r="K205" i="3"/>
  <c r="K174" i="3"/>
  <c r="K111" i="3"/>
  <c r="K58" i="3"/>
  <c r="K239" i="3"/>
  <c r="K231" i="3"/>
  <c r="K223" i="3"/>
  <c r="K216" i="3"/>
  <c r="K200" i="3"/>
  <c r="K193" i="3"/>
  <c r="K151" i="3"/>
  <c r="K143" i="3"/>
  <c r="K132" i="3"/>
  <c r="K131" i="3"/>
  <c r="K122" i="3"/>
  <c r="K114" i="3"/>
  <c r="K106" i="3"/>
  <c r="K98" i="3"/>
  <c r="K87" i="3"/>
  <c r="K68" i="3"/>
  <c r="K60" i="3"/>
  <c r="K36" i="3"/>
  <c r="K32" i="3"/>
  <c r="K26" i="3"/>
  <c r="K19" i="3"/>
  <c r="K11" i="3"/>
  <c r="K8" i="3"/>
  <c r="K237" i="3"/>
  <c r="K192" i="3"/>
  <c r="K149" i="3"/>
  <c r="K41" i="3"/>
  <c r="K236" i="3"/>
  <c r="K238" i="3"/>
  <c r="K230" i="3"/>
  <c r="K221" i="3"/>
  <c r="K215" i="3"/>
  <c r="K206" i="3"/>
  <c r="K199" i="3"/>
  <c r="K194" i="3"/>
  <c r="K187" i="3"/>
  <c r="K177" i="3"/>
  <c r="K175" i="3"/>
  <c r="K159" i="3"/>
  <c r="K150" i="3"/>
  <c r="K139" i="3"/>
  <c r="K130" i="3"/>
  <c r="K123" i="3"/>
  <c r="K113" i="3"/>
  <c r="K86" i="3"/>
  <c r="K76" i="3"/>
  <c r="K67" i="3"/>
  <c r="K59" i="3"/>
  <c r="K47" i="3"/>
  <c r="K35" i="3"/>
  <c r="K34" i="3"/>
  <c r="K25" i="3"/>
  <c r="K18" i="3"/>
  <c r="K10" i="3"/>
  <c r="T183" i="3"/>
  <c r="T97" i="3"/>
  <c r="T29" i="3"/>
  <c r="T244" i="3"/>
  <c r="T204" i="3"/>
  <c r="T198" i="3"/>
  <c r="T191" i="3"/>
  <c r="T180" i="3"/>
  <c r="T174" i="3"/>
  <c r="T157" i="3"/>
  <c r="T149" i="3"/>
  <c r="T104" i="3"/>
  <c r="T120" i="3"/>
  <c r="T111" i="3"/>
  <c r="T85" i="3"/>
  <c r="T74" i="3"/>
  <c r="T66" i="3"/>
  <c r="T58" i="3"/>
  <c r="T46" i="3"/>
  <c r="T41" i="3"/>
  <c r="T31" i="3"/>
  <c r="T24" i="3"/>
  <c r="T119" i="3"/>
  <c r="T65" i="3"/>
  <c r="T189" i="3"/>
  <c r="T179" i="3"/>
  <c r="T155" i="3"/>
  <c r="T147" i="3"/>
  <c r="T127" i="3"/>
  <c r="T118" i="3"/>
  <c r="T110" i="3"/>
  <c r="T96" i="3"/>
  <c r="T80" i="3"/>
  <c r="T71" i="3"/>
  <c r="T64" i="3"/>
  <c r="T55" i="3"/>
  <c r="T45" i="3"/>
  <c r="T30" i="3"/>
  <c r="T22" i="3"/>
  <c r="T243" i="3"/>
  <c r="T197" i="3"/>
  <c r="T148" i="3"/>
  <c r="T242" i="3"/>
  <c r="T207" i="3"/>
  <c r="T202" i="3"/>
  <c r="T196" i="3"/>
  <c r="T188" i="3"/>
  <c r="T181" i="3"/>
  <c r="T178" i="3"/>
  <c r="T154" i="3"/>
  <c r="T146" i="3"/>
  <c r="T126" i="3"/>
  <c r="T117" i="3"/>
  <c r="T109" i="3"/>
  <c r="T95" i="3"/>
  <c r="T79" i="3"/>
  <c r="T72" i="3"/>
  <c r="T63" i="3"/>
  <c r="T54" i="3"/>
  <c r="T37" i="3"/>
  <c r="T42" i="3"/>
  <c r="T73" i="3"/>
  <c r="T241" i="3"/>
  <c r="T201" i="3"/>
  <c r="T195" i="3"/>
  <c r="T176" i="3"/>
  <c r="T153" i="3"/>
  <c r="T145" i="3"/>
  <c r="T138" i="3"/>
  <c r="T125" i="3"/>
  <c r="T116" i="3"/>
  <c r="T108" i="3"/>
  <c r="T100" i="3"/>
  <c r="T93" i="3"/>
  <c r="T78" i="3"/>
  <c r="T70" i="3"/>
  <c r="T62" i="3"/>
  <c r="T53" i="3"/>
  <c r="T43" i="3"/>
  <c r="T38" i="3"/>
  <c r="T28" i="3"/>
  <c r="T21" i="3"/>
  <c r="T203" i="3"/>
  <c r="T112" i="3"/>
  <c r="T200" i="3"/>
  <c r="T193" i="3"/>
  <c r="T160" i="3"/>
  <c r="T152" i="3"/>
  <c r="T144" i="3"/>
  <c r="T137" i="3"/>
  <c r="T124" i="3"/>
  <c r="T115" i="3"/>
  <c r="T107" i="3"/>
  <c r="T99" i="3"/>
  <c r="T88" i="3"/>
  <c r="T69" i="3"/>
  <c r="T61" i="3"/>
  <c r="T52" i="3"/>
  <c r="T40" i="3"/>
  <c r="T33" i="3"/>
  <c r="T27" i="3"/>
  <c r="T20" i="3"/>
  <c r="T81" i="3"/>
  <c r="T23" i="3"/>
  <c r="T206" i="3"/>
  <c r="T199" i="3"/>
  <c r="T194" i="3"/>
  <c r="T187" i="3"/>
  <c r="T151" i="3"/>
  <c r="T143" i="3"/>
  <c r="T131" i="3"/>
  <c r="T122" i="3"/>
  <c r="T114" i="3"/>
  <c r="T106" i="3"/>
  <c r="T98" i="3"/>
  <c r="T87" i="3"/>
  <c r="T68" i="3"/>
  <c r="T60" i="3"/>
  <c r="T36" i="3"/>
  <c r="T32" i="3"/>
  <c r="T26" i="3"/>
  <c r="T19" i="3"/>
  <c r="T8" i="3"/>
  <c r="T190" i="3"/>
  <c r="T156" i="3"/>
  <c r="T105" i="3"/>
  <c r="T39" i="3"/>
  <c r="T205" i="3"/>
  <c r="T192" i="3"/>
  <c r="T186" i="3"/>
  <c r="T177" i="3"/>
  <c r="T175" i="3"/>
  <c r="T159" i="3"/>
  <c r="T150" i="3"/>
  <c r="T139" i="3"/>
  <c r="T130" i="3"/>
  <c r="T123" i="3"/>
  <c r="T113" i="3"/>
  <c r="T86" i="3"/>
  <c r="T76" i="3"/>
  <c r="T67" i="3"/>
  <c r="T59" i="3"/>
  <c r="T47" i="3"/>
  <c r="T35" i="3"/>
  <c r="T34" i="3"/>
  <c r="T25" i="3"/>
  <c r="T18" i="3"/>
  <c r="A114" i="7"/>
  <c r="S243" i="3"/>
  <c r="A40" i="7"/>
  <c r="S53" i="3"/>
  <c r="S54" i="3"/>
  <c r="A41" i="7"/>
  <c r="A37" i="7"/>
  <c r="A108" i="7"/>
  <c r="A116" i="7"/>
  <c r="S46" i="3"/>
  <c r="A48" i="7"/>
  <c r="A109" i="7"/>
  <c r="S42" i="3"/>
  <c r="S39" i="3"/>
  <c r="S41" i="3"/>
  <c r="S35" i="3"/>
  <c r="S36" i="3"/>
  <c r="S40" i="3"/>
  <c r="S43" i="3"/>
  <c r="S37" i="3"/>
  <c r="A38" i="7"/>
  <c r="A21" i="7"/>
  <c r="S32" i="3"/>
  <c r="S33" i="3"/>
  <c r="A112" i="7"/>
  <c r="A107" i="7"/>
  <c r="A8" i="7"/>
  <c r="A15" i="7"/>
  <c r="A7" i="7"/>
  <c r="A5" i="7"/>
  <c r="A16" i="7"/>
  <c r="A106" i="7"/>
  <c r="A105" i="7"/>
  <c r="A10" i="7"/>
  <c r="S29" i="3"/>
  <c r="A23" i="7"/>
  <c r="A22" i="7"/>
  <c r="A111" i="7"/>
  <c r="S25" i="3"/>
  <c r="S26" i="3"/>
  <c r="S27" i="3"/>
  <c r="S28" i="3"/>
  <c r="A4" i="7"/>
  <c r="A6" i="7"/>
  <c r="A9" i="7"/>
  <c r="A11" i="7"/>
  <c r="A14" i="7"/>
  <c r="A20" i="7"/>
  <c r="A19" i="7"/>
  <c r="A115" i="7"/>
  <c r="A69" i="7"/>
  <c r="A43" i="7"/>
  <c r="A74" i="7"/>
  <c r="A73" i="7"/>
  <c r="A110" i="7"/>
  <c r="M245" i="3" l="1"/>
  <c r="K245" i="3"/>
  <c r="A113" i="7"/>
  <c r="A39" i="7" l="1"/>
  <c r="A12" i="7"/>
  <c r="A44" i="7"/>
  <c r="A42" i="7"/>
  <c r="AC4" i="2" l="1"/>
  <c r="AD4" i="2" s="1"/>
  <c r="AC5" i="2"/>
  <c r="AD5" i="2" s="1"/>
  <c r="AC6" i="2"/>
  <c r="AD6" i="2" s="1"/>
  <c r="AC32" i="2"/>
  <c r="AD32" i="2" s="1"/>
  <c r="AC33" i="2"/>
  <c r="AD33" i="2" s="1"/>
  <c r="AC34" i="2"/>
  <c r="AD34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133" i="2"/>
  <c r="AD133" i="2" s="1"/>
  <c r="AC134" i="2"/>
  <c r="AD134" i="2" s="1"/>
  <c r="AC135" i="2"/>
  <c r="AD135" i="2" s="1"/>
  <c r="AC132" i="2"/>
  <c r="AD132" i="2" s="1"/>
  <c r="AC131" i="2"/>
  <c r="AD131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S240" i="3" l="1"/>
  <c r="R238" i="2"/>
  <c r="S238" i="2"/>
  <c r="T238" i="2" s="1"/>
  <c r="U238" i="2"/>
  <c r="V238" i="2" s="1"/>
  <c r="W238" i="2"/>
  <c r="X238" i="2" s="1"/>
  <c r="Y238" i="2"/>
  <c r="Z238" i="2" s="1"/>
  <c r="AA238" i="2"/>
  <c r="AB238" i="2" s="1"/>
  <c r="AE238" i="2"/>
  <c r="AF238" i="2"/>
  <c r="AG238" i="2"/>
  <c r="AH238" i="2" s="1"/>
  <c r="AI238" i="2"/>
  <c r="S5" i="3"/>
  <c r="S4" i="3"/>
  <c r="S3" i="3"/>
  <c r="S17" i="3"/>
  <c r="S16" i="3"/>
  <c r="S15" i="3"/>
  <c r="S14" i="3"/>
  <c r="S13" i="3"/>
  <c r="S12" i="3"/>
  <c r="S11" i="3"/>
  <c r="S10" i="3"/>
  <c r="S9" i="3"/>
  <c r="S132" i="3"/>
  <c r="S133" i="3"/>
  <c r="S136" i="3"/>
  <c r="S135" i="3"/>
  <c r="S134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AJ238" i="2" l="1"/>
  <c r="R4" i="2"/>
  <c r="R6" i="2"/>
  <c r="R5" i="2"/>
  <c r="S4" i="2"/>
  <c r="T4" i="2" s="1"/>
  <c r="S6" i="2"/>
  <c r="T6" i="2" s="1"/>
  <c r="S5" i="2"/>
  <c r="T5" i="2" s="1"/>
  <c r="U4" i="2"/>
  <c r="V4" i="2" s="1"/>
  <c r="U6" i="2"/>
  <c r="V6" i="2" s="1"/>
  <c r="U5" i="2"/>
  <c r="V5" i="2" s="1"/>
  <c r="W4" i="2"/>
  <c r="X4" i="2" s="1"/>
  <c r="W6" i="2"/>
  <c r="X6" i="2" s="1"/>
  <c r="W5" i="2"/>
  <c r="X5" i="2" s="1"/>
  <c r="Y4" i="2"/>
  <c r="Z4" i="2" s="1"/>
  <c r="Y6" i="2"/>
  <c r="Z6" i="2" s="1"/>
  <c r="Y5" i="2"/>
  <c r="Z5" i="2" s="1"/>
  <c r="AA4" i="2"/>
  <c r="AB4" i="2" s="1"/>
  <c r="AA6" i="2"/>
  <c r="AB6" i="2" s="1"/>
  <c r="AA5" i="2"/>
  <c r="AB5" i="2" s="1"/>
  <c r="AE4" i="2"/>
  <c r="AE6" i="2"/>
  <c r="AE5" i="2"/>
  <c r="AF4" i="2"/>
  <c r="AF6" i="2"/>
  <c r="AF5" i="2"/>
  <c r="AG4" i="2"/>
  <c r="AH4" i="2" s="1"/>
  <c r="AG6" i="2"/>
  <c r="AH6" i="2" s="1"/>
  <c r="AG5" i="2"/>
  <c r="AH5" i="2" s="1"/>
  <c r="AI4" i="2"/>
  <c r="AI6" i="2"/>
  <c r="AI5" i="2"/>
  <c r="R32" i="2"/>
  <c r="R36" i="2"/>
  <c r="R38" i="2"/>
  <c r="R37" i="2"/>
  <c r="R35" i="2"/>
  <c r="R34" i="2"/>
  <c r="R33" i="2"/>
  <c r="R40" i="2"/>
  <c r="R39" i="2"/>
  <c r="S32" i="2"/>
  <c r="T32" i="2" s="1"/>
  <c r="S36" i="2"/>
  <c r="T36" i="2" s="1"/>
  <c r="S38" i="2"/>
  <c r="T38" i="2" s="1"/>
  <c r="S37" i="2"/>
  <c r="T37" i="2" s="1"/>
  <c r="S35" i="2"/>
  <c r="T35" i="2" s="1"/>
  <c r="S34" i="2"/>
  <c r="T34" i="2" s="1"/>
  <c r="S33" i="2"/>
  <c r="T33" i="2" s="1"/>
  <c r="S40" i="2"/>
  <c r="T40" i="2" s="1"/>
  <c r="S39" i="2"/>
  <c r="T39" i="2" s="1"/>
  <c r="U32" i="2"/>
  <c r="V32" i="2" s="1"/>
  <c r="U36" i="2"/>
  <c r="V36" i="2" s="1"/>
  <c r="U38" i="2"/>
  <c r="V38" i="2" s="1"/>
  <c r="U37" i="2"/>
  <c r="V37" i="2" s="1"/>
  <c r="U35" i="2"/>
  <c r="V35" i="2" s="1"/>
  <c r="U34" i="2"/>
  <c r="V34" i="2" s="1"/>
  <c r="U33" i="2"/>
  <c r="V33" i="2" s="1"/>
  <c r="U40" i="2"/>
  <c r="V40" i="2" s="1"/>
  <c r="U39" i="2"/>
  <c r="V39" i="2" s="1"/>
  <c r="W32" i="2"/>
  <c r="X32" i="2" s="1"/>
  <c r="W36" i="2"/>
  <c r="X36" i="2" s="1"/>
  <c r="W38" i="2"/>
  <c r="X38" i="2" s="1"/>
  <c r="W37" i="2"/>
  <c r="X37" i="2" s="1"/>
  <c r="W35" i="2"/>
  <c r="X35" i="2" s="1"/>
  <c r="W34" i="2"/>
  <c r="X34" i="2" s="1"/>
  <c r="W33" i="2"/>
  <c r="X33" i="2" s="1"/>
  <c r="W40" i="2"/>
  <c r="X40" i="2" s="1"/>
  <c r="W39" i="2"/>
  <c r="X39" i="2" s="1"/>
  <c r="Y32" i="2"/>
  <c r="Z32" i="2" s="1"/>
  <c r="Y36" i="2"/>
  <c r="Z36" i="2" s="1"/>
  <c r="Y38" i="2"/>
  <c r="Z38" i="2" s="1"/>
  <c r="Y37" i="2"/>
  <c r="Z37" i="2" s="1"/>
  <c r="Y35" i="2"/>
  <c r="Z35" i="2" s="1"/>
  <c r="Y34" i="2"/>
  <c r="Z34" i="2" s="1"/>
  <c r="Y33" i="2"/>
  <c r="Z33" i="2" s="1"/>
  <c r="Y40" i="2"/>
  <c r="Z40" i="2" s="1"/>
  <c r="Y39" i="2"/>
  <c r="Z39" i="2" s="1"/>
  <c r="AA32" i="2"/>
  <c r="AB32" i="2" s="1"/>
  <c r="AA36" i="2"/>
  <c r="AB36" i="2" s="1"/>
  <c r="AA38" i="2"/>
  <c r="AB38" i="2" s="1"/>
  <c r="AA37" i="2"/>
  <c r="AB37" i="2" s="1"/>
  <c r="AA35" i="2"/>
  <c r="AB35" i="2" s="1"/>
  <c r="AA34" i="2"/>
  <c r="AB34" i="2" s="1"/>
  <c r="AA33" i="2"/>
  <c r="AB33" i="2" s="1"/>
  <c r="AA40" i="2"/>
  <c r="AB40" i="2" s="1"/>
  <c r="AA39" i="2"/>
  <c r="AB39" i="2" s="1"/>
  <c r="AE32" i="2"/>
  <c r="AE36" i="2"/>
  <c r="AE38" i="2"/>
  <c r="AE37" i="2"/>
  <c r="AE35" i="2"/>
  <c r="AE34" i="2"/>
  <c r="AE33" i="2"/>
  <c r="AE40" i="2"/>
  <c r="AE39" i="2"/>
  <c r="AF32" i="2"/>
  <c r="AF36" i="2"/>
  <c r="AF38" i="2"/>
  <c r="AF37" i="2"/>
  <c r="AF35" i="2"/>
  <c r="AF34" i="2"/>
  <c r="AF33" i="2"/>
  <c r="AF40" i="2"/>
  <c r="AF39" i="2"/>
  <c r="AG32" i="2"/>
  <c r="AH32" i="2" s="1"/>
  <c r="AG36" i="2"/>
  <c r="AH36" i="2" s="1"/>
  <c r="AG38" i="2"/>
  <c r="AH38" i="2" s="1"/>
  <c r="AG37" i="2"/>
  <c r="AH37" i="2" s="1"/>
  <c r="AG35" i="2"/>
  <c r="AH35" i="2" s="1"/>
  <c r="AG34" i="2"/>
  <c r="AH34" i="2" s="1"/>
  <c r="AG33" i="2"/>
  <c r="AH33" i="2" s="1"/>
  <c r="AG40" i="2"/>
  <c r="AH40" i="2" s="1"/>
  <c r="AG39" i="2"/>
  <c r="AH39" i="2" s="1"/>
  <c r="AI32" i="2"/>
  <c r="AI36" i="2"/>
  <c r="AI38" i="2"/>
  <c r="AI37" i="2"/>
  <c r="AI35" i="2"/>
  <c r="AI34" i="2"/>
  <c r="AI33" i="2"/>
  <c r="AI40" i="2"/>
  <c r="AI39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33" i="2"/>
  <c r="R131" i="2"/>
  <c r="R132" i="2"/>
  <c r="R134" i="2"/>
  <c r="R135" i="2"/>
  <c r="S133" i="2"/>
  <c r="T133" i="2" s="1"/>
  <c r="S131" i="2"/>
  <c r="T131" i="2" s="1"/>
  <c r="S132" i="2"/>
  <c r="T132" i="2" s="1"/>
  <c r="S134" i="2"/>
  <c r="T134" i="2" s="1"/>
  <c r="S135" i="2"/>
  <c r="T135" i="2" s="1"/>
  <c r="U133" i="2"/>
  <c r="V133" i="2" s="1"/>
  <c r="U131" i="2"/>
  <c r="V131" i="2" s="1"/>
  <c r="U132" i="2"/>
  <c r="V132" i="2" s="1"/>
  <c r="U134" i="2"/>
  <c r="V134" i="2" s="1"/>
  <c r="U135" i="2"/>
  <c r="V135" i="2" s="1"/>
  <c r="W133" i="2"/>
  <c r="X133" i="2" s="1"/>
  <c r="W131" i="2"/>
  <c r="X131" i="2" s="1"/>
  <c r="W132" i="2"/>
  <c r="X132" i="2" s="1"/>
  <c r="W134" i="2"/>
  <c r="X134" i="2" s="1"/>
  <c r="W135" i="2"/>
  <c r="X135" i="2" s="1"/>
  <c r="Y133" i="2"/>
  <c r="Z133" i="2" s="1"/>
  <c r="Y131" i="2"/>
  <c r="Z131" i="2" s="1"/>
  <c r="Y132" i="2"/>
  <c r="Z132" i="2" s="1"/>
  <c r="Y134" i="2"/>
  <c r="Z134" i="2" s="1"/>
  <c r="Y135" i="2"/>
  <c r="Z135" i="2" s="1"/>
  <c r="AA133" i="2"/>
  <c r="AB133" i="2" s="1"/>
  <c r="AA131" i="2"/>
  <c r="AB131" i="2" s="1"/>
  <c r="AA132" i="2"/>
  <c r="AB132" i="2" s="1"/>
  <c r="AA134" i="2"/>
  <c r="AB134" i="2" s="1"/>
  <c r="AA135" i="2"/>
  <c r="AB135" i="2" s="1"/>
  <c r="AE133" i="2"/>
  <c r="AE131" i="2"/>
  <c r="AE132" i="2"/>
  <c r="AE134" i="2"/>
  <c r="AE135" i="2"/>
  <c r="AF133" i="2"/>
  <c r="AF131" i="2"/>
  <c r="AF132" i="2"/>
  <c r="AF134" i="2"/>
  <c r="AF135" i="2"/>
  <c r="AG133" i="2"/>
  <c r="AH133" i="2" s="1"/>
  <c r="AG131" i="2"/>
  <c r="AH131" i="2" s="1"/>
  <c r="AG132" i="2"/>
  <c r="AH132" i="2" s="1"/>
  <c r="AG134" i="2"/>
  <c r="AH134" i="2" s="1"/>
  <c r="AG135" i="2"/>
  <c r="AH135" i="2" s="1"/>
  <c r="AI133" i="2"/>
  <c r="AI131" i="2"/>
  <c r="AI132" i="2"/>
  <c r="AI134" i="2"/>
  <c r="AI135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T240" i="3" l="1"/>
  <c r="AJ36" i="2"/>
  <c r="AJ219" i="2"/>
  <c r="AJ213" i="2"/>
  <c r="AJ35" i="2"/>
  <c r="AJ216" i="2"/>
  <c r="AJ235" i="2"/>
  <c r="AJ227" i="2"/>
  <c r="AJ218" i="2"/>
  <c r="AJ212" i="2"/>
  <c r="AJ237" i="2"/>
  <c r="AJ229" i="2"/>
  <c r="AJ37" i="2"/>
  <c r="AJ32" i="2"/>
  <c r="AJ230" i="2"/>
  <c r="AJ131" i="2"/>
  <c r="AJ217" i="2"/>
  <c r="AJ211" i="2"/>
  <c r="AJ236" i="2"/>
  <c r="AJ228" i="2"/>
  <c r="AJ133" i="2"/>
  <c r="AJ38" i="2"/>
  <c r="AJ5" i="2"/>
  <c r="AJ135" i="2"/>
  <c r="AJ6" i="2"/>
  <c r="AJ220" i="2"/>
  <c r="AJ234" i="2"/>
  <c r="AJ226" i="2"/>
  <c r="AJ134" i="2"/>
  <c r="AJ39" i="2"/>
  <c r="AJ4" i="2"/>
  <c r="AJ223" i="2"/>
  <c r="AJ233" i="2"/>
  <c r="AJ225" i="2"/>
  <c r="AJ132" i="2"/>
  <c r="AJ40" i="2"/>
  <c r="AJ222" i="2"/>
  <c r="AJ215" i="2"/>
  <c r="AJ232" i="2"/>
  <c r="AJ224" i="2"/>
  <c r="AJ33" i="2"/>
  <c r="AJ221" i="2"/>
  <c r="AJ214" i="2"/>
  <c r="AJ231" i="2"/>
  <c r="AJ34" i="2"/>
  <c r="T11" i="3" l="1"/>
  <c r="T219" i="3"/>
  <c r="T234" i="3"/>
  <c r="T135" i="3"/>
  <c r="T4" i="3"/>
  <c r="T132" i="3"/>
  <c r="T220" i="3"/>
  <c r="T215" i="3"/>
  <c r="T10" i="3"/>
  <c r="T136" i="3"/>
  <c r="T226" i="3"/>
  <c r="T227" i="3"/>
  <c r="T217" i="3"/>
  <c r="T235" i="3"/>
  <c r="T228" i="3"/>
  <c r="T15" i="3"/>
  <c r="T232" i="3"/>
  <c r="T221" i="3"/>
  <c r="T231" i="3"/>
  <c r="T133" i="3"/>
  <c r="T12" i="3"/>
  <c r="T216" i="3"/>
  <c r="T236" i="3"/>
  <c r="T134" i="3"/>
  <c r="T9" i="3"/>
  <c r="T229" i="3"/>
  <c r="T213" i="3"/>
  <c r="T17" i="3"/>
  <c r="T16" i="3"/>
  <c r="T233" i="3"/>
  <c r="T224" i="3"/>
  <c r="T230" i="3"/>
  <c r="T14" i="3"/>
  <c r="T237" i="3"/>
  <c r="T13" i="3"/>
  <c r="T5" i="3"/>
  <c r="T239" i="3"/>
  <c r="T214" i="3"/>
  <c r="T223" i="3"/>
  <c r="T225" i="3"/>
  <c r="T222" i="3"/>
  <c r="T238" i="3"/>
  <c r="T218" i="3"/>
  <c r="T3" i="3"/>
  <c r="AJ242" i="2"/>
  <c r="C6" i="14"/>
  <c r="C10" i="12"/>
  <c r="L50" i="13"/>
  <c r="D16" i="15"/>
  <c r="T245" i="3" l="1"/>
  <c r="S100" i="3"/>
  <c r="A49" i="7"/>
  <c r="A67" i="7"/>
  <c r="A17" i="7"/>
  <c r="A84" i="7"/>
  <c r="A68" i="7"/>
  <c r="A47" i="7"/>
  <c r="A46" i="7"/>
  <c r="S88" i="3" l="1"/>
  <c r="S244" i="3"/>
  <c r="S242" i="3"/>
  <c r="S241" i="3"/>
  <c r="S63" i="3"/>
  <c r="S62" i="3"/>
  <c r="S61" i="3"/>
  <c r="S60" i="3"/>
  <c r="S59" i="3"/>
  <c r="S58" i="3"/>
  <c r="S55" i="3"/>
  <c r="S52" i="3"/>
  <c r="S47" i="3"/>
  <c r="S45" i="3"/>
  <c r="S38" i="3"/>
  <c r="S34" i="3"/>
  <c r="S31" i="3"/>
  <c r="S30" i="3"/>
  <c r="S24" i="3"/>
  <c r="S23" i="3"/>
  <c r="S22" i="3"/>
  <c r="S21" i="3"/>
  <c r="S20" i="3"/>
  <c r="S19" i="3"/>
  <c r="A71" i="7" l="1"/>
  <c r="A83" i="7"/>
  <c r="A81" i="7"/>
  <c r="A70" i="7"/>
  <c r="A34" i="7"/>
  <c r="S122" i="3"/>
  <c r="A31" i="7"/>
  <c r="A65" i="7"/>
  <c r="A33" i="7"/>
  <c r="A32" i="7"/>
  <c r="A45" i="7"/>
  <c r="A36" i="7"/>
  <c r="A51" i="7"/>
  <c r="A120" i="7"/>
  <c r="A53" i="7"/>
  <c r="A119" i="7"/>
  <c r="A80" i="7"/>
  <c r="A79" i="7"/>
  <c r="A78" i="7"/>
  <c r="A77" i="7"/>
  <c r="S111" i="3"/>
  <c r="S110" i="3"/>
  <c r="S108" i="3"/>
  <c r="S116" i="3"/>
  <c r="A63" i="7"/>
  <c r="A59" i="7"/>
  <c r="A58" i="7"/>
  <c r="A61" i="7"/>
  <c r="A60" i="7"/>
  <c r="A52" i="7"/>
  <c r="A27" i="7"/>
  <c r="A28" i="7"/>
  <c r="A26" i="7"/>
  <c r="S8" i="3" l="1"/>
  <c r="S18" i="3"/>
  <c r="S64" i="3"/>
  <c r="S65" i="3"/>
  <c r="S66" i="3"/>
  <c r="S67" i="3"/>
  <c r="S68" i="3"/>
  <c r="S69" i="3"/>
  <c r="S70" i="3"/>
  <c r="S72" i="3"/>
  <c r="S73" i="3"/>
  <c r="S74" i="3"/>
  <c r="S76" i="3"/>
  <c r="S78" i="3"/>
  <c r="S79" i="3"/>
  <c r="S80" i="3"/>
  <c r="S81" i="3"/>
  <c r="S85" i="3"/>
  <c r="S86" i="3"/>
  <c r="S87" i="3"/>
  <c r="S93" i="3"/>
  <c r="S95" i="3"/>
  <c r="S96" i="3"/>
  <c r="S98" i="3"/>
  <c r="S105" i="3"/>
  <c r="S106" i="3"/>
  <c r="S107" i="3"/>
  <c r="S109" i="3"/>
  <c r="S112" i="3"/>
  <c r="S113" i="3"/>
  <c r="S114" i="3"/>
  <c r="S115" i="3"/>
  <c r="S117" i="3"/>
  <c r="S118" i="3"/>
  <c r="S119" i="3"/>
  <c r="S120" i="3"/>
  <c r="S123" i="3"/>
  <c r="S124" i="3"/>
  <c r="S125" i="3"/>
  <c r="S126" i="3"/>
  <c r="S127" i="3"/>
  <c r="S130" i="3"/>
  <c r="S131" i="3"/>
  <c r="S137" i="3"/>
  <c r="S138" i="3"/>
  <c r="S97" i="3"/>
  <c r="S104" i="3"/>
  <c r="S139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9" i="3"/>
  <c r="S160" i="3"/>
  <c r="S174" i="3"/>
  <c r="S175" i="3"/>
  <c r="S176" i="3"/>
  <c r="S177" i="3"/>
  <c r="S178" i="3"/>
  <c r="S179" i="3"/>
  <c r="S180" i="3"/>
  <c r="S181" i="3"/>
  <c r="S183" i="3"/>
  <c r="S186" i="3"/>
  <c r="S187" i="3"/>
  <c r="S188" i="3"/>
  <c r="S189" i="3"/>
  <c r="S190" i="3"/>
  <c r="S191" i="3"/>
  <c r="S192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A92" i="7" l="1"/>
  <c r="A93" i="7"/>
  <c r="A89" i="7"/>
  <c r="A88" i="7"/>
  <c r="A118" i="7" l="1"/>
  <c r="A94" i="7"/>
  <c r="A56" i="7"/>
  <c r="A57" i="7"/>
  <c r="A55" i="7"/>
  <c r="A96" i="7"/>
  <c r="A99" i="7"/>
  <c r="A35" i="7"/>
  <c r="A3" i="7"/>
  <c r="A2" i="7" l="1"/>
  <c r="X141" i="3" l="1"/>
  <c r="Q142" i="3"/>
  <c r="R142" i="3" s="1"/>
  <c r="Y141" i="3"/>
  <c r="Z141" i="3"/>
  <c r="U141" i="3" s="1"/>
  <c r="X142" i="3"/>
  <c r="AA141" i="3"/>
  <c r="Y142" i="3"/>
  <c r="Z142" i="3"/>
  <c r="U142" i="3" s="1"/>
  <c r="AA142" i="3"/>
  <c r="Q141" i="3"/>
  <c r="R141" i="3" s="1"/>
  <c r="Q91" i="3"/>
  <c r="R91" i="3" s="1"/>
  <c r="X91" i="3"/>
  <c r="Y91" i="3"/>
  <c r="Z91" i="3"/>
  <c r="U91" i="3" s="1"/>
  <c r="AA91" i="3"/>
  <c r="Q92" i="3"/>
  <c r="R92" i="3" s="1"/>
  <c r="X92" i="3"/>
  <c r="Y92" i="3"/>
  <c r="Z92" i="3"/>
  <c r="U92" i="3" s="1"/>
  <c r="AA92" i="3"/>
  <c r="AA7" i="3"/>
  <c r="AA173" i="3"/>
  <c r="AA212" i="3"/>
  <c r="AA211" i="3"/>
  <c r="Y140" i="3"/>
  <c r="AA140" i="3"/>
  <c r="Q140" i="3"/>
  <c r="R140" i="3" s="1"/>
  <c r="X140" i="3"/>
  <c r="Z140" i="3"/>
  <c r="U140" i="3" s="1"/>
  <c r="AA208" i="3"/>
  <c r="AA209" i="3"/>
  <c r="AA210" i="3"/>
  <c r="X182" i="3"/>
  <c r="Y182" i="3"/>
  <c r="AA182" i="3"/>
  <c r="Q182" i="3"/>
  <c r="R182" i="3" s="1"/>
  <c r="Z182" i="3"/>
  <c r="U182" i="3" s="1"/>
  <c r="AA172" i="3"/>
  <c r="AA170" i="3"/>
  <c r="AA171" i="3"/>
  <c r="AA90" i="3"/>
  <c r="AA168" i="3"/>
  <c r="AA89" i="3"/>
  <c r="AA169" i="3"/>
  <c r="AA2" i="3"/>
  <c r="Q77" i="3"/>
  <c r="R77" i="3" s="1"/>
  <c r="AA77" i="3"/>
  <c r="AA185" i="3"/>
  <c r="X77" i="3"/>
  <c r="Z77" i="3"/>
  <c r="U77" i="3" s="1"/>
  <c r="Y77" i="3"/>
  <c r="Y185" i="3"/>
  <c r="Q185" i="3"/>
  <c r="R185" i="3" s="1"/>
  <c r="X185" i="3"/>
  <c r="Z185" i="3"/>
  <c r="U185" i="3" s="1"/>
  <c r="AA167" i="3"/>
  <c r="AA166" i="3"/>
  <c r="AA102" i="3"/>
  <c r="AA121" i="3"/>
  <c r="AA50" i="3"/>
  <c r="AA158" i="3"/>
  <c r="AA163" i="3"/>
  <c r="AA164" i="3"/>
  <c r="AA162" i="3"/>
  <c r="AA165" i="3"/>
  <c r="AA6" i="3"/>
  <c r="AA49" i="3"/>
  <c r="AA161" i="3"/>
  <c r="AA129" i="3"/>
  <c r="AA243" i="3"/>
  <c r="AA54" i="3"/>
  <c r="AA53" i="3"/>
  <c r="AA46" i="3"/>
  <c r="AA41" i="3"/>
  <c r="AA35" i="3"/>
  <c r="AA36" i="3"/>
  <c r="AA40" i="3"/>
  <c r="AA37" i="3"/>
  <c r="AA39" i="3"/>
  <c r="AA29" i="3"/>
  <c r="AA26" i="3"/>
  <c r="AA25" i="3"/>
  <c r="AA28" i="3"/>
  <c r="AA27" i="3"/>
  <c r="AA5" i="3"/>
  <c r="AA12" i="3"/>
  <c r="AA238" i="3"/>
  <c r="AA230" i="3"/>
  <c r="AA17" i="3"/>
  <c r="AA133" i="3"/>
  <c r="AA235" i="3"/>
  <c r="AA227" i="3"/>
  <c r="AA14" i="3"/>
  <c r="AA232" i="3"/>
  <c r="AA224" i="3"/>
  <c r="AA4" i="3"/>
  <c r="AA11" i="3"/>
  <c r="AA237" i="3"/>
  <c r="AA229" i="3"/>
  <c r="AA16" i="3"/>
  <c r="AA136" i="3"/>
  <c r="AA234" i="3"/>
  <c r="AA226" i="3"/>
  <c r="AA13" i="3"/>
  <c r="AA239" i="3"/>
  <c r="AA231" i="3"/>
  <c r="AA223" i="3"/>
  <c r="AA3" i="3"/>
  <c r="AA10" i="3"/>
  <c r="AA236" i="3"/>
  <c r="AA228" i="3"/>
  <c r="AA213" i="3"/>
  <c r="AA135" i="3"/>
  <c r="AA15" i="3"/>
  <c r="AA233" i="3"/>
  <c r="AA225" i="3"/>
  <c r="AA88" i="3"/>
  <c r="AA122" i="3"/>
  <c r="A171" i="9" l="1"/>
  <c r="A76" i="7" l="1"/>
  <c r="A87" i="7"/>
  <c r="A91" i="7"/>
  <c r="A90" i="7"/>
  <c r="AA94" i="3" l="1"/>
  <c r="Q94" i="3"/>
  <c r="R94" i="3" s="1"/>
  <c r="Y94" i="3"/>
  <c r="Z94" i="3"/>
  <c r="U94" i="3" s="1"/>
  <c r="X94" i="3"/>
  <c r="AA101" i="3"/>
  <c r="AA84" i="3"/>
  <c r="AA44" i="3"/>
  <c r="AA51" i="3"/>
  <c r="AA184" i="3"/>
  <c r="AA83" i="3"/>
  <c r="AA82" i="3"/>
  <c r="AA57" i="3"/>
  <c r="AA56" i="3"/>
  <c r="AA48" i="3"/>
  <c r="AA75" i="3"/>
  <c r="AA103" i="3"/>
  <c r="AA128" i="3"/>
  <c r="AA193" i="3"/>
  <c r="AA99" i="3"/>
  <c r="AA71" i="3"/>
  <c r="AA42" i="3"/>
  <c r="AA43" i="3"/>
  <c r="AA32" i="3"/>
  <c r="AA33" i="3"/>
  <c r="AA218" i="3"/>
  <c r="AA240" i="3"/>
  <c r="AA222" i="3"/>
  <c r="AA215" i="3"/>
  <c r="AA216" i="3"/>
  <c r="AA214" i="3"/>
  <c r="AA9" i="3"/>
  <c r="AA217" i="3"/>
  <c r="AA219" i="3"/>
  <c r="AA132" i="3"/>
  <c r="AA220" i="3"/>
  <c r="AA221" i="3"/>
  <c r="AA134" i="3"/>
  <c r="AA100" i="3"/>
  <c r="AA52" i="3"/>
  <c r="AA20" i="3"/>
  <c r="AA55" i="3"/>
  <c r="AA19" i="3"/>
  <c r="AA45" i="3"/>
  <c r="AA47" i="3"/>
  <c r="AA244" i="3"/>
  <c r="AA34" i="3"/>
  <c r="AA38" i="3"/>
  <c r="AA22" i="3"/>
  <c r="AA23" i="3"/>
  <c r="AA63" i="3"/>
  <c r="AA30" i="3"/>
  <c r="AA241" i="3"/>
  <c r="AA31" i="3"/>
  <c r="AA61" i="3"/>
  <c r="AA24" i="3"/>
  <c r="AA62" i="3"/>
  <c r="AA59" i="3"/>
  <c r="AA242" i="3"/>
  <c r="AA60" i="3"/>
  <c r="AA21" i="3"/>
  <c r="AA58" i="3"/>
  <c r="AA111" i="3"/>
  <c r="AA108" i="3"/>
  <c r="AA110" i="3"/>
  <c r="AA116" i="3"/>
  <c r="AA115" i="3"/>
  <c r="AA205" i="3"/>
  <c r="AA204" i="3"/>
  <c r="AA207" i="3"/>
  <c r="AA206" i="3"/>
  <c r="AA197" i="3"/>
  <c r="AA189" i="3"/>
  <c r="AA183" i="3"/>
  <c r="AA176" i="3"/>
  <c r="AA155" i="3"/>
  <c r="AA200" i="3"/>
  <c r="AA194" i="3"/>
  <c r="AA180" i="3"/>
  <c r="AA160" i="3"/>
  <c r="AA152" i="3"/>
  <c r="AA144" i="3"/>
  <c r="AA137" i="3"/>
  <c r="AA127" i="3"/>
  <c r="AA114" i="3"/>
  <c r="AA107" i="3"/>
  <c r="AA98" i="3"/>
  <c r="AA80" i="3"/>
  <c r="AA154" i="3"/>
  <c r="AA198" i="3"/>
  <c r="AA191" i="3"/>
  <c r="AA186" i="3"/>
  <c r="AA178" i="3"/>
  <c r="AA157" i="3"/>
  <c r="AA149" i="3"/>
  <c r="AA104" i="3"/>
  <c r="AA125" i="3"/>
  <c r="AA120" i="3"/>
  <c r="AA112" i="3"/>
  <c r="AA65" i="3"/>
  <c r="AA202" i="3"/>
  <c r="AA196" i="3"/>
  <c r="AA188" i="3"/>
  <c r="AA181" i="3"/>
  <c r="AA146" i="3"/>
  <c r="AA199" i="3"/>
  <c r="AA175" i="3"/>
  <c r="AA151" i="3"/>
  <c r="AA143" i="3"/>
  <c r="AA131" i="3"/>
  <c r="AA126" i="3"/>
  <c r="AA106" i="3"/>
  <c r="AA95" i="3"/>
  <c r="AA79" i="3"/>
  <c r="AA67" i="3"/>
  <c r="AA201" i="3"/>
  <c r="AA203" i="3"/>
  <c r="AA190" i="3"/>
  <c r="AA156" i="3"/>
  <c r="AA148" i="3"/>
  <c r="AA97" i="3"/>
  <c r="AA119" i="3"/>
  <c r="AA105" i="3"/>
  <c r="AA87" i="3"/>
  <c r="AA72" i="3"/>
  <c r="AA64" i="3"/>
  <c r="AA195" i="3"/>
  <c r="AA177" i="3"/>
  <c r="AA153" i="3"/>
  <c r="AA187" i="3"/>
  <c r="AA124" i="3"/>
  <c r="AA147" i="3"/>
  <c r="AA123" i="3"/>
  <c r="AA81" i="3"/>
  <c r="AA68" i="3"/>
  <c r="AA117" i="3"/>
  <c r="AA74" i="3"/>
  <c r="AA8" i="3"/>
  <c r="AA130" i="3"/>
  <c r="AA86" i="3"/>
  <c r="AA69" i="3"/>
  <c r="AA159" i="3"/>
  <c r="AA145" i="3"/>
  <c r="AA113" i="3"/>
  <c r="AA93" i="3"/>
  <c r="AA138" i="3"/>
  <c r="AA118" i="3"/>
  <c r="AA76" i="3"/>
  <c r="AA18" i="3"/>
  <c r="AA78" i="3"/>
  <c r="AA66" i="3"/>
  <c r="AA174" i="3"/>
  <c r="AA192" i="3"/>
  <c r="AA150" i="3"/>
  <c r="AA96" i="3"/>
  <c r="AA73" i="3"/>
  <c r="AA179" i="3"/>
  <c r="AA139" i="3"/>
  <c r="AA109" i="3"/>
  <c r="AA70" i="3"/>
  <c r="AA85" i="3"/>
  <c r="E2" i="7" l="1"/>
  <c r="E10" i="7"/>
  <c r="Y38" i="3" s="1"/>
  <c r="E20" i="7"/>
  <c r="Y23" i="3" s="1"/>
  <c r="E3" i="7"/>
  <c r="E11" i="7"/>
  <c r="Y27" i="3" s="1"/>
  <c r="E21" i="7"/>
  <c r="Y32" i="3" s="1"/>
  <c r="E4" i="7"/>
  <c r="Y24" i="3" s="1"/>
  <c r="E12" i="7"/>
  <c r="E22" i="7"/>
  <c r="Y29" i="3" s="1"/>
  <c r="E5" i="7"/>
  <c r="Y35" i="3" s="1"/>
  <c r="E14" i="7"/>
  <c r="Y28" i="3" s="1"/>
  <c r="E23" i="7"/>
  <c r="Y30" i="3" s="1"/>
  <c r="E6" i="7"/>
  <c r="Y25" i="3" s="1"/>
  <c r="E15" i="7"/>
  <c r="Y40" i="3" s="1"/>
  <c r="E26" i="7"/>
  <c r="E7" i="7"/>
  <c r="Y36" i="3" s="1"/>
  <c r="E16" i="7"/>
  <c r="Y41" i="3" s="1"/>
  <c r="E27" i="7"/>
  <c r="E8" i="7"/>
  <c r="Y37" i="3" s="1"/>
  <c r="E17" i="7"/>
  <c r="E28" i="7"/>
  <c r="E9" i="7"/>
  <c r="Y26" i="3" s="1"/>
  <c r="E19" i="7"/>
  <c r="Y21" i="3" s="1"/>
  <c r="E32" i="7"/>
  <c r="E100" i="7"/>
  <c r="Y194" i="3" s="1"/>
  <c r="E77" i="7"/>
  <c r="E51" i="7"/>
  <c r="E120" i="7"/>
  <c r="E95" i="7"/>
  <c r="E70" i="7"/>
  <c r="Y131" i="3" s="1"/>
  <c r="E54" i="7"/>
  <c r="Y129" i="3" s="1"/>
  <c r="E38" i="7"/>
  <c r="E107" i="7"/>
  <c r="Y43" i="3" s="1"/>
  <c r="E74" i="7"/>
  <c r="E83" i="7"/>
  <c r="E97" i="7"/>
  <c r="E42" i="7"/>
  <c r="Y50" i="3" s="1"/>
  <c r="E40" i="7"/>
  <c r="E109" i="7"/>
  <c r="Y45" i="3" s="1"/>
  <c r="E85" i="7"/>
  <c r="E59" i="7"/>
  <c r="E35" i="7"/>
  <c r="Y173" i="3" s="1"/>
  <c r="E103" i="7"/>
  <c r="E80" i="7"/>
  <c r="E63" i="7"/>
  <c r="Y62" i="3" s="1"/>
  <c r="E46" i="7"/>
  <c r="E115" i="7"/>
  <c r="E108" i="7"/>
  <c r="D64" i="7"/>
  <c r="E87" i="7"/>
  <c r="E48" i="7"/>
  <c r="Y46" i="3" s="1"/>
  <c r="E118" i="7"/>
  <c r="E93" i="7"/>
  <c r="Y80" i="3" s="1"/>
  <c r="E69" i="7"/>
  <c r="E43" i="7"/>
  <c r="E112" i="7"/>
  <c r="Y34" i="3" s="1"/>
  <c r="E88" i="7"/>
  <c r="E71" i="7"/>
  <c r="E55" i="7"/>
  <c r="Y86" i="3" s="1"/>
  <c r="E116" i="7"/>
  <c r="E91" i="7"/>
  <c r="E68" i="7"/>
  <c r="Y198" i="3" s="1"/>
  <c r="E114" i="7"/>
  <c r="Y244" i="3" s="1"/>
  <c r="E57" i="7"/>
  <c r="E33" i="7"/>
  <c r="E101" i="7"/>
  <c r="E78" i="7"/>
  <c r="E52" i="7"/>
  <c r="E117" i="7"/>
  <c r="E96" i="7"/>
  <c r="E81" i="7"/>
  <c r="Y130" i="3" s="1"/>
  <c r="E64" i="7"/>
  <c r="Y102" i="3" s="1"/>
  <c r="E31" i="7"/>
  <c r="E99" i="7"/>
  <c r="Y101" i="3" s="1"/>
  <c r="E82" i="7"/>
  <c r="Y193" i="3" s="1"/>
  <c r="E61" i="7"/>
  <c r="E65" i="7"/>
  <c r="E67" i="7"/>
  <c r="Y195" i="3" s="1"/>
  <c r="E41" i="7"/>
  <c r="Y54" i="3" s="1"/>
  <c r="E110" i="7"/>
  <c r="E86" i="7"/>
  <c r="E60" i="7"/>
  <c r="E36" i="7"/>
  <c r="E105" i="7"/>
  <c r="E89" i="7"/>
  <c r="Y78" i="3" s="1"/>
  <c r="E73" i="7"/>
  <c r="E39" i="7"/>
  <c r="Y61" i="3" s="1"/>
  <c r="E113" i="7"/>
  <c r="Y44" i="3" s="1"/>
  <c r="E111" i="7"/>
  <c r="E76" i="7"/>
  <c r="E49" i="7"/>
  <c r="E119" i="7"/>
  <c r="E94" i="7"/>
  <c r="E50" i="7"/>
  <c r="Y121" i="3" s="1"/>
  <c r="E44" i="7"/>
  <c r="E47" i="7"/>
  <c r="E45" i="7"/>
  <c r="Y187" i="3" s="1"/>
  <c r="E84" i="7"/>
  <c r="Y196" i="3" s="1"/>
  <c r="E58" i="7"/>
  <c r="E34" i="7"/>
  <c r="E102" i="7"/>
  <c r="E79" i="7"/>
  <c r="E53" i="7"/>
  <c r="E37" i="7"/>
  <c r="E106" i="7"/>
  <c r="E90" i="7"/>
  <c r="Y98" i="3" s="1"/>
  <c r="E56" i="7"/>
  <c r="E92" i="7"/>
  <c r="Y84" i="3" s="1"/>
  <c r="E98" i="7"/>
  <c r="Y111" i="3" s="1"/>
  <c r="D50" i="7"/>
  <c r="D117" i="7"/>
  <c r="F117" i="7" s="1"/>
  <c r="D54" i="7"/>
  <c r="D103" i="7"/>
  <c r="F103" i="7" s="1"/>
  <c r="D95" i="7"/>
  <c r="F95" i="7" s="1"/>
  <c r="D98" i="7"/>
  <c r="D102" i="7"/>
  <c r="F102" i="7" s="1"/>
  <c r="D97" i="7"/>
  <c r="F97" i="7" s="1"/>
  <c r="D101" i="7"/>
  <c r="F101" i="7" s="1"/>
  <c r="D86" i="7"/>
  <c r="F86" i="7" s="1"/>
  <c r="D85" i="7"/>
  <c r="F85" i="7" s="1"/>
  <c r="D82" i="7"/>
  <c r="D100" i="7"/>
  <c r="D2" i="7"/>
  <c r="F2" i="7" s="1"/>
  <c r="D10" i="7"/>
  <c r="D20" i="7"/>
  <c r="D32" i="7"/>
  <c r="D40" i="7"/>
  <c r="D48" i="7"/>
  <c r="D58" i="7"/>
  <c r="F58" i="7" s="1"/>
  <c r="D69" i="7"/>
  <c r="F69" i="7" s="1"/>
  <c r="D79" i="7"/>
  <c r="F79" i="7" s="1"/>
  <c r="D90" i="7"/>
  <c r="D106" i="7"/>
  <c r="D114" i="7"/>
  <c r="D3" i="7"/>
  <c r="D11" i="7"/>
  <c r="D21" i="7"/>
  <c r="D33" i="7"/>
  <c r="D41" i="7"/>
  <c r="D49" i="7"/>
  <c r="F49" i="7" s="1"/>
  <c r="D59" i="7"/>
  <c r="F59" i="7" s="1"/>
  <c r="D70" i="7"/>
  <c r="D80" i="7"/>
  <c r="F80" i="7" s="1"/>
  <c r="D91" i="7"/>
  <c r="F91" i="7" s="1"/>
  <c r="D107" i="7"/>
  <c r="D115" i="7"/>
  <c r="D4" i="7"/>
  <c r="D12" i="7"/>
  <c r="F12" i="7" s="1"/>
  <c r="D22" i="7"/>
  <c r="D34" i="7"/>
  <c r="F34" i="7" s="1"/>
  <c r="D42" i="7"/>
  <c r="D51" i="7"/>
  <c r="F51" i="7" s="1"/>
  <c r="D60" i="7"/>
  <c r="D71" i="7"/>
  <c r="F71" i="7" s="1"/>
  <c r="D81" i="7"/>
  <c r="D92" i="7"/>
  <c r="D108" i="7"/>
  <c r="F108" i="7" s="1"/>
  <c r="D116" i="7"/>
  <c r="F116" i="7" s="1"/>
  <c r="D5" i="7"/>
  <c r="D14" i="7"/>
  <c r="D23" i="7"/>
  <c r="D35" i="7"/>
  <c r="D43" i="7"/>
  <c r="F43" i="7" s="1"/>
  <c r="D52" i="7"/>
  <c r="F52" i="7" s="1"/>
  <c r="D61" i="7"/>
  <c r="D73" i="7"/>
  <c r="D83" i="7"/>
  <c r="F83" i="7" s="1"/>
  <c r="D93" i="7"/>
  <c r="D109" i="7"/>
  <c r="D118" i="7"/>
  <c r="F118" i="7" s="1"/>
  <c r="D6" i="7"/>
  <c r="D15" i="7"/>
  <c r="D26" i="7"/>
  <c r="D36" i="7"/>
  <c r="F36" i="7" s="1"/>
  <c r="D44" i="7"/>
  <c r="F44" i="7" s="1"/>
  <c r="D53" i="7"/>
  <c r="F53" i="7" s="1"/>
  <c r="D63" i="7"/>
  <c r="D74" i="7"/>
  <c r="F74" i="7" s="1"/>
  <c r="D84" i="7"/>
  <c r="D94" i="7"/>
  <c r="F94" i="7" s="1"/>
  <c r="D110" i="7"/>
  <c r="F110" i="7" s="1"/>
  <c r="D119" i="7"/>
  <c r="F119" i="7" s="1"/>
  <c r="D7" i="7"/>
  <c r="D16" i="7"/>
  <c r="D27" i="7"/>
  <c r="F27" i="7" s="1"/>
  <c r="D37" i="7"/>
  <c r="F37" i="7" s="1"/>
  <c r="D45" i="7"/>
  <c r="D55" i="7"/>
  <c r="D65" i="7"/>
  <c r="D76" i="7"/>
  <c r="F76" i="7" s="1"/>
  <c r="D87" i="7"/>
  <c r="D96" i="7"/>
  <c r="F96" i="7" s="1"/>
  <c r="D111" i="7"/>
  <c r="D120" i="7"/>
  <c r="F120" i="7" s="1"/>
  <c r="D8" i="7"/>
  <c r="D17" i="7"/>
  <c r="D28" i="7"/>
  <c r="F28" i="7" s="1"/>
  <c r="D38" i="7"/>
  <c r="F38" i="7" s="1"/>
  <c r="D46" i="7"/>
  <c r="D56" i="7"/>
  <c r="D67" i="7"/>
  <c r="D77" i="7"/>
  <c r="F77" i="7" s="1"/>
  <c r="D88" i="7"/>
  <c r="F88" i="7" s="1"/>
  <c r="D99" i="7"/>
  <c r="D112" i="7"/>
  <c r="D9" i="7"/>
  <c r="D19" i="7"/>
  <c r="D31" i="7"/>
  <c r="D39" i="7"/>
  <c r="D47" i="7"/>
  <c r="D57" i="7"/>
  <c r="D68" i="7"/>
  <c r="D78" i="7"/>
  <c r="F78" i="7" s="1"/>
  <c r="D89" i="7"/>
  <c r="D105" i="7"/>
  <c r="D113" i="7"/>
  <c r="F35" i="7" l="1"/>
  <c r="Z173" i="3" s="1"/>
  <c r="U173" i="3" s="1"/>
  <c r="Q173" i="3"/>
  <c r="R173" i="3" s="1"/>
  <c r="X173" i="3"/>
  <c r="Y211" i="3"/>
  <c r="Y212" i="3"/>
  <c r="Y7" i="3"/>
  <c r="X212" i="3"/>
  <c r="Q7" i="3"/>
  <c r="R7" i="3" s="1"/>
  <c r="X7" i="3"/>
  <c r="Q212" i="3"/>
  <c r="R212" i="3" s="1"/>
  <c r="Q211" i="3"/>
  <c r="R211" i="3" s="1"/>
  <c r="X211" i="3"/>
  <c r="Y208" i="3"/>
  <c r="Y209" i="3"/>
  <c r="Y210" i="3"/>
  <c r="X209" i="3"/>
  <c r="X208" i="3"/>
  <c r="Q210" i="3"/>
  <c r="R210" i="3" s="1"/>
  <c r="Q209" i="3"/>
  <c r="R209" i="3" s="1"/>
  <c r="X210" i="3"/>
  <c r="Q208" i="3"/>
  <c r="R208" i="3" s="1"/>
  <c r="F99" i="7"/>
  <c r="Z101" i="3" s="1"/>
  <c r="U101" i="3" s="1"/>
  <c r="Q101" i="3"/>
  <c r="R101" i="3" s="1"/>
  <c r="X101" i="3"/>
  <c r="Q172" i="3"/>
  <c r="R172" i="3" s="1"/>
  <c r="X172" i="3"/>
  <c r="Y169" i="3"/>
  <c r="Y172" i="3"/>
  <c r="Y87" i="3"/>
  <c r="Y90" i="3"/>
  <c r="Y168" i="3"/>
  <c r="Y171" i="3"/>
  <c r="Y170" i="3"/>
  <c r="X170" i="3"/>
  <c r="Q170" i="3"/>
  <c r="R170" i="3" s="1"/>
  <c r="Q171" i="3"/>
  <c r="R171" i="3" s="1"/>
  <c r="X171" i="3"/>
  <c r="X90" i="3"/>
  <c r="Q90" i="3"/>
  <c r="R90" i="3" s="1"/>
  <c r="Y100" i="3"/>
  <c r="X89" i="3"/>
  <c r="Q89" i="3"/>
  <c r="R89" i="3" s="1"/>
  <c r="F92" i="7"/>
  <c r="Z84" i="3" s="1"/>
  <c r="U84" i="3" s="1"/>
  <c r="Q84" i="3"/>
  <c r="R84" i="3" s="1"/>
  <c r="X84" i="3"/>
  <c r="Y88" i="3"/>
  <c r="Y89" i="3"/>
  <c r="Q168" i="3"/>
  <c r="R168" i="3" s="1"/>
  <c r="X168" i="3"/>
  <c r="F33" i="7"/>
  <c r="Z5" i="3" s="1"/>
  <c r="U5" i="3" s="1"/>
  <c r="X169" i="3"/>
  <c r="Q169" i="3"/>
  <c r="R169" i="3" s="1"/>
  <c r="F61" i="7"/>
  <c r="Y115" i="3"/>
  <c r="Y2" i="3"/>
  <c r="Q44" i="3"/>
  <c r="R44" i="3" s="1"/>
  <c r="X44" i="3"/>
  <c r="F105" i="7"/>
  <c r="Z31" i="3" s="1"/>
  <c r="U31" i="3" s="1"/>
  <c r="F60" i="7"/>
  <c r="X2" i="3"/>
  <c r="Q2" i="3"/>
  <c r="R2" i="3" s="1"/>
  <c r="Y70" i="3"/>
  <c r="Q51" i="3"/>
  <c r="R51" i="3" s="1"/>
  <c r="X51" i="3"/>
  <c r="Y51" i="3"/>
  <c r="Y166" i="3"/>
  <c r="Y167" i="3"/>
  <c r="F32" i="7"/>
  <c r="Z153" i="3" s="1"/>
  <c r="U153" i="3" s="1"/>
  <c r="Q166" i="3"/>
  <c r="R166" i="3" s="1"/>
  <c r="Q167" i="3"/>
  <c r="R167" i="3" s="1"/>
  <c r="X166" i="3"/>
  <c r="X167" i="3"/>
  <c r="Y242" i="3"/>
  <c r="Y52" i="3"/>
  <c r="Y183" i="3"/>
  <c r="Y184" i="3"/>
  <c r="Y55" i="3"/>
  <c r="Y33" i="3"/>
  <c r="Y243" i="3"/>
  <c r="Y53" i="3"/>
  <c r="Y174" i="3"/>
  <c r="Y136" i="3"/>
  <c r="Y163" i="3"/>
  <c r="Y179" i="3"/>
  <c r="Y155" i="3"/>
  <c r="Y151" i="3"/>
  <c r="Y223" i="3"/>
  <c r="Y147" i="3"/>
  <c r="Y16" i="3"/>
  <c r="Y4" i="3"/>
  <c r="Y224" i="3"/>
  <c r="Y157" i="3"/>
  <c r="Y161" i="3"/>
  <c r="Y162" i="3"/>
  <c r="Y158" i="3"/>
  <c r="Y160" i="3"/>
  <c r="Y153" i="3"/>
  <c r="Y204" i="3"/>
  <c r="Y164" i="3"/>
  <c r="Y178" i="3"/>
  <c r="Y146" i="3"/>
  <c r="Y159" i="3"/>
  <c r="Y156" i="3"/>
  <c r="Y154" i="3"/>
  <c r="Y49" i="3"/>
  <c r="Y39" i="3"/>
  <c r="Y191" i="3"/>
  <c r="Y127" i="3"/>
  <c r="Y124" i="3"/>
  <c r="Y97" i="3"/>
  <c r="Y104" i="3"/>
  <c r="Y76" i="3"/>
  <c r="Y103" i="3"/>
  <c r="Y116" i="3"/>
  <c r="Y74" i="3"/>
  <c r="Y108" i="3"/>
  <c r="Y110" i="3"/>
  <c r="Y73" i="3"/>
  <c r="Y72" i="3"/>
  <c r="Y95" i="3"/>
  <c r="Y71" i="3"/>
  <c r="Y48" i="3"/>
  <c r="Y56" i="3"/>
  <c r="Y81" i="3"/>
  <c r="Y83" i="3"/>
  <c r="Y125" i="3"/>
  <c r="Y128" i="3"/>
  <c r="Y123" i="3"/>
  <c r="Y112" i="3"/>
  <c r="Y42" i="3"/>
  <c r="Y31" i="3"/>
  <c r="Y59" i="3"/>
  <c r="Y202" i="3"/>
  <c r="Y132" i="3"/>
  <c r="Y186" i="3"/>
  <c r="Y58" i="3"/>
  <c r="Y22" i="3"/>
  <c r="Y240" i="3"/>
  <c r="Y217" i="3"/>
  <c r="Y57" i="3"/>
  <c r="Y188" i="3"/>
  <c r="Y199" i="3"/>
  <c r="Y134" i="3"/>
  <c r="Y221" i="3"/>
  <c r="Y218" i="3"/>
  <c r="Y19" i="3"/>
  <c r="Y216" i="3"/>
  <c r="Y137" i="3"/>
  <c r="Y214" i="3"/>
  <c r="Y113" i="3"/>
  <c r="Y200" i="3"/>
  <c r="Y222" i="3"/>
  <c r="Y67" i="3"/>
  <c r="Y109" i="3"/>
  <c r="Y203" i="3"/>
  <c r="Y64" i="3"/>
  <c r="Y215" i="3"/>
  <c r="Y65" i="3"/>
  <c r="Y66" i="3"/>
  <c r="Y9" i="3"/>
  <c r="Y219" i="3"/>
  <c r="Y189" i="3"/>
  <c r="Y220" i="3"/>
  <c r="Y138" i="3"/>
  <c r="Y60" i="3"/>
  <c r="Y47" i="3"/>
  <c r="Y96" i="3"/>
  <c r="Y107" i="3"/>
  <c r="Y206" i="3"/>
  <c r="Y117" i="3"/>
  <c r="Y106" i="3"/>
  <c r="Y181" i="3"/>
  <c r="Y192" i="3"/>
  <c r="Y99" i="3"/>
  <c r="Y93" i="3"/>
  <c r="Y105" i="3"/>
  <c r="Y75" i="3"/>
  <c r="Y85" i="3"/>
  <c r="Y68" i="3"/>
  <c r="Y69" i="3"/>
  <c r="Y190" i="3"/>
  <c r="Y197" i="3"/>
  <c r="Y143" i="3"/>
  <c r="Y120" i="3"/>
  <c r="Y175" i="3"/>
  <c r="Y144" i="3"/>
  <c r="Y119" i="3"/>
  <c r="Y139" i="3"/>
  <c r="Y180" i="3"/>
  <c r="Y145" i="3"/>
  <c r="Y118" i="3"/>
  <c r="Y18" i="3"/>
  <c r="Y241" i="3"/>
  <c r="Y63" i="3"/>
  <c r="Y20" i="3"/>
  <c r="Y213" i="3"/>
  <c r="Y207" i="3"/>
  <c r="Y6" i="3"/>
  <c r="Y8" i="3"/>
  <c r="Y225" i="3"/>
  <c r="Y234" i="3"/>
  <c r="Y228" i="3"/>
  <c r="Y227" i="3"/>
  <c r="Y177" i="3"/>
  <c r="Y10" i="3"/>
  <c r="Y13" i="3"/>
  <c r="Y226" i="3"/>
  <c r="Y149" i="3"/>
  <c r="Y150" i="3"/>
  <c r="Y205" i="3"/>
  <c r="Y165" i="3"/>
  <c r="Y5" i="3"/>
  <c r="Y11" i="3"/>
  <c r="Y17" i="3"/>
  <c r="Y12" i="3"/>
  <c r="Y176" i="3"/>
  <c r="Y239" i="3"/>
  <c r="Y152" i="3"/>
  <c r="Y235" i="3"/>
  <c r="Y14" i="3"/>
  <c r="Y201" i="3"/>
  <c r="Y3" i="3"/>
  <c r="Y233" i="3"/>
  <c r="Y236" i="3"/>
  <c r="Y237" i="3"/>
  <c r="Y232" i="3"/>
  <c r="Y229" i="3"/>
  <c r="Y230" i="3"/>
  <c r="Y238" i="3"/>
  <c r="Y133" i="3"/>
  <c r="Y148" i="3"/>
  <c r="Y135" i="3"/>
  <c r="Y15" i="3"/>
  <c r="Y231" i="3"/>
  <c r="Y82" i="3"/>
  <c r="Y79" i="3"/>
  <c r="F64" i="7"/>
  <c r="Z102" i="3" s="1"/>
  <c r="U102" i="3" s="1"/>
  <c r="Q102" i="3"/>
  <c r="R102" i="3" s="1"/>
  <c r="X102" i="3"/>
  <c r="Y126" i="3"/>
  <c r="Y122" i="3"/>
  <c r="Y114" i="3"/>
  <c r="X34" i="3"/>
  <c r="F112" i="7"/>
  <c r="Z34" i="3" s="1"/>
  <c r="U34" i="3" s="1"/>
  <c r="Z183" i="3"/>
  <c r="U183" i="3" s="1"/>
  <c r="Z184" i="3"/>
  <c r="U184" i="3" s="1"/>
  <c r="X70" i="3"/>
  <c r="F26" i="7"/>
  <c r="Z22" i="3"/>
  <c r="U22" i="3" s="1"/>
  <c r="Z58" i="3"/>
  <c r="U58" i="3" s="1"/>
  <c r="Z57" i="3"/>
  <c r="U57" i="3" s="1"/>
  <c r="Z19" i="3"/>
  <c r="U19" i="3" s="1"/>
  <c r="Z59" i="3"/>
  <c r="U59" i="3" s="1"/>
  <c r="Z122" i="3"/>
  <c r="U122" i="3" s="1"/>
  <c r="Z126" i="3"/>
  <c r="U126" i="3" s="1"/>
  <c r="X198" i="3"/>
  <c r="F68" i="7"/>
  <c r="Z198" i="3" s="1"/>
  <c r="U198" i="3" s="1"/>
  <c r="Z95" i="3"/>
  <c r="U95" i="3" s="1"/>
  <c r="Z71" i="3"/>
  <c r="U71" i="3" s="1"/>
  <c r="Z191" i="3"/>
  <c r="U191" i="3" s="1"/>
  <c r="Z39" i="3"/>
  <c r="U39" i="3" s="1"/>
  <c r="Z49" i="3"/>
  <c r="U49" i="3" s="1"/>
  <c r="X98" i="3"/>
  <c r="F90" i="7"/>
  <c r="Z98" i="3" s="1"/>
  <c r="U98" i="3" s="1"/>
  <c r="X38" i="3"/>
  <c r="F10" i="7"/>
  <c r="Z38" i="3" s="1"/>
  <c r="U38" i="3" s="1"/>
  <c r="Z74" i="3"/>
  <c r="U74" i="3" s="1"/>
  <c r="Z73" i="3"/>
  <c r="U73" i="3" s="1"/>
  <c r="Z97" i="3"/>
  <c r="U97" i="3" s="1"/>
  <c r="Z72" i="3"/>
  <c r="U72" i="3" s="1"/>
  <c r="Z76" i="3"/>
  <c r="U76" i="3" s="1"/>
  <c r="Z103" i="3"/>
  <c r="U103" i="3" s="1"/>
  <c r="Z116" i="3"/>
  <c r="U116" i="3" s="1"/>
  <c r="Z104" i="3"/>
  <c r="U104" i="3" s="1"/>
  <c r="Z110" i="3"/>
  <c r="U110" i="3" s="1"/>
  <c r="Z108" i="3"/>
  <c r="U108" i="3" s="1"/>
  <c r="F47" i="7"/>
  <c r="F65" i="7"/>
  <c r="Z55" i="3"/>
  <c r="U55" i="3" s="1"/>
  <c r="X29" i="3"/>
  <c r="F22" i="7"/>
  <c r="Z29" i="3" s="1"/>
  <c r="U29" i="3" s="1"/>
  <c r="F106" i="7"/>
  <c r="X23" i="3"/>
  <c r="F20" i="7"/>
  <c r="Z23" i="3" s="1"/>
  <c r="U23" i="3" s="1"/>
  <c r="Z75" i="3"/>
  <c r="U75" i="3" s="1"/>
  <c r="Z93" i="3"/>
  <c r="U93" i="3" s="1"/>
  <c r="F17" i="7"/>
  <c r="X86" i="3"/>
  <c r="F55" i="7"/>
  <c r="Z86" i="3" s="1"/>
  <c r="U86" i="3" s="1"/>
  <c r="X40" i="3"/>
  <c r="F15" i="7"/>
  <c r="Z40" i="3" s="1"/>
  <c r="U40" i="3" s="1"/>
  <c r="X87" i="3"/>
  <c r="F57" i="7"/>
  <c r="Z82" i="3"/>
  <c r="U82" i="3" s="1"/>
  <c r="Z79" i="3"/>
  <c r="U79" i="3" s="1"/>
  <c r="X37" i="3"/>
  <c r="F8" i="7"/>
  <c r="Z37" i="3" s="1"/>
  <c r="U37" i="3" s="1"/>
  <c r="X187" i="3"/>
  <c r="F45" i="7"/>
  <c r="Z187" i="3" s="1"/>
  <c r="U187" i="3" s="1"/>
  <c r="X196" i="3"/>
  <c r="F84" i="7"/>
  <c r="Z196" i="3" s="1"/>
  <c r="U196" i="3" s="1"/>
  <c r="X25" i="3"/>
  <c r="F6" i="7"/>
  <c r="Z25" i="3" s="1"/>
  <c r="U25" i="3" s="1"/>
  <c r="X130" i="3"/>
  <c r="F81" i="7"/>
  <c r="Z130" i="3" s="1"/>
  <c r="U130" i="3" s="1"/>
  <c r="X24" i="3"/>
  <c r="F4" i="7"/>
  <c r="Z24" i="3" s="1"/>
  <c r="U24" i="3" s="1"/>
  <c r="X54" i="3"/>
  <c r="F41" i="7"/>
  <c r="Z54" i="3" s="1"/>
  <c r="U54" i="3" s="1"/>
  <c r="Z114" i="3"/>
  <c r="U114" i="3" s="1"/>
  <c r="X111" i="3"/>
  <c r="F98" i="7"/>
  <c r="Z111" i="3" s="1"/>
  <c r="U111" i="3" s="1"/>
  <c r="Z63" i="3"/>
  <c r="U63" i="3" s="1"/>
  <c r="Z20" i="3"/>
  <c r="U20" i="3" s="1"/>
  <c r="Z241" i="3"/>
  <c r="U241" i="3" s="1"/>
  <c r="Z175" i="3"/>
  <c r="U175" i="3" s="1"/>
  <c r="Z180" i="3"/>
  <c r="U180" i="3" s="1"/>
  <c r="Z120" i="3"/>
  <c r="U120" i="3" s="1"/>
  <c r="Z144" i="3"/>
  <c r="U144" i="3" s="1"/>
  <c r="Z18" i="3"/>
  <c r="U18" i="3" s="1"/>
  <c r="Z143" i="3"/>
  <c r="U143" i="3" s="1"/>
  <c r="Z145" i="3"/>
  <c r="U145" i="3" s="1"/>
  <c r="Z139" i="3"/>
  <c r="U139" i="3" s="1"/>
  <c r="Z118" i="3"/>
  <c r="U118" i="3" s="1"/>
  <c r="Z119" i="3"/>
  <c r="U119" i="3" s="1"/>
  <c r="X194" i="3"/>
  <c r="F100" i="7"/>
  <c r="Z194" i="3" s="1"/>
  <c r="U194" i="3" s="1"/>
  <c r="X61" i="3"/>
  <c r="F39" i="7"/>
  <c r="Z61" i="3" s="1"/>
  <c r="U61" i="3" s="1"/>
  <c r="X195" i="3"/>
  <c r="F67" i="7"/>
  <c r="Z195" i="3" s="1"/>
  <c r="U195" i="3" s="1"/>
  <c r="F111" i="7"/>
  <c r="Z213" i="3"/>
  <c r="U213" i="3" s="1"/>
  <c r="X62" i="3"/>
  <c r="F63" i="7"/>
  <c r="Z62" i="3" s="1"/>
  <c r="U62" i="3" s="1"/>
  <c r="X45" i="3"/>
  <c r="F109" i="7"/>
  <c r="Z45" i="3" s="1"/>
  <c r="U45" i="3" s="1"/>
  <c r="X30" i="3"/>
  <c r="F23" i="7"/>
  <c r="Z30" i="3" s="1"/>
  <c r="U30" i="3" s="1"/>
  <c r="X43" i="3"/>
  <c r="F107" i="7"/>
  <c r="Z43" i="3" s="1"/>
  <c r="U43" i="3" s="1"/>
  <c r="X32" i="3"/>
  <c r="F21" i="7"/>
  <c r="Z32" i="3" s="1"/>
  <c r="U32" i="3" s="1"/>
  <c r="Z106" i="3"/>
  <c r="U106" i="3" s="1"/>
  <c r="Z117" i="3"/>
  <c r="U117" i="3" s="1"/>
  <c r="X193" i="3"/>
  <c r="F82" i="7"/>
  <c r="Z193" i="3" s="1"/>
  <c r="U193" i="3" s="1"/>
  <c r="Z96" i="3"/>
  <c r="U96" i="3" s="1"/>
  <c r="Z107" i="3"/>
  <c r="U107" i="3" s="1"/>
  <c r="F115" i="7"/>
  <c r="Z177" i="3"/>
  <c r="U177" i="3" s="1"/>
  <c r="Z228" i="3"/>
  <c r="U228" i="3" s="1"/>
  <c r="Z3" i="3"/>
  <c r="U3" i="3" s="1"/>
  <c r="Z230" i="3"/>
  <c r="U230" i="3" s="1"/>
  <c r="F113" i="7"/>
  <c r="Z44" i="3" s="1"/>
  <c r="U44" i="3" s="1"/>
  <c r="F31" i="7"/>
  <c r="X88" i="3"/>
  <c r="F56" i="7"/>
  <c r="X41" i="3"/>
  <c r="F16" i="7"/>
  <c r="Z41" i="3" s="1"/>
  <c r="U41" i="3" s="1"/>
  <c r="Z124" i="3"/>
  <c r="U124" i="3" s="1"/>
  <c r="Z127" i="3"/>
  <c r="U127" i="3" s="1"/>
  <c r="X80" i="3"/>
  <c r="F93" i="7"/>
  <c r="Z80" i="3" s="1"/>
  <c r="U80" i="3" s="1"/>
  <c r="X28" i="3"/>
  <c r="F14" i="7"/>
  <c r="Z28" i="3" s="1"/>
  <c r="U28" i="3" s="1"/>
  <c r="Z192" i="3"/>
  <c r="U192" i="3" s="1"/>
  <c r="Z181" i="3"/>
  <c r="U181" i="3" s="1"/>
  <c r="X27" i="3"/>
  <c r="F11" i="7"/>
  <c r="Z27" i="3" s="1"/>
  <c r="U27" i="3" s="1"/>
  <c r="X46" i="3"/>
  <c r="F48" i="7"/>
  <c r="Z46" i="3" s="1"/>
  <c r="U46" i="3" s="1"/>
  <c r="X129" i="3"/>
  <c r="F54" i="7"/>
  <c r="Z129" i="3" s="1"/>
  <c r="U129" i="3" s="1"/>
  <c r="Z52" i="3"/>
  <c r="U52" i="3" s="1"/>
  <c r="Z242" i="3"/>
  <c r="U242" i="3" s="1"/>
  <c r="Z190" i="3"/>
  <c r="U190" i="3" s="1"/>
  <c r="Z197" i="3"/>
  <c r="U197" i="3" s="1"/>
  <c r="X21" i="3"/>
  <c r="F19" i="7"/>
  <c r="Z21" i="3" s="1"/>
  <c r="U21" i="3" s="1"/>
  <c r="F46" i="7"/>
  <c r="X100" i="3"/>
  <c r="F87" i="7"/>
  <c r="X36" i="3"/>
  <c r="F7" i="7"/>
  <c r="Z36" i="3" s="1"/>
  <c r="U36" i="3" s="1"/>
  <c r="X35" i="3"/>
  <c r="F5" i="7"/>
  <c r="Z35" i="3" s="1"/>
  <c r="U35" i="3" s="1"/>
  <c r="X50" i="3"/>
  <c r="F42" i="7"/>
  <c r="Z50" i="3" s="1"/>
  <c r="U50" i="3" s="1"/>
  <c r="X115" i="3"/>
  <c r="F3" i="7"/>
  <c r="F40" i="7"/>
  <c r="Z48" i="3"/>
  <c r="U48" i="3" s="1"/>
  <c r="Z56" i="3"/>
  <c r="U56" i="3" s="1"/>
  <c r="Z206" i="3"/>
  <c r="U206" i="3" s="1"/>
  <c r="X78" i="3"/>
  <c r="F89" i="7"/>
  <c r="Z78" i="3" s="1"/>
  <c r="U78" i="3" s="1"/>
  <c r="X26" i="3"/>
  <c r="F9" i="7"/>
  <c r="Z26" i="3" s="1"/>
  <c r="U26" i="3" s="1"/>
  <c r="Z53" i="3"/>
  <c r="U53" i="3" s="1"/>
  <c r="Z33" i="3"/>
  <c r="U33" i="3" s="1"/>
  <c r="Z243" i="3"/>
  <c r="U243" i="3" s="1"/>
  <c r="Z123" i="3"/>
  <c r="U123" i="3" s="1"/>
  <c r="Z112" i="3"/>
  <c r="U112" i="3" s="1"/>
  <c r="Z125" i="3"/>
  <c r="U125" i="3" s="1"/>
  <c r="Z128" i="3"/>
  <c r="U128" i="3" s="1"/>
  <c r="F73" i="7"/>
  <c r="Z60" i="3"/>
  <c r="U60" i="3" s="1"/>
  <c r="Z47" i="3"/>
  <c r="U47" i="3" s="1"/>
  <c r="X131" i="3"/>
  <c r="F70" i="7"/>
  <c r="Z131" i="3" s="1"/>
  <c r="U131" i="3" s="1"/>
  <c r="X244" i="3"/>
  <c r="F114" i="7"/>
  <c r="Z244" i="3" s="1"/>
  <c r="U244" i="3" s="1"/>
  <c r="Z68" i="3"/>
  <c r="U68" i="3" s="1"/>
  <c r="Z69" i="3"/>
  <c r="U69" i="3" s="1"/>
  <c r="Z85" i="3"/>
  <c r="U85" i="3" s="1"/>
  <c r="X121" i="3"/>
  <c r="F50" i="7"/>
  <c r="Z121" i="3" s="1"/>
  <c r="U121" i="3" s="1"/>
  <c r="Q95" i="3"/>
  <c r="R95" i="3" s="1"/>
  <c r="X71" i="3"/>
  <c r="X95" i="3"/>
  <c r="X83" i="3"/>
  <c r="X81" i="3"/>
  <c r="X39" i="3"/>
  <c r="X49" i="3"/>
  <c r="X191" i="3"/>
  <c r="X76" i="3"/>
  <c r="X108" i="3"/>
  <c r="X116" i="3"/>
  <c r="X103" i="3"/>
  <c r="X110" i="3"/>
  <c r="X72" i="3"/>
  <c r="X104" i="3"/>
  <c r="X73" i="3"/>
  <c r="X74" i="3"/>
  <c r="X97" i="3"/>
  <c r="X79" i="3"/>
  <c r="X82" i="3"/>
  <c r="X114" i="3"/>
  <c r="X55" i="3"/>
  <c r="X126" i="3"/>
  <c r="X122" i="3"/>
  <c r="X105" i="3"/>
  <c r="X75" i="3"/>
  <c r="X99" i="3"/>
  <c r="X93" i="3"/>
  <c r="X206" i="3"/>
  <c r="X242" i="3"/>
  <c r="X52" i="3"/>
  <c r="X63" i="3"/>
  <c r="X20" i="3"/>
  <c r="X241" i="3"/>
  <c r="X96" i="3"/>
  <c r="X107" i="3"/>
  <c r="X139" i="3"/>
  <c r="X18" i="3"/>
  <c r="X143" i="3"/>
  <c r="X118" i="3"/>
  <c r="X144" i="3"/>
  <c r="X119" i="3"/>
  <c r="X145" i="3"/>
  <c r="X120" i="3"/>
  <c r="X180" i="3"/>
  <c r="X175" i="3"/>
  <c r="X190" i="3"/>
  <c r="X197" i="3"/>
  <c r="X17" i="3"/>
  <c r="X150" i="3"/>
  <c r="X165" i="3"/>
  <c r="X230" i="3"/>
  <c r="X238" i="3"/>
  <c r="X10" i="3"/>
  <c r="X176" i="3"/>
  <c r="X231" i="3"/>
  <c r="X239" i="3"/>
  <c r="X133" i="3"/>
  <c r="X149" i="3"/>
  <c r="X229" i="3"/>
  <c r="X11" i="3"/>
  <c r="X152" i="3"/>
  <c r="X201" i="3"/>
  <c r="X232" i="3"/>
  <c r="X205" i="3"/>
  <c r="X237" i="3"/>
  <c r="X12" i="3"/>
  <c r="X225" i="3"/>
  <c r="X233" i="3"/>
  <c r="X3" i="3"/>
  <c r="X13" i="3"/>
  <c r="X226" i="3"/>
  <c r="X234" i="3"/>
  <c r="X14" i="3"/>
  <c r="X135" i="3"/>
  <c r="X227" i="3"/>
  <c r="X235" i="3"/>
  <c r="X5" i="3"/>
  <c r="X15" i="3"/>
  <c r="X148" i="3"/>
  <c r="X177" i="3"/>
  <c r="X228" i="3"/>
  <c r="X236" i="3"/>
  <c r="X199" i="3"/>
  <c r="X215" i="3"/>
  <c r="X221" i="3"/>
  <c r="X214" i="3"/>
  <c r="X109" i="3"/>
  <c r="X132" i="3"/>
  <c r="X200" i="3"/>
  <c r="X216" i="3"/>
  <c r="X19" i="3"/>
  <c r="X137" i="3"/>
  <c r="X217" i="3"/>
  <c r="X240" i="3"/>
  <c r="X9" i="3"/>
  <c r="X64" i="3"/>
  <c r="X134" i="3"/>
  <c r="X138" i="3"/>
  <c r="X188" i="3"/>
  <c r="X202" i="3"/>
  <c r="X57" i="3"/>
  <c r="X65" i="3"/>
  <c r="X189" i="3"/>
  <c r="X222" i="3"/>
  <c r="X58" i="3"/>
  <c r="X66" i="3"/>
  <c r="X113" i="3"/>
  <c r="X203" i="3"/>
  <c r="X218" i="3"/>
  <c r="X22" i="3"/>
  <c r="X59" i="3"/>
  <c r="X67" i="3"/>
  <c r="X219" i="3"/>
  <c r="X186" i="3"/>
  <c r="X220" i="3"/>
  <c r="X213" i="3"/>
  <c r="X6" i="3"/>
  <c r="X8" i="3"/>
  <c r="X207" i="3"/>
  <c r="X117" i="3"/>
  <c r="X106" i="3"/>
  <c r="X124" i="3"/>
  <c r="X127" i="3"/>
  <c r="X181" i="3"/>
  <c r="X192" i="3"/>
  <c r="Q56" i="3"/>
  <c r="R56" i="3" s="1"/>
  <c r="X48" i="3"/>
  <c r="X56" i="3"/>
  <c r="X183" i="3"/>
  <c r="X184" i="3"/>
  <c r="X31" i="3"/>
  <c r="X42" i="3"/>
  <c r="X53" i="3"/>
  <c r="X33" i="3"/>
  <c r="X243" i="3"/>
  <c r="X125" i="3"/>
  <c r="X112" i="3"/>
  <c r="X123" i="3"/>
  <c r="X128" i="3"/>
  <c r="X47" i="3"/>
  <c r="X60" i="3"/>
  <c r="X158" i="3"/>
  <c r="X151" i="3"/>
  <c r="X159" i="3"/>
  <c r="X223" i="3"/>
  <c r="X178" i="3"/>
  <c r="X224" i="3"/>
  <c r="X153" i="3"/>
  <c r="X160" i="3"/>
  <c r="X179" i="3"/>
  <c r="X16" i="3"/>
  <c r="X164" i="3"/>
  <c r="X146" i="3"/>
  <c r="X154" i="3"/>
  <c r="X161" i="3"/>
  <c r="X4" i="3"/>
  <c r="X147" i="3"/>
  <c r="X155" i="3"/>
  <c r="X162" i="3"/>
  <c r="X174" i="3"/>
  <c r="X136" i="3"/>
  <c r="X156" i="3"/>
  <c r="X163" i="3"/>
  <c r="X204" i="3"/>
  <c r="X157" i="3"/>
  <c r="X69" i="3"/>
  <c r="X85" i="3"/>
  <c r="X68" i="3"/>
  <c r="Q184" i="3"/>
  <c r="R184" i="3" s="1"/>
  <c r="Q50" i="3"/>
  <c r="R50" i="3" s="1"/>
  <c r="Q121" i="3"/>
  <c r="R121" i="3" s="1"/>
  <c r="Q83" i="3"/>
  <c r="R83" i="3" s="1"/>
  <c r="Q164" i="3"/>
  <c r="R164" i="3" s="1"/>
  <c r="Q163" i="3"/>
  <c r="R163" i="3" s="1"/>
  <c r="Q158" i="3"/>
  <c r="R158" i="3" s="1"/>
  <c r="Q162" i="3"/>
  <c r="R162" i="3" s="1"/>
  <c r="Q82" i="3"/>
  <c r="R82" i="3" s="1"/>
  <c r="Q165" i="3"/>
  <c r="R165" i="3" s="1"/>
  <c r="Q6" i="3"/>
  <c r="R6" i="3" s="1"/>
  <c r="Q48" i="3"/>
  <c r="R48" i="3" s="1"/>
  <c r="Q57" i="3"/>
  <c r="R57" i="3" s="1"/>
  <c r="Q49" i="3"/>
  <c r="R49" i="3" s="1"/>
  <c r="Q161" i="3"/>
  <c r="R161" i="3" s="1"/>
  <c r="Q129" i="3"/>
  <c r="R129" i="3" s="1"/>
  <c r="Q128" i="3"/>
  <c r="R128" i="3" s="1"/>
  <c r="Q103" i="3"/>
  <c r="R103" i="3" s="1"/>
  <c r="Q75" i="3"/>
  <c r="R75" i="3" s="1"/>
  <c r="Q23" i="3"/>
  <c r="R23" i="3" s="1"/>
  <c r="Q29" i="3"/>
  <c r="R29" i="3" s="1"/>
  <c r="Q38" i="3"/>
  <c r="R38" i="3" s="1"/>
  <c r="Q88" i="3"/>
  <c r="R88" i="3" s="1"/>
  <c r="Q86" i="3"/>
  <c r="R86" i="3" s="1"/>
  <c r="Q41" i="3"/>
  <c r="R41" i="3" s="1"/>
  <c r="Q28" i="3"/>
  <c r="R28" i="3" s="1"/>
  <c r="Q27" i="3"/>
  <c r="R27" i="3" s="1"/>
  <c r="Q46" i="3"/>
  <c r="R46" i="3" s="1"/>
  <c r="Q99" i="3"/>
  <c r="R99" i="3" s="1"/>
  <c r="Q71" i="3"/>
  <c r="R71" i="3" s="1"/>
  <c r="Q87" i="3"/>
  <c r="R87" i="3" s="1"/>
  <c r="Q21" i="3"/>
  <c r="R21" i="3" s="1"/>
  <c r="Q37" i="3"/>
  <c r="R37" i="3" s="1"/>
  <c r="Q100" i="3"/>
  <c r="R100" i="3" s="1"/>
  <c r="Q187" i="3"/>
  <c r="R187" i="3" s="1"/>
  <c r="Q36" i="3"/>
  <c r="R36" i="3" s="1"/>
  <c r="Q196" i="3"/>
  <c r="R196" i="3" s="1"/>
  <c r="Q25" i="3"/>
  <c r="R25" i="3" s="1"/>
  <c r="Q35" i="3"/>
  <c r="R35" i="3" s="1"/>
  <c r="Q24" i="3"/>
  <c r="R24" i="3" s="1"/>
  <c r="Q54" i="3"/>
  <c r="R54" i="3" s="1"/>
  <c r="Q115" i="3"/>
  <c r="R115" i="3" s="1"/>
  <c r="Q198" i="3"/>
  <c r="R198" i="3" s="1"/>
  <c r="Q40" i="3"/>
  <c r="R40" i="3" s="1"/>
  <c r="Q26" i="3"/>
  <c r="R26" i="3" s="1"/>
  <c r="Q243" i="3"/>
  <c r="R243" i="3" s="1"/>
  <c r="Q125" i="3"/>
  <c r="R125" i="3" s="1"/>
  <c r="Q241" i="3"/>
  <c r="R241" i="3" s="1"/>
  <c r="Q131" i="3"/>
  <c r="R131" i="3" s="1"/>
  <c r="Q244" i="3"/>
  <c r="R244" i="3" s="1"/>
  <c r="Q34" i="3"/>
  <c r="R34" i="3" s="1"/>
  <c r="Q195" i="3"/>
  <c r="R195" i="3" s="1"/>
  <c r="Q213" i="3"/>
  <c r="R213" i="3" s="1"/>
  <c r="Q183" i="3"/>
  <c r="R183" i="3" s="1"/>
  <c r="Q62" i="3"/>
  <c r="R62" i="3" s="1"/>
  <c r="Q45" i="3"/>
  <c r="R45" i="3" s="1"/>
  <c r="Q30" i="3"/>
  <c r="R30" i="3" s="1"/>
  <c r="Q43" i="3"/>
  <c r="R43" i="3" s="1"/>
  <c r="Q32" i="3"/>
  <c r="R32" i="3" s="1"/>
  <c r="Q193" i="3"/>
  <c r="R193" i="3" s="1"/>
  <c r="Q52" i="3"/>
  <c r="R52" i="3" s="1"/>
  <c r="Q242" i="3"/>
  <c r="R242" i="3" s="1"/>
  <c r="Q61" i="3"/>
  <c r="R61" i="3" s="1"/>
  <c r="Q47" i="3"/>
  <c r="R47" i="3" s="1"/>
  <c r="Q60" i="3"/>
  <c r="R60" i="3" s="1"/>
  <c r="Q58" i="3"/>
  <c r="R58" i="3" s="1"/>
  <c r="Q59" i="3"/>
  <c r="R59" i="3" s="1"/>
  <c r="Q20" i="3"/>
  <c r="R20" i="3" s="1"/>
  <c r="Q63" i="3"/>
  <c r="R63" i="3" s="1"/>
  <c r="Q55" i="3"/>
  <c r="R55" i="3" s="1"/>
  <c r="Q33" i="3"/>
  <c r="R33" i="3" s="1"/>
  <c r="Q53" i="3"/>
  <c r="R53" i="3" s="1"/>
  <c r="Q191" i="3"/>
  <c r="R191" i="3" s="1"/>
  <c r="Q39" i="3"/>
  <c r="R39" i="3" s="1"/>
  <c r="Q31" i="3"/>
  <c r="R31" i="3" s="1"/>
  <c r="Q42" i="3"/>
  <c r="R42" i="3" s="1"/>
  <c r="Q19" i="3"/>
  <c r="R19" i="3" s="1"/>
  <c r="Q22" i="3"/>
  <c r="R22" i="3" s="1"/>
  <c r="Q222" i="3"/>
  <c r="R222" i="3" s="1"/>
  <c r="Q240" i="3"/>
  <c r="R240" i="3" s="1"/>
  <c r="Q104" i="3"/>
  <c r="R104" i="3" s="1"/>
  <c r="Q217" i="3"/>
  <c r="R217" i="3" s="1"/>
  <c r="Q215" i="3"/>
  <c r="R215" i="3" s="1"/>
  <c r="Q220" i="3"/>
  <c r="R220" i="3" s="1"/>
  <c r="Q219" i="3"/>
  <c r="R219" i="3" s="1"/>
  <c r="Q214" i="3"/>
  <c r="R214" i="3" s="1"/>
  <c r="Q216" i="3"/>
  <c r="R216" i="3" s="1"/>
  <c r="Q221" i="3"/>
  <c r="R221" i="3" s="1"/>
  <c r="Q218" i="3"/>
  <c r="R218" i="3" s="1"/>
  <c r="Q9" i="3"/>
  <c r="R9" i="3" s="1"/>
  <c r="Q134" i="3"/>
  <c r="R134" i="3" s="1"/>
  <c r="Q132" i="3"/>
  <c r="R132" i="3" s="1"/>
  <c r="Q4" i="3"/>
  <c r="R4" i="3" s="1"/>
  <c r="Q223" i="3"/>
  <c r="R223" i="3" s="1"/>
  <c r="Q16" i="3"/>
  <c r="R16" i="3" s="1"/>
  <c r="Q136" i="3"/>
  <c r="R136" i="3" s="1"/>
  <c r="Q224" i="3"/>
  <c r="R224" i="3" s="1"/>
  <c r="Q17" i="3"/>
  <c r="R17" i="3" s="1"/>
  <c r="Q15" i="3"/>
  <c r="R15" i="3" s="1"/>
  <c r="Q13" i="3"/>
  <c r="R13" i="3" s="1"/>
  <c r="Q11" i="3"/>
  <c r="R11" i="3" s="1"/>
  <c r="Q133" i="3"/>
  <c r="R133" i="3" s="1"/>
  <c r="Q135" i="3"/>
  <c r="R135" i="3" s="1"/>
  <c r="Q239" i="3"/>
  <c r="R239" i="3" s="1"/>
  <c r="Q237" i="3"/>
  <c r="R237" i="3" s="1"/>
  <c r="Q235" i="3"/>
  <c r="R235" i="3" s="1"/>
  <c r="Q233" i="3"/>
  <c r="R233" i="3" s="1"/>
  <c r="Q231" i="3"/>
  <c r="R231" i="3" s="1"/>
  <c r="Q229" i="3"/>
  <c r="R229" i="3" s="1"/>
  <c r="Q227" i="3"/>
  <c r="R227" i="3" s="1"/>
  <c r="Q225" i="3"/>
  <c r="R225" i="3" s="1"/>
  <c r="Q5" i="3"/>
  <c r="R5" i="3" s="1"/>
  <c r="Q3" i="3"/>
  <c r="R3" i="3" s="1"/>
  <c r="Q14" i="3"/>
  <c r="R14" i="3" s="1"/>
  <c r="Q12" i="3"/>
  <c r="R12" i="3" s="1"/>
  <c r="Q10" i="3"/>
  <c r="R10" i="3" s="1"/>
  <c r="Q238" i="3"/>
  <c r="R238" i="3" s="1"/>
  <c r="Q236" i="3"/>
  <c r="R236" i="3" s="1"/>
  <c r="Q234" i="3"/>
  <c r="R234" i="3" s="1"/>
  <c r="Q232" i="3"/>
  <c r="R232" i="3" s="1"/>
  <c r="Q230" i="3"/>
  <c r="R230" i="3" s="1"/>
  <c r="Q228" i="3"/>
  <c r="R228" i="3" s="1"/>
  <c r="Q226" i="3"/>
  <c r="R226" i="3" s="1"/>
  <c r="Q194" i="3"/>
  <c r="R194" i="3" s="1"/>
  <c r="Q189" i="3"/>
  <c r="R189" i="3" s="1"/>
  <c r="Q190" i="3"/>
  <c r="R190" i="3" s="1"/>
  <c r="Q197" i="3"/>
  <c r="R197" i="3" s="1"/>
  <c r="Q199" i="3"/>
  <c r="R199" i="3" s="1"/>
  <c r="Q200" i="3"/>
  <c r="R200" i="3" s="1"/>
  <c r="Q97" i="3"/>
  <c r="R97" i="3" s="1"/>
  <c r="Q203" i="3"/>
  <c r="R203" i="3" s="1"/>
  <c r="Q202" i="3"/>
  <c r="R202" i="3" s="1"/>
  <c r="Q130" i="3"/>
  <c r="R130" i="3" s="1"/>
  <c r="Q151" i="3"/>
  <c r="R151" i="3" s="1"/>
  <c r="Q179" i="3"/>
  <c r="R179" i="3" s="1"/>
  <c r="Q174" i="3"/>
  <c r="R174" i="3" s="1"/>
  <c r="Q157" i="3"/>
  <c r="R157" i="3" s="1"/>
  <c r="Q154" i="3"/>
  <c r="R154" i="3" s="1"/>
  <c r="Q156" i="3"/>
  <c r="R156" i="3" s="1"/>
  <c r="Q147" i="3"/>
  <c r="R147" i="3" s="1"/>
  <c r="Q204" i="3"/>
  <c r="R204" i="3" s="1"/>
  <c r="Q178" i="3"/>
  <c r="R178" i="3" s="1"/>
  <c r="Q155" i="3"/>
  <c r="R155" i="3" s="1"/>
  <c r="Q159" i="3"/>
  <c r="R159" i="3" s="1"/>
  <c r="Q146" i="3"/>
  <c r="R146" i="3" s="1"/>
  <c r="Q153" i="3"/>
  <c r="R153" i="3" s="1"/>
  <c r="Q160" i="3"/>
  <c r="R160" i="3" s="1"/>
  <c r="Q145" i="3"/>
  <c r="R145" i="3" s="1"/>
  <c r="Q139" i="3"/>
  <c r="R139" i="3" s="1"/>
  <c r="Q175" i="3"/>
  <c r="R175" i="3" s="1"/>
  <c r="Q143" i="3"/>
  <c r="R143" i="3" s="1"/>
  <c r="Q144" i="3"/>
  <c r="R144" i="3" s="1"/>
  <c r="Q180" i="3"/>
  <c r="R180" i="3" s="1"/>
  <c r="Q201" i="3"/>
  <c r="R201" i="3" s="1"/>
  <c r="Q177" i="3"/>
  <c r="R177" i="3" s="1"/>
  <c r="Q149" i="3"/>
  <c r="R149" i="3" s="1"/>
  <c r="Q205" i="3"/>
  <c r="R205" i="3" s="1"/>
  <c r="Q176" i="3"/>
  <c r="R176" i="3" s="1"/>
  <c r="Q152" i="3"/>
  <c r="R152" i="3" s="1"/>
  <c r="Q148" i="3"/>
  <c r="R148" i="3" s="1"/>
  <c r="Q150" i="3"/>
  <c r="R150" i="3" s="1"/>
  <c r="Q98" i="3"/>
  <c r="R98" i="3" s="1"/>
  <c r="Q122" i="3"/>
  <c r="R122" i="3" s="1"/>
  <c r="Q126" i="3"/>
  <c r="R126" i="3" s="1"/>
  <c r="Q186" i="3"/>
  <c r="R186" i="3" s="1"/>
  <c r="Q188" i="3"/>
  <c r="R188" i="3" s="1"/>
  <c r="Q70" i="3"/>
  <c r="R70" i="3" s="1"/>
  <c r="Q192" i="3"/>
  <c r="R192" i="3" s="1"/>
  <c r="Q181" i="3"/>
  <c r="R181" i="3" s="1"/>
  <c r="Q107" i="3"/>
  <c r="R107" i="3" s="1"/>
  <c r="Q112" i="3"/>
  <c r="R112" i="3" s="1"/>
  <c r="Q207" i="3"/>
  <c r="R207" i="3" s="1"/>
  <c r="Q124" i="3"/>
  <c r="R124" i="3" s="1"/>
  <c r="Q127" i="3"/>
  <c r="R127" i="3" s="1"/>
  <c r="Q137" i="3"/>
  <c r="R137" i="3" s="1"/>
  <c r="Q138" i="3"/>
  <c r="R138" i="3" s="1"/>
  <c r="Q206" i="3"/>
  <c r="R206" i="3" s="1"/>
  <c r="Q96" i="3"/>
  <c r="R96" i="3" s="1"/>
  <c r="Q123" i="3"/>
  <c r="R123" i="3" s="1"/>
  <c r="Q18" i="3"/>
  <c r="R18" i="3" s="1"/>
  <c r="Q119" i="3"/>
  <c r="R119" i="3" s="1"/>
  <c r="Q120" i="3"/>
  <c r="R120" i="3" s="1"/>
  <c r="Q118" i="3"/>
  <c r="R118" i="3" s="1"/>
  <c r="Q109" i="3"/>
  <c r="R109" i="3" s="1"/>
  <c r="Q113" i="3"/>
  <c r="R113" i="3" s="1"/>
  <c r="Q116" i="3"/>
  <c r="R116" i="3" s="1"/>
  <c r="Q108" i="3"/>
  <c r="R108" i="3" s="1"/>
  <c r="Q105" i="3"/>
  <c r="R105" i="3" s="1"/>
  <c r="Q111" i="3"/>
  <c r="R111" i="3" s="1"/>
  <c r="Q110" i="3"/>
  <c r="R110" i="3" s="1"/>
  <c r="Q106" i="3"/>
  <c r="R106" i="3" s="1"/>
  <c r="Q117" i="3"/>
  <c r="R117" i="3" s="1"/>
  <c r="Q64" i="3"/>
  <c r="R64" i="3" s="1"/>
  <c r="Q66" i="3"/>
  <c r="R66" i="3" s="1"/>
  <c r="Q65" i="3"/>
  <c r="R65" i="3" s="1"/>
  <c r="Q67" i="3"/>
  <c r="R67" i="3" s="1"/>
  <c r="Q8" i="3"/>
  <c r="R8" i="3" s="1"/>
  <c r="Q73" i="3"/>
  <c r="R73" i="3" s="1"/>
  <c r="Q93" i="3"/>
  <c r="R93" i="3" s="1"/>
  <c r="Q76" i="3"/>
  <c r="R76" i="3" s="1"/>
  <c r="Q69" i="3"/>
  <c r="R69" i="3" s="1"/>
  <c r="Q68" i="3"/>
  <c r="R68" i="3" s="1"/>
  <c r="Q72" i="3"/>
  <c r="R72" i="3" s="1"/>
  <c r="Q85" i="3"/>
  <c r="R85" i="3" s="1"/>
  <c r="Q74" i="3"/>
  <c r="R74" i="3" s="1"/>
  <c r="Q80" i="3"/>
  <c r="R80" i="3" s="1"/>
  <c r="Q81" i="3"/>
  <c r="R81" i="3" s="1"/>
  <c r="Q79" i="3"/>
  <c r="R79" i="3" s="1"/>
  <c r="Q78" i="3"/>
  <c r="R78" i="3" s="1"/>
  <c r="Q114" i="3"/>
  <c r="R114" i="3" s="1"/>
  <c r="Z105" i="3" l="1"/>
  <c r="U105" i="3" s="1"/>
  <c r="Z99" i="3"/>
  <c r="U99" i="3" s="1"/>
  <c r="Z7" i="3"/>
  <c r="U7" i="3" s="1"/>
  <c r="Z212" i="3"/>
  <c r="U212" i="3" s="1"/>
  <c r="Z233" i="3"/>
  <c r="U233" i="3" s="1"/>
  <c r="Z133" i="3"/>
  <c r="U133" i="3" s="1"/>
  <c r="Z236" i="3"/>
  <c r="U236" i="3" s="1"/>
  <c r="Z165" i="3"/>
  <c r="U165" i="3" s="1"/>
  <c r="Z238" i="3"/>
  <c r="U238" i="3" s="1"/>
  <c r="Z229" i="3"/>
  <c r="U229" i="3" s="1"/>
  <c r="Z237" i="3"/>
  <c r="U237" i="3" s="1"/>
  <c r="Z152" i="3"/>
  <c r="U152" i="3" s="1"/>
  <c r="Z232" i="3"/>
  <c r="U232" i="3" s="1"/>
  <c r="Z150" i="3"/>
  <c r="U150" i="3" s="1"/>
  <c r="Z239" i="3"/>
  <c r="U239" i="3" s="1"/>
  <c r="Z227" i="3"/>
  <c r="U227" i="3" s="1"/>
  <c r="Z225" i="3"/>
  <c r="U225" i="3" s="1"/>
  <c r="Z10" i="3"/>
  <c r="U10" i="3" s="1"/>
  <c r="Z201" i="3"/>
  <c r="U201" i="3" s="1"/>
  <c r="Z14" i="3"/>
  <c r="U14" i="3" s="1"/>
  <c r="Z15" i="3"/>
  <c r="U15" i="3" s="1"/>
  <c r="Z11" i="3"/>
  <c r="U11" i="3" s="1"/>
  <c r="Z231" i="3"/>
  <c r="U231" i="3" s="1"/>
  <c r="Z12" i="3"/>
  <c r="U12" i="3" s="1"/>
  <c r="Z235" i="3"/>
  <c r="U235" i="3" s="1"/>
  <c r="Z149" i="3"/>
  <c r="U149" i="3" s="1"/>
  <c r="Z17" i="3"/>
  <c r="U17" i="3" s="1"/>
  <c r="Z226" i="3"/>
  <c r="U226" i="3" s="1"/>
  <c r="Z13" i="3"/>
  <c r="U13" i="3" s="1"/>
  <c r="Z135" i="3"/>
  <c r="U135" i="3" s="1"/>
  <c r="Z205" i="3"/>
  <c r="U205" i="3" s="1"/>
  <c r="Z176" i="3"/>
  <c r="U176" i="3" s="1"/>
  <c r="Z148" i="3"/>
  <c r="U148" i="3" s="1"/>
  <c r="Z234" i="3"/>
  <c r="U234" i="3" s="1"/>
  <c r="Z8" i="3"/>
  <c r="U8" i="3" s="1"/>
  <c r="Z211" i="3"/>
  <c r="U211" i="3" s="1"/>
  <c r="Z207" i="3"/>
  <c r="U207" i="3" s="1"/>
  <c r="Z208" i="3"/>
  <c r="U208" i="3" s="1"/>
  <c r="Z209" i="3"/>
  <c r="U209" i="3" s="1"/>
  <c r="Z210" i="3"/>
  <c r="U210" i="3" s="1"/>
  <c r="Z81" i="3"/>
  <c r="U81" i="3" s="1"/>
  <c r="Z138" i="3"/>
  <c r="U138" i="3" s="1"/>
  <c r="Z186" i="3"/>
  <c r="U186" i="3" s="1"/>
  <c r="Z66" i="3"/>
  <c r="U66" i="3" s="1"/>
  <c r="Z83" i="3"/>
  <c r="U83" i="3" s="1"/>
  <c r="Z200" i="3"/>
  <c r="U200" i="3" s="1"/>
  <c r="Z65" i="3"/>
  <c r="U65" i="3" s="1"/>
  <c r="Z188" i="3"/>
  <c r="U188" i="3" s="1"/>
  <c r="Z202" i="3"/>
  <c r="U202" i="3" s="1"/>
  <c r="Z215" i="3"/>
  <c r="U215" i="3" s="1"/>
  <c r="Z218" i="3"/>
  <c r="U218" i="3" s="1"/>
  <c r="Z67" i="3"/>
  <c r="U67" i="3" s="1"/>
  <c r="Z217" i="3"/>
  <c r="U217" i="3" s="1"/>
  <c r="Z222" i="3"/>
  <c r="U222" i="3" s="1"/>
  <c r="Z216" i="3"/>
  <c r="U216" i="3" s="1"/>
  <c r="Z220" i="3"/>
  <c r="U220" i="3" s="1"/>
  <c r="Z189" i="3"/>
  <c r="U189" i="3" s="1"/>
  <c r="Z221" i="3"/>
  <c r="U221" i="3" s="1"/>
  <c r="Z113" i="3"/>
  <c r="U113" i="3" s="1"/>
  <c r="Z146" i="3"/>
  <c r="U146" i="3" s="1"/>
  <c r="Z134" i="3"/>
  <c r="U134" i="3" s="1"/>
  <c r="Z214" i="3"/>
  <c r="U214" i="3" s="1"/>
  <c r="Z132" i="3"/>
  <c r="U132" i="3" s="1"/>
  <c r="Z203" i="3"/>
  <c r="U203" i="3" s="1"/>
  <c r="Z157" i="3"/>
  <c r="U157" i="3" s="1"/>
  <c r="Z219" i="3"/>
  <c r="U219" i="3" s="1"/>
  <c r="Z240" i="3"/>
  <c r="U240" i="3" s="1"/>
  <c r="Z199" i="3"/>
  <c r="U199" i="3" s="1"/>
  <c r="Z137" i="3"/>
  <c r="U137" i="3" s="1"/>
  <c r="Z64" i="3"/>
  <c r="U64" i="3" s="1"/>
  <c r="Z109" i="3"/>
  <c r="U109" i="3" s="1"/>
  <c r="Z9" i="3"/>
  <c r="U9" i="3" s="1"/>
  <c r="Z169" i="3"/>
  <c r="U169" i="3" s="1"/>
  <c r="Z172" i="3"/>
  <c r="U172" i="3" s="1"/>
  <c r="Z100" i="3"/>
  <c r="U100" i="3" s="1"/>
  <c r="Z87" i="3"/>
  <c r="U87" i="3" s="1"/>
  <c r="Z90" i="3"/>
  <c r="U90" i="3" s="1"/>
  <c r="Z171" i="3"/>
  <c r="U171" i="3" s="1"/>
  <c r="Z170" i="3"/>
  <c r="U170" i="3" s="1"/>
  <c r="Z6" i="3"/>
  <c r="U6" i="3" s="1"/>
  <c r="Z42" i="3"/>
  <c r="U42" i="3" s="1"/>
  <c r="Z88" i="3"/>
  <c r="U88" i="3" s="1"/>
  <c r="Z89" i="3"/>
  <c r="U89" i="3" s="1"/>
  <c r="Z167" i="3"/>
  <c r="U167" i="3" s="1"/>
  <c r="Z168" i="3"/>
  <c r="U168" i="3" s="1"/>
  <c r="Z115" i="3"/>
  <c r="U115" i="3" s="1"/>
  <c r="Z2" i="3"/>
  <c r="U2" i="3" s="1"/>
  <c r="Z70" i="3"/>
  <c r="U70" i="3" s="1"/>
  <c r="Z223" i="3"/>
  <c r="U223" i="3" s="1"/>
  <c r="Z163" i="3"/>
  <c r="U163" i="3" s="1"/>
  <c r="Z162" i="3"/>
  <c r="U162" i="3" s="1"/>
  <c r="Z155" i="3"/>
  <c r="U155" i="3" s="1"/>
  <c r="Z159" i="3"/>
  <c r="U159" i="3" s="1"/>
  <c r="Z158" i="3"/>
  <c r="U158" i="3" s="1"/>
  <c r="Z147" i="3"/>
  <c r="U147" i="3" s="1"/>
  <c r="Z16" i="3"/>
  <c r="U16" i="3" s="1"/>
  <c r="Z179" i="3"/>
  <c r="U179" i="3" s="1"/>
  <c r="Z204" i="3"/>
  <c r="U204" i="3" s="1"/>
  <c r="Z4" i="3"/>
  <c r="U4" i="3" s="1"/>
  <c r="Z151" i="3"/>
  <c r="U151" i="3" s="1"/>
  <c r="Z154" i="3"/>
  <c r="U154" i="3" s="1"/>
  <c r="Z164" i="3"/>
  <c r="U164" i="3" s="1"/>
  <c r="Z160" i="3"/>
  <c r="U160" i="3" s="1"/>
  <c r="Z136" i="3"/>
  <c r="U136" i="3" s="1"/>
  <c r="Z224" i="3"/>
  <c r="U224" i="3" s="1"/>
  <c r="Z178" i="3"/>
  <c r="U178" i="3" s="1"/>
  <c r="Z156" i="3"/>
  <c r="U156" i="3" s="1"/>
  <c r="Z161" i="3"/>
  <c r="U161" i="3" s="1"/>
  <c r="Z174" i="3"/>
  <c r="U174" i="3" s="1"/>
  <c r="Z51" i="3"/>
  <c r="U51" i="3" s="1"/>
  <c r="Z166" i="3"/>
  <c r="U166" i="3" s="1"/>
  <c r="U245" i="3" l="1"/>
  <c r="V142" i="3" l="1"/>
  <c r="W142" i="3" s="1"/>
  <c r="V141" i="3"/>
  <c r="W141" i="3" s="1"/>
  <c r="V91" i="3"/>
  <c r="W91" i="3" s="1"/>
  <c r="V7" i="3"/>
  <c r="W7" i="3" s="1"/>
  <c r="V92" i="3"/>
  <c r="W92" i="3" s="1"/>
  <c r="V173" i="3"/>
  <c r="W173" i="3" s="1"/>
  <c r="V212" i="3"/>
  <c r="W212" i="3" s="1"/>
  <c r="V140" i="3"/>
  <c r="W140" i="3" s="1"/>
  <c r="V211" i="3"/>
  <c r="W211" i="3" s="1"/>
  <c r="V208" i="3"/>
  <c r="W208" i="3" s="1"/>
  <c r="V210" i="3"/>
  <c r="W210" i="3" s="1"/>
  <c r="V209" i="3"/>
  <c r="W209" i="3" s="1"/>
  <c r="V94" i="3"/>
  <c r="W94" i="3" s="1"/>
  <c r="V172" i="3"/>
  <c r="W172" i="3" s="1"/>
  <c r="V182" i="3"/>
  <c r="W182" i="3" s="1"/>
  <c r="V170" i="3"/>
  <c r="W170" i="3" s="1"/>
  <c r="V101" i="3"/>
  <c r="W101" i="3" s="1"/>
  <c r="V171" i="3"/>
  <c r="W171" i="3" s="1"/>
  <c r="V90" i="3"/>
  <c r="W90" i="3" s="1"/>
  <c r="V89" i="3"/>
  <c r="W89" i="3" s="1"/>
  <c r="V84" i="3"/>
  <c r="W84" i="3" s="1"/>
  <c r="V169" i="3"/>
  <c r="W169" i="3" s="1"/>
  <c r="V168" i="3"/>
  <c r="W168" i="3" s="1"/>
  <c r="V44" i="3"/>
  <c r="W44" i="3" s="1"/>
  <c r="V2" i="3"/>
  <c r="W2" i="3" s="1"/>
  <c r="V185" i="3"/>
  <c r="W185" i="3" s="1"/>
  <c r="V77" i="3"/>
  <c r="W77" i="3" s="1"/>
  <c r="V85" i="3"/>
  <c r="W85" i="3" s="1"/>
  <c r="V196" i="3"/>
  <c r="W196" i="3" s="1"/>
  <c r="V16" i="3"/>
  <c r="W16" i="3" s="1"/>
  <c r="V220" i="3"/>
  <c r="W220" i="3" s="1"/>
  <c r="V204" i="3"/>
  <c r="W204" i="3" s="1"/>
  <c r="V97" i="3"/>
  <c r="W97" i="3" s="1"/>
  <c r="V46" i="3"/>
  <c r="W46" i="3" s="1"/>
  <c r="V55" i="3"/>
  <c r="W55" i="3" s="1"/>
  <c r="V221" i="3"/>
  <c r="W221" i="3" s="1"/>
  <c r="V29" i="3"/>
  <c r="W29" i="3" s="1"/>
  <c r="V93" i="3"/>
  <c r="W93" i="3" s="1"/>
  <c r="V117" i="3"/>
  <c r="W117" i="3" s="1"/>
  <c r="V147" i="3"/>
  <c r="W147" i="3" s="1"/>
  <c r="V152" i="3"/>
  <c r="W152" i="3" s="1"/>
  <c r="V57" i="3"/>
  <c r="W57" i="3" s="1"/>
  <c r="V199" i="3"/>
  <c r="W199" i="3" s="1"/>
  <c r="V231" i="3"/>
  <c r="W231" i="3" s="1"/>
  <c r="V26" i="3"/>
  <c r="W26" i="3" s="1"/>
  <c r="V229" i="3"/>
  <c r="W229" i="3" s="1"/>
  <c r="V78" i="3"/>
  <c r="W78" i="3" s="1"/>
  <c r="V36" i="3"/>
  <c r="W36" i="3" s="1"/>
  <c r="V106" i="3"/>
  <c r="W106" i="3" s="1"/>
  <c r="V100" i="3"/>
  <c r="W100" i="3" s="1"/>
  <c r="V23" i="3"/>
  <c r="W23" i="3" s="1"/>
  <c r="V4" i="3"/>
  <c r="W4" i="3" s="1"/>
  <c r="V235" i="3"/>
  <c r="W235" i="3" s="1"/>
  <c r="V88" i="3"/>
  <c r="W88" i="3" s="1"/>
  <c r="V234" i="3"/>
  <c r="W234" i="3" s="1"/>
  <c r="V10" i="3"/>
  <c r="W10" i="3" s="1"/>
  <c r="V52" i="3"/>
  <c r="W52" i="3" s="1"/>
  <c r="V223" i="3"/>
  <c r="W223" i="3" s="1"/>
  <c r="V195" i="3"/>
  <c r="W195" i="3" s="1"/>
  <c r="V96" i="3"/>
  <c r="W96" i="3" s="1"/>
  <c r="V76" i="3"/>
  <c r="W76" i="3" s="1"/>
  <c r="V159" i="3"/>
  <c r="W159" i="3" s="1"/>
  <c r="V149" i="3"/>
  <c r="W149" i="3" s="1"/>
  <c r="V202" i="3"/>
  <c r="W202" i="3" s="1"/>
  <c r="V108" i="3"/>
  <c r="W108" i="3" s="1"/>
  <c r="V74" i="3"/>
  <c r="W74" i="3" s="1"/>
  <c r="V59" i="3"/>
  <c r="W59" i="3" s="1"/>
  <c r="V226" i="3"/>
  <c r="W226" i="3" s="1"/>
  <c r="V102" i="3"/>
  <c r="W102" i="3" s="1"/>
  <c r="V219" i="3"/>
  <c r="W219" i="3" s="1"/>
  <c r="V217" i="3"/>
  <c r="W217" i="3" s="1"/>
  <c r="V188" i="3"/>
  <c r="W188" i="3" s="1"/>
  <c r="V127" i="3"/>
  <c r="W127" i="3" s="1"/>
  <c r="V176" i="3"/>
  <c r="W176" i="3" s="1"/>
  <c r="V134" i="3"/>
  <c r="W134" i="3" s="1"/>
  <c r="V120" i="3"/>
  <c r="W120" i="3" s="1"/>
  <c r="V243" i="3"/>
  <c r="W243" i="3" s="1"/>
  <c r="V60" i="3"/>
  <c r="W60" i="3" s="1"/>
  <c r="V132" i="3"/>
  <c r="W132" i="3" s="1"/>
  <c r="V205" i="3"/>
  <c r="W205" i="3" s="1"/>
  <c r="V104" i="3"/>
  <c r="W104" i="3" s="1"/>
  <c r="V161" i="3"/>
  <c r="W161" i="3" s="1"/>
  <c r="V180" i="3"/>
  <c r="W180" i="3" s="1"/>
  <c r="V146" i="3"/>
  <c r="W146" i="3" s="1"/>
  <c r="V213" i="3"/>
  <c r="W213" i="3" s="1"/>
  <c r="V114" i="3"/>
  <c r="W114" i="3" s="1"/>
  <c r="V232" i="3"/>
  <c r="W232" i="3" s="1"/>
  <c r="V14" i="3"/>
  <c r="W14" i="3" s="1"/>
  <c r="V19" i="3"/>
  <c r="W19" i="3" s="1"/>
  <c r="V79" i="3"/>
  <c r="W79" i="3" s="1"/>
  <c r="V201" i="3"/>
  <c r="W201" i="3" s="1"/>
  <c r="V24" i="3"/>
  <c r="W24" i="3" s="1"/>
  <c r="V64" i="3"/>
  <c r="W64" i="3" s="1"/>
  <c r="V181" i="3"/>
  <c r="W181" i="3" s="1"/>
  <c r="V177" i="3"/>
  <c r="W177" i="3" s="1"/>
  <c r="V155" i="3"/>
  <c r="W155" i="3" s="1"/>
  <c r="V109" i="3"/>
  <c r="W109" i="3" s="1"/>
  <c r="V118" i="3"/>
  <c r="W118" i="3" s="1"/>
  <c r="V12" i="3"/>
  <c r="W12" i="3" s="1"/>
  <c r="V116" i="3"/>
  <c r="W116" i="3" s="1"/>
  <c r="V40" i="3"/>
  <c r="W40" i="3" s="1"/>
  <c r="V183" i="3"/>
  <c r="W183" i="3" s="1"/>
  <c r="V200" i="3"/>
  <c r="W200" i="3" s="1"/>
  <c r="V135" i="3"/>
  <c r="W135" i="3" s="1"/>
  <c r="V206" i="3"/>
  <c r="W206" i="3" s="1"/>
  <c r="V18" i="3"/>
  <c r="W18" i="3" s="1"/>
  <c r="V239" i="3"/>
  <c r="W239" i="3" s="1"/>
  <c r="V222" i="3"/>
  <c r="W222" i="3" s="1"/>
  <c r="V5" i="3"/>
  <c r="W5" i="3" s="1"/>
  <c r="V53" i="3"/>
  <c r="W53" i="3" s="1"/>
  <c r="V6" i="3"/>
  <c r="W6" i="3" s="1"/>
  <c r="V186" i="3"/>
  <c r="W186" i="3" s="1"/>
  <c r="V48" i="3"/>
  <c r="W48" i="3" s="1"/>
  <c r="V81" i="3"/>
  <c r="W81" i="3" s="1"/>
  <c r="V69" i="3"/>
  <c r="W69" i="3" s="1"/>
  <c r="V242" i="3"/>
  <c r="W242" i="3" s="1"/>
  <c r="V236" i="3"/>
  <c r="W236" i="3" s="1"/>
  <c r="V178" i="3"/>
  <c r="W178" i="3" s="1"/>
  <c r="V54" i="3"/>
  <c r="W54" i="3" s="1"/>
  <c r="V105" i="3"/>
  <c r="W105" i="3" s="1"/>
  <c r="V68" i="3"/>
  <c r="W68" i="3" s="1"/>
  <c r="V187" i="3"/>
  <c r="W187" i="3" s="1"/>
  <c r="V137" i="3"/>
  <c r="W137" i="3" s="1"/>
  <c r="V136" i="3"/>
  <c r="W136" i="3" s="1"/>
  <c r="V98" i="3"/>
  <c r="W98" i="3" s="1"/>
  <c r="V113" i="3"/>
  <c r="W113" i="3" s="1"/>
  <c r="V166" i="3"/>
  <c r="W166" i="3" s="1"/>
  <c r="V15" i="3"/>
  <c r="W15" i="3" s="1"/>
  <c r="V35" i="3"/>
  <c r="W35" i="3" s="1"/>
  <c r="V30" i="3"/>
  <c r="W30" i="3" s="1"/>
  <c r="V207" i="3"/>
  <c r="W207" i="3" s="1"/>
  <c r="V163" i="3"/>
  <c r="W163" i="3" s="1"/>
  <c r="V150" i="3"/>
  <c r="W150" i="3" s="1"/>
  <c r="V216" i="3"/>
  <c r="W216" i="3" s="1"/>
  <c r="V71" i="3"/>
  <c r="W71" i="3" s="1"/>
  <c r="V189" i="3"/>
  <c r="W189" i="3" s="1"/>
  <c r="V58" i="3"/>
  <c r="W58" i="3" s="1"/>
  <c r="V237" i="3"/>
  <c r="W237" i="3" s="1"/>
  <c r="V160" i="3"/>
  <c r="W160" i="3" s="1"/>
  <c r="V121" i="3"/>
  <c r="W121" i="3" s="1"/>
  <c r="V192" i="3"/>
  <c r="W192" i="3" s="1"/>
  <c r="V13" i="3"/>
  <c r="W13" i="3" s="1"/>
  <c r="V138" i="3"/>
  <c r="W138" i="3" s="1"/>
  <c r="V107" i="3"/>
  <c r="W107" i="3" s="1"/>
  <c r="V3" i="3"/>
  <c r="W3" i="3" s="1"/>
  <c r="V203" i="3"/>
  <c r="W203" i="3" s="1"/>
  <c r="V139" i="3"/>
  <c r="W139" i="3" s="1"/>
  <c r="V191" i="3"/>
  <c r="W191" i="3" s="1"/>
  <c r="V122" i="3"/>
  <c r="W122" i="3" s="1"/>
  <c r="V67" i="3"/>
  <c r="W67" i="3" s="1"/>
  <c r="V175" i="3"/>
  <c r="W175" i="3" s="1"/>
  <c r="V148" i="3"/>
  <c r="W148" i="3" s="1"/>
  <c r="V8" i="3"/>
  <c r="W8" i="3" s="1"/>
  <c r="V129" i="3"/>
  <c r="W129" i="3" s="1"/>
  <c r="V56" i="3"/>
  <c r="W56" i="3" s="1"/>
  <c r="V38" i="3"/>
  <c r="W38" i="3" s="1"/>
  <c r="V157" i="3"/>
  <c r="W157" i="3" s="1"/>
  <c r="V119" i="3"/>
  <c r="W119" i="3" s="1"/>
  <c r="V230" i="3"/>
  <c r="W230" i="3" s="1"/>
  <c r="V42" i="3"/>
  <c r="W42" i="3" s="1"/>
  <c r="V72" i="3"/>
  <c r="W72" i="3" s="1"/>
  <c r="V50" i="3"/>
  <c r="W50" i="3" s="1"/>
  <c r="V228" i="3"/>
  <c r="W228" i="3" s="1"/>
  <c r="V115" i="3"/>
  <c r="W115" i="3" s="1"/>
  <c r="V164" i="3"/>
  <c r="W164" i="3" s="1"/>
  <c r="V241" i="3"/>
  <c r="W241" i="3" s="1"/>
  <c r="V103" i="3"/>
  <c r="W103" i="3" s="1"/>
  <c r="V34" i="3"/>
  <c r="W34" i="3" s="1"/>
  <c r="V83" i="3"/>
  <c r="W83" i="3" s="1"/>
  <c r="V167" i="3"/>
  <c r="W167" i="3" s="1"/>
  <c r="V21" i="3"/>
  <c r="W21" i="3" s="1"/>
  <c r="V224" i="3"/>
  <c r="W224" i="3" s="1"/>
  <c r="V126" i="3"/>
  <c r="W126" i="3" s="1"/>
  <c r="V62" i="3"/>
  <c r="W62" i="3" s="1"/>
  <c r="V61" i="3"/>
  <c r="W61" i="3" s="1"/>
  <c r="V197" i="3"/>
  <c r="W197" i="3" s="1"/>
  <c r="V190" i="3"/>
  <c r="W190" i="3" s="1"/>
  <c r="V125" i="3"/>
  <c r="W125" i="3" s="1"/>
  <c r="V31" i="3"/>
  <c r="W31" i="3" s="1"/>
  <c r="V194" i="3"/>
  <c r="W194" i="3" s="1"/>
  <c r="V162" i="3"/>
  <c r="W162" i="3" s="1"/>
  <c r="V158" i="3"/>
  <c r="W158" i="3" s="1"/>
  <c r="V86" i="3"/>
  <c r="W86" i="3" s="1"/>
  <c r="V215" i="3"/>
  <c r="W215" i="3" s="1"/>
  <c r="V143" i="3"/>
  <c r="W143" i="3" s="1"/>
  <c r="V25" i="3"/>
  <c r="W25" i="3" s="1"/>
  <c r="V95" i="3"/>
  <c r="W95" i="3" s="1"/>
  <c r="V9" i="3"/>
  <c r="W9" i="3" s="1"/>
  <c r="V124" i="3"/>
  <c r="W124" i="3" s="1"/>
  <c r="V227" i="3"/>
  <c r="W227" i="3" s="1"/>
  <c r="V225" i="3"/>
  <c r="W225" i="3" s="1"/>
  <c r="V32" i="3"/>
  <c r="W32" i="3" s="1"/>
  <c r="V198" i="3"/>
  <c r="W198" i="3" s="1"/>
  <c r="V131" i="3"/>
  <c r="W131" i="3" s="1"/>
  <c r="V27" i="3"/>
  <c r="W27" i="3" s="1"/>
  <c r="V66" i="3"/>
  <c r="W66" i="3" s="1"/>
  <c r="V45" i="3"/>
  <c r="W45" i="3" s="1"/>
  <c r="V111" i="3"/>
  <c r="W111" i="3" s="1"/>
  <c r="V20" i="3"/>
  <c r="W20" i="3" s="1"/>
  <c r="V238" i="3"/>
  <c r="W238" i="3" s="1"/>
  <c r="V165" i="3"/>
  <c r="W165" i="3" s="1"/>
  <c r="V65" i="3"/>
  <c r="W65" i="3" s="1"/>
  <c r="V151" i="3"/>
  <c r="W151" i="3" s="1"/>
  <c r="V133" i="3"/>
  <c r="W133" i="3" s="1"/>
  <c r="V145" i="3"/>
  <c r="W145" i="3" s="1"/>
  <c r="V80" i="3"/>
  <c r="W80" i="3" s="1"/>
  <c r="V240" i="3"/>
  <c r="W240" i="3" s="1"/>
  <c r="V193" i="3"/>
  <c r="W193" i="3" s="1"/>
  <c r="V70" i="3"/>
  <c r="W70" i="3" s="1"/>
  <c r="V110" i="3"/>
  <c r="W110" i="3" s="1"/>
  <c r="V51" i="3"/>
  <c r="W51" i="3" s="1"/>
  <c r="V41" i="3"/>
  <c r="W41" i="3" s="1"/>
  <c r="V123" i="3"/>
  <c r="W123" i="3" s="1"/>
  <c r="V33" i="3"/>
  <c r="W33" i="3" s="1"/>
  <c r="V218" i="3"/>
  <c r="W218" i="3" s="1"/>
  <c r="V214" i="3"/>
  <c r="W214" i="3" s="1"/>
  <c r="V128" i="3"/>
  <c r="W128" i="3" s="1"/>
  <c r="V37" i="3"/>
  <c r="W37" i="3" s="1"/>
  <c r="V154" i="3"/>
  <c r="W154" i="3" s="1"/>
  <c r="V75" i="3"/>
  <c r="W75" i="3" s="1"/>
  <c r="V49" i="3"/>
  <c r="W49" i="3" s="1"/>
  <c r="V39" i="3"/>
  <c r="W39" i="3" s="1"/>
  <c r="V179" i="3"/>
  <c r="W179" i="3" s="1"/>
  <c r="V28" i="3"/>
  <c r="W28" i="3" s="1"/>
  <c r="V112" i="3"/>
  <c r="W112" i="3" s="1"/>
  <c r="V11" i="3"/>
  <c r="W11" i="3" s="1"/>
  <c r="V184" i="3"/>
  <c r="W184" i="3" s="1"/>
  <c r="V174" i="3"/>
  <c r="W174" i="3" s="1"/>
  <c r="V22" i="3"/>
  <c r="W22" i="3" s="1"/>
  <c r="V82" i="3"/>
  <c r="W82" i="3" s="1"/>
  <c r="V47" i="3"/>
  <c r="W47" i="3" s="1"/>
  <c r="V99" i="3"/>
  <c r="W99" i="3" s="1"/>
  <c r="V153" i="3"/>
  <c r="W153" i="3" s="1"/>
  <c r="V144" i="3"/>
  <c r="W144" i="3" s="1"/>
  <c r="V156" i="3"/>
  <c r="W156" i="3" s="1"/>
  <c r="V87" i="3"/>
  <c r="W87" i="3" s="1"/>
  <c r="V17" i="3"/>
  <c r="W17" i="3" s="1"/>
  <c r="V43" i="3"/>
  <c r="W43" i="3" s="1"/>
  <c r="V130" i="3"/>
  <c r="W130" i="3" s="1"/>
  <c r="V244" i="3"/>
  <c r="W244" i="3" s="1"/>
  <c r="V73" i="3"/>
  <c r="W73" i="3" s="1"/>
  <c r="V233" i="3"/>
  <c r="W233" i="3" s="1"/>
  <c r="V63" i="3"/>
  <c r="W63" i="3" s="1"/>
  <c r="W245" i="3" l="1"/>
  <c r="V24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<sst xmlns="http://schemas.openxmlformats.org/spreadsheetml/2006/main" count="6234" uniqueCount="1383">
  <si>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</si>
  <si>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</si>
  <si>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</si>
  <si>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</si>
  <si>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</si>
  <si>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</si>
  <si>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</si>
  <si>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</si>
  <si>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</si>
  <si>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</si>
  <si>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</si>
  <si>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</si>
  <si>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</si>
  <si>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</si>
  <si>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</si>
  <si>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</si>
  <si>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</si>
  <si>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</si>
  <si>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</si>
  <si>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</si>
  <si>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</si>
  <si>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</si>
  <si>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</si>
  <si>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</si>
  <si>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</si>
  <si>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</si>
  <si>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</si>
  <si>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</si>
  <si>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</si>
  <si>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GD-HOR5-MAE-012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</si>
  <si>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</si>
  <si>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</si>
  <si>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</si>
  <si>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</si>
  <si>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</si>
  <si>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</si>
  <si>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</si>
  <si>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GD-PSQL-MAE-006</t>
  </si>
  <si>
    <t>Mutualisé MEAE</t>
  </si>
  <si>
    <t>GD-ECHC-MAE-001-NEW</t>
  </si>
  <si>
    <t>Environnement C++ (services d’échange) (dev/qualification)
Windows Server 2003 R2 SP2</t>
  </si>
  <si>
    <t>Pour faire les DA</t>
  </si>
  <si>
    <t>GD-ECHC-MAE-003</t>
  </si>
  <si>
    <t>Environnement C++ (services d’échange) (dev/qualification)
Windows Server 2008 R2 SP1</t>
  </si>
  <si>
    <t>FabLab (ressources)</t>
  </si>
  <si>
    <t>ok</t>
  </si>
  <si>
    <t>GD-ECHP-MAE-001</t>
  </si>
  <si>
    <t>FabLab (licences MS)</t>
  </si>
  <si>
    <t>GO-JENKINS-001</t>
  </si>
  <si>
    <t>Environnement PIC pour VISMAIL</t>
  </si>
  <si>
    <t>EDI (ressources)</t>
  </si>
  <si>
    <t>ok, en rajoutant la VM EDI BIS de DEV !!!!!!!!!!!</t>
  </si>
  <si>
    <t>GO-NEXUS-001</t>
  </si>
  <si>
    <t>VMFV France-Visas</t>
  </si>
  <si>
    <t>EDI (licences MS)</t>
  </si>
  <si>
    <t>GO-SVN-001</t>
  </si>
  <si>
    <t>Environnement de gestion des sources pour VISA</t>
  </si>
  <si>
    <t>DI (ressources)</t>
  </si>
  <si>
    <t>ok, en rajoutant les projets CostCenterDI</t>
  </si>
  <si>
    <t>GD-SQL-MEAE-003</t>
  </si>
  <si>
    <t>MEAE VISA - Nouvelle VM SQL Standard</t>
  </si>
  <si>
    <t>DI (licences MS)</t>
  </si>
  <si>
    <t>ok, en ajoutant les projets CostCenterDI</t>
  </si>
  <si>
    <t>GD-PIC-MEAE-001</t>
  </si>
  <si>
    <t>Pic MEAE Supervisa VISMAIL</t>
  </si>
  <si>
    <t>Gobal</t>
  </si>
  <si>
    <t>ok, en supprimant les licences Veeam et Windows Datacenter déjà payées intégralement et également les projets CostCenterDI</t>
  </si>
  <si>
    <t>GD-SVN-MEAE-001</t>
  </si>
  <si>
    <t>sources VISMAILWEB</t>
  </si>
  <si>
    <t>Total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</si>
  <si>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</si>
  <si>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</si>
  <si>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</si>
  <si>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</si>
  <si>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</si>
  <si>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</si>
  <si>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</si>
  <si>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</si>
  <si>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</si>
  <si>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</si>
  <si>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</si>
  <si>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</si>
  <si>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GD-MEAE-API-001</t>
  </si>
  <si>
    <t>ADEME</t>
  </si>
  <si>
    <t>TMA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</si>
  <si>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</si>
  <si>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</si>
  <si>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</si>
  <si>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</si>
  <si>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</si>
  <si>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</si>
  <si>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</si>
  <si>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</si>
  <si>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</si>
  <si>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MW-SFTP-001</t>
  </si>
  <si>
    <t>AS24</t>
  </si>
  <si>
    <t>GD-GIT-AS24-002</t>
  </si>
  <si>
    <t>FRR</t>
  </si>
  <si>
    <t>FRR-Patapain - FRR/TMASI - Rodolphe Habegger</t>
  </si>
  <si>
    <t>FRORLVAP006</t>
  </si>
  <si>
    <t>FRR-CADENCIER - FRR/TMASI - Pierre BOURLIEUX</t>
  </si>
  <si>
    <t>FRORDVAP032</t>
  </si>
  <si>
    <t>FRORDVDB014</t>
  </si>
  <si>
    <t>W3XXV45103</t>
  </si>
  <si>
    <t>FRR-APPLIFRR - FRR/TMASI - Pierre BOURLIEUX</t>
  </si>
  <si>
    <t>FRR-TCPOS - FRR/TMASI - Pierre BOURLIEUX</t>
  </si>
  <si>
    <t>BRGM</t>
  </si>
  <si>
    <t>BRGM-BDLISA - BRGM/BDLISA-18 - Jean-Philippe STROIAZZO</t>
  </si>
  <si>
    <t>FRORDVAP003</t>
  </si>
  <si>
    <t>BRGM-BNPE - BRGM/BDLISA-18 - Jean-Philippe STROIAZZO</t>
  </si>
  <si>
    <t>FRORDVAP007</t>
  </si>
  <si>
    <t>BRGM-DEGATS-MINERS - BRGM/DEGAT-16 - Pierre BOURLIEUX</t>
  </si>
  <si>
    <t>ONEMA</t>
  </si>
  <si>
    <t>AFB-RNT - ONEMA/TMADCUA-15 - Christophe ORLANDO</t>
  </si>
  <si>
    <t>FRORDVAP014</t>
  </si>
  <si>
    <t>ONEMA-ASPE - ONEMA/TMADCIE-15 - Christophe ORLANDO</t>
  </si>
  <si>
    <t>FRORDVAP040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</si>
  <si>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</si>
  <si>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</si>
  <si>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</si>
  <si>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</si>
  <si>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</si>
  <si>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</si>
  <si>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FRORDVAP039</t>
  </si>
  <si>
    <t>AFB-Patbiodiv - ONEMA/TMADCUA-15 - Rodolphe Habegger</t>
  </si>
  <si>
    <t>MS-PHP-AFB-001</t>
  </si>
  <si>
    <t>FRORDVAP048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</si>
  <si>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</si>
  <si>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</si>
  <si>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</si>
  <si>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</si>
  <si>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</si>
  <si>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</si>
  <si>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MS-DCK-CDR-001</t>
  </si>
  <si>
    <t>MS-DCK-CDR-002</t>
  </si>
  <si>
    <t>CA-TITRES</t>
  </si>
  <si>
    <t>CA-TITRES-CRR - CA-TITRES/TMA - Jean-Philippe STROIAZZO</t>
  </si>
  <si>
    <t>FRORDVAP020</t>
  </si>
  <si>
    <t>CA-TITRES-COGNOS - CA-TITRES/TMA - Jean-Philippe STROIAZZO</t>
  </si>
  <si>
    <t>HEBERG-EDI</t>
  </si>
  <si>
    <t>VLAN_10.20.19.0/254</t>
  </si>
  <si>
    <t>GFI</t>
  </si>
  <si>
    <t>GD-ANSIBLE-001</t>
  </si>
  <si>
    <t>MS-AUT-GFI-001</t>
  </si>
  <si>
    <t>aaaaa</t>
  </si>
  <si>
    <t>MS-PHP-GFI-001</t>
  </si>
  <si>
    <t>GQ-MYS-MP-001</t>
  </si>
  <si>
    <t>GQ-PHP-MP-001</t>
  </si>
  <si>
    <t>GQ-WEB-MP-001</t>
  </si>
  <si>
    <t>GQ-WEB-WESPEC-001</t>
  </si>
  <si>
    <t>MS-EVRDAY-001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</si>
  <si>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</si>
  <si>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</si>
  <si>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</si>
  <si>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</si>
  <si>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</si>
  <si>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</si>
  <si>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</si>
  <si>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</si>
  <si>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</si>
  <si>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</si>
  <si>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</si>
  <si>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</si>
  <si>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</si>
  <si>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</si>
  <si>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</si>
  <si>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</si>
  <si>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</si>
  <si>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VLAN_10.20.20.0/254</t>
  </si>
  <si>
    <t>VLAN_10.20.21.0/254</t>
  </si>
  <si>
    <t>VLAN_10.20.22.0/254</t>
  </si>
  <si>
    <t>VLAN_10.20.23.0/254</t>
  </si>
  <si>
    <t>VLAN_10.20.32.0/254</t>
  </si>
  <si>
    <t>VLAN_10.20.33.0/254</t>
  </si>
  <si>
    <t>VLAN_10.20.34.0/254</t>
  </si>
  <si>
    <t>VLAN_10.20.35.0/254</t>
  </si>
  <si>
    <t>VLAN_10.20.41.0/254</t>
  </si>
  <si>
    <t>VLAN_10.20.94.0/254</t>
  </si>
  <si>
    <t>DNS_asogfi.fr</t>
  </si>
  <si>
    <t>IPPUB_80.74.66.61</t>
  </si>
  <si>
    <t>IPPUB_80.74.66.43</t>
  </si>
  <si>
    <t>GFI-GFICOFFEE - projet interne Orléans - Christophe ORLANDO</t>
  </si>
  <si>
    <t>FRORDVAP043</t>
  </si>
  <si>
    <t>GFI-Oceanet Orléans PIC - GFI Oceanet Orléans PIC - Christophe ORLANDO</t>
  </si>
  <si>
    <t>FRORLVAP009</t>
  </si>
  <si>
    <t>GQ-JTB-LICS-001</t>
  </si>
  <si>
    <t>MS-PHP-GFI-005</t>
  </si>
  <si>
    <t>GFI-Redmine Orléans - GFI Redmine Orléans - Christophe ORLANDO</t>
  </si>
  <si>
    <t>MS-RBY-GFI-001</t>
  </si>
  <si>
    <t>GFI-Oceanet Infra Réseau Orléans - GFI Oceanet Infra Réseau Orléans - Christophe ORLANDO</t>
  </si>
  <si>
    <t>FRORDVAD002</t>
  </si>
  <si>
    <t>FRORDVAP006</t>
  </si>
  <si>
    <t>SQASH</t>
  </si>
  <si>
    <t>FRORDVSV001</t>
  </si>
  <si>
    <t>FRORDVUS001</t>
  </si>
  <si>
    <t>FRORDVIM001</t>
  </si>
  <si>
    <t>GFI-Oceanet Infra Modèles - GFI Oceanet Infra Réseau - Jérôme JACOB</t>
  </si>
  <si>
    <t>DEBIAN-9.4.0-v04</t>
  </si>
  <si>
    <t>TPL-W2012R2-001</t>
  </si>
  <si>
    <t>DEBIAN-10.0</t>
  </si>
  <si>
    <t>CENTOS-8-v01</t>
  </si>
  <si>
    <t>TPL-W2019-v01</t>
  </si>
  <si>
    <t>TPL-WIN10-v01</t>
  </si>
  <si>
    <t>UBUNTU-16-04</t>
  </si>
  <si>
    <t>DEBIAN-10.5</t>
  </si>
  <si>
    <t>UBUNTU-20-04_v02</t>
  </si>
  <si>
    <t>UBUNTU-20-04_v05</t>
  </si>
  <si>
    <t>GFI-Oceanet Gestion VM - GFI Oceanet Infra Réseau - Jérôme JACOB</t>
  </si>
  <si>
    <t>GQ-PHP-GFI-004</t>
  </si>
  <si>
    <t>GO-ADMCLOUD-001</t>
  </si>
  <si>
    <t>GO-W7-VCLD-002</t>
  </si>
  <si>
    <t>GD-K8S-001</t>
  </si>
  <si>
    <t>GD-K8S-002</t>
  </si>
  <si>
    <t>MENESR</t>
  </si>
  <si>
    <t>MENESR-APAE - MENESR/TMA - Pierre BOURLIEUX</t>
  </si>
  <si>
    <t>FRORDVAP024</t>
  </si>
  <si>
    <t>MENESR-BNIE - MENESR/TMA - Pierre BOURLIEUX</t>
  </si>
  <si>
    <t>FRORDVDB013</t>
  </si>
  <si>
    <t>MENESR-INES - MENESR/TMA - Pierre BOURLIEUX</t>
  </si>
  <si>
    <t>MENESR-RNIE - MENESR/TMA - Pierre BOURLIEUX</t>
  </si>
  <si>
    <t>FRORDVDB016</t>
  </si>
  <si>
    <t>GFI-NIORT</t>
  </si>
  <si>
    <t>GD-JAV-MBUS-001</t>
  </si>
  <si>
    <t>GD-JAV-MBUS-002</t>
  </si>
  <si>
    <t>GD-JAV-MBUS-005</t>
  </si>
  <si>
    <t>GD-JAV-MBUS-003</t>
  </si>
  <si>
    <t>GD-JAV-MBUS-004</t>
  </si>
  <si>
    <t>GD-PYT-NIORT-001</t>
  </si>
  <si>
    <t>IT-CE</t>
  </si>
  <si>
    <t>IT-CE-TMA - IT-CE/DFA - Christophe ORLANDO</t>
  </si>
  <si>
    <t>FRORDVAP001</t>
  </si>
  <si>
    <t>FRORLVDB006</t>
  </si>
  <si>
    <t>W3XXD4504</t>
  </si>
  <si>
    <t>LA POSTE</t>
  </si>
  <si>
    <t>GQ-WEB-SIBP-001</t>
  </si>
  <si>
    <t>LA POSTE-CDC-DRUPAL - LA-POSTE-CDC-DRUPAL - Christophe ORLANDO</t>
  </si>
  <si>
    <t>MS-DCK-CDC-001</t>
  </si>
  <si>
    <t>MACIF</t>
  </si>
  <si>
    <t>STMICRO</t>
  </si>
  <si>
    <t>STMICRO-STARK - STMICRO/TMASI - Jean-Philippe STROIAZZO</t>
  </si>
  <si>
    <t>FRORDVAP047</t>
  </si>
  <si>
    <t>FRORDVDB018</t>
  </si>
  <si>
    <t>STMICRO-RUN2RUN - STMICRO/TMA-R2R-17 - Jean-Philippe STROIAZZO</t>
  </si>
  <si>
    <t>FRORDVAP045</t>
  </si>
  <si>
    <t>FRORLVAP005</t>
  </si>
  <si>
    <t>Fablab</t>
  </si>
  <si>
    <t>Fablab-Firmin - Fablab-Firmin - Pierre-Yves Baloche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</si>
  <si>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</si>
  <si>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</si>
  <si>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</si>
  <si>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</si>
  <si>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</si>
  <si>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</si>
  <si>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MP-MAIL-006</t>
  </si>
  <si>
    <t>MP-REBOND-001</t>
  </si>
  <si>
    <t>MP-CENTREON-002_2</t>
  </si>
  <si>
    <t>DOCKER-FIRMIN-v2</t>
  </si>
  <si>
    <t>MP-DOCKER-031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</si>
  <si>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</si>
  <si>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</si>
  <si>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</si>
  <si>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</si>
  <si>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</si>
  <si>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</si>
  <si>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</si>
  <si>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</si>
  <si>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</si>
  <si>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</si>
  <si>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</si>
  <si>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</si>
  <si>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</si>
  <si>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</si>
  <si>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</si>
  <si>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</si>
  <si>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</si>
  <si>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</si>
  <si>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</si>
  <si>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</si>
  <si>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</si>
  <si>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</si>
  <si>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</si>
  <si>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</si>
  <si>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</si>
  <si>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</si>
  <si>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</si>
  <si>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</si>
  <si>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</si>
  <si>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</si>
  <si>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</si>
  <si>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</si>
  <si>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</si>
  <si>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MP-DOCKER-027</t>
  </si>
  <si>
    <t>IPPUB_80.74.66.62</t>
  </si>
  <si>
    <t>IPPUB_80.74.66.44</t>
  </si>
  <si>
    <t>MP-DOCKER-030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</si>
  <si>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</si>
  <si>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</si>
  <si>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</si>
  <si>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</si>
  <si>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</si>
  <si>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</si>
  <si>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</si>
  <si>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</si>
  <si>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</si>
  <si>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</si>
  <si>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</si>
  <si>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</si>
  <si>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</si>
  <si>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</si>
  <si>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</si>
  <si>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</si>
  <si>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</si>
  <si>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</si>
  <si>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</si>
  <si>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</si>
  <si>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</si>
  <si>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</si>
  <si>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</si>
  <si>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</si>
  <si>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MP-DOCKER-023</t>
  </si>
  <si>
    <t>MP-DOCKER-024</t>
  </si>
  <si>
    <t>MP-DOCKER-026</t>
  </si>
  <si>
    <t>MP-DOCKER-028</t>
  </si>
  <si>
    <t>MP-DOCKER-029</t>
  </si>
  <si>
    <t>IPPUB_80.74.66.63</t>
  </si>
  <si>
    <t>Fablab-BeeFlex - Fablab-BeeFlex - Pierre-Yves Baloche</t>
  </si>
  <si>
    <t>MP-DCK-BFLX-001</t>
  </si>
  <si>
    <t>Gest'ea / OUGC</t>
  </si>
  <si>
    <t>Gest'ea / OUGC-Gest'ea / OUGC - Gest'ea / OUGC - Jean-Philippe STROIAZZO</t>
  </si>
  <si>
    <t>FRORDVAP049</t>
  </si>
  <si>
    <t>GIP RECIA</t>
  </si>
  <si>
    <t>GIESV</t>
  </si>
  <si>
    <t>MS-MYS-002</t>
  </si>
  <si>
    <t>MS-PHP-GFI-007</t>
  </si>
  <si>
    <t>PRIZER</t>
  </si>
  <si>
    <t>PRIZER-TMA - PRIZER-TMA - Valerie ASSELIN LOZACHMEUR</t>
  </si>
  <si>
    <t>W3XXV4598</t>
  </si>
  <si>
    <t>AFB</t>
  </si>
  <si>
    <t>AFB-PNM - AFB/OFB_LOT2 - Eric RAUCOURT</t>
  </si>
  <si>
    <t>MS-DCK-PNM-001</t>
  </si>
  <si>
    <t>PCM</t>
  </si>
  <si>
    <t>PCM-ALS - PCM-WEB - Alice MARCHAL</t>
  </si>
  <si>
    <t>DEVIS</t>
  </si>
  <si>
    <t>DEVIS-VM-APPLI-2XLARGE</t>
  </si>
  <si>
    <t>Total général</t>
  </si>
  <si>
    <t>CostCenter</t>
  </si>
  <si>
    <t>Coût Licences MS</t>
  </si>
  <si>
    <t>Nb VMs</t>
  </si>
  <si>
    <t>RAM active</t>
  </si>
  <si>
    <t>Nb Go Disque</t>
  </si>
  <si>
    <t>CostCenterDI</t>
  </si>
  <si>
    <t>CostCenterDI a un coût nul, car son coût est réparti sur tous les projets</t>
  </si>
  <si>
    <t>341530-EDI</t>
  </si>
  <si>
    <t>VM</t>
  </si>
  <si>
    <t>Mutualisé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</si>
  <si>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</si>
  <si>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</si>
  <si>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</si>
  <si>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</si>
  <si>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</si>
  <si>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</si>
  <si>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</si>
  <si>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</si>
  <si>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</si>
  <si>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</si>
  <si>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</si>
  <si>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</si>
  <si>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</si>
  <si>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</si>
  <si>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Client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</si>
  <si>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</si>
  <si>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</si>
  <si>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</si>
  <si>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</si>
  <si>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</si>
  <si>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</si>
  <si>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</si>
  <si>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</si>
  <si>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</si>
  <si>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</si>
  <si>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</si>
  <si>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</si>
  <si>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</si>
  <si>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</si>
  <si>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</si>
  <si>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</si>
  <si>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</si>
  <si>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</si>
  <si>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</si>
  <si>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CoutGlobal</t>
  </si>
  <si>
    <t>Datastore-datastore-77820</t>
  </si>
  <si>
    <t>Freehand</t>
  </si>
  <si>
    <t>DI</t>
  </si>
  <si>
    <t>Sans_astreinte</t>
  </si>
  <si>
    <t>BKP_SIMPLIVITY_GFI_10006791_H1_Ve</t>
  </si>
  <si>
    <t>DEDIE_SIMPLIVITY</t>
  </si>
  <si>
    <t>Tarif_VM</t>
  </si>
  <si>
    <t>FabLab</t>
  </si>
  <si>
    <t>Tarif_Certificat_X509_Wildcard</t>
  </si>
  <si>
    <t>Datastore-datastore-90809</t>
  </si>
  <si>
    <t>DEVIS-Certificat x509 simple</t>
  </si>
  <si>
    <t>Tarif_Certificat_X509_Simple</t>
  </si>
  <si>
    <t>DEVIS-Certificat x509 wildcard</t>
  </si>
  <si>
    <t>DEVIS-DNS</t>
  </si>
  <si>
    <t>Tarif_DNS</t>
  </si>
  <si>
    <t>DEVIS-FORFAIT-Build 1j</t>
  </si>
  <si>
    <t>Tarif_Jour_Intervention</t>
  </si>
  <si>
    <t>DEVIS-FORFAIT-Build 2j</t>
  </si>
  <si>
    <t>DEVIS-FORFAIT-Build 5j</t>
  </si>
  <si>
    <t>DEVIS-FORFAIT-Infogérance-Monitoring 0,5j</t>
  </si>
  <si>
    <t>DEVIS-FORFAIT-Infogérance-Monitoring 1j</t>
  </si>
  <si>
    <t>DEVIS-IPPUB</t>
  </si>
  <si>
    <t>Tarif_IPPUB</t>
  </si>
  <si>
    <t>DEVIS-VLAN</t>
  </si>
  <si>
    <t>Tarif_VLAN</t>
  </si>
  <si>
    <t>ubuntu64Guest</t>
  </si>
  <si>
    <t>gfi-ht-ara-spl-cl1-03.pulsation.fr</t>
  </si>
  <si>
    <t>Datastore-datastore-26</t>
  </si>
  <si>
    <t>PoweredOn</t>
  </si>
  <si>
    <t>BKP_SIMPLIVITY_GFI_10006791_J15</t>
  </si>
  <si>
    <t>DEVIS-VM-APPLI-LARGE</t>
  </si>
  <si>
    <t>DEVIS-VM-APPLI-MEDIUM</t>
  </si>
  <si>
    <t>DEVIS-VM-APPLI-MINI</t>
  </si>
  <si>
    <t>DEVIS-VM-APPLI-XLARGE</t>
  </si>
  <si>
    <t>DEVIS-VM-BDD-2XLARGE</t>
  </si>
  <si>
    <t>DEVIS-VM-BDD-LARGE</t>
  </si>
  <si>
    <t>DEVIS-VM-BDD-MEDIUM</t>
  </si>
  <si>
    <t>DEVIS-VM-BDD-MINI</t>
  </si>
  <si>
    <t>DEVIS-VM-BDD-XLARGE</t>
  </si>
  <si>
    <t>DEVIS-VM-LIN-ETUDES</t>
  </si>
  <si>
    <t>DEVIS-VM-WIN-ETUDES</t>
  </si>
  <si>
    <t>windows8Server64Guest</t>
  </si>
  <si>
    <t>Datastore-datastore-27 Datastore-datastore-77820</t>
  </si>
  <si>
    <t>gfi-ht-ara-spl-cl2-01.pulsation.fr</t>
  </si>
  <si>
    <t>BKP_SIMPLIVITY_GFI_10006791_J15_2</t>
  </si>
  <si>
    <t>winNetStandardGuest</t>
  </si>
  <si>
    <t>gfi-ht-ara-spl-cl2-02.pulsation.fr</t>
  </si>
  <si>
    <t>BKP_SIMPLIVITY_GFI_10006791_J15_3</t>
  </si>
  <si>
    <t>centos64Guest</t>
  </si>
  <si>
    <t>debian7_64Guest</t>
  </si>
  <si>
    <t>rhel7_64Guest</t>
  </si>
  <si>
    <t>rhel6_64Guest</t>
  </si>
  <si>
    <t>centos6_64Guest</t>
  </si>
  <si>
    <t>centos7_64Guest</t>
  </si>
  <si>
    <t>BKP_SIMPLIVITY_GFI_10006791_J15_1</t>
  </si>
  <si>
    <t>otherLinux64Guest</t>
  </si>
  <si>
    <t>windows7Server64Guest</t>
  </si>
  <si>
    <t>debian5_64Guest</t>
  </si>
  <si>
    <t>debian5Guest</t>
  </si>
  <si>
    <t>other3xLinux64Guest</t>
  </si>
  <si>
    <t>winNetEnterpriseGuest</t>
  </si>
  <si>
    <t>PoweredOff</t>
  </si>
  <si>
    <t>debian6Guest</t>
  </si>
  <si>
    <t>debian8_64Guest</t>
  </si>
  <si>
    <t>debian6_64Guest</t>
  </si>
  <si>
    <t>windows7_64Guest</t>
  </si>
  <si>
    <t>EDI-MUT</t>
  </si>
  <si>
    <t>winNetEnterprise64Guest</t>
  </si>
  <si>
    <t>EnvProjet</t>
  </si>
  <si>
    <t>Chiffrage Migration AWS</t>
  </si>
  <si>
    <t>Commentaire Migration AWS</t>
  </si>
  <si>
    <t>NbCoreVMPourLicenceSQLPerCore</t>
  </si>
  <si>
    <t>NbUtilCalTse</t>
  </si>
  <si>
    <t>IsTypeLicenceSQLServerPerCore</t>
  </si>
  <si>
    <t>NbUtilCalSql</t>
  </si>
  <si>
    <t>NbUtilCalSqlTMP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</si>
  <si>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</si>
  <si>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</si>
  <si>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</si>
  <si>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</si>
  <si>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</si>
  <si>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</si>
  <si>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</si>
  <si>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Statut_VM_Exists</t>
  </si>
  <si>
    <t>CoutGlobalSansCostCenterDI</t>
  </si>
  <si>
    <t>CoutGlobalSupplementaire</t>
  </si>
  <si>
    <t>CoutGlobalFinal</t>
  </si>
  <si>
    <t>Projet</t>
  </si>
  <si>
    <t>CP</t>
  </si>
  <si>
    <t>Environnement</t>
  </si>
  <si>
    <t>GFI-Oceanet Infra Modèles .:. SOCLE</t>
  </si>
  <si>
    <t>Fablab-Firmin .:. PROD</t>
  </si>
  <si>
    <t>Fablab-Firmin .:. PREPROD</t>
  </si>
  <si>
    <t>Disparition sans migration</t>
  </si>
  <si>
    <t>GFI-Oceanet Infra Réseau .:. SOCLE</t>
  </si>
  <si>
    <t>Fablab-Firmin .:. SOCLE</t>
  </si>
  <si>
    <t>GFI-Oceanet Infra Réseau Orléans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</si>
  <si>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</si>
  <si>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</si>
  <si>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</si>
  <si>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</si>
  <si>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</si>
  <si>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</si>
  <si>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</si>
  <si>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</si>
  <si>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CA-TITRES-COGNOS .:. DEV</t>
  </si>
  <si>
    <t>CA-TITRES-CRR .:. DEV</t>
  </si>
  <si>
    <t>MENESR-APAE .:. RECETTE</t>
  </si>
  <si>
    <t>BRGM-DEGATS-MINERS .:. RECETTE</t>
  </si>
  <si>
    <t>FRR-CADENCIER .:. RECETTE</t>
  </si>
  <si>
    <t>ONEMA-OPALE .:. RECETTE</t>
  </si>
  <si>
    <t>AFB-BASEINDICATEURS .:. RECETTE</t>
  </si>
  <si>
    <t>AFB-CATALOGUEINDICATEURS .:. RECETTE</t>
  </si>
  <si>
    <t>AFB-ENQUETEDEAU .:. RECETTE</t>
  </si>
  <si>
    <t>AFB-OISON .:. RECETTE</t>
  </si>
  <si>
    <t>AFB-Patbiodiv .:. RECETTE</t>
  </si>
  <si>
    <t>AFB-SIFLORE .:. RECETTE</t>
  </si>
  <si>
    <t>AFB-SISPEA .:. RECETTE</t>
  </si>
  <si>
    <t>MENESR-INES .:. RECETTE</t>
  </si>
  <si>
    <t>PCM-ALS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</si>
  <si>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</si>
  <si>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</si>
  <si>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</si>
  <si>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</si>
  <si>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</si>
  <si>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MENESR-BNIE .:. RECETTE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</si>
  <si>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</si>
  <si>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</si>
  <si>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</si>
  <si>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</si>
  <si>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</si>
  <si>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Réinstallation from scratch</t>
  </si>
  <si>
    <t>Route 53</t>
  </si>
  <si>
    <t>MEAE-Visa .:. QUAL</t>
  </si>
  <si>
    <t>Pas de migration</t>
  </si>
  <si>
    <t>DIG-Perform .:. SOCLE</t>
  </si>
  <si>
    <t>MEAE-SAGAIE TMA .:. SOCLE</t>
  </si>
  <si>
    <t>MEAE-Visa .:. SOCLE</t>
  </si>
  <si>
    <t>MEAE-Visa .:. DEV</t>
  </si>
  <si>
    <t>AS24-ChantierPIC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</si>
  <si>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</si>
  <si>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</si>
  <si>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</si>
  <si>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</si>
  <si>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</si>
  <si>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Terraform + Ansible (accès télé-travail ?)</t>
  </si>
  <si>
    <t>GFI-MY BUSINESS .:. QUAL</t>
  </si>
  <si>
    <t>GFI-MY BUSINESS .:. PROD</t>
  </si>
  <si>
    <t>GFI-POC Kubernetes Vault .:. DEV_BUILD</t>
  </si>
  <si>
    <t>MEAE-Prevoirh .:. DEV</t>
  </si>
  <si>
    <t>Vivesco-Vives-taux .:. DEV</t>
  </si>
  <si>
    <t>Terraform service RDS</t>
  </si>
  <si>
    <t>ADEME-SAGA .:. TMA</t>
  </si>
  <si>
    <t>MEAE-SAGAIE TMA .:. OBSOLETE</t>
  </si>
  <si>
    <t>MEAE-SAGAIE TMA .:. DEV</t>
  </si>
  <si>
    <t>GFI-Outil de notification automatique Jira (Niort) .:. PROD</t>
  </si>
  <si>
    <t>Terraform + Ansible</t>
  </si>
  <si>
    <t>GFI-Oceanet Gestion VM .:. PROD</t>
  </si>
  <si>
    <t>Disparition avec migration vers Delivery</t>
  </si>
  <si>
    <t>Pas de migration, utiliser un service SMTP AWS</t>
  </si>
  <si>
    <t>MEAE-Visa .:. ARRET</t>
  </si>
  <si>
    <t>Vivesco-Vives-taux .:. QUAL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</si>
  <si>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</si>
  <si>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</si>
  <si>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</si>
  <si>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</si>
  <si>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</si>
  <si>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</si>
  <si>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</si>
  <si>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Fablab-BeeFlex .:. PROD</t>
  </si>
  <si>
    <t>GFI-Linkus .:. PROD</t>
  </si>
  <si>
    <t>LA POSTE-CDC-DRUPAL .:. DEV</t>
  </si>
  <si>
    <t>ONEMA-CDR - TMA WEB .:. TMA</t>
  </si>
  <si>
    <t>AFB-PNM .:. RECETTE</t>
  </si>
  <si>
    <t>GFI-EveryDaily .:. QUAL_BUILD</t>
  </si>
  <si>
    <t>GIE S-V-Mantis - RR .:. PROD</t>
  </si>
  <si>
    <t>MACIF-Transverse .:. SOCLE</t>
  </si>
  <si>
    <t>MEAE-Visa .:. OBSOLETE</t>
  </si>
  <si>
    <t>GFI-Redmine Niort .:. PROD</t>
  </si>
  <si>
    <t>MEAE-Redmine MEAE .:. PROD</t>
  </si>
  <si>
    <t>GFI-Redmine Orléans .:. PROD</t>
  </si>
  <si>
    <t>Pas de migration, utiliser un service CloudFront</t>
  </si>
  <si>
    <t>Vivesco-Vives-taux .:. RECETTE</t>
  </si>
  <si>
    <t>EDI-MUT-EDI-MUT .:. PROD</t>
  </si>
  <si>
    <t>PRIZER-TMA .:. TMA</t>
  </si>
  <si>
    <t>sans cal sql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</si>
  <si>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</si>
  <si>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</si>
  <si>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</si>
  <si>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</si>
  <si>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</si>
  <si>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</si>
  <si>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</si>
  <si>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</si>
  <si>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</si>
  <si>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</si>
  <si>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</si>
  <si>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</si>
  <si>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</si>
  <si>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</si>
  <si>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</si>
  <si>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</si>
  <si>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</si>
  <si>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</si>
  <si>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</si>
  <si>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</si>
  <si>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</si>
  <si>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</si>
  <si>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</si>
  <si>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</si>
  <si>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</si>
  <si>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</si>
  <si>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</si>
  <si>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</si>
  <si>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</si>
  <si>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</si>
  <si>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</si>
  <si>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</si>
  <si>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</si>
  <si>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</si>
  <si>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</si>
  <si>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</si>
  <si>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</si>
  <si>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</si>
  <si>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</si>
  <si>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</si>
  <si>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</si>
  <si>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</si>
  <si>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</si>
  <si>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</si>
  <si>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</si>
  <si>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</si>
  <si>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</si>
  <si>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</si>
  <si>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</si>
  <si>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</si>
  <si>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</si>
  <si>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</si>
  <si>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</si>
  <si>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</si>
  <si>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</si>
  <si>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</si>
  <si>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</si>
  <si>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</si>
  <si>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</si>
  <si>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</si>
  <si>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</si>
  <si>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</si>
  <si>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</si>
  <si>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</si>
  <si>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</si>
  <si>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</si>
  <si>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</si>
  <si>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</si>
  <si>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</si>
  <si>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</si>
  <si>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</si>
  <si>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</si>
  <si>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</si>
  <si>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</si>
  <si>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</si>
  <si>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</si>
  <si>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</si>
  <si>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</si>
  <si>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</si>
  <si>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</si>
  <si>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</si>
  <si>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</si>
  <si>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</si>
  <si>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</si>
  <si>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</si>
  <si>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</si>
  <si>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</si>
  <si>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</si>
  <si>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</si>
  <si>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</si>
  <si>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</si>
  <si>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</si>
  <si>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</si>
  <si>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</si>
  <si>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</si>
  <si>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</si>
  <si>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</si>
  <si>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</si>
  <si>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</si>
  <si>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</si>
  <si>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</si>
  <si>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</si>
  <si>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</si>
  <si>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</si>
  <si>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</si>
  <si>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</si>
  <si>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</si>
  <si>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</si>
  <si>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</si>
  <si>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</si>
  <si>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</si>
  <si>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</si>
  <si>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</si>
  <si>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</si>
  <si>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</si>
  <si>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</si>
  <si>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</si>
  <si>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</si>
  <si>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</si>
  <si>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</si>
  <si>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</si>
  <si>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</si>
  <si>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</si>
  <si>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</si>
  <si>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</si>
  <si>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</si>
  <si>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</si>
  <si>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</si>
  <si>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</si>
  <si>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</si>
  <si>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</si>
  <si>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</si>
  <si>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</si>
  <si>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</si>
  <si>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</si>
  <si>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</si>
  <si>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</si>
  <si>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</si>
  <si>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</si>
  <si>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</si>
  <si>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</si>
  <si>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</si>
  <si>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</si>
  <si>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</si>
  <si>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</si>
  <si>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</si>
  <si>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</si>
  <si>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</si>
  <si>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</si>
  <si>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</si>
  <si>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</si>
  <si>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</si>
  <si>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</si>
  <si>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</si>
  <si>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</si>
  <si>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</si>
  <si>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</si>
  <si>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</si>
  <si>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</si>
  <si>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</si>
  <si>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</si>
  <si>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</si>
  <si>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</si>
  <si>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</si>
  <si>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</si>
  <si>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</si>
  <si>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</si>
  <si>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</si>
  <si>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</si>
  <si>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</si>
  <si>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</si>
  <si>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</si>
  <si>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</si>
  <si>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</si>
  <si>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</si>
  <si>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</si>
  <si>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</si>
  <si>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</si>
  <si>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</si>
  <si>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</si>
  <si>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</si>
  <si>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</si>
  <si>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</si>
  <si>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</si>
  <si>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</si>
  <si>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</si>
  <si>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</si>
  <si>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</si>
  <si>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</si>
  <si>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</si>
  <si>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</si>
  <si>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</si>
  <si>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</si>
  <si>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</si>
  <si>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</si>
  <si>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</si>
  <si>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</si>
  <si>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</si>
  <si>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</si>
  <si>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</si>
  <si>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</si>
  <si>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</si>
  <si>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</si>
  <si>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</si>
  <si>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</si>
  <si>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</si>
  <si>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AFB-PNM</t>
  </si>
  <si>
    <t>AFB-RNT</t>
  </si>
  <si>
    <t>AFB-SIFLORE</t>
  </si>
  <si>
    <t>AFB-SISPEA</t>
  </si>
  <si>
    <t>AS24-Redmine</t>
  </si>
  <si>
    <t>AS24-ChantierPIC</t>
  </si>
  <si>
    <t>BRGM-BDLISA</t>
  </si>
  <si>
    <t>BRGM-BNPE</t>
  </si>
  <si>
    <t>BRGM-DEGATS-MINERS</t>
  </si>
  <si>
    <t>CA-TITRES-COGNOS</t>
  </si>
  <si>
    <t>CA-TITRES-CRR</t>
  </si>
  <si>
    <t>DEVIS-DEVIS</t>
  </si>
  <si>
    <t>ONE_SHOT</t>
  </si>
  <si>
    <t>DIG-Perform</t>
  </si>
  <si>
    <t>EDI-MUT-EDI-MUT-DEV</t>
  </si>
  <si>
    <t>EDI-MUT-EDI-MUT</t>
  </si>
  <si>
    <t>Fablab-BeeFlex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</si>
  <si>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</si>
  <si>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</si>
  <si>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</si>
  <si>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</si>
  <si>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</si>
  <si>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</si>
  <si>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</si>
  <si>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</si>
  <si>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</si>
  <si>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</si>
  <si>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</si>
  <si>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</si>
  <si>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</si>
  <si>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</si>
  <si>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</si>
  <si>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GFI-Jetbrain serveur licence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</si>
  <si>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</si>
  <si>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</si>
  <si>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</si>
  <si>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</si>
  <si>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</si>
  <si>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</si>
  <si>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</si>
  <si>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Infra Réseau Orléans</t>
  </si>
  <si>
    <t>GFI-Oceanet Orléans PIC</t>
  </si>
  <si>
    <t>GFI-Outil de notification automatique Jira (Niort)</t>
  </si>
  <si>
    <t>GFI-POC Android</t>
  </si>
  <si>
    <t>GFI-POC Kubernetes Vault</t>
  </si>
  <si>
    <t>GFI-Redmine Niort</t>
  </si>
  <si>
    <t>GFI-Redmine Orléans</t>
  </si>
  <si>
    <t>GFI-TENDER</t>
  </si>
  <si>
    <t>GFI-WE SPEC</t>
  </si>
  <si>
    <t>GIE S-V-Mantis - RR</t>
  </si>
  <si>
    <t>GIE S-V-Infra Citrix</t>
  </si>
  <si>
    <t>GIP RECIA-Plateformes CLOUD / Edition</t>
  </si>
  <si>
    <t>IT-CE-TMA</t>
  </si>
  <si>
    <t>LA POSTE-CDC-DRUPAL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</si>
  <si>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</si>
  <si>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</si>
  <si>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</si>
  <si>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</si>
  <si>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</si>
  <si>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</si>
  <si>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</si>
  <si>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</si>
  <si>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</si>
  <si>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</si>
  <si>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</si>
  <si>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</si>
  <si>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</si>
  <si>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MEAE-Prevoirh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</si>
  <si>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</si>
  <si>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</si>
  <si>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</si>
  <si>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</si>
  <si>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</si>
  <si>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</si>
  <si>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</si>
  <si>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</si>
  <si>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</si>
  <si>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</si>
  <si>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</si>
  <si>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</si>
  <si>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STMICRO-STARK</t>
  </si>
  <si>
    <t>Vivesco-Vives-taux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</si>
  <si>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</si>
  <si>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</si>
  <si>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</si>
  <si>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</si>
  <si>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</si>
  <si>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</si>
  <si>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</si>
  <si>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</si>
  <si>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</si>
  <si>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</si>
  <si>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</si>
  <si>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</si>
  <si>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</si>
  <si>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</si>
  <si>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</si>
  <si>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</si>
  <si>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</si>
  <si>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</si>
  <si>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</si>
  <si>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</si>
  <si>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</si>
  <si>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ASPE</t>
  </si>
  <si>
    <t>Jean-Philippe STROIAZZO</t>
  </si>
  <si>
    <t>Nicolas CHAMPIOT</t>
  </si>
  <si>
    <t>ONEMA/TMADCUA-15</t>
  </si>
  <si>
    <t>Code Syges à valider !!!!</t>
  </si>
  <si>
    <t>BASEINDICATEURS</t>
  </si>
  <si>
    <t>Pierre BOURLIEUX</t>
  </si>
  <si>
    <t>Severine MOINET</t>
  </si>
  <si>
    <t>CARHYCE</t>
  </si>
  <si>
    <t>CATALOGUEINDICATEURS</t>
  </si>
  <si>
    <t>CESMIA</t>
  </si>
  <si>
    <t>Remi ALVERGNAT</t>
  </si>
  <si>
    <t>AFB/OFB_LOT1</t>
  </si>
  <si>
    <t>ENQUETEDEAU</t>
  </si>
  <si>
    <t>GEOBS</t>
  </si>
  <si>
    <t>OISON</t>
  </si>
  <si>
    <t>ONDE</t>
  </si>
  <si>
    <t>Patbiodiv</t>
  </si>
  <si>
    <t>Rodolphe Habegger</t>
  </si>
  <si>
    <t>PNM</t>
  </si>
  <si>
    <t>Eric RAUCOURT</t>
  </si>
  <si>
    <t>Laurent LE LARDEUX</t>
  </si>
  <si>
    <t>AFB/OFB_LOT2</t>
  </si>
  <si>
    <t>PNX</t>
  </si>
  <si>
    <t>RNT</t>
  </si>
  <si>
    <t>Christophe ORLANDO</t>
  </si>
  <si>
    <t>SIFLORE</t>
  </si>
  <si>
    <t>Nicolas FAUVET</t>
  </si>
  <si>
    <t>SISPEA</t>
  </si>
  <si>
    <t>Redmine</t>
  </si>
  <si>
    <t>Florian DUPONT</t>
  </si>
  <si>
    <t>AS24/342220-18</t>
  </si>
  <si>
    <t>TMA PEAGE</t>
  </si>
  <si>
    <t>TRA PEAGE</t>
  </si>
  <si>
    <t>ChantierPIC</t>
  </si>
  <si>
    <t>AS24/ChantierPIC</t>
  </si>
  <si>
    <t>BDLISA</t>
  </si>
  <si>
    <t>BRGM/BDLISA-18</t>
  </si>
  <si>
    <t>BNPE</t>
  </si>
  <si>
    <t>DEGATS-MINERS</t>
  </si>
  <si>
    <t>Adrien RYSSEN</t>
  </si>
  <si>
    <t>BRGM/DEGAT-16</t>
  </si>
  <si>
    <t>BYTEL</t>
  </si>
  <si>
    <t>EDI</t>
  </si>
  <si>
    <t>Paul Noitaky</t>
  </si>
  <si>
    <t>BYTEL-TEDI/267975-15</t>
  </si>
  <si>
    <t>COGNOS</t>
  </si>
  <si>
    <t>Frederic FONDRAS</t>
  </si>
  <si>
    <t>CA-TITRES/TMA</t>
  </si>
  <si>
    <t>CRR</t>
  </si>
  <si>
    <t>CDA</t>
  </si>
  <si>
    <t>BO pour Nestix</t>
  </si>
  <si>
    <t>CG44</t>
  </si>
  <si>
    <t>Software - SMA</t>
  </si>
  <si>
    <t>CNAV</t>
  </si>
  <si>
    <t>BI-RGCU</t>
  </si>
  <si>
    <t>Valerie ASSELIN LOZACHMEUR</t>
  </si>
  <si>
    <t>Eric PERROUD</t>
  </si>
  <si>
    <t>CNAV/BI-SIRRGCU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</si>
  <si>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</si>
  <si>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</si>
  <si>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</si>
  <si>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</si>
  <si>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</si>
  <si>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</si>
  <si>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</si>
  <si>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</si>
  <si>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</si>
  <si>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EDI-MUT-DEV</t>
  </si>
  <si>
    <t>HEBERG-EDI  MUT-2018 - DEV</t>
  </si>
  <si>
    <t>BeeFlex</t>
  </si>
  <si>
    <t>Pierre-Yves Baloche</t>
  </si>
  <si>
    <t>Firmin</t>
  </si>
  <si>
    <t>FOBA</t>
  </si>
  <si>
    <t>Foba</t>
  </si>
  <si>
    <t>Carl PITRE</t>
  </si>
  <si>
    <t>APPLIFRR</t>
  </si>
  <si>
    <t>FRR/TMASI</t>
  </si>
  <si>
    <t>CADENCIER</t>
  </si>
  <si>
    <t>DIGIPAT</t>
  </si>
  <si>
    <t>Alice MARCHAL</t>
  </si>
  <si>
    <t>Patapain</t>
  </si>
  <si>
    <t>STAGEDATA</t>
  </si>
  <si>
    <t>Stephane PETIT</t>
  </si>
  <si>
    <t>TCPOS</t>
  </si>
  <si>
    <t>Theo BEAUDENON</t>
  </si>
  <si>
    <t>Autres</t>
  </si>
  <si>
    <t>Frabrice SARLAT</t>
  </si>
  <si>
    <t>P&amp;T</t>
  </si>
  <si>
    <t>BASECONTACT</t>
  </si>
  <si>
    <t>projet interne</t>
  </si>
  <si>
    <t>Quel est le code Syges ?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</si>
  <si>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</si>
  <si>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</si>
  <si>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</si>
  <si>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</si>
  <si>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</si>
  <si>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</si>
  <si>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</si>
  <si>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</si>
  <si>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</si>
  <si>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Victor CASTRO-CINTAS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</si>
  <si>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</si>
  <si>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</si>
  <si>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</si>
  <si>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</si>
  <si>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</si>
  <si>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</si>
  <si>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</si>
  <si>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</si>
  <si>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</si>
  <si>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</si>
  <si>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</si>
  <si>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</si>
  <si>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</si>
  <si>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</si>
  <si>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</si>
  <si>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GFI Oceanet Infra Réseau</t>
  </si>
  <si>
    <t>Oceanet Infra Modèles</t>
  </si>
  <si>
    <t>Oceanet Infra Réseau</t>
  </si>
  <si>
    <t>Oceanet Infra Réseau Orléans</t>
  </si>
  <si>
    <t>GFI Oceanet Infra Réseau Orléans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</si>
  <si>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</si>
  <si>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</si>
  <si>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</si>
  <si>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</si>
  <si>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</si>
  <si>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</si>
  <si>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</si>
  <si>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</si>
  <si>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POC Kubernetes Vault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</si>
  <si>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</si>
  <si>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</si>
  <si>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</si>
  <si>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</si>
  <si>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</si>
  <si>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</si>
  <si>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</si>
  <si>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</si>
  <si>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</si>
  <si>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</si>
  <si>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</si>
  <si>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</si>
  <si>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</si>
  <si>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Infra Citrix</t>
  </si>
  <si>
    <t>OPTIMA en RR</t>
  </si>
  <si>
    <t>Site</t>
  </si>
  <si>
    <t>Plateformes CLOUD / Edition</t>
  </si>
  <si>
    <t>Frederic DELAIRE</t>
  </si>
  <si>
    <t>IT-CE/DFA</t>
  </si>
  <si>
    <t>CDC-DRUPAL</t>
  </si>
  <si>
    <t>LA-POSTE-CDC-DRUPAL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</si>
  <si>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</si>
  <si>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</si>
  <si>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</si>
  <si>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</si>
  <si>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</si>
  <si>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</si>
  <si>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</si>
  <si>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</si>
  <si>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</si>
  <si>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</si>
  <si>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</si>
  <si>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</si>
  <si>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</si>
  <si>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</si>
  <si>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</si>
  <si>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</si>
  <si>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</si>
  <si>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</si>
  <si>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</si>
  <si>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</si>
  <si>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</si>
  <si>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</si>
  <si>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</si>
  <si>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</si>
  <si>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</si>
  <si>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</si>
  <si>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</si>
  <si>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</si>
  <si>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</si>
  <si>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</si>
  <si>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</si>
  <si>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</si>
  <si>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Prevoirh</t>
  </si>
  <si>
    <t>APAE</t>
  </si>
  <si>
    <t>Pierre LEJEUNE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</si>
  <si>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</si>
  <si>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</si>
  <si>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</si>
  <si>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</si>
  <si>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</si>
  <si>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</si>
  <si>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</si>
  <si>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</si>
  <si>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</si>
  <si>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</si>
  <si>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</si>
  <si>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ONEMA/TMAWEB-16</t>
  </si>
  <si>
    <t>GEOF-SNPE</t>
  </si>
  <si>
    <t>OPALE</t>
  </si>
  <si>
    <t>ALS</t>
  </si>
  <si>
    <t>PCM-WEB</t>
  </si>
  <si>
    <t>WEB</t>
  </si>
  <si>
    <t>Fabienne HERNANDEZ</t>
  </si>
  <si>
    <t>RECIA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</si>
  <si>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</si>
  <si>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</si>
  <si>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</si>
  <si>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</si>
  <si>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</si>
  <si>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</si>
  <si>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</si>
  <si>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</si>
  <si>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</si>
  <si>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</si>
  <si>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</si>
  <si>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</si>
  <si>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</si>
  <si>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</si>
  <si>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</si>
  <si>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</si>
  <si>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</si>
  <si>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</si>
  <si>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</si>
  <si>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</si>
  <si>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</si>
  <si>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</si>
  <si>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</si>
  <si>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</si>
  <si>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</si>
  <si>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</si>
  <si>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</si>
  <si>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</si>
  <si>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</si>
  <si>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?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</si>
  <si>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</si>
  <si>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</si>
  <si>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</si>
  <si>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</si>
  <si>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</si>
  <si>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</si>
  <si>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</si>
  <si>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</si>
  <si>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</si>
  <si>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</si>
  <si>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</si>
  <si>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</si>
  <si>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</si>
  <si>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</si>
  <si>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</si>
  <si>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</si>
  <si>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</si>
  <si>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</si>
  <si>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</si>
  <si>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</si>
  <si>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</si>
  <si>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</si>
  <si>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</si>
  <si>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</si>
  <si>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</si>
  <si>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CECAB-EDI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</si>
  <si>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</si>
  <si>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</si>
  <si>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</si>
  <si>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</si>
  <si>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</si>
  <si>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</si>
  <si>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</si>
  <si>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</si>
  <si>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</si>
  <si>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</si>
  <si>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</si>
  <si>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</si>
  <si>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</si>
  <si>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</si>
  <si>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</si>
  <si>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</si>
  <si>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</si>
  <si>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</si>
  <si>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</si>
  <si>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</si>
  <si>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</si>
  <si>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</si>
  <si>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</si>
  <si>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</si>
  <si>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Lacroix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</si>
  <si>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</si>
  <si>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</si>
  <si>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</si>
  <si>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</si>
  <si>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</si>
  <si>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</si>
  <si>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</si>
  <si>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</si>
  <si>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</si>
  <si>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</si>
  <si>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</si>
  <si>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</si>
  <si>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</si>
  <si>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</si>
  <si>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</si>
  <si>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</si>
  <si>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</si>
  <si>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</si>
  <si>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</si>
  <si>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</si>
  <si>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</si>
  <si>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</si>
  <si>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</si>
  <si>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</si>
  <si>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</si>
  <si>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</si>
  <si>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</si>
  <si>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</si>
  <si>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</si>
  <si>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</si>
  <si>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</si>
  <si>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</si>
  <si>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</si>
  <si>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</si>
  <si>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</si>
  <si>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</si>
  <si>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</si>
  <si>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</si>
  <si>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</si>
  <si>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</si>
  <si>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</si>
  <si>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</si>
  <si>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</si>
  <si>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</si>
  <si>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</si>
  <si>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</si>
  <si>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</si>
  <si>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</si>
  <si>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</si>
  <si>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</si>
  <si>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</t>
  </si>
  <si>
    <t>MMA-TMA-2/202858-15</t>
  </si>
  <si>
    <t>NEXIT-IBMI/315949-17</t>
  </si>
  <si>
    <t>NEXIT</t>
  </si>
  <si>
    <t>NTES-METRO/358120</t>
  </si>
  <si>
    <t>NTES-METRO</t>
  </si>
  <si>
    <t>NTES-METRO/358120-2</t>
  </si>
  <si>
    <t>PCM-SWEB/S262752A</t>
  </si>
  <si>
    <t>PID-1530 TPS-2019 -0-1 Projet Administration PID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</si>
  <si>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</si>
  <si>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</si>
  <si>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</si>
  <si>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</si>
  <si>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</si>
  <si>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</si>
  <si>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</si>
  <si>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</si>
  <si>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</si>
  <si>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</si>
  <si>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</si>
  <si>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</si>
  <si>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</si>
  <si>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</si>
  <si>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</si>
  <si>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SRE-TP</t>
  </si>
  <si>
    <t>STG-EDI/310462-17</t>
  </si>
  <si>
    <t>STG-EDI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</si>
  <si>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</si>
  <si>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</si>
  <si>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</si>
  <si>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</si>
  <si>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</si>
  <si>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</si>
  <si>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</si>
  <si>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</si>
  <si>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</si>
  <si>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</si>
  <si>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</si>
  <si>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</si>
  <si>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</si>
  <si>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</si>
  <si>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</si>
  <si>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</si>
  <si>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</si>
  <si>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</si>
  <si>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</si>
  <si>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</si>
  <si>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</si>
  <si>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</si>
  <si>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</si>
  <si>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</si>
  <si>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</si>
  <si>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</si>
  <si>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</si>
  <si>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</si>
  <si>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</si>
  <si>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</si>
  <si>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</si>
  <si>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</si>
  <si>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</si>
  <si>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</si>
  <si>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</si>
  <si>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</si>
  <si>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</si>
  <si>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</si>
  <si>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</si>
  <si>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</si>
  <si>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</si>
  <si>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</si>
  <si>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</si>
  <si>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de stockage = gratuit en Hyperconvergé car c'est une Infra dédié.
On stocke autant qu'on veut tant qu'il y a de l'espace</t>
  </si>
  <si>
    <t>Tarif_Backup_J15</t>
  </si>
  <si>
    <t>1 Go d'espace disque sauvegardé tous les soirs avec historique
à J-15
=
0,23 euro par Go en Hyperconvergé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</si>
  <si>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</si>
  <si>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</si>
  <si>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</si>
  <si>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</si>
  <si>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Tarif_Astreinte_24_24_7_7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</si>
  <si>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</si>
  <si>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</si>
  <si>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</si>
  <si>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</si>
  <si>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</si>
  <si>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</si>
  <si>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</si>
  <si>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</si>
  <si>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</si>
  <si>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</si>
  <si>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</si>
  <si>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</si>
  <si>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</si>
  <si>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</si>
  <si>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</si>
  <si>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</si>
  <si>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</si>
  <si>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t>Lissage Licence Veeam Backup en mode achat</t>
  </si>
  <si>
    <t>CAU OS - Liences veeam N°42690 - 20082020_signé.pdf</t>
  </si>
  <si>
    <t>sans les licence Veeam déjà payées, pour faire les DA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</si>
  <si>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</si>
  <si>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Les licence Microsoft ne sont finalement plus à acheter, car déjà éligibles par la location de l'Infra HPE Simplivity !!!</t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</si>
  <si>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</si>
  <si>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</si>
  <si>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</si>
  <si>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</si>
  <si>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</si>
  <si>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</si>
  <si>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</si>
  <si>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</si>
  <si>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</si>
  <si>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</si>
  <si>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Récupérer un export à jour.
Attention, 3 projets sont sur un CostCenter spécial "CostCenterDI". Ce coût est automatiquement ventilé sur l'ensemble des autres projets</t>
  </si>
  <si>
    <t>Projets</t>
  </si>
  <si>
    <t>Référencer les projets</t>
  </si>
  <si>
    <t>Récupérer un export du fichier AffectCollabV2.
Attention, la colonne SYGES n'est pas un champ libre. Il faut choisir une valeur existante provenant de l'onget "CONTRATS DI"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</si>
  <si>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</si>
  <si>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</si>
  <si>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</si>
  <si>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</si>
  <si>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</si>
  <si>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</si>
  <si>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Récupérer un export à jour à l'aide d'un script VMWare PowerCLI</t>
  </si>
  <si>
    <t>Mutualise</t>
  </si>
  <si>
    <t>Consolider les données</t>
  </si>
  <si>
    <t>Synt_Glob_Rep_CostCenter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</si>
  <si>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</si>
  <si>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Synthèse_Cout_Ressources</t>
  </si>
  <si>
    <t>Tarifs</t>
  </si>
  <si>
    <t>Tarifs utilisés dans les formules de calcul de coût</t>
  </si>
  <si>
    <t>GlobalARepartir</t>
  </si>
  <si>
    <t>3 valeurs fixes qui sont automatiquement répartie sur tous les projets :
GlobalARepartirSansMS
GlobalARepartirMSOnly
GlobalARepartirInfraReseau = Coût des 3 projets qui sont sur un CostCenter spécial "CostCenterDI"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</si>
  <si>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</si>
  <si>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</si>
  <si>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</si>
  <si>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</si>
  <si>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</si>
  <si>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</si>
  <si>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MP-DCK-BFLX-002</t>
  </si>
  <si>
    <t>MP-DCK-BFLX-003</t>
  </si>
  <si>
    <t>Fablab-BeeFlex .:. PREPROD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</si>
  <si>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</si>
  <si>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</si>
  <si>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</si>
  <si>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MEAE-Prevoirh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</si>
  <si>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</si>
  <si>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</si>
  <si>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</si>
  <si>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</si>
  <si>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EDI-MUT-EDI-MUT - HEBERG-EDI  MUT-2018 - David LEMALHEUX</t>
  </si>
  <si>
    <t>DIG-Perform - SUPP-DIGI - 1530-2018 - 0 - 1 - Tache 1 - Perform - Vincent MERIAU</t>
  </si>
  <si>
    <t>GFI-Linkus - SILICONE - 1530-2018 - 0 - 2 - Tache 2 – ORS - Michael Le-Ridant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</si>
  <si>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</si>
  <si>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</si>
  <si>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</si>
  <si>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GFI-Jetbrain serveur licence - GFI-Jetbrain serveur licence - Jérôme JACOB</t>
  </si>
  <si>
    <t>GFI-Redmine Niort - GFI Redmine Niort - Philippe De Guio</t>
  </si>
  <si>
    <t>GFI-POC Kubernetes Vault - SUPP-DIGI - 1530-2018 - 0 - 1 - Tache 1 - Perform - Jérôme JACOB</t>
  </si>
  <si>
    <t>GFI-MY BUSINESS - GFIINT2019/ NRT-PJINT - Philippe De Guio</t>
  </si>
  <si>
    <t>GFI-Outil de notification automatique Jira (Niort) - GFIINT2019/ NRT-PJINT - Philippe De Guio</t>
  </si>
  <si>
    <t>LA POSTE-SIBP - LAPOST-SIB - 382233 - 0 - 1 - Refonte du portail SIBP - Nicolas Legros</t>
  </si>
  <si>
    <t>MACIF-Transverse - MACIF-PHP/284244-17 - Yann-Herve Mauguen</t>
  </si>
  <si>
    <t>GIE S-V-Mantis - RR - GIESV/PCN17-01 - Nicolas Cordier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</si>
</sst>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0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65.699672106479" createdVersion="6" refreshedVersion="6" minRefreshableVersion="3" recordCount="243" xr:uid="{00000000-000A-0000-FFFF-FFFF00000000}">
  <cacheSource type="worksheet">
    <worksheetSource name="TabVMEnv"/>
  </cacheSource>
  <cacheFields count="28">
    <cacheField name="VM" numFmtId="0">
      <sharedItems count="382">
        <s v="CENTOS-8-v01"/>
        <s v="Cert_*.gfisocialrobotics.com"/>
        <s v="Cert_*.sroboticsd.com"/>
        <s v="Cert_*.sroboticsp.com"/>
        <s v="DEBIAN-10.0"/>
        <s v="DEBIAN-10.5"/>
        <s v="DEBIAN-9.4.0-v04"/>
        <s v="DNS_asogfi.fr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GIT-AS24-002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K8S-001"/>
        <s v="GD-K8S-002"/>
        <s v="GD-MAIL-MAE-001"/>
        <s v="GD-MEAE-API-001"/>
        <s v="GD-MEAE-IDP-001"/>
        <s v="GD-MYS-002-2"/>
        <s v="GD-PIC-MEAE-001"/>
        <s v="GD-PSQL-MAE-003"/>
        <s v="GD-PSQL-MAE-005"/>
        <s v="GD-PSQL-MAE-006"/>
        <s v="GD-PYT-NIORT-001"/>
        <s v="GD-SQL-MEAE-003"/>
        <s v="GD-SVN-MEAE-001"/>
        <s v="GD-W7-VISM-001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SFTP-ATMP-001"/>
        <s v="GQ-WEB-MP-001"/>
        <s v="GQ-WEB-SIBP-001"/>
        <s v="GQ-WEB-WESPEC-001"/>
        <s v="IPPUB_80.74.66.43"/>
        <s v="IPPUB_80.74.66.44"/>
        <s v="IPPUB_80.74.66.61"/>
        <s v="IPPUB_80.74.66.62"/>
        <s v="IPPUB_80.74.66.63"/>
        <s v="MA-DNS172-001"/>
        <s v="MA-DNSLDAP-001"/>
        <s v="MP-CENTREON-002_2"/>
        <s v="MP-DCK-BFLX-001"/>
        <s v="MP-DCK-BFLX-002"/>
        <s v="MP-DCK-BFLX-003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DOCKER-030"/>
        <s v="MP-DOCKER-031"/>
        <s v="MP-MAIL-003"/>
        <s v="MP-MAIL-006"/>
        <s v="MP-MYS-FRR-001"/>
        <s v="MP-PHP-FRR-001"/>
        <s v="MP-PHP-ROBO-007"/>
        <s v="MP-PHP-ROBO-020"/>
        <s v="MP-REBOND-001"/>
        <s v="MS-AUT-GFI-001"/>
        <s v="MS-DCK-CDC-001"/>
        <s v="MS-DCK-CDR-001"/>
        <s v="MS-DCK-CDR-002"/>
        <s v="MS-DCK-PNM-001"/>
        <s v="MS-DNS-001"/>
        <s v="MS-EVRDAY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TLK-001"/>
        <s v="MW-FTP-001"/>
        <s v="MW-MAIL-004"/>
        <s v="MW-OPENVPN-001"/>
        <s v="MW-PROXYHTTP-001"/>
        <s v="MW-PROXYHTTP-003"/>
        <s v="MW-PROXYHTTP-004"/>
        <s v="MW-SFTP-001"/>
        <s v="TPL-W2012R2-001"/>
        <s v="TPL-W2019-v01"/>
        <s v="TPL-WIN10-v01"/>
        <s v="UBUNTU-16-04"/>
        <s v="UBUNTU-20-04_v02"/>
        <s v="UBUNTU-20-04_v05"/>
        <s v="VLAN_10.20.19.0/254"/>
        <s v="VLAN_10.20.20.0/254"/>
        <s v="VLAN_10.20.21.0/254"/>
        <s v="VLAN_10.20.22.0/254"/>
        <s v="VLAN_10.20.23.0/254"/>
        <s v="VLAN_10.20.32.0/254"/>
        <s v="VLAN_10.20.33.0/254"/>
        <s v="VLAN_10.20.34.0/254"/>
        <s v="VLAN_10.20.35.0/254"/>
        <s v="VLAN_10.20.4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MS-PHP-PATP-001" u="1"/>
        <s v="VLAN_10.20.51.0/254" u="1"/>
        <s v="GD-EDI-002" u="1"/>
        <s v="GD-ARO-MAE-002" u="1"/>
        <s v="MP-PHP-ROBO-010" u="1"/>
        <s v="DOCKER-FIRMIN-v1" u="1"/>
        <s v="VLAN_10.20.40.0/254" u="1"/>
        <s v="MP-MYS-IXXI-001" u="1"/>
        <s v="Cert_www.gfidevfight.com" u="1"/>
        <s v="MP-PHP-RATP-001" u="1"/>
        <s v="MP-PHP-ROBO-019" u="1"/>
        <s v="IPPUB_80.74.76.142" u="1"/>
        <s v="DEVIS-FORFAIT-Build 1j" u="1"/>
        <s v="MP-EDI-005" u="1"/>
        <s v="FRORDVAP017" u="1"/>
        <s v="GQ-PHP-ROBO-001" u="1"/>
        <s v="IPPUB_80.74.76.143" u="1"/>
        <s v="MP-MYS-DAN-001" u="1"/>
        <s v="TPL-W2008R2-002" u="1"/>
        <s v="VLAN_10.20.37.0/254" u="1"/>
        <s v="GQ-MYS-001" u="1"/>
        <s v="MS-GIE-WIN10-001" u="1"/>
        <s v="IPPUB_80.74.66.45" u="1"/>
        <s v="IPPUB_80.74.76.29" u="1"/>
        <s v="IPPUB_80.74.76.182" u="1"/>
        <s v="MP-MYS-001" u="1"/>
        <s v="GQ-PHP-BRET-001" u="1"/>
        <s v="GM-UBUNTU-004" u="1"/>
        <s v="GD-HOR5-MAE-005" u="1"/>
        <s v="MP-PHP-SBRE-001" u="1"/>
        <s v="MP-PHP-ROBO-015" u="1"/>
        <s v="Astreinte_24_24_7_7_MP-MAIL-001" u="1"/>
        <s v="GM-DEBIAN-004" u="1"/>
        <s v="MQ-ARO-MAE-001" u="1"/>
        <s v="GD-JAVA-AS24-001" u="1"/>
        <s v="GD-JENK-AS24-001" u="1"/>
        <s v="DEVIS-VM-APPLI-2XLARGE" u="1"/>
        <s v="MS-JAV-NIORT-001" u="1"/>
        <s v="MP-MAIL-001" u="1"/>
        <s v="DNS_gfidevfight.fr" u="1"/>
        <s v="MP-DOCKER-016" u="1"/>
        <s v="MS-DCK-ALS-001" u="1"/>
        <s v="MP-PHP-ROBO-006" u="1"/>
        <s v="DNS_gfidevfight.info" u="1"/>
        <s v="GD-ORACLE-XE-AS24-001" u="1"/>
        <s v="MS-GIE-APP-001" u="1"/>
        <s v="MP-WDP-ROBO-002" u="1"/>
        <s v="MO-SVN-001" u="1"/>
        <s v="MP-CENTREON-002" u="1"/>
        <s v="MP-PHP-IXXI-001" u="1"/>
        <s v="MP-PHP-ROBO-011" u="1"/>
        <s v="MW-PROXYHTTP-002" u="1"/>
        <s v="VLAN_10.20.18.0/254" u="1"/>
        <s v="DEVIS-VM-APPLI-MEDIUM" u="1"/>
        <s v="UBUNTU-20-04" u="1"/>
        <s v="MP-PHP-DAN-001" u="1"/>
        <s v="GD-PHP-ROBO-001" u="1"/>
        <s v="GQ-PHP-ROBO-002" u="1"/>
        <s v="GD-PIC-ANDRO-001" u="1"/>
        <s v="GM-PROXYHTTP-001" u="1"/>
        <s v="MP-MAIL-002" u="1"/>
        <s v="GD-PSQL-MAE-002" u="1"/>
        <s v="IPPUB_80.74.76.208" u="1"/>
        <s v="GD-MYS-001" u="1"/>
        <s v="MW-GIE-NTSC-001" u="1"/>
        <s v="DNS_gfidevfight.com" u="1"/>
        <s v="MO-GITLAB-001" u="1"/>
        <s v="FRORDVAP024-old" u="1"/>
        <s v="MS-FOBA-001" u="1"/>
        <s v="MP-PHP-ROBO-016" u="1"/>
        <s v="MS-GLPI-GFI-003" u="1"/>
        <s v="GD-JAVA-AS24-002" u="1"/>
        <s v="GD-JENK-AS24-002" u="1"/>
        <s v="Astreinte_24_24_7_7_MW-PHP-EDI-001" u="1"/>
        <s v="MW-PHP-EDI-001" u="1"/>
        <s v="MQ-PSQL-MAE-001" u="1"/>
        <s v="GO-PROXYSQUID-001" u="1"/>
        <s v="FRORDVAP002" u="1"/>
        <s v="TPL-WIN7-001" u="1"/>
        <s v="MS-GIE-AD-001" u="1"/>
        <s v="MQ-SQL-MAEE-002" u="1"/>
        <s v="DEVIS-VM-LIN-ETUDES" u="1"/>
        <s v="DEVIS-VM-WIN-ETUDES" u="1"/>
        <s v="VLAN_10.20.30.0/254" u="1"/>
        <s v="MP-DOCKER-025" u="1"/>
        <s v="GD-ORA-001" u="1"/>
        <s v="MQ-PHP-ATMP-001" u="1"/>
        <s v="GM-CENTOS-005" u="1"/>
        <s v="MS-PHP-GFI-002" u="1"/>
        <s v="MP-PHP-ROBO-012" u="1"/>
        <s v="GM-PROXYHTTP-002" u="1"/>
        <s v="DEVIS-VM-BDD-LARGE" u="1"/>
        <s v="GM-REBOND-001" u="1"/>
        <s v="GQ-PHP-SINOE-001" u="1"/>
        <s v="Cert_citrix-gie-sv.asogfi.fr " u="1"/>
        <s v="MP-MYS-006" u="1"/>
        <s v="MO-PIC-MAE-001" u="1"/>
        <s v="GD-A3-MAE-001" u="1"/>
        <s v="GM-DEBIAN-005" u="1"/>
        <s v="MQ-HOR5-MAE-001" u="1"/>
        <s v="IPPUB_80.74.76.160" u="1"/>
        <s v="VLAN_10.20.44.0/254" u="1"/>
        <s v="VM-DEVIS-DEV" u="1"/>
        <s v="GD-BDD-FOBA-001" u="1"/>
        <s v="DEVIS-VM-MINI" u="1"/>
        <s v="GM-DOCKER-001" u="1"/>
        <s v="GQ-JAV-ORL-001" u="1"/>
        <s v="MP-PHP-ROBO-017" u="1"/>
        <s v="MP-GLPI-FIRM-001" u="1"/>
        <s v="GQ-PHP-ADV-001" u="1"/>
        <s v="GD-AS24-TNL-001" u="1"/>
        <s v="MQ-MYS-001" u="1"/>
        <s v="GD-DNS-TEST" u="1"/>
        <s v="GQ-ORA-006_2" u="1"/>
        <s v="GD-DOM-003" u="1"/>
        <s v="MO-MAIL-001" u="1"/>
        <s v="GQ-JAV-POP-001" u="1"/>
        <s v="DEVIS-FORFAIT-Infogérance-Monitoring 0,5j" u="1"/>
        <s v="MS-GIE-CTRX-001" u="1"/>
        <s v="GM-CENTOS-003" u="1"/>
        <s v="GD-PHP-SANDBOX-001" u="1"/>
        <s v="DNS_gfidevfight.net" u="1"/>
        <s v="VLAN_10.20.36.0/254" u="1"/>
        <s v="Astreinte_24_24_7_7_MP-EDI-004" u="1"/>
        <s v="GM-UBUNTU-003" u="1"/>
        <s v="FRORDVAP005" u="1"/>
        <s v="GD-PSQL-MAE-004" u="1"/>
        <s v="GD-ARO-MAE-001_v1" u="1"/>
        <s v="DEBIAN-9.4.0-v02" u="1"/>
        <s v="GD-ORA-005" u="1"/>
        <s v="IPPUB_80.74.76.113" u="1"/>
        <s v="DNS_gfidevfight.org" u="1"/>
        <s v="VLAN_10.20.42.0/254" u="1"/>
        <s v="VLAN_10.20.31.0/254" u="1"/>
        <s v="IPPUB_80.74.66.42" u="1"/>
        <s v="GO-JEN-SLAVE-001" u="1"/>
        <s v="Astreinte_24_24_7_7_MP-EDI-005" u="1"/>
        <s v="GD-VAULT-001" u="1"/>
        <s v="GM-CENTOS-006" u="1"/>
        <s v="MP-MYS-RATP-001" u="1"/>
        <s v="MS-DCK-PCE-001" u="1"/>
        <s v="TPL-W2008R2-001" u="1"/>
        <s v="GD-MYS-FOBA-001" u="1"/>
        <s v="MS-AD2012-001" u="1"/>
        <s v="GD-SQL-MAEE-001" u="1"/>
        <s v="GFI-FWA-FGT-VM02V" u="1"/>
        <s v="GD-JAV-POP-001" u="1"/>
        <s v="GD-GIT-AS24-001" u="1"/>
        <s v="GD-HOR5-MAE-004" u="1"/>
        <s v="MQ-PROXYHTTP-001" u="1"/>
        <s v="IPPUB_80.74.76.159" u="1"/>
        <s v="GM-DEBIAN-006" u="1"/>
        <s v="MP-MYS-SBRE-001" u="1"/>
        <s v="MP-PHP-ROBO-014" u="1"/>
        <s v="VLAN_10.20.45.0/254" u="1"/>
        <s v="GD-EDI-001" u="1"/>
        <s v="GD-TMP-ANSIBLE-001" u="1"/>
        <s v="GO-W7-VCLD-001" u="1"/>
        <s v="GQ-PHP-PUMA-001" u="1"/>
        <s v="MP-PCM-001" u="1"/>
        <s v="GQ-PHP-OPOSSUM-001" u="1"/>
        <s v="MP-EDI-004" u="1"/>
        <s v="MS-SUIVIVM-001" u="1"/>
        <s v="GQ-PHP-STI5-001" u="1"/>
        <s v="FRORDVDB017" u="1"/>
      </sharedItems>
    </cacheField>
    <cacheField name="EnvProjet" numFmtId="0">
      <sharedItems/>
    </cacheField>
    <cacheField name="Commentaire" numFmtId="0">
      <sharedItems containsBlank="1" count="37">
        <m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Pic MEAE Supervisa VISMAIL"/>
        <s v="A éteindre dans un futur proche_x000a_PGSQL non SSL_x000a_…. QUID utilisation rendez-vous ?_x000a_"/>
        <s v="_x000a_Environnement PostgreSQL à priori utilisé selon Jérôme"/>
        <s v="MEAE VISA - Nouvelle VM SQL Standard"/>
        <s v="sources VISMAILWEB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aaaaa"/>
        <s v="Attention, il y a le Wikicsr !!! Et le WikiMacif pour Niort"/>
        <s v="suppr" u="1"/>
        <s v="A archiver ?" u="1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fhfghfgh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4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09.45"/>
    </cacheField>
    <cacheField name="SYGES" numFmtId="0">
      <sharedItems containsMixedTypes="1" containsNumber="1" containsInteger="1" minValue="0" maxValue="0" count="40">
        <s v="GFI Oceanet Infra Réseau"/>
        <s v="Fablab-Firmin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Fablab-BeeFlex"/>
        <s v="LA-POSTE-CDC-DRUPAL"/>
        <s v="ONEMA/TMAWEB-16"/>
        <s v="AFB/OFB_LOT2"/>
        <s v="GIESV/PCN17-01"/>
        <s v="MACIF-PHP/284244-17"/>
        <s v="GFI Redmine Niort"/>
        <s v="MAE-PII-L2/334179"/>
        <s v="GFI Redmine Orléans"/>
        <s v="HEBERG-EDI  MUT-2018"/>
        <s v="PRIZER-TMA"/>
        <n v="0" u="1"/>
      </sharedItems>
    </cacheField>
    <cacheField name="Client" numFmtId="0">
      <sharedItems containsMixedTypes="1" containsNumber="1" containsInteger="1" minValue="0" maxValue="0" count="23"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AFB"/>
        <s v="GIESV"/>
        <s v="MACIF"/>
        <s v="HEBERG-EDI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46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56.16807340333278"/>
    </cacheField>
    <cacheField name="CoutGlobalFinal" numFmtId="44">
      <sharedItems containsSemiMixedTypes="0" containsString="0" containsNumber="1" minValue="0" maxValue="231.06807340333279"/>
    </cacheField>
    <cacheField name="Projet" numFmtId="0">
      <sharedItems count="314">
        <s v="GFI-Oceanet Infra Modèles - GFI Oceanet Infra Réseau - Jérôme JACOB"/>
        <s v="Fablab-Firmin - Fablab-Firmin - Pierre-Yves Baloche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MENESR-BNIE - MENESR/TMA - Pierre BOURLIEUX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AS24-ChantierPIC - AS24/ChantierPIC - Florian DUPONT"/>
        <s v="GFI-MY BUSINESS - GFIINT2019/ NRT-PJINT - Philippe De Guio"/>
        <s v="GFI-POC Kubernetes Vault - SUPP-DIGI - 1530-2018 - 0 - 1 - Tache 1 - Perform - Jérôme JACOB"/>
        <s v="MEAE-Prevoirh - MAE-PII-L2/334179-17 - Axel Benoist-Gironiere"/>
        <s v="Vivesco-Vives-taux - VIVESC-TAU/S240776A - Pierre Maurupt"/>
        <s v="GFI-Outil de notification automatique Jira (Niort) - GFIINT2019/ NRT-PJINT - Philippe De Guio"/>
        <s v="GFI-Oceanet Gestion VM - GFI Oceanet Infra Réseau - Jérôme JACOB"/>
        <s v="ADEME-SAGA - ADE-SAGA/S364196A - Pascale CRINE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Fablab-BeeFlex - Fablab-BeeFlex - Pierre-Yves Baloche"/>
        <s v="GFI-Linkus - SILICONE - 1530-2018 - 0 - 2 - Tache 2 – ORS - Michael Le-Ridant"/>
        <s v="LA POSTE-CDC-DRUPAL - LA-POSTE-CDC-DRUPAL - Christophe ORLANDO"/>
        <s v="ONEMA-CDR - TMA WEB - ONEMA/TMAWEB-16 - Pierre BOURLIEUX"/>
        <s v="AFB-PNM - AFB/OFB_LOT2 - Eric RAUCOURT"/>
        <s v="GFI-EveryDaily - SUPP-DIGI - 1530-2018 - 0 - 1 - Tache 1 - Perform - Vincent MERIAU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EDI-MUT-EDI-MUT - HEBERG-EDI  MUT-2018 - David LEMALHEUX"/>
        <s v="PRIZER-TMA - PRIZER-TMA - Valerie ASSELIN LOZACHMEUR"/>
        <s v="FRR-STAGEDATA" u="1"/>
        <s v="AFB-ASPE - ONEMA/TMADCUA-15" u="1"/>
        <s v="AFB-ONDE - ONEMA/TMADCUA-15" u="1"/>
        <s v="CA-TITRES-CRR - CA-TITRES/TMA - 0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ONEMA-OPALE - ONEMA/TMADCIE-15 - Christophe ORLANDO" u="1"/>
        <s v="STIMICRO-RUN2RUN - 0" u="1"/>
        <s v="AFB-GEOBS - ONEMA/TMADCUA-15 - Christophe ORLANDO" u="1"/>
        <s v="AFB-OISON - ONEMA/TMADCUA-15 - Christophe ORLANDO" u="1"/>
        <s v="LA POSTE-SIBP - LAPOST-SIB - 382233 - 0 - 1 - Refonte du portail SIBP" u="1"/>
        <s v="GFI-Outil de notification automatique Jira (Niort) - 0 - Philippe De Guio" u="1"/>
        <s v="IT-CE-TMA" u="1"/>
        <s v="AS24-Redmine" u="1"/>
        <s v="GFI-GitLab Orléans - 0 - 0" u="1"/>
        <s v="AFB-Patbiodiv - ONEMA/TMADCUA-15 - Christophe ORLANDO" u="1"/>
        <s v="GFI-Oceanet Gestion VM - PID-1530 TPS-2019 -0-1 Projet Administration PID - Jérôme JACOB" u="1"/>
        <s v="AFB-ENQUETEDEAU" u="1"/>
        <s v="GFI-MY BUSINESS" u="1"/>
        <s v="CA-TITRES-CRR - CA-TITRES/TMA - Christophe ORLANDO" u="1"/>
        <s v="GFI-Gestionnaire de devis (Niort) - GFIINT2019/ NRT-PJINT" u="1"/>
        <s v="STMICRO-RUN2RUN - STIMICRO/TMA-R2R-17 - Christophe ORLANDO" u="1"/>
        <s v="PCM-ALS - 0 - 0" u="1"/>
        <s v="ONEMA-ASPE - ONEMA/TMADCIE-15" u="1"/>
        <s v="GIP RECIA-Plateformes CLOUD / Edition - 0" u="1"/>
        <s v="FRR-CADENCIER - FRR/TMASI - Rodolphe Habegger" u="1"/>
        <s v="FRR-STAGEDATA - FRR/TMASI - Rodolphe Habegger" u="1"/>
        <s v="GIE S-V-Infra Citrix - GIESV/PCN17-01 - Nicolas Cordier" u="1"/>
        <s v="FOBA-Foba - 0" u="1"/>
        <s v="IT-CE-TMA - IT-CE/DFA" u="1"/>
        <s v="Gest'ea / OUGC-Gest'ea / OUGC - 0 - 0" u="1"/>
        <s v="FRR-APPLIFRR - FRR/TMASI - Rodolphe Habegger" u="1"/>
        <s v="PRIZER-TMA - PRIZER-TMA - Christophe ORLANDO" u="1"/>
        <s v="CA-TITRES-CRR" u="1"/>
        <s v="ONEMA-OPALE" u="1"/>
        <s v="GFI-Redmine Orléans - 0" u="1"/>
        <s v="BRGM-BDLISA - BRGM/BDLISA-18" u="1"/>
        <s v="EDI-MUT-EDI-MUT-DEV - HEBERG-EDI  MUT-2018 - DEV - David LEMALHEUX" u="1"/>
        <s v="GFI-Oceanet Gestion VM - PID-1530 TPS-2019 -0-1 Projet Administration PID" u="1"/>
        <s v="Gest'ea / OUGC-Gest'ea / OUGC - 0 - Christophe ORLANDO" u="1"/>
        <s v="AFB-GEOBS" u="1"/>
        <s v="BRGM-DEGATS-MINERS - BRGM/DEGAT-16" u="1"/>
        <s v="BRGM-BNPE - BRGM/BDLISA-18 - Christophe ORLANDO" u="1"/>
        <s v="MEAE-Hornet" u="1"/>
        <s v="RECIA-GRR - RECIA/AC-18" u="1"/>
        <s v="GFI-Oceanet Infra Réseau" u="1"/>
        <s v="GFI-GitLab Orléans - GitLab Orléans - Christophe ORLANDO" u="1"/>
        <s v="AFB-CARHYCE" u="1"/>
        <s v="GFI-EveryDaily - SUPP-DIGI - 1530-2018 - 0 - 1 - Tache 1 - Perform - 0" u="1"/>
        <s v="GFI-POC Android - SUPP-DIGI - 1530-2018 - 0 - 1 - Tache 1 - Perform - 0" u="1"/>
        <s v="ADEME-SINOE" u="1"/>
        <s v="GFI-Dev Fight - 0" u="1"/>
        <s v="GFI-Gestionnaire de tickets (Niort)" u="1"/>
        <s v="LA POSTE-SIBP - LAPOST-SIB - 382233 - 0 - 1 - Refonte du portail SIBP - 0" u="1"/>
        <s v="GFI-POC Android" u="1"/>
        <s v="BRGM-BNPE" u="1"/>
        <s v="GFI-Dev Fight" u="1"/>
        <s v="LA POSTE-OPOSSUM" u="1"/>
        <s v="GFI-Oceanet Infra Modèles - PID-1530 TPS-2019 -0-1 Projet Administration PID - 0" u="1"/>
        <s v="PRIZER-TMA" u="1"/>
        <s v="GFI-GitLab Orléans - 0" u="1"/>
        <s v="AFB-ENQUETEDEAU - ONEMA/TMADCUA-15" u="1"/>
        <s v="GFI-Oceanet Orléans PIC - 0 - Christophe ORLANDO" u="1"/>
        <s v="AFB-SISPEA - ONEMA/TMADCUA-15 - Christophe ORLANDO" u="1"/>
        <s v="GIP RECIA-Plateformes CLOUD / Edition - 0 - Christophe ORLANDO" u="1"/>
        <s v="AFB-Patbiodiv" u="1"/>
        <s v="ONEMA-OPALE - ONEMA/TMADCIE-15 - 0" u="1"/>
        <s v="GFI-Linkus - SILICONE - 1530-2018 - 0 - 2 - Tache 2 – ORS" u="1"/>
        <s v="GFI-POC Android - SUPP-DIGI - 1530-2018 - 0 - 1 - Tache 1 - Perform - Vincent MERIAU" u="1"/>
        <s v="AFB-OISON" u="1"/>
        <s v="LA POSTE-SIBP" u="1"/>
        <s v="STIMICRO-RUN2RUN" u="1"/>
        <s v="AS24-Redmine - AS24/342220-18" u="1"/>
        <s v="GFI-MY BUSINESS - GFIINT2019/ NRT-PJINT" u="1"/>
        <s v="GIP RECIA-Plateformes CLOUD / Edition - 0 - 0" u="1"/>
        <s v="PCM-ALS - 0" u="1"/>
        <s v="MEAE-Visa - MAE-PII-L2/334179-17 - 0" u="1"/>
        <s v="MEAE-Redmine MEAE - MAE-PII-L2/334179" u="1"/>
        <s v="GFI-Jetbrain serveur licence - 0 - Jérôme JACOB" u="1"/>
        <s v="BRGM-DEGATS-MINERS" u="1"/>
        <s v="GFI-Jetbrain serveur licence - 0" u="1"/>
        <s v="Fablab-Firmin - 0 - Pierre-Yves Baloche" u="1"/>
        <s v="Fablab-Firmin" u="1"/>
        <s v="BRGM-BNPE - BRGM/BDLISA-18" u="1"/>
        <s v="GFI-Redmine Orléans - 0 - 0" u="1"/>
        <s v="AFB-Patbiodiv - ONEMA/TMADCUA-15" u="1"/>
        <s v="ONEMA-GEOF-SNPE" u="1"/>
        <s v="STIMICRO-RUN2RUN - INCONNU" u="1"/>
        <s v="AFB-SISPEA - ONEMA/TMADCUA-15" u="1"/>
        <s v="Gest'ea / OUGC-Gest'ea / OUGC - 0" u="1"/>
        <s v="ONEMA-GEOF-SNPE - ONEMA/TMADCIE-15" u="1"/>
        <s v="FRR-TCPOS" u="1"/>
        <s v="GFI-Oceanet PIC" u="1"/>
        <s v="PRIZER-TMA - 0 - 0" u="1"/>
        <s v="ONEMA-GEOF-SNPE - ONEMA/TMADCIE-15 - 0" u="1"/>
        <s v="GFI-Outil de notification automatique Jira (Niort) - 0" u="1"/>
        <s v="GFI-Gestionnaire de devis (Niort) - GFIINT2019/ NRT-PJINT - Philippe De Guio" u="1"/>
        <s v="GFI-Oceanet Infra Modèles - PID-1530 TPS-2019 -0-1 Projet Administration PID" u="1"/>
        <s v="ONEMA-CDR - TMA WEB" u="1"/>
        <s v="MENESR-APAE - MENESR/TMA" u="1"/>
        <s v="MENESR-BNIE - MENESR/TMA" u="1"/>
        <s v="MENESR-INES - MENESR/TMA" u="1"/>
        <s v="MENESR-RNIE - MENESR/TMA" u="1"/>
        <s v="PCM-ALS" u="1"/>
        <s v="LA POSTE-OPUS" u="1"/>
        <s v="EDI-MUT-EDI-MUT" u="1"/>
        <s v="FRR-APPLIFRR" u="1"/>
        <s v="ONEMA-ASPE - ONEMA/TMADCIE-15 - 0" u="1"/>
        <s v="IT-CE-TMA - IT-CE/DFA - 0" u="1"/>
        <s v="GFI-Gestionnaire de tickets (Niort) - GFIINT2019/ NRT-PJINT" u="1"/>
        <s v="GFI-Gestionnaire de tickets (Niort) - GFIINT2019/ NRT-PJINT - Philippe De Guio" u="1"/>
        <s v="MACIF-Transverse" u="1"/>
        <s v="GFI-Dev Fight - 0 - 0" u="1"/>
        <s v="GFI-Gestionnaire de devis (Niort)" u="1"/>
        <s v="STMICRO-RUN2RUN - STMICRO/TMA-R2R-17 - Christophe ORLANDO" u="1"/>
        <s v="Gest'ea / OUGC-Gest'ea / OUGC - Gest'ea / OUGC - Christophe ORLANDO" u="1"/>
        <s v="PRIZER-TMA - 0" u="1"/>
        <s v="CA-TITRES-CRR - CA-TITRES/TMA" u="1"/>
        <s v="GFI-GFICOFFEE - 0 - Christophe ORLANDO" u="1"/>
        <s v="GIP RECIA-Plateformes CLOUD / Edition - GIP RECIA-Plateformes CLOUD / Edition - Christophe ORLANDO" u="1"/>
        <s v="GFI-BASECONTACT" u="1"/>
        <s v="GFI-Jetbrain serveur licence - 0 - 0" u="1"/>
        <s v="GFI-Redmine Orléans - 0 - Christophe ORLANDO" u="1"/>
        <s v="GFI-Oceanet Infra Réseau - 0 - Jérôme JACOB" u="1"/>
        <s v="GFI-Redmine Niort" u="1"/>
        <s v="Gest'ea / OUGC-Gest'ea / OUGC" u="1"/>
        <s v="Vivesco-Vives-taux - VIVESC-TAU/S240776A" u="1"/>
        <s v="GFI-GFICOFFEE" u="1"/>
        <s v="GFI-Oceanet Infra Réseau - 0 - 0" u="1"/>
        <s v="GFI-GFICOFFEE - 0" u="1"/>
        <s v="FRR-CADENCIER - FRR/TMASI" u="1"/>
        <s v="FRR-STAGEDATA - FRR/TMASI" u="1"/>
        <s v="AFB-GEOBS - ONEMA/TMADCUA-15" u="1"/>
        <s v="AFB-OISON - ONEMA/TMADCUA-15" u="1"/>
        <s v="AFB-ASPE - ONEMA/TMADCUA-15 - Christophe ORLANDO" u="1"/>
        <s v="AFB-ONDE - ONEMA/TMADCUA-15 - Christophe ORLANDO" u="1"/>
        <s v="GFI-WE SPEC - SILICONE - 1530-2018 - 0 - 2 - Tache 2 – ORS - 0" u="1"/>
        <s v="ONEMA-OPALE - ONEMA/TMADCIE-15" u="1"/>
        <s v="PRIZER-TMA - 0 - Christophe ORLANDO" u="1"/>
        <s v="GFI-Outil de notification automatique Jira (Niort) - 0 - 0" u="1"/>
        <s v="BRGM-BDLISA" u="1"/>
        <s v="DEVIS-DEVIS - DEVIS - DEVIS" u="1"/>
        <s v="CA-TITRES-COGNOS - CA-TITRES/TMA - 0" u="1"/>
        <s v="FRR-TCPOS - FRR/TMASI - Rodolphe Habegger" u="1"/>
        <s v="STIMICRO-RUN2RUN - INCONNU - INCONNU" u="1"/>
        <s v="DIG-Perform - SUPP-DIGI - 1530-2018 - 0 - 1 - Tache 1 - Perform" u="1"/>
        <s v="MEAE-Redmine MEAE" u="1"/>
        <s v="GFI-Dev Fight - 0 - Jérôme JACOB" u="1"/>
        <e v="#N/A" u="1"/>
        <s v="FOBA-Foba" u="1"/>
        <s v="GFI-EveryDaily" u="1"/>
        <s v="GFI-Dev Fight - projet interne - Jérôme JACOB" u="1"/>
        <s v="BRGM-DEGATS-MINERS - BRGM/DEGAT-16 - Christophe ORLANDO" u="1"/>
        <s v="GFI-Oceanet Gestion VM - PID-1530 TPS-2019 -0-1 Projet Administration PID - 0" u="1"/>
        <s v="Vivesco-Vives-taux" u="1"/>
        <s v="GFI-Oceanet Orléans PIC" u="1"/>
        <s v="ADEME-SINOE - ADEME-SIN/16-S240097" u="1"/>
        <s v="GFI-MARCO POLO - SILICONE - 1530-2018 - 0 - 1 - Tache 1 – MarcoPolo - 0" u="1"/>
        <s v="FRR-CADENCIER" u="1"/>
        <s v="EDI-MUT-EDI-MUT - HEBERG-EDI  MUT-2018" u="1"/>
        <s v="RECIA-GRR - RECIA/AC-18 - Christophe ORLANDO" u="1"/>
        <s v="RECIA-GRR" u="1"/>
        <s v="GFI-TENDER" u="1"/>
        <s v="GFI-Redmine Niort - 0" u="1"/>
        <s v="BRGM-BDLISA - BRGM/BDLISA-18 - Christophe ORLANDO" u="1"/>
        <s v="ONEMA-ASPE" u="1"/>
        <s v="AFB-BASEINDICATEURS" u="1"/>
        <s v="ADEME-SAGA - ADE-SAGA/S364196A" u="1"/>
        <s v="GFI-WE SPEC" u="1"/>
        <s v="MEAE-SAGAIE TMA" u="1"/>
        <s v="GIE S-V-Mantis - RR" u="1"/>
        <s v="GFI-GFICOFFEE - 0 - 0" u="1"/>
        <s v="LA POSTE-POP" u="1"/>
        <s v="Fablab-Firmin - 0" u="1"/>
        <s v="AFB-CATALOGUEINDICATEURS" u="1"/>
        <s v="GFI-WE SPEC - SILICONE - 1530-2018 - 0 - 2 - Tache 2 – ORS" u="1"/>
        <s v="AFB-SISPEA" u="1"/>
        <s v="FRR-TCPOS - FRR/TMASI" u="1"/>
        <s v="GFI-Oceanet Infra Réseau - 0" u="1"/>
        <s v="AFB-BASEINDICATEURS - ONEMA/TMADCUA-15 - Christophe ORLANDO" u="1"/>
        <s v="AFB-CATALOGUEINDICATEURS - ONEMA/TMADCUA-15 - Christophe ORLANDO" u="1"/>
        <s v="GFI-POC Android - SUPP-DIGI - 1530-2018 - 0 - 1 - Tache 1 - Perform" u="1"/>
        <s v="AFB-ONDE" u="1"/>
        <s v="GIP RECIA-Plateformes CLOUD / Edition" u="1"/>
        <s v="ONEMA-CDR - TMA WEB - ONEMA/TMADCIE-15 - Christophe ORLANDO" u="1"/>
        <s v="GFI-Oceanet Orléans PIC - 0 - 0" u="1"/>
        <s v="AFB-RNT" u="1"/>
        <s v="MENESR-RNIE" u="1"/>
        <s v="FRR-Patapain" u="1"/>
        <s v="CA-TITRES-COGNOS" u="1"/>
        <s v="GFI-Lotus Domino - 0" u="1"/>
        <s v="PCM-ALS - PCM-ALS - Christophe ORLANDO" u="1"/>
        <s v="MENESR-INES" u="1"/>
        <s v="PCM-ALS - 0 - Christophe ORLANDO" u="1"/>
        <s v="GIE S-V-Mantis - RR - GIESV/PCN17-01" u="1"/>
        <s v="AFB-ASPE" u="1"/>
        <s v="LA POSTE-OPOSSUM - 0" u="1"/>
        <s v="GFI-Oceanet Gestion VM" u="1"/>
        <s v="GFI-Oceanet Infra Modèles" u="1"/>
        <s v="AFB-BASEINDICATEURS - ONEMA/TMADCUA-15" u="1"/>
        <s v="MACIF-Transverse - MACIF-PHP/284244-17" u="1"/>
        <s v="GFI-Linkus" u="1"/>
        <s v="AFB-RNT - ONEMA/TMADCUA-15" u="1"/>
        <s v="GFI-Oceanet Orléans PIC - 0" u="1"/>
        <s v="MENESR-APAE - MENESR/TMA - 0" u="1"/>
        <s v="MENESR-BNIE - MENESR/TMA - 0" u="1"/>
        <s v="MENESR-INES - MENESR/TMA - 0" u="1"/>
        <s v="MENESR-RNIE - MENESR/TMA - 0" u="1"/>
        <s v="CA-TITRES-COGNOS - CA-TITRES/TMA - Christophe ORLANDO" u="1"/>
        <s v="MENESR-APAE" u="1"/>
        <s v="LA POSTE-OPUS - 0" u="1"/>
        <s v="AFB-CATALOGUEINDICATEURS - ONEMA/TMADCUA-15" u="1"/>
        <s v="GFI-EveryDaily - SUPP-DIGI - 1530-2018 - 0 - 1 - Tache 1 - Perform" u="1"/>
        <s v="GFI-MARCO POLO" u="1"/>
        <s v="RECIA-GRR - RECIA/AC-18 - 0" u="1"/>
        <s v="GFI-Redmine Niort - 0 - Philippe De Guio" u="1"/>
        <s v="GFI-Oceanet Infra Modèles - PID-1530 TPS-2019 -0-1 Projet Administration PID - Jérôme JACOB" u="1"/>
        <s v="MEAE-SAGAIE TMA - MAE-PII-L2/334179-17" u="1"/>
        <s v="AS24-Redmine - AS24/342220-18 - Florian DUPONT" u="1"/>
        <s v="STMICRO-STARK - STMICRO/TMASI" u="1"/>
        <s v="LA POSTE-CDC-DRUPAL - LAPOSTE-CDC-DRUPAL - Christophe ORLANDO" u="1"/>
        <s v="MEAE-Visa" u="1"/>
        <s v="LA POSTE-POP - 0" u="1"/>
        <s v="GFI-MY BUSINESS - GFIINT2019/ NRT-PJINT - 0" u="1"/>
        <s v="AFB-SIFLORE" u="1"/>
        <s v="GFI-GitLab Orléans" u="1"/>
        <s v="MEAE-Visa - MAE-PII-L2/334179-17" u="1"/>
        <s v="GFI-GitLab Orléans - 0 - Christophe ORLANDO" u="1"/>
        <s v="GFI-MARCO POLO - SILICONE - 1530-2018 - 0 - 1 - Tache 1 – MarcoPolo" u="1"/>
        <s v="MENESR-BNIE" u="1"/>
        <s v="GFI-Lotus Domino" u="1"/>
        <s v="CA-TITRES-COGNOS - CA-TITRES/TMA" u="1"/>
        <s v="ONEMA-CDR - TMA WEB - ONEMA/TMADCIE-15 - 0" u="1"/>
        <s v="AFB-ENQUETEDEAU - ONEMA/TMADCUA-15 - Christophe ORLANDO" u="1"/>
        <s v="ADEME-SAGA" u="1"/>
        <s v="DIG-Perform" u="1"/>
        <s v="GFI-Redmine Orléans" u="1"/>
        <s v="ONEMA-GEOF-SNPE - ONEMA/TMADCIE-15 - Christophe ORLANDO" u="1"/>
        <s v="FRR-APPLIFRR - FRR/TMASI" u="1"/>
        <s v="FRR-Patapain - FRR/TMASI" u="1"/>
        <s v="ONEMA-CDR - TMA WEB - ONEMA/TMADCIE-15" u="1"/>
        <s v="AFB-CARHYCE - ONEMA/TMADCUA-15" u="1"/>
        <s v="AFB-SIFLORE - ONEMA/TMADCUA-15" u="1"/>
        <s v="AFB-CARHYCE - ONEMA/TMADCUA-15 - Christophe ORLANDO" u="1"/>
        <s v="AFB-SIFLORE - ONEMA/TMADCUA-15 - Christophe ORLANDO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CostCenterDI"/>
        <s v="Fablab"/>
        <n v="305704"/>
        <n v="341531"/>
        <n v="341530"/>
        <s v="341530-EDI"/>
        <n v="341533" u="1"/>
      </sharedItems>
    </cacheField>
    <cacheField name="Environnement" numFmtId="0">
      <sharedItems count="17">
        <s v="SOCLE"/>
        <s v="PROD"/>
        <s v="PREPROD"/>
        <s v="TMA"/>
        <s v="DEV"/>
        <s v="RECETTE"/>
        <s v="QUAL_BUILD"/>
        <s v="QUAL"/>
        <s v="DEV_RUN"/>
        <s v="DEV_BUILD"/>
        <s v="QUAL_RUN"/>
        <s v="OBSOLETE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x v="0"/>
    <s v="GFI-Oceanet Infra Modèles .:. SOCLE"/>
    <x v="0"/>
    <m/>
    <m/>
    <n v="4"/>
    <n v="0"/>
    <n v="0"/>
    <n v="0"/>
    <n v="0"/>
    <n v="1"/>
    <n v="0"/>
    <n v="0"/>
    <n v="7"/>
    <n v="0"/>
    <n v="0"/>
    <x v="0"/>
    <x v="0"/>
    <s v=""/>
    <n v="1.61"/>
    <n v="0"/>
    <n v="0"/>
    <n v="0"/>
    <x v="0"/>
    <s v="Jérôme JACOB"/>
    <x v="0"/>
    <x v="0"/>
    <n v="1"/>
  </r>
  <r>
    <x v="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3.825945302402843"/>
    <n v="138.82594530240283"/>
    <x v="1"/>
    <s v="Pierre-Yves Baloche"/>
    <x v="1"/>
    <x v="1"/>
    <n v="1"/>
  </r>
  <r>
    <x v="2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3.825945302402843"/>
    <n v="138.82594530240283"/>
    <x v="1"/>
    <s v="Pierre-Yves Baloche"/>
    <x v="1"/>
    <x v="2"/>
    <n v="1"/>
  </r>
  <r>
    <x v="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3.825945302402843"/>
    <n v="138.82594530240283"/>
    <x v="1"/>
    <s v="Pierre-Yves Baloche"/>
    <x v="1"/>
    <x v="1"/>
    <n v="1"/>
  </r>
  <r>
    <x v="4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5"/>
    <s v="GFI-Oceanet Infra Modèles .:. SOCLE"/>
    <x v="0"/>
    <m/>
    <m/>
    <n v="4"/>
    <m/>
    <m/>
    <m/>
    <m/>
    <n v="1"/>
    <n v="0"/>
    <n v="0"/>
    <n v="2"/>
    <n v="0"/>
    <n v="0"/>
    <x v="0"/>
    <x v="0"/>
    <s v=""/>
    <n v="0.46"/>
    <n v="0"/>
    <n v="0"/>
    <n v="0"/>
    <x v="0"/>
    <s v="Jérôme JACOB"/>
    <x v="0"/>
    <x v="0"/>
    <n v="1"/>
  </r>
  <r>
    <x v="6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3.5"/>
    <n v="0"/>
    <n v="0"/>
    <n v="0"/>
    <x v="2"/>
    <s v="Jérôme JACOB"/>
    <x v="0"/>
    <x v="0"/>
    <n v="1"/>
  </r>
  <r>
    <x v="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14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2"/>
    <n v="1"/>
  </r>
  <r>
    <x v="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2975735235202217"/>
    <n v="10.797573523520221"/>
    <x v="1"/>
    <s v="Pierre-Yves Baloche"/>
    <x v="1"/>
    <x v="1"/>
    <n v="1"/>
  </r>
  <r>
    <x v="16"/>
    <s v="Fablab-Firmin .:. SOCLE"/>
    <x v="0"/>
    <m/>
    <m/>
    <n v="4"/>
    <n v="0"/>
    <n v="0"/>
    <n v="0"/>
    <n v="0"/>
    <n v="1"/>
    <n v="0"/>
    <n v="0"/>
    <n v="21"/>
    <n v="0"/>
    <n v="0"/>
    <x v="1"/>
    <x v="1"/>
    <s v=""/>
    <n v="4.83"/>
    <n v="4.83"/>
    <n v="10.070651462457906"/>
    <n v="14.900651462457907"/>
    <x v="1"/>
    <s v="Pierre-Yves Baloche"/>
    <x v="1"/>
    <x v="0"/>
    <n v="1"/>
  </r>
  <r>
    <x v="1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2"/>
    <x v="0"/>
    <s v=""/>
    <n v="29.4"/>
    <n v="29.4"/>
    <n v="61.299617597569856"/>
    <n v="90.699617597569855"/>
    <x v="3"/>
    <s v="Christophe ORLANDO"/>
    <x v="2"/>
    <x v="0"/>
    <n v="1"/>
  </r>
  <r>
    <x v="18"/>
    <s v="IT-CE-TMA .:. TMA"/>
    <x v="0"/>
    <m/>
    <m/>
    <n v="4"/>
    <n v="0"/>
    <n v="0"/>
    <n v="0"/>
    <n v="0"/>
    <n v="1"/>
    <n v="1"/>
    <n v="2"/>
    <n v="40"/>
    <n v="1"/>
    <n v="0"/>
    <x v="3"/>
    <x v="2"/>
    <s v=""/>
    <n v="12.400000000000002"/>
    <n v="12.400000000000002"/>
    <n v="25.85426048332879"/>
    <n v="38.254260483328792"/>
    <x v="4"/>
    <s v="Christophe ORLANDO"/>
    <x v="2"/>
    <x v="3"/>
    <n v="1"/>
  </r>
  <r>
    <x v="19"/>
    <s v="BRGM-BDLISA .:. DEV"/>
    <x v="0"/>
    <m/>
    <m/>
    <n v="4"/>
    <n v="0"/>
    <n v="0"/>
    <n v="0"/>
    <n v="0"/>
    <n v="1"/>
    <n v="1"/>
    <n v="2"/>
    <n v="40"/>
    <n v="0"/>
    <n v="0"/>
    <x v="4"/>
    <x v="3"/>
    <s v=""/>
    <n v="12.400000000000002"/>
    <n v="12.400000000000002"/>
    <n v="25.85426048332879"/>
    <n v="38.254260483328792"/>
    <x v="5"/>
    <s v="Jean-Philippe STROIAZZO"/>
    <x v="2"/>
    <x v="4"/>
    <n v="1"/>
  </r>
  <r>
    <x v="20"/>
    <s v="GFI-Oceanet Infra Réseau Orléans .:. SOCLE"/>
    <x v="1"/>
    <m/>
    <m/>
    <n v="4"/>
    <n v="0"/>
    <n v="0"/>
    <n v="0"/>
    <n v="0"/>
    <n v="1"/>
    <n v="1"/>
    <n v="2"/>
    <n v="20"/>
    <n v="0"/>
    <n v="0"/>
    <x v="2"/>
    <x v="0"/>
    <s v=""/>
    <n v="7.8000000000000007"/>
    <n v="7.8000000000000007"/>
    <n v="16.263163852416497"/>
    <n v="24.063163852416498"/>
    <x v="3"/>
    <s v="Christophe ORLANDO"/>
    <x v="2"/>
    <x v="0"/>
    <n v="1"/>
  </r>
  <r>
    <x v="21"/>
    <s v="BRGM-BNPE .:. DEV"/>
    <x v="0"/>
    <m/>
    <m/>
    <n v="4"/>
    <n v="0"/>
    <n v="0"/>
    <n v="0"/>
    <n v="0"/>
    <n v="1"/>
    <n v="1"/>
    <n v="4"/>
    <n v="40"/>
    <n v="0"/>
    <n v="0"/>
    <x v="4"/>
    <x v="3"/>
    <s v=""/>
    <n v="15.600000000000001"/>
    <n v="15.600000000000001"/>
    <n v="32.526327704832994"/>
    <n v="48.126327704832995"/>
    <x v="6"/>
    <s v="Jean-Philippe STROIAZZO"/>
    <x v="2"/>
    <x v="4"/>
    <n v="1"/>
  </r>
  <r>
    <x v="22"/>
    <s v="AFB-ASP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9.448597447143598"/>
    <n v="58.3685974471436"/>
    <x v="7"/>
    <s v="Jean-Philippe STROIAZZO"/>
    <x v="2"/>
    <x v="3"/>
    <n v="5"/>
  </r>
  <r>
    <x v="22"/>
    <s v="AFB-CARHYC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9.448597447143598"/>
    <n v="58.3685974471436"/>
    <x v="8"/>
    <s v="Jean-Philippe STROIAZZO"/>
    <x v="2"/>
    <x v="3"/>
    <n v="5"/>
  </r>
  <r>
    <x v="22"/>
    <s v="AFB-GEOBS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9.448597447143598"/>
    <n v="58.3685974471436"/>
    <x v="9"/>
    <s v="Jean-Philippe STROIAZZO"/>
    <x v="2"/>
    <x v="3"/>
    <n v="5"/>
  </r>
  <r>
    <x v="22"/>
    <s v="AFB-OND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9.448597447143598"/>
    <n v="58.3685974471436"/>
    <x v="10"/>
    <s v="Jean-Philippe STROIAZZO"/>
    <x v="2"/>
    <x v="3"/>
    <n v="5"/>
  </r>
  <r>
    <x v="22"/>
    <s v="AFB-RNT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9.448597447143598"/>
    <n v="58.3685974471436"/>
    <x v="11"/>
    <s v="Christophe ORLANDO"/>
    <x v="2"/>
    <x v="3"/>
    <n v="5"/>
  </r>
  <r>
    <x v="23"/>
    <s v="CA-TITRES-COGNOS .:. DEV"/>
    <x v="0"/>
    <m/>
    <m/>
    <n v="4"/>
    <n v="0"/>
    <n v="1"/>
    <n v="0"/>
    <n v="4"/>
    <n v="0.5"/>
    <n v="1"/>
    <n v="2"/>
    <n v="80"/>
    <n v="1"/>
    <n v="148.745"/>
    <x v="6"/>
    <x v="5"/>
    <s v=""/>
    <n v="21.6"/>
    <n v="21.6"/>
    <n v="45.036453745153374"/>
    <n v="66.636453745153375"/>
    <x v="12"/>
    <s v="Jean-Philippe STROIAZZO"/>
    <x v="2"/>
    <x v="4"/>
    <n v="2"/>
  </r>
  <r>
    <x v="23"/>
    <s v="CA-TITRES-CRR .:. DEV"/>
    <x v="0"/>
    <m/>
    <m/>
    <n v="4"/>
    <n v="0"/>
    <n v="1"/>
    <n v="0"/>
    <n v="4"/>
    <n v="0.5"/>
    <n v="1"/>
    <n v="2"/>
    <n v="80"/>
    <n v="1"/>
    <n v="148.745"/>
    <x v="6"/>
    <x v="5"/>
    <s v=""/>
    <n v="21.6"/>
    <n v="21.6"/>
    <n v="45.036453745153374"/>
    <n v="66.636453745153375"/>
    <x v="13"/>
    <s v="Jean-Philippe STROIAZZO"/>
    <x v="2"/>
    <x v="4"/>
    <n v="2"/>
  </r>
  <r>
    <x v="24"/>
    <s v="MENESR-APAE .:. RECETTE"/>
    <x v="0"/>
    <m/>
    <m/>
    <n v="4"/>
    <n v="0"/>
    <n v="0"/>
    <n v="0"/>
    <n v="0"/>
    <n v="1"/>
    <n v="1"/>
    <n v="6"/>
    <n v="250"/>
    <n v="0"/>
    <n v="0"/>
    <x v="7"/>
    <x v="6"/>
    <s v=""/>
    <n v="67.099999999999994"/>
    <n v="67.099999999999994"/>
    <n v="139.90490955091624"/>
    <n v="207.00490955091624"/>
    <x v="14"/>
    <s v="Pierre BOURLIEUX"/>
    <x v="2"/>
    <x v="5"/>
    <n v="1"/>
  </r>
  <r>
    <x v="2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8"/>
    <x v="3"/>
    <s v=""/>
    <n v="9.0333333333333332"/>
    <n v="9.0333333333333332"/>
    <n v="18.83468976070457"/>
    <n v="27.868023094037902"/>
    <x v="15"/>
    <s v="Pierre BOURLIEUX"/>
    <x v="2"/>
    <x v="5"/>
    <n v="3"/>
  </r>
  <r>
    <x v="2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9"/>
    <x v="7"/>
    <s v=""/>
    <n v="9.0333333333333332"/>
    <n v="9.0333333333333332"/>
    <n v="18.83468976070457"/>
    <n v="27.868023094037902"/>
    <x v="16"/>
    <s v="Pierre BOURLIEUX"/>
    <x v="2"/>
    <x v="5"/>
    <n v="3"/>
  </r>
  <r>
    <x v="2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8.83468976070457"/>
    <n v="27.868023094037902"/>
    <x v="17"/>
    <s v="Pierre BOURLIEUX"/>
    <x v="2"/>
    <x v="5"/>
    <n v="3"/>
  </r>
  <r>
    <x v="26"/>
    <s v="AFB-BASEINDICATEURS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18"/>
    <s v="Pierre BOURLIEUX"/>
    <x v="2"/>
    <x v="5"/>
    <n v="10"/>
  </r>
  <r>
    <x v="26"/>
    <s v="AFB-CATALOGUEINDICATEURS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19"/>
    <s v="Pierre BOURLIEUX"/>
    <x v="2"/>
    <x v="5"/>
    <n v="10"/>
  </r>
  <r>
    <x v="26"/>
    <s v="AFB-ENQUETEDEAU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20"/>
    <s v="Jean-Philippe STROIAZZO"/>
    <x v="2"/>
    <x v="5"/>
    <n v="10"/>
  </r>
  <r>
    <x v="26"/>
    <s v="AFB-OISON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21"/>
    <s v="Jean-Philippe STROIAZZO"/>
    <x v="2"/>
    <x v="5"/>
    <n v="10"/>
  </r>
  <r>
    <x v="26"/>
    <s v="AFB-Patbiodiv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22"/>
    <s v="Rodolphe Habegger"/>
    <x v="2"/>
    <x v="5"/>
    <n v="10"/>
  </r>
  <r>
    <x v="26"/>
    <s v="AFB-SIFLORE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23"/>
    <s v="Pierre BOURLIEUX"/>
    <x v="2"/>
    <x v="5"/>
    <n v="10"/>
  </r>
  <r>
    <x v="26"/>
    <s v="AFB-SISPEA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4234848671490585"/>
    <n v="12.463484867149059"/>
    <x v="24"/>
    <s v="Pierre BOURLIEUX"/>
    <x v="2"/>
    <x v="5"/>
    <n v="10"/>
  </r>
  <r>
    <x v="26"/>
    <s v="MENESR-APAE .:. RECETTE"/>
    <x v="0"/>
    <m/>
    <m/>
    <n v="16"/>
    <n v="0"/>
    <n v="0"/>
    <n v="0"/>
    <n v="0"/>
    <n v="0.1"/>
    <n v="1"/>
    <n v="0.8"/>
    <n v="12"/>
    <n v="0"/>
    <n v="0"/>
    <x v="7"/>
    <x v="6"/>
    <s v=""/>
    <n v="4.0400000000000009"/>
    <n v="4.0400000000000009"/>
    <n v="8.4234848671490585"/>
    <n v="12.463484867149059"/>
    <x v="14"/>
    <s v="Pierre BOURLIEUX"/>
    <x v="2"/>
    <x v="5"/>
    <n v="10"/>
  </r>
  <r>
    <x v="26"/>
    <s v="MENESR-INES .:. RECETTE"/>
    <x v="0"/>
    <m/>
    <m/>
    <n v="16"/>
    <n v="0"/>
    <n v="0"/>
    <n v="0"/>
    <n v="0"/>
    <n v="0.1"/>
    <n v="1"/>
    <n v="0.8"/>
    <n v="12"/>
    <n v="0"/>
    <n v="0"/>
    <x v="7"/>
    <x v="6"/>
    <s v=""/>
    <n v="4.0400000000000009"/>
    <n v="4.0400000000000009"/>
    <n v="8.4234848671490585"/>
    <n v="12.463484867149059"/>
    <x v="25"/>
    <s v="Pierre BOURLIEUX"/>
    <x v="2"/>
    <x v="5"/>
    <n v="10"/>
  </r>
  <r>
    <x v="26"/>
    <s v="PCM-ALS .:. RECETTE"/>
    <x v="0"/>
    <m/>
    <m/>
    <n v="16"/>
    <n v="0"/>
    <n v="0"/>
    <n v="0"/>
    <n v="0"/>
    <n v="0.1"/>
    <n v="1"/>
    <n v="0.8"/>
    <n v="12"/>
    <n v="0"/>
    <n v="0"/>
    <x v="11"/>
    <x v="8"/>
    <s v=""/>
    <n v="4.0400000000000009"/>
    <n v="4.0400000000000009"/>
    <n v="8.4234848671490585"/>
    <n v="12.463484867149059"/>
    <x v="26"/>
    <s v="Alice MARCHAL"/>
    <x v="2"/>
    <x v="5"/>
    <n v="10"/>
  </r>
  <r>
    <x v="27"/>
    <s v="ONEMA-ASPE .:. DEV"/>
    <x v="0"/>
    <m/>
    <m/>
    <n v="4"/>
    <n v="0"/>
    <n v="0"/>
    <n v="0"/>
    <n v="0"/>
    <n v="1"/>
    <n v="1"/>
    <n v="8"/>
    <n v="55"/>
    <n v="1"/>
    <n v="0"/>
    <x v="10"/>
    <x v="4"/>
    <s v=""/>
    <n v="25.450000000000003"/>
    <n v="25.450000000000003"/>
    <n v="53.063784621025619"/>
    <n v="78.513784621025621"/>
    <x v="27"/>
    <s v="Christophe ORLANDO"/>
    <x v="2"/>
    <x v="4"/>
    <n v="1"/>
  </r>
  <r>
    <x v="28"/>
    <s v="GFI-GFICOFFEE .:. DEV"/>
    <x v="0"/>
    <m/>
    <m/>
    <n v="4"/>
    <n v="0"/>
    <n v="0"/>
    <n v="0"/>
    <n v="0"/>
    <n v="1"/>
    <n v="1"/>
    <n v="4"/>
    <n v="35"/>
    <n v="0"/>
    <n v="0"/>
    <x v="12"/>
    <x v="0"/>
    <s v=""/>
    <n v="14.450000000000001"/>
    <n v="14.450000000000001"/>
    <n v="30.128553547104918"/>
    <n v="44.578553547104917"/>
    <x v="28"/>
    <s v="Christophe ORLANDO"/>
    <x v="2"/>
    <x v="4"/>
    <n v="1"/>
  </r>
  <r>
    <x v="29"/>
    <s v="STMICRO-RUN2RUN .:. DEV"/>
    <x v="0"/>
    <m/>
    <m/>
    <n v="4"/>
    <n v="0"/>
    <n v="0"/>
    <n v="0"/>
    <n v="0"/>
    <n v="1"/>
    <n v="1"/>
    <n v="2"/>
    <n v="40"/>
    <n v="0"/>
    <n v="0"/>
    <x v="13"/>
    <x v="9"/>
    <s v=""/>
    <n v="12.400000000000002"/>
    <n v="12.400000000000002"/>
    <n v="25.85426048332879"/>
    <n v="38.254260483328792"/>
    <x v="29"/>
    <s v="Jean-Philippe STROIAZZO"/>
    <x v="2"/>
    <x v="4"/>
    <n v="1"/>
  </r>
  <r>
    <x v="30"/>
    <s v="STMICRO-STARK .:. DEV"/>
    <x v="0"/>
    <m/>
    <m/>
    <n v="4"/>
    <n v="0"/>
    <n v="0"/>
    <n v="0"/>
    <n v="0"/>
    <n v="1"/>
    <n v="1"/>
    <n v="2"/>
    <n v="20"/>
    <n v="0"/>
    <n v="0"/>
    <x v="14"/>
    <x v="9"/>
    <s v=""/>
    <n v="7.8000000000000007"/>
    <n v="7.8000000000000007"/>
    <n v="16.263163852416497"/>
    <n v="24.063163852416498"/>
    <x v="30"/>
    <s v="Jean-Philippe STROIAZZO"/>
    <x v="2"/>
    <x v="4"/>
    <n v="1"/>
  </r>
  <r>
    <x v="31"/>
    <s v="AFB-Patbiodiv .:. RECETTE"/>
    <x v="0"/>
    <m/>
    <m/>
    <n v="4"/>
    <n v="0"/>
    <n v="0"/>
    <n v="0"/>
    <n v="0"/>
    <n v="1"/>
    <n v="1"/>
    <n v="6"/>
    <n v="42"/>
    <n v="0"/>
    <n v="0"/>
    <x v="5"/>
    <x v="4"/>
    <s v=""/>
    <n v="19.260000000000002"/>
    <n v="19.260000000000002"/>
    <n v="40.157504589428427"/>
    <n v="59.417504589428432"/>
    <x v="22"/>
    <s v="Rodolphe Habegger"/>
    <x v="2"/>
    <x v="5"/>
    <n v="1"/>
  </r>
  <r>
    <x v="32"/>
    <s v="Gest'ea / OUGC-Gest'ea / OUGC .:. DEV"/>
    <x v="0"/>
    <m/>
    <m/>
    <n v="4"/>
    <n v="0"/>
    <n v="0"/>
    <n v="0"/>
    <n v="0"/>
    <n v="1"/>
    <n v="1"/>
    <n v="4"/>
    <n v="30"/>
    <n v="0"/>
    <n v="0"/>
    <x v="15"/>
    <x v="10"/>
    <s v=""/>
    <n v="13.3"/>
    <n v="13.3"/>
    <n v="27.730779389376846"/>
    <n v="41.030779389376846"/>
    <x v="31"/>
    <s v="Jean-Philippe STROIAZZO"/>
    <x v="2"/>
    <x v="4"/>
    <n v="1"/>
  </r>
  <r>
    <x v="33"/>
    <s v="MENESR-BNIE .:. RECETTE"/>
    <x v="0"/>
    <m/>
    <m/>
    <n v="4"/>
    <n v="0"/>
    <n v="0"/>
    <n v="0"/>
    <n v="0"/>
    <n v="1"/>
    <n v="1"/>
    <n v="2"/>
    <n v="110"/>
    <n v="0"/>
    <n v="0"/>
    <x v="7"/>
    <x v="6"/>
    <s v=""/>
    <n v="28.5"/>
    <n v="28.5"/>
    <n v="59.423098691521801"/>
    <n v="87.923098691521801"/>
    <x v="32"/>
    <s v="Pierre BOURLIEUX"/>
    <x v="2"/>
    <x v="5"/>
    <n v="1"/>
  </r>
  <r>
    <x v="3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50.005753811169527"/>
    <n v="73.989087144502861"/>
    <x v="33"/>
    <s v="Pierre BOURLIEUX"/>
    <x v="2"/>
    <x v="4"/>
    <n v="3"/>
  </r>
  <r>
    <x v="3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50.005753811169527"/>
    <n v="73.989087144502861"/>
    <x v="16"/>
    <s v="Pierre BOURLIEUX"/>
    <x v="2"/>
    <x v="5"/>
    <n v="3"/>
  </r>
  <r>
    <x v="3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50.005753811169527"/>
    <n v="73.989087144502861"/>
    <x v="34"/>
    <s v="Pierre BOURLIEUX"/>
    <x v="2"/>
    <x v="4"/>
    <n v="3"/>
  </r>
  <r>
    <x v="35"/>
    <s v="MENESR-RNIE .:. DEV"/>
    <x v="0"/>
    <m/>
    <m/>
    <n v="4"/>
    <n v="0"/>
    <n v="0"/>
    <n v="0"/>
    <n v="0"/>
    <n v="1"/>
    <n v="1"/>
    <n v="2"/>
    <n v="115"/>
    <n v="0"/>
    <n v="0"/>
    <x v="7"/>
    <x v="6"/>
    <s v=""/>
    <n v="29.650000000000002"/>
    <n v="29.650000000000002"/>
    <n v="61.820872849249881"/>
    <n v="91.470872849249886"/>
    <x v="35"/>
    <s v="Pierre BOURLIEUX"/>
    <x v="2"/>
    <x v="4"/>
    <n v="1"/>
  </r>
  <r>
    <x v="36"/>
    <s v="STMICRO-STARK .:. DEV"/>
    <x v="0"/>
    <m/>
    <m/>
    <n v="4"/>
    <n v="0"/>
    <n v="0"/>
    <n v="0"/>
    <n v="0"/>
    <n v="1"/>
    <n v="1"/>
    <n v="4"/>
    <n v="23"/>
    <n v="0"/>
    <n v="0"/>
    <x v="14"/>
    <x v="9"/>
    <s v=""/>
    <n v="11.690000000000001"/>
    <n v="11.690000000000001"/>
    <n v="24.373895568557543"/>
    <n v="36.063895568557541"/>
    <x v="30"/>
    <s v="Jean-Philippe STROIAZZO"/>
    <x v="2"/>
    <x v="4"/>
    <n v="1"/>
  </r>
  <r>
    <x v="37"/>
    <s v="GFI-Oceanet Infra Réseau Orléans .:. SOCLE"/>
    <x v="0"/>
    <m/>
    <m/>
    <n v="4"/>
    <n v="0"/>
    <n v="0"/>
    <n v="0"/>
    <n v="0"/>
    <n v="1"/>
    <n v="1"/>
    <n v="1"/>
    <n v="26"/>
    <n v="0"/>
    <n v="0"/>
    <x v="2"/>
    <x v="0"/>
    <s v=""/>
    <n v="7.58"/>
    <n v="7.58"/>
    <n v="15.804459230938082"/>
    <n v="23.384459230938084"/>
    <x v="3"/>
    <s v="Christophe ORLANDO"/>
    <x v="2"/>
    <x v="0"/>
    <n v="1"/>
  </r>
  <r>
    <x v="38"/>
    <s v="GFI-Oceanet Infra Réseau Orléans .:. SOCLE"/>
    <x v="0"/>
    <m/>
    <m/>
    <n v="4"/>
    <n v="0"/>
    <n v="0"/>
    <n v="0"/>
    <n v="0"/>
    <n v="1"/>
    <n v="1"/>
    <n v="2"/>
    <n v="20"/>
    <n v="0"/>
    <n v="0"/>
    <x v="2"/>
    <x v="0"/>
    <s v=""/>
    <n v="7.8000000000000007"/>
    <n v="7.8000000000000007"/>
    <n v="16.263163852416497"/>
    <n v="24.063163852416498"/>
    <x v="3"/>
    <s v="Christophe ORLANDO"/>
    <x v="2"/>
    <x v="0"/>
    <n v="1"/>
  </r>
  <r>
    <x v="39"/>
    <s v="GFI-Oceanet Infra Réseau Orléans .:. SOCLE"/>
    <x v="0"/>
    <m/>
    <m/>
    <n v="4"/>
    <n v="0"/>
    <n v="0"/>
    <n v="0"/>
    <n v="0"/>
    <n v="1"/>
    <n v="1"/>
    <n v="6"/>
    <n v="220"/>
    <n v="1"/>
    <n v="0"/>
    <x v="2"/>
    <x v="0"/>
    <s v=""/>
    <n v="60.2"/>
    <n v="60.2"/>
    <n v="125.51826460454782"/>
    <n v="185.71826460454781"/>
    <x v="3"/>
    <s v="Christophe ORLANDO"/>
    <x v="2"/>
    <x v="0"/>
    <n v="1"/>
  </r>
  <r>
    <x v="40"/>
    <s v="STMICRO-RUN2RUN .:. DEV"/>
    <x v="0"/>
    <m/>
    <m/>
    <n v="4"/>
    <n v="0"/>
    <n v="0"/>
    <n v="0"/>
    <n v="0"/>
    <n v="1"/>
    <n v="1"/>
    <n v="2"/>
    <n v="40"/>
    <n v="0"/>
    <n v="0"/>
    <x v="13"/>
    <x v="9"/>
    <s v=""/>
    <n v="12.400000000000002"/>
    <n v="12.400000000000002"/>
    <n v="25.85426048332879"/>
    <n v="38.254260483328792"/>
    <x v="29"/>
    <s v="Jean-Philippe STROIAZZO"/>
    <x v="2"/>
    <x v="4"/>
    <n v="1"/>
  </r>
  <r>
    <x v="41"/>
    <s v="FRR-Patapain .:. RECETTE"/>
    <x v="0"/>
    <m/>
    <m/>
    <n v="4"/>
    <n v="0"/>
    <n v="0"/>
    <n v="0"/>
    <n v="0"/>
    <n v="1"/>
    <n v="1"/>
    <n v="2"/>
    <n v="50"/>
    <n v="0"/>
    <n v="0"/>
    <x v="9"/>
    <x v="7"/>
    <s v=""/>
    <n v="14.7"/>
    <n v="14.7"/>
    <n v="30.649808798784928"/>
    <n v="45.349808798784927"/>
    <x v="36"/>
    <s v="Rodolphe Habegger"/>
    <x v="2"/>
    <x v="5"/>
    <n v="1"/>
  </r>
  <r>
    <x v="42"/>
    <s v="GFI-Oceanet Orléans PIC .:. QUAL_BUILD"/>
    <x v="0"/>
    <m/>
    <m/>
    <n v="4"/>
    <n v="0"/>
    <n v="0"/>
    <n v="0"/>
    <n v="0"/>
    <n v="1"/>
    <n v="1"/>
    <n v="2"/>
    <n v="60"/>
    <n v="0"/>
    <n v="0"/>
    <x v="16"/>
    <x v="0"/>
    <s v=""/>
    <n v="17"/>
    <n v="17"/>
    <n v="35.445357114241077"/>
    <n v="52.445357114241077"/>
    <x v="37"/>
    <s v="Christophe ORLANDO"/>
    <x v="2"/>
    <x v="6"/>
    <n v="1"/>
  </r>
  <r>
    <x v="43"/>
    <s v="IT-CE-TMA .:. TMA"/>
    <x v="0"/>
    <m/>
    <m/>
    <n v="4"/>
    <n v="0"/>
    <n v="1"/>
    <n v="0"/>
    <n v="4"/>
    <n v="1"/>
    <n v="1"/>
    <n v="8"/>
    <n v="270"/>
    <n v="1"/>
    <n v="297.49"/>
    <x v="3"/>
    <x v="2"/>
    <s v=""/>
    <n v="74.900000000000006"/>
    <n v="74.900000000000006"/>
    <n v="156.16807340333278"/>
    <n v="231.06807340333279"/>
    <x v="4"/>
    <s v="Christophe ORLANDO"/>
    <x v="2"/>
    <x v="3"/>
    <n v="1"/>
  </r>
  <r>
    <x v="4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0"/>
    <x v="0"/>
    <s v=""/>
    <n v="7.57"/>
    <n v="0"/>
    <n v="0"/>
    <n v="0"/>
    <x v="2"/>
    <s v="Jérôme JACOB"/>
    <x v="0"/>
    <x v="0"/>
    <n v="1"/>
  </r>
  <r>
    <x v="4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8"/>
    <s v="MEAE-Visa .:. QUAL"/>
    <x v="2"/>
    <n v="0"/>
    <s v="Pas de migration"/>
    <n v="4"/>
    <n v="0"/>
    <n v="0"/>
    <n v="0"/>
    <n v="0"/>
    <n v="1"/>
    <n v="1"/>
    <n v="2"/>
    <n v="8"/>
    <n v="0"/>
    <n v="0"/>
    <x v="17"/>
    <x v="11"/>
    <s v=""/>
    <n v="5.04"/>
    <n v="5.04"/>
    <n v="10.508505873869121"/>
    <n v="15.548505873869122"/>
    <x v="38"/>
    <s v="Axel Benoist-Gironiere"/>
    <x v="3"/>
    <x v="7"/>
    <n v="1"/>
  </r>
  <r>
    <x v="49"/>
    <s v="MEAE-Visa .:. QUAL"/>
    <x v="3"/>
    <n v="0"/>
    <s v="Pas de migration"/>
    <n v="4"/>
    <n v="0"/>
    <n v="0"/>
    <n v="0"/>
    <n v="0"/>
    <n v="1"/>
    <n v="1"/>
    <n v="2"/>
    <n v="7"/>
    <n v="0"/>
    <n v="0"/>
    <x v="17"/>
    <x v="11"/>
    <s v=""/>
    <n v="4.8100000000000005"/>
    <n v="4.8100000000000005"/>
    <n v="10.028951042323506"/>
    <n v="14.838951042323506"/>
    <x v="38"/>
    <s v="Axel Benoist-Gironiere"/>
    <x v="3"/>
    <x v="7"/>
    <n v="1"/>
  </r>
  <r>
    <x v="50"/>
    <s v="DIG-Perform .:. SOCLE"/>
    <x v="0"/>
    <n v="0"/>
    <m/>
    <n v="4"/>
    <n v="0"/>
    <n v="0"/>
    <n v="0"/>
    <n v="0"/>
    <n v="1"/>
    <n v="1"/>
    <n v="1"/>
    <n v="6"/>
    <n v="0"/>
    <n v="0"/>
    <x v="18"/>
    <x v="0"/>
    <s v=""/>
    <n v="2.9800000000000004"/>
    <n v="2.9800000000000004"/>
    <n v="6.21336260002579"/>
    <n v="9.1933626000257895"/>
    <x v="39"/>
    <s v="Vincent MERIAU"/>
    <x v="3"/>
    <x v="0"/>
    <n v="1"/>
  </r>
  <r>
    <x v="51"/>
    <s v="MEAE-SAGAIE TMA .:. SOCLE"/>
    <x v="4"/>
    <n v="0"/>
    <s v="Pas de migration"/>
    <n v="4"/>
    <n v="0"/>
    <n v="0"/>
    <n v="0"/>
    <n v="0"/>
    <n v="0.5"/>
    <n v="1"/>
    <n v="1"/>
    <n v="4"/>
    <n v="0"/>
    <n v="0"/>
    <x v="17"/>
    <x v="11"/>
    <s v=""/>
    <n v="2.52"/>
    <n v="2.52"/>
    <n v="5.2542529369345603"/>
    <n v="7.7742529369345608"/>
    <x v="40"/>
    <s v="Axel Benoist-Gironiere, Vincent MERIAU"/>
    <x v="3"/>
    <x v="0"/>
    <n v="2"/>
  </r>
  <r>
    <x v="51"/>
    <s v="MEAE-Visa .:. SOCLE"/>
    <x v="5"/>
    <n v="0"/>
    <s v="Pas de migration"/>
    <n v="4"/>
    <n v="0"/>
    <n v="0"/>
    <n v="0"/>
    <n v="0"/>
    <n v="0.5"/>
    <n v="1"/>
    <n v="1"/>
    <n v="4"/>
    <n v="0"/>
    <n v="0"/>
    <x v="17"/>
    <x v="11"/>
    <s v=""/>
    <n v="2.52"/>
    <n v="2.52"/>
    <n v="5.2542529369345603"/>
    <n v="7.7742529369345608"/>
    <x v="38"/>
    <s v="Axel Benoist-Gironiere"/>
    <x v="3"/>
    <x v="0"/>
    <n v="2"/>
  </r>
  <r>
    <x v="52"/>
    <s v="MEAE-Visa .:. SOCLE"/>
    <x v="6"/>
    <n v="0"/>
    <s v="Pas de migration"/>
    <n v="4"/>
    <n v="2"/>
    <n v="0"/>
    <n v="0"/>
    <n v="0"/>
    <n v="1"/>
    <n v="1"/>
    <n v="4"/>
    <n v="65"/>
    <n v="1"/>
    <n v="11.96"/>
    <x v="17"/>
    <x v="11"/>
    <s v=""/>
    <n v="21.35"/>
    <n v="21.35"/>
    <n v="44.515198493473356"/>
    <n v="65.865198493473358"/>
    <x v="38"/>
    <s v="Axel Benoist-Gironiere"/>
    <x v="3"/>
    <x v="0"/>
    <n v="1"/>
  </r>
  <r>
    <x v="53"/>
    <s v="MEAE-Visa .:. SOCLE"/>
    <x v="7"/>
    <n v="0"/>
    <s v="Pas de migration"/>
    <n v="4"/>
    <n v="0"/>
    <n v="0"/>
    <n v="0"/>
    <n v="0"/>
    <n v="1"/>
    <n v="0"/>
    <n v="0"/>
    <n v="40"/>
    <n v="1"/>
    <n v="0"/>
    <x v="17"/>
    <x v="11"/>
    <s v=""/>
    <n v="9.2000000000000011"/>
    <n v="9.2000000000000011"/>
    <n v="19.182193261824587"/>
    <n v="28.38219326182459"/>
    <x v="38"/>
    <s v="Axel Benoist-Gironiere"/>
    <x v="3"/>
    <x v="0"/>
    <n v="1"/>
  </r>
  <r>
    <x v="54"/>
    <s v="MEAE-Visa .:. DEV"/>
    <x v="0"/>
    <n v="0"/>
    <s v="Pas de migration"/>
    <n v="4"/>
    <n v="0"/>
    <n v="0"/>
    <n v="0"/>
    <n v="0"/>
    <n v="1"/>
    <n v="1"/>
    <n v="4"/>
    <n v="60"/>
    <n v="1"/>
    <n v="0"/>
    <x v="17"/>
    <x v="11"/>
    <s v=""/>
    <n v="20.200000000000003"/>
    <n v="20.200000000000003"/>
    <n v="42.117424335745291"/>
    <n v="62.317424335745294"/>
    <x v="38"/>
    <s v="Axel Benoist-Gironiere"/>
    <x v="3"/>
    <x v="4"/>
    <n v="1"/>
  </r>
  <r>
    <x v="55"/>
    <s v="MEAE-Visa .:. SOCLE"/>
    <x v="6"/>
    <n v="0"/>
    <s v="Pas de migration"/>
    <n v="4"/>
    <n v="0"/>
    <n v="0"/>
    <n v="0"/>
    <n v="0"/>
    <n v="1"/>
    <n v="1"/>
    <n v="2"/>
    <n v="50"/>
    <n v="1"/>
    <n v="0"/>
    <x v="17"/>
    <x v="11"/>
    <s v=""/>
    <n v="14.7"/>
    <n v="14.7"/>
    <n v="30.649808798784928"/>
    <n v="45.349808798784927"/>
    <x v="38"/>
    <s v="Axel Benoist-Gironiere"/>
    <x v="3"/>
    <x v="0"/>
    <n v="1"/>
  </r>
  <r>
    <x v="56"/>
    <s v="AS24-ChantierPIC .:. DEV"/>
    <x v="0"/>
    <m/>
    <m/>
    <n v="8"/>
    <n v="0"/>
    <n v="0"/>
    <n v="0"/>
    <n v="0"/>
    <n v="1"/>
    <n v="1"/>
    <n v="16"/>
    <n v="63"/>
    <n v="0"/>
    <n v="0"/>
    <x v="19"/>
    <x v="12"/>
    <s v=""/>
    <n v="40.090000000000003"/>
    <n v="40.090000000000003"/>
    <n v="83.588492159407352"/>
    <n v="123.67849215940736"/>
    <x v="41"/>
    <s v="Florian DUPONT"/>
    <x v="4"/>
    <x v="4"/>
    <n v="1"/>
  </r>
  <r>
    <x v="57"/>
    <s v="MEAE-SAGAIE TMA .:. DEV_RUN"/>
    <x v="8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4.840701022292258"/>
    <n v="51.550701022292259"/>
    <x v="40"/>
    <s v="Axel Benoist-Gironiere, Vincent MERIAU"/>
    <x v="3"/>
    <x v="8"/>
    <n v="1"/>
  </r>
  <r>
    <x v="58"/>
    <s v="MEAE-SAGAIE TMA .:. DEV_BUILD"/>
    <x v="9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4.840701022292258"/>
    <n v="51.550701022292259"/>
    <x v="40"/>
    <s v="Axel Benoist-Gironiere, Vincent MERIAU"/>
    <x v="3"/>
    <x v="9"/>
    <n v="1"/>
  </r>
  <r>
    <x v="59"/>
    <s v="MEAE-SAGAIE TMA .:. QUAL_RUN"/>
    <x v="8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4.840701022292258"/>
    <n v="51.550701022292259"/>
    <x v="40"/>
    <s v="Axel Benoist-Gironiere, Vincent MERIAU"/>
    <x v="3"/>
    <x v="10"/>
    <n v="1"/>
  </r>
  <r>
    <x v="60"/>
    <s v="MEAE-SAGAIE TMA .:. QUAL_BUILD"/>
    <x v="9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4.840701022292258"/>
    <n v="51.550701022292259"/>
    <x v="40"/>
    <s v="Axel Benoist-Gironiere, Vincent MERIAU"/>
    <x v="3"/>
    <x v="6"/>
    <n v="1"/>
  </r>
  <r>
    <x v="61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7"/>
    <x v="11"/>
    <s v=""/>
    <n v="9.16"/>
    <n v="9.16"/>
    <n v="19.098792421555782"/>
    <n v="28.258792421555782"/>
    <x v="40"/>
    <s v="Axel Benoist-Gironiere, Vincent MERIAU"/>
    <x v="3"/>
    <x v="9"/>
    <n v="1"/>
  </r>
  <r>
    <x v="62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7"/>
    <x v="11"/>
    <s v=""/>
    <n v="9.16"/>
    <n v="9.16"/>
    <n v="19.098792421555782"/>
    <n v="28.258792421555782"/>
    <x v="40"/>
    <s v="Axel Benoist-Gironiere, Vincent MERIAU"/>
    <x v="3"/>
    <x v="6"/>
    <n v="1"/>
  </r>
  <r>
    <x v="63"/>
    <s v="MEAE-SAGAIE TMA .:. QUAL_BUILD"/>
    <x v="0"/>
    <m/>
    <m/>
    <n v="4"/>
    <n v="0"/>
    <n v="0"/>
    <n v="0"/>
    <n v="0"/>
    <n v="1"/>
    <n v="1"/>
    <n v="2"/>
    <n v="12"/>
    <n v="0"/>
    <n v="0"/>
    <x v="17"/>
    <x v="11"/>
    <s v=""/>
    <n v="5.9600000000000009"/>
    <n v="5.9600000000000009"/>
    <n v="12.42672520005158"/>
    <n v="18.386725200051579"/>
    <x v="40"/>
    <s v="Axel Benoist-Gironiere, Vincent MERIAU"/>
    <x v="3"/>
    <x v="6"/>
    <n v="1"/>
  </r>
  <r>
    <x v="64"/>
    <s v="MEAE-Visa .:. QUAL"/>
    <x v="10"/>
    <n v="0"/>
    <s v="Pas de migration"/>
    <n v="4"/>
    <n v="0"/>
    <n v="0"/>
    <n v="0"/>
    <n v="0"/>
    <n v="1"/>
    <n v="1"/>
    <n v="2"/>
    <n v="6"/>
    <n v="0"/>
    <n v="0"/>
    <x v="17"/>
    <x v="11"/>
    <s v=""/>
    <n v="4.58"/>
    <n v="4.58"/>
    <n v="9.5493962107778909"/>
    <n v="14.129396210777891"/>
    <x v="38"/>
    <s v="Axel Benoist-Gironiere"/>
    <x v="3"/>
    <x v="7"/>
    <n v="1"/>
  </r>
  <r>
    <x v="65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20.057902084647012"/>
    <n v="29.677902084647013"/>
    <x v="42"/>
    <s v="Philippe De Guio"/>
    <x v="4"/>
    <x v="4"/>
    <n v="1"/>
  </r>
  <r>
    <x v="66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20.057902084647012"/>
    <n v="29.677902084647013"/>
    <x v="42"/>
    <s v="Philippe De Guio"/>
    <x v="4"/>
    <x v="7"/>
    <n v="1"/>
  </r>
  <r>
    <x v="67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20.057902084647012"/>
    <n v="29.677902084647013"/>
    <x v="42"/>
    <s v="Philippe De Guio"/>
    <x v="4"/>
    <x v="1"/>
    <n v="1"/>
  </r>
  <r>
    <x v="68"/>
    <s v="GFI-MY BUSINESS .:. PROD"/>
    <x v="0"/>
    <m/>
    <m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20.057902084647012"/>
    <n v="29.677902084647013"/>
    <x v="42"/>
    <s v="Philippe De Guio"/>
    <x v="4"/>
    <x v="1"/>
    <n v="1"/>
  </r>
  <r>
    <x v="69"/>
    <s v="GFI-MY BUSINESS .:. QUAL"/>
    <x v="0"/>
    <m/>
    <m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20.057902084647012"/>
    <n v="29.677902084647013"/>
    <x v="42"/>
    <s v="Philippe De Guio"/>
    <x v="4"/>
    <x v="7"/>
    <n v="1"/>
  </r>
  <r>
    <x v="70"/>
    <s v="GFI-POC Kubernetes Vault .:. DEV_BUILD"/>
    <x v="0"/>
    <m/>
    <m/>
    <n v="4"/>
    <m/>
    <m/>
    <m/>
    <m/>
    <n v="1"/>
    <n v="1"/>
    <n v="4"/>
    <n v="37"/>
    <n v="0"/>
    <n v="0"/>
    <x v="18"/>
    <x v="0"/>
    <s v=""/>
    <n v="14.91"/>
    <n v="14.91"/>
    <n v="31.087663210196144"/>
    <n v="45.997663210196144"/>
    <x v="43"/>
    <s v="Jérôme JACOB"/>
    <x v="3"/>
    <x v="9"/>
    <n v="1"/>
  </r>
  <r>
    <x v="71"/>
    <s v="GFI-POC Kubernetes Vault .:. DEV_BUILD"/>
    <x v="0"/>
    <m/>
    <m/>
    <n v="4"/>
    <m/>
    <m/>
    <m/>
    <m/>
    <n v="1"/>
    <n v="1"/>
    <n v="4"/>
    <n v="37"/>
    <n v="0"/>
    <n v="0"/>
    <x v="18"/>
    <x v="0"/>
    <s v=""/>
    <n v="14.91"/>
    <n v="14.91"/>
    <n v="31.087663210196144"/>
    <n v="45.997663210196144"/>
    <x v="43"/>
    <s v="Jérôme JACOB"/>
    <x v="3"/>
    <x v="9"/>
    <n v="1"/>
  </r>
  <r>
    <x v="72"/>
    <s v="MEAE-Visa .:. DEV"/>
    <x v="0"/>
    <n v="0"/>
    <s v="Pas de migration"/>
    <n v="4"/>
    <n v="0"/>
    <n v="0"/>
    <n v="0"/>
    <n v="0"/>
    <n v="1"/>
    <n v="1"/>
    <n v="1"/>
    <n v="21"/>
    <n v="0"/>
    <n v="0"/>
    <x v="17"/>
    <x v="11"/>
    <s v=""/>
    <n v="6.43"/>
    <n v="6.43"/>
    <n v="13.406685073210008"/>
    <n v="19.836685073210006"/>
    <x v="38"/>
    <s v="Axel Benoist-Gironiere"/>
    <x v="3"/>
    <x v="4"/>
    <n v="1"/>
  </r>
  <r>
    <x v="73"/>
    <s v="MEAE-Prevoirh .:. DEV"/>
    <x v="0"/>
    <m/>
    <m/>
    <n v="4"/>
    <n v="0"/>
    <n v="0"/>
    <n v="0"/>
    <n v="0"/>
    <n v="1"/>
    <n v="1"/>
    <n v="2"/>
    <n v="11"/>
    <n v="0"/>
    <n v="0"/>
    <x v="17"/>
    <x v="11"/>
    <s v=""/>
    <n v="5.73"/>
    <n v="5.73"/>
    <n v="11.947170368505963"/>
    <n v="17.677170368505962"/>
    <x v="44"/>
    <s v="Axel Benoist-Gironiere"/>
    <x v="3"/>
    <x v="4"/>
    <n v="1"/>
  </r>
  <r>
    <x v="74"/>
    <s v="MEAE-SAGAIE TMA .:. SOCLE"/>
    <x v="11"/>
    <n v="0"/>
    <s v="Pas de migration"/>
    <n v="4"/>
    <n v="0"/>
    <n v="0"/>
    <n v="0"/>
    <n v="0"/>
    <n v="1"/>
    <n v="1"/>
    <n v="1"/>
    <n v="6"/>
    <n v="0"/>
    <n v="0"/>
    <x v="17"/>
    <x v="11"/>
    <s v=""/>
    <n v="2.9800000000000004"/>
    <n v="2.9800000000000004"/>
    <n v="6.21336260002579"/>
    <n v="9.1933626000257895"/>
    <x v="40"/>
    <s v="Axel Benoist-Gironiere, Vincent MERIAU"/>
    <x v="3"/>
    <x v="0"/>
    <n v="1"/>
  </r>
  <r>
    <x v="75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1"/>
    <x v="14"/>
    <s v=""/>
    <n v="2.52"/>
    <n v="2.52"/>
    <n v="5.2542529369345603"/>
    <n v="7.7742529369345608"/>
    <x v="45"/>
    <s v="Pierre Maurupt"/>
    <x v="4"/>
    <x v="4"/>
    <n v="1"/>
  </r>
  <r>
    <x v="76"/>
    <s v="MEAE-Visa .:. SOCLE"/>
    <x v="12"/>
    <n v="0"/>
    <s v="Pas de migration"/>
    <n v="4"/>
    <n v="0"/>
    <n v="0"/>
    <n v="0"/>
    <n v="0"/>
    <n v="1"/>
    <n v="1"/>
    <n v="8"/>
    <n v="48"/>
    <n v="0"/>
    <n v="0"/>
    <x v="17"/>
    <x v="11"/>
    <s v=""/>
    <n v="23.840000000000003"/>
    <n v="23.840000000000003"/>
    <n v="49.70690080020632"/>
    <n v="73.546900800206316"/>
    <x v="38"/>
    <s v="Axel Benoist-Gironiere"/>
    <x v="3"/>
    <x v="0"/>
    <n v="1"/>
  </r>
  <r>
    <x v="77"/>
    <s v="MEAE-SAGAIE TMA .:. OBSOLETE"/>
    <x v="13"/>
    <n v="0"/>
    <s v="Pas de migration"/>
    <n v="4"/>
    <n v="0"/>
    <n v="0"/>
    <n v="0"/>
    <n v="0"/>
    <n v="0.5"/>
    <n v="1"/>
    <n v="0.5"/>
    <n v="9.5"/>
    <n v="0"/>
    <n v="0"/>
    <x v="17"/>
    <x v="11"/>
    <s v=""/>
    <n v="2.9850000000000003"/>
    <n v="2.9850000000000003"/>
    <n v="6.2237877050593893"/>
    <n v="9.2087877050593896"/>
    <x v="40"/>
    <s v="Axel Benoist-Gironiere, Vincent MERIAU"/>
    <x v="3"/>
    <x v="11"/>
    <n v="2"/>
  </r>
  <r>
    <x v="77"/>
    <s v="MEAE-Visa .:. DEV"/>
    <x v="14"/>
    <n v="0"/>
    <s v="Pas de migration"/>
    <n v="4"/>
    <n v="0"/>
    <n v="0"/>
    <n v="0"/>
    <n v="0"/>
    <n v="0.5"/>
    <n v="1"/>
    <n v="0.5"/>
    <n v="9.5"/>
    <n v="0"/>
    <n v="0"/>
    <x v="17"/>
    <x v="11"/>
    <s v=""/>
    <n v="2.9850000000000003"/>
    <n v="2.9850000000000003"/>
    <n v="6.2237877050593893"/>
    <n v="9.2087877050593896"/>
    <x v="38"/>
    <s v="Axel Benoist-Gironiere"/>
    <x v="3"/>
    <x v="4"/>
    <n v="2"/>
  </r>
  <r>
    <x v="78"/>
    <s v="MEAE-SAGAIE TMA .:. DEV"/>
    <x v="11"/>
    <n v="0"/>
    <s v="Pas de migration"/>
    <n v="4"/>
    <n v="0"/>
    <n v="0"/>
    <n v="0"/>
    <n v="0"/>
    <n v="1"/>
    <n v="1"/>
    <n v="1"/>
    <n v="56"/>
    <n v="0"/>
    <n v="0"/>
    <x v="17"/>
    <x v="11"/>
    <s v=""/>
    <n v="14.48"/>
    <n v="14.48"/>
    <n v="30.191104177306517"/>
    <n v="44.671104177306518"/>
    <x v="40"/>
    <s v="Axel Benoist-Gironiere, Vincent MERIAU"/>
    <x v="3"/>
    <x v="4"/>
    <n v="1"/>
  </r>
  <r>
    <x v="79"/>
    <s v="MEAE-Visa .:. DEV"/>
    <x v="0"/>
    <m/>
    <m/>
    <n v="4"/>
    <n v="0"/>
    <n v="0"/>
    <n v="0"/>
    <n v="0"/>
    <n v="1"/>
    <n v="1"/>
    <n v="2"/>
    <n v="27"/>
    <n v="0"/>
    <n v="0"/>
    <x v="17"/>
    <x v="11"/>
    <s v=""/>
    <n v="9.41"/>
    <n v="9.41"/>
    <n v="19.620047673235796"/>
    <n v="29.030047673235796"/>
    <x v="38"/>
    <s v="Axel Benoist-Gironiere"/>
    <x v="3"/>
    <x v="4"/>
    <n v="1"/>
  </r>
  <r>
    <x v="80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0"/>
    <x v="13"/>
    <s v=""/>
    <n v="2.9800000000000004"/>
    <n v="2.9800000000000004"/>
    <n v="6.21336260002579"/>
    <n v="9.1933626000257895"/>
    <x v="46"/>
    <s v="Philippe De Guio"/>
    <x v="4"/>
    <x v="1"/>
    <n v="1"/>
  </r>
  <r>
    <x v="81"/>
    <s v="MEAE-Visa .:. SOCLE"/>
    <x v="15"/>
    <n v="0"/>
    <s v="Pas de migration"/>
    <n v="4"/>
    <n v="2"/>
    <n v="1"/>
    <n v="0"/>
    <n v="4"/>
    <n v="1"/>
    <n v="1"/>
    <n v="4"/>
    <n v="240"/>
    <n v="1"/>
    <n v="309.45"/>
    <x v="17"/>
    <x v="11"/>
    <s v=""/>
    <n v="61.6"/>
    <n v="61.6"/>
    <n v="128.43729401395592"/>
    <n v="190.03729401395591"/>
    <x v="38"/>
    <s v="Axel Benoist-Gironiere"/>
    <x v="3"/>
    <x v="0"/>
    <n v="1"/>
  </r>
  <r>
    <x v="82"/>
    <s v="MEAE-Visa .:. SOCLE"/>
    <x v="16"/>
    <n v="0"/>
    <s v="Pas de migration"/>
    <n v="4"/>
    <n v="0"/>
    <n v="0"/>
    <n v="0"/>
    <n v="0"/>
    <n v="1"/>
    <n v="1"/>
    <n v="1"/>
    <n v="14"/>
    <n v="0"/>
    <n v="0"/>
    <x v="17"/>
    <x v="11"/>
    <s v=""/>
    <n v="4.82"/>
    <n v="4.82"/>
    <n v="10.049801252390706"/>
    <n v="14.869801252390706"/>
    <x v="38"/>
    <s v="Axel Benoist-Gironiere"/>
    <x v="3"/>
    <x v="0"/>
    <n v="1"/>
  </r>
  <r>
    <x v="83"/>
    <s v="MEAE-Visa .:. DEV"/>
    <x v="17"/>
    <n v="0"/>
    <s v="Pas de migration"/>
    <n v="4"/>
    <n v="2"/>
    <n v="0"/>
    <n v="0"/>
    <n v="0"/>
    <n v="1"/>
    <n v="1"/>
    <n v="2"/>
    <n v="40"/>
    <n v="1"/>
    <n v="11.96"/>
    <x v="17"/>
    <x v="11"/>
    <s v=""/>
    <n v="12.400000000000002"/>
    <n v="12.400000000000002"/>
    <n v="25.85426048332879"/>
    <n v="38.254260483328792"/>
    <x v="38"/>
    <s v="Axel Benoist-Gironiere"/>
    <x v="3"/>
    <x v="4"/>
    <n v="1"/>
  </r>
  <r>
    <x v="84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47"/>
    <s v="Jérôme JACOB"/>
    <x v="0"/>
    <x v="1"/>
    <n v="1"/>
  </r>
  <r>
    <x v="85"/>
    <s v="Vivesco-Vives-taux .:. DEV"/>
    <x v="18"/>
    <n v="5"/>
    <s v="Disparition avec migration vers Delivery"/>
    <n v="4"/>
    <n v="0"/>
    <n v="0"/>
    <n v="0"/>
    <n v="0"/>
    <n v="1"/>
    <n v="1"/>
    <n v="2"/>
    <n v="20"/>
    <n v="0"/>
    <n v="0"/>
    <x v="21"/>
    <x v="14"/>
    <s v=""/>
    <n v="7.8000000000000007"/>
    <n v="7.8000000000000007"/>
    <n v="16.263163852416497"/>
    <n v="24.063163852416498"/>
    <x v="45"/>
    <s v="Pierre Maurupt"/>
    <x v="4"/>
    <x v="4"/>
    <n v="1"/>
  </r>
  <r>
    <x v="86"/>
    <s v="MEAE-Visa .:. SOCLE"/>
    <x v="19"/>
    <n v="5"/>
    <s v="Disparition avec migration vers Delivery"/>
    <n v="6"/>
    <n v="0"/>
    <n v="0"/>
    <n v="0"/>
    <n v="0"/>
    <n v="1"/>
    <n v="1"/>
    <n v="4"/>
    <n v="120"/>
    <n v="0"/>
    <n v="0"/>
    <x v="17"/>
    <x v="11"/>
    <s v=""/>
    <n v="34"/>
    <n v="34"/>
    <n v="70.890714228482153"/>
    <n v="104.89071422848215"/>
    <x v="38"/>
    <s v="Axel Benoist-Gironiere"/>
    <x v="3"/>
    <x v="0"/>
    <n v="1"/>
  </r>
  <r>
    <x v="87"/>
    <s v="GFI-Oceanet Infra Réseau .:. SOCLE"/>
    <x v="20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88"/>
    <s v="MEAE-Visa .:. SOCLE"/>
    <x v="21"/>
    <n v="5"/>
    <s v="Disparition avec migration vers Delivery"/>
    <n v="4"/>
    <n v="0"/>
    <n v="0"/>
    <n v="0"/>
    <n v="0"/>
    <n v="1"/>
    <n v="1"/>
    <n v="1"/>
    <n v="38"/>
    <n v="0"/>
    <n v="0"/>
    <x v="17"/>
    <x v="11"/>
    <s v=""/>
    <n v="10.34"/>
    <n v="10.34"/>
    <n v="21.559117209485454"/>
    <n v="31.899117209485453"/>
    <x v="38"/>
    <s v="Axel Benoist-Gironiere"/>
    <x v="3"/>
    <x v="0"/>
    <n v="1"/>
  </r>
  <r>
    <x v="89"/>
    <s v="MEAE-Visa .:. ARRET"/>
    <x v="22"/>
    <n v="0"/>
    <s v="Disparition sans migration"/>
    <n v="4"/>
    <n v="0"/>
    <n v="0"/>
    <n v="0"/>
    <n v="0"/>
    <n v="0.5"/>
    <n v="1"/>
    <n v="0.5"/>
    <n v="2"/>
    <n v="0"/>
    <n v="0"/>
    <x v="17"/>
    <x v="11"/>
    <s v=""/>
    <n v="1.26"/>
    <n v="1.26"/>
    <n v="2.6271264684672802"/>
    <n v="3.8871264684672804"/>
    <x v="38"/>
    <s v="Axel Benoist-Gironiere"/>
    <x v="3"/>
    <x v="12"/>
    <n v="2"/>
  </r>
  <r>
    <x v="89"/>
    <s v="Vivesco-Vives-taux .:. QUAL"/>
    <x v="23"/>
    <n v="0"/>
    <s v="Disparition sans migration"/>
    <n v="4"/>
    <n v="0"/>
    <n v="0"/>
    <n v="0"/>
    <n v="0"/>
    <n v="0.5"/>
    <n v="1"/>
    <n v="0.5"/>
    <n v="2"/>
    <n v="0"/>
    <n v="0"/>
    <x v="21"/>
    <x v="14"/>
    <s v=""/>
    <n v="1.26"/>
    <n v="1.26"/>
    <n v="2.6271264684672802"/>
    <n v="3.8871264684672804"/>
    <x v="45"/>
    <s v="Pierre Maurupt"/>
    <x v="4"/>
    <x v="7"/>
    <n v="2"/>
  </r>
  <r>
    <x v="90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91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2"/>
    <x v="15"/>
    <s v=""/>
    <n v="2.2200000000000002"/>
    <n v="2.2200000000000002"/>
    <n v="4.6287466349185413"/>
    <n v="6.8487466349185411"/>
    <x v="48"/>
    <s v="Pascale CRINE"/>
    <x v="3"/>
    <x v="3"/>
    <n v="3"/>
  </r>
  <r>
    <x v="91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3"/>
    <x v="15"/>
    <s v=""/>
    <n v="2.2200000000000002"/>
    <n v="2.2200000000000002"/>
    <n v="4.6287466349185413"/>
    <n v="6.8487466349185411"/>
    <x v="49"/>
    <s v="Pascale CRINE"/>
    <x v="3"/>
    <x v="3"/>
    <n v="3"/>
  </r>
  <r>
    <x v="91"/>
    <s v="MEAE-Visa .:. SOCLE"/>
    <x v="24"/>
    <m/>
    <m/>
    <n v="4"/>
    <n v="0"/>
    <n v="0"/>
    <n v="0"/>
    <n v="0"/>
    <n v="0.33333333333333331"/>
    <n v="1"/>
    <n v="0.33333333333333331"/>
    <n v="7.333333333333333"/>
    <n v="0"/>
    <n v="0"/>
    <x v="17"/>
    <x v="11"/>
    <s v=""/>
    <n v="2.2200000000000002"/>
    <n v="2.2200000000000002"/>
    <n v="4.6287466349185413"/>
    <n v="6.8487466349185411"/>
    <x v="38"/>
    <s v="Axel Benoist-Gironiere"/>
    <x v="3"/>
    <x v="0"/>
    <n v="3"/>
  </r>
  <r>
    <x v="92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0"/>
    <x v="0"/>
    <s v=""/>
    <n v="9.2000000000000011"/>
    <n v="0"/>
    <n v="0"/>
    <n v="0"/>
    <x v="47"/>
    <s v="Jérôme JACOB"/>
    <x v="0"/>
    <x v="1"/>
    <n v="1"/>
  </r>
  <r>
    <x v="93"/>
    <s v="Fablab-Firmin .:. SOCLE"/>
    <x v="0"/>
    <m/>
    <m/>
    <n v="4"/>
    <n v="0"/>
    <n v="0"/>
    <n v="0"/>
    <n v="0"/>
    <n v="1"/>
    <n v="1"/>
    <n v="16"/>
    <n v="127"/>
    <n v="0"/>
    <n v="0"/>
    <x v="1"/>
    <x v="1"/>
    <s v=""/>
    <n v="54.81"/>
    <n v="54.81"/>
    <n v="114.28000137832669"/>
    <n v="169.09000137832669"/>
    <x v="1"/>
    <s v="Pierre-Yves Baloche"/>
    <x v="1"/>
    <x v="0"/>
    <n v="1"/>
  </r>
  <r>
    <x v="94"/>
    <s v="Fablab-Firmin .:. SOCLE"/>
    <x v="0"/>
    <m/>
    <m/>
    <n v="4"/>
    <n v="0"/>
    <n v="0"/>
    <n v="0"/>
    <n v="0"/>
    <n v="1"/>
    <n v="1"/>
    <n v="4"/>
    <n v="27"/>
    <n v="0"/>
    <n v="0"/>
    <x v="1"/>
    <x v="1"/>
    <s v=""/>
    <n v="12.61"/>
    <n v="12.61"/>
    <n v="26.292114894739999"/>
    <n v="38.902114894739995"/>
    <x v="1"/>
    <s v="Pierre-Yves Baloche"/>
    <x v="1"/>
    <x v="0"/>
    <n v="1"/>
  </r>
  <r>
    <x v="95"/>
    <s v="Fablab-Firmin .:. SOCLE"/>
    <x v="0"/>
    <m/>
    <m/>
    <n v="4"/>
    <n v="0"/>
    <n v="0"/>
    <n v="0"/>
    <n v="0"/>
    <n v="1"/>
    <n v="1"/>
    <n v="16"/>
    <n v="47"/>
    <n v="0"/>
    <n v="0"/>
    <x v="1"/>
    <x v="1"/>
    <s v=""/>
    <n v="36.410000000000004"/>
    <n v="36.410000000000004"/>
    <n v="75.915614854677514"/>
    <n v="112.32561485467753"/>
    <x v="1"/>
    <s v="Pierre-Yves Baloche"/>
    <x v="1"/>
    <x v="0"/>
    <n v="1"/>
  </r>
  <r>
    <x v="96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4"/>
    <x v="0"/>
    <s v=""/>
    <n v="7.78"/>
    <n v="7.78"/>
    <n v="16.221463432282093"/>
    <n v="24.001463432282094"/>
    <x v="50"/>
    <s v="Jérôme JACOB"/>
    <x v="3"/>
    <x v="1"/>
    <n v="1"/>
  </r>
  <r>
    <x v="97"/>
    <s v="GFI-Oceanet Gestion VM .:. QUAL_RUN"/>
    <x v="0"/>
    <m/>
    <m/>
    <n v="4"/>
    <n v="0"/>
    <n v="0"/>
    <n v="0"/>
    <n v="0"/>
    <n v="0.5"/>
    <n v="1"/>
    <n v="0.5"/>
    <n v="9.5"/>
    <n v="0"/>
    <n v="0"/>
    <x v="0"/>
    <x v="0"/>
    <s v=""/>
    <n v="2.9850000000000003"/>
    <n v="0"/>
    <n v="0"/>
    <n v="0"/>
    <x v="47"/>
    <s v="Jérôme JACOB"/>
    <x v="0"/>
    <x v="10"/>
    <n v="2"/>
  </r>
  <r>
    <x v="97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1"/>
    <x v="14"/>
    <s v=""/>
    <n v="2.9850000000000003"/>
    <n v="2.9850000000000003"/>
    <n v="6.2237877050593893"/>
    <n v="9.2087877050593896"/>
    <x v="45"/>
    <s v="Pierre Maurupt"/>
    <x v="4"/>
    <x v="7"/>
    <n v="2"/>
  </r>
  <r>
    <x v="98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5"/>
    <x v="0"/>
    <s v=""/>
    <n v="6.42"/>
    <n v="6.42"/>
    <n v="13.385834863142808"/>
    <n v="19.805834863142806"/>
    <x v="51"/>
    <s v="Philippe De Guio"/>
    <x v="3"/>
    <x v="9"/>
    <n v="1"/>
  </r>
  <r>
    <x v="99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1"/>
    <x v="14"/>
    <s v=""/>
    <n v="2.52"/>
    <n v="2.52"/>
    <n v="5.2542529369345603"/>
    <n v="7.7742529369345608"/>
    <x v="45"/>
    <s v="Pierre Maurupt"/>
    <x v="4"/>
    <x v="7"/>
    <n v="1"/>
  </r>
  <r>
    <x v="100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47"/>
    <s v="Jérôme JACOB"/>
    <x v="0"/>
    <x v="10"/>
    <n v="1"/>
  </r>
  <r>
    <x v="101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5"/>
    <x v="0"/>
    <s v=""/>
    <n v="6.42"/>
    <n v="6.42"/>
    <n v="13.385834863142808"/>
    <n v="19.805834863142806"/>
    <x v="51"/>
    <s v="Philippe De Guio"/>
    <x v="3"/>
    <x v="9"/>
    <n v="1"/>
  </r>
  <r>
    <x v="102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1"/>
    <x v="14"/>
    <s v=""/>
    <n v="3.4400000000000004"/>
    <n v="3.4400000000000004"/>
    <n v="7.1724722631170197"/>
    <n v="10.61247226311702"/>
    <x v="45"/>
    <s v="Pierre Maurupt"/>
    <x v="4"/>
    <x v="7"/>
    <n v="1"/>
  </r>
  <r>
    <x v="103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5"/>
    <x v="0"/>
    <s v=""/>
    <n v="5.2700000000000005"/>
    <n v="5.2700000000000005"/>
    <n v="10.988060705414735"/>
    <n v="16.258060705414735"/>
    <x v="51"/>
    <s v="Philippe De Guio"/>
    <x v="3"/>
    <x v="1"/>
    <n v="1"/>
  </r>
  <r>
    <x v="104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6"/>
    <x v="16"/>
    <s v=""/>
    <n v="4.58"/>
    <n v="4.58"/>
    <n v="9.5493962107778909"/>
    <n v="14.129396210777891"/>
    <x v="52"/>
    <s v="Nicolas Legros"/>
    <x v="4"/>
    <x v="10"/>
    <n v="1"/>
  </r>
  <r>
    <x v="105"/>
    <s v="GFI-WE SPEC .:. QUAL"/>
    <x v="0"/>
    <n v="2"/>
    <s v="Terraform + Ansible"/>
    <n v="4"/>
    <n v="0"/>
    <n v="0"/>
    <n v="0"/>
    <n v="0"/>
    <n v="1"/>
    <n v="1"/>
    <n v="2"/>
    <n v="26"/>
    <n v="0"/>
    <n v="0"/>
    <x v="27"/>
    <x v="0"/>
    <s v=""/>
    <n v="9.18"/>
    <n v="9.18"/>
    <n v="19.140492841690179"/>
    <n v="28.320492841690179"/>
    <x v="53"/>
    <s v="Vincent MERIAU"/>
    <x v="3"/>
    <x v="7"/>
    <n v="1"/>
  </r>
  <r>
    <x v="106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2"/>
    <s v="Jérôme JACOB"/>
    <x v="0"/>
    <x v="0"/>
    <n v="1"/>
  </r>
  <r>
    <x v="10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1700420134401268"/>
    <n v="6.1700420134401268"/>
    <x v="1"/>
    <s v="Pierre-Yves Baloche"/>
    <x v="1"/>
    <x v="1"/>
    <n v="1"/>
  </r>
  <r>
    <x v="10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2"/>
    <s v="Jérôme JACOB"/>
    <x v="0"/>
    <x v="0"/>
    <n v="1"/>
  </r>
  <r>
    <x v="10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1700420134401268"/>
    <n v="6.1700420134401268"/>
    <x v="1"/>
    <s v="Pierre-Yves Baloche"/>
    <x v="1"/>
    <x v="1"/>
    <n v="1"/>
  </r>
  <r>
    <x v="110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1700420134401268"/>
    <n v="6.1700420134401268"/>
    <x v="1"/>
    <s v="Pierre-Yves Baloche"/>
    <x v="1"/>
    <x v="2"/>
    <n v="1"/>
  </r>
  <r>
    <x v="111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12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13"/>
    <s v="Fablab-Firmin .:. SOCLE"/>
    <x v="0"/>
    <m/>
    <m/>
    <n v="4"/>
    <n v="0"/>
    <n v="0"/>
    <n v="0"/>
    <n v="0"/>
    <n v="1"/>
    <n v="1"/>
    <n v="4"/>
    <n v="20"/>
    <n v="0"/>
    <n v="0"/>
    <x v="1"/>
    <x v="1"/>
    <s v=""/>
    <n v="11"/>
    <n v="11"/>
    <n v="22.935231073920697"/>
    <n v="33.935231073920697"/>
    <x v="1"/>
    <s v="Pierre-Yves Baloche"/>
    <x v="1"/>
    <x v="0"/>
    <n v="1"/>
  </r>
  <r>
    <x v="114"/>
    <s v="Fablab-BeeFlex .:. PROD"/>
    <x v="0"/>
    <m/>
    <m/>
    <n v="4"/>
    <m/>
    <m/>
    <m/>
    <m/>
    <n v="1"/>
    <n v="1"/>
    <n v="4"/>
    <n v="23"/>
    <n v="0"/>
    <n v="0"/>
    <x v="28"/>
    <x v="1"/>
    <s v=""/>
    <n v="11.690000000000001"/>
    <n v="11.690000000000001"/>
    <n v="24.373895568557543"/>
    <n v="36.063895568557541"/>
    <x v="54"/>
    <s v="Pierre-Yves Baloche"/>
    <x v="1"/>
    <x v="1"/>
    <n v="1"/>
  </r>
  <r>
    <x v="115"/>
    <s v="Fablab-BeeFlex .:. PREPROD"/>
    <x v="0"/>
    <m/>
    <m/>
    <n v="4"/>
    <m/>
    <m/>
    <m/>
    <m/>
    <n v="1"/>
    <n v="1"/>
    <n v="4"/>
    <n v="22"/>
    <n v="0"/>
    <n v="0"/>
    <x v="28"/>
    <x v="1"/>
    <s v=""/>
    <n v="6.4"/>
    <n v="6.4"/>
    <n v="13.344134443008407"/>
    <n v="19.744134443008406"/>
    <x v="54"/>
    <s v="Pierre-Yves Baloche"/>
    <x v="1"/>
    <x v="2"/>
    <n v="1"/>
  </r>
  <r>
    <x v="116"/>
    <s v="Fablab-BeeFlex .:. PROD"/>
    <x v="0"/>
    <m/>
    <m/>
    <n v="4"/>
    <m/>
    <m/>
    <m/>
    <m/>
    <n v="1"/>
    <n v="1"/>
    <n v="4"/>
    <n v="22"/>
    <n v="0"/>
    <n v="0"/>
    <x v="28"/>
    <x v="1"/>
    <s v=""/>
    <n v="6.4"/>
    <n v="6.4"/>
    <n v="13.344134443008407"/>
    <n v="19.744134443008406"/>
    <x v="54"/>
    <s v="Pierre-Yves Baloche"/>
    <x v="1"/>
    <x v="1"/>
    <n v="1"/>
  </r>
  <r>
    <x v="117"/>
    <s v="Fablab-Firmin .:. SOCLE"/>
    <x v="0"/>
    <m/>
    <m/>
    <n v="4"/>
    <n v="0"/>
    <n v="0"/>
    <n v="0"/>
    <n v="0"/>
    <n v="1"/>
    <n v="1"/>
    <n v="4"/>
    <n v="107"/>
    <n v="0"/>
    <n v="0"/>
    <x v="1"/>
    <x v="1"/>
    <s v=""/>
    <n v="31.009999999999998"/>
    <n v="31.009999999999998"/>
    <n v="64.656501418389169"/>
    <n v="95.666501418389174"/>
    <x v="1"/>
    <s v="Pierre-Yves Baloche"/>
    <x v="1"/>
    <x v="0"/>
    <n v="1"/>
  </r>
  <r>
    <x v="118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9.098792421555782"/>
    <n v="28.258792421555782"/>
    <x v="1"/>
    <s v="Pierre-Yves Baloche"/>
    <x v="1"/>
    <x v="0"/>
    <n v="1"/>
  </r>
  <r>
    <x v="119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9.098792421555782"/>
    <n v="28.258792421555782"/>
    <x v="1"/>
    <s v="Pierre-Yves Baloche"/>
    <x v="1"/>
    <x v="0"/>
    <n v="1"/>
  </r>
  <r>
    <x v="120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2"/>
    <n v="1"/>
  </r>
  <r>
    <x v="12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22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1"/>
    <n v="1"/>
  </r>
  <r>
    <x v="123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1"/>
    <n v="1"/>
  </r>
  <r>
    <x v="124"/>
    <s v="Fablab-Firmin .:. PROD"/>
    <x v="0"/>
    <m/>
    <m/>
    <n v="4"/>
    <n v="0"/>
    <n v="0"/>
    <n v="0"/>
    <n v="0"/>
    <n v="1"/>
    <n v="0"/>
    <n v="0"/>
    <n v="16"/>
    <n v="0"/>
    <n v="0"/>
    <x v="1"/>
    <x v="1"/>
    <s v=""/>
    <n v="3.68"/>
    <n v="3.68"/>
    <n v="7.672877304729834"/>
    <n v="11.352877304729834"/>
    <x v="1"/>
    <s v="Pierre-Yves Baloche"/>
    <x v="1"/>
    <x v="1"/>
    <n v="1"/>
  </r>
  <r>
    <x v="125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2"/>
    <n v="1"/>
  </r>
  <r>
    <x v="126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1"/>
    <n v="1"/>
  </r>
  <r>
    <x v="127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28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2"/>
    <n v="1"/>
  </r>
  <r>
    <x v="12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0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2"/>
    <n v="1"/>
  </r>
  <r>
    <x v="13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2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3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1.017011747738241"/>
    <n v="31.097011747738243"/>
    <x v="1"/>
    <s v="Pierre-Yves Baloche"/>
    <x v="1"/>
    <x v="2"/>
    <n v="1"/>
  </r>
  <r>
    <x v="13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7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39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1"/>
    <n v="1"/>
  </r>
  <r>
    <x v="14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4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42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43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1"/>
    <n v="1"/>
  </r>
  <r>
    <x v="14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4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2"/>
    <n v="1"/>
  </r>
  <r>
    <x v="146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3.414785905466314"/>
    <n v="34.644785905466314"/>
    <x v="1"/>
    <s v="Pierre-Yves Baloche"/>
    <x v="1"/>
    <x v="1"/>
    <n v="1"/>
  </r>
  <r>
    <x v="147"/>
    <s v="Fablab-Firmin .:. SOCLE"/>
    <x v="0"/>
    <m/>
    <m/>
    <n v="4"/>
    <m/>
    <m/>
    <m/>
    <m/>
    <n v="1"/>
    <n v="1"/>
    <n v="4"/>
    <n v="22"/>
    <n v="0"/>
    <n v="0"/>
    <x v="1"/>
    <x v="1"/>
    <s v=""/>
    <n v="11.46"/>
    <n v="11.46"/>
    <n v="23.894340737011927"/>
    <n v="35.354340737011924"/>
    <x v="1"/>
    <s v="Pierre-Yves Baloche"/>
    <x v="1"/>
    <x v="0"/>
    <n v="1"/>
  </r>
  <r>
    <x v="148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2542529369345603"/>
    <n v="7.7742529369345608"/>
    <x v="1"/>
    <s v="Pierre-Yves Baloche"/>
    <x v="1"/>
    <x v="2"/>
    <n v="1"/>
  </r>
  <r>
    <x v="149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2542529369345603"/>
    <n v="7.7742529369345608"/>
    <x v="1"/>
    <s v="Pierre-Yves Baloche"/>
    <x v="1"/>
    <x v="0"/>
    <n v="1"/>
  </r>
  <r>
    <x v="150"/>
    <s v="Fablab-Firmin .:. PROD"/>
    <x v="0"/>
    <m/>
    <m/>
    <n v="4"/>
    <n v="0"/>
    <n v="0"/>
    <n v="0"/>
    <n v="0"/>
    <n v="1"/>
    <n v="1"/>
    <n v="4"/>
    <n v="4"/>
    <n v="0"/>
    <n v="0"/>
    <x v="1"/>
    <x v="1"/>
    <s v=""/>
    <n v="7.32"/>
    <n v="7.32"/>
    <n v="15.262353769190867"/>
    <n v="22.582353769190867"/>
    <x v="1"/>
    <s v="Pierre-Yves Baloche"/>
    <x v="1"/>
    <x v="1"/>
    <n v="1"/>
  </r>
  <r>
    <x v="151"/>
    <s v="Fablab-Firmin .:. 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7.180573095373322"/>
    <n v="25.420573095373321"/>
    <x v="1"/>
    <s v="Pierre-Yves Baloche"/>
    <x v="1"/>
    <x v="1"/>
    <n v="1"/>
  </r>
  <r>
    <x v="152"/>
    <s v="Fablab-Firmin .:. PREPROD"/>
    <x v="0"/>
    <m/>
    <m/>
    <n v="4"/>
    <n v="0"/>
    <n v="0"/>
    <n v="0"/>
    <n v="0"/>
    <n v="1"/>
    <n v="0"/>
    <n v="0"/>
    <n v="8"/>
    <n v="0"/>
    <n v="0"/>
    <x v="1"/>
    <x v="1"/>
    <s v=""/>
    <n v="1.84"/>
    <n v="1.84"/>
    <n v="3.836438652364917"/>
    <n v="5.6764386523649168"/>
    <x v="1"/>
    <s v="Pierre-Yves Baloche"/>
    <x v="1"/>
    <x v="2"/>
    <n v="1"/>
  </r>
  <r>
    <x v="153"/>
    <s v="Fablab-Firmin .:. PRE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7.180573095373322"/>
    <n v="25.420573095373321"/>
    <x v="1"/>
    <s v="Pierre-Yves Baloche"/>
    <x v="1"/>
    <x v="2"/>
    <n v="1"/>
  </r>
  <r>
    <x v="154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2542529369345603"/>
    <n v="7.7742529369345608"/>
    <x v="1"/>
    <s v="Pierre-Yves Baloche"/>
    <x v="1"/>
    <x v="0"/>
    <n v="1"/>
  </r>
  <r>
    <x v="155"/>
    <s v="GFI-Linkus .:. PROD"/>
    <x v="25"/>
    <n v="0"/>
    <s v="Pas de migration"/>
    <n v="4"/>
    <n v="0"/>
    <n v="0"/>
    <n v="0"/>
    <n v="0"/>
    <n v="1"/>
    <n v="1"/>
    <n v="2"/>
    <n v="40"/>
    <n v="1"/>
    <n v="0"/>
    <x v="27"/>
    <x v="0"/>
    <s v=""/>
    <n v="12.400000000000002"/>
    <n v="12.400000000000002"/>
    <n v="25.85426048332879"/>
    <n v="38.254260483328792"/>
    <x v="55"/>
    <s v="Michael Le-Ridant"/>
    <x v="3"/>
    <x v="1"/>
    <n v="1"/>
  </r>
  <r>
    <x v="156"/>
    <s v="LA POSTE-CDC-DRUPAL .:. DEV"/>
    <x v="0"/>
    <m/>
    <m/>
    <n v="4"/>
    <n v="0"/>
    <n v="0"/>
    <n v="0"/>
    <n v="0"/>
    <n v="1"/>
    <n v="1"/>
    <n v="4"/>
    <n v="100"/>
    <n v="0"/>
    <n v="0"/>
    <x v="29"/>
    <x v="16"/>
    <s v=""/>
    <n v="29.4"/>
    <n v="29.4"/>
    <n v="61.299617597569856"/>
    <n v="90.699617597569855"/>
    <x v="56"/>
    <s v="Christophe ORLANDO"/>
    <x v="2"/>
    <x v="4"/>
    <n v="1"/>
  </r>
  <r>
    <x v="157"/>
    <s v="ONEMA-CDR - TMA WEB .:. TMA"/>
    <x v="0"/>
    <m/>
    <m/>
    <n v="4"/>
    <n v="0"/>
    <n v="0"/>
    <n v="0"/>
    <n v="0"/>
    <n v="1"/>
    <n v="1"/>
    <n v="2"/>
    <n v="34"/>
    <n v="0"/>
    <n v="0"/>
    <x v="30"/>
    <x v="4"/>
    <s v=""/>
    <n v="11.02"/>
    <n v="11.02"/>
    <n v="22.976931494055098"/>
    <n v="33.996931494055097"/>
    <x v="57"/>
    <s v="Pierre BOURLIEUX"/>
    <x v="2"/>
    <x v="3"/>
    <n v="1"/>
  </r>
  <r>
    <x v="158"/>
    <s v="ONEMA-CDR - TMA WEB .:. TMA"/>
    <x v="0"/>
    <m/>
    <m/>
    <n v="4"/>
    <n v="0"/>
    <n v="0"/>
    <n v="0"/>
    <n v="0"/>
    <n v="1"/>
    <n v="1"/>
    <n v="2"/>
    <n v="34"/>
    <n v="0"/>
    <n v="0"/>
    <x v="30"/>
    <x v="4"/>
    <s v=""/>
    <n v="11.02"/>
    <n v="11.02"/>
    <n v="22.976931494055098"/>
    <n v="33.996931494055097"/>
    <x v="57"/>
    <s v="Pierre BOURLIEUX"/>
    <x v="2"/>
    <x v="3"/>
    <n v="1"/>
  </r>
  <r>
    <x v="159"/>
    <s v="AFB-PNM .:. RECETTE"/>
    <x v="0"/>
    <m/>
    <m/>
    <n v="4"/>
    <n v="0"/>
    <n v="0"/>
    <n v="0"/>
    <n v="0"/>
    <n v="1"/>
    <n v="1"/>
    <n v="2"/>
    <n v="16"/>
    <n v="0"/>
    <n v="0"/>
    <x v="31"/>
    <x v="17"/>
    <s v=""/>
    <n v="6.8800000000000008"/>
    <n v="6.8800000000000008"/>
    <n v="14.344944526234039"/>
    <n v="21.22494452623404"/>
    <x v="58"/>
    <s v="Eric RAUCOURT"/>
    <x v="2"/>
    <x v="5"/>
    <n v="1"/>
  </r>
  <r>
    <x v="160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61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18"/>
    <x v="0"/>
    <s v=""/>
    <n v="9.65"/>
    <n v="9.65"/>
    <n v="20.120452714848614"/>
    <n v="29.770452714848616"/>
    <x v="59"/>
    <s v="Vincent MERIAU"/>
    <x v="3"/>
    <x v="6"/>
    <n v="1"/>
  </r>
  <r>
    <x v="162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63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0"/>
    <x v="0"/>
    <s v=""/>
    <n v="9.620000000000001"/>
    <n v="0"/>
    <n v="0"/>
    <n v="0"/>
    <x v="2"/>
    <s v="Jérôme JACOB"/>
    <x v="0"/>
    <x v="0"/>
    <n v="1"/>
  </r>
  <r>
    <x v="164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2"/>
    <x v="18"/>
    <s v=""/>
    <n v="2.9800000000000004"/>
    <n v="2.9800000000000004"/>
    <n v="6.21336260002579"/>
    <n v="9.1933626000257895"/>
    <x v="60"/>
    <s v="Nicolas Cordier"/>
    <x v="3"/>
    <x v="1"/>
    <n v="1"/>
  </r>
  <r>
    <x v="165"/>
    <s v="AFB-Patbiodiv .:. RECETTE"/>
    <x v="0"/>
    <m/>
    <m/>
    <n v="4"/>
    <n v="0"/>
    <n v="0"/>
    <n v="0"/>
    <n v="0"/>
    <n v="1"/>
    <n v="1"/>
    <n v="4"/>
    <n v="39"/>
    <n v="0"/>
    <n v="0"/>
    <x v="5"/>
    <x v="4"/>
    <s v=""/>
    <n v="15.370000000000001"/>
    <n v="15.370000000000001"/>
    <n v="32.046772873287374"/>
    <n v="47.416772873287371"/>
    <x v="22"/>
    <s v="Rodolphe Habegger"/>
    <x v="2"/>
    <x v="5"/>
    <n v="1"/>
  </r>
  <r>
    <x v="166"/>
    <s v="GFI-Linkus .:. PROD"/>
    <x v="0"/>
    <n v="0"/>
    <s v="Pas de migration"/>
    <n v="4"/>
    <n v="0"/>
    <n v="0"/>
    <n v="0"/>
    <n v="0"/>
    <n v="1"/>
    <n v="1"/>
    <n v="2"/>
    <n v="12"/>
    <n v="0"/>
    <n v="0"/>
    <x v="27"/>
    <x v="0"/>
    <s v=""/>
    <n v="5.9600000000000009"/>
    <n v="5.9600000000000009"/>
    <n v="12.42672520005158"/>
    <n v="18.386725200051579"/>
    <x v="55"/>
    <s v="Michael Le-Ridant"/>
    <x v="3"/>
    <x v="1"/>
    <n v="1"/>
  </r>
  <r>
    <x v="167"/>
    <s v="MACIF-Transverse .:. SOCLE"/>
    <x v="26"/>
    <m/>
    <m/>
    <n v="4"/>
    <n v="0"/>
    <n v="0"/>
    <n v="0"/>
    <n v="0"/>
    <n v="0.5"/>
    <n v="1"/>
    <n v="0.5"/>
    <n v="20.5"/>
    <n v="0"/>
    <n v="0"/>
    <x v="33"/>
    <x v="19"/>
    <s v=""/>
    <n v="5.5149999999999997"/>
    <n v="5.5149999999999997"/>
    <n v="11.498890852061148"/>
    <n v="17.013890852061149"/>
    <x v="61"/>
    <s v="Yann-Herve Mauguen"/>
    <x v="4"/>
    <x v="0"/>
    <n v="2"/>
  </r>
  <r>
    <x v="167"/>
    <s v="MEAE-Visa .:. OBSOLETE"/>
    <x v="26"/>
    <n v="4"/>
    <s v="Terraform + Ansible"/>
    <n v="4"/>
    <n v="0"/>
    <n v="0"/>
    <n v="0"/>
    <n v="0"/>
    <n v="0.5"/>
    <n v="1"/>
    <n v="0.5"/>
    <n v="20.5"/>
    <n v="0"/>
    <n v="0"/>
    <x v="17"/>
    <x v="11"/>
    <s v=""/>
    <n v="5.5149999999999997"/>
    <n v="5.5149999999999997"/>
    <n v="11.498890852061148"/>
    <n v="17.013890852061149"/>
    <x v="38"/>
    <s v="Axel Benoist-Gironiere"/>
    <x v="3"/>
    <x v="11"/>
    <n v="2"/>
  </r>
  <r>
    <x v="168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4"/>
    <x v="0"/>
    <s v=""/>
    <n v="10.31"/>
    <n v="10.31"/>
    <n v="21.496566579283858"/>
    <n v="31.80656657928386"/>
    <x v="62"/>
    <s v="Philippe De Guio"/>
    <x v="4"/>
    <x v="1"/>
    <n v="1"/>
  </r>
  <r>
    <x v="169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5"/>
    <x v="11"/>
    <s v=""/>
    <n v="3.4400000000000004"/>
    <n v="3.4400000000000004"/>
    <n v="7.1724722631170197"/>
    <n v="10.61247226311702"/>
    <x v="63"/>
    <s v="Axel Benoist-Gironiere"/>
    <x v="3"/>
    <x v="1"/>
    <n v="1"/>
  </r>
  <r>
    <x v="170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2"/>
    <x v="18"/>
    <s v=""/>
    <n v="2.75"/>
    <n v="2.75"/>
    <n v="5.7338077684801743"/>
    <n v="8.4838077684801743"/>
    <x v="60"/>
    <s v="Nicolas Cordier"/>
    <x v="3"/>
    <x v="1"/>
    <n v="1"/>
  </r>
  <r>
    <x v="171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6"/>
    <x v="0"/>
    <s v=""/>
    <n v="6.43"/>
    <n v="6.43"/>
    <n v="13.406685073210008"/>
    <n v="19.836685073210006"/>
    <x v="64"/>
    <s v="Christophe ORLANDO"/>
    <x v="2"/>
    <x v="1"/>
    <n v="1"/>
  </r>
  <r>
    <x v="172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73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0"/>
    <x v="0"/>
    <s v=""/>
    <n v="30.12"/>
    <n v="0"/>
    <n v="0"/>
    <n v="0"/>
    <x v="2"/>
    <s v="Jérôme JACOB"/>
    <x v="0"/>
    <x v="0"/>
    <n v="1"/>
  </r>
  <r>
    <x v="174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2542529369345603"/>
    <n v="7.7742529369345608"/>
    <x v="1"/>
    <s v="Pierre-Yves Baloche"/>
    <x v="1"/>
    <x v="1"/>
    <n v="1"/>
  </r>
  <r>
    <x v="175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76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0"/>
    <x v="0"/>
    <s v=""/>
    <n v="4.12"/>
    <n v="0"/>
    <n v="0"/>
    <n v="0"/>
    <x v="2"/>
    <s v="Jérôme JACOB"/>
    <x v="0"/>
    <x v="0"/>
    <n v="1"/>
  </r>
  <r>
    <x v="177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2542529369345603"/>
    <n v="7.7742529369345608"/>
    <x v="1"/>
    <s v="Pierre-Yves Baloche"/>
    <x v="1"/>
    <x v="2"/>
    <n v="1"/>
  </r>
  <r>
    <x v="178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2542529369345603"/>
    <n v="7.7742529369345608"/>
    <x v="1"/>
    <s v="Pierre-Yves Baloche"/>
    <x v="1"/>
    <x v="1"/>
    <n v="1"/>
  </r>
  <r>
    <x v="179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1"/>
    <x v="14"/>
    <s v=""/>
    <n v="3.9000000000000004"/>
    <n v="3.9000000000000004"/>
    <n v="8.1315819262082485"/>
    <n v="12.031581926208249"/>
    <x v="45"/>
    <s v="Pierre Maurupt"/>
    <x v="4"/>
    <x v="5"/>
    <n v="1"/>
  </r>
  <r>
    <x v="180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1"/>
    <s v="GFI-Oceanet Infra Modèles .:. SOCLE"/>
    <x v="0"/>
    <m/>
    <m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2"/>
    <s v="GFI-Oceanet Infra Modèles .:. SOCLE"/>
    <x v="0"/>
    <m/>
    <m/>
    <n v="4"/>
    <n v="0"/>
    <n v="0"/>
    <n v="0"/>
    <n v="0"/>
    <n v="1"/>
    <n v="0"/>
    <n v="0"/>
    <n v="40"/>
    <n v="0"/>
    <n v="0"/>
    <x v="0"/>
    <x v="0"/>
    <s v=""/>
    <n v="9.2000000000000011"/>
    <n v="0"/>
    <n v="0"/>
    <n v="0"/>
    <x v="0"/>
    <s v="Jérôme JACOB"/>
    <x v="0"/>
    <x v="0"/>
    <n v="1"/>
  </r>
  <r>
    <x v="183"/>
    <s v="GFI-Oceanet Infra Modèles .:. SOCLE"/>
    <x v="0"/>
    <m/>
    <m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4"/>
    <s v="GFI-Oceanet Infra Modèles .:. SOCLE"/>
    <x v="0"/>
    <m/>
    <m/>
    <n v="4"/>
    <m/>
    <m/>
    <m/>
    <m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5"/>
    <s v="GFI-Oceanet Infra Modèles .:. SOCLE"/>
    <x v="0"/>
    <m/>
    <m/>
    <n v="4"/>
    <m/>
    <m/>
    <m/>
    <m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6"/>
    <s v="EDI-MUT-EDI-MUT .:. PROD"/>
    <x v="0"/>
    <m/>
    <m/>
    <n v="0"/>
    <n v="0"/>
    <n v="0"/>
    <n v="0"/>
    <n v="0"/>
    <n v="0"/>
    <n v="0"/>
    <n v="0"/>
    <n v="0"/>
    <n v="0"/>
    <n v="0"/>
    <x v="37"/>
    <x v="20"/>
    <s v=""/>
    <n v="10"/>
    <n v="10"/>
    <n v="20.850210067200635"/>
    <n v="30.850210067200635"/>
    <x v="65"/>
    <s v="David LEMALHEUX"/>
    <x v="5"/>
    <x v="1"/>
    <n v="1"/>
  </r>
  <r>
    <x v="18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8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89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0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1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2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4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5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6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2"/>
    <n v="1"/>
  </r>
  <r>
    <x v="197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2"/>
    <n v="1"/>
  </r>
  <r>
    <x v="19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19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0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850210067200635"/>
    <n v="30.850210067200635"/>
    <x v="1"/>
    <s v="Pierre-Yves Baloche"/>
    <x v="1"/>
    <x v="1"/>
    <n v="1"/>
  </r>
  <r>
    <x v="21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214"/>
    <s v="IT-CE-TMA .:. TMA"/>
    <x v="0"/>
    <m/>
    <m/>
    <n v="4"/>
    <n v="0"/>
    <n v="0"/>
    <n v="0"/>
    <n v="0"/>
    <n v="1"/>
    <n v="1"/>
    <n v="2"/>
    <n v="80"/>
    <n v="1"/>
    <n v="0"/>
    <x v="3"/>
    <x v="2"/>
    <s v=""/>
    <n v="21.6"/>
    <n v="21.6"/>
    <n v="45.036453745153374"/>
    <n v="66.636453745153375"/>
    <x v="4"/>
    <s v="Christophe ORLANDO"/>
    <x v="2"/>
    <x v="3"/>
    <n v="1"/>
  </r>
  <r>
    <x v="215"/>
    <s v="FRR-APPLIFRR .:. DEV"/>
    <x v="0"/>
    <m/>
    <m/>
    <n v="4"/>
    <n v="0"/>
    <n v="0"/>
    <n v="0"/>
    <n v="0"/>
    <n v="0.5"/>
    <n v="1"/>
    <n v="3"/>
    <n v="170"/>
    <n v="1"/>
    <n v="0"/>
    <x v="9"/>
    <x v="7"/>
    <s v=""/>
    <n v="43.900000000000006"/>
    <n v="43.900000000000006"/>
    <n v="91.532422195010795"/>
    <n v="135.43242219501082"/>
    <x v="33"/>
    <s v="Pierre BOURLIEUX"/>
    <x v="2"/>
    <x v="4"/>
    <n v="2"/>
  </r>
  <r>
    <x v="215"/>
    <s v="FRR-CADENCIER .:. RECETTE"/>
    <x v="0"/>
    <m/>
    <m/>
    <n v="4"/>
    <n v="0"/>
    <n v="0"/>
    <n v="0"/>
    <n v="0"/>
    <n v="0.5"/>
    <n v="1"/>
    <n v="3"/>
    <n v="170"/>
    <n v="1"/>
    <n v="0"/>
    <x v="9"/>
    <x v="7"/>
    <s v=""/>
    <n v="43.900000000000006"/>
    <n v="43.900000000000006"/>
    <n v="91.532422195010795"/>
    <n v="135.43242219501082"/>
    <x v="16"/>
    <s v="Pierre BOURLIEUX"/>
    <x v="2"/>
    <x v="5"/>
    <n v="2"/>
  </r>
  <r>
    <x v="216"/>
    <s v="PRIZER-TMA .:. TMA"/>
    <x v="0"/>
    <m/>
    <m/>
    <n v="4"/>
    <n v="0"/>
    <n v="1"/>
    <n v="0"/>
    <n v="4"/>
    <n v="1"/>
    <n v="1"/>
    <n v="2"/>
    <n v="120"/>
    <n v="1"/>
    <n v="297.49"/>
    <x v="38"/>
    <x v="21"/>
    <s v=""/>
    <n v="30.8"/>
    <n v="30.8"/>
    <n v="64.21864700697796"/>
    <n v="95.018647006977957"/>
    <x v="66"/>
    <s v="Valerie ASSELIN LOZACHMEUR"/>
    <x v="2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18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22" firstHeaderRow="0" firstDataRow="1" firstDataCol="2"/>
  <pivotFields count="28">
    <pivotField axis="axisRow" outline="0" showAll="0" defaultSubtotal="0">
      <items count="382">
        <item m="1" x="365"/>
        <item m="1" x="245"/>
        <item m="1" x="345"/>
        <item x="6"/>
        <item m="1" x="222"/>
        <item x="44"/>
        <item x="45"/>
        <item x="46"/>
        <item x="47"/>
        <item m="1" x="314"/>
        <item x="48"/>
        <item x="49"/>
        <item x="50"/>
        <item x="51"/>
        <item m="1" x="220"/>
        <item m="1" x="320"/>
        <item m="1" x="329"/>
        <item m="1" x="331"/>
        <item x="52"/>
        <item x="53"/>
        <item x="55"/>
        <item m="1" x="372"/>
        <item m="1" x="219"/>
        <item x="57"/>
        <item x="58"/>
        <item x="59"/>
        <item x="60"/>
        <item x="64"/>
        <item x="65"/>
        <item x="66"/>
        <item m="1" x="363"/>
        <item x="72"/>
        <item x="74"/>
        <item m="1" x="280"/>
        <item x="75"/>
        <item m="1" x="359"/>
        <item m="1" x="302"/>
        <item m="1" x="346"/>
        <item m="1" x="273"/>
        <item m="1" x="337"/>
        <item m="1" x="275"/>
        <item m="1" x="278"/>
        <item x="77"/>
        <item m="1" x="343"/>
        <item m="1" x="361"/>
        <item m="1" x="354"/>
        <item x="83"/>
        <item m="1" x="336"/>
        <item m="1" x="304"/>
        <item m="1" x="249"/>
        <item m="1" x="315"/>
        <item m="1" x="322"/>
        <item m="1" x="276"/>
        <item m="1" x="307"/>
        <item m="1" x="309"/>
        <item m="1" x="341"/>
        <item m="1" x="244"/>
        <item x="84"/>
        <item x="85"/>
        <item x="86"/>
        <item m="1" x="352"/>
        <item x="87"/>
        <item x="88"/>
        <item x="89"/>
        <item x="90"/>
        <item m="1" x="293"/>
        <item x="91"/>
        <item m="1" x="374"/>
        <item x="92"/>
        <item x="93"/>
        <item x="94"/>
        <item x="95"/>
        <item m="1" x="323"/>
        <item m="1" x="333"/>
        <item m="1" x="237"/>
        <item x="97"/>
        <item x="98"/>
        <item m="1" x="330"/>
        <item m="1" x="326"/>
        <item x="99"/>
        <item m="1" x="243"/>
        <item x="100"/>
        <item x="101"/>
        <item m="1" x="377"/>
        <item m="1" x="375"/>
        <item m="1" x="232"/>
        <item m="1" x="274"/>
        <item m="1" x="380"/>
        <item x="104"/>
        <item x="105"/>
        <item x="111"/>
        <item x="112"/>
        <item m="1" x="283"/>
        <item m="1" x="332"/>
        <item m="1" x="313"/>
        <item m="1" x="264"/>
        <item m="1" x="26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3"/>
        <item m="1" x="257"/>
        <item x="134"/>
        <item m="1" x="378"/>
        <item m="1" x="230"/>
        <item m="1" x="325"/>
        <item m="1" x="255"/>
        <item m="1" x="277"/>
        <item x="148"/>
        <item x="149"/>
        <item m="1" x="242"/>
        <item m="1" x="312"/>
        <item m="1" x="234"/>
        <item x="150"/>
        <item m="1" x="224"/>
        <item m="1" x="356"/>
        <item m="1" x="369"/>
        <item m="1" x="376"/>
        <item m="1" x="272"/>
        <item x="151"/>
        <item m="1" x="266"/>
        <item m="1" x="226"/>
        <item m="1" x="259"/>
        <item x="152"/>
        <item m="1" x="221"/>
        <item m="1" x="267"/>
        <item m="1" x="306"/>
        <item m="1" x="370"/>
        <item m="1" x="247"/>
        <item m="1" x="286"/>
        <item m="1" x="324"/>
        <item m="1" x="227"/>
        <item x="153"/>
        <item m="1" x="246"/>
        <item x="154"/>
        <item m="1" x="263"/>
        <item m="1" x="250"/>
        <item m="1" x="316"/>
        <item m="1" x="328"/>
        <item m="1" x="303"/>
        <item m="1" x="366"/>
        <item m="1" x="292"/>
        <item m="1" x="297"/>
        <item m="1" x="360"/>
        <item x="155"/>
        <item x="157"/>
        <item m="1" x="357"/>
        <item x="160"/>
        <item x="161"/>
        <item m="1" x="285"/>
        <item m="1" x="287"/>
        <item m="1" x="254"/>
        <item x="162"/>
        <item x="163"/>
        <item x="164"/>
        <item x="165"/>
        <item x="166"/>
        <item m="1" x="305"/>
        <item x="167"/>
        <item x="168"/>
        <item x="169"/>
        <item x="170"/>
        <item m="1" x="217"/>
        <item x="171"/>
        <item m="1" x="379"/>
        <item x="172"/>
        <item x="173"/>
        <item x="174"/>
        <item x="175"/>
        <item m="1" x="291"/>
        <item x="176"/>
        <item m="1" x="268"/>
        <item x="177"/>
        <item x="178"/>
        <item x="179"/>
        <item m="1" x="358"/>
        <item m="1" x="235"/>
        <item x="180"/>
        <item m="1" x="295"/>
        <item x="17"/>
        <item x="18"/>
        <item m="1" x="294"/>
        <item x="19"/>
        <item m="1" x="342"/>
        <item x="20"/>
        <item x="21"/>
        <item x="22"/>
        <item m="1" x="231"/>
        <item x="23"/>
        <item x="24"/>
        <item x="25"/>
        <item x="26"/>
        <item x="27"/>
        <item x="28"/>
        <item x="29"/>
        <item x="33"/>
        <item x="34"/>
        <item x="35"/>
        <item m="1" x="381"/>
        <item x="38"/>
        <item x="39"/>
        <item x="40"/>
        <item x="41"/>
        <item x="42"/>
        <item x="43"/>
        <item x="214"/>
        <item x="215"/>
        <item x="216"/>
        <item x="67"/>
        <item x="78"/>
        <item m="1" x="269"/>
        <item x="186"/>
        <item x="187"/>
        <item x="188"/>
        <item x="189"/>
        <item x="190"/>
        <item m="1" x="300"/>
        <item m="1" x="350"/>
        <item x="191"/>
        <item x="192"/>
        <item x="193"/>
        <item x="194"/>
        <item m="1" x="339"/>
        <item m="1" x="236"/>
        <item m="1" x="223"/>
        <item x="195"/>
        <item m="1" x="349"/>
        <item m="1" x="318"/>
        <item m="1" x="371"/>
        <item m="1" x="218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m="1" x="347"/>
        <item m="1" x="228"/>
        <item m="1" x="233"/>
        <item m="1" x="367"/>
        <item m="1" x="317"/>
        <item m="1" x="241"/>
        <item m="1" x="279"/>
        <item m="1" x="240"/>
        <item x="7"/>
        <item m="1" x="282"/>
        <item m="1" x="256"/>
        <item m="1" x="260"/>
        <item m="1" x="338"/>
        <item m="1" x="348"/>
        <item x="8"/>
        <item x="9"/>
        <item x="10"/>
        <item x="11"/>
        <item x="12"/>
        <item x="13"/>
        <item x="14"/>
        <item x="15"/>
        <item x="1"/>
        <item x="2"/>
        <item x="3"/>
        <item m="1" x="225"/>
        <item m="1" x="340"/>
        <item m="1" x="353"/>
        <item m="1" x="248"/>
        <item m="1" x="290"/>
        <item m="1" x="258"/>
        <item x="113"/>
        <item x="81"/>
        <item x="54"/>
        <item x="102"/>
        <item x="103"/>
        <item x="135"/>
        <item x="30"/>
        <item x="31"/>
        <item x="37"/>
        <item x="36"/>
        <item x="4"/>
        <item x="32"/>
        <item m="1" x="344"/>
        <item x="61"/>
        <item x="62"/>
        <item x="80"/>
        <item m="1" x="368"/>
        <item x="96"/>
        <item x="132"/>
        <item x="136"/>
        <item x="137"/>
        <item x="138"/>
        <item x="139"/>
        <item x="158"/>
        <item x="140"/>
        <item x="141"/>
        <item m="1" x="301"/>
        <item m="1" x="319"/>
        <item m="1" x="251"/>
        <item m="1" x="288"/>
        <item m="1" x="364"/>
        <item x="56"/>
        <item m="1" x="252"/>
        <item m="1" x="289"/>
        <item m="1" x="261"/>
        <item m="1" x="373"/>
        <item x="159"/>
        <item m="1" x="321"/>
        <item m="1" x="270"/>
        <item m="1" x="308"/>
        <item m="1" x="229"/>
        <item m="1" x="334"/>
        <item x="0"/>
        <item m="1" x="284"/>
        <item m="1" x="362"/>
        <item m="1" x="355"/>
        <item m="1" x="310"/>
        <item x="16"/>
        <item x="63"/>
        <item x="68"/>
        <item x="142"/>
        <item x="143"/>
        <item m="1" x="327"/>
        <item x="69"/>
        <item x="79"/>
        <item x="144"/>
        <item x="145"/>
        <item m="1" x="351"/>
        <item x="108"/>
        <item m="1" x="239"/>
        <item x="109"/>
        <item x="110"/>
        <item x="107"/>
        <item x="106"/>
        <item x="146"/>
        <item x="156"/>
        <item m="1" x="299"/>
        <item x="73"/>
        <item x="76"/>
        <item x="82"/>
        <item m="1" x="296"/>
        <item m="1" x="262"/>
        <item m="1" x="335"/>
        <item m="1" x="238"/>
        <item m="1" x="281"/>
        <item x="181"/>
        <item x="182"/>
        <item x="183"/>
        <item m="1" x="311"/>
        <item x="114"/>
        <item m="1" x="271"/>
        <item m="1" x="298"/>
        <item x="5"/>
        <item x="70"/>
        <item x="71"/>
        <item x="147"/>
        <item x="184"/>
        <item x="185"/>
        <item m="1" x="253"/>
        <item x="115"/>
        <item x="116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6"/>
        <item x="2"/>
        <item x="3"/>
        <item x="6"/>
        <item x="7"/>
        <item x="24"/>
        <item x="10"/>
        <item x="19"/>
        <item x="17"/>
        <item x="22"/>
        <item x="20"/>
        <item x="5"/>
        <item x="4"/>
        <item m="1" x="30"/>
        <item x="11"/>
        <item x="12"/>
        <item x="16"/>
        <item x="8"/>
        <item x="9"/>
        <item x="21"/>
        <item x="0"/>
        <item x="18"/>
        <item x="23"/>
        <item m="1" x="36"/>
        <item m="1" x="27"/>
        <item m="1" x="33"/>
        <item x="15"/>
        <item m="1" x="32"/>
        <item x="25"/>
        <item m="1" x="35"/>
        <item x="1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1">
        <item m="1" x="39"/>
        <item x="23"/>
        <item x="22"/>
        <item x="31"/>
        <item x="19"/>
        <item x="4"/>
        <item x="8"/>
        <item x="6"/>
        <item x="28"/>
        <item x="1"/>
        <item x="9"/>
        <item x="15"/>
        <item x="0"/>
        <item x="2"/>
        <item x="16"/>
        <item x="34"/>
        <item x="36"/>
        <item x="20"/>
        <item x="24"/>
        <item x="32"/>
        <item x="37"/>
        <item x="3"/>
        <item x="29"/>
        <item x="26"/>
        <item x="33"/>
        <item x="35"/>
        <item x="17"/>
        <item x="7"/>
        <item x="10"/>
        <item x="5"/>
        <item x="30"/>
        <item x="11"/>
        <item x="38"/>
        <item x="12"/>
        <item x="25"/>
        <item x="27"/>
        <item x="13"/>
        <item x="14"/>
        <item x="18"/>
        <item x="21"/>
        <item t="default"/>
      </items>
    </pivotField>
    <pivotField axis="axisRow" showAll="0">
      <items count="24">
        <item x="11"/>
        <item x="15"/>
        <item x="14"/>
        <item m="1" x="22"/>
        <item x="12"/>
        <item x="7"/>
        <item x="3"/>
        <item x="4"/>
        <item x="5"/>
        <item x="20"/>
        <item x="0"/>
        <item x="6"/>
        <item x="13"/>
        <item x="2"/>
        <item x="16"/>
        <item x="19"/>
        <item x="9"/>
        <item x="1"/>
        <item x="10"/>
        <item x="18"/>
        <item x="21"/>
        <item x="17"/>
        <item x="8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15">
        <item m="1" x="238"/>
        <item m="1" x="217"/>
        <item m="1" x="303"/>
        <item m="1" x="119"/>
        <item m="1" x="151"/>
        <item m="1" x="290"/>
        <item m="1" x="87"/>
        <item m="1" x="223"/>
        <item m="1" x="267"/>
        <item m="1" x="114"/>
        <item m="1" x="299"/>
        <item m="1" x="174"/>
        <item m="1" x="266"/>
        <item m="1" x="161"/>
        <item m="1" x="304"/>
        <item m="1" x="218"/>
        <item m="1" x="241"/>
        <item m="1" x="173"/>
        <item m="1" x="282"/>
        <item m="1" x="126"/>
        <item m="1" x="270"/>
        <item m="1" x="219"/>
        <item m="1" x="123"/>
        <item m="1" x="139"/>
        <item m="1" x="237"/>
        <item m="1" x="112"/>
        <item m="1" x="239"/>
        <item m="1" x="182"/>
        <item m="1" x="121"/>
        <item m="1" x="193"/>
        <item m="1" x="215"/>
        <item m="1" x="82"/>
        <item m="1" x="305"/>
        <item m="1" x="294"/>
        <item m="1" x="125"/>
        <item m="1" x="194"/>
        <item m="1" x="134"/>
        <item m="1" x="257"/>
        <item m="1" x="81"/>
        <item m="1" x="189"/>
        <item m="1" x="231"/>
        <item m="1" x="209"/>
        <item m="1" x="230"/>
        <item m="1" x="172"/>
        <item m="1" x="167"/>
        <item m="1" x="252"/>
        <item m="1" x="124"/>
        <item m="1" x="264"/>
        <item m="1" x="116"/>
        <item m="1" x="109"/>
        <item m="1" x="251"/>
        <item m="1" x="255"/>
        <item m="1" x="155"/>
        <item m="1" x="102"/>
        <item m="1" x="258"/>
        <item m="1" x="278"/>
        <item m="1" x="103"/>
        <item m="1" x="148"/>
        <item m="1" x="227"/>
        <item m="1" x="138"/>
        <item m="1" x="298"/>
        <item m="1" x="245"/>
        <item m="1" x="235"/>
        <item m="1" x="243"/>
        <item m="1" x="293"/>
        <item m="1" x="261"/>
        <item m="1" x="86"/>
        <item m="1" x="234"/>
        <item m="1" x="196"/>
        <item m="1" x="140"/>
        <item m="1" x="256"/>
        <item m="1" x="175"/>
        <item m="1" x="160"/>
        <item m="1" x="67"/>
        <item m="1" x="128"/>
        <item m="1" x="180"/>
        <item m="1" x="224"/>
        <item m="1" x="228"/>
        <item m="1" x="242"/>
        <item m="1" x="120"/>
        <item m="1" x="166"/>
        <item m="1" x="247"/>
        <item m="1" x="98"/>
        <item m="1" x="105"/>
        <item m="1" x="113"/>
        <item m="1" x="152"/>
        <item m="1" x="68"/>
        <item m="1" x="310"/>
        <item m="1" x="201"/>
        <item m="1" x="69"/>
        <item m="1" x="271"/>
        <item m="1" x="159"/>
        <item m="1" x="186"/>
        <item m="1" x="300"/>
        <item m="1" x="168"/>
        <item m="1" x="206"/>
        <item m="1" x="110"/>
        <item m="1" x="199"/>
        <item m="1" x="202"/>
        <item m="1" x="169"/>
        <item m="1" x="154"/>
        <item m="1" x="157"/>
        <item m="1" x="268"/>
        <item m="1" x="280"/>
        <item m="1" x="311"/>
        <item m="1" x="170"/>
        <item m="1" x="130"/>
        <item m="1" x="92"/>
        <item m="1" x="198"/>
        <item m="1" x="76"/>
        <item m="1" x="171"/>
        <item m="1" x="307"/>
        <item m="1" x="246"/>
        <item m="1" x="200"/>
        <item m="1" x="308"/>
        <item m="1" x="272"/>
        <item m="1" x="295"/>
        <item m="1" x="214"/>
        <item m="1" x="286"/>
        <item m="1" x="97"/>
        <item m="1" x="259"/>
        <item m="1" x="142"/>
        <item m="1" x="291"/>
        <item m="1" x="265"/>
        <item m="1" x="195"/>
        <item m="1" x="236"/>
        <item m="1" x="250"/>
        <item m="1" x="107"/>
        <item m="1" x="225"/>
        <item m="1" x="158"/>
        <item m="1" x="279"/>
        <item m="1" x="297"/>
        <item m="1" x="79"/>
        <item m="1" x="244"/>
        <item m="1" x="129"/>
        <item m="1" x="136"/>
        <item m="1" x="144"/>
        <item m="1" x="309"/>
        <item m="1" x="93"/>
        <item m="1" x="281"/>
        <item m="1" x="89"/>
        <item m="1" x="178"/>
        <item m="1" x="263"/>
        <item m="1" x="269"/>
        <item m="1" x="232"/>
        <item m="1" x="146"/>
        <item m="1" x="141"/>
        <item m="1" x="104"/>
        <item m="1" x="185"/>
        <item m="1" x="156"/>
        <item m="1" x="288"/>
        <item m="1" x="164"/>
        <item m="1" x="149"/>
        <item x="65"/>
        <item m="1" x="150"/>
        <item m="1" x="181"/>
        <item m="1" x="127"/>
        <item m="1" x="197"/>
        <item m="1" x="177"/>
        <item m="1" x="233"/>
        <item m="1" x="283"/>
        <item m="1" x="111"/>
        <item m="1" x="203"/>
        <item m="1" x="312"/>
        <item m="1" x="77"/>
        <item m="1" x="204"/>
        <item x="11"/>
        <item m="1" x="163"/>
        <item m="1" x="70"/>
        <item m="1" x="211"/>
        <item m="1" x="273"/>
        <item m="1" x="135"/>
        <item m="1" x="221"/>
        <item m="1" x="94"/>
        <item m="1" x="78"/>
        <item m="1" x="274"/>
        <item m="1" x="84"/>
        <item m="1" x="132"/>
        <item m="1" x="248"/>
        <item m="1" x="249"/>
        <item m="1" x="313"/>
        <item m="1" x="275"/>
        <item m="1" x="302"/>
        <item m="1" x="176"/>
        <item m="1" x="240"/>
        <item x="30"/>
        <item m="1" x="99"/>
        <item m="1" x="276"/>
        <item m="1" x="100"/>
        <item m="1" x="212"/>
        <item m="1" x="95"/>
        <item x="36"/>
        <item m="1" x="254"/>
        <item m="1" x="145"/>
        <item x="39"/>
        <item x="40"/>
        <item m="1" x="292"/>
        <item x="45"/>
        <item x="48"/>
        <item m="1" x="118"/>
        <item m="1" x="208"/>
        <item m="1" x="222"/>
        <item x="49"/>
        <item m="1" x="190"/>
        <item m="1" x="226"/>
        <item m="1" x="122"/>
        <item m="1" x="205"/>
        <item m="1" x="83"/>
        <item x="55"/>
        <item m="1" x="91"/>
        <item m="1" x="301"/>
        <item m="1" x="143"/>
        <item m="1" x="117"/>
        <item m="1" x="165"/>
        <item m="1" x="179"/>
        <item x="60"/>
        <item x="61"/>
        <item m="1" x="284"/>
        <item x="63"/>
        <item m="1" x="287"/>
        <item m="1" x="153"/>
        <item m="1" x="162"/>
        <item m="1" x="213"/>
        <item m="1" x="216"/>
        <item m="1" x="285"/>
        <item m="1" x="192"/>
        <item x="4"/>
        <item m="1" x="229"/>
        <item m="1" x="306"/>
        <item m="1" x="88"/>
        <item m="1" x="277"/>
        <item m="1" x="71"/>
        <item m="1" x="75"/>
        <item m="1" x="72"/>
        <item m="1" x="73"/>
        <item x="27"/>
        <item m="1" x="187"/>
        <item m="1" x="108"/>
        <item m="1" x="74"/>
        <item m="1" x="131"/>
        <item x="38"/>
        <item x="42"/>
        <item m="1" x="137"/>
        <item m="1" x="80"/>
        <item m="1" x="85"/>
        <item m="1" x="147"/>
        <item x="51"/>
        <item x="52"/>
        <item x="53"/>
        <item m="1" x="296"/>
        <item m="1" x="262"/>
        <item m="1" x="253"/>
        <item m="1" x="133"/>
        <item x="59"/>
        <item m="1" x="191"/>
        <item m="1" x="207"/>
        <item m="1" x="90"/>
        <item x="1"/>
        <item m="1" x="220"/>
        <item m="1" x="184"/>
        <item x="2"/>
        <item x="28"/>
        <item m="1" x="115"/>
        <item x="37"/>
        <item x="46"/>
        <item x="50"/>
        <item m="1" x="188"/>
        <item x="62"/>
        <item x="64"/>
        <item m="1" x="183"/>
        <item m="1" x="260"/>
        <item m="1" x="101"/>
        <item x="5"/>
        <item x="6"/>
        <item x="7"/>
        <item x="8"/>
        <item x="9"/>
        <item x="10"/>
        <item x="13"/>
        <item x="12"/>
        <item x="14"/>
        <item x="17"/>
        <item x="15"/>
        <item x="16"/>
        <item x="21"/>
        <item x="32"/>
        <item x="22"/>
        <item x="24"/>
        <item x="18"/>
        <item x="19"/>
        <item x="23"/>
        <item x="25"/>
        <item x="20"/>
        <item x="29"/>
        <item x="31"/>
        <item x="33"/>
        <item x="34"/>
        <item x="35"/>
        <item x="66"/>
        <item x="3"/>
        <item x="57"/>
        <item x="0"/>
        <item x="47"/>
        <item m="1" x="210"/>
        <item x="41"/>
        <item x="58"/>
        <item x="26"/>
        <item m="1" x="106"/>
        <item m="1" x="289"/>
        <item x="56"/>
        <item x="44"/>
        <item m="1" x="96"/>
        <item x="54"/>
        <item x="43"/>
        <item t="default"/>
      </items>
    </pivotField>
    <pivotField showAll="0"/>
    <pivotField showAll="0">
      <items count="8">
        <item x="2"/>
        <item x="4"/>
        <item x="3"/>
        <item m="1" x="6"/>
        <item x="5"/>
        <item x="0"/>
        <item x="1"/>
        <item t="default"/>
      </items>
    </pivotField>
    <pivotField axis="axisRow" showAll="0">
      <items count="18">
        <item x="4"/>
        <item m="1" x="15"/>
        <item x="3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19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292"/>
      <x v="31"/>
    </i>
    <i r="3">
      <x v="359"/>
      <x v="20"/>
    </i>
    <i r="3">
      <x v="360"/>
      <x v="2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 r="1">
      <x v="310"/>
    </i>
    <i r="2">
      <x/>
    </i>
    <i r="3">
      <x v="358"/>
      <x v="25"/>
    </i>
    <i>
      <x v="1"/>
    </i>
    <i r="1">
      <x v="198"/>
    </i>
    <i r="2">
      <x v="2"/>
    </i>
    <i r="3">
      <x v="66"/>
      <x v="25"/>
    </i>
    <i r="1">
      <x v="202"/>
    </i>
    <i r="2">
      <x v="2"/>
    </i>
    <i r="3">
      <x v="66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86"/>
      <x v="25"/>
    </i>
    <i>
      <x v="4"/>
    </i>
    <i r="1">
      <x v="304"/>
    </i>
    <i r="2">
      <x/>
    </i>
    <i r="3">
      <x v="322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3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59"/>
      <x v="25"/>
    </i>
    <i r="3">
      <x v="268"/>
      <x v="25"/>
    </i>
    <i r="3">
      <x v="349"/>
      <x v="25"/>
    </i>
    <i r="3">
      <x v="354"/>
      <x v="25"/>
    </i>
    <i r="1">
      <x v="261"/>
    </i>
    <i r="2">
      <x/>
    </i>
    <i r="3">
      <x v="20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3"/>
      <x v="25"/>
    </i>
    <i r="3">
      <x v="189"/>
      <x v="25"/>
    </i>
    <i r="3">
      <x v="301"/>
      <x v="25"/>
    </i>
    <i r="3">
      <x v="333"/>
      <x v="25"/>
    </i>
    <i r="3">
      <x v="366"/>
      <x v="25"/>
    </i>
    <i r="3">
      <x v="367"/>
      <x v="25"/>
    </i>
    <i r="3">
      <x v="368"/>
      <x v="25"/>
    </i>
    <i r="3">
      <x v="373"/>
      <x v="25"/>
    </i>
    <i r="3">
      <x v="377"/>
      <x v="25"/>
    </i>
    <i r="3">
      <x v="378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r="1">
      <x v="313"/>
    </i>
    <i r="2">
      <x v="8"/>
    </i>
    <i r="3">
      <x v="374"/>
      <x v="25"/>
    </i>
    <i r="3">
      <x v="375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 r="1">
      <x v="309"/>
    </i>
    <i r="2">
      <x/>
    </i>
    <i r="3">
      <x v="356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21"/>
      <x v="25"/>
    </i>
    <i r="3">
      <x v="146"/>
      <x v="25"/>
    </i>
    <i r="3">
      <x v="291"/>
      <x v="25"/>
    </i>
    <i r="3">
      <x v="338"/>
      <x v="25"/>
    </i>
    <i r="3">
      <x v="37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r="1">
      <x v="312"/>
    </i>
    <i r="2">
      <x v="11"/>
    </i>
    <i r="3">
      <x v="370"/>
      <x v="25"/>
    </i>
    <i r="3">
      <x v="381"/>
      <x v="25"/>
    </i>
    <i r="2">
      <x v="13"/>
    </i>
    <i r="3">
      <x v="380"/>
      <x v="25"/>
    </i>
    <i>
      <x v="18"/>
    </i>
    <i r="1">
      <x v="294"/>
    </i>
    <i r="2">
      <x/>
    </i>
    <i r="3">
      <x v="302"/>
      <x v="25"/>
    </i>
    <i>
      <x v="19"/>
    </i>
    <i r="1">
      <x v="215"/>
    </i>
    <i r="2">
      <x v="11"/>
    </i>
    <i r="3">
      <x v="166"/>
      <x v="25"/>
    </i>
    <i r="3">
      <x v="173"/>
      <x v="25"/>
    </i>
    <i>
      <x v="20"/>
    </i>
    <i r="1">
      <x v="298"/>
    </i>
    <i r="2">
      <x v="2"/>
    </i>
    <i r="3">
      <x v="219"/>
      <x v="25"/>
    </i>
    <i>
      <x v="21"/>
    </i>
    <i r="1">
      <x v="305"/>
    </i>
    <i r="2">
      <x v="12"/>
    </i>
    <i r="3">
      <x v="327"/>
      <x v="25"/>
    </i>
    <i>
      <x v="22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9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8">
      <pivotArea outline="0" fieldPosition="0">
        <references count="1">
          <reference field="4294967294" count="1">
            <x v="1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6">
      <pivotArea outline="0" fieldPosition="0">
        <references count="1">
          <reference field="4294967294" count="1">
            <x v="2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18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22" firstHeaderRow="0" firstDataRow="1" firstDataCol="2"/>
  <pivotFields count="28">
    <pivotField axis="axisRow" outline="0" showAll="0" defaultSubtotal="0">
      <items count="382">
        <item m="1" x="365"/>
        <item m="1" x="245"/>
        <item m="1" x="345"/>
        <item x="6"/>
        <item m="1" x="222"/>
        <item x="44"/>
        <item x="45"/>
        <item x="46"/>
        <item x="47"/>
        <item m="1" x="314"/>
        <item x="48"/>
        <item x="49"/>
        <item x="50"/>
        <item x="51"/>
        <item m="1" x="220"/>
        <item m="1" x="320"/>
        <item m="1" x="329"/>
        <item m="1" x="331"/>
        <item x="52"/>
        <item x="53"/>
        <item x="55"/>
        <item m="1" x="372"/>
        <item m="1" x="219"/>
        <item x="57"/>
        <item x="58"/>
        <item x="59"/>
        <item x="60"/>
        <item x="64"/>
        <item x="65"/>
        <item x="66"/>
        <item m="1" x="363"/>
        <item x="72"/>
        <item x="74"/>
        <item m="1" x="280"/>
        <item x="75"/>
        <item m="1" x="359"/>
        <item m="1" x="302"/>
        <item m="1" x="346"/>
        <item m="1" x="273"/>
        <item m="1" x="337"/>
        <item m="1" x="275"/>
        <item m="1" x="278"/>
        <item x="77"/>
        <item m="1" x="343"/>
        <item m="1" x="361"/>
        <item m="1" x="354"/>
        <item x="83"/>
        <item m="1" x="336"/>
        <item m="1" x="304"/>
        <item m="1" x="249"/>
        <item m="1" x="315"/>
        <item m="1" x="322"/>
        <item m="1" x="276"/>
        <item m="1" x="307"/>
        <item m="1" x="309"/>
        <item m="1" x="341"/>
        <item m="1" x="244"/>
        <item x="84"/>
        <item x="85"/>
        <item x="86"/>
        <item m="1" x="352"/>
        <item x="87"/>
        <item x="88"/>
        <item x="89"/>
        <item x="90"/>
        <item m="1" x="293"/>
        <item x="91"/>
        <item m="1" x="374"/>
        <item x="92"/>
        <item x="93"/>
        <item x="94"/>
        <item x="95"/>
        <item m="1" x="323"/>
        <item m="1" x="333"/>
        <item m="1" x="237"/>
        <item x="97"/>
        <item x="98"/>
        <item m="1" x="330"/>
        <item m="1" x="326"/>
        <item x="99"/>
        <item m="1" x="243"/>
        <item x="100"/>
        <item x="101"/>
        <item m="1" x="377"/>
        <item m="1" x="375"/>
        <item m="1" x="232"/>
        <item m="1" x="274"/>
        <item m="1" x="380"/>
        <item x="104"/>
        <item x="105"/>
        <item x="111"/>
        <item x="112"/>
        <item m="1" x="283"/>
        <item m="1" x="332"/>
        <item m="1" x="313"/>
        <item m="1" x="264"/>
        <item m="1" x="26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3"/>
        <item m="1" x="257"/>
        <item x="134"/>
        <item m="1" x="378"/>
        <item m="1" x="230"/>
        <item m="1" x="325"/>
        <item m="1" x="255"/>
        <item m="1" x="277"/>
        <item x="148"/>
        <item x="149"/>
        <item m="1" x="242"/>
        <item m="1" x="312"/>
        <item m="1" x="234"/>
        <item x="150"/>
        <item m="1" x="224"/>
        <item m="1" x="356"/>
        <item m="1" x="369"/>
        <item m="1" x="376"/>
        <item m="1" x="272"/>
        <item x="151"/>
        <item m="1" x="266"/>
        <item m="1" x="226"/>
        <item m="1" x="259"/>
        <item x="152"/>
        <item m="1" x="221"/>
        <item m="1" x="267"/>
        <item m="1" x="306"/>
        <item m="1" x="370"/>
        <item m="1" x="247"/>
        <item m="1" x="286"/>
        <item m="1" x="324"/>
        <item m="1" x="227"/>
        <item x="153"/>
        <item m="1" x="246"/>
        <item x="154"/>
        <item m="1" x="263"/>
        <item m="1" x="250"/>
        <item m="1" x="316"/>
        <item m="1" x="328"/>
        <item m="1" x="303"/>
        <item m="1" x="366"/>
        <item m="1" x="292"/>
        <item m="1" x="297"/>
        <item m="1" x="360"/>
        <item x="155"/>
        <item x="157"/>
        <item m="1" x="357"/>
        <item x="160"/>
        <item x="161"/>
        <item m="1" x="285"/>
        <item m="1" x="287"/>
        <item m="1" x="254"/>
        <item x="162"/>
        <item x="163"/>
        <item x="164"/>
        <item x="165"/>
        <item x="166"/>
        <item m="1" x="305"/>
        <item x="167"/>
        <item x="168"/>
        <item x="169"/>
        <item x="170"/>
        <item m="1" x="217"/>
        <item x="171"/>
        <item m="1" x="379"/>
        <item x="172"/>
        <item x="173"/>
        <item x="174"/>
        <item x="175"/>
        <item m="1" x="291"/>
        <item x="176"/>
        <item m="1" x="268"/>
        <item x="177"/>
        <item x="178"/>
        <item x="179"/>
        <item m="1" x="358"/>
        <item m="1" x="235"/>
        <item x="180"/>
        <item m="1" x="295"/>
        <item x="17"/>
        <item x="18"/>
        <item m="1" x="294"/>
        <item x="19"/>
        <item m="1" x="342"/>
        <item x="20"/>
        <item x="21"/>
        <item x="22"/>
        <item m="1" x="231"/>
        <item x="23"/>
        <item x="24"/>
        <item x="25"/>
        <item x="26"/>
        <item x="27"/>
        <item x="28"/>
        <item x="29"/>
        <item x="33"/>
        <item x="34"/>
        <item x="35"/>
        <item m="1" x="381"/>
        <item x="38"/>
        <item x="39"/>
        <item x="40"/>
        <item x="41"/>
        <item x="42"/>
        <item x="43"/>
        <item x="214"/>
        <item x="215"/>
        <item x="216"/>
        <item x="67"/>
        <item x="78"/>
        <item m="1" x="269"/>
        <item x="186"/>
        <item x="187"/>
        <item x="188"/>
        <item x="189"/>
        <item x="190"/>
        <item m="1" x="300"/>
        <item m="1" x="350"/>
        <item x="191"/>
        <item x="192"/>
        <item x="193"/>
        <item x="194"/>
        <item m="1" x="339"/>
        <item m="1" x="236"/>
        <item m="1" x="223"/>
        <item x="195"/>
        <item m="1" x="349"/>
        <item m="1" x="318"/>
        <item m="1" x="371"/>
        <item m="1" x="218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m="1" x="347"/>
        <item m="1" x="228"/>
        <item m="1" x="233"/>
        <item m="1" x="367"/>
        <item m="1" x="317"/>
        <item m="1" x="241"/>
        <item m="1" x="279"/>
        <item m="1" x="240"/>
        <item x="7"/>
        <item m="1" x="282"/>
        <item m="1" x="256"/>
        <item m="1" x="260"/>
        <item m="1" x="338"/>
        <item m="1" x="348"/>
        <item x="8"/>
        <item x="9"/>
        <item x="10"/>
        <item x="11"/>
        <item x="12"/>
        <item x="13"/>
        <item x="14"/>
        <item x="15"/>
        <item x="1"/>
        <item x="2"/>
        <item x="3"/>
        <item m="1" x="225"/>
        <item m="1" x="340"/>
        <item m="1" x="353"/>
        <item m="1" x="248"/>
        <item m="1" x="290"/>
        <item m="1" x="258"/>
        <item x="113"/>
        <item x="81"/>
        <item x="54"/>
        <item x="102"/>
        <item x="103"/>
        <item x="135"/>
        <item x="30"/>
        <item x="31"/>
        <item x="37"/>
        <item x="36"/>
        <item x="4"/>
        <item x="32"/>
        <item m="1" x="344"/>
        <item x="61"/>
        <item x="62"/>
        <item x="80"/>
        <item m="1" x="368"/>
        <item x="96"/>
        <item x="132"/>
        <item x="136"/>
        <item x="137"/>
        <item x="138"/>
        <item x="139"/>
        <item x="158"/>
        <item x="140"/>
        <item x="141"/>
        <item m="1" x="301"/>
        <item m="1" x="319"/>
        <item m="1" x="251"/>
        <item m="1" x="288"/>
        <item m="1" x="364"/>
        <item x="56"/>
        <item m="1" x="252"/>
        <item m="1" x="289"/>
        <item m="1" x="261"/>
        <item m="1" x="373"/>
        <item x="159"/>
        <item m="1" x="321"/>
        <item m="1" x="270"/>
        <item m="1" x="308"/>
        <item m="1" x="229"/>
        <item m="1" x="334"/>
        <item x="0"/>
        <item m="1" x="284"/>
        <item m="1" x="362"/>
        <item m="1" x="355"/>
        <item m="1" x="310"/>
        <item x="16"/>
        <item x="63"/>
        <item x="68"/>
        <item x="142"/>
        <item x="143"/>
        <item m="1" x="327"/>
        <item x="69"/>
        <item x="79"/>
        <item x="144"/>
        <item x="145"/>
        <item m="1" x="351"/>
        <item x="108"/>
        <item m="1" x="239"/>
        <item x="109"/>
        <item x="110"/>
        <item x="107"/>
        <item x="106"/>
        <item x="146"/>
        <item x="156"/>
        <item m="1" x="299"/>
        <item x="73"/>
        <item x="76"/>
        <item x="82"/>
        <item m="1" x="296"/>
        <item m="1" x="262"/>
        <item m="1" x="335"/>
        <item m="1" x="238"/>
        <item m="1" x="281"/>
        <item x="181"/>
        <item x="182"/>
        <item x="183"/>
        <item m="1" x="311"/>
        <item x="114"/>
        <item m="1" x="271"/>
        <item m="1" x="298"/>
        <item x="5"/>
        <item x="70"/>
        <item x="71"/>
        <item x="147"/>
        <item x="184"/>
        <item x="185"/>
        <item m="1" x="253"/>
        <item x="115"/>
        <item x="116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6"/>
        <item x="2"/>
        <item x="3"/>
        <item x="6"/>
        <item x="7"/>
        <item x="24"/>
        <item x="10"/>
        <item x="19"/>
        <item x="17"/>
        <item x="22"/>
        <item x="20"/>
        <item x="5"/>
        <item x="4"/>
        <item m="1" x="30"/>
        <item x="11"/>
        <item x="12"/>
        <item x="16"/>
        <item x="8"/>
        <item x="9"/>
        <item x="21"/>
        <item x="0"/>
        <item x="18"/>
        <item x="23"/>
        <item m="1" x="36"/>
        <item m="1" x="27"/>
        <item m="1" x="33"/>
        <item x="15"/>
        <item m="1" x="32"/>
        <item x="25"/>
        <item m="1" x="35"/>
        <item x="1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1">
        <item m="1" x="39"/>
        <item x="23"/>
        <item x="22"/>
        <item x="31"/>
        <item x="19"/>
        <item x="4"/>
        <item x="8"/>
        <item x="6"/>
        <item x="28"/>
        <item x="1"/>
        <item x="9"/>
        <item x="15"/>
        <item x="0"/>
        <item x="2"/>
        <item x="16"/>
        <item x="34"/>
        <item x="36"/>
        <item x="20"/>
        <item x="24"/>
        <item x="32"/>
        <item x="37"/>
        <item x="3"/>
        <item x="29"/>
        <item x="26"/>
        <item x="33"/>
        <item x="35"/>
        <item x="17"/>
        <item x="7"/>
        <item x="10"/>
        <item x="5"/>
        <item x="30"/>
        <item x="11"/>
        <item x="38"/>
        <item x="12"/>
        <item x="25"/>
        <item x="27"/>
        <item x="13"/>
        <item x="14"/>
        <item x="18"/>
        <item x="21"/>
        <item t="default"/>
      </items>
    </pivotField>
    <pivotField axis="axisRow" showAll="0">
      <items count="24">
        <item x="11"/>
        <item x="15"/>
        <item x="14"/>
        <item m="1" x="22"/>
        <item x="12"/>
        <item x="7"/>
        <item x="3"/>
        <item x="4"/>
        <item x="5"/>
        <item x="20"/>
        <item x="0"/>
        <item x="6"/>
        <item x="13"/>
        <item x="2"/>
        <item x="16"/>
        <item x="19"/>
        <item x="9"/>
        <item x="1"/>
        <item x="10"/>
        <item x="18"/>
        <item x="21"/>
        <item x="17"/>
        <item x="8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15">
        <item m="1" x="238"/>
        <item m="1" x="217"/>
        <item m="1" x="303"/>
        <item m="1" x="119"/>
        <item m="1" x="151"/>
        <item m="1" x="290"/>
        <item m="1" x="87"/>
        <item m="1" x="223"/>
        <item m="1" x="267"/>
        <item m="1" x="114"/>
        <item m="1" x="299"/>
        <item m="1" x="174"/>
        <item m="1" x="266"/>
        <item m="1" x="161"/>
        <item m="1" x="304"/>
        <item m="1" x="218"/>
        <item m="1" x="241"/>
        <item m="1" x="173"/>
        <item m="1" x="282"/>
        <item m="1" x="126"/>
        <item m="1" x="270"/>
        <item m="1" x="219"/>
        <item m="1" x="123"/>
        <item m="1" x="139"/>
        <item m="1" x="237"/>
        <item m="1" x="112"/>
        <item m="1" x="239"/>
        <item m="1" x="182"/>
        <item m="1" x="121"/>
        <item m="1" x="193"/>
        <item m="1" x="215"/>
        <item m="1" x="82"/>
        <item m="1" x="305"/>
        <item m="1" x="294"/>
        <item m="1" x="125"/>
        <item m="1" x="194"/>
        <item m="1" x="134"/>
        <item m="1" x="257"/>
        <item m="1" x="81"/>
        <item m="1" x="189"/>
        <item m="1" x="231"/>
        <item m="1" x="209"/>
        <item m="1" x="230"/>
        <item m="1" x="172"/>
        <item m="1" x="167"/>
        <item m="1" x="252"/>
        <item m="1" x="124"/>
        <item m="1" x="264"/>
        <item m="1" x="116"/>
        <item m="1" x="109"/>
        <item m="1" x="251"/>
        <item m="1" x="255"/>
        <item m="1" x="155"/>
        <item m="1" x="102"/>
        <item m="1" x="258"/>
        <item m="1" x="278"/>
        <item m="1" x="103"/>
        <item m="1" x="148"/>
        <item m="1" x="227"/>
        <item m="1" x="138"/>
        <item m="1" x="298"/>
        <item m="1" x="245"/>
        <item m="1" x="235"/>
        <item m="1" x="243"/>
        <item m="1" x="293"/>
        <item m="1" x="261"/>
        <item m="1" x="86"/>
        <item m="1" x="234"/>
        <item m="1" x="196"/>
        <item m="1" x="140"/>
        <item m="1" x="256"/>
        <item m="1" x="175"/>
        <item m="1" x="160"/>
        <item m="1" x="67"/>
        <item m="1" x="128"/>
        <item m="1" x="180"/>
        <item m="1" x="224"/>
        <item m="1" x="228"/>
        <item m="1" x="242"/>
        <item m="1" x="120"/>
        <item m="1" x="166"/>
        <item m="1" x="247"/>
        <item m="1" x="98"/>
        <item m="1" x="105"/>
        <item m="1" x="113"/>
        <item m="1" x="152"/>
        <item m="1" x="68"/>
        <item m="1" x="310"/>
        <item m="1" x="201"/>
        <item m="1" x="69"/>
        <item m="1" x="271"/>
        <item m="1" x="159"/>
        <item m="1" x="186"/>
        <item m="1" x="300"/>
        <item m="1" x="168"/>
        <item m="1" x="206"/>
        <item m="1" x="110"/>
        <item m="1" x="199"/>
        <item m="1" x="202"/>
        <item m="1" x="169"/>
        <item m="1" x="154"/>
        <item m="1" x="157"/>
        <item m="1" x="268"/>
        <item m="1" x="280"/>
        <item m="1" x="311"/>
        <item m="1" x="170"/>
        <item m="1" x="130"/>
        <item m="1" x="92"/>
        <item m="1" x="198"/>
        <item m="1" x="76"/>
        <item m="1" x="171"/>
        <item m="1" x="307"/>
        <item m="1" x="246"/>
        <item m="1" x="200"/>
        <item m="1" x="308"/>
        <item m="1" x="272"/>
        <item m="1" x="295"/>
        <item m="1" x="214"/>
        <item m="1" x="286"/>
        <item m="1" x="97"/>
        <item m="1" x="259"/>
        <item m="1" x="142"/>
        <item m="1" x="291"/>
        <item m="1" x="265"/>
        <item m="1" x="195"/>
        <item m="1" x="236"/>
        <item m="1" x="250"/>
        <item m="1" x="107"/>
        <item m="1" x="225"/>
        <item m="1" x="158"/>
        <item m="1" x="279"/>
        <item m="1" x="297"/>
        <item m="1" x="79"/>
        <item m="1" x="244"/>
        <item m="1" x="129"/>
        <item m="1" x="136"/>
        <item m="1" x="144"/>
        <item m="1" x="309"/>
        <item m="1" x="93"/>
        <item m="1" x="281"/>
        <item m="1" x="89"/>
        <item m="1" x="178"/>
        <item m="1" x="263"/>
        <item m="1" x="269"/>
        <item m="1" x="232"/>
        <item m="1" x="146"/>
        <item m="1" x="141"/>
        <item m="1" x="104"/>
        <item m="1" x="185"/>
        <item m="1" x="156"/>
        <item m="1" x="288"/>
        <item m="1" x="164"/>
        <item m="1" x="149"/>
        <item x="65"/>
        <item m="1" x="150"/>
        <item m="1" x="181"/>
        <item m="1" x="127"/>
        <item m="1" x="197"/>
        <item m="1" x="177"/>
        <item m="1" x="233"/>
        <item m="1" x="283"/>
        <item m="1" x="111"/>
        <item m="1" x="203"/>
        <item m="1" x="312"/>
        <item m="1" x="77"/>
        <item m="1" x="204"/>
        <item x="11"/>
        <item m="1" x="163"/>
        <item m="1" x="70"/>
        <item m="1" x="211"/>
        <item m="1" x="273"/>
        <item m="1" x="135"/>
        <item m="1" x="221"/>
        <item m="1" x="94"/>
        <item m="1" x="78"/>
        <item m="1" x="274"/>
        <item m="1" x="84"/>
        <item m="1" x="132"/>
        <item m="1" x="248"/>
        <item m="1" x="249"/>
        <item m="1" x="313"/>
        <item m="1" x="275"/>
        <item m="1" x="302"/>
        <item m="1" x="176"/>
        <item m="1" x="240"/>
        <item x="30"/>
        <item m="1" x="99"/>
        <item m="1" x="276"/>
        <item m="1" x="100"/>
        <item m="1" x="212"/>
        <item m="1" x="95"/>
        <item x="36"/>
        <item m="1" x="254"/>
        <item m="1" x="145"/>
        <item x="39"/>
        <item x="40"/>
        <item m="1" x="292"/>
        <item x="45"/>
        <item x="48"/>
        <item m="1" x="118"/>
        <item m="1" x="208"/>
        <item m="1" x="222"/>
        <item x="49"/>
        <item m="1" x="190"/>
        <item m="1" x="226"/>
        <item m="1" x="122"/>
        <item m="1" x="205"/>
        <item m="1" x="83"/>
        <item x="55"/>
        <item m="1" x="91"/>
        <item m="1" x="301"/>
        <item m="1" x="143"/>
        <item m="1" x="117"/>
        <item m="1" x="165"/>
        <item m="1" x="179"/>
        <item x="60"/>
        <item x="61"/>
        <item m="1" x="284"/>
        <item x="63"/>
        <item m="1" x="287"/>
        <item m="1" x="153"/>
        <item m="1" x="162"/>
        <item m="1" x="213"/>
        <item m="1" x="216"/>
        <item m="1" x="285"/>
        <item m="1" x="192"/>
        <item x="4"/>
        <item m="1" x="229"/>
        <item m="1" x="306"/>
        <item m="1" x="88"/>
        <item m="1" x="277"/>
        <item m="1" x="71"/>
        <item m="1" x="75"/>
        <item m="1" x="72"/>
        <item m="1" x="73"/>
        <item x="27"/>
        <item m="1" x="187"/>
        <item m="1" x="108"/>
        <item m="1" x="74"/>
        <item m="1" x="131"/>
        <item x="38"/>
        <item x="42"/>
        <item m="1" x="137"/>
        <item m="1" x="80"/>
        <item m="1" x="85"/>
        <item m="1" x="147"/>
        <item x="51"/>
        <item x="52"/>
        <item x="53"/>
        <item m="1" x="296"/>
        <item m="1" x="262"/>
        <item m="1" x="253"/>
        <item m="1" x="133"/>
        <item x="59"/>
        <item m="1" x="191"/>
        <item m="1" x="207"/>
        <item m="1" x="90"/>
        <item x="1"/>
        <item m="1" x="220"/>
        <item m="1" x="184"/>
        <item x="2"/>
        <item x="28"/>
        <item m="1" x="115"/>
        <item x="37"/>
        <item x="46"/>
        <item x="50"/>
        <item m="1" x="188"/>
        <item x="62"/>
        <item x="64"/>
        <item m="1" x="183"/>
        <item m="1" x="260"/>
        <item m="1" x="101"/>
        <item x="5"/>
        <item x="6"/>
        <item x="7"/>
        <item x="8"/>
        <item x="9"/>
        <item x="10"/>
        <item x="13"/>
        <item x="12"/>
        <item x="14"/>
        <item x="17"/>
        <item x="15"/>
        <item x="16"/>
        <item x="21"/>
        <item x="32"/>
        <item x="22"/>
        <item x="24"/>
        <item x="18"/>
        <item x="19"/>
        <item x="23"/>
        <item x="25"/>
        <item x="20"/>
        <item x="29"/>
        <item x="31"/>
        <item x="33"/>
        <item x="34"/>
        <item x="35"/>
        <item x="66"/>
        <item x="3"/>
        <item x="57"/>
        <item x="0"/>
        <item x="47"/>
        <item m="1" x="210"/>
        <item x="41"/>
        <item x="58"/>
        <item x="26"/>
        <item m="1" x="106"/>
        <item m="1" x="289"/>
        <item x="56"/>
        <item x="44"/>
        <item m="1" x="96"/>
        <item x="54"/>
        <item x="43"/>
        <item t="default"/>
      </items>
    </pivotField>
    <pivotField showAll="0"/>
    <pivotField showAll="0">
      <items count="8">
        <item x="2"/>
        <item x="4"/>
        <item x="3"/>
        <item m="1" x="6"/>
        <item x="5"/>
        <item x="0"/>
        <item x="1"/>
        <item t="default"/>
      </items>
    </pivotField>
    <pivotField axis="axisRow" showAll="0">
      <items count="18">
        <item x="4"/>
        <item m="1" x="15"/>
        <item x="3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19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292"/>
      <x v="31"/>
    </i>
    <i r="3">
      <x v="359"/>
      <x v="20"/>
    </i>
    <i r="3">
      <x v="360"/>
      <x v="2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 r="1">
      <x v="310"/>
    </i>
    <i r="2">
      <x/>
    </i>
    <i r="3">
      <x v="358"/>
      <x v="25"/>
    </i>
    <i>
      <x v="1"/>
    </i>
    <i r="1">
      <x v="198"/>
    </i>
    <i r="2">
      <x v="2"/>
    </i>
    <i r="3">
      <x v="66"/>
      <x v="25"/>
    </i>
    <i r="1">
      <x v="202"/>
    </i>
    <i r="2">
      <x v="2"/>
    </i>
    <i r="3">
      <x v="66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86"/>
      <x v="25"/>
    </i>
    <i>
      <x v="4"/>
    </i>
    <i r="1">
      <x v="304"/>
    </i>
    <i r="2">
      <x/>
    </i>
    <i r="3">
      <x v="322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3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59"/>
      <x v="25"/>
    </i>
    <i r="3">
      <x v="268"/>
      <x v="25"/>
    </i>
    <i r="3">
      <x v="349"/>
      <x v="25"/>
    </i>
    <i r="3">
      <x v="354"/>
      <x v="25"/>
    </i>
    <i r="1">
      <x v="261"/>
    </i>
    <i r="2">
      <x/>
    </i>
    <i r="3">
      <x v="20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3"/>
      <x v="25"/>
    </i>
    <i r="3">
      <x v="189"/>
      <x v="25"/>
    </i>
    <i r="3">
      <x v="301"/>
      <x v="25"/>
    </i>
    <i r="3">
      <x v="333"/>
      <x v="25"/>
    </i>
    <i r="3">
      <x v="366"/>
      <x v="25"/>
    </i>
    <i r="3">
      <x v="367"/>
      <x v="25"/>
    </i>
    <i r="3">
      <x v="368"/>
      <x v="25"/>
    </i>
    <i r="3">
      <x v="373"/>
      <x v="25"/>
    </i>
    <i r="3">
      <x v="377"/>
      <x v="25"/>
    </i>
    <i r="3">
      <x v="378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r="1">
      <x v="313"/>
    </i>
    <i r="2">
      <x v="8"/>
    </i>
    <i r="3">
      <x v="374"/>
      <x v="25"/>
    </i>
    <i r="3">
      <x v="375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 r="1">
      <x v="309"/>
    </i>
    <i r="2">
      <x/>
    </i>
    <i r="3">
      <x v="356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21"/>
      <x v="25"/>
    </i>
    <i r="3">
      <x v="146"/>
      <x v="25"/>
    </i>
    <i r="3">
      <x v="291"/>
      <x v="25"/>
    </i>
    <i r="3">
      <x v="338"/>
      <x v="25"/>
    </i>
    <i r="3">
      <x v="37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r="1">
      <x v="312"/>
    </i>
    <i r="2">
      <x v="11"/>
    </i>
    <i r="3">
      <x v="370"/>
      <x v="25"/>
    </i>
    <i r="3">
      <x v="381"/>
      <x v="25"/>
    </i>
    <i r="2">
      <x v="13"/>
    </i>
    <i r="3">
      <x v="380"/>
      <x v="25"/>
    </i>
    <i>
      <x v="18"/>
    </i>
    <i r="1">
      <x v="294"/>
    </i>
    <i r="2">
      <x/>
    </i>
    <i r="3">
      <x v="302"/>
      <x v="25"/>
    </i>
    <i>
      <x v="19"/>
    </i>
    <i r="1">
      <x v="215"/>
    </i>
    <i r="2">
      <x v="11"/>
    </i>
    <i r="3">
      <x v="166"/>
      <x v="25"/>
    </i>
    <i r="3">
      <x v="173"/>
      <x v="25"/>
    </i>
    <i>
      <x v="20"/>
    </i>
    <i r="1">
      <x v="298"/>
    </i>
    <i r="2">
      <x v="2"/>
    </i>
    <i r="3">
      <x v="219"/>
      <x v="25"/>
    </i>
    <i>
      <x v="21"/>
    </i>
    <i r="1">
      <x v="305"/>
    </i>
    <i r="2">
      <x v="12"/>
    </i>
    <i r="3">
      <x v="327"/>
      <x v="25"/>
    </i>
    <i>
      <x v="22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9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3">
      <pivotArea outline="0" fieldPosition="0">
        <references count="1">
          <reference field="4294967294" count="1">
            <x v="1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1">
      <pivotArea outline="0" fieldPosition="0">
        <references count="1">
          <reference field="4294967294" count="1">
            <x v="0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2"/>
        <item x="4"/>
        <item x="1"/>
        <item x="0"/>
        <item m="1" x="6"/>
        <item x="5"/>
        <item x="3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88">
      <pivotArea dataOnly="0" labelOnly="1" fieldPosition="0">
        <references count="1">
          <reference field="25" count="0"/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18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19" firstHeaderRow="1" firstDataRow="1" firstDataCol="1"/>
  <pivotFields count="28">
    <pivotField axis="axisRow" showAll="0" sortType="descending">
      <items count="383">
        <item m="1" x="340"/>
        <item m="1" x="353"/>
        <item m="1" x="248"/>
        <item m="1" x="290"/>
        <item x="1"/>
        <item x="2"/>
        <item x="3"/>
        <item m="1" x="225"/>
        <item m="1" x="345"/>
        <item x="6"/>
        <item x="7"/>
        <item m="1" x="282"/>
        <item m="1" x="256"/>
        <item m="1" x="260"/>
        <item m="1" x="338"/>
        <item m="1" x="348"/>
        <item x="8"/>
        <item x="9"/>
        <item x="10"/>
        <item x="11"/>
        <item x="12"/>
        <item x="13"/>
        <item x="14"/>
        <item x="15"/>
        <item m="1" x="222"/>
        <item x="17"/>
        <item x="18"/>
        <item m="1" x="294"/>
        <item x="19"/>
        <item m="1" x="342"/>
        <item x="20"/>
        <item x="21"/>
        <item x="22"/>
        <item m="1" x="231"/>
        <item x="23"/>
        <item x="24"/>
        <item x="25"/>
        <item x="26"/>
        <item x="27"/>
        <item x="28"/>
        <item x="29"/>
        <item x="33"/>
        <item x="34"/>
        <item x="35"/>
        <item m="1" x="381"/>
        <item x="38"/>
        <item x="39"/>
        <item x="40"/>
        <item x="41"/>
        <item x="42"/>
        <item x="43"/>
        <item x="44"/>
        <item x="45"/>
        <item x="46"/>
        <item x="47"/>
        <item m="1" x="314"/>
        <item x="48"/>
        <item x="49"/>
        <item x="50"/>
        <item x="51"/>
        <item m="1" x="220"/>
        <item m="1" x="320"/>
        <item m="1" x="329"/>
        <item m="1" x="331"/>
        <item x="52"/>
        <item x="53"/>
        <item x="55"/>
        <item m="1" x="372"/>
        <item m="1" x="219"/>
        <item m="1" x="365"/>
        <item m="1" x="245"/>
        <item x="57"/>
        <item x="58"/>
        <item x="59"/>
        <item x="60"/>
        <item x="64"/>
        <item x="65"/>
        <item x="66"/>
        <item x="67"/>
        <item m="1" x="363"/>
        <item x="72"/>
        <item x="74"/>
        <item m="1" x="280"/>
        <item x="75"/>
        <item m="1" x="359"/>
        <item m="1" x="302"/>
        <item m="1" x="346"/>
        <item m="1" x="273"/>
        <item m="1" x="337"/>
        <item m="1" x="275"/>
        <item m="1" x="278"/>
        <item x="77"/>
        <item m="1" x="343"/>
        <item x="78"/>
        <item m="1" x="361"/>
        <item m="1" x="354"/>
        <item x="83"/>
        <item m="1" x="336"/>
        <item m="1" x="304"/>
        <item m="1" x="249"/>
        <item m="1" x="315"/>
        <item m="1" x="322"/>
        <item m="1" x="276"/>
        <item m="1" x="307"/>
        <item m="1" x="309"/>
        <item m="1" x="341"/>
        <item m="1" x="244"/>
        <item x="84"/>
        <item x="85"/>
        <item x="86"/>
        <item m="1" x="352"/>
        <item x="87"/>
        <item x="88"/>
        <item x="89"/>
        <item x="90"/>
        <item m="1" x="293"/>
        <item x="91"/>
        <item m="1" x="374"/>
        <item x="92"/>
        <item x="93"/>
        <item x="94"/>
        <item x="95"/>
        <item m="1" x="323"/>
        <item m="1" x="333"/>
        <item m="1" x="237"/>
        <item x="97"/>
        <item x="98"/>
        <item m="1" x="330"/>
        <item m="1" x="326"/>
        <item x="99"/>
        <item m="1" x="243"/>
        <item x="100"/>
        <item x="101"/>
        <item m="1" x="377"/>
        <item m="1" x="375"/>
        <item m="1" x="232"/>
        <item m="1" x="274"/>
        <item m="1" x="380"/>
        <item x="104"/>
        <item x="105"/>
        <item m="1" x="347"/>
        <item m="1" x="228"/>
        <item m="1" x="233"/>
        <item m="1" x="367"/>
        <item m="1" x="317"/>
        <item m="1" x="241"/>
        <item m="1" x="279"/>
        <item m="1" x="240"/>
        <item x="111"/>
        <item x="112"/>
        <item m="1" x="283"/>
        <item m="1" x="332"/>
        <item m="1" x="313"/>
        <item m="1" x="264"/>
        <item m="1" x="26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3"/>
        <item m="1" x="257"/>
        <item x="134"/>
        <item m="1" x="378"/>
        <item m="1" x="230"/>
        <item m="1" x="325"/>
        <item m="1" x="255"/>
        <item m="1" x="277"/>
        <item x="148"/>
        <item x="149"/>
        <item m="1" x="242"/>
        <item m="1" x="312"/>
        <item m="1" x="234"/>
        <item x="150"/>
        <item m="1" x="224"/>
        <item m="1" x="356"/>
        <item m="1" x="369"/>
        <item m="1" x="376"/>
        <item m="1" x="272"/>
        <item x="151"/>
        <item m="1" x="266"/>
        <item m="1" x="226"/>
        <item m="1" x="259"/>
        <item x="152"/>
        <item m="1" x="221"/>
        <item m="1" x="267"/>
        <item m="1" x="306"/>
        <item m="1" x="370"/>
        <item m="1" x="247"/>
        <item m="1" x="286"/>
        <item m="1" x="324"/>
        <item m="1" x="227"/>
        <item x="153"/>
        <item m="1" x="246"/>
        <item x="154"/>
        <item m="1" x="263"/>
        <item m="1" x="250"/>
        <item m="1" x="316"/>
        <item m="1" x="328"/>
        <item m="1" x="303"/>
        <item m="1" x="366"/>
        <item m="1" x="292"/>
        <item m="1" x="297"/>
        <item m="1" x="360"/>
        <item x="155"/>
        <item m="1" x="258"/>
        <item x="157"/>
        <item m="1" x="357"/>
        <item x="160"/>
        <item x="161"/>
        <item m="1" x="285"/>
        <item m="1" x="287"/>
        <item m="1" x="254"/>
        <item x="162"/>
        <item x="163"/>
        <item x="164"/>
        <item x="165"/>
        <item x="166"/>
        <item m="1" x="305"/>
        <item x="167"/>
        <item x="168"/>
        <item x="169"/>
        <item x="170"/>
        <item m="1" x="217"/>
        <item x="171"/>
        <item m="1" x="379"/>
        <item x="172"/>
        <item x="173"/>
        <item x="174"/>
        <item x="175"/>
        <item m="1" x="291"/>
        <item x="176"/>
        <item m="1" x="268"/>
        <item x="177"/>
        <item x="178"/>
        <item x="179"/>
        <item m="1" x="358"/>
        <item m="1" x="235"/>
        <item x="180"/>
        <item m="1" x="295"/>
        <item m="1" x="269"/>
        <item x="186"/>
        <item x="187"/>
        <item x="188"/>
        <item x="189"/>
        <item x="190"/>
        <item m="1" x="300"/>
        <item m="1" x="350"/>
        <item x="191"/>
        <item x="192"/>
        <item x="193"/>
        <item x="194"/>
        <item m="1" x="339"/>
        <item m="1" x="236"/>
        <item m="1" x="223"/>
        <item x="195"/>
        <item m="1" x="349"/>
        <item m="1" x="318"/>
        <item m="1" x="371"/>
        <item m="1" x="218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113"/>
        <item x="81"/>
        <item x="54"/>
        <item x="102"/>
        <item x="103"/>
        <item x="135"/>
        <item x="30"/>
        <item x="31"/>
        <item x="37"/>
        <item x="36"/>
        <item x="4"/>
        <item x="32"/>
        <item m="1" x="344"/>
        <item x="61"/>
        <item x="62"/>
        <item x="80"/>
        <item m="1" x="368"/>
        <item x="96"/>
        <item x="132"/>
        <item x="136"/>
        <item x="137"/>
        <item x="138"/>
        <item x="139"/>
        <item x="158"/>
        <item x="140"/>
        <item x="141"/>
        <item m="1" x="301"/>
        <item m="1" x="319"/>
        <item m="1" x="251"/>
        <item m="1" x="288"/>
        <item m="1" x="364"/>
        <item x="56"/>
        <item m="1" x="252"/>
        <item m="1" x="289"/>
        <item m="1" x="261"/>
        <item m="1" x="373"/>
        <item x="159"/>
        <item m="1" x="321"/>
        <item m="1" x="270"/>
        <item m="1" x="308"/>
        <item m="1" x="229"/>
        <item m="1" x="334"/>
        <item x="0"/>
        <item m="1" x="284"/>
        <item m="1" x="362"/>
        <item m="1" x="355"/>
        <item m="1" x="310"/>
        <item x="16"/>
        <item x="63"/>
        <item x="68"/>
        <item x="142"/>
        <item x="143"/>
        <item m="1" x="327"/>
        <item x="69"/>
        <item x="79"/>
        <item x="144"/>
        <item x="145"/>
        <item m="1" x="351"/>
        <item x="108"/>
        <item m="1" x="239"/>
        <item x="109"/>
        <item x="110"/>
        <item x="107"/>
        <item x="106"/>
        <item x="146"/>
        <item x="156"/>
        <item m="1" x="299"/>
        <item x="73"/>
        <item x="76"/>
        <item x="82"/>
        <item m="1" x="296"/>
        <item m="1" x="262"/>
        <item m="1" x="335"/>
        <item m="1" x="238"/>
        <item m="1" x="281"/>
        <item x="181"/>
        <item x="182"/>
        <item x="183"/>
        <item m="1" x="311"/>
        <item x="114"/>
        <item m="1" x="271"/>
        <item m="1" x="298"/>
        <item x="5"/>
        <item x="70"/>
        <item x="71"/>
        <item x="147"/>
        <item x="184"/>
        <item x="185"/>
        <item m="1" x="253"/>
        <item x="115"/>
        <item x="1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18">
    <i>
      <x v="37"/>
    </i>
    <i>
      <x v="32"/>
    </i>
    <i>
      <x v="116"/>
    </i>
    <i>
      <x v="36"/>
    </i>
    <i>
      <x v="42"/>
    </i>
    <i>
      <x v="113"/>
    </i>
    <i>
      <x v="289"/>
    </i>
    <i>
      <x v="34"/>
    </i>
    <i>
      <x v="59"/>
    </i>
    <i>
      <x v="229"/>
    </i>
    <i>
      <x v="91"/>
    </i>
    <i>
      <x v="125"/>
    </i>
    <i>
      <x v="271"/>
    </i>
    <i>
      <x v="380"/>
    </i>
    <i>
      <x v="322"/>
    </i>
    <i>
      <x v="25"/>
    </i>
    <i>
      <x v="241"/>
    </i>
    <i>
      <x v="26"/>
    </i>
    <i>
      <x v="299"/>
    </i>
    <i>
      <x v="28"/>
    </i>
    <i>
      <x v="354"/>
    </i>
    <i>
      <x v="30"/>
    </i>
    <i>
      <x v="230"/>
    </i>
    <i>
      <x v="31"/>
    </i>
    <i>
      <x v="254"/>
    </i>
    <i>
      <x v="5"/>
    </i>
    <i>
      <x v="291"/>
    </i>
    <i>
      <x v="6"/>
    </i>
    <i>
      <x v="309"/>
    </i>
    <i>
      <x v="35"/>
    </i>
    <i>
      <x v="344"/>
    </i>
    <i>
      <x v="9"/>
    </i>
    <i>
      <x v="368"/>
    </i>
    <i>
      <x v="10"/>
    </i>
    <i>
      <x v="225"/>
    </i>
    <i>
      <x v="38"/>
    </i>
    <i>
      <x v="236"/>
    </i>
    <i>
      <x v="39"/>
    </i>
    <i>
      <x v="248"/>
    </i>
    <i>
      <x v="40"/>
    </i>
    <i>
      <x v="260"/>
    </i>
    <i>
      <x v="41"/>
    </i>
    <i>
      <x v="275"/>
    </i>
    <i>
      <x v="16"/>
    </i>
    <i>
      <x v="295"/>
    </i>
    <i>
      <x v="43"/>
    </i>
    <i>
      <x v="304"/>
    </i>
    <i>
      <x v="45"/>
    </i>
    <i>
      <x v="313"/>
    </i>
    <i>
      <x v="46"/>
    </i>
    <i>
      <x v="339"/>
    </i>
    <i>
      <x v="47"/>
    </i>
    <i>
      <x v="349"/>
    </i>
    <i>
      <x v="48"/>
    </i>
    <i>
      <x v="359"/>
    </i>
    <i>
      <x v="49"/>
    </i>
    <i>
      <x v="375"/>
    </i>
    <i>
      <x v="50"/>
    </i>
    <i>
      <x v="223"/>
    </i>
    <i>
      <x v="51"/>
    </i>
    <i>
      <x v="227"/>
    </i>
    <i>
      <x v="52"/>
    </i>
    <i>
      <x v="232"/>
    </i>
    <i>
      <x v="53"/>
    </i>
    <i>
      <x v="238"/>
    </i>
    <i>
      <x v="54"/>
    </i>
    <i>
      <x v="244"/>
    </i>
    <i>
      <x v="56"/>
    </i>
    <i>
      <x v="252"/>
    </i>
    <i>
      <x v="57"/>
    </i>
    <i>
      <x v="258"/>
    </i>
    <i>
      <x v="58"/>
    </i>
    <i>
      <x v="265"/>
    </i>
    <i>
      <x v="17"/>
    </i>
    <i>
      <x v="273"/>
    </i>
    <i>
      <x v="64"/>
    </i>
    <i>
      <x v="277"/>
    </i>
    <i>
      <x v="65"/>
    </i>
    <i>
      <x v="293"/>
    </i>
    <i>
      <x v="66"/>
    </i>
    <i>
      <x v="297"/>
    </i>
    <i>
      <x v="71"/>
    </i>
    <i>
      <x v="301"/>
    </i>
    <i>
      <x v="72"/>
    </i>
    <i>
      <x v="306"/>
    </i>
    <i>
      <x v="73"/>
    </i>
    <i>
      <x v="311"/>
    </i>
    <i>
      <x v="74"/>
    </i>
    <i>
      <x v="315"/>
    </i>
    <i>
      <x v="75"/>
    </i>
    <i>
      <x v="333"/>
    </i>
    <i>
      <x v="76"/>
    </i>
    <i>
      <x v="341"/>
    </i>
    <i>
      <x v="77"/>
    </i>
    <i>
      <x v="346"/>
    </i>
    <i>
      <x v="78"/>
    </i>
    <i>
      <x v="352"/>
    </i>
    <i>
      <x v="80"/>
    </i>
    <i>
      <x v="356"/>
    </i>
    <i>
      <x v="81"/>
    </i>
    <i>
      <x v="366"/>
    </i>
    <i>
      <x v="83"/>
    </i>
    <i>
      <x v="373"/>
    </i>
    <i>
      <x v="18"/>
    </i>
    <i>
      <x v="377"/>
    </i>
    <i>
      <x v="93"/>
    </i>
    <i>
      <x v="4"/>
    </i>
    <i>
      <x v="96"/>
    </i>
    <i>
      <x v="224"/>
    </i>
    <i>
      <x v="107"/>
    </i>
    <i>
      <x v="226"/>
    </i>
    <i>
      <x v="108"/>
    </i>
    <i>
      <x v="22"/>
    </i>
    <i>
      <x v="109"/>
    </i>
    <i>
      <x v="231"/>
    </i>
    <i>
      <x v="111"/>
    </i>
    <i>
      <x v="234"/>
    </i>
    <i>
      <x v="112"/>
    </i>
    <i>
      <x v="237"/>
    </i>
    <i>
      <x v="19"/>
    </i>
    <i>
      <x v="239"/>
    </i>
    <i>
      <x v="114"/>
    </i>
    <i>
      <x v="243"/>
    </i>
    <i>
      <x v="20"/>
    </i>
    <i>
      <x v="245"/>
    </i>
    <i>
      <x v="118"/>
    </i>
    <i>
      <x v="251"/>
    </i>
    <i>
      <x v="119"/>
    </i>
    <i>
      <x v="253"/>
    </i>
    <i>
      <x v="120"/>
    </i>
    <i>
      <x v="255"/>
    </i>
    <i>
      <x v="121"/>
    </i>
    <i>
      <x v="259"/>
    </i>
    <i>
      <x v="278"/>
    </i>
    <i>
      <x v="261"/>
    </i>
    <i>
      <x v="279"/>
    </i>
    <i>
      <x v="270"/>
    </i>
    <i>
      <x v="281"/>
    </i>
    <i>
      <x v="272"/>
    </i>
    <i>
      <x v="283"/>
    </i>
    <i>
      <x v="274"/>
    </i>
    <i>
      <x v="285"/>
    </i>
    <i>
      <x v="276"/>
    </i>
    <i>
      <x v="287"/>
    </i>
    <i>
      <x v="23"/>
    </i>
    <i>
      <x v="21"/>
    </i>
    <i>
      <x v="280"/>
    </i>
    <i>
      <x v="126"/>
    </i>
    <i>
      <x v="282"/>
    </i>
    <i>
      <x v="129"/>
    </i>
    <i>
      <x v="284"/>
    </i>
    <i>
      <x v="131"/>
    </i>
    <i>
      <x v="286"/>
    </i>
    <i>
      <x v="132"/>
    </i>
    <i>
      <x v="288"/>
    </i>
    <i>
      <x v="138"/>
    </i>
    <i>
      <x v="290"/>
    </i>
    <i>
      <x v="139"/>
    </i>
    <i>
      <x v="292"/>
    </i>
    <i>
      <x v="148"/>
    </i>
    <i>
      <x v="294"/>
    </i>
    <i>
      <x v="149"/>
    </i>
    <i>
      <x v="296"/>
    </i>
    <i>
      <x v="155"/>
    </i>
    <i>
      <x v="298"/>
    </i>
    <i>
      <x v="156"/>
    </i>
    <i>
      <x v="300"/>
    </i>
    <i>
      <x v="157"/>
    </i>
    <i>
      <x v="302"/>
    </i>
    <i>
      <x v="158"/>
    </i>
    <i>
      <x v="305"/>
    </i>
    <i>
      <x v="159"/>
    </i>
    <i>
      <x v="308"/>
    </i>
    <i>
      <x v="160"/>
    </i>
    <i>
      <x v="310"/>
    </i>
    <i>
      <x v="161"/>
    </i>
    <i>
      <x v="312"/>
    </i>
    <i>
      <x v="162"/>
    </i>
    <i>
      <x v="314"/>
    </i>
    <i>
      <x v="163"/>
    </i>
    <i>
      <x v="316"/>
    </i>
    <i>
      <x v="164"/>
    </i>
    <i>
      <x v="327"/>
    </i>
    <i>
      <x v="165"/>
    </i>
    <i>
      <x v="338"/>
    </i>
    <i>
      <x v="166"/>
    </i>
    <i>
      <x v="340"/>
    </i>
    <i>
      <x v="167"/>
    </i>
    <i>
      <x v="342"/>
    </i>
    <i>
      <x v="168"/>
    </i>
    <i>
      <x v="345"/>
    </i>
    <i>
      <x v="169"/>
    </i>
    <i>
      <x v="347"/>
    </i>
    <i>
      <x v="170"/>
    </i>
    <i>
      <x v="351"/>
    </i>
    <i>
      <x v="172"/>
    </i>
    <i>
      <x v="353"/>
    </i>
    <i>
      <x v="178"/>
    </i>
    <i>
      <x v="355"/>
    </i>
    <i>
      <x v="179"/>
    </i>
    <i>
      <x v="358"/>
    </i>
    <i>
      <x v="183"/>
    </i>
    <i>
      <x v="360"/>
    </i>
    <i>
      <x v="189"/>
    </i>
    <i>
      <x v="367"/>
    </i>
    <i>
      <x v="193"/>
    </i>
    <i>
      <x v="370"/>
    </i>
    <i>
      <x v="202"/>
    </i>
    <i>
      <x v="374"/>
    </i>
    <i>
      <x v="204"/>
    </i>
    <i>
      <x v="376"/>
    </i>
    <i>
      <x v="214"/>
    </i>
    <i>
      <x v="378"/>
    </i>
    <i>
      <x v="216"/>
    </i>
    <i>
      <x v="381"/>
    </i>
    <i>
      <x v="218"/>
    </i>
    <i>
      <x v="219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0">
        <i x="23" s="1"/>
        <i x="22" s="1"/>
        <i x="31" s="1"/>
        <i x="19" s="1"/>
        <i x="4" s="1"/>
        <i x="8" s="1"/>
        <i x="6" s="1"/>
        <i x="28" s="1"/>
        <i x="1" s="1"/>
        <i x="9" s="1"/>
        <i x="15" s="1"/>
        <i x="0" s="1"/>
        <i x="2" s="1"/>
        <i x="16" s="1"/>
        <i x="34" s="1"/>
        <i x="36" s="1"/>
        <i x="20" s="1"/>
        <i x="24" s="1"/>
        <i x="32" s="1"/>
        <i x="37" s="1"/>
        <i x="3" s="1"/>
        <i x="29" s="1"/>
        <i x="26" s="1"/>
        <i x="33" s="1"/>
        <i x="35" s="1"/>
        <i x="17" s="1"/>
        <i x="7" s="1"/>
        <i x="10" s="1"/>
        <i x="5" s="1"/>
        <i x="30" s="1"/>
        <i x="11" s="1"/>
        <i x="38" s="1"/>
        <i x="12" s="1"/>
        <i x="25" s="1"/>
        <i x="27" s="1"/>
        <i x="13" s="1"/>
        <i x="14" s="1"/>
        <i x="18" s="1"/>
        <i x="21" s="1"/>
        <i x="3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12" s="1"/>
        <i x="4" s="1"/>
        <i x="9" s="1"/>
        <i x="8" s="1"/>
        <i x="11" s="1"/>
        <i x="2" s="1"/>
        <i x="1" s="1"/>
        <i x="7" s="1"/>
        <i x="6" s="1"/>
        <i x="10" s="1"/>
        <i x="5" s="1"/>
        <i x="0" s="1"/>
        <i x="3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14">
        <i x="48" s="1"/>
        <i x="49" s="1"/>
        <i x="7" s="1"/>
        <i x="18" s="1"/>
        <i x="8" s="1"/>
        <i x="19" s="1"/>
        <i x="20" s="1"/>
        <i x="9" s="1"/>
        <i x="21" s="1"/>
        <i x="10" s="1"/>
        <i x="22" s="1"/>
        <i x="58" s="1"/>
        <i x="11" s="1"/>
        <i x="23" s="1"/>
        <i x="24" s="1"/>
        <i x="41" s="1"/>
        <i x="5" s="1"/>
        <i x="6" s="1"/>
        <i x="15" s="1"/>
        <i x="12" s="1"/>
        <i x="13" s="1"/>
        <i x="39" s="1"/>
        <i x="65" s="1"/>
        <i x="54" s="1"/>
        <i x="1" s="1"/>
        <i x="33" s="1"/>
        <i x="16" s="1"/>
        <i x="36" s="1"/>
        <i x="34" s="1"/>
        <i x="31" s="1"/>
        <i x="59" s="1"/>
        <i x="28" s="1"/>
        <i x="50" s="1"/>
        <i x="55" s="1"/>
        <i x="51" s="1"/>
        <i x="42" s="1"/>
        <i x="47" s="1"/>
        <i x="0" s="1"/>
        <i x="2" s="1"/>
        <i x="3" s="1"/>
        <i x="37" s="1"/>
        <i x="46" s="1"/>
        <i x="43" s="1"/>
        <i x="62" s="1"/>
        <i x="64" s="1"/>
        <i x="53" s="1"/>
        <i x="60" s="1"/>
        <i x="4" s="1"/>
        <i x="56" s="1"/>
        <i x="52" s="1"/>
        <i x="61" s="1"/>
        <i x="44" s="1"/>
        <i x="63" s="1"/>
        <i x="40" s="1"/>
        <i x="38" s="1"/>
        <i x="14" s="1"/>
        <i x="32" s="1"/>
        <i x="25" s="1"/>
        <i x="35" s="1"/>
        <i x="27" s="1"/>
        <i x="57" s="1"/>
        <i x="17" s="1"/>
        <i x="26" s="1"/>
        <i x="66" s="1"/>
        <i x="29" s="1"/>
        <i x="30" s="1"/>
        <i x="45" s="1"/>
        <i x="303" s="1" nd="1"/>
        <i x="236" s="1" nd="1"/>
        <i x="119" s="1" nd="1"/>
        <i x="225" s="1" nd="1"/>
        <i x="264" s="1" nd="1"/>
        <i x="68" s="1" nd="1"/>
        <i x="203" s="1" nd="1"/>
        <i x="235" s="1" nd="1"/>
        <i x="268" s="1" nd="1"/>
        <i x="248" s="1" nd="1"/>
        <i x="116" s="1" nd="1"/>
        <i x="310" s="1" nd="1"/>
        <i x="312" s="1" nd="1"/>
        <i x="243" s="1" nd="1"/>
        <i x="280" s="1" nd="1"/>
        <i x="249" s="1" nd="1"/>
        <i x="86" s="1" nd="1"/>
        <i x="130" s="1" nd="1"/>
        <i x="302" s="1" nd="1"/>
        <i x="109" s="1" nd="1"/>
        <i x="201" s="1" nd="1"/>
        <i x="77" s="1" nd="1"/>
        <i x="138" s="1" nd="1"/>
        <i x="202" s="1" nd="1"/>
        <i x="78" s="1" nd="1"/>
        <i x="251" s="1" nd="1"/>
        <i x="69" s="1" nd="1"/>
        <i x="204" s="1" nd="1"/>
        <i x="134" s="1" nd="1"/>
        <i x="154" s="1" nd="1"/>
        <i x="84" s="1" nd="1"/>
        <i x="255" s="1" nd="1"/>
        <i x="271" s="1" nd="1"/>
        <i x="293" s="1" nd="1"/>
        <i x="311" s="1" nd="1"/>
        <i x="313" s="1" nd="1"/>
        <i x="245" s="1" nd="1"/>
        <i x="157" s="1" nd="1"/>
        <i x="132" s="1" nd="1"/>
        <i x="82" s="1" nd="1"/>
        <i x="141" s="1" nd="1"/>
        <i x="287" s="1" nd="1"/>
        <i x="209" s="1" nd="1"/>
        <i x="105" s="1" nd="1"/>
        <i x="233" s="1" nd="1"/>
        <i x="124" s="1" nd="1"/>
        <i x="152" s="1" nd="1"/>
        <i x="111" s="1" nd="1"/>
        <i x="148" s="1" nd="1"/>
        <i x="110" s="1" nd="1"/>
        <i x="221" s="1" nd="1"/>
        <i x="258" s="1" nd="1"/>
        <i x="300" s="1" nd="1"/>
        <i x="211" s="1" nd="1"/>
        <i x="277" s="1" nd="1"/>
        <i x="102" s="1" nd="1"/>
        <i x="186" s="1" nd="1"/>
        <i x="70" s="1" nd="1"/>
        <i x="88" s="1" nd="1"/>
        <i x="210" s="1" nd="1"/>
        <i x="304" s="1" nd="1"/>
        <i x="214" s="1" nd="1"/>
        <i x="174" s="1" nd="1"/>
        <i x="228" s="1" nd="1"/>
        <i x="106" s="1" nd="1"/>
        <i x="151" s="1" nd="1"/>
        <i x="242" s="1" nd="1"/>
        <i x="150" s="1" nd="1"/>
        <i x="218" s="1" nd="1"/>
        <i x="97" s="1" nd="1"/>
        <i x="175" s="1" nd="1"/>
        <i x="307" s="1" nd="1"/>
        <i x="100" s="1" nd="1"/>
        <i x="227" s="1" nd="1"/>
        <i x="199" s="1" nd="1"/>
        <i x="94" s="1" nd="1"/>
        <i x="257" s="1" nd="1"/>
        <i x="308" s="1" nd="1"/>
        <i x="67" s="1" nd="1"/>
        <i x="200" s="1" nd="1"/>
        <i x="95" s="1" nd="1"/>
        <i x="160" s="1" nd="1"/>
        <i x="246" s="1" nd="1"/>
        <i x="212" s="1" nd="1"/>
        <i x="194" s="1" nd="1"/>
        <i x="158" s="1" nd="1"/>
        <i x="99" s="1" nd="1"/>
        <i x="108" s="1" nd="1"/>
        <i x="184" s="1" nd="1"/>
        <i x="189" s="1" nd="1"/>
        <i x="125" s="1" nd="1"/>
        <i x="120" s="1" nd="1"/>
        <i x="181" s="1" nd="1"/>
        <i x="216" s="1" nd="1"/>
        <i x="220" s="1" nd="1"/>
        <i x="219" s="1" nd="1"/>
        <i x="281" s="1" nd="1"/>
        <i x="117" s="1" nd="1"/>
        <i x="182" s="1" nd="1"/>
        <i x="89" s="1" nd="1"/>
        <i x="165" s="1" nd="1"/>
        <i x="121" s="1" nd="1"/>
        <i x="178" s="1" nd="1"/>
        <i x="179" s="1" nd="1"/>
        <i x="196" s="1" nd="1"/>
        <i x="198" s="1" nd="1"/>
        <i x="240" s="1" nd="1"/>
        <i x="187" s="1" nd="1"/>
        <i x="294" s="1" nd="1"/>
        <i x="129" s="1" nd="1"/>
        <i x="83" s="1" nd="1"/>
        <i x="296" s="1" nd="1"/>
        <i x="115" s="1" nd="1"/>
        <i x="149" s="1" nd="1"/>
        <i x="190" s="1" nd="1"/>
        <i x="147" s="1" nd="1"/>
        <i x="270" s="1" nd="1"/>
        <i x="136" s="1" nd="1"/>
        <i x="299" s="1" nd="1"/>
        <i x="259" s="1" nd="1"/>
        <i x="282" s="1" nd="1"/>
        <i x="297" s="1" nd="1"/>
        <i x="226" s="1" nd="1"/>
        <i x="87" s="1" nd="1"/>
        <i x="142" s="1" nd="1"/>
        <i x="292" s="1" nd="1"/>
        <i x="266" s="1" nd="1"/>
        <i x="107" s="1" nd="1"/>
        <i x="222" s="1" nd="1"/>
        <i x="85" s="1" nd="1"/>
        <i x="267" s="1" nd="1"/>
        <i x="166" s="1" nd="1"/>
        <i x="127" s="1" nd="1"/>
        <i x="285" s="1" nd="1"/>
        <i x="114" s="1" nd="1"/>
        <i x="247" s="1" nd="1"/>
        <i x="197" s="1" nd="1"/>
        <i x="192" s="1" nd="1"/>
        <i x="224" s="1" nd="1"/>
        <i x="272" s="1" nd="1"/>
        <i x="254" s="1" nd="1"/>
        <i x="131" s="1" nd="1"/>
        <i x="161" s="1" nd="1"/>
        <i x="164" s="1" nd="1"/>
        <i x="208" s="1" nd="1"/>
        <i x="80" s="1" nd="1"/>
        <i x="123" s="1" nd="1"/>
        <i x="250" s="1" nd="1"/>
        <i x="118" s="1" nd="1"/>
        <i x="137" s="1" nd="1"/>
        <i x="193" s="1" nd="1"/>
        <i x="232" s="1" nd="1"/>
        <i x="284" s="1" nd="1"/>
        <i x="305" s="1" nd="1"/>
        <i x="104" s="1" nd="1"/>
        <i x="153" s="1" nd="1"/>
        <i x="191" s="1" nd="1"/>
        <i x="231" s="1" nd="1"/>
        <i x="237" s="1" nd="1"/>
        <i x="244" s="1" nd="1"/>
        <i x="205" s="1" nd="1"/>
        <i x="96" s="1" nd="1"/>
        <i x="239" s="1" nd="1"/>
        <i x="263" s="1" nd="1"/>
        <i x="252" s="1" nd="1"/>
        <i x="93" s="1" nd="1"/>
        <i x="143" s="1" nd="1"/>
        <i x="133" s="1" nd="1"/>
        <i x="188" s="1" nd="1"/>
        <i x="81" s="1" nd="1"/>
        <i x="98" s="1" nd="1"/>
        <i x="177" s="1" nd="1"/>
        <i x="289" s="1" nd="1"/>
        <i x="126" s="1" nd="1"/>
        <i x="265" s="1" nd="1"/>
        <i x="173" s="1" nd="1"/>
        <i x="279" s="1" nd="1"/>
        <i x="241" s="1" nd="1"/>
        <i x="291" s="1" nd="1"/>
        <i x="139" s="1" nd="1"/>
        <i x="79" s="1" nd="1"/>
        <i x="122" s="1" nd="1"/>
        <i x="180" s="1" nd="1"/>
        <i x="269" s="1" nd="1"/>
        <i x="112" s="1" nd="1"/>
        <i x="215" s="1" nd="1"/>
        <i x="146" s="1" nd="1"/>
        <i x="238" s="1" nd="1"/>
        <i x="286" s="1" nd="1"/>
        <i x="290" s="1" nd="1"/>
        <i x="295" s="1" nd="1"/>
        <i x="145" s="1" nd="1"/>
        <i x="278" s="1" nd="1"/>
        <i x="168" s="1" nd="1"/>
        <i x="273" s="1" nd="1"/>
        <i x="71" s="1" nd="1"/>
        <i x="298" s="1" nd="1"/>
        <i x="169" s="1" nd="1"/>
        <i x="274" s="1" nd="1"/>
        <i x="72" s="1" nd="1"/>
        <i x="261" s="1" nd="1"/>
        <i x="170" s="1" nd="1"/>
        <i x="275" s="1" nd="1"/>
        <i x="73" s="1" nd="1"/>
        <i x="256" s="1" nd="1"/>
        <i x="171" s="1" nd="1"/>
        <i x="276" s="1" nd="1"/>
        <i x="74" s="1" nd="1"/>
        <i x="234" s="1" nd="1"/>
        <i x="92" s="1" nd="1"/>
        <i x="176" s="1" nd="1"/>
        <i x="167" s="1" nd="1"/>
        <i x="309" s="1" nd="1"/>
        <i x="301" s="1" nd="1"/>
        <i x="253" s="1" nd="1"/>
        <i x="155" s="1" nd="1"/>
        <i x="159" s="1" nd="1"/>
        <i x="163" s="1" nd="1"/>
        <i x="306" s="1" nd="1"/>
        <i x="103" s="1" nd="1"/>
        <i x="206" s="1" nd="1"/>
        <i x="135" s="1" nd="1"/>
        <i x="75" s="1" nd="1"/>
        <i x="172" s="1" nd="1"/>
        <i x="144" s="1" nd="1"/>
        <i x="91" s="1" nd="1"/>
        <i x="262" s="1" nd="1"/>
        <i x="260" s="1" nd="1"/>
        <i x="128" s="1" nd="1"/>
        <i x="185" s="1" nd="1"/>
        <i x="162" s="1" nd="1"/>
        <i x="207" s="1" nd="1"/>
        <i x="101" s="1" nd="1"/>
        <i x="230" s="1" nd="1"/>
        <i x="113" s="1" nd="1"/>
        <i x="283" s="1" nd="1"/>
        <i x="229" s="1" nd="1"/>
        <i x="140" s="1" nd="1"/>
        <i x="76" s="1" nd="1"/>
        <i x="156" s="1" nd="1"/>
        <i x="213" s="1" nd="1"/>
        <i x="90" s="1" nd="1"/>
        <i x="183" s="1" nd="1"/>
        <i x="288" s="1" nd="1"/>
        <i x="223" s="1" nd="1"/>
        <i x="195" s="1" nd="1"/>
        <i x="2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3">
        <i x="15" s="1"/>
        <i x="17" s="1"/>
        <i x="12" s="1"/>
        <i x="3" s="1"/>
        <i x="14" s="1"/>
        <i x="5" s="1"/>
        <i x="1" s="1"/>
        <i x="7" s="1"/>
        <i x="10" s="1"/>
        <i x="0" s="1"/>
        <i x="13" s="1"/>
        <i x="18" s="1"/>
        <i x="20" s="1"/>
        <i x="2" s="1"/>
        <i x="16" s="1"/>
        <i x="19" s="1"/>
        <i x="6" s="1"/>
        <i x="11" s="1"/>
        <i x="4" s="1"/>
        <i x="8" s="1"/>
        <i x="21" s="1"/>
        <i x="9" s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2" s="1"/>
        <i x="4" s="1"/>
        <i x="3" s="1"/>
        <i x="5" s="1"/>
        <i x="0" s="1"/>
        <i x="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0">
        <i x="23" s="1"/>
        <i x="22" s="1"/>
        <i x="31" s="1"/>
        <i x="19" s="1"/>
        <i x="4" s="1"/>
        <i x="8" s="1"/>
        <i x="6" s="1"/>
        <i x="28" s="1"/>
        <i x="1" s="1"/>
        <i x="9" s="1"/>
        <i x="15" s="1"/>
        <i x="0" s="1"/>
        <i x="2" s="1"/>
        <i x="16" s="1"/>
        <i x="34" s="1"/>
        <i x="36" s="1"/>
        <i x="20" s="1"/>
        <i x="24" s="1"/>
        <i x="32" s="1"/>
        <i x="37" s="1"/>
        <i x="3" s="1"/>
        <i x="29" s="1"/>
        <i x="26" s="1"/>
        <i x="33" s="1"/>
        <i x="35" s="1"/>
        <i x="17" s="1"/>
        <i x="7" s="1"/>
        <i x="10" s="1"/>
        <i x="5" s="1"/>
        <i x="30" s="1"/>
        <i x="11" s="1"/>
        <i x="38" s="1"/>
        <i x="12" s="1"/>
        <i x="25" s="1"/>
        <i x="27" s="1"/>
        <i x="13" s="1"/>
        <i x="14" s="1"/>
        <i x="18" s="1"/>
        <i x="21" s="1"/>
        <i x="3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4" s="1"/>
        <i x="9" s="1"/>
        <i x="8" s="1"/>
        <i x="11" s="1"/>
        <i x="2" s="1"/>
        <i x="1" s="1"/>
        <i x="7" s="1"/>
        <i x="6" s="1"/>
        <i x="10" s="1"/>
        <i x="5" s="1"/>
        <i x="0" s="1"/>
        <i x="3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3">
        <i x="15" s="1"/>
        <i x="17" s="1"/>
        <i x="12" s="1"/>
        <i x="3" s="1"/>
        <i x="14" s="1"/>
        <i x="5" s="1"/>
        <i x="1" s="1"/>
        <i x="7" s="1"/>
        <i x="10" s="1"/>
        <i x="0" s="1"/>
        <i x="13" s="1"/>
        <i x="18" s="1"/>
        <i x="20" s="1"/>
        <i x="2" s="1"/>
        <i x="16" s="1"/>
        <i x="19" s="1"/>
        <i x="6" s="1"/>
        <i x="11" s="1"/>
        <i x="4" s="1"/>
        <i x="8" s="1"/>
        <i x="21" s="1"/>
        <i x="9" s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14">
        <i x="48" s="1"/>
        <i x="49" s="1"/>
        <i x="7" s="1"/>
        <i x="18" s="1"/>
        <i x="8" s="1"/>
        <i x="19" s="1"/>
        <i x="20" s="1"/>
        <i x="9" s="1"/>
        <i x="21" s="1"/>
        <i x="10" s="1"/>
        <i x="22" s="1"/>
        <i x="58" s="1"/>
        <i x="11" s="1"/>
        <i x="23" s="1"/>
        <i x="24" s="1"/>
        <i x="41" s="1"/>
        <i x="5" s="1"/>
        <i x="6" s="1"/>
        <i x="15" s="1"/>
        <i x="12" s="1"/>
        <i x="13" s="1"/>
        <i x="39" s="1"/>
        <i x="65" s="1"/>
        <i x="54" s="1"/>
        <i x="1" s="1"/>
        <i x="33" s="1"/>
        <i x="16" s="1"/>
        <i x="36" s="1"/>
        <i x="34" s="1"/>
        <i x="31" s="1"/>
        <i x="59" s="1"/>
        <i x="28" s="1"/>
        <i x="50" s="1"/>
        <i x="55" s="1"/>
        <i x="51" s="1"/>
        <i x="42" s="1"/>
        <i x="47" s="1"/>
        <i x="0" s="1"/>
        <i x="2" s="1"/>
        <i x="3" s="1"/>
        <i x="37" s="1"/>
        <i x="46" s="1"/>
        <i x="43" s="1"/>
        <i x="62" s="1"/>
        <i x="64" s="1"/>
        <i x="53" s="1"/>
        <i x="60" s="1"/>
        <i x="4" s="1"/>
        <i x="56" s="1"/>
        <i x="52" s="1"/>
        <i x="61" s="1"/>
        <i x="44" s="1"/>
        <i x="63" s="1"/>
        <i x="40" s="1"/>
        <i x="38" s="1"/>
        <i x="14" s="1"/>
        <i x="32" s="1"/>
        <i x="25" s="1"/>
        <i x="35" s="1"/>
        <i x="27" s="1"/>
        <i x="57" s="1"/>
        <i x="17" s="1"/>
        <i x="26" s="1"/>
        <i x="66" s="1"/>
        <i x="29" s="1"/>
        <i x="30" s="1"/>
        <i x="45" s="1"/>
        <i x="303" s="1" nd="1"/>
        <i x="236" s="1" nd="1"/>
        <i x="119" s="1" nd="1"/>
        <i x="225" s="1" nd="1"/>
        <i x="264" s="1" nd="1"/>
        <i x="68" s="1" nd="1"/>
        <i x="203" s="1" nd="1"/>
        <i x="235" s="1" nd="1"/>
        <i x="268" s="1" nd="1"/>
        <i x="248" s="1" nd="1"/>
        <i x="116" s="1" nd="1"/>
        <i x="310" s="1" nd="1"/>
        <i x="312" s="1" nd="1"/>
        <i x="243" s="1" nd="1"/>
        <i x="280" s="1" nd="1"/>
        <i x="249" s="1" nd="1"/>
        <i x="86" s="1" nd="1"/>
        <i x="130" s="1" nd="1"/>
        <i x="302" s="1" nd="1"/>
        <i x="109" s="1" nd="1"/>
        <i x="201" s="1" nd="1"/>
        <i x="77" s="1" nd="1"/>
        <i x="138" s="1" nd="1"/>
        <i x="202" s="1" nd="1"/>
        <i x="78" s="1" nd="1"/>
        <i x="251" s="1" nd="1"/>
        <i x="69" s="1" nd="1"/>
        <i x="204" s="1" nd="1"/>
        <i x="134" s="1" nd="1"/>
        <i x="154" s="1" nd="1"/>
        <i x="84" s="1" nd="1"/>
        <i x="255" s="1" nd="1"/>
        <i x="271" s="1" nd="1"/>
        <i x="293" s="1" nd="1"/>
        <i x="311" s="1" nd="1"/>
        <i x="313" s="1" nd="1"/>
        <i x="245" s="1" nd="1"/>
        <i x="157" s="1" nd="1"/>
        <i x="132" s="1" nd="1"/>
        <i x="82" s="1" nd="1"/>
        <i x="141" s="1" nd="1"/>
        <i x="287" s="1" nd="1"/>
        <i x="209" s="1" nd="1"/>
        <i x="105" s="1" nd="1"/>
        <i x="233" s="1" nd="1"/>
        <i x="124" s="1" nd="1"/>
        <i x="152" s="1" nd="1"/>
        <i x="111" s="1" nd="1"/>
        <i x="148" s="1" nd="1"/>
        <i x="110" s="1" nd="1"/>
        <i x="221" s="1" nd="1"/>
        <i x="258" s="1" nd="1"/>
        <i x="300" s="1" nd="1"/>
        <i x="211" s="1" nd="1"/>
        <i x="277" s="1" nd="1"/>
        <i x="102" s="1" nd="1"/>
        <i x="186" s="1" nd="1"/>
        <i x="70" s="1" nd="1"/>
        <i x="88" s="1" nd="1"/>
        <i x="210" s="1" nd="1"/>
        <i x="304" s="1" nd="1"/>
        <i x="214" s="1" nd="1"/>
        <i x="174" s="1" nd="1"/>
        <i x="228" s="1" nd="1"/>
        <i x="106" s="1" nd="1"/>
        <i x="151" s="1" nd="1"/>
        <i x="242" s="1" nd="1"/>
        <i x="150" s="1" nd="1"/>
        <i x="218" s="1" nd="1"/>
        <i x="97" s="1" nd="1"/>
        <i x="175" s="1" nd="1"/>
        <i x="307" s="1" nd="1"/>
        <i x="100" s="1" nd="1"/>
        <i x="227" s="1" nd="1"/>
        <i x="199" s="1" nd="1"/>
        <i x="94" s="1" nd="1"/>
        <i x="257" s="1" nd="1"/>
        <i x="308" s="1" nd="1"/>
        <i x="67" s="1" nd="1"/>
        <i x="200" s="1" nd="1"/>
        <i x="95" s="1" nd="1"/>
        <i x="160" s="1" nd="1"/>
        <i x="246" s="1" nd="1"/>
        <i x="212" s="1" nd="1"/>
        <i x="194" s="1" nd="1"/>
        <i x="158" s="1" nd="1"/>
        <i x="99" s="1" nd="1"/>
        <i x="108" s="1" nd="1"/>
        <i x="184" s="1" nd="1"/>
        <i x="189" s="1" nd="1"/>
        <i x="125" s="1" nd="1"/>
        <i x="120" s="1" nd="1"/>
        <i x="181" s="1" nd="1"/>
        <i x="216" s="1" nd="1"/>
        <i x="220" s="1" nd="1"/>
        <i x="219" s="1" nd="1"/>
        <i x="281" s="1" nd="1"/>
        <i x="117" s="1" nd="1"/>
        <i x="182" s="1" nd="1"/>
        <i x="89" s="1" nd="1"/>
        <i x="165" s="1" nd="1"/>
        <i x="121" s="1" nd="1"/>
        <i x="178" s="1" nd="1"/>
        <i x="179" s="1" nd="1"/>
        <i x="196" s="1" nd="1"/>
        <i x="198" s="1" nd="1"/>
        <i x="240" s="1" nd="1"/>
        <i x="187" s="1" nd="1"/>
        <i x="294" s="1" nd="1"/>
        <i x="129" s="1" nd="1"/>
        <i x="83" s="1" nd="1"/>
        <i x="296" s="1" nd="1"/>
        <i x="115" s="1" nd="1"/>
        <i x="149" s="1" nd="1"/>
        <i x="190" s="1" nd="1"/>
        <i x="147" s="1" nd="1"/>
        <i x="270" s="1" nd="1"/>
        <i x="136" s="1" nd="1"/>
        <i x="299" s="1" nd="1"/>
        <i x="259" s="1" nd="1"/>
        <i x="282" s="1" nd="1"/>
        <i x="297" s="1" nd="1"/>
        <i x="226" s="1" nd="1"/>
        <i x="87" s="1" nd="1"/>
        <i x="142" s="1" nd="1"/>
        <i x="292" s="1" nd="1"/>
        <i x="266" s="1" nd="1"/>
        <i x="107" s="1" nd="1"/>
        <i x="222" s="1" nd="1"/>
        <i x="85" s="1" nd="1"/>
        <i x="267" s="1" nd="1"/>
        <i x="166" s="1" nd="1"/>
        <i x="127" s="1" nd="1"/>
        <i x="285" s="1" nd="1"/>
        <i x="114" s="1" nd="1"/>
        <i x="247" s="1" nd="1"/>
        <i x="197" s="1" nd="1"/>
        <i x="192" s="1" nd="1"/>
        <i x="224" s="1" nd="1"/>
        <i x="272" s="1" nd="1"/>
        <i x="254" s="1" nd="1"/>
        <i x="131" s="1" nd="1"/>
        <i x="161" s="1" nd="1"/>
        <i x="164" s="1" nd="1"/>
        <i x="208" s="1" nd="1"/>
        <i x="80" s="1" nd="1"/>
        <i x="123" s="1" nd="1"/>
        <i x="250" s="1" nd="1"/>
        <i x="118" s="1" nd="1"/>
        <i x="137" s="1" nd="1"/>
        <i x="193" s="1" nd="1"/>
        <i x="232" s="1" nd="1"/>
        <i x="284" s="1" nd="1"/>
        <i x="305" s="1" nd="1"/>
        <i x="104" s="1" nd="1"/>
        <i x="153" s="1" nd="1"/>
        <i x="191" s="1" nd="1"/>
        <i x="231" s="1" nd="1"/>
        <i x="237" s="1" nd="1"/>
        <i x="244" s="1" nd="1"/>
        <i x="205" s="1" nd="1"/>
        <i x="96" s="1" nd="1"/>
        <i x="239" s="1" nd="1"/>
        <i x="263" s="1" nd="1"/>
        <i x="252" s="1" nd="1"/>
        <i x="93" s="1" nd="1"/>
        <i x="143" s="1" nd="1"/>
        <i x="133" s="1" nd="1"/>
        <i x="188" s="1" nd="1"/>
        <i x="81" s="1" nd="1"/>
        <i x="98" s="1" nd="1"/>
        <i x="177" s="1" nd="1"/>
        <i x="289" s="1" nd="1"/>
        <i x="126" s="1" nd="1"/>
        <i x="265" s="1" nd="1"/>
        <i x="173" s="1" nd="1"/>
        <i x="279" s="1" nd="1"/>
        <i x="241" s="1" nd="1"/>
        <i x="291" s="1" nd="1"/>
        <i x="139" s="1" nd="1"/>
        <i x="79" s="1" nd="1"/>
        <i x="122" s="1" nd="1"/>
        <i x="180" s="1" nd="1"/>
        <i x="269" s="1" nd="1"/>
        <i x="112" s="1" nd="1"/>
        <i x="215" s="1" nd="1"/>
        <i x="146" s="1" nd="1"/>
        <i x="238" s="1" nd="1"/>
        <i x="286" s="1" nd="1"/>
        <i x="290" s="1" nd="1"/>
        <i x="295" s="1" nd="1"/>
        <i x="145" s="1" nd="1"/>
        <i x="278" s="1" nd="1"/>
        <i x="168" s="1" nd="1"/>
        <i x="273" s="1" nd="1"/>
        <i x="71" s="1" nd="1"/>
        <i x="298" s="1" nd="1"/>
        <i x="169" s="1" nd="1"/>
        <i x="274" s="1" nd="1"/>
        <i x="72" s="1" nd="1"/>
        <i x="261" s="1" nd="1"/>
        <i x="170" s="1" nd="1"/>
        <i x="275" s="1" nd="1"/>
        <i x="73" s="1" nd="1"/>
        <i x="256" s="1" nd="1"/>
        <i x="171" s="1" nd="1"/>
        <i x="276" s="1" nd="1"/>
        <i x="74" s="1" nd="1"/>
        <i x="234" s="1" nd="1"/>
        <i x="92" s="1" nd="1"/>
        <i x="176" s="1" nd="1"/>
        <i x="167" s="1" nd="1"/>
        <i x="309" s="1" nd="1"/>
        <i x="301" s="1" nd="1"/>
        <i x="253" s="1" nd="1"/>
        <i x="155" s="1" nd="1"/>
        <i x="159" s="1" nd="1"/>
        <i x="163" s="1" nd="1"/>
        <i x="306" s="1" nd="1"/>
        <i x="103" s="1" nd="1"/>
        <i x="206" s="1" nd="1"/>
        <i x="135" s="1" nd="1"/>
        <i x="75" s="1" nd="1"/>
        <i x="172" s="1" nd="1"/>
        <i x="144" s="1" nd="1"/>
        <i x="91" s="1" nd="1"/>
        <i x="262" s="1" nd="1"/>
        <i x="260" s="1" nd="1"/>
        <i x="128" s="1" nd="1"/>
        <i x="185" s="1" nd="1"/>
        <i x="162" s="1" nd="1"/>
        <i x="207" s="1" nd="1"/>
        <i x="101" s="1" nd="1"/>
        <i x="230" s="1" nd="1"/>
        <i x="113" s="1" nd="1"/>
        <i x="283" s="1" nd="1"/>
        <i x="229" s="1" nd="1"/>
        <i x="140" s="1" nd="1"/>
        <i x="76" s="1" nd="1"/>
        <i x="156" s="1" nd="1"/>
        <i x="213" s="1" nd="1"/>
        <i x="90" s="1" nd="1"/>
        <i x="183" s="1" nd="1"/>
        <i x="288" s="1" nd="1"/>
        <i x="223" s="1" nd="1"/>
        <i x="195" s="1" nd="1"/>
        <i x="2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2" s="1"/>
        <i x="4" s="1"/>
        <i x="3" s="1"/>
        <i x="5" s="1"/>
        <i x="0" s="1"/>
        <i x="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42" totalsRowCount="1">
  <sortState ref="A3:AJ241">
    <sortCondition ref="A3:A241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85">
      <calculatedColumnFormula>VLOOKUP(TabOceanet[[#This Row],[VM_name]],TabVMEnv[],3,FALSE)</calculatedColumnFormula>
    </tableColumn>
    <tableColumn id="20" xr3:uid="{00000000-0010-0000-0000-000014000000}" name="isAffecteProjet" dataDxfId="84">
      <calculatedColumnFormula>IF(VLOOKUP(TabOceanet[[#This Row],[VM_name]],TabVMEnv[],2,FALSE) = "","Non","")</calculatedColumnFormula>
    </tableColumn>
    <tableColumn id="33" xr3:uid="{00000000-0010-0000-0000-000021000000}" name="isCalcVlan" dataDxfId="83">
      <calculatedColumnFormula>IF(TabOceanet[[#This Row],[Type_tarif]]="Tarif_VLAN",1,0)</calculatedColumnFormula>
    </tableColumn>
    <tableColumn id="32" xr3:uid="{00000000-0010-0000-0000-000020000000}" name="CalcVlan" dataDxfId="82">
      <calculatedColumnFormula>TabOceanet[[#This Row],[isCalcVlan]]*TabOceanet[[#This Row],[Nb_article]]*Tarif_VLAN</calculatedColumnFormula>
    </tableColumn>
    <tableColumn id="31" xr3:uid="{00000000-0010-0000-0000-00001F000000}" name="isCalcIpPub" dataDxfId="81">
      <calculatedColumnFormula>IF(TabOceanet[[#This Row],[Type_tarif]]="Tarif_IPPUB",1,0)</calculatedColumnFormula>
    </tableColumn>
    <tableColumn id="30" xr3:uid="{00000000-0010-0000-0000-00001E000000}" name="CalcIpPub" dataDxfId="80">
      <calculatedColumnFormula>TabOceanet[[#This Row],[isCalcIpPub]]*TabOceanet[[#This Row],[Nb_article]]*Tarif_IPPUB</calculatedColumnFormula>
    </tableColumn>
    <tableColumn id="29" xr3:uid="{00000000-0010-0000-0000-00001D000000}" name="isCalcDns" dataDxfId="79">
      <calculatedColumnFormula>IF(TabOceanet[[#This Row],[Type_tarif]]="Tarif_DNS",1,0)</calculatedColumnFormula>
    </tableColumn>
    <tableColumn id="28" xr3:uid="{00000000-0010-0000-0000-00001C000000}" name="CalcDns" dataDxfId="78">
      <calculatedColumnFormula>TabOceanet[[#This Row],[isCalcDns]]*TabOceanet[[#This Row],[Nb_article]]*Tarif_DNS</calculatedColumnFormula>
    </tableColumn>
    <tableColumn id="27" xr3:uid="{00000000-0010-0000-0000-00001B000000}" name="isCalcCertSimple" dataDxfId="77">
      <calculatedColumnFormula>IF(TabOceanet[[#This Row],[Type_tarif]]="Tarif_Certificat_X509_Simple",1,0)</calculatedColumnFormula>
    </tableColumn>
    <tableColumn id="26" xr3:uid="{00000000-0010-0000-0000-00001A000000}" name="CalcCertSimple" dataDxfId="76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75">
      <calculatedColumnFormula>IF(TabOceanet[[#This Row],[Type_tarif]]="Tarif_Certificat_X509_Wildcard",1,0)</calculatedColumnFormula>
    </tableColumn>
    <tableColumn id="24" xr3:uid="{00000000-0010-0000-0000-000018000000}" name="CalcCertWild" dataDxfId="74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73">
      <calculatedColumnFormula>IF(TabOceanet[[#This Row],[Type_tarif]]="Tarif_Astreinte_24_24_7_7",1,0)</calculatedColumnFormula>
    </tableColumn>
    <tableColumn id="34" xr3:uid="{00000000-0010-0000-0000-000022000000}" name="CalcAstreinte247" dataDxfId="72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71">
      <calculatedColumnFormula>IF(TabOceanet[[#This Row],[VM_status]]="PoweredOn",1,0)</calculatedColumnFormula>
    </tableColumn>
    <tableColumn id="15" xr3:uid="{00000000-0010-0000-0000-00000F000000}" name="CalcCoutMem" totalsRowDxfId="70" dataCellStyle="Monétaire">
      <calculatedColumnFormula>TabOceanet[[#This Row],[VM_mem]]*Tarif_Ram</calculatedColumnFormula>
    </tableColumn>
    <tableColumn id="16" xr3:uid="{00000000-0010-0000-0000-000010000000}" name="TypeBAK" dataDxfId="69">
      <calculatedColumnFormula>MID(TabOceanet[[#This Row],[Backup]],29,20)</calculatedColumnFormula>
    </tableColumn>
    <tableColumn id="17" xr3:uid="{00000000-0010-0000-0000-000011000000}" name="CalcCoutBAK" dataDxfId="68" totalsRowDxfId="67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66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65" totalsRowDxfId="64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45" totalsRowCount="1">
  <sortState ref="A2:AB244">
    <sortCondition ref="A2:A244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63">
      <calculatedColumnFormula>IF(VLOOKUP(TabVMEnv[[#This Row],[VM]],TabOceanet[],16,FALSE) = "Tarif_VM",IF(VLOOKUP(TabVMEnv[[#This Row],[VM]],TabOceanet[],2,FALSE)&lt;4,4,VLOOKUP(TabVMEnv[[#This Row],[VM]],TabOceanet[],2,FALSE)),0)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62">
      <calculatedColumnFormula>IF(VLOOKUP(TabVMEnv[[#This Row],[VM]],TabOceanet[],16,FALSE) = "Tarif_VM",1,0)/TabVMEnv[[#This Row],[Mutualisé]]</calculatedColumnFormula>
    </tableColumn>
    <tableColumn id="18" xr3:uid="{378920DE-BEE2-4312-B1E0-7E7E509A475F}" name="IsVMPoweredOn" dataDxfId="61">
      <calculatedColumnFormula>IF(VLOOKUP(TabVMEnv[[#This Row],[VM]],TabOceanet[],9,FALSE) = "PoweredOn",1,0)</calculatedColumnFormula>
    </tableColumn>
    <tableColumn id="22" xr3:uid="{3148295F-3EED-4381-AD1C-67DECC0EA4EE}" name="RamActiveDiviseMutual" totalsRowFunction="sum" dataDxfId="60">
      <calculatedColumnFormula>TabVMEnv[[#This Row],[IsVMPoweredOn]]*VLOOKUP(TabVMEnv[[#This Row],[VM]],TabOceanet[],3,FALSE)/TabVMEnv[[#This Row],[Mutualisé]]</calculatedColumnFormula>
    </tableColumn>
    <tableColumn id="21" xr3:uid="{3149C5EF-631E-4141-ABCB-C1E47C208C0A}" name="DisqueDiviseMutual" dataDxfId="59">
      <calculatedColumnFormula>VLOOKUP(TabVMEnv[[#This Row],[VM]],TabOceanet[],4,FALSE)/TabVMEnv[[#This Row],[Mutualisé]]</calculatedColumnFormula>
    </tableColumn>
    <tableColumn id="19" xr3:uid="{0772836F-E1E2-4059-9B25-6BA56CDE0D9D}" name="IsWindows" dataDxfId="58">
      <calculatedColumnFormula>IF(LEFT(VLOOKUP(TabVMEnv[[#This Row],[VM]],TabOceanet[],5,FALSE),3)="win",1,0)</calculatedColumnFormula>
    </tableColumn>
    <tableColumn id="15" xr3:uid="{F47EB34E-2CF0-403D-BB21-3F4031484F7C}" name="CoutLicenceMS" totalsRowFunction="sum" dataDxfId="57" totalsRowDxfId="56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VLOOKUP(TabVMEnv[[#This Row],[EnvProjet]],TabEnvProjet[],4,FALSE)</calculatedColumnFormula>
    </tableColumn>
    <tableColumn id="7" xr3:uid="{00000000-0010-0000-0100-000007000000}" name="Client" dataDxfId="55">
      <calculatedColumnFormula>VLOOKUP(TabVMEnv[[#This Row],[SYGES]],TabContrat[],2,FALSE)</calculatedColumnFormula>
    </tableColumn>
    <tableColumn id="10" xr3:uid="{00000000-0010-0000-0100-00000A000000}" name="Statut_VM_Exists" dataDxfId="54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53" totalsRowDxfId="52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51" totalsRowDxfId="50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49" totalsRowDxfId="48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47" totalsRowDxfId="46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45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44">
      <calculatedColumnFormula>VLOOKUP(TabVMEnv[[#This Row],[EnvProjet]],TabEnvProjet[],5,FALSE)</calculatedColumnFormula>
    </tableColumn>
    <tableColumn id="16" xr3:uid="{73BE6526-44B0-4C3B-A15B-65A31F085DF0}" name="CostCenter" dataDxfId="43">
      <calculatedColumnFormula>VLOOKUP(TabVMEnv[[#This Row],[EnvProjet]],TabEnvProjet[],6,FALSE)</calculatedColumnFormula>
    </tableColumn>
    <tableColumn id="6" xr3:uid="{00000000-0010-0000-0100-000006000000}" name="Environnement" dataDxfId="42">
      <calculatedColumnFormula>VLOOKUP(TabVMEnv[[#This Row],[EnvProjet]],TabEnvProjet[],3,FALSE)</calculatedColumnFormula>
    </tableColumn>
    <tableColumn id="9" xr3:uid="{00000000-0010-0000-0100-000009000000}" name="Mutualisé" totalsRowFunction="sum" dataDxfId="41">
      <calculatedColumnFormula>COUNTIF(TabVMEnv[VM],TabVMEnv[[#This Row],[VM]])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20" totalsRowShown="0">
  <sortState ref="A2:F120">
    <sortCondition ref="A2:A120"/>
  </sortState>
  <tableColumns count="6">
    <tableColumn id="3" xr3:uid="{00000000-0010-0000-0200-000003000000}" name="EnvProjet" dataDxfId="40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39">
      <calculatedColumnFormula>VLOOKUP(TabEnvProjet[[#This Row],[RefProjet]],TabProjet[],8,FALSE)</calculatedColumnFormula>
    </tableColumn>
    <tableColumn id="5" xr3:uid="{70FFCC33-5D62-4C4D-851C-3103B318A0FC}" name="CP" dataDxfId="38">
      <calculatedColumnFormula>VLOOKUP(TabEnvProjet[[#This Row],[RefProjet]],TabProjet[],6,FALSE)</calculatedColumnFormula>
    </tableColumn>
    <tableColumn id="6" xr3:uid="{7A190903-BE96-4FE4-BC6F-1F9200F1A4BB}" name="CostCenter" dataDxfId="37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7" totalsRowShown="0">
  <sortState ref="A3:I127">
    <sortCondition ref="A3:A127"/>
  </sortState>
  <tableColumns count="9">
    <tableColumn id="5" xr3:uid="{00000000-0010-0000-0300-000005000000}" name="NomProj" dataDxfId="32">
      <calculatedColumnFormula>TabProjet[[#This Row],[Client]] &amp; "-" &amp; TabProjet[[#This Row],[Projet]]</calculatedColumnFormula>
    </tableColumn>
    <tableColumn id="4" xr3:uid="{00000000-0010-0000-0300-000004000000}" name="Client" dataDxfId="31"/>
    <tableColumn id="1" xr3:uid="{00000000-0010-0000-0300-000001000000}" name="Projet" dataDxfId="30"/>
    <tableColumn id="2" xr3:uid="{00000000-0010-0000-0300-000002000000}" name="DateDeb" dataDxfId="29"/>
    <tableColumn id="3" xr3:uid="{00000000-0010-0000-0300-000003000000}" name="DateFin" dataDxfId="28"/>
    <tableColumn id="6" xr3:uid="{00000000-0010-0000-0300-000006000000}" name="CP" dataDxfId="27"/>
    <tableColumn id="10" xr3:uid="{00000000-0010-0000-0300-00000A000000}" name="Référent technique" dataDxfId="26"/>
    <tableColumn id="7" xr3:uid="{00000000-0010-0000-0300-000007000000}" name="SYGES" dataDxfId="25"/>
    <tableColumn id="8" xr3:uid="{00000000-0010-0000-0300-000008000000}" name="Commentaire" dataDxfId="2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71" totalsRowCount="1" headerRowDxfId="23" dataDxfId="22" totalsRowDxfId="21">
  <sortState ref="A3:F170">
    <sortCondition ref="A3:A170"/>
  </sortState>
  <tableColumns count="6">
    <tableColumn id="1" xr3:uid="{00000000-0010-0000-0400-000001000000}" name="Contrat SYGES" totalsRowFunction="count" dataDxfId="20" totalsRowDxfId="19"/>
    <tableColumn id="21" xr3:uid="{00000000-0010-0000-0400-000015000000}" name="Client" totalsRowLabel="TOTAL" dataDxfId="18" totalsRowDxfId="17"/>
    <tableColumn id="2" xr3:uid="{00000000-0010-0000-0400-000002000000}" name="Cost Center" dataDxfId="16" totalsRowDxfId="15"/>
    <tableColumn id="9" xr3:uid="{00000000-0010-0000-0400-000009000000}" name="Statut du contrat" dataDxfId="14" totalsRowDxfId="13"/>
    <tableColumn id="10" xr3:uid="{00000000-0010-0000-0400-00000A000000}" name="Type contrat SYGES" dataDxfId="12" totalsRowDxfId="11"/>
    <tableColumn id="11" xr3:uid="{00000000-0010-0000-0400-00000B000000}" name="Type contrat REFPROJ" dataDxfId="10" totalsRowDxfId="9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8" dataDxfId="7">
  <autoFilter ref="A1:C15" xr:uid="{00000000-0009-0000-0100-000008000000}"/>
  <tableColumns count="3">
    <tableColumn id="3" xr3:uid="{00000000-0010-0000-0600-000003000000}" name="REF" dataDxfId="6"/>
    <tableColumn id="1" xr3:uid="{00000000-0010-0000-0600-000001000000}" name="Désignation" dataDxfId="5"/>
    <tableColumn id="2" xr3:uid="{00000000-0010-0000-0600-000002000000}" name="CU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ED8D24-06AE-43FF-83C9-FC898ABAA374}" name="TabClient" displayName="TabClient" ref="A18:C20" totalsRowShown="0">
  <autoFilter ref="A18:C20" xr:uid="{3BDFFD65-5D00-4A37-9AF8-91DF6CA836C1}"/>
  <tableColumns count="3">
    <tableColumn id="1" xr3:uid="{B3E0A3B6-D01E-4690-8AC8-D6235387AAEB}" name="Colonne1"/>
    <tableColumn id="2" xr3:uid="{F4F714A3-F68B-42C0-96C5-9B32549C105A}" name="Colonne2"/>
    <tableColumn id="3" xr3:uid="{5D2B9CEB-9E5A-4244-AF31-61F36DCD9765}" name="Colonne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3"/>
    <tableColumn id="3" xr3:uid="{00000000-0010-0000-0800-000003000000}" name="Action1" dataDxfId="2"/>
    <tableColumn id="4" xr3:uid="{00000000-0010-0000-0800-000004000000}" name="Action 2" dataDxfId="1"/>
    <tableColumn id="5" xr3:uid="{00000000-0010-0000-0800-000005000000}" name="Action3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422"/>
  <sheetViews>
    <sheetView zoomScale="85" zoomScaleNormal="85" workbookViewId="0">
      <selection activeCell="L15" sqref="L15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0" t="s">
        <v>2</v>
      </c>
      <c r="D3" s="60" t="s">
        <v>3</v>
      </c>
      <c r="E3" s="60" t="s">
        <v>4</v>
      </c>
    </row>
    <row r="4" spans="1:5" x14ac:dyDescent="0.25">
      <c r="A4" s="19" t="s">
        <v>5</v>
      </c>
      <c r="C4" s="5">
        <v>380.47500000000002</v>
      </c>
      <c r="D4" s="53">
        <v>333.37</v>
      </c>
      <c r="E4" s="68">
        <v>29.333333333333332</v>
      </c>
    </row>
    <row r="5" spans="1:5" x14ac:dyDescent="0.25">
      <c r="A5" s="20" t="s">
        <v>1361</v>
      </c>
      <c r="C5" s="5">
        <v>114.08500000000001</v>
      </c>
      <c r="D5" s="53">
        <v>0</v>
      </c>
      <c r="E5" s="68">
        <v>10</v>
      </c>
    </row>
    <row r="6" spans="1:5" x14ac:dyDescent="0.25">
      <c r="A6" s="21" t="s">
        <v>6</v>
      </c>
      <c r="C6" s="5">
        <v>14.48</v>
      </c>
      <c r="D6" s="53">
        <v>0</v>
      </c>
      <c r="E6" s="68">
        <v>1</v>
      </c>
    </row>
    <row r="7" spans="1:5" x14ac:dyDescent="0.25">
      <c r="A7" s="22" t="s">
        <v>7</v>
      </c>
      <c r="B7" s="19" t="s">
        <v>8</v>
      </c>
      <c r="C7" s="5">
        <v>14.48</v>
      </c>
      <c r="D7" s="53">
        <v>0</v>
      </c>
      <c r="E7" s="68">
        <v>1</v>
      </c>
    </row>
    <row r="8" spans="1:5" x14ac:dyDescent="0.25">
      <c r="A8" s="21" t="s">
        <v>9</v>
      </c>
      <c r="C8" s="5">
        <v>5.5</v>
      </c>
      <c r="D8" s="53">
        <v>0</v>
      </c>
      <c r="E8" s="68">
        <v>1.5</v>
      </c>
    </row>
    <row r="9" spans="1:5" x14ac:dyDescent="0.25">
      <c r="A9" s="22" t="s">
        <v>10</v>
      </c>
      <c r="B9" s="19" t="s">
        <v>11</v>
      </c>
      <c r="C9" s="5">
        <v>2.52</v>
      </c>
      <c r="D9" s="53">
        <v>0</v>
      </c>
      <c r="E9" s="68">
        <v>0.5</v>
      </c>
    </row>
    <row r="10" spans="1:5" x14ac:dyDescent="0.25">
      <c r="A10" s="22" t="s">
        <v>12</v>
      </c>
      <c r="B10" s="19" t="s">
        <v>8</v>
      </c>
      <c r="C10" s="5">
        <v>2.9800000000000004</v>
      </c>
      <c r="D10" s="53">
        <v>0</v>
      </c>
      <c r="E10" s="68">
        <v>1</v>
      </c>
    </row>
    <row r="11" spans="1:5" x14ac:dyDescent="0.25">
      <c r="A11" s="21" t="s">
        <v>13</v>
      </c>
      <c r="C11" s="5">
        <v>2.9850000000000003</v>
      </c>
      <c r="D11" s="53">
        <v>0</v>
      </c>
      <c r="E11" s="68">
        <v>0.5</v>
      </c>
    </row>
    <row r="12" spans="1:5" x14ac:dyDescent="0.25">
      <c r="A12" s="22" t="s">
        <v>14</v>
      </c>
      <c r="B12" s="19" t="s">
        <v>15</v>
      </c>
      <c r="C12" s="5">
        <v>2.9850000000000003</v>
      </c>
      <c r="D12" s="53">
        <v>0</v>
      </c>
      <c r="E12" s="68">
        <v>0.5</v>
      </c>
    </row>
    <row r="13" spans="1:5" x14ac:dyDescent="0.25">
      <c r="A13" s="21" t="s">
        <v>16</v>
      </c>
      <c r="C13" s="5">
        <v>16.71</v>
      </c>
      <c r="D13" s="53">
        <v>0</v>
      </c>
      <c r="E13" s="68">
        <v>1</v>
      </c>
    </row>
    <row r="14" spans="1:5" x14ac:dyDescent="0.25">
      <c r="A14" s="22" t="s">
        <v>17</v>
      </c>
      <c r="B14" s="19" t="s">
        <v>18</v>
      </c>
      <c r="C14" s="5">
        <v>16.71</v>
      </c>
      <c r="D14" s="53">
        <v>0</v>
      </c>
      <c r="E14" s="68">
        <v>1</v>
      </c>
    </row>
    <row r="15" spans="1:5" x14ac:dyDescent="0.25">
      <c r="A15" s="21" t="s">
        <v>19</v>
      </c>
      <c r="C15" s="5">
        <v>25.87</v>
      </c>
      <c r="D15" s="53">
        <v>0</v>
      </c>
      <c r="E15" s="68">
        <v>2</v>
      </c>
    </row>
    <row r="16" spans="1:5" x14ac:dyDescent="0.25">
      <c r="A16" s="22" t="s">
        <v>20</v>
      </c>
      <c r="B16" s="19" t="s">
        <v>21</v>
      </c>
      <c r="C16" s="5">
        <v>16.71</v>
      </c>
      <c r="D16" s="53">
        <v>0</v>
      </c>
      <c r="E16" s="68">
        <v>1</v>
      </c>
    </row>
    <row r="17" spans="1:5" x14ac:dyDescent="0.25">
      <c r="A17" s="22" t="s">
        <v>22</v>
      </c>
      <c r="B17" s="19" t="s">
        <v>23</v>
      </c>
      <c r="C17" s="5">
        <v>9.16</v>
      </c>
      <c r="D17" s="53">
        <v>0</v>
      </c>
      <c r="E17" s="68">
        <v>1</v>
      </c>
    </row>
    <row r="18" spans="1:5" x14ac:dyDescent="0.25">
      <c r="A18" s="21" t="s">
        <v>24</v>
      </c>
      <c r="C18" s="5">
        <v>16.71</v>
      </c>
      <c r="D18" s="53">
        <v>0</v>
      </c>
      <c r="E18" s="68">
        <v>1</v>
      </c>
    </row>
    <row r="19" spans="1:5" x14ac:dyDescent="0.25">
      <c r="A19" s="22" t="s">
        <v>25</v>
      </c>
      <c r="B19" s="19" t="s">
        <v>18</v>
      </c>
      <c r="C19" s="5">
        <v>16.71</v>
      </c>
      <c r="D19" s="53">
        <v>0</v>
      </c>
      <c r="E19" s="68">
        <v>1</v>
      </c>
    </row>
    <row r="20" spans="1:5" x14ac:dyDescent="0.25">
      <c r="A20" s="21" t="s">
        <v>26</v>
      </c>
      <c r="C20" s="5">
        <v>31.830000000000002</v>
      </c>
      <c r="D20" s="53">
        <v>0</v>
      </c>
      <c r="E20" s="68">
        <v>3</v>
      </c>
    </row>
    <row r="21" spans="1:5" x14ac:dyDescent="0.25">
      <c r="A21" s="22" t="s">
        <v>27</v>
      </c>
      <c r="B21" s="19" t="s">
        <v>21</v>
      </c>
      <c r="C21" s="5">
        <v>16.71</v>
      </c>
      <c r="D21" s="53">
        <v>0</v>
      </c>
      <c r="E21" s="68">
        <v>1</v>
      </c>
    </row>
    <row r="22" spans="1:5" x14ac:dyDescent="0.25">
      <c r="A22" s="22" t="s">
        <v>28</v>
      </c>
      <c r="B22" s="19" t="s">
        <v>23</v>
      </c>
      <c r="C22" s="5">
        <v>9.16</v>
      </c>
      <c r="D22" s="53">
        <v>0</v>
      </c>
      <c r="E22" s="68">
        <v>1</v>
      </c>
    </row>
    <row r="23" spans="1:5" x14ac:dyDescent="0.25">
      <c r="A23" s="22" t="s">
        <v>29</v>
      </c>
      <c r="B23" s="19" t="s">
        <v>23</v>
      </c>
      <c r="C23" s="5">
        <v>5.9600000000000009</v>
      </c>
      <c r="D23" s="53">
        <v>0</v>
      </c>
      <c r="E23" s="68">
        <v>1</v>
      </c>
    </row>
    <row r="24" spans="1:5" x14ac:dyDescent="0.25">
      <c r="A24" s="20" t="s">
        <v>1362</v>
      </c>
      <c r="C24" s="5">
        <v>3.4400000000000004</v>
      </c>
      <c r="D24" s="53">
        <v>0</v>
      </c>
      <c r="E24" s="68">
        <v>1</v>
      </c>
    </row>
    <row r="25" spans="1:5" x14ac:dyDescent="0.25">
      <c r="A25" s="21" t="s">
        <v>30</v>
      </c>
      <c r="C25" s="5">
        <v>3.4400000000000004</v>
      </c>
      <c r="D25" s="53">
        <v>0</v>
      </c>
      <c r="E25" s="68">
        <v>1</v>
      </c>
    </row>
    <row r="26" spans="1:5" x14ac:dyDescent="0.25">
      <c r="A26" s="22" t="s">
        <v>31</v>
      </c>
      <c r="B26" s="19" t="s">
        <v>23</v>
      </c>
      <c r="C26" s="5">
        <v>3.4400000000000004</v>
      </c>
      <c r="D26" s="53">
        <v>0</v>
      </c>
      <c r="E26" s="68">
        <v>1</v>
      </c>
    </row>
    <row r="27" spans="1:5" x14ac:dyDescent="0.25">
      <c r="A27" s="20" t="s">
        <v>1363</v>
      </c>
      <c r="C27" s="5">
        <v>257.21999999999997</v>
      </c>
      <c r="D27" s="53">
        <v>333.37</v>
      </c>
      <c r="E27" s="68">
        <v>17.333333333333336</v>
      </c>
    </row>
    <row r="28" spans="1:5" x14ac:dyDescent="0.25">
      <c r="A28" s="21" t="s">
        <v>6</v>
      </c>
      <c r="C28" s="5">
        <v>51.424999999999997</v>
      </c>
      <c r="D28" s="53">
        <v>11.96</v>
      </c>
      <c r="E28" s="68">
        <v>4.5</v>
      </c>
    </row>
    <row r="29" spans="1:5" x14ac:dyDescent="0.25">
      <c r="A29" s="22" t="s">
        <v>32</v>
      </c>
      <c r="B29" s="19" t="s">
        <v>23</v>
      </c>
      <c r="C29" s="5">
        <v>6.43</v>
      </c>
      <c r="D29" s="53">
        <v>0</v>
      </c>
      <c r="E29" s="68">
        <v>1</v>
      </c>
    </row>
    <row r="30" spans="1:5" x14ac:dyDescent="0.25">
      <c r="A30" s="22" t="s">
        <v>14</v>
      </c>
      <c r="B30" s="19" t="s">
        <v>33</v>
      </c>
      <c r="C30" s="5">
        <v>2.9850000000000003</v>
      </c>
      <c r="D30" s="53">
        <v>0</v>
      </c>
      <c r="E30" s="68">
        <v>0.5</v>
      </c>
    </row>
    <row r="31" spans="1:5" x14ac:dyDescent="0.25">
      <c r="A31" s="22" t="s">
        <v>34</v>
      </c>
      <c r="B31" s="19" t="s">
        <v>35</v>
      </c>
      <c r="C31" s="5">
        <v>12.400000000000002</v>
      </c>
      <c r="D31" s="53">
        <v>11.96</v>
      </c>
      <c r="E31" s="68">
        <v>1</v>
      </c>
    </row>
    <row r="32" spans="1:5" x14ac:dyDescent="0.25">
      <c r="A32" s="22" t="s">
        <v>36</v>
      </c>
      <c r="B32" s="19" t="s">
        <v>23</v>
      </c>
      <c r="C32" s="5">
        <v>20.200000000000003</v>
      </c>
      <c r="D32" s="53">
        <v>0</v>
      </c>
      <c r="E32" s="68">
        <v>1</v>
      </c>
    </row>
    <row r="33" spans="1:12" x14ac:dyDescent="0.25">
      <c r="A33" s="22" t="s">
        <v>37</v>
      </c>
      <c r="B33" s="19" t="s">
        <v>23</v>
      </c>
      <c r="C33" s="5">
        <v>9.41</v>
      </c>
      <c r="D33" s="53">
        <v>0</v>
      </c>
      <c r="E33" s="68">
        <v>1</v>
      </c>
    </row>
    <row r="34" spans="1:12" x14ac:dyDescent="0.25">
      <c r="A34" s="21" t="s">
        <v>9</v>
      </c>
      <c r="C34" s="5">
        <v>184.59</v>
      </c>
      <c r="D34" s="53">
        <v>321.40999999999997</v>
      </c>
      <c r="E34" s="68">
        <v>8.8333333333333321</v>
      </c>
    </row>
    <row r="35" spans="1:12" x14ac:dyDescent="0.25">
      <c r="A35" s="22" t="s">
        <v>10</v>
      </c>
      <c r="B35" s="19" t="s">
        <v>38</v>
      </c>
      <c r="C35" s="5">
        <v>2.52</v>
      </c>
      <c r="D35" s="53">
        <v>0</v>
      </c>
      <c r="E35" s="68">
        <v>0.5</v>
      </c>
    </row>
    <row r="36" spans="1:12" x14ac:dyDescent="0.25">
      <c r="A36" s="22" t="s">
        <v>39</v>
      </c>
      <c r="B36" s="19" t="s">
        <v>40</v>
      </c>
      <c r="C36" s="5">
        <v>21.35</v>
      </c>
      <c r="D36" s="53">
        <v>11.96</v>
      </c>
      <c r="E36" s="68">
        <v>1</v>
      </c>
      <c r="J36" s="24" t="s">
        <v>41</v>
      </c>
    </row>
    <row r="37" spans="1:12" x14ac:dyDescent="0.25">
      <c r="A37" s="22" t="s">
        <v>42</v>
      </c>
      <c r="B37" s="19" t="s">
        <v>43</v>
      </c>
      <c r="C37" s="5">
        <v>9.2000000000000011</v>
      </c>
      <c r="D37" s="53">
        <v>0</v>
      </c>
      <c r="E37" s="68">
        <v>1</v>
      </c>
      <c r="J37" s="82" t="s">
        <v>44</v>
      </c>
      <c r="K37" s="85">
        <v>871.16</v>
      </c>
      <c r="L37" t="s">
        <v>45</v>
      </c>
    </row>
    <row r="38" spans="1:12" x14ac:dyDescent="0.25">
      <c r="A38" s="22" t="s">
        <v>46</v>
      </c>
      <c r="B38" s="19" t="s">
        <v>40</v>
      </c>
      <c r="C38" s="5">
        <v>14.7</v>
      </c>
      <c r="D38" s="53">
        <v>0</v>
      </c>
      <c r="E38" s="68">
        <v>1</v>
      </c>
      <c r="J38" s="82" t="s">
        <v>47</v>
      </c>
      <c r="K38" s="85">
        <v>0</v>
      </c>
      <c r="L38" t="s">
        <v>45</v>
      </c>
    </row>
    <row r="39" spans="1:12" x14ac:dyDescent="0.25">
      <c r="A39" s="22" t="s">
        <v>48</v>
      </c>
      <c r="B39" s="19" t="s">
        <v>49</v>
      </c>
      <c r="C39" s="5">
        <v>34</v>
      </c>
      <c r="D39" s="53">
        <v>0</v>
      </c>
      <c r="E39" s="68">
        <v>1</v>
      </c>
      <c r="J39" s="83" t="s">
        <v>50</v>
      </c>
      <c r="K39" s="86">
        <v>10</v>
      </c>
      <c r="L39" t="s">
        <v>51</v>
      </c>
    </row>
    <row r="40" spans="1:12" x14ac:dyDescent="0.25">
      <c r="A40" s="22" t="s">
        <v>52</v>
      </c>
      <c r="B40" s="19" t="s">
        <v>53</v>
      </c>
      <c r="C40" s="5">
        <v>10.34</v>
      </c>
      <c r="D40" s="53">
        <v>0</v>
      </c>
      <c r="E40" s="68">
        <v>1</v>
      </c>
      <c r="J40" s="83" t="s">
        <v>54</v>
      </c>
      <c r="K40" s="86">
        <v>0</v>
      </c>
      <c r="L40" t="s">
        <v>51</v>
      </c>
    </row>
    <row r="41" spans="1:12" x14ac:dyDescent="0.25">
      <c r="A41" s="22" t="s">
        <v>55</v>
      </c>
      <c r="B41" s="19" t="s">
        <v>56</v>
      </c>
      <c r="C41" s="5">
        <v>2.2200000000000002</v>
      </c>
      <c r="D41" s="53">
        <v>0</v>
      </c>
      <c r="E41" s="68">
        <v>0.33333333333333331</v>
      </c>
      <c r="J41" s="82" t="s">
        <v>57</v>
      </c>
      <c r="K41" s="85">
        <v>1868.54</v>
      </c>
      <c r="L41" t="s">
        <v>58</v>
      </c>
    </row>
    <row r="42" spans="1:12" x14ac:dyDescent="0.25">
      <c r="A42" s="22" t="s">
        <v>59</v>
      </c>
      <c r="B42" s="19" t="s">
        <v>60</v>
      </c>
      <c r="C42" s="5">
        <v>61.6</v>
      </c>
      <c r="D42" s="53">
        <v>309.45</v>
      </c>
      <c r="E42" s="68">
        <v>1</v>
      </c>
      <c r="J42" s="82" t="s">
        <v>61</v>
      </c>
      <c r="K42" s="85">
        <v>1465.04</v>
      </c>
      <c r="L42" t="s">
        <v>62</v>
      </c>
    </row>
    <row r="43" spans="1:12" x14ac:dyDescent="0.25">
      <c r="A43" s="22" t="s">
        <v>63</v>
      </c>
      <c r="B43" s="19" t="s">
        <v>64</v>
      </c>
      <c r="C43" s="5">
        <v>23.840000000000003</v>
      </c>
      <c r="D43" s="53">
        <v>0</v>
      </c>
      <c r="E43" s="68">
        <v>1</v>
      </c>
      <c r="J43" s="83" t="s">
        <v>65</v>
      </c>
      <c r="K43" s="86">
        <f>GlobalARepartirSansMSEtSansVeeam</f>
        <v>4894.025555555555</v>
      </c>
      <c r="L43" t="s">
        <v>66</v>
      </c>
    </row>
    <row r="44" spans="1:12" x14ac:dyDescent="0.25">
      <c r="A44" s="22" t="s">
        <v>67</v>
      </c>
      <c r="B44" s="19" t="s">
        <v>68</v>
      </c>
      <c r="C44" s="5">
        <v>4.82</v>
      </c>
      <c r="D44" s="53">
        <v>0</v>
      </c>
      <c r="E44" s="68">
        <v>1</v>
      </c>
      <c r="J44" s="84" t="s">
        <v>69</v>
      </c>
      <c r="K44" s="87">
        <f>SUM(K37:K43)</f>
        <v>9108.7655555555539</v>
      </c>
    </row>
    <row r="45" spans="1:12" x14ac:dyDescent="0.25">
      <c r="A45" s="21" t="s">
        <v>70</v>
      </c>
      <c r="C45" s="5">
        <v>14.430000000000001</v>
      </c>
      <c r="D45" s="53">
        <v>0</v>
      </c>
      <c r="E45" s="68">
        <v>3</v>
      </c>
    </row>
    <row r="46" spans="1:12" x14ac:dyDescent="0.25">
      <c r="A46" s="22" t="s">
        <v>71</v>
      </c>
      <c r="B46" s="19" t="s">
        <v>72</v>
      </c>
      <c r="C46" s="5">
        <v>5.04</v>
      </c>
      <c r="D46" s="53">
        <v>0</v>
      </c>
      <c r="E46" s="68">
        <v>1</v>
      </c>
    </row>
    <row r="47" spans="1:12" x14ac:dyDescent="0.25">
      <c r="A47" s="22" t="s">
        <v>73</v>
      </c>
      <c r="B47" s="19" t="s">
        <v>74</v>
      </c>
      <c r="C47" s="5">
        <v>4.8100000000000005</v>
      </c>
      <c r="D47" s="53">
        <v>0</v>
      </c>
      <c r="E47" s="68">
        <v>1</v>
      </c>
    </row>
    <row r="48" spans="1:12" x14ac:dyDescent="0.25">
      <c r="A48" s="22" t="s">
        <v>75</v>
      </c>
      <c r="B48" s="19" t="s">
        <v>76</v>
      </c>
      <c r="C48" s="5">
        <v>4.58</v>
      </c>
      <c r="D48" s="53">
        <v>0</v>
      </c>
      <c r="E48" s="68">
        <v>1</v>
      </c>
    </row>
    <row r="49" spans="1:5" x14ac:dyDescent="0.25">
      <c r="A49" s="21" t="s">
        <v>13</v>
      </c>
      <c r="C49" s="5">
        <v>5.5149999999999997</v>
      </c>
      <c r="D49" s="53">
        <v>0</v>
      </c>
      <c r="E49" s="68">
        <v>0.5</v>
      </c>
    </row>
    <row r="50" spans="1:5" x14ac:dyDescent="0.25">
      <c r="A50" s="22" t="s">
        <v>77</v>
      </c>
      <c r="B50" s="19" t="s">
        <v>78</v>
      </c>
      <c r="C50" s="5">
        <v>5.5149999999999997</v>
      </c>
      <c r="D50" s="53">
        <v>0</v>
      </c>
      <c r="E50" s="68">
        <v>0.5</v>
      </c>
    </row>
    <row r="51" spans="1:5" x14ac:dyDescent="0.25">
      <c r="A51" s="21" t="s">
        <v>79</v>
      </c>
      <c r="C51" s="5">
        <v>1.26</v>
      </c>
      <c r="D51" s="53">
        <v>0</v>
      </c>
      <c r="E51" s="68">
        <v>0.5</v>
      </c>
    </row>
    <row r="52" spans="1:5" x14ac:dyDescent="0.25">
      <c r="A52" s="22" t="s">
        <v>80</v>
      </c>
      <c r="B52" s="19" t="s">
        <v>81</v>
      </c>
      <c r="C52" s="5">
        <v>1.26</v>
      </c>
      <c r="D52" s="53">
        <v>0</v>
      </c>
      <c r="E52" s="68">
        <v>0.5</v>
      </c>
    </row>
    <row r="53" spans="1:5" x14ac:dyDescent="0.25">
      <c r="A53" s="20" t="s">
        <v>1364</v>
      </c>
      <c r="C53" s="5">
        <v>5.73</v>
      </c>
      <c r="D53" s="53">
        <v>0</v>
      </c>
      <c r="E53" s="68">
        <v>1</v>
      </c>
    </row>
    <row r="54" spans="1:5" x14ac:dyDescent="0.25">
      <c r="A54" s="21" t="s">
        <v>6</v>
      </c>
      <c r="C54" s="5">
        <v>5.73</v>
      </c>
      <c r="D54" s="53">
        <v>0</v>
      </c>
      <c r="E54" s="68">
        <v>1</v>
      </c>
    </row>
    <row r="55" spans="1:5" x14ac:dyDescent="0.25">
      <c r="A55" s="22" t="s">
        <v>82</v>
      </c>
      <c r="B55" s="19" t="s">
        <v>23</v>
      </c>
      <c r="C55" s="5">
        <v>5.73</v>
      </c>
      <c r="D55" s="53">
        <v>0</v>
      </c>
      <c r="E55" s="68">
        <v>1</v>
      </c>
    </row>
    <row r="56" spans="1:5" x14ac:dyDescent="0.25">
      <c r="A56" s="19" t="s">
        <v>83</v>
      </c>
      <c r="C56" s="5">
        <v>4.4400000000000004</v>
      </c>
      <c r="D56" s="53">
        <v>0</v>
      </c>
      <c r="E56" s="68">
        <v>0.66666666666666663</v>
      </c>
    </row>
    <row r="57" spans="1:5" x14ac:dyDescent="0.25">
      <c r="A57" s="20" t="s">
        <v>1365</v>
      </c>
      <c r="C57" s="5">
        <v>2.2200000000000002</v>
      </c>
      <c r="D57" s="53">
        <v>0</v>
      </c>
      <c r="E57" s="68">
        <v>0.33333333333333331</v>
      </c>
    </row>
    <row r="58" spans="1:5" x14ac:dyDescent="0.25">
      <c r="A58" s="21" t="s">
        <v>84</v>
      </c>
      <c r="C58" s="5">
        <v>2.2200000000000002</v>
      </c>
      <c r="D58" s="53">
        <v>0</v>
      </c>
      <c r="E58" s="68">
        <v>0.33333333333333331</v>
      </c>
    </row>
    <row r="59" spans="1:5" x14ac:dyDescent="0.25">
      <c r="A59" s="22" t="s">
        <v>55</v>
      </c>
      <c r="B59" s="19" t="s">
        <v>23</v>
      </c>
      <c r="C59" s="5">
        <v>2.2200000000000002</v>
      </c>
      <c r="D59" s="53">
        <v>0</v>
      </c>
      <c r="E59" s="68">
        <v>0.33333333333333331</v>
      </c>
    </row>
    <row r="60" spans="1:5" x14ac:dyDescent="0.25">
      <c r="A60" s="20" t="s">
        <v>1366</v>
      </c>
      <c r="C60" s="5">
        <v>2.2200000000000002</v>
      </c>
      <c r="D60" s="53">
        <v>0</v>
      </c>
      <c r="E60" s="68">
        <v>0.33333333333333331</v>
      </c>
    </row>
    <row r="61" spans="1:5" x14ac:dyDescent="0.25">
      <c r="A61" s="21" t="s">
        <v>84</v>
      </c>
      <c r="C61" s="5">
        <v>2.2200000000000002</v>
      </c>
      <c r="D61" s="53">
        <v>0</v>
      </c>
      <c r="E61" s="68">
        <v>0.33333333333333331</v>
      </c>
    </row>
    <row r="62" spans="1:5" x14ac:dyDescent="0.25">
      <c r="A62" s="22" t="s">
        <v>55</v>
      </c>
      <c r="B62" s="19" t="s">
        <v>23</v>
      </c>
      <c r="C62" s="5">
        <v>2.2200000000000002</v>
      </c>
      <c r="D62" s="53">
        <v>0</v>
      </c>
      <c r="E62" s="68">
        <v>0.33333333333333331</v>
      </c>
    </row>
    <row r="63" spans="1:5" x14ac:dyDescent="0.25">
      <c r="A63" s="19" t="s">
        <v>85</v>
      </c>
      <c r="C63" s="5">
        <v>24.425000000000004</v>
      </c>
      <c r="D63" s="53">
        <v>0</v>
      </c>
      <c r="E63" s="68">
        <v>6</v>
      </c>
    </row>
    <row r="64" spans="1:5" x14ac:dyDescent="0.25">
      <c r="A64" s="20" t="s">
        <v>1367</v>
      </c>
      <c r="C64" s="5">
        <v>24.425000000000004</v>
      </c>
      <c r="D64" s="53">
        <v>0</v>
      </c>
      <c r="E64" s="68">
        <v>6</v>
      </c>
    </row>
    <row r="65" spans="1:5" x14ac:dyDescent="0.25">
      <c r="A65" s="21" t="s">
        <v>6</v>
      </c>
      <c r="C65" s="5">
        <v>10.32</v>
      </c>
      <c r="D65" s="53">
        <v>0</v>
      </c>
      <c r="E65" s="68">
        <v>2</v>
      </c>
    </row>
    <row r="66" spans="1:5" x14ac:dyDescent="0.25">
      <c r="A66" s="22" t="s">
        <v>86</v>
      </c>
      <c r="B66" s="19" t="s">
        <v>23</v>
      </c>
      <c r="C66" s="5">
        <v>2.52</v>
      </c>
      <c r="D66" s="53">
        <v>0</v>
      </c>
      <c r="E66" s="68">
        <v>1</v>
      </c>
    </row>
    <row r="67" spans="1:5" x14ac:dyDescent="0.25">
      <c r="A67" s="22" t="s">
        <v>87</v>
      </c>
      <c r="B67" s="19" t="s">
        <v>88</v>
      </c>
      <c r="C67" s="5">
        <v>7.8000000000000007</v>
      </c>
      <c r="D67" s="53">
        <v>0</v>
      </c>
      <c r="E67" s="68">
        <v>1</v>
      </c>
    </row>
    <row r="68" spans="1:5" x14ac:dyDescent="0.25">
      <c r="A68" s="21" t="s">
        <v>70</v>
      </c>
      <c r="C68" s="5">
        <v>10.205000000000002</v>
      </c>
      <c r="D68" s="53">
        <v>0</v>
      </c>
      <c r="E68" s="68">
        <v>3</v>
      </c>
    </row>
    <row r="69" spans="1:5" x14ac:dyDescent="0.25">
      <c r="A69" s="22" t="s">
        <v>80</v>
      </c>
      <c r="B69" s="19" t="s">
        <v>89</v>
      </c>
      <c r="C69" s="5">
        <v>1.26</v>
      </c>
      <c r="D69" s="53">
        <v>0</v>
      </c>
      <c r="E69" s="68">
        <v>0.5</v>
      </c>
    </row>
    <row r="70" spans="1:5" x14ac:dyDescent="0.25">
      <c r="A70" s="22" t="s">
        <v>90</v>
      </c>
      <c r="B70" s="19" t="s">
        <v>23</v>
      </c>
      <c r="C70" s="5">
        <v>2.9850000000000003</v>
      </c>
      <c r="D70" s="53">
        <v>0</v>
      </c>
      <c r="E70" s="68">
        <v>0.5</v>
      </c>
    </row>
    <row r="71" spans="1:5" x14ac:dyDescent="0.25">
      <c r="A71" s="22" t="s">
        <v>91</v>
      </c>
      <c r="B71" s="19" t="s">
        <v>23</v>
      </c>
      <c r="C71" s="5">
        <v>2.52</v>
      </c>
      <c r="D71" s="53">
        <v>0</v>
      </c>
      <c r="E71" s="68">
        <v>1</v>
      </c>
    </row>
    <row r="72" spans="1:5" x14ac:dyDescent="0.25">
      <c r="A72" s="22" t="s">
        <v>92</v>
      </c>
      <c r="B72" s="19" t="s">
        <v>23</v>
      </c>
      <c r="C72" s="5">
        <v>3.4400000000000004</v>
      </c>
      <c r="D72" s="53">
        <v>0</v>
      </c>
      <c r="E72" s="68">
        <v>1</v>
      </c>
    </row>
    <row r="73" spans="1:5" x14ac:dyDescent="0.25">
      <c r="A73" s="21" t="s">
        <v>93</v>
      </c>
      <c r="C73" s="5">
        <v>3.9000000000000004</v>
      </c>
      <c r="D73" s="53">
        <v>0</v>
      </c>
      <c r="E73" s="68">
        <v>1</v>
      </c>
    </row>
    <row r="74" spans="1:5" x14ac:dyDescent="0.25">
      <c r="A74" s="22" t="s">
        <v>94</v>
      </c>
      <c r="B74" s="19" t="s">
        <v>23</v>
      </c>
      <c r="C74" s="5">
        <v>3.9000000000000004</v>
      </c>
      <c r="D74" s="53">
        <v>0</v>
      </c>
      <c r="E74" s="68">
        <v>1</v>
      </c>
    </row>
    <row r="75" spans="1:5" x14ac:dyDescent="0.25">
      <c r="A75" s="19" t="s">
        <v>95</v>
      </c>
      <c r="C75" s="5">
        <v>40.090000000000003</v>
      </c>
      <c r="D75" s="53">
        <v>0</v>
      </c>
      <c r="E75" s="68">
        <v>1</v>
      </c>
    </row>
    <row r="76" spans="1:5" x14ac:dyDescent="0.25">
      <c r="A76" s="20" t="s">
        <v>1368</v>
      </c>
      <c r="C76" s="5">
        <v>40.090000000000003</v>
      </c>
      <c r="D76" s="53">
        <v>0</v>
      </c>
      <c r="E76" s="68">
        <v>1</v>
      </c>
    </row>
    <row r="77" spans="1:5" x14ac:dyDescent="0.25">
      <c r="A77" s="21" t="s">
        <v>6</v>
      </c>
      <c r="C77" s="5">
        <v>40.090000000000003</v>
      </c>
      <c r="D77" s="53">
        <v>0</v>
      </c>
      <c r="E77" s="68">
        <v>1</v>
      </c>
    </row>
    <row r="78" spans="1:5" x14ac:dyDescent="0.25">
      <c r="A78" s="22" t="s">
        <v>96</v>
      </c>
      <c r="B78" s="19" t="s">
        <v>23</v>
      </c>
      <c r="C78" s="5">
        <v>40.090000000000003</v>
      </c>
      <c r="D78" s="53">
        <v>0</v>
      </c>
      <c r="E78" s="68">
        <v>1</v>
      </c>
    </row>
    <row r="79" spans="1:5" x14ac:dyDescent="0.25">
      <c r="A79" s="19" t="s">
        <v>97</v>
      </c>
      <c r="C79" s="5">
        <v>183.48333333333335</v>
      </c>
      <c r="D79" s="53">
        <v>0</v>
      </c>
      <c r="E79" s="68">
        <v>3.3333333333333335</v>
      </c>
    </row>
    <row r="80" spans="1:5" x14ac:dyDescent="0.25">
      <c r="A80" s="20" t="s">
        <v>98</v>
      </c>
      <c r="C80" s="5">
        <v>14.7</v>
      </c>
      <c r="D80" s="53">
        <v>0</v>
      </c>
      <c r="E80" s="68">
        <v>1</v>
      </c>
    </row>
    <row r="81" spans="1:5" x14ac:dyDescent="0.25">
      <c r="A81" s="21" t="s">
        <v>93</v>
      </c>
      <c r="C81" s="5">
        <v>14.7</v>
      </c>
      <c r="D81" s="53">
        <v>0</v>
      </c>
      <c r="E81" s="68">
        <v>1</v>
      </c>
    </row>
    <row r="82" spans="1:5" x14ac:dyDescent="0.25">
      <c r="A82" s="22" t="s">
        <v>99</v>
      </c>
      <c r="B82" s="19" t="s">
        <v>23</v>
      </c>
      <c r="C82" s="5">
        <v>14.7</v>
      </c>
      <c r="D82" s="53">
        <v>0</v>
      </c>
      <c r="E82" s="68">
        <v>1</v>
      </c>
    </row>
    <row r="83" spans="1:5" x14ac:dyDescent="0.25">
      <c r="A83" s="20" t="s">
        <v>100</v>
      </c>
      <c r="C83" s="5">
        <v>76.916666666666671</v>
      </c>
      <c r="D83" s="53">
        <v>0</v>
      </c>
      <c r="E83" s="68">
        <v>1.1666666666666665</v>
      </c>
    </row>
    <row r="84" spans="1:5" x14ac:dyDescent="0.25">
      <c r="A84" s="21" t="s">
        <v>93</v>
      </c>
      <c r="C84" s="5">
        <v>76.916666666666671</v>
      </c>
      <c r="D84" s="53">
        <v>0</v>
      </c>
      <c r="E84" s="68">
        <v>1.1666666666666665</v>
      </c>
    </row>
    <row r="85" spans="1:5" x14ac:dyDescent="0.25">
      <c r="A85" s="22" t="s">
        <v>101</v>
      </c>
      <c r="B85" s="19" t="s">
        <v>23</v>
      </c>
      <c r="C85" s="5">
        <v>9.0333333333333332</v>
      </c>
      <c r="D85" s="53">
        <v>0</v>
      </c>
      <c r="E85" s="68">
        <v>0.33333333333333331</v>
      </c>
    </row>
    <row r="86" spans="1:5" x14ac:dyDescent="0.25">
      <c r="A86" s="22" t="s">
        <v>102</v>
      </c>
      <c r="B86" s="19" t="s">
        <v>23</v>
      </c>
      <c r="C86" s="5">
        <v>23.983333333333334</v>
      </c>
      <c r="D86" s="53">
        <v>0</v>
      </c>
      <c r="E86" s="68">
        <v>0.33333333333333331</v>
      </c>
    </row>
    <row r="87" spans="1:5" x14ac:dyDescent="0.25">
      <c r="A87" s="22" t="s">
        <v>103</v>
      </c>
      <c r="B87" s="19" t="s">
        <v>23</v>
      </c>
      <c r="C87" s="5">
        <v>43.900000000000006</v>
      </c>
      <c r="D87" s="53">
        <v>0</v>
      </c>
      <c r="E87" s="68">
        <v>0.5</v>
      </c>
    </row>
    <row r="88" spans="1:5" x14ac:dyDescent="0.25">
      <c r="A88" s="20" t="s">
        <v>104</v>
      </c>
      <c r="C88" s="5">
        <v>67.88333333333334</v>
      </c>
      <c r="D88" s="53">
        <v>0</v>
      </c>
      <c r="E88" s="68">
        <v>0.83333333333333326</v>
      </c>
    </row>
    <row r="89" spans="1:5" x14ac:dyDescent="0.25">
      <c r="A89" s="21" t="s">
        <v>6</v>
      </c>
      <c r="C89" s="5">
        <v>67.88333333333334</v>
      </c>
      <c r="D89" s="53">
        <v>0</v>
      </c>
      <c r="E89" s="68">
        <v>0.83333333333333326</v>
      </c>
    </row>
    <row r="90" spans="1:5" x14ac:dyDescent="0.25">
      <c r="A90" s="22" t="s">
        <v>102</v>
      </c>
      <c r="B90" s="19" t="s">
        <v>23</v>
      </c>
      <c r="C90" s="5">
        <v>23.983333333333334</v>
      </c>
      <c r="D90" s="53">
        <v>0</v>
      </c>
      <c r="E90" s="68">
        <v>0.33333333333333331</v>
      </c>
    </row>
    <row r="91" spans="1:5" x14ac:dyDescent="0.25">
      <c r="A91" s="22" t="s">
        <v>103</v>
      </c>
      <c r="B91" s="19" t="s">
        <v>23</v>
      </c>
      <c r="C91" s="5">
        <v>43.900000000000006</v>
      </c>
      <c r="D91" s="53">
        <v>0</v>
      </c>
      <c r="E91" s="68">
        <v>0.5</v>
      </c>
    </row>
    <row r="92" spans="1:5" x14ac:dyDescent="0.25">
      <c r="A92" s="20" t="s">
        <v>105</v>
      </c>
      <c r="C92" s="5">
        <v>23.983333333333334</v>
      </c>
      <c r="D92" s="53">
        <v>0</v>
      </c>
      <c r="E92" s="68">
        <v>0.33333333333333331</v>
      </c>
    </row>
    <row r="93" spans="1:5" x14ac:dyDescent="0.25">
      <c r="A93" s="21" t="s">
        <v>6</v>
      </c>
      <c r="C93" s="5">
        <v>23.983333333333334</v>
      </c>
      <c r="D93" s="53">
        <v>0</v>
      </c>
      <c r="E93" s="68">
        <v>0.33333333333333331</v>
      </c>
    </row>
    <row r="94" spans="1:5" x14ac:dyDescent="0.25">
      <c r="A94" s="22" t="s">
        <v>102</v>
      </c>
      <c r="B94" s="19" t="s">
        <v>23</v>
      </c>
      <c r="C94" s="5">
        <v>23.983333333333334</v>
      </c>
      <c r="D94" s="53">
        <v>0</v>
      </c>
      <c r="E94" s="68">
        <v>0.33333333333333331</v>
      </c>
    </row>
    <row r="95" spans="1:5" x14ac:dyDescent="0.25">
      <c r="A95" s="19" t="s">
        <v>106</v>
      </c>
      <c r="C95" s="5">
        <v>37.033333333333339</v>
      </c>
      <c r="D95" s="53">
        <v>0</v>
      </c>
      <c r="E95" s="68">
        <v>2.3333333333333335</v>
      </c>
    </row>
    <row r="96" spans="1:5" x14ac:dyDescent="0.25">
      <c r="A96" s="20" t="s">
        <v>107</v>
      </c>
      <c r="C96" s="5">
        <v>12.400000000000002</v>
      </c>
      <c r="D96" s="53">
        <v>0</v>
      </c>
      <c r="E96" s="68">
        <v>1</v>
      </c>
    </row>
    <row r="97" spans="1:5" x14ac:dyDescent="0.25">
      <c r="A97" s="21" t="s">
        <v>6</v>
      </c>
      <c r="C97" s="5">
        <v>12.400000000000002</v>
      </c>
      <c r="D97" s="53">
        <v>0</v>
      </c>
      <c r="E97" s="68">
        <v>1</v>
      </c>
    </row>
    <row r="98" spans="1:5" x14ac:dyDescent="0.25">
      <c r="A98" s="22" t="s">
        <v>108</v>
      </c>
      <c r="B98" s="19" t="s">
        <v>23</v>
      </c>
      <c r="C98" s="5">
        <v>12.400000000000002</v>
      </c>
      <c r="D98" s="53">
        <v>0</v>
      </c>
      <c r="E98" s="68">
        <v>1</v>
      </c>
    </row>
    <row r="99" spans="1:5" x14ac:dyDescent="0.25">
      <c r="A99" s="20" t="s">
        <v>109</v>
      </c>
      <c r="C99" s="5">
        <v>15.600000000000001</v>
      </c>
      <c r="D99" s="53">
        <v>0</v>
      </c>
      <c r="E99" s="68">
        <v>1</v>
      </c>
    </row>
    <row r="100" spans="1:5" x14ac:dyDescent="0.25">
      <c r="A100" s="21" t="s">
        <v>6</v>
      </c>
      <c r="C100" s="5">
        <v>15.600000000000001</v>
      </c>
      <c r="D100" s="53">
        <v>0</v>
      </c>
      <c r="E100" s="68">
        <v>1</v>
      </c>
    </row>
    <row r="101" spans="1:5" x14ac:dyDescent="0.25">
      <c r="A101" s="22" t="s">
        <v>110</v>
      </c>
      <c r="B101" s="19" t="s">
        <v>23</v>
      </c>
      <c r="C101" s="5">
        <v>15.600000000000001</v>
      </c>
      <c r="D101" s="53">
        <v>0</v>
      </c>
      <c r="E101" s="68">
        <v>1</v>
      </c>
    </row>
    <row r="102" spans="1:5" x14ac:dyDescent="0.25">
      <c r="A102" s="20" t="s">
        <v>111</v>
      </c>
      <c r="C102" s="5">
        <v>9.0333333333333332</v>
      </c>
      <c r="D102" s="53">
        <v>0</v>
      </c>
      <c r="E102" s="68">
        <v>0.33333333333333331</v>
      </c>
    </row>
    <row r="103" spans="1:5" x14ac:dyDescent="0.25">
      <c r="A103" s="21" t="s">
        <v>93</v>
      </c>
      <c r="C103" s="5">
        <v>9.0333333333333332</v>
      </c>
      <c r="D103" s="53">
        <v>0</v>
      </c>
      <c r="E103" s="68">
        <v>0.33333333333333331</v>
      </c>
    </row>
    <row r="104" spans="1:5" x14ac:dyDescent="0.25">
      <c r="A104" s="22" t="s">
        <v>101</v>
      </c>
      <c r="B104" s="19" t="s">
        <v>23</v>
      </c>
      <c r="C104" s="5">
        <v>9.0333333333333332</v>
      </c>
      <c r="D104" s="53">
        <v>0</v>
      </c>
      <c r="E104" s="68">
        <v>0.33333333333333331</v>
      </c>
    </row>
    <row r="105" spans="1:5" x14ac:dyDescent="0.25">
      <c r="A105" s="19" t="s">
        <v>112</v>
      </c>
      <c r="C105" s="5">
        <v>214.0333333333333</v>
      </c>
      <c r="D105" s="53">
        <v>0</v>
      </c>
      <c r="E105" s="68">
        <v>7.0333333333333314</v>
      </c>
    </row>
    <row r="106" spans="1:5" x14ac:dyDescent="0.25">
      <c r="A106" s="20" t="s">
        <v>113</v>
      </c>
      <c r="C106" s="5">
        <v>18.919999999999998</v>
      </c>
      <c r="D106" s="53">
        <v>0</v>
      </c>
      <c r="E106" s="68">
        <v>0.2</v>
      </c>
    </row>
    <row r="107" spans="1:5" x14ac:dyDescent="0.25">
      <c r="A107" s="21" t="s">
        <v>84</v>
      </c>
      <c r="C107" s="5">
        <v>18.919999999999998</v>
      </c>
      <c r="D107" s="53">
        <v>0</v>
      </c>
      <c r="E107" s="68">
        <v>0.2</v>
      </c>
    </row>
    <row r="108" spans="1:5" x14ac:dyDescent="0.25">
      <c r="A108" s="22" t="s">
        <v>114</v>
      </c>
      <c r="B108" s="19" t="s">
        <v>23</v>
      </c>
      <c r="C108" s="5">
        <v>18.919999999999998</v>
      </c>
      <c r="D108" s="53">
        <v>0</v>
      </c>
      <c r="E108" s="68">
        <v>0.2</v>
      </c>
    </row>
    <row r="109" spans="1:5" x14ac:dyDescent="0.25">
      <c r="A109" s="20" t="s">
        <v>115</v>
      </c>
      <c r="C109" s="5">
        <v>25.450000000000003</v>
      </c>
      <c r="D109" s="53">
        <v>0</v>
      </c>
      <c r="E109" s="68">
        <v>1</v>
      </c>
    </row>
    <row r="110" spans="1:5" x14ac:dyDescent="0.25">
      <c r="A110" s="21" t="s">
        <v>6</v>
      </c>
      <c r="C110" s="5">
        <v>25.450000000000003</v>
      </c>
      <c r="D110" s="53">
        <v>0</v>
      </c>
      <c r="E110" s="68">
        <v>1</v>
      </c>
    </row>
    <row r="111" spans="1:5" x14ac:dyDescent="0.25">
      <c r="A111" s="22" t="s">
        <v>116</v>
      </c>
      <c r="B111" s="19" t="s">
        <v>23</v>
      </c>
      <c r="C111" s="5">
        <v>25.450000000000003</v>
      </c>
      <c r="D111" s="53">
        <v>0</v>
      </c>
      <c r="E111" s="68">
        <v>1</v>
      </c>
    </row>
    <row r="112" spans="1:5" x14ac:dyDescent="0.25">
      <c r="A112" s="20" t="s">
        <v>117</v>
      </c>
      <c r="C112" s="5">
        <v>18.919999999999998</v>
      </c>
      <c r="D112" s="53">
        <v>0</v>
      </c>
      <c r="E112" s="68">
        <v>0.2</v>
      </c>
    </row>
    <row r="113" spans="1:5" x14ac:dyDescent="0.25">
      <c r="A113" s="21" t="s">
        <v>84</v>
      </c>
      <c r="C113" s="5">
        <v>18.919999999999998</v>
      </c>
      <c r="D113" s="53">
        <v>0</v>
      </c>
      <c r="E113" s="68">
        <v>0.2</v>
      </c>
    </row>
    <row r="114" spans="1:5" x14ac:dyDescent="0.25">
      <c r="A114" s="22" t="s">
        <v>114</v>
      </c>
      <c r="B114" s="19" t="s">
        <v>23</v>
      </c>
      <c r="C114" s="5">
        <v>18.919999999999998</v>
      </c>
      <c r="D114" s="53">
        <v>0</v>
      </c>
      <c r="E114" s="68">
        <v>0.2</v>
      </c>
    </row>
    <row r="115" spans="1:5" x14ac:dyDescent="0.25">
      <c r="A115" s="20" t="s">
        <v>118</v>
      </c>
      <c r="C115" s="5">
        <v>18.919999999999998</v>
      </c>
      <c r="D115" s="53">
        <v>0</v>
      </c>
      <c r="E115" s="68">
        <v>0.2</v>
      </c>
    </row>
    <row r="116" spans="1:5" x14ac:dyDescent="0.25">
      <c r="A116" s="21" t="s">
        <v>84</v>
      </c>
      <c r="C116" s="5">
        <v>18.919999999999998</v>
      </c>
      <c r="D116" s="53">
        <v>0</v>
      </c>
      <c r="E116" s="68">
        <v>0.2</v>
      </c>
    </row>
    <row r="117" spans="1:5" x14ac:dyDescent="0.25">
      <c r="A117" s="22" t="s">
        <v>114</v>
      </c>
      <c r="B117" s="19" t="s">
        <v>23</v>
      </c>
      <c r="C117" s="5">
        <v>18.919999999999998</v>
      </c>
      <c r="D117" s="53">
        <v>0</v>
      </c>
      <c r="E117" s="68">
        <v>0.2</v>
      </c>
    </row>
    <row r="118" spans="1:5" x14ac:dyDescent="0.25">
      <c r="A118" s="20" t="s">
        <v>119</v>
      </c>
      <c r="C118" s="5">
        <v>18.919999999999998</v>
      </c>
      <c r="D118" s="53">
        <v>0</v>
      </c>
      <c r="E118" s="68">
        <v>0.2</v>
      </c>
    </row>
    <row r="119" spans="1:5" x14ac:dyDescent="0.25">
      <c r="A119" s="21" t="s">
        <v>84</v>
      </c>
      <c r="C119" s="5">
        <v>18.919999999999998</v>
      </c>
      <c r="D119" s="53">
        <v>0</v>
      </c>
      <c r="E119" s="68">
        <v>0.2</v>
      </c>
    </row>
    <row r="120" spans="1:5" x14ac:dyDescent="0.25">
      <c r="A120" s="22" t="s">
        <v>114</v>
      </c>
      <c r="B120" s="19" t="s">
        <v>23</v>
      </c>
      <c r="C120" s="5">
        <v>18.919999999999998</v>
      </c>
      <c r="D120" s="53">
        <v>0</v>
      </c>
      <c r="E120" s="68">
        <v>0.2</v>
      </c>
    </row>
    <row r="121" spans="1:5" x14ac:dyDescent="0.25">
      <c r="A121" s="20" t="s">
        <v>120</v>
      </c>
      <c r="C121" s="5">
        <v>18.919999999999998</v>
      </c>
      <c r="D121" s="53">
        <v>0</v>
      </c>
      <c r="E121" s="68">
        <v>0.2</v>
      </c>
    </row>
    <row r="122" spans="1:5" x14ac:dyDescent="0.25">
      <c r="A122" s="21" t="s">
        <v>84</v>
      </c>
      <c r="C122" s="5">
        <v>18.919999999999998</v>
      </c>
      <c r="D122" s="53">
        <v>0</v>
      </c>
      <c r="E122" s="68">
        <v>0.2</v>
      </c>
    </row>
    <row r="123" spans="1:5" x14ac:dyDescent="0.25">
      <c r="A123" s="22" t="s">
        <v>114</v>
      </c>
      <c r="B123" s="19" t="s">
        <v>23</v>
      </c>
      <c r="C123" s="5">
        <v>18.919999999999998</v>
      </c>
      <c r="D123" s="53">
        <v>0</v>
      </c>
      <c r="E123" s="68">
        <v>0.2</v>
      </c>
    </row>
    <row r="124" spans="1:5" x14ac:dyDescent="0.25">
      <c r="A124" s="20" t="s">
        <v>121</v>
      </c>
      <c r="C124" s="5">
        <v>9.0333333333333332</v>
      </c>
      <c r="D124" s="53">
        <v>0</v>
      </c>
      <c r="E124" s="68">
        <v>0.33333333333333331</v>
      </c>
    </row>
    <row r="125" spans="1:5" x14ac:dyDescent="0.25">
      <c r="A125" s="21" t="s">
        <v>93</v>
      </c>
      <c r="C125" s="5">
        <v>9.0333333333333332</v>
      </c>
      <c r="D125" s="53">
        <v>0</v>
      </c>
      <c r="E125" s="68">
        <v>0.33333333333333331</v>
      </c>
    </row>
    <row r="126" spans="1:5" x14ac:dyDescent="0.25">
      <c r="A126" s="22" t="s">
        <v>101</v>
      </c>
      <c r="B126" s="19" t="s">
        <v>23</v>
      </c>
      <c r="C126" s="5">
        <v>9.0333333333333332</v>
      </c>
      <c r="D126" s="53">
        <v>0</v>
      </c>
      <c r="E126" s="68">
        <v>0.33333333333333331</v>
      </c>
    </row>
    <row r="127" spans="1:5" x14ac:dyDescent="0.25">
      <c r="A127" s="20" t="s">
        <v>122</v>
      </c>
      <c r="C127" s="5">
        <v>4.0400000000000009</v>
      </c>
      <c r="D127" s="53">
        <v>0</v>
      </c>
      <c r="E127" s="68">
        <v>0.1</v>
      </c>
    </row>
    <row r="128" spans="1:5" x14ac:dyDescent="0.25">
      <c r="A128" s="21" t="s">
        <v>93</v>
      </c>
      <c r="C128" s="5">
        <v>4.0400000000000009</v>
      </c>
      <c r="D128" s="53">
        <v>0</v>
      </c>
      <c r="E128" s="68">
        <v>0.1</v>
      </c>
    </row>
    <row r="129" spans="1:5" x14ac:dyDescent="0.25">
      <c r="A129" s="22" t="s">
        <v>123</v>
      </c>
      <c r="B129" s="19" t="s">
        <v>23</v>
      </c>
      <c r="C129" s="5">
        <v>4.0400000000000009</v>
      </c>
      <c r="D129" s="53">
        <v>0</v>
      </c>
      <c r="E129" s="68">
        <v>0.1</v>
      </c>
    </row>
    <row r="130" spans="1:5" x14ac:dyDescent="0.25">
      <c r="A130" s="20" t="s">
        <v>124</v>
      </c>
      <c r="C130" s="5">
        <v>38.67</v>
      </c>
      <c r="D130" s="53">
        <v>0</v>
      </c>
      <c r="E130" s="68">
        <v>2.1</v>
      </c>
    </row>
    <row r="131" spans="1:5" x14ac:dyDescent="0.25">
      <c r="A131" s="21" t="s">
        <v>93</v>
      </c>
      <c r="C131" s="5">
        <v>38.67</v>
      </c>
      <c r="D131" s="53">
        <v>0</v>
      </c>
      <c r="E131" s="68">
        <v>2.1</v>
      </c>
    </row>
    <row r="132" spans="1:5" x14ac:dyDescent="0.25">
      <c r="A132" s="22" t="s">
        <v>125</v>
      </c>
      <c r="B132" s="19" t="s">
        <v>23</v>
      </c>
      <c r="C132" s="5">
        <v>15.370000000000001</v>
      </c>
      <c r="D132" s="53">
        <v>0</v>
      </c>
      <c r="E132" s="68">
        <v>1</v>
      </c>
    </row>
    <row r="133" spans="1:5" x14ac:dyDescent="0.25">
      <c r="A133" s="22" t="s">
        <v>123</v>
      </c>
      <c r="B133" s="19" t="s">
        <v>23</v>
      </c>
      <c r="C133" s="5">
        <v>4.0400000000000009</v>
      </c>
      <c r="D133" s="53">
        <v>0</v>
      </c>
      <c r="E133" s="68">
        <v>0.1</v>
      </c>
    </row>
    <row r="134" spans="1:5" x14ac:dyDescent="0.25">
      <c r="A134" s="22" t="s">
        <v>126</v>
      </c>
      <c r="B134" s="19" t="s">
        <v>23</v>
      </c>
      <c r="C134" s="5">
        <v>19.260000000000002</v>
      </c>
      <c r="D134" s="53">
        <v>0</v>
      </c>
      <c r="E134" s="68">
        <v>1</v>
      </c>
    </row>
    <row r="135" spans="1:5" x14ac:dyDescent="0.25">
      <c r="A135" s="20" t="s">
        <v>127</v>
      </c>
      <c r="C135" s="5">
        <v>4.0400000000000009</v>
      </c>
      <c r="D135" s="53">
        <v>0</v>
      </c>
      <c r="E135" s="68">
        <v>0.1</v>
      </c>
    </row>
    <row r="136" spans="1:5" x14ac:dyDescent="0.25">
      <c r="A136" s="21" t="s">
        <v>93</v>
      </c>
      <c r="C136" s="5">
        <v>4.0400000000000009</v>
      </c>
      <c r="D136" s="53">
        <v>0</v>
      </c>
      <c r="E136" s="68">
        <v>0.1</v>
      </c>
    </row>
    <row r="137" spans="1:5" x14ac:dyDescent="0.25">
      <c r="A137" s="22" t="s">
        <v>123</v>
      </c>
      <c r="B137" s="19" t="s">
        <v>23</v>
      </c>
      <c r="C137" s="5">
        <v>4.0400000000000009</v>
      </c>
      <c r="D137" s="53">
        <v>0</v>
      </c>
      <c r="E137" s="68">
        <v>0.1</v>
      </c>
    </row>
    <row r="138" spans="1:5" x14ac:dyDescent="0.25">
      <c r="A138" s="20" t="s">
        <v>128</v>
      </c>
      <c r="C138" s="5">
        <v>4.0400000000000009</v>
      </c>
      <c r="D138" s="53">
        <v>0</v>
      </c>
      <c r="E138" s="68">
        <v>0.1</v>
      </c>
    </row>
    <row r="139" spans="1:5" x14ac:dyDescent="0.25">
      <c r="A139" s="21" t="s">
        <v>93</v>
      </c>
      <c r="C139" s="5">
        <v>4.0400000000000009</v>
      </c>
      <c r="D139" s="53">
        <v>0</v>
      </c>
      <c r="E139" s="68">
        <v>0.1</v>
      </c>
    </row>
    <row r="140" spans="1:5" x14ac:dyDescent="0.25">
      <c r="A140" s="22" t="s">
        <v>123</v>
      </c>
      <c r="B140" s="19" t="s">
        <v>23</v>
      </c>
      <c r="C140" s="5">
        <v>4.0400000000000009</v>
      </c>
      <c r="D140" s="53">
        <v>0</v>
      </c>
      <c r="E140" s="68">
        <v>0.1</v>
      </c>
    </row>
    <row r="141" spans="1:5" x14ac:dyDescent="0.25">
      <c r="A141" s="20" t="s">
        <v>129</v>
      </c>
      <c r="C141" s="5">
        <v>4.0400000000000009</v>
      </c>
      <c r="D141" s="53">
        <v>0</v>
      </c>
      <c r="E141" s="68">
        <v>0.1</v>
      </c>
    </row>
    <row r="142" spans="1:5" x14ac:dyDescent="0.25">
      <c r="A142" s="21" t="s">
        <v>93</v>
      </c>
      <c r="C142" s="5">
        <v>4.0400000000000009</v>
      </c>
      <c r="D142" s="53">
        <v>0</v>
      </c>
      <c r="E142" s="68">
        <v>0.1</v>
      </c>
    </row>
    <row r="143" spans="1:5" x14ac:dyDescent="0.25">
      <c r="A143" s="22" t="s">
        <v>123</v>
      </c>
      <c r="B143" s="19" t="s">
        <v>23</v>
      </c>
      <c r="C143" s="5">
        <v>4.0400000000000009</v>
      </c>
      <c r="D143" s="53">
        <v>0</v>
      </c>
      <c r="E143" s="68">
        <v>0.1</v>
      </c>
    </row>
    <row r="144" spans="1:5" x14ac:dyDescent="0.25">
      <c r="A144" s="20" t="s">
        <v>130</v>
      </c>
      <c r="C144" s="5">
        <v>4.0400000000000009</v>
      </c>
      <c r="D144" s="53">
        <v>0</v>
      </c>
      <c r="E144" s="68">
        <v>0.1</v>
      </c>
    </row>
    <row r="145" spans="1:5" x14ac:dyDescent="0.25">
      <c r="A145" s="21" t="s">
        <v>93</v>
      </c>
      <c r="C145" s="5">
        <v>4.0400000000000009</v>
      </c>
      <c r="D145" s="53">
        <v>0</v>
      </c>
      <c r="E145" s="68">
        <v>0.1</v>
      </c>
    </row>
    <row r="146" spans="1:5" x14ac:dyDescent="0.25">
      <c r="A146" s="22" t="s">
        <v>123</v>
      </c>
      <c r="B146" s="19" t="s">
        <v>23</v>
      </c>
      <c r="C146" s="5">
        <v>4.0400000000000009</v>
      </c>
      <c r="D146" s="53">
        <v>0</v>
      </c>
      <c r="E146" s="68">
        <v>0.1</v>
      </c>
    </row>
    <row r="147" spans="1:5" x14ac:dyDescent="0.25">
      <c r="A147" s="20" t="s">
        <v>131</v>
      </c>
      <c r="C147" s="5">
        <v>4.0400000000000009</v>
      </c>
      <c r="D147" s="53">
        <v>0</v>
      </c>
      <c r="E147" s="68">
        <v>0.1</v>
      </c>
    </row>
    <row r="148" spans="1:5" x14ac:dyDescent="0.25">
      <c r="A148" s="21" t="s">
        <v>93</v>
      </c>
      <c r="C148" s="5">
        <v>4.0400000000000009</v>
      </c>
      <c r="D148" s="53">
        <v>0</v>
      </c>
      <c r="E148" s="68">
        <v>0.1</v>
      </c>
    </row>
    <row r="149" spans="1:5" x14ac:dyDescent="0.25">
      <c r="A149" s="22" t="s">
        <v>123</v>
      </c>
      <c r="B149" s="19" t="s">
        <v>23</v>
      </c>
      <c r="C149" s="5">
        <v>4.0400000000000009</v>
      </c>
      <c r="D149" s="53">
        <v>0</v>
      </c>
      <c r="E149" s="68">
        <v>0.1</v>
      </c>
    </row>
    <row r="150" spans="1:5" x14ac:dyDescent="0.25">
      <c r="A150" s="20" t="s">
        <v>132</v>
      </c>
      <c r="C150" s="5">
        <v>22.04</v>
      </c>
      <c r="D150" s="53">
        <v>0</v>
      </c>
      <c r="E150" s="68">
        <v>2</v>
      </c>
    </row>
    <row r="151" spans="1:5" x14ac:dyDescent="0.25">
      <c r="A151" s="21" t="s">
        <v>84</v>
      </c>
      <c r="C151" s="5">
        <v>22.04</v>
      </c>
      <c r="D151" s="53">
        <v>0</v>
      </c>
      <c r="E151" s="68">
        <v>2</v>
      </c>
    </row>
    <row r="152" spans="1:5" x14ac:dyDescent="0.25">
      <c r="A152" s="22" t="s">
        <v>133</v>
      </c>
      <c r="B152" s="19" t="s">
        <v>23</v>
      </c>
      <c r="C152" s="5">
        <v>11.02</v>
      </c>
      <c r="D152" s="53">
        <v>0</v>
      </c>
      <c r="E152" s="68">
        <v>1</v>
      </c>
    </row>
    <row r="153" spans="1:5" x14ac:dyDescent="0.25">
      <c r="A153" s="22" t="s">
        <v>134</v>
      </c>
      <c r="B153" s="19" t="s">
        <v>23</v>
      </c>
      <c r="C153" s="5">
        <v>11.02</v>
      </c>
      <c r="D153" s="53">
        <v>0</v>
      </c>
      <c r="E153" s="68">
        <v>1</v>
      </c>
    </row>
    <row r="154" spans="1:5" x14ac:dyDescent="0.25">
      <c r="A154" s="19" t="s">
        <v>135</v>
      </c>
      <c r="C154" s="5">
        <v>43.2</v>
      </c>
      <c r="D154" s="53">
        <v>297.49</v>
      </c>
      <c r="E154" s="68">
        <v>1</v>
      </c>
    </row>
    <row r="155" spans="1:5" x14ac:dyDescent="0.25">
      <c r="A155" s="20" t="s">
        <v>136</v>
      </c>
      <c r="C155" s="5">
        <v>21.6</v>
      </c>
      <c r="D155" s="53">
        <v>148.745</v>
      </c>
      <c r="E155" s="68">
        <v>0.5</v>
      </c>
    </row>
    <row r="156" spans="1:5" x14ac:dyDescent="0.25">
      <c r="A156" s="21" t="s">
        <v>6</v>
      </c>
      <c r="C156" s="5">
        <v>21.6</v>
      </c>
      <c r="D156" s="53">
        <v>148.745</v>
      </c>
      <c r="E156" s="68">
        <v>0.5</v>
      </c>
    </row>
    <row r="157" spans="1:5" x14ac:dyDescent="0.25">
      <c r="A157" s="22" t="s">
        <v>137</v>
      </c>
      <c r="B157" s="19" t="s">
        <v>23</v>
      </c>
      <c r="C157" s="5">
        <v>21.6</v>
      </c>
      <c r="D157" s="53">
        <v>148.745</v>
      </c>
      <c r="E157" s="68">
        <v>0.5</v>
      </c>
    </row>
    <row r="158" spans="1:5" x14ac:dyDescent="0.25">
      <c r="A158" s="20" t="s">
        <v>138</v>
      </c>
      <c r="C158" s="5">
        <v>21.6</v>
      </c>
      <c r="D158" s="53">
        <v>148.745</v>
      </c>
      <c r="E158" s="68">
        <v>0.5</v>
      </c>
    </row>
    <row r="159" spans="1:5" x14ac:dyDescent="0.25">
      <c r="A159" s="21" t="s">
        <v>6</v>
      </c>
      <c r="C159" s="5">
        <v>21.6</v>
      </c>
      <c r="D159" s="53">
        <v>148.745</v>
      </c>
      <c r="E159" s="68">
        <v>0.5</v>
      </c>
    </row>
    <row r="160" spans="1:5" x14ac:dyDescent="0.25">
      <c r="A160" s="22" t="s">
        <v>137</v>
      </c>
      <c r="B160" s="19" t="s">
        <v>23</v>
      </c>
      <c r="C160" s="5">
        <v>21.6</v>
      </c>
      <c r="D160" s="53">
        <v>148.745</v>
      </c>
      <c r="E160" s="68">
        <v>0.5</v>
      </c>
    </row>
    <row r="161" spans="1:5" x14ac:dyDescent="0.25">
      <c r="A161" s="19" t="s">
        <v>139</v>
      </c>
      <c r="C161" s="5">
        <v>10</v>
      </c>
      <c r="D161" s="53">
        <v>0</v>
      </c>
      <c r="E161" s="68">
        <v>0</v>
      </c>
    </row>
    <row r="162" spans="1:5" x14ac:dyDescent="0.25">
      <c r="A162" s="20" t="s">
        <v>1369</v>
      </c>
      <c r="C162" s="5">
        <v>10</v>
      </c>
      <c r="D162" s="53">
        <v>0</v>
      </c>
      <c r="E162" s="68">
        <v>0</v>
      </c>
    </row>
    <row r="163" spans="1:5" x14ac:dyDescent="0.25">
      <c r="A163" s="21" t="s">
        <v>30</v>
      </c>
      <c r="C163" s="5">
        <v>10</v>
      </c>
      <c r="D163" s="53">
        <v>0</v>
      </c>
      <c r="E163" s="68">
        <v>0</v>
      </c>
    </row>
    <row r="164" spans="1:5" x14ac:dyDescent="0.25">
      <c r="A164" s="22" t="s">
        <v>140</v>
      </c>
      <c r="B164" s="19" t="s">
        <v>23</v>
      </c>
      <c r="C164" s="5">
        <v>10</v>
      </c>
      <c r="D164" s="53">
        <v>0</v>
      </c>
      <c r="E164" s="68">
        <v>0</v>
      </c>
    </row>
    <row r="165" spans="1:5" x14ac:dyDescent="0.25">
      <c r="A165" s="19" t="s">
        <v>141</v>
      </c>
      <c r="C165" s="5">
        <v>503.51500000000004</v>
      </c>
      <c r="D165" s="53">
        <v>239.20000000000002</v>
      </c>
      <c r="E165" s="68">
        <v>48.5</v>
      </c>
    </row>
    <row r="166" spans="1:5" x14ac:dyDescent="0.25">
      <c r="A166" s="20" t="s">
        <v>1370</v>
      </c>
      <c r="C166" s="5">
        <v>2.9800000000000004</v>
      </c>
      <c r="D166" s="53">
        <v>0</v>
      </c>
      <c r="E166" s="68">
        <v>1</v>
      </c>
    </row>
    <row r="167" spans="1:5" x14ac:dyDescent="0.25">
      <c r="A167" s="21" t="s">
        <v>9</v>
      </c>
      <c r="C167" s="5">
        <v>2.9800000000000004</v>
      </c>
      <c r="D167" s="53">
        <v>0</v>
      </c>
      <c r="E167" s="68">
        <v>1</v>
      </c>
    </row>
    <row r="168" spans="1:5" x14ac:dyDescent="0.25">
      <c r="A168" s="22" t="s">
        <v>142</v>
      </c>
      <c r="B168" s="19" t="s">
        <v>23</v>
      </c>
      <c r="C168" s="5">
        <v>2.9800000000000004</v>
      </c>
      <c r="D168" s="53">
        <v>0</v>
      </c>
      <c r="E168" s="68">
        <v>1</v>
      </c>
    </row>
    <row r="169" spans="1:5" x14ac:dyDescent="0.25">
      <c r="A169" s="20" t="s">
        <v>1371</v>
      </c>
      <c r="C169" s="5">
        <v>18.360000000000003</v>
      </c>
      <c r="D169" s="53">
        <v>0</v>
      </c>
      <c r="E169" s="68">
        <v>2</v>
      </c>
    </row>
    <row r="170" spans="1:5" x14ac:dyDescent="0.25">
      <c r="A170" s="21" t="s">
        <v>30</v>
      </c>
      <c r="C170" s="5">
        <v>18.360000000000003</v>
      </c>
      <c r="D170" s="53">
        <v>0</v>
      </c>
      <c r="E170" s="68">
        <v>2</v>
      </c>
    </row>
    <row r="171" spans="1:5" x14ac:dyDescent="0.25">
      <c r="A171" s="22" t="s">
        <v>143</v>
      </c>
      <c r="B171" s="19" t="s">
        <v>144</v>
      </c>
      <c r="C171" s="5">
        <v>12.400000000000002</v>
      </c>
      <c r="D171" s="53">
        <v>0</v>
      </c>
      <c r="E171" s="68">
        <v>1</v>
      </c>
    </row>
    <row r="172" spans="1:5" x14ac:dyDescent="0.25">
      <c r="A172" s="22" t="s">
        <v>145</v>
      </c>
      <c r="B172" s="19" t="s">
        <v>23</v>
      </c>
      <c r="C172" s="5">
        <v>5.9600000000000009</v>
      </c>
      <c r="D172" s="53">
        <v>0</v>
      </c>
      <c r="E172" s="68">
        <v>1</v>
      </c>
    </row>
    <row r="173" spans="1:5" x14ac:dyDescent="0.25">
      <c r="A173" s="20" t="s">
        <v>1372</v>
      </c>
      <c r="C173" s="5">
        <v>18.11</v>
      </c>
      <c r="D173" s="53">
        <v>0</v>
      </c>
      <c r="E173" s="68">
        <v>3</v>
      </c>
    </row>
    <row r="174" spans="1:5" x14ac:dyDescent="0.25">
      <c r="A174" s="21" t="s">
        <v>19</v>
      </c>
      <c r="C174" s="5">
        <v>12.84</v>
      </c>
      <c r="D174" s="53">
        <v>0</v>
      </c>
      <c r="E174" s="68">
        <v>2</v>
      </c>
    </row>
    <row r="175" spans="1:5" x14ac:dyDescent="0.25">
      <c r="A175" s="22" t="s">
        <v>146</v>
      </c>
      <c r="B175" s="19" t="s">
        <v>23</v>
      </c>
      <c r="C175" s="5">
        <v>6.42</v>
      </c>
      <c r="D175" s="53">
        <v>0</v>
      </c>
      <c r="E175" s="68">
        <v>1</v>
      </c>
    </row>
    <row r="176" spans="1:5" x14ac:dyDescent="0.25">
      <c r="A176" s="22" t="s">
        <v>147</v>
      </c>
      <c r="B176" s="19" t="s">
        <v>23</v>
      </c>
      <c r="C176" s="5">
        <v>6.42</v>
      </c>
      <c r="D176" s="53">
        <v>0</v>
      </c>
      <c r="E176" s="68">
        <v>1</v>
      </c>
    </row>
    <row r="177" spans="1:5" x14ac:dyDescent="0.25">
      <c r="A177" s="21" t="s">
        <v>30</v>
      </c>
      <c r="C177" s="5">
        <v>5.2700000000000005</v>
      </c>
      <c r="D177" s="53">
        <v>0</v>
      </c>
      <c r="E177" s="68">
        <v>1</v>
      </c>
    </row>
    <row r="178" spans="1:5" x14ac:dyDescent="0.25">
      <c r="A178" s="22" t="s">
        <v>148</v>
      </c>
      <c r="B178" s="19" t="s">
        <v>23</v>
      </c>
      <c r="C178" s="5">
        <v>5.2700000000000005</v>
      </c>
      <c r="D178" s="53">
        <v>0</v>
      </c>
      <c r="E178" s="68">
        <v>1</v>
      </c>
    </row>
    <row r="179" spans="1:5" x14ac:dyDescent="0.25">
      <c r="A179" s="20" t="s">
        <v>1373</v>
      </c>
      <c r="C179" s="5">
        <v>9.18</v>
      </c>
      <c r="D179" s="53">
        <v>0</v>
      </c>
      <c r="E179" s="68">
        <v>1</v>
      </c>
    </row>
    <row r="180" spans="1:5" x14ac:dyDescent="0.25">
      <c r="A180" s="21" t="s">
        <v>70</v>
      </c>
      <c r="C180" s="5">
        <v>9.18</v>
      </c>
      <c r="D180" s="53">
        <v>0</v>
      </c>
      <c r="E180" s="68">
        <v>1</v>
      </c>
    </row>
    <row r="181" spans="1:5" x14ac:dyDescent="0.25">
      <c r="A181" s="22" t="s">
        <v>149</v>
      </c>
      <c r="B181" s="19" t="s">
        <v>23</v>
      </c>
      <c r="C181" s="5">
        <v>9.18</v>
      </c>
      <c r="D181" s="53">
        <v>0</v>
      </c>
      <c r="E181" s="68">
        <v>1</v>
      </c>
    </row>
    <row r="182" spans="1:5" x14ac:dyDescent="0.25">
      <c r="A182" s="20" t="s">
        <v>1374</v>
      </c>
      <c r="C182" s="5">
        <v>9.65</v>
      </c>
      <c r="D182" s="53">
        <v>0</v>
      </c>
      <c r="E182" s="68">
        <v>1</v>
      </c>
    </row>
    <row r="183" spans="1:5" x14ac:dyDescent="0.25">
      <c r="A183" s="21" t="s">
        <v>26</v>
      </c>
      <c r="C183" s="5">
        <v>9.65</v>
      </c>
      <c r="D183" s="53">
        <v>0</v>
      </c>
      <c r="E183" s="68">
        <v>1</v>
      </c>
    </row>
    <row r="184" spans="1:5" x14ac:dyDescent="0.25">
      <c r="A184" s="22" t="s">
        <v>150</v>
      </c>
      <c r="B184" s="19" t="s">
        <v>23</v>
      </c>
      <c r="C184" s="5">
        <v>9.65</v>
      </c>
      <c r="D184" s="53">
        <v>0</v>
      </c>
      <c r="E184" s="68">
        <v>1</v>
      </c>
    </row>
    <row r="185" spans="1:5" x14ac:dyDescent="0.25">
      <c r="A185" s="20" t="s">
        <v>151</v>
      </c>
      <c r="C185" s="5">
        <v>186.65</v>
      </c>
      <c r="D185" s="53">
        <v>0</v>
      </c>
      <c r="E185" s="68">
        <v>15</v>
      </c>
    </row>
    <row r="186" spans="1:5" x14ac:dyDescent="0.25">
      <c r="A186" s="21" t="s">
        <v>9</v>
      </c>
      <c r="C186" s="5">
        <v>186.65</v>
      </c>
      <c r="D186" s="53">
        <v>0</v>
      </c>
      <c r="E186" s="68">
        <v>15</v>
      </c>
    </row>
    <row r="187" spans="1:5" x14ac:dyDescent="0.25">
      <c r="A187" s="22" t="s">
        <v>152</v>
      </c>
      <c r="B187" s="19" t="s">
        <v>23</v>
      </c>
      <c r="C187" s="5">
        <v>7.57</v>
      </c>
      <c r="D187" s="53">
        <v>0</v>
      </c>
      <c r="E187" s="68">
        <v>1</v>
      </c>
    </row>
    <row r="188" spans="1:5" x14ac:dyDescent="0.25">
      <c r="A188" s="22" t="s">
        <v>153</v>
      </c>
      <c r="B188" s="19" t="s">
        <v>23</v>
      </c>
      <c r="C188" s="5">
        <v>2.52</v>
      </c>
      <c r="D188" s="53">
        <v>0</v>
      </c>
      <c r="E188" s="68">
        <v>1</v>
      </c>
    </row>
    <row r="189" spans="1:5" x14ac:dyDescent="0.25">
      <c r="A189" s="22" t="s">
        <v>154</v>
      </c>
      <c r="B189" s="19" t="s">
        <v>23</v>
      </c>
      <c r="C189" s="5">
        <v>2.52</v>
      </c>
      <c r="D189" s="53">
        <v>0</v>
      </c>
      <c r="E189" s="68">
        <v>1</v>
      </c>
    </row>
    <row r="190" spans="1:5" x14ac:dyDescent="0.25">
      <c r="A190" s="22" t="s">
        <v>155</v>
      </c>
      <c r="B190" s="19" t="s">
        <v>23</v>
      </c>
      <c r="C190" s="5">
        <v>2.52</v>
      </c>
      <c r="D190" s="53">
        <v>0</v>
      </c>
      <c r="E190" s="68">
        <v>1</v>
      </c>
    </row>
    <row r="191" spans="1:5" x14ac:dyDescent="0.25">
      <c r="A191" s="22" t="s">
        <v>156</v>
      </c>
      <c r="B191" s="19" t="s">
        <v>157</v>
      </c>
      <c r="C191" s="5">
        <v>2.52</v>
      </c>
      <c r="D191" s="53">
        <v>0</v>
      </c>
      <c r="E191" s="68">
        <v>1</v>
      </c>
    </row>
    <row r="192" spans="1:5" x14ac:dyDescent="0.25">
      <c r="A192" s="22" t="s">
        <v>158</v>
      </c>
      <c r="B192" s="19" t="s">
        <v>23</v>
      </c>
      <c r="C192" s="5">
        <v>2.52</v>
      </c>
      <c r="D192" s="53">
        <v>0</v>
      </c>
      <c r="E192" s="68">
        <v>1</v>
      </c>
    </row>
    <row r="193" spans="1:5" x14ac:dyDescent="0.25">
      <c r="A193" s="22" t="s">
        <v>159</v>
      </c>
      <c r="B193" s="19" t="s">
        <v>23</v>
      </c>
      <c r="C193" s="5">
        <v>2.52</v>
      </c>
      <c r="D193" s="53">
        <v>0</v>
      </c>
      <c r="E193" s="68">
        <v>1</v>
      </c>
    </row>
    <row r="194" spans="1:5" x14ac:dyDescent="0.25">
      <c r="A194" s="22" t="s">
        <v>160</v>
      </c>
      <c r="B194" s="19" t="s">
        <v>23</v>
      </c>
      <c r="C194" s="5">
        <v>2.52</v>
      </c>
      <c r="D194" s="53">
        <v>0</v>
      </c>
      <c r="E194" s="68">
        <v>1</v>
      </c>
    </row>
    <row r="195" spans="1:5" x14ac:dyDescent="0.25">
      <c r="A195" s="22" t="s">
        <v>161</v>
      </c>
      <c r="B195" s="19" t="s">
        <v>23</v>
      </c>
      <c r="C195" s="5">
        <v>2.52</v>
      </c>
      <c r="D195" s="53">
        <v>0</v>
      </c>
      <c r="E195" s="68">
        <v>1</v>
      </c>
    </row>
    <row r="196" spans="1:5" x14ac:dyDescent="0.25">
      <c r="A196" s="22" t="s">
        <v>162</v>
      </c>
      <c r="B196" s="19" t="s">
        <v>23</v>
      </c>
      <c r="C196" s="5">
        <v>2.52</v>
      </c>
      <c r="D196" s="53">
        <v>0</v>
      </c>
      <c r="E196" s="68">
        <v>1</v>
      </c>
    </row>
    <row r="197" spans="1:5" x14ac:dyDescent="0.25">
      <c r="A197" s="22" t="s">
        <v>163</v>
      </c>
      <c r="B197" s="19" t="s">
        <v>23</v>
      </c>
      <c r="C197" s="5">
        <v>9.620000000000001</v>
      </c>
      <c r="D197" s="53">
        <v>0</v>
      </c>
      <c r="E197" s="68">
        <v>1</v>
      </c>
    </row>
    <row r="198" spans="1:5" x14ac:dyDescent="0.25">
      <c r="A198" s="22" t="s">
        <v>164</v>
      </c>
      <c r="B198" s="19" t="s">
        <v>23</v>
      </c>
      <c r="C198" s="5">
        <v>2.52</v>
      </c>
      <c r="D198" s="53">
        <v>0</v>
      </c>
      <c r="E198" s="68">
        <v>1</v>
      </c>
    </row>
    <row r="199" spans="1:5" x14ac:dyDescent="0.25">
      <c r="A199" s="22" t="s">
        <v>165</v>
      </c>
      <c r="B199" s="19" t="s">
        <v>23</v>
      </c>
      <c r="C199" s="5">
        <v>30.12</v>
      </c>
      <c r="D199" s="53">
        <v>0</v>
      </c>
      <c r="E199" s="68">
        <v>1</v>
      </c>
    </row>
    <row r="200" spans="1:5" x14ac:dyDescent="0.25">
      <c r="A200" s="22" t="s">
        <v>166</v>
      </c>
      <c r="B200" s="19" t="s">
        <v>23</v>
      </c>
      <c r="C200" s="5">
        <v>2.52</v>
      </c>
      <c r="D200" s="53">
        <v>0</v>
      </c>
      <c r="E200" s="68">
        <v>1</v>
      </c>
    </row>
    <row r="201" spans="1:5" x14ac:dyDescent="0.25">
      <c r="A201" s="22" t="s">
        <v>167</v>
      </c>
      <c r="B201" s="19" t="s">
        <v>23</v>
      </c>
      <c r="C201" s="5">
        <v>4.12</v>
      </c>
      <c r="D201" s="53">
        <v>0</v>
      </c>
      <c r="E201" s="68">
        <v>1</v>
      </c>
    </row>
    <row r="202" spans="1:5" x14ac:dyDescent="0.25">
      <c r="A202" s="22" t="s">
        <v>168</v>
      </c>
      <c r="B202" s="19" t="s">
        <v>23</v>
      </c>
      <c r="C202" s="5">
        <v>10</v>
      </c>
      <c r="D202" s="53">
        <v>0</v>
      </c>
      <c r="E202" s="68">
        <v>0</v>
      </c>
    </row>
    <row r="203" spans="1:5" x14ac:dyDescent="0.25">
      <c r="A203" s="22" t="s">
        <v>169</v>
      </c>
      <c r="B203" s="19" t="s">
        <v>23</v>
      </c>
      <c r="C203" s="5">
        <v>10</v>
      </c>
      <c r="D203" s="53">
        <v>0</v>
      </c>
      <c r="E203" s="68">
        <v>0</v>
      </c>
    </row>
    <row r="204" spans="1:5" x14ac:dyDescent="0.25">
      <c r="A204" s="22" t="s">
        <v>170</v>
      </c>
      <c r="B204" s="19" t="s">
        <v>23</v>
      </c>
      <c r="C204" s="5">
        <v>10</v>
      </c>
      <c r="D204" s="53">
        <v>0</v>
      </c>
      <c r="E204" s="68">
        <v>0</v>
      </c>
    </row>
    <row r="205" spans="1:5" x14ac:dyDescent="0.25">
      <c r="A205" s="22" t="s">
        <v>171</v>
      </c>
      <c r="B205" s="19" t="s">
        <v>23</v>
      </c>
      <c r="C205" s="5">
        <v>10</v>
      </c>
      <c r="D205" s="53">
        <v>0</v>
      </c>
      <c r="E205" s="68">
        <v>0</v>
      </c>
    </row>
    <row r="206" spans="1:5" x14ac:dyDescent="0.25">
      <c r="A206" s="22" t="s">
        <v>172</v>
      </c>
      <c r="B206" s="19" t="s">
        <v>23</v>
      </c>
      <c r="C206" s="5">
        <v>10</v>
      </c>
      <c r="D206" s="53">
        <v>0</v>
      </c>
      <c r="E206" s="68">
        <v>0</v>
      </c>
    </row>
    <row r="207" spans="1:5" x14ac:dyDescent="0.25">
      <c r="A207" s="22" t="s">
        <v>173</v>
      </c>
      <c r="B207" s="19" t="s">
        <v>23</v>
      </c>
      <c r="C207" s="5">
        <v>10</v>
      </c>
      <c r="D207" s="53">
        <v>0</v>
      </c>
      <c r="E207" s="68">
        <v>0</v>
      </c>
    </row>
    <row r="208" spans="1:5" x14ac:dyDescent="0.25">
      <c r="A208" s="22" t="s">
        <v>174</v>
      </c>
      <c r="B208" s="19" t="s">
        <v>23</v>
      </c>
      <c r="C208" s="5">
        <v>10</v>
      </c>
      <c r="D208" s="53">
        <v>0</v>
      </c>
      <c r="E208" s="68">
        <v>0</v>
      </c>
    </row>
    <row r="209" spans="1:5" x14ac:dyDescent="0.25">
      <c r="A209" s="22" t="s">
        <v>175</v>
      </c>
      <c r="B209" s="19" t="s">
        <v>23</v>
      </c>
      <c r="C209" s="5">
        <v>10</v>
      </c>
      <c r="D209" s="53">
        <v>0</v>
      </c>
      <c r="E209" s="68">
        <v>0</v>
      </c>
    </row>
    <row r="210" spans="1:5" x14ac:dyDescent="0.25">
      <c r="A210" s="22" t="s">
        <v>176</v>
      </c>
      <c r="B210" s="19" t="s">
        <v>23</v>
      </c>
      <c r="C210" s="5">
        <v>10</v>
      </c>
      <c r="D210" s="53">
        <v>0</v>
      </c>
      <c r="E210" s="68">
        <v>0</v>
      </c>
    </row>
    <row r="211" spans="1:5" x14ac:dyDescent="0.25">
      <c r="A211" s="22" t="s">
        <v>177</v>
      </c>
      <c r="B211" s="19" t="s">
        <v>23</v>
      </c>
      <c r="C211" s="5">
        <v>10</v>
      </c>
      <c r="D211" s="53">
        <v>0</v>
      </c>
      <c r="E211" s="68">
        <v>0</v>
      </c>
    </row>
    <row r="212" spans="1:5" x14ac:dyDescent="0.25">
      <c r="A212" s="22" t="s">
        <v>178</v>
      </c>
      <c r="B212" s="19" t="s">
        <v>23</v>
      </c>
      <c r="C212" s="5">
        <v>3.5</v>
      </c>
      <c r="D212" s="53">
        <v>0</v>
      </c>
      <c r="E212" s="68">
        <v>0</v>
      </c>
    </row>
    <row r="213" spans="1:5" x14ac:dyDescent="0.25">
      <c r="A213" s="22" t="s">
        <v>179</v>
      </c>
      <c r="B213" s="19" t="s">
        <v>23</v>
      </c>
      <c r="C213" s="5">
        <v>2</v>
      </c>
      <c r="D213" s="53">
        <v>0</v>
      </c>
      <c r="E213" s="68">
        <v>0</v>
      </c>
    </row>
    <row r="214" spans="1:5" x14ac:dyDescent="0.25">
      <c r="A214" s="22" t="s">
        <v>180</v>
      </c>
      <c r="B214" s="19" t="s">
        <v>23</v>
      </c>
      <c r="C214" s="5">
        <v>2</v>
      </c>
      <c r="D214" s="53">
        <v>0</v>
      </c>
      <c r="E214" s="68">
        <v>0</v>
      </c>
    </row>
    <row r="215" spans="1:5" x14ac:dyDescent="0.25">
      <c r="A215" s="20" t="s">
        <v>181</v>
      </c>
      <c r="C215" s="5">
        <v>14.450000000000001</v>
      </c>
      <c r="D215" s="53">
        <v>0</v>
      </c>
      <c r="E215" s="68">
        <v>1</v>
      </c>
    </row>
    <row r="216" spans="1:5" x14ac:dyDescent="0.25">
      <c r="A216" s="21" t="s">
        <v>6</v>
      </c>
      <c r="C216" s="5">
        <v>14.450000000000001</v>
      </c>
      <c r="D216" s="53">
        <v>0</v>
      </c>
      <c r="E216" s="68">
        <v>1</v>
      </c>
    </row>
    <row r="217" spans="1:5" x14ac:dyDescent="0.25">
      <c r="A217" s="22" t="s">
        <v>182</v>
      </c>
      <c r="B217" s="19" t="s">
        <v>23</v>
      </c>
      <c r="C217" s="5">
        <v>14.450000000000001</v>
      </c>
      <c r="D217" s="53">
        <v>0</v>
      </c>
      <c r="E217" s="68">
        <v>1</v>
      </c>
    </row>
    <row r="218" spans="1:5" x14ac:dyDescent="0.25">
      <c r="A218" s="20" t="s">
        <v>183</v>
      </c>
      <c r="C218" s="5">
        <v>17</v>
      </c>
      <c r="D218" s="53">
        <v>0</v>
      </c>
      <c r="E218" s="68">
        <v>1</v>
      </c>
    </row>
    <row r="219" spans="1:5" x14ac:dyDescent="0.25">
      <c r="A219" s="21" t="s">
        <v>26</v>
      </c>
      <c r="C219" s="5">
        <v>17</v>
      </c>
      <c r="D219" s="53">
        <v>0</v>
      </c>
      <c r="E219" s="68">
        <v>1</v>
      </c>
    </row>
    <row r="220" spans="1:5" x14ac:dyDescent="0.25">
      <c r="A220" s="22" t="s">
        <v>184</v>
      </c>
      <c r="B220" s="19" t="s">
        <v>23</v>
      </c>
      <c r="C220" s="5">
        <v>17</v>
      </c>
      <c r="D220" s="53">
        <v>0</v>
      </c>
      <c r="E220" s="68">
        <v>1</v>
      </c>
    </row>
    <row r="221" spans="1:5" x14ac:dyDescent="0.25">
      <c r="A221" s="20" t="s">
        <v>1375</v>
      </c>
      <c r="C221" s="5">
        <v>7.78</v>
      </c>
      <c r="D221" s="53">
        <v>0</v>
      </c>
      <c r="E221" s="68">
        <v>1</v>
      </c>
    </row>
    <row r="222" spans="1:5" x14ac:dyDescent="0.25">
      <c r="A222" s="21" t="s">
        <v>30</v>
      </c>
      <c r="C222" s="5">
        <v>7.78</v>
      </c>
      <c r="D222" s="53">
        <v>0</v>
      </c>
      <c r="E222" s="68">
        <v>1</v>
      </c>
    </row>
    <row r="223" spans="1:5" x14ac:dyDescent="0.25">
      <c r="A223" s="22" t="s">
        <v>185</v>
      </c>
      <c r="B223" s="19" t="s">
        <v>23</v>
      </c>
      <c r="C223" s="5">
        <v>7.78</v>
      </c>
      <c r="D223" s="53">
        <v>0</v>
      </c>
      <c r="E223" s="68">
        <v>1</v>
      </c>
    </row>
    <row r="224" spans="1:5" x14ac:dyDescent="0.25">
      <c r="A224" s="20" t="s">
        <v>1376</v>
      </c>
      <c r="C224" s="5">
        <v>10.31</v>
      </c>
      <c r="D224" s="53">
        <v>0</v>
      </c>
      <c r="E224" s="68">
        <v>1</v>
      </c>
    </row>
    <row r="225" spans="1:5" x14ac:dyDescent="0.25">
      <c r="A225" s="21" t="s">
        <v>30</v>
      </c>
      <c r="C225" s="5">
        <v>10.31</v>
      </c>
      <c r="D225" s="53">
        <v>0</v>
      </c>
      <c r="E225" s="68">
        <v>1</v>
      </c>
    </row>
    <row r="226" spans="1:5" x14ac:dyDescent="0.25">
      <c r="A226" s="22" t="s">
        <v>186</v>
      </c>
      <c r="B226" s="19" t="s">
        <v>23</v>
      </c>
      <c r="C226" s="5">
        <v>10.31</v>
      </c>
      <c r="D226" s="53">
        <v>0</v>
      </c>
      <c r="E226" s="68">
        <v>1</v>
      </c>
    </row>
    <row r="227" spans="1:5" x14ac:dyDescent="0.25">
      <c r="A227" s="20" t="s">
        <v>187</v>
      </c>
      <c r="C227" s="5">
        <v>6.43</v>
      </c>
      <c r="D227" s="53">
        <v>0</v>
      </c>
      <c r="E227" s="68">
        <v>1</v>
      </c>
    </row>
    <row r="228" spans="1:5" x14ac:dyDescent="0.25">
      <c r="A228" s="21" t="s">
        <v>30</v>
      </c>
      <c r="C228" s="5">
        <v>6.43</v>
      </c>
      <c r="D228" s="53">
        <v>0</v>
      </c>
      <c r="E228" s="68">
        <v>1</v>
      </c>
    </row>
    <row r="229" spans="1:5" x14ac:dyDescent="0.25">
      <c r="A229" s="22" t="s">
        <v>188</v>
      </c>
      <c r="B229" s="19" t="s">
        <v>23</v>
      </c>
      <c r="C229" s="5">
        <v>6.43</v>
      </c>
      <c r="D229" s="53">
        <v>0</v>
      </c>
      <c r="E229" s="68">
        <v>1</v>
      </c>
    </row>
    <row r="230" spans="1:5" x14ac:dyDescent="0.25">
      <c r="A230" s="20" t="s">
        <v>189</v>
      </c>
      <c r="C230" s="5">
        <v>112.78</v>
      </c>
      <c r="D230" s="53">
        <v>239.20000000000002</v>
      </c>
      <c r="E230" s="68">
        <v>5</v>
      </c>
    </row>
    <row r="231" spans="1:5" x14ac:dyDescent="0.25">
      <c r="A231" s="21" t="s">
        <v>9</v>
      </c>
      <c r="C231" s="5">
        <v>112.78</v>
      </c>
      <c r="D231" s="53">
        <v>239.20000000000002</v>
      </c>
      <c r="E231" s="68">
        <v>5</v>
      </c>
    </row>
    <row r="232" spans="1:5" x14ac:dyDescent="0.25">
      <c r="A232" s="22" t="s">
        <v>190</v>
      </c>
      <c r="B232" s="19" t="s">
        <v>23</v>
      </c>
      <c r="C232" s="5">
        <v>29.4</v>
      </c>
      <c r="D232" s="53">
        <v>239.20000000000002</v>
      </c>
      <c r="E232" s="68">
        <v>1</v>
      </c>
    </row>
    <row r="233" spans="1:5" x14ac:dyDescent="0.25">
      <c r="A233" s="22" t="s">
        <v>191</v>
      </c>
      <c r="B233" s="19" t="s">
        <v>192</v>
      </c>
      <c r="C233" s="5">
        <v>7.8000000000000007</v>
      </c>
      <c r="D233" s="53">
        <v>0</v>
      </c>
      <c r="E233" s="68">
        <v>1</v>
      </c>
    </row>
    <row r="234" spans="1:5" x14ac:dyDescent="0.25">
      <c r="A234" s="22" t="s">
        <v>193</v>
      </c>
      <c r="B234" s="19" t="s">
        <v>23</v>
      </c>
      <c r="C234" s="5">
        <v>7.8000000000000007</v>
      </c>
      <c r="D234" s="53">
        <v>0</v>
      </c>
      <c r="E234" s="68">
        <v>1</v>
      </c>
    </row>
    <row r="235" spans="1:5" x14ac:dyDescent="0.25">
      <c r="A235" s="22" t="s">
        <v>194</v>
      </c>
      <c r="B235" s="19" t="s">
        <v>23</v>
      </c>
      <c r="C235" s="5">
        <v>60.2</v>
      </c>
      <c r="D235" s="53">
        <v>0</v>
      </c>
      <c r="E235" s="68">
        <v>1</v>
      </c>
    </row>
    <row r="236" spans="1:5" x14ac:dyDescent="0.25">
      <c r="A236" s="22" t="s">
        <v>195</v>
      </c>
      <c r="B236" s="19" t="s">
        <v>23</v>
      </c>
      <c r="C236" s="5">
        <v>7.58</v>
      </c>
      <c r="D236" s="53">
        <v>0</v>
      </c>
      <c r="E236" s="68">
        <v>1</v>
      </c>
    </row>
    <row r="237" spans="1:5" x14ac:dyDescent="0.25">
      <c r="A237" s="20" t="s">
        <v>196</v>
      </c>
      <c r="C237" s="5">
        <v>44.390000000000008</v>
      </c>
      <c r="D237" s="53">
        <v>0</v>
      </c>
      <c r="E237" s="68">
        <v>10</v>
      </c>
    </row>
    <row r="238" spans="1:5" x14ac:dyDescent="0.25">
      <c r="A238" s="21" t="s">
        <v>9</v>
      </c>
      <c r="C238" s="5">
        <v>44.390000000000008</v>
      </c>
      <c r="D238" s="53">
        <v>0</v>
      </c>
      <c r="E238" s="68">
        <v>10</v>
      </c>
    </row>
    <row r="239" spans="1:5" x14ac:dyDescent="0.25">
      <c r="A239" s="22" t="s">
        <v>197</v>
      </c>
      <c r="B239" s="19" t="s">
        <v>23</v>
      </c>
      <c r="C239" s="5">
        <v>1.3800000000000001</v>
      </c>
      <c r="D239" s="53">
        <v>0</v>
      </c>
      <c r="E239" s="68">
        <v>1</v>
      </c>
    </row>
    <row r="240" spans="1:5" x14ac:dyDescent="0.25">
      <c r="A240" s="22" t="s">
        <v>198</v>
      </c>
      <c r="B240" s="19" t="s">
        <v>23</v>
      </c>
      <c r="C240" s="5">
        <v>13.8</v>
      </c>
      <c r="D240" s="53">
        <v>0</v>
      </c>
      <c r="E240" s="68">
        <v>1</v>
      </c>
    </row>
    <row r="241" spans="1:5" x14ac:dyDescent="0.25">
      <c r="A241" s="22" t="s">
        <v>199</v>
      </c>
      <c r="B241" s="19" t="s">
        <v>23</v>
      </c>
      <c r="C241" s="5">
        <v>1.3800000000000001</v>
      </c>
      <c r="D241" s="53">
        <v>0</v>
      </c>
      <c r="E241" s="68">
        <v>1</v>
      </c>
    </row>
    <row r="242" spans="1:5" x14ac:dyDescent="0.25">
      <c r="A242" s="22" t="s">
        <v>200</v>
      </c>
      <c r="B242" s="19" t="s">
        <v>23</v>
      </c>
      <c r="C242" s="5">
        <v>1.61</v>
      </c>
      <c r="D242" s="53">
        <v>0</v>
      </c>
      <c r="E242" s="68">
        <v>1</v>
      </c>
    </row>
    <row r="243" spans="1:5" x14ac:dyDescent="0.25">
      <c r="A243" s="22" t="s">
        <v>201</v>
      </c>
      <c r="B243" s="19" t="s">
        <v>23</v>
      </c>
      <c r="C243" s="5">
        <v>13.8</v>
      </c>
      <c r="D243" s="53">
        <v>0</v>
      </c>
      <c r="E243" s="68">
        <v>1</v>
      </c>
    </row>
    <row r="244" spans="1:5" x14ac:dyDescent="0.25">
      <c r="A244" s="22" t="s">
        <v>202</v>
      </c>
      <c r="B244" s="19" t="s">
        <v>23</v>
      </c>
      <c r="C244" s="5">
        <v>9.2000000000000011</v>
      </c>
      <c r="D244" s="53">
        <v>0</v>
      </c>
      <c r="E244" s="68">
        <v>1</v>
      </c>
    </row>
    <row r="245" spans="1:5" x14ac:dyDescent="0.25">
      <c r="A245" s="22" t="s">
        <v>203</v>
      </c>
      <c r="B245" s="19" t="s">
        <v>23</v>
      </c>
      <c r="C245" s="5">
        <v>0.92</v>
      </c>
      <c r="D245" s="53">
        <v>0</v>
      </c>
      <c r="E245" s="68">
        <v>1</v>
      </c>
    </row>
    <row r="246" spans="1:5" x14ac:dyDescent="0.25">
      <c r="A246" s="22" t="s">
        <v>204</v>
      </c>
      <c r="B246" s="19" t="s">
        <v>23</v>
      </c>
      <c r="C246" s="5">
        <v>0.46</v>
      </c>
      <c r="D246" s="53">
        <v>0</v>
      </c>
      <c r="E246" s="68">
        <v>1</v>
      </c>
    </row>
    <row r="247" spans="1:5" x14ac:dyDescent="0.25">
      <c r="A247" s="22" t="s">
        <v>205</v>
      </c>
      <c r="B247" s="19" t="s">
        <v>23</v>
      </c>
      <c r="C247" s="5">
        <v>0.92</v>
      </c>
      <c r="D247" s="53">
        <v>0</v>
      </c>
      <c r="E247" s="68">
        <v>1</v>
      </c>
    </row>
    <row r="248" spans="1:5" x14ac:dyDescent="0.25">
      <c r="A248" s="22" t="s">
        <v>206</v>
      </c>
      <c r="B248" s="19" t="s">
        <v>23</v>
      </c>
      <c r="C248" s="5">
        <v>0.92</v>
      </c>
      <c r="D248" s="53">
        <v>0</v>
      </c>
      <c r="E248" s="68">
        <v>1</v>
      </c>
    </row>
    <row r="249" spans="1:5" x14ac:dyDescent="0.25">
      <c r="A249" s="20" t="s">
        <v>207</v>
      </c>
      <c r="C249" s="5">
        <v>15.625000000000002</v>
      </c>
      <c r="D249" s="53">
        <v>0</v>
      </c>
      <c r="E249" s="68">
        <v>3.5</v>
      </c>
    </row>
    <row r="250" spans="1:5" x14ac:dyDescent="0.25">
      <c r="A250" s="21" t="s">
        <v>24</v>
      </c>
      <c r="C250" s="5">
        <v>3.9050000000000002</v>
      </c>
      <c r="D250" s="53">
        <v>0</v>
      </c>
      <c r="E250" s="68">
        <v>1.5</v>
      </c>
    </row>
    <row r="251" spans="1:5" x14ac:dyDescent="0.25">
      <c r="A251" s="22" t="s">
        <v>90</v>
      </c>
      <c r="B251" s="19" t="s">
        <v>23</v>
      </c>
      <c r="C251" s="5">
        <v>2.9850000000000003</v>
      </c>
      <c r="D251" s="53">
        <v>0</v>
      </c>
      <c r="E251" s="68">
        <v>0.5</v>
      </c>
    </row>
    <row r="252" spans="1:5" x14ac:dyDescent="0.25">
      <c r="A252" s="22" t="s">
        <v>208</v>
      </c>
      <c r="B252" s="19" t="s">
        <v>23</v>
      </c>
      <c r="C252" s="5">
        <v>0.92</v>
      </c>
      <c r="D252" s="53">
        <v>0</v>
      </c>
      <c r="E252" s="68">
        <v>1</v>
      </c>
    </row>
    <row r="253" spans="1:5" x14ac:dyDescent="0.25">
      <c r="A253" s="21" t="s">
        <v>30</v>
      </c>
      <c r="C253" s="5">
        <v>11.72</v>
      </c>
      <c r="D253" s="53">
        <v>0</v>
      </c>
      <c r="E253" s="68">
        <v>2</v>
      </c>
    </row>
    <row r="254" spans="1:5" x14ac:dyDescent="0.25">
      <c r="A254" s="22" t="s">
        <v>209</v>
      </c>
      <c r="B254" s="19" t="s">
        <v>23</v>
      </c>
      <c r="C254" s="5">
        <v>2.52</v>
      </c>
      <c r="D254" s="53">
        <v>0</v>
      </c>
      <c r="E254" s="68">
        <v>1</v>
      </c>
    </row>
    <row r="255" spans="1:5" x14ac:dyDescent="0.25">
      <c r="A255" s="22" t="s">
        <v>210</v>
      </c>
      <c r="B255" s="19" t="s">
        <v>23</v>
      </c>
      <c r="C255" s="5">
        <v>9.2000000000000011</v>
      </c>
      <c r="D255" s="53">
        <v>0</v>
      </c>
      <c r="E255" s="68">
        <v>1</v>
      </c>
    </row>
    <row r="256" spans="1:5" x14ac:dyDescent="0.25">
      <c r="A256" s="20" t="s">
        <v>1377</v>
      </c>
      <c r="C256" s="5">
        <v>29.82</v>
      </c>
      <c r="D256" s="53">
        <v>0</v>
      </c>
      <c r="E256" s="68">
        <v>2</v>
      </c>
    </row>
    <row r="257" spans="1:5" x14ac:dyDescent="0.25">
      <c r="A257" s="21" t="s">
        <v>19</v>
      </c>
      <c r="C257" s="5">
        <v>29.82</v>
      </c>
      <c r="D257" s="53">
        <v>0</v>
      </c>
      <c r="E257" s="68">
        <v>2</v>
      </c>
    </row>
    <row r="258" spans="1:5" x14ac:dyDescent="0.25">
      <c r="A258" s="22" t="s">
        <v>211</v>
      </c>
      <c r="B258" s="19" t="s">
        <v>23</v>
      </c>
      <c r="C258" s="5">
        <v>14.91</v>
      </c>
      <c r="D258" s="53">
        <v>0</v>
      </c>
      <c r="E258" s="68">
        <v>1</v>
      </c>
    </row>
    <row r="259" spans="1:5" x14ac:dyDescent="0.25">
      <c r="A259" s="22" t="s">
        <v>212</v>
      </c>
      <c r="B259" s="19" t="s">
        <v>23</v>
      </c>
      <c r="C259" s="5">
        <v>14.91</v>
      </c>
      <c r="D259" s="53">
        <v>0</v>
      </c>
      <c r="E259" s="68">
        <v>1</v>
      </c>
    </row>
    <row r="260" spans="1:5" x14ac:dyDescent="0.25">
      <c r="A260" s="19" t="s">
        <v>213</v>
      </c>
      <c r="C260" s="5">
        <v>133.33000000000001</v>
      </c>
      <c r="D260" s="53">
        <v>0</v>
      </c>
      <c r="E260" s="68">
        <v>3.2</v>
      </c>
    </row>
    <row r="261" spans="1:5" x14ac:dyDescent="0.25">
      <c r="A261" s="20" t="s">
        <v>214</v>
      </c>
      <c r="C261" s="5">
        <v>71.14</v>
      </c>
      <c r="D261" s="53">
        <v>0</v>
      </c>
      <c r="E261" s="68">
        <v>1.1000000000000001</v>
      </c>
    </row>
    <row r="262" spans="1:5" x14ac:dyDescent="0.25">
      <c r="A262" s="21" t="s">
        <v>93</v>
      </c>
      <c r="C262" s="5">
        <v>71.14</v>
      </c>
      <c r="D262" s="53">
        <v>0</v>
      </c>
      <c r="E262" s="68">
        <v>1.1000000000000001</v>
      </c>
    </row>
    <row r="263" spans="1:5" x14ac:dyDescent="0.25">
      <c r="A263" s="22" t="s">
        <v>215</v>
      </c>
      <c r="B263" s="19" t="s">
        <v>23</v>
      </c>
      <c r="C263" s="5">
        <v>67.099999999999994</v>
      </c>
      <c r="D263" s="53">
        <v>0</v>
      </c>
      <c r="E263" s="68">
        <v>1</v>
      </c>
    </row>
    <row r="264" spans="1:5" x14ac:dyDescent="0.25">
      <c r="A264" s="22" t="s">
        <v>123</v>
      </c>
      <c r="B264" s="19" t="s">
        <v>23</v>
      </c>
      <c r="C264" s="5">
        <v>4.0400000000000009</v>
      </c>
      <c r="D264" s="53">
        <v>0</v>
      </c>
      <c r="E264" s="68">
        <v>0.1</v>
      </c>
    </row>
    <row r="265" spans="1:5" x14ac:dyDescent="0.25">
      <c r="A265" s="20" t="s">
        <v>216</v>
      </c>
      <c r="C265" s="5">
        <v>28.5</v>
      </c>
      <c r="D265" s="53">
        <v>0</v>
      </c>
      <c r="E265" s="68">
        <v>1</v>
      </c>
    </row>
    <row r="266" spans="1:5" x14ac:dyDescent="0.25">
      <c r="A266" s="21" t="s">
        <v>93</v>
      </c>
      <c r="C266" s="5">
        <v>28.5</v>
      </c>
      <c r="D266" s="53">
        <v>0</v>
      </c>
      <c r="E266" s="68">
        <v>1</v>
      </c>
    </row>
    <row r="267" spans="1:5" x14ac:dyDescent="0.25">
      <c r="A267" s="22" t="s">
        <v>217</v>
      </c>
      <c r="B267" s="19" t="s">
        <v>23</v>
      </c>
      <c r="C267" s="5">
        <v>28.5</v>
      </c>
      <c r="D267" s="53">
        <v>0</v>
      </c>
      <c r="E267" s="68">
        <v>1</v>
      </c>
    </row>
    <row r="268" spans="1:5" x14ac:dyDescent="0.25">
      <c r="A268" s="20" t="s">
        <v>218</v>
      </c>
      <c r="C268" s="5">
        <v>4.0400000000000009</v>
      </c>
      <c r="D268" s="53">
        <v>0</v>
      </c>
      <c r="E268" s="68">
        <v>0.1</v>
      </c>
    </row>
    <row r="269" spans="1:5" x14ac:dyDescent="0.25">
      <c r="A269" s="21" t="s">
        <v>93</v>
      </c>
      <c r="C269" s="5">
        <v>4.0400000000000009</v>
      </c>
      <c r="D269" s="53">
        <v>0</v>
      </c>
      <c r="E269" s="68">
        <v>0.1</v>
      </c>
    </row>
    <row r="270" spans="1:5" x14ac:dyDescent="0.25">
      <c r="A270" s="22" t="s">
        <v>123</v>
      </c>
      <c r="B270" s="19" t="s">
        <v>23</v>
      </c>
      <c r="C270" s="5">
        <v>4.0400000000000009</v>
      </c>
      <c r="D270" s="53">
        <v>0</v>
      </c>
      <c r="E270" s="68">
        <v>0.1</v>
      </c>
    </row>
    <row r="271" spans="1:5" x14ac:dyDescent="0.25">
      <c r="A271" s="20" t="s">
        <v>219</v>
      </c>
      <c r="C271" s="5">
        <v>29.650000000000002</v>
      </c>
      <c r="D271" s="53">
        <v>0</v>
      </c>
      <c r="E271" s="68">
        <v>1</v>
      </c>
    </row>
    <row r="272" spans="1:5" x14ac:dyDescent="0.25">
      <c r="A272" s="21" t="s">
        <v>6</v>
      </c>
      <c r="C272" s="5">
        <v>29.650000000000002</v>
      </c>
      <c r="D272" s="53">
        <v>0</v>
      </c>
      <c r="E272" s="68">
        <v>1</v>
      </c>
    </row>
    <row r="273" spans="1:5" x14ac:dyDescent="0.25">
      <c r="A273" s="22" t="s">
        <v>220</v>
      </c>
      <c r="B273" s="19" t="s">
        <v>23</v>
      </c>
      <c r="C273" s="5">
        <v>29.650000000000002</v>
      </c>
      <c r="D273" s="53">
        <v>0</v>
      </c>
      <c r="E273" s="68">
        <v>1</v>
      </c>
    </row>
    <row r="274" spans="1:5" x14ac:dyDescent="0.25">
      <c r="A274" s="19" t="s">
        <v>221</v>
      </c>
      <c r="C274" s="5">
        <v>51.080000000000013</v>
      </c>
      <c r="D274" s="53">
        <v>0</v>
      </c>
      <c r="E274" s="68">
        <v>6</v>
      </c>
    </row>
    <row r="275" spans="1:5" x14ac:dyDescent="0.25">
      <c r="A275" s="20" t="s">
        <v>1378</v>
      </c>
      <c r="C275" s="5">
        <v>48.100000000000009</v>
      </c>
      <c r="D275" s="53">
        <v>0</v>
      </c>
      <c r="E275" s="68">
        <v>5</v>
      </c>
    </row>
    <row r="276" spans="1:5" x14ac:dyDescent="0.25">
      <c r="A276" s="21" t="s">
        <v>6</v>
      </c>
      <c r="C276" s="5">
        <v>9.620000000000001</v>
      </c>
      <c r="D276" s="53">
        <v>0</v>
      </c>
      <c r="E276" s="68">
        <v>1</v>
      </c>
    </row>
    <row r="277" spans="1:5" x14ac:dyDescent="0.25">
      <c r="A277" s="22" t="s">
        <v>222</v>
      </c>
      <c r="B277" s="19" t="s">
        <v>23</v>
      </c>
      <c r="C277" s="5">
        <v>9.620000000000001</v>
      </c>
      <c r="D277" s="53">
        <v>0</v>
      </c>
      <c r="E277" s="68">
        <v>1</v>
      </c>
    </row>
    <row r="278" spans="1:5" x14ac:dyDescent="0.25">
      <c r="A278" s="21" t="s">
        <v>70</v>
      </c>
      <c r="C278" s="5">
        <v>19.240000000000002</v>
      </c>
      <c r="D278" s="53">
        <v>0</v>
      </c>
      <c r="E278" s="68">
        <v>2</v>
      </c>
    </row>
    <row r="279" spans="1:5" x14ac:dyDescent="0.25">
      <c r="A279" s="22" t="s">
        <v>223</v>
      </c>
      <c r="B279" s="19" t="s">
        <v>23</v>
      </c>
      <c r="C279" s="5">
        <v>9.620000000000001</v>
      </c>
      <c r="D279" s="53">
        <v>0</v>
      </c>
      <c r="E279" s="68">
        <v>1</v>
      </c>
    </row>
    <row r="280" spans="1:5" x14ac:dyDescent="0.25">
      <c r="A280" s="22" t="s">
        <v>224</v>
      </c>
      <c r="B280" s="19" t="s">
        <v>23</v>
      </c>
      <c r="C280" s="5">
        <v>9.620000000000001</v>
      </c>
      <c r="D280" s="53">
        <v>0</v>
      </c>
      <c r="E280" s="68">
        <v>1</v>
      </c>
    </row>
    <row r="281" spans="1:5" x14ac:dyDescent="0.25">
      <c r="A281" s="21" t="s">
        <v>30</v>
      </c>
      <c r="C281" s="5">
        <v>19.240000000000002</v>
      </c>
      <c r="D281" s="53">
        <v>0</v>
      </c>
      <c r="E281" s="68">
        <v>2</v>
      </c>
    </row>
    <row r="282" spans="1:5" x14ac:dyDescent="0.25">
      <c r="A282" s="22" t="s">
        <v>225</v>
      </c>
      <c r="B282" s="19" t="s">
        <v>23</v>
      </c>
      <c r="C282" s="5">
        <v>9.620000000000001</v>
      </c>
      <c r="D282" s="53">
        <v>0</v>
      </c>
      <c r="E282" s="68">
        <v>1</v>
      </c>
    </row>
    <row r="283" spans="1:5" x14ac:dyDescent="0.25">
      <c r="A283" s="22" t="s">
        <v>226</v>
      </c>
      <c r="B283" s="19" t="s">
        <v>23</v>
      </c>
      <c r="C283" s="5">
        <v>9.620000000000001</v>
      </c>
      <c r="D283" s="53">
        <v>0</v>
      </c>
      <c r="E283" s="68">
        <v>1</v>
      </c>
    </row>
    <row r="284" spans="1:5" x14ac:dyDescent="0.25">
      <c r="A284" s="20" t="s">
        <v>1379</v>
      </c>
      <c r="C284" s="5">
        <v>2.9800000000000004</v>
      </c>
      <c r="D284" s="53">
        <v>0</v>
      </c>
      <c r="E284" s="68">
        <v>1</v>
      </c>
    </row>
    <row r="285" spans="1:5" x14ac:dyDescent="0.25">
      <c r="A285" s="21" t="s">
        <v>30</v>
      </c>
      <c r="C285" s="5">
        <v>2.9800000000000004</v>
      </c>
      <c r="D285" s="53">
        <v>0</v>
      </c>
      <c r="E285" s="68">
        <v>1</v>
      </c>
    </row>
    <row r="286" spans="1:5" x14ac:dyDescent="0.25">
      <c r="A286" s="22" t="s">
        <v>227</v>
      </c>
      <c r="B286" s="19" t="s">
        <v>23</v>
      </c>
      <c r="C286" s="5">
        <v>2.9800000000000004</v>
      </c>
      <c r="D286" s="53">
        <v>0</v>
      </c>
      <c r="E286" s="68">
        <v>1</v>
      </c>
    </row>
    <row r="287" spans="1:5" x14ac:dyDescent="0.25">
      <c r="A287" s="19" t="s">
        <v>228</v>
      </c>
      <c r="C287" s="5">
        <v>108.9</v>
      </c>
      <c r="D287" s="53">
        <v>297.49</v>
      </c>
      <c r="E287" s="68">
        <v>3</v>
      </c>
    </row>
    <row r="288" spans="1:5" x14ac:dyDescent="0.25">
      <c r="A288" s="20" t="s">
        <v>229</v>
      </c>
      <c r="C288" s="5">
        <v>108.9</v>
      </c>
      <c r="D288" s="53">
        <v>297.49</v>
      </c>
      <c r="E288" s="68">
        <v>3</v>
      </c>
    </row>
    <row r="289" spans="1:5" x14ac:dyDescent="0.25">
      <c r="A289" s="21" t="s">
        <v>84</v>
      </c>
      <c r="C289" s="5">
        <v>108.9</v>
      </c>
      <c r="D289" s="53">
        <v>297.49</v>
      </c>
      <c r="E289" s="68">
        <v>3</v>
      </c>
    </row>
    <row r="290" spans="1:5" x14ac:dyDescent="0.25">
      <c r="A290" s="22" t="s">
        <v>230</v>
      </c>
      <c r="B290" s="19" t="s">
        <v>23</v>
      </c>
      <c r="C290" s="5">
        <v>12.400000000000002</v>
      </c>
      <c r="D290" s="53">
        <v>0</v>
      </c>
      <c r="E290" s="68">
        <v>1</v>
      </c>
    </row>
    <row r="291" spans="1:5" x14ac:dyDescent="0.25">
      <c r="A291" s="22" t="s">
        <v>231</v>
      </c>
      <c r="B291" s="19" t="s">
        <v>23</v>
      </c>
      <c r="C291" s="5">
        <v>74.900000000000006</v>
      </c>
      <c r="D291" s="53">
        <v>297.49</v>
      </c>
      <c r="E291" s="68">
        <v>1</v>
      </c>
    </row>
    <row r="292" spans="1:5" x14ac:dyDescent="0.25">
      <c r="A292" s="22" t="s">
        <v>232</v>
      </c>
      <c r="B292" s="19" t="s">
        <v>23</v>
      </c>
      <c r="C292" s="5">
        <v>21.6</v>
      </c>
      <c r="D292" s="53">
        <v>0</v>
      </c>
      <c r="E292" s="68">
        <v>1</v>
      </c>
    </row>
    <row r="293" spans="1:5" x14ac:dyDescent="0.25">
      <c r="A293" s="19" t="s">
        <v>233</v>
      </c>
      <c r="C293" s="5">
        <v>33.979999999999997</v>
      </c>
      <c r="D293" s="53">
        <v>0</v>
      </c>
      <c r="E293" s="68">
        <v>2</v>
      </c>
    </row>
    <row r="294" spans="1:5" x14ac:dyDescent="0.25">
      <c r="A294" s="20" t="s">
        <v>1380</v>
      </c>
      <c r="C294" s="5">
        <v>4.58</v>
      </c>
      <c r="D294" s="53">
        <v>0</v>
      </c>
      <c r="E294" s="68">
        <v>1</v>
      </c>
    </row>
    <row r="295" spans="1:5" x14ac:dyDescent="0.25">
      <c r="A295" s="21" t="s">
        <v>24</v>
      </c>
      <c r="C295" s="5">
        <v>4.58</v>
      </c>
      <c r="D295" s="53">
        <v>0</v>
      </c>
      <c r="E295" s="68">
        <v>1</v>
      </c>
    </row>
    <row r="296" spans="1:5" x14ac:dyDescent="0.25">
      <c r="A296" s="22" t="s">
        <v>234</v>
      </c>
      <c r="B296" s="19" t="s">
        <v>23</v>
      </c>
      <c r="C296" s="5">
        <v>4.58</v>
      </c>
      <c r="D296" s="53">
        <v>0</v>
      </c>
      <c r="E296" s="68">
        <v>1</v>
      </c>
    </row>
    <row r="297" spans="1:5" x14ac:dyDescent="0.25">
      <c r="A297" s="20" t="s">
        <v>235</v>
      </c>
      <c r="C297" s="5">
        <v>29.4</v>
      </c>
      <c r="D297" s="53">
        <v>0</v>
      </c>
      <c r="E297" s="68">
        <v>1</v>
      </c>
    </row>
    <row r="298" spans="1:5" x14ac:dyDescent="0.25">
      <c r="A298" s="21" t="s">
        <v>6</v>
      </c>
      <c r="C298" s="5">
        <v>29.4</v>
      </c>
      <c r="D298" s="53">
        <v>0</v>
      </c>
      <c r="E298" s="68">
        <v>1</v>
      </c>
    </row>
    <row r="299" spans="1:5" x14ac:dyDescent="0.25">
      <c r="A299" s="22" t="s">
        <v>236</v>
      </c>
      <c r="B299" s="19" t="s">
        <v>23</v>
      </c>
      <c r="C299" s="5">
        <v>29.4</v>
      </c>
      <c r="D299" s="53">
        <v>0</v>
      </c>
      <c r="E299" s="68">
        <v>1</v>
      </c>
    </row>
    <row r="300" spans="1:5" x14ac:dyDescent="0.25">
      <c r="A300" s="19" t="s">
        <v>237</v>
      </c>
      <c r="C300" s="5">
        <v>5.5149999999999997</v>
      </c>
      <c r="D300" s="53">
        <v>0</v>
      </c>
      <c r="E300" s="68">
        <v>0.5</v>
      </c>
    </row>
    <row r="301" spans="1:5" x14ac:dyDescent="0.25">
      <c r="A301" s="20" t="s">
        <v>1381</v>
      </c>
      <c r="C301" s="5">
        <v>5.5149999999999997</v>
      </c>
      <c r="D301" s="53">
        <v>0</v>
      </c>
      <c r="E301" s="68">
        <v>0.5</v>
      </c>
    </row>
    <row r="302" spans="1:5" x14ac:dyDescent="0.25">
      <c r="A302" s="21" t="s">
        <v>9</v>
      </c>
      <c r="C302" s="5">
        <v>5.5149999999999997</v>
      </c>
      <c r="D302" s="53">
        <v>0</v>
      </c>
      <c r="E302" s="68">
        <v>0.5</v>
      </c>
    </row>
    <row r="303" spans="1:5" x14ac:dyDescent="0.25">
      <c r="A303" s="22" t="s">
        <v>77</v>
      </c>
      <c r="B303" s="19" t="s">
        <v>78</v>
      </c>
      <c r="C303" s="5">
        <v>5.5149999999999997</v>
      </c>
      <c r="D303" s="53">
        <v>0</v>
      </c>
      <c r="E303" s="68">
        <v>0.5</v>
      </c>
    </row>
    <row r="304" spans="1:5" x14ac:dyDescent="0.25">
      <c r="A304" s="19" t="s">
        <v>238</v>
      </c>
      <c r="C304" s="5">
        <v>44.290000000000006</v>
      </c>
      <c r="D304" s="53">
        <v>0</v>
      </c>
      <c r="E304" s="68">
        <v>4</v>
      </c>
    </row>
    <row r="305" spans="1:5" x14ac:dyDescent="0.25">
      <c r="A305" s="20" t="s">
        <v>239</v>
      </c>
      <c r="C305" s="5">
        <v>19.490000000000002</v>
      </c>
      <c r="D305" s="53">
        <v>0</v>
      </c>
      <c r="E305" s="68">
        <v>2</v>
      </c>
    </row>
    <row r="306" spans="1:5" x14ac:dyDescent="0.25">
      <c r="A306" s="21" t="s">
        <v>6</v>
      </c>
      <c r="C306" s="5">
        <v>19.490000000000002</v>
      </c>
      <c r="D306" s="53">
        <v>0</v>
      </c>
      <c r="E306" s="68">
        <v>2</v>
      </c>
    </row>
    <row r="307" spans="1:5" x14ac:dyDescent="0.25">
      <c r="A307" s="22" t="s">
        <v>240</v>
      </c>
      <c r="B307" s="19" t="s">
        <v>23</v>
      </c>
      <c r="C307" s="5">
        <v>7.8000000000000007</v>
      </c>
      <c r="D307" s="53">
        <v>0</v>
      </c>
      <c r="E307" s="68">
        <v>1</v>
      </c>
    </row>
    <row r="308" spans="1:5" x14ac:dyDescent="0.25">
      <c r="A308" s="22" t="s">
        <v>241</v>
      </c>
      <c r="B308" s="19" t="s">
        <v>23</v>
      </c>
      <c r="C308" s="5">
        <v>11.690000000000001</v>
      </c>
      <c r="D308" s="53">
        <v>0</v>
      </c>
      <c r="E308" s="68">
        <v>1</v>
      </c>
    </row>
    <row r="309" spans="1:5" x14ac:dyDescent="0.25">
      <c r="A309" s="20" t="s">
        <v>242</v>
      </c>
      <c r="C309" s="5">
        <v>24.800000000000004</v>
      </c>
      <c r="D309" s="53">
        <v>0</v>
      </c>
      <c r="E309" s="68">
        <v>2</v>
      </c>
    </row>
    <row r="310" spans="1:5" x14ac:dyDescent="0.25">
      <c r="A310" s="21" t="s">
        <v>6</v>
      </c>
      <c r="C310" s="5">
        <v>24.800000000000004</v>
      </c>
      <c r="D310" s="53">
        <v>0</v>
      </c>
      <c r="E310" s="68">
        <v>2</v>
      </c>
    </row>
    <row r="311" spans="1:5" x14ac:dyDescent="0.25">
      <c r="A311" s="22" t="s">
        <v>243</v>
      </c>
      <c r="B311" s="19" t="s">
        <v>23</v>
      </c>
      <c r="C311" s="5">
        <v>12.400000000000002</v>
      </c>
      <c r="D311" s="53">
        <v>0</v>
      </c>
      <c r="E311" s="68">
        <v>1</v>
      </c>
    </row>
    <row r="312" spans="1:5" x14ac:dyDescent="0.25">
      <c r="A312" s="22" t="s">
        <v>244</v>
      </c>
      <c r="B312" s="19" t="s">
        <v>23</v>
      </c>
      <c r="C312" s="5">
        <v>12.400000000000002</v>
      </c>
      <c r="D312" s="53">
        <v>0</v>
      </c>
      <c r="E312" s="68">
        <v>1</v>
      </c>
    </row>
    <row r="313" spans="1:5" x14ac:dyDescent="0.25">
      <c r="A313" s="19" t="s">
        <v>245</v>
      </c>
      <c r="C313" s="5">
        <v>871.16000000000065</v>
      </c>
      <c r="D313" s="53">
        <v>0</v>
      </c>
      <c r="E313" s="68">
        <v>49</v>
      </c>
    </row>
    <row r="314" spans="1:5" x14ac:dyDescent="0.25">
      <c r="A314" s="20" t="s">
        <v>246</v>
      </c>
      <c r="C314" s="5">
        <v>846.67000000000064</v>
      </c>
      <c r="D314" s="53">
        <v>0</v>
      </c>
      <c r="E314" s="68">
        <v>46</v>
      </c>
    </row>
    <row r="315" spans="1:5" x14ac:dyDescent="0.25">
      <c r="A315" s="21" t="s">
        <v>9</v>
      </c>
      <c r="C315" s="5">
        <v>185.49000000000004</v>
      </c>
      <c r="D315" s="53">
        <v>0</v>
      </c>
      <c r="E315" s="68">
        <v>11</v>
      </c>
    </row>
    <row r="316" spans="1:5" x14ac:dyDescent="0.25">
      <c r="A316" s="22" t="s">
        <v>247</v>
      </c>
      <c r="B316" s="19" t="s">
        <v>23</v>
      </c>
      <c r="C316" s="5">
        <v>54.81</v>
      </c>
      <c r="D316" s="53">
        <v>0</v>
      </c>
      <c r="E316" s="68">
        <v>1</v>
      </c>
    </row>
    <row r="317" spans="1:5" x14ac:dyDescent="0.25">
      <c r="A317" s="22" t="s">
        <v>248</v>
      </c>
      <c r="B317" s="19" t="s">
        <v>23</v>
      </c>
      <c r="C317" s="5">
        <v>12.61</v>
      </c>
      <c r="D317" s="53">
        <v>0</v>
      </c>
      <c r="E317" s="68">
        <v>1</v>
      </c>
    </row>
    <row r="318" spans="1:5" x14ac:dyDescent="0.25">
      <c r="A318" s="22" t="s">
        <v>249</v>
      </c>
      <c r="B318" s="19" t="s">
        <v>23</v>
      </c>
      <c r="C318" s="5">
        <v>36.410000000000004</v>
      </c>
      <c r="D318" s="53">
        <v>0</v>
      </c>
      <c r="E318" s="68">
        <v>1</v>
      </c>
    </row>
    <row r="319" spans="1:5" x14ac:dyDescent="0.25">
      <c r="A319" s="22" t="s">
        <v>250</v>
      </c>
      <c r="B319" s="19" t="s">
        <v>23</v>
      </c>
      <c r="C319" s="5">
        <v>31.009999999999998</v>
      </c>
      <c r="D319" s="53">
        <v>0</v>
      </c>
      <c r="E319" s="68">
        <v>1</v>
      </c>
    </row>
    <row r="320" spans="1:5" x14ac:dyDescent="0.25">
      <c r="A320" s="22" t="s">
        <v>251</v>
      </c>
      <c r="B320" s="19" t="s">
        <v>23</v>
      </c>
      <c r="C320" s="5">
        <v>9.16</v>
      </c>
      <c r="D320" s="53">
        <v>0</v>
      </c>
      <c r="E320" s="68">
        <v>1</v>
      </c>
    </row>
    <row r="321" spans="1:5" x14ac:dyDescent="0.25">
      <c r="A321" s="22" t="s">
        <v>252</v>
      </c>
      <c r="B321" s="19" t="s">
        <v>23</v>
      </c>
      <c r="C321" s="5">
        <v>9.16</v>
      </c>
      <c r="D321" s="53">
        <v>0</v>
      </c>
      <c r="E321" s="68">
        <v>1</v>
      </c>
    </row>
    <row r="322" spans="1:5" x14ac:dyDescent="0.25">
      <c r="A322" s="22" t="s">
        <v>253</v>
      </c>
      <c r="B322" s="19" t="s">
        <v>23</v>
      </c>
      <c r="C322" s="5">
        <v>2.52</v>
      </c>
      <c r="D322" s="53">
        <v>0</v>
      </c>
      <c r="E322" s="68">
        <v>1</v>
      </c>
    </row>
    <row r="323" spans="1:5" x14ac:dyDescent="0.25">
      <c r="A323" s="22" t="s">
        <v>254</v>
      </c>
      <c r="B323" s="19" t="s">
        <v>23</v>
      </c>
      <c r="C323" s="5">
        <v>2.52</v>
      </c>
      <c r="D323" s="53">
        <v>0</v>
      </c>
      <c r="E323" s="68">
        <v>1</v>
      </c>
    </row>
    <row r="324" spans="1:5" x14ac:dyDescent="0.25">
      <c r="A324" s="22" t="s">
        <v>255</v>
      </c>
      <c r="B324" s="19" t="s">
        <v>23</v>
      </c>
      <c r="C324" s="5">
        <v>11</v>
      </c>
      <c r="D324" s="53">
        <v>0</v>
      </c>
      <c r="E324" s="68">
        <v>1</v>
      </c>
    </row>
    <row r="325" spans="1:5" x14ac:dyDescent="0.25">
      <c r="A325" s="22" t="s">
        <v>256</v>
      </c>
      <c r="B325" s="19" t="s">
        <v>23</v>
      </c>
      <c r="C325" s="5">
        <v>4.83</v>
      </c>
      <c r="D325" s="53">
        <v>0</v>
      </c>
      <c r="E325" s="68">
        <v>1</v>
      </c>
    </row>
    <row r="326" spans="1:5" x14ac:dyDescent="0.25">
      <c r="A326" s="22" t="s">
        <v>257</v>
      </c>
      <c r="B326" s="19" t="s">
        <v>23</v>
      </c>
      <c r="C326" s="5">
        <v>11.46</v>
      </c>
      <c r="D326" s="53">
        <v>0</v>
      </c>
      <c r="E326" s="68">
        <v>1</v>
      </c>
    </row>
    <row r="327" spans="1:5" x14ac:dyDescent="0.25">
      <c r="A327" s="21" t="s">
        <v>30</v>
      </c>
      <c r="C327" s="5">
        <v>356.71000000000004</v>
      </c>
      <c r="D327" s="53">
        <v>0</v>
      </c>
      <c r="E327" s="68">
        <v>11</v>
      </c>
    </row>
    <row r="328" spans="1:5" x14ac:dyDescent="0.25">
      <c r="A328" s="22" t="s">
        <v>258</v>
      </c>
      <c r="B328" s="19" t="s">
        <v>23</v>
      </c>
      <c r="C328" s="5">
        <v>10.08</v>
      </c>
      <c r="D328" s="53">
        <v>0</v>
      </c>
      <c r="E328" s="68">
        <v>1</v>
      </c>
    </row>
    <row r="329" spans="1:5" x14ac:dyDescent="0.25">
      <c r="A329" s="22" t="s">
        <v>259</v>
      </c>
      <c r="B329" s="19" t="s">
        <v>23</v>
      </c>
      <c r="C329" s="5">
        <v>10.08</v>
      </c>
      <c r="D329" s="53">
        <v>0</v>
      </c>
      <c r="E329" s="68">
        <v>1</v>
      </c>
    </row>
    <row r="330" spans="1:5" x14ac:dyDescent="0.25">
      <c r="A330" s="22" t="s">
        <v>260</v>
      </c>
      <c r="B330" s="19" t="s">
        <v>23</v>
      </c>
      <c r="C330" s="5">
        <v>3.68</v>
      </c>
      <c r="D330" s="53">
        <v>0</v>
      </c>
      <c r="E330" s="68">
        <v>1</v>
      </c>
    </row>
    <row r="331" spans="1:5" x14ac:dyDescent="0.25">
      <c r="A331" s="22" t="s">
        <v>261</v>
      </c>
      <c r="B331" s="19" t="s">
        <v>23</v>
      </c>
      <c r="C331" s="5">
        <v>10.08</v>
      </c>
      <c r="D331" s="53">
        <v>0</v>
      </c>
      <c r="E331" s="68">
        <v>1</v>
      </c>
    </row>
    <row r="332" spans="1:5" x14ac:dyDescent="0.25">
      <c r="A332" s="22" t="s">
        <v>262</v>
      </c>
      <c r="B332" s="19" t="s">
        <v>23</v>
      </c>
      <c r="C332" s="5">
        <v>7.32</v>
      </c>
      <c r="D332" s="53">
        <v>0</v>
      </c>
      <c r="E332" s="68">
        <v>1</v>
      </c>
    </row>
    <row r="333" spans="1:5" x14ac:dyDescent="0.25">
      <c r="A333" s="22" t="s">
        <v>263</v>
      </c>
      <c r="B333" s="19" t="s">
        <v>23</v>
      </c>
      <c r="C333" s="5">
        <v>8.24</v>
      </c>
      <c r="D333" s="53">
        <v>0</v>
      </c>
      <c r="E333" s="68">
        <v>1</v>
      </c>
    </row>
    <row r="334" spans="1:5" x14ac:dyDescent="0.25">
      <c r="A334" s="22" t="s">
        <v>264</v>
      </c>
      <c r="B334" s="19" t="s">
        <v>23</v>
      </c>
      <c r="C334" s="5">
        <v>2.52</v>
      </c>
      <c r="D334" s="53">
        <v>0</v>
      </c>
      <c r="E334" s="68">
        <v>1</v>
      </c>
    </row>
    <row r="335" spans="1:5" x14ac:dyDescent="0.25">
      <c r="A335" s="22" t="s">
        <v>265</v>
      </c>
      <c r="B335" s="19" t="s">
        <v>23</v>
      </c>
      <c r="C335" s="5">
        <v>2.52</v>
      </c>
      <c r="D335" s="53">
        <v>0</v>
      </c>
      <c r="E335" s="68">
        <v>1</v>
      </c>
    </row>
    <row r="336" spans="1:5" x14ac:dyDescent="0.25">
      <c r="A336" s="22" t="s">
        <v>266</v>
      </c>
      <c r="B336" s="19" t="s">
        <v>23</v>
      </c>
      <c r="C336" s="5">
        <v>10</v>
      </c>
      <c r="D336" s="53">
        <v>0</v>
      </c>
      <c r="E336" s="68">
        <v>0</v>
      </c>
    </row>
    <row r="337" spans="1:5" x14ac:dyDescent="0.25">
      <c r="A337" s="22" t="s">
        <v>267</v>
      </c>
      <c r="B337" s="19" t="s">
        <v>23</v>
      </c>
      <c r="C337" s="5">
        <v>10</v>
      </c>
      <c r="D337" s="53">
        <v>0</v>
      </c>
      <c r="E337" s="68">
        <v>0</v>
      </c>
    </row>
    <row r="338" spans="1:5" x14ac:dyDescent="0.25">
      <c r="A338" s="22" t="s">
        <v>268</v>
      </c>
      <c r="B338" s="19" t="s">
        <v>23</v>
      </c>
      <c r="C338" s="5">
        <v>10</v>
      </c>
      <c r="D338" s="53">
        <v>0</v>
      </c>
      <c r="E338" s="68">
        <v>0</v>
      </c>
    </row>
    <row r="339" spans="1:5" x14ac:dyDescent="0.25">
      <c r="A339" s="22" t="s">
        <v>269</v>
      </c>
      <c r="B339" s="19" t="s">
        <v>23</v>
      </c>
      <c r="C339" s="5">
        <v>10</v>
      </c>
      <c r="D339" s="53">
        <v>0</v>
      </c>
      <c r="E339" s="68">
        <v>0</v>
      </c>
    </row>
    <row r="340" spans="1:5" x14ac:dyDescent="0.25">
      <c r="A340" s="22" t="s">
        <v>270</v>
      </c>
      <c r="B340" s="19" t="s">
        <v>23</v>
      </c>
      <c r="C340" s="5">
        <v>10</v>
      </c>
      <c r="D340" s="53">
        <v>0</v>
      </c>
      <c r="E340" s="68">
        <v>0</v>
      </c>
    </row>
    <row r="341" spans="1:5" x14ac:dyDescent="0.25">
      <c r="A341" s="22" t="s">
        <v>271</v>
      </c>
      <c r="B341" s="19" t="s">
        <v>23</v>
      </c>
      <c r="C341" s="5">
        <v>10</v>
      </c>
      <c r="D341" s="53">
        <v>0</v>
      </c>
      <c r="E341" s="68">
        <v>0</v>
      </c>
    </row>
    <row r="342" spans="1:5" x14ac:dyDescent="0.25">
      <c r="A342" s="22" t="s">
        <v>272</v>
      </c>
      <c r="B342" s="19" t="s">
        <v>23</v>
      </c>
      <c r="C342" s="5">
        <v>10</v>
      </c>
      <c r="D342" s="53">
        <v>0</v>
      </c>
      <c r="E342" s="68">
        <v>0</v>
      </c>
    </row>
    <row r="343" spans="1:5" x14ac:dyDescent="0.25">
      <c r="A343" s="22" t="s">
        <v>273</v>
      </c>
      <c r="B343" s="19" t="s">
        <v>23</v>
      </c>
      <c r="C343" s="5">
        <v>10</v>
      </c>
      <c r="D343" s="53">
        <v>0</v>
      </c>
      <c r="E343" s="68">
        <v>0</v>
      </c>
    </row>
    <row r="344" spans="1:5" x14ac:dyDescent="0.25">
      <c r="A344" s="22" t="s">
        <v>274</v>
      </c>
      <c r="B344" s="19" t="s">
        <v>23</v>
      </c>
      <c r="C344" s="5">
        <v>10</v>
      </c>
      <c r="D344" s="53">
        <v>0</v>
      </c>
      <c r="E344" s="68">
        <v>0</v>
      </c>
    </row>
    <row r="345" spans="1:5" x14ac:dyDescent="0.25">
      <c r="A345" s="22" t="s">
        <v>275</v>
      </c>
      <c r="B345" s="19" t="s">
        <v>23</v>
      </c>
      <c r="C345" s="5">
        <v>10</v>
      </c>
      <c r="D345" s="53">
        <v>0</v>
      </c>
      <c r="E345" s="68">
        <v>0</v>
      </c>
    </row>
    <row r="346" spans="1:5" x14ac:dyDescent="0.25">
      <c r="A346" s="22" t="s">
        <v>276</v>
      </c>
      <c r="B346" s="19" t="s">
        <v>23</v>
      </c>
      <c r="C346" s="5">
        <v>10</v>
      </c>
      <c r="D346" s="53">
        <v>0</v>
      </c>
      <c r="E346" s="68">
        <v>0</v>
      </c>
    </row>
    <row r="347" spans="1:5" x14ac:dyDescent="0.25">
      <c r="A347" s="22" t="s">
        <v>277</v>
      </c>
      <c r="B347" s="19" t="s">
        <v>23</v>
      </c>
      <c r="C347" s="5">
        <v>10</v>
      </c>
      <c r="D347" s="53">
        <v>0</v>
      </c>
      <c r="E347" s="68">
        <v>0</v>
      </c>
    </row>
    <row r="348" spans="1:5" x14ac:dyDescent="0.25">
      <c r="A348" s="22" t="s">
        <v>278</v>
      </c>
      <c r="B348" s="19" t="s">
        <v>23</v>
      </c>
      <c r="C348" s="5">
        <v>10</v>
      </c>
      <c r="D348" s="53">
        <v>0</v>
      </c>
      <c r="E348" s="68">
        <v>0</v>
      </c>
    </row>
    <row r="349" spans="1:5" x14ac:dyDescent="0.25">
      <c r="A349" s="22" t="s">
        <v>279</v>
      </c>
      <c r="B349" s="19" t="s">
        <v>23</v>
      </c>
      <c r="C349" s="5">
        <v>10</v>
      </c>
      <c r="D349" s="53">
        <v>0</v>
      </c>
      <c r="E349" s="68">
        <v>0</v>
      </c>
    </row>
    <row r="350" spans="1:5" x14ac:dyDescent="0.25">
      <c r="A350" s="22" t="s">
        <v>280</v>
      </c>
      <c r="B350" s="19" t="s">
        <v>23</v>
      </c>
      <c r="C350" s="5">
        <v>10</v>
      </c>
      <c r="D350" s="53">
        <v>0</v>
      </c>
      <c r="E350" s="68">
        <v>0</v>
      </c>
    </row>
    <row r="351" spans="1:5" x14ac:dyDescent="0.25">
      <c r="A351" s="22" t="s">
        <v>281</v>
      </c>
      <c r="B351" s="19" t="s">
        <v>23</v>
      </c>
      <c r="C351" s="5">
        <v>3.5</v>
      </c>
      <c r="D351" s="53">
        <v>0</v>
      </c>
      <c r="E351" s="68">
        <v>0</v>
      </c>
    </row>
    <row r="352" spans="1:5" x14ac:dyDescent="0.25">
      <c r="A352" s="22" t="s">
        <v>282</v>
      </c>
      <c r="B352" s="19" t="s">
        <v>23</v>
      </c>
      <c r="C352" s="5">
        <v>3.5</v>
      </c>
      <c r="D352" s="53">
        <v>0</v>
      </c>
      <c r="E352" s="68">
        <v>0</v>
      </c>
    </row>
    <row r="353" spans="1:5" x14ac:dyDescent="0.25">
      <c r="A353" s="22" t="s">
        <v>283</v>
      </c>
      <c r="B353" s="19" t="s">
        <v>23</v>
      </c>
      <c r="C353" s="5">
        <v>3.5</v>
      </c>
      <c r="D353" s="53">
        <v>0</v>
      </c>
      <c r="E353" s="68">
        <v>0</v>
      </c>
    </row>
    <row r="354" spans="1:5" x14ac:dyDescent="0.25">
      <c r="A354" s="22" t="s">
        <v>284</v>
      </c>
      <c r="B354" s="19" t="s">
        <v>23</v>
      </c>
      <c r="C354" s="5">
        <v>3.5</v>
      </c>
      <c r="D354" s="53">
        <v>0</v>
      </c>
      <c r="E354" s="68">
        <v>0</v>
      </c>
    </row>
    <row r="355" spans="1:5" x14ac:dyDescent="0.25">
      <c r="A355" s="22" t="s">
        <v>285</v>
      </c>
      <c r="B355" s="19" t="s">
        <v>23</v>
      </c>
      <c r="C355" s="5">
        <v>3.5</v>
      </c>
      <c r="D355" s="53">
        <v>0</v>
      </c>
      <c r="E355" s="68">
        <v>0</v>
      </c>
    </row>
    <row r="356" spans="1:5" x14ac:dyDescent="0.25">
      <c r="A356" s="22" t="s">
        <v>286</v>
      </c>
      <c r="B356" s="19" t="s">
        <v>23</v>
      </c>
      <c r="C356" s="5">
        <v>3.5</v>
      </c>
      <c r="D356" s="53">
        <v>0</v>
      </c>
      <c r="E356" s="68">
        <v>0</v>
      </c>
    </row>
    <row r="357" spans="1:5" x14ac:dyDescent="0.25">
      <c r="A357" s="22" t="s">
        <v>287</v>
      </c>
      <c r="B357" s="19" t="s">
        <v>23</v>
      </c>
      <c r="C357" s="5">
        <v>3.5</v>
      </c>
      <c r="D357" s="53">
        <v>0</v>
      </c>
      <c r="E357" s="68">
        <v>0</v>
      </c>
    </row>
    <row r="358" spans="1:5" x14ac:dyDescent="0.25">
      <c r="A358" s="22" t="s">
        <v>288</v>
      </c>
      <c r="B358" s="19" t="s">
        <v>23</v>
      </c>
      <c r="C358" s="5">
        <v>45</v>
      </c>
      <c r="D358" s="53">
        <v>0</v>
      </c>
      <c r="E358" s="68">
        <v>0</v>
      </c>
    </row>
    <row r="359" spans="1:5" x14ac:dyDescent="0.25">
      <c r="A359" s="22" t="s">
        <v>289</v>
      </c>
      <c r="B359" s="19" t="s">
        <v>23</v>
      </c>
      <c r="C359" s="5">
        <v>45</v>
      </c>
      <c r="D359" s="53">
        <v>0</v>
      </c>
      <c r="E359" s="68">
        <v>0</v>
      </c>
    </row>
    <row r="360" spans="1:5" x14ac:dyDescent="0.25">
      <c r="A360" s="22" t="s">
        <v>290</v>
      </c>
      <c r="B360" s="19" t="s">
        <v>23</v>
      </c>
      <c r="C360" s="5">
        <v>11.23</v>
      </c>
      <c r="D360" s="53">
        <v>0</v>
      </c>
      <c r="E360" s="68">
        <v>1</v>
      </c>
    </row>
    <row r="361" spans="1:5" x14ac:dyDescent="0.25">
      <c r="A361" s="22" t="s">
        <v>291</v>
      </c>
      <c r="B361" s="19" t="s">
        <v>23</v>
      </c>
      <c r="C361" s="5">
        <v>11.23</v>
      </c>
      <c r="D361" s="53">
        <v>0</v>
      </c>
      <c r="E361" s="68">
        <v>1</v>
      </c>
    </row>
    <row r="362" spans="1:5" x14ac:dyDescent="0.25">
      <c r="A362" s="22" t="s">
        <v>292</v>
      </c>
      <c r="B362" s="19" t="s">
        <v>23</v>
      </c>
      <c r="C362" s="5">
        <v>2</v>
      </c>
      <c r="D362" s="53">
        <v>0</v>
      </c>
      <c r="E362" s="68">
        <v>0</v>
      </c>
    </row>
    <row r="363" spans="1:5" x14ac:dyDescent="0.25">
      <c r="A363" s="22" t="s">
        <v>293</v>
      </c>
      <c r="B363" s="19" t="s">
        <v>23</v>
      </c>
      <c r="C363" s="5">
        <v>2</v>
      </c>
      <c r="D363" s="53">
        <v>0</v>
      </c>
      <c r="E363" s="68">
        <v>0</v>
      </c>
    </row>
    <row r="364" spans="1:5" x14ac:dyDescent="0.25">
      <c r="A364" s="22" t="s">
        <v>294</v>
      </c>
      <c r="B364" s="19" t="s">
        <v>23</v>
      </c>
      <c r="C364" s="5">
        <v>11.23</v>
      </c>
      <c r="D364" s="53">
        <v>0</v>
      </c>
      <c r="E364" s="68">
        <v>1</v>
      </c>
    </row>
    <row r="365" spans="1:5" x14ac:dyDescent="0.25">
      <c r="A365" s="21" t="s">
        <v>295</v>
      </c>
      <c r="C365" s="5">
        <v>304.47000000000003</v>
      </c>
      <c r="D365" s="53">
        <v>0</v>
      </c>
      <c r="E365" s="68">
        <v>24</v>
      </c>
    </row>
    <row r="366" spans="1:5" x14ac:dyDescent="0.25">
      <c r="A366" s="22" t="s">
        <v>296</v>
      </c>
      <c r="B366" s="19" t="s">
        <v>23</v>
      </c>
      <c r="C366" s="5">
        <v>10.08</v>
      </c>
      <c r="D366" s="53">
        <v>0</v>
      </c>
      <c r="E366" s="68">
        <v>1</v>
      </c>
    </row>
    <row r="367" spans="1:5" x14ac:dyDescent="0.25">
      <c r="A367" s="22" t="s">
        <v>297</v>
      </c>
      <c r="B367" s="19" t="s">
        <v>23</v>
      </c>
      <c r="C367" s="5">
        <v>11.23</v>
      </c>
      <c r="D367" s="53">
        <v>0</v>
      </c>
      <c r="E367" s="68">
        <v>1</v>
      </c>
    </row>
    <row r="368" spans="1:5" x14ac:dyDescent="0.25">
      <c r="A368" s="22" t="s">
        <v>298</v>
      </c>
      <c r="B368" s="19" t="s">
        <v>23</v>
      </c>
      <c r="C368" s="5">
        <v>10.08</v>
      </c>
      <c r="D368" s="53">
        <v>0</v>
      </c>
      <c r="E368" s="68">
        <v>1</v>
      </c>
    </row>
    <row r="369" spans="1:5" x14ac:dyDescent="0.25">
      <c r="A369" s="22" t="s">
        <v>299</v>
      </c>
      <c r="B369" s="19" t="s">
        <v>23</v>
      </c>
      <c r="C369" s="5">
        <v>11.23</v>
      </c>
      <c r="D369" s="53">
        <v>0</v>
      </c>
      <c r="E369" s="68">
        <v>1</v>
      </c>
    </row>
    <row r="370" spans="1:5" x14ac:dyDescent="0.25">
      <c r="A370" s="22" t="s">
        <v>300</v>
      </c>
      <c r="B370" s="19" t="s">
        <v>23</v>
      </c>
      <c r="C370" s="5">
        <v>10.08</v>
      </c>
      <c r="D370" s="53">
        <v>0</v>
      </c>
      <c r="E370" s="68">
        <v>1</v>
      </c>
    </row>
    <row r="371" spans="1:5" x14ac:dyDescent="0.25">
      <c r="A371" s="22" t="s">
        <v>301</v>
      </c>
      <c r="B371" s="19" t="s">
        <v>23</v>
      </c>
      <c r="C371" s="5">
        <v>11.23</v>
      </c>
      <c r="D371" s="53">
        <v>0</v>
      </c>
      <c r="E371" s="68">
        <v>1</v>
      </c>
    </row>
    <row r="372" spans="1:5" x14ac:dyDescent="0.25">
      <c r="A372" s="22" t="s">
        <v>302</v>
      </c>
      <c r="B372" s="19" t="s">
        <v>23</v>
      </c>
      <c r="C372" s="5">
        <v>10.08</v>
      </c>
      <c r="D372" s="53">
        <v>0</v>
      </c>
      <c r="E372" s="68">
        <v>1</v>
      </c>
    </row>
    <row r="373" spans="1:5" x14ac:dyDescent="0.25">
      <c r="A373" s="22" t="s">
        <v>303</v>
      </c>
      <c r="B373" s="19" t="s">
        <v>23</v>
      </c>
      <c r="C373" s="5">
        <v>11.23</v>
      </c>
      <c r="D373" s="53">
        <v>0</v>
      </c>
      <c r="E373" s="68">
        <v>1</v>
      </c>
    </row>
    <row r="374" spans="1:5" x14ac:dyDescent="0.25">
      <c r="A374" s="22" t="s">
        <v>304</v>
      </c>
      <c r="B374" s="19" t="s">
        <v>23</v>
      </c>
      <c r="C374" s="5">
        <v>10.08</v>
      </c>
      <c r="D374" s="53">
        <v>0</v>
      </c>
      <c r="E374" s="68">
        <v>1</v>
      </c>
    </row>
    <row r="375" spans="1:5" x14ac:dyDescent="0.25">
      <c r="A375" s="22" t="s">
        <v>305</v>
      </c>
      <c r="B375" s="19" t="s">
        <v>23</v>
      </c>
      <c r="C375" s="5">
        <v>11.23</v>
      </c>
      <c r="D375" s="53">
        <v>0</v>
      </c>
      <c r="E375" s="68">
        <v>1</v>
      </c>
    </row>
    <row r="376" spans="1:5" x14ac:dyDescent="0.25">
      <c r="A376" s="22" t="s">
        <v>306</v>
      </c>
      <c r="B376" s="19" t="s">
        <v>23</v>
      </c>
      <c r="C376" s="5">
        <v>2.52</v>
      </c>
      <c r="D376" s="53">
        <v>0</v>
      </c>
      <c r="E376" s="68">
        <v>1</v>
      </c>
    </row>
    <row r="377" spans="1:5" x14ac:dyDescent="0.25">
      <c r="A377" s="22" t="s">
        <v>307</v>
      </c>
      <c r="B377" s="19" t="s">
        <v>23</v>
      </c>
      <c r="C377" s="5">
        <v>1.84</v>
      </c>
      <c r="D377" s="53">
        <v>0</v>
      </c>
      <c r="E377" s="68">
        <v>1</v>
      </c>
    </row>
    <row r="378" spans="1:5" x14ac:dyDescent="0.25">
      <c r="A378" s="22" t="s">
        <v>308</v>
      </c>
      <c r="B378" s="19" t="s">
        <v>23</v>
      </c>
      <c r="C378" s="5">
        <v>8.24</v>
      </c>
      <c r="D378" s="53">
        <v>0</v>
      </c>
      <c r="E378" s="68">
        <v>1</v>
      </c>
    </row>
    <row r="379" spans="1:5" x14ac:dyDescent="0.25">
      <c r="A379" s="22" t="s">
        <v>309</v>
      </c>
      <c r="B379" s="19" t="s">
        <v>23</v>
      </c>
      <c r="C379" s="5">
        <v>2.52</v>
      </c>
      <c r="D379" s="53">
        <v>0</v>
      </c>
      <c r="E379" s="68">
        <v>1</v>
      </c>
    </row>
    <row r="380" spans="1:5" x14ac:dyDescent="0.25">
      <c r="A380" s="22" t="s">
        <v>310</v>
      </c>
      <c r="B380" s="19" t="s">
        <v>23</v>
      </c>
      <c r="C380" s="5">
        <v>10</v>
      </c>
      <c r="D380" s="53">
        <v>0</v>
      </c>
      <c r="E380" s="68">
        <v>0</v>
      </c>
    </row>
    <row r="381" spans="1:5" x14ac:dyDescent="0.25">
      <c r="A381" s="22" t="s">
        <v>311</v>
      </c>
      <c r="B381" s="19" t="s">
        <v>23</v>
      </c>
      <c r="C381" s="5">
        <v>10</v>
      </c>
      <c r="D381" s="53">
        <v>0</v>
      </c>
      <c r="E381" s="68">
        <v>0</v>
      </c>
    </row>
    <row r="382" spans="1:5" x14ac:dyDescent="0.25">
      <c r="A382" s="22" t="s">
        <v>312</v>
      </c>
      <c r="B382" s="19" t="s">
        <v>23</v>
      </c>
      <c r="C382" s="5">
        <v>3.5</v>
      </c>
      <c r="D382" s="53">
        <v>0</v>
      </c>
      <c r="E382" s="68">
        <v>0</v>
      </c>
    </row>
    <row r="383" spans="1:5" x14ac:dyDescent="0.25">
      <c r="A383" s="22" t="s">
        <v>313</v>
      </c>
      <c r="B383" s="19" t="s">
        <v>23</v>
      </c>
      <c r="C383" s="5">
        <v>45</v>
      </c>
      <c r="D383" s="53">
        <v>0</v>
      </c>
      <c r="E383" s="68">
        <v>0</v>
      </c>
    </row>
    <row r="384" spans="1:5" x14ac:dyDescent="0.25">
      <c r="A384" s="22" t="s">
        <v>314</v>
      </c>
      <c r="B384" s="19" t="s">
        <v>23</v>
      </c>
      <c r="C384" s="5">
        <v>11.23</v>
      </c>
      <c r="D384" s="53">
        <v>0</v>
      </c>
      <c r="E384" s="68">
        <v>1</v>
      </c>
    </row>
    <row r="385" spans="1:5" x14ac:dyDescent="0.25">
      <c r="A385" s="22" t="s">
        <v>315</v>
      </c>
      <c r="B385" s="19" t="s">
        <v>23</v>
      </c>
      <c r="C385" s="5">
        <v>11.23</v>
      </c>
      <c r="D385" s="53">
        <v>0</v>
      </c>
      <c r="E385" s="68">
        <v>1</v>
      </c>
    </row>
    <row r="386" spans="1:5" x14ac:dyDescent="0.25">
      <c r="A386" s="22" t="s">
        <v>316</v>
      </c>
      <c r="B386" s="19" t="s">
        <v>23</v>
      </c>
      <c r="C386" s="5">
        <v>11.23</v>
      </c>
      <c r="D386" s="53">
        <v>0</v>
      </c>
      <c r="E386" s="68">
        <v>1</v>
      </c>
    </row>
    <row r="387" spans="1:5" x14ac:dyDescent="0.25">
      <c r="A387" s="22" t="s">
        <v>317</v>
      </c>
      <c r="B387" s="19" t="s">
        <v>23</v>
      </c>
      <c r="C387" s="5">
        <v>11.23</v>
      </c>
      <c r="D387" s="53">
        <v>0</v>
      </c>
      <c r="E387" s="68">
        <v>1</v>
      </c>
    </row>
    <row r="388" spans="1:5" x14ac:dyDescent="0.25">
      <c r="A388" s="22" t="s">
        <v>318</v>
      </c>
      <c r="B388" s="19" t="s">
        <v>23</v>
      </c>
      <c r="C388" s="5">
        <v>11.23</v>
      </c>
      <c r="D388" s="53">
        <v>0</v>
      </c>
      <c r="E388" s="68">
        <v>1</v>
      </c>
    </row>
    <row r="389" spans="1:5" x14ac:dyDescent="0.25">
      <c r="A389" s="22" t="s">
        <v>319</v>
      </c>
      <c r="B389" s="19" t="s">
        <v>23</v>
      </c>
      <c r="C389" s="5">
        <v>11.23</v>
      </c>
      <c r="D389" s="53">
        <v>0</v>
      </c>
      <c r="E389" s="68">
        <v>1</v>
      </c>
    </row>
    <row r="390" spans="1:5" x14ac:dyDescent="0.25">
      <c r="A390" s="22" t="s">
        <v>320</v>
      </c>
      <c r="B390" s="19" t="s">
        <v>23</v>
      </c>
      <c r="C390" s="5">
        <v>11.23</v>
      </c>
      <c r="D390" s="53">
        <v>0</v>
      </c>
      <c r="E390" s="68">
        <v>1</v>
      </c>
    </row>
    <row r="391" spans="1:5" x14ac:dyDescent="0.25">
      <c r="A391" s="22" t="s">
        <v>321</v>
      </c>
      <c r="B391" s="19" t="s">
        <v>23</v>
      </c>
      <c r="C391" s="5">
        <v>11.23</v>
      </c>
      <c r="D391" s="53">
        <v>0</v>
      </c>
      <c r="E391" s="68">
        <v>1</v>
      </c>
    </row>
    <row r="392" spans="1:5" x14ac:dyDescent="0.25">
      <c r="A392" s="22" t="s">
        <v>322</v>
      </c>
      <c r="B392" s="19" t="s">
        <v>23</v>
      </c>
      <c r="C392" s="5">
        <v>11.23</v>
      </c>
      <c r="D392" s="53">
        <v>0</v>
      </c>
      <c r="E392" s="68">
        <v>1</v>
      </c>
    </row>
    <row r="393" spans="1:5" x14ac:dyDescent="0.25">
      <c r="A393" s="22" t="s">
        <v>323</v>
      </c>
      <c r="B393" s="19" t="s">
        <v>23</v>
      </c>
      <c r="C393" s="5">
        <v>11.23</v>
      </c>
      <c r="D393" s="53">
        <v>0</v>
      </c>
      <c r="E393" s="68">
        <v>1</v>
      </c>
    </row>
    <row r="394" spans="1:5" x14ac:dyDescent="0.25">
      <c r="A394" s="22" t="s">
        <v>324</v>
      </c>
      <c r="B394" s="19" t="s">
        <v>23</v>
      </c>
      <c r="C394" s="5">
        <v>2</v>
      </c>
      <c r="D394" s="53">
        <v>0</v>
      </c>
      <c r="E394" s="68">
        <v>0</v>
      </c>
    </row>
    <row r="395" spans="1:5" x14ac:dyDescent="0.25">
      <c r="A395" s="20" t="s">
        <v>325</v>
      </c>
      <c r="C395" s="5">
        <v>24.490000000000002</v>
      </c>
      <c r="D395" s="53">
        <v>0</v>
      </c>
      <c r="E395" s="68">
        <v>3</v>
      </c>
    </row>
    <row r="396" spans="1:5" x14ac:dyDescent="0.25">
      <c r="A396" s="21" t="s">
        <v>30</v>
      </c>
      <c r="C396" s="5">
        <v>18.090000000000003</v>
      </c>
      <c r="D396" s="53">
        <v>0</v>
      </c>
      <c r="E396" s="68">
        <v>2</v>
      </c>
    </row>
    <row r="397" spans="1:5" x14ac:dyDescent="0.25">
      <c r="A397" s="22" t="s">
        <v>326</v>
      </c>
      <c r="B397" s="19" t="s">
        <v>23</v>
      </c>
      <c r="C397" s="5">
        <v>11.690000000000001</v>
      </c>
      <c r="D397" s="53">
        <v>0</v>
      </c>
      <c r="E397" s="68">
        <v>1</v>
      </c>
    </row>
    <row r="398" spans="1:5" x14ac:dyDescent="0.25">
      <c r="A398" s="22" t="s">
        <v>1359</v>
      </c>
      <c r="B398" s="19" t="s">
        <v>23</v>
      </c>
      <c r="C398" s="5">
        <v>6.4</v>
      </c>
      <c r="D398" s="53">
        <v>0</v>
      </c>
      <c r="E398" s="68">
        <v>1</v>
      </c>
    </row>
    <row r="399" spans="1:5" x14ac:dyDescent="0.25">
      <c r="A399" s="21" t="s">
        <v>295</v>
      </c>
      <c r="C399" s="5">
        <v>6.4</v>
      </c>
      <c r="D399" s="53">
        <v>0</v>
      </c>
      <c r="E399" s="68">
        <v>1</v>
      </c>
    </row>
    <row r="400" spans="1:5" x14ac:dyDescent="0.25">
      <c r="A400" s="22" t="s">
        <v>1358</v>
      </c>
      <c r="B400" s="19" t="s">
        <v>23</v>
      </c>
      <c r="C400" s="5">
        <v>6.4</v>
      </c>
      <c r="D400" s="53">
        <v>0</v>
      </c>
      <c r="E400" s="68">
        <v>1</v>
      </c>
    </row>
    <row r="401" spans="1:5" x14ac:dyDescent="0.25">
      <c r="A401" s="19" t="s">
        <v>327</v>
      </c>
      <c r="C401" s="5">
        <v>13.3</v>
      </c>
      <c r="D401" s="53">
        <v>0</v>
      </c>
      <c r="E401" s="68">
        <v>1</v>
      </c>
    </row>
    <row r="402" spans="1:5" x14ac:dyDescent="0.25">
      <c r="A402" s="20" t="s">
        <v>328</v>
      </c>
      <c r="C402" s="5">
        <v>13.3</v>
      </c>
      <c r="D402" s="53">
        <v>0</v>
      </c>
      <c r="E402" s="68">
        <v>1</v>
      </c>
    </row>
    <row r="403" spans="1:5" x14ac:dyDescent="0.25">
      <c r="A403" s="21" t="s">
        <v>6</v>
      </c>
      <c r="C403" s="5">
        <v>13.3</v>
      </c>
      <c r="D403" s="53">
        <v>0</v>
      </c>
      <c r="E403" s="68">
        <v>1</v>
      </c>
    </row>
    <row r="404" spans="1:5" x14ac:dyDescent="0.25">
      <c r="A404" s="22" t="s">
        <v>329</v>
      </c>
      <c r="B404" s="19" t="s">
        <v>23</v>
      </c>
      <c r="C404" s="5">
        <v>13.3</v>
      </c>
      <c r="D404" s="53">
        <v>0</v>
      </c>
      <c r="E404" s="68">
        <v>1</v>
      </c>
    </row>
    <row r="405" spans="1:5" x14ac:dyDescent="0.25">
      <c r="A405" s="19" t="s">
        <v>331</v>
      </c>
      <c r="C405" s="5">
        <v>5.73</v>
      </c>
      <c r="D405" s="53">
        <v>0</v>
      </c>
      <c r="E405" s="68">
        <v>2</v>
      </c>
    </row>
    <row r="406" spans="1:5" x14ac:dyDescent="0.25">
      <c r="A406" s="20" t="s">
        <v>1382</v>
      </c>
      <c r="C406" s="5">
        <v>5.73</v>
      </c>
      <c r="D406" s="53">
        <v>0</v>
      </c>
      <c r="E406" s="68">
        <v>2</v>
      </c>
    </row>
    <row r="407" spans="1:5" x14ac:dyDescent="0.25">
      <c r="A407" s="21" t="s">
        <v>30</v>
      </c>
      <c r="C407" s="5">
        <v>5.73</v>
      </c>
      <c r="D407" s="53">
        <v>0</v>
      </c>
      <c r="E407" s="68">
        <v>2</v>
      </c>
    </row>
    <row r="408" spans="1:5" x14ac:dyDescent="0.25">
      <c r="A408" s="22" t="s">
        <v>332</v>
      </c>
      <c r="B408" s="19" t="s">
        <v>23</v>
      </c>
      <c r="C408" s="5">
        <v>2.9800000000000004</v>
      </c>
      <c r="D408" s="53">
        <v>0</v>
      </c>
      <c r="E408" s="68">
        <v>1</v>
      </c>
    </row>
    <row r="409" spans="1:5" x14ac:dyDescent="0.25">
      <c r="A409" s="22" t="s">
        <v>333</v>
      </c>
      <c r="B409" s="19" t="s">
        <v>23</v>
      </c>
      <c r="C409" s="5">
        <v>2.75</v>
      </c>
      <c r="D409" s="53">
        <v>0</v>
      </c>
      <c r="E409" s="68">
        <v>1</v>
      </c>
    </row>
    <row r="410" spans="1:5" x14ac:dyDescent="0.25">
      <c r="A410" s="19" t="s">
        <v>334</v>
      </c>
      <c r="C410" s="5">
        <v>30.8</v>
      </c>
      <c r="D410" s="53">
        <v>297.49</v>
      </c>
      <c r="E410" s="68">
        <v>1</v>
      </c>
    </row>
    <row r="411" spans="1:5" x14ac:dyDescent="0.25">
      <c r="A411" s="20" t="s">
        <v>335</v>
      </c>
      <c r="C411" s="5">
        <v>30.8</v>
      </c>
      <c r="D411" s="53">
        <v>297.49</v>
      </c>
      <c r="E411" s="68">
        <v>1</v>
      </c>
    </row>
    <row r="412" spans="1:5" x14ac:dyDescent="0.25">
      <c r="A412" s="21" t="s">
        <v>84</v>
      </c>
      <c r="C412" s="5">
        <v>30.8</v>
      </c>
      <c r="D412" s="53">
        <v>297.49</v>
      </c>
      <c r="E412" s="68">
        <v>1</v>
      </c>
    </row>
    <row r="413" spans="1:5" x14ac:dyDescent="0.25">
      <c r="A413" s="22" t="s">
        <v>336</v>
      </c>
      <c r="B413" s="19" t="s">
        <v>23</v>
      </c>
      <c r="C413" s="5">
        <v>30.8</v>
      </c>
      <c r="D413" s="53">
        <v>297.49</v>
      </c>
      <c r="E413" s="68">
        <v>1</v>
      </c>
    </row>
    <row r="414" spans="1:5" x14ac:dyDescent="0.25">
      <c r="A414" s="19" t="s">
        <v>337</v>
      </c>
      <c r="C414" s="5">
        <v>6.8800000000000008</v>
      </c>
      <c r="D414" s="53">
        <v>0</v>
      </c>
      <c r="E414" s="68">
        <v>1</v>
      </c>
    </row>
    <row r="415" spans="1:5" x14ac:dyDescent="0.25">
      <c r="A415" s="20" t="s">
        <v>338</v>
      </c>
      <c r="C415" s="5">
        <v>6.8800000000000008</v>
      </c>
      <c r="D415" s="53">
        <v>0</v>
      </c>
      <c r="E415" s="68">
        <v>1</v>
      </c>
    </row>
    <row r="416" spans="1:5" x14ac:dyDescent="0.25">
      <c r="A416" s="21" t="s">
        <v>93</v>
      </c>
      <c r="C416" s="5">
        <v>6.8800000000000008</v>
      </c>
      <c r="D416" s="53">
        <v>0</v>
      </c>
      <c r="E416" s="68">
        <v>1</v>
      </c>
    </row>
    <row r="417" spans="1:5" x14ac:dyDescent="0.25">
      <c r="A417" s="22" t="s">
        <v>339</v>
      </c>
      <c r="B417" s="19" t="s">
        <v>23</v>
      </c>
      <c r="C417" s="5">
        <v>6.8800000000000008</v>
      </c>
      <c r="D417" s="53">
        <v>0</v>
      </c>
      <c r="E417" s="68">
        <v>1</v>
      </c>
    </row>
    <row r="418" spans="1:5" x14ac:dyDescent="0.25">
      <c r="A418" s="19" t="s">
        <v>340</v>
      </c>
      <c r="C418" s="5">
        <v>4.0400000000000009</v>
      </c>
      <c r="D418" s="53">
        <v>0</v>
      </c>
      <c r="E418" s="68">
        <v>0.1</v>
      </c>
    </row>
    <row r="419" spans="1:5" x14ac:dyDescent="0.25">
      <c r="A419" s="20" t="s">
        <v>341</v>
      </c>
      <c r="C419" s="5">
        <v>4.0400000000000009</v>
      </c>
      <c r="D419" s="53">
        <v>0</v>
      </c>
      <c r="E419" s="68">
        <v>0.1</v>
      </c>
    </row>
    <row r="420" spans="1:5" x14ac:dyDescent="0.25">
      <c r="A420" s="21" t="s">
        <v>93</v>
      </c>
      <c r="C420" s="5">
        <v>4.0400000000000009</v>
      </c>
      <c r="D420" s="53">
        <v>0</v>
      </c>
      <c r="E420" s="68">
        <v>0.1</v>
      </c>
    </row>
    <row r="421" spans="1:5" x14ac:dyDescent="0.25">
      <c r="A421" s="22" t="s">
        <v>123</v>
      </c>
      <c r="B421" s="19" t="s">
        <v>23</v>
      </c>
      <c r="C421" s="5">
        <v>4.0400000000000009</v>
      </c>
      <c r="D421" s="53">
        <v>0</v>
      </c>
      <c r="E421" s="68">
        <v>0.1</v>
      </c>
    </row>
    <row r="422" spans="1:5" x14ac:dyDescent="0.25">
      <c r="A422" s="19" t="s">
        <v>344</v>
      </c>
      <c r="C422" s="5">
        <v>2749.6999999999994</v>
      </c>
      <c r="D422" s="53">
        <v>1465.0400000000002</v>
      </c>
      <c r="E422" s="68">
        <v>172.00000000000003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422"/>
  <sheetViews>
    <sheetView tabSelected="1" zoomScale="85" zoomScaleNormal="85" workbookViewId="0">
      <selection activeCell="Q12" sqref="Q12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0" t="s">
        <v>2</v>
      </c>
      <c r="D3" s="60" t="s">
        <v>3</v>
      </c>
      <c r="E3" s="60" t="s">
        <v>4</v>
      </c>
    </row>
    <row r="4" spans="1:5" x14ac:dyDescent="0.25">
      <c r="A4" s="19" t="s">
        <v>5</v>
      </c>
      <c r="C4" s="53">
        <v>1173.7733675318161</v>
      </c>
      <c r="D4" s="53">
        <v>333.37</v>
      </c>
      <c r="E4" s="68">
        <v>29.333333333333332</v>
      </c>
    </row>
    <row r="5" spans="1:5" x14ac:dyDescent="0.25">
      <c r="A5" s="20" t="s">
        <v>1361</v>
      </c>
      <c r="C5" s="53">
        <v>351.95462155165842</v>
      </c>
      <c r="D5" s="53">
        <v>0</v>
      </c>
      <c r="E5" s="68">
        <v>10</v>
      </c>
    </row>
    <row r="6" spans="1:5" x14ac:dyDescent="0.25">
      <c r="A6" s="21" t="s">
        <v>6</v>
      </c>
      <c r="C6" s="53">
        <v>44.671104177306518</v>
      </c>
      <c r="D6" s="53">
        <v>0</v>
      </c>
      <c r="E6" s="68">
        <v>1</v>
      </c>
    </row>
    <row r="7" spans="1:5" x14ac:dyDescent="0.25">
      <c r="A7" s="22" t="s">
        <v>7</v>
      </c>
      <c r="B7" s="19" t="s">
        <v>8</v>
      </c>
      <c r="C7" s="53">
        <v>44.671104177306518</v>
      </c>
      <c r="D7" s="53">
        <v>0</v>
      </c>
      <c r="E7" s="68">
        <v>1</v>
      </c>
    </row>
    <row r="8" spans="1:5" x14ac:dyDescent="0.25">
      <c r="A8" s="21" t="s">
        <v>9</v>
      </c>
      <c r="C8" s="53">
        <v>16.967615536960352</v>
      </c>
      <c r="D8" s="53">
        <v>0</v>
      </c>
      <c r="E8" s="68">
        <v>1.5</v>
      </c>
    </row>
    <row r="9" spans="1:5" x14ac:dyDescent="0.25">
      <c r="A9" s="22" t="s">
        <v>10</v>
      </c>
      <c r="B9" s="19" t="s">
        <v>11</v>
      </c>
      <c r="C9" s="53">
        <v>7.7742529369345608</v>
      </c>
      <c r="D9" s="53">
        <v>0</v>
      </c>
      <c r="E9" s="68">
        <v>0.5</v>
      </c>
    </row>
    <row r="10" spans="1:5" x14ac:dyDescent="0.25">
      <c r="A10" s="22" t="s">
        <v>12</v>
      </c>
      <c r="B10" s="19" t="s">
        <v>8</v>
      </c>
      <c r="C10" s="53">
        <v>9.1933626000257895</v>
      </c>
      <c r="D10" s="53">
        <v>0</v>
      </c>
      <c r="E10" s="68">
        <v>1</v>
      </c>
    </row>
    <row r="11" spans="1:5" x14ac:dyDescent="0.25">
      <c r="A11" s="21" t="s">
        <v>13</v>
      </c>
      <c r="C11" s="53">
        <v>9.2087877050593896</v>
      </c>
      <c r="D11" s="53">
        <v>0</v>
      </c>
      <c r="E11" s="68">
        <v>0.5</v>
      </c>
    </row>
    <row r="12" spans="1:5" x14ac:dyDescent="0.25">
      <c r="A12" s="22" t="s">
        <v>14</v>
      </c>
      <c r="B12" s="19" t="s">
        <v>15</v>
      </c>
      <c r="C12" s="53">
        <v>9.2087877050593896</v>
      </c>
      <c r="D12" s="53">
        <v>0</v>
      </c>
      <c r="E12" s="68">
        <v>0.5</v>
      </c>
    </row>
    <row r="13" spans="1:5" x14ac:dyDescent="0.25">
      <c r="A13" s="21" t="s">
        <v>16</v>
      </c>
      <c r="C13" s="53">
        <v>51.550701022292259</v>
      </c>
      <c r="D13" s="53">
        <v>0</v>
      </c>
      <c r="E13" s="68">
        <v>1</v>
      </c>
    </row>
    <row r="14" spans="1:5" x14ac:dyDescent="0.25">
      <c r="A14" s="22" t="s">
        <v>17</v>
      </c>
      <c r="B14" s="19" t="s">
        <v>18</v>
      </c>
      <c r="C14" s="53">
        <v>51.550701022292259</v>
      </c>
      <c r="D14" s="53">
        <v>0</v>
      </c>
      <c r="E14" s="68">
        <v>1</v>
      </c>
    </row>
    <row r="15" spans="1:5" x14ac:dyDescent="0.25">
      <c r="A15" s="21" t="s">
        <v>19</v>
      </c>
      <c r="C15" s="53">
        <v>79.809493443848041</v>
      </c>
      <c r="D15" s="53">
        <v>0</v>
      </c>
      <c r="E15" s="68">
        <v>2</v>
      </c>
    </row>
    <row r="16" spans="1:5" x14ac:dyDescent="0.25">
      <c r="A16" s="22" t="s">
        <v>20</v>
      </c>
      <c r="B16" s="19" t="s">
        <v>21</v>
      </c>
      <c r="C16" s="53">
        <v>51.550701022292259</v>
      </c>
      <c r="D16" s="53">
        <v>0</v>
      </c>
      <c r="E16" s="68">
        <v>1</v>
      </c>
    </row>
    <row r="17" spans="1:5" x14ac:dyDescent="0.25">
      <c r="A17" s="22" t="s">
        <v>22</v>
      </c>
      <c r="B17" s="19" t="s">
        <v>23</v>
      </c>
      <c r="C17" s="53">
        <v>28.258792421555782</v>
      </c>
      <c r="D17" s="53">
        <v>0</v>
      </c>
      <c r="E17" s="68">
        <v>1</v>
      </c>
    </row>
    <row r="18" spans="1:5" x14ac:dyDescent="0.25">
      <c r="A18" s="21" t="s">
        <v>24</v>
      </c>
      <c r="C18" s="53">
        <v>51.550701022292259</v>
      </c>
      <c r="D18" s="53">
        <v>0</v>
      </c>
      <c r="E18" s="68">
        <v>1</v>
      </c>
    </row>
    <row r="19" spans="1:5" x14ac:dyDescent="0.25">
      <c r="A19" s="22" t="s">
        <v>25</v>
      </c>
      <c r="B19" s="19" t="s">
        <v>18</v>
      </c>
      <c r="C19" s="53">
        <v>51.550701022292259</v>
      </c>
      <c r="D19" s="53">
        <v>0</v>
      </c>
      <c r="E19" s="68">
        <v>1</v>
      </c>
    </row>
    <row r="20" spans="1:5" x14ac:dyDescent="0.25">
      <c r="A20" s="21" t="s">
        <v>26</v>
      </c>
      <c r="C20" s="53">
        <v>98.196218643899613</v>
      </c>
      <c r="D20" s="53">
        <v>0</v>
      </c>
      <c r="E20" s="68">
        <v>3</v>
      </c>
    </row>
    <row r="21" spans="1:5" x14ac:dyDescent="0.25">
      <c r="A21" s="22" t="s">
        <v>27</v>
      </c>
      <c r="B21" s="19" t="s">
        <v>21</v>
      </c>
      <c r="C21" s="53">
        <v>51.550701022292259</v>
      </c>
      <c r="D21" s="53">
        <v>0</v>
      </c>
      <c r="E21" s="68">
        <v>1</v>
      </c>
    </row>
    <row r="22" spans="1:5" x14ac:dyDescent="0.25">
      <c r="A22" s="22" t="s">
        <v>28</v>
      </c>
      <c r="B22" s="19" t="s">
        <v>23</v>
      </c>
      <c r="C22" s="53">
        <v>28.258792421555782</v>
      </c>
      <c r="D22" s="53">
        <v>0</v>
      </c>
      <c r="E22" s="68">
        <v>1</v>
      </c>
    </row>
    <row r="23" spans="1:5" x14ac:dyDescent="0.25">
      <c r="A23" s="22" t="s">
        <v>29</v>
      </c>
      <c r="B23" s="19" t="s">
        <v>23</v>
      </c>
      <c r="C23" s="53">
        <v>18.386725200051579</v>
      </c>
      <c r="D23" s="53">
        <v>0</v>
      </c>
      <c r="E23" s="68">
        <v>1</v>
      </c>
    </row>
    <row r="24" spans="1:5" x14ac:dyDescent="0.25">
      <c r="A24" s="20" t="s">
        <v>1362</v>
      </c>
      <c r="C24" s="53">
        <v>10.61247226311702</v>
      </c>
      <c r="D24" s="53">
        <v>0</v>
      </c>
      <c r="E24" s="68">
        <v>1</v>
      </c>
    </row>
    <row r="25" spans="1:5" x14ac:dyDescent="0.25">
      <c r="A25" s="21" t="s">
        <v>30</v>
      </c>
      <c r="C25" s="53">
        <v>10.61247226311702</v>
      </c>
      <c r="D25" s="53">
        <v>0</v>
      </c>
      <c r="E25" s="68">
        <v>1</v>
      </c>
    </row>
    <row r="26" spans="1:5" x14ac:dyDescent="0.25">
      <c r="A26" s="22" t="s">
        <v>31</v>
      </c>
      <c r="B26" s="19" t="s">
        <v>23</v>
      </c>
      <c r="C26" s="53">
        <v>10.61247226311702</v>
      </c>
      <c r="D26" s="53">
        <v>0</v>
      </c>
      <c r="E26" s="68">
        <v>1</v>
      </c>
    </row>
    <row r="27" spans="1:5" x14ac:dyDescent="0.25">
      <c r="A27" s="20" t="s">
        <v>1363</v>
      </c>
      <c r="C27" s="53">
        <v>793.52910334853482</v>
      </c>
      <c r="D27" s="53">
        <v>333.37</v>
      </c>
      <c r="E27" s="68">
        <v>17.333333333333336</v>
      </c>
    </row>
    <row r="28" spans="1:5" x14ac:dyDescent="0.25">
      <c r="A28" s="21" t="s">
        <v>6</v>
      </c>
      <c r="C28" s="53">
        <v>158.64720527057929</v>
      </c>
      <c r="D28" s="53">
        <v>11.96</v>
      </c>
      <c r="E28" s="68">
        <v>4.5</v>
      </c>
    </row>
    <row r="29" spans="1:5" x14ac:dyDescent="0.25">
      <c r="A29" s="22" t="s">
        <v>32</v>
      </c>
      <c r="B29" s="19" t="s">
        <v>23</v>
      </c>
      <c r="C29" s="53">
        <v>19.836685073210006</v>
      </c>
      <c r="D29" s="53">
        <v>0</v>
      </c>
      <c r="E29" s="68">
        <v>1</v>
      </c>
    </row>
    <row r="30" spans="1:5" x14ac:dyDescent="0.25">
      <c r="A30" s="22" t="s">
        <v>14</v>
      </c>
      <c r="B30" s="19" t="s">
        <v>33</v>
      </c>
      <c r="C30" s="53">
        <v>9.2087877050593896</v>
      </c>
      <c r="D30" s="53">
        <v>0</v>
      </c>
      <c r="E30" s="68">
        <v>0.5</v>
      </c>
    </row>
    <row r="31" spans="1:5" x14ac:dyDescent="0.25">
      <c r="A31" s="22" t="s">
        <v>34</v>
      </c>
      <c r="B31" s="19" t="s">
        <v>35</v>
      </c>
      <c r="C31" s="53">
        <v>38.254260483328792</v>
      </c>
      <c r="D31" s="53">
        <v>11.96</v>
      </c>
      <c r="E31" s="68">
        <v>1</v>
      </c>
    </row>
    <row r="32" spans="1:5" x14ac:dyDescent="0.25">
      <c r="A32" s="22" t="s">
        <v>36</v>
      </c>
      <c r="B32" s="19" t="s">
        <v>23</v>
      </c>
      <c r="C32" s="53">
        <v>62.317424335745294</v>
      </c>
      <c r="D32" s="53">
        <v>0</v>
      </c>
      <c r="E32" s="68">
        <v>1</v>
      </c>
    </row>
    <row r="33" spans="1:5" x14ac:dyDescent="0.25">
      <c r="A33" s="22" t="s">
        <v>37</v>
      </c>
      <c r="B33" s="19" t="s">
        <v>23</v>
      </c>
      <c r="C33" s="53">
        <v>29.030047673235796</v>
      </c>
      <c r="D33" s="53">
        <v>0</v>
      </c>
      <c r="E33" s="68">
        <v>1</v>
      </c>
    </row>
    <row r="34" spans="1:5" x14ac:dyDescent="0.25">
      <c r="A34" s="21" t="s">
        <v>9</v>
      </c>
      <c r="C34" s="53">
        <v>569.4640276304566</v>
      </c>
      <c r="D34" s="53">
        <v>321.40999999999997</v>
      </c>
      <c r="E34" s="68">
        <v>8.8333333333333321</v>
      </c>
    </row>
    <row r="35" spans="1:5" x14ac:dyDescent="0.25">
      <c r="A35" s="22" t="s">
        <v>10</v>
      </c>
      <c r="B35" s="19" t="s">
        <v>38</v>
      </c>
      <c r="C35" s="53">
        <v>7.7742529369345608</v>
      </c>
      <c r="D35" s="53">
        <v>0</v>
      </c>
      <c r="E35" s="68">
        <v>0.5</v>
      </c>
    </row>
    <row r="36" spans="1:5" x14ac:dyDescent="0.25">
      <c r="A36" s="22" t="s">
        <v>39</v>
      </c>
      <c r="B36" s="19" t="s">
        <v>40</v>
      </c>
      <c r="C36" s="53">
        <v>65.865198493473358</v>
      </c>
      <c r="D36" s="53">
        <v>11.96</v>
      </c>
      <c r="E36" s="68">
        <v>1</v>
      </c>
    </row>
    <row r="37" spans="1:5" x14ac:dyDescent="0.25">
      <c r="A37" s="22" t="s">
        <v>42</v>
      </c>
      <c r="B37" s="19" t="s">
        <v>43</v>
      </c>
      <c r="C37" s="53">
        <v>28.38219326182459</v>
      </c>
      <c r="D37" s="53">
        <v>0</v>
      </c>
      <c r="E37" s="68">
        <v>1</v>
      </c>
    </row>
    <row r="38" spans="1:5" x14ac:dyDescent="0.25">
      <c r="A38" s="22" t="s">
        <v>46</v>
      </c>
      <c r="B38" s="19" t="s">
        <v>40</v>
      </c>
      <c r="C38" s="53">
        <v>45.349808798784927</v>
      </c>
      <c r="D38" s="53">
        <v>0</v>
      </c>
      <c r="E38" s="68">
        <v>1</v>
      </c>
    </row>
    <row r="39" spans="1:5" x14ac:dyDescent="0.25">
      <c r="A39" s="22" t="s">
        <v>48</v>
      </c>
      <c r="B39" s="19" t="s">
        <v>49</v>
      </c>
      <c r="C39" s="53">
        <v>104.89071422848215</v>
      </c>
      <c r="D39" s="53">
        <v>0</v>
      </c>
      <c r="E39" s="68">
        <v>1</v>
      </c>
    </row>
    <row r="40" spans="1:5" x14ac:dyDescent="0.25">
      <c r="A40" s="22" t="s">
        <v>52</v>
      </c>
      <c r="B40" s="19" t="s">
        <v>53</v>
      </c>
      <c r="C40" s="53">
        <v>31.899117209485453</v>
      </c>
      <c r="D40" s="53">
        <v>0</v>
      </c>
      <c r="E40" s="68">
        <v>1</v>
      </c>
    </row>
    <row r="41" spans="1:5" x14ac:dyDescent="0.25">
      <c r="A41" s="22" t="s">
        <v>55</v>
      </c>
      <c r="B41" s="19" t="s">
        <v>56</v>
      </c>
      <c r="C41" s="53">
        <v>6.8487466349185411</v>
      </c>
      <c r="D41" s="53">
        <v>0</v>
      </c>
      <c r="E41" s="68">
        <v>0.33333333333333331</v>
      </c>
    </row>
    <row r="42" spans="1:5" x14ac:dyDescent="0.25">
      <c r="A42" s="22" t="s">
        <v>59</v>
      </c>
      <c r="B42" s="19" t="s">
        <v>60</v>
      </c>
      <c r="C42" s="53">
        <v>190.03729401395591</v>
      </c>
      <c r="D42" s="53">
        <v>309.45</v>
      </c>
      <c r="E42" s="68">
        <v>1</v>
      </c>
    </row>
    <row r="43" spans="1:5" x14ac:dyDescent="0.25">
      <c r="A43" s="22" t="s">
        <v>63</v>
      </c>
      <c r="B43" s="19" t="s">
        <v>64</v>
      </c>
      <c r="C43" s="53">
        <v>73.546900800206316</v>
      </c>
      <c r="D43" s="53">
        <v>0</v>
      </c>
      <c r="E43" s="68">
        <v>1</v>
      </c>
    </row>
    <row r="44" spans="1:5" x14ac:dyDescent="0.25">
      <c r="A44" s="22" t="s">
        <v>67</v>
      </c>
      <c r="B44" s="19" t="s">
        <v>68</v>
      </c>
      <c r="C44" s="53">
        <v>14.869801252390706</v>
      </c>
      <c r="D44" s="53">
        <v>0</v>
      </c>
      <c r="E44" s="68">
        <v>1</v>
      </c>
    </row>
    <row r="45" spans="1:5" x14ac:dyDescent="0.25">
      <c r="A45" s="21" t="s">
        <v>70</v>
      </c>
      <c r="C45" s="53">
        <v>44.516853126970517</v>
      </c>
      <c r="D45" s="53">
        <v>0</v>
      </c>
      <c r="E45" s="68">
        <v>3</v>
      </c>
    </row>
    <row r="46" spans="1:5" x14ac:dyDescent="0.25">
      <c r="A46" s="22" t="s">
        <v>71</v>
      </c>
      <c r="B46" s="19" t="s">
        <v>72</v>
      </c>
      <c r="C46" s="53">
        <v>15.548505873869122</v>
      </c>
      <c r="D46" s="53">
        <v>0</v>
      </c>
      <c r="E46" s="68">
        <v>1</v>
      </c>
    </row>
    <row r="47" spans="1:5" x14ac:dyDescent="0.25">
      <c r="A47" s="22" t="s">
        <v>73</v>
      </c>
      <c r="B47" s="19" t="s">
        <v>74</v>
      </c>
      <c r="C47" s="53">
        <v>14.838951042323506</v>
      </c>
      <c r="D47" s="53">
        <v>0</v>
      </c>
      <c r="E47" s="68">
        <v>1</v>
      </c>
    </row>
    <row r="48" spans="1:5" x14ac:dyDescent="0.25">
      <c r="A48" s="22" t="s">
        <v>75</v>
      </c>
      <c r="B48" s="19" t="s">
        <v>76</v>
      </c>
      <c r="C48" s="53">
        <v>14.129396210777891</v>
      </c>
      <c r="D48" s="53">
        <v>0</v>
      </c>
      <c r="E48" s="68">
        <v>1</v>
      </c>
    </row>
    <row r="49" spans="1:5" x14ac:dyDescent="0.25">
      <c r="A49" s="21" t="s">
        <v>13</v>
      </c>
      <c r="C49" s="53">
        <v>17.013890852061149</v>
      </c>
      <c r="D49" s="53">
        <v>0</v>
      </c>
      <c r="E49" s="68">
        <v>0.5</v>
      </c>
    </row>
    <row r="50" spans="1:5" x14ac:dyDescent="0.25">
      <c r="A50" s="22" t="s">
        <v>77</v>
      </c>
      <c r="B50" s="19" t="s">
        <v>78</v>
      </c>
      <c r="C50" s="53">
        <v>17.013890852061149</v>
      </c>
      <c r="D50" s="53">
        <v>0</v>
      </c>
      <c r="E50" s="68">
        <v>0.5</v>
      </c>
    </row>
    <row r="51" spans="1:5" x14ac:dyDescent="0.25">
      <c r="A51" s="21" t="s">
        <v>79</v>
      </c>
      <c r="C51" s="53">
        <v>3.8871264684672804</v>
      </c>
      <c r="D51" s="53">
        <v>0</v>
      </c>
      <c r="E51" s="68">
        <v>0.5</v>
      </c>
    </row>
    <row r="52" spans="1:5" x14ac:dyDescent="0.25">
      <c r="A52" s="22" t="s">
        <v>80</v>
      </c>
      <c r="B52" s="19" t="s">
        <v>81</v>
      </c>
      <c r="C52" s="53">
        <v>3.8871264684672804</v>
      </c>
      <c r="D52" s="53">
        <v>0</v>
      </c>
      <c r="E52" s="68">
        <v>0.5</v>
      </c>
    </row>
    <row r="53" spans="1:5" x14ac:dyDescent="0.25">
      <c r="A53" s="20" t="s">
        <v>1364</v>
      </c>
      <c r="C53" s="53">
        <v>17.677170368505962</v>
      </c>
      <c r="D53" s="53">
        <v>0</v>
      </c>
      <c r="E53" s="68">
        <v>1</v>
      </c>
    </row>
    <row r="54" spans="1:5" x14ac:dyDescent="0.25">
      <c r="A54" s="21" t="s">
        <v>6</v>
      </c>
      <c r="C54" s="53">
        <v>17.677170368505962</v>
      </c>
      <c r="D54" s="53">
        <v>0</v>
      </c>
      <c r="E54" s="68">
        <v>1</v>
      </c>
    </row>
    <row r="55" spans="1:5" x14ac:dyDescent="0.25">
      <c r="A55" s="22" t="s">
        <v>82</v>
      </c>
      <c r="B55" s="19" t="s">
        <v>23</v>
      </c>
      <c r="C55" s="53">
        <v>17.677170368505962</v>
      </c>
      <c r="D55" s="53">
        <v>0</v>
      </c>
      <c r="E55" s="68">
        <v>1</v>
      </c>
    </row>
    <row r="56" spans="1:5" x14ac:dyDescent="0.25">
      <c r="A56" s="19" t="s">
        <v>83</v>
      </c>
      <c r="C56" s="53">
        <v>13.697493269837082</v>
      </c>
      <c r="D56" s="53">
        <v>0</v>
      </c>
      <c r="E56" s="68">
        <v>0.66666666666666663</v>
      </c>
    </row>
    <row r="57" spans="1:5" x14ac:dyDescent="0.25">
      <c r="A57" s="20" t="s">
        <v>1365</v>
      </c>
      <c r="C57" s="53">
        <v>6.8487466349185411</v>
      </c>
      <c r="D57" s="53">
        <v>0</v>
      </c>
      <c r="E57" s="68">
        <v>0.33333333333333331</v>
      </c>
    </row>
    <row r="58" spans="1:5" x14ac:dyDescent="0.25">
      <c r="A58" s="21" t="s">
        <v>84</v>
      </c>
      <c r="C58" s="53">
        <v>6.8487466349185411</v>
      </c>
      <c r="D58" s="53">
        <v>0</v>
      </c>
      <c r="E58" s="68">
        <v>0.33333333333333331</v>
      </c>
    </row>
    <row r="59" spans="1:5" x14ac:dyDescent="0.25">
      <c r="A59" s="22" t="s">
        <v>55</v>
      </c>
      <c r="B59" s="19" t="s">
        <v>23</v>
      </c>
      <c r="C59" s="53">
        <v>6.8487466349185411</v>
      </c>
      <c r="D59" s="53">
        <v>0</v>
      </c>
      <c r="E59" s="68">
        <v>0.33333333333333331</v>
      </c>
    </row>
    <row r="60" spans="1:5" x14ac:dyDescent="0.25">
      <c r="A60" s="20" t="s">
        <v>1366</v>
      </c>
      <c r="C60" s="53">
        <v>6.8487466349185411</v>
      </c>
      <c r="D60" s="53">
        <v>0</v>
      </c>
      <c r="E60" s="68">
        <v>0.33333333333333331</v>
      </c>
    </row>
    <row r="61" spans="1:5" x14ac:dyDescent="0.25">
      <c r="A61" s="21" t="s">
        <v>84</v>
      </c>
      <c r="C61" s="53">
        <v>6.8487466349185411</v>
      </c>
      <c r="D61" s="53">
        <v>0</v>
      </c>
      <c r="E61" s="68">
        <v>0.33333333333333331</v>
      </c>
    </row>
    <row r="62" spans="1:5" x14ac:dyDescent="0.25">
      <c r="A62" s="22" t="s">
        <v>55</v>
      </c>
      <c r="B62" s="19" t="s">
        <v>23</v>
      </c>
      <c r="C62" s="53">
        <v>6.8487466349185411</v>
      </c>
      <c r="D62" s="53">
        <v>0</v>
      </c>
      <c r="E62" s="68">
        <v>0.33333333333333331</v>
      </c>
    </row>
    <row r="63" spans="1:5" x14ac:dyDescent="0.25">
      <c r="A63" s="19" t="s">
        <v>85</v>
      </c>
      <c r="C63" s="53">
        <v>75.351638089137566</v>
      </c>
      <c r="D63" s="53">
        <v>0</v>
      </c>
      <c r="E63" s="68">
        <v>6</v>
      </c>
    </row>
    <row r="64" spans="1:5" x14ac:dyDescent="0.25">
      <c r="A64" s="20" t="s">
        <v>1367</v>
      </c>
      <c r="C64" s="53">
        <v>75.351638089137566</v>
      </c>
      <c r="D64" s="53">
        <v>0</v>
      </c>
      <c r="E64" s="68">
        <v>6</v>
      </c>
    </row>
    <row r="65" spans="1:5" x14ac:dyDescent="0.25">
      <c r="A65" s="21" t="s">
        <v>6</v>
      </c>
      <c r="C65" s="53">
        <v>31.83741678935106</v>
      </c>
      <c r="D65" s="53">
        <v>0</v>
      </c>
      <c r="E65" s="68">
        <v>2</v>
      </c>
    </row>
    <row r="66" spans="1:5" x14ac:dyDescent="0.25">
      <c r="A66" s="22" t="s">
        <v>86</v>
      </c>
      <c r="B66" s="19" t="s">
        <v>23</v>
      </c>
      <c r="C66" s="53">
        <v>7.7742529369345608</v>
      </c>
      <c r="D66" s="53">
        <v>0</v>
      </c>
      <c r="E66" s="68">
        <v>1</v>
      </c>
    </row>
    <row r="67" spans="1:5" x14ac:dyDescent="0.25">
      <c r="A67" s="22" t="s">
        <v>87</v>
      </c>
      <c r="B67" s="19" t="s">
        <v>88</v>
      </c>
      <c r="C67" s="53">
        <v>24.063163852416498</v>
      </c>
      <c r="D67" s="53">
        <v>0</v>
      </c>
      <c r="E67" s="68">
        <v>1</v>
      </c>
    </row>
    <row r="68" spans="1:5" x14ac:dyDescent="0.25">
      <c r="A68" s="21" t="s">
        <v>70</v>
      </c>
      <c r="C68" s="53">
        <v>31.482639373578252</v>
      </c>
      <c r="D68" s="53">
        <v>0</v>
      </c>
      <c r="E68" s="68">
        <v>3</v>
      </c>
    </row>
    <row r="69" spans="1:5" x14ac:dyDescent="0.25">
      <c r="A69" s="22" t="s">
        <v>80</v>
      </c>
      <c r="B69" s="19" t="s">
        <v>89</v>
      </c>
      <c r="C69" s="53">
        <v>3.8871264684672804</v>
      </c>
      <c r="D69" s="53">
        <v>0</v>
      </c>
      <c r="E69" s="68">
        <v>0.5</v>
      </c>
    </row>
    <row r="70" spans="1:5" x14ac:dyDescent="0.25">
      <c r="A70" s="22" t="s">
        <v>90</v>
      </c>
      <c r="B70" s="19" t="s">
        <v>23</v>
      </c>
      <c r="C70" s="53">
        <v>9.2087877050593896</v>
      </c>
      <c r="D70" s="53">
        <v>0</v>
      </c>
      <c r="E70" s="68">
        <v>0.5</v>
      </c>
    </row>
    <row r="71" spans="1:5" x14ac:dyDescent="0.25">
      <c r="A71" s="22" t="s">
        <v>91</v>
      </c>
      <c r="B71" s="19" t="s">
        <v>23</v>
      </c>
      <c r="C71" s="53">
        <v>7.7742529369345608</v>
      </c>
      <c r="D71" s="53">
        <v>0</v>
      </c>
      <c r="E71" s="68">
        <v>1</v>
      </c>
    </row>
    <row r="72" spans="1:5" x14ac:dyDescent="0.25">
      <c r="A72" s="22" t="s">
        <v>92</v>
      </c>
      <c r="B72" s="19" t="s">
        <v>23</v>
      </c>
      <c r="C72" s="53">
        <v>10.61247226311702</v>
      </c>
      <c r="D72" s="53">
        <v>0</v>
      </c>
      <c r="E72" s="68">
        <v>1</v>
      </c>
    </row>
    <row r="73" spans="1:5" x14ac:dyDescent="0.25">
      <c r="A73" s="21" t="s">
        <v>93</v>
      </c>
      <c r="C73" s="53">
        <v>12.031581926208249</v>
      </c>
      <c r="D73" s="53">
        <v>0</v>
      </c>
      <c r="E73" s="68">
        <v>1</v>
      </c>
    </row>
    <row r="74" spans="1:5" x14ac:dyDescent="0.25">
      <c r="A74" s="22" t="s">
        <v>94</v>
      </c>
      <c r="B74" s="19" t="s">
        <v>23</v>
      </c>
      <c r="C74" s="53">
        <v>12.031581926208249</v>
      </c>
      <c r="D74" s="53">
        <v>0</v>
      </c>
      <c r="E74" s="68">
        <v>1</v>
      </c>
    </row>
    <row r="75" spans="1:5" x14ac:dyDescent="0.25">
      <c r="A75" s="19" t="s">
        <v>95</v>
      </c>
      <c r="C75" s="53">
        <v>123.67849215940736</v>
      </c>
      <c r="D75" s="53">
        <v>0</v>
      </c>
      <c r="E75" s="68">
        <v>1</v>
      </c>
    </row>
    <row r="76" spans="1:5" x14ac:dyDescent="0.25">
      <c r="A76" s="20" t="s">
        <v>1368</v>
      </c>
      <c r="C76" s="53">
        <v>123.67849215940736</v>
      </c>
      <c r="D76" s="53">
        <v>0</v>
      </c>
      <c r="E76" s="68">
        <v>1</v>
      </c>
    </row>
    <row r="77" spans="1:5" x14ac:dyDescent="0.25">
      <c r="A77" s="21" t="s">
        <v>6</v>
      </c>
      <c r="C77" s="53">
        <v>123.67849215940736</v>
      </c>
      <c r="D77" s="53">
        <v>0</v>
      </c>
      <c r="E77" s="68">
        <v>1</v>
      </c>
    </row>
    <row r="78" spans="1:5" x14ac:dyDescent="0.25">
      <c r="A78" s="22" t="s">
        <v>96</v>
      </c>
      <c r="B78" s="19" t="s">
        <v>23</v>
      </c>
      <c r="C78" s="53">
        <v>123.67849215940736</v>
      </c>
      <c r="D78" s="53">
        <v>0</v>
      </c>
      <c r="E78" s="68">
        <v>1</v>
      </c>
    </row>
    <row r="79" spans="1:5" x14ac:dyDescent="0.25">
      <c r="A79" s="19" t="s">
        <v>97</v>
      </c>
      <c r="C79" s="53">
        <v>566.04993771635304</v>
      </c>
      <c r="D79" s="53">
        <v>0</v>
      </c>
      <c r="E79" s="68">
        <v>3.3333333333333335</v>
      </c>
    </row>
    <row r="80" spans="1:5" x14ac:dyDescent="0.25">
      <c r="A80" s="20" t="s">
        <v>98</v>
      </c>
      <c r="C80" s="53">
        <v>45.349808798784927</v>
      </c>
      <c r="D80" s="53">
        <v>0</v>
      </c>
      <c r="E80" s="68">
        <v>1</v>
      </c>
    </row>
    <row r="81" spans="1:5" x14ac:dyDescent="0.25">
      <c r="A81" s="21" t="s">
        <v>93</v>
      </c>
      <c r="C81" s="53">
        <v>45.349808798784927</v>
      </c>
      <c r="D81" s="53">
        <v>0</v>
      </c>
      <c r="E81" s="68">
        <v>1</v>
      </c>
    </row>
    <row r="82" spans="1:5" x14ac:dyDescent="0.25">
      <c r="A82" s="22" t="s">
        <v>99</v>
      </c>
      <c r="B82" s="19" t="s">
        <v>23</v>
      </c>
      <c r="C82" s="53">
        <v>45.349808798784927</v>
      </c>
      <c r="D82" s="53">
        <v>0</v>
      </c>
      <c r="E82" s="68">
        <v>1</v>
      </c>
    </row>
    <row r="83" spans="1:5" x14ac:dyDescent="0.25">
      <c r="A83" s="20" t="s">
        <v>100</v>
      </c>
      <c r="C83" s="53">
        <v>237.28953243355159</v>
      </c>
      <c r="D83" s="53">
        <v>0</v>
      </c>
      <c r="E83" s="68">
        <v>1.1666666666666665</v>
      </c>
    </row>
    <row r="84" spans="1:5" x14ac:dyDescent="0.25">
      <c r="A84" s="21" t="s">
        <v>93</v>
      </c>
      <c r="C84" s="53">
        <v>237.28953243355159</v>
      </c>
      <c r="D84" s="53">
        <v>0</v>
      </c>
      <c r="E84" s="68">
        <v>1.1666666666666665</v>
      </c>
    </row>
    <row r="85" spans="1:5" x14ac:dyDescent="0.25">
      <c r="A85" s="22" t="s">
        <v>101</v>
      </c>
      <c r="B85" s="19" t="s">
        <v>23</v>
      </c>
      <c r="C85" s="53">
        <v>27.868023094037902</v>
      </c>
      <c r="D85" s="53">
        <v>0</v>
      </c>
      <c r="E85" s="68">
        <v>0.33333333333333331</v>
      </c>
    </row>
    <row r="86" spans="1:5" x14ac:dyDescent="0.25">
      <c r="A86" s="22" t="s">
        <v>102</v>
      </c>
      <c r="B86" s="19" t="s">
        <v>23</v>
      </c>
      <c r="C86" s="53">
        <v>73.989087144502861</v>
      </c>
      <c r="D86" s="53">
        <v>0</v>
      </c>
      <c r="E86" s="68">
        <v>0.33333333333333331</v>
      </c>
    </row>
    <row r="87" spans="1:5" x14ac:dyDescent="0.25">
      <c r="A87" s="22" t="s">
        <v>103</v>
      </c>
      <c r="B87" s="19" t="s">
        <v>23</v>
      </c>
      <c r="C87" s="53">
        <v>135.43242219501082</v>
      </c>
      <c r="D87" s="53">
        <v>0</v>
      </c>
      <c r="E87" s="68">
        <v>0.5</v>
      </c>
    </row>
    <row r="88" spans="1:5" x14ac:dyDescent="0.25">
      <c r="A88" s="20" t="s">
        <v>104</v>
      </c>
      <c r="C88" s="53">
        <v>209.42150933951368</v>
      </c>
      <c r="D88" s="53">
        <v>0</v>
      </c>
      <c r="E88" s="68">
        <v>0.83333333333333326</v>
      </c>
    </row>
    <row r="89" spans="1:5" x14ac:dyDescent="0.25">
      <c r="A89" s="21" t="s">
        <v>6</v>
      </c>
      <c r="C89" s="53">
        <v>209.42150933951368</v>
      </c>
      <c r="D89" s="53">
        <v>0</v>
      </c>
      <c r="E89" s="68">
        <v>0.83333333333333326</v>
      </c>
    </row>
    <row r="90" spans="1:5" x14ac:dyDescent="0.25">
      <c r="A90" s="22" t="s">
        <v>102</v>
      </c>
      <c r="B90" s="19" t="s">
        <v>23</v>
      </c>
      <c r="C90" s="53">
        <v>73.989087144502861</v>
      </c>
      <c r="D90" s="53">
        <v>0</v>
      </c>
      <c r="E90" s="68">
        <v>0.33333333333333331</v>
      </c>
    </row>
    <row r="91" spans="1:5" x14ac:dyDescent="0.25">
      <c r="A91" s="22" t="s">
        <v>103</v>
      </c>
      <c r="B91" s="19" t="s">
        <v>23</v>
      </c>
      <c r="C91" s="53">
        <v>135.43242219501082</v>
      </c>
      <c r="D91" s="53">
        <v>0</v>
      </c>
      <c r="E91" s="68">
        <v>0.5</v>
      </c>
    </row>
    <row r="92" spans="1:5" x14ac:dyDescent="0.25">
      <c r="A92" s="20" t="s">
        <v>105</v>
      </c>
      <c r="C92" s="53">
        <v>73.989087144502861</v>
      </c>
      <c r="D92" s="53">
        <v>0</v>
      </c>
      <c r="E92" s="68">
        <v>0.33333333333333331</v>
      </c>
    </row>
    <row r="93" spans="1:5" x14ac:dyDescent="0.25">
      <c r="A93" s="21" t="s">
        <v>6</v>
      </c>
      <c r="C93" s="53">
        <v>73.989087144502861</v>
      </c>
      <c r="D93" s="53">
        <v>0</v>
      </c>
      <c r="E93" s="68">
        <v>0.33333333333333331</v>
      </c>
    </row>
    <row r="94" spans="1:5" x14ac:dyDescent="0.25">
      <c r="A94" s="22" t="s">
        <v>102</v>
      </c>
      <c r="B94" s="19" t="s">
        <v>23</v>
      </c>
      <c r="C94" s="53">
        <v>73.989087144502861</v>
      </c>
      <c r="D94" s="53">
        <v>0</v>
      </c>
      <c r="E94" s="68">
        <v>0.33333333333333331</v>
      </c>
    </row>
    <row r="95" spans="1:5" x14ac:dyDescent="0.25">
      <c r="A95" s="19" t="s">
        <v>106</v>
      </c>
      <c r="C95" s="53">
        <v>114.2486112821997</v>
      </c>
      <c r="D95" s="53">
        <v>0</v>
      </c>
      <c r="E95" s="68">
        <v>2.3333333333333335</v>
      </c>
    </row>
    <row r="96" spans="1:5" x14ac:dyDescent="0.25">
      <c r="A96" s="20" t="s">
        <v>107</v>
      </c>
      <c r="C96" s="53">
        <v>38.254260483328792</v>
      </c>
      <c r="D96" s="53">
        <v>0</v>
      </c>
      <c r="E96" s="68">
        <v>1</v>
      </c>
    </row>
    <row r="97" spans="1:5" x14ac:dyDescent="0.25">
      <c r="A97" s="21" t="s">
        <v>6</v>
      </c>
      <c r="C97" s="53">
        <v>38.254260483328792</v>
      </c>
      <c r="D97" s="53">
        <v>0</v>
      </c>
      <c r="E97" s="68">
        <v>1</v>
      </c>
    </row>
    <row r="98" spans="1:5" x14ac:dyDescent="0.25">
      <c r="A98" s="22" t="s">
        <v>108</v>
      </c>
      <c r="B98" s="19" t="s">
        <v>23</v>
      </c>
      <c r="C98" s="53">
        <v>38.254260483328792</v>
      </c>
      <c r="D98" s="53">
        <v>0</v>
      </c>
      <c r="E98" s="68">
        <v>1</v>
      </c>
    </row>
    <row r="99" spans="1:5" x14ac:dyDescent="0.25">
      <c r="A99" s="20" t="s">
        <v>109</v>
      </c>
      <c r="C99" s="53">
        <v>48.126327704832995</v>
      </c>
      <c r="D99" s="53">
        <v>0</v>
      </c>
      <c r="E99" s="68">
        <v>1</v>
      </c>
    </row>
    <row r="100" spans="1:5" x14ac:dyDescent="0.25">
      <c r="A100" s="21" t="s">
        <v>6</v>
      </c>
      <c r="C100" s="53">
        <v>48.126327704832995</v>
      </c>
      <c r="D100" s="53">
        <v>0</v>
      </c>
      <c r="E100" s="68">
        <v>1</v>
      </c>
    </row>
    <row r="101" spans="1:5" x14ac:dyDescent="0.25">
      <c r="A101" s="22" t="s">
        <v>110</v>
      </c>
      <c r="B101" s="19" t="s">
        <v>23</v>
      </c>
      <c r="C101" s="53">
        <v>48.126327704832995</v>
      </c>
      <c r="D101" s="53">
        <v>0</v>
      </c>
      <c r="E101" s="68">
        <v>1</v>
      </c>
    </row>
    <row r="102" spans="1:5" x14ac:dyDescent="0.25">
      <c r="A102" s="20" t="s">
        <v>111</v>
      </c>
      <c r="C102" s="53">
        <v>27.868023094037902</v>
      </c>
      <c r="D102" s="53">
        <v>0</v>
      </c>
      <c r="E102" s="68">
        <v>0.33333333333333331</v>
      </c>
    </row>
    <row r="103" spans="1:5" x14ac:dyDescent="0.25">
      <c r="A103" s="21" t="s">
        <v>93</v>
      </c>
      <c r="C103" s="53">
        <v>27.868023094037902</v>
      </c>
      <c r="D103" s="53">
        <v>0</v>
      </c>
      <c r="E103" s="68">
        <v>0.33333333333333331</v>
      </c>
    </row>
    <row r="104" spans="1:5" x14ac:dyDescent="0.25">
      <c r="A104" s="22" t="s">
        <v>101</v>
      </c>
      <c r="B104" s="19" t="s">
        <v>23</v>
      </c>
      <c r="C104" s="53">
        <v>27.868023094037902</v>
      </c>
      <c r="D104" s="53">
        <v>0</v>
      </c>
      <c r="E104" s="68">
        <v>0.33333333333333331</v>
      </c>
    </row>
    <row r="105" spans="1:5" x14ac:dyDescent="0.25">
      <c r="A105" s="19" t="s">
        <v>112</v>
      </c>
      <c r="C105" s="53">
        <v>660.29732947165087</v>
      </c>
      <c r="D105" s="53">
        <v>0</v>
      </c>
      <c r="E105" s="68">
        <v>7.0333333333333314</v>
      </c>
    </row>
    <row r="106" spans="1:5" x14ac:dyDescent="0.25">
      <c r="A106" s="20" t="s">
        <v>113</v>
      </c>
      <c r="C106" s="53">
        <v>58.3685974471436</v>
      </c>
      <c r="D106" s="53">
        <v>0</v>
      </c>
      <c r="E106" s="68">
        <v>0.2</v>
      </c>
    </row>
    <row r="107" spans="1:5" x14ac:dyDescent="0.25">
      <c r="A107" s="21" t="s">
        <v>84</v>
      </c>
      <c r="C107" s="53">
        <v>58.3685974471436</v>
      </c>
      <c r="D107" s="53">
        <v>0</v>
      </c>
      <c r="E107" s="68">
        <v>0.2</v>
      </c>
    </row>
    <row r="108" spans="1:5" x14ac:dyDescent="0.25">
      <c r="A108" s="22" t="s">
        <v>114</v>
      </c>
      <c r="B108" s="19" t="s">
        <v>23</v>
      </c>
      <c r="C108" s="53">
        <v>58.3685974471436</v>
      </c>
      <c r="D108" s="53">
        <v>0</v>
      </c>
      <c r="E108" s="68">
        <v>0.2</v>
      </c>
    </row>
    <row r="109" spans="1:5" x14ac:dyDescent="0.25">
      <c r="A109" s="20" t="s">
        <v>115</v>
      </c>
      <c r="C109" s="53">
        <v>78.513784621025621</v>
      </c>
      <c r="D109" s="53">
        <v>0</v>
      </c>
      <c r="E109" s="68">
        <v>1</v>
      </c>
    </row>
    <row r="110" spans="1:5" x14ac:dyDescent="0.25">
      <c r="A110" s="21" t="s">
        <v>6</v>
      </c>
      <c r="C110" s="53">
        <v>78.513784621025621</v>
      </c>
      <c r="D110" s="53">
        <v>0</v>
      </c>
      <c r="E110" s="68">
        <v>1</v>
      </c>
    </row>
    <row r="111" spans="1:5" x14ac:dyDescent="0.25">
      <c r="A111" s="22" t="s">
        <v>116</v>
      </c>
      <c r="B111" s="19" t="s">
        <v>23</v>
      </c>
      <c r="C111" s="53">
        <v>78.513784621025621</v>
      </c>
      <c r="D111" s="53">
        <v>0</v>
      </c>
      <c r="E111" s="68">
        <v>1</v>
      </c>
    </row>
    <row r="112" spans="1:5" x14ac:dyDescent="0.25">
      <c r="A112" s="20" t="s">
        <v>117</v>
      </c>
      <c r="C112" s="53">
        <v>58.3685974471436</v>
      </c>
      <c r="D112" s="53">
        <v>0</v>
      </c>
      <c r="E112" s="68">
        <v>0.2</v>
      </c>
    </row>
    <row r="113" spans="1:5" x14ac:dyDescent="0.25">
      <c r="A113" s="21" t="s">
        <v>84</v>
      </c>
      <c r="C113" s="53">
        <v>58.3685974471436</v>
      </c>
      <c r="D113" s="53">
        <v>0</v>
      </c>
      <c r="E113" s="68">
        <v>0.2</v>
      </c>
    </row>
    <row r="114" spans="1:5" x14ac:dyDescent="0.25">
      <c r="A114" s="22" t="s">
        <v>114</v>
      </c>
      <c r="B114" s="19" t="s">
        <v>23</v>
      </c>
      <c r="C114" s="53">
        <v>58.3685974471436</v>
      </c>
      <c r="D114" s="53">
        <v>0</v>
      </c>
      <c r="E114" s="68">
        <v>0.2</v>
      </c>
    </row>
    <row r="115" spans="1:5" x14ac:dyDescent="0.25">
      <c r="A115" s="20" t="s">
        <v>118</v>
      </c>
      <c r="C115" s="53">
        <v>58.3685974471436</v>
      </c>
      <c r="D115" s="53">
        <v>0</v>
      </c>
      <c r="E115" s="68">
        <v>0.2</v>
      </c>
    </row>
    <row r="116" spans="1:5" x14ac:dyDescent="0.25">
      <c r="A116" s="21" t="s">
        <v>84</v>
      </c>
      <c r="C116" s="53">
        <v>58.3685974471436</v>
      </c>
      <c r="D116" s="53">
        <v>0</v>
      </c>
      <c r="E116" s="68">
        <v>0.2</v>
      </c>
    </row>
    <row r="117" spans="1:5" x14ac:dyDescent="0.25">
      <c r="A117" s="22" t="s">
        <v>114</v>
      </c>
      <c r="B117" s="19" t="s">
        <v>23</v>
      </c>
      <c r="C117" s="53">
        <v>58.3685974471436</v>
      </c>
      <c r="D117" s="53">
        <v>0</v>
      </c>
      <c r="E117" s="68">
        <v>0.2</v>
      </c>
    </row>
    <row r="118" spans="1:5" x14ac:dyDescent="0.25">
      <c r="A118" s="20" t="s">
        <v>119</v>
      </c>
      <c r="C118" s="53">
        <v>58.3685974471436</v>
      </c>
      <c r="D118" s="53">
        <v>0</v>
      </c>
      <c r="E118" s="68">
        <v>0.2</v>
      </c>
    </row>
    <row r="119" spans="1:5" x14ac:dyDescent="0.25">
      <c r="A119" s="21" t="s">
        <v>84</v>
      </c>
      <c r="C119" s="53">
        <v>58.3685974471436</v>
      </c>
      <c r="D119" s="53">
        <v>0</v>
      </c>
      <c r="E119" s="68">
        <v>0.2</v>
      </c>
    </row>
    <row r="120" spans="1:5" x14ac:dyDescent="0.25">
      <c r="A120" s="22" t="s">
        <v>114</v>
      </c>
      <c r="B120" s="19" t="s">
        <v>23</v>
      </c>
      <c r="C120" s="53">
        <v>58.3685974471436</v>
      </c>
      <c r="D120" s="53">
        <v>0</v>
      </c>
      <c r="E120" s="68">
        <v>0.2</v>
      </c>
    </row>
    <row r="121" spans="1:5" x14ac:dyDescent="0.25">
      <c r="A121" s="20" t="s">
        <v>120</v>
      </c>
      <c r="C121" s="53">
        <v>58.3685974471436</v>
      </c>
      <c r="D121" s="53">
        <v>0</v>
      </c>
      <c r="E121" s="68">
        <v>0.2</v>
      </c>
    </row>
    <row r="122" spans="1:5" x14ac:dyDescent="0.25">
      <c r="A122" s="21" t="s">
        <v>84</v>
      </c>
      <c r="C122" s="53">
        <v>58.3685974471436</v>
      </c>
      <c r="D122" s="53">
        <v>0</v>
      </c>
      <c r="E122" s="68">
        <v>0.2</v>
      </c>
    </row>
    <row r="123" spans="1:5" x14ac:dyDescent="0.25">
      <c r="A123" s="22" t="s">
        <v>114</v>
      </c>
      <c r="B123" s="19" t="s">
        <v>23</v>
      </c>
      <c r="C123" s="53">
        <v>58.3685974471436</v>
      </c>
      <c r="D123" s="53">
        <v>0</v>
      </c>
      <c r="E123" s="68">
        <v>0.2</v>
      </c>
    </row>
    <row r="124" spans="1:5" x14ac:dyDescent="0.25">
      <c r="A124" s="20" t="s">
        <v>121</v>
      </c>
      <c r="C124" s="53">
        <v>27.868023094037902</v>
      </c>
      <c r="D124" s="53">
        <v>0</v>
      </c>
      <c r="E124" s="68">
        <v>0.33333333333333331</v>
      </c>
    </row>
    <row r="125" spans="1:5" x14ac:dyDescent="0.25">
      <c r="A125" s="21" t="s">
        <v>93</v>
      </c>
      <c r="C125" s="53">
        <v>27.868023094037902</v>
      </c>
      <c r="D125" s="53">
        <v>0</v>
      </c>
      <c r="E125" s="68">
        <v>0.33333333333333331</v>
      </c>
    </row>
    <row r="126" spans="1:5" x14ac:dyDescent="0.25">
      <c r="A126" s="22" t="s">
        <v>101</v>
      </c>
      <c r="B126" s="19" t="s">
        <v>23</v>
      </c>
      <c r="C126" s="53">
        <v>27.868023094037902</v>
      </c>
      <c r="D126" s="53">
        <v>0</v>
      </c>
      <c r="E126" s="68">
        <v>0.33333333333333331</v>
      </c>
    </row>
    <row r="127" spans="1:5" x14ac:dyDescent="0.25">
      <c r="A127" s="20" t="s">
        <v>122</v>
      </c>
      <c r="C127" s="53">
        <v>12.463484867149059</v>
      </c>
      <c r="D127" s="53">
        <v>0</v>
      </c>
      <c r="E127" s="68">
        <v>0.1</v>
      </c>
    </row>
    <row r="128" spans="1:5" x14ac:dyDescent="0.25">
      <c r="A128" s="21" t="s">
        <v>93</v>
      </c>
      <c r="C128" s="53">
        <v>12.463484867149059</v>
      </c>
      <c r="D128" s="53">
        <v>0</v>
      </c>
      <c r="E128" s="68">
        <v>0.1</v>
      </c>
    </row>
    <row r="129" spans="1:5" x14ac:dyDescent="0.25">
      <c r="A129" s="22" t="s">
        <v>123</v>
      </c>
      <c r="B129" s="19" t="s">
        <v>23</v>
      </c>
      <c r="C129" s="53">
        <v>12.463484867149059</v>
      </c>
      <c r="D129" s="53">
        <v>0</v>
      </c>
      <c r="E129" s="68">
        <v>0.1</v>
      </c>
    </row>
    <row r="130" spans="1:5" x14ac:dyDescent="0.25">
      <c r="A130" s="20" t="s">
        <v>124</v>
      </c>
      <c r="C130" s="53">
        <v>119.29776232986487</v>
      </c>
      <c r="D130" s="53">
        <v>0</v>
      </c>
      <c r="E130" s="68">
        <v>2.1</v>
      </c>
    </row>
    <row r="131" spans="1:5" x14ac:dyDescent="0.25">
      <c r="A131" s="21" t="s">
        <v>93</v>
      </c>
      <c r="C131" s="53">
        <v>119.29776232986487</v>
      </c>
      <c r="D131" s="53">
        <v>0</v>
      </c>
      <c r="E131" s="68">
        <v>2.1</v>
      </c>
    </row>
    <row r="132" spans="1:5" x14ac:dyDescent="0.25">
      <c r="A132" s="22" t="s">
        <v>125</v>
      </c>
      <c r="B132" s="19" t="s">
        <v>23</v>
      </c>
      <c r="C132" s="53">
        <v>47.416772873287371</v>
      </c>
      <c r="D132" s="53">
        <v>0</v>
      </c>
      <c r="E132" s="68">
        <v>1</v>
      </c>
    </row>
    <row r="133" spans="1:5" x14ac:dyDescent="0.25">
      <c r="A133" s="22" t="s">
        <v>123</v>
      </c>
      <c r="B133" s="19" t="s">
        <v>23</v>
      </c>
      <c r="C133" s="53">
        <v>12.463484867149059</v>
      </c>
      <c r="D133" s="53">
        <v>0</v>
      </c>
      <c r="E133" s="68">
        <v>0.1</v>
      </c>
    </row>
    <row r="134" spans="1:5" x14ac:dyDescent="0.25">
      <c r="A134" s="22" t="s">
        <v>126</v>
      </c>
      <c r="B134" s="19" t="s">
        <v>23</v>
      </c>
      <c r="C134" s="53">
        <v>59.417504589428432</v>
      </c>
      <c r="D134" s="53">
        <v>0</v>
      </c>
      <c r="E134" s="68">
        <v>1</v>
      </c>
    </row>
    <row r="135" spans="1:5" x14ac:dyDescent="0.25">
      <c r="A135" s="20" t="s">
        <v>127</v>
      </c>
      <c r="C135" s="53">
        <v>12.463484867149059</v>
      </c>
      <c r="D135" s="53">
        <v>0</v>
      </c>
      <c r="E135" s="68">
        <v>0.1</v>
      </c>
    </row>
    <row r="136" spans="1:5" x14ac:dyDescent="0.25">
      <c r="A136" s="21" t="s">
        <v>93</v>
      </c>
      <c r="C136" s="53">
        <v>12.463484867149059</v>
      </c>
      <c r="D136" s="53">
        <v>0</v>
      </c>
      <c r="E136" s="68">
        <v>0.1</v>
      </c>
    </row>
    <row r="137" spans="1:5" x14ac:dyDescent="0.25">
      <c r="A137" s="22" t="s">
        <v>123</v>
      </c>
      <c r="B137" s="19" t="s">
        <v>23</v>
      </c>
      <c r="C137" s="53">
        <v>12.463484867149059</v>
      </c>
      <c r="D137" s="53">
        <v>0</v>
      </c>
      <c r="E137" s="68">
        <v>0.1</v>
      </c>
    </row>
    <row r="138" spans="1:5" x14ac:dyDescent="0.25">
      <c r="A138" s="20" t="s">
        <v>128</v>
      </c>
      <c r="C138" s="53">
        <v>12.463484867149059</v>
      </c>
      <c r="D138" s="53">
        <v>0</v>
      </c>
      <c r="E138" s="68">
        <v>0.1</v>
      </c>
    </row>
    <row r="139" spans="1:5" x14ac:dyDescent="0.25">
      <c r="A139" s="21" t="s">
        <v>93</v>
      </c>
      <c r="C139" s="53">
        <v>12.463484867149059</v>
      </c>
      <c r="D139" s="53">
        <v>0</v>
      </c>
      <c r="E139" s="68">
        <v>0.1</v>
      </c>
    </row>
    <row r="140" spans="1:5" x14ac:dyDescent="0.25">
      <c r="A140" s="22" t="s">
        <v>123</v>
      </c>
      <c r="B140" s="19" t="s">
        <v>23</v>
      </c>
      <c r="C140" s="53">
        <v>12.463484867149059</v>
      </c>
      <c r="D140" s="53">
        <v>0</v>
      </c>
      <c r="E140" s="68">
        <v>0.1</v>
      </c>
    </row>
    <row r="141" spans="1:5" x14ac:dyDescent="0.25">
      <c r="A141" s="20" t="s">
        <v>129</v>
      </c>
      <c r="C141" s="53">
        <v>12.463484867149059</v>
      </c>
      <c r="D141" s="53">
        <v>0</v>
      </c>
      <c r="E141" s="68">
        <v>0.1</v>
      </c>
    </row>
    <row r="142" spans="1:5" x14ac:dyDescent="0.25">
      <c r="A142" s="21" t="s">
        <v>93</v>
      </c>
      <c r="C142" s="53">
        <v>12.463484867149059</v>
      </c>
      <c r="D142" s="53">
        <v>0</v>
      </c>
      <c r="E142" s="68">
        <v>0.1</v>
      </c>
    </row>
    <row r="143" spans="1:5" x14ac:dyDescent="0.25">
      <c r="A143" s="22" t="s">
        <v>123</v>
      </c>
      <c r="B143" s="19" t="s">
        <v>23</v>
      </c>
      <c r="C143" s="53">
        <v>12.463484867149059</v>
      </c>
      <c r="D143" s="53">
        <v>0</v>
      </c>
      <c r="E143" s="68">
        <v>0.1</v>
      </c>
    </row>
    <row r="144" spans="1:5" x14ac:dyDescent="0.25">
      <c r="A144" s="20" t="s">
        <v>130</v>
      </c>
      <c r="C144" s="53">
        <v>12.463484867149059</v>
      </c>
      <c r="D144" s="53">
        <v>0</v>
      </c>
      <c r="E144" s="68">
        <v>0.1</v>
      </c>
    </row>
    <row r="145" spans="1:5" x14ac:dyDescent="0.25">
      <c r="A145" s="21" t="s">
        <v>93</v>
      </c>
      <c r="C145" s="53">
        <v>12.463484867149059</v>
      </c>
      <c r="D145" s="53">
        <v>0</v>
      </c>
      <c r="E145" s="68">
        <v>0.1</v>
      </c>
    </row>
    <row r="146" spans="1:5" x14ac:dyDescent="0.25">
      <c r="A146" s="22" t="s">
        <v>123</v>
      </c>
      <c r="B146" s="19" t="s">
        <v>23</v>
      </c>
      <c r="C146" s="53">
        <v>12.463484867149059</v>
      </c>
      <c r="D146" s="53">
        <v>0</v>
      </c>
      <c r="E146" s="68">
        <v>0.1</v>
      </c>
    </row>
    <row r="147" spans="1:5" x14ac:dyDescent="0.25">
      <c r="A147" s="20" t="s">
        <v>131</v>
      </c>
      <c r="C147" s="53">
        <v>12.463484867149059</v>
      </c>
      <c r="D147" s="53">
        <v>0</v>
      </c>
      <c r="E147" s="68">
        <v>0.1</v>
      </c>
    </row>
    <row r="148" spans="1:5" x14ac:dyDescent="0.25">
      <c r="A148" s="21" t="s">
        <v>93</v>
      </c>
      <c r="C148" s="53">
        <v>12.463484867149059</v>
      </c>
      <c r="D148" s="53">
        <v>0</v>
      </c>
      <c r="E148" s="68">
        <v>0.1</v>
      </c>
    </row>
    <row r="149" spans="1:5" x14ac:dyDescent="0.25">
      <c r="A149" s="22" t="s">
        <v>123</v>
      </c>
      <c r="B149" s="19" t="s">
        <v>23</v>
      </c>
      <c r="C149" s="53">
        <v>12.463484867149059</v>
      </c>
      <c r="D149" s="53">
        <v>0</v>
      </c>
      <c r="E149" s="68">
        <v>0.1</v>
      </c>
    </row>
    <row r="150" spans="1:5" x14ac:dyDescent="0.25">
      <c r="A150" s="20" t="s">
        <v>132</v>
      </c>
      <c r="C150" s="53">
        <v>67.993862988110195</v>
      </c>
      <c r="D150" s="53">
        <v>0</v>
      </c>
      <c r="E150" s="68">
        <v>2</v>
      </c>
    </row>
    <row r="151" spans="1:5" x14ac:dyDescent="0.25">
      <c r="A151" s="21" t="s">
        <v>84</v>
      </c>
      <c r="C151" s="53">
        <v>67.993862988110195</v>
      </c>
      <c r="D151" s="53">
        <v>0</v>
      </c>
      <c r="E151" s="68">
        <v>2</v>
      </c>
    </row>
    <row r="152" spans="1:5" x14ac:dyDescent="0.25">
      <c r="A152" s="22" t="s">
        <v>133</v>
      </c>
      <c r="B152" s="19" t="s">
        <v>23</v>
      </c>
      <c r="C152" s="53">
        <v>33.996931494055097</v>
      </c>
      <c r="D152" s="53">
        <v>0</v>
      </c>
      <c r="E152" s="68">
        <v>1</v>
      </c>
    </row>
    <row r="153" spans="1:5" x14ac:dyDescent="0.25">
      <c r="A153" s="22" t="s">
        <v>134</v>
      </c>
      <c r="B153" s="19" t="s">
        <v>23</v>
      </c>
      <c r="C153" s="53">
        <v>33.996931494055097</v>
      </c>
      <c r="D153" s="53">
        <v>0</v>
      </c>
      <c r="E153" s="68">
        <v>1</v>
      </c>
    </row>
    <row r="154" spans="1:5" x14ac:dyDescent="0.25">
      <c r="A154" s="19" t="s">
        <v>135</v>
      </c>
      <c r="C154" s="53">
        <v>133.27290749030675</v>
      </c>
      <c r="D154" s="53">
        <v>297.49</v>
      </c>
      <c r="E154" s="68">
        <v>1</v>
      </c>
    </row>
    <row r="155" spans="1:5" x14ac:dyDescent="0.25">
      <c r="A155" s="20" t="s">
        <v>136</v>
      </c>
      <c r="C155" s="53">
        <v>66.636453745153375</v>
      </c>
      <c r="D155" s="53">
        <v>148.745</v>
      </c>
      <c r="E155" s="68">
        <v>0.5</v>
      </c>
    </row>
    <row r="156" spans="1:5" x14ac:dyDescent="0.25">
      <c r="A156" s="21" t="s">
        <v>6</v>
      </c>
      <c r="C156" s="53">
        <v>66.636453745153375</v>
      </c>
      <c r="D156" s="53">
        <v>148.745</v>
      </c>
      <c r="E156" s="68">
        <v>0.5</v>
      </c>
    </row>
    <row r="157" spans="1:5" x14ac:dyDescent="0.25">
      <c r="A157" s="22" t="s">
        <v>137</v>
      </c>
      <c r="B157" s="19" t="s">
        <v>23</v>
      </c>
      <c r="C157" s="53">
        <v>66.636453745153375</v>
      </c>
      <c r="D157" s="53">
        <v>148.745</v>
      </c>
      <c r="E157" s="68">
        <v>0.5</v>
      </c>
    </row>
    <row r="158" spans="1:5" x14ac:dyDescent="0.25">
      <c r="A158" s="20" t="s">
        <v>138</v>
      </c>
      <c r="C158" s="53">
        <v>66.636453745153375</v>
      </c>
      <c r="D158" s="53">
        <v>148.745</v>
      </c>
      <c r="E158" s="68">
        <v>0.5</v>
      </c>
    </row>
    <row r="159" spans="1:5" x14ac:dyDescent="0.25">
      <c r="A159" s="21" t="s">
        <v>6</v>
      </c>
      <c r="C159" s="53">
        <v>66.636453745153375</v>
      </c>
      <c r="D159" s="53">
        <v>148.745</v>
      </c>
      <c r="E159" s="68">
        <v>0.5</v>
      </c>
    </row>
    <row r="160" spans="1:5" x14ac:dyDescent="0.25">
      <c r="A160" s="22" t="s">
        <v>137</v>
      </c>
      <c r="B160" s="19" t="s">
        <v>23</v>
      </c>
      <c r="C160" s="53">
        <v>66.636453745153375</v>
      </c>
      <c r="D160" s="53">
        <v>148.745</v>
      </c>
      <c r="E160" s="68">
        <v>0.5</v>
      </c>
    </row>
    <row r="161" spans="1:5" x14ac:dyDescent="0.25">
      <c r="A161" s="19" t="s">
        <v>139</v>
      </c>
      <c r="C161" s="53">
        <v>30.850210067200635</v>
      </c>
      <c r="D161" s="53">
        <v>0</v>
      </c>
      <c r="E161" s="68">
        <v>0</v>
      </c>
    </row>
    <row r="162" spans="1:5" x14ac:dyDescent="0.25">
      <c r="A162" s="20" t="s">
        <v>1369</v>
      </c>
      <c r="C162" s="53">
        <v>30.850210067200635</v>
      </c>
      <c r="D162" s="53">
        <v>0</v>
      </c>
      <c r="E162" s="68">
        <v>0</v>
      </c>
    </row>
    <row r="163" spans="1:5" x14ac:dyDescent="0.25">
      <c r="A163" s="21" t="s">
        <v>30</v>
      </c>
      <c r="C163" s="53">
        <v>30.850210067200635</v>
      </c>
      <c r="D163" s="53">
        <v>0</v>
      </c>
      <c r="E163" s="68">
        <v>0</v>
      </c>
    </row>
    <row r="164" spans="1:5" x14ac:dyDescent="0.25">
      <c r="A164" s="22" t="s">
        <v>140</v>
      </c>
      <c r="B164" s="19" t="s">
        <v>23</v>
      </c>
      <c r="C164" s="53">
        <v>30.850210067200635</v>
      </c>
      <c r="D164" s="53">
        <v>0</v>
      </c>
      <c r="E164" s="68">
        <v>0</v>
      </c>
    </row>
    <row r="165" spans="1:5" x14ac:dyDescent="0.25">
      <c r="A165" s="19" t="s">
        <v>141</v>
      </c>
      <c r="C165" s="53">
        <v>792.38764557604827</v>
      </c>
      <c r="D165" s="53">
        <v>239.20000000000002</v>
      </c>
      <c r="E165" s="68">
        <v>48.5</v>
      </c>
    </row>
    <row r="166" spans="1:5" x14ac:dyDescent="0.25">
      <c r="A166" s="20" t="s">
        <v>1370</v>
      </c>
      <c r="C166" s="53">
        <v>9.1933626000257895</v>
      </c>
      <c r="D166" s="53">
        <v>0</v>
      </c>
      <c r="E166" s="68">
        <v>1</v>
      </c>
    </row>
    <row r="167" spans="1:5" x14ac:dyDescent="0.25">
      <c r="A167" s="21" t="s">
        <v>9</v>
      </c>
      <c r="C167" s="53">
        <v>9.1933626000257895</v>
      </c>
      <c r="D167" s="53">
        <v>0</v>
      </c>
      <c r="E167" s="68">
        <v>1</v>
      </c>
    </row>
    <row r="168" spans="1:5" x14ac:dyDescent="0.25">
      <c r="A168" s="22" t="s">
        <v>142</v>
      </c>
      <c r="B168" s="19" t="s">
        <v>23</v>
      </c>
      <c r="C168" s="53">
        <v>9.1933626000257895</v>
      </c>
      <c r="D168" s="53">
        <v>0</v>
      </c>
      <c r="E168" s="68">
        <v>1</v>
      </c>
    </row>
    <row r="169" spans="1:5" x14ac:dyDescent="0.25">
      <c r="A169" s="20" t="s">
        <v>1371</v>
      </c>
      <c r="C169" s="53">
        <v>56.640985683380372</v>
      </c>
      <c r="D169" s="53">
        <v>0</v>
      </c>
      <c r="E169" s="68">
        <v>2</v>
      </c>
    </row>
    <row r="170" spans="1:5" x14ac:dyDescent="0.25">
      <c r="A170" s="21" t="s">
        <v>30</v>
      </c>
      <c r="C170" s="53">
        <v>56.640985683380372</v>
      </c>
      <c r="D170" s="53">
        <v>0</v>
      </c>
      <c r="E170" s="68">
        <v>2</v>
      </c>
    </row>
    <row r="171" spans="1:5" x14ac:dyDescent="0.25">
      <c r="A171" s="22" t="s">
        <v>143</v>
      </c>
      <c r="B171" s="19" t="s">
        <v>144</v>
      </c>
      <c r="C171" s="53">
        <v>38.254260483328792</v>
      </c>
      <c r="D171" s="53">
        <v>0</v>
      </c>
      <c r="E171" s="68">
        <v>1</v>
      </c>
    </row>
    <row r="172" spans="1:5" x14ac:dyDescent="0.25">
      <c r="A172" s="22" t="s">
        <v>145</v>
      </c>
      <c r="B172" s="19" t="s">
        <v>23</v>
      </c>
      <c r="C172" s="53">
        <v>18.386725200051579</v>
      </c>
      <c r="D172" s="53">
        <v>0</v>
      </c>
      <c r="E172" s="68">
        <v>1</v>
      </c>
    </row>
    <row r="173" spans="1:5" x14ac:dyDescent="0.25">
      <c r="A173" s="20" t="s">
        <v>1372</v>
      </c>
      <c r="C173" s="53">
        <v>55.869730431700347</v>
      </c>
      <c r="D173" s="53">
        <v>0</v>
      </c>
      <c r="E173" s="68">
        <v>3</v>
      </c>
    </row>
    <row r="174" spans="1:5" x14ac:dyDescent="0.25">
      <c r="A174" s="21" t="s">
        <v>19</v>
      </c>
      <c r="C174" s="53">
        <v>39.611669726285612</v>
      </c>
      <c r="D174" s="53">
        <v>0</v>
      </c>
      <c r="E174" s="68">
        <v>2</v>
      </c>
    </row>
    <row r="175" spans="1:5" x14ac:dyDescent="0.25">
      <c r="A175" s="22" t="s">
        <v>146</v>
      </c>
      <c r="B175" s="19" t="s">
        <v>23</v>
      </c>
      <c r="C175" s="53">
        <v>19.805834863142806</v>
      </c>
      <c r="D175" s="53">
        <v>0</v>
      </c>
      <c r="E175" s="68">
        <v>1</v>
      </c>
    </row>
    <row r="176" spans="1:5" x14ac:dyDescent="0.25">
      <c r="A176" s="22" t="s">
        <v>147</v>
      </c>
      <c r="B176" s="19" t="s">
        <v>23</v>
      </c>
      <c r="C176" s="53">
        <v>19.805834863142806</v>
      </c>
      <c r="D176" s="53">
        <v>0</v>
      </c>
      <c r="E176" s="68">
        <v>1</v>
      </c>
    </row>
    <row r="177" spans="1:5" x14ac:dyDescent="0.25">
      <c r="A177" s="21" t="s">
        <v>30</v>
      </c>
      <c r="C177" s="53">
        <v>16.258060705414735</v>
      </c>
      <c r="D177" s="53">
        <v>0</v>
      </c>
      <c r="E177" s="68">
        <v>1</v>
      </c>
    </row>
    <row r="178" spans="1:5" x14ac:dyDescent="0.25">
      <c r="A178" s="22" t="s">
        <v>148</v>
      </c>
      <c r="B178" s="19" t="s">
        <v>23</v>
      </c>
      <c r="C178" s="53">
        <v>16.258060705414735</v>
      </c>
      <c r="D178" s="53">
        <v>0</v>
      </c>
      <c r="E178" s="68">
        <v>1</v>
      </c>
    </row>
    <row r="179" spans="1:5" x14ac:dyDescent="0.25">
      <c r="A179" s="20" t="s">
        <v>1373</v>
      </c>
      <c r="C179" s="53">
        <v>28.320492841690179</v>
      </c>
      <c r="D179" s="53">
        <v>0</v>
      </c>
      <c r="E179" s="68">
        <v>1</v>
      </c>
    </row>
    <row r="180" spans="1:5" x14ac:dyDescent="0.25">
      <c r="A180" s="21" t="s">
        <v>70</v>
      </c>
      <c r="C180" s="53">
        <v>28.320492841690179</v>
      </c>
      <c r="D180" s="53">
        <v>0</v>
      </c>
      <c r="E180" s="68">
        <v>1</v>
      </c>
    </row>
    <row r="181" spans="1:5" x14ac:dyDescent="0.25">
      <c r="A181" s="22" t="s">
        <v>149</v>
      </c>
      <c r="B181" s="19" t="s">
        <v>23</v>
      </c>
      <c r="C181" s="53">
        <v>28.320492841690179</v>
      </c>
      <c r="D181" s="53">
        <v>0</v>
      </c>
      <c r="E181" s="68">
        <v>1</v>
      </c>
    </row>
    <row r="182" spans="1:5" x14ac:dyDescent="0.25">
      <c r="A182" s="20" t="s">
        <v>1374</v>
      </c>
      <c r="C182" s="53">
        <v>29.770452714848616</v>
      </c>
      <c r="D182" s="53">
        <v>0</v>
      </c>
      <c r="E182" s="68">
        <v>1</v>
      </c>
    </row>
    <row r="183" spans="1:5" x14ac:dyDescent="0.25">
      <c r="A183" s="21" t="s">
        <v>26</v>
      </c>
      <c r="C183" s="53">
        <v>29.770452714848616</v>
      </c>
      <c r="D183" s="53">
        <v>0</v>
      </c>
      <c r="E183" s="68">
        <v>1</v>
      </c>
    </row>
    <row r="184" spans="1:5" x14ac:dyDescent="0.25">
      <c r="A184" s="22" t="s">
        <v>150</v>
      </c>
      <c r="B184" s="19" t="s">
        <v>23</v>
      </c>
      <c r="C184" s="53">
        <v>29.770452714848616</v>
      </c>
      <c r="D184" s="53">
        <v>0</v>
      </c>
      <c r="E184" s="68">
        <v>1</v>
      </c>
    </row>
    <row r="185" spans="1:5" x14ac:dyDescent="0.25">
      <c r="A185" s="20" t="s">
        <v>151</v>
      </c>
      <c r="C185" s="53">
        <v>0</v>
      </c>
      <c r="D185" s="53">
        <v>0</v>
      </c>
      <c r="E185" s="68">
        <v>15</v>
      </c>
    </row>
    <row r="186" spans="1:5" x14ac:dyDescent="0.25">
      <c r="A186" s="21" t="s">
        <v>9</v>
      </c>
      <c r="C186" s="53">
        <v>0</v>
      </c>
      <c r="D186" s="53">
        <v>0</v>
      </c>
      <c r="E186" s="68">
        <v>15</v>
      </c>
    </row>
    <row r="187" spans="1:5" x14ac:dyDescent="0.25">
      <c r="A187" s="22" t="s">
        <v>152</v>
      </c>
      <c r="B187" s="19" t="s">
        <v>23</v>
      </c>
      <c r="C187" s="53">
        <v>0</v>
      </c>
      <c r="D187" s="53">
        <v>0</v>
      </c>
      <c r="E187" s="68">
        <v>1</v>
      </c>
    </row>
    <row r="188" spans="1:5" x14ac:dyDescent="0.25">
      <c r="A188" s="22" t="s">
        <v>153</v>
      </c>
      <c r="B188" s="19" t="s">
        <v>23</v>
      </c>
      <c r="C188" s="53">
        <v>0</v>
      </c>
      <c r="D188" s="53">
        <v>0</v>
      </c>
      <c r="E188" s="68">
        <v>1</v>
      </c>
    </row>
    <row r="189" spans="1:5" x14ac:dyDescent="0.25">
      <c r="A189" s="22" t="s">
        <v>154</v>
      </c>
      <c r="B189" s="19" t="s">
        <v>23</v>
      </c>
      <c r="C189" s="53">
        <v>0</v>
      </c>
      <c r="D189" s="53">
        <v>0</v>
      </c>
      <c r="E189" s="68">
        <v>1</v>
      </c>
    </row>
    <row r="190" spans="1:5" x14ac:dyDescent="0.25">
      <c r="A190" s="22" t="s">
        <v>155</v>
      </c>
      <c r="B190" s="19" t="s">
        <v>23</v>
      </c>
      <c r="C190" s="53">
        <v>0</v>
      </c>
      <c r="D190" s="53">
        <v>0</v>
      </c>
      <c r="E190" s="68">
        <v>1</v>
      </c>
    </row>
    <row r="191" spans="1:5" x14ac:dyDescent="0.25">
      <c r="A191" s="22" t="s">
        <v>156</v>
      </c>
      <c r="B191" s="19" t="s">
        <v>157</v>
      </c>
      <c r="C191" s="53">
        <v>0</v>
      </c>
      <c r="D191" s="53">
        <v>0</v>
      </c>
      <c r="E191" s="68">
        <v>1</v>
      </c>
    </row>
    <row r="192" spans="1:5" x14ac:dyDescent="0.25">
      <c r="A192" s="22" t="s">
        <v>158</v>
      </c>
      <c r="B192" s="19" t="s">
        <v>23</v>
      </c>
      <c r="C192" s="53">
        <v>0</v>
      </c>
      <c r="D192" s="53">
        <v>0</v>
      </c>
      <c r="E192" s="68">
        <v>1</v>
      </c>
    </row>
    <row r="193" spans="1:5" x14ac:dyDescent="0.25">
      <c r="A193" s="22" t="s">
        <v>159</v>
      </c>
      <c r="B193" s="19" t="s">
        <v>23</v>
      </c>
      <c r="C193" s="53">
        <v>0</v>
      </c>
      <c r="D193" s="53">
        <v>0</v>
      </c>
      <c r="E193" s="68">
        <v>1</v>
      </c>
    </row>
    <row r="194" spans="1:5" x14ac:dyDescent="0.25">
      <c r="A194" s="22" t="s">
        <v>160</v>
      </c>
      <c r="B194" s="19" t="s">
        <v>23</v>
      </c>
      <c r="C194" s="53">
        <v>0</v>
      </c>
      <c r="D194" s="53">
        <v>0</v>
      </c>
      <c r="E194" s="68">
        <v>1</v>
      </c>
    </row>
    <row r="195" spans="1:5" x14ac:dyDescent="0.25">
      <c r="A195" s="22" t="s">
        <v>161</v>
      </c>
      <c r="B195" s="19" t="s">
        <v>23</v>
      </c>
      <c r="C195" s="53">
        <v>0</v>
      </c>
      <c r="D195" s="53">
        <v>0</v>
      </c>
      <c r="E195" s="68">
        <v>1</v>
      </c>
    </row>
    <row r="196" spans="1:5" x14ac:dyDescent="0.25">
      <c r="A196" s="22" t="s">
        <v>162</v>
      </c>
      <c r="B196" s="19" t="s">
        <v>23</v>
      </c>
      <c r="C196" s="53">
        <v>0</v>
      </c>
      <c r="D196" s="53">
        <v>0</v>
      </c>
      <c r="E196" s="68">
        <v>1</v>
      </c>
    </row>
    <row r="197" spans="1:5" x14ac:dyDescent="0.25">
      <c r="A197" s="22" t="s">
        <v>163</v>
      </c>
      <c r="B197" s="19" t="s">
        <v>23</v>
      </c>
      <c r="C197" s="53">
        <v>0</v>
      </c>
      <c r="D197" s="53">
        <v>0</v>
      </c>
      <c r="E197" s="68">
        <v>1</v>
      </c>
    </row>
    <row r="198" spans="1:5" x14ac:dyDescent="0.25">
      <c r="A198" s="22" t="s">
        <v>164</v>
      </c>
      <c r="B198" s="19" t="s">
        <v>23</v>
      </c>
      <c r="C198" s="53">
        <v>0</v>
      </c>
      <c r="D198" s="53">
        <v>0</v>
      </c>
      <c r="E198" s="68">
        <v>1</v>
      </c>
    </row>
    <row r="199" spans="1:5" x14ac:dyDescent="0.25">
      <c r="A199" s="22" t="s">
        <v>165</v>
      </c>
      <c r="B199" s="19" t="s">
        <v>23</v>
      </c>
      <c r="C199" s="53">
        <v>0</v>
      </c>
      <c r="D199" s="53">
        <v>0</v>
      </c>
      <c r="E199" s="68">
        <v>1</v>
      </c>
    </row>
    <row r="200" spans="1:5" x14ac:dyDescent="0.25">
      <c r="A200" s="22" t="s">
        <v>166</v>
      </c>
      <c r="B200" s="19" t="s">
        <v>23</v>
      </c>
      <c r="C200" s="53">
        <v>0</v>
      </c>
      <c r="D200" s="53">
        <v>0</v>
      </c>
      <c r="E200" s="68">
        <v>1</v>
      </c>
    </row>
    <row r="201" spans="1:5" x14ac:dyDescent="0.25">
      <c r="A201" s="22" t="s">
        <v>167</v>
      </c>
      <c r="B201" s="19" t="s">
        <v>23</v>
      </c>
      <c r="C201" s="53">
        <v>0</v>
      </c>
      <c r="D201" s="53">
        <v>0</v>
      </c>
      <c r="E201" s="68">
        <v>1</v>
      </c>
    </row>
    <row r="202" spans="1:5" x14ac:dyDescent="0.25">
      <c r="A202" s="22" t="s">
        <v>168</v>
      </c>
      <c r="B202" s="19" t="s">
        <v>23</v>
      </c>
      <c r="C202" s="53">
        <v>0</v>
      </c>
      <c r="D202" s="53">
        <v>0</v>
      </c>
      <c r="E202" s="68">
        <v>0</v>
      </c>
    </row>
    <row r="203" spans="1:5" x14ac:dyDescent="0.25">
      <c r="A203" s="22" t="s">
        <v>169</v>
      </c>
      <c r="B203" s="19" t="s">
        <v>23</v>
      </c>
      <c r="C203" s="53">
        <v>0</v>
      </c>
      <c r="D203" s="53">
        <v>0</v>
      </c>
      <c r="E203" s="68">
        <v>0</v>
      </c>
    </row>
    <row r="204" spans="1:5" x14ac:dyDescent="0.25">
      <c r="A204" s="22" t="s">
        <v>170</v>
      </c>
      <c r="B204" s="19" t="s">
        <v>23</v>
      </c>
      <c r="C204" s="53">
        <v>0</v>
      </c>
      <c r="D204" s="53">
        <v>0</v>
      </c>
      <c r="E204" s="68">
        <v>0</v>
      </c>
    </row>
    <row r="205" spans="1:5" x14ac:dyDescent="0.25">
      <c r="A205" s="22" t="s">
        <v>171</v>
      </c>
      <c r="B205" s="19" t="s">
        <v>23</v>
      </c>
      <c r="C205" s="53">
        <v>0</v>
      </c>
      <c r="D205" s="53">
        <v>0</v>
      </c>
      <c r="E205" s="68">
        <v>0</v>
      </c>
    </row>
    <row r="206" spans="1:5" x14ac:dyDescent="0.25">
      <c r="A206" s="22" t="s">
        <v>172</v>
      </c>
      <c r="B206" s="19" t="s">
        <v>23</v>
      </c>
      <c r="C206" s="53">
        <v>0</v>
      </c>
      <c r="D206" s="53">
        <v>0</v>
      </c>
      <c r="E206" s="68">
        <v>0</v>
      </c>
    </row>
    <row r="207" spans="1:5" x14ac:dyDescent="0.25">
      <c r="A207" s="22" t="s">
        <v>173</v>
      </c>
      <c r="B207" s="19" t="s">
        <v>23</v>
      </c>
      <c r="C207" s="53">
        <v>0</v>
      </c>
      <c r="D207" s="53">
        <v>0</v>
      </c>
      <c r="E207" s="68">
        <v>0</v>
      </c>
    </row>
    <row r="208" spans="1:5" x14ac:dyDescent="0.25">
      <c r="A208" s="22" t="s">
        <v>174</v>
      </c>
      <c r="B208" s="19" t="s">
        <v>23</v>
      </c>
      <c r="C208" s="53">
        <v>0</v>
      </c>
      <c r="D208" s="53">
        <v>0</v>
      </c>
      <c r="E208" s="68">
        <v>0</v>
      </c>
    </row>
    <row r="209" spans="1:5" x14ac:dyDescent="0.25">
      <c r="A209" s="22" t="s">
        <v>175</v>
      </c>
      <c r="B209" s="19" t="s">
        <v>23</v>
      </c>
      <c r="C209" s="53">
        <v>0</v>
      </c>
      <c r="D209" s="53">
        <v>0</v>
      </c>
      <c r="E209" s="68">
        <v>0</v>
      </c>
    </row>
    <row r="210" spans="1:5" x14ac:dyDescent="0.25">
      <c r="A210" s="22" t="s">
        <v>176</v>
      </c>
      <c r="B210" s="19" t="s">
        <v>23</v>
      </c>
      <c r="C210" s="53">
        <v>0</v>
      </c>
      <c r="D210" s="53">
        <v>0</v>
      </c>
      <c r="E210" s="68">
        <v>0</v>
      </c>
    </row>
    <row r="211" spans="1:5" x14ac:dyDescent="0.25">
      <c r="A211" s="22" t="s">
        <v>177</v>
      </c>
      <c r="B211" s="19" t="s">
        <v>23</v>
      </c>
      <c r="C211" s="53">
        <v>0</v>
      </c>
      <c r="D211" s="53">
        <v>0</v>
      </c>
      <c r="E211" s="68">
        <v>0</v>
      </c>
    </row>
    <row r="212" spans="1:5" x14ac:dyDescent="0.25">
      <c r="A212" s="22" t="s">
        <v>178</v>
      </c>
      <c r="B212" s="19" t="s">
        <v>23</v>
      </c>
      <c r="C212" s="53">
        <v>0</v>
      </c>
      <c r="D212" s="53">
        <v>0</v>
      </c>
      <c r="E212" s="68">
        <v>0</v>
      </c>
    </row>
    <row r="213" spans="1:5" x14ac:dyDescent="0.25">
      <c r="A213" s="22" t="s">
        <v>179</v>
      </c>
      <c r="B213" s="19" t="s">
        <v>23</v>
      </c>
      <c r="C213" s="53">
        <v>0</v>
      </c>
      <c r="D213" s="53">
        <v>0</v>
      </c>
      <c r="E213" s="68">
        <v>0</v>
      </c>
    </row>
    <row r="214" spans="1:5" x14ac:dyDescent="0.25">
      <c r="A214" s="22" t="s">
        <v>180</v>
      </c>
      <c r="B214" s="19" t="s">
        <v>23</v>
      </c>
      <c r="C214" s="53">
        <v>0</v>
      </c>
      <c r="D214" s="53">
        <v>0</v>
      </c>
      <c r="E214" s="68">
        <v>0</v>
      </c>
    </row>
    <row r="215" spans="1:5" x14ac:dyDescent="0.25">
      <c r="A215" s="20" t="s">
        <v>181</v>
      </c>
      <c r="C215" s="53">
        <v>44.578553547104917</v>
      </c>
      <c r="D215" s="53">
        <v>0</v>
      </c>
      <c r="E215" s="68">
        <v>1</v>
      </c>
    </row>
    <row r="216" spans="1:5" x14ac:dyDescent="0.25">
      <c r="A216" s="21" t="s">
        <v>6</v>
      </c>
      <c r="C216" s="53">
        <v>44.578553547104917</v>
      </c>
      <c r="D216" s="53">
        <v>0</v>
      </c>
      <c r="E216" s="68">
        <v>1</v>
      </c>
    </row>
    <row r="217" spans="1:5" x14ac:dyDescent="0.25">
      <c r="A217" s="22" t="s">
        <v>182</v>
      </c>
      <c r="B217" s="19" t="s">
        <v>23</v>
      </c>
      <c r="C217" s="53">
        <v>44.578553547104917</v>
      </c>
      <c r="D217" s="53">
        <v>0</v>
      </c>
      <c r="E217" s="68">
        <v>1</v>
      </c>
    </row>
    <row r="218" spans="1:5" x14ac:dyDescent="0.25">
      <c r="A218" s="20" t="s">
        <v>183</v>
      </c>
      <c r="C218" s="53">
        <v>52.445357114241077</v>
      </c>
      <c r="D218" s="53">
        <v>0</v>
      </c>
      <c r="E218" s="68">
        <v>1</v>
      </c>
    </row>
    <row r="219" spans="1:5" x14ac:dyDescent="0.25">
      <c r="A219" s="21" t="s">
        <v>26</v>
      </c>
      <c r="C219" s="53">
        <v>52.445357114241077</v>
      </c>
      <c r="D219" s="53">
        <v>0</v>
      </c>
      <c r="E219" s="68">
        <v>1</v>
      </c>
    </row>
    <row r="220" spans="1:5" x14ac:dyDescent="0.25">
      <c r="A220" s="22" t="s">
        <v>184</v>
      </c>
      <c r="B220" s="19" t="s">
        <v>23</v>
      </c>
      <c r="C220" s="53">
        <v>52.445357114241077</v>
      </c>
      <c r="D220" s="53">
        <v>0</v>
      </c>
      <c r="E220" s="68">
        <v>1</v>
      </c>
    </row>
    <row r="221" spans="1:5" x14ac:dyDescent="0.25">
      <c r="A221" s="20" t="s">
        <v>1375</v>
      </c>
      <c r="C221" s="53">
        <v>24.001463432282094</v>
      </c>
      <c r="D221" s="53">
        <v>0</v>
      </c>
      <c r="E221" s="68">
        <v>1</v>
      </c>
    </row>
    <row r="222" spans="1:5" x14ac:dyDescent="0.25">
      <c r="A222" s="21" t="s">
        <v>30</v>
      </c>
      <c r="C222" s="53">
        <v>24.001463432282094</v>
      </c>
      <c r="D222" s="53">
        <v>0</v>
      </c>
      <c r="E222" s="68">
        <v>1</v>
      </c>
    </row>
    <row r="223" spans="1:5" x14ac:dyDescent="0.25">
      <c r="A223" s="22" t="s">
        <v>185</v>
      </c>
      <c r="B223" s="19" t="s">
        <v>23</v>
      </c>
      <c r="C223" s="53">
        <v>24.001463432282094</v>
      </c>
      <c r="D223" s="53">
        <v>0</v>
      </c>
      <c r="E223" s="68">
        <v>1</v>
      </c>
    </row>
    <row r="224" spans="1:5" x14ac:dyDescent="0.25">
      <c r="A224" s="20" t="s">
        <v>1376</v>
      </c>
      <c r="C224" s="53">
        <v>31.80656657928386</v>
      </c>
      <c r="D224" s="53">
        <v>0</v>
      </c>
      <c r="E224" s="68">
        <v>1</v>
      </c>
    </row>
    <row r="225" spans="1:5" x14ac:dyDescent="0.25">
      <c r="A225" s="21" t="s">
        <v>30</v>
      </c>
      <c r="C225" s="53">
        <v>31.80656657928386</v>
      </c>
      <c r="D225" s="53">
        <v>0</v>
      </c>
      <c r="E225" s="68">
        <v>1</v>
      </c>
    </row>
    <row r="226" spans="1:5" x14ac:dyDescent="0.25">
      <c r="A226" s="22" t="s">
        <v>186</v>
      </c>
      <c r="B226" s="19" t="s">
        <v>23</v>
      </c>
      <c r="C226" s="53">
        <v>31.80656657928386</v>
      </c>
      <c r="D226" s="53">
        <v>0</v>
      </c>
      <c r="E226" s="68">
        <v>1</v>
      </c>
    </row>
    <row r="227" spans="1:5" x14ac:dyDescent="0.25">
      <c r="A227" s="20" t="s">
        <v>187</v>
      </c>
      <c r="C227" s="53">
        <v>19.836685073210006</v>
      </c>
      <c r="D227" s="53">
        <v>0</v>
      </c>
      <c r="E227" s="68">
        <v>1</v>
      </c>
    </row>
    <row r="228" spans="1:5" x14ac:dyDescent="0.25">
      <c r="A228" s="21" t="s">
        <v>30</v>
      </c>
      <c r="C228" s="53">
        <v>19.836685073210006</v>
      </c>
      <c r="D228" s="53">
        <v>0</v>
      </c>
      <c r="E228" s="68">
        <v>1</v>
      </c>
    </row>
    <row r="229" spans="1:5" x14ac:dyDescent="0.25">
      <c r="A229" s="22" t="s">
        <v>188</v>
      </c>
      <c r="B229" s="19" t="s">
        <v>23</v>
      </c>
      <c r="C229" s="53">
        <v>19.836685073210006</v>
      </c>
      <c r="D229" s="53">
        <v>0</v>
      </c>
      <c r="E229" s="68">
        <v>1</v>
      </c>
    </row>
    <row r="230" spans="1:5" x14ac:dyDescent="0.25">
      <c r="A230" s="20" t="s">
        <v>189</v>
      </c>
      <c r="C230" s="53">
        <v>347.92866913788873</v>
      </c>
      <c r="D230" s="53">
        <v>239.20000000000002</v>
      </c>
      <c r="E230" s="68">
        <v>5</v>
      </c>
    </row>
    <row r="231" spans="1:5" x14ac:dyDescent="0.25">
      <c r="A231" s="21" t="s">
        <v>9</v>
      </c>
      <c r="C231" s="53">
        <v>347.92866913788873</v>
      </c>
      <c r="D231" s="53">
        <v>239.20000000000002</v>
      </c>
      <c r="E231" s="68">
        <v>5</v>
      </c>
    </row>
    <row r="232" spans="1:5" x14ac:dyDescent="0.25">
      <c r="A232" s="22" t="s">
        <v>190</v>
      </c>
      <c r="B232" s="19" t="s">
        <v>23</v>
      </c>
      <c r="C232" s="53">
        <v>90.699617597569855</v>
      </c>
      <c r="D232" s="53">
        <v>239.20000000000002</v>
      </c>
      <c r="E232" s="68">
        <v>1</v>
      </c>
    </row>
    <row r="233" spans="1:5" x14ac:dyDescent="0.25">
      <c r="A233" s="22" t="s">
        <v>191</v>
      </c>
      <c r="B233" s="19" t="s">
        <v>192</v>
      </c>
      <c r="C233" s="53">
        <v>24.063163852416498</v>
      </c>
      <c r="D233" s="53">
        <v>0</v>
      </c>
      <c r="E233" s="68">
        <v>1</v>
      </c>
    </row>
    <row r="234" spans="1:5" x14ac:dyDescent="0.25">
      <c r="A234" s="22" t="s">
        <v>193</v>
      </c>
      <c r="B234" s="19" t="s">
        <v>23</v>
      </c>
      <c r="C234" s="53">
        <v>24.063163852416498</v>
      </c>
      <c r="D234" s="53">
        <v>0</v>
      </c>
      <c r="E234" s="68">
        <v>1</v>
      </c>
    </row>
    <row r="235" spans="1:5" x14ac:dyDescent="0.25">
      <c r="A235" s="22" t="s">
        <v>194</v>
      </c>
      <c r="B235" s="19" t="s">
        <v>23</v>
      </c>
      <c r="C235" s="53">
        <v>185.71826460454781</v>
      </c>
      <c r="D235" s="53">
        <v>0</v>
      </c>
      <c r="E235" s="68">
        <v>1</v>
      </c>
    </row>
    <row r="236" spans="1:5" x14ac:dyDescent="0.25">
      <c r="A236" s="22" t="s">
        <v>195</v>
      </c>
      <c r="B236" s="19" t="s">
        <v>23</v>
      </c>
      <c r="C236" s="53">
        <v>23.384459230938084</v>
      </c>
      <c r="D236" s="53">
        <v>0</v>
      </c>
      <c r="E236" s="68">
        <v>1</v>
      </c>
    </row>
    <row r="237" spans="1:5" x14ac:dyDescent="0.25">
      <c r="A237" s="20" t="s">
        <v>196</v>
      </c>
      <c r="C237" s="53">
        <v>0</v>
      </c>
      <c r="D237" s="53">
        <v>0</v>
      </c>
      <c r="E237" s="68">
        <v>10</v>
      </c>
    </row>
    <row r="238" spans="1:5" x14ac:dyDescent="0.25">
      <c r="A238" s="21" t="s">
        <v>9</v>
      </c>
      <c r="C238" s="53">
        <v>0</v>
      </c>
      <c r="D238" s="53">
        <v>0</v>
      </c>
      <c r="E238" s="68">
        <v>10</v>
      </c>
    </row>
    <row r="239" spans="1:5" x14ac:dyDescent="0.25">
      <c r="A239" s="22" t="s">
        <v>197</v>
      </c>
      <c r="B239" s="19" t="s">
        <v>23</v>
      </c>
      <c r="C239" s="53">
        <v>0</v>
      </c>
      <c r="D239" s="53">
        <v>0</v>
      </c>
      <c r="E239" s="68">
        <v>1</v>
      </c>
    </row>
    <row r="240" spans="1:5" x14ac:dyDescent="0.25">
      <c r="A240" s="22" t="s">
        <v>198</v>
      </c>
      <c r="B240" s="19" t="s">
        <v>23</v>
      </c>
      <c r="C240" s="53">
        <v>0</v>
      </c>
      <c r="D240" s="53">
        <v>0</v>
      </c>
      <c r="E240" s="68">
        <v>1</v>
      </c>
    </row>
    <row r="241" spans="1:5" x14ac:dyDescent="0.25">
      <c r="A241" s="22" t="s">
        <v>199</v>
      </c>
      <c r="B241" s="19" t="s">
        <v>23</v>
      </c>
      <c r="C241" s="53">
        <v>0</v>
      </c>
      <c r="D241" s="53">
        <v>0</v>
      </c>
      <c r="E241" s="68">
        <v>1</v>
      </c>
    </row>
    <row r="242" spans="1:5" x14ac:dyDescent="0.25">
      <c r="A242" s="22" t="s">
        <v>200</v>
      </c>
      <c r="B242" s="19" t="s">
        <v>23</v>
      </c>
      <c r="C242" s="53">
        <v>0</v>
      </c>
      <c r="D242" s="53">
        <v>0</v>
      </c>
      <c r="E242" s="68">
        <v>1</v>
      </c>
    </row>
    <row r="243" spans="1:5" x14ac:dyDescent="0.25">
      <c r="A243" s="22" t="s">
        <v>201</v>
      </c>
      <c r="B243" s="19" t="s">
        <v>23</v>
      </c>
      <c r="C243" s="53">
        <v>0</v>
      </c>
      <c r="D243" s="53">
        <v>0</v>
      </c>
      <c r="E243" s="68">
        <v>1</v>
      </c>
    </row>
    <row r="244" spans="1:5" x14ac:dyDescent="0.25">
      <c r="A244" s="22" t="s">
        <v>202</v>
      </c>
      <c r="B244" s="19" t="s">
        <v>23</v>
      </c>
      <c r="C244" s="53">
        <v>0</v>
      </c>
      <c r="D244" s="53">
        <v>0</v>
      </c>
      <c r="E244" s="68">
        <v>1</v>
      </c>
    </row>
    <row r="245" spans="1:5" x14ac:dyDescent="0.25">
      <c r="A245" s="22" t="s">
        <v>203</v>
      </c>
      <c r="B245" s="19" t="s">
        <v>23</v>
      </c>
      <c r="C245" s="53">
        <v>0</v>
      </c>
      <c r="D245" s="53">
        <v>0</v>
      </c>
      <c r="E245" s="68">
        <v>1</v>
      </c>
    </row>
    <row r="246" spans="1:5" x14ac:dyDescent="0.25">
      <c r="A246" s="22" t="s">
        <v>204</v>
      </c>
      <c r="B246" s="19" t="s">
        <v>23</v>
      </c>
      <c r="C246" s="53">
        <v>0</v>
      </c>
      <c r="D246" s="53">
        <v>0</v>
      </c>
      <c r="E246" s="68">
        <v>1</v>
      </c>
    </row>
    <row r="247" spans="1:5" x14ac:dyDescent="0.25">
      <c r="A247" s="22" t="s">
        <v>205</v>
      </c>
      <c r="B247" s="19" t="s">
        <v>23</v>
      </c>
      <c r="C247" s="53">
        <v>0</v>
      </c>
      <c r="D247" s="53">
        <v>0</v>
      </c>
      <c r="E247" s="68">
        <v>1</v>
      </c>
    </row>
    <row r="248" spans="1:5" x14ac:dyDescent="0.25">
      <c r="A248" s="22" t="s">
        <v>206</v>
      </c>
      <c r="B248" s="19" t="s">
        <v>23</v>
      </c>
      <c r="C248" s="53">
        <v>0</v>
      </c>
      <c r="D248" s="53">
        <v>0</v>
      </c>
      <c r="E248" s="68">
        <v>1</v>
      </c>
    </row>
    <row r="249" spans="1:5" x14ac:dyDescent="0.25">
      <c r="A249" s="20" t="s">
        <v>207</v>
      </c>
      <c r="C249" s="53">
        <v>0</v>
      </c>
      <c r="D249" s="53">
        <v>0</v>
      </c>
      <c r="E249" s="68">
        <v>3.5</v>
      </c>
    </row>
    <row r="250" spans="1:5" x14ac:dyDescent="0.25">
      <c r="A250" s="21" t="s">
        <v>24</v>
      </c>
      <c r="C250" s="53">
        <v>0</v>
      </c>
      <c r="D250" s="53">
        <v>0</v>
      </c>
      <c r="E250" s="68">
        <v>1.5</v>
      </c>
    </row>
    <row r="251" spans="1:5" x14ac:dyDescent="0.25">
      <c r="A251" s="22" t="s">
        <v>90</v>
      </c>
      <c r="B251" s="19" t="s">
        <v>23</v>
      </c>
      <c r="C251" s="53">
        <v>0</v>
      </c>
      <c r="D251" s="53">
        <v>0</v>
      </c>
      <c r="E251" s="68">
        <v>0.5</v>
      </c>
    </row>
    <row r="252" spans="1:5" x14ac:dyDescent="0.25">
      <c r="A252" s="22" t="s">
        <v>208</v>
      </c>
      <c r="B252" s="19" t="s">
        <v>23</v>
      </c>
      <c r="C252" s="53">
        <v>0</v>
      </c>
      <c r="D252" s="53">
        <v>0</v>
      </c>
      <c r="E252" s="68">
        <v>1</v>
      </c>
    </row>
    <row r="253" spans="1:5" x14ac:dyDescent="0.25">
      <c r="A253" s="21" t="s">
        <v>30</v>
      </c>
      <c r="C253" s="53">
        <v>0</v>
      </c>
      <c r="D253" s="53">
        <v>0</v>
      </c>
      <c r="E253" s="68">
        <v>2</v>
      </c>
    </row>
    <row r="254" spans="1:5" x14ac:dyDescent="0.25">
      <c r="A254" s="22" t="s">
        <v>209</v>
      </c>
      <c r="B254" s="19" t="s">
        <v>23</v>
      </c>
      <c r="C254" s="53">
        <v>0</v>
      </c>
      <c r="D254" s="53">
        <v>0</v>
      </c>
      <c r="E254" s="68">
        <v>1</v>
      </c>
    </row>
    <row r="255" spans="1:5" x14ac:dyDescent="0.25">
      <c r="A255" s="22" t="s">
        <v>210</v>
      </c>
      <c r="B255" s="19" t="s">
        <v>23</v>
      </c>
      <c r="C255" s="53">
        <v>0</v>
      </c>
      <c r="D255" s="53">
        <v>0</v>
      </c>
      <c r="E255" s="68">
        <v>1</v>
      </c>
    </row>
    <row r="256" spans="1:5" x14ac:dyDescent="0.25">
      <c r="A256" s="20" t="s">
        <v>1377</v>
      </c>
      <c r="C256" s="53">
        <v>91.995326420392288</v>
      </c>
      <c r="D256" s="53">
        <v>0</v>
      </c>
      <c r="E256" s="68">
        <v>2</v>
      </c>
    </row>
    <row r="257" spans="1:5" x14ac:dyDescent="0.25">
      <c r="A257" s="21" t="s">
        <v>19</v>
      </c>
      <c r="C257" s="53">
        <v>91.995326420392288</v>
      </c>
      <c r="D257" s="53">
        <v>0</v>
      </c>
      <c r="E257" s="68">
        <v>2</v>
      </c>
    </row>
    <row r="258" spans="1:5" x14ac:dyDescent="0.25">
      <c r="A258" s="22" t="s">
        <v>211</v>
      </c>
      <c r="B258" s="19" t="s">
        <v>23</v>
      </c>
      <c r="C258" s="53">
        <v>45.997663210196144</v>
      </c>
      <c r="D258" s="53">
        <v>0</v>
      </c>
      <c r="E258" s="68">
        <v>1</v>
      </c>
    </row>
    <row r="259" spans="1:5" x14ac:dyDescent="0.25">
      <c r="A259" s="22" t="s">
        <v>212</v>
      </c>
      <c r="B259" s="19" t="s">
        <v>23</v>
      </c>
      <c r="C259" s="53">
        <v>45.997663210196144</v>
      </c>
      <c r="D259" s="53">
        <v>0</v>
      </c>
      <c r="E259" s="68">
        <v>1</v>
      </c>
    </row>
    <row r="260" spans="1:5" x14ac:dyDescent="0.25">
      <c r="A260" s="19" t="s">
        <v>213</v>
      </c>
      <c r="C260" s="53">
        <v>411.32585082598604</v>
      </c>
      <c r="D260" s="53">
        <v>0</v>
      </c>
      <c r="E260" s="68">
        <v>3.2</v>
      </c>
    </row>
    <row r="261" spans="1:5" x14ac:dyDescent="0.25">
      <c r="A261" s="20" t="s">
        <v>214</v>
      </c>
      <c r="C261" s="53">
        <v>219.46839441806529</v>
      </c>
      <c r="D261" s="53">
        <v>0</v>
      </c>
      <c r="E261" s="68">
        <v>1.1000000000000001</v>
      </c>
    </row>
    <row r="262" spans="1:5" x14ac:dyDescent="0.25">
      <c r="A262" s="21" t="s">
        <v>93</v>
      </c>
      <c r="C262" s="53">
        <v>219.46839441806529</v>
      </c>
      <c r="D262" s="53">
        <v>0</v>
      </c>
      <c r="E262" s="68">
        <v>1.1000000000000001</v>
      </c>
    </row>
    <row r="263" spans="1:5" x14ac:dyDescent="0.25">
      <c r="A263" s="22" t="s">
        <v>215</v>
      </c>
      <c r="B263" s="19" t="s">
        <v>23</v>
      </c>
      <c r="C263" s="53">
        <v>207.00490955091624</v>
      </c>
      <c r="D263" s="53">
        <v>0</v>
      </c>
      <c r="E263" s="68">
        <v>1</v>
      </c>
    </row>
    <row r="264" spans="1:5" x14ac:dyDescent="0.25">
      <c r="A264" s="22" t="s">
        <v>123</v>
      </c>
      <c r="B264" s="19" t="s">
        <v>23</v>
      </c>
      <c r="C264" s="53">
        <v>12.463484867149059</v>
      </c>
      <c r="D264" s="53">
        <v>0</v>
      </c>
      <c r="E264" s="68">
        <v>0.1</v>
      </c>
    </row>
    <row r="265" spans="1:5" x14ac:dyDescent="0.25">
      <c r="A265" s="20" t="s">
        <v>216</v>
      </c>
      <c r="C265" s="53">
        <v>87.923098691521801</v>
      </c>
      <c r="D265" s="53">
        <v>0</v>
      </c>
      <c r="E265" s="68">
        <v>1</v>
      </c>
    </row>
    <row r="266" spans="1:5" x14ac:dyDescent="0.25">
      <c r="A266" s="21" t="s">
        <v>93</v>
      </c>
      <c r="C266" s="53">
        <v>87.923098691521801</v>
      </c>
      <c r="D266" s="53">
        <v>0</v>
      </c>
      <c r="E266" s="68">
        <v>1</v>
      </c>
    </row>
    <row r="267" spans="1:5" x14ac:dyDescent="0.25">
      <c r="A267" s="22" t="s">
        <v>217</v>
      </c>
      <c r="B267" s="19" t="s">
        <v>23</v>
      </c>
      <c r="C267" s="53">
        <v>87.923098691521801</v>
      </c>
      <c r="D267" s="53">
        <v>0</v>
      </c>
      <c r="E267" s="68">
        <v>1</v>
      </c>
    </row>
    <row r="268" spans="1:5" x14ac:dyDescent="0.25">
      <c r="A268" s="20" t="s">
        <v>218</v>
      </c>
      <c r="C268" s="53">
        <v>12.463484867149059</v>
      </c>
      <c r="D268" s="53">
        <v>0</v>
      </c>
      <c r="E268" s="68">
        <v>0.1</v>
      </c>
    </row>
    <row r="269" spans="1:5" x14ac:dyDescent="0.25">
      <c r="A269" s="21" t="s">
        <v>93</v>
      </c>
      <c r="C269" s="53">
        <v>12.463484867149059</v>
      </c>
      <c r="D269" s="53">
        <v>0</v>
      </c>
      <c r="E269" s="68">
        <v>0.1</v>
      </c>
    </row>
    <row r="270" spans="1:5" x14ac:dyDescent="0.25">
      <c r="A270" s="22" t="s">
        <v>123</v>
      </c>
      <c r="B270" s="19" t="s">
        <v>23</v>
      </c>
      <c r="C270" s="53">
        <v>12.463484867149059</v>
      </c>
      <c r="D270" s="53">
        <v>0</v>
      </c>
      <c r="E270" s="68">
        <v>0.1</v>
      </c>
    </row>
    <row r="271" spans="1:5" x14ac:dyDescent="0.25">
      <c r="A271" s="20" t="s">
        <v>219</v>
      </c>
      <c r="C271" s="53">
        <v>91.470872849249886</v>
      </c>
      <c r="D271" s="53">
        <v>0</v>
      </c>
      <c r="E271" s="68">
        <v>1</v>
      </c>
    </row>
    <row r="272" spans="1:5" x14ac:dyDescent="0.25">
      <c r="A272" s="21" t="s">
        <v>6</v>
      </c>
      <c r="C272" s="53">
        <v>91.470872849249886</v>
      </c>
      <c r="D272" s="53">
        <v>0</v>
      </c>
      <c r="E272" s="68">
        <v>1</v>
      </c>
    </row>
    <row r="273" spans="1:5" x14ac:dyDescent="0.25">
      <c r="A273" s="22" t="s">
        <v>220</v>
      </c>
      <c r="B273" s="19" t="s">
        <v>23</v>
      </c>
      <c r="C273" s="53">
        <v>91.470872849249886</v>
      </c>
      <c r="D273" s="53">
        <v>0</v>
      </c>
      <c r="E273" s="68">
        <v>1</v>
      </c>
    </row>
    <row r="274" spans="1:5" x14ac:dyDescent="0.25">
      <c r="A274" s="19" t="s">
        <v>221</v>
      </c>
      <c r="C274" s="53">
        <v>157.58287302326085</v>
      </c>
      <c r="D274" s="53">
        <v>0</v>
      </c>
      <c r="E274" s="68">
        <v>6</v>
      </c>
    </row>
    <row r="275" spans="1:5" x14ac:dyDescent="0.25">
      <c r="A275" s="20" t="s">
        <v>1378</v>
      </c>
      <c r="C275" s="53">
        <v>148.38951042323507</v>
      </c>
      <c r="D275" s="53">
        <v>0</v>
      </c>
      <c r="E275" s="68">
        <v>5</v>
      </c>
    </row>
    <row r="276" spans="1:5" x14ac:dyDescent="0.25">
      <c r="A276" s="21" t="s">
        <v>6</v>
      </c>
      <c r="C276" s="53">
        <v>29.677902084647013</v>
      </c>
      <c r="D276" s="53">
        <v>0</v>
      </c>
      <c r="E276" s="68">
        <v>1</v>
      </c>
    </row>
    <row r="277" spans="1:5" x14ac:dyDescent="0.25">
      <c r="A277" s="22" t="s">
        <v>222</v>
      </c>
      <c r="B277" s="19" t="s">
        <v>23</v>
      </c>
      <c r="C277" s="53">
        <v>29.677902084647013</v>
      </c>
      <c r="D277" s="53">
        <v>0</v>
      </c>
      <c r="E277" s="68">
        <v>1</v>
      </c>
    </row>
    <row r="278" spans="1:5" x14ac:dyDescent="0.25">
      <c r="A278" s="21" t="s">
        <v>70</v>
      </c>
      <c r="C278" s="53">
        <v>59.355804169294025</v>
      </c>
      <c r="D278" s="53">
        <v>0</v>
      </c>
      <c r="E278" s="68">
        <v>2</v>
      </c>
    </row>
    <row r="279" spans="1:5" x14ac:dyDescent="0.25">
      <c r="A279" s="22" t="s">
        <v>223</v>
      </c>
      <c r="B279" s="19" t="s">
        <v>23</v>
      </c>
      <c r="C279" s="53">
        <v>29.677902084647013</v>
      </c>
      <c r="D279" s="53">
        <v>0</v>
      </c>
      <c r="E279" s="68">
        <v>1</v>
      </c>
    </row>
    <row r="280" spans="1:5" x14ac:dyDescent="0.25">
      <c r="A280" s="22" t="s">
        <v>224</v>
      </c>
      <c r="B280" s="19" t="s">
        <v>23</v>
      </c>
      <c r="C280" s="53">
        <v>29.677902084647013</v>
      </c>
      <c r="D280" s="53">
        <v>0</v>
      </c>
      <c r="E280" s="68">
        <v>1</v>
      </c>
    </row>
    <row r="281" spans="1:5" x14ac:dyDescent="0.25">
      <c r="A281" s="21" t="s">
        <v>30</v>
      </c>
      <c r="C281" s="53">
        <v>59.355804169294025</v>
      </c>
      <c r="D281" s="53">
        <v>0</v>
      </c>
      <c r="E281" s="68">
        <v>2</v>
      </c>
    </row>
    <row r="282" spans="1:5" x14ac:dyDescent="0.25">
      <c r="A282" s="22" t="s">
        <v>225</v>
      </c>
      <c r="B282" s="19" t="s">
        <v>23</v>
      </c>
      <c r="C282" s="53">
        <v>29.677902084647013</v>
      </c>
      <c r="D282" s="53">
        <v>0</v>
      </c>
      <c r="E282" s="68">
        <v>1</v>
      </c>
    </row>
    <row r="283" spans="1:5" x14ac:dyDescent="0.25">
      <c r="A283" s="22" t="s">
        <v>226</v>
      </c>
      <c r="B283" s="19" t="s">
        <v>23</v>
      </c>
      <c r="C283" s="53">
        <v>29.677902084647013</v>
      </c>
      <c r="D283" s="53">
        <v>0</v>
      </c>
      <c r="E283" s="68">
        <v>1</v>
      </c>
    </row>
    <row r="284" spans="1:5" x14ac:dyDescent="0.25">
      <c r="A284" s="20" t="s">
        <v>1379</v>
      </c>
      <c r="C284" s="53">
        <v>9.1933626000257895</v>
      </c>
      <c r="D284" s="53">
        <v>0</v>
      </c>
      <c r="E284" s="68">
        <v>1</v>
      </c>
    </row>
    <row r="285" spans="1:5" x14ac:dyDescent="0.25">
      <c r="A285" s="21" t="s">
        <v>30</v>
      </c>
      <c r="C285" s="53">
        <v>9.1933626000257895</v>
      </c>
      <c r="D285" s="53">
        <v>0</v>
      </c>
      <c r="E285" s="68">
        <v>1</v>
      </c>
    </row>
    <row r="286" spans="1:5" x14ac:dyDescent="0.25">
      <c r="A286" s="22" t="s">
        <v>227</v>
      </c>
      <c r="B286" s="19" t="s">
        <v>23</v>
      </c>
      <c r="C286" s="53">
        <v>9.1933626000257895</v>
      </c>
      <c r="D286" s="53">
        <v>0</v>
      </c>
      <c r="E286" s="68">
        <v>1</v>
      </c>
    </row>
    <row r="287" spans="1:5" x14ac:dyDescent="0.25">
      <c r="A287" s="19" t="s">
        <v>228</v>
      </c>
      <c r="C287" s="53">
        <v>335.95878763181497</v>
      </c>
      <c r="D287" s="53">
        <v>297.49</v>
      </c>
      <c r="E287" s="68">
        <v>3</v>
      </c>
    </row>
    <row r="288" spans="1:5" x14ac:dyDescent="0.25">
      <c r="A288" s="20" t="s">
        <v>229</v>
      </c>
      <c r="C288" s="53">
        <v>335.95878763181497</v>
      </c>
      <c r="D288" s="53">
        <v>297.49</v>
      </c>
      <c r="E288" s="68">
        <v>3</v>
      </c>
    </row>
    <row r="289" spans="1:5" x14ac:dyDescent="0.25">
      <c r="A289" s="21" t="s">
        <v>84</v>
      </c>
      <c r="C289" s="53">
        <v>335.95878763181497</v>
      </c>
      <c r="D289" s="53">
        <v>297.49</v>
      </c>
      <c r="E289" s="68">
        <v>3</v>
      </c>
    </row>
    <row r="290" spans="1:5" x14ac:dyDescent="0.25">
      <c r="A290" s="22" t="s">
        <v>230</v>
      </c>
      <c r="B290" s="19" t="s">
        <v>23</v>
      </c>
      <c r="C290" s="53">
        <v>38.254260483328792</v>
      </c>
      <c r="D290" s="53">
        <v>0</v>
      </c>
      <c r="E290" s="68">
        <v>1</v>
      </c>
    </row>
    <row r="291" spans="1:5" x14ac:dyDescent="0.25">
      <c r="A291" s="22" t="s">
        <v>231</v>
      </c>
      <c r="B291" s="19" t="s">
        <v>23</v>
      </c>
      <c r="C291" s="53">
        <v>231.06807340333279</v>
      </c>
      <c r="D291" s="53">
        <v>297.49</v>
      </c>
      <c r="E291" s="68">
        <v>1</v>
      </c>
    </row>
    <row r="292" spans="1:5" x14ac:dyDescent="0.25">
      <c r="A292" s="22" t="s">
        <v>232</v>
      </c>
      <c r="B292" s="19" t="s">
        <v>23</v>
      </c>
      <c r="C292" s="53">
        <v>66.636453745153375</v>
      </c>
      <c r="D292" s="53">
        <v>0</v>
      </c>
      <c r="E292" s="68">
        <v>1</v>
      </c>
    </row>
    <row r="293" spans="1:5" x14ac:dyDescent="0.25">
      <c r="A293" s="19" t="s">
        <v>233</v>
      </c>
      <c r="C293" s="53">
        <v>104.82901380834775</v>
      </c>
      <c r="D293" s="53">
        <v>0</v>
      </c>
      <c r="E293" s="68">
        <v>2</v>
      </c>
    </row>
    <row r="294" spans="1:5" x14ac:dyDescent="0.25">
      <c r="A294" s="20" t="s">
        <v>1380</v>
      </c>
      <c r="C294" s="53">
        <v>14.129396210777891</v>
      </c>
      <c r="D294" s="53">
        <v>0</v>
      </c>
      <c r="E294" s="68">
        <v>1</v>
      </c>
    </row>
    <row r="295" spans="1:5" x14ac:dyDescent="0.25">
      <c r="A295" s="21" t="s">
        <v>24</v>
      </c>
      <c r="C295" s="53">
        <v>14.129396210777891</v>
      </c>
      <c r="D295" s="53">
        <v>0</v>
      </c>
      <c r="E295" s="68">
        <v>1</v>
      </c>
    </row>
    <row r="296" spans="1:5" x14ac:dyDescent="0.25">
      <c r="A296" s="22" t="s">
        <v>234</v>
      </c>
      <c r="B296" s="19" t="s">
        <v>23</v>
      </c>
      <c r="C296" s="53">
        <v>14.129396210777891</v>
      </c>
      <c r="D296" s="53">
        <v>0</v>
      </c>
      <c r="E296" s="68">
        <v>1</v>
      </c>
    </row>
    <row r="297" spans="1:5" x14ac:dyDescent="0.25">
      <c r="A297" s="20" t="s">
        <v>235</v>
      </c>
      <c r="C297" s="53">
        <v>90.699617597569855</v>
      </c>
      <c r="D297" s="53">
        <v>0</v>
      </c>
      <c r="E297" s="68">
        <v>1</v>
      </c>
    </row>
    <row r="298" spans="1:5" x14ac:dyDescent="0.25">
      <c r="A298" s="21" t="s">
        <v>6</v>
      </c>
      <c r="C298" s="53">
        <v>90.699617597569855</v>
      </c>
      <c r="D298" s="53">
        <v>0</v>
      </c>
      <c r="E298" s="68">
        <v>1</v>
      </c>
    </row>
    <row r="299" spans="1:5" x14ac:dyDescent="0.25">
      <c r="A299" s="22" t="s">
        <v>236</v>
      </c>
      <c r="B299" s="19" t="s">
        <v>23</v>
      </c>
      <c r="C299" s="53">
        <v>90.699617597569855</v>
      </c>
      <c r="D299" s="53">
        <v>0</v>
      </c>
      <c r="E299" s="68">
        <v>1</v>
      </c>
    </row>
    <row r="300" spans="1:5" x14ac:dyDescent="0.25">
      <c r="A300" s="19" t="s">
        <v>237</v>
      </c>
      <c r="C300" s="53">
        <v>17.013890852061149</v>
      </c>
      <c r="D300" s="53">
        <v>0</v>
      </c>
      <c r="E300" s="68">
        <v>0.5</v>
      </c>
    </row>
    <row r="301" spans="1:5" x14ac:dyDescent="0.25">
      <c r="A301" s="20" t="s">
        <v>1381</v>
      </c>
      <c r="C301" s="53">
        <v>17.013890852061149</v>
      </c>
      <c r="D301" s="53">
        <v>0</v>
      </c>
      <c r="E301" s="68">
        <v>0.5</v>
      </c>
    </row>
    <row r="302" spans="1:5" x14ac:dyDescent="0.25">
      <c r="A302" s="21" t="s">
        <v>9</v>
      </c>
      <c r="C302" s="53">
        <v>17.013890852061149</v>
      </c>
      <c r="D302" s="53">
        <v>0</v>
      </c>
      <c r="E302" s="68">
        <v>0.5</v>
      </c>
    </row>
    <row r="303" spans="1:5" x14ac:dyDescent="0.25">
      <c r="A303" s="22" t="s">
        <v>77</v>
      </c>
      <c r="B303" s="19" t="s">
        <v>78</v>
      </c>
      <c r="C303" s="53">
        <v>17.013890852061149</v>
      </c>
      <c r="D303" s="53">
        <v>0</v>
      </c>
      <c r="E303" s="68">
        <v>0.5</v>
      </c>
    </row>
    <row r="304" spans="1:5" x14ac:dyDescent="0.25">
      <c r="A304" s="19" t="s">
        <v>238</v>
      </c>
      <c r="C304" s="53">
        <v>136.63558038763162</v>
      </c>
      <c r="D304" s="53">
        <v>0</v>
      </c>
      <c r="E304" s="68">
        <v>4</v>
      </c>
    </row>
    <row r="305" spans="1:5" x14ac:dyDescent="0.25">
      <c r="A305" s="20" t="s">
        <v>239</v>
      </c>
      <c r="C305" s="53">
        <v>60.127059420974035</v>
      </c>
      <c r="D305" s="53">
        <v>0</v>
      </c>
      <c r="E305" s="68">
        <v>2</v>
      </c>
    </row>
    <row r="306" spans="1:5" x14ac:dyDescent="0.25">
      <c r="A306" s="21" t="s">
        <v>6</v>
      </c>
      <c r="C306" s="53">
        <v>60.127059420974035</v>
      </c>
      <c r="D306" s="53">
        <v>0</v>
      </c>
      <c r="E306" s="68">
        <v>2</v>
      </c>
    </row>
    <row r="307" spans="1:5" x14ac:dyDescent="0.25">
      <c r="A307" s="22" t="s">
        <v>240</v>
      </c>
      <c r="B307" s="19" t="s">
        <v>23</v>
      </c>
      <c r="C307" s="53">
        <v>24.063163852416498</v>
      </c>
      <c r="D307" s="53">
        <v>0</v>
      </c>
      <c r="E307" s="68">
        <v>1</v>
      </c>
    </row>
    <row r="308" spans="1:5" x14ac:dyDescent="0.25">
      <c r="A308" s="22" t="s">
        <v>241</v>
      </c>
      <c r="B308" s="19" t="s">
        <v>23</v>
      </c>
      <c r="C308" s="53">
        <v>36.063895568557541</v>
      </c>
      <c r="D308" s="53">
        <v>0</v>
      </c>
      <c r="E308" s="68">
        <v>1</v>
      </c>
    </row>
    <row r="309" spans="1:5" x14ac:dyDescent="0.25">
      <c r="A309" s="20" t="s">
        <v>242</v>
      </c>
      <c r="C309" s="53">
        <v>76.508520966657585</v>
      </c>
      <c r="D309" s="53">
        <v>0</v>
      </c>
      <c r="E309" s="68">
        <v>2</v>
      </c>
    </row>
    <row r="310" spans="1:5" x14ac:dyDescent="0.25">
      <c r="A310" s="21" t="s">
        <v>6</v>
      </c>
      <c r="C310" s="53">
        <v>76.508520966657585</v>
      </c>
      <c r="D310" s="53">
        <v>0</v>
      </c>
      <c r="E310" s="68">
        <v>2</v>
      </c>
    </row>
    <row r="311" spans="1:5" x14ac:dyDescent="0.25">
      <c r="A311" s="22" t="s">
        <v>243</v>
      </c>
      <c r="B311" s="19" t="s">
        <v>23</v>
      </c>
      <c r="C311" s="53">
        <v>38.254260483328792</v>
      </c>
      <c r="D311" s="53">
        <v>0</v>
      </c>
      <c r="E311" s="68">
        <v>1</v>
      </c>
    </row>
    <row r="312" spans="1:5" x14ac:dyDescent="0.25">
      <c r="A312" s="22" t="s">
        <v>244</v>
      </c>
      <c r="B312" s="19" t="s">
        <v>23</v>
      </c>
      <c r="C312" s="53">
        <v>38.254260483328792</v>
      </c>
      <c r="D312" s="53">
        <v>0</v>
      </c>
      <c r="E312" s="68">
        <v>1</v>
      </c>
    </row>
    <row r="313" spans="1:5" x14ac:dyDescent="0.25">
      <c r="A313" s="19" t="s">
        <v>245</v>
      </c>
      <c r="C313" s="53">
        <v>2687.5469002142522</v>
      </c>
      <c r="D313" s="53">
        <v>0</v>
      </c>
      <c r="E313" s="68">
        <v>49</v>
      </c>
    </row>
    <row r="314" spans="1:5" x14ac:dyDescent="0.25">
      <c r="A314" s="20" t="s">
        <v>246</v>
      </c>
      <c r="C314" s="53">
        <v>2611.9947357596775</v>
      </c>
      <c r="D314" s="53">
        <v>0</v>
      </c>
      <c r="E314" s="68">
        <v>46</v>
      </c>
    </row>
    <row r="315" spans="1:5" x14ac:dyDescent="0.25">
      <c r="A315" s="21" t="s">
        <v>9</v>
      </c>
      <c r="C315" s="53">
        <v>572.24054653650455</v>
      </c>
      <c r="D315" s="53">
        <v>0</v>
      </c>
      <c r="E315" s="68">
        <v>11</v>
      </c>
    </row>
    <row r="316" spans="1:5" x14ac:dyDescent="0.25">
      <c r="A316" s="22" t="s">
        <v>247</v>
      </c>
      <c r="B316" s="19" t="s">
        <v>23</v>
      </c>
      <c r="C316" s="53">
        <v>169.09000137832669</v>
      </c>
      <c r="D316" s="53">
        <v>0</v>
      </c>
      <c r="E316" s="68">
        <v>1</v>
      </c>
    </row>
    <row r="317" spans="1:5" x14ac:dyDescent="0.25">
      <c r="A317" s="22" t="s">
        <v>248</v>
      </c>
      <c r="B317" s="19" t="s">
        <v>23</v>
      </c>
      <c r="C317" s="53">
        <v>38.902114894739995</v>
      </c>
      <c r="D317" s="53">
        <v>0</v>
      </c>
      <c r="E317" s="68">
        <v>1</v>
      </c>
    </row>
    <row r="318" spans="1:5" x14ac:dyDescent="0.25">
      <c r="A318" s="22" t="s">
        <v>249</v>
      </c>
      <c r="B318" s="19" t="s">
        <v>23</v>
      </c>
      <c r="C318" s="53">
        <v>112.32561485467753</v>
      </c>
      <c r="D318" s="53">
        <v>0</v>
      </c>
      <c r="E318" s="68">
        <v>1</v>
      </c>
    </row>
    <row r="319" spans="1:5" x14ac:dyDescent="0.25">
      <c r="A319" s="22" t="s">
        <v>250</v>
      </c>
      <c r="B319" s="19" t="s">
        <v>23</v>
      </c>
      <c r="C319" s="53">
        <v>95.666501418389174</v>
      </c>
      <c r="D319" s="53">
        <v>0</v>
      </c>
      <c r="E319" s="68">
        <v>1</v>
      </c>
    </row>
    <row r="320" spans="1:5" x14ac:dyDescent="0.25">
      <c r="A320" s="22" t="s">
        <v>251</v>
      </c>
      <c r="B320" s="19" t="s">
        <v>23</v>
      </c>
      <c r="C320" s="53">
        <v>28.258792421555782</v>
      </c>
      <c r="D320" s="53">
        <v>0</v>
      </c>
      <c r="E320" s="68">
        <v>1</v>
      </c>
    </row>
    <row r="321" spans="1:5" x14ac:dyDescent="0.25">
      <c r="A321" s="22" t="s">
        <v>252</v>
      </c>
      <c r="B321" s="19" t="s">
        <v>23</v>
      </c>
      <c r="C321" s="53">
        <v>28.258792421555782</v>
      </c>
      <c r="D321" s="53">
        <v>0</v>
      </c>
      <c r="E321" s="68">
        <v>1</v>
      </c>
    </row>
    <row r="322" spans="1:5" x14ac:dyDescent="0.25">
      <c r="A322" s="22" t="s">
        <v>253</v>
      </c>
      <c r="B322" s="19" t="s">
        <v>23</v>
      </c>
      <c r="C322" s="53">
        <v>7.7742529369345608</v>
      </c>
      <c r="D322" s="53">
        <v>0</v>
      </c>
      <c r="E322" s="68">
        <v>1</v>
      </c>
    </row>
    <row r="323" spans="1:5" x14ac:dyDescent="0.25">
      <c r="A323" s="22" t="s">
        <v>254</v>
      </c>
      <c r="B323" s="19" t="s">
        <v>23</v>
      </c>
      <c r="C323" s="53">
        <v>7.7742529369345608</v>
      </c>
      <c r="D323" s="53">
        <v>0</v>
      </c>
      <c r="E323" s="68">
        <v>1</v>
      </c>
    </row>
    <row r="324" spans="1:5" x14ac:dyDescent="0.25">
      <c r="A324" s="22" t="s">
        <v>255</v>
      </c>
      <c r="B324" s="19" t="s">
        <v>23</v>
      </c>
      <c r="C324" s="53">
        <v>33.935231073920697</v>
      </c>
      <c r="D324" s="53">
        <v>0</v>
      </c>
      <c r="E324" s="68">
        <v>1</v>
      </c>
    </row>
    <row r="325" spans="1:5" x14ac:dyDescent="0.25">
      <c r="A325" s="22" t="s">
        <v>256</v>
      </c>
      <c r="B325" s="19" t="s">
        <v>23</v>
      </c>
      <c r="C325" s="53">
        <v>14.900651462457907</v>
      </c>
      <c r="D325" s="53">
        <v>0</v>
      </c>
      <c r="E325" s="68">
        <v>1</v>
      </c>
    </row>
    <row r="326" spans="1:5" x14ac:dyDescent="0.25">
      <c r="A326" s="22" t="s">
        <v>257</v>
      </c>
      <c r="B326" s="19" t="s">
        <v>23</v>
      </c>
      <c r="C326" s="53">
        <v>35.354340737011924</v>
      </c>
      <c r="D326" s="53">
        <v>0</v>
      </c>
      <c r="E326" s="68">
        <v>1</v>
      </c>
    </row>
    <row r="327" spans="1:5" x14ac:dyDescent="0.25">
      <c r="A327" s="21" t="s">
        <v>30</v>
      </c>
      <c r="C327" s="53">
        <v>1100.4578433071133</v>
      </c>
      <c r="D327" s="53">
        <v>0</v>
      </c>
      <c r="E327" s="68">
        <v>11</v>
      </c>
    </row>
    <row r="328" spans="1:5" x14ac:dyDescent="0.25">
      <c r="A328" s="22" t="s">
        <v>258</v>
      </c>
      <c r="B328" s="19" t="s">
        <v>23</v>
      </c>
      <c r="C328" s="53">
        <v>31.097011747738243</v>
      </c>
      <c r="D328" s="53">
        <v>0</v>
      </c>
      <c r="E328" s="68">
        <v>1</v>
      </c>
    </row>
    <row r="329" spans="1:5" x14ac:dyDescent="0.25">
      <c r="A329" s="22" t="s">
        <v>259</v>
      </c>
      <c r="B329" s="19" t="s">
        <v>23</v>
      </c>
      <c r="C329" s="53">
        <v>31.097011747738243</v>
      </c>
      <c r="D329" s="53">
        <v>0</v>
      </c>
      <c r="E329" s="68">
        <v>1</v>
      </c>
    </row>
    <row r="330" spans="1:5" x14ac:dyDescent="0.25">
      <c r="A330" s="22" t="s">
        <v>260</v>
      </c>
      <c r="B330" s="19" t="s">
        <v>23</v>
      </c>
      <c r="C330" s="53">
        <v>11.352877304729834</v>
      </c>
      <c r="D330" s="53">
        <v>0</v>
      </c>
      <c r="E330" s="68">
        <v>1</v>
      </c>
    </row>
    <row r="331" spans="1:5" x14ac:dyDescent="0.25">
      <c r="A331" s="22" t="s">
        <v>261</v>
      </c>
      <c r="B331" s="19" t="s">
        <v>23</v>
      </c>
      <c r="C331" s="53">
        <v>31.097011747738243</v>
      </c>
      <c r="D331" s="53">
        <v>0</v>
      </c>
      <c r="E331" s="68">
        <v>1</v>
      </c>
    </row>
    <row r="332" spans="1:5" x14ac:dyDescent="0.25">
      <c r="A332" s="22" t="s">
        <v>262</v>
      </c>
      <c r="B332" s="19" t="s">
        <v>23</v>
      </c>
      <c r="C332" s="53">
        <v>22.582353769190867</v>
      </c>
      <c r="D332" s="53">
        <v>0</v>
      </c>
      <c r="E332" s="68">
        <v>1</v>
      </c>
    </row>
    <row r="333" spans="1:5" x14ac:dyDescent="0.25">
      <c r="A333" s="22" t="s">
        <v>263</v>
      </c>
      <c r="B333" s="19" t="s">
        <v>23</v>
      </c>
      <c r="C333" s="53">
        <v>25.420573095373321</v>
      </c>
      <c r="D333" s="53">
        <v>0</v>
      </c>
      <c r="E333" s="68">
        <v>1</v>
      </c>
    </row>
    <row r="334" spans="1:5" x14ac:dyDescent="0.25">
      <c r="A334" s="22" t="s">
        <v>264</v>
      </c>
      <c r="B334" s="19" t="s">
        <v>23</v>
      </c>
      <c r="C334" s="53">
        <v>7.7742529369345608</v>
      </c>
      <c r="D334" s="53">
        <v>0</v>
      </c>
      <c r="E334" s="68">
        <v>1</v>
      </c>
    </row>
    <row r="335" spans="1:5" x14ac:dyDescent="0.25">
      <c r="A335" s="22" t="s">
        <v>265</v>
      </c>
      <c r="B335" s="19" t="s">
        <v>23</v>
      </c>
      <c r="C335" s="53">
        <v>7.7742529369345608</v>
      </c>
      <c r="D335" s="53">
        <v>0</v>
      </c>
      <c r="E335" s="68">
        <v>1</v>
      </c>
    </row>
    <row r="336" spans="1:5" x14ac:dyDescent="0.25">
      <c r="A336" s="22" t="s">
        <v>266</v>
      </c>
      <c r="B336" s="19" t="s">
        <v>23</v>
      </c>
      <c r="C336" s="53">
        <v>30.850210067200635</v>
      </c>
      <c r="D336" s="53">
        <v>0</v>
      </c>
      <c r="E336" s="68">
        <v>0</v>
      </c>
    </row>
    <row r="337" spans="1:5" x14ac:dyDescent="0.25">
      <c r="A337" s="22" t="s">
        <v>267</v>
      </c>
      <c r="B337" s="19" t="s">
        <v>23</v>
      </c>
      <c r="C337" s="53">
        <v>30.850210067200635</v>
      </c>
      <c r="D337" s="53">
        <v>0</v>
      </c>
      <c r="E337" s="68">
        <v>0</v>
      </c>
    </row>
    <row r="338" spans="1:5" x14ac:dyDescent="0.25">
      <c r="A338" s="22" t="s">
        <v>268</v>
      </c>
      <c r="B338" s="19" t="s">
        <v>23</v>
      </c>
      <c r="C338" s="53">
        <v>30.850210067200635</v>
      </c>
      <c r="D338" s="53">
        <v>0</v>
      </c>
      <c r="E338" s="68">
        <v>0</v>
      </c>
    </row>
    <row r="339" spans="1:5" x14ac:dyDescent="0.25">
      <c r="A339" s="22" t="s">
        <v>269</v>
      </c>
      <c r="B339" s="19" t="s">
        <v>23</v>
      </c>
      <c r="C339" s="53">
        <v>30.850210067200635</v>
      </c>
      <c r="D339" s="53">
        <v>0</v>
      </c>
      <c r="E339" s="68">
        <v>0</v>
      </c>
    </row>
    <row r="340" spans="1:5" x14ac:dyDescent="0.25">
      <c r="A340" s="22" t="s">
        <v>270</v>
      </c>
      <c r="B340" s="19" t="s">
        <v>23</v>
      </c>
      <c r="C340" s="53">
        <v>30.850210067200635</v>
      </c>
      <c r="D340" s="53">
        <v>0</v>
      </c>
      <c r="E340" s="68">
        <v>0</v>
      </c>
    </row>
    <row r="341" spans="1:5" x14ac:dyDescent="0.25">
      <c r="A341" s="22" t="s">
        <v>271</v>
      </c>
      <c r="B341" s="19" t="s">
        <v>23</v>
      </c>
      <c r="C341" s="53">
        <v>30.850210067200635</v>
      </c>
      <c r="D341" s="53">
        <v>0</v>
      </c>
      <c r="E341" s="68">
        <v>0</v>
      </c>
    </row>
    <row r="342" spans="1:5" x14ac:dyDescent="0.25">
      <c r="A342" s="22" t="s">
        <v>272</v>
      </c>
      <c r="B342" s="19" t="s">
        <v>23</v>
      </c>
      <c r="C342" s="53">
        <v>30.850210067200635</v>
      </c>
      <c r="D342" s="53">
        <v>0</v>
      </c>
      <c r="E342" s="68">
        <v>0</v>
      </c>
    </row>
    <row r="343" spans="1:5" x14ac:dyDescent="0.25">
      <c r="A343" s="22" t="s">
        <v>273</v>
      </c>
      <c r="B343" s="19" t="s">
        <v>23</v>
      </c>
      <c r="C343" s="53">
        <v>30.850210067200635</v>
      </c>
      <c r="D343" s="53">
        <v>0</v>
      </c>
      <c r="E343" s="68">
        <v>0</v>
      </c>
    </row>
    <row r="344" spans="1:5" x14ac:dyDescent="0.25">
      <c r="A344" s="22" t="s">
        <v>274</v>
      </c>
      <c r="B344" s="19" t="s">
        <v>23</v>
      </c>
      <c r="C344" s="53">
        <v>30.850210067200635</v>
      </c>
      <c r="D344" s="53">
        <v>0</v>
      </c>
      <c r="E344" s="68">
        <v>0</v>
      </c>
    </row>
    <row r="345" spans="1:5" x14ac:dyDescent="0.25">
      <c r="A345" s="22" t="s">
        <v>275</v>
      </c>
      <c r="B345" s="19" t="s">
        <v>23</v>
      </c>
      <c r="C345" s="53">
        <v>30.850210067200635</v>
      </c>
      <c r="D345" s="53">
        <v>0</v>
      </c>
      <c r="E345" s="68">
        <v>0</v>
      </c>
    </row>
    <row r="346" spans="1:5" x14ac:dyDescent="0.25">
      <c r="A346" s="22" t="s">
        <v>276</v>
      </c>
      <c r="B346" s="19" t="s">
        <v>23</v>
      </c>
      <c r="C346" s="53">
        <v>30.850210067200635</v>
      </c>
      <c r="D346" s="53">
        <v>0</v>
      </c>
      <c r="E346" s="68">
        <v>0</v>
      </c>
    </row>
    <row r="347" spans="1:5" x14ac:dyDescent="0.25">
      <c r="A347" s="22" t="s">
        <v>277</v>
      </c>
      <c r="B347" s="19" t="s">
        <v>23</v>
      </c>
      <c r="C347" s="53">
        <v>30.850210067200635</v>
      </c>
      <c r="D347" s="53">
        <v>0</v>
      </c>
      <c r="E347" s="68">
        <v>0</v>
      </c>
    </row>
    <row r="348" spans="1:5" x14ac:dyDescent="0.25">
      <c r="A348" s="22" t="s">
        <v>278</v>
      </c>
      <c r="B348" s="19" t="s">
        <v>23</v>
      </c>
      <c r="C348" s="53">
        <v>30.850210067200635</v>
      </c>
      <c r="D348" s="53">
        <v>0</v>
      </c>
      <c r="E348" s="68">
        <v>0</v>
      </c>
    </row>
    <row r="349" spans="1:5" x14ac:dyDescent="0.25">
      <c r="A349" s="22" t="s">
        <v>279</v>
      </c>
      <c r="B349" s="19" t="s">
        <v>23</v>
      </c>
      <c r="C349" s="53">
        <v>30.850210067200635</v>
      </c>
      <c r="D349" s="53">
        <v>0</v>
      </c>
      <c r="E349" s="68">
        <v>0</v>
      </c>
    </row>
    <row r="350" spans="1:5" x14ac:dyDescent="0.25">
      <c r="A350" s="22" t="s">
        <v>280</v>
      </c>
      <c r="B350" s="19" t="s">
        <v>23</v>
      </c>
      <c r="C350" s="53">
        <v>30.850210067200635</v>
      </c>
      <c r="D350" s="53">
        <v>0</v>
      </c>
      <c r="E350" s="68">
        <v>0</v>
      </c>
    </row>
    <row r="351" spans="1:5" x14ac:dyDescent="0.25">
      <c r="A351" s="22" t="s">
        <v>281</v>
      </c>
      <c r="B351" s="19" t="s">
        <v>23</v>
      </c>
      <c r="C351" s="53">
        <v>10.797573523520221</v>
      </c>
      <c r="D351" s="53">
        <v>0</v>
      </c>
      <c r="E351" s="68">
        <v>0</v>
      </c>
    </row>
    <row r="352" spans="1:5" x14ac:dyDescent="0.25">
      <c r="A352" s="22" t="s">
        <v>282</v>
      </c>
      <c r="B352" s="19" t="s">
        <v>23</v>
      </c>
      <c r="C352" s="53">
        <v>10.797573523520221</v>
      </c>
      <c r="D352" s="53">
        <v>0</v>
      </c>
      <c r="E352" s="68">
        <v>0</v>
      </c>
    </row>
    <row r="353" spans="1:5" x14ac:dyDescent="0.25">
      <c r="A353" s="22" t="s">
        <v>283</v>
      </c>
      <c r="B353" s="19" t="s">
        <v>23</v>
      </c>
      <c r="C353" s="53">
        <v>10.797573523520221</v>
      </c>
      <c r="D353" s="53">
        <v>0</v>
      </c>
      <c r="E353" s="68">
        <v>0</v>
      </c>
    </row>
    <row r="354" spans="1:5" x14ac:dyDescent="0.25">
      <c r="A354" s="22" t="s">
        <v>284</v>
      </c>
      <c r="B354" s="19" t="s">
        <v>23</v>
      </c>
      <c r="C354" s="53">
        <v>10.797573523520221</v>
      </c>
      <c r="D354" s="53">
        <v>0</v>
      </c>
      <c r="E354" s="68">
        <v>0</v>
      </c>
    </row>
    <row r="355" spans="1:5" x14ac:dyDescent="0.25">
      <c r="A355" s="22" t="s">
        <v>285</v>
      </c>
      <c r="B355" s="19" t="s">
        <v>23</v>
      </c>
      <c r="C355" s="53">
        <v>10.797573523520221</v>
      </c>
      <c r="D355" s="53">
        <v>0</v>
      </c>
      <c r="E355" s="68">
        <v>0</v>
      </c>
    </row>
    <row r="356" spans="1:5" x14ac:dyDescent="0.25">
      <c r="A356" s="22" t="s">
        <v>286</v>
      </c>
      <c r="B356" s="19" t="s">
        <v>23</v>
      </c>
      <c r="C356" s="53">
        <v>10.797573523520221</v>
      </c>
      <c r="D356" s="53">
        <v>0</v>
      </c>
      <c r="E356" s="68">
        <v>0</v>
      </c>
    </row>
    <row r="357" spans="1:5" x14ac:dyDescent="0.25">
      <c r="A357" s="22" t="s">
        <v>287</v>
      </c>
      <c r="B357" s="19" t="s">
        <v>23</v>
      </c>
      <c r="C357" s="53">
        <v>10.797573523520221</v>
      </c>
      <c r="D357" s="53">
        <v>0</v>
      </c>
      <c r="E357" s="68">
        <v>0</v>
      </c>
    </row>
    <row r="358" spans="1:5" x14ac:dyDescent="0.25">
      <c r="A358" s="22" t="s">
        <v>288</v>
      </c>
      <c r="B358" s="19" t="s">
        <v>23</v>
      </c>
      <c r="C358" s="53">
        <v>138.82594530240283</v>
      </c>
      <c r="D358" s="53">
        <v>0</v>
      </c>
      <c r="E358" s="68">
        <v>0</v>
      </c>
    </row>
    <row r="359" spans="1:5" x14ac:dyDescent="0.25">
      <c r="A359" s="22" t="s">
        <v>289</v>
      </c>
      <c r="B359" s="19" t="s">
        <v>23</v>
      </c>
      <c r="C359" s="53">
        <v>138.82594530240283</v>
      </c>
      <c r="D359" s="53">
        <v>0</v>
      </c>
      <c r="E359" s="68">
        <v>0</v>
      </c>
    </row>
    <row r="360" spans="1:5" x14ac:dyDescent="0.25">
      <c r="A360" s="22" t="s">
        <v>290</v>
      </c>
      <c r="B360" s="19" t="s">
        <v>23</v>
      </c>
      <c r="C360" s="53">
        <v>34.644785905466314</v>
      </c>
      <c r="D360" s="53">
        <v>0</v>
      </c>
      <c r="E360" s="68">
        <v>1</v>
      </c>
    </row>
    <row r="361" spans="1:5" x14ac:dyDescent="0.25">
      <c r="A361" s="22" t="s">
        <v>291</v>
      </c>
      <c r="B361" s="19" t="s">
        <v>23</v>
      </c>
      <c r="C361" s="53">
        <v>34.644785905466314</v>
      </c>
      <c r="D361" s="53">
        <v>0</v>
      </c>
      <c r="E361" s="68">
        <v>1</v>
      </c>
    </row>
    <row r="362" spans="1:5" x14ac:dyDescent="0.25">
      <c r="A362" s="22" t="s">
        <v>292</v>
      </c>
      <c r="B362" s="19" t="s">
        <v>23</v>
      </c>
      <c r="C362" s="53">
        <v>6.1700420134401268</v>
      </c>
      <c r="D362" s="53">
        <v>0</v>
      </c>
      <c r="E362" s="68">
        <v>0</v>
      </c>
    </row>
    <row r="363" spans="1:5" x14ac:dyDescent="0.25">
      <c r="A363" s="22" t="s">
        <v>293</v>
      </c>
      <c r="B363" s="19" t="s">
        <v>23</v>
      </c>
      <c r="C363" s="53">
        <v>6.1700420134401268</v>
      </c>
      <c r="D363" s="53">
        <v>0</v>
      </c>
      <c r="E363" s="68">
        <v>0</v>
      </c>
    </row>
    <row r="364" spans="1:5" x14ac:dyDescent="0.25">
      <c r="A364" s="22" t="s">
        <v>294</v>
      </c>
      <c r="B364" s="19" t="s">
        <v>23</v>
      </c>
      <c r="C364" s="53">
        <v>34.644785905466314</v>
      </c>
      <c r="D364" s="53">
        <v>0</v>
      </c>
      <c r="E364" s="68">
        <v>1</v>
      </c>
    </row>
    <row r="365" spans="1:5" x14ac:dyDescent="0.25">
      <c r="A365" s="21" t="s">
        <v>295</v>
      </c>
      <c r="C365" s="53">
        <v>939.29634591605736</v>
      </c>
      <c r="D365" s="53">
        <v>0</v>
      </c>
      <c r="E365" s="68">
        <v>24</v>
      </c>
    </row>
    <row r="366" spans="1:5" x14ac:dyDescent="0.25">
      <c r="A366" s="22" t="s">
        <v>296</v>
      </c>
      <c r="B366" s="19" t="s">
        <v>23</v>
      </c>
      <c r="C366" s="53">
        <v>31.097011747738243</v>
      </c>
      <c r="D366" s="53">
        <v>0</v>
      </c>
      <c r="E366" s="68">
        <v>1</v>
      </c>
    </row>
    <row r="367" spans="1:5" x14ac:dyDescent="0.25">
      <c r="A367" s="22" t="s">
        <v>297</v>
      </c>
      <c r="B367" s="19" t="s">
        <v>23</v>
      </c>
      <c r="C367" s="53">
        <v>34.644785905466314</v>
      </c>
      <c r="D367" s="53">
        <v>0</v>
      </c>
      <c r="E367" s="68">
        <v>1</v>
      </c>
    </row>
    <row r="368" spans="1:5" x14ac:dyDescent="0.25">
      <c r="A368" s="22" t="s">
        <v>298</v>
      </c>
      <c r="B368" s="19" t="s">
        <v>23</v>
      </c>
      <c r="C368" s="53">
        <v>31.097011747738243</v>
      </c>
      <c r="D368" s="53">
        <v>0</v>
      </c>
      <c r="E368" s="68">
        <v>1</v>
      </c>
    </row>
    <row r="369" spans="1:5" x14ac:dyDescent="0.25">
      <c r="A369" s="22" t="s">
        <v>299</v>
      </c>
      <c r="B369" s="19" t="s">
        <v>23</v>
      </c>
      <c r="C369" s="53">
        <v>34.644785905466314</v>
      </c>
      <c r="D369" s="53">
        <v>0</v>
      </c>
      <c r="E369" s="68">
        <v>1</v>
      </c>
    </row>
    <row r="370" spans="1:5" x14ac:dyDescent="0.25">
      <c r="A370" s="22" t="s">
        <v>300</v>
      </c>
      <c r="B370" s="19" t="s">
        <v>23</v>
      </c>
      <c r="C370" s="53">
        <v>31.097011747738243</v>
      </c>
      <c r="D370" s="53">
        <v>0</v>
      </c>
      <c r="E370" s="68">
        <v>1</v>
      </c>
    </row>
    <row r="371" spans="1:5" x14ac:dyDescent="0.25">
      <c r="A371" s="22" t="s">
        <v>301</v>
      </c>
      <c r="B371" s="19" t="s">
        <v>23</v>
      </c>
      <c r="C371" s="53">
        <v>34.644785905466314</v>
      </c>
      <c r="D371" s="53">
        <v>0</v>
      </c>
      <c r="E371" s="68">
        <v>1</v>
      </c>
    </row>
    <row r="372" spans="1:5" x14ac:dyDescent="0.25">
      <c r="A372" s="22" t="s">
        <v>302</v>
      </c>
      <c r="B372" s="19" t="s">
        <v>23</v>
      </c>
      <c r="C372" s="53">
        <v>31.097011747738243</v>
      </c>
      <c r="D372" s="53">
        <v>0</v>
      </c>
      <c r="E372" s="68">
        <v>1</v>
      </c>
    </row>
    <row r="373" spans="1:5" x14ac:dyDescent="0.25">
      <c r="A373" s="22" t="s">
        <v>303</v>
      </c>
      <c r="B373" s="19" t="s">
        <v>23</v>
      </c>
      <c r="C373" s="53">
        <v>34.644785905466314</v>
      </c>
      <c r="D373" s="53">
        <v>0</v>
      </c>
      <c r="E373" s="68">
        <v>1</v>
      </c>
    </row>
    <row r="374" spans="1:5" x14ac:dyDescent="0.25">
      <c r="A374" s="22" t="s">
        <v>304</v>
      </c>
      <c r="B374" s="19" t="s">
        <v>23</v>
      </c>
      <c r="C374" s="53">
        <v>31.097011747738243</v>
      </c>
      <c r="D374" s="53">
        <v>0</v>
      </c>
      <c r="E374" s="68">
        <v>1</v>
      </c>
    </row>
    <row r="375" spans="1:5" x14ac:dyDescent="0.25">
      <c r="A375" s="22" t="s">
        <v>305</v>
      </c>
      <c r="B375" s="19" t="s">
        <v>23</v>
      </c>
      <c r="C375" s="53">
        <v>34.644785905466314</v>
      </c>
      <c r="D375" s="53">
        <v>0</v>
      </c>
      <c r="E375" s="68">
        <v>1</v>
      </c>
    </row>
    <row r="376" spans="1:5" x14ac:dyDescent="0.25">
      <c r="A376" s="22" t="s">
        <v>306</v>
      </c>
      <c r="B376" s="19" t="s">
        <v>23</v>
      </c>
      <c r="C376" s="53">
        <v>7.7742529369345608</v>
      </c>
      <c r="D376" s="53">
        <v>0</v>
      </c>
      <c r="E376" s="68">
        <v>1</v>
      </c>
    </row>
    <row r="377" spans="1:5" x14ac:dyDescent="0.25">
      <c r="A377" s="22" t="s">
        <v>307</v>
      </c>
      <c r="B377" s="19" t="s">
        <v>23</v>
      </c>
      <c r="C377" s="53">
        <v>5.6764386523649168</v>
      </c>
      <c r="D377" s="53">
        <v>0</v>
      </c>
      <c r="E377" s="68">
        <v>1</v>
      </c>
    </row>
    <row r="378" spans="1:5" x14ac:dyDescent="0.25">
      <c r="A378" s="22" t="s">
        <v>308</v>
      </c>
      <c r="B378" s="19" t="s">
        <v>23</v>
      </c>
      <c r="C378" s="53">
        <v>25.420573095373321</v>
      </c>
      <c r="D378" s="53">
        <v>0</v>
      </c>
      <c r="E378" s="68">
        <v>1</v>
      </c>
    </row>
    <row r="379" spans="1:5" x14ac:dyDescent="0.25">
      <c r="A379" s="22" t="s">
        <v>309</v>
      </c>
      <c r="B379" s="19" t="s">
        <v>23</v>
      </c>
      <c r="C379" s="53">
        <v>7.7742529369345608</v>
      </c>
      <c r="D379" s="53">
        <v>0</v>
      </c>
      <c r="E379" s="68">
        <v>1</v>
      </c>
    </row>
    <row r="380" spans="1:5" x14ac:dyDescent="0.25">
      <c r="A380" s="22" t="s">
        <v>310</v>
      </c>
      <c r="B380" s="19" t="s">
        <v>23</v>
      </c>
      <c r="C380" s="53">
        <v>30.850210067200635</v>
      </c>
      <c r="D380" s="53">
        <v>0</v>
      </c>
      <c r="E380" s="68">
        <v>0</v>
      </c>
    </row>
    <row r="381" spans="1:5" x14ac:dyDescent="0.25">
      <c r="A381" s="22" t="s">
        <v>311</v>
      </c>
      <c r="B381" s="19" t="s">
        <v>23</v>
      </c>
      <c r="C381" s="53">
        <v>30.850210067200635</v>
      </c>
      <c r="D381" s="53">
        <v>0</v>
      </c>
      <c r="E381" s="68">
        <v>0</v>
      </c>
    </row>
    <row r="382" spans="1:5" x14ac:dyDescent="0.25">
      <c r="A382" s="22" t="s">
        <v>312</v>
      </c>
      <c r="B382" s="19" t="s">
        <v>23</v>
      </c>
      <c r="C382" s="53">
        <v>10.797573523520221</v>
      </c>
      <c r="D382" s="53">
        <v>0</v>
      </c>
      <c r="E382" s="68">
        <v>0</v>
      </c>
    </row>
    <row r="383" spans="1:5" x14ac:dyDescent="0.25">
      <c r="A383" s="22" t="s">
        <v>313</v>
      </c>
      <c r="B383" s="19" t="s">
        <v>23</v>
      </c>
      <c r="C383" s="53">
        <v>138.82594530240283</v>
      </c>
      <c r="D383" s="53">
        <v>0</v>
      </c>
      <c r="E383" s="68">
        <v>0</v>
      </c>
    </row>
    <row r="384" spans="1:5" x14ac:dyDescent="0.25">
      <c r="A384" s="22" t="s">
        <v>314</v>
      </c>
      <c r="B384" s="19" t="s">
        <v>23</v>
      </c>
      <c r="C384" s="53">
        <v>34.644785905466314</v>
      </c>
      <c r="D384" s="53">
        <v>0</v>
      </c>
      <c r="E384" s="68">
        <v>1</v>
      </c>
    </row>
    <row r="385" spans="1:5" x14ac:dyDescent="0.25">
      <c r="A385" s="22" t="s">
        <v>315</v>
      </c>
      <c r="B385" s="19" t="s">
        <v>23</v>
      </c>
      <c r="C385" s="53">
        <v>34.644785905466314</v>
      </c>
      <c r="D385" s="53">
        <v>0</v>
      </c>
      <c r="E385" s="68">
        <v>1</v>
      </c>
    </row>
    <row r="386" spans="1:5" x14ac:dyDescent="0.25">
      <c r="A386" s="22" t="s">
        <v>316</v>
      </c>
      <c r="B386" s="19" t="s">
        <v>23</v>
      </c>
      <c r="C386" s="53">
        <v>34.644785905466314</v>
      </c>
      <c r="D386" s="53">
        <v>0</v>
      </c>
      <c r="E386" s="68">
        <v>1</v>
      </c>
    </row>
    <row r="387" spans="1:5" x14ac:dyDescent="0.25">
      <c r="A387" s="22" t="s">
        <v>317</v>
      </c>
      <c r="B387" s="19" t="s">
        <v>23</v>
      </c>
      <c r="C387" s="53">
        <v>34.644785905466314</v>
      </c>
      <c r="D387" s="53">
        <v>0</v>
      </c>
      <c r="E387" s="68">
        <v>1</v>
      </c>
    </row>
    <row r="388" spans="1:5" x14ac:dyDescent="0.25">
      <c r="A388" s="22" t="s">
        <v>318</v>
      </c>
      <c r="B388" s="19" t="s">
        <v>23</v>
      </c>
      <c r="C388" s="53">
        <v>34.644785905466314</v>
      </c>
      <c r="D388" s="53">
        <v>0</v>
      </c>
      <c r="E388" s="68">
        <v>1</v>
      </c>
    </row>
    <row r="389" spans="1:5" x14ac:dyDescent="0.25">
      <c r="A389" s="22" t="s">
        <v>319</v>
      </c>
      <c r="B389" s="19" t="s">
        <v>23</v>
      </c>
      <c r="C389" s="53">
        <v>34.644785905466314</v>
      </c>
      <c r="D389" s="53">
        <v>0</v>
      </c>
      <c r="E389" s="68">
        <v>1</v>
      </c>
    </row>
    <row r="390" spans="1:5" x14ac:dyDescent="0.25">
      <c r="A390" s="22" t="s">
        <v>320</v>
      </c>
      <c r="B390" s="19" t="s">
        <v>23</v>
      </c>
      <c r="C390" s="53">
        <v>34.644785905466314</v>
      </c>
      <c r="D390" s="53">
        <v>0</v>
      </c>
      <c r="E390" s="68">
        <v>1</v>
      </c>
    </row>
    <row r="391" spans="1:5" x14ac:dyDescent="0.25">
      <c r="A391" s="22" t="s">
        <v>321</v>
      </c>
      <c r="B391" s="19" t="s">
        <v>23</v>
      </c>
      <c r="C391" s="53">
        <v>34.644785905466314</v>
      </c>
      <c r="D391" s="53">
        <v>0</v>
      </c>
      <c r="E391" s="68">
        <v>1</v>
      </c>
    </row>
    <row r="392" spans="1:5" x14ac:dyDescent="0.25">
      <c r="A392" s="22" t="s">
        <v>322</v>
      </c>
      <c r="B392" s="19" t="s">
        <v>23</v>
      </c>
      <c r="C392" s="53">
        <v>34.644785905466314</v>
      </c>
      <c r="D392" s="53">
        <v>0</v>
      </c>
      <c r="E392" s="68">
        <v>1</v>
      </c>
    </row>
    <row r="393" spans="1:5" x14ac:dyDescent="0.25">
      <c r="A393" s="22" t="s">
        <v>323</v>
      </c>
      <c r="B393" s="19" t="s">
        <v>23</v>
      </c>
      <c r="C393" s="53">
        <v>34.644785905466314</v>
      </c>
      <c r="D393" s="53">
        <v>0</v>
      </c>
      <c r="E393" s="68">
        <v>1</v>
      </c>
    </row>
    <row r="394" spans="1:5" x14ac:dyDescent="0.25">
      <c r="A394" s="22" t="s">
        <v>324</v>
      </c>
      <c r="B394" s="19" t="s">
        <v>23</v>
      </c>
      <c r="C394" s="53">
        <v>6.1700420134401268</v>
      </c>
      <c r="D394" s="53">
        <v>0</v>
      </c>
      <c r="E394" s="68">
        <v>0</v>
      </c>
    </row>
    <row r="395" spans="1:5" x14ac:dyDescent="0.25">
      <c r="A395" s="20" t="s">
        <v>325</v>
      </c>
      <c r="C395" s="53">
        <v>75.552164454574353</v>
      </c>
      <c r="D395" s="53">
        <v>0</v>
      </c>
      <c r="E395" s="68">
        <v>3</v>
      </c>
    </row>
    <row r="396" spans="1:5" x14ac:dyDescent="0.25">
      <c r="A396" s="21" t="s">
        <v>30</v>
      </c>
      <c r="C396" s="53">
        <v>55.808030011565947</v>
      </c>
      <c r="D396" s="53">
        <v>0</v>
      </c>
      <c r="E396" s="68">
        <v>2</v>
      </c>
    </row>
    <row r="397" spans="1:5" x14ac:dyDescent="0.25">
      <c r="A397" s="22" t="s">
        <v>326</v>
      </c>
      <c r="B397" s="19" t="s">
        <v>23</v>
      </c>
      <c r="C397" s="53">
        <v>36.063895568557541</v>
      </c>
      <c r="D397" s="53">
        <v>0</v>
      </c>
      <c r="E397" s="68">
        <v>1</v>
      </c>
    </row>
    <row r="398" spans="1:5" x14ac:dyDescent="0.25">
      <c r="A398" s="22" t="s">
        <v>1359</v>
      </c>
      <c r="B398" s="19" t="s">
        <v>23</v>
      </c>
      <c r="C398" s="53">
        <v>19.744134443008406</v>
      </c>
      <c r="D398" s="53">
        <v>0</v>
      </c>
      <c r="E398" s="68">
        <v>1</v>
      </c>
    </row>
    <row r="399" spans="1:5" x14ac:dyDescent="0.25">
      <c r="A399" s="21" t="s">
        <v>295</v>
      </c>
      <c r="C399" s="53">
        <v>19.744134443008406</v>
      </c>
      <c r="D399" s="53">
        <v>0</v>
      </c>
      <c r="E399" s="68">
        <v>1</v>
      </c>
    </row>
    <row r="400" spans="1:5" x14ac:dyDescent="0.25">
      <c r="A400" s="22" t="s">
        <v>1358</v>
      </c>
      <c r="B400" s="19" t="s">
        <v>23</v>
      </c>
      <c r="C400" s="53">
        <v>19.744134443008406</v>
      </c>
      <c r="D400" s="53">
        <v>0</v>
      </c>
      <c r="E400" s="68">
        <v>1</v>
      </c>
    </row>
    <row r="401" spans="1:5" x14ac:dyDescent="0.25">
      <c r="A401" s="19" t="s">
        <v>327</v>
      </c>
      <c r="C401" s="53">
        <v>41.030779389376846</v>
      </c>
      <c r="D401" s="53">
        <v>0</v>
      </c>
      <c r="E401" s="68">
        <v>1</v>
      </c>
    </row>
    <row r="402" spans="1:5" x14ac:dyDescent="0.25">
      <c r="A402" s="20" t="s">
        <v>328</v>
      </c>
      <c r="C402" s="53">
        <v>41.030779389376846</v>
      </c>
      <c r="D402" s="53">
        <v>0</v>
      </c>
      <c r="E402" s="68">
        <v>1</v>
      </c>
    </row>
    <row r="403" spans="1:5" x14ac:dyDescent="0.25">
      <c r="A403" s="21" t="s">
        <v>6</v>
      </c>
      <c r="C403" s="53">
        <v>41.030779389376846</v>
      </c>
      <c r="D403" s="53">
        <v>0</v>
      </c>
      <c r="E403" s="68">
        <v>1</v>
      </c>
    </row>
    <row r="404" spans="1:5" x14ac:dyDescent="0.25">
      <c r="A404" s="22" t="s">
        <v>329</v>
      </c>
      <c r="B404" s="19" t="s">
        <v>23</v>
      </c>
      <c r="C404" s="53">
        <v>41.030779389376846</v>
      </c>
      <c r="D404" s="53">
        <v>0</v>
      </c>
      <c r="E404" s="68">
        <v>1</v>
      </c>
    </row>
    <row r="405" spans="1:5" x14ac:dyDescent="0.25">
      <c r="A405" s="19" t="s">
        <v>331</v>
      </c>
      <c r="C405" s="53">
        <v>17.677170368505962</v>
      </c>
      <c r="D405" s="53">
        <v>0</v>
      </c>
      <c r="E405" s="68">
        <v>2</v>
      </c>
    </row>
    <row r="406" spans="1:5" x14ac:dyDescent="0.25">
      <c r="A406" s="20" t="s">
        <v>1382</v>
      </c>
      <c r="C406" s="53">
        <v>17.677170368505962</v>
      </c>
      <c r="D406" s="53">
        <v>0</v>
      </c>
      <c r="E406" s="68">
        <v>2</v>
      </c>
    </row>
    <row r="407" spans="1:5" x14ac:dyDescent="0.25">
      <c r="A407" s="21" t="s">
        <v>30</v>
      </c>
      <c r="C407" s="53">
        <v>17.677170368505962</v>
      </c>
      <c r="D407" s="53">
        <v>0</v>
      </c>
      <c r="E407" s="68">
        <v>2</v>
      </c>
    </row>
    <row r="408" spans="1:5" x14ac:dyDescent="0.25">
      <c r="A408" s="22" t="s">
        <v>332</v>
      </c>
      <c r="B408" s="19" t="s">
        <v>23</v>
      </c>
      <c r="C408" s="53">
        <v>9.1933626000257895</v>
      </c>
      <c r="D408" s="53">
        <v>0</v>
      </c>
      <c r="E408" s="68">
        <v>1</v>
      </c>
    </row>
    <row r="409" spans="1:5" x14ac:dyDescent="0.25">
      <c r="A409" s="22" t="s">
        <v>333</v>
      </c>
      <c r="B409" s="19" t="s">
        <v>23</v>
      </c>
      <c r="C409" s="53">
        <v>8.4838077684801743</v>
      </c>
      <c r="D409" s="53">
        <v>0</v>
      </c>
      <c r="E409" s="68">
        <v>1</v>
      </c>
    </row>
    <row r="410" spans="1:5" x14ac:dyDescent="0.25">
      <c r="A410" s="19" t="s">
        <v>334</v>
      </c>
      <c r="C410" s="53">
        <v>95.018647006977957</v>
      </c>
      <c r="D410" s="53">
        <v>297.49</v>
      </c>
      <c r="E410" s="68">
        <v>1</v>
      </c>
    </row>
    <row r="411" spans="1:5" x14ac:dyDescent="0.25">
      <c r="A411" s="20" t="s">
        <v>335</v>
      </c>
      <c r="C411" s="53">
        <v>95.018647006977957</v>
      </c>
      <c r="D411" s="53">
        <v>297.49</v>
      </c>
      <c r="E411" s="68">
        <v>1</v>
      </c>
    </row>
    <row r="412" spans="1:5" x14ac:dyDescent="0.25">
      <c r="A412" s="21" t="s">
        <v>84</v>
      </c>
      <c r="C412" s="53">
        <v>95.018647006977957</v>
      </c>
      <c r="D412" s="53">
        <v>297.49</v>
      </c>
      <c r="E412" s="68">
        <v>1</v>
      </c>
    </row>
    <row r="413" spans="1:5" x14ac:dyDescent="0.25">
      <c r="A413" s="22" t="s">
        <v>336</v>
      </c>
      <c r="B413" s="19" t="s">
        <v>23</v>
      </c>
      <c r="C413" s="53">
        <v>95.018647006977957</v>
      </c>
      <c r="D413" s="53">
        <v>297.49</v>
      </c>
      <c r="E413" s="68">
        <v>1</v>
      </c>
    </row>
    <row r="414" spans="1:5" x14ac:dyDescent="0.25">
      <c r="A414" s="19" t="s">
        <v>337</v>
      </c>
      <c r="C414" s="53">
        <v>21.22494452623404</v>
      </c>
      <c r="D414" s="53">
        <v>0</v>
      </c>
      <c r="E414" s="68">
        <v>1</v>
      </c>
    </row>
    <row r="415" spans="1:5" x14ac:dyDescent="0.25">
      <c r="A415" s="20" t="s">
        <v>338</v>
      </c>
      <c r="C415" s="53">
        <v>21.22494452623404</v>
      </c>
      <c r="D415" s="53">
        <v>0</v>
      </c>
      <c r="E415" s="68">
        <v>1</v>
      </c>
    </row>
    <row r="416" spans="1:5" x14ac:dyDescent="0.25">
      <c r="A416" s="21" t="s">
        <v>93</v>
      </c>
      <c r="C416" s="53">
        <v>21.22494452623404</v>
      </c>
      <c r="D416" s="53">
        <v>0</v>
      </c>
      <c r="E416" s="68">
        <v>1</v>
      </c>
    </row>
    <row r="417" spans="1:5" x14ac:dyDescent="0.25">
      <c r="A417" s="22" t="s">
        <v>339</v>
      </c>
      <c r="B417" s="19" t="s">
        <v>23</v>
      </c>
      <c r="C417" s="53">
        <v>21.22494452623404</v>
      </c>
      <c r="D417" s="53">
        <v>0</v>
      </c>
      <c r="E417" s="68">
        <v>1</v>
      </c>
    </row>
    <row r="418" spans="1:5" x14ac:dyDescent="0.25">
      <c r="A418" s="19" t="s">
        <v>340</v>
      </c>
      <c r="C418" s="53">
        <v>12.463484867149059</v>
      </c>
      <c r="D418" s="53">
        <v>0</v>
      </c>
      <c r="E418" s="68">
        <v>0.1</v>
      </c>
    </row>
    <row r="419" spans="1:5" x14ac:dyDescent="0.25">
      <c r="A419" s="20" t="s">
        <v>341</v>
      </c>
      <c r="C419" s="53">
        <v>12.463484867149059</v>
      </c>
      <c r="D419" s="53">
        <v>0</v>
      </c>
      <c r="E419" s="68">
        <v>0.1</v>
      </c>
    </row>
    <row r="420" spans="1:5" x14ac:dyDescent="0.25">
      <c r="A420" s="21" t="s">
        <v>93</v>
      </c>
      <c r="C420" s="53">
        <v>12.463484867149059</v>
      </c>
      <c r="D420" s="53">
        <v>0</v>
      </c>
      <c r="E420" s="68">
        <v>0.1</v>
      </c>
    </row>
    <row r="421" spans="1:5" x14ac:dyDescent="0.25">
      <c r="A421" s="22" t="s">
        <v>123</v>
      </c>
      <c r="B421" s="19" t="s">
        <v>23</v>
      </c>
      <c r="C421" s="53">
        <v>12.463484867149059</v>
      </c>
      <c r="D421" s="53">
        <v>0</v>
      </c>
      <c r="E421" s="68">
        <v>0.1</v>
      </c>
    </row>
    <row r="422" spans="1:5" x14ac:dyDescent="0.25">
      <c r="A422" s="19" t="s">
        <v>344</v>
      </c>
      <c r="C422" s="53">
        <v>7721.9155555555453</v>
      </c>
      <c r="D422" s="53">
        <v>1465.0400000000002</v>
      </c>
      <c r="E422" s="68">
        <v>172.00000000000003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&amp;C2020-11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345</v>
      </c>
      <c r="B2" t="s">
        <v>2</v>
      </c>
      <c r="C2" t="s">
        <v>346</v>
      </c>
      <c r="D2" t="s">
        <v>347</v>
      </c>
      <c r="E2" t="s">
        <v>348</v>
      </c>
      <c r="F2" t="s">
        <v>349</v>
      </c>
    </row>
    <row r="3" spans="1:13" x14ac:dyDescent="0.25">
      <c r="A3" s="19">
        <v>305704</v>
      </c>
      <c r="B3" s="53">
        <v>3083.0157430656959</v>
      </c>
      <c r="C3" s="53">
        <v>1131.67</v>
      </c>
      <c r="D3" s="5">
        <v>36</v>
      </c>
      <c r="E3" s="5">
        <v>137.99999999999994</v>
      </c>
      <c r="F3" s="5">
        <v>3385</v>
      </c>
    </row>
    <row r="4" spans="1:13" x14ac:dyDescent="0.25">
      <c r="A4" s="19">
        <v>341530</v>
      </c>
      <c r="B4" s="53">
        <v>419.56285691392861</v>
      </c>
      <c r="C4" s="53">
        <v>0</v>
      </c>
      <c r="D4" s="5">
        <v>15.5</v>
      </c>
      <c r="E4" s="5">
        <v>50.5</v>
      </c>
      <c r="F4" s="5">
        <v>240</v>
      </c>
    </row>
    <row r="5" spans="1:13" x14ac:dyDescent="0.25">
      <c r="A5" s="19" t="s">
        <v>245</v>
      </c>
      <c r="B5" s="53">
        <v>2687.5469002142527</v>
      </c>
      <c r="C5" s="53">
        <v>0</v>
      </c>
      <c r="D5" s="5">
        <v>49</v>
      </c>
      <c r="E5" s="5">
        <v>190</v>
      </c>
      <c r="F5" s="5">
        <v>1036</v>
      </c>
    </row>
    <row r="6" spans="1:13" x14ac:dyDescent="0.25">
      <c r="A6" s="19" t="s">
        <v>350</v>
      </c>
      <c r="B6" s="53">
        <v>0</v>
      </c>
      <c r="C6" s="53">
        <v>0</v>
      </c>
      <c r="D6" s="5">
        <v>28.5</v>
      </c>
      <c r="E6" s="5">
        <v>21.5</v>
      </c>
      <c r="F6" s="5">
        <v>455.5</v>
      </c>
      <c r="H6" s="69" t="s">
        <v>351</v>
      </c>
      <c r="I6" s="69"/>
      <c r="J6" s="69"/>
      <c r="K6" s="69"/>
      <c r="L6" s="69"/>
      <c r="M6" s="69"/>
    </row>
    <row r="7" spans="1:13" x14ac:dyDescent="0.25">
      <c r="A7" s="19" t="s">
        <v>352</v>
      </c>
      <c r="B7" s="53">
        <v>30.850210067200635</v>
      </c>
      <c r="C7" s="53">
        <v>0</v>
      </c>
      <c r="D7" s="5">
        <v>0</v>
      </c>
      <c r="E7" s="5">
        <v>0</v>
      </c>
      <c r="F7" s="5">
        <v>0</v>
      </c>
    </row>
    <row r="8" spans="1:13" x14ac:dyDescent="0.25">
      <c r="A8" s="19">
        <v>341531</v>
      </c>
      <c r="B8" s="53">
        <v>1500.9398452944795</v>
      </c>
      <c r="C8" s="53">
        <v>333.36999999999995</v>
      </c>
      <c r="D8" s="5">
        <v>43</v>
      </c>
      <c r="E8" s="5">
        <v>118.99999999999999</v>
      </c>
      <c r="F8" s="5">
        <v>1287.4999999999998</v>
      </c>
    </row>
    <row r="9" spans="1:13" x14ac:dyDescent="0.25">
      <c r="A9" t="s">
        <v>344</v>
      </c>
      <c r="B9" s="53">
        <v>7721.9155555555571</v>
      </c>
      <c r="C9" s="53">
        <v>1465.04</v>
      </c>
      <c r="D9" s="5">
        <v>172</v>
      </c>
      <c r="E9" s="5">
        <v>518.99999999999989</v>
      </c>
      <c r="F9" s="5">
        <v>6404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19"/>
  <sheetViews>
    <sheetView workbookViewId="0">
      <selection activeCell="E15" sqref="E15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353</v>
      </c>
      <c r="B1" t="s">
        <v>354</v>
      </c>
    </row>
    <row r="2" spans="1:2" x14ac:dyDescent="0.25">
      <c r="A2" s="19" t="s">
        <v>123</v>
      </c>
      <c r="B2" s="5">
        <v>10</v>
      </c>
    </row>
    <row r="3" spans="1:2" x14ac:dyDescent="0.25">
      <c r="A3" s="19" t="s">
        <v>114</v>
      </c>
      <c r="B3" s="5">
        <v>5</v>
      </c>
    </row>
    <row r="4" spans="1:2" x14ac:dyDescent="0.25">
      <c r="A4" s="19" t="s">
        <v>55</v>
      </c>
      <c r="B4" s="5">
        <v>3</v>
      </c>
    </row>
    <row r="5" spans="1:2" x14ac:dyDescent="0.25">
      <c r="A5" s="19" t="s">
        <v>101</v>
      </c>
      <c r="B5" s="5">
        <v>3</v>
      </c>
    </row>
    <row r="6" spans="1:2" x14ac:dyDescent="0.25">
      <c r="A6" s="19" t="s">
        <v>102</v>
      </c>
      <c r="B6" s="5">
        <v>3</v>
      </c>
    </row>
    <row r="7" spans="1:2" x14ac:dyDescent="0.25">
      <c r="A7" s="19" t="s">
        <v>80</v>
      </c>
      <c r="B7" s="5">
        <v>2</v>
      </c>
    </row>
    <row r="8" spans="1:2" x14ac:dyDescent="0.25">
      <c r="A8" s="19" t="s">
        <v>103</v>
      </c>
      <c r="B8" s="5">
        <v>2</v>
      </c>
    </row>
    <row r="9" spans="1:2" x14ac:dyDescent="0.25">
      <c r="A9" s="19" t="s">
        <v>137</v>
      </c>
      <c r="B9" s="5">
        <v>2</v>
      </c>
    </row>
    <row r="10" spans="1:2" x14ac:dyDescent="0.25">
      <c r="A10" s="19" t="s">
        <v>10</v>
      </c>
      <c r="B10" s="5">
        <v>2</v>
      </c>
    </row>
    <row r="11" spans="1:2" x14ac:dyDescent="0.25">
      <c r="A11" s="19" t="s">
        <v>77</v>
      </c>
      <c r="B11" s="5">
        <v>2</v>
      </c>
    </row>
    <row r="12" spans="1:2" x14ac:dyDescent="0.25">
      <c r="A12" s="19" t="s">
        <v>14</v>
      </c>
      <c r="B12" s="5">
        <v>2</v>
      </c>
    </row>
    <row r="13" spans="1:2" x14ac:dyDescent="0.25">
      <c r="A13" s="19" t="s">
        <v>90</v>
      </c>
      <c r="B13" s="5">
        <v>2</v>
      </c>
    </row>
    <row r="14" spans="1:2" x14ac:dyDescent="0.25">
      <c r="A14" s="19" t="s">
        <v>311</v>
      </c>
      <c r="B14" s="5">
        <v>1</v>
      </c>
    </row>
    <row r="15" spans="1:2" x14ac:dyDescent="0.25">
      <c r="A15" s="19" t="s">
        <v>1358</v>
      </c>
      <c r="B15" s="5">
        <v>1</v>
      </c>
    </row>
    <row r="16" spans="1:2" x14ac:dyDescent="0.25">
      <c r="A16" s="19" t="s">
        <v>96</v>
      </c>
      <c r="B16" s="5">
        <v>1</v>
      </c>
    </row>
    <row r="17" spans="1:2" x14ac:dyDescent="0.25">
      <c r="A17" s="19" t="s">
        <v>190</v>
      </c>
      <c r="B17" s="5">
        <v>1</v>
      </c>
    </row>
    <row r="18" spans="1:2" x14ac:dyDescent="0.25">
      <c r="A18" s="19" t="s">
        <v>167</v>
      </c>
      <c r="B18" s="5">
        <v>1</v>
      </c>
    </row>
    <row r="19" spans="1:2" x14ac:dyDescent="0.25">
      <c r="A19" s="19" t="s">
        <v>230</v>
      </c>
      <c r="B19" s="5">
        <v>1</v>
      </c>
    </row>
    <row r="20" spans="1:2" x14ac:dyDescent="0.25">
      <c r="A20" s="19" t="s">
        <v>195</v>
      </c>
      <c r="B20" s="5">
        <v>1</v>
      </c>
    </row>
    <row r="21" spans="1:2" x14ac:dyDescent="0.25">
      <c r="A21" s="19" t="s">
        <v>108</v>
      </c>
      <c r="B21" s="5">
        <v>1</v>
      </c>
    </row>
    <row r="22" spans="1:2" x14ac:dyDescent="0.25">
      <c r="A22" s="19" t="s">
        <v>180</v>
      </c>
      <c r="B22" s="5">
        <v>1</v>
      </c>
    </row>
    <row r="23" spans="1:2" x14ac:dyDescent="0.25">
      <c r="A23" s="19" t="s">
        <v>191</v>
      </c>
      <c r="B23" s="5">
        <v>1</v>
      </c>
    </row>
    <row r="24" spans="1:2" x14ac:dyDescent="0.25">
      <c r="A24" s="19" t="s">
        <v>186</v>
      </c>
      <c r="B24" s="5">
        <v>1</v>
      </c>
    </row>
    <row r="25" spans="1:2" x14ac:dyDescent="0.25">
      <c r="A25" s="19" t="s">
        <v>110</v>
      </c>
      <c r="B25" s="5">
        <v>1</v>
      </c>
    </row>
    <row r="26" spans="1:2" x14ac:dyDescent="0.25">
      <c r="A26" s="19" t="s">
        <v>170</v>
      </c>
      <c r="B26" s="5">
        <v>1</v>
      </c>
    </row>
    <row r="27" spans="1:2" x14ac:dyDescent="0.25">
      <c r="A27" s="19" t="s">
        <v>313</v>
      </c>
      <c r="B27" s="5">
        <v>1</v>
      </c>
    </row>
    <row r="28" spans="1:2" x14ac:dyDescent="0.25">
      <c r="A28" s="19" t="s">
        <v>255</v>
      </c>
      <c r="B28" s="5">
        <v>1</v>
      </c>
    </row>
    <row r="29" spans="1:2" x14ac:dyDescent="0.25">
      <c r="A29" s="19" t="s">
        <v>289</v>
      </c>
      <c r="B29" s="5">
        <v>1</v>
      </c>
    </row>
    <row r="30" spans="1:2" x14ac:dyDescent="0.25">
      <c r="A30" s="19" t="s">
        <v>315</v>
      </c>
      <c r="B30" s="5">
        <v>1</v>
      </c>
    </row>
    <row r="31" spans="1:2" x14ac:dyDescent="0.25">
      <c r="A31" s="19" t="s">
        <v>215</v>
      </c>
      <c r="B31" s="5">
        <v>1</v>
      </c>
    </row>
    <row r="32" spans="1:2" x14ac:dyDescent="0.25">
      <c r="A32" s="19" t="s">
        <v>224</v>
      </c>
      <c r="B32" s="5">
        <v>1</v>
      </c>
    </row>
    <row r="33" spans="1:2" x14ac:dyDescent="0.25">
      <c r="A33" s="19" t="s">
        <v>197</v>
      </c>
      <c r="B33" s="5">
        <v>1</v>
      </c>
    </row>
    <row r="34" spans="1:2" x14ac:dyDescent="0.25">
      <c r="A34" s="19" t="s">
        <v>203</v>
      </c>
      <c r="B34" s="5">
        <v>1</v>
      </c>
    </row>
    <row r="35" spans="1:2" x14ac:dyDescent="0.25">
      <c r="A35" s="19" t="s">
        <v>178</v>
      </c>
      <c r="B35" s="5">
        <v>1</v>
      </c>
    </row>
    <row r="36" spans="1:2" x14ac:dyDescent="0.25">
      <c r="A36" s="19" t="s">
        <v>332</v>
      </c>
      <c r="B36" s="5">
        <v>1</v>
      </c>
    </row>
    <row r="37" spans="1:2" x14ac:dyDescent="0.25">
      <c r="A37" s="19" t="s">
        <v>116</v>
      </c>
      <c r="B37" s="5">
        <v>1</v>
      </c>
    </row>
    <row r="38" spans="1:2" x14ac:dyDescent="0.25">
      <c r="A38" s="19" t="s">
        <v>164</v>
      </c>
      <c r="B38" s="5">
        <v>1</v>
      </c>
    </row>
    <row r="39" spans="1:2" x14ac:dyDescent="0.25">
      <c r="A39" s="19" t="s">
        <v>182</v>
      </c>
      <c r="B39" s="5">
        <v>1</v>
      </c>
    </row>
    <row r="40" spans="1:2" x14ac:dyDescent="0.25">
      <c r="A40" s="19" t="s">
        <v>198</v>
      </c>
      <c r="B40" s="5">
        <v>1</v>
      </c>
    </row>
    <row r="41" spans="1:2" x14ac:dyDescent="0.25">
      <c r="A41" s="19" t="s">
        <v>243</v>
      </c>
      <c r="B41" s="5">
        <v>1</v>
      </c>
    </row>
    <row r="42" spans="1:2" x14ac:dyDescent="0.25">
      <c r="A42" s="19" t="s">
        <v>174</v>
      </c>
      <c r="B42" s="5">
        <v>1</v>
      </c>
    </row>
    <row r="43" spans="1:2" x14ac:dyDescent="0.25">
      <c r="A43" s="19" t="s">
        <v>217</v>
      </c>
      <c r="B43" s="5">
        <v>1</v>
      </c>
    </row>
    <row r="44" spans="1:2" x14ac:dyDescent="0.25">
      <c r="A44" s="19" t="s">
        <v>269</v>
      </c>
      <c r="B44" s="5">
        <v>1</v>
      </c>
    </row>
    <row r="45" spans="1:2" x14ac:dyDescent="0.25">
      <c r="A45" s="19" t="s">
        <v>281</v>
      </c>
      <c r="B45" s="5">
        <v>1</v>
      </c>
    </row>
    <row r="46" spans="1:2" x14ac:dyDescent="0.25">
      <c r="A46" s="19" t="s">
        <v>148</v>
      </c>
      <c r="B46" s="5">
        <v>1</v>
      </c>
    </row>
    <row r="47" spans="1:2" x14ac:dyDescent="0.25">
      <c r="A47" s="19" t="s">
        <v>220</v>
      </c>
      <c r="B47" s="5">
        <v>1</v>
      </c>
    </row>
    <row r="48" spans="1:2" x14ac:dyDescent="0.25">
      <c r="A48" s="19" t="s">
        <v>22</v>
      </c>
      <c r="B48" s="5">
        <v>1</v>
      </c>
    </row>
    <row r="49" spans="1:2" x14ac:dyDescent="0.25">
      <c r="A49" s="19" t="s">
        <v>193</v>
      </c>
      <c r="B49" s="5">
        <v>1</v>
      </c>
    </row>
    <row r="50" spans="1:2" x14ac:dyDescent="0.25">
      <c r="A50" s="19" t="s">
        <v>290</v>
      </c>
      <c r="B50" s="5">
        <v>1</v>
      </c>
    </row>
    <row r="51" spans="1:2" x14ac:dyDescent="0.25">
      <c r="A51" s="19" t="s">
        <v>194</v>
      </c>
      <c r="B51" s="5">
        <v>1</v>
      </c>
    </row>
    <row r="52" spans="1:2" x14ac:dyDescent="0.25">
      <c r="A52" s="19" t="s">
        <v>29</v>
      </c>
      <c r="B52" s="5">
        <v>1</v>
      </c>
    </row>
    <row r="53" spans="1:2" x14ac:dyDescent="0.25">
      <c r="A53" s="19" t="s">
        <v>244</v>
      </c>
      <c r="B53" s="5">
        <v>1</v>
      </c>
    </row>
    <row r="54" spans="1:2" x14ac:dyDescent="0.25">
      <c r="A54" s="19" t="s">
        <v>179</v>
      </c>
      <c r="B54" s="5">
        <v>1</v>
      </c>
    </row>
    <row r="55" spans="1:2" x14ac:dyDescent="0.25">
      <c r="A55" s="19" t="s">
        <v>99</v>
      </c>
      <c r="B55" s="5">
        <v>1</v>
      </c>
    </row>
    <row r="56" spans="1:2" x14ac:dyDescent="0.25">
      <c r="A56" s="19" t="s">
        <v>63</v>
      </c>
      <c r="B56" s="5">
        <v>1</v>
      </c>
    </row>
    <row r="57" spans="1:2" x14ac:dyDescent="0.25">
      <c r="A57" s="19" t="s">
        <v>184</v>
      </c>
      <c r="B57" s="5">
        <v>1</v>
      </c>
    </row>
    <row r="58" spans="1:2" x14ac:dyDescent="0.25">
      <c r="A58" s="19" t="s">
        <v>212</v>
      </c>
      <c r="B58" s="5">
        <v>1</v>
      </c>
    </row>
    <row r="59" spans="1:2" x14ac:dyDescent="0.25">
      <c r="A59" s="19" t="s">
        <v>231</v>
      </c>
      <c r="B59" s="5">
        <v>1</v>
      </c>
    </row>
    <row r="60" spans="1:2" x14ac:dyDescent="0.25">
      <c r="A60" s="19" t="s">
        <v>162</v>
      </c>
      <c r="B60" s="5">
        <v>1</v>
      </c>
    </row>
    <row r="61" spans="1:2" x14ac:dyDescent="0.25">
      <c r="A61" s="19" t="s">
        <v>152</v>
      </c>
      <c r="B61" s="5">
        <v>1</v>
      </c>
    </row>
    <row r="62" spans="1:2" x14ac:dyDescent="0.25">
      <c r="A62" s="19" t="s">
        <v>145</v>
      </c>
      <c r="B62" s="5">
        <v>1</v>
      </c>
    </row>
    <row r="63" spans="1:2" x14ac:dyDescent="0.25">
      <c r="A63" s="19" t="s">
        <v>153</v>
      </c>
      <c r="B63" s="5">
        <v>1</v>
      </c>
    </row>
    <row r="64" spans="1:2" x14ac:dyDescent="0.25">
      <c r="A64" s="19" t="s">
        <v>333</v>
      </c>
      <c r="B64" s="5">
        <v>1</v>
      </c>
    </row>
    <row r="65" spans="1:2" x14ac:dyDescent="0.25">
      <c r="A65" s="19" t="s">
        <v>154</v>
      </c>
      <c r="B65" s="5">
        <v>1</v>
      </c>
    </row>
    <row r="66" spans="1:2" x14ac:dyDescent="0.25">
      <c r="A66" s="19" t="s">
        <v>264</v>
      </c>
      <c r="B66" s="5">
        <v>1</v>
      </c>
    </row>
    <row r="67" spans="1:2" x14ac:dyDescent="0.25">
      <c r="A67" s="19" t="s">
        <v>155</v>
      </c>
      <c r="B67" s="5">
        <v>1</v>
      </c>
    </row>
    <row r="68" spans="1:2" x14ac:dyDescent="0.25">
      <c r="A68" s="19" t="s">
        <v>265</v>
      </c>
      <c r="B68" s="5">
        <v>1</v>
      </c>
    </row>
    <row r="69" spans="1:2" x14ac:dyDescent="0.25">
      <c r="A69" s="19" t="s">
        <v>71</v>
      </c>
      <c r="B69" s="5">
        <v>1</v>
      </c>
    </row>
    <row r="70" spans="1:2" x14ac:dyDescent="0.25">
      <c r="A70" s="19" t="s">
        <v>168</v>
      </c>
      <c r="B70" s="5">
        <v>1</v>
      </c>
    </row>
    <row r="71" spans="1:2" x14ac:dyDescent="0.25">
      <c r="A71" s="19" t="s">
        <v>73</v>
      </c>
      <c r="B71" s="5">
        <v>1</v>
      </c>
    </row>
    <row r="72" spans="1:2" x14ac:dyDescent="0.25">
      <c r="A72" s="19" t="s">
        <v>172</v>
      </c>
      <c r="B72" s="5">
        <v>1</v>
      </c>
    </row>
    <row r="73" spans="1:2" x14ac:dyDescent="0.25">
      <c r="A73" s="19" t="s">
        <v>142</v>
      </c>
      <c r="B73" s="5">
        <v>1</v>
      </c>
    </row>
    <row r="74" spans="1:2" x14ac:dyDescent="0.25">
      <c r="A74" s="19" t="s">
        <v>176</v>
      </c>
      <c r="B74" s="5">
        <v>1</v>
      </c>
    </row>
    <row r="75" spans="1:2" x14ac:dyDescent="0.25">
      <c r="A75" s="19" t="s">
        <v>282</v>
      </c>
      <c r="B75" s="5">
        <v>1</v>
      </c>
    </row>
    <row r="76" spans="1:2" x14ac:dyDescent="0.25">
      <c r="A76" s="19" t="s">
        <v>267</v>
      </c>
      <c r="B76" s="5">
        <v>1</v>
      </c>
    </row>
    <row r="77" spans="1:2" x14ac:dyDescent="0.25">
      <c r="A77" s="19" t="s">
        <v>39</v>
      </c>
      <c r="B77" s="5">
        <v>1</v>
      </c>
    </row>
    <row r="78" spans="1:2" x14ac:dyDescent="0.25">
      <c r="A78" s="19" t="s">
        <v>271</v>
      </c>
      <c r="B78" s="5">
        <v>1</v>
      </c>
    </row>
    <row r="79" spans="1:2" x14ac:dyDescent="0.25">
      <c r="A79" s="19" t="s">
        <v>42</v>
      </c>
      <c r="B79" s="5">
        <v>1</v>
      </c>
    </row>
    <row r="80" spans="1:2" x14ac:dyDescent="0.25">
      <c r="A80" s="19" t="s">
        <v>36</v>
      </c>
      <c r="B80" s="5">
        <v>1</v>
      </c>
    </row>
    <row r="81" spans="1:2" x14ac:dyDescent="0.25">
      <c r="A81" s="19" t="s">
        <v>46</v>
      </c>
      <c r="B81" s="5">
        <v>1</v>
      </c>
    </row>
    <row r="82" spans="1:2" x14ac:dyDescent="0.25">
      <c r="A82" s="19" t="s">
        <v>240</v>
      </c>
      <c r="B82" s="5">
        <v>1</v>
      </c>
    </row>
    <row r="83" spans="1:2" x14ac:dyDescent="0.25">
      <c r="A83" s="19" t="s">
        <v>17</v>
      </c>
      <c r="B83" s="5">
        <v>1</v>
      </c>
    </row>
    <row r="84" spans="1:2" x14ac:dyDescent="0.25">
      <c r="A84" s="19" t="s">
        <v>199</v>
      </c>
      <c r="B84" s="5">
        <v>1</v>
      </c>
    </row>
    <row r="85" spans="1:2" x14ac:dyDescent="0.25">
      <c r="A85" s="19" t="s">
        <v>20</v>
      </c>
      <c r="B85" s="5">
        <v>1</v>
      </c>
    </row>
    <row r="86" spans="1:2" x14ac:dyDescent="0.25">
      <c r="A86" s="19" t="s">
        <v>227</v>
      </c>
      <c r="B86" s="5">
        <v>1</v>
      </c>
    </row>
    <row r="87" spans="1:2" x14ac:dyDescent="0.25">
      <c r="A87" s="19" t="s">
        <v>25</v>
      </c>
      <c r="B87" s="5">
        <v>1</v>
      </c>
    </row>
    <row r="88" spans="1:2" x14ac:dyDescent="0.25">
      <c r="A88" s="19" t="s">
        <v>317</v>
      </c>
      <c r="B88" s="5">
        <v>1</v>
      </c>
    </row>
    <row r="89" spans="1:2" x14ac:dyDescent="0.25">
      <c r="A89" s="19" t="s">
        <v>27</v>
      </c>
      <c r="B89" s="5">
        <v>1</v>
      </c>
    </row>
    <row r="90" spans="1:2" x14ac:dyDescent="0.25">
      <c r="A90" s="19" t="s">
        <v>319</v>
      </c>
      <c r="B90" s="5">
        <v>1</v>
      </c>
    </row>
    <row r="91" spans="1:2" x14ac:dyDescent="0.25">
      <c r="A91" s="19" t="s">
        <v>75</v>
      </c>
      <c r="B91" s="5">
        <v>1</v>
      </c>
    </row>
    <row r="92" spans="1:2" x14ac:dyDescent="0.25">
      <c r="A92" s="19" t="s">
        <v>200</v>
      </c>
      <c r="B92" s="5">
        <v>1</v>
      </c>
    </row>
    <row r="93" spans="1:2" x14ac:dyDescent="0.25">
      <c r="A93" s="19" t="s">
        <v>222</v>
      </c>
      <c r="B93" s="5">
        <v>1</v>
      </c>
    </row>
    <row r="94" spans="1:2" x14ac:dyDescent="0.25">
      <c r="A94" s="19" t="s">
        <v>321</v>
      </c>
      <c r="B94" s="5">
        <v>1</v>
      </c>
    </row>
    <row r="95" spans="1:2" x14ac:dyDescent="0.25">
      <c r="A95" s="19" t="s">
        <v>223</v>
      </c>
      <c r="B95" s="5">
        <v>1</v>
      </c>
    </row>
    <row r="96" spans="1:2" x14ac:dyDescent="0.25">
      <c r="A96" s="19" t="s">
        <v>322</v>
      </c>
      <c r="B96" s="5">
        <v>1</v>
      </c>
    </row>
    <row r="97" spans="1:2" x14ac:dyDescent="0.25">
      <c r="A97" s="19" t="s">
        <v>225</v>
      </c>
      <c r="B97" s="5">
        <v>1</v>
      </c>
    </row>
    <row r="98" spans="1:2" x14ac:dyDescent="0.25">
      <c r="A98" s="19" t="s">
        <v>324</v>
      </c>
      <c r="B98" s="5">
        <v>1</v>
      </c>
    </row>
    <row r="99" spans="1:2" x14ac:dyDescent="0.25">
      <c r="A99" s="19" t="s">
        <v>32</v>
      </c>
      <c r="B99" s="5">
        <v>1</v>
      </c>
    </row>
    <row r="100" spans="1:2" x14ac:dyDescent="0.25">
      <c r="A100" s="19" t="s">
        <v>236</v>
      </c>
      <c r="B100" s="5">
        <v>1</v>
      </c>
    </row>
    <row r="101" spans="1:2" x14ac:dyDescent="0.25">
      <c r="A101" s="19" t="s">
        <v>12</v>
      </c>
      <c r="B101" s="5">
        <v>1</v>
      </c>
    </row>
    <row r="102" spans="1:2" x14ac:dyDescent="0.25">
      <c r="A102" s="19" t="s">
        <v>201</v>
      </c>
      <c r="B102" s="5">
        <v>1</v>
      </c>
    </row>
    <row r="103" spans="1:2" x14ac:dyDescent="0.25">
      <c r="A103" s="19" t="s">
        <v>86</v>
      </c>
      <c r="B103" s="5">
        <v>1</v>
      </c>
    </row>
    <row r="104" spans="1:2" x14ac:dyDescent="0.25">
      <c r="A104" s="19" t="s">
        <v>204</v>
      </c>
      <c r="B104" s="5">
        <v>1</v>
      </c>
    </row>
    <row r="105" spans="1:2" x14ac:dyDescent="0.25">
      <c r="A105" s="19" t="s">
        <v>283</v>
      </c>
      <c r="B105" s="5">
        <v>1</v>
      </c>
    </row>
    <row r="106" spans="1:2" x14ac:dyDescent="0.25">
      <c r="A106" s="19" t="s">
        <v>205</v>
      </c>
      <c r="B106" s="5">
        <v>1</v>
      </c>
    </row>
    <row r="107" spans="1:2" x14ac:dyDescent="0.25">
      <c r="A107" s="19" t="s">
        <v>7</v>
      </c>
      <c r="B107" s="5">
        <v>1</v>
      </c>
    </row>
    <row r="108" spans="1:2" x14ac:dyDescent="0.25">
      <c r="A108" s="19" t="s">
        <v>288</v>
      </c>
      <c r="B108" s="5">
        <v>1</v>
      </c>
    </row>
    <row r="109" spans="1:2" x14ac:dyDescent="0.25">
      <c r="A109" s="19" t="s">
        <v>34</v>
      </c>
      <c r="B109" s="5">
        <v>1</v>
      </c>
    </row>
    <row r="110" spans="1:2" x14ac:dyDescent="0.25">
      <c r="A110" s="19" t="s">
        <v>163</v>
      </c>
      <c r="B110" s="5">
        <v>1</v>
      </c>
    </row>
    <row r="111" spans="1:2" x14ac:dyDescent="0.25">
      <c r="A111" s="19" t="s">
        <v>209</v>
      </c>
      <c r="B111" s="5">
        <v>1</v>
      </c>
    </row>
    <row r="112" spans="1:2" x14ac:dyDescent="0.25">
      <c r="A112" s="19" t="s">
        <v>125</v>
      </c>
      <c r="B112" s="5">
        <v>1</v>
      </c>
    </row>
    <row r="113" spans="1:2" x14ac:dyDescent="0.25">
      <c r="A113" s="19" t="s">
        <v>87</v>
      </c>
      <c r="B113" s="5">
        <v>1</v>
      </c>
    </row>
    <row r="114" spans="1:2" x14ac:dyDescent="0.25">
      <c r="A114" s="19" t="s">
        <v>312</v>
      </c>
      <c r="B114" s="5">
        <v>1</v>
      </c>
    </row>
    <row r="115" spans="1:2" x14ac:dyDescent="0.25">
      <c r="A115" s="19" t="s">
        <v>48</v>
      </c>
      <c r="B115" s="5">
        <v>1</v>
      </c>
    </row>
    <row r="116" spans="1:2" x14ac:dyDescent="0.25">
      <c r="A116" s="19" t="s">
        <v>31</v>
      </c>
      <c r="B116" s="5">
        <v>1</v>
      </c>
    </row>
    <row r="117" spans="1:2" x14ac:dyDescent="0.25">
      <c r="A117" s="19" t="s">
        <v>156</v>
      </c>
      <c r="B117" s="5">
        <v>1</v>
      </c>
    </row>
    <row r="118" spans="1:2" x14ac:dyDescent="0.25">
      <c r="A118" s="19" t="s">
        <v>188</v>
      </c>
      <c r="B118" s="5">
        <v>1</v>
      </c>
    </row>
    <row r="119" spans="1:2" x14ac:dyDescent="0.25">
      <c r="A119" s="19" t="s">
        <v>52</v>
      </c>
      <c r="B119" s="5">
        <v>1</v>
      </c>
    </row>
    <row r="120" spans="1:2" x14ac:dyDescent="0.25">
      <c r="A120" s="19" t="s">
        <v>165</v>
      </c>
      <c r="B120" s="5">
        <v>1</v>
      </c>
    </row>
    <row r="121" spans="1:2" x14ac:dyDescent="0.25">
      <c r="A121" s="19" t="s">
        <v>284</v>
      </c>
      <c r="B121" s="5">
        <v>1</v>
      </c>
    </row>
    <row r="122" spans="1:2" x14ac:dyDescent="0.25">
      <c r="A122" s="19" t="s">
        <v>166</v>
      </c>
      <c r="B122" s="5">
        <v>1</v>
      </c>
    </row>
    <row r="123" spans="1:2" x14ac:dyDescent="0.25">
      <c r="A123" s="19" t="s">
        <v>158</v>
      </c>
      <c r="B123" s="5">
        <v>1</v>
      </c>
    </row>
    <row r="124" spans="1:2" x14ac:dyDescent="0.25">
      <c r="A124" s="19" t="s">
        <v>309</v>
      </c>
      <c r="B124" s="5">
        <v>1</v>
      </c>
    </row>
    <row r="125" spans="1:2" x14ac:dyDescent="0.25">
      <c r="A125" s="19" t="s">
        <v>285</v>
      </c>
      <c r="B125" s="5">
        <v>1</v>
      </c>
    </row>
    <row r="126" spans="1:2" x14ac:dyDescent="0.25">
      <c r="A126" s="19" t="s">
        <v>94</v>
      </c>
      <c r="B126" s="5">
        <v>1</v>
      </c>
    </row>
    <row r="127" spans="1:2" x14ac:dyDescent="0.25">
      <c r="A127" s="19" t="s">
        <v>210</v>
      </c>
      <c r="B127" s="5">
        <v>1</v>
      </c>
    </row>
    <row r="128" spans="1:2" x14ac:dyDescent="0.25">
      <c r="A128" s="19" t="s">
        <v>140</v>
      </c>
      <c r="B128" s="5">
        <v>1</v>
      </c>
    </row>
    <row r="129" spans="1:2" x14ac:dyDescent="0.25">
      <c r="A129" s="19" t="s">
        <v>247</v>
      </c>
      <c r="B129" s="5">
        <v>1</v>
      </c>
    </row>
    <row r="130" spans="1:2" x14ac:dyDescent="0.25">
      <c r="A130" s="19" t="s">
        <v>169</v>
      </c>
      <c r="B130" s="5">
        <v>1</v>
      </c>
    </row>
    <row r="131" spans="1:2" x14ac:dyDescent="0.25">
      <c r="A131" s="19" t="s">
        <v>248</v>
      </c>
      <c r="B131" s="5">
        <v>1</v>
      </c>
    </row>
    <row r="132" spans="1:2" x14ac:dyDescent="0.25">
      <c r="A132" s="19" t="s">
        <v>171</v>
      </c>
      <c r="B132" s="5">
        <v>1</v>
      </c>
    </row>
    <row r="133" spans="1:2" x14ac:dyDescent="0.25">
      <c r="A133" s="19" t="s">
        <v>249</v>
      </c>
      <c r="B133" s="5">
        <v>1</v>
      </c>
    </row>
    <row r="134" spans="1:2" x14ac:dyDescent="0.25">
      <c r="A134" s="19" t="s">
        <v>173</v>
      </c>
      <c r="B134" s="5">
        <v>1</v>
      </c>
    </row>
    <row r="135" spans="1:2" x14ac:dyDescent="0.25">
      <c r="A135" s="19" t="s">
        <v>272</v>
      </c>
      <c r="B135" s="5">
        <v>1</v>
      </c>
    </row>
    <row r="136" spans="1:2" x14ac:dyDescent="0.25">
      <c r="A136" s="19" t="s">
        <v>175</v>
      </c>
      <c r="B136" s="5">
        <v>1</v>
      </c>
    </row>
    <row r="137" spans="1:2" x14ac:dyDescent="0.25">
      <c r="A137" s="19" t="s">
        <v>273</v>
      </c>
      <c r="B137" s="5">
        <v>1</v>
      </c>
    </row>
    <row r="138" spans="1:2" x14ac:dyDescent="0.25">
      <c r="A138" s="19" t="s">
        <v>310</v>
      </c>
      <c r="B138" s="5">
        <v>1</v>
      </c>
    </row>
    <row r="139" spans="1:2" x14ac:dyDescent="0.25">
      <c r="A139" s="19" t="s">
        <v>275</v>
      </c>
      <c r="B139" s="5">
        <v>1</v>
      </c>
    </row>
    <row r="140" spans="1:2" x14ac:dyDescent="0.25">
      <c r="A140" s="19" t="s">
        <v>266</v>
      </c>
      <c r="B140" s="5">
        <v>1</v>
      </c>
    </row>
    <row r="141" spans="1:2" x14ac:dyDescent="0.25">
      <c r="A141" s="19" t="s">
        <v>277</v>
      </c>
      <c r="B141" s="5">
        <v>1</v>
      </c>
    </row>
    <row r="142" spans="1:2" x14ac:dyDescent="0.25">
      <c r="A142" s="19" t="s">
        <v>268</v>
      </c>
      <c r="B142" s="5">
        <v>1</v>
      </c>
    </row>
    <row r="143" spans="1:2" x14ac:dyDescent="0.25">
      <c r="A143" s="19" t="s">
        <v>279</v>
      </c>
      <c r="B143" s="5">
        <v>1</v>
      </c>
    </row>
    <row r="144" spans="1:2" x14ac:dyDescent="0.25">
      <c r="A144" s="19" t="s">
        <v>270</v>
      </c>
      <c r="B144" s="5">
        <v>1</v>
      </c>
    </row>
    <row r="145" spans="1:2" x14ac:dyDescent="0.25">
      <c r="A145" s="19" t="s">
        <v>177</v>
      </c>
      <c r="B145" s="5">
        <v>1</v>
      </c>
    </row>
    <row r="146" spans="1:2" x14ac:dyDescent="0.25">
      <c r="A146" s="19" t="s">
        <v>287</v>
      </c>
      <c r="B146" s="5">
        <v>1</v>
      </c>
    </row>
    <row r="147" spans="1:2" x14ac:dyDescent="0.25">
      <c r="A147" s="19" t="s">
        <v>286</v>
      </c>
      <c r="B147" s="5">
        <v>1</v>
      </c>
    </row>
    <row r="148" spans="1:2" x14ac:dyDescent="0.25">
      <c r="A148" s="19" t="s">
        <v>274</v>
      </c>
      <c r="B148" s="5">
        <v>1</v>
      </c>
    </row>
    <row r="149" spans="1:2" x14ac:dyDescent="0.25">
      <c r="A149" s="19" t="s">
        <v>146</v>
      </c>
      <c r="B149" s="5">
        <v>1</v>
      </c>
    </row>
    <row r="150" spans="1:2" x14ac:dyDescent="0.25">
      <c r="A150" s="19" t="s">
        <v>276</v>
      </c>
      <c r="B150" s="5">
        <v>1</v>
      </c>
    </row>
    <row r="151" spans="1:2" x14ac:dyDescent="0.25">
      <c r="A151" s="19" t="s">
        <v>91</v>
      </c>
      <c r="B151" s="5">
        <v>1</v>
      </c>
    </row>
    <row r="152" spans="1:2" x14ac:dyDescent="0.25">
      <c r="A152" s="19" t="s">
        <v>278</v>
      </c>
      <c r="B152" s="5">
        <v>1</v>
      </c>
    </row>
    <row r="153" spans="1:2" x14ac:dyDescent="0.25">
      <c r="A153" s="19" t="s">
        <v>208</v>
      </c>
      <c r="B153" s="5">
        <v>1</v>
      </c>
    </row>
    <row r="154" spans="1:2" x14ac:dyDescent="0.25">
      <c r="A154" s="19" t="s">
        <v>280</v>
      </c>
      <c r="B154" s="5">
        <v>1</v>
      </c>
    </row>
    <row r="155" spans="1:2" x14ac:dyDescent="0.25">
      <c r="A155" s="19" t="s">
        <v>147</v>
      </c>
      <c r="B155" s="5">
        <v>1</v>
      </c>
    </row>
    <row r="156" spans="1:2" x14ac:dyDescent="0.25">
      <c r="A156" s="19" t="s">
        <v>232</v>
      </c>
      <c r="B156" s="5">
        <v>1</v>
      </c>
    </row>
    <row r="157" spans="1:2" x14ac:dyDescent="0.25">
      <c r="A157" s="19" t="s">
        <v>234</v>
      </c>
      <c r="B157" s="5">
        <v>1</v>
      </c>
    </row>
    <row r="158" spans="1:2" x14ac:dyDescent="0.25">
      <c r="A158" s="19" t="s">
        <v>336</v>
      </c>
      <c r="B158" s="5">
        <v>1</v>
      </c>
    </row>
    <row r="159" spans="1:2" x14ac:dyDescent="0.25">
      <c r="A159" s="19" t="s">
        <v>149</v>
      </c>
      <c r="B159" s="5">
        <v>1</v>
      </c>
    </row>
    <row r="160" spans="1:2" x14ac:dyDescent="0.25">
      <c r="A160" s="19" t="s">
        <v>59</v>
      </c>
      <c r="B160" s="5">
        <v>1</v>
      </c>
    </row>
    <row r="161" spans="1:2" x14ac:dyDescent="0.25">
      <c r="A161" s="19" t="s">
        <v>159</v>
      </c>
      <c r="B161" s="5">
        <v>1</v>
      </c>
    </row>
    <row r="162" spans="1:2" x14ac:dyDescent="0.25">
      <c r="A162" s="19" t="s">
        <v>92</v>
      </c>
      <c r="B162" s="5">
        <v>1</v>
      </c>
    </row>
    <row r="163" spans="1:2" x14ac:dyDescent="0.25">
      <c r="A163" s="19" t="s">
        <v>160</v>
      </c>
      <c r="B163" s="5">
        <v>1</v>
      </c>
    </row>
    <row r="164" spans="1:2" x14ac:dyDescent="0.25">
      <c r="A164" s="19" t="s">
        <v>314</v>
      </c>
      <c r="B164" s="5">
        <v>1</v>
      </c>
    </row>
    <row r="165" spans="1:2" x14ac:dyDescent="0.25">
      <c r="A165" s="19" t="s">
        <v>250</v>
      </c>
      <c r="B165" s="5">
        <v>1</v>
      </c>
    </row>
    <row r="166" spans="1:2" x14ac:dyDescent="0.25">
      <c r="A166" s="19" t="s">
        <v>126</v>
      </c>
      <c r="B166" s="5">
        <v>1</v>
      </c>
    </row>
    <row r="167" spans="1:2" x14ac:dyDescent="0.25">
      <c r="A167" s="19" t="s">
        <v>251</v>
      </c>
      <c r="B167" s="5">
        <v>1</v>
      </c>
    </row>
    <row r="168" spans="1:2" x14ac:dyDescent="0.25">
      <c r="A168" s="19" t="s">
        <v>241</v>
      </c>
      <c r="B168" s="5">
        <v>1</v>
      </c>
    </row>
    <row r="169" spans="1:2" x14ac:dyDescent="0.25">
      <c r="A169" s="19" t="s">
        <v>252</v>
      </c>
      <c r="B169" s="5">
        <v>1</v>
      </c>
    </row>
    <row r="170" spans="1:2" x14ac:dyDescent="0.25">
      <c r="A170" s="19" t="s">
        <v>329</v>
      </c>
      <c r="B170" s="5">
        <v>1</v>
      </c>
    </row>
    <row r="171" spans="1:2" x14ac:dyDescent="0.25">
      <c r="A171" s="19" t="s">
        <v>296</v>
      </c>
      <c r="B171" s="5">
        <v>1</v>
      </c>
    </row>
    <row r="172" spans="1:2" x14ac:dyDescent="0.25">
      <c r="A172" s="19" t="s">
        <v>28</v>
      </c>
      <c r="B172" s="5">
        <v>1</v>
      </c>
    </row>
    <row r="173" spans="1:2" x14ac:dyDescent="0.25">
      <c r="A173" s="19" t="s">
        <v>297</v>
      </c>
      <c r="B173" s="5">
        <v>1</v>
      </c>
    </row>
    <row r="174" spans="1:2" x14ac:dyDescent="0.25">
      <c r="A174" s="19" t="s">
        <v>185</v>
      </c>
      <c r="B174" s="5">
        <v>1</v>
      </c>
    </row>
    <row r="175" spans="1:2" x14ac:dyDescent="0.25">
      <c r="A175" s="19" t="s">
        <v>258</v>
      </c>
      <c r="B175" s="5">
        <v>1</v>
      </c>
    </row>
    <row r="176" spans="1:2" x14ac:dyDescent="0.25">
      <c r="A176" s="19" t="s">
        <v>316</v>
      </c>
      <c r="B176" s="5">
        <v>1</v>
      </c>
    </row>
    <row r="177" spans="1:2" x14ac:dyDescent="0.25">
      <c r="A177" s="19" t="s">
        <v>259</v>
      </c>
      <c r="B177" s="5">
        <v>1</v>
      </c>
    </row>
    <row r="178" spans="1:2" x14ac:dyDescent="0.25">
      <c r="A178" s="19" t="s">
        <v>318</v>
      </c>
      <c r="B178" s="5">
        <v>1</v>
      </c>
    </row>
    <row r="179" spans="1:2" x14ac:dyDescent="0.25">
      <c r="A179" s="19" t="s">
        <v>260</v>
      </c>
      <c r="B179" s="5">
        <v>1</v>
      </c>
    </row>
    <row r="180" spans="1:2" x14ac:dyDescent="0.25">
      <c r="A180" s="19" t="s">
        <v>134</v>
      </c>
      <c r="B180" s="5">
        <v>1</v>
      </c>
    </row>
    <row r="181" spans="1:2" x14ac:dyDescent="0.25">
      <c r="A181" s="19" t="s">
        <v>298</v>
      </c>
      <c r="B181" s="5">
        <v>1</v>
      </c>
    </row>
    <row r="182" spans="1:2" x14ac:dyDescent="0.25">
      <c r="A182" s="19" t="s">
        <v>320</v>
      </c>
      <c r="B182" s="5">
        <v>1</v>
      </c>
    </row>
    <row r="183" spans="1:2" x14ac:dyDescent="0.25">
      <c r="A183" s="19" t="s">
        <v>261</v>
      </c>
      <c r="B183" s="5">
        <v>1</v>
      </c>
    </row>
    <row r="184" spans="1:2" x14ac:dyDescent="0.25">
      <c r="A184" s="19" t="s">
        <v>339</v>
      </c>
      <c r="B184" s="5">
        <v>1</v>
      </c>
    </row>
    <row r="185" spans="1:2" x14ac:dyDescent="0.25">
      <c r="A185" s="19" t="s">
        <v>299</v>
      </c>
      <c r="B185" s="5">
        <v>1</v>
      </c>
    </row>
    <row r="186" spans="1:2" x14ac:dyDescent="0.25">
      <c r="A186" s="19" t="s">
        <v>256</v>
      </c>
      <c r="B186" s="5">
        <v>1</v>
      </c>
    </row>
    <row r="187" spans="1:2" x14ac:dyDescent="0.25">
      <c r="A187" s="19" t="s">
        <v>300</v>
      </c>
      <c r="B187" s="5">
        <v>1</v>
      </c>
    </row>
    <row r="188" spans="1:2" x14ac:dyDescent="0.25">
      <c r="A188" s="19" t="s">
        <v>226</v>
      </c>
      <c r="B188" s="5">
        <v>1</v>
      </c>
    </row>
    <row r="189" spans="1:2" x14ac:dyDescent="0.25">
      <c r="A189" s="19" t="s">
        <v>301</v>
      </c>
      <c r="B189" s="5">
        <v>1</v>
      </c>
    </row>
    <row r="190" spans="1:2" x14ac:dyDescent="0.25">
      <c r="A190" s="19" t="s">
        <v>291</v>
      </c>
      <c r="B190" s="5">
        <v>1</v>
      </c>
    </row>
    <row r="191" spans="1:2" x14ac:dyDescent="0.25">
      <c r="A191" s="19" t="s">
        <v>302</v>
      </c>
      <c r="B191" s="5">
        <v>1</v>
      </c>
    </row>
    <row r="192" spans="1:2" x14ac:dyDescent="0.25">
      <c r="A192" s="19" t="s">
        <v>37</v>
      </c>
      <c r="B192" s="5">
        <v>1</v>
      </c>
    </row>
    <row r="193" spans="1:2" x14ac:dyDescent="0.25">
      <c r="A193" s="19" t="s">
        <v>303</v>
      </c>
      <c r="B193" s="5">
        <v>1</v>
      </c>
    </row>
    <row r="194" spans="1:2" x14ac:dyDescent="0.25">
      <c r="A194" s="19" t="s">
        <v>323</v>
      </c>
      <c r="B194" s="5">
        <v>1</v>
      </c>
    </row>
    <row r="195" spans="1:2" x14ac:dyDescent="0.25">
      <c r="A195" s="19" t="s">
        <v>304</v>
      </c>
      <c r="B195" s="5">
        <v>1</v>
      </c>
    </row>
    <row r="196" spans="1:2" x14ac:dyDescent="0.25">
      <c r="A196" s="19" t="s">
        <v>292</v>
      </c>
      <c r="B196" s="5">
        <v>1</v>
      </c>
    </row>
    <row r="197" spans="1:2" x14ac:dyDescent="0.25">
      <c r="A197" s="19" t="s">
        <v>305</v>
      </c>
      <c r="B197" s="5">
        <v>1</v>
      </c>
    </row>
    <row r="198" spans="1:2" x14ac:dyDescent="0.25">
      <c r="A198" s="19" t="s">
        <v>293</v>
      </c>
      <c r="B198" s="5">
        <v>1</v>
      </c>
    </row>
    <row r="199" spans="1:2" x14ac:dyDescent="0.25">
      <c r="A199" s="19" t="s">
        <v>306</v>
      </c>
      <c r="B199" s="5">
        <v>1</v>
      </c>
    </row>
    <row r="200" spans="1:2" x14ac:dyDescent="0.25">
      <c r="A200" s="19" t="s">
        <v>294</v>
      </c>
      <c r="B200" s="5">
        <v>1</v>
      </c>
    </row>
    <row r="201" spans="1:2" x14ac:dyDescent="0.25">
      <c r="A201" s="19" t="s">
        <v>253</v>
      </c>
      <c r="B201" s="5">
        <v>1</v>
      </c>
    </row>
    <row r="202" spans="1:2" x14ac:dyDescent="0.25">
      <c r="A202" s="19" t="s">
        <v>82</v>
      </c>
      <c r="B202" s="5">
        <v>1</v>
      </c>
    </row>
    <row r="203" spans="1:2" x14ac:dyDescent="0.25">
      <c r="A203" s="19" t="s">
        <v>262</v>
      </c>
      <c r="B203" s="5">
        <v>1</v>
      </c>
    </row>
    <row r="204" spans="1:2" x14ac:dyDescent="0.25">
      <c r="A204" s="19" t="s">
        <v>67</v>
      </c>
      <c r="B204" s="5">
        <v>1</v>
      </c>
    </row>
    <row r="205" spans="1:2" x14ac:dyDescent="0.25">
      <c r="A205" s="19" t="s">
        <v>263</v>
      </c>
      <c r="B205" s="5">
        <v>1</v>
      </c>
    </row>
    <row r="206" spans="1:2" x14ac:dyDescent="0.25">
      <c r="A206" s="19" t="s">
        <v>202</v>
      </c>
      <c r="B206" s="5">
        <v>1</v>
      </c>
    </row>
    <row r="207" spans="1:2" x14ac:dyDescent="0.25">
      <c r="A207" s="19" t="s">
        <v>307</v>
      </c>
      <c r="B207" s="5">
        <v>1</v>
      </c>
    </row>
    <row r="208" spans="1:2" x14ac:dyDescent="0.25">
      <c r="A208" s="19" t="s">
        <v>326</v>
      </c>
      <c r="B208" s="5">
        <v>1</v>
      </c>
    </row>
    <row r="209" spans="1:2" x14ac:dyDescent="0.25">
      <c r="A209" s="19" t="s">
        <v>308</v>
      </c>
      <c r="B209" s="5">
        <v>1</v>
      </c>
    </row>
    <row r="210" spans="1:2" x14ac:dyDescent="0.25">
      <c r="A210" s="19" t="s">
        <v>211</v>
      </c>
      <c r="B210" s="5">
        <v>1</v>
      </c>
    </row>
    <row r="211" spans="1:2" x14ac:dyDescent="0.25">
      <c r="A211" s="19" t="s">
        <v>254</v>
      </c>
      <c r="B211" s="5">
        <v>1</v>
      </c>
    </row>
    <row r="212" spans="1:2" x14ac:dyDescent="0.25">
      <c r="A212" s="19" t="s">
        <v>257</v>
      </c>
      <c r="B212" s="5">
        <v>1</v>
      </c>
    </row>
    <row r="213" spans="1:2" x14ac:dyDescent="0.25">
      <c r="A213" s="19" t="s">
        <v>143</v>
      </c>
      <c r="B213" s="5">
        <v>1</v>
      </c>
    </row>
    <row r="214" spans="1:2" x14ac:dyDescent="0.25">
      <c r="A214" s="19" t="s">
        <v>206</v>
      </c>
      <c r="B214" s="5">
        <v>1</v>
      </c>
    </row>
    <row r="215" spans="1:2" x14ac:dyDescent="0.25">
      <c r="A215" s="19" t="s">
        <v>133</v>
      </c>
      <c r="B215" s="5">
        <v>1</v>
      </c>
    </row>
    <row r="216" spans="1:2" x14ac:dyDescent="0.25">
      <c r="A216" s="19" t="s">
        <v>1359</v>
      </c>
      <c r="B216" s="5">
        <v>1</v>
      </c>
    </row>
    <row r="217" spans="1:2" x14ac:dyDescent="0.25">
      <c r="A217" s="19" t="s">
        <v>161</v>
      </c>
      <c r="B217" s="5">
        <v>1</v>
      </c>
    </row>
    <row r="218" spans="1:2" x14ac:dyDescent="0.25">
      <c r="A218" s="19" t="s">
        <v>150</v>
      </c>
      <c r="B218" s="5">
        <v>1</v>
      </c>
    </row>
    <row r="219" spans="1:2" x14ac:dyDescent="0.25">
      <c r="A219" s="19" t="s">
        <v>344</v>
      </c>
      <c r="B219" s="5">
        <v>243</v>
      </c>
    </row>
  </sheetData>
  <conditionalFormatting pivot="1" sqref="B2:B14 B17:B19 B21 B23:B27 B29 B31 B33 B35:B45 B47 B49 B51 B53 B55 B57 B59:B79 B81 B83 B85 B87 B89 B91 B93 B95 B97 B99 B101 B103 B105 B107:B159 B161 B163 B165 B167 B169 B171 B173 B175 B177 B179 B181 B183 B185 B187 B189 B191 B193 B195 B197 B199 B201 B203 B205 B207 B209 B211 B213 B215 B217:B2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42"/>
  <sheetViews>
    <sheetView workbookViewId="0">
      <pane xSplit="1" ySplit="2" topLeftCell="H3" activePane="bottomRight" state="frozen"/>
      <selection pane="topRight" activeCell="B1" sqref="B1"/>
      <selection pane="bottomLeft" activeCell="A3" sqref="A3"/>
      <selection pane="bottomRight" activeCell="A5" sqref="A5"/>
    </sheetView>
  </sheetViews>
  <sheetFormatPr baseColWidth="10" defaultColWidth="11.42578125" defaultRowHeight="15" x14ac:dyDescent="0.25"/>
  <cols>
    <col min="1" max="1" width="43.28515625" customWidth="1"/>
    <col min="5" max="5" width="24.140625" bestFit="1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355</v>
      </c>
      <c r="B2" t="s">
        <v>356</v>
      </c>
      <c r="C2" t="s">
        <v>357</v>
      </c>
      <c r="D2" t="s">
        <v>358</v>
      </c>
      <c r="E2" t="s">
        <v>359</v>
      </c>
      <c r="F2" s="43" t="s">
        <v>360</v>
      </c>
      <c r="G2" t="s">
        <v>361</v>
      </c>
      <c r="H2" t="s">
        <v>362</v>
      </c>
      <c r="I2" t="s">
        <v>363</v>
      </c>
      <c r="J2" t="s">
        <v>364</v>
      </c>
      <c r="K2" t="s">
        <v>365</v>
      </c>
      <c r="L2" t="s">
        <v>366</v>
      </c>
      <c r="M2" t="s">
        <v>367</v>
      </c>
      <c r="N2" t="s">
        <v>368</v>
      </c>
      <c r="O2" t="s">
        <v>369</v>
      </c>
      <c r="P2" t="s">
        <v>370</v>
      </c>
      <c r="Q2" s="2" t="s">
        <v>1</v>
      </c>
      <c r="R2" s="73" t="s">
        <v>371</v>
      </c>
      <c r="S2" s="2" t="s">
        <v>372</v>
      </c>
      <c r="T2" s="2" t="s">
        <v>373</v>
      </c>
      <c r="U2" s="2" t="s">
        <v>374</v>
      </c>
      <c r="V2" s="2" t="s">
        <v>375</v>
      </c>
      <c r="W2" s="2" t="s">
        <v>376</v>
      </c>
      <c r="X2" s="2" t="s">
        <v>377</v>
      </c>
      <c r="Y2" s="2" t="s">
        <v>378</v>
      </c>
      <c r="Z2" s="2" t="s">
        <v>379</v>
      </c>
      <c r="AA2" s="2" t="s">
        <v>380</v>
      </c>
      <c r="AB2" s="2" t="s">
        <v>381</v>
      </c>
      <c r="AC2" s="2" t="s">
        <v>382</v>
      </c>
      <c r="AD2" s="2" t="s">
        <v>383</v>
      </c>
      <c r="AE2" s="2" t="s">
        <v>384</v>
      </c>
      <c r="AF2" s="2" t="s">
        <v>385</v>
      </c>
      <c r="AG2" s="2" t="s">
        <v>386</v>
      </c>
      <c r="AH2" s="2" t="s">
        <v>387</v>
      </c>
      <c r="AI2" s="2" t="s">
        <v>388</v>
      </c>
      <c r="AJ2" s="2" t="s">
        <v>389</v>
      </c>
    </row>
    <row r="3" spans="1:36" x14ac:dyDescent="0.25">
      <c r="A3" t="s">
        <v>200</v>
      </c>
      <c r="B3">
        <v>0</v>
      </c>
      <c r="C3">
        <v>0</v>
      </c>
      <c r="D3">
        <v>7</v>
      </c>
      <c r="H3" t="s">
        <v>390</v>
      </c>
      <c r="J3" t="s">
        <v>391</v>
      </c>
      <c r="K3" t="s">
        <v>392</v>
      </c>
      <c r="L3" t="s">
        <v>393</v>
      </c>
      <c r="M3" t="s">
        <v>394</v>
      </c>
      <c r="N3" t="s">
        <v>395</v>
      </c>
      <c r="O3">
        <v>10006791</v>
      </c>
      <c r="P3" t="s">
        <v>396</v>
      </c>
      <c r="Q3" s="5">
        <f>VLOOKUP(TabOceanet[[#This Row],[VM_name]],TabVMEnv[],3,FALSE)</f>
        <v>0</v>
      </c>
      <c r="R3" s="5" t="str">
        <f>IF(VLOOKUP(TabOceanet[[#This Row],[VM_name]],TabVMEnv[],2,FALSE)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0</v>
      </c>
      <c r="AD3" s="5">
        <f>TabOceanet[[#This Row],[isCalcAstreinte247]]*TabOceanet[[#This Row],[Nb_article]]*Tarif_Astreinte_24_24_7_7</f>
        <v>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>H1_Ve</v>
      </c>
      <c r="AH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4" spans="1:36" x14ac:dyDescent="0.25">
      <c r="A4" t="s">
        <v>288</v>
      </c>
      <c r="F4">
        <v>1</v>
      </c>
      <c r="K4" t="s">
        <v>397</v>
      </c>
      <c r="O4">
        <v>10006791</v>
      </c>
      <c r="P4" t="s">
        <v>398</v>
      </c>
      <c r="Q4">
        <f>VLOOKUP(TabOceanet[[#This Row],[VM_name]],TabVMEnv[],3,FALSE)</f>
        <v>0</v>
      </c>
      <c r="R4" s="5" t="str">
        <f>IF(VLOOKUP(TabOceanet[[#This Row],[VM_name]],TabVMEnv[],2,FALSE)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1</v>
      </c>
      <c r="AB4" s="5">
        <f>TabOceanet[[#This Row],[isCalcCertWild]]*TabOceanet[[#This Row],[Nb_article]]*Tarif_Certificat_X509_Wildcard</f>
        <v>45</v>
      </c>
      <c r="AC4" s="5">
        <f>IF(TabOceanet[[#This Row],[Type_tarif]]="Tarif_Astreinte_24_24_7_7",1,0)</f>
        <v>0</v>
      </c>
      <c r="AD4" s="5">
        <f>TabOceanet[[#This Row],[isCalcAstreinte247]]*TabOceanet[[#This Row],[Nb_article]]*Tarif_Astreinte_24_24_7_7</f>
        <v>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5" spans="1:36" x14ac:dyDescent="0.25">
      <c r="A5" t="s">
        <v>313</v>
      </c>
      <c r="F5">
        <v>1</v>
      </c>
      <c r="K5" t="s">
        <v>397</v>
      </c>
      <c r="O5">
        <v>10006791</v>
      </c>
      <c r="P5" t="s">
        <v>398</v>
      </c>
      <c r="Q5">
        <f>VLOOKUP(TabOceanet[[#This Row],[VM_name]],TabVMEnv[],3,FALSE)</f>
        <v>0</v>
      </c>
      <c r="R5" s="5" t="str">
        <f>IF(VLOOKUP(TabOceanet[[#This Row],[VM_name]],TabVMEnv[],2,FALSE)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1</v>
      </c>
      <c r="AB5" s="5">
        <f>TabOceanet[[#This Row],[isCalcCertWild]]*TabOceanet[[#This Row],[Nb_article]]*Tarif_Certificat_X509_Wildcard</f>
        <v>45</v>
      </c>
      <c r="AC5" s="5">
        <f>IF(TabOceanet[[#This Row],[Type_tarif]]="Tarif_Astreinte_24_24_7_7",1,0)</f>
        <v>0</v>
      </c>
      <c r="AD5" s="5">
        <f>TabOceanet[[#This Row],[isCalcAstreinte247]]*TabOceanet[[#This Row],[Nb_article]]*Tarif_Astreinte_24_24_7_7</f>
        <v>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6" spans="1:36" x14ac:dyDescent="0.25">
      <c r="A6" t="s">
        <v>289</v>
      </c>
      <c r="F6">
        <v>1</v>
      </c>
      <c r="K6" t="s">
        <v>397</v>
      </c>
      <c r="O6">
        <v>10006791</v>
      </c>
      <c r="P6" t="s">
        <v>398</v>
      </c>
      <c r="Q6">
        <f>VLOOKUP(TabOceanet[[#This Row],[VM_name]],TabVMEnv[],3,FALSE)</f>
        <v>0</v>
      </c>
      <c r="R6" s="5" t="str">
        <f>IF(VLOOKUP(TabOceanet[[#This Row],[VM_name]],TabVMEnv[],2,FALSE)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1</v>
      </c>
      <c r="AB6" s="5">
        <f>TabOceanet[[#This Row],[isCalcCertWild]]*TabOceanet[[#This Row],[Nb_article]]*Tarif_Certificat_X509_Wildcard</f>
        <v>45</v>
      </c>
      <c r="AC6" s="5">
        <f>IF(TabOceanet[[#This Row],[Type_tarif]]="Tarif_Astreinte_24_24_7_7",1,0)</f>
        <v>0</v>
      </c>
      <c r="AD6" s="5">
        <f>TabOceanet[[#This Row],[isCalcAstreinte247]]*TabOceanet[[#This Row],[Nb_article]]*Tarif_Astreinte_24_24_7_7</f>
        <v>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7" spans="1:36" x14ac:dyDescent="0.25">
      <c r="A7" t="s">
        <v>199</v>
      </c>
      <c r="B7">
        <v>0</v>
      </c>
      <c r="C7">
        <v>0</v>
      </c>
      <c r="D7">
        <v>6</v>
      </c>
      <c r="H7" t="s">
        <v>390</v>
      </c>
      <c r="J7" t="s">
        <v>391</v>
      </c>
      <c r="K7" t="s">
        <v>392</v>
      </c>
      <c r="L7" t="s">
        <v>393</v>
      </c>
      <c r="M7" t="s">
        <v>394</v>
      </c>
      <c r="N7" t="s">
        <v>395</v>
      </c>
      <c r="O7">
        <v>10006791</v>
      </c>
      <c r="P7" t="s">
        <v>396</v>
      </c>
      <c r="Q7" s="5">
        <f>VLOOKUP(TabOceanet[[#This Row],[VM_name]],TabVMEnv[],3,FALSE)</f>
        <v>0</v>
      </c>
      <c r="R7" s="5" t="str">
        <f>IF(VLOOKUP(TabOceanet[[#This Row],[VM_name]],TabVMEnv[],2,FALSE)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8" spans="1:36" x14ac:dyDescent="0.25">
      <c r="A8" t="s">
        <v>204</v>
      </c>
      <c r="B8">
        <v>0</v>
      </c>
      <c r="C8">
        <v>0</v>
      </c>
      <c r="D8">
        <v>2</v>
      </c>
      <c r="H8" t="s">
        <v>399</v>
      </c>
      <c r="J8" t="s">
        <v>391</v>
      </c>
      <c r="K8" t="s">
        <v>392</v>
      </c>
      <c r="L8" t="s">
        <v>393</v>
      </c>
      <c r="M8" t="s">
        <v>394</v>
      </c>
      <c r="N8" t="s">
        <v>395</v>
      </c>
      <c r="O8">
        <v>10006791</v>
      </c>
      <c r="P8" t="s">
        <v>396</v>
      </c>
      <c r="Q8" s="5">
        <f>VLOOKUP(TabOceanet[[#This Row],[VM_name]],TabVMEnv[],3,FALSE)</f>
        <v>0</v>
      </c>
      <c r="R8" s="5" t="str">
        <f>IF(VLOOKUP(TabOceanet[[#This Row],[VM_name]],TabVMEnv[],2,FALSE)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0</v>
      </c>
      <c r="AB8" s="5">
        <f>TabOceanet[[#This Row],[isCalcCertWild]]*TabOceanet[[#This Row],[Nb_article]]*Tarif_Certificat_X509_Wildcard</f>
        <v>0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>H1_Ve</v>
      </c>
      <c r="AH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0.46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0.46</v>
      </c>
    </row>
    <row r="9" spans="1:36" x14ac:dyDescent="0.25">
      <c r="A9" t="s">
        <v>197</v>
      </c>
      <c r="B9">
        <v>0</v>
      </c>
      <c r="C9">
        <v>0</v>
      </c>
      <c r="D9">
        <v>6</v>
      </c>
      <c r="H9" t="s">
        <v>390</v>
      </c>
      <c r="J9" t="s">
        <v>391</v>
      </c>
      <c r="K9" t="s">
        <v>392</v>
      </c>
      <c r="L9" t="s">
        <v>393</v>
      </c>
      <c r="M9" t="s">
        <v>394</v>
      </c>
      <c r="N9" t="s">
        <v>395</v>
      </c>
      <c r="O9">
        <v>10006791</v>
      </c>
      <c r="P9" t="s">
        <v>396</v>
      </c>
      <c r="Q9" s="5">
        <f>VLOOKUP(TabOceanet[[#This Row],[VM_name]],TabVMEnv[],3,FALSE)</f>
        <v>0</v>
      </c>
      <c r="R9" s="5" t="str">
        <f>IF(VLOOKUP(TabOceanet[[#This Row],[VM_name]],TabVMEnv[],2,FALSE)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0</v>
      </c>
      <c r="AB9" s="5">
        <f>TabOceanet[[#This Row],[isCalcCertWild]]*TabOceanet[[#This Row],[Nb_article]]*Tarif_Certificat_X509_Wildcard</f>
        <v>0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>H1_Ve</v>
      </c>
      <c r="AH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0" spans="1:36" x14ac:dyDescent="0.25">
      <c r="A10" t="s">
        <v>400</v>
      </c>
      <c r="F10">
        <v>1</v>
      </c>
      <c r="P10" t="s">
        <v>401</v>
      </c>
      <c r="Q10" s="5" t="e">
        <f>VLOOKUP(TabOceanet[[#This Row],[VM_name]],TabVMEnv[],3,FALSE)</f>
        <v>#N/A</v>
      </c>
      <c r="R10" s="5" t="e">
        <f>IF(VLOOKUP(TabOceanet[[#This Row],[VM_name]],TabVMEnv[],2,FALSE) = "","Non","")</f>
        <v>#N/A</v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1</v>
      </c>
      <c r="Z10" s="5">
        <f>TabOceanet[[#This Row],[isCalcCertSimple]]*TabOceanet[[#This Row],[Nb_article]]*Tarif_Certificat_X509_Simple</f>
        <v>14.08</v>
      </c>
      <c r="AA10" s="5">
        <f>IF(TabOceanet[[#This Row],[Type_tarif]]="Tarif_Certificat_X509_Wildcard",1,0)</f>
        <v>0</v>
      </c>
      <c r="AB10" s="5">
        <f>TabOceanet[[#This Row],[isCalcCertWild]]*TabOceanet[[#This Row],[Nb_article]]*Tarif_Certificat_X509_Wildcard</f>
        <v>0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1" spans="1:36" x14ac:dyDescent="0.25">
      <c r="A11" t="s">
        <v>402</v>
      </c>
      <c r="F11">
        <v>1</v>
      </c>
      <c r="P11" t="s">
        <v>398</v>
      </c>
      <c r="Q11" s="5" t="e">
        <f>VLOOKUP(TabOceanet[[#This Row],[VM_name]],TabVMEnv[],3,FALSE)</f>
        <v>#N/A</v>
      </c>
      <c r="R11" s="5" t="e">
        <f>IF(VLOOKUP(TabOceanet[[#This Row],[VM_name]],TabVMEnv[],2,FALSE) = "","Non","")</f>
        <v>#N/A</v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0</v>
      </c>
      <c r="Z11" s="5">
        <f>TabOceanet[[#This Row],[isCalcCertSimple]]*TabOceanet[[#This Row],[Nb_article]]*Tarif_Certificat_X509_Simple</f>
        <v>0</v>
      </c>
      <c r="AA11" s="5">
        <f>IF(TabOceanet[[#This Row],[Type_tarif]]="Tarif_Certificat_X509_Wildcard",1,0)</f>
        <v>1</v>
      </c>
      <c r="AB11" s="5">
        <f>TabOceanet[[#This Row],[isCalcCertWild]]*TabOceanet[[#This Row],[Nb_article]]*Tarif_Certificat_X509_Wildcard</f>
        <v>45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2" spans="1:36" x14ac:dyDescent="0.25">
      <c r="A12" t="s">
        <v>403</v>
      </c>
      <c r="F12">
        <v>1</v>
      </c>
      <c r="P12" t="s">
        <v>404</v>
      </c>
      <c r="Q12" s="5" t="e">
        <f>VLOOKUP(TabOceanet[[#This Row],[VM_name]],TabVMEnv[],3,FALSE)</f>
        <v>#N/A</v>
      </c>
      <c r="R12" s="5" t="e">
        <f>IF(VLOOKUP(TabOceanet[[#This Row],[VM_name]],TabVMEnv[],2,FALSE) = "","Non","")</f>
        <v>#N/A</v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1</v>
      </c>
      <c r="X12" s="5">
        <f>TabOceanet[[#This Row],[isCalcDns]]*TabOceanet[[#This Row],[Nb_article]]*Tarif_DNS</f>
        <v>3.5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/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3" spans="1:36" x14ac:dyDescent="0.25">
      <c r="A13" t="s">
        <v>405</v>
      </c>
      <c r="F13">
        <v>1</v>
      </c>
      <c r="P13" t="s">
        <v>406</v>
      </c>
      <c r="Q13" s="5" t="e">
        <f>VLOOKUP(TabOceanet[[#This Row],[VM_name]],TabVMEnv[],3,FALSE)</f>
        <v>#N/A</v>
      </c>
      <c r="R13" s="5" t="e">
        <f>IF(VLOOKUP(TabOceanet[[#This Row],[VM_name]],TabVMEnv[],2,FALSE) = "","Non","")</f>
        <v>#N/A</v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/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4" spans="1:36" x14ac:dyDescent="0.25">
      <c r="A14" t="s">
        <v>407</v>
      </c>
      <c r="F14">
        <v>2</v>
      </c>
      <c r="P14" t="s">
        <v>406</v>
      </c>
      <c r="Q14" s="5" t="e">
        <f>VLOOKUP(TabOceanet[[#This Row],[VM_name]],TabVMEnv[],3,FALSE)</f>
        <v>#N/A</v>
      </c>
      <c r="R14" s="5" t="e">
        <f>IF(VLOOKUP(TabOceanet[[#This Row],[VM_name]],TabVMEnv[],2,FALSE) = "","Non","")</f>
        <v>#N/A</v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/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5" spans="1:36" x14ac:dyDescent="0.25">
      <c r="A15" t="s">
        <v>408</v>
      </c>
      <c r="F15">
        <v>5</v>
      </c>
      <c r="P15" t="s">
        <v>406</v>
      </c>
      <c r="Q15" s="5" t="e">
        <f>VLOOKUP(TabOceanet[[#This Row],[VM_name]],TabVMEnv[],3,FALSE)</f>
        <v>#N/A</v>
      </c>
      <c r="R15" s="5" t="e">
        <f>IF(VLOOKUP(TabOceanet[[#This Row],[VM_name]],TabVMEnv[],2,FALSE)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0</v>
      </c>
      <c r="Z15" s="5">
        <f>TabOceanet[[#This Row],[isCalcCertSimple]]*TabOceanet[[#This Row],[Nb_article]]*Tarif_Certificat_X509_Simple</f>
        <v>0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6" spans="1:36" x14ac:dyDescent="0.25">
      <c r="A16" t="s">
        <v>409</v>
      </c>
      <c r="F16">
        <v>0.5</v>
      </c>
      <c r="P16" t="s">
        <v>406</v>
      </c>
      <c r="Q16" s="5" t="e">
        <f>VLOOKUP(TabOceanet[[#This Row],[VM_name]],TabVMEnv[],3,FALSE)</f>
        <v>#N/A</v>
      </c>
      <c r="R16" s="5" t="e">
        <f>IF(VLOOKUP(TabOceanet[[#This Row],[VM_name]],TabVMEnv[],2,FALSE)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0</v>
      </c>
      <c r="AB16" s="5">
        <f>TabOceanet[[#This Row],[isCalcCertWild]]*TabOceanet[[#This Row],[Nb_article]]*Tarif_Certificat_X509_Wildcard</f>
        <v>0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7" spans="1:36" x14ac:dyDescent="0.25">
      <c r="A17" t="s">
        <v>410</v>
      </c>
      <c r="F17">
        <v>1</v>
      </c>
      <c r="P17" t="s">
        <v>406</v>
      </c>
      <c r="Q17" s="5" t="e">
        <f>VLOOKUP(TabOceanet[[#This Row],[VM_name]],TabVMEnv[],3,FALSE)</f>
        <v>#N/A</v>
      </c>
      <c r="R17" s="5" t="e">
        <f>IF(VLOOKUP(TabOceanet[[#This Row],[VM_name]],TabVMEnv[],2,FALSE)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0</v>
      </c>
      <c r="X17" s="5">
        <f>TabOceanet[[#This Row],[isCalcDns]]*TabOceanet[[#This Row],[Nb_article]]*Tarif_DNS</f>
        <v>0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8" spans="1:36" x14ac:dyDescent="0.25">
      <c r="A18" t="s">
        <v>411</v>
      </c>
      <c r="F18">
        <v>1</v>
      </c>
      <c r="P18" t="s">
        <v>412</v>
      </c>
      <c r="Q18" s="5" t="e">
        <f>VLOOKUP(TabOceanet[[#This Row],[VM_name]],TabVMEnv[],3,FALSE)</f>
        <v>#N/A</v>
      </c>
      <c r="R18" s="5" t="e">
        <f>IF(VLOOKUP(TabOceanet[[#This Row],[VM_name]],TabVMEnv[],2,FALSE)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1</v>
      </c>
      <c r="V18" s="5">
        <f>TabOceanet[[#This Row],[isCalcIpPub]]*TabOceanet[[#This Row],[Nb_article]]*Tarif_IPPUB</f>
        <v>2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9" spans="1:36" x14ac:dyDescent="0.25">
      <c r="A19" t="s">
        <v>413</v>
      </c>
      <c r="F19">
        <v>1</v>
      </c>
      <c r="P19" t="s">
        <v>414</v>
      </c>
      <c r="Q19" s="5" t="e">
        <f>VLOOKUP(TabOceanet[[#This Row],[VM_name]],TabVMEnv[],3,FALSE)</f>
        <v>#N/A</v>
      </c>
      <c r="R19" s="5" t="e">
        <f>IF(VLOOKUP(TabOceanet[[#This Row],[VM_name]],TabVMEnv[],2,FALSE) = "","Non","")</f>
        <v>#N/A</v>
      </c>
      <c r="S19" s="5">
        <f>IF(TabOceanet[[#This Row],[Type_tarif]]="Tarif_VLAN",1,0)</f>
        <v>1</v>
      </c>
      <c r="T19" s="5">
        <f>TabOceanet[[#This Row],[isCalcVlan]]*TabOceanet[[#This Row],[Nb_article]]*Tarif_VLAN</f>
        <v>10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0" spans="1:36" x14ac:dyDescent="0.25">
      <c r="A20" t="s">
        <v>343</v>
      </c>
      <c r="B20">
        <v>4</v>
      </c>
      <c r="C20">
        <v>16</v>
      </c>
      <c r="D20">
        <v>200</v>
      </c>
      <c r="E20" t="s">
        <v>415</v>
      </c>
      <c r="G20" t="s">
        <v>416</v>
      </c>
      <c r="H20" t="s">
        <v>417</v>
      </c>
      <c r="I20" t="s">
        <v>418</v>
      </c>
      <c r="J20" t="s">
        <v>391</v>
      </c>
      <c r="K20" t="s">
        <v>392</v>
      </c>
      <c r="L20" t="s">
        <v>393</v>
      </c>
      <c r="M20" t="s">
        <v>419</v>
      </c>
      <c r="N20" t="s">
        <v>395</v>
      </c>
      <c r="O20">
        <v>10006791</v>
      </c>
      <c r="P20" t="s">
        <v>396</v>
      </c>
      <c r="Q20" s="5" t="e">
        <f>VLOOKUP(TabOceanet[[#This Row],[VM_name]],TabVMEnv[],3,FALSE)</f>
        <v>#N/A</v>
      </c>
      <c r="R20" s="5" t="e">
        <f>IF(VLOOKUP(TabOceanet[[#This Row],[VM_name]],TabVMEnv[],2,FALSE)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1</v>
      </c>
      <c r="AF20" s="17">
        <f>TabOceanet[[#This Row],[VM_mem]]*Tarif_Ram</f>
        <v>25.6</v>
      </c>
      <c r="AG20" s="5" t="str">
        <f>MID(TabOceanet[[#This Row],[Backup]],29,20)</f>
        <v>J15</v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1" spans="1:36" x14ac:dyDescent="0.25">
      <c r="A21" t="s">
        <v>420</v>
      </c>
      <c r="B21">
        <v>2</v>
      </c>
      <c r="C21">
        <v>4</v>
      </c>
      <c r="D21">
        <v>30</v>
      </c>
      <c r="E21" t="s">
        <v>415</v>
      </c>
      <c r="G21" t="s">
        <v>416</v>
      </c>
      <c r="H21" t="s">
        <v>417</v>
      </c>
      <c r="I21" t="s">
        <v>418</v>
      </c>
      <c r="J21" t="s">
        <v>391</v>
      </c>
      <c r="K21" t="s">
        <v>392</v>
      </c>
      <c r="L21" t="s">
        <v>393</v>
      </c>
      <c r="M21" t="s">
        <v>419</v>
      </c>
      <c r="N21" t="s">
        <v>395</v>
      </c>
      <c r="O21">
        <v>10006791</v>
      </c>
      <c r="P21" t="s">
        <v>396</v>
      </c>
      <c r="Q21" s="5" t="e">
        <f>VLOOKUP(TabOceanet[[#This Row],[VM_name]],TabVMEnv[],3,FALSE)</f>
        <v>#N/A</v>
      </c>
      <c r="R21" s="5" t="e">
        <f>IF(VLOOKUP(TabOceanet[[#This Row],[VM_name]],TabVMEnv[],2,FALSE)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1</v>
      </c>
      <c r="AF21" s="17">
        <f>TabOceanet[[#This Row],[VM_mem]]*Tarif_Ram</f>
        <v>6.4</v>
      </c>
      <c r="AG21" s="5" t="str">
        <f>MID(TabOceanet[[#This Row],[Backup]],29,20)</f>
        <v>J15</v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2" spans="1:36" x14ac:dyDescent="0.25">
      <c r="A22" t="s">
        <v>421</v>
      </c>
      <c r="B22">
        <v>2</v>
      </c>
      <c r="C22">
        <v>2</v>
      </c>
      <c r="D22">
        <v>10</v>
      </c>
      <c r="E22" t="s">
        <v>415</v>
      </c>
      <c r="G22" t="s">
        <v>416</v>
      </c>
      <c r="H22" t="s">
        <v>417</v>
      </c>
      <c r="I22" t="s">
        <v>418</v>
      </c>
      <c r="J22" t="s">
        <v>391</v>
      </c>
      <c r="K22" t="s">
        <v>392</v>
      </c>
      <c r="L22" t="s">
        <v>393</v>
      </c>
      <c r="M22" t="s">
        <v>419</v>
      </c>
      <c r="N22" t="s">
        <v>395</v>
      </c>
      <c r="O22">
        <v>10006791</v>
      </c>
      <c r="P22" t="s">
        <v>396</v>
      </c>
      <c r="Q22" s="5" t="e">
        <f>VLOOKUP(TabOceanet[[#This Row],[VM_name]],TabVMEnv[],3,FALSE)</f>
        <v>#N/A</v>
      </c>
      <c r="R22" s="5" t="e">
        <f>IF(VLOOKUP(TabOceanet[[#This Row],[VM_name]],TabVMEnv[],2,FALSE)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1</v>
      </c>
      <c r="AF22" s="17">
        <f>TabOceanet[[#This Row],[VM_mem]]*Tarif_Ram</f>
        <v>3.2</v>
      </c>
      <c r="AG22" s="5" t="str">
        <f>MID(TabOceanet[[#This Row],[Backup]],29,20)</f>
        <v>J15</v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3" spans="1:36" x14ac:dyDescent="0.25">
      <c r="A23" t="s">
        <v>422</v>
      </c>
      <c r="B23">
        <v>1</v>
      </c>
      <c r="C23">
        <v>1</v>
      </c>
      <c r="D23">
        <v>6.5</v>
      </c>
      <c r="E23" t="s">
        <v>415</v>
      </c>
      <c r="G23" t="s">
        <v>416</v>
      </c>
      <c r="H23" t="s">
        <v>417</v>
      </c>
      <c r="I23" t="s">
        <v>418</v>
      </c>
      <c r="J23" t="s">
        <v>391</v>
      </c>
      <c r="K23" t="s">
        <v>392</v>
      </c>
      <c r="L23" t="s">
        <v>393</v>
      </c>
      <c r="M23" t="s">
        <v>419</v>
      </c>
      <c r="N23" t="s">
        <v>395</v>
      </c>
      <c r="O23">
        <v>10006791</v>
      </c>
      <c r="P23" t="s">
        <v>396</v>
      </c>
      <c r="Q23" s="5" t="e">
        <f>VLOOKUP(TabOceanet[[#This Row],[VM_name]],TabVMEnv[],3,FALSE)</f>
        <v>#N/A</v>
      </c>
      <c r="R23" s="5" t="e">
        <f>IF(VLOOKUP(TabOceanet[[#This Row],[VM_name]],TabVMEnv[],2,FALSE)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0</v>
      </c>
      <c r="V23" s="5">
        <f>TabOceanet[[#This Row],[isCalcIpPub]]*TabOceanet[[#This Row],[Nb_article]]*Tarif_IPPUB</f>
        <v>0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1</v>
      </c>
      <c r="AF23" s="17">
        <f>TabOceanet[[#This Row],[VM_mem]]*Tarif_Ram</f>
        <v>1.6</v>
      </c>
      <c r="AG23" s="5" t="str">
        <f>MID(TabOceanet[[#This Row],[Backup]],29,20)</f>
        <v>J15</v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4" spans="1:36" x14ac:dyDescent="0.25">
      <c r="A24" t="s">
        <v>423</v>
      </c>
      <c r="B24">
        <v>4</v>
      </c>
      <c r="C24">
        <v>8</v>
      </c>
      <c r="D24">
        <v>60</v>
      </c>
      <c r="E24" t="s">
        <v>415</v>
      </c>
      <c r="G24" t="s">
        <v>416</v>
      </c>
      <c r="H24" t="s">
        <v>417</v>
      </c>
      <c r="I24" t="s">
        <v>418</v>
      </c>
      <c r="J24" t="s">
        <v>391</v>
      </c>
      <c r="K24" t="s">
        <v>392</v>
      </c>
      <c r="L24" t="s">
        <v>393</v>
      </c>
      <c r="M24" t="s">
        <v>419</v>
      </c>
      <c r="N24" t="s">
        <v>395</v>
      </c>
      <c r="O24">
        <v>10006791</v>
      </c>
      <c r="P24" t="s">
        <v>396</v>
      </c>
      <c r="Q24" s="5" t="e">
        <f>VLOOKUP(TabOceanet[[#This Row],[VM_name]],TabVMEnv[],3,FALSE)</f>
        <v>#N/A</v>
      </c>
      <c r="R24" s="5" t="e">
        <f>IF(VLOOKUP(TabOceanet[[#This Row],[VM_name]],TabVMEnv[],2,FALSE) = "","Non","")</f>
        <v>#N/A</v>
      </c>
      <c r="S24" s="5">
        <f>IF(TabOceanet[[#This Row],[Type_tarif]]="Tarif_VLAN",1,0)</f>
        <v>0</v>
      </c>
      <c r="T24" s="5">
        <f>TabOceanet[[#This Row],[isCalcVlan]]*TabOceanet[[#This Row],[Nb_article]]*Tarif_VLAN</f>
        <v>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1</v>
      </c>
      <c r="AF24" s="17">
        <f>TabOceanet[[#This Row],[VM_mem]]*Tarif_Ram</f>
        <v>12.8</v>
      </c>
      <c r="AG24" s="5" t="str">
        <f>MID(TabOceanet[[#This Row],[Backup]],29,20)</f>
        <v>J15</v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25" spans="1:36" x14ac:dyDescent="0.25">
      <c r="A25" t="s">
        <v>424</v>
      </c>
      <c r="B25">
        <v>4</v>
      </c>
      <c r="C25">
        <v>16</v>
      </c>
      <c r="D25">
        <v>200</v>
      </c>
      <c r="E25" t="s">
        <v>415</v>
      </c>
      <c r="G25" t="s">
        <v>416</v>
      </c>
      <c r="H25" t="s">
        <v>417</v>
      </c>
      <c r="I25" t="s">
        <v>418</v>
      </c>
      <c r="J25" t="s">
        <v>391</v>
      </c>
      <c r="K25" t="s">
        <v>392</v>
      </c>
      <c r="L25" t="s">
        <v>393</v>
      </c>
      <c r="M25" t="s">
        <v>419</v>
      </c>
      <c r="N25" t="s">
        <v>395</v>
      </c>
      <c r="O25">
        <v>10006791</v>
      </c>
      <c r="P25" t="s">
        <v>396</v>
      </c>
      <c r="Q25" s="5" t="e">
        <f>VLOOKUP(TabOceanet[[#This Row],[VM_name]],TabVMEnv[],3,FALSE)</f>
        <v>#N/A</v>
      </c>
      <c r="R25" s="5" t="e">
        <f>IF(VLOOKUP(TabOceanet[[#This Row],[VM_name]],TabVMEnv[],2,FALSE)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425</v>
      </c>
      <c r="B26">
        <v>2</v>
      </c>
      <c r="C26">
        <v>4</v>
      </c>
      <c r="D26">
        <v>30</v>
      </c>
      <c r="E26" t="s">
        <v>415</v>
      </c>
      <c r="G26" t="s">
        <v>416</v>
      </c>
      <c r="H26" t="s">
        <v>417</v>
      </c>
      <c r="I26" t="s">
        <v>418</v>
      </c>
      <c r="J26" t="s">
        <v>391</v>
      </c>
      <c r="K26" t="s">
        <v>392</v>
      </c>
      <c r="L26" t="s">
        <v>393</v>
      </c>
      <c r="M26" t="s">
        <v>419</v>
      </c>
      <c r="N26" t="s">
        <v>395</v>
      </c>
      <c r="O26">
        <v>10006791</v>
      </c>
      <c r="P26" t="s">
        <v>396</v>
      </c>
      <c r="Q26" s="5" t="e">
        <f>VLOOKUP(TabOceanet[[#This Row],[VM_name]],TabVMEnv[],3,FALSE)</f>
        <v>#N/A</v>
      </c>
      <c r="R26" s="5" t="e">
        <f>IF(VLOOKUP(TabOceanet[[#This Row],[VM_name]],TabVMEnv[],2,FALSE)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426</v>
      </c>
      <c r="B27">
        <v>2</v>
      </c>
      <c r="C27">
        <v>2</v>
      </c>
      <c r="D27">
        <v>10</v>
      </c>
      <c r="E27" t="s">
        <v>415</v>
      </c>
      <c r="G27" t="s">
        <v>416</v>
      </c>
      <c r="H27" t="s">
        <v>417</v>
      </c>
      <c r="I27" t="s">
        <v>418</v>
      </c>
      <c r="J27" t="s">
        <v>391</v>
      </c>
      <c r="K27" t="s">
        <v>392</v>
      </c>
      <c r="L27" t="s">
        <v>393</v>
      </c>
      <c r="M27" t="s">
        <v>419</v>
      </c>
      <c r="N27" t="s">
        <v>395</v>
      </c>
      <c r="O27">
        <v>10006791</v>
      </c>
      <c r="P27" t="s">
        <v>396</v>
      </c>
      <c r="Q27" s="5" t="e">
        <f>VLOOKUP(TabOceanet[[#This Row],[VM_name]],TabVMEnv[],3,FALSE)</f>
        <v>#N/A</v>
      </c>
      <c r="R27" s="5" t="e">
        <f>IF(VLOOKUP(TabOceanet[[#This Row],[VM_name]],TabVMEnv[],2,FALSE)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427</v>
      </c>
      <c r="B28">
        <v>1</v>
      </c>
      <c r="C28">
        <v>1</v>
      </c>
      <c r="D28">
        <v>6.5</v>
      </c>
      <c r="E28" t="s">
        <v>415</v>
      </c>
      <c r="G28" t="s">
        <v>416</v>
      </c>
      <c r="H28" t="s">
        <v>417</v>
      </c>
      <c r="I28" t="s">
        <v>418</v>
      </c>
      <c r="J28" t="s">
        <v>391</v>
      </c>
      <c r="K28" t="s">
        <v>392</v>
      </c>
      <c r="L28" t="s">
        <v>393</v>
      </c>
      <c r="M28" t="s">
        <v>419</v>
      </c>
      <c r="N28" t="s">
        <v>395</v>
      </c>
      <c r="O28">
        <v>10006791</v>
      </c>
      <c r="P28" t="s">
        <v>396</v>
      </c>
      <c r="Q28" s="5" t="e">
        <f>VLOOKUP(TabOceanet[[#This Row],[VM_name]],TabVMEnv[],3,FALSE)</f>
        <v>#N/A</v>
      </c>
      <c r="R28" s="5" t="e">
        <f>IF(VLOOKUP(TabOceanet[[#This Row],[VM_name]],TabVMEnv[],2,FALSE)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428</v>
      </c>
      <c r="B29">
        <v>4</v>
      </c>
      <c r="C29">
        <v>8</v>
      </c>
      <c r="D29">
        <v>60</v>
      </c>
      <c r="E29" t="s">
        <v>415</v>
      </c>
      <c r="G29" t="s">
        <v>416</v>
      </c>
      <c r="H29" t="s">
        <v>417</v>
      </c>
      <c r="I29" t="s">
        <v>418</v>
      </c>
      <c r="J29" t="s">
        <v>391</v>
      </c>
      <c r="K29" t="s">
        <v>392</v>
      </c>
      <c r="L29" t="s">
        <v>393</v>
      </c>
      <c r="M29" t="s">
        <v>419</v>
      </c>
      <c r="N29" t="s">
        <v>395</v>
      </c>
      <c r="O29">
        <v>10006791</v>
      </c>
      <c r="P29" t="s">
        <v>396</v>
      </c>
      <c r="Q29" s="5" t="e">
        <f>VLOOKUP(TabOceanet[[#This Row],[VM_name]],TabVMEnv[],3,FALSE)</f>
        <v>#N/A</v>
      </c>
      <c r="R29" s="5" t="e">
        <f>IF(VLOOKUP(TabOceanet[[#This Row],[VM_name]],TabVMEnv[],2,FALSE)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429</v>
      </c>
      <c r="B30">
        <v>4</v>
      </c>
      <c r="C30">
        <v>16</v>
      </c>
      <c r="D30">
        <v>64</v>
      </c>
      <c r="E30" t="s">
        <v>415</v>
      </c>
      <c r="G30" t="s">
        <v>416</v>
      </c>
      <c r="H30" t="s">
        <v>417</v>
      </c>
      <c r="I30" t="s">
        <v>418</v>
      </c>
      <c r="J30" t="s">
        <v>391</v>
      </c>
      <c r="K30" t="s">
        <v>392</v>
      </c>
      <c r="L30" t="s">
        <v>393</v>
      </c>
      <c r="M30" t="s">
        <v>419</v>
      </c>
      <c r="N30" t="s">
        <v>395</v>
      </c>
      <c r="O30">
        <v>10006791</v>
      </c>
      <c r="P30" t="s">
        <v>396</v>
      </c>
      <c r="Q30" s="5" t="e">
        <f>VLOOKUP(TabOceanet[[#This Row],[VM_name]],TabVMEnv[],3,FALSE)</f>
        <v>#N/A</v>
      </c>
      <c r="R30" s="5" t="e">
        <f>IF(VLOOKUP(TabOceanet[[#This Row],[VM_name]],TabVMEnv[],2,FALSE)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14.72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40.32</v>
      </c>
    </row>
    <row r="31" spans="1:36" x14ac:dyDescent="0.25">
      <c r="A31" t="s">
        <v>430</v>
      </c>
      <c r="B31">
        <v>2</v>
      </c>
      <c r="C31">
        <v>4</v>
      </c>
      <c r="D31">
        <v>60</v>
      </c>
      <c r="E31" t="s">
        <v>431</v>
      </c>
      <c r="G31" t="s">
        <v>416</v>
      </c>
      <c r="H31" t="s">
        <v>417</v>
      </c>
      <c r="I31" t="s">
        <v>418</v>
      </c>
      <c r="J31" t="s">
        <v>391</v>
      </c>
      <c r="K31" t="s">
        <v>392</v>
      </c>
      <c r="L31" t="s">
        <v>393</v>
      </c>
      <c r="M31" t="s">
        <v>419</v>
      </c>
      <c r="N31" t="s">
        <v>395</v>
      </c>
      <c r="O31">
        <v>10006791</v>
      </c>
      <c r="P31" t="s">
        <v>396</v>
      </c>
      <c r="Q31" s="5" t="e">
        <f>VLOOKUP(TabOceanet[[#This Row],[VM_name]],TabVMEnv[],3,FALSE)</f>
        <v>#N/A</v>
      </c>
      <c r="R31" s="5" t="e">
        <f>IF(VLOOKUP(TabOceanet[[#This Row],[VM_name]],TabVMEnv[],2,FALSE)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32" spans="1:36" x14ac:dyDescent="0.25">
      <c r="A32" t="s">
        <v>178</v>
      </c>
      <c r="F32">
        <v>1</v>
      </c>
      <c r="K32" t="s">
        <v>392</v>
      </c>
      <c r="O32">
        <v>10006791</v>
      </c>
      <c r="P32" t="s">
        <v>404</v>
      </c>
      <c r="Q32">
        <f>VLOOKUP(TabOceanet[[#This Row],[VM_name]],TabVMEnv[],3,FALSE)</f>
        <v>0</v>
      </c>
      <c r="R32" s="5" t="str">
        <f>IF(VLOOKUP(TabOceanet[[#This Row],[VM_name]],TabVMEnv[],2,FALSE) = "","Non","")</f>
        <v/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1</v>
      </c>
      <c r="X32" s="5">
        <f>TabOceanet[[#This Row],[isCalcDns]]*TabOceanet[[#This Row],[Nb_article]]*Tarif_DNS</f>
        <v>3.5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0</v>
      </c>
      <c r="AF32" s="17">
        <f>TabOceanet[[#This Row],[VM_mem]]*Tarif_Ram</f>
        <v>0</v>
      </c>
      <c r="AG32" s="5" t="str">
        <f>MID(TabOceanet[[#This Row],[Backup]],29,20)</f>
        <v/>
      </c>
      <c r="AH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3" spans="1:36" x14ac:dyDescent="0.25">
      <c r="A33" t="s">
        <v>281</v>
      </c>
      <c r="F33">
        <v>1</v>
      </c>
      <c r="K33" t="s">
        <v>397</v>
      </c>
      <c r="O33">
        <v>10006791</v>
      </c>
      <c r="P33" t="s">
        <v>404</v>
      </c>
      <c r="Q33">
        <f>VLOOKUP(TabOceanet[[#This Row],[VM_name]],TabVMEnv[],3,FALSE)</f>
        <v>0</v>
      </c>
      <c r="R33" s="5" t="str">
        <f>IF(VLOOKUP(TabOceanet[[#This Row],[VM_name]],TabVMEnv[],2,FALSE) = "","Non","")</f>
        <v/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1</v>
      </c>
      <c r="X33" s="5">
        <f>TabOceanet[[#This Row],[isCalcDns]]*TabOceanet[[#This Row],[Nb_article]]*Tarif_DNS</f>
        <v>3.5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0</v>
      </c>
      <c r="AF33" s="17">
        <f>TabOceanet[[#This Row],[VM_mem]]*Tarif_Ram</f>
        <v>0</v>
      </c>
      <c r="AG33" s="5" t="str">
        <f>MID(TabOceanet[[#This Row],[Backup]],29,20)</f>
        <v/>
      </c>
      <c r="AH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4" spans="1:36" x14ac:dyDescent="0.25">
      <c r="A34" t="s">
        <v>282</v>
      </c>
      <c r="F34">
        <v>1</v>
      </c>
      <c r="K34" t="s">
        <v>397</v>
      </c>
      <c r="O34">
        <v>10006791</v>
      </c>
      <c r="P34" t="s">
        <v>404</v>
      </c>
      <c r="Q34">
        <f>VLOOKUP(TabOceanet[[#This Row],[VM_name]],TabVMEnv[],3,FALSE)</f>
        <v>0</v>
      </c>
      <c r="R34" s="5" t="str">
        <f>IF(VLOOKUP(TabOceanet[[#This Row],[VM_name]],TabVMEnv[],2,FALSE) = "","Non","")</f>
        <v/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1</v>
      </c>
      <c r="X34" s="5">
        <f>TabOceanet[[#This Row],[isCalcDns]]*TabOceanet[[#This Row],[Nb_article]]*Tarif_DNS</f>
        <v>3.5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0</v>
      </c>
      <c r="AF34" s="17">
        <f>TabOceanet[[#This Row],[VM_mem]]*Tarif_Ram</f>
        <v>0</v>
      </c>
      <c r="AG34" s="5" t="str">
        <f>MID(TabOceanet[[#This Row],[Backup]],29,20)</f>
        <v/>
      </c>
      <c r="AH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5" spans="1:36" x14ac:dyDescent="0.25">
      <c r="A35" t="s">
        <v>283</v>
      </c>
      <c r="F35">
        <v>1</v>
      </c>
      <c r="K35" t="s">
        <v>397</v>
      </c>
      <c r="O35">
        <v>10006791</v>
      </c>
      <c r="P35" t="s">
        <v>404</v>
      </c>
      <c r="Q35">
        <f>VLOOKUP(TabOceanet[[#This Row],[VM_name]],TabVMEnv[],3,FALSE)</f>
        <v>0</v>
      </c>
      <c r="R35" s="5" t="str">
        <f>IF(VLOOKUP(TabOceanet[[#This Row],[VM_name]],TabVMEnv[],2,FALSE)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x14ac:dyDescent="0.25">
      <c r="A36" t="s">
        <v>284</v>
      </c>
      <c r="F36">
        <v>1</v>
      </c>
      <c r="K36" t="s">
        <v>397</v>
      </c>
      <c r="O36">
        <v>10006791</v>
      </c>
      <c r="P36" t="s">
        <v>404</v>
      </c>
      <c r="Q36">
        <f>VLOOKUP(TabOceanet[[#This Row],[VM_name]],TabVMEnv[],3,FALSE)</f>
        <v>0</v>
      </c>
      <c r="R36" s="5" t="str">
        <f>IF(VLOOKUP(TabOceanet[[#This Row],[VM_name]],TabVMEnv[],2,FALSE)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x14ac:dyDescent="0.25">
      <c r="A37" t="s">
        <v>285</v>
      </c>
      <c r="F37">
        <v>1</v>
      </c>
      <c r="K37" t="s">
        <v>397</v>
      </c>
      <c r="O37">
        <v>10006791</v>
      </c>
      <c r="P37" t="s">
        <v>404</v>
      </c>
      <c r="Q37">
        <f>VLOOKUP(TabOceanet[[#This Row],[VM_name]],TabVMEnv[],3,FALSE)</f>
        <v>0</v>
      </c>
      <c r="R37" s="5" t="str">
        <f>IF(VLOOKUP(TabOceanet[[#This Row],[VM_name]],TabVMEnv[],2,FALSE)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x14ac:dyDescent="0.25">
      <c r="A38" t="s">
        <v>286</v>
      </c>
      <c r="F38">
        <v>1</v>
      </c>
      <c r="K38" t="s">
        <v>397</v>
      </c>
      <c r="O38">
        <v>10006791</v>
      </c>
      <c r="P38" t="s">
        <v>404</v>
      </c>
      <c r="Q38">
        <f>VLOOKUP(TabOceanet[[#This Row],[VM_name]],TabVMEnv[],3,FALSE)</f>
        <v>0</v>
      </c>
      <c r="R38" s="5" t="str">
        <f>IF(VLOOKUP(TabOceanet[[#This Row],[VM_name]],TabVMEnv[],2,FALSE)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x14ac:dyDescent="0.25">
      <c r="A39" t="s">
        <v>312</v>
      </c>
      <c r="F39">
        <v>1</v>
      </c>
      <c r="K39" t="s">
        <v>397</v>
      </c>
      <c r="O39">
        <v>10006791</v>
      </c>
      <c r="P39" t="s">
        <v>404</v>
      </c>
      <c r="Q39">
        <f>VLOOKUP(TabOceanet[[#This Row],[VM_name]],TabVMEnv[],3,FALSE)</f>
        <v>0</v>
      </c>
      <c r="R39" s="5" t="str">
        <f>IF(VLOOKUP(TabOceanet[[#This Row],[VM_name]],TabVMEnv[],2,FALSE)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x14ac:dyDescent="0.25">
      <c r="A40" t="s">
        <v>287</v>
      </c>
      <c r="F40">
        <v>1</v>
      </c>
      <c r="K40" t="s">
        <v>397</v>
      </c>
      <c r="O40">
        <v>10006791</v>
      </c>
      <c r="P40" t="s">
        <v>404</v>
      </c>
      <c r="Q40">
        <f>VLOOKUP(TabOceanet[[#This Row],[VM_name]],TabVMEnv[],3,FALSE)</f>
        <v>0</v>
      </c>
      <c r="R40" s="5" t="str">
        <f>IF(VLOOKUP(TabOceanet[[#This Row],[VM_name]],TabVMEnv[],2,FALSE)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x14ac:dyDescent="0.25">
      <c r="A41" t="s">
        <v>256</v>
      </c>
      <c r="B41">
        <v>0</v>
      </c>
      <c r="C41">
        <v>0</v>
      </c>
      <c r="D41">
        <v>21</v>
      </c>
      <c r="H41" t="s">
        <v>432</v>
      </c>
      <c r="J41" t="s">
        <v>391</v>
      </c>
      <c r="K41" t="s">
        <v>397</v>
      </c>
      <c r="L41" t="s">
        <v>393</v>
      </c>
      <c r="M41" t="s">
        <v>394</v>
      </c>
      <c r="N41" t="s">
        <v>395</v>
      </c>
      <c r="O41">
        <v>10006791</v>
      </c>
      <c r="P41" t="s">
        <v>396</v>
      </c>
      <c r="Q41" s="5">
        <f>VLOOKUP(TabOceanet[[#This Row],[VM_name]],TabVMEnv[],3,FALSE)</f>
        <v>0</v>
      </c>
      <c r="R41" s="5" t="str">
        <f>IF(VLOOKUP(TabOceanet[[#This Row],[VM_name]],TabVMEnv[],2,FALSE)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0</v>
      </c>
      <c r="X41" s="5">
        <f>TabOceanet[[#This Row],[isCalcDns]]*TabOceanet[[#This Row],[Nb_article]]*Tarif_DNS</f>
        <v>0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>H1_Ve</v>
      </c>
      <c r="AH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42" spans="1:36" x14ac:dyDescent="0.25">
      <c r="A42" t="s">
        <v>190</v>
      </c>
      <c r="B42">
        <v>2</v>
      </c>
      <c r="C42">
        <v>4</v>
      </c>
      <c r="D42">
        <v>100</v>
      </c>
      <c r="E42" t="s">
        <v>431</v>
      </c>
      <c r="G42" t="s">
        <v>433</v>
      </c>
      <c r="H42" t="s">
        <v>390</v>
      </c>
      <c r="I42" t="s">
        <v>418</v>
      </c>
      <c r="J42" t="s">
        <v>391</v>
      </c>
      <c r="K42" t="s">
        <v>392</v>
      </c>
      <c r="L42" t="s">
        <v>393</v>
      </c>
      <c r="M42" t="s">
        <v>434</v>
      </c>
      <c r="N42" t="s">
        <v>395</v>
      </c>
      <c r="O42">
        <v>10006791</v>
      </c>
      <c r="P42" t="s">
        <v>396</v>
      </c>
      <c r="Q42" s="5">
        <f>VLOOKUP(TabOceanet[[#This Row],[VM_name]],TabVMEnv[],3,FALSE)</f>
        <v>0</v>
      </c>
      <c r="R42" s="5" t="str">
        <f>IF(VLOOKUP(TabOceanet[[#This Row],[VM_name]],TabVMEnv[],2,FALSE)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0</v>
      </c>
      <c r="X42" s="5">
        <f>TabOceanet[[#This Row],[isCalcDns]]*TabOceanet[[#This Row],[Nb_article]]*Tarif_DNS</f>
        <v>0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1</v>
      </c>
      <c r="AF42" s="17">
        <f>TabOceanet[[#This Row],[VM_mem]]*Tarif_Ram</f>
        <v>6.4</v>
      </c>
      <c r="AG42" s="5" t="str">
        <f>MID(TabOceanet[[#This Row],[Backup]],29,20)</f>
        <v>J15_2</v>
      </c>
      <c r="AH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43" spans="1:36" x14ac:dyDescent="0.25">
      <c r="A43" t="s">
        <v>230</v>
      </c>
      <c r="B43">
        <v>1</v>
      </c>
      <c r="C43">
        <v>2</v>
      </c>
      <c r="D43">
        <v>40</v>
      </c>
      <c r="E43" t="s">
        <v>435</v>
      </c>
      <c r="G43" t="s">
        <v>436</v>
      </c>
      <c r="H43" t="s">
        <v>390</v>
      </c>
      <c r="I43" t="s">
        <v>418</v>
      </c>
      <c r="J43" t="s">
        <v>391</v>
      </c>
      <c r="K43" t="s">
        <v>392</v>
      </c>
      <c r="L43" t="s">
        <v>393</v>
      </c>
      <c r="M43" t="s">
        <v>437</v>
      </c>
      <c r="N43" t="s">
        <v>395</v>
      </c>
      <c r="O43">
        <v>10006791</v>
      </c>
      <c r="P43" t="s">
        <v>396</v>
      </c>
      <c r="Q43" s="5">
        <f>VLOOKUP(TabOceanet[[#This Row],[VM_name]],TabVMEnv[],3,FALSE)</f>
        <v>0</v>
      </c>
      <c r="R43" s="5" t="str">
        <f>IF(VLOOKUP(TabOceanet[[#This Row],[VM_name]],TabVMEnv[],2,FALSE)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0</v>
      </c>
      <c r="X43" s="5">
        <f>TabOceanet[[#This Row],[isCalcDns]]*TabOceanet[[#This Row],[Nb_article]]*Tarif_DNS</f>
        <v>0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1</v>
      </c>
      <c r="AF43" s="17">
        <f>TabOceanet[[#This Row],[VM_mem]]*Tarif_Ram</f>
        <v>3.2</v>
      </c>
      <c r="AG43" s="5" t="str">
        <f>MID(TabOceanet[[#This Row],[Backup]],29,20)</f>
        <v>J15_3</v>
      </c>
      <c r="AH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4" spans="1:36" x14ac:dyDescent="0.25">
      <c r="A44" t="s">
        <v>108</v>
      </c>
      <c r="B44">
        <v>2</v>
      </c>
      <c r="C44">
        <v>2</v>
      </c>
      <c r="D44">
        <v>40</v>
      </c>
      <c r="E44" t="s">
        <v>438</v>
      </c>
      <c r="G44" t="s">
        <v>436</v>
      </c>
      <c r="H44" t="s">
        <v>390</v>
      </c>
      <c r="I44" t="s">
        <v>418</v>
      </c>
      <c r="J44" t="s">
        <v>391</v>
      </c>
      <c r="K44" t="s">
        <v>392</v>
      </c>
      <c r="L44" t="s">
        <v>393</v>
      </c>
      <c r="M44" t="s">
        <v>434</v>
      </c>
      <c r="N44" t="s">
        <v>395</v>
      </c>
      <c r="O44">
        <v>10006791</v>
      </c>
      <c r="P44" t="s">
        <v>396</v>
      </c>
      <c r="Q44" s="5">
        <f>VLOOKUP(TabOceanet[[#This Row],[VM_name]],TabVMEnv[],3,FALSE)</f>
        <v>0</v>
      </c>
      <c r="R44" s="5" t="str">
        <f>IF(VLOOKUP(TabOceanet[[#This Row],[VM_name]],TabVMEnv[],2,FALSE)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0</v>
      </c>
      <c r="X44" s="5">
        <f>TabOceanet[[#This Row],[isCalcDns]]*TabOceanet[[#This Row],[Nb_article]]*Tarif_DNS</f>
        <v>0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1</v>
      </c>
      <c r="AF44" s="17">
        <f>TabOceanet[[#This Row],[VM_mem]]*Tarif_Ram</f>
        <v>3.2</v>
      </c>
      <c r="AG44" s="5" t="str">
        <f>MID(TabOceanet[[#This Row],[Backup]],29,20)</f>
        <v>J15_2</v>
      </c>
      <c r="AH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5" spans="1:36" x14ac:dyDescent="0.25">
      <c r="A45" t="s">
        <v>191</v>
      </c>
      <c r="B45">
        <v>1</v>
      </c>
      <c r="C45">
        <v>2</v>
      </c>
      <c r="D45">
        <v>20</v>
      </c>
      <c r="E45" t="s">
        <v>439</v>
      </c>
      <c r="G45" t="s">
        <v>436</v>
      </c>
      <c r="H45" t="s">
        <v>390</v>
      </c>
      <c r="I45" t="s">
        <v>418</v>
      </c>
      <c r="J45" t="s">
        <v>391</v>
      </c>
      <c r="K45" t="s">
        <v>392</v>
      </c>
      <c r="L45" t="s">
        <v>393</v>
      </c>
      <c r="M45" t="s">
        <v>437</v>
      </c>
      <c r="N45" t="s">
        <v>395</v>
      </c>
      <c r="O45">
        <v>10006791</v>
      </c>
      <c r="P45" t="s">
        <v>396</v>
      </c>
      <c r="Q45" s="5" t="str">
        <f>VLOOKUP(TabOceanet[[#This Row],[VM_name]],TabVMEnv[],3,FALSE)</f>
        <v>SQASH</v>
      </c>
      <c r="R45" s="5" t="str">
        <f>IF(VLOOKUP(TabOceanet[[#This Row],[VM_name]],TabVMEnv[],2,FALSE)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0</v>
      </c>
      <c r="X45" s="5">
        <f>TabOceanet[[#This Row],[isCalcDns]]*TabOceanet[[#This Row],[Nb_article]]*Tarif_DNS</f>
        <v>0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1</v>
      </c>
      <c r="AF45" s="17">
        <f>TabOceanet[[#This Row],[VM_mem]]*Tarif_Ram</f>
        <v>3.2</v>
      </c>
      <c r="AG45" s="5" t="str">
        <f>MID(TabOceanet[[#This Row],[Backup]],29,20)</f>
        <v>J15_3</v>
      </c>
      <c r="AH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46" spans="1:36" x14ac:dyDescent="0.25">
      <c r="A46" t="s">
        <v>110</v>
      </c>
      <c r="B46">
        <v>2</v>
      </c>
      <c r="C46">
        <v>4</v>
      </c>
      <c r="D46">
        <v>40</v>
      </c>
      <c r="E46" t="s">
        <v>438</v>
      </c>
      <c r="G46" t="s">
        <v>433</v>
      </c>
      <c r="H46" t="s">
        <v>390</v>
      </c>
      <c r="I46" t="s">
        <v>418</v>
      </c>
      <c r="J46" t="s">
        <v>391</v>
      </c>
      <c r="K46" t="s">
        <v>392</v>
      </c>
      <c r="L46" t="s">
        <v>393</v>
      </c>
      <c r="M46" t="s">
        <v>437</v>
      </c>
      <c r="N46" t="s">
        <v>395</v>
      </c>
      <c r="O46">
        <v>10006791</v>
      </c>
      <c r="P46" t="s">
        <v>396</v>
      </c>
      <c r="Q46" s="5">
        <f>VLOOKUP(TabOceanet[[#This Row],[VM_name]],TabVMEnv[],3,FALSE)</f>
        <v>0</v>
      </c>
      <c r="R46" s="5" t="str">
        <f>IF(VLOOKUP(TabOceanet[[#This Row],[VM_name]],TabVMEnv[],2,FALSE)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0</v>
      </c>
      <c r="X46" s="5">
        <f>TabOceanet[[#This Row],[isCalcDns]]*TabOceanet[[#This Row],[Nb_article]]*Tarif_DNS</f>
        <v>0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1</v>
      </c>
      <c r="AF46" s="17">
        <f>TabOceanet[[#This Row],[VM_mem]]*Tarif_Ram</f>
        <v>6.4</v>
      </c>
      <c r="AG46" s="5" t="str">
        <f>MID(TabOceanet[[#This Row],[Backup]],29,20)</f>
        <v>J15_3</v>
      </c>
      <c r="AH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47" spans="1:36" x14ac:dyDescent="0.25">
      <c r="A47" t="s">
        <v>114</v>
      </c>
      <c r="B47">
        <v>2</v>
      </c>
      <c r="C47">
        <v>16</v>
      </c>
      <c r="D47">
        <v>300</v>
      </c>
      <c r="E47" t="s">
        <v>440</v>
      </c>
      <c r="G47" t="s">
        <v>436</v>
      </c>
      <c r="H47" t="s">
        <v>390</v>
      </c>
      <c r="I47" t="s">
        <v>418</v>
      </c>
      <c r="J47" t="s">
        <v>391</v>
      </c>
      <c r="K47" t="s">
        <v>392</v>
      </c>
      <c r="L47" t="s">
        <v>393</v>
      </c>
      <c r="M47" t="s">
        <v>434</v>
      </c>
      <c r="N47" t="s">
        <v>395</v>
      </c>
      <c r="O47">
        <v>10006791</v>
      </c>
      <c r="P47" t="s">
        <v>396</v>
      </c>
      <c r="Q47" s="5">
        <f>VLOOKUP(TabOceanet[[#This Row],[VM_name]],TabVMEnv[],3,FALSE)</f>
        <v>0</v>
      </c>
      <c r="R47" s="5" t="str">
        <f>IF(VLOOKUP(TabOceanet[[#This Row],[VM_name]],TabVMEnv[],2,FALSE)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0</v>
      </c>
      <c r="X47" s="5">
        <f>TabOceanet[[#This Row],[isCalcDns]]*TabOceanet[[#This Row],[Nb_article]]*Tarif_DNS</f>
        <v>0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1</v>
      </c>
      <c r="AF47" s="17">
        <f>TabOceanet[[#This Row],[VM_mem]]*Tarif_Ram</f>
        <v>25.6</v>
      </c>
      <c r="AG47" s="5" t="str">
        <f>MID(TabOceanet[[#This Row],[Backup]],29,20)</f>
        <v>J15_2</v>
      </c>
      <c r="AH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48" spans="1:36" x14ac:dyDescent="0.25">
      <c r="A48" t="s">
        <v>137</v>
      </c>
      <c r="B48">
        <v>2</v>
      </c>
      <c r="C48">
        <v>4</v>
      </c>
      <c r="D48">
        <v>160</v>
      </c>
      <c r="E48" t="s">
        <v>431</v>
      </c>
      <c r="G48" t="s">
        <v>433</v>
      </c>
      <c r="H48" t="s">
        <v>390</v>
      </c>
      <c r="I48" t="s">
        <v>418</v>
      </c>
      <c r="J48" t="s">
        <v>391</v>
      </c>
      <c r="K48" t="s">
        <v>392</v>
      </c>
      <c r="L48" t="s">
        <v>393</v>
      </c>
      <c r="M48" t="s">
        <v>437</v>
      </c>
      <c r="N48" t="s">
        <v>395</v>
      </c>
      <c r="O48">
        <v>10006791</v>
      </c>
      <c r="P48" t="s">
        <v>396</v>
      </c>
      <c r="Q48" s="5">
        <f>VLOOKUP(TabOceanet[[#This Row],[VM_name]],TabVMEnv[],3,FALSE)</f>
        <v>0</v>
      </c>
      <c r="R48" s="5" t="str">
        <f>IF(VLOOKUP(TabOceanet[[#This Row],[VM_name]],TabVMEnv[],2,FALSE)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0</v>
      </c>
      <c r="X48" s="5">
        <f>TabOceanet[[#This Row],[isCalcDns]]*TabOceanet[[#This Row],[Nb_article]]*Tarif_DNS</f>
        <v>0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1</v>
      </c>
      <c r="AF48" s="17">
        <f>TabOceanet[[#This Row],[VM_mem]]*Tarif_Ram</f>
        <v>6.4</v>
      </c>
      <c r="AG48" s="5" t="str">
        <f>MID(TabOceanet[[#This Row],[Backup]],29,20)</f>
        <v>J15_3</v>
      </c>
      <c r="AH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49" spans="1:36" x14ac:dyDescent="0.25">
      <c r="A49" t="s">
        <v>215</v>
      </c>
      <c r="B49">
        <v>2</v>
      </c>
      <c r="C49">
        <v>6</v>
      </c>
      <c r="D49">
        <v>250</v>
      </c>
      <c r="E49" t="s">
        <v>438</v>
      </c>
      <c r="G49" t="s">
        <v>433</v>
      </c>
      <c r="H49" t="s">
        <v>390</v>
      </c>
      <c r="I49" t="s">
        <v>418</v>
      </c>
      <c r="J49" t="s">
        <v>391</v>
      </c>
      <c r="K49" t="s">
        <v>392</v>
      </c>
      <c r="L49" t="s">
        <v>393</v>
      </c>
      <c r="M49" t="s">
        <v>434</v>
      </c>
      <c r="N49" t="s">
        <v>395</v>
      </c>
      <c r="O49">
        <v>10006791</v>
      </c>
      <c r="P49" t="s">
        <v>396</v>
      </c>
      <c r="Q49" s="5">
        <f>VLOOKUP(TabOceanet[[#This Row],[VM_name]],TabVMEnv[],3,FALSE)</f>
        <v>0</v>
      </c>
      <c r="R49" s="5" t="str">
        <f>IF(VLOOKUP(TabOceanet[[#This Row],[VM_name]],TabVMEnv[],2,FALSE)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1</v>
      </c>
      <c r="AF49" s="17">
        <f>TabOceanet[[#This Row],[VM_mem]]*Tarif_Ram</f>
        <v>9.6000000000000014</v>
      </c>
      <c r="AG49" s="5" t="str">
        <f>MID(TabOceanet[[#This Row],[Backup]],29,20)</f>
        <v>J15_2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0" spans="1:36" x14ac:dyDescent="0.25">
      <c r="A50" t="s">
        <v>101</v>
      </c>
      <c r="B50">
        <v>2</v>
      </c>
      <c r="C50">
        <v>4</v>
      </c>
      <c r="D50">
        <v>90</v>
      </c>
      <c r="E50" t="s">
        <v>431</v>
      </c>
      <c r="G50" t="s">
        <v>436</v>
      </c>
      <c r="H50" t="s">
        <v>390</v>
      </c>
      <c r="I50" t="s">
        <v>418</v>
      </c>
      <c r="J50" t="s">
        <v>391</v>
      </c>
      <c r="K50" t="s">
        <v>392</v>
      </c>
      <c r="L50" t="s">
        <v>393</v>
      </c>
      <c r="M50" t="s">
        <v>437</v>
      </c>
      <c r="N50" t="s">
        <v>395</v>
      </c>
      <c r="O50">
        <v>10006791</v>
      </c>
      <c r="P50" t="s">
        <v>396</v>
      </c>
      <c r="Q50" s="5">
        <f>VLOOKUP(TabOceanet[[#This Row],[VM_name]],TabVMEnv[],3,FALSE)</f>
        <v>0</v>
      </c>
      <c r="R50" s="5" t="str">
        <f>IF(VLOOKUP(TabOceanet[[#This Row],[VM_name]],TabVMEnv[],2,FALSE)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1" spans="1:36" x14ac:dyDescent="0.25">
      <c r="A51" t="s">
        <v>123</v>
      </c>
      <c r="B51">
        <v>16</v>
      </c>
      <c r="C51">
        <v>8</v>
      </c>
      <c r="D51">
        <v>120</v>
      </c>
      <c r="E51" t="s">
        <v>415</v>
      </c>
      <c r="G51" t="s">
        <v>436</v>
      </c>
      <c r="H51" t="s">
        <v>390</v>
      </c>
      <c r="I51" t="s">
        <v>418</v>
      </c>
      <c r="J51" t="s">
        <v>391</v>
      </c>
      <c r="K51" t="s">
        <v>392</v>
      </c>
      <c r="L51" t="s">
        <v>393</v>
      </c>
      <c r="M51" t="s">
        <v>437</v>
      </c>
      <c r="N51" t="s">
        <v>395</v>
      </c>
      <c r="O51">
        <v>10006791</v>
      </c>
      <c r="P51" t="s">
        <v>396</v>
      </c>
      <c r="Q51" s="5">
        <f>VLOOKUP(TabOceanet[[#This Row],[VM_name]],TabVMEnv[],3,FALSE)</f>
        <v>0</v>
      </c>
      <c r="R51" s="5" t="str">
        <f>IF(VLOOKUP(TabOceanet[[#This Row],[VM_name]],TabVMEnv[],2,FALSE)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12.8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52" spans="1:36" x14ac:dyDescent="0.25">
      <c r="A52" t="s">
        <v>116</v>
      </c>
      <c r="B52">
        <v>4</v>
      </c>
      <c r="C52">
        <v>8</v>
      </c>
      <c r="D52">
        <v>55</v>
      </c>
      <c r="E52" t="s">
        <v>431</v>
      </c>
      <c r="G52" t="s">
        <v>436</v>
      </c>
      <c r="H52" t="s">
        <v>390</v>
      </c>
      <c r="I52" t="s">
        <v>418</v>
      </c>
      <c r="J52" t="s">
        <v>391</v>
      </c>
      <c r="K52" t="s">
        <v>392</v>
      </c>
      <c r="L52" t="s">
        <v>393</v>
      </c>
      <c r="M52" t="s">
        <v>437</v>
      </c>
      <c r="N52" t="s">
        <v>395</v>
      </c>
      <c r="O52">
        <v>10006791</v>
      </c>
      <c r="P52" t="s">
        <v>396</v>
      </c>
      <c r="Q52" s="5">
        <f>VLOOKUP(TabOceanet[[#This Row],[VM_name]],TabVMEnv[],3,FALSE)</f>
        <v>0</v>
      </c>
      <c r="R52" s="5" t="str">
        <f>IF(VLOOKUP(TabOceanet[[#This Row],[VM_name]],TabVMEnv[],2,FALSE)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12.8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53" spans="1:36" x14ac:dyDescent="0.25">
      <c r="A53" t="s">
        <v>182</v>
      </c>
      <c r="B53">
        <v>4</v>
      </c>
      <c r="C53">
        <v>4</v>
      </c>
      <c r="D53">
        <v>35</v>
      </c>
      <c r="E53" t="s">
        <v>415</v>
      </c>
      <c r="G53" t="s">
        <v>436</v>
      </c>
      <c r="H53" t="s">
        <v>390</v>
      </c>
      <c r="I53" t="s">
        <v>418</v>
      </c>
      <c r="J53" t="s">
        <v>391</v>
      </c>
      <c r="K53" t="s">
        <v>392</v>
      </c>
      <c r="L53" t="s">
        <v>393</v>
      </c>
      <c r="M53" t="s">
        <v>434</v>
      </c>
      <c r="N53" t="s">
        <v>395</v>
      </c>
      <c r="O53">
        <v>10006791</v>
      </c>
      <c r="P53" t="s">
        <v>396</v>
      </c>
      <c r="Q53" s="5">
        <f>VLOOKUP(TabOceanet[[#This Row],[VM_name]],TabVMEnv[],3,FALSE)</f>
        <v>0</v>
      </c>
      <c r="R53" s="5" t="str">
        <f>IF(VLOOKUP(TabOceanet[[#This Row],[VM_name]],TabVMEnv[],2,FALSE)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6.4</v>
      </c>
      <c r="AG53" s="5" t="str">
        <f>MID(TabOceanet[[#This Row],[Backup]],29,20)</f>
        <v>J15_2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54" spans="1:36" x14ac:dyDescent="0.25">
      <c r="A54" t="s">
        <v>243</v>
      </c>
      <c r="B54">
        <v>1</v>
      </c>
      <c r="C54">
        <v>2</v>
      </c>
      <c r="D54">
        <v>40</v>
      </c>
      <c r="E54" t="s">
        <v>441</v>
      </c>
      <c r="G54" t="s">
        <v>433</v>
      </c>
      <c r="H54" t="s">
        <v>390</v>
      </c>
      <c r="I54" t="s">
        <v>418</v>
      </c>
      <c r="J54" t="s">
        <v>391</v>
      </c>
      <c r="K54" t="s">
        <v>392</v>
      </c>
      <c r="L54" t="s">
        <v>393</v>
      </c>
      <c r="M54" t="s">
        <v>437</v>
      </c>
      <c r="N54" t="s">
        <v>395</v>
      </c>
      <c r="O54">
        <v>10006791</v>
      </c>
      <c r="P54" t="s">
        <v>396</v>
      </c>
      <c r="Q54" s="5">
        <f>VLOOKUP(TabOceanet[[#This Row],[VM_name]],TabVMEnv[],3,FALSE)</f>
        <v>0</v>
      </c>
      <c r="R54" s="5" t="str">
        <f>IF(VLOOKUP(TabOceanet[[#This Row],[VM_name]],TabVMEnv[],2,FALSE)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3.2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5" spans="1:36" x14ac:dyDescent="0.25">
      <c r="A55" t="s">
        <v>240</v>
      </c>
      <c r="B55">
        <v>1</v>
      </c>
      <c r="C55">
        <v>2</v>
      </c>
      <c r="D55">
        <v>20</v>
      </c>
      <c r="E55" t="s">
        <v>442</v>
      </c>
      <c r="G55" t="s">
        <v>433</v>
      </c>
      <c r="H55" t="s">
        <v>390</v>
      </c>
      <c r="I55" t="s">
        <v>418</v>
      </c>
      <c r="J55" t="s">
        <v>391</v>
      </c>
      <c r="K55" t="s">
        <v>392</v>
      </c>
      <c r="L55" t="s">
        <v>393</v>
      </c>
      <c r="M55" t="s">
        <v>437</v>
      </c>
      <c r="N55" t="s">
        <v>395</v>
      </c>
      <c r="O55">
        <v>10006791</v>
      </c>
      <c r="P55" t="s">
        <v>396</v>
      </c>
      <c r="Q55" s="5">
        <f>VLOOKUP(TabOceanet[[#This Row],[VM_name]],TabVMEnv[],3,FALSE)</f>
        <v>0</v>
      </c>
      <c r="R55" s="5" t="str">
        <f>IF(VLOOKUP(TabOceanet[[#This Row],[VM_name]],TabVMEnv[],2,FALSE)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3.2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6" spans="1:36" x14ac:dyDescent="0.25">
      <c r="A56" t="s">
        <v>126</v>
      </c>
      <c r="B56">
        <v>4</v>
      </c>
      <c r="C56">
        <v>6</v>
      </c>
      <c r="D56">
        <v>42</v>
      </c>
      <c r="E56" t="s">
        <v>443</v>
      </c>
      <c r="G56" t="s">
        <v>433</v>
      </c>
      <c r="H56" t="s">
        <v>399</v>
      </c>
      <c r="I56" t="s">
        <v>418</v>
      </c>
      <c r="J56" t="s">
        <v>391</v>
      </c>
      <c r="K56" t="s">
        <v>392</v>
      </c>
      <c r="L56" t="s">
        <v>393</v>
      </c>
      <c r="M56" t="s">
        <v>444</v>
      </c>
      <c r="N56" t="s">
        <v>395</v>
      </c>
      <c r="O56">
        <v>10006791</v>
      </c>
      <c r="P56" t="s">
        <v>396</v>
      </c>
      <c r="Q56" s="5">
        <f>VLOOKUP(TabOceanet[[#This Row],[VM_name]],TabVMEnv[],3,FALSE)</f>
        <v>0</v>
      </c>
      <c r="R56" s="5" t="str">
        <f>IF(VLOOKUP(TabOceanet[[#This Row],[VM_name]],TabVMEnv[],2,FALSE)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9.6000000000000014</v>
      </c>
      <c r="AG56" s="5" t="str">
        <f>MID(TabOceanet[[#This Row],[Backup]],29,20)</f>
        <v>J15_1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57" spans="1:36" x14ac:dyDescent="0.25">
      <c r="A57" t="s">
        <v>329</v>
      </c>
      <c r="B57">
        <v>2</v>
      </c>
      <c r="C57">
        <v>4</v>
      </c>
      <c r="D57">
        <v>30</v>
      </c>
      <c r="E57" t="s">
        <v>445</v>
      </c>
      <c r="G57" t="s">
        <v>433</v>
      </c>
      <c r="H57" t="s">
        <v>390</v>
      </c>
      <c r="I57" t="s">
        <v>418</v>
      </c>
      <c r="J57" t="s">
        <v>391</v>
      </c>
      <c r="K57" t="s">
        <v>392</v>
      </c>
      <c r="L57" t="s">
        <v>393</v>
      </c>
      <c r="M57" t="s">
        <v>444</v>
      </c>
      <c r="N57" t="s">
        <v>395</v>
      </c>
      <c r="O57">
        <v>10006791</v>
      </c>
      <c r="P57" t="s">
        <v>396</v>
      </c>
      <c r="Q57" s="5">
        <f>VLOOKUP(TabOceanet[[#This Row],[VM_name]],TabVMEnv[],3,FALSE)</f>
        <v>0</v>
      </c>
      <c r="R57" s="5" t="str">
        <f>IF(VLOOKUP(TabOceanet[[#This Row],[VM_name]],TabVMEnv[],2,FALSE)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6.4</v>
      </c>
      <c r="AG57" s="5" t="str">
        <f>MID(TabOceanet[[#This Row],[Backup]],29,20)</f>
        <v>J15_1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58" spans="1:36" x14ac:dyDescent="0.25">
      <c r="A58" t="s">
        <v>217</v>
      </c>
      <c r="B58">
        <v>4</v>
      </c>
      <c r="C58">
        <v>2</v>
      </c>
      <c r="D58">
        <v>110</v>
      </c>
      <c r="E58" t="s">
        <v>442</v>
      </c>
      <c r="G58" t="s">
        <v>433</v>
      </c>
      <c r="H58" t="s">
        <v>390</v>
      </c>
      <c r="I58" t="s">
        <v>418</v>
      </c>
      <c r="J58" t="s">
        <v>391</v>
      </c>
      <c r="K58" t="s">
        <v>392</v>
      </c>
      <c r="L58" t="s">
        <v>393</v>
      </c>
      <c r="M58" t="s">
        <v>444</v>
      </c>
      <c r="N58" t="s">
        <v>395</v>
      </c>
      <c r="O58">
        <v>10006791</v>
      </c>
      <c r="P58" t="s">
        <v>396</v>
      </c>
      <c r="Q58" s="5">
        <f>VLOOKUP(TabOceanet[[#This Row],[VM_name]],TabVMEnv[],3,FALSE)</f>
        <v>0</v>
      </c>
      <c r="R58" s="5" t="str">
        <f>IF(VLOOKUP(TabOceanet[[#This Row],[VM_name]],TabVMEnv[],2,FALSE)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3.2</v>
      </c>
      <c r="AG58" s="5" t="str">
        <f>MID(TabOceanet[[#This Row],[Backup]],29,20)</f>
        <v>J15_1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25.3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28.5</v>
      </c>
    </row>
    <row r="59" spans="1:36" x14ac:dyDescent="0.25">
      <c r="A59" t="s">
        <v>102</v>
      </c>
      <c r="B59">
        <v>4</v>
      </c>
      <c r="C59">
        <v>4</v>
      </c>
      <c r="D59">
        <v>285</v>
      </c>
      <c r="E59" t="s">
        <v>446</v>
      </c>
      <c r="G59" t="s">
        <v>436</v>
      </c>
      <c r="H59" t="s">
        <v>390</v>
      </c>
      <c r="I59" t="s">
        <v>418</v>
      </c>
      <c r="J59" t="s">
        <v>391</v>
      </c>
      <c r="K59" t="s">
        <v>392</v>
      </c>
      <c r="L59" t="s">
        <v>393</v>
      </c>
      <c r="M59" t="s">
        <v>434</v>
      </c>
      <c r="N59" t="s">
        <v>395</v>
      </c>
      <c r="O59">
        <v>10006791</v>
      </c>
      <c r="P59" t="s">
        <v>396</v>
      </c>
      <c r="Q59" s="5">
        <f>VLOOKUP(TabOceanet[[#This Row],[VM_name]],TabVMEnv[],3,FALSE)</f>
        <v>0</v>
      </c>
      <c r="R59" s="5" t="str">
        <f>IF(VLOOKUP(TabOceanet[[#This Row],[VM_name]],TabVMEnv[],2,FALSE)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6.4</v>
      </c>
      <c r="AG59" s="5" t="str">
        <f>MID(TabOceanet[[#This Row],[Backup]],29,20)</f>
        <v>J15_2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0" spans="1:36" x14ac:dyDescent="0.25">
      <c r="A60" t="s">
        <v>220</v>
      </c>
      <c r="B60">
        <v>1</v>
      </c>
      <c r="C60">
        <v>2</v>
      </c>
      <c r="D60">
        <v>115</v>
      </c>
      <c r="E60" t="s">
        <v>438</v>
      </c>
      <c r="G60" t="s">
        <v>436</v>
      </c>
      <c r="H60" t="s">
        <v>390</v>
      </c>
      <c r="I60" t="s">
        <v>418</v>
      </c>
      <c r="J60" t="s">
        <v>391</v>
      </c>
      <c r="K60" t="s">
        <v>392</v>
      </c>
      <c r="L60" t="s">
        <v>393</v>
      </c>
      <c r="M60" t="s">
        <v>437</v>
      </c>
      <c r="N60" t="s">
        <v>395</v>
      </c>
      <c r="O60">
        <v>10006791</v>
      </c>
      <c r="P60" t="s">
        <v>396</v>
      </c>
      <c r="Q60" s="5">
        <f>VLOOKUP(TabOceanet[[#This Row],[VM_name]],TabVMEnv[],3,FALSE)</f>
        <v>0</v>
      </c>
      <c r="R60" s="5" t="str">
        <f>IF(VLOOKUP(TabOceanet[[#This Row],[VM_name]],TabVMEnv[],2,FALSE)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3.2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1" spans="1:36" x14ac:dyDescent="0.25">
      <c r="A61" t="s">
        <v>241</v>
      </c>
      <c r="B61">
        <v>4</v>
      </c>
      <c r="C61">
        <v>4</v>
      </c>
      <c r="D61">
        <v>23</v>
      </c>
      <c r="E61" t="s">
        <v>438</v>
      </c>
      <c r="G61" t="s">
        <v>436</v>
      </c>
      <c r="H61" t="s">
        <v>390</v>
      </c>
      <c r="I61" t="s">
        <v>418</v>
      </c>
      <c r="J61" t="s">
        <v>391</v>
      </c>
      <c r="K61" t="s">
        <v>392</v>
      </c>
      <c r="L61" t="s">
        <v>393</v>
      </c>
      <c r="M61" t="s">
        <v>437</v>
      </c>
      <c r="N61" t="s">
        <v>395</v>
      </c>
      <c r="O61">
        <v>10006791</v>
      </c>
      <c r="P61" t="s">
        <v>396</v>
      </c>
      <c r="Q61" s="5">
        <f>VLOOKUP(TabOceanet[[#This Row],[VM_name]],TabVMEnv[],3,FALSE)</f>
        <v>0</v>
      </c>
      <c r="R61" s="5" t="str">
        <f>IF(VLOOKUP(TabOceanet[[#This Row],[VM_name]],TabVMEnv[],2,FALSE)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62" spans="1:36" x14ac:dyDescent="0.25">
      <c r="A62" t="s">
        <v>195</v>
      </c>
      <c r="B62">
        <v>1</v>
      </c>
      <c r="C62">
        <v>1</v>
      </c>
      <c r="D62">
        <v>26</v>
      </c>
      <c r="E62" t="s">
        <v>415</v>
      </c>
      <c r="G62" t="s">
        <v>436</v>
      </c>
      <c r="H62" t="s">
        <v>390</v>
      </c>
      <c r="I62" t="s">
        <v>418</v>
      </c>
      <c r="J62" t="s">
        <v>391</v>
      </c>
      <c r="K62" t="s">
        <v>392</v>
      </c>
      <c r="L62" t="s">
        <v>393</v>
      </c>
      <c r="M62" t="s">
        <v>444</v>
      </c>
      <c r="N62" t="s">
        <v>395</v>
      </c>
      <c r="O62">
        <v>10006791</v>
      </c>
      <c r="P62" t="s">
        <v>396</v>
      </c>
      <c r="Q62" s="5">
        <f>VLOOKUP(TabOceanet[[#This Row],[VM_name]],TabVMEnv[],3,FALSE)</f>
        <v>0</v>
      </c>
      <c r="R62" s="5" t="str">
        <f>IF(VLOOKUP(TabOceanet[[#This Row],[VM_name]],TabVMEnv[],2,FALSE)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1.6</v>
      </c>
      <c r="AG62" s="5" t="str">
        <f>MID(TabOceanet[[#This Row],[Backup]],29,20)</f>
        <v>J15_1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7.58</v>
      </c>
    </row>
    <row r="63" spans="1:36" x14ac:dyDescent="0.25">
      <c r="A63" t="s">
        <v>193</v>
      </c>
      <c r="B63">
        <v>1</v>
      </c>
      <c r="C63">
        <v>2</v>
      </c>
      <c r="D63">
        <v>20</v>
      </c>
      <c r="E63" t="s">
        <v>438</v>
      </c>
      <c r="G63" t="s">
        <v>433</v>
      </c>
      <c r="H63" t="s">
        <v>390</v>
      </c>
      <c r="I63" t="s">
        <v>418</v>
      </c>
      <c r="J63" t="s">
        <v>391</v>
      </c>
      <c r="K63" t="s">
        <v>392</v>
      </c>
      <c r="L63" t="s">
        <v>393</v>
      </c>
      <c r="M63" t="s">
        <v>437</v>
      </c>
      <c r="N63" t="s">
        <v>395</v>
      </c>
      <c r="O63">
        <v>10006791</v>
      </c>
      <c r="P63" t="s">
        <v>396</v>
      </c>
      <c r="Q63" s="5">
        <f>VLOOKUP(TabOceanet[[#This Row],[VM_name]],TabVMEnv[],3,FALSE)</f>
        <v>0</v>
      </c>
      <c r="R63" s="5" t="str">
        <f>IF(VLOOKUP(TabOceanet[[#This Row],[VM_name]],TabVMEnv[],2,FALSE)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194</v>
      </c>
      <c r="B64">
        <v>4</v>
      </c>
      <c r="C64">
        <v>6</v>
      </c>
      <c r="D64">
        <v>220</v>
      </c>
      <c r="E64" t="s">
        <v>431</v>
      </c>
      <c r="G64" t="s">
        <v>433</v>
      </c>
      <c r="H64" t="s">
        <v>390</v>
      </c>
      <c r="I64" t="s">
        <v>418</v>
      </c>
      <c r="J64" t="s">
        <v>391</v>
      </c>
      <c r="K64" t="s">
        <v>392</v>
      </c>
      <c r="L64" t="s">
        <v>393</v>
      </c>
      <c r="M64" t="s">
        <v>437</v>
      </c>
      <c r="N64" t="s">
        <v>395</v>
      </c>
      <c r="O64">
        <v>10006791</v>
      </c>
      <c r="P64" t="s">
        <v>396</v>
      </c>
      <c r="Q64" s="5">
        <f>VLOOKUP(TabOceanet[[#This Row],[VM_name]],TabVMEnv[],3,FALSE)</f>
        <v>0</v>
      </c>
      <c r="R64" s="5" t="str">
        <f>IF(VLOOKUP(TabOceanet[[#This Row],[VM_name]],TabVMEnv[],2,FALSE)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65" spans="1:36" x14ac:dyDescent="0.25">
      <c r="A65" t="s">
        <v>244</v>
      </c>
      <c r="B65">
        <v>1</v>
      </c>
      <c r="C65">
        <v>2</v>
      </c>
      <c r="D65">
        <v>40</v>
      </c>
      <c r="E65" t="s">
        <v>441</v>
      </c>
      <c r="G65" t="s">
        <v>433</v>
      </c>
      <c r="H65" t="s">
        <v>390</v>
      </c>
      <c r="I65" t="s">
        <v>418</v>
      </c>
      <c r="J65" t="s">
        <v>391</v>
      </c>
      <c r="K65" t="s">
        <v>392</v>
      </c>
      <c r="L65" t="s">
        <v>393</v>
      </c>
      <c r="M65" t="s">
        <v>437</v>
      </c>
      <c r="N65" t="s">
        <v>395</v>
      </c>
      <c r="O65">
        <v>10006791</v>
      </c>
      <c r="P65" t="s">
        <v>396</v>
      </c>
      <c r="Q65" s="5">
        <f>VLOOKUP(TabOceanet[[#This Row],[VM_name]],TabVMEnv[],3,FALSE)</f>
        <v>0</v>
      </c>
      <c r="R65" s="5" t="str">
        <f>IF(VLOOKUP(TabOceanet[[#This Row],[VM_name]],TabVMEnv[],2,FALSE)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3.2</v>
      </c>
      <c r="AG65" s="5" t="str">
        <f>MID(TabOceanet[[#This Row],[Backup]],29,20)</f>
        <v>J15_3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6" spans="1:36" x14ac:dyDescent="0.25">
      <c r="A66" t="s">
        <v>99</v>
      </c>
      <c r="B66">
        <v>2</v>
      </c>
      <c r="C66">
        <v>2</v>
      </c>
      <c r="D66">
        <v>50</v>
      </c>
      <c r="E66" t="s">
        <v>441</v>
      </c>
      <c r="G66" t="s">
        <v>436</v>
      </c>
      <c r="H66" t="s">
        <v>390</v>
      </c>
      <c r="I66" t="s">
        <v>418</v>
      </c>
      <c r="J66" t="s">
        <v>391</v>
      </c>
      <c r="K66" t="s">
        <v>392</v>
      </c>
      <c r="L66" t="s">
        <v>393</v>
      </c>
      <c r="M66" t="s">
        <v>437</v>
      </c>
      <c r="N66" t="s">
        <v>395</v>
      </c>
      <c r="O66">
        <v>10006791</v>
      </c>
      <c r="P66" t="s">
        <v>396</v>
      </c>
      <c r="Q66" s="5">
        <f>VLOOKUP(TabOceanet[[#This Row],[VM_name]],TabVMEnv[],3,FALSE)</f>
        <v>0</v>
      </c>
      <c r="R66" s="5" t="str">
        <f>IF(VLOOKUP(TabOceanet[[#This Row],[VM_name]],TabVMEnv[],2,FALSE)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J15_3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67" spans="1:36" x14ac:dyDescent="0.25">
      <c r="A67" t="s">
        <v>184</v>
      </c>
      <c r="B67">
        <v>1</v>
      </c>
      <c r="C67">
        <v>2</v>
      </c>
      <c r="D67">
        <v>60</v>
      </c>
      <c r="E67" t="s">
        <v>447</v>
      </c>
      <c r="G67" t="s">
        <v>436</v>
      </c>
      <c r="H67" t="s">
        <v>390</v>
      </c>
      <c r="I67" t="s">
        <v>418</v>
      </c>
      <c r="J67" t="s">
        <v>391</v>
      </c>
      <c r="K67" t="s">
        <v>392</v>
      </c>
      <c r="L67" t="s">
        <v>393</v>
      </c>
      <c r="M67" t="s">
        <v>434</v>
      </c>
      <c r="N67" t="s">
        <v>395</v>
      </c>
      <c r="O67">
        <v>10006791</v>
      </c>
      <c r="P67" t="s">
        <v>396</v>
      </c>
      <c r="Q67" s="5">
        <f>VLOOKUP(TabOceanet[[#This Row],[VM_name]],TabVMEnv[],3,FALSE)</f>
        <v>0</v>
      </c>
      <c r="R67" s="5" t="str">
        <f>IF(VLOOKUP(TabOceanet[[#This Row],[VM_name]],TabVMEnv[],2,FALSE)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3.2</v>
      </c>
      <c r="AG67" s="5" t="str">
        <f>MID(TabOceanet[[#This Row],[Backup]],29,20)</f>
        <v>J15_2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68" spans="1:36" x14ac:dyDescent="0.25">
      <c r="A68" t="s">
        <v>231</v>
      </c>
      <c r="B68">
        <v>2</v>
      </c>
      <c r="C68">
        <v>8</v>
      </c>
      <c r="D68">
        <v>270</v>
      </c>
      <c r="E68" t="s">
        <v>446</v>
      </c>
      <c r="G68" t="s">
        <v>433</v>
      </c>
      <c r="H68" t="s">
        <v>390</v>
      </c>
      <c r="I68" t="s">
        <v>418</v>
      </c>
      <c r="J68" t="s">
        <v>391</v>
      </c>
      <c r="K68" t="s">
        <v>392</v>
      </c>
      <c r="L68" t="s">
        <v>393</v>
      </c>
      <c r="M68" t="s">
        <v>437</v>
      </c>
      <c r="N68" t="s">
        <v>395</v>
      </c>
      <c r="O68">
        <v>10006791</v>
      </c>
      <c r="P68" t="s">
        <v>396</v>
      </c>
      <c r="Q68" s="5">
        <f>VLOOKUP(TabOceanet[[#This Row],[VM_name]],TabVMEnv[],3,FALSE)</f>
        <v>0</v>
      </c>
      <c r="R68" s="5" t="str">
        <f>IF(VLOOKUP(TabOceanet[[#This Row],[VM_name]],TabVMEnv[],2,FALSE)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12.8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69" spans="1:36" x14ac:dyDescent="0.25">
      <c r="A69" t="s">
        <v>152</v>
      </c>
      <c r="B69">
        <v>1</v>
      </c>
      <c r="C69">
        <v>2</v>
      </c>
      <c r="D69">
        <v>19</v>
      </c>
      <c r="E69" t="s">
        <v>438</v>
      </c>
      <c r="G69" t="s">
        <v>433</v>
      </c>
      <c r="H69" t="s">
        <v>390</v>
      </c>
      <c r="I69" t="s">
        <v>418</v>
      </c>
      <c r="J69" t="s">
        <v>391</v>
      </c>
      <c r="K69" t="s">
        <v>392</v>
      </c>
      <c r="L69" t="s">
        <v>393</v>
      </c>
      <c r="M69" t="s">
        <v>444</v>
      </c>
      <c r="N69" t="s">
        <v>395</v>
      </c>
      <c r="O69">
        <v>10006791</v>
      </c>
      <c r="P69" t="s">
        <v>396</v>
      </c>
      <c r="Q69" s="5">
        <f>VLOOKUP(TabOceanet[[#This Row],[VM_name]],TabVMEnv[],3,FALSE)</f>
        <v>0</v>
      </c>
      <c r="R69" s="5" t="str">
        <f>IF(VLOOKUP(TabOceanet[[#This Row],[VM_name]],TabVMEnv[],2,FALSE)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3.2</v>
      </c>
      <c r="AG69" s="5" t="str">
        <f>MID(TabOceanet[[#This Row],[Backup]],29,20)</f>
        <v>J15_1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0" spans="1:36" x14ac:dyDescent="0.25">
      <c r="A70" t="s">
        <v>153</v>
      </c>
      <c r="B70">
        <v>1</v>
      </c>
      <c r="C70">
        <v>1</v>
      </c>
      <c r="D70">
        <v>4</v>
      </c>
      <c r="E70" t="s">
        <v>438</v>
      </c>
      <c r="G70" t="s">
        <v>436</v>
      </c>
      <c r="H70" t="s">
        <v>390</v>
      </c>
      <c r="I70" t="s">
        <v>418</v>
      </c>
      <c r="J70" t="s">
        <v>391</v>
      </c>
      <c r="K70" t="s">
        <v>392</v>
      </c>
      <c r="L70" t="s">
        <v>393</v>
      </c>
      <c r="M70" t="s">
        <v>434</v>
      </c>
      <c r="N70" t="s">
        <v>395</v>
      </c>
      <c r="O70">
        <v>10006791</v>
      </c>
      <c r="P70" t="s">
        <v>396</v>
      </c>
      <c r="Q70" s="5">
        <f>VLOOKUP(TabOceanet[[#This Row],[VM_name]],TabVMEnv[],3,FALSE)</f>
        <v>0</v>
      </c>
      <c r="R70" s="5" t="str">
        <f>IF(VLOOKUP(TabOceanet[[#This Row],[VM_name]],TabVMEnv[],2,FALSE)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J15_2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1" spans="1:36" x14ac:dyDescent="0.25">
      <c r="A71" t="s">
        <v>154</v>
      </c>
      <c r="B71">
        <v>1</v>
      </c>
      <c r="C71">
        <v>1</v>
      </c>
      <c r="D71">
        <v>4</v>
      </c>
      <c r="E71" t="s">
        <v>438</v>
      </c>
      <c r="G71" t="s">
        <v>433</v>
      </c>
      <c r="H71" t="s">
        <v>390</v>
      </c>
      <c r="I71" t="s">
        <v>418</v>
      </c>
      <c r="J71" t="s">
        <v>391</v>
      </c>
      <c r="K71" t="s">
        <v>392</v>
      </c>
      <c r="L71" t="s">
        <v>393</v>
      </c>
      <c r="M71" t="s">
        <v>434</v>
      </c>
      <c r="N71" t="s">
        <v>395</v>
      </c>
      <c r="O71">
        <v>10006791</v>
      </c>
      <c r="P71" t="s">
        <v>396</v>
      </c>
      <c r="Q71" s="5">
        <f>VLOOKUP(TabOceanet[[#This Row],[VM_name]],TabVMEnv[],3,FALSE)</f>
        <v>0</v>
      </c>
      <c r="R71" s="5" t="str">
        <f>IF(VLOOKUP(TabOceanet[[#This Row],[VM_name]],TabVMEnv[],2,FALSE)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1.6</v>
      </c>
      <c r="AG71" s="5" t="str">
        <f>MID(TabOceanet[[#This Row],[Backup]],29,20)</f>
        <v>J15_2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2" spans="1:36" x14ac:dyDescent="0.25">
      <c r="A72" t="s">
        <v>155</v>
      </c>
      <c r="B72">
        <v>1</v>
      </c>
      <c r="C72">
        <v>1</v>
      </c>
      <c r="D72">
        <v>4</v>
      </c>
      <c r="E72" t="s">
        <v>415</v>
      </c>
      <c r="G72" t="s">
        <v>433</v>
      </c>
      <c r="H72" t="s">
        <v>390</v>
      </c>
      <c r="I72" t="s">
        <v>418</v>
      </c>
      <c r="J72" t="s">
        <v>391</v>
      </c>
      <c r="K72" t="s">
        <v>392</v>
      </c>
      <c r="L72" t="s">
        <v>393</v>
      </c>
      <c r="M72" t="s">
        <v>434</v>
      </c>
      <c r="N72" t="s">
        <v>395</v>
      </c>
      <c r="O72">
        <v>10006791</v>
      </c>
      <c r="P72" t="s">
        <v>396</v>
      </c>
      <c r="Q72" s="5">
        <f>VLOOKUP(TabOceanet[[#This Row],[VM_name]],TabVMEnv[],3,FALSE)</f>
        <v>0</v>
      </c>
      <c r="R72" s="5" t="str">
        <f>IF(VLOOKUP(TabOceanet[[#This Row],[VM_name]],TabVMEnv[],2,FALSE)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1.6</v>
      </c>
      <c r="AG72" s="5" t="str">
        <f>MID(TabOceanet[[#This Row],[Backup]],29,20)</f>
        <v>J15_2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3" spans="1:36" x14ac:dyDescent="0.25">
      <c r="A73" t="s">
        <v>71</v>
      </c>
      <c r="B73">
        <v>1</v>
      </c>
      <c r="C73">
        <v>2</v>
      </c>
      <c r="D73">
        <v>8</v>
      </c>
      <c r="E73" t="s">
        <v>448</v>
      </c>
      <c r="G73" t="s">
        <v>433</v>
      </c>
      <c r="H73" t="s">
        <v>390</v>
      </c>
      <c r="I73" t="s">
        <v>418</v>
      </c>
      <c r="J73" t="s">
        <v>391</v>
      </c>
      <c r="K73" t="s">
        <v>392</v>
      </c>
      <c r="L73" t="s">
        <v>393</v>
      </c>
      <c r="M73" t="s">
        <v>434</v>
      </c>
      <c r="N73" t="s">
        <v>395</v>
      </c>
      <c r="O73">
        <v>10006791</v>
      </c>
      <c r="P73" t="s">
        <v>396</v>
      </c>
      <c r="Q73" s="5" t="str">
        <f>VLOOKUP(TabOceanet[[#This Row],[VM_name]],TabVMEnv[],3,FALSE)</f>
        <v>Environnement A3 (Qualification)
Debian 5.1 / Apache 2 / Tomcat 5.5</v>
      </c>
      <c r="R73" s="5" t="str">
        <f>IF(VLOOKUP(TabOceanet[[#This Row],[VM_name]],TabVMEnv[],2,FALSE)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J15_2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4" spans="1:36" x14ac:dyDescent="0.25">
      <c r="A74" t="s">
        <v>73</v>
      </c>
      <c r="B74">
        <v>1</v>
      </c>
      <c r="C74">
        <v>2</v>
      </c>
      <c r="D74">
        <v>7</v>
      </c>
      <c r="E74" t="s">
        <v>439</v>
      </c>
      <c r="G74" t="s">
        <v>436</v>
      </c>
      <c r="H74" t="s">
        <v>390</v>
      </c>
      <c r="I74" t="s">
        <v>418</v>
      </c>
      <c r="J74" t="s">
        <v>391</v>
      </c>
      <c r="K74" t="s">
        <v>392</v>
      </c>
      <c r="L74" t="s">
        <v>393</v>
      </c>
      <c r="M74" t="s">
        <v>434</v>
      </c>
      <c r="N74" t="s">
        <v>395</v>
      </c>
      <c r="O74">
        <v>10006791</v>
      </c>
      <c r="P74" t="s">
        <v>396</v>
      </c>
      <c r="Q74" s="5" t="str">
        <f>VLOOKUP(TabOceanet[[#This Row],[VM_name]],TabVMEnv[],3,FALSE)</f>
        <v>Environnement A3 (Qualification)
Debian 8.1 / Apache 2 / Tomcat 8</v>
      </c>
      <c r="R74" s="5" t="str">
        <f>IF(VLOOKUP(TabOceanet[[#This Row],[VM_name]],TabVMEnv[],2,FALSE)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J15_2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75" spans="1:36" x14ac:dyDescent="0.25">
      <c r="A75" t="s">
        <v>142</v>
      </c>
      <c r="B75">
        <v>1</v>
      </c>
      <c r="C75">
        <v>1</v>
      </c>
      <c r="D75">
        <v>6</v>
      </c>
      <c r="E75" t="s">
        <v>449</v>
      </c>
      <c r="G75" t="s">
        <v>433</v>
      </c>
      <c r="H75" t="s">
        <v>390</v>
      </c>
      <c r="I75" t="s">
        <v>418</v>
      </c>
      <c r="J75" t="s">
        <v>391</v>
      </c>
      <c r="K75" t="s">
        <v>392</v>
      </c>
      <c r="L75" t="s">
        <v>393</v>
      </c>
      <c r="M75" t="s">
        <v>434</v>
      </c>
      <c r="N75" t="s">
        <v>395</v>
      </c>
      <c r="O75">
        <v>10006791</v>
      </c>
      <c r="P75" t="s">
        <v>396</v>
      </c>
      <c r="Q75" s="5">
        <f>VLOOKUP(TabOceanet[[#This Row],[VM_name]],TabVMEnv[],3,FALSE)</f>
        <v>0</v>
      </c>
      <c r="R75" s="5" t="str">
        <f>IF(VLOOKUP(TabOceanet[[#This Row],[VM_name]],TabVMEnv[],2,FALSE)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1.6</v>
      </c>
      <c r="AG75" s="5" t="str">
        <f>MID(TabOceanet[[#This Row],[Backup]],29,20)</f>
        <v>J15_2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76" spans="1:36" x14ac:dyDescent="0.25">
      <c r="A76" t="s">
        <v>10</v>
      </c>
      <c r="B76">
        <v>1</v>
      </c>
      <c r="C76">
        <v>2</v>
      </c>
      <c r="D76">
        <v>8</v>
      </c>
      <c r="E76" t="s">
        <v>448</v>
      </c>
      <c r="G76" t="s">
        <v>436</v>
      </c>
      <c r="H76" t="s">
        <v>390</v>
      </c>
      <c r="I76" t="s">
        <v>418</v>
      </c>
      <c r="J76" t="s">
        <v>391</v>
      </c>
      <c r="K76" t="s">
        <v>392</v>
      </c>
      <c r="L76" t="s">
        <v>393</v>
      </c>
      <c r="M76" t="s">
        <v>434</v>
      </c>
      <c r="N76" t="s">
        <v>395</v>
      </c>
      <c r="O76">
        <v>10006791</v>
      </c>
      <c r="P76" t="s">
        <v>396</v>
      </c>
      <c r="Q76" s="5" t="str">
        <f>VLOOKUP(TabOceanet[[#This Row],[VM_name]],TabVMEnv[],3,FALSE)</f>
        <v>Mutualisé MEAE
(@base) (Debian 5.0.1 / Apache 2 / Tomcat 5.5)</v>
      </c>
      <c r="R76" s="5" t="str">
        <f>IF(VLOOKUP(TabOceanet[[#This Row],[VM_name]],TabVMEnv[],2,FALSE)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3.2</v>
      </c>
      <c r="AG76" s="5" t="str">
        <f>MID(TabOceanet[[#This Row],[Backup]],29,20)</f>
        <v>J15_2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7" spans="1:36" x14ac:dyDescent="0.25">
      <c r="A77" t="s">
        <v>39</v>
      </c>
      <c r="B77">
        <v>4</v>
      </c>
      <c r="C77">
        <v>4</v>
      </c>
      <c r="D77">
        <v>65</v>
      </c>
      <c r="E77" t="s">
        <v>450</v>
      </c>
      <c r="G77" t="s">
        <v>433</v>
      </c>
      <c r="H77" t="s">
        <v>390</v>
      </c>
      <c r="I77" t="s">
        <v>418</v>
      </c>
      <c r="J77" t="s">
        <v>391</v>
      </c>
      <c r="K77" t="s">
        <v>392</v>
      </c>
      <c r="L77" t="s">
        <v>393</v>
      </c>
      <c r="M77" t="s">
        <v>394</v>
      </c>
      <c r="N77" t="s">
        <v>395</v>
      </c>
      <c r="O77">
        <v>10006791</v>
      </c>
      <c r="P77" t="s">
        <v>396</v>
      </c>
      <c r="Q77" s="5" t="str">
        <f>VLOOKUP(TabOceanet[[#This Row],[VM_name]],TabVMEnv[],3,FALSE)</f>
        <v>Environnement C++ (services d’échange) (dev/qualification)
Windows Server 2003 R2 SP2</v>
      </c>
      <c r="R77" s="5" t="str">
        <f>IF(VLOOKUP(TabOceanet[[#This Row],[VM_name]],TabVMEnv[],2,FALSE)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6.4</v>
      </c>
      <c r="AG77" s="5" t="str">
        <f>MID(TabOceanet[[#This Row],[Backup]],29,20)</f>
        <v>H1_Ve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78" spans="1:36" x14ac:dyDescent="0.25">
      <c r="A78" t="s">
        <v>42</v>
      </c>
      <c r="B78">
        <v>2</v>
      </c>
      <c r="C78">
        <v>4</v>
      </c>
      <c r="D78">
        <v>40</v>
      </c>
      <c r="E78" t="s">
        <v>446</v>
      </c>
      <c r="G78" t="s">
        <v>436</v>
      </c>
      <c r="H78" t="s">
        <v>390</v>
      </c>
      <c r="I78" t="s">
        <v>451</v>
      </c>
      <c r="J78" t="s">
        <v>391</v>
      </c>
      <c r="K78" t="s">
        <v>392</v>
      </c>
      <c r="L78" t="s">
        <v>393</v>
      </c>
      <c r="M78" t="s">
        <v>444</v>
      </c>
      <c r="N78" t="s">
        <v>395</v>
      </c>
      <c r="O78">
        <v>10006791</v>
      </c>
      <c r="P78" t="s">
        <v>396</v>
      </c>
      <c r="Q78" s="5" t="str">
        <f>VLOOKUP(TabOceanet[[#This Row],[VM_name]],TabVMEnv[],3,FALSE)</f>
        <v>Environnement C++ (services d’échange) (dev/qualification)
Windows Server 2008 R2 SP1</v>
      </c>
      <c r="R78" s="5" t="str">
        <f>IF(VLOOKUP(TabOceanet[[#This Row],[VM_name]],TabVMEnv[],2,FALSE)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0</v>
      </c>
      <c r="AF78" s="17">
        <f>TabOceanet[[#This Row],[VM_mem]]*Tarif_Ram</f>
        <v>6.4</v>
      </c>
      <c r="AG78" s="5" t="str">
        <f>MID(TabOceanet[[#This Row],[Backup]],29,20)</f>
        <v>J15_1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79" spans="1:36" x14ac:dyDescent="0.25">
      <c r="A79" t="s">
        <v>36</v>
      </c>
      <c r="B79">
        <v>2</v>
      </c>
      <c r="C79">
        <v>4</v>
      </c>
      <c r="D79">
        <v>60</v>
      </c>
      <c r="E79" t="s">
        <v>431</v>
      </c>
      <c r="G79" t="s">
        <v>436</v>
      </c>
      <c r="H79" t="s">
        <v>390</v>
      </c>
      <c r="I79" t="s">
        <v>418</v>
      </c>
      <c r="J79" t="s">
        <v>391</v>
      </c>
      <c r="K79" t="s">
        <v>392</v>
      </c>
      <c r="L79" t="s">
        <v>393</v>
      </c>
      <c r="M79" t="s">
        <v>434</v>
      </c>
      <c r="N79" t="s">
        <v>395</v>
      </c>
      <c r="O79">
        <v>10006791</v>
      </c>
      <c r="P79" t="s">
        <v>396</v>
      </c>
      <c r="Q79" s="5">
        <f>VLOOKUP(TabOceanet[[#This Row],[VM_name]],TabVMEnv[],3,FALSE)</f>
        <v>0</v>
      </c>
      <c r="R79" s="5" t="str">
        <f>IF(VLOOKUP(TabOceanet[[#This Row],[VM_name]],TabVMEnv[],2,FALSE)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6.4</v>
      </c>
      <c r="AG79" s="5" t="str">
        <f>MID(TabOceanet[[#This Row],[Backup]],29,20)</f>
        <v>J15_2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80" spans="1:36" x14ac:dyDescent="0.25">
      <c r="A80" t="s">
        <v>46</v>
      </c>
      <c r="B80">
        <v>1</v>
      </c>
      <c r="C80">
        <v>2</v>
      </c>
      <c r="D80">
        <v>50</v>
      </c>
      <c r="E80" t="s">
        <v>450</v>
      </c>
      <c r="G80" t="s">
        <v>433</v>
      </c>
      <c r="H80" t="s">
        <v>390</v>
      </c>
      <c r="I80" t="s">
        <v>418</v>
      </c>
      <c r="J80" t="s">
        <v>391</v>
      </c>
      <c r="K80" t="s">
        <v>392</v>
      </c>
      <c r="L80" t="s">
        <v>393</v>
      </c>
      <c r="M80" t="s">
        <v>394</v>
      </c>
      <c r="N80" t="s">
        <v>395</v>
      </c>
      <c r="O80">
        <v>10006791</v>
      </c>
      <c r="P80" t="s">
        <v>396</v>
      </c>
      <c r="Q80" s="5" t="str">
        <f>VLOOKUP(TabOceanet[[#This Row],[VM_name]],TabVMEnv[],3,FALSE)</f>
        <v>Environnement C++ (services d’échange) (dev/qualification)
Windows Server 2003 R2 SP2</v>
      </c>
      <c r="R80" s="5" t="str">
        <f>IF(VLOOKUP(TabOceanet[[#This Row],[VM_name]],TabVMEnv[],2,FALSE)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3.2</v>
      </c>
      <c r="AG80" s="5" t="str">
        <f>MID(TabOceanet[[#This Row],[Backup]],29,20)</f>
        <v>H1_Ve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1" spans="1:36" x14ac:dyDescent="0.25">
      <c r="A81" t="s">
        <v>96</v>
      </c>
      <c r="B81">
        <v>8</v>
      </c>
      <c r="C81">
        <v>16</v>
      </c>
      <c r="D81">
        <v>63</v>
      </c>
      <c r="E81" t="s">
        <v>415</v>
      </c>
      <c r="G81" t="s">
        <v>433</v>
      </c>
      <c r="H81" t="s">
        <v>390</v>
      </c>
      <c r="I81" t="s">
        <v>418</v>
      </c>
      <c r="J81" t="s">
        <v>391</v>
      </c>
      <c r="K81" t="s">
        <v>392</v>
      </c>
      <c r="L81" t="s">
        <v>393</v>
      </c>
      <c r="M81" t="s">
        <v>434</v>
      </c>
      <c r="N81" t="s">
        <v>395</v>
      </c>
      <c r="O81">
        <v>10006791</v>
      </c>
      <c r="P81" t="s">
        <v>396</v>
      </c>
      <c r="Q81" s="5">
        <f>VLOOKUP(TabOceanet[[#This Row],[VM_name]],TabVMEnv[],3,FALSE)</f>
        <v>0</v>
      </c>
      <c r="R81" s="5" t="str">
        <f>IF(VLOOKUP(TabOceanet[[#This Row],[VM_name]],TabVMEnv[],2,FALSE)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25.6</v>
      </c>
      <c r="AG81" s="5" t="str">
        <f>MID(TabOceanet[[#This Row],[Backup]],29,20)</f>
        <v>J15_2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14.49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40.090000000000003</v>
      </c>
    </row>
    <row r="82" spans="1:36" x14ac:dyDescent="0.25">
      <c r="A82" t="s">
        <v>17</v>
      </c>
      <c r="B82">
        <v>1</v>
      </c>
      <c r="C82">
        <v>8</v>
      </c>
      <c r="D82">
        <v>17</v>
      </c>
      <c r="E82" t="s">
        <v>415</v>
      </c>
      <c r="G82" t="s">
        <v>433</v>
      </c>
      <c r="H82" t="s">
        <v>390</v>
      </c>
      <c r="I82" t="s">
        <v>418</v>
      </c>
      <c r="J82" t="s">
        <v>391</v>
      </c>
      <c r="K82" t="s">
        <v>392</v>
      </c>
      <c r="L82" t="s">
        <v>393</v>
      </c>
      <c r="M82" t="s">
        <v>444</v>
      </c>
      <c r="N82" t="s">
        <v>395</v>
      </c>
      <c r="O82">
        <v>10006791</v>
      </c>
      <c r="P82" t="s">
        <v>396</v>
      </c>
      <c r="Q82" s="5" t="str">
        <f>VLOOKUP(TabOceanet[[#This Row],[VM_name]],TabVMEnv[],3,FALSE)</f>
        <v>v 4.6</v>
      </c>
      <c r="R82" s="5" t="str">
        <f>IF(VLOOKUP(TabOceanet[[#This Row],[VM_name]],TabVMEnv[],2,FALSE)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12.8</v>
      </c>
      <c r="AG82" s="5" t="str">
        <f>MID(TabOceanet[[#This Row],[Backup]],29,20)</f>
        <v>J15_1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3" spans="1:36" x14ac:dyDescent="0.25">
      <c r="A83" t="s">
        <v>20</v>
      </c>
      <c r="B83">
        <v>1</v>
      </c>
      <c r="C83">
        <v>8</v>
      </c>
      <c r="D83">
        <v>17</v>
      </c>
      <c r="E83" t="s">
        <v>415</v>
      </c>
      <c r="G83" t="s">
        <v>433</v>
      </c>
      <c r="H83" t="s">
        <v>390</v>
      </c>
      <c r="I83" t="s">
        <v>418</v>
      </c>
      <c r="J83" t="s">
        <v>391</v>
      </c>
      <c r="K83" t="s">
        <v>392</v>
      </c>
      <c r="L83" t="s">
        <v>393</v>
      </c>
      <c r="M83" t="s">
        <v>444</v>
      </c>
      <c r="N83" t="s">
        <v>395</v>
      </c>
      <c r="O83">
        <v>10006791</v>
      </c>
      <c r="P83" t="s">
        <v>396</v>
      </c>
      <c r="Q83" s="5" t="str">
        <f>VLOOKUP(TabOceanet[[#This Row],[VM_name]],TabVMEnv[],3,FALSE)</f>
        <v>v 4.7</v>
      </c>
      <c r="R83" s="5" t="str">
        <f>IF(VLOOKUP(TabOceanet[[#This Row],[VM_name]],TabVMEnv[],2,FALSE)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12.8</v>
      </c>
      <c r="AG83" s="5" t="str">
        <f>MID(TabOceanet[[#This Row],[Backup]],29,20)</f>
        <v>J15_1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4" spans="1:36" x14ac:dyDescent="0.25">
      <c r="A84" t="s">
        <v>25</v>
      </c>
      <c r="B84">
        <v>1</v>
      </c>
      <c r="C84">
        <v>8</v>
      </c>
      <c r="D84">
        <v>17</v>
      </c>
      <c r="E84" t="s">
        <v>415</v>
      </c>
      <c r="G84" t="s">
        <v>436</v>
      </c>
      <c r="H84" t="s">
        <v>390</v>
      </c>
      <c r="I84" t="s">
        <v>418</v>
      </c>
      <c r="J84" t="s">
        <v>391</v>
      </c>
      <c r="K84" t="s">
        <v>392</v>
      </c>
      <c r="L84" t="s">
        <v>393</v>
      </c>
      <c r="M84" t="s">
        <v>444</v>
      </c>
      <c r="N84" t="s">
        <v>395</v>
      </c>
      <c r="O84">
        <v>10006791</v>
      </c>
      <c r="P84" t="s">
        <v>396</v>
      </c>
      <c r="Q84" s="5" t="str">
        <f>VLOOKUP(TabOceanet[[#This Row],[VM_name]],TabVMEnv[],3,FALSE)</f>
        <v>v 4.6</v>
      </c>
      <c r="R84" s="5" t="str">
        <f>IF(VLOOKUP(TabOceanet[[#This Row],[VM_name]],TabVMEnv[],2,FALSE)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12.8</v>
      </c>
      <c r="AG84" s="5" t="str">
        <f>MID(TabOceanet[[#This Row],[Backup]],29,20)</f>
        <v>J15_1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5" spans="1:36" x14ac:dyDescent="0.25">
      <c r="A85" t="s">
        <v>27</v>
      </c>
      <c r="B85">
        <v>1</v>
      </c>
      <c r="C85">
        <v>8</v>
      </c>
      <c r="D85">
        <v>17</v>
      </c>
      <c r="E85" t="s">
        <v>415</v>
      </c>
      <c r="G85" t="s">
        <v>433</v>
      </c>
      <c r="H85" t="s">
        <v>399</v>
      </c>
      <c r="I85" t="s">
        <v>418</v>
      </c>
      <c r="J85" t="s">
        <v>391</v>
      </c>
      <c r="K85" t="s">
        <v>392</v>
      </c>
      <c r="L85" t="s">
        <v>393</v>
      </c>
      <c r="M85" t="s">
        <v>434</v>
      </c>
      <c r="N85" t="s">
        <v>395</v>
      </c>
      <c r="O85">
        <v>10006791</v>
      </c>
      <c r="P85" t="s">
        <v>396</v>
      </c>
      <c r="Q85" s="5" t="str">
        <f>VLOOKUP(TabOceanet[[#This Row],[VM_name]],TabVMEnv[],3,FALSE)</f>
        <v>v 4.7</v>
      </c>
      <c r="R85" s="5" t="str">
        <f>IF(VLOOKUP(TabOceanet[[#This Row],[VM_name]],TabVMEnv[],2,FALSE)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12.8</v>
      </c>
      <c r="AG85" s="5" t="str">
        <f>MID(TabOceanet[[#This Row],[Backup]],29,20)</f>
        <v>J15_2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6" spans="1:36" x14ac:dyDescent="0.25">
      <c r="A86" t="s">
        <v>22</v>
      </c>
      <c r="B86">
        <v>1</v>
      </c>
      <c r="C86">
        <v>4</v>
      </c>
      <c r="D86">
        <v>12</v>
      </c>
      <c r="E86" t="s">
        <v>415</v>
      </c>
      <c r="G86" t="s">
        <v>433</v>
      </c>
      <c r="H86" t="s">
        <v>399</v>
      </c>
      <c r="I86" t="s">
        <v>418</v>
      </c>
      <c r="J86" t="s">
        <v>391</v>
      </c>
      <c r="K86" t="s">
        <v>392</v>
      </c>
      <c r="L86" t="s">
        <v>393</v>
      </c>
      <c r="M86" t="s">
        <v>434</v>
      </c>
      <c r="N86" t="s">
        <v>395</v>
      </c>
      <c r="O86">
        <v>10006791</v>
      </c>
      <c r="P86" t="s">
        <v>396</v>
      </c>
      <c r="Q86" s="5">
        <f>VLOOKUP(TabOceanet[[#This Row],[VM_name]],TabVMEnv[],3,FALSE)</f>
        <v>0</v>
      </c>
      <c r="R86" s="5" t="str">
        <f>IF(VLOOKUP(TabOceanet[[#This Row],[VM_name]],TabVMEnv[],2,FALSE)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J15_2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7" spans="1:36" x14ac:dyDescent="0.25">
      <c r="A87" t="s">
        <v>28</v>
      </c>
      <c r="B87">
        <v>1</v>
      </c>
      <c r="C87">
        <v>4</v>
      </c>
      <c r="D87">
        <v>12</v>
      </c>
      <c r="E87" t="s">
        <v>415</v>
      </c>
      <c r="G87" t="s">
        <v>433</v>
      </c>
      <c r="H87" t="s">
        <v>399</v>
      </c>
      <c r="I87" t="s">
        <v>418</v>
      </c>
      <c r="J87" t="s">
        <v>391</v>
      </c>
      <c r="K87" t="s">
        <v>392</v>
      </c>
      <c r="L87" t="s">
        <v>393</v>
      </c>
      <c r="M87" t="s">
        <v>434</v>
      </c>
      <c r="N87" t="s">
        <v>395</v>
      </c>
      <c r="O87">
        <v>10006791</v>
      </c>
      <c r="P87" t="s">
        <v>396</v>
      </c>
      <c r="Q87" s="5">
        <f>VLOOKUP(TabOceanet[[#This Row],[VM_name]],TabVMEnv[],3,FALSE)</f>
        <v>0</v>
      </c>
      <c r="R87" s="5" t="str">
        <f>IF(VLOOKUP(TabOceanet[[#This Row],[VM_name]],TabVMEnv[],2,FALSE)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1</v>
      </c>
      <c r="AF87" s="17">
        <f>TabOceanet[[#This Row],[VM_mem]]*Tarif_Ram</f>
        <v>6.4</v>
      </c>
      <c r="AG87" s="5" t="str">
        <f>MID(TabOceanet[[#This Row],[Backup]],29,20)</f>
        <v>J15_2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8" spans="1:36" x14ac:dyDescent="0.25">
      <c r="A88" t="s">
        <v>29</v>
      </c>
      <c r="B88">
        <v>1</v>
      </c>
      <c r="C88">
        <v>2</v>
      </c>
      <c r="D88">
        <v>12</v>
      </c>
      <c r="E88" t="s">
        <v>415</v>
      </c>
      <c r="G88" t="s">
        <v>433</v>
      </c>
      <c r="H88" t="s">
        <v>390</v>
      </c>
      <c r="I88" t="s">
        <v>418</v>
      </c>
      <c r="J88" t="s">
        <v>391</v>
      </c>
      <c r="K88" t="s">
        <v>392</v>
      </c>
      <c r="L88" t="s">
        <v>393</v>
      </c>
      <c r="M88" t="s">
        <v>444</v>
      </c>
      <c r="N88" t="s">
        <v>395</v>
      </c>
      <c r="O88">
        <v>10006791</v>
      </c>
      <c r="P88" t="s">
        <v>396</v>
      </c>
      <c r="Q88" s="5">
        <f>VLOOKUP(TabOceanet[[#This Row],[VM_name]],TabVMEnv[],3,FALSE)</f>
        <v>0</v>
      </c>
      <c r="R88" s="5" t="str">
        <f>IF(VLOOKUP(TabOceanet[[#This Row],[VM_name]],TabVMEnv[],2,FALSE)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J15_1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89" spans="1:36" x14ac:dyDescent="0.25">
      <c r="A89" t="s">
        <v>75</v>
      </c>
      <c r="B89">
        <v>2</v>
      </c>
      <c r="C89">
        <v>2</v>
      </c>
      <c r="D89">
        <v>6</v>
      </c>
      <c r="E89" t="s">
        <v>452</v>
      </c>
      <c r="G89" t="s">
        <v>436</v>
      </c>
      <c r="H89" t="s">
        <v>390</v>
      </c>
      <c r="I89" t="s">
        <v>418</v>
      </c>
      <c r="J89" t="s">
        <v>391</v>
      </c>
      <c r="K89" t="s">
        <v>392</v>
      </c>
      <c r="L89" t="s">
        <v>393</v>
      </c>
      <c r="M89" t="s">
        <v>434</v>
      </c>
      <c r="N89" t="s">
        <v>395</v>
      </c>
      <c r="O89">
        <v>10006791</v>
      </c>
      <c r="P89" t="s">
        <v>396</v>
      </c>
      <c r="Q89" s="5" t="str">
        <f>VLOOKUP(TabOceanet[[#This Row],[VM_name]],TabVMEnv[],3,FALSE)</f>
        <v>Environnement Hornet (Qualification)</v>
      </c>
      <c r="R89" s="5" t="str">
        <f>IF(VLOOKUP(TabOceanet[[#This Row],[VM_name]],TabVMEnv[],2,FALSE)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3.2</v>
      </c>
      <c r="AG89" s="5" t="str">
        <f>MID(TabOceanet[[#This Row],[Backup]],29,20)</f>
        <v>J15_2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90" spans="1:36" x14ac:dyDescent="0.25">
      <c r="A90" t="s">
        <v>222</v>
      </c>
      <c r="B90">
        <v>2</v>
      </c>
      <c r="C90">
        <v>4</v>
      </c>
      <c r="D90">
        <v>14</v>
      </c>
      <c r="E90" t="s">
        <v>415</v>
      </c>
      <c r="G90" t="s">
        <v>436</v>
      </c>
      <c r="H90" t="s">
        <v>399</v>
      </c>
      <c r="I90" t="s">
        <v>418</v>
      </c>
      <c r="J90" t="s">
        <v>391</v>
      </c>
      <c r="K90" t="s">
        <v>392</v>
      </c>
      <c r="L90" t="s">
        <v>393</v>
      </c>
      <c r="M90" t="s">
        <v>437</v>
      </c>
      <c r="N90" t="s">
        <v>395</v>
      </c>
      <c r="O90">
        <v>10006791</v>
      </c>
      <c r="P90" t="s">
        <v>396</v>
      </c>
      <c r="Q90" s="5">
        <f>VLOOKUP(TabOceanet[[#This Row],[VM_name]],TabVMEnv[],3,FALSE)</f>
        <v>0</v>
      </c>
      <c r="R90" s="5" t="str">
        <f>IF(VLOOKUP(TabOceanet[[#This Row],[VM_name]],TabVMEnv[],2,FALSE)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J15_3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1" spans="1:36" x14ac:dyDescent="0.25">
      <c r="A91" t="s">
        <v>223</v>
      </c>
      <c r="B91">
        <v>2</v>
      </c>
      <c r="C91">
        <v>4</v>
      </c>
      <c r="D91">
        <v>14</v>
      </c>
      <c r="E91" t="s">
        <v>415</v>
      </c>
      <c r="G91" t="s">
        <v>436</v>
      </c>
      <c r="H91" t="s">
        <v>390</v>
      </c>
      <c r="I91" t="s">
        <v>418</v>
      </c>
      <c r="J91" t="s">
        <v>391</v>
      </c>
      <c r="K91" t="s">
        <v>392</v>
      </c>
      <c r="L91" t="s">
        <v>393</v>
      </c>
      <c r="M91" t="s">
        <v>444</v>
      </c>
      <c r="N91" t="s">
        <v>395</v>
      </c>
      <c r="O91">
        <v>10006791</v>
      </c>
      <c r="P91" t="s">
        <v>396</v>
      </c>
      <c r="Q91" s="5">
        <f>VLOOKUP(TabOceanet[[#This Row],[VM_name]],TabVMEnv[],3,FALSE)</f>
        <v>0</v>
      </c>
      <c r="R91" s="5" t="str">
        <f>IF(VLOOKUP(TabOceanet[[#This Row],[VM_name]],TabVMEnv[],2,FALSE)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J15_1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2" spans="1:36" x14ac:dyDescent="0.25">
      <c r="A92" t="s">
        <v>225</v>
      </c>
      <c r="B92">
        <v>2</v>
      </c>
      <c r="C92">
        <v>4</v>
      </c>
      <c r="D92">
        <v>14</v>
      </c>
      <c r="E92" t="s">
        <v>415</v>
      </c>
      <c r="G92" t="s">
        <v>436</v>
      </c>
      <c r="H92" t="s">
        <v>390</v>
      </c>
      <c r="I92" t="s">
        <v>418</v>
      </c>
      <c r="J92" t="s">
        <v>391</v>
      </c>
      <c r="K92" t="s">
        <v>392</v>
      </c>
      <c r="L92" t="s">
        <v>393</v>
      </c>
      <c r="M92" t="s">
        <v>434</v>
      </c>
      <c r="N92" t="s">
        <v>395</v>
      </c>
      <c r="O92">
        <v>10006791</v>
      </c>
      <c r="P92" t="s">
        <v>396</v>
      </c>
      <c r="Q92" s="5">
        <f>VLOOKUP(TabOceanet[[#This Row],[VM_name]],TabVMEnv[],3,FALSE)</f>
        <v>0</v>
      </c>
      <c r="R92" s="5" t="str">
        <f>IF(VLOOKUP(TabOceanet[[#This Row],[VM_name]],TabVMEnv[],2,FALSE)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3" spans="1:36" x14ac:dyDescent="0.25">
      <c r="A93" t="s">
        <v>226</v>
      </c>
      <c r="B93">
        <v>2</v>
      </c>
      <c r="C93">
        <v>4</v>
      </c>
      <c r="D93">
        <v>14</v>
      </c>
      <c r="E93" t="s">
        <v>415</v>
      </c>
      <c r="G93" t="s">
        <v>433</v>
      </c>
      <c r="H93" t="s">
        <v>390</v>
      </c>
      <c r="I93" t="s">
        <v>418</v>
      </c>
      <c r="J93" t="s">
        <v>391</v>
      </c>
      <c r="K93" t="s">
        <v>392</v>
      </c>
      <c r="L93" t="s">
        <v>393</v>
      </c>
      <c r="M93" t="s">
        <v>434</v>
      </c>
      <c r="N93" t="s">
        <v>395</v>
      </c>
      <c r="O93">
        <v>10006791</v>
      </c>
      <c r="P93" t="s">
        <v>396</v>
      </c>
      <c r="Q93" s="5">
        <f>VLOOKUP(TabOceanet[[#This Row],[VM_name]],TabVMEnv[],3,FALSE)</f>
        <v>0</v>
      </c>
      <c r="R93" s="5" t="str">
        <f>IF(VLOOKUP(TabOceanet[[#This Row],[VM_name]],TabVMEnv[],2,FALSE)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6.4</v>
      </c>
      <c r="AG93" s="5" t="str">
        <f>MID(TabOceanet[[#This Row],[Backup]],29,20)</f>
        <v>J15_2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4" spans="1:36" x14ac:dyDescent="0.25">
      <c r="A94" t="s">
        <v>224</v>
      </c>
      <c r="B94">
        <v>2</v>
      </c>
      <c r="C94">
        <v>4</v>
      </c>
      <c r="D94">
        <v>14</v>
      </c>
      <c r="E94" t="s">
        <v>415</v>
      </c>
      <c r="G94" t="s">
        <v>436</v>
      </c>
      <c r="H94" t="s">
        <v>390</v>
      </c>
      <c r="I94" t="s">
        <v>418</v>
      </c>
      <c r="J94" t="s">
        <v>391</v>
      </c>
      <c r="K94" t="s">
        <v>392</v>
      </c>
      <c r="L94" t="s">
        <v>393</v>
      </c>
      <c r="M94" t="s">
        <v>444</v>
      </c>
      <c r="N94" t="s">
        <v>395</v>
      </c>
      <c r="O94">
        <v>10006791</v>
      </c>
      <c r="P94" t="s">
        <v>396</v>
      </c>
      <c r="Q94" s="5">
        <f>VLOOKUP(TabOceanet[[#This Row],[VM_name]],TabVMEnv[],3,FALSE)</f>
        <v>0</v>
      </c>
      <c r="R94" s="5" t="str">
        <f>IF(VLOOKUP(TabOceanet[[#This Row],[VM_name]],TabVMEnv[],2,FALSE)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6.4</v>
      </c>
      <c r="AG94" s="5" t="str">
        <f>MID(TabOceanet[[#This Row],[Backup]],29,20)</f>
        <v>J15_1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5" spans="1:36" x14ac:dyDescent="0.25">
      <c r="A95" t="s">
        <v>211</v>
      </c>
      <c r="B95">
        <v>2</v>
      </c>
      <c r="C95">
        <v>4</v>
      </c>
      <c r="D95">
        <v>37</v>
      </c>
      <c r="E95" t="s">
        <v>415</v>
      </c>
      <c r="G95" t="s">
        <v>433</v>
      </c>
      <c r="H95" t="s">
        <v>399</v>
      </c>
      <c r="I95" t="s">
        <v>418</v>
      </c>
      <c r="J95" t="s">
        <v>391</v>
      </c>
      <c r="K95" t="s">
        <v>392</v>
      </c>
      <c r="L95" t="s">
        <v>393</v>
      </c>
      <c r="M95" t="s">
        <v>434</v>
      </c>
      <c r="N95" t="s">
        <v>395</v>
      </c>
      <c r="O95">
        <v>10006791</v>
      </c>
      <c r="P95" t="s">
        <v>396</v>
      </c>
      <c r="Q95" s="5">
        <f>VLOOKUP(TabOceanet[[#This Row],[VM_name]],TabVMEnv[],3,FALSE)</f>
        <v>0</v>
      </c>
      <c r="R95" s="5" t="str">
        <f>IF(VLOOKUP(TabOceanet[[#This Row],[VM_name]],TabVMEnv[],2,FALSE)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6.4</v>
      </c>
      <c r="AG95" s="5" t="str">
        <f>MID(TabOceanet[[#This Row],[Backup]],29,20)</f>
        <v>J15_2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8.51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14.91</v>
      </c>
    </row>
    <row r="96" spans="1:36" x14ac:dyDescent="0.25">
      <c r="A96" t="s">
        <v>212</v>
      </c>
      <c r="B96">
        <v>2</v>
      </c>
      <c r="C96">
        <v>4</v>
      </c>
      <c r="D96">
        <v>37</v>
      </c>
      <c r="E96" t="s">
        <v>415</v>
      </c>
      <c r="G96" t="s">
        <v>436</v>
      </c>
      <c r="H96" t="s">
        <v>399</v>
      </c>
      <c r="I96" t="s">
        <v>418</v>
      </c>
      <c r="J96" t="s">
        <v>391</v>
      </c>
      <c r="K96" t="s">
        <v>392</v>
      </c>
      <c r="L96" t="s">
        <v>393</v>
      </c>
      <c r="M96" t="s">
        <v>434</v>
      </c>
      <c r="N96" t="s">
        <v>395</v>
      </c>
      <c r="O96">
        <v>10006791</v>
      </c>
      <c r="P96" t="s">
        <v>396</v>
      </c>
      <c r="Q96" s="5">
        <f>VLOOKUP(TabOceanet[[#This Row],[VM_name]],TabVMEnv[],3,FALSE)</f>
        <v>0</v>
      </c>
      <c r="R96" s="5" t="str">
        <f>IF(VLOOKUP(TabOceanet[[#This Row],[VM_name]],TabVMEnv[],2,FALSE)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6.4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8.51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14.91</v>
      </c>
    </row>
    <row r="97" spans="1:36" x14ac:dyDescent="0.25">
      <c r="A97" t="s">
        <v>32</v>
      </c>
      <c r="B97">
        <v>1</v>
      </c>
      <c r="C97">
        <v>1</v>
      </c>
      <c r="D97">
        <v>21</v>
      </c>
      <c r="E97" t="s">
        <v>438</v>
      </c>
      <c r="G97" t="s">
        <v>436</v>
      </c>
      <c r="H97" t="s">
        <v>390</v>
      </c>
      <c r="I97" t="s">
        <v>418</v>
      </c>
      <c r="J97" t="s">
        <v>391</v>
      </c>
      <c r="K97" t="s">
        <v>392</v>
      </c>
      <c r="L97" t="s">
        <v>393</v>
      </c>
      <c r="M97" t="s">
        <v>394</v>
      </c>
      <c r="N97" t="s">
        <v>395</v>
      </c>
      <c r="O97">
        <v>10006791</v>
      </c>
      <c r="P97" t="s">
        <v>396</v>
      </c>
      <c r="Q97" s="5">
        <f>VLOOKUP(TabOceanet[[#This Row],[VM_name]],TabVMEnv[],3,FALSE)</f>
        <v>0</v>
      </c>
      <c r="R97" s="5" t="str">
        <f>IF(VLOOKUP(TabOceanet[[#This Row],[VM_name]],TabVMEnv[],2,FALSE)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1.6</v>
      </c>
      <c r="AG97" s="5" t="str">
        <f>MID(TabOceanet[[#This Row],[Backup]],29,20)</f>
        <v>H1_Ve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98" spans="1:36" x14ac:dyDescent="0.25">
      <c r="A98" t="s">
        <v>82</v>
      </c>
      <c r="B98">
        <v>1</v>
      </c>
      <c r="C98">
        <v>2</v>
      </c>
      <c r="D98">
        <v>11</v>
      </c>
      <c r="E98" t="s">
        <v>415</v>
      </c>
      <c r="G98" t="s">
        <v>436</v>
      </c>
      <c r="H98" t="s">
        <v>390</v>
      </c>
      <c r="I98" t="s">
        <v>418</v>
      </c>
      <c r="J98" t="s">
        <v>391</v>
      </c>
      <c r="K98" t="s">
        <v>392</v>
      </c>
      <c r="L98" t="s">
        <v>393</v>
      </c>
      <c r="M98" t="s">
        <v>434</v>
      </c>
      <c r="N98" t="s">
        <v>395</v>
      </c>
      <c r="O98">
        <v>10006791</v>
      </c>
      <c r="P98" t="s">
        <v>396</v>
      </c>
      <c r="Q98" s="5">
        <f>VLOOKUP(TabOceanet[[#This Row],[VM_name]],TabVMEnv[],3,FALSE)</f>
        <v>0</v>
      </c>
      <c r="R98" s="5" t="str">
        <f>IF(VLOOKUP(TabOceanet[[#This Row],[VM_name]],TabVMEnv[],2,FALSE)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3.2</v>
      </c>
      <c r="AG98" s="5" t="str">
        <f>MID(TabOceanet[[#This Row],[Backup]],29,20)</f>
        <v>J15_2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5.73</v>
      </c>
    </row>
    <row r="99" spans="1:36" x14ac:dyDescent="0.25">
      <c r="A99" t="s">
        <v>12</v>
      </c>
      <c r="B99">
        <v>1</v>
      </c>
      <c r="C99">
        <v>1</v>
      </c>
      <c r="D99">
        <v>6</v>
      </c>
      <c r="E99" t="s">
        <v>453</v>
      </c>
      <c r="G99" t="s">
        <v>436</v>
      </c>
      <c r="H99" t="s">
        <v>390</v>
      </c>
      <c r="I99" t="s">
        <v>418</v>
      </c>
      <c r="J99" t="s">
        <v>391</v>
      </c>
      <c r="K99" t="s">
        <v>392</v>
      </c>
      <c r="L99" t="s">
        <v>393</v>
      </c>
      <c r="M99" t="s">
        <v>434</v>
      </c>
      <c r="N99" t="s">
        <v>395</v>
      </c>
      <c r="O99">
        <v>10006791</v>
      </c>
      <c r="P99" t="s">
        <v>396</v>
      </c>
      <c r="Q99" s="5" t="str">
        <f>VLOOKUP(TabOceanet[[#This Row],[VM_name]],TabVMEnv[],3,FALSE)</f>
        <v>Mutualisé SAGAIE (multiplateformes)</v>
      </c>
      <c r="R99" s="5" t="str">
        <f>IF(VLOOKUP(TabOceanet[[#This Row],[VM_name]],TabVMEnv[],2,FALSE)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1.6</v>
      </c>
      <c r="AG99" s="5" t="str">
        <f>MID(TabOceanet[[#This Row],[Backup]],29,20)</f>
        <v>J15_2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0" spans="1:36" x14ac:dyDescent="0.25">
      <c r="A100" t="s">
        <v>86</v>
      </c>
      <c r="B100">
        <v>1</v>
      </c>
      <c r="C100">
        <v>1</v>
      </c>
      <c r="D100">
        <v>4</v>
      </c>
      <c r="E100" t="s">
        <v>438</v>
      </c>
      <c r="G100" t="s">
        <v>436</v>
      </c>
      <c r="H100" t="s">
        <v>390</v>
      </c>
      <c r="I100" t="s">
        <v>418</v>
      </c>
      <c r="J100" t="s">
        <v>391</v>
      </c>
      <c r="K100" t="s">
        <v>392</v>
      </c>
      <c r="L100" t="s">
        <v>393</v>
      </c>
      <c r="M100" t="s">
        <v>434</v>
      </c>
      <c r="N100" t="s">
        <v>395</v>
      </c>
      <c r="O100">
        <v>10006791</v>
      </c>
      <c r="P100" t="s">
        <v>396</v>
      </c>
      <c r="Q100" s="5">
        <f>VLOOKUP(TabOceanet[[#This Row],[VM_name]],TabVMEnv[],3,FALSE)</f>
        <v>0</v>
      </c>
      <c r="R100" s="5" t="str">
        <f>IF(VLOOKUP(TabOceanet[[#This Row],[VM_name]],TabVMEnv[],2,FALSE)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1.6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1" spans="1:36" x14ac:dyDescent="0.25">
      <c r="A101" t="s">
        <v>63</v>
      </c>
      <c r="B101">
        <v>2</v>
      </c>
      <c r="C101">
        <v>8</v>
      </c>
      <c r="D101">
        <v>48</v>
      </c>
      <c r="E101" t="s">
        <v>454</v>
      </c>
      <c r="G101" t="s">
        <v>433</v>
      </c>
      <c r="H101" t="s">
        <v>390</v>
      </c>
      <c r="I101" t="s">
        <v>418</v>
      </c>
      <c r="J101" t="s">
        <v>391</v>
      </c>
      <c r="K101" t="s">
        <v>392</v>
      </c>
      <c r="L101" t="s">
        <v>393</v>
      </c>
      <c r="M101" t="s">
        <v>444</v>
      </c>
      <c r="N101" t="s">
        <v>395</v>
      </c>
      <c r="O101">
        <v>10006791</v>
      </c>
      <c r="P101" t="s">
        <v>396</v>
      </c>
      <c r="Q101" s="5" t="str">
        <f>VLOOKUP(TabOceanet[[#This Row],[VM_name]],TabVMEnv[],3,FALSE)</f>
        <v>Pic MEAE Supervisa VISMAIL</v>
      </c>
      <c r="R101" s="5" t="str">
        <f>IF(VLOOKUP(TabOceanet[[#This Row],[VM_name]],TabVMEnv[],2,FALSE)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12.8</v>
      </c>
      <c r="AG101" s="5" t="str">
        <f>MID(TabOceanet[[#This Row],[Backup]],29,20)</f>
        <v>J15_1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23.840000000000003</v>
      </c>
    </row>
    <row r="102" spans="1:36" x14ac:dyDescent="0.25">
      <c r="A102" t="s">
        <v>14</v>
      </c>
      <c r="B102">
        <v>1</v>
      </c>
      <c r="C102">
        <v>1</v>
      </c>
      <c r="D102">
        <v>19</v>
      </c>
      <c r="E102" t="s">
        <v>453</v>
      </c>
      <c r="G102" t="s">
        <v>436</v>
      </c>
      <c r="H102" t="s">
        <v>390</v>
      </c>
      <c r="I102" t="s">
        <v>418</v>
      </c>
      <c r="J102" t="s">
        <v>391</v>
      </c>
      <c r="K102" t="s">
        <v>392</v>
      </c>
      <c r="L102" t="s">
        <v>393</v>
      </c>
      <c r="M102" t="s">
        <v>434</v>
      </c>
      <c r="N102" t="s">
        <v>395</v>
      </c>
      <c r="O102">
        <v>10006791</v>
      </c>
      <c r="P102" t="s">
        <v>396</v>
      </c>
      <c r="Q102" s="5" t="str">
        <f>VLOOKUP(TabOceanet[[#This Row],[VM_name]],TabVMEnv[],3,FALSE)</f>
        <v xml:space="preserve">A éteindre dans un futur proche
PGSQL non SSL
…. QUID utilisation rendez-vous ?
</v>
      </c>
      <c r="R102" s="5" t="str">
        <f>IF(VLOOKUP(TabOceanet[[#This Row],[VM_name]],TabVMEnv[],2,FALSE)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1.6</v>
      </c>
      <c r="AG102" s="5" t="str">
        <f>MID(TabOceanet[[#This Row],[Backup]],29,20)</f>
        <v>J15_2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03" spans="1:36" x14ac:dyDescent="0.25">
      <c r="A103" t="s">
        <v>7</v>
      </c>
      <c r="B103">
        <v>1</v>
      </c>
      <c r="C103">
        <v>1</v>
      </c>
      <c r="D103">
        <v>56</v>
      </c>
      <c r="E103" t="s">
        <v>415</v>
      </c>
      <c r="G103" t="s">
        <v>436</v>
      </c>
      <c r="H103" t="s">
        <v>390</v>
      </c>
      <c r="I103" t="s">
        <v>418</v>
      </c>
      <c r="J103" t="s">
        <v>391</v>
      </c>
      <c r="K103" t="s">
        <v>392</v>
      </c>
      <c r="L103" t="s">
        <v>393</v>
      </c>
      <c r="M103" t="s">
        <v>434</v>
      </c>
      <c r="N103" t="s">
        <v>395</v>
      </c>
      <c r="O103">
        <v>10006791</v>
      </c>
      <c r="P103" t="s">
        <v>396</v>
      </c>
      <c r="Q103" s="5" t="str">
        <f>VLOOKUP(TabOceanet[[#This Row],[VM_name]],TabVMEnv[],3,FALSE)</f>
        <v>Mutualisé SAGAIE (multiplateformes)</v>
      </c>
      <c r="R103" s="5" t="str">
        <f>IF(VLOOKUP(TabOceanet[[#This Row],[VM_name]],TabVMEnv[],2,FALSE)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1.6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04" spans="1:36" x14ac:dyDescent="0.25">
      <c r="A104" t="s">
        <v>37</v>
      </c>
      <c r="B104">
        <v>2</v>
      </c>
      <c r="C104">
        <v>2</v>
      </c>
      <c r="D104">
        <v>27</v>
      </c>
      <c r="E104" t="s">
        <v>415</v>
      </c>
      <c r="G104" t="s">
        <v>436</v>
      </c>
      <c r="H104" t="s">
        <v>390</v>
      </c>
      <c r="I104" t="s">
        <v>418</v>
      </c>
      <c r="J104" t="s">
        <v>391</v>
      </c>
      <c r="K104" t="s">
        <v>392</v>
      </c>
      <c r="L104" t="s">
        <v>393</v>
      </c>
      <c r="M104" t="s">
        <v>444</v>
      </c>
      <c r="N104" t="s">
        <v>395</v>
      </c>
      <c r="O104">
        <v>10006791</v>
      </c>
      <c r="P104" t="s">
        <v>396</v>
      </c>
      <c r="Q104" s="5">
        <f>VLOOKUP(TabOceanet[[#This Row],[VM_name]],TabVMEnv[],3,FALSE)</f>
        <v>0</v>
      </c>
      <c r="R104" s="5" t="str">
        <f>IF(VLOOKUP(TabOceanet[[#This Row],[VM_name]],TabVMEnv[],2,FALSE)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3.2</v>
      </c>
      <c r="AG104" s="5" t="str">
        <f>MID(TabOceanet[[#This Row],[Backup]],29,20)</f>
        <v>J15_1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9.41</v>
      </c>
    </row>
    <row r="105" spans="1:36" x14ac:dyDescent="0.25">
      <c r="A105" t="s">
        <v>227</v>
      </c>
      <c r="B105">
        <v>1</v>
      </c>
      <c r="C105">
        <v>1</v>
      </c>
      <c r="D105">
        <v>6</v>
      </c>
      <c r="E105" t="s">
        <v>415</v>
      </c>
      <c r="G105" t="s">
        <v>436</v>
      </c>
      <c r="H105" t="s">
        <v>390</v>
      </c>
      <c r="I105" t="s">
        <v>418</v>
      </c>
      <c r="J105" t="s">
        <v>391</v>
      </c>
      <c r="K105" t="s">
        <v>392</v>
      </c>
      <c r="L105" t="s">
        <v>393</v>
      </c>
      <c r="M105" t="s">
        <v>444</v>
      </c>
      <c r="N105" t="s">
        <v>395</v>
      </c>
      <c r="O105">
        <v>10006791</v>
      </c>
      <c r="P105" t="s">
        <v>396</v>
      </c>
      <c r="Q105" s="5">
        <f>VLOOKUP(TabOceanet[[#This Row],[VM_name]],TabVMEnv[],3,FALSE)</f>
        <v>0</v>
      </c>
      <c r="R105" s="5" t="str">
        <f>IF(VLOOKUP(TabOceanet[[#This Row],[VM_name]],TabVMEnv[],2,FALSE)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1.6</v>
      </c>
      <c r="AG105" s="5" t="str">
        <f>MID(TabOceanet[[#This Row],[Backup]],29,20)</f>
        <v>J15_1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6" spans="1:36" x14ac:dyDescent="0.25">
      <c r="A106" t="s">
        <v>59</v>
      </c>
      <c r="B106">
        <v>2</v>
      </c>
      <c r="C106">
        <v>4</v>
      </c>
      <c r="D106">
        <v>240</v>
      </c>
      <c r="E106" t="s">
        <v>446</v>
      </c>
      <c r="G106" t="s">
        <v>436</v>
      </c>
      <c r="H106" t="s">
        <v>390</v>
      </c>
      <c r="I106" t="s">
        <v>418</v>
      </c>
      <c r="J106" t="s">
        <v>391</v>
      </c>
      <c r="K106" t="s">
        <v>392</v>
      </c>
      <c r="L106" t="s">
        <v>393</v>
      </c>
      <c r="M106" t="s">
        <v>394</v>
      </c>
      <c r="N106" t="s">
        <v>395</v>
      </c>
      <c r="O106">
        <v>10006791</v>
      </c>
      <c r="P106" t="s">
        <v>396</v>
      </c>
      <c r="Q106" s="5" t="str">
        <f>VLOOKUP(TabOceanet[[#This Row],[VM_name]],TabVMEnv[],3,FALSE)</f>
        <v>MEAE VISA - Nouvelle VM SQL Standard</v>
      </c>
      <c r="R106" s="5" t="str">
        <f>IF(VLOOKUP(TabOceanet[[#This Row],[VM_name]],TabVMEnv[],2,FALSE)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6.4</v>
      </c>
      <c r="AG106" s="5" t="str">
        <f>MID(TabOceanet[[#This Row],[Backup]],29,20)</f>
        <v>H1_Ve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07" spans="1:36" x14ac:dyDescent="0.25">
      <c r="A107" t="s">
        <v>67</v>
      </c>
      <c r="B107">
        <v>1</v>
      </c>
      <c r="C107">
        <v>1</v>
      </c>
      <c r="D107">
        <v>14</v>
      </c>
      <c r="E107" t="s">
        <v>438</v>
      </c>
      <c r="G107" t="s">
        <v>433</v>
      </c>
      <c r="H107" t="s">
        <v>390</v>
      </c>
      <c r="I107" t="s">
        <v>418</v>
      </c>
      <c r="J107" t="s">
        <v>391</v>
      </c>
      <c r="K107" t="s">
        <v>392</v>
      </c>
      <c r="L107" t="s">
        <v>393</v>
      </c>
      <c r="M107" t="s">
        <v>444</v>
      </c>
      <c r="N107" t="s">
        <v>395</v>
      </c>
      <c r="O107">
        <v>10006791</v>
      </c>
      <c r="P107" t="s">
        <v>396</v>
      </c>
      <c r="Q107" s="5" t="str">
        <f>VLOOKUP(TabOceanet[[#This Row],[VM_name]],TabVMEnv[],3,FALSE)</f>
        <v>sources VISMAILWEB</v>
      </c>
      <c r="R107" s="5" t="str">
        <f>IF(VLOOKUP(TabOceanet[[#This Row],[VM_name]],TabVMEnv[],2,FALSE)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1.6</v>
      </c>
      <c r="AG107" s="5" t="str">
        <f>MID(TabOceanet[[#This Row],[Backup]],29,20)</f>
        <v>J15_1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08" spans="1:36" x14ac:dyDescent="0.25">
      <c r="A108" t="s">
        <v>34</v>
      </c>
      <c r="B108">
        <v>1</v>
      </c>
      <c r="C108">
        <v>2</v>
      </c>
      <c r="D108">
        <v>40</v>
      </c>
      <c r="E108" t="s">
        <v>455</v>
      </c>
      <c r="G108" t="s">
        <v>436</v>
      </c>
      <c r="H108" t="s">
        <v>390</v>
      </c>
      <c r="I108" t="s">
        <v>418</v>
      </c>
      <c r="J108" t="s">
        <v>391</v>
      </c>
      <c r="K108" t="s">
        <v>392</v>
      </c>
      <c r="L108" t="s">
        <v>393</v>
      </c>
      <c r="M108" t="s">
        <v>434</v>
      </c>
      <c r="N108" t="s">
        <v>395</v>
      </c>
      <c r="O108">
        <v>10006791</v>
      </c>
      <c r="P108" t="s">
        <v>396</v>
      </c>
      <c r="Q108" s="5" t="str">
        <f>VLOOKUP(TabOceanet[[#This Row],[VM_name]],TabVMEnv[],3,FALSE)</f>
        <v>Environnement Windows Vismail
Windows 7</v>
      </c>
      <c r="R108" s="5" t="str">
        <f>IF(VLOOKUP(TabOceanet[[#This Row],[VM_name]],TabVMEnv[],2,FALSE)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3.2</v>
      </c>
      <c r="AG108" s="5" t="str">
        <f>MID(TabOceanet[[#This Row],[Backup]],29,20)</f>
        <v>J15_2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09" spans="1:36" x14ac:dyDescent="0.25">
      <c r="A109" t="s">
        <v>209</v>
      </c>
      <c r="B109">
        <v>1</v>
      </c>
      <c r="C109">
        <v>1</v>
      </c>
      <c r="D109">
        <v>4</v>
      </c>
      <c r="E109" t="s">
        <v>438</v>
      </c>
      <c r="G109" t="s">
        <v>436</v>
      </c>
      <c r="H109" t="s">
        <v>390</v>
      </c>
      <c r="I109" t="s">
        <v>418</v>
      </c>
      <c r="J109" t="s">
        <v>391</v>
      </c>
      <c r="K109" t="s">
        <v>392</v>
      </c>
      <c r="L109" t="s">
        <v>393</v>
      </c>
      <c r="M109" t="s">
        <v>434</v>
      </c>
      <c r="N109" t="s">
        <v>395</v>
      </c>
      <c r="O109">
        <v>10006791</v>
      </c>
      <c r="P109" t="s">
        <v>396</v>
      </c>
      <c r="Q109" s="5">
        <f>VLOOKUP(TabOceanet[[#This Row],[VM_name]],TabVMEnv[],3,FALSE)</f>
        <v>0</v>
      </c>
      <c r="R109" s="5" t="str">
        <f>IF(VLOOKUP(TabOceanet[[#This Row],[VM_name]],TabVMEnv[],2,FALSE)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1.6</v>
      </c>
      <c r="AG109" s="5" t="str">
        <f>MID(TabOceanet[[#This Row],[Backup]],29,20)</f>
        <v>J15_2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0" spans="1:36" x14ac:dyDescent="0.25">
      <c r="A110" t="s">
        <v>87</v>
      </c>
      <c r="B110">
        <v>2</v>
      </c>
      <c r="C110">
        <v>2</v>
      </c>
      <c r="D110">
        <v>20</v>
      </c>
      <c r="E110" t="s">
        <v>438</v>
      </c>
      <c r="G110" t="s">
        <v>433</v>
      </c>
      <c r="H110" t="s">
        <v>390</v>
      </c>
      <c r="I110" t="s">
        <v>418</v>
      </c>
      <c r="J110" t="s">
        <v>391</v>
      </c>
      <c r="K110" t="s">
        <v>392</v>
      </c>
      <c r="L110" t="s">
        <v>393</v>
      </c>
      <c r="M110" t="s">
        <v>434</v>
      </c>
      <c r="N110" t="s">
        <v>395</v>
      </c>
      <c r="O110">
        <v>10006791</v>
      </c>
      <c r="P110" t="s">
        <v>396</v>
      </c>
      <c r="Q110" s="5" t="str">
        <f>VLOOKUP(TabOceanet[[#This Row],[VM_name]],TabVMEnv[],3,FALSE)</f>
        <v>A CONFIRMER</v>
      </c>
      <c r="R110" s="5" t="str">
        <f>IF(VLOOKUP(TabOceanet[[#This Row],[VM_name]],TabVMEnv[],2,FALSE)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3.2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11" spans="1:36" x14ac:dyDescent="0.25">
      <c r="A111" t="s">
        <v>48</v>
      </c>
      <c r="B111">
        <v>6</v>
      </c>
      <c r="C111">
        <v>4</v>
      </c>
      <c r="D111">
        <v>120</v>
      </c>
      <c r="E111" t="s">
        <v>438</v>
      </c>
      <c r="G111" t="s">
        <v>433</v>
      </c>
      <c r="H111" t="s">
        <v>390</v>
      </c>
      <c r="I111" t="s">
        <v>418</v>
      </c>
      <c r="J111" t="s">
        <v>391</v>
      </c>
      <c r="K111" t="s">
        <v>392</v>
      </c>
      <c r="L111" t="s">
        <v>393</v>
      </c>
      <c r="M111" t="s">
        <v>444</v>
      </c>
      <c r="N111" t="s">
        <v>395</v>
      </c>
      <c r="O111">
        <v>10006791</v>
      </c>
      <c r="P111" t="s">
        <v>396</v>
      </c>
      <c r="Q111" s="5" t="str">
        <f>VLOOKUP(TabOceanet[[#This Row],[VM_name]],TabVMEnv[],3,FALSE)</f>
        <v>Environnement PIC pour VISMAIL</v>
      </c>
      <c r="R111" s="5" t="str">
        <f>IF(VLOOKUP(TabOceanet[[#This Row],[VM_name]],TabVMEnv[],2,FALSE)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6.4</v>
      </c>
      <c r="AG111" s="5" t="str">
        <f>MID(TabOceanet[[#This Row],[Backup]],29,20)</f>
        <v>J15_1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12" spans="1:36" x14ac:dyDescent="0.25">
      <c r="A112" t="s">
        <v>156</v>
      </c>
      <c r="B112">
        <v>1</v>
      </c>
      <c r="C112">
        <v>1</v>
      </c>
      <c r="D112">
        <v>4</v>
      </c>
      <c r="E112" t="s">
        <v>438</v>
      </c>
      <c r="G112" t="s">
        <v>433</v>
      </c>
      <c r="H112" t="s">
        <v>390</v>
      </c>
      <c r="I112" t="s">
        <v>418</v>
      </c>
      <c r="J112" t="s">
        <v>391</v>
      </c>
      <c r="K112" t="s">
        <v>392</v>
      </c>
      <c r="L112" t="s">
        <v>393</v>
      </c>
      <c r="M112" t="s">
        <v>394</v>
      </c>
      <c r="N112" t="s">
        <v>395</v>
      </c>
      <c r="O112">
        <v>10006791</v>
      </c>
      <c r="P112" t="s">
        <v>396</v>
      </c>
      <c r="Q112" s="5" t="str">
        <f>VLOOKUP(TabOceanet[[#This Row],[VM_name]],TabVMEnv[],3,FALSE)</f>
        <v>Mutualisé ASCO</v>
      </c>
      <c r="R112" s="5" t="str">
        <f>IF(VLOOKUP(TabOceanet[[#This Row],[VM_name]],TabVMEnv[],2,FALSE)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H1_Ve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3" spans="1:36" x14ac:dyDescent="0.25">
      <c r="A113" t="s">
        <v>52</v>
      </c>
      <c r="B113">
        <v>1</v>
      </c>
      <c r="C113">
        <v>1</v>
      </c>
      <c r="D113">
        <v>38</v>
      </c>
      <c r="E113" t="s">
        <v>438</v>
      </c>
      <c r="G113" t="s">
        <v>436</v>
      </c>
      <c r="H113" t="s">
        <v>390</v>
      </c>
      <c r="I113" t="s">
        <v>418</v>
      </c>
      <c r="J113" t="s">
        <v>391</v>
      </c>
      <c r="K113" t="s">
        <v>392</v>
      </c>
      <c r="L113" t="s">
        <v>393</v>
      </c>
      <c r="M113" t="s">
        <v>444</v>
      </c>
      <c r="N113" t="s">
        <v>395</v>
      </c>
      <c r="O113">
        <v>10006791</v>
      </c>
      <c r="P113" t="s">
        <v>396</v>
      </c>
      <c r="Q113" s="5" t="str">
        <f>VLOOKUP(TabOceanet[[#This Row],[VM_name]],TabVMEnv[],3,FALSE)</f>
        <v>VMFV France-Visas</v>
      </c>
      <c r="R113" s="5" t="str">
        <f>IF(VLOOKUP(TabOceanet[[#This Row],[VM_name]],TabVMEnv[],2,FALSE)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J15_1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14" spans="1:36" x14ac:dyDescent="0.25">
      <c r="A114" t="s">
        <v>80</v>
      </c>
      <c r="B114">
        <v>1</v>
      </c>
      <c r="C114">
        <v>1</v>
      </c>
      <c r="D114">
        <v>4</v>
      </c>
      <c r="E114" t="s">
        <v>438</v>
      </c>
      <c r="G114" t="s">
        <v>436</v>
      </c>
      <c r="H114" t="s">
        <v>390</v>
      </c>
      <c r="I114" t="s">
        <v>418</v>
      </c>
      <c r="J114" t="s">
        <v>391</v>
      </c>
      <c r="K114" t="s">
        <v>392</v>
      </c>
      <c r="L114" t="s">
        <v>393</v>
      </c>
      <c r="M114" t="s">
        <v>394</v>
      </c>
      <c r="N114" t="s">
        <v>395</v>
      </c>
      <c r="O114">
        <v>10006791</v>
      </c>
      <c r="P114" t="s">
        <v>396</v>
      </c>
      <c r="Q114" s="5" t="str">
        <f>VLOOKUP(TabOceanet[[#This Row],[VM_name]],TabVMEnv[],3,FALSE)</f>
        <v>Extinction longue au cas où Vivesco en aurait besoin</v>
      </c>
      <c r="R114" s="5" t="str">
        <f>IF(VLOOKUP(TabOceanet[[#This Row],[VM_name]],TabVMEnv[],2,FALSE)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H1_Ve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5" spans="1:36" x14ac:dyDescent="0.25">
      <c r="A115" t="s">
        <v>158</v>
      </c>
      <c r="B115">
        <v>1</v>
      </c>
      <c r="C115">
        <v>1</v>
      </c>
      <c r="D115">
        <v>4</v>
      </c>
      <c r="E115" t="s">
        <v>438</v>
      </c>
      <c r="G115" t="s">
        <v>436</v>
      </c>
      <c r="H115" t="s">
        <v>390</v>
      </c>
      <c r="I115" t="s">
        <v>418</v>
      </c>
      <c r="J115" t="s">
        <v>391</v>
      </c>
      <c r="K115" t="s">
        <v>392</v>
      </c>
      <c r="L115" t="s">
        <v>393</v>
      </c>
      <c r="M115" t="s">
        <v>434</v>
      </c>
      <c r="N115" t="s">
        <v>395</v>
      </c>
      <c r="O115">
        <v>10006791</v>
      </c>
      <c r="P115" t="s">
        <v>396</v>
      </c>
      <c r="Q115" s="5">
        <f>VLOOKUP(TabOceanet[[#This Row],[VM_name]],TabVMEnv[],3,FALSE)</f>
        <v>0</v>
      </c>
      <c r="R115" s="5" t="str">
        <f>IF(VLOOKUP(TabOceanet[[#This Row],[VM_name]],TabVMEnv[],2,FALSE)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1.6</v>
      </c>
      <c r="AG115" s="5" t="str">
        <f>MID(TabOceanet[[#This Row],[Backup]],29,20)</f>
        <v>J15_2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6" spans="1:36" x14ac:dyDescent="0.25">
      <c r="A116" t="s">
        <v>55</v>
      </c>
      <c r="B116">
        <v>1</v>
      </c>
      <c r="C116">
        <v>1</v>
      </c>
      <c r="D116">
        <v>22</v>
      </c>
      <c r="E116" t="s">
        <v>438</v>
      </c>
      <c r="G116" t="s">
        <v>436</v>
      </c>
      <c r="H116" t="s">
        <v>390</v>
      </c>
      <c r="I116" t="s">
        <v>418</v>
      </c>
      <c r="J116" t="s">
        <v>391</v>
      </c>
      <c r="K116" t="s">
        <v>392</v>
      </c>
      <c r="L116" t="s">
        <v>393</v>
      </c>
      <c r="M116" t="s">
        <v>434</v>
      </c>
      <c r="N116" t="s">
        <v>395</v>
      </c>
      <c r="O116">
        <v>10006791</v>
      </c>
      <c r="P116" t="s">
        <v>396</v>
      </c>
      <c r="Q116" s="5">
        <f>VLOOKUP(TabOceanet[[#This Row],[VM_name]],TabVMEnv[],3,FALSE)</f>
        <v>0</v>
      </c>
      <c r="R116" s="5" t="str">
        <f>IF(VLOOKUP(TabOceanet[[#This Row],[VM_name]],TabVMEnv[],2,FALSE)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1.6</v>
      </c>
      <c r="AG116" s="5" t="str">
        <f>MID(TabOceanet[[#This Row],[Backup]],29,20)</f>
        <v>J15_2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17" spans="1:36" x14ac:dyDescent="0.25">
      <c r="A117" t="s">
        <v>210</v>
      </c>
      <c r="B117">
        <v>2</v>
      </c>
      <c r="C117">
        <v>2</v>
      </c>
      <c r="D117">
        <v>40</v>
      </c>
      <c r="E117" t="s">
        <v>455</v>
      </c>
      <c r="G117" t="s">
        <v>433</v>
      </c>
      <c r="H117" t="s">
        <v>390</v>
      </c>
      <c r="I117" t="s">
        <v>451</v>
      </c>
      <c r="J117" t="s">
        <v>391</v>
      </c>
      <c r="K117" t="s">
        <v>392</v>
      </c>
      <c r="L117" t="s">
        <v>393</v>
      </c>
      <c r="M117" t="s">
        <v>394</v>
      </c>
      <c r="N117" t="s">
        <v>395</v>
      </c>
      <c r="O117">
        <v>10006791</v>
      </c>
      <c r="P117" t="s">
        <v>396</v>
      </c>
      <c r="Q117" s="5">
        <f>VLOOKUP(TabOceanet[[#This Row],[VM_name]],TabVMEnv[],3,FALSE)</f>
        <v>0</v>
      </c>
      <c r="R117" s="5" t="str">
        <f>IF(VLOOKUP(TabOceanet[[#This Row],[VM_name]],TabVMEnv[],2,FALSE)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0</v>
      </c>
      <c r="AF117" s="17">
        <f>TabOceanet[[#This Row],[VM_mem]]*Tarif_Ram</f>
        <v>3.2</v>
      </c>
      <c r="AG117" s="5" t="str">
        <f>MID(TabOceanet[[#This Row],[Backup]],29,20)</f>
        <v>H1_Ve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18" spans="1:36" x14ac:dyDescent="0.25">
      <c r="A118" t="s">
        <v>247</v>
      </c>
      <c r="B118">
        <v>4</v>
      </c>
      <c r="C118">
        <v>16</v>
      </c>
      <c r="D118">
        <v>127</v>
      </c>
      <c r="E118" t="s">
        <v>415</v>
      </c>
      <c r="G118" t="s">
        <v>436</v>
      </c>
      <c r="H118" t="s">
        <v>390</v>
      </c>
      <c r="I118" t="s">
        <v>418</v>
      </c>
      <c r="J118" t="s">
        <v>391</v>
      </c>
      <c r="K118" t="s">
        <v>397</v>
      </c>
      <c r="L118" t="s">
        <v>393</v>
      </c>
      <c r="M118" t="s">
        <v>444</v>
      </c>
      <c r="N118" t="s">
        <v>395</v>
      </c>
      <c r="O118">
        <v>10006791</v>
      </c>
      <c r="P118" t="s">
        <v>396</v>
      </c>
      <c r="Q118" s="5">
        <f>VLOOKUP(TabOceanet[[#This Row],[VM_name]],TabVMEnv[],3,FALSE)</f>
        <v>0</v>
      </c>
      <c r="R118" s="5" t="str">
        <f>IF(VLOOKUP(TabOceanet[[#This Row],[VM_name]],TabVMEnv[],2,FALSE)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1</v>
      </c>
      <c r="AF118" s="17">
        <f>TabOceanet[[#This Row],[VM_mem]]*Tarif_Ram</f>
        <v>25.6</v>
      </c>
      <c r="AG118" s="5" t="str">
        <f>MID(TabOceanet[[#This Row],[Backup]],29,20)</f>
        <v>J15_1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19" spans="1:36" x14ac:dyDescent="0.25">
      <c r="A119" t="s">
        <v>248</v>
      </c>
      <c r="B119">
        <v>2</v>
      </c>
      <c r="C119">
        <v>4</v>
      </c>
      <c r="D119">
        <v>27</v>
      </c>
      <c r="E119" t="s">
        <v>415</v>
      </c>
      <c r="G119" t="s">
        <v>433</v>
      </c>
      <c r="H119" t="s">
        <v>390</v>
      </c>
      <c r="I119" t="s">
        <v>418</v>
      </c>
      <c r="J119" t="s">
        <v>391</v>
      </c>
      <c r="K119" t="s">
        <v>397</v>
      </c>
      <c r="L119" t="s">
        <v>393</v>
      </c>
      <c r="M119" t="s">
        <v>434</v>
      </c>
      <c r="N119" t="s">
        <v>395</v>
      </c>
      <c r="O119">
        <v>10006791</v>
      </c>
      <c r="P119" t="s">
        <v>396</v>
      </c>
      <c r="Q119" s="5">
        <f>VLOOKUP(TabOceanet[[#This Row],[VM_name]],TabVMEnv[],3,FALSE)</f>
        <v>0</v>
      </c>
      <c r="R119" s="5" t="str">
        <f>IF(VLOOKUP(TabOceanet[[#This Row],[VM_name]],TabVMEnv[],2,FALSE)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6.4</v>
      </c>
      <c r="AG119" s="5" t="str">
        <f>MID(TabOceanet[[#This Row],[Backup]],29,20)</f>
        <v>J15_2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20" spans="1:36" x14ac:dyDescent="0.25">
      <c r="A120" t="s">
        <v>249</v>
      </c>
      <c r="B120">
        <v>4</v>
      </c>
      <c r="C120">
        <v>16</v>
      </c>
      <c r="D120">
        <v>47</v>
      </c>
      <c r="E120" t="s">
        <v>415</v>
      </c>
      <c r="G120" t="s">
        <v>436</v>
      </c>
      <c r="H120" t="s">
        <v>390</v>
      </c>
      <c r="I120" t="s">
        <v>418</v>
      </c>
      <c r="J120" t="s">
        <v>391</v>
      </c>
      <c r="K120" t="s">
        <v>397</v>
      </c>
      <c r="L120" t="s">
        <v>393</v>
      </c>
      <c r="M120" t="s">
        <v>444</v>
      </c>
      <c r="N120" t="s">
        <v>395</v>
      </c>
      <c r="O120">
        <v>10006791</v>
      </c>
      <c r="P120" t="s">
        <v>396</v>
      </c>
      <c r="Q120" s="5">
        <f>VLOOKUP(TabOceanet[[#This Row],[VM_name]],TabVMEnv[],3,FALSE)</f>
        <v>0</v>
      </c>
      <c r="R120" s="5" t="str">
        <f>IF(VLOOKUP(TabOceanet[[#This Row],[VM_name]],TabVMEnv[],2,FALSE)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1</v>
      </c>
      <c r="AF120" s="17">
        <f>TabOceanet[[#This Row],[VM_mem]]*Tarif_Ram</f>
        <v>25.6</v>
      </c>
      <c r="AG120" s="5" t="str">
        <f>MID(TabOceanet[[#This Row],[Backup]],29,20)</f>
        <v>J15_1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21" spans="1:36" x14ac:dyDescent="0.25">
      <c r="A121" t="s">
        <v>185</v>
      </c>
      <c r="B121">
        <v>1</v>
      </c>
      <c r="C121">
        <v>4</v>
      </c>
      <c r="D121">
        <v>6</v>
      </c>
      <c r="E121" t="s">
        <v>415</v>
      </c>
      <c r="G121" t="s">
        <v>436</v>
      </c>
      <c r="H121" t="s">
        <v>390</v>
      </c>
      <c r="I121" t="s">
        <v>418</v>
      </c>
      <c r="J121" t="s">
        <v>391</v>
      </c>
      <c r="K121" t="s">
        <v>392</v>
      </c>
      <c r="L121" t="s">
        <v>393</v>
      </c>
      <c r="M121" t="s">
        <v>444</v>
      </c>
      <c r="N121" t="s">
        <v>395</v>
      </c>
      <c r="O121">
        <v>10006791</v>
      </c>
      <c r="P121" t="s">
        <v>396</v>
      </c>
      <c r="Q121" s="5">
        <f>VLOOKUP(TabOceanet[[#This Row],[VM_name]],TabVMEnv[],3,FALSE)</f>
        <v>0</v>
      </c>
      <c r="R121" s="5" t="str">
        <f>IF(VLOOKUP(TabOceanet[[#This Row],[VM_name]],TabVMEnv[],2,FALSE)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1</v>
      </c>
      <c r="AF121" s="17">
        <f>TabOceanet[[#This Row],[VM_mem]]*Tarif_Ram</f>
        <v>6.4</v>
      </c>
      <c r="AG121" s="5" t="str">
        <f>MID(TabOceanet[[#This Row],[Backup]],29,20)</f>
        <v>J15_1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22" spans="1:36" x14ac:dyDescent="0.25">
      <c r="A122" t="s">
        <v>90</v>
      </c>
      <c r="B122">
        <v>1</v>
      </c>
      <c r="C122">
        <v>1</v>
      </c>
      <c r="D122">
        <v>19</v>
      </c>
      <c r="E122" t="s">
        <v>438</v>
      </c>
      <c r="G122" t="s">
        <v>433</v>
      </c>
      <c r="H122" t="s">
        <v>390</v>
      </c>
      <c r="I122" t="s">
        <v>418</v>
      </c>
      <c r="J122" t="s">
        <v>391</v>
      </c>
      <c r="K122" t="s">
        <v>392</v>
      </c>
      <c r="L122" t="s">
        <v>393</v>
      </c>
      <c r="M122" t="s">
        <v>434</v>
      </c>
      <c r="N122" t="s">
        <v>395</v>
      </c>
      <c r="O122">
        <v>10006791</v>
      </c>
      <c r="P122" t="s">
        <v>396</v>
      </c>
      <c r="Q122" s="5">
        <f>VLOOKUP(TabOceanet[[#This Row],[VM_name]],TabVMEnv[],3,FALSE)</f>
        <v>0</v>
      </c>
      <c r="R122" s="5" t="str">
        <f>IF(VLOOKUP(TabOceanet[[#This Row],[VM_name]],TabVMEnv[],2,FALSE)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1</v>
      </c>
      <c r="AF122" s="17">
        <f>TabOceanet[[#This Row],[VM_mem]]*Tarif_Ram</f>
        <v>1.6</v>
      </c>
      <c r="AG122" s="5" t="str">
        <f>MID(TabOceanet[[#This Row],[Backup]],29,20)</f>
        <v>J15_2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23" spans="1:36" x14ac:dyDescent="0.25">
      <c r="A123" t="s">
        <v>146</v>
      </c>
      <c r="B123">
        <v>1</v>
      </c>
      <c r="C123">
        <v>2</v>
      </c>
      <c r="D123">
        <v>14</v>
      </c>
      <c r="E123" t="s">
        <v>415</v>
      </c>
      <c r="G123" t="s">
        <v>436</v>
      </c>
      <c r="H123" t="s">
        <v>390</v>
      </c>
      <c r="I123" t="s">
        <v>418</v>
      </c>
      <c r="J123" t="s">
        <v>391</v>
      </c>
      <c r="K123" t="s">
        <v>392</v>
      </c>
      <c r="L123" t="s">
        <v>393</v>
      </c>
      <c r="M123" t="s">
        <v>434</v>
      </c>
      <c r="N123" t="s">
        <v>395</v>
      </c>
      <c r="O123">
        <v>10006791</v>
      </c>
      <c r="P123" t="s">
        <v>396</v>
      </c>
      <c r="Q123" s="5">
        <f>VLOOKUP(TabOceanet[[#This Row],[VM_name]],TabVMEnv[],3,FALSE)</f>
        <v>0</v>
      </c>
      <c r="R123" s="5" t="str">
        <f>IF(VLOOKUP(TabOceanet[[#This Row],[VM_name]],TabVMEnv[],2,FALSE)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1</v>
      </c>
      <c r="AF123" s="17">
        <f>TabOceanet[[#This Row],[VM_mem]]*Tarif_Ram</f>
        <v>3.2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4" spans="1:36" x14ac:dyDescent="0.25">
      <c r="A124" t="s">
        <v>91</v>
      </c>
      <c r="B124">
        <v>1</v>
      </c>
      <c r="C124">
        <v>1</v>
      </c>
      <c r="D124">
        <v>4</v>
      </c>
      <c r="E124" t="s">
        <v>415</v>
      </c>
      <c r="G124" t="s">
        <v>436</v>
      </c>
      <c r="H124" t="s">
        <v>390</v>
      </c>
      <c r="I124" t="s">
        <v>418</v>
      </c>
      <c r="J124" t="s">
        <v>391</v>
      </c>
      <c r="K124" t="s">
        <v>392</v>
      </c>
      <c r="L124" t="s">
        <v>393</v>
      </c>
      <c r="M124" t="s">
        <v>444</v>
      </c>
      <c r="N124" t="s">
        <v>395</v>
      </c>
      <c r="O124">
        <v>10006791</v>
      </c>
      <c r="P124" t="s">
        <v>396</v>
      </c>
      <c r="Q124" s="5">
        <f>VLOOKUP(TabOceanet[[#This Row],[VM_name]],TabVMEnv[],3,FALSE)</f>
        <v>0</v>
      </c>
      <c r="R124" s="5" t="str">
        <f>IF(VLOOKUP(TabOceanet[[#This Row],[VM_name]],TabVMEnv[],2,FALSE)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1</v>
      </c>
      <c r="AF124" s="17">
        <f>TabOceanet[[#This Row],[VM_mem]]*Tarif_Ram</f>
        <v>1.6</v>
      </c>
      <c r="AG124" s="5" t="str">
        <f>MID(TabOceanet[[#This Row],[Backup]],29,20)</f>
        <v>J15_1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5" spans="1:36" x14ac:dyDescent="0.25">
      <c r="A125" t="s">
        <v>208</v>
      </c>
      <c r="B125">
        <v>1</v>
      </c>
      <c r="C125">
        <v>1</v>
      </c>
      <c r="D125">
        <v>4</v>
      </c>
      <c r="E125" t="s">
        <v>438</v>
      </c>
      <c r="G125" t="s">
        <v>436</v>
      </c>
      <c r="H125" t="s">
        <v>390</v>
      </c>
      <c r="I125" t="s">
        <v>451</v>
      </c>
      <c r="J125" t="s">
        <v>391</v>
      </c>
      <c r="K125" t="s">
        <v>392</v>
      </c>
      <c r="L125" t="s">
        <v>393</v>
      </c>
      <c r="M125" t="s">
        <v>444</v>
      </c>
      <c r="N125" t="s">
        <v>395</v>
      </c>
      <c r="O125">
        <v>10006791</v>
      </c>
      <c r="P125" t="s">
        <v>396</v>
      </c>
      <c r="Q125" s="5">
        <f>VLOOKUP(TabOceanet[[#This Row],[VM_name]],TabVMEnv[],3,FALSE)</f>
        <v>0</v>
      </c>
      <c r="R125" s="5" t="str">
        <f>IF(VLOOKUP(TabOceanet[[#This Row],[VM_name]],TabVMEnv[],2,FALSE)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0</v>
      </c>
      <c r="AF125" s="17">
        <f>TabOceanet[[#This Row],[VM_mem]]*Tarif_Ram</f>
        <v>1.6</v>
      </c>
      <c r="AG125" s="5" t="str">
        <f>MID(TabOceanet[[#This Row],[Backup]],29,20)</f>
        <v>J15_1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6" spans="1:36" x14ac:dyDescent="0.25">
      <c r="A126" t="s">
        <v>147</v>
      </c>
      <c r="B126">
        <v>1</v>
      </c>
      <c r="C126">
        <v>2</v>
      </c>
      <c r="D126">
        <v>14</v>
      </c>
      <c r="E126" t="s">
        <v>415</v>
      </c>
      <c r="G126" t="s">
        <v>436</v>
      </c>
      <c r="H126" t="s">
        <v>399</v>
      </c>
      <c r="I126" t="s">
        <v>418</v>
      </c>
      <c r="J126" t="s">
        <v>391</v>
      </c>
      <c r="K126" t="s">
        <v>392</v>
      </c>
      <c r="L126" t="s">
        <v>393</v>
      </c>
      <c r="M126" t="s">
        <v>434</v>
      </c>
      <c r="N126" t="s">
        <v>395</v>
      </c>
      <c r="O126">
        <v>10006791</v>
      </c>
      <c r="P126" t="s">
        <v>396</v>
      </c>
      <c r="Q126" s="5">
        <f>VLOOKUP(TabOceanet[[#This Row],[VM_name]],TabVMEnv[],3,FALSE)</f>
        <v>0</v>
      </c>
      <c r="R126" s="5" t="str">
        <f>IF(VLOOKUP(TabOceanet[[#This Row],[VM_name]],TabVMEnv[],2,FALSE)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1</v>
      </c>
      <c r="AF126" s="17">
        <f>TabOceanet[[#This Row],[VM_mem]]*Tarif_Ram</f>
        <v>3.2</v>
      </c>
      <c r="AG126" s="5" t="str">
        <f>MID(TabOceanet[[#This Row],[Backup]],29,20)</f>
        <v>J15_2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7" spans="1:36" x14ac:dyDescent="0.25">
      <c r="A127" t="s">
        <v>92</v>
      </c>
      <c r="B127">
        <v>1</v>
      </c>
      <c r="C127">
        <v>1</v>
      </c>
      <c r="D127">
        <v>8</v>
      </c>
      <c r="E127" t="s">
        <v>415</v>
      </c>
      <c r="G127" t="s">
        <v>436</v>
      </c>
      <c r="H127" t="s">
        <v>390</v>
      </c>
      <c r="I127" t="s">
        <v>418</v>
      </c>
      <c r="J127" t="s">
        <v>391</v>
      </c>
      <c r="K127" t="s">
        <v>392</v>
      </c>
      <c r="L127" t="s">
        <v>393</v>
      </c>
      <c r="M127" t="s">
        <v>434</v>
      </c>
      <c r="N127" t="s">
        <v>395</v>
      </c>
      <c r="O127">
        <v>10006791</v>
      </c>
      <c r="P127" t="s">
        <v>396</v>
      </c>
      <c r="Q127" s="5">
        <f>VLOOKUP(TabOceanet[[#This Row],[VM_name]],TabVMEnv[],3,FALSE)</f>
        <v>0</v>
      </c>
      <c r="R127" s="5" t="str">
        <f>IF(VLOOKUP(TabOceanet[[#This Row],[VM_name]],TabVMEnv[],2,FALSE)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1.6</v>
      </c>
      <c r="AG127" s="5" t="str">
        <f>MID(TabOceanet[[#This Row],[Backup]],29,20)</f>
        <v>J15_2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28" spans="1:36" x14ac:dyDescent="0.25">
      <c r="A128" t="s">
        <v>148</v>
      </c>
      <c r="B128">
        <v>1</v>
      </c>
      <c r="C128">
        <v>2</v>
      </c>
      <c r="D128">
        <v>9</v>
      </c>
      <c r="E128" t="s">
        <v>415</v>
      </c>
      <c r="G128" t="s">
        <v>436</v>
      </c>
      <c r="H128" t="s">
        <v>390</v>
      </c>
      <c r="I128" t="s">
        <v>418</v>
      </c>
      <c r="J128" t="s">
        <v>391</v>
      </c>
      <c r="K128" t="s">
        <v>392</v>
      </c>
      <c r="L128" t="s">
        <v>393</v>
      </c>
      <c r="M128" t="s">
        <v>434</v>
      </c>
      <c r="N128" t="s">
        <v>395</v>
      </c>
      <c r="O128">
        <v>10006791</v>
      </c>
      <c r="P128" t="s">
        <v>396</v>
      </c>
      <c r="Q128" s="5">
        <f>VLOOKUP(TabOceanet[[#This Row],[VM_name]],TabVMEnv[],3,FALSE)</f>
        <v>0</v>
      </c>
      <c r="R128" s="5" t="str">
        <f>IF(VLOOKUP(TabOceanet[[#This Row],[VM_name]],TabVMEnv[],2,FALSE)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3.2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29" spans="1:36" x14ac:dyDescent="0.25">
      <c r="A129" t="s">
        <v>234</v>
      </c>
      <c r="B129">
        <v>1</v>
      </c>
      <c r="C129">
        <v>2</v>
      </c>
      <c r="D129">
        <v>6</v>
      </c>
      <c r="E129" t="s">
        <v>415</v>
      </c>
      <c r="G129" t="s">
        <v>436</v>
      </c>
      <c r="H129" t="s">
        <v>390</v>
      </c>
      <c r="I129" t="s">
        <v>418</v>
      </c>
      <c r="J129" t="s">
        <v>391</v>
      </c>
      <c r="K129" t="s">
        <v>392</v>
      </c>
      <c r="L129" t="s">
        <v>393</v>
      </c>
      <c r="M129" t="s">
        <v>444</v>
      </c>
      <c r="N129" t="s">
        <v>395</v>
      </c>
      <c r="O129">
        <v>10006791</v>
      </c>
      <c r="P129" t="s">
        <v>396</v>
      </c>
      <c r="Q129" s="5">
        <f>VLOOKUP(TabOceanet[[#This Row],[VM_name]],TabVMEnv[],3,FALSE)</f>
        <v>0</v>
      </c>
      <c r="R129" s="5" t="str">
        <f>IF(VLOOKUP(TabOceanet[[#This Row],[VM_name]],TabVMEnv[],2,FALSE)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3.2</v>
      </c>
      <c r="AG129" s="5" t="str">
        <f>MID(TabOceanet[[#This Row],[Backup]],29,20)</f>
        <v>J15_1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30" spans="1:36" x14ac:dyDescent="0.25">
      <c r="A130" t="s">
        <v>149</v>
      </c>
      <c r="B130">
        <v>2</v>
      </c>
      <c r="C130">
        <v>2</v>
      </c>
      <c r="D130">
        <v>26</v>
      </c>
      <c r="E130" t="s">
        <v>415</v>
      </c>
      <c r="G130" t="s">
        <v>436</v>
      </c>
      <c r="H130" t="s">
        <v>390</v>
      </c>
      <c r="I130" t="s">
        <v>418</v>
      </c>
      <c r="J130" t="s">
        <v>391</v>
      </c>
      <c r="K130" t="s">
        <v>392</v>
      </c>
      <c r="L130" t="s">
        <v>393</v>
      </c>
      <c r="M130" t="s">
        <v>434</v>
      </c>
      <c r="N130" t="s">
        <v>395</v>
      </c>
      <c r="O130">
        <v>10006791</v>
      </c>
      <c r="P130" t="s">
        <v>396</v>
      </c>
      <c r="Q130" s="5">
        <f>VLOOKUP(TabOceanet[[#This Row],[VM_name]],TabVMEnv[],3,FALSE)</f>
        <v>0</v>
      </c>
      <c r="R130" s="5" t="str">
        <f>IF(VLOOKUP(TabOceanet[[#This Row],[VM_name]],TabVMEnv[],2,FALSE)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3.2</v>
      </c>
      <c r="AG130" s="5" t="str">
        <f>MID(TabOceanet[[#This Row],[Backup]],29,20)</f>
        <v>J15_2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31" spans="1:36" x14ac:dyDescent="0.25">
      <c r="A131" t="s">
        <v>180</v>
      </c>
      <c r="F131">
        <v>1</v>
      </c>
      <c r="K131" t="s">
        <v>392</v>
      </c>
      <c r="O131">
        <v>10006791</v>
      </c>
      <c r="P131" t="s">
        <v>412</v>
      </c>
      <c r="Q131">
        <f>VLOOKUP(TabOceanet[[#This Row],[VM_name]],TabVMEnv[],3,FALSE)</f>
        <v>0</v>
      </c>
      <c r="R131" s="5" t="str">
        <f>IF(VLOOKUP(TabOceanet[[#This Row],[VM_name]],TabVMEnv[],2,FALSE)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1</v>
      </c>
      <c r="V131" s="5">
        <f>TabOceanet[[#This Row],[isCalcIpPub]]*TabOceanet[[#This Row],[Nb_article]]*Tarif_IPPUB</f>
        <v>2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0</v>
      </c>
      <c r="AF131" s="17">
        <f>TabOceanet[[#This Row],[VM_mem]]*Tarif_Ram</f>
        <v>0</v>
      </c>
      <c r="AG131" s="5" t="str">
        <f>MID(TabOceanet[[#This Row],[Backup]],29,20)</f>
        <v/>
      </c>
      <c r="AH1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2" spans="1:36" x14ac:dyDescent="0.25">
      <c r="A132" t="s">
        <v>293</v>
      </c>
      <c r="F132">
        <v>1</v>
      </c>
      <c r="K132" t="s">
        <v>397</v>
      </c>
      <c r="O132">
        <v>10006791</v>
      </c>
      <c r="P132" t="s">
        <v>412</v>
      </c>
      <c r="Q132">
        <f>VLOOKUP(TabOceanet[[#This Row],[VM_name]],TabVMEnv[],3,FALSE)</f>
        <v>0</v>
      </c>
      <c r="R132" s="5" t="str">
        <f>IF(VLOOKUP(TabOceanet[[#This Row],[VM_name]],TabVMEnv[],2,FALSE)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1</v>
      </c>
      <c r="V132" s="5">
        <f>TabOceanet[[#This Row],[isCalcIpPub]]*TabOceanet[[#This Row],[Nb_article]]*Tarif_IPPUB</f>
        <v>2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0</v>
      </c>
      <c r="AF132" s="17">
        <f>TabOceanet[[#This Row],[VM_mem]]*Tarif_Ram</f>
        <v>0</v>
      </c>
      <c r="AG132" s="5" t="str">
        <f>MID(TabOceanet[[#This Row],[Backup]],29,20)</f>
        <v/>
      </c>
      <c r="AH1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3" spans="1:36" x14ac:dyDescent="0.25">
      <c r="A133" t="s">
        <v>179</v>
      </c>
      <c r="F133">
        <v>1</v>
      </c>
      <c r="K133" t="s">
        <v>392</v>
      </c>
      <c r="O133">
        <v>10006791</v>
      </c>
      <c r="P133" t="s">
        <v>412</v>
      </c>
      <c r="Q133">
        <f>VLOOKUP(TabOceanet[[#This Row],[VM_name]],TabVMEnv[],3,FALSE)</f>
        <v>0</v>
      </c>
      <c r="R133" s="5" t="str">
        <f>IF(VLOOKUP(TabOceanet[[#This Row],[VM_name]],TabVMEnv[],2,FALSE)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1</v>
      </c>
      <c r="V133" s="5">
        <f>TabOceanet[[#This Row],[isCalcIpPub]]*TabOceanet[[#This Row],[Nb_article]]*Tarif_IPPUB</f>
        <v>2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0</v>
      </c>
      <c r="AG133" s="5" t="str">
        <f>MID(TabOceanet[[#This Row],[Backup]],29,20)</f>
        <v/>
      </c>
      <c r="AH1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4" spans="1:36" x14ac:dyDescent="0.25">
      <c r="A134" t="s">
        <v>292</v>
      </c>
      <c r="F134">
        <v>1</v>
      </c>
      <c r="K134" t="s">
        <v>397</v>
      </c>
      <c r="O134">
        <v>10006791</v>
      </c>
      <c r="P134" t="s">
        <v>412</v>
      </c>
      <c r="Q134">
        <f>VLOOKUP(TabOceanet[[#This Row],[VM_name]],TabVMEnv[],3,FALSE)</f>
        <v>0</v>
      </c>
      <c r="R134" s="5" t="str">
        <f>IF(VLOOKUP(TabOceanet[[#This Row],[VM_name]],TabVMEnv[],2,FALSE)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1</v>
      </c>
      <c r="V134" s="5">
        <f>TabOceanet[[#This Row],[isCalcIpPub]]*TabOceanet[[#This Row],[Nb_article]]*Tarif_IPPUB</f>
        <v>2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0</v>
      </c>
      <c r="AF134" s="17">
        <f>TabOceanet[[#This Row],[VM_mem]]*Tarif_Ram</f>
        <v>0</v>
      </c>
      <c r="AG134" s="5" t="str">
        <f>MID(TabOceanet[[#This Row],[Backup]],29,20)</f>
        <v/>
      </c>
      <c r="AH1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5" spans="1:36" x14ac:dyDescent="0.25">
      <c r="A135" t="s">
        <v>324</v>
      </c>
      <c r="F135">
        <v>1</v>
      </c>
      <c r="K135" t="s">
        <v>397</v>
      </c>
      <c r="O135">
        <v>10006791</v>
      </c>
      <c r="P135" t="s">
        <v>412</v>
      </c>
      <c r="Q135">
        <f>VLOOKUP(TabOceanet[[#This Row],[VM_name]],TabVMEnv[],3,FALSE)</f>
        <v>0</v>
      </c>
      <c r="R135" s="5" t="str">
        <f>IF(VLOOKUP(TabOceanet[[#This Row],[VM_name]],TabVMEnv[],2,FALSE)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1</v>
      </c>
      <c r="V135" s="5">
        <f>TabOceanet[[#This Row],[isCalcIpPub]]*TabOceanet[[#This Row],[Nb_article]]*Tarif_IPPUB</f>
        <v>2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0</v>
      </c>
      <c r="AF135" s="17">
        <f>TabOceanet[[#This Row],[VM_mem]]*Tarif_Ram</f>
        <v>0</v>
      </c>
      <c r="AG135" s="5" t="str">
        <f>MID(TabOceanet[[#This Row],[Backup]],29,20)</f>
        <v/>
      </c>
      <c r="AH1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6" spans="1:36" x14ac:dyDescent="0.25">
      <c r="A136" t="s">
        <v>159</v>
      </c>
      <c r="B136">
        <v>1</v>
      </c>
      <c r="C136">
        <v>1</v>
      </c>
      <c r="D136">
        <v>4</v>
      </c>
      <c r="E136" t="s">
        <v>438</v>
      </c>
      <c r="G136" t="s">
        <v>436</v>
      </c>
      <c r="H136" t="s">
        <v>390</v>
      </c>
      <c r="I136" t="s">
        <v>418</v>
      </c>
      <c r="J136" t="s">
        <v>391</v>
      </c>
      <c r="K136" t="s">
        <v>392</v>
      </c>
      <c r="L136" t="s">
        <v>393</v>
      </c>
      <c r="M136" t="s">
        <v>444</v>
      </c>
      <c r="N136" t="s">
        <v>395</v>
      </c>
      <c r="O136">
        <v>10006791</v>
      </c>
      <c r="P136" t="s">
        <v>396</v>
      </c>
      <c r="Q136" s="5">
        <f>VLOOKUP(TabOceanet[[#This Row],[VM_name]],TabVMEnv[],3,FALSE)</f>
        <v>0</v>
      </c>
      <c r="R136" s="5" t="str">
        <f>IF(VLOOKUP(TabOceanet[[#This Row],[VM_name]],TabVMEnv[],2,FALSE)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1</v>
      </c>
      <c r="AF136" s="17">
        <f>TabOceanet[[#This Row],[VM_mem]]*Tarif_Ram</f>
        <v>1.6</v>
      </c>
      <c r="AG136" s="5" t="str">
        <f>MID(TabOceanet[[#This Row],[Backup]],29,20)</f>
        <v>J15_1</v>
      </c>
      <c r="AH1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7" spans="1:36" x14ac:dyDescent="0.25">
      <c r="A137" t="s">
        <v>160</v>
      </c>
      <c r="B137">
        <v>1</v>
      </c>
      <c r="C137">
        <v>1</v>
      </c>
      <c r="D137">
        <v>4</v>
      </c>
      <c r="E137" t="s">
        <v>438</v>
      </c>
      <c r="G137" t="s">
        <v>433</v>
      </c>
      <c r="H137" t="s">
        <v>390</v>
      </c>
      <c r="I137" t="s">
        <v>418</v>
      </c>
      <c r="J137" t="s">
        <v>391</v>
      </c>
      <c r="K137" t="s">
        <v>392</v>
      </c>
      <c r="L137" t="s">
        <v>393</v>
      </c>
      <c r="M137" t="s">
        <v>444</v>
      </c>
      <c r="N137" t="s">
        <v>395</v>
      </c>
      <c r="O137">
        <v>10006791</v>
      </c>
      <c r="P137" t="s">
        <v>396</v>
      </c>
      <c r="Q137" s="5">
        <f>VLOOKUP(TabOceanet[[#This Row],[VM_name]],TabVMEnv[],3,FALSE)</f>
        <v>0</v>
      </c>
      <c r="R137" s="5" t="str">
        <f>IF(VLOOKUP(TabOceanet[[#This Row],[VM_name]],TabVMEnv[],2,FALSE)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1.6</v>
      </c>
      <c r="AG137" s="5" t="str">
        <f>MID(TabOceanet[[#This Row],[Backup]],29,20)</f>
        <v>J15_1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8" spans="1:36" x14ac:dyDescent="0.25">
      <c r="A138" t="s">
        <v>255</v>
      </c>
      <c r="B138">
        <v>1</v>
      </c>
      <c r="C138">
        <v>4</v>
      </c>
      <c r="D138">
        <v>20</v>
      </c>
      <c r="E138" t="s">
        <v>438</v>
      </c>
      <c r="G138" t="s">
        <v>433</v>
      </c>
      <c r="H138" t="s">
        <v>390</v>
      </c>
      <c r="I138" t="s">
        <v>418</v>
      </c>
      <c r="J138" t="s">
        <v>391</v>
      </c>
      <c r="K138" t="s">
        <v>397</v>
      </c>
      <c r="L138" t="s">
        <v>393</v>
      </c>
      <c r="M138" t="s">
        <v>444</v>
      </c>
      <c r="N138" t="s">
        <v>395</v>
      </c>
      <c r="O138">
        <v>10006791</v>
      </c>
      <c r="P138" t="s">
        <v>396</v>
      </c>
      <c r="Q138" s="5">
        <f>VLOOKUP(TabOceanet[[#This Row],[VM_name]],TabVMEnv[],3,FALSE)</f>
        <v>0</v>
      </c>
      <c r="R138" s="5" t="str">
        <f>IF(VLOOKUP(TabOceanet[[#This Row],[VM_name]],TabVMEnv[],2,FALSE)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6.4</v>
      </c>
      <c r="AG138" s="5" t="str">
        <f>MID(TabOceanet[[#This Row],[Backup]],29,20)</f>
        <v>J15_1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39" spans="1:36" x14ac:dyDescent="0.25">
      <c r="A139" t="s">
        <v>326</v>
      </c>
      <c r="B139">
        <v>2</v>
      </c>
      <c r="C139">
        <v>4</v>
      </c>
      <c r="D139">
        <v>23</v>
      </c>
      <c r="E139" t="s">
        <v>415</v>
      </c>
      <c r="G139" t="s">
        <v>433</v>
      </c>
      <c r="H139" t="s">
        <v>390</v>
      </c>
      <c r="I139" t="s">
        <v>418</v>
      </c>
      <c r="J139" t="s">
        <v>391</v>
      </c>
      <c r="K139" t="s">
        <v>397</v>
      </c>
      <c r="L139" t="s">
        <v>393</v>
      </c>
      <c r="M139" t="s">
        <v>437</v>
      </c>
      <c r="N139" t="s">
        <v>395</v>
      </c>
      <c r="O139">
        <v>10006791</v>
      </c>
      <c r="P139" t="s">
        <v>396</v>
      </c>
      <c r="Q139" s="5">
        <f>VLOOKUP(TabOceanet[[#This Row],[VM_name]],TabVMEnv[],3,FALSE)</f>
        <v>0</v>
      </c>
      <c r="R139" s="5" t="str">
        <f>IF(VLOOKUP(TabOceanet[[#This Row],[VM_name]],TabVMEnv[],2,FALSE)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J15_3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140" spans="1:36" x14ac:dyDescent="0.25">
      <c r="A140" t="s">
        <v>1358</v>
      </c>
      <c r="B140">
        <v>2</v>
      </c>
      <c r="C140">
        <v>4</v>
      </c>
      <c r="D140">
        <v>22</v>
      </c>
      <c r="E140" t="s">
        <v>415</v>
      </c>
      <c r="G140" t="s">
        <v>433</v>
      </c>
      <c r="H140" t="s">
        <v>399</v>
      </c>
      <c r="I140" t="s">
        <v>418</v>
      </c>
      <c r="N140" t="s">
        <v>395</v>
      </c>
      <c r="O140">
        <v>10006791</v>
      </c>
      <c r="P140" t="s">
        <v>396</v>
      </c>
      <c r="Q140" s="5">
        <f>VLOOKUP(TabOceanet[[#This Row],[VM_name]],TabVMEnv[],3,FALSE)</f>
        <v>0</v>
      </c>
      <c r="R140" s="5" t="str">
        <f>IF(VLOOKUP(TabOceanet[[#This Row],[VM_name]],TabVMEnv[],2,FALSE)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6.4</v>
      </c>
      <c r="AG140" s="5" t="str">
        <f>MID(TabOceanet[[#This Row],[Backup]],29,20)</f>
        <v/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</v>
      </c>
    </row>
    <row r="141" spans="1:36" x14ac:dyDescent="0.25">
      <c r="A141" t="s">
        <v>1359</v>
      </c>
      <c r="B141">
        <v>2</v>
      </c>
      <c r="C141">
        <v>4</v>
      </c>
      <c r="D141">
        <v>22</v>
      </c>
      <c r="E141" t="s">
        <v>415</v>
      </c>
      <c r="G141" t="s">
        <v>433</v>
      </c>
      <c r="H141" t="s">
        <v>399</v>
      </c>
      <c r="I141" t="s">
        <v>418</v>
      </c>
      <c r="N141" t="s">
        <v>395</v>
      </c>
      <c r="O141">
        <v>10006791</v>
      </c>
      <c r="P141" t="s">
        <v>396</v>
      </c>
      <c r="Q141" s="5">
        <f>VLOOKUP(TabOceanet[[#This Row],[VM_name]],TabVMEnv[],3,FALSE)</f>
        <v>0</v>
      </c>
      <c r="R141" s="5" t="str">
        <f>IF(VLOOKUP(TabOceanet[[#This Row],[VM_name]],TabVMEnv[],2,FALSE)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/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</v>
      </c>
    </row>
    <row r="142" spans="1:36" x14ac:dyDescent="0.25">
      <c r="A142" t="s">
        <v>250</v>
      </c>
      <c r="B142">
        <v>2</v>
      </c>
      <c r="C142">
        <v>4</v>
      </c>
      <c r="D142">
        <v>107</v>
      </c>
      <c r="E142" t="s">
        <v>415</v>
      </c>
      <c r="G142" t="s">
        <v>433</v>
      </c>
      <c r="H142" t="s">
        <v>390</v>
      </c>
      <c r="I142" t="s">
        <v>418</v>
      </c>
      <c r="J142" t="s">
        <v>391</v>
      </c>
      <c r="K142" t="s">
        <v>397</v>
      </c>
      <c r="L142" t="s">
        <v>393</v>
      </c>
      <c r="M142" t="s">
        <v>444</v>
      </c>
      <c r="N142" t="s">
        <v>395</v>
      </c>
      <c r="O142">
        <v>10006791</v>
      </c>
      <c r="P142" t="s">
        <v>396</v>
      </c>
      <c r="Q142" s="5">
        <f>VLOOKUP(TabOceanet[[#This Row],[VM_name]],TabVMEnv[],3,FALSE)</f>
        <v>0</v>
      </c>
      <c r="R142" s="5" t="str">
        <f>IF(VLOOKUP(TabOceanet[[#This Row],[VM_name]],TabVMEnv[],2,FALSE)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6.4</v>
      </c>
      <c r="AG142" s="5" t="str">
        <f>MID(TabOceanet[[#This Row],[Backup]],29,20)</f>
        <v>J15_1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43" spans="1:36" x14ac:dyDescent="0.25">
      <c r="A143" t="s">
        <v>251</v>
      </c>
      <c r="B143">
        <v>2</v>
      </c>
      <c r="C143">
        <v>4</v>
      </c>
      <c r="D143">
        <v>12</v>
      </c>
      <c r="E143" t="s">
        <v>415</v>
      </c>
      <c r="G143" t="s">
        <v>436</v>
      </c>
      <c r="H143" t="s">
        <v>390</v>
      </c>
      <c r="I143" t="s">
        <v>418</v>
      </c>
      <c r="J143" t="s">
        <v>391</v>
      </c>
      <c r="K143" t="s">
        <v>397</v>
      </c>
      <c r="L143" t="s">
        <v>393</v>
      </c>
      <c r="M143" t="s">
        <v>444</v>
      </c>
      <c r="N143" t="s">
        <v>395</v>
      </c>
      <c r="O143">
        <v>10006791</v>
      </c>
      <c r="P143" t="s">
        <v>396</v>
      </c>
      <c r="Q143" s="5">
        <f>VLOOKUP(TabOceanet[[#This Row],[VM_name]],TabVMEnv[],3,FALSE)</f>
        <v>0</v>
      </c>
      <c r="R143" s="5" t="str">
        <f>IF(VLOOKUP(TabOceanet[[#This Row],[VM_name]],TabVMEnv[],2,FALSE)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6.4</v>
      </c>
      <c r="AG143" s="5" t="str">
        <f>MID(TabOceanet[[#This Row],[Backup]],29,20)</f>
        <v>J15_1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4" spans="1:36" x14ac:dyDescent="0.25">
      <c r="A144" t="s">
        <v>252</v>
      </c>
      <c r="B144">
        <v>2</v>
      </c>
      <c r="C144">
        <v>4</v>
      </c>
      <c r="D144">
        <v>12</v>
      </c>
      <c r="E144" t="s">
        <v>415</v>
      </c>
      <c r="G144" t="s">
        <v>436</v>
      </c>
      <c r="H144" t="s">
        <v>390</v>
      </c>
      <c r="I144" t="s">
        <v>418</v>
      </c>
      <c r="J144" t="s">
        <v>391</v>
      </c>
      <c r="K144" t="s">
        <v>397</v>
      </c>
      <c r="L144" t="s">
        <v>393</v>
      </c>
      <c r="M144" t="s">
        <v>444</v>
      </c>
      <c r="N144" t="s">
        <v>395</v>
      </c>
      <c r="O144">
        <v>10006791</v>
      </c>
      <c r="P144" t="s">
        <v>396</v>
      </c>
      <c r="Q144" s="5">
        <f>VLOOKUP(TabOceanet[[#This Row],[VM_name]],TabVMEnv[],3,FALSE)</f>
        <v>0</v>
      </c>
      <c r="R144" s="5" t="str">
        <f>IF(VLOOKUP(TabOceanet[[#This Row],[VM_name]],TabVMEnv[],2,FALSE)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6.4</v>
      </c>
      <c r="AG144" s="5" t="str">
        <f>MID(TabOceanet[[#This Row],[Backup]],29,20)</f>
        <v>J15_1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5" spans="1:36" x14ac:dyDescent="0.25">
      <c r="A145" t="s">
        <v>296</v>
      </c>
      <c r="B145">
        <v>2</v>
      </c>
      <c r="C145">
        <v>4</v>
      </c>
      <c r="D145">
        <v>16</v>
      </c>
      <c r="E145" t="s">
        <v>415</v>
      </c>
      <c r="G145" t="s">
        <v>433</v>
      </c>
      <c r="H145" t="s">
        <v>390</v>
      </c>
      <c r="I145" t="s">
        <v>418</v>
      </c>
      <c r="J145" t="s">
        <v>391</v>
      </c>
      <c r="K145" t="s">
        <v>397</v>
      </c>
      <c r="L145" t="s">
        <v>393</v>
      </c>
      <c r="M145" t="s">
        <v>444</v>
      </c>
      <c r="N145" t="s">
        <v>395</v>
      </c>
      <c r="O145">
        <v>10006791</v>
      </c>
      <c r="P145" t="s">
        <v>396</v>
      </c>
      <c r="Q145" s="5">
        <f>VLOOKUP(TabOceanet[[#This Row],[VM_name]],TabVMEnv[],3,FALSE)</f>
        <v>0</v>
      </c>
      <c r="R145" s="5" t="str">
        <f>IF(VLOOKUP(TabOceanet[[#This Row],[VM_name]],TabVMEnv[],2,FALSE)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6.4</v>
      </c>
      <c r="AG145" s="5" t="str">
        <f>MID(TabOceanet[[#This Row],[Backup]],29,20)</f>
        <v>J15_1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6" spans="1:36" x14ac:dyDescent="0.25">
      <c r="A146" t="s">
        <v>297</v>
      </c>
      <c r="B146">
        <v>2</v>
      </c>
      <c r="C146">
        <v>4</v>
      </c>
      <c r="D146">
        <v>21</v>
      </c>
      <c r="E146" t="s">
        <v>415</v>
      </c>
      <c r="G146" t="s">
        <v>433</v>
      </c>
      <c r="H146" t="s">
        <v>390</v>
      </c>
      <c r="I146" t="s">
        <v>418</v>
      </c>
      <c r="J146" t="s">
        <v>391</v>
      </c>
      <c r="K146" t="s">
        <v>397</v>
      </c>
      <c r="L146" t="s">
        <v>393</v>
      </c>
      <c r="M146" t="s">
        <v>444</v>
      </c>
      <c r="N146" t="s">
        <v>395</v>
      </c>
      <c r="O146">
        <v>10006791</v>
      </c>
      <c r="P146" t="s">
        <v>396</v>
      </c>
      <c r="Q146" s="5">
        <f>VLOOKUP(TabOceanet[[#This Row],[VM_name]],TabVMEnv[],3,FALSE)</f>
        <v>0</v>
      </c>
      <c r="R146" s="5" t="str">
        <f>IF(VLOOKUP(TabOceanet[[#This Row],[VM_name]],TabVMEnv[],2,FALSE)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6.4</v>
      </c>
      <c r="AG146" s="5" t="str">
        <f>MID(TabOceanet[[#This Row],[Backup]],29,20)</f>
        <v>J15_1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7" spans="1:36" x14ac:dyDescent="0.25">
      <c r="A147" t="s">
        <v>258</v>
      </c>
      <c r="B147">
        <v>2</v>
      </c>
      <c r="C147">
        <v>4</v>
      </c>
      <c r="D147">
        <v>16</v>
      </c>
      <c r="E147" t="s">
        <v>415</v>
      </c>
      <c r="G147" t="s">
        <v>436</v>
      </c>
      <c r="H147" t="s">
        <v>390</v>
      </c>
      <c r="I147" t="s">
        <v>418</v>
      </c>
      <c r="J147" t="s">
        <v>391</v>
      </c>
      <c r="K147" t="s">
        <v>397</v>
      </c>
      <c r="L147" t="s">
        <v>393</v>
      </c>
      <c r="M147" t="s">
        <v>444</v>
      </c>
      <c r="N147" t="s">
        <v>395</v>
      </c>
      <c r="O147">
        <v>10006791</v>
      </c>
      <c r="P147" t="s">
        <v>396</v>
      </c>
      <c r="Q147" s="5">
        <f>VLOOKUP(TabOceanet[[#This Row],[VM_name]],TabVMEnv[],3,FALSE)</f>
        <v>0</v>
      </c>
      <c r="R147" s="5" t="str">
        <f>IF(VLOOKUP(TabOceanet[[#This Row],[VM_name]],TabVMEnv[],2,FALSE)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6.4</v>
      </c>
      <c r="AG147" s="5" t="str">
        <f>MID(TabOceanet[[#This Row],[Backup]],29,20)</f>
        <v>J15_1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8" spans="1:36" x14ac:dyDescent="0.25">
      <c r="A148" t="s">
        <v>259</v>
      </c>
      <c r="B148">
        <v>2</v>
      </c>
      <c r="C148">
        <v>4</v>
      </c>
      <c r="D148">
        <v>16</v>
      </c>
      <c r="E148" t="s">
        <v>415</v>
      </c>
      <c r="G148" t="s">
        <v>433</v>
      </c>
      <c r="H148" t="s">
        <v>390</v>
      </c>
      <c r="I148" t="s">
        <v>418</v>
      </c>
      <c r="J148" t="s">
        <v>391</v>
      </c>
      <c r="K148" t="s">
        <v>397</v>
      </c>
      <c r="L148" t="s">
        <v>393</v>
      </c>
      <c r="M148" t="s">
        <v>444</v>
      </c>
      <c r="N148" t="s">
        <v>395</v>
      </c>
      <c r="O148">
        <v>10006791</v>
      </c>
      <c r="P148" t="s">
        <v>396</v>
      </c>
      <c r="Q148" s="5">
        <f>VLOOKUP(TabOceanet[[#This Row],[VM_name]],TabVMEnv[],3,FALSE)</f>
        <v>0</v>
      </c>
      <c r="R148" s="5" t="str">
        <f>IF(VLOOKUP(TabOceanet[[#This Row],[VM_name]],TabVMEnv[],2,FALSE)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6.4</v>
      </c>
      <c r="AG148" s="5" t="str">
        <f>MID(TabOceanet[[#This Row],[Backup]],29,20)</f>
        <v>J15_1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9" spans="1:36" x14ac:dyDescent="0.25">
      <c r="A149" t="s">
        <v>260</v>
      </c>
      <c r="B149">
        <v>2</v>
      </c>
      <c r="C149">
        <v>4</v>
      </c>
      <c r="D149">
        <v>16</v>
      </c>
      <c r="E149" t="s">
        <v>415</v>
      </c>
      <c r="G149" t="s">
        <v>436</v>
      </c>
      <c r="H149" t="s">
        <v>399</v>
      </c>
      <c r="I149" t="s">
        <v>451</v>
      </c>
      <c r="J149" t="s">
        <v>391</v>
      </c>
      <c r="K149" t="s">
        <v>397</v>
      </c>
      <c r="L149" t="s">
        <v>393</v>
      </c>
      <c r="M149" t="s">
        <v>444</v>
      </c>
      <c r="N149" t="s">
        <v>395</v>
      </c>
      <c r="O149">
        <v>10006791</v>
      </c>
      <c r="P149" t="s">
        <v>396</v>
      </c>
      <c r="Q149" s="5">
        <f>VLOOKUP(TabOceanet[[#This Row],[VM_name]],TabVMEnv[],3,FALSE)</f>
        <v>0</v>
      </c>
      <c r="R149" s="5" t="str">
        <f>IF(VLOOKUP(TabOceanet[[#This Row],[VM_name]],TabVMEnv[],2,FALSE)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0</v>
      </c>
      <c r="AF149" s="17">
        <f>TabOceanet[[#This Row],[VM_mem]]*Tarif_Ram</f>
        <v>6.4</v>
      </c>
      <c r="AG149" s="5" t="str">
        <f>MID(TabOceanet[[#This Row],[Backup]],29,20)</f>
        <v>J15_1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50" spans="1:36" x14ac:dyDescent="0.25">
      <c r="A150" t="s">
        <v>298</v>
      </c>
      <c r="B150">
        <v>2</v>
      </c>
      <c r="C150">
        <v>4</v>
      </c>
      <c r="D150">
        <v>16</v>
      </c>
      <c r="E150" t="s">
        <v>415</v>
      </c>
      <c r="G150" t="s">
        <v>433</v>
      </c>
      <c r="H150" t="s">
        <v>390</v>
      </c>
      <c r="I150" t="s">
        <v>418</v>
      </c>
      <c r="J150" t="s">
        <v>391</v>
      </c>
      <c r="K150" t="s">
        <v>397</v>
      </c>
      <c r="L150" t="s">
        <v>393</v>
      </c>
      <c r="M150" t="s">
        <v>444</v>
      </c>
      <c r="N150" t="s">
        <v>395</v>
      </c>
      <c r="O150">
        <v>10006791</v>
      </c>
      <c r="P150" t="s">
        <v>396</v>
      </c>
      <c r="Q150" s="5">
        <f>VLOOKUP(TabOceanet[[#This Row],[VM_name]],TabVMEnv[],3,FALSE)</f>
        <v>0</v>
      </c>
      <c r="R150" s="5" t="str">
        <f>IF(VLOOKUP(TabOceanet[[#This Row],[VM_name]],TabVMEnv[],2,FALSE)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6.4</v>
      </c>
      <c r="AG150" s="5" t="str">
        <f>MID(TabOceanet[[#This Row],[Backup]],29,20)</f>
        <v>J15_1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1" spans="1:36" x14ac:dyDescent="0.25">
      <c r="A151" t="s">
        <v>261</v>
      </c>
      <c r="B151">
        <v>2</v>
      </c>
      <c r="C151">
        <v>4</v>
      </c>
      <c r="D151">
        <v>16</v>
      </c>
      <c r="E151" t="s">
        <v>415</v>
      </c>
      <c r="G151" t="s">
        <v>433</v>
      </c>
      <c r="H151" t="s">
        <v>390</v>
      </c>
      <c r="I151" t="s">
        <v>418</v>
      </c>
      <c r="J151" t="s">
        <v>391</v>
      </c>
      <c r="K151" t="s">
        <v>397</v>
      </c>
      <c r="L151" t="s">
        <v>393</v>
      </c>
      <c r="M151" t="s">
        <v>444</v>
      </c>
      <c r="N151" t="s">
        <v>395</v>
      </c>
      <c r="O151">
        <v>10006791</v>
      </c>
      <c r="P151" t="s">
        <v>396</v>
      </c>
      <c r="Q151" s="5">
        <f>VLOOKUP(TabOceanet[[#This Row],[VM_name]],TabVMEnv[],3,FALSE)</f>
        <v>0</v>
      </c>
      <c r="R151" s="5" t="str">
        <f>IF(VLOOKUP(TabOceanet[[#This Row],[VM_name]],TabVMEnv[],2,FALSE)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6.4</v>
      </c>
      <c r="AG151" s="5" t="str">
        <f>MID(TabOceanet[[#This Row],[Backup]],29,20)</f>
        <v>J15_1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2" spans="1:36" x14ac:dyDescent="0.25">
      <c r="A152" t="s">
        <v>299</v>
      </c>
      <c r="B152">
        <v>2</v>
      </c>
      <c r="C152">
        <v>4</v>
      </c>
      <c r="D152">
        <v>21</v>
      </c>
      <c r="E152" t="s">
        <v>415</v>
      </c>
      <c r="G152" t="s">
        <v>433</v>
      </c>
      <c r="H152" t="s">
        <v>390</v>
      </c>
      <c r="I152" t="s">
        <v>418</v>
      </c>
      <c r="J152" t="s">
        <v>391</v>
      </c>
      <c r="K152" t="s">
        <v>397</v>
      </c>
      <c r="L152" t="s">
        <v>393</v>
      </c>
      <c r="M152" t="s">
        <v>444</v>
      </c>
      <c r="N152" t="s">
        <v>395</v>
      </c>
      <c r="O152">
        <v>10006791</v>
      </c>
      <c r="P152" t="s">
        <v>396</v>
      </c>
      <c r="Q152" s="5">
        <f>VLOOKUP(TabOceanet[[#This Row],[VM_name]],TabVMEnv[],3,FALSE)</f>
        <v>0</v>
      </c>
      <c r="R152" s="5" t="str">
        <f>IF(VLOOKUP(TabOceanet[[#This Row],[VM_name]],TabVMEnv[],2,FALSE)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6.4</v>
      </c>
      <c r="AG152" s="5" t="str">
        <f>MID(TabOceanet[[#This Row],[Backup]],29,20)</f>
        <v>J15_1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3" spans="1:36" x14ac:dyDescent="0.25">
      <c r="A153" t="s">
        <v>300</v>
      </c>
      <c r="B153">
        <v>2</v>
      </c>
      <c r="C153">
        <v>4</v>
      </c>
      <c r="D153">
        <v>16</v>
      </c>
      <c r="E153" t="s">
        <v>415</v>
      </c>
      <c r="G153" t="s">
        <v>436</v>
      </c>
      <c r="H153" t="s">
        <v>390</v>
      </c>
      <c r="I153" t="s">
        <v>418</v>
      </c>
      <c r="J153" t="s">
        <v>391</v>
      </c>
      <c r="K153" t="s">
        <v>397</v>
      </c>
      <c r="L153" t="s">
        <v>393</v>
      </c>
      <c r="M153" t="s">
        <v>444</v>
      </c>
      <c r="N153" t="s">
        <v>395</v>
      </c>
      <c r="O153">
        <v>10006791</v>
      </c>
      <c r="P153" t="s">
        <v>396</v>
      </c>
      <c r="Q153" s="5">
        <f>VLOOKUP(TabOceanet[[#This Row],[VM_name]],TabVMEnv[],3,FALSE)</f>
        <v>0</v>
      </c>
      <c r="R153" s="5" t="str">
        <f>IF(VLOOKUP(TabOceanet[[#This Row],[VM_name]],TabVMEnv[],2,FALSE)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6.4</v>
      </c>
      <c r="AG153" s="5" t="str">
        <f>MID(TabOceanet[[#This Row],[Backup]],29,20)</f>
        <v>J15_1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4" spans="1:36" x14ac:dyDescent="0.25">
      <c r="A154" t="s">
        <v>301</v>
      </c>
      <c r="B154">
        <v>2</v>
      </c>
      <c r="C154">
        <v>4</v>
      </c>
      <c r="D154">
        <v>21</v>
      </c>
      <c r="E154" t="s">
        <v>415</v>
      </c>
      <c r="G154" t="s">
        <v>436</v>
      </c>
      <c r="H154" t="s">
        <v>390</v>
      </c>
      <c r="I154" t="s">
        <v>418</v>
      </c>
      <c r="J154" t="s">
        <v>391</v>
      </c>
      <c r="K154" t="s">
        <v>397</v>
      </c>
      <c r="L154" t="s">
        <v>393</v>
      </c>
      <c r="M154" t="s">
        <v>444</v>
      </c>
      <c r="N154" t="s">
        <v>395</v>
      </c>
      <c r="O154">
        <v>10006791</v>
      </c>
      <c r="P154" t="s">
        <v>396</v>
      </c>
      <c r="Q154" s="5">
        <f>VLOOKUP(TabOceanet[[#This Row],[VM_name]],TabVMEnv[],3,FALSE)</f>
        <v>0</v>
      </c>
      <c r="R154" s="5" t="str">
        <f>IF(VLOOKUP(TabOceanet[[#This Row],[VM_name]],TabVMEnv[],2,FALSE)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1</v>
      </c>
      <c r="AF154" s="17">
        <f>TabOceanet[[#This Row],[VM_mem]]*Tarif_Ram</f>
        <v>6.4</v>
      </c>
      <c r="AG154" s="5" t="str">
        <f>MID(TabOceanet[[#This Row],[Backup]],29,20)</f>
        <v>J15_1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5" spans="1:36" x14ac:dyDescent="0.25">
      <c r="A155" t="s">
        <v>302</v>
      </c>
      <c r="B155">
        <v>2</v>
      </c>
      <c r="C155">
        <v>4</v>
      </c>
      <c r="D155">
        <v>16</v>
      </c>
      <c r="E155" t="s">
        <v>415</v>
      </c>
      <c r="G155" t="s">
        <v>436</v>
      </c>
      <c r="H155" t="s">
        <v>390</v>
      </c>
      <c r="I155" t="s">
        <v>418</v>
      </c>
      <c r="J155" t="s">
        <v>391</v>
      </c>
      <c r="K155" t="s">
        <v>397</v>
      </c>
      <c r="L155" t="s">
        <v>393</v>
      </c>
      <c r="M155" t="s">
        <v>444</v>
      </c>
      <c r="N155" t="s">
        <v>395</v>
      </c>
      <c r="O155">
        <v>10006791</v>
      </c>
      <c r="P155" t="s">
        <v>396</v>
      </c>
      <c r="Q155" s="5">
        <f>VLOOKUP(TabOceanet[[#This Row],[VM_name]],TabVMEnv[],3,FALSE)</f>
        <v>0</v>
      </c>
      <c r="R155" s="5" t="str">
        <f>IF(VLOOKUP(TabOceanet[[#This Row],[VM_name]],TabVMEnv[],2,FALSE)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6.4</v>
      </c>
      <c r="AG155" s="5" t="str">
        <f>MID(TabOceanet[[#This Row],[Backup]],29,20)</f>
        <v>J15_1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6" spans="1:36" x14ac:dyDescent="0.25">
      <c r="A156" t="s">
        <v>303</v>
      </c>
      <c r="B156">
        <v>2</v>
      </c>
      <c r="C156">
        <v>4</v>
      </c>
      <c r="D156">
        <v>21</v>
      </c>
      <c r="E156" t="s">
        <v>415</v>
      </c>
      <c r="G156" t="s">
        <v>436</v>
      </c>
      <c r="H156" t="s">
        <v>390</v>
      </c>
      <c r="I156" t="s">
        <v>418</v>
      </c>
      <c r="J156" t="s">
        <v>391</v>
      </c>
      <c r="K156" t="s">
        <v>397</v>
      </c>
      <c r="L156" t="s">
        <v>393</v>
      </c>
      <c r="M156" t="s">
        <v>434</v>
      </c>
      <c r="N156" t="s">
        <v>395</v>
      </c>
      <c r="O156">
        <v>10006791</v>
      </c>
      <c r="P156" t="s">
        <v>396</v>
      </c>
      <c r="Q156" s="5">
        <f>VLOOKUP(TabOceanet[[#This Row],[VM_name]],TabVMEnv[],3,FALSE)</f>
        <v>0</v>
      </c>
      <c r="R156" s="5" t="str">
        <f>IF(VLOOKUP(TabOceanet[[#This Row],[VM_name]],TabVMEnv[],2,FALSE)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0</v>
      </c>
      <c r="V156" s="5">
        <f>TabOceanet[[#This Row],[isCalcIpPub]]*TabOceanet[[#This Row],[Nb_article]]*Tarif_IPPUB</f>
        <v>0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1</v>
      </c>
      <c r="AF156" s="17">
        <f>TabOceanet[[#This Row],[VM_mem]]*Tarif_Ram</f>
        <v>6.4</v>
      </c>
      <c r="AG156" s="5" t="str">
        <f>MID(TabOceanet[[#This Row],[Backup]],29,20)</f>
        <v>J15_2</v>
      </c>
      <c r="AH1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7" spans="1:36" x14ac:dyDescent="0.25">
      <c r="A157" t="s">
        <v>315</v>
      </c>
      <c r="B157">
        <v>2</v>
      </c>
      <c r="C157">
        <v>4</v>
      </c>
      <c r="D157">
        <v>21</v>
      </c>
      <c r="E157" t="s">
        <v>415</v>
      </c>
      <c r="G157" t="s">
        <v>436</v>
      </c>
      <c r="H157" t="s">
        <v>390</v>
      </c>
      <c r="I157" t="s">
        <v>418</v>
      </c>
      <c r="J157" t="s">
        <v>391</v>
      </c>
      <c r="K157" t="s">
        <v>397</v>
      </c>
      <c r="L157" t="s">
        <v>393</v>
      </c>
      <c r="M157" t="s">
        <v>444</v>
      </c>
      <c r="N157" t="s">
        <v>395</v>
      </c>
      <c r="O157">
        <v>10006791</v>
      </c>
      <c r="P157" t="s">
        <v>396</v>
      </c>
      <c r="Q157" s="5">
        <f>VLOOKUP(TabOceanet[[#This Row],[VM_name]],TabVMEnv[],3,FALSE)</f>
        <v>0</v>
      </c>
      <c r="R157" s="5" t="str">
        <f>IF(VLOOKUP(TabOceanet[[#This Row],[VM_name]],TabVMEnv[],2,FALSE)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0</v>
      </c>
      <c r="V157" s="5">
        <f>TabOceanet[[#This Row],[isCalcIpPub]]*TabOceanet[[#This Row],[Nb_article]]*Tarif_IPPUB</f>
        <v>0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1</v>
      </c>
      <c r="AF157" s="17">
        <f>TabOceanet[[#This Row],[VM_mem]]*Tarif_Ram</f>
        <v>6.4</v>
      </c>
      <c r="AG157" s="5" t="str">
        <f>MID(TabOceanet[[#This Row],[Backup]],29,20)</f>
        <v>J15_1</v>
      </c>
      <c r="AH1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8" spans="1:36" x14ac:dyDescent="0.25">
      <c r="A158" t="s">
        <v>304</v>
      </c>
      <c r="B158">
        <v>2</v>
      </c>
      <c r="C158">
        <v>4</v>
      </c>
      <c r="D158">
        <v>16</v>
      </c>
      <c r="E158" t="s">
        <v>415</v>
      </c>
      <c r="G158" t="s">
        <v>436</v>
      </c>
      <c r="H158" t="s">
        <v>390</v>
      </c>
      <c r="I158" t="s">
        <v>418</v>
      </c>
      <c r="J158" t="s">
        <v>391</v>
      </c>
      <c r="K158" t="s">
        <v>397</v>
      </c>
      <c r="L158" t="s">
        <v>393</v>
      </c>
      <c r="M158" t="s">
        <v>444</v>
      </c>
      <c r="N158" t="s">
        <v>395</v>
      </c>
      <c r="O158">
        <v>10006791</v>
      </c>
      <c r="P158" t="s">
        <v>396</v>
      </c>
      <c r="Q158" s="5">
        <f>VLOOKUP(TabOceanet[[#This Row],[VM_name]],TabVMEnv[],3,FALSE)</f>
        <v>0</v>
      </c>
      <c r="R158" s="5" t="str">
        <f>IF(VLOOKUP(TabOceanet[[#This Row],[VM_name]],TabVMEnv[],2,FALSE)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6.4</v>
      </c>
      <c r="AG158" s="5" t="str">
        <f>MID(TabOceanet[[#This Row],[Backup]],29,20)</f>
        <v>J15_1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9" spans="1:36" x14ac:dyDescent="0.25">
      <c r="A159" t="s">
        <v>305</v>
      </c>
      <c r="B159">
        <v>2</v>
      </c>
      <c r="C159">
        <v>4</v>
      </c>
      <c r="D159">
        <v>21</v>
      </c>
      <c r="E159" t="s">
        <v>415</v>
      </c>
      <c r="G159" t="s">
        <v>436</v>
      </c>
      <c r="H159" t="s">
        <v>390</v>
      </c>
      <c r="I159" t="s">
        <v>418</v>
      </c>
      <c r="J159" t="s">
        <v>391</v>
      </c>
      <c r="K159" t="s">
        <v>397</v>
      </c>
      <c r="L159" t="s">
        <v>393</v>
      </c>
      <c r="M159" t="s">
        <v>444</v>
      </c>
      <c r="N159" t="s">
        <v>395</v>
      </c>
      <c r="O159">
        <v>10006791</v>
      </c>
      <c r="P159" t="s">
        <v>396</v>
      </c>
      <c r="Q159" s="5">
        <f>VLOOKUP(TabOceanet[[#This Row],[VM_name]],TabVMEnv[],3,FALSE)</f>
        <v>0</v>
      </c>
      <c r="R159" s="5" t="str">
        <f>IF(VLOOKUP(TabOceanet[[#This Row],[VM_name]],TabVMEnv[],2,FALSE)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6.4</v>
      </c>
      <c r="AG159" s="5" t="str">
        <f>MID(TabOceanet[[#This Row],[Backup]],29,20)</f>
        <v>J15_1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0" spans="1:36" x14ac:dyDescent="0.25">
      <c r="A160" t="s">
        <v>314</v>
      </c>
      <c r="B160">
        <v>2</v>
      </c>
      <c r="C160">
        <v>4</v>
      </c>
      <c r="D160">
        <v>21</v>
      </c>
      <c r="E160" t="s">
        <v>415</v>
      </c>
      <c r="G160" t="s">
        <v>433</v>
      </c>
      <c r="H160" t="s">
        <v>390</v>
      </c>
      <c r="I160" t="s">
        <v>418</v>
      </c>
      <c r="J160" t="s">
        <v>391</v>
      </c>
      <c r="K160" t="s">
        <v>397</v>
      </c>
      <c r="L160" t="s">
        <v>393</v>
      </c>
      <c r="M160" t="s">
        <v>444</v>
      </c>
      <c r="N160" t="s">
        <v>395</v>
      </c>
      <c r="O160">
        <v>10006791</v>
      </c>
      <c r="P160" t="s">
        <v>396</v>
      </c>
      <c r="Q160" s="5">
        <f>VLOOKUP(TabOceanet[[#This Row],[VM_name]],TabVMEnv[],3,FALSE)</f>
        <v>0</v>
      </c>
      <c r="R160" s="5" t="str">
        <f>IF(VLOOKUP(TabOceanet[[#This Row],[VM_name]],TabVMEnv[],2,FALSE)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J15_1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1" spans="1:36" x14ac:dyDescent="0.25">
      <c r="A161" t="s">
        <v>316</v>
      </c>
      <c r="B161">
        <v>2</v>
      </c>
      <c r="C161">
        <v>4</v>
      </c>
      <c r="D161">
        <v>21</v>
      </c>
      <c r="E161" t="s">
        <v>415</v>
      </c>
      <c r="G161" t="s">
        <v>436</v>
      </c>
      <c r="H161" t="s">
        <v>390</v>
      </c>
      <c r="I161" t="s">
        <v>418</v>
      </c>
      <c r="J161" t="s">
        <v>391</v>
      </c>
      <c r="K161" t="s">
        <v>397</v>
      </c>
      <c r="L161" t="s">
        <v>393</v>
      </c>
      <c r="M161" t="s">
        <v>444</v>
      </c>
      <c r="N161" t="s">
        <v>395</v>
      </c>
      <c r="O161">
        <v>10006791</v>
      </c>
      <c r="P161" t="s">
        <v>396</v>
      </c>
      <c r="Q161" s="5">
        <f>VLOOKUP(TabOceanet[[#This Row],[VM_name]],TabVMEnv[],3,FALSE)</f>
        <v>0</v>
      </c>
      <c r="R161" s="5" t="str">
        <f>IF(VLOOKUP(TabOceanet[[#This Row],[VM_name]],TabVMEnv[],2,FALSE)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J15_1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2" spans="1:36" x14ac:dyDescent="0.25">
      <c r="A162" t="s">
        <v>317</v>
      </c>
      <c r="B162">
        <v>2</v>
      </c>
      <c r="C162">
        <v>4</v>
      </c>
      <c r="D162">
        <v>21</v>
      </c>
      <c r="E162" t="s">
        <v>415</v>
      </c>
      <c r="G162" t="s">
        <v>433</v>
      </c>
      <c r="H162" t="s">
        <v>390</v>
      </c>
      <c r="I162" t="s">
        <v>418</v>
      </c>
      <c r="J162" t="s">
        <v>391</v>
      </c>
      <c r="K162" t="s">
        <v>397</v>
      </c>
      <c r="L162" t="s">
        <v>393</v>
      </c>
      <c r="M162" t="s">
        <v>444</v>
      </c>
      <c r="N162" t="s">
        <v>395</v>
      </c>
      <c r="O162">
        <v>10006791</v>
      </c>
      <c r="P162" t="s">
        <v>396</v>
      </c>
      <c r="Q162" s="5">
        <f>VLOOKUP(TabOceanet[[#This Row],[VM_name]],TabVMEnv[],3,FALSE)</f>
        <v>0</v>
      </c>
      <c r="R162" s="5" t="str">
        <f>IF(VLOOKUP(TabOceanet[[#This Row],[VM_name]],TabVMEnv[],2,FALSE)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J15_1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3" spans="1:36" x14ac:dyDescent="0.25">
      <c r="A163" t="s">
        <v>318</v>
      </c>
      <c r="B163">
        <v>2</v>
      </c>
      <c r="C163">
        <v>4</v>
      </c>
      <c r="D163">
        <v>21</v>
      </c>
      <c r="E163" t="s">
        <v>415</v>
      </c>
      <c r="G163" t="s">
        <v>433</v>
      </c>
      <c r="H163" t="s">
        <v>390</v>
      </c>
      <c r="I163" t="s">
        <v>418</v>
      </c>
      <c r="J163" t="s">
        <v>391</v>
      </c>
      <c r="K163" t="s">
        <v>397</v>
      </c>
      <c r="L163" t="s">
        <v>393</v>
      </c>
      <c r="M163" t="s">
        <v>444</v>
      </c>
      <c r="N163" t="s">
        <v>395</v>
      </c>
      <c r="O163">
        <v>10006791</v>
      </c>
      <c r="P163" t="s">
        <v>396</v>
      </c>
      <c r="Q163" s="5">
        <f>VLOOKUP(TabOceanet[[#This Row],[VM_name]],TabVMEnv[],3,FALSE)</f>
        <v>0</v>
      </c>
      <c r="R163" s="5" t="str">
        <f>IF(VLOOKUP(TabOceanet[[#This Row],[VM_name]],TabVMEnv[],2,FALSE)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J15_1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4" spans="1:36" x14ac:dyDescent="0.25">
      <c r="A164" t="s">
        <v>290</v>
      </c>
      <c r="B164">
        <v>2</v>
      </c>
      <c r="C164">
        <v>4</v>
      </c>
      <c r="D164">
        <v>21</v>
      </c>
      <c r="E164" t="s">
        <v>415</v>
      </c>
      <c r="G164" t="s">
        <v>436</v>
      </c>
      <c r="H164" t="s">
        <v>390</v>
      </c>
      <c r="I164" t="s">
        <v>418</v>
      </c>
      <c r="J164" t="s">
        <v>391</v>
      </c>
      <c r="K164" t="s">
        <v>397</v>
      </c>
      <c r="L164" t="s">
        <v>393</v>
      </c>
      <c r="M164" t="s">
        <v>444</v>
      </c>
      <c r="N164" t="s">
        <v>395</v>
      </c>
      <c r="O164">
        <v>10006791</v>
      </c>
      <c r="P164" t="s">
        <v>396</v>
      </c>
      <c r="Q164" s="5">
        <f>VLOOKUP(TabOceanet[[#This Row],[VM_name]],TabVMEnv[],3,FALSE)</f>
        <v>0</v>
      </c>
      <c r="R164" s="5" t="str">
        <f>IF(VLOOKUP(TabOceanet[[#This Row],[VM_name]],TabVMEnv[],2,FALSE)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J15_1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5" spans="1:36" x14ac:dyDescent="0.25">
      <c r="A165" t="s">
        <v>319</v>
      </c>
      <c r="B165">
        <v>2</v>
      </c>
      <c r="C165">
        <v>4</v>
      </c>
      <c r="D165">
        <v>21</v>
      </c>
      <c r="E165" t="s">
        <v>415</v>
      </c>
      <c r="G165" t="s">
        <v>436</v>
      </c>
      <c r="H165" t="s">
        <v>390</v>
      </c>
      <c r="I165" t="s">
        <v>418</v>
      </c>
      <c r="J165" t="s">
        <v>391</v>
      </c>
      <c r="K165" t="s">
        <v>397</v>
      </c>
      <c r="L165" t="s">
        <v>393</v>
      </c>
      <c r="M165" t="s">
        <v>444</v>
      </c>
      <c r="N165" t="s">
        <v>395</v>
      </c>
      <c r="O165">
        <v>10006791</v>
      </c>
      <c r="P165" t="s">
        <v>396</v>
      </c>
      <c r="Q165" s="5">
        <f>VLOOKUP(TabOceanet[[#This Row],[VM_name]],TabVMEnv[],3,FALSE)</f>
        <v>0</v>
      </c>
      <c r="R165" s="5" t="str">
        <f>IF(VLOOKUP(TabOceanet[[#This Row],[VM_name]],TabVMEnv[],2,FALSE)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J15_1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6" spans="1:36" x14ac:dyDescent="0.25">
      <c r="A166" t="s">
        <v>320</v>
      </c>
      <c r="B166">
        <v>2</v>
      </c>
      <c r="C166">
        <v>4</v>
      </c>
      <c r="D166">
        <v>21</v>
      </c>
      <c r="E166" t="s">
        <v>415</v>
      </c>
      <c r="G166" t="s">
        <v>436</v>
      </c>
      <c r="H166" t="s">
        <v>390</v>
      </c>
      <c r="I166" t="s">
        <v>418</v>
      </c>
      <c r="J166" t="s">
        <v>391</v>
      </c>
      <c r="K166" t="s">
        <v>397</v>
      </c>
      <c r="L166" t="s">
        <v>393</v>
      </c>
      <c r="M166" t="s">
        <v>444</v>
      </c>
      <c r="N166" t="s">
        <v>395</v>
      </c>
      <c r="O166">
        <v>10006791</v>
      </c>
      <c r="P166" t="s">
        <v>396</v>
      </c>
      <c r="Q166" s="5">
        <f>VLOOKUP(TabOceanet[[#This Row],[VM_name]],TabVMEnv[],3,FALSE)</f>
        <v>0</v>
      </c>
      <c r="R166" s="5" t="str">
        <f>IF(VLOOKUP(TabOceanet[[#This Row],[VM_name]],TabVMEnv[],2,FALSE)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J15_1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7" spans="1:36" x14ac:dyDescent="0.25">
      <c r="A167" t="s">
        <v>321</v>
      </c>
      <c r="B167">
        <v>2</v>
      </c>
      <c r="C167">
        <v>4</v>
      </c>
      <c r="D167">
        <v>21</v>
      </c>
      <c r="E167" t="s">
        <v>415</v>
      </c>
      <c r="G167" t="s">
        <v>436</v>
      </c>
      <c r="H167" t="s">
        <v>390</v>
      </c>
      <c r="I167" t="s">
        <v>418</v>
      </c>
      <c r="J167" t="s">
        <v>391</v>
      </c>
      <c r="K167" t="s">
        <v>397</v>
      </c>
      <c r="L167" t="s">
        <v>393</v>
      </c>
      <c r="M167" t="s">
        <v>444</v>
      </c>
      <c r="N167" t="s">
        <v>395</v>
      </c>
      <c r="O167">
        <v>10006791</v>
      </c>
      <c r="P167" t="s">
        <v>396</v>
      </c>
      <c r="Q167" s="5">
        <f>VLOOKUP(TabOceanet[[#This Row],[VM_name]],TabVMEnv[],3,FALSE)</f>
        <v>0</v>
      </c>
      <c r="R167" s="5" t="str">
        <f>IF(VLOOKUP(TabOceanet[[#This Row],[VM_name]],TabVMEnv[],2,FALSE)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J15_1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8" spans="1:36" x14ac:dyDescent="0.25">
      <c r="A168" t="s">
        <v>291</v>
      </c>
      <c r="B168">
        <v>2</v>
      </c>
      <c r="C168">
        <v>4</v>
      </c>
      <c r="D168">
        <v>21</v>
      </c>
      <c r="E168" t="s">
        <v>415</v>
      </c>
      <c r="G168" t="s">
        <v>433</v>
      </c>
      <c r="H168" t="s">
        <v>390</v>
      </c>
      <c r="I168" t="s">
        <v>418</v>
      </c>
      <c r="J168" t="s">
        <v>391</v>
      </c>
      <c r="K168" t="s">
        <v>397</v>
      </c>
      <c r="L168" t="s">
        <v>393</v>
      </c>
      <c r="M168" t="s">
        <v>444</v>
      </c>
      <c r="N168" t="s">
        <v>395</v>
      </c>
      <c r="O168">
        <v>10006791</v>
      </c>
      <c r="P168" t="s">
        <v>396</v>
      </c>
      <c r="Q168" s="5">
        <f>VLOOKUP(TabOceanet[[#This Row],[VM_name]],TabVMEnv[],3,FALSE)</f>
        <v>0</v>
      </c>
      <c r="R168" s="5" t="str">
        <f>IF(VLOOKUP(TabOceanet[[#This Row],[VM_name]],TabVMEnv[],2,FALSE)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J15_1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9" spans="1:36" x14ac:dyDescent="0.25">
      <c r="A169" t="s">
        <v>322</v>
      </c>
      <c r="B169">
        <v>2</v>
      </c>
      <c r="C169">
        <v>4</v>
      </c>
      <c r="D169">
        <v>21</v>
      </c>
      <c r="E169" t="s">
        <v>415</v>
      </c>
      <c r="G169" t="s">
        <v>436</v>
      </c>
      <c r="H169" t="s">
        <v>390</v>
      </c>
      <c r="I169" t="s">
        <v>418</v>
      </c>
      <c r="J169" t="s">
        <v>391</v>
      </c>
      <c r="K169" t="s">
        <v>397</v>
      </c>
      <c r="L169" t="s">
        <v>393</v>
      </c>
      <c r="M169" t="s">
        <v>444</v>
      </c>
      <c r="N169" t="s">
        <v>395</v>
      </c>
      <c r="O169">
        <v>10006791</v>
      </c>
      <c r="P169" t="s">
        <v>396</v>
      </c>
      <c r="Q169" s="5">
        <f>VLOOKUP(TabOceanet[[#This Row],[VM_name]],TabVMEnv[],3,FALSE)</f>
        <v>0</v>
      </c>
      <c r="R169" s="5" t="str">
        <f>IF(VLOOKUP(TabOceanet[[#This Row],[VM_name]],TabVMEnv[],2,FALSE)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J15_1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0" spans="1:36" x14ac:dyDescent="0.25">
      <c r="A170" t="s">
        <v>323</v>
      </c>
      <c r="B170">
        <v>2</v>
      </c>
      <c r="C170">
        <v>4</v>
      </c>
      <c r="D170">
        <v>21</v>
      </c>
      <c r="E170" t="s">
        <v>415</v>
      </c>
      <c r="G170" t="s">
        <v>433</v>
      </c>
      <c r="H170" t="s">
        <v>390</v>
      </c>
      <c r="I170" t="s">
        <v>418</v>
      </c>
      <c r="J170" t="s">
        <v>391</v>
      </c>
      <c r="K170" t="s">
        <v>397</v>
      </c>
      <c r="L170" t="s">
        <v>393</v>
      </c>
      <c r="M170" t="s">
        <v>444</v>
      </c>
      <c r="N170" t="s">
        <v>395</v>
      </c>
      <c r="O170">
        <v>10006791</v>
      </c>
      <c r="P170" t="s">
        <v>396</v>
      </c>
      <c r="Q170" s="5">
        <f>VLOOKUP(TabOceanet[[#This Row],[VM_name]],TabVMEnv[],3,FALSE)</f>
        <v>0</v>
      </c>
      <c r="R170" s="5" t="str">
        <f>IF(VLOOKUP(TabOceanet[[#This Row],[VM_name]],TabVMEnv[],2,FALSE)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J15_1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1" spans="1:36" x14ac:dyDescent="0.25">
      <c r="A171" t="s">
        <v>294</v>
      </c>
      <c r="B171">
        <v>2</v>
      </c>
      <c r="C171">
        <v>4</v>
      </c>
      <c r="D171">
        <v>21</v>
      </c>
      <c r="E171" t="s">
        <v>415</v>
      </c>
      <c r="G171" t="s">
        <v>436</v>
      </c>
      <c r="H171" t="s">
        <v>390</v>
      </c>
      <c r="I171" t="s">
        <v>418</v>
      </c>
      <c r="J171" t="s">
        <v>391</v>
      </c>
      <c r="K171" t="s">
        <v>397</v>
      </c>
      <c r="L171" t="s">
        <v>393</v>
      </c>
      <c r="M171" t="s">
        <v>434</v>
      </c>
      <c r="N171" t="s">
        <v>395</v>
      </c>
      <c r="O171">
        <v>10006791</v>
      </c>
      <c r="P171" t="s">
        <v>396</v>
      </c>
      <c r="Q171" s="5">
        <f>VLOOKUP(TabOceanet[[#This Row],[VM_name]],TabVMEnv[],3,FALSE)</f>
        <v>0</v>
      </c>
      <c r="R171" s="5" t="str">
        <f>IF(VLOOKUP(TabOceanet[[#This Row],[VM_name]],TabVMEnv[],2,FALSE)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J15_2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2" spans="1:36" x14ac:dyDescent="0.25">
      <c r="A172" t="s">
        <v>257</v>
      </c>
      <c r="B172">
        <v>2</v>
      </c>
      <c r="C172">
        <v>4</v>
      </c>
      <c r="D172">
        <v>22</v>
      </c>
      <c r="E172" t="s">
        <v>415</v>
      </c>
      <c r="G172" t="s">
        <v>436</v>
      </c>
      <c r="H172" t="s">
        <v>399</v>
      </c>
      <c r="I172" t="s">
        <v>418</v>
      </c>
      <c r="K172" t="s">
        <v>397</v>
      </c>
      <c r="L172" t="s">
        <v>393</v>
      </c>
      <c r="M172" t="s">
        <v>434</v>
      </c>
      <c r="N172" t="s">
        <v>395</v>
      </c>
      <c r="O172">
        <v>10006791</v>
      </c>
      <c r="P172" t="s">
        <v>396</v>
      </c>
      <c r="Q172" s="5">
        <f>VLOOKUP(TabOceanet[[#This Row],[VM_name]],TabVMEnv[],3,FALSE)</f>
        <v>0</v>
      </c>
      <c r="R172" s="5" t="str">
        <f>IF(VLOOKUP(TabOceanet[[#This Row],[VM_name]],TabVMEnv[],2,FALSE)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6.4</v>
      </c>
      <c r="AG172" s="5" t="str">
        <f>MID(TabOceanet[[#This Row],[Backup]],29,20)</f>
        <v>J15_2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11.46</v>
      </c>
    </row>
    <row r="173" spans="1:36" x14ac:dyDescent="0.25">
      <c r="A173" t="s">
        <v>306</v>
      </c>
      <c r="B173">
        <v>1</v>
      </c>
      <c r="C173">
        <v>1</v>
      </c>
      <c r="D173">
        <v>4</v>
      </c>
      <c r="E173" t="s">
        <v>438</v>
      </c>
      <c r="G173" t="s">
        <v>436</v>
      </c>
      <c r="H173" t="s">
        <v>390</v>
      </c>
      <c r="I173" t="s">
        <v>418</v>
      </c>
      <c r="J173" t="s">
        <v>391</v>
      </c>
      <c r="K173" t="s">
        <v>397</v>
      </c>
      <c r="L173" t="s">
        <v>393</v>
      </c>
      <c r="M173" t="s">
        <v>444</v>
      </c>
      <c r="N173" t="s">
        <v>395</v>
      </c>
      <c r="O173">
        <v>10006791</v>
      </c>
      <c r="P173" t="s">
        <v>396</v>
      </c>
      <c r="Q173" s="5">
        <f>VLOOKUP(TabOceanet[[#This Row],[VM_name]],TabVMEnv[],3,FALSE)</f>
        <v>0</v>
      </c>
      <c r="R173" s="5" t="str">
        <f>IF(VLOOKUP(TabOceanet[[#This Row],[VM_name]],TabVMEnv[],2,FALSE)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1.6</v>
      </c>
      <c r="AG173" s="5" t="str">
        <f>MID(TabOceanet[[#This Row],[Backup]],29,20)</f>
        <v>J15_1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4" spans="1:36" x14ac:dyDescent="0.25">
      <c r="A174" t="s">
        <v>253</v>
      </c>
      <c r="B174">
        <v>1</v>
      </c>
      <c r="C174">
        <v>1</v>
      </c>
      <c r="D174">
        <v>4</v>
      </c>
      <c r="E174" t="s">
        <v>438</v>
      </c>
      <c r="G174" t="s">
        <v>436</v>
      </c>
      <c r="H174" t="s">
        <v>390</v>
      </c>
      <c r="I174" t="s">
        <v>418</v>
      </c>
      <c r="J174" t="s">
        <v>391</v>
      </c>
      <c r="K174" t="s">
        <v>397</v>
      </c>
      <c r="L174" t="s">
        <v>393</v>
      </c>
      <c r="M174" t="s">
        <v>444</v>
      </c>
      <c r="N174" t="s">
        <v>395</v>
      </c>
      <c r="O174">
        <v>10006791</v>
      </c>
      <c r="P174" t="s">
        <v>396</v>
      </c>
      <c r="Q174" s="5">
        <f>VLOOKUP(TabOceanet[[#This Row],[VM_name]],TabVMEnv[],3,FALSE)</f>
        <v>0</v>
      </c>
      <c r="R174" s="5" t="str">
        <f>IF(VLOOKUP(TabOceanet[[#This Row],[VM_name]],TabVMEnv[],2,FALSE)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1.6</v>
      </c>
      <c r="AG174" s="5" t="str">
        <f>MID(TabOceanet[[#This Row],[Backup]],29,20)</f>
        <v>J15_1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5" spans="1:36" x14ac:dyDescent="0.25">
      <c r="A175" t="s">
        <v>262</v>
      </c>
      <c r="B175">
        <v>2</v>
      </c>
      <c r="C175">
        <v>4</v>
      </c>
      <c r="D175">
        <v>4</v>
      </c>
      <c r="E175" t="s">
        <v>438</v>
      </c>
      <c r="G175" t="s">
        <v>436</v>
      </c>
      <c r="H175" t="s">
        <v>390</v>
      </c>
      <c r="I175" t="s">
        <v>418</v>
      </c>
      <c r="J175" t="s">
        <v>391</v>
      </c>
      <c r="K175" t="s">
        <v>397</v>
      </c>
      <c r="L175" t="s">
        <v>393</v>
      </c>
      <c r="M175" t="s">
        <v>434</v>
      </c>
      <c r="N175" t="s">
        <v>395</v>
      </c>
      <c r="O175">
        <v>10006791</v>
      </c>
      <c r="P175" t="s">
        <v>396</v>
      </c>
      <c r="Q175" s="5">
        <f>VLOOKUP(TabOceanet[[#This Row],[VM_name]],TabVMEnv[],3,FALSE)</f>
        <v>0</v>
      </c>
      <c r="R175" s="5" t="str">
        <f>IF(VLOOKUP(TabOceanet[[#This Row],[VM_name]],TabVMEnv[],2,FALSE)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J15_2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176" spans="1:36" x14ac:dyDescent="0.25">
      <c r="A176" t="s">
        <v>263</v>
      </c>
      <c r="B176">
        <v>2</v>
      </c>
      <c r="C176">
        <v>4</v>
      </c>
      <c r="D176">
        <v>8</v>
      </c>
      <c r="E176" t="s">
        <v>438</v>
      </c>
      <c r="G176" t="s">
        <v>433</v>
      </c>
      <c r="H176" t="s">
        <v>390</v>
      </c>
      <c r="I176" t="s">
        <v>418</v>
      </c>
      <c r="J176" t="s">
        <v>391</v>
      </c>
      <c r="K176" t="s">
        <v>397</v>
      </c>
      <c r="L176" t="s">
        <v>393</v>
      </c>
      <c r="M176" t="s">
        <v>434</v>
      </c>
      <c r="N176" t="s">
        <v>395</v>
      </c>
      <c r="O176">
        <v>10006791</v>
      </c>
      <c r="P176" t="s">
        <v>396</v>
      </c>
      <c r="Q176" s="5">
        <f>VLOOKUP(TabOceanet[[#This Row],[VM_name]],TabVMEnv[],3,FALSE)</f>
        <v>0</v>
      </c>
      <c r="R176" s="5" t="str">
        <f>IF(VLOOKUP(TabOceanet[[#This Row],[VM_name]],TabVMEnv[],2,FALSE)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6.4</v>
      </c>
      <c r="AG176" s="5" t="str">
        <f>MID(TabOceanet[[#This Row],[Backup]],29,20)</f>
        <v>J15_2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7" spans="1:36" x14ac:dyDescent="0.25">
      <c r="A177" t="s">
        <v>307</v>
      </c>
      <c r="B177">
        <v>2</v>
      </c>
      <c r="C177">
        <v>4</v>
      </c>
      <c r="D177">
        <v>8</v>
      </c>
      <c r="E177" t="s">
        <v>438</v>
      </c>
      <c r="G177" t="s">
        <v>436</v>
      </c>
      <c r="H177" t="s">
        <v>390</v>
      </c>
      <c r="I177" t="s">
        <v>451</v>
      </c>
      <c r="J177" t="s">
        <v>391</v>
      </c>
      <c r="K177" t="s">
        <v>397</v>
      </c>
      <c r="L177" t="s">
        <v>393</v>
      </c>
      <c r="M177" t="s">
        <v>437</v>
      </c>
      <c r="N177" t="s">
        <v>395</v>
      </c>
      <c r="O177">
        <v>10006791</v>
      </c>
      <c r="P177" t="s">
        <v>396</v>
      </c>
      <c r="Q177" s="5">
        <f>VLOOKUP(TabOceanet[[#This Row],[VM_name]],TabVMEnv[],3,FALSE)</f>
        <v>0</v>
      </c>
      <c r="R177" s="5" t="str">
        <f>IF(VLOOKUP(TabOceanet[[#This Row],[VM_name]],TabVMEnv[],2,FALSE)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0</v>
      </c>
      <c r="AF177" s="17">
        <f>TabOceanet[[#This Row],[VM_mem]]*Tarif_Ram</f>
        <v>6.4</v>
      </c>
      <c r="AG177" s="5" t="str">
        <f>MID(TabOceanet[[#This Row],[Backup]],29,20)</f>
        <v>J15_3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178" spans="1:36" x14ac:dyDescent="0.25">
      <c r="A178" t="s">
        <v>308</v>
      </c>
      <c r="B178">
        <v>2</v>
      </c>
      <c r="C178">
        <v>4</v>
      </c>
      <c r="D178">
        <v>8</v>
      </c>
      <c r="E178" t="s">
        <v>438</v>
      </c>
      <c r="G178" t="s">
        <v>436</v>
      </c>
      <c r="H178" t="s">
        <v>390</v>
      </c>
      <c r="I178" t="s">
        <v>418</v>
      </c>
      <c r="J178" t="s">
        <v>391</v>
      </c>
      <c r="K178" t="s">
        <v>397</v>
      </c>
      <c r="L178" t="s">
        <v>393</v>
      </c>
      <c r="M178" t="s">
        <v>434</v>
      </c>
      <c r="N178" t="s">
        <v>395</v>
      </c>
      <c r="O178">
        <v>10006791</v>
      </c>
      <c r="P178" t="s">
        <v>396</v>
      </c>
      <c r="Q178" s="5">
        <f>VLOOKUP(TabOceanet[[#This Row],[VM_name]],TabVMEnv[],3,FALSE)</f>
        <v>0</v>
      </c>
      <c r="R178" s="5" t="str">
        <f>IF(VLOOKUP(TabOceanet[[#This Row],[VM_name]],TabVMEnv[],2,FALSE)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6.4</v>
      </c>
      <c r="AG178" s="5" t="str">
        <f>MID(TabOceanet[[#This Row],[Backup]],29,20)</f>
        <v>J15_2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9" spans="1:36" x14ac:dyDescent="0.25">
      <c r="A179" t="s">
        <v>254</v>
      </c>
      <c r="B179">
        <v>1</v>
      </c>
      <c r="C179">
        <v>1</v>
      </c>
      <c r="D179">
        <v>4</v>
      </c>
      <c r="E179" t="s">
        <v>438</v>
      </c>
      <c r="G179" t="s">
        <v>433</v>
      </c>
      <c r="H179" t="s">
        <v>390</v>
      </c>
      <c r="I179" t="s">
        <v>418</v>
      </c>
      <c r="J179" t="s">
        <v>391</v>
      </c>
      <c r="K179" t="s">
        <v>397</v>
      </c>
      <c r="L179" t="s">
        <v>393</v>
      </c>
      <c r="M179" t="s">
        <v>437</v>
      </c>
      <c r="N179" t="s">
        <v>395</v>
      </c>
      <c r="O179">
        <v>10006791</v>
      </c>
      <c r="P179" t="s">
        <v>396</v>
      </c>
      <c r="Q179" s="5">
        <f>VLOOKUP(TabOceanet[[#This Row],[VM_name]],TabVMEnv[],3,FALSE)</f>
        <v>0</v>
      </c>
      <c r="R179" s="5" t="str">
        <f>IF(VLOOKUP(TabOceanet[[#This Row],[VM_name]],TabVMEnv[],2,FALSE)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1.6</v>
      </c>
      <c r="AG179" s="5" t="str">
        <f>MID(TabOceanet[[#This Row],[Backup]],29,20)</f>
        <v>J15_3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0" spans="1:36" x14ac:dyDescent="0.25">
      <c r="A180" t="s">
        <v>143</v>
      </c>
      <c r="B180">
        <v>1</v>
      </c>
      <c r="C180">
        <v>2</v>
      </c>
      <c r="D180">
        <v>40</v>
      </c>
      <c r="E180" t="s">
        <v>455</v>
      </c>
      <c r="G180" t="s">
        <v>436</v>
      </c>
      <c r="H180" t="s">
        <v>390</v>
      </c>
      <c r="I180" t="s">
        <v>418</v>
      </c>
      <c r="J180" t="s">
        <v>391</v>
      </c>
      <c r="K180" t="s">
        <v>392</v>
      </c>
      <c r="L180" t="s">
        <v>393</v>
      </c>
      <c r="M180" t="s">
        <v>444</v>
      </c>
      <c r="N180" t="s">
        <v>395</v>
      </c>
      <c r="O180">
        <v>10006791</v>
      </c>
      <c r="P180" t="s">
        <v>396</v>
      </c>
      <c r="Q180" s="5" t="str">
        <f>VLOOKUP(TabOceanet[[#This Row],[VM_name]],TabVMEnv[],3,FALSE)</f>
        <v>aaaaa</v>
      </c>
      <c r="R180" s="5" t="str">
        <f>IF(VLOOKUP(TabOceanet[[#This Row],[VM_name]],TabVMEnv[],2,FALSE)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3.2</v>
      </c>
      <c r="AG180" s="5" t="str">
        <f>MID(TabOceanet[[#This Row],[Backup]],29,20)</f>
        <v>J15_1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81" spans="1:36" x14ac:dyDescent="0.25">
      <c r="A181" t="s">
        <v>236</v>
      </c>
      <c r="B181">
        <v>4</v>
      </c>
      <c r="C181">
        <v>4</v>
      </c>
      <c r="D181">
        <v>100</v>
      </c>
      <c r="E181" t="s">
        <v>415</v>
      </c>
      <c r="G181" t="s">
        <v>436</v>
      </c>
      <c r="H181" t="s">
        <v>399</v>
      </c>
      <c r="I181" t="s">
        <v>418</v>
      </c>
      <c r="J181" t="s">
        <v>391</v>
      </c>
      <c r="K181" t="s">
        <v>392</v>
      </c>
      <c r="L181" t="s">
        <v>393</v>
      </c>
      <c r="M181" t="s">
        <v>434</v>
      </c>
      <c r="N181" t="s">
        <v>395</v>
      </c>
      <c r="O181">
        <v>10006791</v>
      </c>
      <c r="P181" t="s">
        <v>396</v>
      </c>
      <c r="Q181" s="5">
        <f>VLOOKUP(TabOceanet[[#This Row],[VM_name]],TabVMEnv[],3,FALSE)</f>
        <v>0</v>
      </c>
      <c r="R181" s="5" t="str">
        <f>IF(VLOOKUP(TabOceanet[[#This Row],[VM_name]],TabVMEnv[],2,FALSE)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6.4</v>
      </c>
      <c r="AG181" s="5" t="str">
        <f>MID(TabOceanet[[#This Row],[Backup]],29,20)</f>
        <v>J15_2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182" spans="1:36" x14ac:dyDescent="0.25">
      <c r="A182" t="s">
        <v>133</v>
      </c>
      <c r="B182">
        <v>2</v>
      </c>
      <c r="C182">
        <v>2</v>
      </c>
      <c r="D182">
        <v>34</v>
      </c>
      <c r="E182" t="s">
        <v>415</v>
      </c>
      <c r="G182" t="s">
        <v>433</v>
      </c>
      <c r="H182" t="s">
        <v>390</v>
      </c>
      <c r="I182" t="s">
        <v>418</v>
      </c>
      <c r="J182" t="s">
        <v>391</v>
      </c>
      <c r="K182" t="s">
        <v>392</v>
      </c>
      <c r="L182" t="s">
        <v>393</v>
      </c>
      <c r="M182" t="s">
        <v>444</v>
      </c>
      <c r="N182" t="s">
        <v>395</v>
      </c>
      <c r="O182">
        <v>10006791</v>
      </c>
      <c r="P182" t="s">
        <v>396</v>
      </c>
      <c r="Q182" s="5">
        <f>VLOOKUP(TabOceanet[[#This Row],[VM_name]],TabVMEnv[],3,FALSE)</f>
        <v>0</v>
      </c>
      <c r="R182" s="5" t="str">
        <f>IF(VLOOKUP(TabOceanet[[#This Row],[VM_name]],TabVMEnv[],2,FALSE)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3.2</v>
      </c>
      <c r="AG182" s="5" t="str">
        <f>MID(TabOceanet[[#This Row],[Backup]],29,20)</f>
        <v>J15_1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3" spans="1:36" x14ac:dyDescent="0.25">
      <c r="A183" t="s">
        <v>134</v>
      </c>
      <c r="B183">
        <v>2</v>
      </c>
      <c r="C183">
        <v>2</v>
      </c>
      <c r="D183">
        <v>34</v>
      </c>
      <c r="E183" t="s">
        <v>415</v>
      </c>
      <c r="G183" t="s">
        <v>436</v>
      </c>
      <c r="H183" t="s">
        <v>390</v>
      </c>
      <c r="I183" t="s">
        <v>418</v>
      </c>
      <c r="J183" t="s">
        <v>391</v>
      </c>
      <c r="K183" t="s">
        <v>392</v>
      </c>
      <c r="L183" t="s">
        <v>393</v>
      </c>
      <c r="M183" t="s">
        <v>444</v>
      </c>
      <c r="N183" t="s">
        <v>395</v>
      </c>
      <c r="O183">
        <v>10006791</v>
      </c>
      <c r="P183" t="s">
        <v>396</v>
      </c>
      <c r="Q183" s="5">
        <f>VLOOKUP(TabOceanet[[#This Row],[VM_name]],TabVMEnv[],3,FALSE)</f>
        <v>0</v>
      </c>
      <c r="R183" s="5" t="str">
        <f>IF(VLOOKUP(TabOceanet[[#This Row],[VM_name]],TabVMEnv[],2,FALSE)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3.2</v>
      </c>
      <c r="AG183" s="5" t="str">
        <f>MID(TabOceanet[[#This Row],[Backup]],29,20)</f>
        <v>J15_1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4" spans="1:36" x14ac:dyDescent="0.25">
      <c r="A184" t="s">
        <v>339</v>
      </c>
      <c r="B184">
        <v>2</v>
      </c>
      <c r="C184">
        <v>2</v>
      </c>
      <c r="D184">
        <v>16</v>
      </c>
      <c r="E184" t="s">
        <v>415</v>
      </c>
      <c r="G184" t="s">
        <v>433</v>
      </c>
      <c r="H184" t="s">
        <v>390</v>
      </c>
      <c r="I184" t="s">
        <v>418</v>
      </c>
      <c r="J184" t="s">
        <v>391</v>
      </c>
      <c r="K184" t="s">
        <v>392</v>
      </c>
      <c r="L184" t="s">
        <v>393</v>
      </c>
      <c r="M184" t="s">
        <v>444</v>
      </c>
      <c r="N184" t="s">
        <v>395</v>
      </c>
      <c r="O184">
        <v>10006791</v>
      </c>
      <c r="P184" t="s">
        <v>396</v>
      </c>
      <c r="Q184" s="5">
        <f>VLOOKUP(TabOceanet[[#This Row],[VM_name]],TabVMEnv[],3,FALSE)</f>
        <v>0</v>
      </c>
      <c r="R184" s="5" t="str">
        <f>IF(VLOOKUP(TabOceanet[[#This Row],[VM_name]],TabVMEnv[],2,FALSE)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3.2</v>
      </c>
      <c r="AG184" s="5" t="str">
        <f>MID(TabOceanet[[#This Row],[Backup]],29,20)</f>
        <v>J15_1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185" spans="1:36" x14ac:dyDescent="0.25">
      <c r="A185" t="s">
        <v>161</v>
      </c>
      <c r="B185">
        <v>1</v>
      </c>
      <c r="C185">
        <v>1</v>
      </c>
      <c r="D185">
        <v>4</v>
      </c>
      <c r="E185" t="s">
        <v>438</v>
      </c>
      <c r="G185" t="s">
        <v>436</v>
      </c>
      <c r="H185" t="s">
        <v>390</v>
      </c>
      <c r="I185" t="s">
        <v>418</v>
      </c>
      <c r="J185" t="s">
        <v>391</v>
      </c>
      <c r="K185" t="s">
        <v>392</v>
      </c>
      <c r="L185" t="s">
        <v>393</v>
      </c>
      <c r="M185" t="s">
        <v>434</v>
      </c>
      <c r="N185" t="s">
        <v>395</v>
      </c>
      <c r="O185">
        <v>10006791</v>
      </c>
      <c r="P185" t="s">
        <v>396</v>
      </c>
      <c r="Q185" s="5">
        <f>VLOOKUP(TabOceanet[[#This Row],[VM_name]],TabVMEnv[],3,FALSE)</f>
        <v>0</v>
      </c>
      <c r="R185" s="5" t="str">
        <f>IF(VLOOKUP(TabOceanet[[#This Row],[VM_name]],TabVMEnv[],2,FALSE)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1.6</v>
      </c>
      <c r="AG185" s="5" t="str">
        <f>MID(TabOceanet[[#This Row],[Backup]],29,20)</f>
        <v>J15_2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6" spans="1:36" x14ac:dyDescent="0.25">
      <c r="A186" t="s">
        <v>150</v>
      </c>
      <c r="B186">
        <v>1</v>
      </c>
      <c r="C186">
        <v>1</v>
      </c>
      <c r="D186">
        <v>35</v>
      </c>
      <c r="E186" t="s">
        <v>438</v>
      </c>
      <c r="G186" t="s">
        <v>433</v>
      </c>
      <c r="H186" t="s">
        <v>390</v>
      </c>
      <c r="I186" t="s">
        <v>418</v>
      </c>
      <c r="J186" t="s">
        <v>391</v>
      </c>
      <c r="K186" t="s">
        <v>392</v>
      </c>
      <c r="L186" t="s">
        <v>393</v>
      </c>
      <c r="M186" t="s">
        <v>444</v>
      </c>
      <c r="N186" t="s">
        <v>395</v>
      </c>
      <c r="O186">
        <v>10006791</v>
      </c>
      <c r="P186" t="s">
        <v>396</v>
      </c>
      <c r="Q186" s="5">
        <f>VLOOKUP(TabOceanet[[#This Row],[VM_name]],TabVMEnv[],3,FALSE)</f>
        <v>0</v>
      </c>
      <c r="R186" s="5" t="str">
        <f>IF(VLOOKUP(TabOceanet[[#This Row],[VM_name]],TabVMEnv[],2,FALSE)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1.6</v>
      </c>
      <c r="AG186" s="5" t="str">
        <f>MID(TabOceanet[[#This Row],[Backup]],29,20)</f>
        <v>J15_1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187" spans="1:36" x14ac:dyDescent="0.25">
      <c r="A187" t="s">
        <v>162</v>
      </c>
      <c r="B187">
        <v>1</v>
      </c>
      <c r="C187">
        <v>1</v>
      </c>
      <c r="D187">
        <v>4</v>
      </c>
      <c r="E187" t="s">
        <v>438</v>
      </c>
      <c r="G187" t="s">
        <v>433</v>
      </c>
      <c r="H187" t="s">
        <v>390</v>
      </c>
      <c r="I187" t="s">
        <v>418</v>
      </c>
      <c r="J187" t="s">
        <v>391</v>
      </c>
      <c r="K187" t="s">
        <v>392</v>
      </c>
      <c r="L187" t="s">
        <v>393</v>
      </c>
      <c r="M187" t="s">
        <v>437</v>
      </c>
      <c r="N187" t="s">
        <v>395</v>
      </c>
      <c r="O187">
        <v>10006791</v>
      </c>
      <c r="P187" t="s">
        <v>396</v>
      </c>
      <c r="Q187" s="5">
        <f>VLOOKUP(TabOceanet[[#This Row],[VM_name]],TabVMEnv[],3,FALSE)</f>
        <v>0</v>
      </c>
      <c r="R187" s="5" t="str">
        <f>IF(VLOOKUP(TabOceanet[[#This Row],[VM_name]],TabVMEnv[],2,FALSE)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1.6</v>
      </c>
      <c r="AG187" s="5" t="str">
        <f>MID(TabOceanet[[#This Row],[Backup]],29,20)</f>
        <v>J15_3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8" spans="1:36" x14ac:dyDescent="0.25">
      <c r="A188" t="s">
        <v>163</v>
      </c>
      <c r="B188">
        <v>2</v>
      </c>
      <c r="C188">
        <v>4</v>
      </c>
      <c r="D188">
        <v>14</v>
      </c>
      <c r="E188" t="s">
        <v>438</v>
      </c>
      <c r="G188" t="s">
        <v>436</v>
      </c>
      <c r="H188" t="s">
        <v>390</v>
      </c>
      <c r="I188" t="s">
        <v>418</v>
      </c>
      <c r="J188" t="s">
        <v>391</v>
      </c>
      <c r="K188" t="s">
        <v>392</v>
      </c>
      <c r="L188" t="s">
        <v>393</v>
      </c>
      <c r="M188" t="s">
        <v>437</v>
      </c>
      <c r="N188" t="s">
        <v>395</v>
      </c>
      <c r="O188">
        <v>10006791</v>
      </c>
      <c r="P188" t="s">
        <v>396</v>
      </c>
      <c r="Q188" s="5">
        <f>VLOOKUP(TabOceanet[[#This Row],[VM_name]],TabVMEnv[],3,FALSE)</f>
        <v>0</v>
      </c>
      <c r="R188" s="5" t="str">
        <f>IF(VLOOKUP(TabOceanet[[#This Row],[VM_name]],TabVMEnv[],2,FALSE)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J15_3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89" spans="1:36" x14ac:dyDescent="0.25">
      <c r="A189" t="s">
        <v>332</v>
      </c>
      <c r="B189">
        <v>1</v>
      </c>
      <c r="C189">
        <v>1</v>
      </c>
      <c r="D189">
        <v>6</v>
      </c>
      <c r="E189" t="s">
        <v>438</v>
      </c>
      <c r="G189" t="s">
        <v>433</v>
      </c>
      <c r="H189" t="s">
        <v>390</v>
      </c>
      <c r="I189" t="s">
        <v>418</v>
      </c>
      <c r="J189" t="s">
        <v>391</v>
      </c>
      <c r="K189" t="s">
        <v>392</v>
      </c>
      <c r="L189" t="s">
        <v>393</v>
      </c>
      <c r="M189" t="s">
        <v>437</v>
      </c>
      <c r="N189" t="s">
        <v>395</v>
      </c>
      <c r="O189">
        <v>10006791</v>
      </c>
      <c r="P189" t="s">
        <v>396</v>
      </c>
      <c r="Q189" s="5">
        <f>VLOOKUP(TabOceanet[[#This Row],[VM_name]],TabVMEnv[],3,FALSE)</f>
        <v>0</v>
      </c>
      <c r="R189" s="5" t="str">
        <f>IF(VLOOKUP(TabOceanet[[#This Row],[VM_name]],TabVMEnv[],2,FALSE)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1.6</v>
      </c>
      <c r="AG189" s="5" t="str">
        <f>MID(TabOceanet[[#This Row],[Backup]],29,20)</f>
        <v>J15_3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90" spans="1:36" x14ac:dyDescent="0.25">
      <c r="A190" t="s">
        <v>125</v>
      </c>
      <c r="B190">
        <v>4</v>
      </c>
      <c r="C190">
        <v>4</v>
      </c>
      <c r="D190">
        <v>39</v>
      </c>
      <c r="E190" t="s">
        <v>415</v>
      </c>
      <c r="G190" t="s">
        <v>436</v>
      </c>
      <c r="H190" t="s">
        <v>390</v>
      </c>
      <c r="I190" t="s">
        <v>418</v>
      </c>
      <c r="J190" t="s">
        <v>391</v>
      </c>
      <c r="K190" t="s">
        <v>392</v>
      </c>
      <c r="L190" t="s">
        <v>393</v>
      </c>
      <c r="M190" t="s">
        <v>444</v>
      </c>
      <c r="N190" t="s">
        <v>395</v>
      </c>
      <c r="O190">
        <v>10006791</v>
      </c>
      <c r="P190" t="s">
        <v>396</v>
      </c>
      <c r="Q190" s="5">
        <f>VLOOKUP(TabOceanet[[#This Row],[VM_name]],TabVMEnv[],3,FALSE)</f>
        <v>0</v>
      </c>
      <c r="R190" s="5" t="str">
        <f>IF(VLOOKUP(TabOceanet[[#This Row],[VM_name]],TabVMEnv[],2,FALSE)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J15_1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191" spans="1:36" x14ac:dyDescent="0.25">
      <c r="A191" t="s">
        <v>145</v>
      </c>
      <c r="B191">
        <v>2</v>
      </c>
      <c r="C191">
        <v>2</v>
      </c>
      <c r="D191">
        <v>12</v>
      </c>
      <c r="E191" t="s">
        <v>438</v>
      </c>
      <c r="G191" t="s">
        <v>433</v>
      </c>
      <c r="H191" t="s">
        <v>390</v>
      </c>
      <c r="I191" t="s">
        <v>418</v>
      </c>
      <c r="J191" t="s">
        <v>391</v>
      </c>
      <c r="K191" t="s">
        <v>392</v>
      </c>
      <c r="L191" t="s">
        <v>393</v>
      </c>
      <c r="M191" t="s">
        <v>437</v>
      </c>
      <c r="N191" t="s">
        <v>395</v>
      </c>
      <c r="O191">
        <v>10006791</v>
      </c>
      <c r="P191" t="s">
        <v>396</v>
      </c>
      <c r="Q191" s="5">
        <f>VLOOKUP(TabOceanet[[#This Row],[VM_name]],TabVMEnv[],3,FALSE)</f>
        <v>0</v>
      </c>
      <c r="R191" s="5" t="str">
        <f>IF(VLOOKUP(TabOceanet[[#This Row],[VM_name]],TabVMEnv[],2,FALSE)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3.2</v>
      </c>
      <c r="AG191" s="5" t="str">
        <f>MID(TabOceanet[[#This Row],[Backup]],29,20)</f>
        <v>J15_3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92" spans="1:36" x14ac:dyDescent="0.25">
      <c r="A192" t="s">
        <v>77</v>
      </c>
      <c r="B192">
        <v>1</v>
      </c>
      <c r="C192">
        <v>1</v>
      </c>
      <c r="D192">
        <v>41</v>
      </c>
      <c r="E192" t="s">
        <v>438</v>
      </c>
      <c r="G192" t="s">
        <v>436</v>
      </c>
      <c r="H192" t="s">
        <v>390</v>
      </c>
      <c r="I192" t="s">
        <v>418</v>
      </c>
      <c r="J192" t="s">
        <v>391</v>
      </c>
      <c r="K192" t="s">
        <v>392</v>
      </c>
      <c r="L192" t="s">
        <v>393</v>
      </c>
      <c r="M192" t="s">
        <v>437</v>
      </c>
      <c r="N192" t="s">
        <v>395</v>
      </c>
      <c r="O192">
        <v>10006791</v>
      </c>
      <c r="P192" t="s">
        <v>396</v>
      </c>
      <c r="Q192" s="5" t="str">
        <f>VLOOKUP(TabOceanet[[#This Row],[VM_name]],TabVMEnv[],3,FALSE)</f>
        <v>Attention, il y a le Wikicsr !!! Et le WikiMacif pour Niort</v>
      </c>
      <c r="R192" s="5" t="str">
        <f>IF(VLOOKUP(TabOceanet[[#This Row],[VM_name]],TabVMEnv[],2,FALSE)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1.6</v>
      </c>
      <c r="AG192" s="5" t="str">
        <f>MID(TabOceanet[[#This Row],[Backup]],29,20)</f>
        <v>J15_3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193" spans="1:36" x14ac:dyDescent="0.25">
      <c r="A193" t="s">
        <v>186</v>
      </c>
      <c r="B193">
        <v>4</v>
      </c>
      <c r="C193">
        <v>4</v>
      </c>
      <c r="D193">
        <v>17</v>
      </c>
      <c r="E193" t="s">
        <v>438</v>
      </c>
      <c r="G193" t="s">
        <v>433</v>
      </c>
      <c r="H193" t="s">
        <v>390</v>
      </c>
      <c r="I193" t="s">
        <v>418</v>
      </c>
      <c r="J193" t="s">
        <v>391</v>
      </c>
      <c r="K193" t="s">
        <v>392</v>
      </c>
      <c r="L193" t="s">
        <v>393</v>
      </c>
      <c r="M193" t="s">
        <v>437</v>
      </c>
      <c r="N193" t="s">
        <v>395</v>
      </c>
      <c r="O193">
        <v>10006791</v>
      </c>
      <c r="P193" t="s">
        <v>396</v>
      </c>
      <c r="Q193" s="5">
        <f>VLOOKUP(TabOceanet[[#This Row],[VM_name]],TabVMEnv[],3,FALSE)</f>
        <v>0</v>
      </c>
      <c r="R193" s="5" t="str">
        <f>IF(VLOOKUP(TabOceanet[[#This Row],[VM_name]],TabVMEnv[],2,FALSE)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J15_3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194" spans="1:36" x14ac:dyDescent="0.25">
      <c r="A194" t="s">
        <v>31</v>
      </c>
      <c r="B194">
        <v>1</v>
      </c>
      <c r="C194">
        <v>1</v>
      </c>
      <c r="D194">
        <v>8</v>
      </c>
      <c r="E194" t="s">
        <v>438</v>
      </c>
      <c r="G194" t="s">
        <v>433</v>
      </c>
      <c r="H194" t="s">
        <v>390</v>
      </c>
      <c r="I194" t="s">
        <v>418</v>
      </c>
      <c r="J194" t="s">
        <v>391</v>
      </c>
      <c r="K194" t="s">
        <v>392</v>
      </c>
      <c r="L194" t="s">
        <v>393</v>
      </c>
      <c r="M194" t="s">
        <v>437</v>
      </c>
      <c r="N194" t="s">
        <v>395</v>
      </c>
      <c r="O194">
        <v>10006791</v>
      </c>
      <c r="P194" t="s">
        <v>396</v>
      </c>
      <c r="Q194" s="5">
        <f>VLOOKUP(TabOceanet[[#This Row],[VM_name]],TabVMEnv[],3,FALSE)</f>
        <v>0</v>
      </c>
      <c r="R194" s="5" t="str">
        <f>IF(VLOOKUP(TabOceanet[[#This Row],[VM_name]],TabVMEnv[],2,FALSE)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1.6</v>
      </c>
      <c r="AG194" s="5" t="str">
        <f>MID(TabOceanet[[#This Row],[Backup]],29,20)</f>
        <v>J15_3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95" spans="1:36" x14ac:dyDescent="0.25">
      <c r="A195" t="s">
        <v>333</v>
      </c>
      <c r="B195">
        <v>1</v>
      </c>
      <c r="C195">
        <v>1</v>
      </c>
      <c r="D195">
        <v>5</v>
      </c>
      <c r="E195" t="s">
        <v>438</v>
      </c>
      <c r="G195" t="s">
        <v>436</v>
      </c>
      <c r="H195" t="s">
        <v>390</v>
      </c>
      <c r="I195" t="s">
        <v>418</v>
      </c>
      <c r="J195" t="s">
        <v>391</v>
      </c>
      <c r="K195" t="s">
        <v>392</v>
      </c>
      <c r="L195" t="s">
        <v>393</v>
      </c>
      <c r="M195" t="s">
        <v>434</v>
      </c>
      <c r="N195" t="s">
        <v>395</v>
      </c>
      <c r="O195">
        <v>10006791</v>
      </c>
      <c r="P195" t="s">
        <v>396</v>
      </c>
      <c r="Q195" s="5">
        <f>VLOOKUP(TabOceanet[[#This Row],[VM_name]],TabVMEnv[],3,FALSE)</f>
        <v>0</v>
      </c>
      <c r="R195" s="5" t="str">
        <f>IF(VLOOKUP(TabOceanet[[#This Row],[VM_name]],TabVMEnv[],2,FALSE)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1.6</v>
      </c>
      <c r="AG195" s="5" t="str">
        <f>MID(TabOceanet[[#This Row],[Backup]],29,20)</f>
        <v>J15_2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196" spans="1:36" x14ac:dyDescent="0.25">
      <c r="A196" t="s">
        <v>188</v>
      </c>
      <c r="B196">
        <v>1</v>
      </c>
      <c r="C196">
        <v>1</v>
      </c>
      <c r="D196">
        <v>21</v>
      </c>
      <c r="E196" t="s">
        <v>415</v>
      </c>
      <c r="G196" t="s">
        <v>436</v>
      </c>
      <c r="H196" t="s">
        <v>390</v>
      </c>
      <c r="I196" t="s">
        <v>418</v>
      </c>
      <c r="J196" t="s">
        <v>391</v>
      </c>
      <c r="K196" t="s">
        <v>392</v>
      </c>
      <c r="L196" t="s">
        <v>393</v>
      </c>
      <c r="M196" t="s">
        <v>437</v>
      </c>
      <c r="N196" t="s">
        <v>395</v>
      </c>
      <c r="O196">
        <v>10006791</v>
      </c>
      <c r="P196" t="s">
        <v>396</v>
      </c>
      <c r="Q196" s="5">
        <f>VLOOKUP(TabOceanet[[#This Row],[VM_name]],TabVMEnv[],3,FALSE)</f>
        <v>0</v>
      </c>
      <c r="R196" s="5" t="str">
        <f>IF(VLOOKUP(TabOceanet[[#This Row],[VM_name]],TabVMEnv[],2,FALSE)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1.6</v>
      </c>
      <c r="AG196" s="5" t="str">
        <f>MID(TabOceanet[[#This Row],[Backup]],29,20)</f>
        <v>J15_3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97" spans="1:36" x14ac:dyDescent="0.25">
      <c r="A197" t="s">
        <v>164</v>
      </c>
      <c r="B197">
        <v>1</v>
      </c>
      <c r="C197">
        <v>1</v>
      </c>
      <c r="D197">
        <v>4</v>
      </c>
      <c r="E197" t="s">
        <v>438</v>
      </c>
      <c r="G197" t="s">
        <v>436</v>
      </c>
      <c r="H197" t="s">
        <v>390</v>
      </c>
      <c r="I197" t="s">
        <v>418</v>
      </c>
      <c r="J197" t="s">
        <v>391</v>
      </c>
      <c r="K197" t="s">
        <v>392</v>
      </c>
      <c r="L197" t="s">
        <v>393</v>
      </c>
      <c r="M197" t="s">
        <v>437</v>
      </c>
      <c r="N197" t="s">
        <v>395</v>
      </c>
      <c r="O197">
        <v>10006791</v>
      </c>
      <c r="P197" t="s">
        <v>396</v>
      </c>
      <c r="Q197" s="5">
        <f>VLOOKUP(TabOceanet[[#This Row],[VM_name]],TabVMEnv[],3,FALSE)</f>
        <v>0</v>
      </c>
      <c r="R197" s="5" t="str">
        <f>IF(VLOOKUP(TabOceanet[[#This Row],[VM_name]],TabVMEnv[],2,FALSE)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1.6</v>
      </c>
      <c r="AG197" s="5" t="str">
        <f>MID(TabOceanet[[#This Row],[Backup]],29,20)</f>
        <v>J15_3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8" spans="1:36" x14ac:dyDescent="0.25">
      <c r="A198" t="s">
        <v>165</v>
      </c>
      <c r="B198">
        <v>1</v>
      </c>
      <c r="C198">
        <v>1</v>
      </c>
      <c r="D198">
        <v>124</v>
      </c>
      <c r="E198" t="s">
        <v>438</v>
      </c>
      <c r="G198" t="s">
        <v>436</v>
      </c>
      <c r="H198" t="s">
        <v>390</v>
      </c>
      <c r="I198" t="s">
        <v>418</v>
      </c>
      <c r="J198" t="s">
        <v>391</v>
      </c>
      <c r="K198" t="s">
        <v>392</v>
      </c>
      <c r="L198" t="s">
        <v>393</v>
      </c>
      <c r="M198" t="s">
        <v>444</v>
      </c>
      <c r="N198" t="s">
        <v>395</v>
      </c>
      <c r="O198">
        <v>10006791</v>
      </c>
      <c r="P198" t="s">
        <v>396</v>
      </c>
      <c r="Q198" s="5">
        <f>VLOOKUP(TabOceanet[[#This Row],[VM_name]],TabVMEnv[],3,FALSE)</f>
        <v>0</v>
      </c>
      <c r="R198" s="5" t="str">
        <f>IF(VLOOKUP(TabOceanet[[#This Row],[VM_name]],TabVMEnv[],2,FALSE)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J15_1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199" spans="1:36" x14ac:dyDescent="0.25">
      <c r="A199" t="s">
        <v>264</v>
      </c>
      <c r="B199">
        <v>1</v>
      </c>
      <c r="C199">
        <v>1</v>
      </c>
      <c r="D199">
        <v>4</v>
      </c>
      <c r="E199" t="s">
        <v>438</v>
      </c>
      <c r="G199" t="s">
        <v>436</v>
      </c>
      <c r="H199" t="s">
        <v>390</v>
      </c>
      <c r="I199" t="s">
        <v>418</v>
      </c>
      <c r="J199" t="s">
        <v>391</v>
      </c>
      <c r="K199" t="s">
        <v>397</v>
      </c>
      <c r="L199" t="s">
        <v>393</v>
      </c>
      <c r="M199" t="s">
        <v>434</v>
      </c>
      <c r="N199" t="s">
        <v>395</v>
      </c>
      <c r="O199">
        <v>10006791</v>
      </c>
      <c r="P199" t="s">
        <v>396</v>
      </c>
      <c r="Q199" s="5">
        <f>VLOOKUP(TabOceanet[[#This Row],[VM_name]],TabVMEnv[],3,FALSE)</f>
        <v>0</v>
      </c>
      <c r="R199" s="5" t="str">
        <f>IF(VLOOKUP(TabOceanet[[#This Row],[VM_name]],TabVMEnv[],2,FALSE)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J15_2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0" spans="1:36" x14ac:dyDescent="0.25">
      <c r="A200" t="s">
        <v>166</v>
      </c>
      <c r="B200">
        <v>1</v>
      </c>
      <c r="C200">
        <v>1</v>
      </c>
      <c r="D200">
        <v>4</v>
      </c>
      <c r="E200" t="s">
        <v>438</v>
      </c>
      <c r="G200" t="s">
        <v>436</v>
      </c>
      <c r="H200" t="s">
        <v>390</v>
      </c>
      <c r="I200" t="s">
        <v>418</v>
      </c>
      <c r="J200" t="s">
        <v>391</v>
      </c>
      <c r="K200" t="s">
        <v>392</v>
      </c>
      <c r="L200" t="s">
        <v>393</v>
      </c>
      <c r="M200" t="s">
        <v>434</v>
      </c>
      <c r="N200" t="s">
        <v>395</v>
      </c>
      <c r="O200">
        <v>10006791</v>
      </c>
      <c r="P200" t="s">
        <v>396</v>
      </c>
      <c r="Q200" s="5">
        <f>VLOOKUP(TabOceanet[[#This Row],[VM_name]],TabVMEnv[],3,FALSE)</f>
        <v>0</v>
      </c>
      <c r="R200" s="5" t="str">
        <f>IF(VLOOKUP(TabOceanet[[#This Row],[VM_name]],TabVMEnv[],2,FALSE)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J15_2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x14ac:dyDescent="0.25">
      <c r="A201" t="s">
        <v>167</v>
      </c>
      <c r="B201">
        <v>2</v>
      </c>
      <c r="C201">
        <v>2</v>
      </c>
      <c r="D201">
        <v>4</v>
      </c>
      <c r="E201" t="s">
        <v>438</v>
      </c>
      <c r="G201" t="s">
        <v>436</v>
      </c>
      <c r="H201" t="s">
        <v>390</v>
      </c>
      <c r="I201" t="s">
        <v>418</v>
      </c>
      <c r="J201" t="s">
        <v>391</v>
      </c>
      <c r="K201" t="s">
        <v>392</v>
      </c>
      <c r="L201" t="s">
        <v>393</v>
      </c>
      <c r="M201" t="s">
        <v>434</v>
      </c>
      <c r="N201" t="s">
        <v>395</v>
      </c>
      <c r="O201">
        <v>10006791</v>
      </c>
      <c r="P201" t="s">
        <v>396</v>
      </c>
      <c r="Q201" s="5">
        <f>VLOOKUP(TabOceanet[[#This Row],[VM_name]],TabVMEnv[],3,FALSE)</f>
        <v>0</v>
      </c>
      <c r="R201" s="5" t="str">
        <f>IF(VLOOKUP(TabOceanet[[#This Row],[VM_name]],TabVMEnv[],2,FALSE)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3.2</v>
      </c>
      <c r="AG201" s="5" t="str">
        <f>MID(TabOceanet[[#This Row],[Backup]],29,20)</f>
        <v>J15_2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02" spans="1:36" x14ac:dyDescent="0.25">
      <c r="A202" t="s">
        <v>309</v>
      </c>
      <c r="B202">
        <v>1</v>
      </c>
      <c r="C202">
        <v>1</v>
      </c>
      <c r="D202">
        <v>4</v>
      </c>
      <c r="E202" t="s">
        <v>438</v>
      </c>
      <c r="G202" t="s">
        <v>433</v>
      </c>
      <c r="H202" t="s">
        <v>390</v>
      </c>
      <c r="I202" t="s">
        <v>418</v>
      </c>
      <c r="J202" t="s">
        <v>391</v>
      </c>
      <c r="K202" t="s">
        <v>397</v>
      </c>
      <c r="L202" t="s">
        <v>393</v>
      </c>
      <c r="M202" t="s">
        <v>437</v>
      </c>
      <c r="N202" t="s">
        <v>395</v>
      </c>
      <c r="O202">
        <v>10006791</v>
      </c>
      <c r="P202" t="s">
        <v>396</v>
      </c>
      <c r="Q202" s="5">
        <f>VLOOKUP(TabOceanet[[#This Row],[VM_name]],TabVMEnv[],3,FALSE)</f>
        <v>0</v>
      </c>
      <c r="R202" s="5" t="str">
        <f>IF(VLOOKUP(TabOceanet[[#This Row],[VM_name]],TabVMEnv[],2,FALSE)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J15_3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3" spans="1:36" x14ac:dyDescent="0.25">
      <c r="A203" t="s">
        <v>265</v>
      </c>
      <c r="B203">
        <v>1</v>
      </c>
      <c r="C203">
        <v>1</v>
      </c>
      <c r="D203">
        <v>4</v>
      </c>
      <c r="E203" t="s">
        <v>438</v>
      </c>
      <c r="G203" t="s">
        <v>433</v>
      </c>
      <c r="H203" t="s">
        <v>390</v>
      </c>
      <c r="I203" t="s">
        <v>418</v>
      </c>
      <c r="J203" t="s">
        <v>391</v>
      </c>
      <c r="K203" t="s">
        <v>397</v>
      </c>
      <c r="L203" t="s">
        <v>393</v>
      </c>
      <c r="M203" t="s">
        <v>434</v>
      </c>
      <c r="N203" t="s">
        <v>395</v>
      </c>
      <c r="O203">
        <v>10006791</v>
      </c>
      <c r="P203" t="s">
        <v>396</v>
      </c>
      <c r="Q203" s="5">
        <f>VLOOKUP(TabOceanet[[#This Row],[VM_name]],TabVMEnv[],3,FALSE)</f>
        <v>0</v>
      </c>
      <c r="R203" s="5" t="str">
        <f>IF(VLOOKUP(TabOceanet[[#This Row],[VM_name]],TabVMEnv[],2,FALSE)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1.6</v>
      </c>
      <c r="AG203" s="5" t="str">
        <f>MID(TabOceanet[[#This Row],[Backup]],29,20)</f>
        <v>J15_2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4" spans="1:36" x14ac:dyDescent="0.25">
      <c r="A204" t="s">
        <v>94</v>
      </c>
      <c r="B204">
        <v>1</v>
      </c>
      <c r="C204">
        <v>1</v>
      </c>
      <c r="D204">
        <v>10</v>
      </c>
      <c r="E204" t="s">
        <v>438</v>
      </c>
      <c r="G204" t="s">
        <v>436</v>
      </c>
      <c r="H204" t="s">
        <v>390</v>
      </c>
      <c r="I204" t="s">
        <v>418</v>
      </c>
      <c r="J204" t="s">
        <v>391</v>
      </c>
      <c r="K204" t="s">
        <v>392</v>
      </c>
      <c r="L204" t="s">
        <v>393</v>
      </c>
      <c r="M204" t="s">
        <v>434</v>
      </c>
      <c r="N204" t="s">
        <v>395</v>
      </c>
      <c r="O204">
        <v>10006791</v>
      </c>
      <c r="P204" t="s">
        <v>396</v>
      </c>
      <c r="Q204" s="5">
        <f>VLOOKUP(TabOceanet[[#This Row],[VM_name]],TabVMEnv[],3,FALSE)</f>
        <v>0</v>
      </c>
      <c r="R204" s="5" t="str">
        <f>IF(VLOOKUP(TabOceanet[[#This Row],[VM_name]],TabVMEnv[],2,FALSE)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1.6</v>
      </c>
      <c r="AG204" s="5" t="str">
        <f>MID(TabOceanet[[#This Row],[Backup]],29,20)</f>
        <v>J15_2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05" spans="1:36" x14ac:dyDescent="0.25">
      <c r="A205" t="s">
        <v>198</v>
      </c>
      <c r="B205">
        <v>0</v>
      </c>
      <c r="C205">
        <v>0</v>
      </c>
      <c r="D205">
        <v>60</v>
      </c>
      <c r="H205" t="s">
        <v>390</v>
      </c>
      <c r="J205" t="s">
        <v>391</v>
      </c>
      <c r="K205" t="s">
        <v>392</v>
      </c>
      <c r="L205" t="s">
        <v>393</v>
      </c>
      <c r="M205" t="s">
        <v>394</v>
      </c>
      <c r="N205" t="s">
        <v>395</v>
      </c>
      <c r="O205">
        <v>10006791</v>
      </c>
      <c r="P205" t="s">
        <v>396</v>
      </c>
      <c r="Q205" s="5">
        <f>VLOOKUP(TabOceanet[[#This Row],[VM_name]],TabVMEnv[],3,FALSE)</f>
        <v>0</v>
      </c>
      <c r="R205" s="5" t="str">
        <f>IF(VLOOKUP(TabOceanet[[#This Row],[VM_name]],TabVMEnv[],2,FALSE)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0</v>
      </c>
      <c r="AF205" s="17">
        <f>TabOceanet[[#This Row],[VM_mem]]*Tarif_Ram</f>
        <v>0</v>
      </c>
      <c r="AG205" s="5" t="str">
        <f>MID(TabOceanet[[#This Row],[Backup]],29,20)</f>
        <v>H1_Ve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06" spans="1:36" x14ac:dyDescent="0.25">
      <c r="A206" t="s">
        <v>201</v>
      </c>
      <c r="B206">
        <v>0</v>
      </c>
      <c r="C206">
        <v>0</v>
      </c>
      <c r="D206">
        <v>60</v>
      </c>
      <c r="H206" t="s">
        <v>390</v>
      </c>
      <c r="J206" t="s">
        <v>391</v>
      </c>
      <c r="K206" t="s">
        <v>392</v>
      </c>
      <c r="L206" t="s">
        <v>393</v>
      </c>
      <c r="M206" t="s">
        <v>437</v>
      </c>
      <c r="N206" t="s">
        <v>395</v>
      </c>
      <c r="O206">
        <v>10006791</v>
      </c>
      <c r="P206" t="s">
        <v>396</v>
      </c>
      <c r="Q206" s="5">
        <f>VLOOKUP(TabOceanet[[#This Row],[VM_name]],TabVMEnv[],3,FALSE)</f>
        <v>0</v>
      </c>
      <c r="R206" s="5" t="str">
        <f>IF(VLOOKUP(TabOceanet[[#This Row],[VM_name]],TabVMEnv[],2,FALSE)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0</v>
      </c>
      <c r="AF206" s="17">
        <f>TabOceanet[[#This Row],[VM_mem]]*Tarif_Ram</f>
        <v>0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07" spans="1:36" x14ac:dyDescent="0.25">
      <c r="A207" t="s">
        <v>202</v>
      </c>
      <c r="B207">
        <v>0</v>
      </c>
      <c r="C207">
        <v>0</v>
      </c>
      <c r="D207">
        <v>40</v>
      </c>
      <c r="H207" t="s">
        <v>399</v>
      </c>
      <c r="J207" t="s">
        <v>391</v>
      </c>
      <c r="K207" t="s">
        <v>392</v>
      </c>
      <c r="L207" t="s">
        <v>393</v>
      </c>
      <c r="M207" t="s">
        <v>437</v>
      </c>
      <c r="N207" t="s">
        <v>395</v>
      </c>
      <c r="O207">
        <v>10006791</v>
      </c>
      <c r="P207" t="s">
        <v>396</v>
      </c>
      <c r="Q207" s="5">
        <f>VLOOKUP(TabOceanet[[#This Row],[VM_name]],TabVMEnv[],3,FALSE)</f>
        <v>0</v>
      </c>
      <c r="R207" s="5" t="str">
        <f>IF(VLOOKUP(TabOceanet[[#This Row],[VM_name]],TabVMEnv[],2,FALSE)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0</v>
      </c>
      <c r="AF207" s="17">
        <f>TabOceanet[[#This Row],[VM_mem]]*Tarif_Ram</f>
        <v>0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08" spans="1:36" x14ac:dyDescent="0.25">
      <c r="A208" t="s">
        <v>203</v>
      </c>
      <c r="B208">
        <v>0</v>
      </c>
      <c r="C208">
        <v>0</v>
      </c>
      <c r="D208">
        <v>4</v>
      </c>
      <c r="H208" t="s">
        <v>390</v>
      </c>
      <c r="J208" t="s">
        <v>391</v>
      </c>
      <c r="K208" t="s">
        <v>392</v>
      </c>
      <c r="L208" t="s">
        <v>393</v>
      </c>
      <c r="M208" t="s">
        <v>434</v>
      </c>
      <c r="N208" t="s">
        <v>395</v>
      </c>
      <c r="O208">
        <v>10006791</v>
      </c>
      <c r="P208" t="s">
        <v>396</v>
      </c>
      <c r="Q208" s="5">
        <f>VLOOKUP(TabOceanet[[#This Row],[VM_name]],TabVMEnv[],3,FALSE)</f>
        <v>0</v>
      </c>
      <c r="R208" s="5" t="str">
        <f>IF(VLOOKUP(TabOceanet[[#This Row],[VM_name]],TabVMEnv[],2,FALSE)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0</v>
      </c>
      <c r="AF208" s="17">
        <f>TabOceanet[[#This Row],[VM_mem]]*Tarif_Ram</f>
        <v>0</v>
      </c>
      <c r="AG208" s="5" t="str">
        <f>MID(TabOceanet[[#This Row],[Backup]],29,20)</f>
        <v>J15_2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9" spans="1:36" x14ac:dyDescent="0.25">
      <c r="A209" t="s">
        <v>205</v>
      </c>
      <c r="B209">
        <v>0</v>
      </c>
      <c r="C209">
        <v>0</v>
      </c>
      <c r="D209">
        <v>4</v>
      </c>
      <c r="H209" t="s">
        <v>390</v>
      </c>
      <c r="J209" t="s">
        <v>391</v>
      </c>
      <c r="K209" t="s">
        <v>392</v>
      </c>
      <c r="L209" t="s">
        <v>393</v>
      </c>
      <c r="M209" t="s">
        <v>437</v>
      </c>
      <c r="N209" t="s">
        <v>395</v>
      </c>
      <c r="O209">
        <v>10006791</v>
      </c>
      <c r="P209" t="s">
        <v>396</v>
      </c>
      <c r="Q209" s="5">
        <f>VLOOKUP(TabOceanet[[#This Row],[VM_name]],TabVMEnv[],3,FALSE)</f>
        <v>0</v>
      </c>
      <c r="R209" s="5" t="str">
        <f>IF(VLOOKUP(TabOceanet[[#This Row],[VM_name]],TabVMEnv[],2,FALSE)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0</v>
      </c>
      <c r="AF209" s="17">
        <f>TabOceanet[[#This Row],[VM_mem]]*Tarif_Ram</f>
        <v>0</v>
      </c>
      <c r="AG209" s="5" t="str">
        <f>MID(TabOceanet[[#This Row],[Backup]],29,20)</f>
        <v>J15_3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0" spans="1:36" x14ac:dyDescent="0.25">
      <c r="A210" t="s">
        <v>206</v>
      </c>
      <c r="B210">
        <v>0</v>
      </c>
      <c r="C210">
        <v>0</v>
      </c>
      <c r="D210">
        <v>4</v>
      </c>
      <c r="H210" t="s">
        <v>390</v>
      </c>
      <c r="J210" t="s">
        <v>391</v>
      </c>
      <c r="K210" t="s">
        <v>392</v>
      </c>
      <c r="L210" t="s">
        <v>393</v>
      </c>
      <c r="M210" t="s">
        <v>437</v>
      </c>
      <c r="N210" t="s">
        <v>395</v>
      </c>
      <c r="O210">
        <v>10006791</v>
      </c>
      <c r="P210" t="s">
        <v>396</v>
      </c>
      <c r="Q210" s="5">
        <f>VLOOKUP(TabOceanet[[#This Row],[VM_name]],TabVMEnv[],3,FALSE)</f>
        <v>0</v>
      </c>
      <c r="R210" s="5" t="str">
        <f>IF(VLOOKUP(TabOceanet[[#This Row],[VM_name]],TabVMEnv[],2,FALSE)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0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1" spans="1:36" x14ac:dyDescent="0.25">
      <c r="A211" t="s">
        <v>140</v>
      </c>
      <c r="F211">
        <v>1</v>
      </c>
      <c r="K211" t="s">
        <v>456</v>
      </c>
      <c r="O211">
        <v>10006791</v>
      </c>
      <c r="P211" t="s">
        <v>414</v>
      </c>
      <c r="Q211">
        <f>VLOOKUP(TabOceanet[[#This Row],[VM_name]],TabVMEnv[],3,FALSE)</f>
        <v>0</v>
      </c>
      <c r="R211" s="5" t="str">
        <f>IF(VLOOKUP(TabOceanet[[#This Row],[VM_name]],TabVMEnv[],2,FALSE) = "","Non","")</f>
        <v/>
      </c>
      <c r="S211" s="5">
        <f>IF(TabOceanet[[#This Row],[Type_tarif]]="Tarif_VLAN",1,0)</f>
        <v>1</v>
      </c>
      <c r="T211" s="5">
        <f>TabOceanet[[#This Row],[isCalcVlan]]*TabOceanet[[#This Row],[Nb_article]]*Tarif_VLAN</f>
        <v>10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0</v>
      </c>
      <c r="AF211" s="17">
        <f>TabOceanet[[#This Row],[VM_mem]]*Tarif_Ram</f>
        <v>0</v>
      </c>
      <c r="AG211" s="5" t="str">
        <f>MID(TabOceanet[[#This Row],[Backup]],29,20)</f>
        <v/>
      </c>
      <c r="AH2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2" spans="1:36" x14ac:dyDescent="0.25">
      <c r="A212" t="s">
        <v>168</v>
      </c>
      <c r="F212">
        <v>1</v>
      </c>
      <c r="K212" t="s">
        <v>392</v>
      </c>
      <c r="O212">
        <v>10006791</v>
      </c>
      <c r="P212" t="s">
        <v>414</v>
      </c>
      <c r="Q212">
        <f>VLOOKUP(TabOceanet[[#This Row],[VM_name]],TabVMEnv[],3,FALSE)</f>
        <v>0</v>
      </c>
      <c r="R212" s="5" t="str">
        <f>IF(VLOOKUP(TabOceanet[[#This Row],[VM_name]],TabVMEnv[],2,FALSE) = "","Non","")</f>
        <v/>
      </c>
      <c r="S212" s="5">
        <f>IF(TabOceanet[[#This Row],[Type_tarif]]="Tarif_VLAN",1,0)</f>
        <v>1</v>
      </c>
      <c r="T212" s="5">
        <f>TabOceanet[[#This Row],[isCalcVlan]]*TabOceanet[[#This Row],[Nb_article]]*Tarif_VLAN</f>
        <v>10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0</v>
      </c>
      <c r="AF212" s="17">
        <f>TabOceanet[[#This Row],[VM_mem]]*Tarif_Ram</f>
        <v>0</v>
      </c>
      <c r="AG212" s="5" t="str">
        <f>MID(TabOceanet[[#This Row],[Backup]],29,20)</f>
        <v/>
      </c>
      <c r="AH21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3" spans="1:36" x14ac:dyDescent="0.25">
      <c r="A213" t="s">
        <v>169</v>
      </c>
      <c r="F213">
        <v>1</v>
      </c>
      <c r="K213" t="s">
        <v>392</v>
      </c>
      <c r="O213">
        <v>10006791</v>
      </c>
      <c r="P213" t="s">
        <v>414</v>
      </c>
      <c r="Q213">
        <f>VLOOKUP(TabOceanet[[#This Row],[VM_name]],TabVMEnv[],3,FALSE)</f>
        <v>0</v>
      </c>
      <c r="R213" s="5" t="str">
        <f>IF(VLOOKUP(TabOceanet[[#This Row],[VM_name]],TabVMEnv[],2,FALSE) = "","Non","")</f>
        <v/>
      </c>
      <c r="S213" s="5">
        <f>IF(TabOceanet[[#This Row],[Type_tarif]]="Tarif_VLAN",1,0)</f>
        <v>1</v>
      </c>
      <c r="T213" s="5">
        <f>TabOceanet[[#This Row],[isCalcVlan]]*TabOceanet[[#This Row],[Nb_article]]*Tarif_VLAN</f>
        <v>10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0</v>
      </c>
      <c r="AG213" s="5" t="str">
        <f>MID(TabOceanet[[#This Row],[Backup]],29,20)</f>
        <v/>
      </c>
      <c r="AH21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4" spans="1:36" x14ac:dyDescent="0.25">
      <c r="A214" t="s">
        <v>170</v>
      </c>
      <c r="F214">
        <v>1</v>
      </c>
      <c r="K214" t="s">
        <v>392</v>
      </c>
      <c r="O214">
        <v>10006791</v>
      </c>
      <c r="P214" t="s">
        <v>414</v>
      </c>
      <c r="Q214">
        <f>VLOOKUP(TabOceanet[[#This Row],[VM_name]],TabVMEnv[],3,FALSE)</f>
        <v>0</v>
      </c>
      <c r="R214" s="5" t="str">
        <f>IF(VLOOKUP(TabOceanet[[#This Row],[VM_name]],TabVMEnv[],2,FALSE) = "","Non","")</f>
        <v/>
      </c>
      <c r="S214" s="5">
        <f>IF(TabOceanet[[#This Row],[Type_tarif]]="Tarif_VLAN",1,0)</f>
        <v>1</v>
      </c>
      <c r="T214" s="5">
        <f>TabOceanet[[#This Row],[isCalcVlan]]*TabOceanet[[#This Row],[Nb_article]]*Tarif_VLAN</f>
        <v>10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0</v>
      </c>
      <c r="AF214" s="17">
        <f>TabOceanet[[#This Row],[VM_mem]]*Tarif_Ram</f>
        <v>0</v>
      </c>
      <c r="AG214" s="5" t="str">
        <f>MID(TabOceanet[[#This Row],[Backup]],29,20)</f>
        <v/>
      </c>
      <c r="AH21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5" spans="1:36" x14ac:dyDescent="0.25">
      <c r="A215" t="s">
        <v>171</v>
      </c>
      <c r="F215">
        <v>1</v>
      </c>
      <c r="K215" t="s">
        <v>392</v>
      </c>
      <c r="O215">
        <v>10006791</v>
      </c>
      <c r="P215" t="s">
        <v>414</v>
      </c>
      <c r="Q215">
        <f>VLOOKUP(TabOceanet[[#This Row],[VM_name]],TabVMEnv[],3,FALSE)</f>
        <v>0</v>
      </c>
      <c r="R215" s="5" t="str">
        <f>IF(VLOOKUP(TabOceanet[[#This Row],[VM_name]],TabVMEnv[],2,FALSE) = "","Non","")</f>
        <v/>
      </c>
      <c r="S215" s="5">
        <f>IF(TabOceanet[[#This Row],[Type_tarif]]="Tarif_VLAN",1,0)</f>
        <v>1</v>
      </c>
      <c r="T215" s="5">
        <f>TabOceanet[[#This Row],[isCalcVlan]]*TabOceanet[[#This Row],[Nb_article]]*Tarif_VLAN</f>
        <v>10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0</v>
      </c>
      <c r="AG215" s="5" t="str">
        <f>MID(TabOceanet[[#This Row],[Backup]],29,20)</f>
        <v/>
      </c>
      <c r="AH21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6" spans="1:36" x14ac:dyDescent="0.25">
      <c r="A216" t="s">
        <v>172</v>
      </c>
      <c r="F216">
        <v>1</v>
      </c>
      <c r="K216" t="s">
        <v>392</v>
      </c>
      <c r="O216">
        <v>10006791</v>
      </c>
      <c r="P216" t="s">
        <v>414</v>
      </c>
      <c r="Q216">
        <f>VLOOKUP(TabOceanet[[#This Row],[VM_name]],TabVMEnv[],3,FALSE)</f>
        <v>0</v>
      </c>
      <c r="R216" s="5" t="str">
        <f>IF(VLOOKUP(TabOceanet[[#This Row],[VM_name]],TabVMEnv[],2,FALSE) = "","Non","")</f>
        <v/>
      </c>
      <c r="S216" s="5">
        <f>IF(TabOceanet[[#This Row],[Type_tarif]]="Tarif_VLAN",1,0)</f>
        <v>1</v>
      </c>
      <c r="T216" s="5">
        <f>TabOceanet[[#This Row],[isCalcVlan]]*TabOceanet[[#This Row],[Nb_article]]*Tarif_VLAN</f>
        <v>10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0</v>
      </c>
      <c r="AG216" s="5" t="str">
        <f>MID(TabOceanet[[#This Row],[Backup]],29,20)</f>
        <v/>
      </c>
      <c r="AH21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7" spans="1:36" x14ac:dyDescent="0.25">
      <c r="A217" t="s">
        <v>173</v>
      </c>
      <c r="F217">
        <v>1</v>
      </c>
      <c r="K217" t="s">
        <v>392</v>
      </c>
      <c r="O217">
        <v>10006791</v>
      </c>
      <c r="P217" t="s">
        <v>414</v>
      </c>
      <c r="Q217">
        <f>VLOOKUP(TabOceanet[[#This Row],[VM_name]],TabVMEnv[],3,FALSE)</f>
        <v>0</v>
      </c>
      <c r="R217" s="5" t="str">
        <f>IF(VLOOKUP(TabOceanet[[#This Row],[VM_name]],TabVMEnv[],2,FALSE) = "","Non","")</f>
        <v/>
      </c>
      <c r="S217" s="5">
        <f>IF(TabOceanet[[#This Row],[Type_tarif]]="Tarif_VLAN",1,0)</f>
        <v>1</v>
      </c>
      <c r="T217" s="5">
        <f>TabOceanet[[#This Row],[isCalcVlan]]*TabOceanet[[#This Row],[Nb_article]]*Tarif_VLAN</f>
        <v>10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0</v>
      </c>
      <c r="AG217" s="5" t="str">
        <f>MID(TabOceanet[[#This Row],[Backup]],29,20)</f>
        <v/>
      </c>
      <c r="AH21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8" spans="1:36" x14ac:dyDescent="0.25">
      <c r="A218" t="s">
        <v>174</v>
      </c>
      <c r="F218">
        <v>1</v>
      </c>
      <c r="K218" t="s">
        <v>392</v>
      </c>
      <c r="O218">
        <v>10006791</v>
      </c>
      <c r="P218" t="s">
        <v>414</v>
      </c>
      <c r="Q218">
        <f>VLOOKUP(TabOceanet[[#This Row],[VM_name]],TabVMEnv[],3,FALSE)</f>
        <v>0</v>
      </c>
      <c r="R218" s="5" t="str">
        <f>IF(VLOOKUP(TabOceanet[[#This Row],[VM_name]],TabVMEnv[],2,FALSE) = "","Non","")</f>
        <v/>
      </c>
      <c r="S218" s="5">
        <f>IF(TabOceanet[[#This Row],[Type_tarif]]="Tarif_VLAN",1,0)</f>
        <v>1</v>
      </c>
      <c r="T218" s="5">
        <f>TabOceanet[[#This Row],[isCalcVlan]]*TabOceanet[[#This Row],[Nb_article]]*Tarif_VLAN</f>
        <v>10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0</v>
      </c>
      <c r="AG218" s="5" t="str">
        <f>MID(TabOceanet[[#This Row],[Backup]],29,20)</f>
        <v/>
      </c>
      <c r="AH21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9" spans="1:36" x14ac:dyDescent="0.25">
      <c r="A219" t="s">
        <v>175</v>
      </c>
      <c r="F219">
        <v>1</v>
      </c>
      <c r="K219" t="s">
        <v>392</v>
      </c>
      <c r="O219">
        <v>10006791</v>
      </c>
      <c r="P219" t="s">
        <v>414</v>
      </c>
      <c r="Q219">
        <f>VLOOKUP(TabOceanet[[#This Row],[VM_name]],TabVMEnv[],3,FALSE)</f>
        <v>0</v>
      </c>
      <c r="R219" s="5" t="str">
        <f>IF(VLOOKUP(TabOceanet[[#This Row],[VM_name]],TabVMEnv[],2,FALSE) = "","Non","")</f>
        <v/>
      </c>
      <c r="S219" s="5">
        <f>IF(TabOceanet[[#This Row],[Type_tarif]]="Tarif_VLAN",1,0)</f>
        <v>1</v>
      </c>
      <c r="T219" s="5">
        <f>TabOceanet[[#This Row],[isCalcVlan]]*TabOceanet[[#This Row],[Nb_article]]*Tarif_VLAN</f>
        <v>10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0</v>
      </c>
      <c r="AG219" s="5" t="str">
        <f>MID(TabOceanet[[#This Row],[Backup]],29,20)</f>
        <v/>
      </c>
      <c r="AH21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0" spans="1:36" x14ac:dyDescent="0.25">
      <c r="A220" t="s">
        <v>176</v>
      </c>
      <c r="F220">
        <v>1</v>
      </c>
      <c r="K220" t="s">
        <v>392</v>
      </c>
      <c r="O220">
        <v>10006791</v>
      </c>
      <c r="P220" t="s">
        <v>414</v>
      </c>
      <c r="Q220">
        <f>VLOOKUP(TabOceanet[[#This Row],[VM_name]],TabVMEnv[],3,FALSE)</f>
        <v>0</v>
      </c>
      <c r="R220" s="5" t="str">
        <f>IF(VLOOKUP(TabOceanet[[#This Row],[VM_name]],TabVMEnv[],2,FALSE) = "","Non","")</f>
        <v/>
      </c>
      <c r="S220" s="5">
        <f>IF(TabOceanet[[#This Row],[Type_tarif]]="Tarif_VLAN",1,0)</f>
        <v>1</v>
      </c>
      <c r="T220" s="5">
        <f>TabOceanet[[#This Row],[isCalcVlan]]*TabOceanet[[#This Row],[Nb_article]]*Tarif_VLAN</f>
        <v>10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0</v>
      </c>
      <c r="AG220" s="5" t="str">
        <f>MID(TabOceanet[[#This Row],[Backup]],29,20)</f>
        <v/>
      </c>
      <c r="AH22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1" spans="1:36" x14ac:dyDescent="0.25">
      <c r="A221" t="s">
        <v>310</v>
      </c>
      <c r="F221">
        <v>1</v>
      </c>
      <c r="K221" t="s">
        <v>397</v>
      </c>
      <c r="O221">
        <v>10006791</v>
      </c>
      <c r="P221" t="s">
        <v>414</v>
      </c>
      <c r="Q221">
        <f>VLOOKUP(TabOceanet[[#This Row],[VM_name]],TabVMEnv[],3,FALSE)</f>
        <v>0</v>
      </c>
      <c r="R221" s="5" t="str">
        <f>IF(VLOOKUP(TabOceanet[[#This Row],[VM_name]],TabVMEnv[],2,FALSE) = "","Non","")</f>
        <v/>
      </c>
      <c r="S221" s="5">
        <f>IF(TabOceanet[[#This Row],[Type_tarif]]="Tarif_VLAN",1,0)</f>
        <v>1</v>
      </c>
      <c r="T221" s="5">
        <f>TabOceanet[[#This Row],[isCalcVlan]]*TabOceanet[[#This Row],[Nb_article]]*Tarif_VLAN</f>
        <v>10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0</v>
      </c>
      <c r="AG221" s="5" t="str">
        <f>MID(TabOceanet[[#This Row],[Backup]],29,20)</f>
        <v/>
      </c>
      <c r="AH22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2" spans="1:36" x14ac:dyDescent="0.25">
      <c r="A222" t="s">
        <v>311</v>
      </c>
      <c r="F222">
        <v>1</v>
      </c>
      <c r="K222" t="s">
        <v>397</v>
      </c>
      <c r="O222">
        <v>10006791</v>
      </c>
      <c r="P222" t="s">
        <v>414</v>
      </c>
      <c r="Q222">
        <f>VLOOKUP(TabOceanet[[#This Row],[VM_name]],TabVMEnv[],3,FALSE)</f>
        <v>0</v>
      </c>
      <c r="R222" s="5" t="str">
        <f>IF(VLOOKUP(TabOceanet[[#This Row],[VM_name]],TabVMEnv[],2,FALSE) = "","Non","")</f>
        <v/>
      </c>
      <c r="S222" s="5">
        <f>IF(TabOceanet[[#This Row],[Type_tarif]]="Tarif_VLAN",1,0)</f>
        <v>1</v>
      </c>
      <c r="T222" s="5">
        <f>TabOceanet[[#This Row],[isCalcVlan]]*TabOceanet[[#This Row],[Nb_article]]*Tarif_VLAN</f>
        <v>10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0</v>
      </c>
      <c r="AG222" s="5" t="str">
        <f>MID(TabOceanet[[#This Row],[Backup]],29,20)</f>
        <v/>
      </c>
      <c r="AH22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3" spans="1:36" x14ac:dyDescent="0.25">
      <c r="A223" t="s">
        <v>266</v>
      </c>
      <c r="F223">
        <v>1</v>
      </c>
      <c r="K223" t="s">
        <v>397</v>
      </c>
      <c r="O223">
        <v>10006791</v>
      </c>
      <c r="P223" t="s">
        <v>414</v>
      </c>
      <c r="Q223">
        <f>VLOOKUP(TabOceanet[[#This Row],[VM_name]],TabVMEnv[],3,FALSE)</f>
        <v>0</v>
      </c>
      <c r="R223" s="5" t="str">
        <f>IF(VLOOKUP(TabOceanet[[#This Row],[VM_name]],TabVMEnv[],2,FALSE) = "","Non","")</f>
        <v/>
      </c>
      <c r="S223" s="5">
        <f>IF(TabOceanet[[#This Row],[Type_tarif]]="Tarif_VLAN",1,0)</f>
        <v>1</v>
      </c>
      <c r="T223" s="5">
        <f>TabOceanet[[#This Row],[isCalcVlan]]*TabOceanet[[#This Row],[Nb_article]]*Tarif_VLAN</f>
        <v>10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0</v>
      </c>
      <c r="AG223" s="5" t="str">
        <f>MID(TabOceanet[[#This Row],[Backup]],29,20)</f>
        <v/>
      </c>
      <c r="AH22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4" spans="1:36" x14ac:dyDescent="0.25">
      <c r="A224" t="s">
        <v>267</v>
      </c>
      <c r="F224">
        <v>1</v>
      </c>
      <c r="K224" t="s">
        <v>397</v>
      </c>
      <c r="O224">
        <v>10006791</v>
      </c>
      <c r="P224" t="s">
        <v>414</v>
      </c>
      <c r="Q224">
        <f>VLOOKUP(TabOceanet[[#This Row],[VM_name]],TabVMEnv[],3,FALSE)</f>
        <v>0</v>
      </c>
      <c r="R224" s="5" t="str">
        <f>IF(VLOOKUP(TabOceanet[[#This Row],[VM_name]],TabVMEnv[],2,FALSE) = "","Non","")</f>
        <v/>
      </c>
      <c r="S224" s="5">
        <f>IF(TabOceanet[[#This Row],[Type_tarif]]="Tarif_VLAN",1,0)</f>
        <v>1</v>
      </c>
      <c r="T224" s="5">
        <f>TabOceanet[[#This Row],[isCalcVlan]]*TabOceanet[[#This Row],[Nb_article]]*Tarif_VLAN</f>
        <v>10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0</v>
      </c>
      <c r="AG224" s="5" t="str">
        <f>MID(TabOceanet[[#This Row],[Backup]],29,20)</f>
        <v/>
      </c>
      <c r="AH22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5" spans="1:36" x14ac:dyDescent="0.25">
      <c r="A225" t="s">
        <v>268</v>
      </c>
      <c r="F225">
        <v>1</v>
      </c>
      <c r="K225" t="s">
        <v>397</v>
      </c>
      <c r="O225">
        <v>10006791</v>
      </c>
      <c r="P225" t="s">
        <v>414</v>
      </c>
      <c r="Q225">
        <f>VLOOKUP(TabOceanet[[#This Row],[VM_name]],TabVMEnv[],3,FALSE)</f>
        <v>0</v>
      </c>
      <c r="R225" s="5" t="str">
        <f>IF(VLOOKUP(TabOceanet[[#This Row],[VM_name]],TabVMEnv[],2,FALSE) = "","Non","")</f>
        <v/>
      </c>
      <c r="S225" s="5">
        <f>IF(TabOceanet[[#This Row],[Type_tarif]]="Tarif_VLAN",1,0)</f>
        <v>1</v>
      </c>
      <c r="T225" s="5">
        <f>TabOceanet[[#This Row],[isCalcVlan]]*TabOceanet[[#This Row],[Nb_article]]*Tarif_VLAN</f>
        <v>10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0</v>
      </c>
      <c r="AF225" s="17">
        <f>TabOceanet[[#This Row],[VM_mem]]*Tarif_Ram</f>
        <v>0</v>
      </c>
      <c r="AG225" s="5" t="str">
        <f>MID(TabOceanet[[#This Row],[Backup]],29,20)</f>
        <v/>
      </c>
      <c r="AH22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6" spans="1:36" x14ac:dyDescent="0.25">
      <c r="A226" t="s">
        <v>269</v>
      </c>
      <c r="F226">
        <v>1</v>
      </c>
      <c r="K226" t="s">
        <v>397</v>
      </c>
      <c r="O226">
        <v>10006791</v>
      </c>
      <c r="P226" t="s">
        <v>414</v>
      </c>
      <c r="Q226">
        <f>VLOOKUP(TabOceanet[[#This Row],[VM_name]],TabVMEnv[],3,FALSE)</f>
        <v>0</v>
      </c>
      <c r="R226" s="5" t="str">
        <f>IF(VLOOKUP(TabOceanet[[#This Row],[VM_name]],TabVMEnv[],2,FALSE) = "","Non","")</f>
        <v/>
      </c>
      <c r="S226" s="5">
        <f>IF(TabOceanet[[#This Row],[Type_tarif]]="Tarif_VLAN",1,0)</f>
        <v>1</v>
      </c>
      <c r="T226" s="5">
        <f>TabOceanet[[#This Row],[isCalcVlan]]*TabOceanet[[#This Row],[Nb_article]]*Tarif_VLAN</f>
        <v>10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0</v>
      </c>
      <c r="AG226" s="5" t="str">
        <f>MID(TabOceanet[[#This Row],[Backup]],29,20)</f>
        <v/>
      </c>
      <c r="AH22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7" spans="1:36" x14ac:dyDescent="0.25">
      <c r="A227" t="s">
        <v>270</v>
      </c>
      <c r="F227">
        <v>1</v>
      </c>
      <c r="K227" t="s">
        <v>397</v>
      </c>
      <c r="O227">
        <v>10006791</v>
      </c>
      <c r="P227" t="s">
        <v>414</v>
      </c>
      <c r="Q227">
        <f>VLOOKUP(TabOceanet[[#This Row],[VM_name]],TabVMEnv[],3,FALSE)</f>
        <v>0</v>
      </c>
      <c r="R227" s="5" t="str">
        <f>IF(VLOOKUP(TabOceanet[[#This Row],[VM_name]],TabVMEnv[],2,FALSE) = "","Non","")</f>
        <v/>
      </c>
      <c r="S227" s="5">
        <f>IF(TabOceanet[[#This Row],[Type_tarif]]="Tarif_VLAN",1,0)</f>
        <v>1</v>
      </c>
      <c r="T227" s="5">
        <f>TabOceanet[[#This Row],[isCalcVlan]]*TabOceanet[[#This Row],[Nb_article]]*Tarif_VLAN</f>
        <v>10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0</v>
      </c>
      <c r="AF227" s="17">
        <f>TabOceanet[[#This Row],[VM_mem]]*Tarif_Ram</f>
        <v>0</v>
      </c>
      <c r="AG227" s="5" t="str">
        <f>MID(TabOceanet[[#This Row],[Backup]],29,20)</f>
        <v/>
      </c>
      <c r="AH22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8" spans="1:36" x14ac:dyDescent="0.25">
      <c r="A228" t="s">
        <v>271</v>
      </c>
      <c r="F228">
        <v>1</v>
      </c>
      <c r="K228" t="s">
        <v>397</v>
      </c>
      <c r="O228">
        <v>10006791</v>
      </c>
      <c r="P228" t="s">
        <v>414</v>
      </c>
      <c r="Q228">
        <f>VLOOKUP(TabOceanet[[#This Row],[VM_name]],TabVMEnv[],3,FALSE)</f>
        <v>0</v>
      </c>
      <c r="R228" s="5" t="str">
        <f>IF(VLOOKUP(TabOceanet[[#This Row],[VM_name]],TabVMEnv[],2,FALSE) = "","Non","")</f>
        <v/>
      </c>
      <c r="S228" s="5">
        <f>IF(TabOceanet[[#This Row],[Type_tarif]]="Tarif_VLAN",1,0)</f>
        <v>1</v>
      </c>
      <c r="T228" s="5">
        <f>TabOceanet[[#This Row],[isCalcVlan]]*TabOceanet[[#This Row],[Nb_article]]*Tarif_VLAN</f>
        <v>10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0</v>
      </c>
      <c r="AG228" s="5" t="str">
        <f>MID(TabOceanet[[#This Row],[Backup]],29,20)</f>
        <v/>
      </c>
      <c r="AH22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9" spans="1:36" x14ac:dyDescent="0.25">
      <c r="A229" t="s">
        <v>272</v>
      </c>
      <c r="F229">
        <v>1</v>
      </c>
      <c r="K229" t="s">
        <v>397</v>
      </c>
      <c r="O229">
        <v>10006791</v>
      </c>
      <c r="P229" t="s">
        <v>414</v>
      </c>
      <c r="Q229">
        <f>VLOOKUP(TabOceanet[[#This Row],[VM_name]],TabVMEnv[],3,FALSE)</f>
        <v>0</v>
      </c>
      <c r="R229" s="5" t="str">
        <f>IF(VLOOKUP(TabOceanet[[#This Row],[VM_name]],TabVMEnv[],2,FALSE) = "","Non","")</f>
        <v/>
      </c>
      <c r="S229" s="5">
        <f>IF(TabOceanet[[#This Row],[Type_tarif]]="Tarif_VLAN",1,0)</f>
        <v>1</v>
      </c>
      <c r="T229" s="5">
        <f>TabOceanet[[#This Row],[isCalcVlan]]*TabOceanet[[#This Row],[Nb_article]]*Tarif_VLAN</f>
        <v>10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0</v>
      </c>
      <c r="AG229" s="5" t="str">
        <f>MID(TabOceanet[[#This Row],[Backup]],29,20)</f>
        <v/>
      </c>
      <c r="AH2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0" spans="1:36" x14ac:dyDescent="0.25">
      <c r="A230" t="s">
        <v>273</v>
      </c>
      <c r="F230">
        <v>1</v>
      </c>
      <c r="K230" t="s">
        <v>397</v>
      </c>
      <c r="O230">
        <v>10006791</v>
      </c>
      <c r="P230" t="s">
        <v>414</v>
      </c>
      <c r="Q230">
        <f>VLOOKUP(TabOceanet[[#This Row],[VM_name]],TabVMEnv[],3,FALSE)</f>
        <v>0</v>
      </c>
      <c r="R230" s="5" t="str">
        <f>IF(VLOOKUP(TabOceanet[[#This Row],[VM_name]],TabVMEnv[],2,FALSE) = "","Non","")</f>
        <v/>
      </c>
      <c r="S230" s="5">
        <f>IF(TabOceanet[[#This Row],[Type_tarif]]="Tarif_VLAN",1,0)</f>
        <v>1</v>
      </c>
      <c r="T230" s="5">
        <f>TabOceanet[[#This Row],[isCalcVlan]]*TabOceanet[[#This Row],[Nb_article]]*Tarif_VLAN</f>
        <v>10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0</v>
      </c>
      <c r="AF230" s="17">
        <f>TabOceanet[[#This Row],[VM_mem]]*Tarif_Ram</f>
        <v>0</v>
      </c>
      <c r="AG230" s="5" t="str">
        <f>MID(TabOceanet[[#This Row],[Backup]],29,20)</f>
        <v/>
      </c>
      <c r="AH2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1" spans="1:36" x14ac:dyDescent="0.25">
      <c r="A231" t="s">
        <v>274</v>
      </c>
      <c r="F231">
        <v>1</v>
      </c>
      <c r="K231" t="s">
        <v>397</v>
      </c>
      <c r="O231">
        <v>10006791</v>
      </c>
      <c r="P231" t="s">
        <v>414</v>
      </c>
      <c r="Q231">
        <f>VLOOKUP(TabOceanet[[#This Row],[VM_name]],TabVMEnv[],3,FALSE)</f>
        <v>0</v>
      </c>
      <c r="R231" s="5" t="str">
        <f>IF(VLOOKUP(TabOceanet[[#This Row],[VM_name]],TabVMEnv[],2,FALSE) = "","Non","")</f>
        <v/>
      </c>
      <c r="S231" s="5">
        <f>IF(TabOceanet[[#This Row],[Type_tarif]]="Tarif_VLAN",1,0)</f>
        <v>1</v>
      </c>
      <c r="T231" s="5">
        <f>TabOceanet[[#This Row],[isCalcVlan]]*TabOceanet[[#This Row],[Nb_article]]*Tarif_VLAN</f>
        <v>10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0</v>
      </c>
      <c r="AF231" s="17">
        <f>TabOceanet[[#This Row],[VM_mem]]*Tarif_Ram</f>
        <v>0</v>
      </c>
      <c r="AG231" s="5" t="str">
        <f>MID(TabOceanet[[#This Row],[Backup]],29,20)</f>
        <v/>
      </c>
      <c r="AH2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2" spans="1:36" x14ac:dyDescent="0.25">
      <c r="A232" t="s">
        <v>275</v>
      </c>
      <c r="F232">
        <v>1</v>
      </c>
      <c r="K232" t="s">
        <v>397</v>
      </c>
      <c r="O232">
        <v>10006791</v>
      </c>
      <c r="P232" t="s">
        <v>414</v>
      </c>
      <c r="Q232">
        <f>VLOOKUP(TabOceanet[[#This Row],[VM_name]],TabVMEnv[],3,FALSE)</f>
        <v>0</v>
      </c>
      <c r="R232" s="5" t="str">
        <f>IF(VLOOKUP(TabOceanet[[#This Row],[VM_name]],TabVMEnv[],2,FALSE) = "","Non","")</f>
        <v/>
      </c>
      <c r="S232" s="5">
        <f>IF(TabOceanet[[#This Row],[Type_tarif]]="Tarif_VLAN",1,0)</f>
        <v>1</v>
      </c>
      <c r="T232" s="5">
        <f>TabOceanet[[#This Row],[isCalcVlan]]*TabOceanet[[#This Row],[Nb_article]]*Tarif_VLAN</f>
        <v>10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0</v>
      </c>
      <c r="AF232" s="17">
        <f>TabOceanet[[#This Row],[VM_mem]]*Tarif_Ram</f>
        <v>0</v>
      </c>
      <c r="AG232" s="5" t="str">
        <f>MID(TabOceanet[[#This Row],[Backup]],29,20)</f>
        <v/>
      </c>
      <c r="AH2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3" spans="1:36" x14ac:dyDescent="0.25">
      <c r="A233" t="s">
        <v>276</v>
      </c>
      <c r="F233">
        <v>1</v>
      </c>
      <c r="K233" t="s">
        <v>397</v>
      </c>
      <c r="O233">
        <v>10006791</v>
      </c>
      <c r="P233" t="s">
        <v>414</v>
      </c>
      <c r="Q233">
        <f>VLOOKUP(TabOceanet[[#This Row],[VM_name]],TabVMEnv[],3,FALSE)</f>
        <v>0</v>
      </c>
      <c r="R233" s="5" t="str">
        <f>IF(VLOOKUP(TabOceanet[[#This Row],[VM_name]],TabVMEnv[],2,FALSE) = "","Non","")</f>
        <v/>
      </c>
      <c r="S233" s="5">
        <f>IF(TabOceanet[[#This Row],[Type_tarif]]="Tarif_VLAN",1,0)</f>
        <v>1</v>
      </c>
      <c r="T233" s="5">
        <f>TabOceanet[[#This Row],[isCalcVlan]]*TabOceanet[[#This Row],[Nb_article]]*Tarif_VLAN</f>
        <v>10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0</v>
      </c>
      <c r="AF233" s="17">
        <f>TabOceanet[[#This Row],[VM_mem]]*Tarif_Ram</f>
        <v>0</v>
      </c>
      <c r="AG233" s="5" t="str">
        <f>MID(TabOceanet[[#This Row],[Backup]],29,20)</f>
        <v/>
      </c>
      <c r="AH2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4" spans="1:36" x14ac:dyDescent="0.25">
      <c r="A234" t="s">
        <v>277</v>
      </c>
      <c r="F234">
        <v>1</v>
      </c>
      <c r="K234" t="s">
        <v>397</v>
      </c>
      <c r="O234">
        <v>10006791</v>
      </c>
      <c r="P234" t="s">
        <v>414</v>
      </c>
      <c r="Q234">
        <f>VLOOKUP(TabOceanet[[#This Row],[VM_name]],TabVMEnv[],3,FALSE)</f>
        <v>0</v>
      </c>
      <c r="R234" s="5" t="str">
        <f>IF(VLOOKUP(TabOceanet[[#This Row],[VM_name]],TabVMEnv[],2,FALSE) = "","Non","")</f>
        <v/>
      </c>
      <c r="S234" s="5">
        <f>IF(TabOceanet[[#This Row],[Type_tarif]]="Tarif_VLAN",1,0)</f>
        <v>1</v>
      </c>
      <c r="T234" s="5">
        <f>TabOceanet[[#This Row],[isCalcVlan]]*TabOceanet[[#This Row],[Nb_article]]*Tarif_VLAN</f>
        <v>10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0</v>
      </c>
      <c r="AF234" s="17">
        <f>TabOceanet[[#This Row],[VM_mem]]*Tarif_Ram</f>
        <v>0</v>
      </c>
      <c r="AG234" s="5" t="str">
        <f>MID(TabOceanet[[#This Row],[Backup]],29,20)</f>
        <v/>
      </c>
      <c r="AH2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5" spans="1:36" x14ac:dyDescent="0.25">
      <c r="A235" t="s">
        <v>278</v>
      </c>
      <c r="F235">
        <v>1</v>
      </c>
      <c r="K235" t="s">
        <v>397</v>
      </c>
      <c r="O235">
        <v>10006791</v>
      </c>
      <c r="P235" t="s">
        <v>414</v>
      </c>
      <c r="Q235">
        <f>VLOOKUP(TabOceanet[[#This Row],[VM_name]],TabVMEnv[],3,FALSE)</f>
        <v>0</v>
      </c>
      <c r="R235" s="5" t="str">
        <f>IF(VLOOKUP(TabOceanet[[#This Row],[VM_name]],TabVMEnv[],2,FALSE) = "","Non","")</f>
        <v/>
      </c>
      <c r="S235" s="5">
        <f>IF(TabOceanet[[#This Row],[Type_tarif]]="Tarif_VLAN",1,0)</f>
        <v>1</v>
      </c>
      <c r="T235" s="5">
        <f>TabOceanet[[#This Row],[isCalcVlan]]*TabOceanet[[#This Row],[Nb_article]]*Tarif_VLAN</f>
        <v>10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0</v>
      </c>
      <c r="AF235" s="17">
        <f>TabOceanet[[#This Row],[VM_mem]]*Tarif_Ram</f>
        <v>0</v>
      </c>
      <c r="AG235" s="5" t="str">
        <f>MID(TabOceanet[[#This Row],[Backup]],29,20)</f>
        <v/>
      </c>
      <c r="AH2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6" spans="1:36" x14ac:dyDescent="0.25">
      <c r="A236" t="s">
        <v>279</v>
      </c>
      <c r="F236">
        <v>1</v>
      </c>
      <c r="K236" t="s">
        <v>397</v>
      </c>
      <c r="O236">
        <v>10006791</v>
      </c>
      <c r="P236" t="s">
        <v>414</v>
      </c>
      <c r="Q236">
        <f>VLOOKUP(TabOceanet[[#This Row],[VM_name]],TabVMEnv[],3,FALSE)</f>
        <v>0</v>
      </c>
      <c r="R236" s="5" t="str">
        <f>IF(VLOOKUP(TabOceanet[[#This Row],[VM_name]],TabVMEnv[],2,FALSE) = "","Non","")</f>
        <v/>
      </c>
      <c r="S236" s="5">
        <f>IF(TabOceanet[[#This Row],[Type_tarif]]="Tarif_VLAN",1,0)</f>
        <v>1</v>
      </c>
      <c r="T236" s="5">
        <f>TabOceanet[[#This Row],[isCalcVlan]]*TabOceanet[[#This Row],[Nb_article]]*Tarif_VLAN</f>
        <v>10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0</v>
      </c>
      <c r="AG236" s="5" t="str">
        <f>MID(TabOceanet[[#This Row],[Backup]],29,20)</f>
        <v/>
      </c>
      <c r="AH2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7" spans="1:36" x14ac:dyDescent="0.25">
      <c r="A237" t="s">
        <v>280</v>
      </c>
      <c r="F237">
        <v>1</v>
      </c>
      <c r="K237" t="s">
        <v>397</v>
      </c>
      <c r="O237">
        <v>10006791</v>
      </c>
      <c r="P237" t="s">
        <v>414</v>
      </c>
      <c r="Q237">
        <f>VLOOKUP(TabOceanet[[#This Row],[VM_name]],TabVMEnv[],3,FALSE)</f>
        <v>0</v>
      </c>
      <c r="R237" s="5" t="str">
        <f>IF(VLOOKUP(TabOceanet[[#This Row],[VM_name]],TabVMEnv[],2,FALSE) = "","Non","")</f>
        <v/>
      </c>
      <c r="S237" s="5">
        <f>IF(TabOceanet[[#This Row],[Type_tarif]]="Tarif_VLAN",1,0)</f>
        <v>1</v>
      </c>
      <c r="T237" s="5">
        <f>TabOceanet[[#This Row],[isCalcVlan]]*TabOceanet[[#This Row],[Nb_article]]*Tarif_VLAN</f>
        <v>10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0</v>
      </c>
      <c r="AF237" s="17">
        <f>TabOceanet[[#This Row],[VM_mem]]*Tarif_Ram</f>
        <v>0</v>
      </c>
      <c r="AG237" s="5" t="str">
        <f>MID(TabOceanet[[#This Row],[Backup]],29,20)</f>
        <v/>
      </c>
      <c r="AH2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8" spans="1:36" x14ac:dyDescent="0.25">
      <c r="A238" t="s">
        <v>177</v>
      </c>
      <c r="F238">
        <v>1</v>
      </c>
      <c r="K238" t="s">
        <v>392</v>
      </c>
      <c r="O238">
        <v>10006791</v>
      </c>
      <c r="P238" t="s">
        <v>414</v>
      </c>
      <c r="Q238">
        <f>VLOOKUP(TabOceanet[[#This Row],[VM_name]],TabVMEnv[],3,FALSE)</f>
        <v>0</v>
      </c>
      <c r="R238" s="5" t="str">
        <f>IF(VLOOKUP(TabOceanet[[#This Row],[VM_name]],TabVMEnv[],2,FALSE) = "","Non","")</f>
        <v/>
      </c>
      <c r="S238" s="5">
        <f>IF(TabOceanet[[#This Row],[Type_tarif]]="Tarif_VLAN",1,0)</f>
        <v>1</v>
      </c>
      <c r="T238" s="5">
        <f>TabOceanet[[#This Row],[isCalcVlan]]*TabOceanet[[#This Row],[Nb_article]]*Tarif_VLAN</f>
        <v>10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/>
      </c>
      <c r="AH2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9" spans="1:36" x14ac:dyDescent="0.25">
      <c r="A239" t="s">
        <v>232</v>
      </c>
      <c r="B239">
        <v>1</v>
      </c>
      <c r="C239">
        <v>2</v>
      </c>
      <c r="D239">
        <v>80</v>
      </c>
      <c r="E239" t="s">
        <v>450</v>
      </c>
      <c r="G239" t="s">
        <v>436</v>
      </c>
      <c r="H239" t="s">
        <v>390</v>
      </c>
      <c r="I239" t="s">
        <v>418</v>
      </c>
      <c r="J239" t="s">
        <v>391</v>
      </c>
      <c r="K239" t="s">
        <v>392</v>
      </c>
      <c r="L239" t="s">
        <v>393</v>
      </c>
      <c r="M239" t="s">
        <v>437</v>
      </c>
      <c r="N239" t="s">
        <v>395</v>
      </c>
      <c r="O239">
        <v>10006791</v>
      </c>
      <c r="P239" t="s">
        <v>396</v>
      </c>
      <c r="Q239" s="5">
        <f>VLOOKUP(TabOceanet[[#This Row],[VM_name]],TabVMEnv[],3,FALSE)</f>
        <v>0</v>
      </c>
      <c r="R239" s="5" t="str">
        <f>IF(VLOOKUP(TabOceanet[[#This Row],[VM_name]],TabVMEnv[],2,FALSE)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1</v>
      </c>
      <c r="AF239" s="17">
        <f>TabOceanet[[#This Row],[VM_mem]]*Tarif_Ram</f>
        <v>3.2</v>
      </c>
      <c r="AG239" s="5" t="str">
        <f>MID(TabOceanet[[#This Row],[Backup]],29,20)</f>
        <v>J15_3</v>
      </c>
      <c r="AH2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40" spans="1:36" x14ac:dyDescent="0.25">
      <c r="A240" t="s">
        <v>103</v>
      </c>
      <c r="B240">
        <v>2</v>
      </c>
      <c r="C240">
        <v>6</v>
      </c>
      <c r="D240">
        <v>340</v>
      </c>
      <c r="E240" t="s">
        <v>457</v>
      </c>
      <c r="G240" t="s">
        <v>433</v>
      </c>
      <c r="H240" t="s">
        <v>390</v>
      </c>
      <c r="I240" t="s">
        <v>418</v>
      </c>
      <c r="J240" t="s">
        <v>391</v>
      </c>
      <c r="K240" t="s">
        <v>392</v>
      </c>
      <c r="L240" t="s">
        <v>393</v>
      </c>
      <c r="M240" t="s">
        <v>434</v>
      </c>
      <c r="N240" t="s">
        <v>395</v>
      </c>
      <c r="O240">
        <v>10006791</v>
      </c>
      <c r="P240" t="s">
        <v>396</v>
      </c>
      <c r="Q240" s="5">
        <f>VLOOKUP(TabOceanet[[#This Row],[VM_name]],TabVMEnv[],3,FALSE)</f>
        <v>0</v>
      </c>
      <c r="R240" s="5" t="str">
        <f>IF(VLOOKUP(TabOceanet[[#This Row],[VM_name]],TabVMEnv[],2,FALSE)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1</v>
      </c>
      <c r="AF240" s="17">
        <f>TabOceanet[[#This Row],[VM_mem]]*Tarif_Ram</f>
        <v>9.6000000000000014</v>
      </c>
      <c r="AG240" s="5" t="str">
        <f>MID(TabOceanet[[#This Row],[Backup]],29,20)</f>
        <v>J15_2</v>
      </c>
      <c r="AH2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41" spans="1:36" x14ac:dyDescent="0.25">
      <c r="A241" t="s">
        <v>336</v>
      </c>
      <c r="B241">
        <v>2</v>
      </c>
      <c r="C241">
        <v>2</v>
      </c>
      <c r="D241">
        <v>120</v>
      </c>
      <c r="E241" t="s">
        <v>435</v>
      </c>
      <c r="G241" t="s">
        <v>436</v>
      </c>
      <c r="H241" t="s">
        <v>390</v>
      </c>
      <c r="I241" t="s">
        <v>418</v>
      </c>
      <c r="J241" t="s">
        <v>391</v>
      </c>
      <c r="K241" t="s">
        <v>392</v>
      </c>
      <c r="L241" t="s">
        <v>393</v>
      </c>
      <c r="M241" t="s">
        <v>437</v>
      </c>
      <c r="N241" t="s">
        <v>395</v>
      </c>
      <c r="O241">
        <v>10006791</v>
      </c>
      <c r="P241" t="s">
        <v>396</v>
      </c>
      <c r="Q241" s="5">
        <f>VLOOKUP(TabOceanet[[#This Row],[VM_name]],TabVMEnv[],3,FALSE)</f>
        <v>0</v>
      </c>
      <c r="R241" s="5" t="str">
        <f>IF(VLOOKUP(TabOceanet[[#This Row],[VM_name]],TabVMEnv[],2,FALSE)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1</v>
      </c>
      <c r="AF241" s="17">
        <f>TabOceanet[[#This Row],[VM_mem]]*Tarif_Ram</f>
        <v>3.2</v>
      </c>
      <c r="AG241" s="5" t="str">
        <f>MID(TabOceanet[[#This Row],[Backup]],29,20)</f>
        <v>J15_3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42" spans="1:36" x14ac:dyDescent="0.25">
      <c r="A242" t="s">
        <v>69</v>
      </c>
      <c r="C242">
        <f>SUBTOTAL(109,TabOceanet[VM_mem])</f>
        <v>616</v>
      </c>
      <c r="AF242" s="5"/>
      <c r="AH242" s="5"/>
      <c r="AI242" s="5"/>
      <c r="AJ242" s="66">
        <f>SUBTOTAL(109,TabOceanet[CoutGlobal])</f>
        <v>3124.9900000000002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51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customWidth="1"/>
    <col min="7" max="7" width="14.85546875" customWidth="1"/>
    <col min="8" max="8" width="43.85546875" customWidth="1"/>
    <col min="9" max="9" width="14.5703125" customWidth="1"/>
    <col min="10" max="10" width="19.140625" customWidth="1"/>
    <col min="11" max="11" width="22.5703125" customWidth="1"/>
    <col min="12" max="12" width="18.5703125" customWidth="1"/>
    <col min="13" max="13" width="24.85546875" customWidth="1"/>
    <col min="14" max="14" width="21.42578125" customWidth="1"/>
    <col min="15" max="15" width="13.140625" customWidth="1"/>
    <col min="16" max="16" width="16.85546875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353</v>
      </c>
      <c r="B1" t="s">
        <v>458</v>
      </c>
      <c r="C1" t="s">
        <v>1</v>
      </c>
      <c r="D1" t="s">
        <v>459</v>
      </c>
      <c r="E1" t="s">
        <v>460</v>
      </c>
      <c r="F1" s="6" t="s">
        <v>461</v>
      </c>
      <c r="G1" t="s">
        <v>462</v>
      </c>
      <c r="H1" t="s">
        <v>463</v>
      </c>
      <c r="I1" t="s">
        <v>464</v>
      </c>
      <c r="J1" t="s">
        <v>465</v>
      </c>
      <c r="K1" s="6" t="s">
        <v>466</v>
      </c>
      <c r="L1" s="6" t="s">
        <v>467</v>
      </c>
      <c r="M1" s="6" t="s">
        <v>468</v>
      </c>
      <c r="N1" s="6" t="s">
        <v>469</v>
      </c>
      <c r="O1" s="6" t="s">
        <v>470</v>
      </c>
      <c r="P1" s="6" t="s">
        <v>471</v>
      </c>
      <c r="Q1" s="6" t="s">
        <v>472</v>
      </c>
      <c r="R1" s="6" t="s">
        <v>369</v>
      </c>
      <c r="S1" s="26" t="s">
        <v>473</v>
      </c>
      <c r="T1" s="6" t="s">
        <v>389</v>
      </c>
      <c r="U1" s="6" t="s">
        <v>474</v>
      </c>
      <c r="V1" s="6" t="s">
        <v>475</v>
      </c>
      <c r="W1" s="6" t="s">
        <v>476</v>
      </c>
      <c r="X1" s="6" t="s">
        <v>477</v>
      </c>
      <c r="Y1" s="6" t="s">
        <v>478</v>
      </c>
      <c r="Z1" s="6" t="s">
        <v>345</v>
      </c>
      <c r="AA1" s="6" t="s">
        <v>479</v>
      </c>
      <c r="AB1" s="6" t="s">
        <v>354</v>
      </c>
    </row>
    <row r="2" spans="1:28" x14ac:dyDescent="0.25">
      <c r="A2" t="s">
        <v>200</v>
      </c>
      <c r="B2" t="s">
        <v>480</v>
      </c>
      <c r="E2" s="13"/>
      <c r="F2" s="5">
        <f>IF(VLOOKUP(TabVMEnv[[#This Row],[VM]],TabOceanet[],16,FALSE) = "Tarif_VM",IF(VLOOKUP(TabVMEnv[[#This Row],[VM]],TabOceanet[],2,FALSE)&lt;4,4,VLOOKUP(TabVMEnv[[#This Row],[VM]],TabOceanet[],2,FALSE)),0)</f>
        <v>4</v>
      </c>
      <c r="G2">
        <v>0</v>
      </c>
      <c r="H2">
        <v>0</v>
      </c>
      <c r="I2">
        <v>0</v>
      </c>
      <c r="J2">
        <v>0</v>
      </c>
      <c r="K2" s="5">
        <f>IF(VLOOKUP(TabVMEnv[[#This Row],[VM]],TabOceanet[],16,FALSE) = "Tarif_VM",1,0)/TabVMEnv[[#This Row],[Mutualisé]]</f>
        <v>1</v>
      </c>
      <c r="L2" s="5">
        <f>IF(VLOOKUP(TabVMEnv[[#This Row],[VM]],TabOceanet[],9,FALSE) = "PoweredOn",1,0)</f>
        <v>0</v>
      </c>
      <c r="M2" s="5">
        <f>TabVMEnv[[#This Row],[IsVMPoweredOn]]*VLOOKUP(TabVMEnv[[#This Row],[VM]],TabOceanet[],3,FALSE)/TabVMEnv[[#This Row],[Mutualisé]]</f>
        <v>0</v>
      </c>
      <c r="N2" s="5">
        <f>VLOOKUP(TabVMEnv[[#This Row],[VM]],TabOceanet[],4,FALSE)/TabVMEnv[[#This Row],[Mutualisé]]</f>
        <v>7</v>
      </c>
      <c r="O2" s="5">
        <f>IF(LEFT(VLOOKUP(TabVMEnv[[#This Row],[VM]],TabOceanet[],5,FALSE),3)="win",1,0)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VLOOKUP(TabVMEnv[[#This Row],[EnvProjet]],TabEnvProjet[],4,FALSE)</f>
        <v>GFI Oceanet Infra Réseau</v>
      </c>
      <c r="R2" s="5" t="str">
        <f>VLOOKUP(TabVMEnv[[#This Row],[SYGES]],TabContrat[],2,FALSE)</f>
        <v>GFI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1.61</v>
      </c>
      <c r="U2" s="25">
        <f>IF(TabVMEnv[[#This Row],[CostCenter]]="CostCenterDI",0,TabVMEnv[[#This Row],[CoutGlobal]])</f>
        <v>0</v>
      </c>
      <c r="V2" s="25">
        <f>TabVMEnv[[#This Row],[CoutGlobalSansCostCenterDI]]/TabVMEnv[[#Totals],[CoutGlobalSansCostCenterDI]]*(GlobalARepartirSansMS+GlobalARepartirMSOnly+GlobalARepartirInfraReseau)</f>
        <v>0</v>
      </c>
      <c r="W2" s="25">
        <f>TabVMEnv[[#This Row],[CoutGlobalSansCostCenterDI]]+TabVMEnv[[#This Row],[CoutGlobalSupplementaire]]</f>
        <v>0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" s="5" t="str">
        <f>VLOOKUP(TabVMEnv[[#This Row],[EnvProjet]],TabEnvProjet[],5,FALSE)</f>
        <v>Jérôme JACOB</v>
      </c>
      <c r="Z2" s="5" t="str">
        <f>VLOOKUP(TabVMEnv[[#This Row],[EnvProjet]],TabEnvProjet[],6,FALSE)</f>
        <v>CostCenterDI</v>
      </c>
      <c r="AA2" s="5" t="str">
        <f>VLOOKUP(TabVMEnv[[#This Row],[EnvProjet]],TabEnvProjet[],3,FALSE)</f>
        <v>SOCLE</v>
      </c>
      <c r="AB2" s="5">
        <f>COUNTIF(TabVMEnv[VM],TabVMEnv[[#This Row],[VM]])</f>
        <v>1</v>
      </c>
    </row>
    <row r="3" spans="1:28" x14ac:dyDescent="0.25">
      <c r="A3" t="s">
        <v>288</v>
      </c>
      <c r="B3" t="s">
        <v>481</v>
      </c>
      <c r="E3" s="13"/>
      <c r="F3">
        <f>IF(VLOOKUP(TabVMEnv[[#This Row],[VM]],TabOceanet[],16,FALSE) = "Tarif_VM",IF(VLOOKUP(TabVMEnv[[#This Row],[VM]],TabOceanet[],2,FALSE)&lt;4,4,VLOOKUP(TabVMEnv[[#This Row],[VM]],TabOceanet[],2,FALSE)),0)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IF(VLOOKUP(TabVMEnv[[#This Row],[VM]],TabOceanet[],16,FALSE) = "Tarif_VM",1,0)/TabVMEnv[[#This Row],[Mutualisé]]</f>
        <v>0</v>
      </c>
      <c r="L3">
        <f>IF(VLOOKUP(TabVMEnv[[#This Row],[VM]],TabOceanet[],9,FALSE) = "PoweredOn",1,0)</f>
        <v>0</v>
      </c>
      <c r="M3">
        <f>TabVMEnv[[#This Row],[IsVMPoweredOn]]*VLOOKUP(TabVMEnv[[#This Row],[VM]],TabOceanet[],3,FALSE)/TabVMEnv[[#This Row],[Mutualisé]]</f>
        <v>0</v>
      </c>
      <c r="N3">
        <f>VLOOKUP(TabVMEnv[[#This Row],[VM]],TabOceanet[],4,FALSE)/TabVMEnv[[#This Row],[Mutualisé]]</f>
        <v>0</v>
      </c>
      <c r="O3">
        <f>IF(LEFT(VLOOKUP(TabVMEnv[[#This Row],[VM]],TabOceanet[],5,FALSE),3)="win",1,0)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VLOOKUP(TabVMEnv[[#This Row],[EnvProjet]],TabEnvProjet[],4,FALSE)</f>
        <v>Fablab-Firmin</v>
      </c>
      <c r="R3" s="5" t="str">
        <f>VLOOKUP(TabVMEnv[[#This Row],[SYGES]],TabContrat[],2,FALSE)</f>
        <v>Fablab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45</v>
      </c>
      <c r="U3" s="25">
        <f>IF(TabVMEnv[[#This Row],[CostCenter]]="CostCenterDI",0,TabVMEnv[[#This Row],[CoutGlobal]])</f>
        <v>45</v>
      </c>
      <c r="V3" s="25">
        <f>TabVMEnv[[#This Row],[CoutGlobalSansCostCenterDI]]/TabVMEnv[[#Totals],[CoutGlobalSansCostCenterDI]]*(GlobalARepartirSansMS+GlobalARepartirMSOnly+GlobalARepartirInfraReseau)</f>
        <v>93.825945302402843</v>
      </c>
      <c r="W3" s="25">
        <f>TabVMEnv[[#This Row],[CoutGlobalSansCostCenterDI]]+TabVMEnv[[#This Row],[CoutGlobalSupplementaire]]</f>
        <v>138.82594530240283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" s="5" t="str">
        <f>VLOOKUP(TabVMEnv[[#This Row],[EnvProjet]],TabEnvProjet[],5,FALSE)</f>
        <v>Pierre-Yves Baloche</v>
      </c>
      <c r="Z3" s="5" t="str">
        <f>VLOOKUP(TabVMEnv[[#This Row],[EnvProjet]],TabEnvProjet[],6,FALSE)</f>
        <v>Fablab</v>
      </c>
      <c r="AA3" s="5" t="str">
        <f>VLOOKUP(TabVMEnv[[#This Row],[EnvProjet]],TabEnvProjet[],3,FALSE)</f>
        <v>PROD</v>
      </c>
      <c r="AB3" s="5">
        <f>COUNTIF(TabVMEnv[VM],TabVMEnv[[#This Row],[VM]])</f>
        <v>1</v>
      </c>
    </row>
    <row r="4" spans="1:28" x14ac:dyDescent="0.25">
      <c r="A4" t="s">
        <v>313</v>
      </c>
      <c r="B4" t="s">
        <v>482</v>
      </c>
      <c r="E4" s="13"/>
      <c r="F4">
        <f>IF(VLOOKUP(TabVMEnv[[#This Row],[VM]],TabOceanet[],16,FALSE) = "Tarif_VM",IF(VLOOKUP(TabVMEnv[[#This Row],[VM]],TabOceanet[],2,FALSE)&lt;4,4,VLOOKUP(TabVMEnv[[#This Row],[VM]],TabOceanet[],2,FALSE)),0)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IF(VLOOKUP(TabVMEnv[[#This Row],[VM]],TabOceanet[],16,FALSE) = "Tarif_VM",1,0)/TabVMEnv[[#This Row],[Mutualisé]]</f>
        <v>0</v>
      </c>
      <c r="L4">
        <f>IF(VLOOKUP(TabVMEnv[[#This Row],[VM]],TabOceanet[],9,FALSE) = "PoweredOn",1,0)</f>
        <v>0</v>
      </c>
      <c r="M4">
        <f>TabVMEnv[[#This Row],[IsVMPoweredOn]]*VLOOKUP(TabVMEnv[[#This Row],[VM]],TabOceanet[],3,FALSE)/TabVMEnv[[#This Row],[Mutualisé]]</f>
        <v>0</v>
      </c>
      <c r="N4">
        <f>VLOOKUP(TabVMEnv[[#This Row],[VM]],TabOceanet[],4,FALSE)/TabVMEnv[[#This Row],[Mutualisé]]</f>
        <v>0</v>
      </c>
      <c r="O4">
        <f>IF(LEFT(VLOOKUP(TabVMEnv[[#This Row],[VM]],TabOceanet[],5,FALSE),3)="win",1,0)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VLOOKUP(TabVMEnv[[#This Row],[EnvProjet]],TabEnvProjet[],4,FALSE)</f>
        <v>Fablab-Firmin</v>
      </c>
      <c r="R4" s="5" t="str">
        <f>VLOOKUP(TabVMEnv[[#This Row],[SYGES]],TabContrat[],2,FALSE)</f>
        <v>Fablab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45</v>
      </c>
      <c r="U4" s="25">
        <f>IF(TabVMEnv[[#This Row],[CostCenter]]="CostCenterDI",0,TabVMEnv[[#This Row],[CoutGlobal]])</f>
        <v>45</v>
      </c>
      <c r="V4" s="25">
        <f>TabVMEnv[[#This Row],[CoutGlobalSansCostCenterDI]]/TabVMEnv[[#Totals],[CoutGlobalSansCostCenterDI]]*(GlobalARepartirSansMS+GlobalARepartirMSOnly+GlobalARepartirInfraReseau)</f>
        <v>93.825945302402843</v>
      </c>
      <c r="W4" s="25">
        <f>TabVMEnv[[#This Row],[CoutGlobalSansCostCenterDI]]+TabVMEnv[[#This Row],[CoutGlobalSupplementaire]]</f>
        <v>138.82594530240283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4" s="5" t="str">
        <f>VLOOKUP(TabVMEnv[[#This Row],[EnvProjet]],TabEnvProjet[],5,FALSE)</f>
        <v>Pierre-Yves Baloche</v>
      </c>
      <c r="Z4" s="5" t="str">
        <f>VLOOKUP(TabVMEnv[[#This Row],[EnvProjet]],TabEnvProjet[],6,FALSE)</f>
        <v>Fablab</v>
      </c>
      <c r="AA4" s="5" t="str">
        <f>VLOOKUP(TabVMEnv[[#This Row],[EnvProjet]],TabEnvProjet[],3,FALSE)</f>
        <v>PREPROD</v>
      </c>
      <c r="AB4" s="5">
        <f>COUNTIF(TabVMEnv[VM],TabVMEnv[[#This Row],[VM]])</f>
        <v>1</v>
      </c>
    </row>
    <row r="5" spans="1:28" x14ac:dyDescent="0.25">
      <c r="A5" t="s">
        <v>289</v>
      </c>
      <c r="B5" t="s">
        <v>481</v>
      </c>
      <c r="E5" s="13"/>
      <c r="F5">
        <f>IF(VLOOKUP(TabVMEnv[[#This Row],[VM]],TabOceanet[],16,FALSE) = "Tarif_VM",IF(VLOOKUP(TabVMEnv[[#This Row],[VM]],TabOceanet[],2,FALSE)&lt;4,4,VLOOKUP(TabVMEnv[[#This Row],[VM]],TabOceanet[],2,FALSE)),0)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IF(VLOOKUP(TabVMEnv[[#This Row],[VM]],TabOceanet[],16,FALSE) = "Tarif_VM",1,0)/TabVMEnv[[#This Row],[Mutualisé]]</f>
        <v>0</v>
      </c>
      <c r="L5">
        <f>IF(VLOOKUP(TabVMEnv[[#This Row],[VM]],TabOceanet[],9,FALSE) = "PoweredOn",1,0)</f>
        <v>0</v>
      </c>
      <c r="M5">
        <f>TabVMEnv[[#This Row],[IsVMPoweredOn]]*VLOOKUP(TabVMEnv[[#This Row],[VM]],TabOceanet[],3,FALSE)/TabVMEnv[[#This Row],[Mutualisé]]</f>
        <v>0</v>
      </c>
      <c r="N5">
        <f>VLOOKUP(TabVMEnv[[#This Row],[VM]],TabOceanet[],4,FALSE)/TabVMEnv[[#This Row],[Mutualisé]]</f>
        <v>0</v>
      </c>
      <c r="O5">
        <f>IF(LEFT(VLOOKUP(TabVMEnv[[#This Row],[VM]],TabOceanet[],5,FALSE),3)="win",1,0)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VLOOKUP(TabVMEnv[[#This Row],[EnvProjet]],TabEnvProjet[],4,FALSE)</f>
        <v>Fablab-Firmin</v>
      </c>
      <c r="R5" s="5" t="str">
        <f>VLOOKUP(TabVMEnv[[#This Row],[SYGES]],TabContrat[],2,FALSE)</f>
        <v>Fablab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45</v>
      </c>
      <c r="U5" s="25">
        <f>IF(TabVMEnv[[#This Row],[CostCenter]]="CostCenterDI",0,TabVMEnv[[#This Row],[CoutGlobal]])</f>
        <v>45</v>
      </c>
      <c r="V5" s="25">
        <f>TabVMEnv[[#This Row],[CoutGlobalSansCostCenterDI]]/TabVMEnv[[#Totals],[CoutGlobalSansCostCenterDI]]*(GlobalARepartirSansMS+GlobalARepartirMSOnly+GlobalARepartirInfraReseau)</f>
        <v>93.825945302402843</v>
      </c>
      <c r="W5" s="25">
        <f>TabVMEnv[[#This Row],[CoutGlobalSansCostCenterDI]]+TabVMEnv[[#This Row],[CoutGlobalSupplementaire]]</f>
        <v>138.82594530240283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5" s="5" t="str">
        <f>VLOOKUP(TabVMEnv[[#This Row],[EnvProjet]],TabEnvProjet[],5,FALSE)</f>
        <v>Pierre-Yves Baloche</v>
      </c>
      <c r="Z5" s="5" t="str">
        <f>VLOOKUP(TabVMEnv[[#This Row],[EnvProjet]],TabEnvProjet[],6,FALSE)</f>
        <v>Fablab</v>
      </c>
      <c r="AA5" s="5" t="str">
        <f>VLOOKUP(TabVMEnv[[#This Row],[EnvProjet]],TabEnvProjet[],3,FALSE)</f>
        <v>PROD</v>
      </c>
      <c r="AB5" s="5">
        <f>COUNTIF(TabVMEnv[VM],TabVMEnv[[#This Row],[VM]])</f>
        <v>1</v>
      </c>
    </row>
    <row r="6" spans="1:28" x14ac:dyDescent="0.25">
      <c r="A6" t="s">
        <v>199</v>
      </c>
      <c r="B6" t="s">
        <v>480</v>
      </c>
      <c r="D6">
        <v>0</v>
      </c>
      <c r="E6" s="13" t="s">
        <v>483</v>
      </c>
      <c r="F6">
        <f>IF(VLOOKUP(TabVMEnv[[#This Row],[VM]],TabOceanet[],16,FALSE) = "Tarif_VM",IF(VLOOKUP(TabVMEnv[[#This Row],[VM]],TabOceanet[],2,FALSE)&lt;4,4,VLOOKUP(TabVMEnv[[#This Row],[VM]],TabOceanet[],2,FALSE)),0)</f>
        <v>4</v>
      </c>
      <c r="G6">
        <v>0</v>
      </c>
      <c r="H6">
        <v>0</v>
      </c>
      <c r="I6">
        <v>0</v>
      </c>
      <c r="J6">
        <v>0</v>
      </c>
      <c r="K6">
        <f>IF(VLOOKUP(TabVMEnv[[#This Row],[VM]],TabOceanet[],16,FALSE) = "Tarif_VM",1,0)/TabVMEnv[[#This Row],[Mutualisé]]</f>
        <v>1</v>
      </c>
      <c r="L6">
        <f>IF(VLOOKUP(TabVMEnv[[#This Row],[VM]],TabOceanet[],9,FALSE) = "PoweredOn",1,0)</f>
        <v>0</v>
      </c>
      <c r="M6">
        <f>TabVMEnv[[#This Row],[IsVMPoweredOn]]*VLOOKUP(TabVMEnv[[#This Row],[VM]],TabOceanet[],3,FALSE)/TabVMEnv[[#This Row],[Mutualisé]]</f>
        <v>0</v>
      </c>
      <c r="N6">
        <f>VLOOKUP(TabVMEnv[[#This Row],[VM]],TabOceanet[],4,FALSE)/TabVMEnv[[#This Row],[Mutualisé]]</f>
        <v>6</v>
      </c>
      <c r="O6">
        <f>IF(LEFT(VLOOKUP(TabVMEnv[[#This Row],[VM]],TabOceanet[],5,FALSE),3)="win",1,0)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VLOOKUP(TabVMEnv[[#This Row],[EnvProjet]],TabEnvProjet[],4,FALSE)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1.3800000000000001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VLOOKUP(TabVMEnv[[#This Row],[EnvProjet]],TabEnvProjet[],5,FALSE)</f>
        <v>Jérôme JACOB</v>
      </c>
      <c r="Z6" s="5" t="str">
        <f>VLOOKUP(TabVMEnv[[#This Row],[EnvProjet]],TabEnvProjet[],6,FALSE)</f>
        <v>CostCenterDI</v>
      </c>
      <c r="AA6" s="5" t="str">
        <f>VLOOKUP(TabVMEnv[[#This Row],[EnvProjet]],TabEnvProjet[],3,FALSE)</f>
        <v>SOCLE</v>
      </c>
      <c r="AB6" s="5">
        <f>COUNTIF(TabVMEnv[VM],TabVMEnv[[#This Row],[VM]])</f>
        <v>1</v>
      </c>
    </row>
    <row r="7" spans="1:28" x14ac:dyDescent="0.25">
      <c r="A7" t="s">
        <v>204</v>
      </c>
      <c r="B7" t="s">
        <v>480</v>
      </c>
      <c r="E7" s="13"/>
      <c r="F7" s="5">
        <f>IF(VLOOKUP(TabVMEnv[[#This Row],[VM]],TabOceanet[],16,FALSE) = "Tarif_VM",IF(VLOOKUP(TabVMEnv[[#This Row],[VM]],TabOceanet[],2,FALSE)&lt;4,4,VLOOKUP(TabVMEnv[[#This Row],[VM]],TabOceanet[],2,FALSE)),0)</f>
        <v>4</v>
      </c>
      <c r="K7" s="5">
        <f>IF(VLOOKUP(TabVMEnv[[#This Row],[VM]],TabOceanet[],16,FALSE) = "Tarif_VM",1,0)/TabVMEnv[[#This Row],[Mutualisé]]</f>
        <v>1</v>
      </c>
      <c r="L7" s="5">
        <f>IF(VLOOKUP(TabVMEnv[[#This Row],[VM]],TabOceanet[],9,FALSE) = "PoweredOn",1,0)</f>
        <v>0</v>
      </c>
      <c r="M7" s="5">
        <f>TabVMEnv[[#This Row],[IsVMPoweredOn]]*VLOOKUP(TabVMEnv[[#This Row],[VM]],TabOceanet[],3,FALSE)/TabVMEnv[[#This Row],[Mutualisé]]</f>
        <v>0</v>
      </c>
      <c r="N7" s="5">
        <f>VLOOKUP(TabVMEnv[[#This Row],[VM]],TabOceanet[],4,FALSE)/TabVMEnv[[#This Row],[Mutualisé]]</f>
        <v>2</v>
      </c>
      <c r="O7" s="5">
        <f>IF(LEFT(VLOOKUP(TabVMEnv[[#This Row],[VM]],TabOceanet[],5,FALSE),3)="win",1,0)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VLOOKUP(TabVMEnv[[#This Row],[EnvProjet]],TabEnvProjet[],4,FALSE)</f>
        <v>GFI Oceanet Infra Réseau</v>
      </c>
      <c r="R7" s="5" t="str">
        <f>VLOOKUP(TabVMEnv[[#This Row],[SYGES]],TabContrat[],2,FALSE)</f>
        <v>GFI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0.46</v>
      </c>
      <c r="U7" s="25">
        <f>IF(TabVMEnv[[#This Row],[CostCenter]]="CostCenterDI",0,TabVMEnv[[#This Row],[CoutGlobal]])</f>
        <v>0</v>
      </c>
      <c r="V7" s="25">
        <f>TabVMEnv[[#This Row],[CoutGlobalSansCostCenterDI]]/TabVMEnv[[#Totals],[CoutGlobalSansCostCenterDI]]*(GlobalARepartirSansMS+GlobalARepartirMSOnly+GlobalARepartirInfraReseau)</f>
        <v>0</v>
      </c>
      <c r="W7" s="25">
        <f>TabVMEnv[[#This Row],[CoutGlobalSansCostCenterDI]]+TabVMEnv[[#This Row],[CoutGlobalSupplementaire]]</f>
        <v>0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7" s="5" t="str">
        <f>VLOOKUP(TabVMEnv[[#This Row],[EnvProjet]],TabEnvProjet[],5,FALSE)</f>
        <v>Jérôme JACOB</v>
      </c>
      <c r="Z7" s="5" t="str">
        <f>VLOOKUP(TabVMEnv[[#This Row],[EnvProjet]],TabEnvProjet[],6,FALSE)</f>
        <v>CostCenterDI</v>
      </c>
      <c r="AA7" s="5" t="str">
        <f>VLOOKUP(TabVMEnv[[#This Row],[EnvProjet]],TabEnvProjet[],3,FALSE)</f>
        <v>SOCLE</v>
      </c>
      <c r="AB7" s="5">
        <f>COUNTIF(TabVMEnv[VM],TabVMEnv[[#This Row],[VM]])</f>
        <v>1</v>
      </c>
    </row>
    <row r="8" spans="1:28" x14ac:dyDescent="0.25">
      <c r="A8" t="s">
        <v>197</v>
      </c>
      <c r="B8" t="s">
        <v>480</v>
      </c>
      <c r="D8">
        <v>0</v>
      </c>
      <c r="E8" s="13" t="s">
        <v>483</v>
      </c>
      <c r="F8">
        <f>IF(VLOOKUP(TabVMEnv[[#This Row],[VM]],TabOceanet[],16,FALSE) = "Tarif_VM",IF(VLOOKUP(TabVMEnv[[#This Row],[VM]],TabOceanet[],2,FALSE)&lt;4,4,VLOOKUP(TabVMEnv[[#This Row],[VM]],TabOceanet[],2,FALSE)),0)</f>
        <v>4</v>
      </c>
      <c r="G8">
        <v>0</v>
      </c>
      <c r="H8">
        <v>0</v>
      </c>
      <c r="I8">
        <v>0</v>
      </c>
      <c r="J8">
        <v>0</v>
      </c>
      <c r="K8">
        <f>IF(VLOOKUP(TabVMEnv[[#This Row],[VM]],TabOceanet[],16,FALSE) = "Tarif_VM",1,0)/TabVMEnv[[#This Row],[Mutualisé]]</f>
        <v>1</v>
      </c>
      <c r="L8">
        <f>IF(VLOOKUP(TabVMEnv[[#This Row],[VM]],TabOceanet[],9,FALSE) = "PoweredOn",1,0)</f>
        <v>0</v>
      </c>
      <c r="M8">
        <f>TabVMEnv[[#This Row],[IsVMPoweredOn]]*VLOOKUP(TabVMEnv[[#This Row],[VM]],TabOceanet[],3,FALSE)/TabVMEnv[[#This Row],[Mutualisé]]</f>
        <v>0</v>
      </c>
      <c r="N8">
        <f>VLOOKUP(TabVMEnv[[#This Row],[VM]],TabOceanet[],4,FALSE)/TabVMEnv[[#This Row],[Mutualisé]]</f>
        <v>6</v>
      </c>
      <c r="O8">
        <f>IF(LEFT(VLOOKUP(TabVMEnv[[#This Row],[VM]],TabOceanet[],5,FALSE),3)="win",1,0)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VLOOKUP(TabVMEnv[[#This Row],[EnvProjet]],TabEnvProjet[],4,FALSE)</f>
        <v>GFI Oceanet Infra Réseau</v>
      </c>
      <c r="R8" s="5" t="str">
        <f>VLOOKUP(TabVMEnv[[#This Row],[SYGES]],TabContrat[],2,FALSE)</f>
        <v>GFI</v>
      </c>
      <c r="S8" s="5" t="str">
        <f>IF(VLOOKUP(TabVMEnv[[#This Row],[VM]],TabOceanet[],1,FALSE) = "","Disparue","")</f>
        <v/>
      </c>
      <c r="T8" s="17">
        <f>VLOOKUP(TabVMEnv[[#This Row],[VM]],TabOceanet[],36,FALSE)/TabVMEnv[[#This Row],[Mutualisé]]</f>
        <v>1.3800000000000001</v>
      </c>
      <c r="U8" s="17">
        <f>IF(TabVMEnv[[#This Row],[CostCenter]]="CostCenterDI",0,TabVMEnv[[#This Row],[CoutGlobal]])</f>
        <v>0</v>
      </c>
      <c r="V8" s="17">
        <f>TabVMEnv[[#This Row],[CoutGlobalSansCostCenterDI]]/TabVMEnv[[#Totals],[CoutGlobalSansCostCenterDI]]*(GlobalARepartirSansMS+GlobalARepartirMSOnly+GlobalARepartirInfraReseau)</f>
        <v>0</v>
      </c>
      <c r="W8" s="17">
        <f>TabVMEnv[[#This Row],[CoutGlobalSansCostCenterDI]]+TabVMEnv[[#This Row],[CoutGlobalSupplementaire]]</f>
        <v>0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8" s="5" t="str">
        <f>VLOOKUP(TabVMEnv[[#This Row],[EnvProjet]],TabEnvProjet[],5,FALSE)</f>
        <v>Jérôme JACOB</v>
      </c>
      <c r="Z8" s="5" t="str">
        <f>VLOOKUP(TabVMEnv[[#This Row],[EnvProjet]],TabEnvProjet[],6,FALSE)</f>
        <v>CostCenterDI</v>
      </c>
      <c r="AA8" s="5" t="str">
        <f>VLOOKUP(TabVMEnv[[#This Row],[EnvProjet]],TabEnvProjet[],3,FALSE)</f>
        <v>SOCLE</v>
      </c>
      <c r="AB8" s="5">
        <f>COUNTIF(TabVMEnv[VM],TabVMEnv[[#This Row],[VM]])</f>
        <v>1</v>
      </c>
    </row>
    <row r="9" spans="1:28" x14ac:dyDescent="0.25">
      <c r="A9" t="s">
        <v>178</v>
      </c>
      <c r="B9" t="s">
        <v>484</v>
      </c>
      <c r="E9" s="13"/>
      <c r="F9">
        <f>IF(VLOOKUP(TabVMEnv[[#This Row],[VM]],TabOceanet[],16,FALSE) = "Tarif_VM",IF(VLOOKUP(TabVMEnv[[#This Row],[VM]],TabOceanet[],2,FALSE)&lt;4,4,VLOOKUP(TabVMEnv[[#This Row],[VM]],TabOceanet[],2,FALSE)),0)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IF(VLOOKUP(TabVMEnv[[#This Row],[VM]],TabOceanet[],16,FALSE) = "Tarif_VM",1,0)/TabVMEnv[[#This Row],[Mutualisé]]</f>
        <v>0</v>
      </c>
      <c r="L9">
        <f>IF(VLOOKUP(TabVMEnv[[#This Row],[VM]],TabOceanet[],9,FALSE) = "PoweredOn",1,0)</f>
        <v>0</v>
      </c>
      <c r="M9">
        <f>TabVMEnv[[#This Row],[IsVMPoweredOn]]*VLOOKUP(TabVMEnv[[#This Row],[VM]],TabOceanet[],3,FALSE)/TabVMEnv[[#This Row],[Mutualisé]]</f>
        <v>0</v>
      </c>
      <c r="N9">
        <f>VLOOKUP(TabVMEnv[[#This Row],[VM]],TabOceanet[],4,FALSE)/TabVMEnv[[#This Row],[Mutualisé]]</f>
        <v>0</v>
      </c>
      <c r="O9">
        <f>IF(LEFT(VLOOKUP(TabVMEnv[[#This Row],[VM]],TabOceanet[],5,FALSE),3)="win",1,0)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VLOOKUP(TabVMEnv[[#This Row],[EnvProjet]],TabEnvProjet[],4,FALSE)</f>
        <v>GFI Oceanet Infra Réseau</v>
      </c>
      <c r="R9" s="5" t="str">
        <f>VLOOKUP(TabVMEnv[[#This Row],[SYGES]],TabContrat[],2,FALSE)</f>
        <v>GFI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3.5</v>
      </c>
      <c r="U9" s="25">
        <f>IF(TabVMEnv[[#This Row],[CostCenter]]="CostCenterDI",0,TabVMEnv[[#This Row],[CoutGlobal]])</f>
        <v>0</v>
      </c>
      <c r="V9" s="25">
        <f>TabVMEnv[[#This Row],[CoutGlobalSansCostCenterDI]]/TabVMEnv[[#Totals],[CoutGlobalSansCostCenterDI]]*(GlobalARepartirSansMS+GlobalARepartirMSOnly+GlobalARepartirInfraReseau)</f>
        <v>0</v>
      </c>
      <c r="W9" s="25">
        <f>TabVMEnv[[#This Row],[CoutGlobalSansCostCenterDI]]+TabVMEnv[[#This Row],[CoutGlobalSupplementaire]]</f>
        <v>0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9" s="5" t="str">
        <f>VLOOKUP(TabVMEnv[[#This Row],[EnvProjet]],TabEnvProjet[],5,FALSE)</f>
        <v>Jérôme JACOB</v>
      </c>
      <c r="Z9" s="5" t="str">
        <f>VLOOKUP(TabVMEnv[[#This Row],[EnvProjet]],TabEnvProjet[],6,FALSE)</f>
        <v>CostCenterDI</v>
      </c>
      <c r="AA9" s="5" t="str">
        <f>VLOOKUP(TabVMEnv[[#This Row],[EnvProjet]],TabEnvProjet[],3,FALSE)</f>
        <v>SOCLE</v>
      </c>
      <c r="AB9" s="5">
        <f>COUNTIF(TabVMEnv[VM],TabVMEnv[[#This Row],[VM]])</f>
        <v>1</v>
      </c>
    </row>
    <row r="10" spans="1:28" x14ac:dyDescent="0.25">
      <c r="A10" t="s">
        <v>281</v>
      </c>
      <c r="B10" t="s">
        <v>481</v>
      </c>
      <c r="E10" s="13"/>
      <c r="F10">
        <f>IF(VLOOKUP(TabVMEnv[[#This Row],[VM]],TabOceanet[],16,FALSE) = "Tarif_VM",IF(VLOOKUP(TabVMEnv[[#This Row],[VM]],TabOceanet[],2,FALSE)&lt;4,4,VLOOKUP(TabVMEnv[[#This Row],[VM]],TabOceanet[],2,FALSE)),0)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IF(VLOOKUP(TabVMEnv[[#This Row],[VM]],TabOceanet[],16,FALSE) = "Tarif_VM",1,0)/TabVMEnv[[#This Row],[Mutualisé]]</f>
        <v>0</v>
      </c>
      <c r="L10">
        <f>IF(VLOOKUP(TabVMEnv[[#This Row],[VM]],TabOceanet[],9,FALSE) = "PoweredOn",1,0)</f>
        <v>0</v>
      </c>
      <c r="M10">
        <f>TabVMEnv[[#This Row],[IsVMPoweredOn]]*VLOOKUP(TabVMEnv[[#This Row],[VM]],TabOceanet[],3,FALSE)/TabVMEnv[[#This Row],[Mutualisé]]</f>
        <v>0</v>
      </c>
      <c r="N10">
        <f>VLOOKUP(TabVMEnv[[#This Row],[VM]],TabOceanet[],4,FALSE)/TabVMEnv[[#This Row],[Mutualisé]]</f>
        <v>0</v>
      </c>
      <c r="O10">
        <f>IF(LEFT(VLOOKUP(TabVMEnv[[#This Row],[VM]],TabOceanet[],5,FALSE),3)="win",1,0)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VLOOKUP(TabVMEnv[[#This Row],[EnvProjet]],TabEnvProjet[],4,FALSE)</f>
        <v>Fablab-Firmin</v>
      </c>
      <c r="R10" s="5" t="str">
        <f>VLOOKUP(TabVMEnv[[#This Row],[SYGES]],TabContrat[],2,FALSE)</f>
        <v>Fablab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3.5</v>
      </c>
      <c r="U10" s="25">
        <f>IF(TabVMEnv[[#This Row],[CostCenter]]="CostCenterDI",0,TabVMEnv[[#This Row],[CoutGlobal]])</f>
        <v>3.5</v>
      </c>
      <c r="V10" s="25">
        <f>TabVMEnv[[#This Row],[CoutGlobalSansCostCenterDI]]/TabVMEnv[[#Totals],[CoutGlobalSansCostCenterDI]]*(GlobalARepartirSansMS+GlobalARepartirMSOnly+GlobalARepartirInfraReseau)</f>
        <v>7.2975735235202217</v>
      </c>
      <c r="W10" s="25">
        <f>TabVMEnv[[#This Row],[CoutGlobalSansCostCenterDI]]+TabVMEnv[[#This Row],[CoutGlobalSupplementaire]]</f>
        <v>10.797573523520221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0" s="5" t="str">
        <f>VLOOKUP(TabVMEnv[[#This Row],[EnvProjet]],TabEnvProjet[],5,FALSE)</f>
        <v>Pierre-Yves Baloche</v>
      </c>
      <c r="Z10" s="5" t="str">
        <f>VLOOKUP(TabVMEnv[[#This Row],[EnvProjet]],TabEnvProjet[],6,FALSE)</f>
        <v>Fablab</v>
      </c>
      <c r="AA10" s="5" t="str">
        <f>VLOOKUP(TabVMEnv[[#This Row],[EnvProjet]],TabEnvProjet[],3,FALSE)</f>
        <v>PROD</v>
      </c>
      <c r="AB10" s="5">
        <f>COUNTIF(TabVMEnv[VM],TabVMEnv[[#This Row],[VM]])</f>
        <v>1</v>
      </c>
    </row>
    <row r="11" spans="1:28" x14ac:dyDescent="0.25">
      <c r="A11" t="s">
        <v>282</v>
      </c>
      <c r="B11" t="s">
        <v>481</v>
      </c>
      <c r="E11" s="13"/>
      <c r="F11">
        <f>IF(VLOOKUP(TabVMEnv[[#This Row],[VM]],TabOceanet[],16,FALSE) = "Tarif_VM",IF(VLOOKUP(TabVMEnv[[#This Row],[VM]],TabOceanet[],2,FALSE)&lt;4,4,VLOOKUP(TabVMEnv[[#This Row],[VM]],TabOceanet[],2,FALSE)),0)</f>
        <v>0</v>
      </c>
      <c r="G11">
        <v>0</v>
      </c>
      <c r="H11">
        <v>0</v>
      </c>
      <c r="I11">
        <v>0</v>
      </c>
      <c r="J11">
        <v>0</v>
      </c>
      <c r="K11">
        <f>IF(VLOOKUP(TabVMEnv[[#This Row],[VM]],TabOceanet[],16,FALSE) = "Tarif_VM",1,0)/TabVMEnv[[#This Row],[Mutualisé]]</f>
        <v>0</v>
      </c>
      <c r="L11">
        <f>IF(VLOOKUP(TabVMEnv[[#This Row],[VM]],TabOceanet[],9,FALSE) = "PoweredOn",1,0)</f>
        <v>0</v>
      </c>
      <c r="M11">
        <f>TabVMEnv[[#This Row],[IsVMPoweredOn]]*VLOOKUP(TabVMEnv[[#This Row],[VM]],TabOceanet[],3,FALSE)/TabVMEnv[[#This Row],[Mutualisé]]</f>
        <v>0</v>
      </c>
      <c r="N11">
        <f>VLOOKUP(TabVMEnv[[#This Row],[VM]],TabOceanet[],4,FALSE)/TabVMEnv[[#This Row],[Mutualisé]]</f>
        <v>0</v>
      </c>
      <c r="O11">
        <f>IF(LEFT(VLOOKUP(TabVMEnv[[#This Row],[VM]],TabOceanet[],5,FALSE),3)="win",1,0)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VLOOKUP(TabVMEnv[[#This Row],[EnvProjet]],TabEnvProjet[],4,FALSE)</f>
        <v>Fablab-Firmin</v>
      </c>
      <c r="R11" s="5" t="str">
        <f>VLOOKUP(TabVMEnv[[#This Row],[SYGES]],TabContrat[],2,FALSE)</f>
        <v>Fablab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3.5</v>
      </c>
      <c r="U11" s="25">
        <f>IF(TabVMEnv[[#This Row],[CostCenter]]="CostCenterDI",0,TabVMEnv[[#This Row],[CoutGlobal]])</f>
        <v>3.5</v>
      </c>
      <c r="V11" s="25">
        <f>TabVMEnv[[#This Row],[CoutGlobalSansCostCenterDI]]/TabVMEnv[[#Totals],[CoutGlobalSansCostCenterDI]]*(GlobalARepartirSansMS+GlobalARepartirMSOnly+GlobalARepartirInfraReseau)</f>
        <v>7.2975735235202217</v>
      </c>
      <c r="W11" s="25">
        <f>TabVMEnv[[#This Row],[CoutGlobalSansCostCenterDI]]+TabVMEnv[[#This Row],[CoutGlobalSupplementaire]]</f>
        <v>10.797573523520221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" s="5" t="str">
        <f>VLOOKUP(TabVMEnv[[#This Row],[EnvProjet]],TabEnvProjet[],5,FALSE)</f>
        <v>Pierre-Yves Baloche</v>
      </c>
      <c r="Z11" s="5" t="str">
        <f>VLOOKUP(TabVMEnv[[#This Row],[EnvProjet]],TabEnvProjet[],6,FALSE)</f>
        <v>Fablab</v>
      </c>
      <c r="AA11" s="5" t="str">
        <f>VLOOKUP(TabVMEnv[[#This Row],[EnvProjet]],TabEnvProjet[],3,FALSE)</f>
        <v>PROD</v>
      </c>
      <c r="AB11" s="5">
        <f>COUNTIF(TabVMEnv[VM],TabVMEnv[[#This Row],[VM]])</f>
        <v>1</v>
      </c>
    </row>
    <row r="12" spans="1:28" x14ac:dyDescent="0.25">
      <c r="A12" t="s">
        <v>283</v>
      </c>
      <c r="B12" t="s">
        <v>481</v>
      </c>
      <c r="E12" s="13"/>
      <c r="F12">
        <f>IF(VLOOKUP(TabVMEnv[[#This Row],[VM]],TabOceanet[],16,FALSE) = "Tarif_VM",IF(VLOOKUP(TabVMEnv[[#This Row],[VM]],TabOceanet[],2,FALSE)&lt;4,4,VLOOKUP(TabVMEnv[[#This Row],[VM]],TabOceanet[],2,FALSE)),0)</f>
        <v>0</v>
      </c>
      <c r="G12">
        <v>0</v>
      </c>
      <c r="H12">
        <v>0</v>
      </c>
      <c r="I12">
        <v>0</v>
      </c>
      <c r="J12">
        <v>0</v>
      </c>
      <c r="K12">
        <f>IF(VLOOKUP(TabVMEnv[[#This Row],[VM]],TabOceanet[],16,FALSE) = "Tarif_VM",1,0)/TabVMEnv[[#This Row],[Mutualisé]]</f>
        <v>0</v>
      </c>
      <c r="L12">
        <f>IF(VLOOKUP(TabVMEnv[[#This Row],[VM]],TabOceanet[],9,FALSE) = "PoweredOn",1,0)</f>
        <v>0</v>
      </c>
      <c r="M12">
        <f>TabVMEnv[[#This Row],[IsVMPoweredOn]]*VLOOKUP(TabVMEnv[[#This Row],[VM]],TabOceanet[],3,FALSE)/TabVMEnv[[#This Row],[Mutualisé]]</f>
        <v>0</v>
      </c>
      <c r="N12">
        <f>VLOOKUP(TabVMEnv[[#This Row],[VM]],TabOceanet[],4,FALSE)/TabVMEnv[[#This Row],[Mutualisé]]</f>
        <v>0</v>
      </c>
      <c r="O12">
        <f>IF(LEFT(VLOOKUP(TabVMEnv[[#This Row],[VM]],TabOceanet[],5,FALSE),3)="win",1,0)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VLOOKUP(TabVMEnv[[#This Row],[EnvProjet]],TabEnvProjet[],4,FALSE)</f>
        <v>Fablab-Firmin</v>
      </c>
      <c r="R12" s="5" t="str">
        <f>VLOOKUP(TabVMEnv[[#This Row],[SYGES]],TabContrat[],2,FALSE)</f>
        <v>Fablab</v>
      </c>
      <c r="S12" s="5" t="str">
        <f>IF(VLOOKUP(TabVMEnv[[#This Row],[VM]],TabOceanet[],1,FALSE) = "","Disparue","")</f>
        <v/>
      </c>
      <c r="T12" s="25">
        <f>VLOOKUP(TabVMEnv[[#This Row],[VM]],TabOceanet[],36,FALSE)/TabVMEnv[[#This Row],[Mutualisé]]</f>
        <v>3.5</v>
      </c>
      <c r="U12" s="25">
        <f>IF(TabVMEnv[[#This Row],[CostCenter]]="CostCenterDI",0,TabVMEnv[[#This Row],[CoutGlobal]])</f>
        <v>3.5</v>
      </c>
      <c r="V12" s="25">
        <f>TabVMEnv[[#This Row],[CoutGlobalSansCostCenterDI]]/TabVMEnv[[#Totals],[CoutGlobalSansCostCenterDI]]*(GlobalARepartirSansMS+GlobalARepartirMSOnly+GlobalARepartirInfraReseau)</f>
        <v>7.2975735235202217</v>
      </c>
      <c r="W12" s="25">
        <f>TabVMEnv[[#This Row],[CoutGlobalSansCostCenterDI]]+TabVMEnv[[#This Row],[CoutGlobalSupplementaire]]</f>
        <v>10.797573523520221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" s="5" t="str">
        <f>VLOOKUP(TabVMEnv[[#This Row],[EnvProjet]],TabEnvProjet[],5,FALSE)</f>
        <v>Pierre-Yves Baloche</v>
      </c>
      <c r="Z12" s="5" t="str">
        <f>VLOOKUP(TabVMEnv[[#This Row],[EnvProjet]],TabEnvProjet[],6,FALSE)</f>
        <v>Fablab</v>
      </c>
      <c r="AA12" s="5" t="str">
        <f>VLOOKUP(TabVMEnv[[#This Row],[EnvProjet]],TabEnvProjet[],3,FALSE)</f>
        <v>PROD</v>
      </c>
      <c r="AB12" s="5">
        <f>COUNTIF(TabVMEnv[VM],TabVMEnv[[#This Row],[VM]])</f>
        <v>1</v>
      </c>
    </row>
    <row r="13" spans="1:28" x14ac:dyDescent="0.25">
      <c r="A13" t="s">
        <v>284</v>
      </c>
      <c r="B13" t="s">
        <v>481</v>
      </c>
      <c r="E13" s="13"/>
      <c r="F13">
        <f>IF(VLOOKUP(TabVMEnv[[#This Row],[VM]],TabOceanet[],16,FALSE) = "Tarif_VM",IF(VLOOKUP(TabVMEnv[[#This Row],[VM]],TabOceanet[],2,FALSE)&lt;4,4,VLOOKUP(TabVMEnv[[#This Row],[VM]],TabOceanet[],2,FALSE)),0)</f>
        <v>0</v>
      </c>
      <c r="G13">
        <v>0</v>
      </c>
      <c r="H13">
        <v>0</v>
      </c>
      <c r="I13">
        <v>0</v>
      </c>
      <c r="J13">
        <v>0</v>
      </c>
      <c r="K13">
        <f>IF(VLOOKUP(TabVMEnv[[#This Row],[VM]],TabOceanet[],16,FALSE) = "Tarif_VM",1,0)/TabVMEnv[[#This Row],[Mutualisé]]</f>
        <v>0</v>
      </c>
      <c r="L13">
        <f>IF(VLOOKUP(TabVMEnv[[#This Row],[VM]],TabOceanet[],9,FALSE) = "PoweredOn",1,0)</f>
        <v>0</v>
      </c>
      <c r="M13">
        <f>TabVMEnv[[#This Row],[IsVMPoweredOn]]*VLOOKUP(TabVMEnv[[#This Row],[VM]],TabOceanet[],3,FALSE)/TabVMEnv[[#This Row],[Mutualisé]]</f>
        <v>0</v>
      </c>
      <c r="N13">
        <f>VLOOKUP(TabVMEnv[[#This Row],[VM]],TabOceanet[],4,FALSE)/TabVMEnv[[#This Row],[Mutualisé]]</f>
        <v>0</v>
      </c>
      <c r="O13">
        <f>IF(LEFT(VLOOKUP(TabVMEnv[[#This Row],[VM]],TabOceanet[],5,FALSE),3)="win",1,0)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VLOOKUP(TabVMEnv[[#This Row],[EnvProjet]],TabEnvProjet[],4,FALSE)</f>
        <v>Fablab-Firmin</v>
      </c>
      <c r="R13" s="5" t="str">
        <f>VLOOKUP(TabVMEnv[[#This Row],[SYGES]],TabContrat[],2,FALSE)</f>
        <v>Fablab</v>
      </c>
      <c r="S13" s="5" t="str">
        <f>IF(VLOOKUP(TabVMEnv[[#This Row],[VM]],TabOceanet[],1,FALSE) = "","Disparue","")</f>
        <v/>
      </c>
      <c r="T13" s="25">
        <f>VLOOKUP(TabVMEnv[[#This Row],[VM]],TabOceanet[],36,FALSE)/TabVMEnv[[#This Row],[Mutualisé]]</f>
        <v>3.5</v>
      </c>
      <c r="U13" s="25">
        <f>IF(TabVMEnv[[#This Row],[CostCenter]]="CostCenterDI",0,TabVMEnv[[#This Row],[CoutGlobal]])</f>
        <v>3.5</v>
      </c>
      <c r="V13" s="25">
        <f>TabVMEnv[[#This Row],[CoutGlobalSansCostCenterDI]]/TabVMEnv[[#Totals],[CoutGlobalSansCostCenterDI]]*(GlobalARepartirSansMS+GlobalARepartirMSOnly+GlobalARepartirInfraReseau)</f>
        <v>7.2975735235202217</v>
      </c>
      <c r="W13" s="25">
        <f>TabVMEnv[[#This Row],[CoutGlobalSansCostCenterDI]]+TabVMEnv[[#This Row],[CoutGlobalSupplementaire]]</f>
        <v>10.797573523520221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" s="5" t="str">
        <f>VLOOKUP(TabVMEnv[[#This Row],[EnvProjet]],TabEnvProjet[],5,FALSE)</f>
        <v>Pierre-Yves Baloche</v>
      </c>
      <c r="Z13" s="5" t="str">
        <f>VLOOKUP(TabVMEnv[[#This Row],[EnvProjet]],TabEnvProjet[],6,FALSE)</f>
        <v>Fablab</v>
      </c>
      <c r="AA13" s="5" t="str">
        <f>VLOOKUP(TabVMEnv[[#This Row],[EnvProjet]],TabEnvProjet[],3,FALSE)</f>
        <v>PROD</v>
      </c>
      <c r="AB13" s="5">
        <f>COUNTIF(TabVMEnv[VM],TabVMEnv[[#This Row],[VM]])</f>
        <v>1</v>
      </c>
    </row>
    <row r="14" spans="1:28" x14ac:dyDescent="0.25">
      <c r="A14" t="s">
        <v>285</v>
      </c>
      <c r="B14" t="s">
        <v>481</v>
      </c>
      <c r="E14" s="13"/>
      <c r="F14">
        <f>IF(VLOOKUP(TabVMEnv[[#This Row],[VM]],TabOceanet[],16,FALSE) = "Tarif_VM",IF(VLOOKUP(TabVMEnv[[#This Row],[VM]],TabOceanet[],2,FALSE)&lt;4,4,VLOOKUP(TabVMEnv[[#This Row],[VM]],TabOceanet[],2,FALSE)),0)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IF(VLOOKUP(TabVMEnv[[#This Row],[VM]],TabOceanet[],16,FALSE) = "Tarif_VM",1,0)/TabVMEnv[[#This Row],[Mutualisé]]</f>
        <v>0</v>
      </c>
      <c r="L14">
        <f>IF(VLOOKUP(TabVMEnv[[#This Row],[VM]],TabOceanet[],9,FALSE) = "PoweredOn",1,0)</f>
        <v>0</v>
      </c>
      <c r="M14">
        <f>TabVMEnv[[#This Row],[IsVMPoweredOn]]*VLOOKUP(TabVMEnv[[#This Row],[VM]],TabOceanet[],3,FALSE)/TabVMEnv[[#This Row],[Mutualisé]]</f>
        <v>0</v>
      </c>
      <c r="N14">
        <f>VLOOKUP(TabVMEnv[[#This Row],[VM]],TabOceanet[],4,FALSE)/TabVMEnv[[#This Row],[Mutualisé]]</f>
        <v>0</v>
      </c>
      <c r="O14">
        <f>IF(LEFT(VLOOKUP(TabVMEnv[[#This Row],[VM]],TabOceanet[],5,FALSE),3)="win",1,0)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VLOOKUP(TabVMEnv[[#This Row],[EnvProjet]],TabEnvProjet[],4,FALSE)</f>
        <v>Fablab-Firmin</v>
      </c>
      <c r="R14" s="5" t="str">
        <f>VLOOKUP(TabVMEnv[[#This Row],[SYGES]],TabContrat[],2,FALSE)</f>
        <v>Fablab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3.5</v>
      </c>
      <c r="V14" s="25">
        <f>TabVMEnv[[#This Row],[CoutGlobalSansCostCenterDI]]/TabVMEnv[[#Totals],[CoutGlobalSansCostCenterDI]]*(GlobalARepartirSansMS+GlobalARepartirMSOnly+GlobalARepartirInfraReseau)</f>
        <v>7.2975735235202217</v>
      </c>
      <c r="W14" s="25">
        <f>TabVMEnv[[#This Row],[CoutGlobalSansCostCenterDI]]+TabVMEnv[[#This Row],[CoutGlobalSupplementaire]]</f>
        <v>10.797573523520221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" s="5" t="str">
        <f>VLOOKUP(TabVMEnv[[#This Row],[EnvProjet]],TabEnvProjet[],5,FALSE)</f>
        <v>Pierre-Yves Baloche</v>
      </c>
      <c r="Z14" s="5" t="str">
        <f>VLOOKUP(TabVMEnv[[#This Row],[EnvProjet]],TabEnvProjet[],6,FALSE)</f>
        <v>Fablab</v>
      </c>
      <c r="AA14" s="5" t="str">
        <f>VLOOKUP(TabVMEnv[[#This Row],[EnvProjet]],TabEnvProjet[],3,FALSE)</f>
        <v>PROD</v>
      </c>
      <c r="AB14" s="5">
        <f>COUNTIF(TabVMEnv[VM],TabVMEnv[[#This Row],[VM]])</f>
        <v>1</v>
      </c>
    </row>
    <row r="15" spans="1:28" x14ac:dyDescent="0.25">
      <c r="A15" t="s">
        <v>286</v>
      </c>
      <c r="B15" t="s">
        <v>481</v>
      </c>
      <c r="E15" s="13"/>
      <c r="F15">
        <f>IF(VLOOKUP(TabVMEnv[[#This Row],[VM]],TabOceanet[],16,FALSE) = "Tarif_VM",IF(VLOOKUP(TabVMEnv[[#This Row],[VM]],TabOceanet[],2,FALSE)&lt;4,4,VLOOKUP(TabVMEnv[[#This Row],[VM]],TabOceanet[],2,FALSE)),0)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IF(VLOOKUP(TabVMEnv[[#This Row],[VM]],TabOceanet[],16,FALSE) = "Tarif_VM",1,0)/TabVMEnv[[#This Row],[Mutualisé]]</f>
        <v>0</v>
      </c>
      <c r="L15">
        <f>IF(VLOOKUP(TabVMEnv[[#This Row],[VM]],TabOceanet[],9,FALSE) = "PoweredOn",1,0)</f>
        <v>0</v>
      </c>
      <c r="M15">
        <f>TabVMEnv[[#This Row],[IsVMPoweredOn]]*VLOOKUP(TabVMEnv[[#This Row],[VM]],TabOceanet[],3,FALSE)/TabVMEnv[[#This Row],[Mutualisé]]</f>
        <v>0</v>
      </c>
      <c r="N15">
        <f>VLOOKUP(TabVMEnv[[#This Row],[VM]],TabOceanet[],4,FALSE)/TabVMEnv[[#This Row],[Mutualisé]]</f>
        <v>0</v>
      </c>
      <c r="O15">
        <f>IF(LEFT(VLOOKUP(TabVMEnv[[#This Row],[VM]],TabOceanet[],5,FALSE),3)="win",1,0)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VLOOKUP(TabVMEnv[[#This Row],[EnvProjet]],TabEnvProjet[],4,FALSE)</f>
        <v>Fablab-Firmin</v>
      </c>
      <c r="R15" s="5" t="str">
        <f>VLOOKUP(TabVMEnv[[#This Row],[SYGES]],TabContrat[],2,FALSE)</f>
        <v>Fablab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7.2975735235202217</v>
      </c>
      <c r="W15" s="25">
        <f>TabVMEnv[[#This Row],[CoutGlobalSansCostCenterDI]]+TabVMEnv[[#This Row],[CoutGlobalSupplementaire]]</f>
        <v>10.797573523520221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" s="5" t="str">
        <f>VLOOKUP(TabVMEnv[[#This Row],[EnvProjet]],TabEnvProjet[],5,FALSE)</f>
        <v>Pierre-Yves Baloche</v>
      </c>
      <c r="Z15" s="5" t="str">
        <f>VLOOKUP(TabVMEnv[[#This Row],[EnvProjet]],TabEnvProjet[],6,FALSE)</f>
        <v>Fablab</v>
      </c>
      <c r="AA15" s="5" t="str">
        <f>VLOOKUP(TabVMEnv[[#This Row],[EnvProjet]],TabEnvProjet[],3,FALSE)</f>
        <v>PROD</v>
      </c>
      <c r="AB15" s="5">
        <f>COUNTIF(TabVMEnv[VM],TabVMEnv[[#This Row],[VM]])</f>
        <v>1</v>
      </c>
    </row>
    <row r="16" spans="1:28" x14ac:dyDescent="0.25">
      <c r="A16" t="s">
        <v>312</v>
      </c>
      <c r="B16" t="s">
        <v>482</v>
      </c>
      <c r="E16" s="13"/>
      <c r="F16">
        <f>IF(VLOOKUP(TabVMEnv[[#This Row],[VM]],TabOceanet[],16,FALSE) = "Tarif_VM",IF(VLOOKUP(TabVMEnv[[#This Row],[VM]],TabOceanet[],2,FALSE)&lt;4,4,VLOOKUP(TabVMEnv[[#This Row],[VM]],TabOceanet[],2,FALSE)),0)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IF(VLOOKUP(TabVMEnv[[#This Row],[VM]],TabOceanet[],16,FALSE) = "Tarif_VM",1,0)/TabVMEnv[[#This Row],[Mutualisé]]</f>
        <v>0</v>
      </c>
      <c r="L16">
        <f>IF(VLOOKUP(TabVMEnv[[#This Row],[VM]],TabOceanet[],9,FALSE) = "PoweredOn",1,0)</f>
        <v>0</v>
      </c>
      <c r="M16">
        <f>TabVMEnv[[#This Row],[IsVMPoweredOn]]*VLOOKUP(TabVMEnv[[#This Row],[VM]],TabOceanet[],3,FALSE)/TabVMEnv[[#This Row],[Mutualisé]]</f>
        <v>0</v>
      </c>
      <c r="N16">
        <f>VLOOKUP(TabVMEnv[[#This Row],[VM]],TabOceanet[],4,FALSE)/TabVMEnv[[#This Row],[Mutualisé]]</f>
        <v>0</v>
      </c>
      <c r="O16">
        <f>IF(LEFT(VLOOKUP(TabVMEnv[[#This Row],[VM]],TabOceanet[],5,FALSE),3)="win",1,0)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VLOOKUP(TabVMEnv[[#This Row],[EnvProjet]],TabEnvProjet[],4,FALSE)</f>
        <v>Fablab-Firmin</v>
      </c>
      <c r="R16" s="5" t="str">
        <f>VLOOKUP(TabVMEnv[[#This Row],[SYGES]],TabContrat[],2,FALSE)</f>
        <v>Fablab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7.2975735235202217</v>
      </c>
      <c r="W16" s="25">
        <f>TabVMEnv[[#This Row],[CoutGlobalSansCostCenterDI]]+TabVMEnv[[#This Row],[CoutGlobalSupplementaire]]</f>
        <v>10.797573523520221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" s="5" t="str">
        <f>VLOOKUP(TabVMEnv[[#This Row],[EnvProjet]],TabEnvProjet[],5,FALSE)</f>
        <v>Pierre-Yves Baloche</v>
      </c>
      <c r="Z16" s="5" t="str">
        <f>VLOOKUP(TabVMEnv[[#This Row],[EnvProjet]],TabEnvProjet[],6,FALSE)</f>
        <v>Fablab</v>
      </c>
      <c r="AA16" s="5" t="str">
        <f>VLOOKUP(TabVMEnv[[#This Row],[EnvProjet]],TabEnvProjet[],3,FALSE)</f>
        <v>PREPROD</v>
      </c>
      <c r="AB16" s="5">
        <f>COUNTIF(TabVMEnv[VM],TabVMEnv[[#This Row],[VM]])</f>
        <v>1</v>
      </c>
    </row>
    <row r="17" spans="1:28" x14ac:dyDescent="0.25">
      <c r="A17" t="s">
        <v>287</v>
      </c>
      <c r="B17" t="s">
        <v>481</v>
      </c>
      <c r="E17" s="13"/>
      <c r="F17">
        <f>IF(VLOOKUP(TabVMEnv[[#This Row],[VM]],TabOceanet[],16,FALSE) = "Tarif_VM",IF(VLOOKUP(TabVMEnv[[#This Row],[VM]],TabOceanet[],2,FALSE)&lt;4,4,VLOOKUP(TabVMEnv[[#This Row],[VM]],TabOceanet[],2,FALSE)),0)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IF(VLOOKUP(TabVMEnv[[#This Row],[VM]],TabOceanet[],16,FALSE) = "Tarif_VM",1,0)/TabVMEnv[[#This Row],[Mutualisé]]</f>
        <v>0</v>
      </c>
      <c r="L17">
        <f>IF(VLOOKUP(TabVMEnv[[#This Row],[VM]],TabOceanet[],9,FALSE) = "PoweredOn",1,0)</f>
        <v>0</v>
      </c>
      <c r="M17">
        <f>TabVMEnv[[#This Row],[IsVMPoweredOn]]*VLOOKUP(TabVMEnv[[#This Row],[VM]],TabOceanet[],3,FALSE)/TabVMEnv[[#This Row],[Mutualisé]]</f>
        <v>0</v>
      </c>
      <c r="N17">
        <f>VLOOKUP(TabVMEnv[[#This Row],[VM]],TabOceanet[],4,FALSE)/TabVMEnv[[#This Row],[Mutualisé]]</f>
        <v>0</v>
      </c>
      <c r="O17">
        <f>IF(LEFT(VLOOKUP(TabVMEnv[[#This Row],[VM]],TabOceanet[],5,FALSE),3)="win",1,0)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VLOOKUP(TabVMEnv[[#This Row],[EnvProjet]],TabEnvProjet[],4,FALSE)</f>
        <v>Fablab-Firmin</v>
      </c>
      <c r="R17" s="5" t="str">
        <f>VLOOKUP(TabVMEnv[[#This Row],[SYGES]],TabContrat[],2,FALSE)</f>
        <v>Fablab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7.2975735235202217</v>
      </c>
      <c r="W17" s="25">
        <f>TabVMEnv[[#This Row],[CoutGlobalSansCostCenterDI]]+TabVMEnv[[#This Row],[CoutGlobalSupplementaire]]</f>
        <v>10.797573523520221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" s="5" t="str">
        <f>VLOOKUP(TabVMEnv[[#This Row],[EnvProjet]],TabEnvProjet[],5,FALSE)</f>
        <v>Pierre-Yves Baloche</v>
      </c>
      <c r="Z17" s="5" t="str">
        <f>VLOOKUP(TabVMEnv[[#This Row],[EnvProjet]],TabEnvProjet[],6,FALSE)</f>
        <v>Fablab</v>
      </c>
      <c r="AA17" s="5" t="str">
        <f>VLOOKUP(TabVMEnv[[#This Row],[EnvProjet]],TabEnvProjet[],3,FALSE)</f>
        <v>PROD</v>
      </c>
      <c r="AB17" s="5">
        <f>COUNTIF(TabVMEnv[VM],TabVMEnv[[#This Row],[VM]])</f>
        <v>1</v>
      </c>
    </row>
    <row r="18" spans="1:28" x14ac:dyDescent="0.25">
      <c r="A18" t="s">
        <v>256</v>
      </c>
      <c r="B18" t="s">
        <v>485</v>
      </c>
      <c r="E18" s="13"/>
      <c r="F18">
        <f>IF(VLOOKUP(TabVMEnv[[#This Row],[VM]],TabOceanet[],16,FALSE) = "Tarif_VM",IF(VLOOKUP(TabVMEnv[[#This Row],[VM]],TabOceanet[],2,FALSE)&lt;4,4,VLOOKUP(TabVMEnv[[#This Row],[VM]],TabOceanet[],2,FALSE)),0)</f>
        <v>4</v>
      </c>
      <c r="G18">
        <v>0</v>
      </c>
      <c r="H18">
        <v>0</v>
      </c>
      <c r="I18">
        <v>0</v>
      </c>
      <c r="J18">
        <v>0</v>
      </c>
      <c r="K18">
        <f>IF(VLOOKUP(TabVMEnv[[#This Row],[VM]],TabOceanet[],16,FALSE) = "Tarif_VM",1,0)/TabVMEnv[[#This Row],[Mutualisé]]</f>
        <v>1</v>
      </c>
      <c r="L18">
        <f>IF(VLOOKUP(TabVMEnv[[#This Row],[VM]],TabOceanet[],9,FALSE) = "PoweredOn",1,0)</f>
        <v>0</v>
      </c>
      <c r="M18">
        <f>TabVMEnv[[#This Row],[IsVMPoweredOn]]*VLOOKUP(TabVMEnv[[#This Row],[VM]],TabOceanet[],3,FALSE)/TabVMEnv[[#This Row],[Mutualisé]]</f>
        <v>0</v>
      </c>
      <c r="N18">
        <f>VLOOKUP(TabVMEnv[[#This Row],[VM]],TabOceanet[],4,FALSE)/TabVMEnv[[#This Row],[Mutualisé]]</f>
        <v>21</v>
      </c>
      <c r="O18">
        <f>IF(LEFT(VLOOKUP(TabVMEnv[[#This Row],[VM]],TabOceanet[],5,FALSE),3)="win",1,0)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VLOOKUP(TabVMEnv[[#This Row],[EnvProjet]],TabEnvProjet[],4,FALSE)</f>
        <v>Fablab-Firmin</v>
      </c>
      <c r="R18" s="5" t="str">
        <f>VLOOKUP(TabVMEnv[[#This Row],[SYGES]],TabContrat[],2,FALSE)</f>
        <v>Fablab</v>
      </c>
      <c r="S18" s="5" t="str">
        <f>IF(VLOOKUP(TabVMEnv[[#This Row],[VM]],TabOceanet[],1,FALSE) = "","Disparue","")</f>
        <v/>
      </c>
      <c r="T18" s="17">
        <f>VLOOKUP(TabVMEnv[[#This Row],[VM]],TabOceanet[],36,FALSE)/TabVMEnv[[#This Row],[Mutualisé]]</f>
        <v>4.83</v>
      </c>
      <c r="U18" s="17">
        <f>IF(TabVMEnv[[#This Row],[CostCenter]]="CostCenterDI",0,TabVMEnv[[#This Row],[CoutGlobal]])</f>
        <v>4.83</v>
      </c>
      <c r="V18" s="17">
        <f>TabVMEnv[[#This Row],[CoutGlobalSansCostCenterDI]]/TabVMEnv[[#Totals],[CoutGlobalSansCostCenterDI]]*(GlobalARepartirSansMS+GlobalARepartirMSOnly+GlobalARepartirInfraReseau)</f>
        <v>10.070651462457906</v>
      </c>
      <c r="W18" s="17">
        <f>TabVMEnv[[#This Row],[CoutGlobalSansCostCenterDI]]+TabVMEnv[[#This Row],[CoutGlobalSupplementaire]]</f>
        <v>14.900651462457907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" s="5" t="str">
        <f>VLOOKUP(TabVMEnv[[#This Row],[EnvProjet]],TabEnvProjet[],5,FALSE)</f>
        <v>Pierre-Yves Baloche</v>
      </c>
      <c r="Z18" s="5" t="str">
        <f>VLOOKUP(TabVMEnv[[#This Row],[EnvProjet]],TabEnvProjet[],6,FALSE)</f>
        <v>Fablab</v>
      </c>
      <c r="AA18" s="5" t="str">
        <f>VLOOKUP(TabVMEnv[[#This Row],[EnvProjet]],TabEnvProjet[],3,FALSE)</f>
        <v>SOCLE</v>
      </c>
      <c r="AB18" s="5">
        <f>COUNTIF(TabVMEnv[VM],TabVMEnv[[#This Row],[VM]])</f>
        <v>1</v>
      </c>
    </row>
    <row r="19" spans="1:28" x14ac:dyDescent="0.25">
      <c r="A19" t="s">
        <v>190</v>
      </c>
      <c r="B19" t="s">
        <v>486</v>
      </c>
      <c r="E19" s="13"/>
      <c r="F19">
        <f>IF(VLOOKUP(TabVMEnv[[#This Row],[VM]],TabOceanet[],16,FALSE) = "Tarif_VM",IF(VLOOKUP(TabVMEnv[[#This Row],[VM]],TabOceanet[],2,FALSE)&lt;4,4,VLOOKUP(TabVMEnv[[#This Row],[VM]],TabOceanet[],2,FALSE)),0)</f>
        <v>4</v>
      </c>
      <c r="G19" s="24">
        <v>40</v>
      </c>
      <c r="H19">
        <v>0</v>
      </c>
      <c r="I19">
        <v>0</v>
      </c>
      <c r="J19">
        <v>0</v>
      </c>
      <c r="K19">
        <f>IF(VLOOKUP(TabVMEnv[[#This Row],[VM]],TabOceanet[],16,FALSE) = "Tarif_VM",1,0)/TabVMEnv[[#This Row],[Mutualisé]]</f>
        <v>1</v>
      </c>
      <c r="L19">
        <f>IF(VLOOKUP(TabVMEnv[[#This Row],[VM]],TabOceanet[],9,FALSE) = "PoweredOn",1,0)</f>
        <v>1</v>
      </c>
      <c r="M19">
        <f>TabVMEnv[[#This Row],[IsVMPoweredOn]]*VLOOKUP(TabVMEnv[[#This Row],[VM]],TabOceanet[],3,FALSE)/TabVMEnv[[#This Row],[Mutualisé]]</f>
        <v>4</v>
      </c>
      <c r="N19">
        <f>VLOOKUP(TabVMEnv[[#This Row],[VM]],TabOceanet[],4,FALSE)/TabVMEnv[[#This Row],[Mutualisé]]</f>
        <v>100</v>
      </c>
      <c r="O19">
        <f>IF(LEFT(VLOOKUP(TabVMEnv[[#This Row],[VM]],TabOceanet[],5,FALSE),3)="win",1,0)</f>
        <v>1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19" t="str">
        <f>VLOOKUP(TabVMEnv[[#This Row],[EnvProjet]],TabEnvProjet[],4,FALSE)</f>
        <v>GFI Oceanet Infra Réseau Orléans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29.4</v>
      </c>
      <c r="U19" s="25">
        <f>IF(TabVMEnv[[#This Row],[CostCenter]]="CostCenterDI",0,TabVMEnv[[#This Row],[CoutGlobal]])</f>
        <v>29.4</v>
      </c>
      <c r="V19" s="25">
        <f>TabVMEnv[[#This Row],[CoutGlobalSansCostCenterDI]]/TabVMEnv[[#Totals],[CoutGlobalSansCostCenterDI]]*(GlobalARepartirSansMS+GlobalARepartirMSOnly+GlobalARepartirInfraReseau)</f>
        <v>61.299617597569856</v>
      </c>
      <c r="W19" s="25">
        <f>TabVMEnv[[#This Row],[CoutGlobalSansCostCenterDI]]+TabVMEnv[[#This Row],[CoutGlobalSupplementaire]]</f>
        <v>90.699617597569855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19" s="5" t="str">
        <f>VLOOKUP(TabVMEnv[[#This Row],[EnvProjet]],TabEnvProjet[],5,FALSE)</f>
        <v>Christophe ORLANDO</v>
      </c>
      <c r="Z19" s="5">
        <f>VLOOKUP(TabVMEnv[[#This Row],[EnvProjet]],TabEnvProjet[],6,FALSE)</f>
        <v>305704</v>
      </c>
      <c r="AA19" s="5" t="str">
        <f>VLOOKUP(TabVMEnv[[#This Row],[EnvProjet]],TabEnvProjet[],3,FALSE)</f>
        <v>SOCLE</v>
      </c>
      <c r="AB19" s="5">
        <f>COUNTIF(TabVMEnv[VM],TabVMEnv[[#This Row],[VM]])</f>
        <v>1</v>
      </c>
    </row>
    <row r="20" spans="1:28" x14ac:dyDescent="0.25">
      <c r="A20" t="s">
        <v>230</v>
      </c>
      <c r="B20" t="s">
        <v>487</v>
      </c>
      <c r="E20" s="13"/>
      <c r="F20">
        <f>IF(VLOOKUP(TabVMEnv[[#This Row],[VM]],TabOceanet[],16,FALSE) = "Tarif_VM",IF(VLOOKUP(TabVMEnv[[#This Row],[VM]],TabOceanet[],2,FALSE)&lt;4,4,VLOOKUP(TabVMEnv[[#This Row],[VM]],TabOceanet[],2,FALSE)),0)</f>
        <v>4</v>
      </c>
      <c r="G20">
        <v>0</v>
      </c>
      <c r="H20">
        <v>0</v>
      </c>
      <c r="I20">
        <v>0</v>
      </c>
      <c r="J20">
        <v>0</v>
      </c>
      <c r="K20">
        <f>IF(VLOOKUP(TabVMEnv[[#This Row],[VM]],TabOceanet[],16,FALSE) = "Tarif_VM",1,0)/TabVMEnv[[#This Row],[Mutualisé]]</f>
        <v>1</v>
      </c>
      <c r="L20">
        <f>IF(VLOOKUP(TabVMEnv[[#This Row],[VM]],TabOceanet[],9,FALSE) = "PoweredOn",1,0)</f>
        <v>1</v>
      </c>
      <c r="M20">
        <f>TabVMEnv[[#This Row],[IsVMPoweredOn]]*VLOOKUP(TabVMEnv[[#This Row],[VM]],TabOceanet[],3,FALSE)/TabVMEnv[[#This Row],[Mutualisé]]</f>
        <v>2</v>
      </c>
      <c r="N20">
        <f>VLOOKUP(TabVMEnv[[#This Row],[VM]],TabOceanet[],4,FALSE)/TabVMEnv[[#This Row],[Mutualisé]]</f>
        <v>40</v>
      </c>
      <c r="O20">
        <f>IF(LEFT(VLOOKUP(TabVMEnv[[#This Row],[VM]],TabOceanet[],5,FALSE),3)="win",1,0)</f>
        <v>1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VLOOKUP(TabVMEnv[[#This Row],[EnvProjet]],TabEnvProjet[],4,FALSE)</f>
        <v>IT-CE/DFA</v>
      </c>
      <c r="R20" s="5" t="str">
        <f>VLOOKUP(TabVMEnv[[#This Row],[SYGES]],TabContrat[],2,FALSE)</f>
        <v>IT-CE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12.400000000000002</v>
      </c>
      <c r="U20" s="25">
        <f>IF(TabVMEnv[[#This Row],[CostCenter]]="CostCenterDI",0,TabVMEnv[[#This Row],[CoutGlobal]])</f>
        <v>12.400000000000002</v>
      </c>
      <c r="V20" s="25">
        <f>TabVMEnv[[#This Row],[CoutGlobalSansCostCenterDI]]/TabVMEnv[[#Totals],[CoutGlobalSansCostCenterDI]]*(GlobalARepartirSansMS+GlobalARepartirMSOnly+GlobalARepartirInfraReseau)</f>
        <v>25.85426048332879</v>
      </c>
      <c r="W20" s="25">
        <f>TabVMEnv[[#This Row],[CoutGlobalSansCostCenterDI]]+TabVMEnv[[#This Row],[CoutGlobalSupplementaire]]</f>
        <v>38.254260483328792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0" s="5" t="str">
        <f>VLOOKUP(TabVMEnv[[#This Row],[EnvProjet]],TabEnvProjet[],5,FALSE)</f>
        <v>Christophe ORLANDO</v>
      </c>
      <c r="Z20" s="5">
        <f>VLOOKUP(TabVMEnv[[#This Row],[EnvProjet]],TabEnvProjet[],6,FALSE)</f>
        <v>305704</v>
      </c>
      <c r="AA20" s="5" t="str">
        <f>VLOOKUP(TabVMEnv[[#This Row],[EnvProjet]],TabEnvProjet[],3,FALSE)</f>
        <v>TMA</v>
      </c>
      <c r="AB20" s="5">
        <f>COUNTIF(TabVMEnv[VM],TabVMEnv[[#This Row],[VM]])</f>
        <v>1</v>
      </c>
    </row>
    <row r="21" spans="1:28" x14ac:dyDescent="0.25">
      <c r="A21" t="s">
        <v>108</v>
      </c>
      <c r="B21" t="s">
        <v>488</v>
      </c>
      <c r="E21" s="13"/>
      <c r="F21">
        <f>IF(VLOOKUP(TabVMEnv[[#This Row],[VM]],TabOceanet[],16,FALSE) = "Tarif_VM",IF(VLOOKUP(TabVMEnv[[#This Row],[VM]],TabOceanet[],2,FALSE)&lt;4,4,VLOOKUP(TabVMEnv[[#This Row],[VM]],TabOceanet[],2,FALSE)),0)</f>
        <v>4</v>
      </c>
      <c r="G21">
        <v>0</v>
      </c>
      <c r="H21">
        <v>0</v>
      </c>
      <c r="I21">
        <v>0</v>
      </c>
      <c r="J21">
        <v>0</v>
      </c>
      <c r="K21">
        <f>IF(VLOOKUP(TabVMEnv[[#This Row],[VM]],TabOceanet[],16,FALSE) = "Tarif_VM",1,0)/TabVMEnv[[#This Row],[Mutualisé]]</f>
        <v>1</v>
      </c>
      <c r="L21">
        <f>IF(VLOOKUP(TabVMEnv[[#This Row],[VM]],TabOceanet[],9,FALSE) = "PoweredOn",1,0)</f>
        <v>1</v>
      </c>
      <c r="M21">
        <f>TabVMEnv[[#This Row],[IsVMPoweredOn]]*VLOOKUP(TabVMEnv[[#This Row],[VM]],TabOceanet[],3,FALSE)/TabVMEnv[[#This Row],[Mutualisé]]</f>
        <v>2</v>
      </c>
      <c r="N21">
        <f>VLOOKUP(TabVMEnv[[#This Row],[VM]],TabOceanet[],4,FALSE)/TabVMEnv[[#This Row],[Mutualisé]]</f>
        <v>40</v>
      </c>
      <c r="O21">
        <f>IF(LEFT(VLOOKUP(TabVMEnv[[#This Row],[VM]],TabOceanet[],5,FALSE),3)="win",1,0)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VLOOKUP(TabVMEnv[[#This Row],[EnvProjet]],TabEnvProjet[],4,FALSE)</f>
        <v>BRGM/BDLISA-18</v>
      </c>
      <c r="R21" s="5" t="str">
        <f>VLOOKUP(TabVMEnv[[#This Row],[SYGES]],TabContrat[],2,FALSE)</f>
        <v>BRGM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12.400000000000002</v>
      </c>
      <c r="U21" s="25">
        <f>IF(TabVMEnv[[#This Row],[CostCenter]]="CostCenterDI",0,TabVMEnv[[#This Row],[CoutGlobal]])</f>
        <v>12.400000000000002</v>
      </c>
      <c r="V21" s="25">
        <f>TabVMEnv[[#This Row],[CoutGlobalSansCostCenterDI]]/TabVMEnv[[#Totals],[CoutGlobalSansCostCenterDI]]*(GlobalARepartirSansMS+GlobalARepartirMSOnly+GlobalARepartirInfraReseau)</f>
        <v>25.85426048332879</v>
      </c>
      <c r="W21" s="25">
        <f>TabVMEnv[[#This Row],[CoutGlobalSansCostCenterDI]]+TabVMEnv[[#This Row],[CoutGlobalSupplementaire]]</f>
        <v>38.254260483328792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21" s="5" t="str">
        <f>VLOOKUP(TabVMEnv[[#This Row],[EnvProjet]],TabEnvProjet[],5,FALSE)</f>
        <v>Jean-Philippe STROIAZZO</v>
      </c>
      <c r="Z21" s="5">
        <f>VLOOKUP(TabVMEnv[[#This Row],[EnvProjet]],TabEnvProjet[],6,FALSE)</f>
        <v>305704</v>
      </c>
      <c r="AA21" s="5" t="str">
        <f>VLOOKUP(TabVMEnv[[#This Row],[EnvProjet]],TabEnvProjet[],3,FALSE)</f>
        <v>DEV</v>
      </c>
      <c r="AB21" s="5">
        <f>COUNTIF(TabVMEnv[VM],TabVMEnv[[#This Row],[VM]])</f>
        <v>1</v>
      </c>
    </row>
    <row r="22" spans="1:28" x14ac:dyDescent="0.25">
      <c r="A22" t="s">
        <v>191</v>
      </c>
      <c r="B22" t="s">
        <v>486</v>
      </c>
      <c r="C22" t="s">
        <v>192</v>
      </c>
      <c r="E22" s="13"/>
      <c r="F22">
        <f>IF(VLOOKUP(TabVMEnv[[#This Row],[VM]],TabOceanet[],16,FALSE) = "Tarif_VM",IF(VLOOKUP(TabVMEnv[[#This Row],[VM]],TabOceanet[],2,FALSE)&lt;4,4,VLOOKUP(TabVMEnv[[#This Row],[VM]],TabOceanet[],2,FALSE)),0)</f>
        <v>4</v>
      </c>
      <c r="G22">
        <v>0</v>
      </c>
      <c r="H22">
        <v>0</v>
      </c>
      <c r="I22">
        <v>0</v>
      </c>
      <c r="J22">
        <v>0</v>
      </c>
      <c r="K22">
        <f>IF(VLOOKUP(TabVMEnv[[#This Row],[VM]],TabOceanet[],16,FALSE) = "Tarif_VM",1,0)/TabVMEnv[[#This Row],[Mutualisé]]</f>
        <v>1</v>
      </c>
      <c r="L22">
        <f>IF(VLOOKUP(TabVMEnv[[#This Row],[VM]],TabOceanet[],9,FALSE) = "PoweredOn",1,0)</f>
        <v>1</v>
      </c>
      <c r="M22">
        <f>TabVMEnv[[#This Row],[IsVMPoweredOn]]*VLOOKUP(TabVMEnv[[#This Row],[VM]],TabOceanet[],3,FALSE)/TabVMEnv[[#This Row],[Mutualisé]]</f>
        <v>2</v>
      </c>
      <c r="N22">
        <f>VLOOKUP(TabVMEnv[[#This Row],[VM]],TabOceanet[],4,FALSE)/TabVMEnv[[#This Row],[Mutualisé]]</f>
        <v>20</v>
      </c>
      <c r="O22">
        <f>IF(LEFT(VLOOKUP(TabVMEnv[[#This Row],[VM]],TabOceanet[],5,FALSE),3)="win",1,0)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VLOOKUP(TabVMEnv[[#This Row],[EnvProjet]],TabEnvProjet[],4,FALSE)</f>
        <v>GFI Oceanet Infra Réseau Orléans</v>
      </c>
      <c r="R22" s="5" t="str">
        <f>VLOOKUP(TabVMEnv[[#This Row],[SYGES]],TabContrat[],2,FALSE)</f>
        <v>GFI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7.8000000000000007</v>
      </c>
      <c r="U22" s="25">
        <f>IF(TabVMEnv[[#This Row],[CostCenter]]="CostCenterDI",0,TabVMEnv[[#This Row],[CoutGlobal]])</f>
        <v>7.8000000000000007</v>
      </c>
      <c r="V22" s="25">
        <f>TabVMEnv[[#This Row],[CoutGlobalSansCostCenterDI]]/TabVMEnv[[#Totals],[CoutGlobalSansCostCenterDI]]*(GlobalARepartirSansMS+GlobalARepartirMSOnly+GlobalARepartirInfraReseau)</f>
        <v>16.263163852416497</v>
      </c>
      <c r="W22" s="25">
        <f>TabVMEnv[[#This Row],[CoutGlobalSansCostCenterDI]]+TabVMEnv[[#This Row],[CoutGlobalSupplementaire]]</f>
        <v>24.063163852416498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2" s="5" t="str">
        <f>VLOOKUP(TabVMEnv[[#This Row],[EnvProjet]],TabEnvProjet[],5,FALSE)</f>
        <v>Christophe ORLANDO</v>
      </c>
      <c r="Z22" s="5">
        <f>VLOOKUP(TabVMEnv[[#This Row],[EnvProjet]],TabEnvProjet[],6,FALSE)</f>
        <v>305704</v>
      </c>
      <c r="AA22" s="5" t="str">
        <f>VLOOKUP(TabVMEnv[[#This Row],[EnvProjet]],TabEnvProjet[],3,FALSE)</f>
        <v>SOCLE</v>
      </c>
      <c r="AB22" s="5">
        <f>COUNTIF(TabVMEnv[VM],TabVMEnv[[#This Row],[VM]])</f>
        <v>1</v>
      </c>
    </row>
    <row r="23" spans="1:28" x14ac:dyDescent="0.25">
      <c r="A23" t="s">
        <v>110</v>
      </c>
      <c r="B23" t="s">
        <v>489</v>
      </c>
      <c r="E23" s="13"/>
      <c r="F23">
        <f>IF(VLOOKUP(TabVMEnv[[#This Row],[VM]],TabOceanet[],16,FALSE) = "Tarif_VM",IF(VLOOKUP(TabVMEnv[[#This Row],[VM]],TabOceanet[],2,FALSE)&lt;4,4,VLOOKUP(TabVMEnv[[#This Row],[VM]],TabOceanet[],2,FALSE)),0)</f>
        <v>4</v>
      </c>
      <c r="G23">
        <v>0</v>
      </c>
      <c r="H23">
        <v>0</v>
      </c>
      <c r="I23">
        <v>0</v>
      </c>
      <c r="J23">
        <v>0</v>
      </c>
      <c r="K23">
        <f>IF(VLOOKUP(TabVMEnv[[#This Row],[VM]],TabOceanet[],16,FALSE) = "Tarif_VM",1,0)/TabVMEnv[[#This Row],[Mutualisé]]</f>
        <v>1</v>
      </c>
      <c r="L23">
        <f>IF(VLOOKUP(TabVMEnv[[#This Row],[VM]],TabOceanet[],9,FALSE) = "PoweredOn",1,0)</f>
        <v>1</v>
      </c>
      <c r="M23">
        <f>TabVMEnv[[#This Row],[IsVMPoweredOn]]*VLOOKUP(TabVMEnv[[#This Row],[VM]],TabOceanet[],3,FALSE)/TabVMEnv[[#This Row],[Mutualisé]]</f>
        <v>4</v>
      </c>
      <c r="N23">
        <f>VLOOKUP(TabVMEnv[[#This Row],[VM]],TabOceanet[],4,FALSE)/TabVMEnv[[#This Row],[Mutualisé]]</f>
        <v>40</v>
      </c>
      <c r="O23">
        <f>IF(LEFT(VLOOKUP(TabVMEnv[[#This Row],[VM]],TabOceanet[],5,FALSE),3)="win",1,0)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VLOOKUP(TabVMEnv[[#This Row],[EnvProjet]],TabEnvProjet[],4,FALSE)</f>
        <v>BRGM/BDLISA-18</v>
      </c>
      <c r="R23" s="5" t="str">
        <f>VLOOKUP(TabVMEnv[[#This Row],[SYGES]],TabContrat[],2,FALSE)</f>
        <v>BRGM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15.600000000000001</v>
      </c>
      <c r="U23" s="25">
        <f>IF(TabVMEnv[[#This Row],[CostCenter]]="CostCenterDI",0,TabVMEnv[[#This Row],[CoutGlobal]])</f>
        <v>15.600000000000001</v>
      </c>
      <c r="V23" s="25">
        <f>TabVMEnv[[#This Row],[CoutGlobalSansCostCenterDI]]/TabVMEnv[[#Totals],[CoutGlobalSansCostCenterDI]]*(GlobalARepartirSansMS+GlobalARepartirMSOnly+GlobalARepartirInfraReseau)</f>
        <v>32.526327704832994</v>
      </c>
      <c r="W23" s="25">
        <f>TabVMEnv[[#This Row],[CoutGlobalSansCostCenterDI]]+TabVMEnv[[#This Row],[CoutGlobalSupplementaire]]</f>
        <v>48.126327704832995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23" s="5" t="str">
        <f>VLOOKUP(TabVMEnv[[#This Row],[EnvProjet]],TabEnvProjet[],5,FALSE)</f>
        <v>Jean-Philippe STROIAZZO</v>
      </c>
      <c r="Z23" s="5">
        <f>VLOOKUP(TabVMEnv[[#This Row],[EnvProjet]],TabEnvProjet[],6,FALSE)</f>
        <v>305704</v>
      </c>
      <c r="AA23" s="5" t="str">
        <f>VLOOKUP(TabVMEnv[[#This Row],[EnvProjet]],TabEnvProjet[],3,FALSE)</f>
        <v>DEV</v>
      </c>
      <c r="AB23" s="5">
        <f>COUNTIF(TabVMEnv[VM],TabVMEnv[[#This Row],[VM]])</f>
        <v>1</v>
      </c>
    </row>
    <row r="24" spans="1:28" x14ac:dyDescent="0.25">
      <c r="A24" s="24" t="s">
        <v>114</v>
      </c>
      <c r="B24" t="s">
        <v>490</v>
      </c>
      <c r="E24" s="13"/>
      <c r="F24">
        <f>IF(VLOOKUP(TabVMEnv[[#This Row],[VM]],TabOceanet[],16,FALSE) = "Tarif_VM",IF(VLOOKUP(TabVMEnv[[#This Row],[VM]],TabOceanet[],2,FALSE)&lt;4,4,VLOOKUP(TabVMEnv[[#This Row],[VM]],TabOceanet[],2,FALSE)),0)</f>
        <v>4</v>
      </c>
      <c r="G24">
        <v>0</v>
      </c>
      <c r="H24">
        <v>0</v>
      </c>
      <c r="I24">
        <v>0</v>
      </c>
      <c r="J24">
        <v>0</v>
      </c>
      <c r="K24">
        <f>IF(VLOOKUP(TabVMEnv[[#This Row],[VM]],TabOceanet[],16,FALSE) = "Tarif_VM",1,0)/TabVMEnv[[#This Row],[Mutualisé]]</f>
        <v>0.2</v>
      </c>
      <c r="L24">
        <f>IF(VLOOKUP(TabVMEnv[[#This Row],[VM]],TabOceanet[],9,FALSE) = "PoweredOn",1,0)</f>
        <v>1</v>
      </c>
      <c r="M24">
        <f>TabVMEnv[[#This Row],[IsVMPoweredOn]]*VLOOKUP(TabVMEnv[[#This Row],[VM]],TabOceanet[],3,FALSE)/TabVMEnv[[#This Row],[Mutualisé]]</f>
        <v>3.2</v>
      </c>
      <c r="N24">
        <f>VLOOKUP(TabVMEnv[[#This Row],[VM]],TabOceanet[],4,FALSE)/TabVMEnv[[#This Row],[Mutualisé]]</f>
        <v>60</v>
      </c>
      <c r="O24">
        <f>IF(LEFT(VLOOKUP(TabVMEnv[[#This Row],[VM]],TabOceanet[],5,FALSE),3)="win",1,0)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VLOOKUP(TabVMEnv[[#This Row],[EnvProjet]],TabEnvProjet[],4,FALSE)</f>
        <v>ONEMA/TMADCUA-15</v>
      </c>
      <c r="R24" s="5" t="str">
        <f>VLOOKUP(TabVMEnv[[#This Row],[SYGES]],TabContrat[],2,FALSE)</f>
        <v>ONEMA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18.919999999999998</v>
      </c>
      <c r="U24" s="25">
        <f>IF(TabVMEnv[[#This Row],[CostCenter]]="CostCenterDI",0,TabVMEnv[[#This Row],[CoutGlobal]])</f>
        <v>18.919999999999998</v>
      </c>
      <c r="V24" s="25">
        <f>TabVMEnv[[#This Row],[CoutGlobalSansCostCenterDI]]/TabVMEnv[[#Totals],[CoutGlobalSansCostCenterDI]]*(GlobalARepartirSansMS+GlobalARepartirMSOnly+GlobalARepartirInfraReseau)</f>
        <v>39.448597447143598</v>
      </c>
      <c r="W24" s="25">
        <f>TabVMEnv[[#This Row],[CoutGlobalSansCostCenterDI]]+TabVMEnv[[#This Row],[CoutGlobalSupplementaire]]</f>
        <v>58.3685974471436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24" s="5" t="str">
        <f>VLOOKUP(TabVMEnv[[#This Row],[EnvProjet]],TabEnvProjet[],5,FALSE)</f>
        <v>Jean-Philippe STROIAZZO</v>
      </c>
      <c r="Z24" s="5">
        <f>VLOOKUP(TabVMEnv[[#This Row],[EnvProjet]],TabEnvProjet[],6,FALSE)</f>
        <v>305704</v>
      </c>
      <c r="AA24" s="5" t="str">
        <f>VLOOKUP(TabVMEnv[[#This Row],[EnvProjet]],TabEnvProjet[],3,FALSE)</f>
        <v>TMA</v>
      </c>
      <c r="AB24" s="5">
        <f>COUNTIF(TabVMEnv[VM],TabVMEnv[[#This Row],[VM]])</f>
        <v>5</v>
      </c>
    </row>
    <row r="25" spans="1:28" x14ac:dyDescent="0.25">
      <c r="A25" s="24" t="s">
        <v>114</v>
      </c>
      <c r="B25" t="s">
        <v>491</v>
      </c>
      <c r="E25" s="13"/>
      <c r="F25">
        <f>IF(VLOOKUP(TabVMEnv[[#This Row],[VM]],TabOceanet[],16,FALSE) = "Tarif_VM",IF(VLOOKUP(TabVMEnv[[#This Row],[VM]],TabOceanet[],2,FALSE)&lt;4,4,VLOOKUP(TabVMEnv[[#This Row],[VM]],TabOceanet[],2,FALSE)),0)</f>
        <v>4</v>
      </c>
      <c r="G25">
        <v>0</v>
      </c>
      <c r="H25">
        <v>0</v>
      </c>
      <c r="I25">
        <v>0</v>
      </c>
      <c r="J25">
        <v>0</v>
      </c>
      <c r="K25">
        <f>IF(VLOOKUP(TabVMEnv[[#This Row],[VM]],TabOceanet[],16,FALSE) = "Tarif_VM",1,0)/TabVMEnv[[#This Row],[Mutualisé]]</f>
        <v>0.2</v>
      </c>
      <c r="L25">
        <f>IF(VLOOKUP(TabVMEnv[[#This Row],[VM]],TabOceanet[],9,FALSE) = "PoweredOn",1,0)</f>
        <v>1</v>
      </c>
      <c r="M25">
        <f>TabVMEnv[[#This Row],[IsVMPoweredOn]]*VLOOKUP(TabVMEnv[[#This Row],[VM]],TabOceanet[],3,FALSE)/TabVMEnv[[#This Row],[Mutualisé]]</f>
        <v>3.2</v>
      </c>
      <c r="N25">
        <f>VLOOKUP(TabVMEnv[[#This Row],[VM]],TabOceanet[],4,FALSE)/TabVMEnv[[#This Row],[Mutualisé]]</f>
        <v>60</v>
      </c>
      <c r="O25">
        <f>IF(LEFT(VLOOKUP(TabVMEnv[[#This Row],[VM]],TabOceanet[],5,FALSE),3)="win",1,0)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VLOOKUP(TabVMEnv[[#This Row],[EnvProjet]],TabEnvProjet[],4,FALSE)</f>
        <v>ONEMA/TMADCUA-15</v>
      </c>
      <c r="R25" s="5" t="str">
        <f>VLOOKUP(TabVMEnv[[#This Row],[SYGES]],TabContrat[],2,FALSE)</f>
        <v>ONEMA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18.919999999999998</v>
      </c>
      <c r="U25" s="25">
        <f>IF(TabVMEnv[[#This Row],[CostCenter]]="CostCenterDI",0,TabVMEnv[[#This Row],[CoutGlobal]])</f>
        <v>18.919999999999998</v>
      </c>
      <c r="V25" s="25">
        <f>TabVMEnv[[#This Row],[CoutGlobalSansCostCenterDI]]/TabVMEnv[[#Totals],[CoutGlobalSansCostCenterDI]]*(GlobalARepartirSansMS+GlobalARepartirMSOnly+GlobalARepartirInfraReseau)</f>
        <v>39.448597447143598</v>
      </c>
      <c r="W25" s="25">
        <f>TabVMEnv[[#This Row],[CoutGlobalSansCostCenterDI]]+TabVMEnv[[#This Row],[CoutGlobalSupplementaire]]</f>
        <v>58.3685974471436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25" s="5" t="str">
        <f>VLOOKUP(TabVMEnv[[#This Row],[EnvProjet]],TabEnvProjet[],5,FALSE)</f>
        <v>Jean-Philippe STROIAZZO</v>
      </c>
      <c r="Z25" s="5">
        <f>VLOOKUP(TabVMEnv[[#This Row],[EnvProjet]],TabEnvProjet[],6,FALSE)</f>
        <v>305704</v>
      </c>
      <c r="AA25" s="5" t="str">
        <f>VLOOKUP(TabVMEnv[[#This Row],[EnvProjet]],TabEnvProjet[],3,FALSE)</f>
        <v>TMA</v>
      </c>
      <c r="AB25" s="5">
        <f>COUNTIF(TabVMEnv[VM],TabVMEnv[[#This Row],[VM]])</f>
        <v>5</v>
      </c>
    </row>
    <row r="26" spans="1:28" ht="15" customHeight="1" x14ac:dyDescent="0.25">
      <c r="A26" s="24" t="s">
        <v>114</v>
      </c>
      <c r="B26" t="s">
        <v>492</v>
      </c>
      <c r="E26" s="13"/>
      <c r="F26">
        <f>IF(VLOOKUP(TabVMEnv[[#This Row],[VM]],TabOceanet[],16,FALSE) = "Tarif_VM",IF(VLOOKUP(TabVMEnv[[#This Row],[VM]],TabOceanet[],2,FALSE)&lt;4,4,VLOOKUP(TabVMEnv[[#This Row],[VM]],TabOceanet[],2,FALSE)),0)</f>
        <v>4</v>
      </c>
      <c r="G26">
        <v>0</v>
      </c>
      <c r="H26">
        <v>0</v>
      </c>
      <c r="I26">
        <v>0</v>
      </c>
      <c r="J26">
        <v>0</v>
      </c>
      <c r="K26">
        <f>IF(VLOOKUP(TabVMEnv[[#This Row],[VM]],TabOceanet[],16,FALSE) = "Tarif_VM",1,0)/TabVMEnv[[#This Row],[Mutualisé]]</f>
        <v>0.2</v>
      </c>
      <c r="L26">
        <f>IF(VLOOKUP(TabVMEnv[[#This Row],[VM]],TabOceanet[],9,FALSE) = "PoweredOn",1,0)</f>
        <v>1</v>
      </c>
      <c r="M26">
        <f>TabVMEnv[[#This Row],[IsVMPoweredOn]]*VLOOKUP(TabVMEnv[[#This Row],[VM]],TabOceanet[],3,FALSE)/TabVMEnv[[#This Row],[Mutualisé]]</f>
        <v>3.2</v>
      </c>
      <c r="N26">
        <f>VLOOKUP(TabVMEnv[[#This Row],[VM]],TabOceanet[],4,FALSE)/TabVMEnv[[#This Row],[Mutualisé]]</f>
        <v>60</v>
      </c>
      <c r="O26">
        <f>IF(LEFT(VLOOKUP(TabVMEnv[[#This Row],[VM]],TabOceanet[],5,FALSE),3)="win",1,0)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VLOOKUP(TabVMEnv[[#This Row],[EnvProjet]],TabEnvProjet[],4,FALSE)</f>
        <v>ONEMA/TMADCUA-15</v>
      </c>
      <c r="R26" s="5" t="str">
        <f>VLOOKUP(TabVMEnv[[#This Row],[SYGES]],TabContrat[],2,FALSE)</f>
        <v>ONEMA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18.919999999999998</v>
      </c>
      <c r="U26" s="25">
        <f>IF(TabVMEnv[[#This Row],[CostCenter]]="CostCenterDI",0,TabVMEnv[[#This Row],[CoutGlobal]])</f>
        <v>18.919999999999998</v>
      </c>
      <c r="V26" s="25">
        <f>TabVMEnv[[#This Row],[CoutGlobalSansCostCenterDI]]/TabVMEnv[[#Totals],[CoutGlobalSansCostCenterDI]]*(GlobalARepartirSansMS+GlobalARepartirMSOnly+GlobalARepartirInfraReseau)</f>
        <v>39.448597447143598</v>
      </c>
      <c r="W26" s="25">
        <f>TabVMEnv[[#This Row],[CoutGlobalSansCostCenterDI]]+TabVMEnv[[#This Row],[CoutGlobalSupplementaire]]</f>
        <v>58.3685974471436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26" s="5" t="str">
        <f>VLOOKUP(TabVMEnv[[#This Row],[EnvProjet]],TabEnvProjet[],5,FALSE)</f>
        <v>Jean-Philippe STROIAZZO</v>
      </c>
      <c r="Z26" s="5">
        <f>VLOOKUP(TabVMEnv[[#This Row],[EnvProjet]],TabEnvProjet[],6,FALSE)</f>
        <v>305704</v>
      </c>
      <c r="AA26" s="5" t="str">
        <f>VLOOKUP(TabVMEnv[[#This Row],[EnvProjet]],TabEnvProjet[],3,FALSE)</f>
        <v>TMA</v>
      </c>
      <c r="AB26" s="5">
        <f>COUNTIF(TabVMEnv[VM],TabVMEnv[[#This Row],[VM]])</f>
        <v>5</v>
      </c>
    </row>
    <row r="27" spans="1:28" x14ac:dyDescent="0.25">
      <c r="A27" s="24" t="s">
        <v>114</v>
      </c>
      <c r="B27" t="s">
        <v>493</v>
      </c>
      <c r="E27" s="13"/>
      <c r="F27">
        <f>IF(VLOOKUP(TabVMEnv[[#This Row],[VM]],TabOceanet[],16,FALSE) = "Tarif_VM",IF(VLOOKUP(TabVMEnv[[#This Row],[VM]],TabOceanet[],2,FALSE)&lt;4,4,VLOOKUP(TabVMEnv[[#This Row],[VM]],TabOceanet[],2,FALSE)),0)</f>
        <v>4</v>
      </c>
      <c r="G27">
        <v>0</v>
      </c>
      <c r="H27">
        <v>0</v>
      </c>
      <c r="I27">
        <v>0</v>
      </c>
      <c r="J27">
        <v>0</v>
      </c>
      <c r="K27">
        <f>IF(VLOOKUP(TabVMEnv[[#This Row],[VM]],TabOceanet[],16,FALSE) = "Tarif_VM",1,0)/TabVMEnv[[#This Row],[Mutualisé]]</f>
        <v>0.2</v>
      </c>
      <c r="L27">
        <f>IF(VLOOKUP(TabVMEnv[[#This Row],[VM]],TabOceanet[],9,FALSE) = "PoweredOn",1,0)</f>
        <v>1</v>
      </c>
      <c r="M27">
        <f>TabVMEnv[[#This Row],[IsVMPoweredOn]]*VLOOKUP(TabVMEnv[[#This Row],[VM]],TabOceanet[],3,FALSE)/TabVMEnv[[#This Row],[Mutualisé]]</f>
        <v>3.2</v>
      </c>
      <c r="N27">
        <f>VLOOKUP(TabVMEnv[[#This Row],[VM]],TabOceanet[],4,FALSE)/TabVMEnv[[#This Row],[Mutualisé]]</f>
        <v>60</v>
      </c>
      <c r="O27">
        <f>IF(LEFT(VLOOKUP(TabVMEnv[[#This Row],[VM]],TabOceanet[],5,FALSE),3)="win",1,0)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VLOOKUP(TabVMEnv[[#This Row],[EnvProjet]],TabEnvProjet[],4,FALSE)</f>
        <v>ONEMA/TMADCUA-15</v>
      </c>
      <c r="R27" s="5" t="str">
        <f>VLOOKUP(TabVMEnv[[#This Row],[SYGES]],TabContrat[],2,FALSE)</f>
        <v>ONEMA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18.919999999999998</v>
      </c>
      <c r="U27" s="25">
        <f>IF(TabVMEnv[[#This Row],[CostCenter]]="CostCenterDI",0,TabVMEnv[[#This Row],[CoutGlobal]])</f>
        <v>18.919999999999998</v>
      </c>
      <c r="V27" s="25">
        <f>TabVMEnv[[#This Row],[CoutGlobalSansCostCenterDI]]/TabVMEnv[[#Totals],[CoutGlobalSansCostCenterDI]]*(GlobalARepartirSansMS+GlobalARepartirMSOnly+GlobalARepartirInfraReseau)</f>
        <v>39.448597447143598</v>
      </c>
      <c r="W27" s="25">
        <f>TabVMEnv[[#This Row],[CoutGlobalSansCostCenterDI]]+TabVMEnv[[#This Row],[CoutGlobalSupplementaire]]</f>
        <v>58.3685974471436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27" s="5" t="str">
        <f>VLOOKUP(TabVMEnv[[#This Row],[EnvProjet]],TabEnvProjet[],5,FALSE)</f>
        <v>Jean-Philippe STROIAZZO</v>
      </c>
      <c r="Z27" s="5">
        <f>VLOOKUP(TabVMEnv[[#This Row],[EnvProjet]],TabEnvProjet[],6,FALSE)</f>
        <v>305704</v>
      </c>
      <c r="AA27" s="5" t="str">
        <f>VLOOKUP(TabVMEnv[[#This Row],[EnvProjet]],TabEnvProjet[],3,FALSE)</f>
        <v>TMA</v>
      </c>
      <c r="AB27" s="5">
        <f>COUNTIF(TabVMEnv[VM],TabVMEnv[[#This Row],[VM]])</f>
        <v>5</v>
      </c>
    </row>
    <row r="28" spans="1:28" x14ac:dyDescent="0.25">
      <c r="A28" s="24" t="s">
        <v>114</v>
      </c>
      <c r="B28" t="s">
        <v>494</v>
      </c>
      <c r="E28" s="13"/>
      <c r="F28">
        <f>IF(VLOOKUP(TabVMEnv[[#This Row],[VM]],TabOceanet[],16,FALSE) = "Tarif_VM",IF(VLOOKUP(TabVMEnv[[#This Row],[VM]],TabOceanet[],2,FALSE)&lt;4,4,VLOOKUP(TabVMEnv[[#This Row],[VM]],TabOceanet[],2,FALSE)),0)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IF(VLOOKUP(TabVMEnv[[#This Row],[VM]],TabOceanet[],16,FALSE) = "Tarif_VM",1,0)/TabVMEnv[[#This Row],[Mutualisé]]</f>
        <v>0.2</v>
      </c>
      <c r="L28">
        <f>IF(VLOOKUP(TabVMEnv[[#This Row],[VM]],TabOceanet[],9,FALSE) = "PoweredOn",1,0)</f>
        <v>1</v>
      </c>
      <c r="M28">
        <f>TabVMEnv[[#This Row],[IsVMPoweredOn]]*VLOOKUP(TabVMEnv[[#This Row],[VM]],TabOceanet[],3,FALSE)/TabVMEnv[[#This Row],[Mutualisé]]</f>
        <v>3.2</v>
      </c>
      <c r="N28">
        <f>VLOOKUP(TabVMEnv[[#This Row],[VM]],TabOceanet[],4,FALSE)/TabVMEnv[[#This Row],[Mutualisé]]</f>
        <v>60</v>
      </c>
      <c r="O28">
        <f>IF(LEFT(VLOOKUP(TabVMEnv[[#This Row],[VM]],TabOceanet[],5,FALSE),3)="win",1,0)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VLOOKUP(TabVMEnv[[#This Row],[EnvProjet]],TabEnvProjet[],4,FALSE)</f>
        <v>ONEMA/TMADCUA-15</v>
      </c>
      <c r="R28" s="5" t="str">
        <f>VLOOKUP(TabVMEnv[[#This Row],[SYGES]],TabContrat[],2,FALSE)</f>
        <v>ONEMA</v>
      </c>
      <c r="S28" s="5" t="str">
        <f>IF(VLOOKUP(TabVMEnv[[#This Row],[VM]],TabOceanet[],1,FALSE) = "","Disparue","")</f>
        <v/>
      </c>
      <c r="T28" s="25">
        <f>VLOOKUP(TabVMEnv[[#This Row],[VM]],TabOceanet[],36,FALSE)/TabVMEnv[[#This Row],[Mutualisé]]</f>
        <v>18.919999999999998</v>
      </c>
      <c r="U28" s="25">
        <f>IF(TabVMEnv[[#This Row],[CostCenter]]="CostCenterDI",0,TabVMEnv[[#This Row],[CoutGlobal]])</f>
        <v>18.919999999999998</v>
      </c>
      <c r="V28" s="25">
        <f>TabVMEnv[[#This Row],[CoutGlobalSansCostCenterDI]]/TabVMEnv[[#Totals],[CoutGlobalSansCostCenterDI]]*(GlobalARepartirSansMS+GlobalARepartirMSOnly+GlobalARepartirInfraReseau)</f>
        <v>39.448597447143598</v>
      </c>
      <c r="W28" s="25">
        <f>TabVMEnv[[#This Row],[CoutGlobalSansCostCenterDI]]+TabVMEnv[[#This Row],[CoutGlobalSupplementaire]]</f>
        <v>58.3685974471436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28" s="5" t="str">
        <f>VLOOKUP(TabVMEnv[[#This Row],[EnvProjet]],TabEnvProjet[],5,FALSE)</f>
        <v>Christophe ORLANDO</v>
      </c>
      <c r="Z28" s="5">
        <f>VLOOKUP(TabVMEnv[[#This Row],[EnvProjet]],TabEnvProjet[],6,FALSE)</f>
        <v>305704</v>
      </c>
      <c r="AA28" s="5" t="str">
        <f>VLOOKUP(TabVMEnv[[#This Row],[EnvProjet]],TabEnvProjet[],3,FALSE)</f>
        <v>TMA</v>
      </c>
      <c r="AB28" s="5">
        <f>COUNTIF(TabVMEnv[VM],TabVMEnv[[#This Row],[VM]])</f>
        <v>5</v>
      </c>
    </row>
    <row r="29" spans="1:28" x14ac:dyDescent="0.25">
      <c r="A29" s="24" t="s">
        <v>137</v>
      </c>
      <c r="B29" t="s">
        <v>495</v>
      </c>
      <c r="E29" s="13"/>
      <c r="F29">
        <f>IF(VLOOKUP(TabVMEnv[[#This Row],[VM]],TabOceanet[],16,FALSE) = "Tarif_VM",IF(VLOOKUP(TabVMEnv[[#This Row],[VM]],TabOceanet[],2,FALSE)&lt;4,4,VLOOKUP(TabVMEnv[[#This Row],[VM]],TabOceanet[],2,FALSE)),0)</f>
        <v>4</v>
      </c>
      <c r="G29">
        <v>0</v>
      </c>
      <c r="H29">
        <v>1</v>
      </c>
      <c r="I29">
        <v>0</v>
      </c>
      <c r="J29" s="24">
        <v>4</v>
      </c>
      <c r="K29" s="24">
        <f>IF(VLOOKUP(TabVMEnv[[#This Row],[VM]],TabOceanet[],16,FALSE) = "Tarif_VM",1,0)/TabVMEnv[[#This Row],[Mutualisé]]</f>
        <v>0.5</v>
      </c>
      <c r="L29" s="24">
        <f>IF(VLOOKUP(TabVMEnv[[#This Row],[VM]],TabOceanet[],9,FALSE) = "PoweredOn",1,0)</f>
        <v>1</v>
      </c>
      <c r="M29" s="24">
        <f>TabVMEnv[[#This Row],[IsVMPoweredOn]]*VLOOKUP(TabVMEnv[[#This Row],[VM]],TabOceanet[],3,FALSE)/TabVMEnv[[#This Row],[Mutualisé]]</f>
        <v>2</v>
      </c>
      <c r="N29" s="24">
        <f>VLOOKUP(TabVMEnv[[#This Row],[VM]],TabOceanet[],4,FALSE)/TabVMEnv[[#This Row],[Mutualisé]]</f>
        <v>80</v>
      </c>
      <c r="O29" s="24">
        <f>IF(LEFT(VLOOKUP(TabVMEnv[[#This Row],[VM]],TabOceanet[],5,FALSE),3)="win",1,0)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29" t="str">
        <f>VLOOKUP(TabVMEnv[[#This Row],[EnvProjet]],TabEnvProjet[],4,FALSE)</f>
        <v>CA-TITRES/TMA</v>
      </c>
      <c r="R29" s="5" t="str">
        <f>VLOOKUP(TabVMEnv[[#This Row],[SYGES]],TabContrat[],2,FALSE)</f>
        <v>CA-TITRES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21.6</v>
      </c>
      <c r="U29" s="25">
        <f>IF(TabVMEnv[[#This Row],[CostCenter]]="CostCenterDI",0,TabVMEnv[[#This Row],[CoutGlobal]])</f>
        <v>21.6</v>
      </c>
      <c r="V29" s="25">
        <f>TabVMEnv[[#This Row],[CoutGlobalSansCostCenterDI]]/TabVMEnv[[#Totals],[CoutGlobalSansCostCenterDI]]*(GlobalARepartirSansMS+GlobalARepartirMSOnly+GlobalARepartirInfraReseau)</f>
        <v>45.036453745153374</v>
      </c>
      <c r="W29" s="25">
        <f>TabVMEnv[[#This Row],[CoutGlobalSansCostCenterDI]]+TabVMEnv[[#This Row],[CoutGlobalSupplementaire]]</f>
        <v>66.636453745153375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29" s="5" t="str">
        <f>VLOOKUP(TabVMEnv[[#This Row],[EnvProjet]],TabEnvProjet[],5,FALSE)</f>
        <v>Jean-Philippe STROIAZZO</v>
      </c>
      <c r="Z29" s="5">
        <f>VLOOKUP(TabVMEnv[[#This Row],[EnvProjet]],TabEnvProjet[],6,FALSE)</f>
        <v>305704</v>
      </c>
      <c r="AA29" s="5" t="str">
        <f>VLOOKUP(TabVMEnv[[#This Row],[EnvProjet]],TabEnvProjet[],3,FALSE)</f>
        <v>DEV</v>
      </c>
      <c r="AB29" s="5">
        <f>COUNTIF(TabVMEnv[VM],TabVMEnv[[#This Row],[VM]])</f>
        <v>2</v>
      </c>
    </row>
    <row r="30" spans="1:28" x14ac:dyDescent="0.25">
      <c r="A30" s="24" t="s">
        <v>137</v>
      </c>
      <c r="B30" t="s">
        <v>496</v>
      </c>
      <c r="E30" s="13"/>
      <c r="F30">
        <f>IF(VLOOKUP(TabVMEnv[[#This Row],[VM]],TabOceanet[],16,FALSE) = "Tarif_VM",IF(VLOOKUP(TabVMEnv[[#This Row],[VM]],TabOceanet[],2,FALSE)&lt;4,4,VLOOKUP(TabVMEnv[[#This Row],[VM]],TabOceanet[],2,FALSE)),0)</f>
        <v>4</v>
      </c>
      <c r="G30">
        <v>0</v>
      </c>
      <c r="H30">
        <v>1</v>
      </c>
      <c r="I30">
        <v>0</v>
      </c>
      <c r="J30" s="24">
        <v>4</v>
      </c>
      <c r="K30" s="24">
        <f>IF(VLOOKUP(TabVMEnv[[#This Row],[VM]],TabOceanet[],16,FALSE) = "Tarif_VM",1,0)/TabVMEnv[[#This Row],[Mutualisé]]</f>
        <v>0.5</v>
      </c>
      <c r="L30" s="24">
        <f>IF(VLOOKUP(TabVMEnv[[#This Row],[VM]],TabOceanet[],9,FALSE) = "PoweredOn",1,0)</f>
        <v>1</v>
      </c>
      <c r="M30" s="24">
        <f>TabVMEnv[[#This Row],[IsVMPoweredOn]]*VLOOKUP(TabVMEnv[[#This Row],[VM]],TabOceanet[],3,FALSE)/TabVMEnv[[#This Row],[Mutualisé]]</f>
        <v>2</v>
      </c>
      <c r="N30" s="24">
        <f>VLOOKUP(TabVMEnv[[#This Row],[VM]],TabOceanet[],4,FALSE)/TabVMEnv[[#This Row],[Mutualisé]]</f>
        <v>80</v>
      </c>
      <c r="O30" s="24">
        <f>IF(LEFT(VLOOKUP(TabVMEnv[[#This Row],[VM]],TabOceanet[],5,FALSE),3)="win",1,0)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0" t="str">
        <f>VLOOKUP(TabVMEnv[[#This Row],[EnvProjet]],TabEnvProjet[],4,FALSE)</f>
        <v>CA-TITRES/TMA</v>
      </c>
      <c r="R30" s="5" t="str">
        <f>VLOOKUP(TabVMEnv[[#This Row],[SYGES]],TabContrat[],2,FALSE)</f>
        <v>CA-TITRES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21.6</v>
      </c>
      <c r="U30" s="25">
        <f>IF(TabVMEnv[[#This Row],[CostCenter]]="CostCenterDI",0,TabVMEnv[[#This Row],[CoutGlobal]])</f>
        <v>21.6</v>
      </c>
      <c r="V30" s="25">
        <f>TabVMEnv[[#This Row],[CoutGlobalSansCostCenterDI]]/TabVMEnv[[#Totals],[CoutGlobalSansCostCenterDI]]*(GlobalARepartirSansMS+GlobalARepartirMSOnly+GlobalARepartirInfraReseau)</f>
        <v>45.036453745153374</v>
      </c>
      <c r="W30" s="25">
        <f>TabVMEnv[[#This Row],[CoutGlobalSansCostCenterDI]]+TabVMEnv[[#This Row],[CoutGlobalSupplementaire]]</f>
        <v>66.636453745153375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30" s="5" t="str">
        <f>VLOOKUP(TabVMEnv[[#This Row],[EnvProjet]],TabEnvProjet[],5,FALSE)</f>
        <v>Jean-Philippe STROIAZZO</v>
      </c>
      <c r="Z30" s="5">
        <f>VLOOKUP(TabVMEnv[[#This Row],[EnvProjet]],TabEnvProjet[],6,FALSE)</f>
        <v>305704</v>
      </c>
      <c r="AA30" s="5" t="str">
        <f>VLOOKUP(TabVMEnv[[#This Row],[EnvProjet]],TabEnvProjet[],3,FALSE)</f>
        <v>DEV</v>
      </c>
      <c r="AB30" s="5">
        <f>COUNTIF(TabVMEnv[VM],TabVMEnv[[#This Row],[VM]])</f>
        <v>2</v>
      </c>
    </row>
    <row r="31" spans="1:28" ht="15" customHeight="1" x14ac:dyDescent="0.25">
      <c r="A31" t="s">
        <v>215</v>
      </c>
      <c r="B31" t="s">
        <v>497</v>
      </c>
      <c r="E31" s="13"/>
      <c r="F31">
        <f>IF(VLOOKUP(TabVMEnv[[#This Row],[VM]],TabOceanet[],16,FALSE) = "Tarif_VM",IF(VLOOKUP(TabVMEnv[[#This Row],[VM]],TabOceanet[],2,FALSE)&lt;4,4,VLOOKUP(TabVMEnv[[#This Row],[VM]],TabOceanet[],2,FALSE)),0)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IF(VLOOKUP(TabVMEnv[[#This Row],[VM]],TabOceanet[],16,FALSE) = "Tarif_VM",1,0)/TabVMEnv[[#This Row],[Mutualisé]]</f>
        <v>1</v>
      </c>
      <c r="L31">
        <f>IF(VLOOKUP(TabVMEnv[[#This Row],[VM]],TabOceanet[],9,FALSE) = "PoweredOn",1,0)</f>
        <v>1</v>
      </c>
      <c r="M31">
        <f>TabVMEnv[[#This Row],[IsVMPoweredOn]]*VLOOKUP(TabVMEnv[[#This Row],[VM]],TabOceanet[],3,FALSE)/TabVMEnv[[#This Row],[Mutualisé]]</f>
        <v>6</v>
      </c>
      <c r="N31">
        <f>VLOOKUP(TabVMEnv[[#This Row],[VM]],TabOceanet[],4,FALSE)/TabVMEnv[[#This Row],[Mutualisé]]</f>
        <v>250</v>
      </c>
      <c r="O31">
        <f>IF(LEFT(VLOOKUP(TabVMEnv[[#This Row],[VM]],TabOceanet[],5,FALSE),3)="win",1,0)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VLOOKUP(TabVMEnv[[#This Row],[EnvProjet]],TabEnvProjet[],4,FALSE)</f>
        <v>MENESR/TMA</v>
      </c>
      <c r="R31" s="5" t="str">
        <f>VLOOKUP(TabVMEnv[[#This Row],[SYGES]],TabContrat[],2,FALSE)</f>
        <v>MENESR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67.099999999999994</v>
      </c>
      <c r="U31" s="25">
        <f>IF(TabVMEnv[[#This Row],[CostCenter]]="CostCenterDI",0,TabVMEnv[[#This Row],[CoutGlobal]])</f>
        <v>67.099999999999994</v>
      </c>
      <c r="V31" s="25">
        <f>TabVMEnv[[#This Row],[CoutGlobalSansCostCenterDI]]/TabVMEnv[[#Totals],[CoutGlobalSansCostCenterDI]]*(GlobalARepartirSansMS+GlobalARepartirMSOnly+GlobalARepartirInfraReseau)</f>
        <v>139.90490955091624</v>
      </c>
      <c r="W31" s="25">
        <f>TabVMEnv[[#This Row],[CoutGlobalSansCostCenterDI]]+TabVMEnv[[#This Row],[CoutGlobalSupplementaire]]</f>
        <v>207.00490955091624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31" s="5" t="str">
        <f>VLOOKUP(TabVMEnv[[#This Row],[EnvProjet]],TabEnvProjet[],5,FALSE)</f>
        <v>Pierre BOURLIEUX</v>
      </c>
      <c r="Z31" s="5">
        <f>VLOOKUP(TabVMEnv[[#This Row],[EnvProjet]],TabEnvProjet[],6,FALSE)</f>
        <v>305704</v>
      </c>
      <c r="AA31" s="5" t="str">
        <f>VLOOKUP(TabVMEnv[[#This Row],[EnvProjet]],TabEnvProjet[],3,FALSE)</f>
        <v>RECETTE</v>
      </c>
      <c r="AB31" s="5">
        <f>COUNTIF(TabVMEnv[VM],TabVMEnv[[#This Row],[VM]])</f>
        <v>1</v>
      </c>
    </row>
    <row r="32" spans="1:28" x14ac:dyDescent="0.25">
      <c r="A32" s="24" t="s">
        <v>101</v>
      </c>
      <c r="B32" t="s">
        <v>498</v>
      </c>
      <c r="E32" s="13"/>
      <c r="F32">
        <f>IF(VLOOKUP(TabVMEnv[[#This Row],[VM]],TabOceanet[],16,FALSE) = "Tarif_VM",IF(VLOOKUP(TabVMEnv[[#This Row],[VM]],TabOceanet[],2,FALSE)&lt;4,4,VLOOKUP(TabVMEnv[[#This Row],[VM]],TabOceanet[],2,FALSE)),0)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IF(VLOOKUP(TabVMEnv[[#This Row],[VM]],TabOceanet[],16,FALSE) = "Tarif_VM",1,0)/TabVMEnv[[#This Row],[Mutualisé]]</f>
        <v>0.33333333333333331</v>
      </c>
      <c r="L32">
        <f>IF(VLOOKUP(TabVMEnv[[#This Row],[VM]],TabOceanet[],9,FALSE) = "PoweredOn",1,0)</f>
        <v>1</v>
      </c>
      <c r="M32">
        <f>TabVMEnv[[#This Row],[IsVMPoweredOn]]*VLOOKUP(TabVMEnv[[#This Row],[VM]],TabOceanet[],3,FALSE)/TabVMEnv[[#This Row],[Mutualisé]]</f>
        <v>1.3333333333333333</v>
      </c>
      <c r="N32">
        <f>VLOOKUP(TabVMEnv[[#This Row],[VM]],TabOceanet[],4,FALSE)/TabVMEnv[[#This Row],[Mutualisé]]</f>
        <v>30</v>
      </c>
      <c r="O32">
        <f>IF(LEFT(VLOOKUP(TabVMEnv[[#This Row],[VM]],TabOceanet[],5,FALSE),3)="win",1,0)</f>
        <v>1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VLOOKUP(TabVMEnv[[#This Row],[EnvProjet]],TabEnvProjet[],4,FALSE)</f>
        <v>BRGM/DEGAT-16</v>
      </c>
      <c r="R32" s="5" t="str">
        <f>VLOOKUP(TabVMEnv[[#This Row],[SYGES]],TabContrat[],2,FALSE)</f>
        <v>BRGM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9.0333333333333332</v>
      </c>
      <c r="U32" s="25">
        <f>IF(TabVMEnv[[#This Row],[CostCenter]]="CostCenterDI",0,TabVMEnv[[#This Row],[CoutGlobal]])</f>
        <v>9.0333333333333332</v>
      </c>
      <c r="V32" s="25">
        <f>TabVMEnv[[#This Row],[CoutGlobalSansCostCenterDI]]/TabVMEnv[[#Totals],[CoutGlobalSansCostCenterDI]]*(GlobalARepartirSansMS+GlobalARepartirMSOnly+GlobalARepartirInfraReseau)</f>
        <v>18.83468976070457</v>
      </c>
      <c r="W32" s="25">
        <f>TabVMEnv[[#This Row],[CoutGlobalSansCostCenterDI]]+TabVMEnv[[#This Row],[CoutGlobalSupplementaire]]</f>
        <v>27.868023094037902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32" s="5" t="str">
        <f>VLOOKUP(TabVMEnv[[#This Row],[EnvProjet]],TabEnvProjet[],5,FALSE)</f>
        <v>Pierre BOURLIEUX</v>
      </c>
      <c r="Z32" s="5">
        <f>VLOOKUP(TabVMEnv[[#This Row],[EnvProjet]],TabEnvProjet[],6,FALSE)</f>
        <v>305704</v>
      </c>
      <c r="AA32" s="5" t="str">
        <f>VLOOKUP(TabVMEnv[[#This Row],[EnvProjet]],TabEnvProjet[],3,FALSE)</f>
        <v>RECETTE</v>
      </c>
      <c r="AB32" s="5">
        <f>COUNTIF(TabVMEnv[VM],TabVMEnv[[#This Row],[VM]])</f>
        <v>3</v>
      </c>
    </row>
    <row r="33" spans="1:28" x14ac:dyDescent="0.25">
      <c r="A33" s="24" t="s">
        <v>101</v>
      </c>
      <c r="B33" t="s">
        <v>499</v>
      </c>
      <c r="E33" s="13"/>
      <c r="F33">
        <f>IF(VLOOKUP(TabVMEnv[[#This Row],[VM]],TabOceanet[],16,FALSE) = "Tarif_VM",IF(VLOOKUP(TabVMEnv[[#This Row],[VM]],TabOceanet[],2,FALSE)&lt;4,4,VLOOKUP(TabVMEnv[[#This Row],[VM]],TabOceanet[],2,FALSE)),0)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IF(VLOOKUP(TabVMEnv[[#This Row],[VM]],TabOceanet[],16,FALSE) = "Tarif_VM",1,0)/TabVMEnv[[#This Row],[Mutualisé]]</f>
        <v>0.33333333333333331</v>
      </c>
      <c r="L33">
        <f>IF(VLOOKUP(TabVMEnv[[#This Row],[VM]],TabOceanet[],9,FALSE) = "PoweredOn",1,0)</f>
        <v>1</v>
      </c>
      <c r="M33">
        <f>TabVMEnv[[#This Row],[IsVMPoweredOn]]*VLOOKUP(TabVMEnv[[#This Row],[VM]],TabOceanet[],3,FALSE)/TabVMEnv[[#This Row],[Mutualisé]]</f>
        <v>1.3333333333333333</v>
      </c>
      <c r="N33">
        <f>VLOOKUP(TabVMEnv[[#This Row],[VM]],TabOceanet[],4,FALSE)/TabVMEnv[[#This Row],[Mutualisé]]</f>
        <v>30</v>
      </c>
      <c r="O33">
        <f>IF(LEFT(VLOOKUP(TabVMEnv[[#This Row],[VM]],TabOceanet[],5,FALSE),3)="win",1,0)</f>
        <v>1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VLOOKUP(TabVMEnv[[#This Row],[EnvProjet]],TabEnvProjet[],4,FALSE)</f>
        <v>FRR/TMASI</v>
      </c>
      <c r="R33" s="5" t="str">
        <f>VLOOKUP(TabVMEnv[[#This Row],[SYGES]],TabContrat[],2,FALSE)</f>
        <v>FRR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9.0333333333333332</v>
      </c>
      <c r="U33" s="25">
        <f>IF(TabVMEnv[[#This Row],[CostCenter]]="CostCenterDI",0,TabVMEnv[[#This Row],[CoutGlobal]])</f>
        <v>9.0333333333333332</v>
      </c>
      <c r="V33" s="25">
        <f>TabVMEnv[[#This Row],[CoutGlobalSansCostCenterDI]]/TabVMEnv[[#Totals],[CoutGlobalSansCostCenterDI]]*(GlobalARepartirSansMS+GlobalARepartirMSOnly+GlobalARepartirInfraReseau)</f>
        <v>18.83468976070457</v>
      </c>
      <c r="W33" s="25">
        <f>TabVMEnv[[#This Row],[CoutGlobalSansCostCenterDI]]+TabVMEnv[[#This Row],[CoutGlobalSupplementaire]]</f>
        <v>27.868023094037902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3" s="5" t="str">
        <f>VLOOKUP(TabVMEnv[[#This Row],[EnvProjet]],TabEnvProjet[],5,FALSE)</f>
        <v>Pierre BOURLIEUX</v>
      </c>
      <c r="Z33" s="5">
        <f>VLOOKUP(TabVMEnv[[#This Row],[EnvProjet]],TabEnvProjet[],6,FALSE)</f>
        <v>305704</v>
      </c>
      <c r="AA33" s="5" t="str">
        <f>VLOOKUP(TabVMEnv[[#This Row],[EnvProjet]],TabEnvProjet[],3,FALSE)</f>
        <v>RECETTE</v>
      </c>
      <c r="AB33" s="5">
        <f>COUNTIF(TabVMEnv[VM],TabVMEnv[[#This Row],[VM]])</f>
        <v>3</v>
      </c>
    </row>
    <row r="34" spans="1:28" x14ac:dyDescent="0.25">
      <c r="A34" s="24" t="s">
        <v>101</v>
      </c>
      <c r="B34" t="s">
        <v>500</v>
      </c>
      <c r="E34" s="13"/>
      <c r="F34">
        <f>IF(VLOOKUP(TabVMEnv[[#This Row],[VM]],TabOceanet[],16,FALSE) = "Tarif_VM",IF(VLOOKUP(TabVMEnv[[#This Row],[VM]],TabOceanet[],2,FALSE)&lt;4,4,VLOOKUP(TabVMEnv[[#This Row],[VM]],TabOceanet[],2,FALSE)),0)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IF(VLOOKUP(TabVMEnv[[#This Row],[VM]],TabOceanet[],16,FALSE) = "Tarif_VM",1,0)/TabVMEnv[[#This Row],[Mutualisé]]</f>
        <v>0.33333333333333331</v>
      </c>
      <c r="L34">
        <f>IF(VLOOKUP(TabVMEnv[[#This Row],[VM]],TabOceanet[],9,FALSE) = "PoweredOn",1,0)</f>
        <v>1</v>
      </c>
      <c r="M34">
        <f>TabVMEnv[[#This Row],[IsVMPoweredOn]]*VLOOKUP(TabVMEnv[[#This Row],[VM]],TabOceanet[],3,FALSE)/TabVMEnv[[#This Row],[Mutualisé]]</f>
        <v>1.3333333333333333</v>
      </c>
      <c r="N34">
        <f>VLOOKUP(TabVMEnv[[#This Row],[VM]],TabOceanet[],4,FALSE)/TabVMEnv[[#This Row],[Mutualisé]]</f>
        <v>30</v>
      </c>
      <c r="O34">
        <f>IF(LEFT(VLOOKUP(TabVMEnv[[#This Row],[VM]],TabOceanet[],5,FALSE),3)="win",1,0)</f>
        <v>1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VLOOKUP(TabVMEnv[[#This Row],[EnvProjet]],TabEnvProjet[],4,FALSE)</f>
        <v>ONEMA/TMADCIE-15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9.0333333333333332</v>
      </c>
      <c r="U34" s="25">
        <f>IF(TabVMEnv[[#This Row],[CostCenter]]="CostCenterDI",0,TabVMEnv[[#This Row],[CoutGlobal]])</f>
        <v>9.0333333333333332</v>
      </c>
      <c r="V34" s="25">
        <f>TabVMEnv[[#This Row],[CoutGlobalSansCostCenterDI]]/TabVMEnv[[#Totals],[CoutGlobalSansCostCenterDI]]*(GlobalARepartirSansMS+GlobalARepartirMSOnly+GlobalARepartirInfraReseau)</f>
        <v>18.83468976070457</v>
      </c>
      <c r="W34" s="25">
        <f>TabVMEnv[[#This Row],[CoutGlobalSansCostCenterDI]]+TabVMEnv[[#This Row],[CoutGlobalSupplementaire]]</f>
        <v>27.868023094037902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34" s="5" t="str">
        <f>VLOOKUP(TabVMEnv[[#This Row],[EnvProjet]],TabEnvProjet[],5,FALSE)</f>
        <v>Pierre BOURLIEUX</v>
      </c>
      <c r="Z34" s="5">
        <f>VLOOKUP(TabVMEnv[[#This Row],[EnvProjet]],TabEnvProjet[],6,FALSE)</f>
        <v>305704</v>
      </c>
      <c r="AA34" s="5" t="str">
        <f>VLOOKUP(TabVMEnv[[#This Row],[EnvProjet]],TabEnvProjet[],3,FALSE)</f>
        <v>RECETTE</v>
      </c>
      <c r="AB34" s="5">
        <f>COUNTIF(TabVMEnv[VM],TabVMEnv[[#This Row],[VM]])</f>
        <v>3</v>
      </c>
    </row>
    <row r="35" spans="1:28" x14ac:dyDescent="0.25">
      <c r="A35" s="24" t="s">
        <v>123</v>
      </c>
      <c r="B35" t="s">
        <v>501</v>
      </c>
      <c r="E35" s="13"/>
      <c r="F35">
        <f>IF(VLOOKUP(TabVMEnv[[#This Row],[VM]],TabOceanet[],16,FALSE) = "Tarif_VM",IF(VLOOKUP(TabVMEnv[[#This Row],[VM]],TabOceanet[],2,FALSE)&lt;4,4,VLOOKUP(TabVMEnv[[#This Row],[VM]],TabOceanet[],2,FALSE)),0)</f>
        <v>16</v>
      </c>
      <c r="G35">
        <v>0</v>
      </c>
      <c r="H35">
        <v>0</v>
      </c>
      <c r="I35">
        <v>0</v>
      </c>
      <c r="J35">
        <v>0</v>
      </c>
      <c r="K35">
        <f>IF(VLOOKUP(TabVMEnv[[#This Row],[VM]],TabOceanet[],16,FALSE) = "Tarif_VM",1,0)/TabVMEnv[[#This Row],[Mutualisé]]</f>
        <v>0.1</v>
      </c>
      <c r="L35">
        <f>IF(VLOOKUP(TabVMEnv[[#This Row],[VM]],TabOceanet[],9,FALSE) = "PoweredOn",1,0)</f>
        <v>1</v>
      </c>
      <c r="M35">
        <f>TabVMEnv[[#This Row],[IsVMPoweredOn]]*VLOOKUP(TabVMEnv[[#This Row],[VM]],TabOceanet[],3,FALSE)/TabVMEnv[[#This Row],[Mutualisé]]</f>
        <v>0.8</v>
      </c>
      <c r="N35">
        <f>VLOOKUP(TabVMEnv[[#This Row],[VM]],TabOceanet[],4,FALSE)/TabVMEnv[[#This Row],[Mutualisé]]</f>
        <v>12</v>
      </c>
      <c r="O35">
        <f>IF(LEFT(VLOOKUP(TabVMEnv[[#This Row],[VM]],TabOceanet[],5,FALSE),3)="win",1,0)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VLOOKUP(TabVMEnv[[#This Row],[EnvProjet]],TabEnvProjet[],4,FALSE)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4.0400000000000009</v>
      </c>
      <c r="U35" s="25">
        <f>IF(TabVMEnv[[#This Row],[CostCenter]]="CostCenterDI",0,TabVMEnv[[#This Row],[CoutGlobal]])</f>
        <v>4.0400000000000009</v>
      </c>
      <c r="V35" s="25">
        <f>TabVMEnv[[#This Row],[CoutGlobalSansCostCenterDI]]/TabVMEnv[[#Totals],[CoutGlobalSansCostCenterDI]]*(GlobalARepartirSansMS+GlobalARepartirMSOnly+GlobalARepartirInfraReseau)</f>
        <v>8.4234848671490585</v>
      </c>
      <c r="W35" s="25">
        <f>TabVMEnv[[#This Row],[CoutGlobalSansCostCenterDI]]+TabVMEnv[[#This Row],[CoutGlobalSupplementaire]]</f>
        <v>12.463484867149059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35" s="5" t="str">
        <f>VLOOKUP(TabVMEnv[[#This Row],[EnvProjet]],TabEnvProjet[],5,FALSE)</f>
        <v>Pierre BOURLIEUX</v>
      </c>
      <c r="Z35" s="5">
        <f>VLOOKUP(TabVMEnv[[#This Row],[EnvProjet]],TabEnvProjet[],6,FALSE)</f>
        <v>305704</v>
      </c>
      <c r="AA35" s="5" t="str">
        <f>VLOOKUP(TabVMEnv[[#This Row],[EnvProjet]],TabEnvProjet[],3,FALSE)</f>
        <v>RECETTE</v>
      </c>
      <c r="AB35" s="5">
        <f>COUNTIF(TabVMEnv[VM],TabVMEnv[[#This Row],[VM]])</f>
        <v>10</v>
      </c>
    </row>
    <row r="36" spans="1:28" x14ac:dyDescent="0.25">
      <c r="A36" s="24" t="s">
        <v>123</v>
      </c>
      <c r="B36" t="s">
        <v>502</v>
      </c>
      <c r="E36" s="13"/>
      <c r="F36">
        <f>IF(VLOOKUP(TabVMEnv[[#This Row],[VM]],TabOceanet[],16,FALSE) = "Tarif_VM",IF(VLOOKUP(TabVMEnv[[#This Row],[VM]],TabOceanet[],2,FALSE)&lt;4,4,VLOOKUP(TabVMEnv[[#This Row],[VM]],TabOceanet[],2,FALSE)),0)</f>
        <v>16</v>
      </c>
      <c r="G36">
        <v>0</v>
      </c>
      <c r="H36">
        <v>0</v>
      </c>
      <c r="I36">
        <v>0</v>
      </c>
      <c r="J36">
        <v>0</v>
      </c>
      <c r="K36">
        <f>IF(VLOOKUP(TabVMEnv[[#This Row],[VM]],TabOceanet[],16,FALSE) = "Tarif_VM",1,0)/TabVMEnv[[#This Row],[Mutualisé]]</f>
        <v>0.1</v>
      </c>
      <c r="L36">
        <f>IF(VLOOKUP(TabVMEnv[[#This Row],[VM]],TabOceanet[],9,FALSE) = "PoweredOn",1,0)</f>
        <v>1</v>
      </c>
      <c r="M36">
        <f>TabVMEnv[[#This Row],[IsVMPoweredOn]]*VLOOKUP(TabVMEnv[[#This Row],[VM]],TabOceanet[],3,FALSE)/TabVMEnv[[#This Row],[Mutualisé]]</f>
        <v>0.8</v>
      </c>
      <c r="N36">
        <f>VLOOKUP(TabVMEnv[[#This Row],[VM]],TabOceanet[],4,FALSE)/TabVMEnv[[#This Row],[Mutualisé]]</f>
        <v>12</v>
      </c>
      <c r="O36">
        <f>IF(LEFT(VLOOKUP(TabVMEnv[[#This Row],[VM]],TabOceanet[],5,FALSE),3)="win",1,0)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VLOOKUP(TabVMEnv[[#This Row],[EnvProjet]],TabEnvProjet[],4,FALSE)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4.0400000000000009</v>
      </c>
      <c r="U36" s="25">
        <f>IF(TabVMEnv[[#This Row],[CostCenter]]="CostCenterDI",0,TabVMEnv[[#This Row],[CoutGlobal]])</f>
        <v>4.0400000000000009</v>
      </c>
      <c r="V36" s="25">
        <f>TabVMEnv[[#This Row],[CoutGlobalSansCostCenterDI]]/TabVMEnv[[#Totals],[CoutGlobalSansCostCenterDI]]*(GlobalARepartirSansMS+GlobalARepartirMSOnly+GlobalARepartirInfraReseau)</f>
        <v>8.4234848671490585</v>
      </c>
      <c r="W36" s="25">
        <f>TabVMEnv[[#This Row],[CoutGlobalSansCostCenterDI]]+TabVMEnv[[#This Row],[CoutGlobalSupplementaire]]</f>
        <v>12.463484867149059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36" s="5" t="str">
        <f>VLOOKUP(TabVMEnv[[#This Row],[EnvProjet]],TabEnvProjet[],5,FALSE)</f>
        <v>Pierre BOURLIEUX</v>
      </c>
      <c r="Z36" s="5">
        <f>VLOOKUP(TabVMEnv[[#This Row],[EnvProjet]],TabEnvProjet[],6,FALSE)</f>
        <v>305704</v>
      </c>
      <c r="AA36" s="5" t="str">
        <f>VLOOKUP(TabVMEnv[[#This Row],[EnvProjet]],TabEnvProjet[],3,FALSE)</f>
        <v>RECETTE</v>
      </c>
      <c r="AB36" s="5">
        <f>COUNTIF(TabVMEnv[VM],TabVMEnv[[#This Row],[VM]])</f>
        <v>10</v>
      </c>
    </row>
    <row r="37" spans="1:28" x14ac:dyDescent="0.25">
      <c r="A37" s="24" t="s">
        <v>123</v>
      </c>
      <c r="B37" t="s">
        <v>503</v>
      </c>
      <c r="E37" s="13"/>
      <c r="F37">
        <f>IF(VLOOKUP(TabVMEnv[[#This Row],[VM]],TabOceanet[],16,FALSE) = "Tarif_VM",IF(VLOOKUP(TabVMEnv[[#This Row],[VM]],TabOceanet[],2,FALSE)&lt;4,4,VLOOKUP(TabVMEnv[[#This Row],[VM]],TabOceanet[],2,FALSE)),0)</f>
        <v>16</v>
      </c>
      <c r="G37">
        <v>0</v>
      </c>
      <c r="H37">
        <v>0</v>
      </c>
      <c r="I37">
        <v>0</v>
      </c>
      <c r="J37">
        <v>0</v>
      </c>
      <c r="K37">
        <f>IF(VLOOKUP(TabVMEnv[[#This Row],[VM]],TabOceanet[],16,FALSE) = "Tarif_VM",1,0)/TabVMEnv[[#This Row],[Mutualisé]]</f>
        <v>0.1</v>
      </c>
      <c r="L37">
        <f>IF(VLOOKUP(TabVMEnv[[#This Row],[VM]],TabOceanet[],9,FALSE) = "PoweredOn",1,0)</f>
        <v>1</v>
      </c>
      <c r="M37">
        <f>TabVMEnv[[#This Row],[IsVMPoweredOn]]*VLOOKUP(TabVMEnv[[#This Row],[VM]],TabOceanet[],3,FALSE)/TabVMEnv[[#This Row],[Mutualisé]]</f>
        <v>0.8</v>
      </c>
      <c r="N37">
        <f>VLOOKUP(TabVMEnv[[#This Row],[VM]],TabOceanet[],4,FALSE)/TabVMEnv[[#This Row],[Mutualisé]]</f>
        <v>12</v>
      </c>
      <c r="O37">
        <f>IF(LEFT(VLOOKUP(TabVMEnv[[#This Row],[VM]],TabOceanet[],5,FALSE),3)="win",1,0)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VLOOKUP(TabVMEnv[[#This Row],[EnvProjet]],TabEnvProjet[],4,FALSE)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4.0400000000000009</v>
      </c>
      <c r="U37" s="25">
        <f>IF(TabVMEnv[[#This Row],[CostCenter]]="CostCenterDI",0,TabVMEnv[[#This Row],[CoutGlobal]])</f>
        <v>4.0400000000000009</v>
      </c>
      <c r="V37" s="25">
        <f>TabVMEnv[[#This Row],[CoutGlobalSansCostCenterDI]]/TabVMEnv[[#Totals],[CoutGlobalSansCostCenterDI]]*(GlobalARepartirSansMS+GlobalARepartirMSOnly+GlobalARepartirInfraReseau)</f>
        <v>8.4234848671490585</v>
      </c>
      <c r="W37" s="25">
        <f>TabVMEnv[[#This Row],[CoutGlobalSansCostCenterDI]]+TabVMEnv[[#This Row],[CoutGlobalSupplementaire]]</f>
        <v>12.463484867149059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37" s="5" t="str">
        <f>VLOOKUP(TabVMEnv[[#This Row],[EnvProjet]],TabEnvProjet[],5,FALSE)</f>
        <v>Jean-Philippe STROIAZZO</v>
      </c>
      <c r="Z37" s="5">
        <f>VLOOKUP(TabVMEnv[[#This Row],[EnvProjet]],TabEnvProjet[],6,FALSE)</f>
        <v>305704</v>
      </c>
      <c r="AA37" s="5" t="str">
        <f>VLOOKUP(TabVMEnv[[#This Row],[EnvProjet]],TabEnvProjet[],3,FALSE)</f>
        <v>RECETTE</v>
      </c>
      <c r="AB37" s="5">
        <f>COUNTIF(TabVMEnv[VM],TabVMEnv[[#This Row],[VM]])</f>
        <v>10</v>
      </c>
    </row>
    <row r="38" spans="1:28" x14ac:dyDescent="0.25">
      <c r="A38" s="24" t="s">
        <v>123</v>
      </c>
      <c r="B38" t="s">
        <v>504</v>
      </c>
      <c r="E38" s="13"/>
      <c r="F38">
        <f>IF(VLOOKUP(TabVMEnv[[#This Row],[VM]],TabOceanet[],16,FALSE) = "Tarif_VM",IF(VLOOKUP(TabVMEnv[[#This Row],[VM]],TabOceanet[],2,FALSE)&lt;4,4,VLOOKUP(TabVMEnv[[#This Row],[VM]],TabOceanet[],2,FALSE)),0)</f>
        <v>16</v>
      </c>
      <c r="G38">
        <v>0</v>
      </c>
      <c r="H38">
        <v>0</v>
      </c>
      <c r="I38">
        <v>0</v>
      </c>
      <c r="J38">
        <v>0</v>
      </c>
      <c r="K38">
        <f>IF(VLOOKUP(TabVMEnv[[#This Row],[VM]],TabOceanet[],16,FALSE) = "Tarif_VM",1,0)/TabVMEnv[[#This Row],[Mutualisé]]</f>
        <v>0.1</v>
      </c>
      <c r="L38">
        <f>IF(VLOOKUP(TabVMEnv[[#This Row],[VM]],TabOceanet[],9,FALSE) = "PoweredOn",1,0)</f>
        <v>1</v>
      </c>
      <c r="M38">
        <f>TabVMEnv[[#This Row],[IsVMPoweredOn]]*VLOOKUP(TabVMEnv[[#This Row],[VM]],TabOceanet[],3,FALSE)/TabVMEnv[[#This Row],[Mutualisé]]</f>
        <v>0.8</v>
      </c>
      <c r="N38">
        <f>VLOOKUP(TabVMEnv[[#This Row],[VM]],TabOceanet[],4,FALSE)/TabVMEnv[[#This Row],[Mutualisé]]</f>
        <v>12</v>
      </c>
      <c r="O38">
        <f>IF(LEFT(VLOOKUP(TabVMEnv[[#This Row],[VM]],TabOceanet[],5,FALSE),3)="win",1,0)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VLOOKUP(TabVMEnv[[#This Row],[EnvProjet]],TabEnvProjet[],4,FALSE)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4.0400000000000009</v>
      </c>
      <c r="U38" s="25">
        <f>IF(TabVMEnv[[#This Row],[CostCenter]]="CostCenterDI",0,TabVMEnv[[#This Row],[CoutGlobal]])</f>
        <v>4.0400000000000009</v>
      </c>
      <c r="V38" s="25">
        <f>TabVMEnv[[#This Row],[CoutGlobalSansCostCenterDI]]/TabVMEnv[[#Totals],[CoutGlobalSansCostCenterDI]]*(GlobalARepartirSansMS+GlobalARepartirMSOnly+GlobalARepartirInfraReseau)</f>
        <v>8.4234848671490585</v>
      </c>
      <c r="W38" s="25">
        <f>TabVMEnv[[#This Row],[CoutGlobalSansCostCenterDI]]+TabVMEnv[[#This Row],[CoutGlobalSupplementaire]]</f>
        <v>12.463484867149059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38" s="5" t="str">
        <f>VLOOKUP(TabVMEnv[[#This Row],[EnvProjet]],TabEnvProjet[],5,FALSE)</f>
        <v>Jean-Philippe STROIAZZO</v>
      </c>
      <c r="Z38" s="5">
        <f>VLOOKUP(TabVMEnv[[#This Row],[EnvProjet]],TabEnvProjet[],6,FALSE)</f>
        <v>305704</v>
      </c>
      <c r="AA38" s="5" t="str">
        <f>VLOOKUP(TabVMEnv[[#This Row],[EnvProjet]],TabEnvProjet[],3,FALSE)</f>
        <v>RECETTE</v>
      </c>
      <c r="AB38" s="5">
        <f>COUNTIF(TabVMEnv[VM],TabVMEnv[[#This Row],[VM]])</f>
        <v>10</v>
      </c>
    </row>
    <row r="39" spans="1:28" x14ac:dyDescent="0.25">
      <c r="A39" s="24" t="s">
        <v>123</v>
      </c>
      <c r="B39" t="s">
        <v>505</v>
      </c>
      <c r="E39" s="13"/>
      <c r="F39">
        <f>IF(VLOOKUP(TabVMEnv[[#This Row],[VM]],TabOceanet[],16,FALSE) = "Tarif_VM",IF(VLOOKUP(TabVMEnv[[#This Row],[VM]],TabOceanet[],2,FALSE)&lt;4,4,VLOOKUP(TabVMEnv[[#This Row],[VM]],TabOceanet[],2,FALSE)),0)</f>
        <v>16</v>
      </c>
      <c r="G39">
        <v>0</v>
      </c>
      <c r="H39">
        <v>0</v>
      </c>
      <c r="I39">
        <v>0</v>
      </c>
      <c r="J39">
        <v>0</v>
      </c>
      <c r="K39">
        <f>IF(VLOOKUP(TabVMEnv[[#This Row],[VM]],TabOceanet[],16,FALSE) = "Tarif_VM",1,0)/TabVMEnv[[#This Row],[Mutualisé]]</f>
        <v>0.1</v>
      </c>
      <c r="L39">
        <f>IF(VLOOKUP(TabVMEnv[[#This Row],[VM]],TabOceanet[],9,FALSE) = "PoweredOn",1,0)</f>
        <v>1</v>
      </c>
      <c r="M39">
        <f>TabVMEnv[[#This Row],[IsVMPoweredOn]]*VLOOKUP(TabVMEnv[[#This Row],[VM]],TabOceanet[],3,FALSE)/TabVMEnv[[#This Row],[Mutualisé]]</f>
        <v>0.8</v>
      </c>
      <c r="N39">
        <f>VLOOKUP(TabVMEnv[[#This Row],[VM]],TabOceanet[],4,FALSE)/TabVMEnv[[#This Row],[Mutualisé]]</f>
        <v>12</v>
      </c>
      <c r="O39">
        <f>IF(LEFT(VLOOKUP(TabVMEnv[[#This Row],[VM]],TabOceanet[],5,FALSE),3)="win",1,0)</f>
        <v>0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9" t="str">
        <f>VLOOKUP(TabVMEnv[[#This Row],[EnvProjet]],TabEnvProjet[],4,FALSE)</f>
        <v>ONEMA/TMADCUA-15</v>
      </c>
      <c r="R39" s="5" t="str">
        <f>VLOOKUP(TabVMEnv[[#This Row],[SYGES]],TabContrat[],2,FALSE)</f>
        <v>ONEMA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4.0400000000000009</v>
      </c>
      <c r="U39" s="25">
        <f>IF(TabVMEnv[[#This Row],[CostCenter]]="CostCenterDI",0,TabVMEnv[[#This Row],[CoutGlobal]])</f>
        <v>4.0400000000000009</v>
      </c>
      <c r="V39" s="25">
        <f>TabVMEnv[[#This Row],[CoutGlobalSansCostCenterDI]]/TabVMEnv[[#Totals],[CoutGlobalSansCostCenterDI]]*(GlobalARepartirSansMS+GlobalARepartirMSOnly+GlobalARepartirInfraReseau)</f>
        <v>8.4234848671490585</v>
      </c>
      <c r="W39" s="25">
        <f>TabVMEnv[[#This Row],[CoutGlobalSansCostCenterDI]]+TabVMEnv[[#This Row],[CoutGlobalSupplementaire]]</f>
        <v>12.463484867149059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39" s="5" t="str">
        <f>VLOOKUP(TabVMEnv[[#This Row],[EnvProjet]],TabEnvProjet[],5,FALSE)</f>
        <v>Rodolphe Habegger</v>
      </c>
      <c r="Z39" s="5">
        <f>VLOOKUP(TabVMEnv[[#This Row],[EnvProjet]],TabEnvProjet[],6,FALSE)</f>
        <v>305704</v>
      </c>
      <c r="AA39" s="5" t="str">
        <f>VLOOKUP(TabVMEnv[[#This Row],[EnvProjet]],TabEnvProjet[],3,FALSE)</f>
        <v>RECETTE</v>
      </c>
      <c r="AB39" s="5">
        <f>COUNTIF(TabVMEnv[VM],TabVMEnv[[#This Row],[VM]])</f>
        <v>10</v>
      </c>
    </row>
    <row r="40" spans="1:28" x14ac:dyDescent="0.25">
      <c r="A40" s="24" t="s">
        <v>123</v>
      </c>
      <c r="B40" t="s">
        <v>506</v>
      </c>
      <c r="E40" s="13"/>
      <c r="F40">
        <f>IF(VLOOKUP(TabVMEnv[[#This Row],[VM]],TabOceanet[],16,FALSE) = "Tarif_VM",IF(VLOOKUP(TabVMEnv[[#This Row],[VM]],TabOceanet[],2,FALSE)&lt;4,4,VLOOKUP(TabVMEnv[[#This Row],[VM]],TabOceanet[],2,FALSE)),0)</f>
        <v>16</v>
      </c>
      <c r="G40">
        <v>0</v>
      </c>
      <c r="H40">
        <v>0</v>
      </c>
      <c r="I40">
        <v>0</v>
      </c>
      <c r="J40">
        <v>0</v>
      </c>
      <c r="K40">
        <f>IF(VLOOKUP(TabVMEnv[[#This Row],[VM]],TabOceanet[],16,FALSE) = "Tarif_VM",1,0)/TabVMEnv[[#This Row],[Mutualisé]]</f>
        <v>0.1</v>
      </c>
      <c r="L40">
        <f>IF(VLOOKUP(TabVMEnv[[#This Row],[VM]],TabOceanet[],9,FALSE) = "PoweredOn",1,0)</f>
        <v>1</v>
      </c>
      <c r="M40">
        <f>TabVMEnv[[#This Row],[IsVMPoweredOn]]*VLOOKUP(TabVMEnv[[#This Row],[VM]],TabOceanet[],3,FALSE)/TabVMEnv[[#This Row],[Mutualisé]]</f>
        <v>0.8</v>
      </c>
      <c r="N40">
        <f>VLOOKUP(TabVMEnv[[#This Row],[VM]],TabOceanet[],4,FALSE)/TabVMEnv[[#This Row],[Mutualisé]]</f>
        <v>12</v>
      </c>
      <c r="O40">
        <f>IF(LEFT(VLOOKUP(TabVMEnv[[#This Row],[VM]],TabOceanet[],5,FALSE),3)="win",1,0)</f>
        <v>0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0" t="str">
        <f>VLOOKUP(TabVMEnv[[#This Row],[EnvProjet]],TabEnvProjet[],4,FALSE)</f>
        <v>ONEMA/TMADCUA-15</v>
      </c>
      <c r="R40" s="5" t="str">
        <f>VLOOKUP(TabVMEnv[[#This Row],[SYGES]],TabContrat[],2,FALSE)</f>
        <v>ONEMA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4.0400000000000009</v>
      </c>
      <c r="U40" s="25">
        <f>IF(TabVMEnv[[#This Row],[CostCenter]]="CostCenterDI",0,TabVMEnv[[#This Row],[CoutGlobal]])</f>
        <v>4.0400000000000009</v>
      </c>
      <c r="V40" s="25">
        <f>TabVMEnv[[#This Row],[CoutGlobalSansCostCenterDI]]/TabVMEnv[[#Totals],[CoutGlobalSansCostCenterDI]]*(GlobalARepartirSansMS+GlobalARepartirMSOnly+GlobalARepartirInfraReseau)</f>
        <v>8.4234848671490585</v>
      </c>
      <c r="W40" s="25">
        <f>TabVMEnv[[#This Row],[CoutGlobalSansCostCenterDI]]+TabVMEnv[[#This Row],[CoutGlobalSupplementaire]]</f>
        <v>12.463484867149059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40" s="5" t="str">
        <f>VLOOKUP(TabVMEnv[[#This Row],[EnvProjet]],TabEnvProjet[],5,FALSE)</f>
        <v>Pierre BOURLIEUX</v>
      </c>
      <c r="Z40" s="5">
        <f>VLOOKUP(TabVMEnv[[#This Row],[EnvProjet]],TabEnvProjet[],6,FALSE)</f>
        <v>305704</v>
      </c>
      <c r="AA40" s="5" t="str">
        <f>VLOOKUP(TabVMEnv[[#This Row],[EnvProjet]],TabEnvProjet[],3,FALSE)</f>
        <v>RECETTE</v>
      </c>
      <c r="AB40" s="5">
        <f>COUNTIF(TabVMEnv[VM],TabVMEnv[[#This Row],[VM]])</f>
        <v>10</v>
      </c>
    </row>
    <row r="41" spans="1:28" x14ac:dyDescent="0.25">
      <c r="A41" s="24" t="s">
        <v>123</v>
      </c>
      <c r="B41" t="s">
        <v>507</v>
      </c>
      <c r="E41" s="13"/>
      <c r="F41">
        <f>IF(VLOOKUP(TabVMEnv[[#This Row],[VM]],TabOceanet[],16,FALSE) = "Tarif_VM",IF(VLOOKUP(TabVMEnv[[#This Row],[VM]],TabOceanet[],2,FALSE)&lt;4,4,VLOOKUP(TabVMEnv[[#This Row],[VM]],TabOceanet[],2,FALSE)),0)</f>
        <v>16</v>
      </c>
      <c r="G41">
        <v>0</v>
      </c>
      <c r="H41">
        <v>0</v>
      </c>
      <c r="I41">
        <v>0</v>
      </c>
      <c r="J41">
        <v>0</v>
      </c>
      <c r="K41">
        <f>IF(VLOOKUP(TabVMEnv[[#This Row],[VM]],TabOceanet[],16,FALSE) = "Tarif_VM",1,0)/TabVMEnv[[#This Row],[Mutualisé]]</f>
        <v>0.1</v>
      </c>
      <c r="L41">
        <f>IF(VLOOKUP(TabVMEnv[[#This Row],[VM]],TabOceanet[],9,FALSE) = "PoweredOn",1,0)</f>
        <v>1</v>
      </c>
      <c r="M41">
        <f>TabVMEnv[[#This Row],[IsVMPoweredOn]]*VLOOKUP(TabVMEnv[[#This Row],[VM]],TabOceanet[],3,FALSE)/TabVMEnv[[#This Row],[Mutualisé]]</f>
        <v>0.8</v>
      </c>
      <c r="N41">
        <f>VLOOKUP(TabVMEnv[[#This Row],[VM]],TabOceanet[],4,FALSE)/TabVMEnv[[#This Row],[Mutualisé]]</f>
        <v>12</v>
      </c>
      <c r="O41">
        <f>IF(LEFT(VLOOKUP(TabVMEnv[[#This Row],[VM]],TabOceanet[],5,FALSE),3)="win",1,0)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VLOOKUP(TabVMEnv[[#This Row],[EnvProjet]],TabEnvProjet[],4,FALSE)</f>
        <v>ONEMA/TMADCUA-15</v>
      </c>
      <c r="R41" s="5" t="str">
        <f>VLOOKUP(TabVMEnv[[#This Row],[SYGES]],TabContrat[],2,FALSE)</f>
        <v>ONEMA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4.0400000000000009</v>
      </c>
      <c r="U41" s="25">
        <f>IF(TabVMEnv[[#This Row],[CostCenter]]="CostCenterDI",0,TabVMEnv[[#This Row],[CoutGlobal]])</f>
        <v>4.0400000000000009</v>
      </c>
      <c r="V41" s="25">
        <f>TabVMEnv[[#This Row],[CoutGlobalSansCostCenterDI]]/TabVMEnv[[#Totals],[CoutGlobalSansCostCenterDI]]*(GlobalARepartirSansMS+GlobalARepartirMSOnly+GlobalARepartirInfraReseau)</f>
        <v>8.4234848671490585</v>
      </c>
      <c r="W41" s="25">
        <f>TabVMEnv[[#This Row],[CoutGlobalSansCostCenterDI]]+TabVMEnv[[#This Row],[CoutGlobalSupplementaire]]</f>
        <v>12.463484867149059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41" s="5" t="str">
        <f>VLOOKUP(TabVMEnv[[#This Row],[EnvProjet]],TabEnvProjet[],5,FALSE)</f>
        <v>Pierre BOURLIEUX</v>
      </c>
      <c r="Z41" s="5">
        <f>VLOOKUP(TabVMEnv[[#This Row],[EnvProjet]],TabEnvProjet[],6,FALSE)</f>
        <v>305704</v>
      </c>
      <c r="AA41" s="5" t="str">
        <f>VLOOKUP(TabVMEnv[[#This Row],[EnvProjet]],TabEnvProjet[],3,FALSE)</f>
        <v>RECETTE</v>
      </c>
      <c r="AB41" s="5">
        <f>COUNTIF(TabVMEnv[VM],TabVMEnv[[#This Row],[VM]])</f>
        <v>10</v>
      </c>
    </row>
    <row r="42" spans="1:28" x14ac:dyDescent="0.25">
      <c r="A42" s="24" t="s">
        <v>123</v>
      </c>
      <c r="B42" t="s">
        <v>497</v>
      </c>
      <c r="E42" s="13"/>
      <c r="F42">
        <f>IF(VLOOKUP(TabVMEnv[[#This Row],[VM]],TabOceanet[],16,FALSE) = "Tarif_VM",IF(VLOOKUP(TabVMEnv[[#This Row],[VM]],TabOceanet[],2,FALSE)&lt;4,4,VLOOKUP(TabVMEnv[[#This Row],[VM]],TabOceanet[],2,FALSE)),0)</f>
        <v>16</v>
      </c>
      <c r="G42">
        <v>0</v>
      </c>
      <c r="H42">
        <v>0</v>
      </c>
      <c r="I42">
        <v>0</v>
      </c>
      <c r="J42">
        <v>0</v>
      </c>
      <c r="K42">
        <f>IF(VLOOKUP(TabVMEnv[[#This Row],[VM]],TabOceanet[],16,FALSE) = "Tarif_VM",1,0)/TabVMEnv[[#This Row],[Mutualisé]]</f>
        <v>0.1</v>
      </c>
      <c r="L42">
        <f>IF(VLOOKUP(TabVMEnv[[#This Row],[VM]],TabOceanet[],9,FALSE) = "PoweredOn",1,0)</f>
        <v>1</v>
      </c>
      <c r="M42">
        <f>TabVMEnv[[#This Row],[IsVMPoweredOn]]*VLOOKUP(TabVMEnv[[#This Row],[VM]],TabOceanet[],3,FALSE)/TabVMEnv[[#This Row],[Mutualisé]]</f>
        <v>0.8</v>
      </c>
      <c r="N42">
        <f>VLOOKUP(TabVMEnv[[#This Row],[VM]],TabOceanet[],4,FALSE)/TabVMEnv[[#This Row],[Mutualisé]]</f>
        <v>12</v>
      </c>
      <c r="O42">
        <f>IF(LEFT(VLOOKUP(TabVMEnv[[#This Row],[VM]],TabOceanet[],5,FALSE),3)="win",1,0)</f>
        <v>0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VLOOKUP(TabVMEnv[[#This Row],[EnvProjet]],TabEnvProjet[],4,FALSE)</f>
        <v>MENESR/TMA</v>
      </c>
      <c r="R42" s="5" t="str">
        <f>VLOOKUP(TabVMEnv[[#This Row],[SYGES]],TabContrat[],2,FALSE)</f>
        <v>MENESR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4.0400000000000009</v>
      </c>
      <c r="U42" s="25">
        <f>IF(TabVMEnv[[#This Row],[CostCenter]]="CostCenterDI",0,TabVMEnv[[#This Row],[CoutGlobal]])</f>
        <v>4.0400000000000009</v>
      </c>
      <c r="V42" s="25">
        <f>TabVMEnv[[#This Row],[CoutGlobalSansCostCenterDI]]/TabVMEnv[[#Totals],[CoutGlobalSansCostCenterDI]]*(GlobalARepartirSansMS+GlobalARepartirMSOnly+GlobalARepartirInfraReseau)</f>
        <v>8.4234848671490585</v>
      </c>
      <c r="W42" s="25">
        <f>TabVMEnv[[#This Row],[CoutGlobalSansCostCenterDI]]+TabVMEnv[[#This Row],[CoutGlobalSupplementaire]]</f>
        <v>12.463484867149059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2" s="5" t="str">
        <f>VLOOKUP(TabVMEnv[[#This Row],[EnvProjet]],TabEnvProjet[],5,FALSE)</f>
        <v>Pierre BOURLIEUX</v>
      </c>
      <c r="Z42" s="5">
        <f>VLOOKUP(TabVMEnv[[#This Row],[EnvProjet]],TabEnvProjet[],6,FALSE)</f>
        <v>305704</v>
      </c>
      <c r="AA42" s="5" t="str">
        <f>VLOOKUP(TabVMEnv[[#This Row],[EnvProjet]],TabEnvProjet[],3,FALSE)</f>
        <v>RECETTE</v>
      </c>
      <c r="AB42" s="5">
        <f>COUNTIF(TabVMEnv[VM],TabVMEnv[[#This Row],[VM]])</f>
        <v>10</v>
      </c>
    </row>
    <row r="43" spans="1:28" x14ac:dyDescent="0.25">
      <c r="A43" s="24" t="s">
        <v>123</v>
      </c>
      <c r="B43" t="s">
        <v>508</v>
      </c>
      <c r="E43" s="13"/>
      <c r="F43">
        <f>IF(VLOOKUP(TabVMEnv[[#This Row],[VM]],TabOceanet[],16,FALSE) = "Tarif_VM",IF(VLOOKUP(TabVMEnv[[#This Row],[VM]],TabOceanet[],2,FALSE)&lt;4,4,VLOOKUP(TabVMEnv[[#This Row],[VM]],TabOceanet[],2,FALSE)),0)</f>
        <v>16</v>
      </c>
      <c r="G43">
        <v>0</v>
      </c>
      <c r="H43">
        <v>0</v>
      </c>
      <c r="I43">
        <v>0</v>
      </c>
      <c r="J43">
        <v>0</v>
      </c>
      <c r="K43">
        <f>IF(VLOOKUP(TabVMEnv[[#This Row],[VM]],TabOceanet[],16,FALSE) = "Tarif_VM",1,0)/TabVMEnv[[#This Row],[Mutualisé]]</f>
        <v>0.1</v>
      </c>
      <c r="L43">
        <f>IF(VLOOKUP(TabVMEnv[[#This Row],[VM]],TabOceanet[],9,FALSE) = "PoweredOn",1,0)</f>
        <v>1</v>
      </c>
      <c r="M43">
        <f>TabVMEnv[[#This Row],[IsVMPoweredOn]]*VLOOKUP(TabVMEnv[[#This Row],[VM]],TabOceanet[],3,FALSE)/TabVMEnv[[#This Row],[Mutualisé]]</f>
        <v>0.8</v>
      </c>
      <c r="N43">
        <f>VLOOKUP(TabVMEnv[[#This Row],[VM]],TabOceanet[],4,FALSE)/TabVMEnv[[#This Row],[Mutualisé]]</f>
        <v>12</v>
      </c>
      <c r="O43">
        <f>IF(LEFT(VLOOKUP(TabVMEnv[[#This Row],[VM]],TabOceanet[],5,FALSE),3)="win",1,0)</f>
        <v>0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VLOOKUP(TabVMEnv[[#This Row],[EnvProjet]],TabEnvProjet[],4,FALSE)</f>
        <v>MENESR/TMA</v>
      </c>
      <c r="R43" s="5" t="str">
        <f>VLOOKUP(TabVMEnv[[#This Row],[SYGES]],TabContrat[],2,FALSE)</f>
        <v>MENESR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4.0400000000000009</v>
      </c>
      <c r="U43" s="25">
        <f>IF(TabVMEnv[[#This Row],[CostCenter]]="CostCenterDI",0,TabVMEnv[[#This Row],[CoutGlobal]])</f>
        <v>4.0400000000000009</v>
      </c>
      <c r="V43" s="25">
        <f>TabVMEnv[[#This Row],[CoutGlobalSansCostCenterDI]]/TabVMEnv[[#Totals],[CoutGlobalSansCostCenterDI]]*(GlobalARepartirSansMS+GlobalARepartirMSOnly+GlobalARepartirInfraReseau)</f>
        <v>8.4234848671490585</v>
      </c>
      <c r="W43" s="25">
        <f>TabVMEnv[[#This Row],[CoutGlobalSansCostCenterDI]]+TabVMEnv[[#This Row],[CoutGlobalSupplementaire]]</f>
        <v>12.463484867149059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43" s="5" t="str">
        <f>VLOOKUP(TabVMEnv[[#This Row],[EnvProjet]],TabEnvProjet[],5,FALSE)</f>
        <v>Pierre BOURLIEUX</v>
      </c>
      <c r="Z43" s="5">
        <f>VLOOKUP(TabVMEnv[[#This Row],[EnvProjet]],TabEnvProjet[],6,FALSE)</f>
        <v>305704</v>
      </c>
      <c r="AA43" s="5" t="str">
        <f>VLOOKUP(TabVMEnv[[#This Row],[EnvProjet]],TabEnvProjet[],3,FALSE)</f>
        <v>RECETTE</v>
      </c>
      <c r="AB43" s="5">
        <f>COUNTIF(TabVMEnv[VM],TabVMEnv[[#This Row],[VM]])</f>
        <v>10</v>
      </c>
    </row>
    <row r="44" spans="1:28" x14ac:dyDescent="0.25">
      <c r="A44" s="24" t="s">
        <v>123</v>
      </c>
      <c r="B44" t="s">
        <v>509</v>
      </c>
      <c r="E44" s="13"/>
      <c r="F44" s="5">
        <f>IF(VLOOKUP(TabVMEnv[[#This Row],[VM]],TabOceanet[],16,FALSE) = "Tarif_VM",IF(VLOOKUP(TabVMEnv[[#This Row],[VM]],TabOceanet[],2,FALSE)&lt;4,4,VLOOKUP(TabVMEnv[[#This Row],[VM]],TabOceanet[],2,FALSE)),0)</f>
        <v>16</v>
      </c>
      <c r="G44">
        <v>0</v>
      </c>
      <c r="H44">
        <v>0</v>
      </c>
      <c r="I44">
        <v>0</v>
      </c>
      <c r="J44">
        <v>0</v>
      </c>
      <c r="K44" s="5">
        <f>IF(VLOOKUP(TabVMEnv[[#This Row],[VM]],TabOceanet[],16,FALSE) = "Tarif_VM",1,0)/TabVMEnv[[#This Row],[Mutualisé]]</f>
        <v>0.1</v>
      </c>
      <c r="L44" s="5">
        <f>IF(VLOOKUP(TabVMEnv[[#This Row],[VM]],TabOceanet[],9,FALSE) = "PoweredOn",1,0)</f>
        <v>1</v>
      </c>
      <c r="M44" s="5">
        <f>TabVMEnv[[#This Row],[IsVMPoweredOn]]*VLOOKUP(TabVMEnv[[#This Row],[VM]],TabOceanet[],3,FALSE)/TabVMEnv[[#This Row],[Mutualisé]]</f>
        <v>0.8</v>
      </c>
      <c r="N44" s="5">
        <f>VLOOKUP(TabVMEnv[[#This Row],[VM]],TabOceanet[],4,FALSE)/TabVMEnv[[#This Row],[Mutualisé]]</f>
        <v>12</v>
      </c>
      <c r="O44" s="5">
        <f>IF(LEFT(VLOOKUP(TabVMEnv[[#This Row],[VM]],TabOceanet[],5,FALSE),3)="win",1,0)</f>
        <v>0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VLOOKUP(TabVMEnv[[#This Row],[EnvProjet]],TabEnvProjet[],4,FALSE)</f>
        <v>PCM-WEB</v>
      </c>
      <c r="R44" s="5" t="str">
        <f>VLOOKUP(TabVMEnv[[#This Row],[SYGES]],TabContrat[],2,FALSE)</f>
        <v>PCM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4.0400000000000009</v>
      </c>
      <c r="U44" s="25">
        <f>IF(TabVMEnv[[#This Row],[CostCenter]]="CostCenterDI",0,TabVMEnv[[#This Row],[CoutGlobal]])</f>
        <v>4.0400000000000009</v>
      </c>
      <c r="V44" s="25">
        <f>TabVMEnv[[#This Row],[CoutGlobalSansCostCenterDI]]/TabVMEnv[[#Totals],[CoutGlobalSansCostCenterDI]]*(GlobalARepartirSansMS+GlobalARepartirMSOnly+GlobalARepartirInfraReseau)</f>
        <v>8.4234848671490585</v>
      </c>
      <c r="W44" s="25">
        <f>TabVMEnv[[#This Row],[CoutGlobalSansCostCenterDI]]+TabVMEnv[[#This Row],[CoutGlobalSupplementaire]]</f>
        <v>12.463484867149059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44" s="5" t="str">
        <f>VLOOKUP(TabVMEnv[[#This Row],[EnvProjet]],TabEnvProjet[],5,FALSE)</f>
        <v>Alice MARCHAL</v>
      </c>
      <c r="Z44" s="5">
        <f>VLOOKUP(TabVMEnv[[#This Row],[EnvProjet]],TabEnvProjet[],6,FALSE)</f>
        <v>305704</v>
      </c>
      <c r="AA44" s="5" t="str">
        <f>VLOOKUP(TabVMEnv[[#This Row],[EnvProjet]],TabEnvProjet[],3,FALSE)</f>
        <v>RECETTE</v>
      </c>
      <c r="AB44" s="5">
        <f>COUNTIF(TabVMEnv[VM],TabVMEnv[[#This Row],[VM]])</f>
        <v>10</v>
      </c>
    </row>
    <row r="45" spans="1:28" x14ac:dyDescent="0.25">
      <c r="A45" s="46" t="s">
        <v>116</v>
      </c>
      <c r="B45" t="s">
        <v>510</v>
      </c>
      <c r="E45" s="13"/>
      <c r="F45">
        <f>IF(VLOOKUP(TabVMEnv[[#This Row],[VM]],TabOceanet[],16,FALSE) = "Tarif_VM",IF(VLOOKUP(TabVMEnv[[#This Row],[VM]],TabOceanet[],2,FALSE)&lt;4,4,VLOOKUP(TabVMEnv[[#This Row],[VM]],TabOceanet[],2,FALSE)),0)</f>
        <v>4</v>
      </c>
      <c r="G45">
        <v>0</v>
      </c>
      <c r="H45">
        <v>0</v>
      </c>
      <c r="I45">
        <v>0</v>
      </c>
      <c r="J45">
        <v>0</v>
      </c>
      <c r="K45">
        <f>IF(VLOOKUP(TabVMEnv[[#This Row],[VM]],TabOceanet[],16,FALSE) = "Tarif_VM",1,0)/TabVMEnv[[#This Row],[Mutualisé]]</f>
        <v>1</v>
      </c>
      <c r="L45">
        <f>IF(VLOOKUP(TabVMEnv[[#This Row],[VM]],TabOceanet[],9,FALSE) = "PoweredOn",1,0)</f>
        <v>1</v>
      </c>
      <c r="M45">
        <f>TabVMEnv[[#This Row],[IsVMPoweredOn]]*VLOOKUP(TabVMEnv[[#This Row],[VM]],TabOceanet[],3,FALSE)/TabVMEnv[[#This Row],[Mutualisé]]</f>
        <v>8</v>
      </c>
      <c r="N45">
        <f>VLOOKUP(TabVMEnv[[#This Row],[VM]],TabOceanet[],4,FALSE)/TabVMEnv[[#This Row],[Mutualisé]]</f>
        <v>55</v>
      </c>
      <c r="O45">
        <f>IF(LEFT(VLOOKUP(TabVMEnv[[#This Row],[VM]],TabOceanet[],5,FALSE),3)="win",1,0)</f>
        <v>1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VLOOKUP(TabVMEnv[[#This Row],[EnvProjet]],TabEnvProjet[],4,FALSE)</f>
        <v>ONEMA/TMADCIE-15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25.450000000000003</v>
      </c>
      <c r="U45" s="25">
        <f>IF(TabVMEnv[[#This Row],[CostCenter]]="CostCenterDI",0,TabVMEnv[[#This Row],[CoutGlobal]])</f>
        <v>25.450000000000003</v>
      </c>
      <c r="V45" s="25">
        <f>TabVMEnv[[#This Row],[CoutGlobalSansCostCenterDI]]/TabVMEnv[[#Totals],[CoutGlobalSansCostCenterDI]]*(GlobalARepartirSansMS+GlobalARepartirMSOnly+GlobalARepartirInfraReseau)</f>
        <v>53.063784621025619</v>
      </c>
      <c r="W45" s="25">
        <f>TabVMEnv[[#This Row],[CoutGlobalSansCostCenterDI]]+TabVMEnv[[#This Row],[CoutGlobalSupplementaire]]</f>
        <v>78.513784621025621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45" s="5" t="str">
        <f>VLOOKUP(TabVMEnv[[#This Row],[EnvProjet]],TabEnvProjet[],5,FALSE)</f>
        <v>Christophe ORLANDO</v>
      </c>
      <c r="Z45" s="5">
        <f>VLOOKUP(TabVMEnv[[#This Row],[EnvProjet]],TabEnvProjet[],6,FALSE)</f>
        <v>305704</v>
      </c>
      <c r="AA45" s="5" t="str">
        <f>VLOOKUP(TabVMEnv[[#This Row],[EnvProjet]],TabEnvProjet[],3,FALSE)</f>
        <v>DEV</v>
      </c>
      <c r="AB45" s="5">
        <f>COUNTIF(TabVMEnv[VM],TabVMEnv[[#This Row],[VM]])</f>
        <v>1</v>
      </c>
    </row>
    <row r="46" spans="1:28" x14ac:dyDescent="0.25">
      <c r="A46" s="24" t="s">
        <v>182</v>
      </c>
      <c r="B46" t="s">
        <v>511</v>
      </c>
      <c r="E46" s="13"/>
      <c r="F46">
        <f>IF(VLOOKUP(TabVMEnv[[#This Row],[VM]],TabOceanet[],16,FALSE) = "Tarif_VM",IF(VLOOKUP(TabVMEnv[[#This Row],[VM]],TabOceanet[],2,FALSE)&lt;4,4,VLOOKUP(TabVMEnv[[#This Row],[VM]],TabOceanet[],2,FALSE)),0)</f>
        <v>4</v>
      </c>
      <c r="G46">
        <v>0</v>
      </c>
      <c r="H46">
        <v>0</v>
      </c>
      <c r="I46">
        <v>0</v>
      </c>
      <c r="J46">
        <v>0</v>
      </c>
      <c r="K46">
        <f>IF(VLOOKUP(TabVMEnv[[#This Row],[VM]],TabOceanet[],16,FALSE) = "Tarif_VM",1,0)/TabVMEnv[[#This Row],[Mutualisé]]</f>
        <v>1</v>
      </c>
      <c r="L46">
        <f>IF(VLOOKUP(TabVMEnv[[#This Row],[VM]],TabOceanet[],9,FALSE) = "PoweredOn",1,0)</f>
        <v>1</v>
      </c>
      <c r="M46">
        <f>TabVMEnv[[#This Row],[IsVMPoweredOn]]*VLOOKUP(TabVMEnv[[#This Row],[VM]],TabOceanet[],3,FALSE)/TabVMEnv[[#This Row],[Mutualisé]]</f>
        <v>4</v>
      </c>
      <c r="N46">
        <f>VLOOKUP(TabVMEnv[[#This Row],[VM]],TabOceanet[],4,FALSE)/TabVMEnv[[#This Row],[Mutualisé]]</f>
        <v>35</v>
      </c>
      <c r="O46">
        <f>IF(LEFT(VLOOKUP(TabVMEnv[[#This Row],[VM]],TabOceanet[],5,FALSE),3)="win",1,0)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VLOOKUP(TabVMEnv[[#This Row],[EnvProjet]],TabEnvProjet[],4,FALSE)</f>
        <v>projet interne Orléans</v>
      </c>
      <c r="R46" s="5" t="str">
        <f>VLOOKUP(TabVMEnv[[#This Row],[SYGES]],TabContrat[],2,FALSE)</f>
        <v>GFI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14.450000000000001</v>
      </c>
      <c r="U46" s="25">
        <f>IF(TabVMEnv[[#This Row],[CostCenter]]="CostCenterDI",0,TabVMEnv[[#This Row],[CoutGlobal]])</f>
        <v>14.450000000000001</v>
      </c>
      <c r="V46" s="25">
        <f>TabVMEnv[[#This Row],[CoutGlobalSansCostCenterDI]]/TabVMEnv[[#Totals],[CoutGlobalSansCostCenterDI]]*(GlobalARepartirSansMS+GlobalARepartirMSOnly+GlobalARepartirInfraReseau)</f>
        <v>30.128553547104918</v>
      </c>
      <c r="W46" s="25">
        <f>TabVMEnv[[#This Row],[CoutGlobalSansCostCenterDI]]+TabVMEnv[[#This Row],[CoutGlobalSupplementaire]]</f>
        <v>44.578553547104917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46" s="5" t="str">
        <f>VLOOKUP(TabVMEnv[[#This Row],[EnvProjet]],TabEnvProjet[],5,FALSE)</f>
        <v>Christophe ORLANDO</v>
      </c>
      <c r="Z46" s="5">
        <f>VLOOKUP(TabVMEnv[[#This Row],[EnvProjet]],TabEnvProjet[],6,FALSE)</f>
        <v>305704</v>
      </c>
      <c r="AA46" s="5" t="str">
        <f>VLOOKUP(TabVMEnv[[#This Row],[EnvProjet]],TabEnvProjet[],3,FALSE)</f>
        <v>DEV</v>
      </c>
      <c r="AB46" s="5">
        <f>COUNTIF(TabVMEnv[VM],TabVMEnv[[#This Row],[VM]])</f>
        <v>1</v>
      </c>
    </row>
    <row r="47" spans="1:28" x14ac:dyDescent="0.25">
      <c r="A47" t="s">
        <v>243</v>
      </c>
      <c r="B47" t="s">
        <v>512</v>
      </c>
      <c r="E47" s="13"/>
      <c r="F47">
        <f>IF(VLOOKUP(TabVMEnv[[#This Row],[VM]],TabOceanet[],16,FALSE) = "Tarif_VM",IF(VLOOKUP(TabVMEnv[[#This Row],[VM]],TabOceanet[],2,FALSE)&lt;4,4,VLOOKUP(TabVMEnv[[#This Row],[VM]],TabOceanet[],2,FALSE)),0)</f>
        <v>4</v>
      </c>
      <c r="G47">
        <v>0</v>
      </c>
      <c r="H47">
        <v>0</v>
      </c>
      <c r="I47">
        <v>0</v>
      </c>
      <c r="J47">
        <v>0</v>
      </c>
      <c r="K47">
        <f>IF(VLOOKUP(TabVMEnv[[#This Row],[VM]],TabOceanet[],16,FALSE) = "Tarif_VM",1,0)/TabVMEnv[[#This Row],[Mutualisé]]</f>
        <v>1</v>
      </c>
      <c r="L47">
        <f>IF(VLOOKUP(TabVMEnv[[#This Row],[VM]],TabOceanet[],9,FALSE) = "PoweredOn",1,0)</f>
        <v>1</v>
      </c>
      <c r="M47">
        <f>TabVMEnv[[#This Row],[IsVMPoweredOn]]*VLOOKUP(TabVMEnv[[#This Row],[VM]],TabOceanet[],3,FALSE)/TabVMEnv[[#This Row],[Mutualisé]]</f>
        <v>2</v>
      </c>
      <c r="N47">
        <f>VLOOKUP(TabVMEnv[[#This Row],[VM]],TabOceanet[],4,FALSE)/TabVMEnv[[#This Row],[Mutualisé]]</f>
        <v>40</v>
      </c>
      <c r="O47">
        <f>IF(LEFT(VLOOKUP(TabVMEnv[[#This Row],[VM]],TabOceanet[],5,FALSE),3)="win",1,0)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VLOOKUP(TabVMEnv[[#This Row],[EnvProjet]],TabEnvProjet[],4,FALSE)</f>
        <v>STMICRO/TMA-R2R-17</v>
      </c>
      <c r="R47" s="5" t="str">
        <f>VLOOKUP(TabVMEnv[[#This Row],[SYGES]],TabContrat[],2,FALSE)</f>
        <v>STMICRO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12.400000000000002</v>
      </c>
      <c r="U47" s="25">
        <f>IF(TabVMEnv[[#This Row],[CostCenter]]="CostCenterDI",0,TabVMEnv[[#This Row],[CoutGlobal]])</f>
        <v>12.400000000000002</v>
      </c>
      <c r="V47" s="25">
        <f>TabVMEnv[[#This Row],[CoutGlobalSansCostCenterDI]]/TabVMEnv[[#Totals],[CoutGlobalSansCostCenterDI]]*(GlobalARepartirSansMS+GlobalARepartirMSOnly+GlobalARepartirInfraReseau)</f>
        <v>25.85426048332879</v>
      </c>
      <c r="W47" s="25">
        <f>TabVMEnv[[#This Row],[CoutGlobalSansCostCenterDI]]+TabVMEnv[[#This Row],[CoutGlobalSupplementaire]]</f>
        <v>38.254260483328792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47" s="5" t="str">
        <f>VLOOKUP(TabVMEnv[[#This Row],[EnvProjet]],TabEnvProjet[],5,FALSE)</f>
        <v>Jean-Philippe STROIAZZO</v>
      </c>
      <c r="Z47" s="5">
        <f>VLOOKUP(TabVMEnv[[#This Row],[EnvProjet]],TabEnvProjet[],6,FALSE)</f>
        <v>305704</v>
      </c>
      <c r="AA47" s="5" t="str">
        <f>VLOOKUP(TabVMEnv[[#This Row],[EnvProjet]],TabEnvProjet[],3,FALSE)</f>
        <v>DEV</v>
      </c>
      <c r="AB47" s="5">
        <f>COUNTIF(TabVMEnv[VM],TabVMEnv[[#This Row],[VM]])</f>
        <v>1</v>
      </c>
    </row>
    <row r="48" spans="1:28" x14ac:dyDescent="0.25">
      <c r="A48" t="s">
        <v>240</v>
      </c>
      <c r="B48" t="s">
        <v>513</v>
      </c>
      <c r="E48" s="13"/>
      <c r="F48">
        <f>IF(VLOOKUP(TabVMEnv[[#This Row],[VM]],TabOceanet[],16,FALSE) = "Tarif_VM",IF(VLOOKUP(TabVMEnv[[#This Row],[VM]],TabOceanet[],2,FALSE)&lt;4,4,VLOOKUP(TabVMEnv[[#This Row],[VM]],TabOceanet[],2,FALSE)),0)</f>
        <v>4</v>
      </c>
      <c r="G48">
        <v>0</v>
      </c>
      <c r="H48">
        <v>0</v>
      </c>
      <c r="I48">
        <v>0</v>
      </c>
      <c r="J48">
        <v>0</v>
      </c>
      <c r="K48">
        <f>IF(VLOOKUP(TabVMEnv[[#This Row],[VM]],TabOceanet[],16,FALSE) = "Tarif_VM",1,0)/TabVMEnv[[#This Row],[Mutualisé]]</f>
        <v>1</v>
      </c>
      <c r="L48">
        <f>IF(VLOOKUP(TabVMEnv[[#This Row],[VM]],TabOceanet[],9,FALSE) = "PoweredOn",1,0)</f>
        <v>1</v>
      </c>
      <c r="M48">
        <f>TabVMEnv[[#This Row],[IsVMPoweredOn]]*VLOOKUP(TabVMEnv[[#This Row],[VM]],TabOceanet[],3,FALSE)/TabVMEnv[[#This Row],[Mutualisé]]</f>
        <v>2</v>
      </c>
      <c r="N48">
        <f>VLOOKUP(TabVMEnv[[#This Row],[VM]],TabOceanet[],4,FALSE)/TabVMEnv[[#This Row],[Mutualisé]]</f>
        <v>20</v>
      </c>
      <c r="O48">
        <f>IF(LEFT(VLOOKUP(TabVMEnv[[#This Row],[VM]],TabOceanet[],5,FALSE),3)="win",1,0)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VLOOKUP(TabVMEnv[[#This Row],[EnvProjet]],TabEnvProjet[],4,FALSE)</f>
        <v>STMICRO/TMASI</v>
      </c>
      <c r="R48" s="5" t="str">
        <f>VLOOKUP(TabVMEnv[[#This Row],[SYGES]],TabContrat[],2,FALSE)</f>
        <v>STMICRO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7.8000000000000007</v>
      </c>
      <c r="U48" s="25">
        <f>IF(TabVMEnv[[#This Row],[CostCenter]]="CostCenterDI",0,TabVMEnv[[#This Row],[CoutGlobal]])</f>
        <v>7.8000000000000007</v>
      </c>
      <c r="V48" s="25">
        <f>TabVMEnv[[#This Row],[CoutGlobalSansCostCenterDI]]/TabVMEnv[[#Totals],[CoutGlobalSansCostCenterDI]]*(GlobalARepartirSansMS+GlobalARepartirMSOnly+GlobalARepartirInfraReseau)</f>
        <v>16.263163852416497</v>
      </c>
      <c r="W48" s="25">
        <f>TabVMEnv[[#This Row],[CoutGlobalSansCostCenterDI]]+TabVMEnv[[#This Row],[CoutGlobalSupplementaire]]</f>
        <v>24.063163852416498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48" s="5" t="str">
        <f>VLOOKUP(TabVMEnv[[#This Row],[EnvProjet]],TabEnvProjet[],5,FALSE)</f>
        <v>Jean-Philippe STROIAZZO</v>
      </c>
      <c r="Z48" s="5">
        <f>VLOOKUP(TabVMEnv[[#This Row],[EnvProjet]],TabEnvProjet[],6,FALSE)</f>
        <v>305704</v>
      </c>
      <c r="AA48" s="5" t="str">
        <f>VLOOKUP(TabVMEnv[[#This Row],[EnvProjet]],TabEnvProjet[],3,FALSE)</f>
        <v>DEV</v>
      </c>
      <c r="AB48" s="5">
        <f>COUNTIF(TabVMEnv[VM],TabVMEnv[[#This Row],[VM]])</f>
        <v>1</v>
      </c>
    </row>
    <row r="49" spans="1:28" x14ac:dyDescent="0.25">
      <c r="A49" t="s">
        <v>126</v>
      </c>
      <c r="B49" t="s">
        <v>505</v>
      </c>
      <c r="E49" s="13"/>
      <c r="F49">
        <f>IF(VLOOKUP(TabVMEnv[[#This Row],[VM]],TabOceanet[],16,FALSE) = "Tarif_VM",IF(VLOOKUP(TabVMEnv[[#This Row],[VM]],TabOceanet[],2,FALSE)&lt;4,4,VLOOKUP(TabVMEnv[[#This Row],[VM]],TabOceanet[],2,FALSE)),0)</f>
        <v>4</v>
      </c>
      <c r="G49">
        <v>0</v>
      </c>
      <c r="H49">
        <v>0</v>
      </c>
      <c r="I49">
        <v>0</v>
      </c>
      <c r="J49">
        <v>0</v>
      </c>
      <c r="K49">
        <f>IF(VLOOKUP(TabVMEnv[[#This Row],[VM]],TabOceanet[],16,FALSE) = "Tarif_VM",1,0)/TabVMEnv[[#This Row],[Mutualisé]]</f>
        <v>1</v>
      </c>
      <c r="L49">
        <f>IF(VLOOKUP(TabVMEnv[[#This Row],[VM]],TabOceanet[],9,FALSE) = "PoweredOn",1,0)</f>
        <v>1</v>
      </c>
      <c r="M49">
        <f>TabVMEnv[[#This Row],[IsVMPoweredOn]]*VLOOKUP(TabVMEnv[[#This Row],[VM]],TabOceanet[],3,FALSE)/TabVMEnv[[#This Row],[Mutualisé]]</f>
        <v>6</v>
      </c>
      <c r="N49">
        <f>VLOOKUP(TabVMEnv[[#This Row],[VM]],TabOceanet[],4,FALSE)/TabVMEnv[[#This Row],[Mutualisé]]</f>
        <v>42</v>
      </c>
      <c r="O49">
        <f>IF(LEFT(VLOOKUP(TabVMEnv[[#This Row],[VM]],TabOceanet[],5,FALSE),3)="win",1,0)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VLOOKUP(TabVMEnv[[#This Row],[EnvProjet]],TabEnvProjet[],4,FALSE)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19.260000000000002</v>
      </c>
      <c r="U49" s="25">
        <f>IF(TabVMEnv[[#This Row],[CostCenter]]="CostCenterDI",0,TabVMEnv[[#This Row],[CoutGlobal]])</f>
        <v>19.260000000000002</v>
      </c>
      <c r="V49" s="25">
        <f>TabVMEnv[[#This Row],[CoutGlobalSansCostCenterDI]]/TabVMEnv[[#Totals],[CoutGlobalSansCostCenterDI]]*(GlobalARepartirSansMS+GlobalARepartirMSOnly+GlobalARepartirInfraReseau)</f>
        <v>40.157504589428427</v>
      </c>
      <c r="W49" s="25">
        <f>TabVMEnv[[#This Row],[CoutGlobalSansCostCenterDI]]+TabVMEnv[[#This Row],[CoutGlobalSupplementaire]]</f>
        <v>59.417504589428432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VLOOKUP(TabVMEnv[[#This Row],[EnvProjet]],TabEnvProjet[],5,FALSE)</f>
        <v>Rodolphe Habegger</v>
      </c>
      <c r="Z49" s="5">
        <f>VLOOKUP(TabVMEnv[[#This Row],[EnvProjet]],TabEnvProjet[],6,FALSE)</f>
        <v>305704</v>
      </c>
      <c r="AA49" s="5" t="str">
        <f>VLOOKUP(TabVMEnv[[#This Row],[EnvProjet]],TabEnvProjet[],3,FALSE)</f>
        <v>RECETTE</v>
      </c>
      <c r="AB49" s="5">
        <f>COUNTIF(TabVMEnv[VM],TabVMEnv[[#This Row],[VM]])</f>
        <v>1</v>
      </c>
    </row>
    <row r="50" spans="1:28" x14ac:dyDescent="0.25">
      <c r="A50" t="s">
        <v>329</v>
      </c>
      <c r="B50" t="s">
        <v>514</v>
      </c>
      <c r="E50" s="13"/>
      <c r="F50">
        <f>IF(VLOOKUP(TabVMEnv[[#This Row],[VM]],TabOceanet[],16,FALSE) = "Tarif_VM",IF(VLOOKUP(TabVMEnv[[#This Row],[VM]],TabOceanet[],2,FALSE)&lt;4,4,VLOOKUP(TabVMEnv[[#This Row],[VM]],TabOceanet[],2,FALSE)),0)</f>
        <v>4</v>
      </c>
      <c r="G50">
        <v>0</v>
      </c>
      <c r="H50">
        <v>0</v>
      </c>
      <c r="I50">
        <v>0</v>
      </c>
      <c r="J50">
        <v>0</v>
      </c>
      <c r="K50">
        <f>IF(VLOOKUP(TabVMEnv[[#This Row],[VM]],TabOceanet[],16,FALSE) = "Tarif_VM",1,0)/TabVMEnv[[#This Row],[Mutualisé]]</f>
        <v>1</v>
      </c>
      <c r="L50">
        <f>IF(VLOOKUP(TabVMEnv[[#This Row],[VM]],TabOceanet[],9,FALSE) = "PoweredOn",1,0)</f>
        <v>1</v>
      </c>
      <c r="M50">
        <f>TabVMEnv[[#This Row],[IsVMPoweredOn]]*VLOOKUP(TabVMEnv[[#This Row],[VM]],TabOceanet[],3,FALSE)/TabVMEnv[[#This Row],[Mutualisé]]</f>
        <v>4</v>
      </c>
      <c r="N50">
        <f>VLOOKUP(TabVMEnv[[#This Row],[VM]],TabOceanet[],4,FALSE)/TabVMEnv[[#This Row],[Mutualisé]]</f>
        <v>30</v>
      </c>
      <c r="O50">
        <f>IF(LEFT(VLOOKUP(TabVMEnv[[#This Row],[VM]],TabOceanet[],5,FALSE),3)="win",1,0)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VLOOKUP(TabVMEnv[[#This Row],[EnvProjet]],TabEnvProjet[],4,FALSE)</f>
        <v>Gest'ea / OUGC</v>
      </c>
      <c r="R50" s="5" t="str">
        <f>VLOOKUP(TabVMEnv[[#This Row],[SYGES]],TabContrat[],2,FALSE)</f>
        <v>Gest'ea / OUGC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13.3</v>
      </c>
      <c r="U50" s="25">
        <f>IF(TabVMEnv[[#This Row],[CostCenter]]="CostCenterDI",0,TabVMEnv[[#This Row],[CoutGlobal]])</f>
        <v>13.3</v>
      </c>
      <c r="V50" s="25">
        <f>TabVMEnv[[#This Row],[CoutGlobalSansCostCenterDI]]/TabVMEnv[[#Totals],[CoutGlobalSansCostCenterDI]]*(GlobalARepartirSansMS+GlobalARepartirMSOnly+GlobalARepartirInfraReseau)</f>
        <v>27.730779389376846</v>
      </c>
      <c r="W50" s="25">
        <f>TabVMEnv[[#This Row],[CoutGlobalSansCostCenterDI]]+TabVMEnv[[#This Row],[CoutGlobalSupplementaire]]</f>
        <v>41.030779389376846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50" s="5" t="str">
        <f>VLOOKUP(TabVMEnv[[#This Row],[EnvProjet]],TabEnvProjet[],5,FALSE)</f>
        <v>Jean-Philippe STROIAZZO</v>
      </c>
      <c r="Z50" s="5">
        <f>VLOOKUP(TabVMEnv[[#This Row],[EnvProjet]],TabEnvProjet[],6,FALSE)</f>
        <v>305704</v>
      </c>
      <c r="AA50" s="5" t="str">
        <f>VLOOKUP(TabVMEnv[[#This Row],[EnvProjet]],TabEnvProjet[],3,FALSE)</f>
        <v>DEV</v>
      </c>
      <c r="AB50" s="5">
        <f>COUNTIF(TabVMEnv[VM],TabVMEnv[[#This Row],[VM]])</f>
        <v>1</v>
      </c>
    </row>
    <row r="51" spans="1:28" x14ac:dyDescent="0.25">
      <c r="A51" t="s">
        <v>217</v>
      </c>
      <c r="B51" t="s">
        <v>515</v>
      </c>
      <c r="E51" s="13"/>
      <c r="F51" s="5">
        <f>IF(VLOOKUP(TabVMEnv[[#This Row],[VM]],TabOceanet[],16,FALSE) = "Tarif_VM",IF(VLOOKUP(TabVMEnv[[#This Row],[VM]],TabOceanet[],2,FALSE)&lt;4,4,VLOOKUP(TabVMEnv[[#This Row],[VM]],TabOceanet[],2,FALSE)),0)</f>
        <v>4</v>
      </c>
      <c r="G51">
        <v>0</v>
      </c>
      <c r="H51">
        <v>0</v>
      </c>
      <c r="I51">
        <v>0</v>
      </c>
      <c r="J51" s="24">
        <v>0</v>
      </c>
      <c r="K51" s="72">
        <f>IF(VLOOKUP(TabVMEnv[[#This Row],[VM]],TabOceanet[],16,FALSE) = "Tarif_VM",1,0)/TabVMEnv[[#This Row],[Mutualisé]]</f>
        <v>1</v>
      </c>
      <c r="L51" s="72">
        <f>IF(VLOOKUP(TabVMEnv[[#This Row],[VM]],TabOceanet[],9,FALSE) = "PoweredOn",1,0)</f>
        <v>1</v>
      </c>
      <c r="M51" s="72">
        <f>TabVMEnv[[#This Row],[IsVMPoweredOn]]*VLOOKUP(TabVMEnv[[#This Row],[VM]],TabOceanet[],3,FALSE)/TabVMEnv[[#This Row],[Mutualisé]]</f>
        <v>2</v>
      </c>
      <c r="N51" s="72">
        <f>VLOOKUP(TabVMEnv[[#This Row],[VM]],TabOceanet[],4,FALSE)/TabVMEnv[[#This Row],[Mutualisé]]</f>
        <v>110</v>
      </c>
      <c r="O51" s="72">
        <f>IF(LEFT(VLOOKUP(TabVMEnv[[#This Row],[VM]],TabOceanet[],5,FALSE),3)="win",1,0)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VLOOKUP(TabVMEnv[[#This Row],[EnvProjet]],TabEnvProjet[],4,FALSE)</f>
        <v>MENESR/TMA</v>
      </c>
      <c r="R51" s="5" t="str">
        <f>VLOOKUP(TabVMEnv[[#This Row],[SYGES]],TabContrat[],2,FALSE)</f>
        <v>MENESR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28.5</v>
      </c>
      <c r="U51" s="25">
        <f>IF(TabVMEnv[[#This Row],[CostCenter]]="CostCenterDI",0,TabVMEnv[[#This Row],[CoutGlobal]])</f>
        <v>28.5</v>
      </c>
      <c r="V51" s="25">
        <f>TabVMEnv[[#This Row],[CoutGlobalSansCostCenterDI]]/TabVMEnv[[#Totals],[CoutGlobalSansCostCenterDI]]*(GlobalARepartirSansMS+GlobalARepartirMSOnly+GlobalARepartirInfraReseau)</f>
        <v>59.423098691521801</v>
      </c>
      <c r="W51" s="25">
        <f>TabVMEnv[[#This Row],[CoutGlobalSansCostCenterDI]]+TabVMEnv[[#This Row],[CoutGlobalSupplementaire]]</f>
        <v>87.923098691521801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1" s="5" t="str">
        <f>VLOOKUP(TabVMEnv[[#This Row],[EnvProjet]],TabEnvProjet[],5,FALSE)</f>
        <v>Pierre BOURLIEUX</v>
      </c>
      <c r="Z51" s="5">
        <f>VLOOKUP(TabVMEnv[[#This Row],[EnvProjet]],TabEnvProjet[],6,FALSE)</f>
        <v>305704</v>
      </c>
      <c r="AA51" s="5" t="str">
        <f>VLOOKUP(TabVMEnv[[#This Row],[EnvProjet]],TabEnvProjet[],3,FALSE)</f>
        <v>RECETTE</v>
      </c>
      <c r="AB51" s="5">
        <f>COUNTIF(TabVMEnv[VM],TabVMEnv[[#This Row],[VM]])</f>
        <v>1</v>
      </c>
    </row>
    <row r="52" spans="1:28" x14ac:dyDescent="0.25">
      <c r="A52" s="24" t="s">
        <v>102</v>
      </c>
      <c r="B52" t="s">
        <v>516</v>
      </c>
      <c r="E52" s="13"/>
      <c r="F52">
        <f>IF(VLOOKUP(TabVMEnv[[#This Row],[VM]],TabOceanet[],16,FALSE) = "Tarif_VM",IF(VLOOKUP(TabVMEnv[[#This Row],[VM]],TabOceanet[],2,FALSE)&lt;4,4,VLOOKUP(TabVMEnv[[#This Row],[VM]],TabOceanet[],2,FALSE)),0)</f>
        <v>4</v>
      </c>
      <c r="G52">
        <v>0</v>
      </c>
      <c r="H52">
        <v>0</v>
      </c>
      <c r="I52">
        <v>0</v>
      </c>
      <c r="J52">
        <v>0</v>
      </c>
      <c r="K52">
        <f>IF(VLOOKUP(TabVMEnv[[#This Row],[VM]],TabOceanet[],16,FALSE) = "Tarif_VM",1,0)/TabVMEnv[[#This Row],[Mutualisé]]</f>
        <v>0.33333333333333331</v>
      </c>
      <c r="L52">
        <f>IF(VLOOKUP(TabVMEnv[[#This Row],[VM]],TabOceanet[],9,FALSE) = "PoweredOn",1,0)</f>
        <v>1</v>
      </c>
      <c r="M52">
        <f>TabVMEnv[[#This Row],[IsVMPoweredOn]]*VLOOKUP(TabVMEnv[[#This Row],[VM]],TabOceanet[],3,FALSE)/TabVMEnv[[#This Row],[Mutualisé]]</f>
        <v>1.3333333333333333</v>
      </c>
      <c r="N52">
        <f>VLOOKUP(TabVMEnv[[#This Row],[VM]],TabOceanet[],4,FALSE)/TabVMEnv[[#This Row],[Mutualisé]]</f>
        <v>95</v>
      </c>
      <c r="O52">
        <f>IF(LEFT(VLOOKUP(TabVMEnv[[#This Row],[VM]],TabOceanet[],5,FALSE),3)="win",1,0)</f>
        <v>1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VLOOKUP(TabVMEnv[[#This Row],[EnvProjet]],TabEnvProjet[],4,FALSE)</f>
        <v>FRR/TMASI</v>
      </c>
      <c r="R52" s="5" t="str">
        <f>VLOOKUP(TabVMEnv[[#This Row],[SYGES]],TabContrat[],2,FALSE)</f>
        <v>FRR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23.983333333333334</v>
      </c>
      <c r="U52" s="25">
        <f>IF(TabVMEnv[[#This Row],[CostCenter]]="CostCenterDI",0,TabVMEnv[[#This Row],[CoutGlobal]])</f>
        <v>23.983333333333334</v>
      </c>
      <c r="V52" s="25">
        <f>TabVMEnv[[#This Row],[CoutGlobalSansCostCenterDI]]/TabVMEnv[[#Totals],[CoutGlobalSansCostCenterDI]]*(GlobalARepartirSansMS+GlobalARepartirMSOnly+GlobalARepartirInfraReseau)</f>
        <v>50.005753811169527</v>
      </c>
      <c r="W52" s="25">
        <f>TabVMEnv[[#This Row],[CoutGlobalSansCostCenterDI]]+TabVMEnv[[#This Row],[CoutGlobalSupplementaire]]</f>
        <v>73.989087144502861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52" s="5" t="str">
        <f>VLOOKUP(TabVMEnv[[#This Row],[EnvProjet]],TabEnvProjet[],5,FALSE)</f>
        <v>Pierre BOURLIEUX</v>
      </c>
      <c r="Z52" s="5">
        <f>VLOOKUP(TabVMEnv[[#This Row],[EnvProjet]],TabEnvProjet[],6,FALSE)</f>
        <v>305704</v>
      </c>
      <c r="AA52" s="5" t="str">
        <f>VLOOKUP(TabVMEnv[[#This Row],[EnvProjet]],TabEnvProjet[],3,FALSE)</f>
        <v>DEV</v>
      </c>
      <c r="AB52" s="5">
        <f>COUNTIF(TabVMEnv[VM],TabVMEnv[[#This Row],[VM]])</f>
        <v>3</v>
      </c>
    </row>
    <row r="53" spans="1:28" x14ac:dyDescent="0.25">
      <c r="A53" s="24" t="s">
        <v>102</v>
      </c>
      <c r="B53" t="s">
        <v>499</v>
      </c>
      <c r="E53" s="13"/>
      <c r="F53">
        <f>IF(VLOOKUP(TabVMEnv[[#This Row],[VM]],TabOceanet[],16,FALSE) = "Tarif_VM",IF(VLOOKUP(TabVMEnv[[#This Row],[VM]],TabOceanet[],2,FALSE)&lt;4,4,VLOOKUP(TabVMEnv[[#This Row],[VM]],TabOceanet[],2,FALSE)),0)</f>
        <v>4</v>
      </c>
      <c r="G53">
        <v>0</v>
      </c>
      <c r="H53">
        <v>0</v>
      </c>
      <c r="I53">
        <v>0</v>
      </c>
      <c r="J53">
        <v>0</v>
      </c>
      <c r="K53">
        <f>IF(VLOOKUP(TabVMEnv[[#This Row],[VM]],TabOceanet[],16,FALSE) = "Tarif_VM",1,0)/TabVMEnv[[#This Row],[Mutualisé]]</f>
        <v>0.33333333333333331</v>
      </c>
      <c r="L53">
        <f>IF(VLOOKUP(TabVMEnv[[#This Row],[VM]],TabOceanet[],9,FALSE) = "PoweredOn",1,0)</f>
        <v>1</v>
      </c>
      <c r="M53">
        <f>TabVMEnv[[#This Row],[IsVMPoweredOn]]*VLOOKUP(TabVMEnv[[#This Row],[VM]],TabOceanet[],3,FALSE)/TabVMEnv[[#This Row],[Mutualisé]]</f>
        <v>1.3333333333333333</v>
      </c>
      <c r="N53">
        <f>VLOOKUP(TabVMEnv[[#This Row],[VM]],TabOceanet[],4,FALSE)/TabVMEnv[[#This Row],[Mutualisé]]</f>
        <v>95</v>
      </c>
      <c r="O53">
        <f>IF(LEFT(VLOOKUP(TabVMEnv[[#This Row],[VM]],TabOceanet[],5,FALSE),3)="win",1,0)</f>
        <v>1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VLOOKUP(TabVMEnv[[#This Row],[EnvProjet]],TabEnvProjet[],4,FALSE)</f>
        <v>FRR/TMASI</v>
      </c>
      <c r="R53" s="5" t="str">
        <f>VLOOKUP(TabVMEnv[[#This Row],[SYGES]],TabContrat[],2,FALSE)</f>
        <v>FRR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23.983333333333334</v>
      </c>
      <c r="U53" s="25">
        <f>IF(TabVMEnv[[#This Row],[CostCenter]]="CostCenterDI",0,TabVMEnv[[#This Row],[CoutGlobal]])</f>
        <v>23.983333333333334</v>
      </c>
      <c r="V53" s="25">
        <f>TabVMEnv[[#This Row],[CoutGlobalSansCostCenterDI]]/TabVMEnv[[#Totals],[CoutGlobalSansCostCenterDI]]*(GlobalARepartirSansMS+GlobalARepartirMSOnly+GlobalARepartirInfraReseau)</f>
        <v>50.005753811169527</v>
      </c>
      <c r="W53" s="25">
        <f>TabVMEnv[[#This Row],[CoutGlobalSansCostCenterDI]]+TabVMEnv[[#This Row],[CoutGlobalSupplementaire]]</f>
        <v>73.989087144502861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53" s="5" t="str">
        <f>VLOOKUP(TabVMEnv[[#This Row],[EnvProjet]],TabEnvProjet[],5,FALSE)</f>
        <v>Pierre BOURLIEUX</v>
      </c>
      <c r="Z53" s="5">
        <f>VLOOKUP(TabVMEnv[[#This Row],[EnvProjet]],TabEnvProjet[],6,FALSE)</f>
        <v>305704</v>
      </c>
      <c r="AA53" s="5" t="str">
        <f>VLOOKUP(TabVMEnv[[#This Row],[EnvProjet]],TabEnvProjet[],3,FALSE)</f>
        <v>RECETTE</v>
      </c>
      <c r="AB53" s="5">
        <f>COUNTIF(TabVMEnv[VM],TabVMEnv[[#This Row],[VM]])</f>
        <v>3</v>
      </c>
    </row>
    <row r="54" spans="1:28" x14ac:dyDescent="0.25">
      <c r="A54" s="24" t="s">
        <v>102</v>
      </c>
      <c r="B54" t="s">
        <v>517</v>
      </c>
      <c r="E54" s="13"/>
      <c r="F54">
        <f>IF(VLOOKUP(TabVMEnv[[#This Row],[VM]],TabOceanet[],16,FALSE) = "Tarif_VM",IF(VLOOKUP(TabVMEnv[[#This Row],[VM]],TabOceanet[],2,FALSE)&lt;4,4,VLOOKUP(TabVMEnv[[#This Row],[VM]],TabOceanet[],2,FALSE)),0)</f>
        <v>4</v>
      </c>
      <c r="G54">
        <v>0</v>
      </c>
      <c r="H54">
        <v>0</v>
      </c>
      <c r="I54">
        <v>0</v>
      </c>
      <c r="J54">
        <v>0</v>
      </c>
      <c r="K54">
        <f>IF(VLOOKUP(TabVMEnv[[#This Row],[VM]],TabOceanet[],16,FALSE) = "Tarif_VM",1,0)/TabVMEnv[[#This Row],[Mutualisé]]</f>
        <v>0.33333333333333331</v>
      </c>
      <c r="L54">
        <f>IF(VLOOKUP(TabVMEnv[[#This Row],[VM]],TabOceanet[],9,FALSE) = "PoweredOn",1,0)</f>
        <v>1</v>
      </c>
      <c r="M54">
        <f>TabVMEnv[[#This Row],[IsVMPoweredOn]]*VLOOKUP(TabVMEnv[[#This Row],[VM]],TabOceanet[],3,FALSE)/TabVMEnv[[#This Row],[Mutualisé]]</f>
        <v>1.3333333333333333</v>
      </c>
      <c r="N54">
        <f>VLOOKUP(TabVMEnv[[#This Row],[VM]],TabOceanet[],4,FALSE)/TabVMEnv[[#This Row],[Mutualisé]]</f>
        <v>95</v>
      </c>
      <c r="O54">
        <f>IF(LEFT(VLOOKUP(TabVMEnv[[#This Row],[VM]],TabOceanet[],5,FALSE),3)="win",1,0)</f>
        <v>1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VLOOKUP(TabVMEnv[[#This Row],[EnvProjet]],TabEnvProjet[],4,FALSE)</f>
        <v>FRR/TMASI</v>
      </c>
      <c r="R54" s="5" t="str">
        <f>VLOOKUP(TabVMEnv[[#This Row],[SYGES]],TabContrat[],2,FALSE)</f>
        <v>FRR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23.983333333333334</v>
      </c>
      <c r="U54" s="25">
        <f>IF(TabVMEnv[[#This Row],[CostCenter]]="CostCenterDI",0,TabVMEnv[[#This Row],[CoutGlobal]])</f>
        <v>23.983333333333334</v>
      </c>
      <c r="V54" s="25">
        <f>TabVMEnv[[#This Row],[CoutGlobalSansCostCenterDI]]/TabVMEnv[[#Totals],[CoutGlobalSansCostCenterDI]]*(GlobalARepartirSansMS+GlobalARepartirMSOnly+GlobalARepartirInfraReseau)</f>
        <v>50.005753811169527</v>
      </c>
      <c r="W54" s="25">
        <f>TabVMEnv[[#This Row],[CoutGlobalSansCostCenterDI]]+TabVMEnv[[#This Row],[CoutGlobalSupplementaire]]</f>
        <v>73.989087144502861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54" s="5" t="str">
        <f>VLOOKUP(TabVMEnv[[#This Row],[EnvProjet]],TabEnvProjet[],5,FALSE)</f>
        <v>Pierre BOURLIEUX</v>
      </c>
      <c r="Z54" s="5">
        <f>VLOOKUP(TabVMEnv[[#This Row],[EnvProjet]],TabEnvProjet[],6,FALSE)</f>
        <v>305704</v>
      </c>
      <c r="AA54" s="5" t="str">
        <f>VLOOKUP(TabVMEnv[[#This Row],[EnvProjet]],TabEnvProjet[],3,FALSE)</f>
        <v>DEV</v>
      </c>
      <c r="AB54" s="5">
        <f>COUNTIF(TabVMEnv[VM],TabVMEnv[[#This Row],[VM]])</f>
        <v>3</v>
      </c>
    </row>
    <row r="55" spans="1:28" x14ac:dyDescent="0.25">
      <c r="A55" t="s">
        <v>220</v>
      </c>
      <c r="B55" t="s">
        <v>518</v>
      </c>
      <c r="E55" s="13"/>
      <c r="F55">
        <f>IF(VLOOKUP(TabVMEnv[[#This Row],[VM]],TabOceanet[],16,FALSE) = "Tarif_VM",IF(VLOOKUP(TabVMEnv[[#This Row],[VM]],TabOceanet[],2,FALSE)&lt;4,4,VLOOKUP(TabVMEnv[[#This Row],[VM]],TabOceanet[],2,FALSE)),0)</f>
        <v>4</v>
      </c>
      <c r="G55">
        <v>0</v>
      </c>
      <c r="H55">
        <v>0</v>
      </c>
      <c r="I55">
        <v>0</v>
      </c>
      <c r="J55">
        <v>0</v>
      </c>
      <c r="K55">
        <f>IF(VLOOKUP(TabVMEnv[[#This Row],[VM]],TabOceanet[],16,FALSE) = "Tarif_VM",1,0)/TabVMEnv[[#This Row],[Mutualisé]]</f>
        <v>1</v>
      </c>
      <c r="L55">
        <f>IF(VLOOKUP(TabVMEnv[[#This Row],[VM]],TabOceanet[],9,FALSE) = "PoweredOn",1,0)</f>
        <v>1</v>
      </c>
      <c r="M55">
        <f>TabVMEnv[[#This Row],[IsVMPoweredOn]]*VLOOKUP(TabVMEnv[[#This Row],[VM]],TabOceanet[],3,FALSE)/TabVMEnv[[#This Row],[Mutualisé]]</f>
        <v>2</v>
      </c>
      <c r="N55">
        <f>VLOOKUP(TabVMEnv[[#This Row],[VM]],TabOceanet[],4,FALSE)/TabVMEnv[[#This Row],[Mutualisé]]</f>
        <v>115</v>
      </c>
      <c r="O55">
        <f>IF(LEFT(VLOOKUP(TabVMEnv[[#This Row],[VM]],TabOceanet[],5,FALSE),3)="win",1,0)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VLOOKUP(TabVMEnv[[#This Row],[EnvProjet]],TabEnvProjet[],4,FALSE)</f>
        <v>MENESR/TMA</v>
      </c>
      <c r="R55" s="5" t="str">
        <f>VLOOKUP(TabVMEnv[[#This Row],[SYGES]],TabContrat[],2,FALSE)</f>
        <v>MENESR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29.650000000000002</v>
      </c>
      <c r="U55" s="25">
        <f>IF(TabVMEnv[[#This Row],[CostCenter]]="CostCenterDI",0,TabVMEnv[[#This Row],[CoutGlobal]])</f>
        <v>29.650000000000002</v>
      </c>
      <c r="V55" s="25">
        <f>TabVMEnv[[#This Row],[CoutGlobalSansCostCenterDI]]/TabVMEnv[[#Totals],[CoutGlobalSansCostCenterDI]]*(GlobalARepartirSansMS+GlobalARepartirMSOnly+GlobalARepartirInfraReseau)</f>
        <v>61.820872849249881</v>
      </c>
      <c r="W55" s="25">
        <f>TabVMEnv[[#This Row],[CoutGlobalSansCostCenterDI]]+TabVMEnv[[#This Row],[CoutGlobalSupplementaire]]</f>
        <v>91.470872849249886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55" s="5" t="str">
        <f>VLOOKUP(TabVMEnv[[#This Row],[EnvProjet]],TabEnvProjet[],5,FALSE)</f>
        <v>Pierre BOURLIEUX</v>
      </c>
      <c r="Z55" s="5">
        <f>VLOOKUP(TabVMEnv[[#This Row],[EnvProjet]],TabEnvProjet[],6,FALSE)</f>
        <v>305704</v>
      </c>
      <c r="AA55" s="5" t="str">
        <f>VLOOKUP(TabVMEnv[[#This Row],[EnvProjet]],TabEnvProjet[],3,FALSE)</f>
        <v>DEV</v>
      </c>
      <c r="AB55" s="5">
        <f>COUNTIF(TabVMEnv[VM],TabVMEnv[[#This Row],[VM]])</f>
        <v>1</v>
      </c>
    </row>
    <row r="56" spans="1:28" x14ac:dyDescent="0.25">
      <c r="A56" t="s">
        <v>241</v>
      </c>
      <c r="B56" t="s">
        <v>513</v>
      </c>
      <c r="E56" s="13"/>
      <c r="F56">
        <f>IF(VLOOKUP(TabVMEnv[[#This Row],[VM]],TabOceanet[],16,FALSE) = "Tarif_VM",IF(VLOOKUP(TabVMEnv[[#This Row],[VM]],TabOceanet[],2,FALSE)&lt;4,4,VLOOKUP(TabVMEnv[[#This Row],[VM]],TabOceanet[],2,FALSE)),0)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IF(VLOOKUP(TabVMEnv[[#This Row],[VM]],TabOceanet[],16,FALSE) = "Tarif_VM",1,0)/TabVMEnv[[#This Row],[Mutualisé]]</f>
        <v>1</v>
      </c>
      <c r="L56">
        <f>IF(VLOOKUP(TabVMEnv[[#This Row],[VM]],TabOceanet[],9,FALSE) = "PoweredOn",1,0)</f>
        <v>1</v>
      </c>
      <c r="M56">
        <f>TabVMEnv[[#This Row],[IsVMPoweredOn]]*VLOOKUP(TabVMEnv[[#This Row],[VM]],TabOceanet[],3,FALSE)/TabVMEnv[[#This Row],[Mutualisé]]</f>
        <v>4</v>
      </c>
      <c r="N56">
        <f>VLOOKUP(TabVMEnv[[#This Row],[VM]],TabOceanet[],4,FALSE)/TabVMEnv[[#This Row],[Mutualisé]]</f>
        <v>23</v>
      </c>
      <c r="O56">
        <f>IF(LEFT(VLOOKUP(TabVMEnv[[#This Row],[VM]],TabOceanet[],5,FALSE),3)="win",1,0)</f>
        <v>0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VLOOKUP(TabVMEnv[[#This Row],[EnvProjet]],TabEnvProjet[],4,FALSE)</f>
        <v>STMICRO/TMASI</v>
      </c>
      <c r="R56" s="5" t="str">
        <f>VLOOKUP(TabVMEnv[[#This Row],[SYGES]],TabContrat[],2,FALSE)</f>
        <v>STMICRO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11.690000000000001</v>
      </c>
      <c r="U56" s="25">
        <f>IF(TabVMEnv[[#This Row],[CostCenter]]="CostCenterDI",0,TabVMEnv[[#This Row],[CoutGlobal]])</f>
        <v>11.690000000000001</v>
      </c>
      <c r="V56" s="25">
        <f>TabVMEnv[[#This Row],[CoutGlobalSansCostCenterDI]]/TabVMEnv[[#Totals],[CoutGlobalSansCostCenterDI]]*(GlobalARepartirSansMS+GlobalARepartirMSOnly+GlobalARepartirInfraReseau)</f>
        <v>24.373895568557543</v>
      </c>
      <c r="W56" s="25">
        <f>TabVMEnv[[#This Row],[CoutGlobalSansCostCenterDI]]+TabVMEnv[[#This Row],[CoutGlobalSupplementaire]]</f>
        <v>36.063895568557541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56" s="5" t="str">
        <f>VLOOKUP(TabVMEnv[[#This Row],[EnvProjet]],TabEnvProjet[],5,FALSE)</f>
        <v>Jean-Philippe STROIAZZO</v>
      </c>
      <c r="Z56" s="5">
        <f>VLOOKUP(TabVMEnv[[#This Row],[EnvProjet]],TabEnvProjet[],6,FALSE)</f>
        <v>305704</v>
      </c>
      <c r="AA56" s="5" t="str">
        <f>VLOOKUP(TabVMEnv[[#This Row],[EnvProjet]],TabEnvProjet[],3,FALSE)</f>
        <v>DEV</v>
      </c>
      <c r="AB56" s="5">
        <f>COUNTIF(TabVMEnv[VM],TabVMEnv[[#This Row],[VM]])</f>
        <v>1</v>
      </c>
    </row>
    <row r="57" spans="1:28" x14ac:dyDescent="0.25">
      <c r="A57" t="s">
        <v>195</v>
      </c>
      <c r="B57" t="s">
        <v>486</v>
      </c>
      <c r="E57" s="13"/>
      <c r="F57">
        <f>IF(VLOOKUP(TabVMEnv[[#This Row],[VM]],TabOceanet[],16,FALSE) = "Tarif_VM",IF(VLOOKUP(TabVMEnv[[#This Row],[VM]],TabOceanet[],2,FALSE)&lt;4,4,VLOOKUP(TabVMEnv[[#This Row],[VM]],TabOceanet[],2,FALSE)),0)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IF(VLOOKUP(TabVMEnv[[#This Row],[VM]],TabOceanet[],16,FALSE) = "Tarif_VM",1,0)/TabVMEnv[[#This Row],[Mutualisé]]</f>
        <v>1</v>
      </c>
      <c r="L57">
        <f>IF(VLOOKUP(TabVMEnv[[#This Row],[VM]],TabOceanet[],9,FALSE) = "PoweredOn",1,0)</f>
        <v>1</v>
      </c>
      <c r="M57">
        <f>TabVMEnv[[#This Row],[IsVMPoweredOn]]*VLOOKUP(TabVMEnv[[#This Row],[VM]],TabOceanet[],3,FALSE)/TabVMEnv[[#This Row],[Mutualisé]]</f>
        <v>1</v>
      </c>
      <c r="N57">
        <f>VLOOKUP(TabVMEnv[[#This Row],[VM]],TabOceanet[],4,FALSE)/TabVMEnv[[#This Row],[Mutualisé]]</f>
        <v>26</v>
      </c>
      <c r="O57">
        <f>IF(LEFT(VLOOKUP(TabVMEnv[[#This Row],[VM]],TabOceanet[],5,FALSE),3)="win",1,0)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VLOOKUP(TabVMEnv[[#This Row],[EnvProjet]],TabEnvProjet[],4,FALSE)</f>
        <v>GFI Oceanet Infra Réseau Orléans</v>
      </c>
      <c r="R57" s="5" t="str">
        <f>VLOOKUP(TabVMEnv[[#This Row],[SYGES]],TabContrat[],2,FALSE)</f>
        <v>GFI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7.58</v>
      </c>
      <c r="U57" s="25">
        <f>IF(TabVMEnv[[#This Row],[CostCenter]]="CostCenterDI",0,TabVMEnv[[#This Row],[CoutGlobal]])</f>
        <v>7.58</v>
      </c>
      <c r="V57" s="25">
        <f>TabVMEnv[[#This Row],[CoutGlobalSansCostCenterDI]]/TabVMEnv[[#Totals],[CoutGlobalSansCostCenterDI]]*(GlobalARepartirSansMS+GlobalARepartirMSOnly+GlobalARepartirInfraReseau)</f>
        <v>15.804459230938082</v>
      </c>
      <c r="W57" s="25">
        <f>TabVMEnv[[#This Row],[CoutGlobalSansCostCenterDI]]+TabVMEnv[[#This Row],[CoutGlobalSupplementaire]]</f>
        <v>23.384459230938084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7" s="5" t="str">
        <f>VLOOKUP(TabVMEnv[[#This Row],[EnvProjet]],TabEnvProjet[],5,FALSE)</f>
        <v>Christophe ORLANDO</v>
      </c>
      <c r="Z57" s="5">
        <f>VLOOKUP(TabVMEnv[[#This Row],[EnvProjet]],TabEnvProjet[],6,FALSE)</f>
        <v>305704</v>
      </c>
      <c r="AA57" s="5" t="str">
        <f>VLOOKUP(TabVMEnv[[#This Row],[EnvProjet]],TabEnvProjet[],3,FALSE)</f>
        <v>SOCLE</v>
      </c>
      <c r="AB57" s="5">
        <f>COUNTIF(TabVMEnv[VM],TabVMEnv[[#This Row],[VM]])</f>
        <v>1</v>
      </c>
    </row>
    <row r="58" spans="1:28" x14ac:dyDescent="0.25">
      <c r="A58" t="s">
        <v>193</v>
      </c>
      <c r="B58" t="s">
        <v>486</v>
      </c>
      <c r="E58" s="13"/>
      <c r="F58">
        <f>IF(VLOOKUP(TabVMEnv[[#This Row],[VM]],TabOceanet[],16,FALSE) = "Tarif_VM",IF(VLOOKUP(TabVMEnv[[#This Row],[VM]],TabOceanet[],2,FALSE)&lt;4,4,VLOOKUP(TabVMEnv[[#This Row],[VM]],TabOceanet[],2,FALSE)),0)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IF(VLOOKUP(TabVMEnv[[#This Row],[VM]],TabOceanet[],16,FALSE) = "Tarif_VM",1,0)/TabVMEnv[[#This Row],[Mutualisé]]</f>
        <v>1</v>
      </c>
      <c r="L58">
        <f>IF(VLOOKUP(TabVMEnv[[#This Row],[VM]],TabOceanet[],9,FALSE) = "PoweredOn",1,0)</f>
        <v>1</v>
      </c>
      <c r="M58">
        <f>TabVMEnv[[#This Row],[IsVMPoweredOn]]*VLOOKUP(TabVMEnv[[#This Row],[VM]],TabOceanet[],3,FALSE)/TabVMEnv[[#This Row],[Mutualisé]]</f>
        <v>2</v>
      </c>
      <c r="N58">
        <f>VLOOKUP(TabVMEnv[[#This Row],[VM]],TabOceanet[],4,FALSE)/TabVMEnv[[#This Row],[Mutualisé]]</f>
        <v>20</v>
      </c>
      <c r="O58">
        <f>IF(LEFT(VLOOKUP(TabVMEnv[[#This Row],[VM]],TabOceanet[],5,FALSE),3)="win",1,0)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VLOOKUP(TabVMEnv[[#This Row],[EnvProjet]],TabEnvProjet[],4,FALSE)</f>
        <v>GFI Oceanet Infra Réseau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7.8000000000000007</v>
      </c>
      <c r="U58" s="25">
        <f>IF(TabVMEnv[[#This Row],[CostCenter]]="CostCenterDI",0,TabVMEnv[[#This Row],[CoutGlobal]])</f>
        <v>7.8000000000000007</v>
      </c>
      <c r="V58" s="25">
        <f>TabVMEnv[[#This Row],[CoutGlobalSansCostCenterDI]]/TabVMEnv[[#Totals],[CoutGlobalSansCostCenterDI]]*(GlobalARepartirSansMS+GlobalARepartirMSOnly+GlobalARepartirInfraReseau)</f>
        <v>16.263163852416497</v>
      </c>
      <c r="W58" s="25">
        <f>TabVMEnv[[#This Row],[CoutGlobalSansCostCenterDI]]+TabVMEnv[[#This Row],[CoutGlobalSupplementaire]]</f>
        <v>24.063163852416498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8" s="5" t="str">
        <f>VLOOKUP(TabVMEnv[[#This Row],[EnvProjet]],TabEnvProjet[],5,FALSE)</f>
        <v>Christophe ORLANDO</v>
      </c>
      <c r="Z58" s="5">
        <f>VLOOKUP(TabVMEnv[[#This Row],[EnvProjet]],TabEnvProjet[],6,FALSE)</f>
        <v>305704</v>
      </c>
      <c r="AA58" s="5" t="str">
        <f>VLOOKUP(TabVMEnv[[#This Row],[EnvProjet]],TabEnvProjet[],3,FALSE)</f>
        <v>SOCLE</v>
      </c>
      <c r="AB58" s="5">
        <f>COUNTIF(TabVMEnv[VM],TabVMEnv[[#This Row],[VM]])</f>
        <v>1</v>
      </c>
    </row>
    <row r="59" spans="1:28" x14ac:dyDescent="0.25">
      <c r="A59" t="s">
        <v>194</v>
      </c>
      <c r="B59" t="s">
        <v>486</v>
      </c>
      <c r="E59" s="13"/>
      <c r="F59">
        <f>IF(VLOOKUP(TabVMEnv[[#This Row],[VM]],TabOceanet[],16,FALSE) = "Tarif_VM",IF(VLOOKUP(TabVMEnv[[#This Row],[VM]],TabOceanet[],2,FALSE)&lt;4,4,VLOOKUP(TabVMEnv[[#This Row],[VM]],TabOceanet[],2,FALSE)),0)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IF(VLOOKUP(TabVMEnv[[#This Row],[VM]],TabOceanet[],16,FALSE) = "Tarif_VM",1,0)/TabVMEnv[[#This Row],[Mutualisé]]</f>
        <v>1</v>
      </c>
      <c r="L59">
        <f>IF(VLOOKUP(TabVMEnv[[#This Row],[VM]],TabOceanet[],9,FALSE) = "PoweredOn",1,0)</f>
        <v>1</v>
      </c>
      <c r="M59">
        <f>TabVMEnv[[#This Row],[IsVMPoweredOn]]*VLOOKUP(TabVMEnv[[#This Row],[VM]],TabOceanet[],3,FALSE)/TabVMEnv[[#This Row],[Mutualisé]]</f>
        <v>6</v>
      </c>
      <c r="N59">
        <f>VLOOKUP(TabVMEnv[[#This Row],[VM]],TabOceanet[],4,FALSE)/TabVMEnv[[#This Row],[Mutualisé]]</f>
        <v>220</v>
      </c>
      <c r="O59">
        <f>IF(LEFT(VLOOKUP(TabVMEnv[[#This Row],[VM]],TabOceanet[],5,FALSE),3)="win",1,0)</f>
        <v>1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VLOOKUP(TabVMEnv[[#This Row],[EnvProjet]],TabEnvProjet[],4,FALSE)</f>
        <v>GFI Oceanet Infra Réseau Orléans</v>
      </c>
      <c r="R59" s="5" t="str">
        <f>VLOOKUP(TabVMEnv[[#This Row],[SYGES]],TabContrat[],2,FALSE)</f>
        <v>GFI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60.2</v>
      </c>
      <c r="U59" s="25">
        <f>IF(TabVMEnv[[#This Row],[CostCenter]]="CostCenterDI",0,TabVMEnv[[#This Row],[CoutGlobal]])</f>
        <v>60.2</v>
      </c>
      <c r="V59" s="25">
        <f>TabVMEnv[[#This Row],[CoutGlobalSansCostCenterDI]]/TabVMEnv[[#Totals],[CoutGlobalSansCostCenterDI]]*(GlobalARepartirSansMS+GlobalARepartirMSOnly+GlobalARepartirInfraReseau)</f>
        <v>125.51826460454782</v>
      </c>
      <c r="W59" s="25">
        <f>TabVMEnv[[#This Row],[CoutGlobalSansCostCenterDI]]+TabVMEnv[[#This Row],[CoutGlobalSupplementaire]]</f>
        <v>185.71826460454781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9" s="5" t="str">
        <f>VLOOKUP(TabVMEnv[[#This Row],[EnvProjet]],TabEnvProjet[],5,FALSE)</f>
        <v>Christophe ORLANDO</v>
      </c>
      <c r="Z59" s="5">
        <f>VLOOKUP(TabVMEnv[[#This Row],[EnvProjet]],TabEnvProjet[],6,FALSE)</f>
        <v>305704</v>
      </c>
      <c r="AA59" s="5" t="str">
        <f>VLOOKUP(TabVMEnv[[#This Row],[EnvProjet]],TabEnvProjet[],3,FALSE)</f>
        <v>SOCLE</v>
      </c>
      <c r="AB59" s="5">
        <f>COUNTIF(TabVMEnv[VM],TabVMEnv[[#This Row],[VM]])</f>
        <v>1</v>
      </c>
    </row>
    <row r="60" spans="1:28" x14ac:dyDescent="0.25">
      <c r="A60" t="s">
        <v>244</v>
      </c>
      <c r="B60" t="s">
        <v>512</v>
      </c>
      <c r="E60" s="13"/>
      <c r="F60">
        <f>IF(VLOOKUP(TabVMEnv[[#This Row],[VM]],TabOceanet[],16,FALSE) = "Tarif_VM",IF(VLOOKUP(TabVMEnv[[#This Row],[VM]],TabOceanet[],2,FALSE)&lt;4,4,VLOOKUP(TabVMEnv[[#This Row],[VM]],TabOceanet[],2,FALSE)),0)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IF(VLOOKUP(TabVMEnv[[#This Row],[VM]],TabOceanet[],16,FALSE) = "Tarif_VM",1,0)/TabVMEnv[[#This Row],[Mutualisé]]</f>
        <v>1</v>
      </c>
      <c r="L60">
        <f>IF(VLOOKUP(TabVMEnv[[#This Row],[VM]],TabOceanet[],9,FALSE) = "PoweredOn",1,0)</f>
        <v>1</v>
      </c>
      <c r="M60">
        <f>TabVMEnv[[#This Row],[IsVMPoweredOn]]*VLOOKUP(TabVMEnv[[#This Row],[VM]],TabOceanet[],3,FALSE)/TabVMEnv[[#This Row],[Mutualisé]]</f>
        <v>2</v>
      </c>
      <c r="N60">
        <f>VLOOKUP(TabVMEnv[[#This Row],[VM]],TabOceanet[],4,FALSE)/TabVMEnv[[#This Row],[Mutualisé]]</f>
        <v>40</v>
      </c>
      <c r="O60">
        <f>IF(LEFT(VLOOKUP(TabVMEnv[[#This Row],[VM]],TabOceanet[],5,FALSE),3)="win",1,0)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VLOOKUP(TabVMEnv[[#This Row],[EnvProjet]],TabEnvProjet[],4,FALSE)</f>
        <v>STMICRO/TMA-R2R-17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12.400000000000002</v>
      </c>
      <c r="U60" s="25">
        <f>IF(TabVMEnv[[#This Row],[CostCenter]]="CostCenterDI",0,TabVMEnv[[#This Row],[CoutGlobal]])</f>
        <v>12.400000000000002</v>
      </c>
      <c r="V60" s="25">
        <f>TabVMEnv[[#This Row],[CoutGlobalSansCostCenterDI]]/TabVMEnv[[#Totals],[CoutGlobalSansCostCenterDI]]*(GlobalARepartirSansMS+GlobalARepartirMSOnly+GlobalARepartirInfraReseau)</f>
        <v>25.85426048332879</v>
      </c>
      <c r="W60" s="25">
        <f>TabVMEnv[[#This Row],[CoutGlobalSansCostCenterDI]]+TabVMEnv[[#This Row],[CoutGlobalSupplementaire]]</f>
        <v>38.254260483328792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60" s="5" t="str">
        <f>VLOOKUP(TabVMEnv[[#This Row],[EnvProjet]],TabEnvProjet[],5,FALSE)</f>
        <v>Jean-Philippe STROIAZZO</v>
      </c>
      <c r="Z60" s="5">
        <f>VLOOKUP(TabVMEnv[[#This Row],[EnvProjet]],TabEnvProjet[],6,FALSE)</f>
        <v>305704</v>
      </c>
      <c r="AA60" s="5" t="str">
        <f>VLOOKUP(TabVMEnv[[#This Row],[EnvProjet]],TabEnvProjet[],3,FALSE)</f>
        <v>DEV</v>
      </c>
      <c r="AB60" s="5">
        <f>COUNTIF(TabVMEnv[VM],TabVMEnv[[#This Row],[VM]])</f>
        <v>1</v>
      </c>
    </row>
    <row r="61" spans="1:28" x14ac:dyDescent="0.25">
      <c r="A61" t="s">
        <v>99</v>
      </c>
      <c r="B61" t="s">
        <v>519</v>
      </c>
      <c r="E61" s="13"/>
      <c r="F61">
        <f>IF(VLOOKUP(TabVMEnv[[#This Row],[VM]],TabOceanet[],16,FALSE) = "Tarif_VM",IF(VLOOKUP(TabVMEnv[[#This Row],[VM]],TabOceanet[],2,FALSE)&lt;4,4,VLOOKUP(TabVMEnv[[#This Row],[VM]],TabOceanet[],2,FALSE)),0)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IF(VLOOKUP(TabVMEnv[[#This Row],[VM]],TabOceanet[],16,FALSE) = "Tarif_VM",1,0)/TabVMEnv[[#This Row],[Mutualisé]]</f>
        <v>1</v>
      </c>
      <c r="L61">
        <f>IF(VLOOKUP(TabVMEnv[[#This Row],[VM]],TabOceanet[],9,FALSE) = "PoweredOn",1,0)</f>
        <v>1</v>
      </c>
      <c r="M61">
        <f>TabVMEnv[[#This Row],[IsVMPoweredOn]]*VLOOKUP(TabVMEnv[[#This Row],[VM]],TabOceanet[],3,FALSE)/TabVMEnv[[#This Row],[Mutualisé]]</f>
        <v>2</v>
      </c>
      <c r="N61">
        <f>VLOOKUP(TabVMEnv[[#This Row],[VM]],TabOceanet[],4,FALSE)/TabVMEnv[[#This Row],[Mutualisé]]</f>
        <v>50</v>
      </c>
      <c r="O61">
        <f>IF(LEFT(VLOOKUP(TabVMEnv[[#This Row],[VM]],TabOceanet[],5,FALSE),3)="win",1,0)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VLOOKUP(TabVMEnv[[#This Row],[EnvProjet]],TabEnvProjet[],4,FALSE)</f>
        <v>FRR/TMASI</v>
      </c>
      <c r="R61" s="5" t="str">
        <f>VLOOKUP(TabVMEnv[[#This Row],[SYGES]],TabContrat[],2,FALSE)</f>
        <v>FRR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14.7</v>
      </c>
      <c r="U61" s="25">
        <f>IF(TabVMEnv[[#This Row],[CostCenter]]="CostCenterDI",0,TabVMEnv[[#This Row],[CoutGlobal]])</f>
        <v>14.7</v>
      </c>
      <c r="V61" s="25">
        <f>TabVMEnv[[#This Row],[CoutGlobalSansCostCenterDI]]/TabVMEnv[[#Totals],[CoutGlobalSansCostCenterDI]]*(GlobalARepartirSansMS+GlobalARepartirMSOnly+GlobalARepartirInfraReseau)</f>
        <v>30.649808798784928</v>
      </c>
      <c r="W61" s="25">
        <f>TabVMEnv[[#This Row],[CoutGlobalSansCostCenterDI]]+TabVMEnv[[#This Row],[CoutGlobalSupplementaire]]</f>
        <v>45.349808798784927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61" s="5" t="str">
        <f>VLOOKUP(TabVMEnv[[#This Row],[EnvProjet]],TabEnvProjet[],5,FALSE)</f>
        <v>Rodolphe Habegger</v>
      </c>
      <c r="Z61" s="5">
        <f>VLOOKUP(TabVMEnv[[#This Row],[EnvProjet]],TabEnvProjet[],6,FALSE)</f>
        <v>305704</v>
      </c>
      <c r="AA61" s="5" t="str">
        <f>VLOOKUP(TabVMEnv[[#This Row],[EnvProjet]],TabEnvProjet[],3,FALSE)</f>
        <v>RECETTE</v>
      </c>
      <c r="AB61" s="5">
        <f>COUNTIF(TabVMEnv[VM],TabVMEnv[[#This Row],[VM]])</f>
        <v>1</v>
      </c>
    </row>
    <row r="62" spans="1:28" x14ac:dyDescent="0.25">
      <c r="A62" t="s">
        <v>184</v>
      </c>
      <c r="B62" t="s">
        <v>520</v>
      </c>
      <c r="E62" s="13"/>
      <c r="F62">
        <f>IF(VLOOKUP(TabVMEnv[[#This Row],[VM]],TabOceanet[],16,FALSE) = "Tarif_VM",IF(VLOOKUP(TabVMEnv[[#This Row],[VM]],TabOceanet[],2,FALSE)&lt;4,4,VLOOKUP(TabVMEnv[[#This Row],[VM]],TabOceanet[],2,FALSE)),0)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IF(VLOOKUP(TabVMEnv[[#This Row],[VM]],TabOceanet[],16,FALSE) = "Tarif_VM",1,0)/TabVMEnv[[#This Row],[Mutualisé]]</f>
        <v>1</v>
      </c>
      <c r="L62">
        <f>IF(VLOOKUP(TabVMEnv[[#This Row],[VM]],TabOceanet[],9,FALSE) = "PoweredOn",1,0)</f>
        <v>1</v>
      </c>
      <c r="M62">
        <f>TabVMEnv[[#This Row],[IsVMPoweredOn]]*VLOOKUP(TabVMEnv[[#This Row],[VM]],TabOceanet[],3,FALSE)/TabVMEnv[[#This Row],[Mutualisé]]</f>
        <v>2</v>
      </c>
      <c r="N62">
        <f>VLOOKUP(TabVMEnv[[#This Row],[VM]],TabOceanet[],4,FALSE)/TabVMEnv[[#This Row],[Mutualisé]]</f>
        <v>60</v>
      </c>
      <c r="O62">
        <f>IF(LEFT(VLOOKUP(TabVMEnv[[#This Row],[VM]],TabOceanet[],5,FALSE),3)="win",1,0)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VLOOKUP(TabVMEnv[[#This Row],[EnvProjet]],TabEnvProjet[],4,FALSE)</f>
        <v>GFI Oceanet Orléans PIC</v>
      </c>
      <c r="R62" s="5" t="str">
        <f>VLOOKUP(TabVMEnv[[#This Row],[SYGES]],TabContrat[],2,FALSE)</f>
        <v>GFI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17</v>
      </c>
      <c r="U62" s="25">
        <f>IF(TabVMEnv[[#This Row],[CostCenter]]="CostCenterDI",0,TabVMEnv[[#This Row],[CoutGlobal]])</f>
        <v>17</v>
      </c>
      <c r="V62" s="25">
        <f>TabVMEnv[[#This Row],[CoutGlobalSansCostCenterDI]]/TabVMEnv[[#Totals],[CoutGlobalSansCostCenterDI]]*(GlobalARepartirSansMS+GlobalARepartirMSOnly+GlobalARepartirInfraReseau)</f>
        <v>35.445357114241077</v>
      </c>
      <c r="W62" s="25">
        <f>TabVMEnv[[#This Row],[CoutGlobalSansCostCenterDI]]+TabVMEnv[[#This Row],[CoutGlobalSupplementaire]]</f>
        <v>52.445357114241077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62" s="5" t="str">
        <f>VLOOKUP(TabVMEnv[[#This Row],[EnvProjet]],TabEnvProjet[],5,FALSE)</f>
        <v>Christophe ORLANDO</v>
      </c>
      <c r="Z62" s="5">
        <f>VLOOKUP(TabVMEnv[[#This Row],[EnvProjet]],TabEnvProjet[],6,FALSE)</f>
        <v>305704</v>
      </c>
      <c r="AA62" s="5" t="str">
        <f>VLOOKUP(TabVMEnv[[#This Row],[EnvProjet]],TabEnvProjet[],3,FALSE)</f>
        <v>QUAL_BUILD</v>
      </c>
      <c r="AB62" s="5">
        <f>COUNTIF(TabVMEnv[VM],TabVMEnv[[#This Row],[VM]])</f>
        <v>1</v>
      </c>
    </row>
    <row r="63" spans="1:28" x14ac:dyDescent="0.25">
      <c r="A63" t="s">
        <v>231</v>
      </c>
      <c r="B63" t="s">
        <v>487</v>
      </c>
      <c r="E63" s="13"/>
      <c r="F63">
        <f>IF(VLOOKUP(TabVMEnv[[#This Row],[VM]],TabOceanet[],16,FALSE) = "Tarif_VM",IF(VLOOKUP(TabVMEnv[[#This Row],[VM]],TabOceanet[],2,FALSE)&lt;4,4,VLOOKUP(TabVMEnv[[#This Row],[VM]],TabOceanet[],2,FALSE)),0)</f>
        <v>4</v>
      </c>
      <c r="G63">
        <v>0</v>
      </c>
      <c r="H63">
        <v>1</v>
      </c>
      <c r="I63">
        <v>0</v>
      </c>
      <c r="J63" s="24">
        <v>4</v>
      </c>
      <c r="K63" s="24">
        <f>IF(VLOOKUP(TabVMEnv[[#This Row],[VM]],TabOceanet[],16,FALSE) = "Tarif_VM",1,0)/TabVMEnv[[#This Row],[Mutualisé]]</f>
        <v>1</v>
      </c>
      <c r="L63" s="24">
        <f>IF(VLOOKUP(TabVMEnv[[#This Row],[VM]],TabOceanet[],9,FALSE) = "PoweredOn",1,0)</f>
        <v>1</v>
      </c>
      <c r="M63" s="24">
        <f>TabVMEnv[[#This Row],[IsVMPoweredOn]]*VLOOKUP(TabVMEnv[[#This Row],[VM]],TabOceanet[],3,FALSE)/TabVMEnv[[#This Row],[Mutualisé]]</f>
        <v>8</v>
      </c>
      <c r="N63" s="24">
        <f>VLOOKUP(TabVMEnv[[#This Row],[VM]],TabOceanet[],4,FALSE)/TabVMEnv[[#This Row],[Mutualisé]]</f>
        <v>270</v>
      </c>
      <c r="O63" s="24">
        <f>IF(LEFT(VLOOKUP(TabVMEnv[[#This Row],[VM]],TabOceanet[],5,FALSE),3)="win",1,0)</f>
        <v>1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63" t="str">
        <f>VLOOKUP(TabVMEnv[[#This Row],[EnvProjet]],TabEnvProjet[],4,FALSE)</f>
        <v>IT-CE/DFA</v>
      </c>
      <c r="R63" s="5" t="str">
        <f>VLOOKUP(TabVMEnv[[#This Row],[SYGES]],TabContrat[],2,FALSE)</f>
        <v>IT-CE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74.900000000000006</v>
      </c>
      <c r="U63" s="25">
        <f>IF(TabVMEnv[[#This Row],[CostCenter]]="CostCenterDI",0,TabVMEnv[[#This Row],[CoutGlobal]])</f>
        <v>74.900000000000006</v>
      </c>
      <c r="V63" s="25">
        <f>TabVMEnv[[#This Row],[CoutGlobalSansCostCenterDI]]/TabVMEnv[[#Totals],[CoutGlobalSansCostCenterDI]]*(GlobalARepartirSansMS+GlobalARepartirMSOnly+GlobalARepartirInfraReseau)</f>
        <v>156.16807340333278</v>
      </c>
      <c r="W63" s="25">
        <f>TabVMEnv[[#This Row],[CoutGlobalSansCostCenterDI]]+TabVMEnv[[#This Row],[CoutGlobalSupplementaire]]</f>
        <v>231.06807340333279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63" s="5" t="str">
        <f>VLOOKUP(TabVMEnv[[#This Row],[EnvProjet]],TabEnvProjet[],5,FALSE)</f>
        <v>Christophe ORLANDO</v>
      </c>
      <c r="Z63" s="5">
        <f>VLOOKUP(TabVMEnv[[#This Row],[EnvProjet]],TabEnvProjet[],6,FALSE)</f>
        <v>305704</v>
      </c>
      <c r="AA63" s="5" t="str">
        <f>VLOOKUP(TabVMEnv[[#This Row],[EnvProjet]],TabEnvProjet[],3,FALSE)</f>
        <v>TMA</v>
      </c>
      <c r="AB63" s="5">
        <f>COUNTIF(TabVMEnv[VM],TabVMEnv[[#This Row],[VM]])</f>
        <v>1</v>
      </c>
    </row>
    <row r="64" spans="1:28" x14ac:dyDescent="0.25">
      <c r="A64" t="s">
        <v>152</v>
      </c>
      <c r="B64" t="s">
        <v>484</v>
      </c>
      <c r="D64">
        <v>5</v>
      </c>
      <c r="E64" s="13" t="s">
        <v>521</v>
      </c>
      <c r="F64">
        <f>IF(VLOOKUP(TabVMEnv[[#This Row],[VM]],TabOceanet[],16,FALSE) = "Tarif_VM",IF(VLOOKUP(TabVMEnv[[#This Row],[VM]],TabOceanet[],2,FALSE)&lt;4,4,VLOOKUP(TabVMEnv[[#This Row],[VM]],TabOceanet[],2,FALSE)),0)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IF(VLOOKUP(TabVMEnv[[#This Row],[VM]],TabOceanet[],16,FALSE) = "Tarif_VM",1,0)/TabVMEnv[[#This Row],[Mutualisé]]</f>
        <v>1</v>
      </c>
      <c r="L64">
        <f>IF(VLOOKUP(TabVMEnv[[#This Row],[VM]],TabOceanet[],9,FALSE) = "PoweredOn",1,0)</f>
        <v>1</v>
      </c>
      <c r="M64">
        <f>TabVMEnv[[#This Row],[IsVMPoweredOn]]*VLOOKUP(TabVMEnv[[#This Row],[VM]],TabOceanet[],3,FALSE)/TabVMEnv[[#This Row],[Mutualisé]]</f>
        <v>2</v>
      </c>
      <c r="N64">
        <f>VLOOKUP(TabVMEnv[[#This Row],[VM]],TabOceanet[],4,FALSE)/TabVMEnv[[#This Row],[Mutualisé]]</f>
        <v>19</v>
      </c>
      <c r="O64">
        <f>IF(LEFT(VLOOKUP(TabVMEnv[[#This Row],[VM]],TabOceanet[],5,FALSE),3)="win",1,0)</f>
        <v>0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VLOOKUP(TabVMEnv[[#This Row],[EnvProjet]],TabEnvProjet[],4,FALSE)</f>
        <v>GFI Oceanet Infra Réseau</v>
      </c>
      <c r="R64" s="5" t="str">
        <f>VLOOKUP(TabVMEnv[[#This Row],[SYGES]],TabContrat[],2,FALSE)</f>
        <v>GFI</v>
      </c>
      <c r="S64" s="5" t="str">
        <f>IF(VLOOKUP(TabVMEnv[[#This Row],[VM]],TabOceanet[],1,FALSE) = "","Disparue","")</f>
        <v/>
      </c>
      <c r="T64" s="17">
        <f>VLOOKUP(TabVMEnv[[#This Row],[VM]],TabOceanet[],36,FALSE)/TabVMEnv[[#This Row],[Mutualisé]]</f>
        <v>7.57</v>
      </c>
      <c r="U64" s="17">
        <f>IF(TabVMEnv[[#This Row],[CostCenter]]="CostCenterDI",0,TabVMEnv[[#This Row],[CoutGlobal]])</f>
        <v>0</v>
      </c>
      <c r="V64" s="17">
        <f>TabVMEnv[[#This Row],[CoutGlobalSansCostCenterDI]]/TabVMEnv[[#Totals],[CoutGlobalSansCostCenterDI]]*(GlobalARepartirSansMS+GlobalARepartirMSOnly+GlobalARepartirInfraReseau)</f>
        <v>0</v>
      </c>
      <c r="W64" s="17">
        <f>TabVMEnv[[#This Row],[CoutGlobalSansCostCenterDI]]+TabVMEnv[[#This Row],[CoutGlobalSupplementaire]]</f>
        <v>0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4" s="5" t="str">
        <f>VLOOKUP(TabVMEnv[[#This Row],[EnvProjet]],TabEnvProjet[],5,FALSE)</f>
        <v>Jérôme JACOB</v>
      </c>
      <c r="Z64" s="5" t="str">
        <f>VLOOKUP(TabVMEnv[[#This Row],[EnvProjet]],TabEnvProjet[],6,FALSE)</f>
        <v>CostCenterDI</v>
      </c>
      <c r="AA64" s="5" t="str">
        <f>VLOOKUP(TabVMEnv[[#This Row],[EnvProjet]],TabEnvProjet[],3,FALSE)</f>
        <v>SOCLE</v>
      </c>
      <c r="AB64" s="5">
        <f>COUNTIF(TabVMEnv[VM],TabVMEnv[[#This Row],[VM]])</f>
        <v>1</v>
      </c>
    </row>
    <row r="65" spans="1:28" x14ac:dyDescent="0.25">
      <c r="A65" t="s">
        <v>153</v>
      </c>
      <c r="B65" t="s">
        <v>484</v>
      </c>
      <c r="D65">
        <v>2</v>
      </c>
      <c r="E65" s="13" t="s">
        <v>522</v>
      </c>
      <c r="F65">
        <f>IF(VLOOKUP(TabVMEnv[[#This Row],[VM]],TabOceanet[],16,FALSE) = "Tarif_VM",IF(VLOOKUP(TabVMEnv[[#This Row],[VM]],TabOceanet[],2,FALSE)&lt;4,4,VLOOKUP(TabVMEnv[[#This Row],[VM]],TabOceanet[],2,FALSE)),0)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IF(VLOOKUP(TabVMEnv[[#This Row],[VM]],TabOceanet[],16,FALSE) = "Tarif_VM",1,0)/TabVMEnv[[#This Row],[Mutualisé]]</f>
        <v>1</v>
      </c>
      <c r="L65">
        <f>IF(VLOOKUP(TabVMEnv[[#This Row],[VM]],TabOceanet[],9,FALSE) = "PoweredOn",1,0)</f>
        <v>1</v>
      </c>
      <c r="M65">
        <f>TabVMEnv[[#This Row],[IsVMPoweredOn]]*VLOOKUP(TabVMEnv[[#This Row],[VM]],TabOceanet[],3,FALSE)/TabVMEnv[[#This Row],[Mutualisé]]</f>
        <v>1</v>
      </c>
      <c r="N65">
        <f>VLOOKUP(TabVMEnv[[#This Row],[VM]],TabOceanet[],4,FALSE)/TabVMEnv[[#This Row],[Mutualisé]]</f>
        <v>4</v>
      </c>
      <c r="O65">
        <f>IF(LEFT(VLOOKUP(TabVMEnv[[#This Row],[VM]],TabOceanet[],5,FALSE),3)="win",1,0)</f>
        <v>0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VLOOKUP(TabVMEnv[[#This Row],[EnvProjet]],TabEnvProjet[],4,FALSE)</f>
        <v>GFI Oceanet Infra Réseau</v>
      </c>
      <c r="R65" s="5" t="str">
        <f>VLOOKUP(TabVMEnv[[#This Row],[SYGES]],TabContrat[],2,FALSE)</f>
        <v>GFI</v>
      </c>
      <c r="S65" s="5" t="str">
        <f>IF(VLOOKUP(TabVMEnv[[#This Row],[VM]],TabOceanet[],1,FALSE) = "","Disparue","")</f>
        <v/>
      </c>
      <c r="T65" s="17">
        <f>VLOOKUP(TabVMEnv[[#This Row],[VM]],TabOceanet[],36,FALSE)/TabVMEnv[[#This Row],[Mutualisé]]</f>
        <v>2.52</v>
      </c>
      <c r="U65" s="17">
        <f>IF(TabVMEnv[[#This Row],[CostCenter]]="CostCenterDI",0,TabVMEnv[[#This Row],[CoutGlobal]])</f>
        <v>0</v>
      </c>
      <c r="V65" s="17">
        <f>TabVMEnv[[#This Row],[CoutGlobalSansCostCenterDI]]/TabVMEnv[[#Totals],[CoutGlobalSansCostCenterDI]]*(GlobalARepartirSansMS+GlobalARepartirMSOnly+GlobalARepartirInfraReseau)</f>
        <v>0</v>
      </c>
      <c r="W65" s="17">
        <f>TabVMEnv[[#This Row],[CoutGlobalSansCostCenterDI]]+TabVMEnv[[#This Row],[CoutGlobalSupplementaire]]</f>
        <v>0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5" s="5" t="str">
        <f>VLOOKUP(TabVMEnv[[#This Row],[EnvProjet]],TabEnvProjet[],5,FALSE)</f>
        <v>Jérôme JACOB</v>
      </c>
      <c r="Z65" s="5" t="str">
        <f>VLOOKUP(TabVMEnv[[#This Row],[EnvProjet]],TabEnvProjet[],6,FALSE)</f>
        <v>CostCenterDI</v>
      </c>
      <c r="AA65" s="5" t="str">
        <f>VLOOKUP(TabVMEnv[[#This Row],[EnvProjet]],TabEnvProjet[],3,FALSE)</f>
        <v>SOCLE</v>
      </c>
      <c r="AB65" s="5">
        <f>COUNTIF(TabVMEnv[VM],TabVMEnv[[#This Row],[VM]])</f>
        <v>1</v>
      </c>
    </row>
    <row r="66" spans="1:28" x14ac:dyDescent="0.25">
      <c r="A66" t="s">
        <v>154</v>
      </c>
      <c r="B66" t="s">
        <v>484</v>
      </c>
      <c r="D66">
        <v>0</v>
      </c>
      <c r="E66" s="13" t="s">
        <v>522</v>
      </c>
      <c r="F66">
        <f>IF(VLOOKUP(TabVMEnv[[#This Row],[VM]],TabOceanet[],16,FALSE) = "Tarif_VM",IF(VLOOKUP(TabVMEnv[[#This Row],[VM]],TabOceanet[],2,FALSE)&lt;4,4,VLOOKUP(TabVMEnv[[#This Row],[VM]],TabOceanet[],2,FALSE)),0)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IF(VLOOKUP(TabVMEnv[[#This Row],[VM]],TabOceanet[],16,FALSE) = "Tarif_VM",1,0)/TabVMEnv[[#This Row],[Mutualisé]]</f>
        <v>1</v>
      </c>
      <c r="L66">
        <f>IF(VLOOKUP(TabVMEnv[[#This Row],[VM]],TabOceanet[],9,FALSE) = "PoweredOn",1,0)</f>
        <v>1</v>
      </c>
      <c r="M66">
        <f>TabVMEnv[[#This Row],[IsVMPoweredOn]]*VLOOKUP(TabVMEnv[[#This Row],[VM]],TabOceanet[],3,FALSE)/TabVMEnv[[#This Row],[Mutualisé]]</f>
        <v>1</v>
      </c>
      <c r="N66">
        <f>VLOOKUP(TabVMEnv[[#This Row],[VM]],TabOceanet[],4,FALSE)/TabVMEnv[[#This Row],[Mutualisé]]</f>
        <v>4</v>
      </c>
      <c r="O66">
        <f>IF(LEFT(VLOOKUP(TabVMEnv[[#This Row],[VM]],TabOceanet[],5,FALSE),3)="win",1,0)</f>
        <v>0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VLOOKUP(TabVMEnv[[#This Row],[EnvProjet]],TabEnvProjet[],4,FALSE)</f>
        <v>GFI Oceanet Infra Réseau</v>
      </c>
      <c r="R66" s="5" t="str">
        <f>VLOOKUP(TabVMEnv[[#This Row],[SYGES]],TabContrat[],2,FALSE)</f>
        <v>GFI</v>
      </c>
      <c r="S66" s="5" t="str">
        <f>IF(VLOOKUP(TabVMEnv[[#This Row],[VM]],TabOceanet[],1,FALSE) = "","Disparue","")</f>
        <v/>
      </c>
      <c r="T66" s="17">
        <f>VLOOKUP(TabVMEnv[[#This Row],[VM]],TabOceanet[],36,FALSE)/TabVMEnv[[#This Row],[Mutualisé]]</f>
        <v>2.52</v>
      </c>
      <c r="U66" s="17">
        <f>IF(TabVMEnv[[#This Row],[CostCenter]]="CostCenterDI",0,TabVMEnv[[#This Row],[CoutGlobal]])</f>
        <v>0</v>
      </c>
      <c r="V66" s="17">
        <f>TabVMEnv[[#This Row],[CoutGlobalSansCostCenterDI]]/TabVMEnv[[#Totals],[CoutGlobalSansCostCenterDI]]*(GlobalARepartirSansMS+GlobalARepartirMSOnly+GlobalARepartirInfraReseau)</f>
        <v>0</v>
      </c>
      <c r="W66" s="17">
        <f>TabVMEnv[[#This Row],[CoutGlobalSansCostCenterDI]]+TabVMEnv[[#This Row],[CoutGlobalSupplementaire]]</f>
        <v>0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6" s="5" t="str">
        <f>VLOOKUP(TabVMEnv[[#This Row],[EnvProjet]],TabEnvProjet[],5,FALSE)</f>
        <v>Jérôme JACOB</v>
      </c>
      <c r="Z66" s="5" t="str">
        <f>VLOOKUP(TabVMEnv[[#This Row],[EnvProjet]],TabEnvProjet[],6,FALSE)</f>
        <v>CostCenterDI</v>
      </c>
      <c r="AA66" s="5" t="str">
        <f>VLOOKUP(TabVMEnv[[#This Row],[EnvProjet]],TabEnvProjet[],3,FALSE)</f>
        <v>SOCLE</v>
      </c>
      <c r="AB66" s="5">
        <f>COUNTIF(TabVMEnv[VM],TabVMEnv[[#This Row],[VM]])</f>
        <v>1</v>
      </c>
    </row>
    <row r="67" spans="1:28" x14ac:dyDescent="0.25">
      <c r="A67" t="s">
        <v>155</v>
      </c>
      <c r="B67" t="s">
        <v>484</v>
      </c>
      <c r="D67">
        <v>0</v>
      </c>
      <c r="E67" s="13" t="s">
        <v>483</v>
      </c>
      <c r="F67">
        <f>IF(VLOOKUP(TabVMEnv[[#This Row],[VM]],TabOceanet[],16,FALSE) = "Tarif_VM",IF(VLOOKUP(TabVMEnv[[#This Row],[VM]],TabOceanet[],2,FALSE)&lt;4,4,VLOOKUP(TabVMEnv[[#This Row],[VM]],TabOceanet[],2,FALSE)),0)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IF(VLOOKUP(TabVMEnv[[#This Row],[VM]],TabOceanet[],16,FALSE) = "Tarif_VM",1,0)/TabVMEnv[[#This Row],[Mutualisé]]</f>
        <v>1</v>
      </c>
      <c r="L67">
        <f>IF(VLOOKUP(TabVMEnv[[#This Row],[VM]],TabOceanet[],9,FALSE) = "PoweredOn",1,0)</f>
        <v>1</v>
      </c>
      <c r="M67">
        <f>TabVMEnv[[#This Row],[IsVMPoweredOn]]*VLOOKUP(TabVMEnv[[#This Row],[VM]],TabOceanet[],3,FALSE)/TabVMEnv[[#This Row],[Mutualisé]]</f>
        <v>1</v>
      </c>
      <c r="N67">
        <f>VLOOKUP(TabVMEnv[[#This Row],[VM]],TabOceanet[],4,FALSE)/TabVMEnv[[#This Row],[Mutualisé]]</f>
        <v>4</v>
      </c>
      <c r="O67">
        <f>IF(LEFT(VLOOKUP(TabVMEnv[[#This Row],[VM]],TabOceanet[],5,FALSE),3)="win",1,0)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VLOOKUP(TabVMEnv[[#This Row],[EnvProjet]],TabEnvProjet[],4,FALSE)</f>
        <v>GFI Oceanet Infra Réseau</v>
      </c>
      <c r="R67" s="5" t="str">
        <f>VLOOKUP(TabVMEnv[[#This Row],[SYGES]],TabContrat[],2,FALSE)</f>
        <v>GFI</v>
      </c>
      <c r="S67" s="5" t="str">
        <f>IF(VLOOKUP(TabVMEnv[[#This Row],[VM]],TabOceanet[],1,FALSE) = "","Disparue","")</f>
        <v/>
      </c>
      <c r="T67" s="17">
        <f>VLOOKUP(TabVMEnv[[#This Row],[VM]],TabOceanet[],36,FALSE)/TabVMEnv[[#This Row],[Mutualisé]]</f>
        <v>2.52</v>
      </c>
      <c r="U67" s="17">
        <f>IF(TabVMEnv[[#This Row],[CostCenter]]="CostCenterDI",0,TabVMEnv[[#This Row],[CoutGlobal]])</f>
        <v>0</v>
      </c>
      <c r="V67" s="17">
        <f>TabVMEnv[[#This Row],[CoutGlobalSansCostCenterDI]]/TabVMEnv[[#Totals],[CoutGlobalSansCostCenterDI]]*(GlobalARepartirSansMS+GlobalARepartirMSOnly+GlobalARepartirInfraReseau)</f>
        <v>0</v>
      </c>
      <c r="W67" s="17">
        <f>TabVMEnv[[#This Row],[CoutGlobalSansCostCenterDI]]+TabVMEnv[[#This Row],[CoutGlobalSupplementaire]]</f>
        <v>0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7" s="5" t="str">
        <f>VLOOKUP(TabVMEnv[[#This Row],[EnvProjet]],TabEnvProjet[],5,FALSE)</f>
        <v>Jérôme JACOB</v>
      </c>
      <c r="Z67" s="5" t="str">
        <f>VLOOKUP(TabVMEnv[[#This Row],[EnvProjet]],TabEnvProjet[],6,FALSE)</f>
        <v>CostCenterDI</v>
      </c>
      <c r="AA67" s="5" t="str">
        <f>VLOOKUP(TabVMEnv[[#This Row],[EnvProjet]],TabEnvProjet[],3,FALSE)</f>
        <v>SOCLE</v>
      </c>
      <c r="AB67" s="5">
        <f>COUNTIF(TabVMEnv[VM],TabVMEnv[[#This Row],[VM]])</f>
        <v>1</v>
      </c>
    </row>
    <row r="68" spans="1:28" ht="30" x14ac:dyDescent="0.25">
      <c r="A68" t="s">
        <v>71</v>
      </c>
      <c r="B68" t="s">
        <v>523</v>
      </c>
      <c r="C68" s="13" t="s">
        <v>72</v>
      </c>
      <c r="D68" s="13">
        <v>0</v>
      </c>
      <c r="E68" s="13" t="s">
        <v>524</v>
      </c>
      <c r="F68" s="13">
        <f>IF(VLOOKUP(TabVMEnv[[#This Row],[VM]],TabOceanet[],16,FALSE) = "Tarif_VM",IF(VLOOKUP(TabVMEnv[[#This Row],[VM]],TabOceanet[],2,FALSE)&lt;4,4,VLOOKUP(TabVMEnv[[#This Row],[VM]],TabOceanet[],2,FALSE)),0)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IF(VLOOKUP(TabVMEnv[[#This Row],[VM]],TabOceanet[],16,FALSE) = "Tarif_VM",1,0)/TabVMEnv[[#This Row],[Mutualisé]]</f>
        <v>1</v>
      </c>
      <c r="L68">
        <f>IF(VLOOKUP(TabVMEnv[[#This Row],[VM]],TabOceanet[],9,FALSE) = "PoweredOn",1,0)</f>
        <v>1</v>
      </c>
      <c r="M68">
        <f>TabVMEnv[[#This Row],[IsVMPoweredOn]]*VLOOKUP(TabVMEnv[[#This Row],[VM]],TabOceanet[],3,FALSE)/TabVMEnv[[#This Row],[Mutualisé]]</f>
        <v>2</v>
      </c>
      <c r="N68">
        <f>VLOOKUP(TabVMEnv[[#This Row],[VM]],TabOceanet[],4,FALSE)/TabVMEnv[[#This Row],[Mutualisé]]</f>
        <v>8</v>
      </c>
      <c r="O68">
        <f>IF(LEFT(VLOOKUP(TabVMEnv[[#This Row],[VM]],TabOceanet[],5,FALSE),3)="win",1,0)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VLOOKUP(TabVMEnv[[#This Row],[EnvProjet]],TabEnvProjet[],4,FALSE)</f>
        <v>MAE-PII-L2/334179-17</v>
      </c>
      <c r="R68" s="5" t="str">
        <f>VLOOKUP(TabVMEnv[[#This Row],[SYGES]],TabContrat[],2,FALSE)</f>
        <v>MINISTERE DE L'EUROPE ET DES AFFAIRES ETRANGERES</v>
      </c>
      <c r="S68" s="5" t="str">
        <f>IF(VLOOKUP(TabVMEnv[[#This Row],[VM]],TabOceanet[],1,FALSE) = "","Disparue","")</f>
        <v/>
      </c>
      <c r="T68" s="17">
        <f>VLOOKUP(TabVMEnv[[#This Row],[VM]],TabOceanet[],36,FALSE)/TabVMEnv[[#This Row],[Mutualisé]]</f>
        <v>5.04</v>
      </c>
      <c r="U68" s="17">
        <f>IF(TabVMEnv[[#This Row],[CostCenter]]="CostCenterDI",0,TabVMEnv[[#This Row],[CoutGlobal]])</f>
        <v>5.04</v>
      </c>
      <c r="V68" s="17">
        <f>TabVMEnv[[#This Row],[CoutGlobalSansCostCenterDI]]/TabVMEnv[[#Totals],[CoutGlobalSansCostCenterDI]]*(GlobalARepartirSansMS+GlobalARepartirMSOnly+GlobalARepartirInfraReseau)</f>
        <v>10.508505873869121</v>
      </c>
      <c r="W68" s="17">
        <f>TabVMEnv[[#This Row],[CoutGlobalSansCostCenterDI]]+TabVMEnv[[#This Row],[CoutGlobalSupplementaire]]</f>
        <v>15.548505873869122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8" s="5" t="str">
        <f>VLOOKUP(TabVMEnv[[#This Row],[EnvProjet]],TabEnvProjet[],5,FALSE)</f>
        <v>Axel Benoist-Gironiere</v>
      </c>
      <c r="Z68" s="5">
        <f>VLOOKUP(TabVMEnv[[#This Row],[EnvProjet]],TabEnvProjet[],6,FALSE)</f>
        <v>341531</v>
      </c>
      <c r="AA68" s="5" t="str">
        <f>VLOOKUP(TabVMEnv[[#This Row],[EnvProjet]],TabEnvProjet[],3,FALSE)</f>
        <v>QUAL</v>
      </c>
      <c r="AB68" s="5">
        <f>COUNTIF(TabVMEnv[VM],TabVMEnv[[#This Row],[VM]])</f>
        <v>1</v>
      </c>
    </row>
    <row r="69" spans="1:28" ht="30" x14ac:dyDescent="0.25">
      <c r="A69" t="s">
        <v>73</v>
      </c>
      <c r="B69" t="s">
        <v>523</v>
      </c>
      <c r="C69" s="13" t="s">
        <v>74</v>
      </c>
      <c r="D69" s="13">
        <v>0</v>
      </c>
      <c r="E69" s="13" t="s">
        <v>524</v>
      </c>
      <c r="F69" s="13">
        <f>IF(VLOOKUP(TabVMEnv[[#This Row],[VM]],TabOceanet[],16,FALSE) = "Tarif_VM",IF(VLOOKUP(TabVMEnv[[#This Row],[VM]],TabOceanet[],2,FALSE)&lt;4,4,VLOOKUP(TabVMEnv[[#This Row],[VM]],TabOceanet[],2,FALSE)),0)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IF(VLOOKUP(TabVMEnv[[#This Row],[VM]],TabOceanet[],16,FALSE) = "Tarif_VM",1,0)/TabVMEnv[[#This Row],[Mutualisé]]</f>
        <v>1</v>
      </c>
      <c r="L69">
        <f>IF(VLOOKUP(TabVMEnv[[#This Row],[VM]],TabOceanet[],9,FALSE) = "PoweredOn",1,0)</f>
        <v>1</v>
      </c>
      <c r="M69">
        <f>TabVMEnv[[#This Row],[IsVMPoweredOn]]*VLOOKUP(TabVMEnv[[#This Row],[VM]],TabOceanet[],3,FALSE)/TabVMEnv[[#This Row],[Mutualisé]]</f>
        <v>2</v>
      </c>
      <c r="N69">
        <f>VLOOKUP(TabVMEnv[[#This Row],[VM]],TabOceanet[],4,FALSE)/TabVMEnv[[#This Row],[Mutualisé]]</f>
        <v>7</v>
      </c>
      <c r="O69">
        <f>IF(LEFT(VLOOKUP(TabVMEnv[[#This Row],[VM]],TabOceanet[],5,FALSE),3)="win",1,0)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VLOOKUP(TabVMEnv[[#This Row],[EnvProjet]],TabEnvProjet[],4,FALSE)</f>
        <v>MAE-PII-L2/334179-17</v>
      </c>
      <c r="R69" s="5" t="str">
        <f>VLOOKUP(TabVMEnv[[#This Row],[SYGES]],TabContrat[],2,FALSE)</f>
        <v>MINISTERE DE L'EUROPE ET DES AFFAIRES ETRANGERES</v>
      </c>
      <c r="S69" s="5" t="str">
        <f>IF(VLOOKUP(TabVMEnv[[#This Row],[VM]],TabOceanet[],1,FALSE) = "","Disparue","")</f>
        <v/>
      </c>
      <c r="T69" s="17">
        <f>VLOOKUP(TabVMEnv[[#This Row],[VM]],TabOceanet[],36,FALSE)/TabVMEnv[[#This Row],[Mutualisé]]</f>
        <v>4.8100000000000005</v>
      </c>
      <c r="U69" s="17">
        <f>IF(TabVMEnv[[#This Row],[CostCenter]]="CostCenterDI",0,TabVMEnv[[#This Row],[CoutGlobal]])</f>
        <v>4.8100000000000005</v>
      </c>
      <c r="V69" s="17">
        <f>TabVMEnv[[#This Row],[CoutGlobalSansCostCenterDI]]/TabVMEnv[[#Totals],[CoutGlobalSansCostCenterDI]]*(GlobalARepartirSansMS+GlobalARepartirMSOnly+GlobalARepartirInfraReseau)</f>
        <v>10.028951042323506</v>
      </c>
      <c r="W69" s="17">
        <f>TabVMEnv[[#This Row],[CoutGlobalSansCostCenterDI]]+TabVMEnv[[#This Row],[CoutGlobalSupplementaire]]</f>
        <v>14.838951042323506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9" s="5" t="str">
        <f>VLOOKUP(TabVMEnv[[#This Row],[EnvProjet]],TabEnvProjet[],5,FALSE)</f>
        <v>Axel Benoist-Gironiere</v>
      </c>
      <c r="Z69" s="5">
        <f>VLOOKUP(TabVMEnv[[#This Row],[EnvProjet]],TabEnvProjet[],6,FALSE)</f>
        <v>341531</v>
      </c>
      <c r="AA69" s="5" t="str">
        <f>VLOOKUP(TabVMEnv[[#This Row],[EnvProjet]],TabEnvProjet[],3,FALSE)</f>
        <v>QUAL</v>
      </c>
      <c r="AB69" s="5">
        <f>COUNTIF(TabVMEnv[VM],TabVMEnv[[#This Row],[VM]])</f>
        <v>1</v>
      </c>
    </row>
    <row r="70" spans="1:28" x14ac:dyDescent="0.25">
      <c r="A70" t="s">
        <v>142</v>
      </c>
      <c r="B70" t="s">
        <v>525</v>
      </c>
      <c r="D70">
        <v>0</v>
      </c>
      <c r="E70" s="13"/>
      <c r="F70">
        <f>IF(VLOOKUP(TabVMEnv[[#This Row],[VM]],TabOceanet[],16,FALSE) = "Tarif_VM",IF(VLOOKUP(TabVMEnv[[#This Row],[VM]],TabOceanet[],2,FALSE)&lt;4,4,VLOOKUP(TabVMEnv[[#This Row],[VM]],TabOceanet[],2,FALSE)),0)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IF(VLOOKUP(TabVMEnv[[#This Row],[VM]],TabOceanet[],16,FALSE) = "Tarif_VM",1,0)/TabVMEnv[[#This Row],[Mutualisé]]</f>
        <v>1</v>
      </c>
      <c r="L70">
        <f>IF(VLOOKUP(TabVMEnv[[#This Row],[VM]],TabOceanet[],9,FALSE) = "PoweredOn",1,0)</f>
        <v>1</v>
      </c>
      <c r="M70">
        <f>TabVMEnv[[#This Row],[IsVMPoweredOn]]*VLOOKUP(TabVMEnv[[#This Row],[VM]],TabOceanet[],3,FALSE)/TabVMEnv[[#This Row],[Mutualisé]]</f>
        <v>1</v>
      </c>
      <c r="N70">
        <f>VLOOKUP(TabVMEnv[[#This Row],[VM]],TabOceanet[],4,FALSE)/TabVMEnv[[#This Row],[Mutualisé]]</f>
        <v>6</v>
      </c>
      <c r="O70">
        <f>IF(LEFT(VLOOKUP(TabVMEnv[[#This Row],[VM]],TabOceanet[],5,FALSE),3)="win",1,0)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VLOOKUP(TabVMEnv[[#This Row],[EnvProjet]],TabEnvProjet[],4,FALSE)</f>
        <v>SUPP-DIGI - 1530-2018 - 0 - 1 - Tache 1 - Perform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17">
        <f>VLOOKUP(TabVMEnv[[#This Row],[VM]],TabOceanet[],36,FALSE)/TabVMEnv[[#This Row],[Mutualisé]]</f>
        <v>2.9800000000000004</v>
      </c>
      <c r="U70" s="17">
        <f>IF(TabVMEnv[[#This Row],[CostCenter]]="CostCenterDI",0,TabVMEnv[[#This Row],[CoutGlobal]])</f>
        <v>2.9800000000000004</v>
      </c>
      <c r="V70" s="17">
        <f>TabVMEnv[[#This Row],[CoutGlobalSansCostCenterDI]]/TabVMEnv[[#Totals],[CoutGlobalSansCostCenterDI]]*(GlobalARepartirSansMS+GlobalARepartirMSOnly+GlobalARepartirInfraReseau)</f>
        <v>6.21336260002579</v>
      </c>
      <c r="W70" s="17">
        <f>TabVMEnv[[#This Row],[CoutGlobalSansCostCenterDI]]+TabVMEnv[[#This Row],[CoutGlobalSupplementaire]]</f>
        <v>9.1933626000257895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70" s="5" t="str">
        <f>VLOOKUP(TabVMEnv[[#This Row],[EnvProjet]],TabEnvProjet[],5,FALSE)</f>
        <v>Vincent MERIAU</v>
      </c>
      <c r="Z70" s="5">
        <f>VLOOKUP(TabVMEnv[[#This Row],[EnvProjet]],TabEnvProjet[],6,FALSE)</f>
        <v>341531</v>
      </c>
      <c r="AA70" s="5" t="str">
        <f>VLOOKUP(TabVMEnv[[#This Row],[EnvProjet]],TabEnvProjet[],3,FALSE)</f>
        <v>SOCLE</v>
      </c>
      <c r="AB70" s="5">
        <f>COUNTIF(TabVMEnv[VM],TabVMEnv[[#This Row],[VM]])</f>
        <v>1</v>
      </c>
    </row>
    <row r="71" spans="1:28" ht="30" x14ac:dyDescent="0.25">
      <c r="A71" s="24" t="s">
        <v>10</v>
      </c>
      <c r="B71" t="s">
        <v>526</v>
      </c>
      <c r="C71" s="13" t="s">
        <v>11</v>
      </c>
      <c r="D71" s="13">
        <v>0</v>
      </c>
      <c r="E71" s="13" t="s">
        <v>524</v>
      </c>
      <c r="F71" s="13">
        <f>IF(VLOOKUP(TabVMEnv[[#This Row],[VM]],TabOceanet[],16,FALSE) = "Tarif_VM",IF(VLOOKUP(TabVMEnv[[#This Row],[VM]],TabOceanet[],2,FALSE)&lt;4,4,VLOOKUP(TabVMEnv[[#This Row],[VM]],TabOceanet[],2,FALSE)),0)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IF(VLOOKUP(TabVMEnv[[#This Row],[VM]],TabOceanet[],16,FALSE) = "Tarif_VM",1,0)/TabVMEnv[[#This Row],[Mutualisé]]</f>
        <v>0.5</v>
      </c>
      <c r="L71">
        <f>IF(VLOOKUP(TabVMEnv[[#This Row],[VM]],TabOceanet[],9,FALSE) = "PoweredOn",1,0)</f>
        <v>1</v>
      </c>
      <c r="M71">
        <f>TabVMEnv[[#This Row],[IsVMPoweredOn]]*VLOOKUP(TabVMEnv[[#This Row],[VM]],TabOceanet[],3,FALSE)/TabVMEnv[[#This Row],[Mutualisé]]</f>
        <v>1</v>
      </c>
      <c r="N71">
        <f>VLOOKUP(TabVMEnv[[#This Row],[VM]],TabOceanet[],4,FALSE)/TabVMEnv[[#This Row],[Mutualisé]]</f>
        <v>4</v>
      </c>
      <c r="O71">
        <f>IF(LEFT(VLOOKUP(TabVMEnv[[#This Row],[VM]],TabOceanet[],5,FALSE),3)="win",1,0)</f>
        <v>0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VLOOKUP(TabVMEnv[[#This Row],[EnvProjet]],TabEnvProjet[],4,FALSE)</f>
        <v>MAE-PII-L2/334179-17</v>
      </c>
      <c r="R71" s="5" t="str">
        <f>VLOOKUP(TabVMEnv[[#This Row],[SYGES]],TabContrat[],2,FALSE)</f>
        <v>MINISTERE DE L'EUROPE ET DES AFFAIRES ETRANGERES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2.52</v>
      </c>
      <c r="U71" s="25">
        <f>IF(TabVMEnv[[#This Row],[CostCenter]]="CostCenterDI",0,TabVMEnv[[#This Row],[CoutGlobal]])</f>
        <v>2.52</v>
      </c>
      <c r="V71" s="25">
        <f>TabVMEnv[[#This Row],[CoutGlobalSansCostCenterDI]]/TabVMEnv[[#Totals],[CoutGlobalSansCostCenterDI]]*(GlobalARepartirSansMS+GlobalARepartirMSOnly+GlobalARepartirInfraReseau)</f>
        <v>5.2542529369345603</v>
      </c>
      <c r="W71" s="25">
        <f>TabVMEnv[[#This Row],[CoutGlobalSansCostCenterDI]]+TabVMEnv[[#This Row],[CoutGlobalSupplementaire]]</f>
        <v>7.7742529369345608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1" s="5" t="str">
        <f>VLOOKUP(TabVMEnv[[#This Row],[EnvProjet]],TabEnvProjet[],5,FALSE)</f>
        <v>Axel Benoist-Gironiere, Vincent MERIAU</v>
      </c>
      <c r="Z71" s="5">
        <f>VLOOKUP(TabVMEnv[[#This Row],[EnvProjet]],TabEnvProjet[],6,FALSE)</f>
        <v>341531</v>
      </c>
      <c r="AA71" s="5" t="str">
        <f>VLOOKUP(TabVMEnv[[#This Row],[EnvProjet]],TabEnvProjet[],3,FALSE)</f>
        <v>SOCLE</v>
      </c>
      <c r="AB71" s="5">
        <f>COUNTIF(TabVMEnv[VM],TabVMEnv[[#This Row],[VM]])</f>
        <v>2</v>
      </c>
    </row>
    <row r="72" spans="1:28" x14ac:dyDescent="0.25">
      <c r="A72" s="24" t="s">
        <v>10</v>
      </c>
      <c r="B72" t="s">
        <v>527</v>
      </c>
      <c r="C72" t="s">
        <v>38</v>
      </c>
      <c r="D72">
        <v>0</v>
      </c>
      <c r="E72" s="13" t="s">
        <v>524</v>
      </c>
      <c r="F72">
        <f>IF(VLOOKUP(TabVMEnv[[#This Row],[VM]],TabOceanet[],16,FALSE) = "Tarif_VM",IF(VLOOKUP(TabVMEnv[[#This Row],[VM]],TabOceanet[],2,FALSE)&lt;4,4,VLOOKUP(TabVMEnv[[#This Row],[VM]],TabOceanet[],2,FALSE)),0)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IF(VLOOKUP(TabVMEnv[[#This Row],[VM]],TabOceanet[],16,FALSE) = "Tarif_VM",1,0)/TabVMEnv[[#This Row],[Mutualisé]]</f>
        <v>0.5</v>
      </c>
      <c r="L72">
        <f>IF(VLOOKUP(TabVMEnv[[#This Row],[VM]],TabOceanet[],9,FALSE) = "PoweredOn",1,0)</f>
        <v>1</v>
      </c>
      <c r="M72">
        <f>TabVMEnv[[#This Row],[IsVMPoweredOn]]*VLOOKUP(TabVMEnv[[#This Row],[VM]],TabOceanet[],3,FALSE)/TabVMEnv[[#This Row],[Mutualisé]]</f>
        <v>1</v>
      </c>
      <c r="N72">
        <f>VLOOKUP(TabVMEnv[[#This Row],[VM]],TabOceanet[],4,FALSE)/TabVMEnv[[#This Row],[Mutualisé]]</f>
        <v>4</v>
      </c>
      <c r="O72">
        <f>IF(LEFT(VLOOKUP(TabVMEnv[[#This Row],[VM]],TabOceanet[],5,FALSE),3)="win",1,0)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VLOOKUP(TabVMEnv[[#This Row],[EnvProjet]],TabEnvProjet[],4,FALSE)</f>
        <v>MAE-PII-L2/334179-17</v>
      </c>
      <c r="R72" s="5" t="str">
        <f>VLOOKUP(TabVMEnv[[#This Row],[SYGES]],TabContrat[],2,FALSE)</f>
        <v>MINISTERE DE L'EUROPE ET DES AFFAIRES ETRANGERES</v>
      </c>
      <c r="S72" s="5" t="str">
        <f>IF(VLOOKUP(TabVMEnv[[#This Row],[VM]],TabOceanet[],1,FALSE) = "","Disparue","")</f>
        <v/>
      </c>
      <c r="T72" s="17">
        <f>VLOOKUP(TabVMEnv[[#This Row],[VM]],TabOceanet[],36,FALSE)/TabVMEnv[[#This Row],[Mutualisé]]</f>
        <v>2.52</v>
      </c>
      <c r="U72" s="17">
        <f>IF(TabVMEnv[[#This Row],[CostCenter]]="CostCenterDI",0,TabVMEnv[[#This Row],[CoutGlobal]])</f>
        <v>2.52</v>
      </c>
      <c r="V72" s="17">
        <f>TabVMEnv[[#This Row],[CoutGlobalSansCostCenterDI]]/TabVMEnv[[#Totals],[CoutGlobalSansCostCenterDI]]*(GlobalARepartirSansMS+GlobalARepartirMSOnly+GlobalARepartirInfraReseau)</f>
        <v>5.2542529369345603</v>
      </c>
      <c r="W72" s="17">
        <f>TabVMEnv[[#This Row],[CoutGlobalSansCostCenterDI]]+TabVMEnv[[#This Row],[CoutGlobalSupplementaire]]</f>
        <v>7.7742529369345608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2" s="5" t="str">
        <f>VLOOKUP(TabVMEnv[[#This Row],[EnvProjet]],TabEnvProjet[],5,FALSE)</f>
        <v>Axel Benoist-Gironiere</v>
      </c>
      <c r="Z72" s="5">
        <f>VLOOKUP(TabVMEnv[[#This Row],[EnvProjet]],TabEnvProjet[],6,FALSE)</f>
        <v>341531</v>
      </c>
      <c r="AA72" s="5" t="str">
        <f>VLOOKUP(TabVMEnv[[#This Row],[EnvProjet]],TabEnvProjet[],3,FALSE)</f>
        <v>SOCLE</v>
      </c>
      <c r="AB72" s="5">
        <f>COUNTIF(TabVMEnv[VM],TabVMEnv[[#This Row],[VM]])</f>
        <v>2</v>
      </c>
    </row>
    <row r="73" spans="1:28" ht="30" x14ac:dyDescent="0.25">
      <c r="A73" t="s">
        <v>39</v>
      </c>
      <c r="B73" t="s">
        <v>527</v>
      </c>
      <c r="C73" s="13" t="s">
        <v>40</v>
      </c>
      <c r="D73" s="13">
        <v>0</v>
      </c>
      <c r="E73" s="13" t="s">
        <v>524</v>
      </c>
      <c r="F73" s="13">
        <f>IF(VLOOKUP(TabVMEnv[[#This Row],[VM]],TabOceanet[],16,FALSE) = "Tarif_VM",IF(VLOOKUP(TabVMEnv[[#This Row],[VM]],TabOceanet[],2,FALSE)&lt;4,4,VLOOKUP(TabVMEnv[[#This Row],[VM]],TabOceanet[],2,FALSE)),0)</f>
        <v>4</v>
      </c>
      <c r="G73">
        <v>2</v>
      </c>
      <c r="H73">
        <v>0</v>
      </c>
      <c r="I73">
        <v>0</v>
      </c>
      <c r="J73">
        <v>0</v>
      </c>
      <c r="K73">
        <f>IF(VLOOKUP(TabVMEnv[[#This Row],[VM]],TabOceanet[],16,FALSE) = "Tarif_VM",1,0)/TabVMEnv[[#This Row],[Mutualisé]]</f>
        <v>1</v>
      </c>
      <c r="L73">
        <f>IF(VLOOKUP(TabVMEnv[[#This Row],[VM]],TabOceanet[],9,FALSE) = "PoweredOn",1,0)</f>
        <v>1</v>
      </c>
      <c r="M73">
        <f>TabVMEnv[[#This Row],[IsVMPoweredOn]]*VLOOKUP(TabVMEnv[[#This Row],[VM]],TabOceanet[],3,FALSE)/TabVMEnv[[#This Row],[Mutualisé]]</f>
        <v>4</v>
      </c>
      <c r="N73">
        <f>VLOOKUP(TabVMEnv[[#This Row],[VM]],TabOceanet[],4,FALSE)/TabVMEnv[[#This Row],[Mutualisé]]</f>
        <v>65</v>
      </c>
      <c r="O73">
        <f>IF(LEFT(VLOOKUP(TabVMEnv[[#This Row],[VM]],TabOceanet[],5,FALSE),3)="win",1,0)</f>
        <v>1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73" t="str">
        <f>VLOOKUP(TabVMEnv[[#This Row],[EnvProjet]],TabEnvProjet[],4,FALSE)</f>
        <v>MAE-PII-L2/334179-17</v>
      </c>
      <c r="R73" s="5" t="str">
        <f>VLOOKUP(TabVMEnv[[#This Row],[SYGES]],TabContrat[],2,FALSE)</f>
        <v>MINISTERE DE L'EUROPE ET DES AFFAIRES ETRANGERES</v>
      </c>
      <c r="S73" s="5" t="str">
        <f>IF(VLOOKUP(TabVMEnv[[#This Row],[VM]],TabOceanet[],1,FALSE) = "","Disparue","")</f>
        <v/>
      </c>
      <c r="T73" s="17">
        <f>VLOOKUP(TabVMEnv[[#This Row],[VM]],TabOceanet[],36,FALSE)/TabVMEnv[[#This Row],[Mutualisé]]</f>
        <v>21.35</v>
      </c>
      <c r="U73" s="17">
        <f>IF(TabVMEnv[[#This Row],[CostCenter]]="CostCenterDI",0,TabVMEnv[[#This Row],[CoutGlobal]])</f>
        <v>21.35</v>
      </c>
      <c r="V73" s="17">
        <f>TabVMEnv[[#This Row],[CoutGlobalSansCostCenterDI]]/TabVMEnv[[#Totals],[CoutGlobalSansCostCenterDI]]*(GlobalARepartirSansMS+GlobalARepartirMSOnly+GlobalARepartirInfraReseau)</f>
        <v>44.515198493473356</v>
      </c>
      <c r="W73" s="17">
        <f>TabVMEnv[[#This Row],[CoutGlobalSansCostCenterDI]]+TabVMEnv[[#This Row],[CoutGlobalSupplementaire]]</f>
        <v>65.865198493473358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3" s="5" t="str">
        <f>VLOOKUP(TabVMEnv[[#This Row],[EnvProjet]],TabEnvProjet[],5,FALSE)</f>
        <v>Axel Benoist-Gironiere</v>
      </c>
      <c r="Z73" s="5">
        <f>VLOOKUP(TabVMEnv[[#This Row],[EnvProjet]],TabEnvProjet[],6,FALSE)</f>
        <v>341531</v>
      </c>
      <c r="AA73" s="5" t="str">
        <f>VLOOKUP(TabVMEnv[[#This Row],[EnvProjet]],TabEnvProjet[],3,FALSE)</f>
        <v>SOCLE</v>
      </c>
      <c r="AB73" s="5">
        <f>COUNTIF(TabVMEnv[VM],TabVMEnv[[#This Row],[VM]])</f>
        <v>1</v>
      </c>
    </row>
    <row r="74" spans="1:28" ht="30" x14ac:dyDescent="0.25">
      <c r="A74" t="s">
        <v>42</v>
      </c>
      <c r="B74" t="s">
        <v>527</v>
      </c>
      <c r="C74" s="13" t="s">
        <v>43</v>
      </c>
      <c r="D74" s="13">
        <v>0</v>
      </c>
      <c r="E74" s="13" t="s">
        <v>524</v>
      </c>
      <c r="F74" s="13">
        <f>IF(VLOOKUP(TabVMEnv[[#This Row],[VM]],TabOceanet[],16,FALSE) = "Tarif_VM",IF(VLOOKUP(TabVMEnv[[#This Row],[VM]],TabOceanet[],2,FALSE)&lt;4,4,VLOOKUP(TabVMEnv[[#This Row],[VM]],TabOceanet[],2,FALSE)),0)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IF(VLOOKUP(TabVMEnv[[#This Row],[VM]],TabOceanet[],16,FALSE) = "Tarif_VM",1,0)/TabVMEnv[[#This Row],[Mutualisé]]</f>
        <v>1</v>
      </c>
      <c r="L74">
        <f>IF(VLOOKUP(TabVMEnv[[#This Row],[VM]],TabOceanet[],9,FALSE) = "PoweredOn",1,0)</f>
        <v>0</v>
      </c>
      <c r="M74">
        <f>TabVMEnv[[#This Row],[IsVMPoweredOn]]*VLOOKUP(TabVMEnv[[#This Row],[VM]],TabOceanet[],3,FALSE)/TabVMEnv[[#This Row],[Mutualisé]]</f>
        <v>0</v>
      </c>
      <c r="N74">
        <f>VLOOKUP(TabVMEnv[[#This Row],[VM]],TabOceanet[],4,FALSE)/TabVMEnv[[#This Row],[Mutualisé]]</f>
        <v>40</v>
      </c>
      <c r="O74">
        <f>IF(LEFT(VLOOKUP(TabVMEnv[[#This Row],[VM]],TabOceanet[],5,FALSE),3)="win",1,0)</f>
        <v>1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VLOOKUP(TabVMEnv[[#This Row],[EnvProjet]],TabEnvProjet[],4,FALSE)</f>
        <v>MAE-PII-L2/334179-17</v>
      </c>
      <c r="R74" s="5" t="str">
        <f>VLOOKUP(TabVMEnv[[#This Row],[SYGES]],TabContrat[],2,FALSE)</f>
        <v>MINISTERE DE L'EUROPE ET DES AFFAIRES ETRANGERES</v>
      </c>
      <c r="S74" s="5" t="str">
        <f>IF(VLOOKUP(TabVMEnv[[#This Row],[VM]],TabOceanet[],1,FALSE) = "","Disparue","")</f>
        <v/>
      </c>
      <c r="T74" s="17">
        <f>VLOOKUP(TabVMEnv[[#This Row],[VM]],TabOceanet[],36,FALSE)/TabVMEnv[[#This Row],[Mutualisé]]</f>
        <v>9.2000000000000011</v>
      </c>
      <c r="U74" s="17">
        <f>IF(TabVMEnv[[#This Row],[CostCenter]]="CostCenterDI",0,TabVMEnv[[#This Row],[CoutGlobal]])</f>
        <v>9.2000000000000011</v>
      </c>
      <c r="V74" s="17">
        <f>TabVMEnv[[#This Row],[CoutGlobalSansCostCenterDI]]/TabVMEnv[[#Totals],[CoutGlobalSansCostCenterDI]]*(GlobalARepartirSansMS+GlobalARepartirMSOnly+GlobalARepartirInfraReseau)</f>
        <v>19.182193261824587</v>
      </c>
      <c r="W74" s="17">
        <f>TabVMEnv[[#This Row],[CoutGlobalSansCostCenterDI]]+TabVMEnv[[#This Row],[CoutGlobalSupplementaire]]</f>
        <v>28.38219326182459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4" s="5" t="str">
        <f>VLOOKUP(TabVMEnv[[#This Row],[EnvProjet]],TabEnvProjet[],5,FALSE)</f>
        <v>Axel Benoist-Gironiere</v>
      </c>
      <c r="Z74" s="5">
        <f>VLOOKUP(TabVMEnv[[#This Row],[EnvProjet]],TabEnvProjet[],6,FALSE)</f>
        <v>341531</v>
      </c>
      <c r="AA74" s="5" t="str">
        <f>VLOOKUP(TabVMEnv[[#This Row],[EnvProjet]],TabEnvProjet[],3,FALSE)</f>
        <v>SOCLE</v>
      </c>
      <c r="AB74" s="5">
        <f>COUNTIF(TabVMEnv[VM],TabVMEnv[[#This Row],[VM]])</f>
        <v>1</v>
      </c>
    </row>
    <row r="75" spans="1:28" x14ac:dyDescent="0.25">
      <c r="A75" t="s">
        <v>36</v>
      </c>
      <c r="B75" t="s">
        <v>528</v>
      </c>
      <c r="C75" s="13"/>
      <c r="D75" s="13">
        <v>0</v>
      </c>
      <c r="E75" s="13" t="s">
        <v>524</v>
      </c>
      <c r="F75" s="13">
        <f>IF(VLOOKUP(TabVMEnv[[#This Row],[VM]],TabOceanet[],16,FALSE) = "Tarif_VM",IF(VLOOKUP(TabVMEnv[[#This Row],[VM]],TabOceanet[],2,FALSE)&lt;4,4,VLOOKUP(TabVMEnv[[#This Row],[VM]],TabOceanet[],2,FALSE)),0)</f>
        <v>4</v>
      </c>
      <c r="G75">
        <v>0</v>
      </c>
      <c r="H75">
        <v>0</v>
      </c>
      <c r="I75">
        <v>0</v>
      </c>
      <c r="J75">
        <v>0</v>
      </c>
      <c r="K75">
        <f>IF(VLOOKUP(TabVMEnv[[#This Row],[VM]],TabOceanet[],16,FALSE) = "Tarif_VM",1,0)/TabVMEnv[[#This Row],[Mutualisé]]</f>
        <v>1</v>
      </c>
      <c r="L75">
        <f>IF(VLOOKUP(TabVMEnv[[#This Row],[VM]],TabOceanet[],9,FALSE) = "PoweredOn",1,0)</f>
        <v>1</v>
      </c>
      <c r="M75">
        <f>TabVMEnv[[#This Row],[IsVMPoweredOn]]*VLOOKUP(TabVMEnv[[#This Row],[VM]],TabOceanet[],3,FALSE)/TabVMEnv[[#This Row],[Mutualisé]]</f>
        <v>4</v>
      </c>
      <c r="N75">
        <f>VLOOKUP(TabVMEnv[[#This Row],[VM]],TabOceanet[],4,FALSE)/TabVMEnv[[#This Row],[Mutualisé]]</f>
        <v>60</v>
      </c>
      <c r="O75">
        <f>IF(LEFT(VLOOKUP(TabVMEnv[[#This Row],[VM]],TabOceanet[],5,FALSE),3)="win",1,0)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5" t="str">
        <f>VLOOKUP(TabVMEnv[[#This Row],[EnvProjet]],TabEnvProjet[],4,FALSE)</f>
        <v>MAE-PII-L2/334179-17</v>
      </c>
      <c r="R75" s="5" t="str">
        <f>VLOOKUP(TabVMEnv[[#This Row],[SYGES]],TabContrat[],2,FALSE)</f>
        <v>MINISTERE DE L'EUROPE ET DES AFFAIRES ETRANGERES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20.200000000000003</v>
      </c>
      <c r="U75" s="25">
        <f>IF(TabVMEnv[[#This Row],[CostCenter]]="CostCenterDI",0,TabVMEnv[[#This Row],[CoutGlobal]])</f>
        <v>20.200000000000003</v>
      </c>
      <c r="V75" s="25">
        <f>TabVMEnv[[#This Row],[CoutGlobalSansCostCenterDI]]/TabVMEnv[[#Totals],[CoutGlobalSansCostCenterDI]]*(GlobalARepartirSansMS+GlobalARepartirMSOnly+GlobalARepartirInfraReseau)</f>
        <v>42.117424335745291</v>
      </c>
      <c r="W75" s="25">
        <f>TabVMEnv[[#This Row],[CoutGlobalSansCostCenterDI]]+TabVMEnv[[#This Row],[CoutGlobalSupplementaire]]</f>
        <v>62.317424335745294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5" s="5" t="str">
        <f>VLOOKUP(TabVMEnv[[#This Row],[EnvProjet]],TabEnvProjet[],5,FALSE)</f>
        <v>Axel Benoist-Gironiere</v>
      </c>
      <c r="Z75" s="5">
        <f>VLOOKUP(TabVMEnv[[#This Row],[EnvProjet]],TabEnvProjet[],6,FALSE)</f>
        <v>341531</v>
      </c>
      <c r="AA75" s="5" t="str">
        <f>VLOOKUP(TabVMEnv[[#This Row],[EnvProjet]],TabEnvProjet[],3,FALSE)</f>
        <v>DEV</v>
      </c>
      <c r="AB75" s="5">
        <f>COUNTIF(TabVMEnv[VM],TabVMEnv[[#This Row],[VM]])</f>
        <v>1</v>
      </c>
    </row>
    <row r="76" spans="1:28" ht="30" x14ac:dyDescent="0.25">
      <c r="A76" t="s">
        <v>46</v>
      </c>
      <c r="B76" t="s">
        <v>527</v>
      </c>
      <c r="C76" s="13" t="s">
        <v>40</v>
      </c>
      <c r="D76" s="13">
        <v>0</v>
      </c>
      <c r="E76" s="13" t="s">
        <v>524</v>
      </c>
      <c r="F76" s="13">
        <f>IF(VLOOKUP(TabVMEnv[[#This Row],[VM]],TabOceanet[],16,FALSE) = "Tarif_VM",IF(VLOOKUP(TabVMEnv[[#This Row],[VM]],TabOceanet[],2,FALSE)&lt;4,4,VLOOKUP(TabVMEnv[[#This Row],[VM]],TabOceanet[],2,FALSE)),0)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IF(VLOOKUP(TabVMEnv[[#This Row],[VM]],TabOceanet[],16,FALSE) = "Tarif_VM",1,0)/TabVMEnv[[#This Row],[Mutualisé]]</f>
        <v>1</v>
      </c>
      <c r="L76">
        <f>IF(VLOOKUP(TabVMEnv[[#This Row],[VM]],TabOceanet[],9,FALSE) = "PoweredOn",1,0)</f>
        <v>1</v>
      </c>
      <c r="M76">
        <f>TabVMEnv[[#This Row],[IsVMPoweredOn]]*VLOOKUP(TabVMEnv[[#This Row],[VM]],TabOceanet[],3,FALSE)/TabVMEnv[[#This Row],[Mutualisé]]</f>
        <v>2</v>
      </c>
      <c r="N76">
        <f>VLOOKUP(TabVMEnv[[#This Row],[VM]],TabOceanet[],4,FALSE)/TabVMEnv[[#This Row],[Mutualisé]]</f>
        <v>50</v>
      </c>
      <c r="O76">
        <f>IF(LEFT(VLOOKUP(TabVMEnv[[#This Row],[VM]],TabOceanet[],5,FALSE),3)="win",1,0)</f>
        <v>1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VLOOKUP(TabVMEnv[[#This Row],[EnvProjet]],TabEnvProjet[],4,FALSE)</f>
        <v>MAE-PII-L2/334179-17</v>
      </c>
      <c r="R76" s="5" t="str">
        <f>VLOOKUP(TabVMEnv[[#This Row],[SYGES]],TabContrat[],2,FALSE)</f>
        <v>MINISTERE DE L'EUROPE ET DES AFFAIRES ETRANGERES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14.7</v>
      </c>
      <c r="U76" s="17">
        <f>IF(TabVMEnv[[#This Row],[CostCenter]]="CostCenterDI",0,TabVMEnv[[#This Row],[CoutGlobal]])</f>
        <v>14.7</v>
      </c>
      <c r="V76" s="17">
        <f>TabVMEnv[[#This Row],[CoutGlobalSansCostCenterDI]]/TabVMEnv[[#Totals],[CoutGlobalSansCostCenterDI]]*(GlobalARepartirSansMS+GlobalARepartirMSOnly+GlobalARepartirInfraReseau)</f>
        <v>30.649808798784928</v>
      </c>
      <c r="W76" s="17">
        <f>TabVMEnv[[#This Row],[CoutGlobalSansCostCenterDI]]+TabVMEnv[[#This Row],[CoutGlobalSupplementaire]]</f>
        <v>45.349808798784927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6" s="5" t="str">
        <f>VLOOKUP(TabVMEnv[[#This Row],[EnvProjet]],TabEnvProjet[],5,FALSE)</f>
        <v>Axel Benoist-Gironiere</v>
      </c>
      <c r="Z76" s="5">
        <f>VLOOKUP(TabVMEnv[[#This Row],[EnvProjet]],TabEnvProjet[],6,FALSE)</f>
        <v>341531</v>
      </c>
      <c r="AA76" s="5" t="str">
        <f>VLOOKUP(TabVMEnv[[#This Row],[EnvProjet]],TabEnvProjet[],3,FALSE)</f>
        <v>SOCLE</v>
      </c>
      <c r="AB76" s="5">
        <f>COUNTIF(TabVMEnv[VM],TabVMEnv[[#This Row],[VM]])</f>
        <v>1</v>
      </c>
    </row>
    <row r="77" spans="1:28" x14ac:dyDescent="0.25">
      <c r="A77" t="s">
        <v>96</v>
      </c>
      <c r="B77" t="s">
        <v>529</v>
      </c>
      <c r="E77" s="13"/>
      <c r="F77" s="5">
        <f>IF(VLOOKUP(TabVMEnv[[#This Row],[VM]],TabOceanet[],16,FALSE) = "Tarif_VM",IF(VLOOKUP(TabVMEnv[[#This Row],[VM]],TabOceanet[],2,FALSE)&lt;4,4,VLOOKUP(TabVMEnv[[#This Row],[VM]],TabOceanet[],2,FALSE)),0)</f>
        <v>8</v>
      </c>
      <c r="G77">
        <v>0</v>
      </c>
      <c r="H77">
        <v>0</v>
      </c>
      <c r="I77">
        <v>0</v>
      </c>
      <c r="J77" s="24">
        <v>0</v>
      </c>
      <c r="K77" s="72">
        <f>IF(VLOOKUP(TabVMEnv[[#This Row],[VM]],TabOceanet[],16,FALSE) = "Tarif_VM",1,0)/TabVMEnv[[#This Row],[Mutualisé]]</f>
        <v>1</v>
      </c>
      <c r="L77" s="72">
        <f>IF(VLOOKUP(TabVMEnv[[#This Row],[VM]],TabOceanet[],9,FALSE) = "PoweredOn",1,0)</f>
        <v>1</v>
      </c>
      <c r="M77" s="72">
        <f>TabVMEnv[[#This Row],[IsVMPoweredOn]]*VLOOKUP(TabVMEnv[[#This Row],[VM]],TabOceanet[],3,FALSE)/TabVMEnv[[#This Row],[Mutualisé]]</f>
        <v>16</v>
      </c>
      <c r="N77" s="72">
        <f>VLOOKUP(TabVMEnv[[#This Row],[VM]],TabOceanet[],4,FALSE)/TabVMEnv[[#This Row],[Mutualisé]]</f>
        <v>63</v>
      </c>
      <c r="O77" s="72">
        <f>IF(LEFT(VLOOKUP(TabVMEnv[[#This Row],[VM]],TabOceanet[],5,FALSE),3)="win",1,0)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VLOOKUP(TabVMEnv[[#This Row],[EnvProjet]],TabEnvProjet[],4,FALSE)</f>
        <v>AS24/ChantierPIC</v>
      </c>
      <c r="R77" s="5" t="str">
        <f>VLOOKUP(TabVMEnv[[#This Row],[SYGES]],TabContrat[],2,FALSE)</f>
        <v>AS24</v>
      </c>
      <c r="S77" s="5" t="str">
        <f>IF(VLOOKUP(TabVMEnv[[#This Row],[VM]],TabOceanet[],1,FALSE) = "","Disparue","")</f>
        <v/>
      </c>
      <c r="T77" s="25">
        <f>VLOOKUP(TabVMEnv[[#This Row],[VM]],TabOceanet[],36,FALSE)/TabVMEnv[[#This Row],[Mutualisé]]</f>
        <v>40.090000000000003</v>
      </c>
      <c r="U77" s="25">
        <f>IF(TabVMEnv[[#This Row],[CostCenter]]="CostCenterDI",0,TabVMEnv[[#This Row],[CoutGlobal]])</f>
        <v>40.090000000000003</v>
      </c>
      <c r="V77" s="25">
        <f>TabVMEnv[[#This Row],[CoutGlobalSansCostCenterDI]]/TabVMEnv[[#Totals],[CoutGlobalSansCostCenterDI]]*(GlobalARepartirSansMS+GlobalARepartirMSOnly+GlobalARepartirInfraReseau)</f>
        <v>83.588492159407352</v>
      </c>
      <c r="W77" s="25">
        <f>TabVMEnv[[#This Row],[CoutGlobalSansCostCenterDI]]+TabVMEnv[[#This Row],[CoutGlobalSupplementaire]]</f>
        <v>123.67849215940736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77" s="5" t="str">
        <f>VLOOKUP(TabVMEnv[[#This Row],[EnvProjet]],TabEnvProjet[],5,FALSE)</f>
        <v>Florian DUPONT</v>
      </c>
      <c r="Z77" s="5">
        <f>VLOOKUP(TabVMEnv[[#This Row],[EnvProjet]],TabEnvProjet[],6,FALSE)</f>
        <v>341530</v>
      </c>
      <c r="AA77" s="5" t="str">
        <f>VLOOKUP(TabVMEnv[[#This Row],[EnvProjet]],TabEnvProjet[],3,FALSE)</f>
        <v>DEV</v>
      </c>
      <c r="AB77" s="5">
        <f>COUNTIF(TabVMEnv[VM],TabVMEnv[[#This Row],[VM]])</f>
        <v>1</v>
      </c>
    </row>
    <row r="78" spans="1:28" x14ac:dyDescent="0.25">
      <c r="A78" t="s">
        <v>17</v>
      </c>
      <c r="B78" t="s">
        <v>530</v>
      </c>
      <c r="C78" t="s">
        <v>18</v>
      </c>
      <c r="D78">
        <v>0</v>
      </c>
      <c r="E78" s="13" t="s">
        <v>524</v>
      </c>
      <c r="F78">
        <f>IF(VLOOKUP(TabVMEnv[[#This Row],[VM]],TabOceanet[],16,FALSE) = "Tarif_VM",IF(VLOOKUP(TabVMEnv[[#This Row],[VM]],TabOceanet[],2,FALSE)&lt;4,4,VLOOKUP(TabVMEnv[[#This Row],[VM]],TabOceanet[],2,FALSE)),0)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IF(VLOOKUP(TabVMEnv[[#This Row],[VM]],TabOceanet[],16,FALSE) = "Tarif_VM",1,0)/TabVMEnv[[#This Row],[Mutualisé]]</f>
        <v>1</v>
      </c>
      <c r="L78">
        <f>IF(VLOOKUP(TabVMEnv[[#This Row],[VM]],TabOceanet[],9,FALSE) = "PoweredOn",1,0)</f>
        <v>1</v>
      </c>
      <c r="M78">
        <f>TabVMEnv[[#This Row],[IsVMPoweredOn]]*VLOOKUP(TabVMEnv[[#This Row],[VM]],TabOceanet[],3,FALSE)/TabVMEnv[[#This Row],[Mutualisé]]</f>
        <v>8</v>
      </c>
      <c r="N78">
        <f>VLOOKUP(TabVMEnv[[#This Row],[VM]],TabOceanet[],4,FALSE)/TabVMEnv[[#This Row],[Mutualisé]]</f>
        <v>17</v>
      </c>
      <c r="O78">
        <f>IF(LEFT(VLOOKUP(TabVMEnv[[#This Row],[VM]],TabOceanet[],5,FALSE),3)="win",1,0)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VLOOKUP(TabVMEnv[[#This Row],[EnvProjet]],TabEnvProjet[],4,FALSE)</f>
        <v>MAE-PII-L2/334179-17</v>
      </c>
      <c r="R78" s="5" t="str">
        <f>VLOOKUP(TabVMEnv[[#This Row],[SYGES]],TabContrat[],2,FALSE)</f>
        <v>MINISTERE DE L'EUROPE ET DES AFFAIRES ETRANGERES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16.71</v>
      </c>
      <c r="U78" s="17">
        <f>IF(TabVMEnv[[#This Row],[CostCenter]]="CostCenterDI",0,TabVMEnv[[#This Row],[CoutGlobal]])</f>
        <v>16.71</v>
      </c>
      <c r="V78" s="17">
        <f>TabVMEnv[[#This Row],[CoutGlobalSansCostCenterDI]]/TabVMEnv[[#Totals],[CoutGlobalSansCostCenterDI]]*(GlobalARepartirSansMS+GlobalARepartirMSOnly+GlobalARepartirInfraReseau)</f>
        <v>34.840701022292258</v>
      </c>
      <c r="W78" s="17">
        <f>TabVMEnv[[#This Row],[CoutGlobalSansCostCenterDI]]+TabVMEnv[[#This Row],[CoutGlobalSupplementaire]]</f>
        <v>51.550701022292259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8" s="5" t="str">
        <f>VLOOKUP(TabVMEnv[[#This Row],[EnvProjet]],TabEnvProjet[],5,FALSE)</f>
        <v>Axel Benoist-Gironiere, Vincent MERIAU</v>
      </c>
      <c r="Z78" s="5">
        <f>VLOOKUP(TabVMEnv[[#This Row],[EnvProjet]],TabEnvProjet[],6,FALSE)</f>
        <v>341531</v>
      </c>
      <c r="AA78" s="5" t="str">
        <f>VLOOKUP(TabVMEnv[[#This Row],[EnvProjet]],TabEnvProjet[],3,FALSE)</f>
        <v>DEV_RUN</v>
      </c>
      <c r="AB78" s="5">
        <f>COUNTIF(TabVMEnv[VM],TabVMEnv[[#This Row],[VM]])</f>
        <v>1</v>
      </c>
    </row>
    <row r="79" spans="1:28" x14ac:dyDescent="0.25">
      <c r="A79" t="s">
        <v>20</v>
      </c>
      <c r="B79" t="s">
        <v>531</v>
      </c>
      <c r="C79" t="s">
        <v>21</v>
      </c>
      <c r="D79">
        <v>0</v>
      </c>
      <c r="E79" s="13" t="s">
        <v>524</v>
      </c>
      <c r="F79">
        <f>IF(VLOOKUP(TabVMEnv[[#This Row],[VM]],TabOceanet[],16,FALSE) = "Tarif_VM",IF(VLOOKUP(TabVMEnv[[#This Row],[VM]],TabOceanet[],2,FALSE)&lt;4,4,VLOOKUP(TabVMEnv[[#This Row],[VM]],TabOceanet[],2,FALSE)),0)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IF(VLOOKUP(TabVMEnv[[#This Row],[VM]],TabOceanet[],16,FALSE) = "Tarif_VM",1,0)/TabVMEnv[[#This Row],[Mutualisé]]</f>
        <v>1</v>
      </c>
      <c r="L79">
        <f>IF(VLOOKUP(TabVMEnv[[#This Row],[VM]],TabOceanet[],9,FALSE) = "PoweredOn",1,0)</f>
        <v>1</v>
      </c>
      <c r="M79">
        <f>TabVMEnv[[#This Row],[IsVMPoweredOn]]*VLOOKUP(TabVMEnv[[#This Row],[VM]],TabOceanet[],3,FALSE)/TabVMEnv[[#This Row],[Mutualisé]]</f>
        <v>8</v>
      </c>
      <c r="N79">
        <f>VLOOKUP(TabVMEnv[[#This Row],[VM]],TabOceanet[],4,FALSE)/TabVMEnv[[#This Row],[Mutualisé]]</f>
        <v>17</v>
      </c>
      <c r="O79">
        <f>IF(LEFT(VLOOKUP(TabVMEnv[[#This Row],[VM]],TabOceanet[],5,FALSE),3)="win",1,0)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VLOOKUP(TabVMEnv[[#This Row],[EnvProjet]],TabEnvProjet[],4,FALSE)</f>
        <v>MAE-PII-L2/334179-17</v>
      </c>
      <c r="R79" s="5" t="str">
        <f>VLOOKUP(TabVMEnv[[#This Row],[SYGES]],TabContrat[],2,FALSE)</f>
        <v>MINISTERE DE L'EUROPE ET DES AFFAIRES ETRANGERES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16.71</v>
      </c>
      <c r="U79" s="17">
        <f>IF(TabVMEnv[[#This Row],[CostCenter]]="CostCenterDI",0,TabVMEnv[[#This Row],[CoutGlobal]])</f>
        <v>16.71</v>
      </c>
      <c r="V79" s="17">
        <f>TabVMEnv[[#This Row],[CoutGlobalSansCostCenterDI]]/TabVMEnv[[#Totals],[CoutGlobalSansCostCenterDI]]*(GlobalARepartirSansMS+GlobalARepartirMSOnly+GlobalARepartirInfraReseau)</f>
        <v>34.840701022292258</v>
      </c>
      <c r="W79" s="17">
        <f>TabVMEnv[[#This Row],[CoutGlobalSansCostCenterDI]]+TabVMEnv[[#This Row],[CoutGlobalSupplementaire]]</f>
        <v>51.550701022292259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9" s="5" t="str">
        <f>VLOOKUP(TabVMEnv[[#This Row],[EnvProjet]],TabEnvProjet[],5,FALSE)</f>
        <v>Axel Benoist-Gironiere, Vincent MERIAU</v>
      </c>
      <c r="Z79" s="5">
        <f>VLOOKUP(TabVMEnv[[#This Row],[EnvProjet]],TabEnvProjet[],6,FALSE)</f>
        <v>341531</v>
      </c>
      <c r="AA79" s="5" t="str">
        <f>VLOOKUP(TabVMEnv[[#This Row],[EnvProjet]],TabEnvProjet[],3,FALSE)</f>
        <v>DEV_BUILD</v>
      </c>
      <c r="AB79" s="5">
        <f>COUNTIF(TabVMEnv[VM],TabVMEnv[[#This Row],[VM]])</f>
        <v>1</v>
      </c>
    </row>
    <row r="80" spans="1:28" x14ac:dyDescent="0.25">
      <c r="A80" t="s">
        <v>25</v>
      </c>
      <c r="B80" t="s">
        <v>532</v>
      </c>
      <c r="C80" t="s">
        <v>18</v>
      </c>
      <c r="D80">
        <v>0</v>
      </c>
      <c r="E80" s="13" t="s">
        <v>524</v>
      </c>
      <c r="F80">
        <f>IF(VLOOKUP(TabVMEnv[[#This Row],[VM]],TabOceanet[],16,FALSE) = "Tarif_VM",IF(VLOOKUP(TabVMEnv[[#This Row],[VM]],TabOceanet[],2,FALSE)&lt;4,4,VLOOKUP(TabVMEnv[[#This Row],[VM]],TabOceanet[],2,FALSE)),0)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IF(VLOOKUP(TabVMEnv[[#This Row],[VM]],TabOceanet[],16,FALSE) = "Tarif_VM",1,0)/TabVMEnv[[#This Row],[Mutualisé]]</f>
        <v>1</v>
      </c>
      <c r="L80">
        <f>IF(VLOOKUP(TabVMEnv[[#This Row],[VM]],TabOceanet[],9,FALSE) = "PoweredOn",1,0)</f>
        <v>1</v>
      </c>
      <c r="M80">
        <f>TabVMEnv[[#This Row],[IsVMPoweredOn]]*VLOOKUP(TabVMEnv[[#This Row],[VM]],TabOceanet[],3,FALSE)/TabVMEnv[[#This Row],[Mutualisé]]</f>
        <v>8</v>
      </c>
      <c r="N80">
        <f>VLOOKUP(TabVMEnv[[#This Row],[VM]],TabOceanet[],4,FALSE)/TabVMEnv[[#This Row],[Mutualisé]]</f>
        <v>17</v>
      </c>
      <c r="O80">
        <f>IF(LEFT(VLOOKUP(TabVMEnv[[#This Row],[VM]],TabOceanet[],5,FALSE),3)="win",1,0)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VLOOKUP(TabVMEnv[[#This Row],[EnvProjet]],TabEnvProjet[],4,FALSE)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16.71</v>
      </c>
      <c r="U80" s="17">
        <f>IF(TabVMEnv[[#This Row],[CostCenter]]="CostCenterDI",0,TabVMEnv[[#This Row],[CoutGlobal]])</f>
        <v>16.71</v>
      </c>
      <c r="V80" s="17">
        <f>TabVMEnv[[#This Row],[CoutGlobalSansCostCenterDI]]/TabVMEnv[[#Totals],[CoutGlobalSansCostCenterDI]]*(GlobalARepartirSansMS+GlobalARepartirMSOnly+GlobalARepartirInfraReseau)</f>
        <v>34.840701022292258</v>
      </c>
      <c r="W80" s="17">
        <f>TabVMEnv[[#This Row],[CoutGlobalSansCostCenterDI]]+TabVMEnv[[#This Row],[CoutGlobalSupplementaire]]</f>
        <v>51.550701022292259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0" s="5" t="str">
        <f>VLOOKUP(TabVMEnv[[#This Row],[EnvProjet]],TabEnvProjet[],5,FALSE)</f>
        <v>Axel Benoist-Gironiere, Vincent MERIAU</v>
      </c>
      <c r="Z80" s="5">
        <f>VLOOKUP(TabVMEnv[[#This Row],[EnvProjet]],TabEnvProjet[],6,FALSE)</f>
        <v>341531</v>
      </c>
      <c r="AA80" s="5" t="str">
        <f>VLOOKUP(TabVMEnv[[#This Row],[EnvProjet]],TabEnvProjet[],3,FALSE)</f>
        <v>QUAL_RUN</v>
      </c>
      <c r="AB80" s="5">
        <f>COUNTIF(TabVMEnv[VM],TabVMEnv[[#This Row],[VM]])</f>
        <v>1</v>
      </c>
    </row>
    <row r="81" spans="1:28" x14ac:dyDescent="0.25">
      <c r="A81" t="s">
        <v>27</v>
      </c>
      <c r="B81" t="s">
        <v>533</v>
      </c>
      <c r="C81" t="s">
        <v>21</v>
      </c>
      <c r="D81">
        <v>0</v>
      </c>
      <c r="E81" s="13" t="s">
        <v>524</v>
      </c>
      <c r="F81">
        <f>IF(VLOOKUP(TabVMEnv[[#This Row],[VM]],TabOceanet[],16,FALSE) = "Tarif_VM",IF(VLOOKUP(TabVMEnv[[#This Row],[VM]],TabOceanet[],2,FALSE)&lt;4,4,VLOOKUP(TabVMEnv[[#This Row],[VM]],TabOceanet[],2,FALSE)),0)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IF(VLOOKUP(TabVMEnv[[#This Row],[VM]],TabOceanet[],16,FALSE) = "Tarif_VM",1,0)/TabVMEnv[[#This Row],[Mutualisé]]</f>
        <v>1</v>
      </c>
      <c r="L81">
        <f>IF(VLOOKUP(TabVMEnv[[#This Row],[VM]],TabOceanet[],9,FALSE) = "PoweredOn",1,0)</f>
        <v>1</v>
      </c>
      <c r="M81">
        <f>TabVMEnv[[#This Row],[IsVMPoweredOn]]*VLOOKUP(TabVMEnv[[#This Row],[VM]],TabOceanet[],3,FALSE)/TabVMEnv[[#This Row],[Mutualisé]]</f>
        <v>8</v>
      </c>
      <c r="N81">
        <f>VLOOKUP(TabVMEnv[[#This Row],[VM]],TabOceanet[],4,FALSE)/TabVMEnv[[#This Row],[Mutualisé]]</f>
        <v>17</v>
      </c>
      <c r="O81">
        <f>IF(LEFT(VLOOKUP(TabVMEnv[[#This Row],[VM]],TabOceanet[],5,FALSE),3)="win",1,0)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VLOOKUP(TabVMEnv[[#This Row],[EnvProjet]],TabEnvProjet[],4,FALSE)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16.71</v>
      </c>
      <c r="U81" s="17">
        <f>IF(TabVMEnv[[#This Row],[CostCenter]]="CostCenterDI",0,TabVMEnv[[#This Row],[CoutGlobal]])</f>
        <v>16.71</v>
      </c>
      <c r="V81" s="17">
        <f>TabVMEnv[[#This Row],[CoutGlobalSansCostCenterDI]]/TabVMEnv[[#Totals],[CoutGlobalSansCostCenterDI]]*(GlobalARepartirSansMS+GlobalARepartirMSOnly+GlobalARepartirInfraReseau)</f>
        <v>34.840701022292258</v>
      </c>
      <c r="W81" s="17">
        <f>TabVMEnv[[#This Row],[CoutGlobalSansCostCenterDI]]+TabVMEnv[[#This Row],[CoutGlobalSupplementaire]]</f>
        <v>51.550701022292259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1" s="5" t="str">
        <f>VLOOKUP(TabVMEnv[[#This Row],[EnvProjet]],TabEnvProjet[],5,FALSE)</f>
        <v>Axel Benoist-Gironiere, Vincent MERIAU</v>
      </c>
      <c r="Z81" s="5">
        <f>VLOOKUP(TabVMEnv[[#This Row],[EnvProjet]],TabEnvProjet[],6,FALSE)</f>
        <v>341531</v>
      </c>
      <c r="AA81" s="5" t="str">
        <f>VLOOKUP(TabVMEnv[[#This Row],[EnvProjet]],TabEnvProjet[],3,FALSE)</f>
        <v>QUAL_BUILD</v>
      </c>
      <c r="AB81" s="5">
        <f>COUNTIF(TabVMEnv[VM],TabVMEnv[[#This Row],[VM]])</f>
        <v>1</v>
      </c>
    </row>
    <row r="82" spans="1:28" x14ac:dyDescent="0.25">
      <c r="A82" t="s">
        <v>22</v>
      </c>
      <c r="B82" t="s">
        <v>531</v>
      </c>
      <c r="D82">
        <v>0</v>
      </c>
      <c r="E82" s="13" t="s">
        <v>524</v>
      </c>
      <c r="F82">
        <f>IF(VLOOKUP(TabVMEnv[[#This Row],[VM]],TabOceanet[],16,FALSE) = "Tarif_VM",IF(VLOOKUP(TabVMEnv[[#This Row],[VM]],TabOceanet[],2,FALSE)&lt;4,4,VLOOKUP(TabVMEnv[[#This Row],[VM]],TabOceanet[],2,FALSE)),0)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IF(VLOOKUP(TabVMEnv[[#This Row],[VM]],TabOceanet[],16,FALSE) = "Tarif_VM",1,0)/TabVMEnv[[#This Row],[Mutualisé]]</f>
        <v>1</v>
      </c>
      <c r="L82">
        <f>IF(VLOOKUP(TabVMEnv[[#This Row],[VM]],TabOceanet[],9,FALSE) = "PoweredOn",1,0)</f>
        <v>1</v>
      </c>
      <c r="M82">
        <f>TabVMEnv[[#This Row],[IsVMPoweredOn]]*VLOOKUP(TabVMEnv[[#This Row],[VM]],TabOceanet[],3,FALSE)/TabVMEnv[[#This Row],[Mutualisé]]</f>
        <v>4</v>
      </c>
      <c r="N82">
        <f>VLOOKUP(TabVMEnv[[#This Row],[VM]],TabOceanet[],4,FALSE)/TabVMEnv[[#This Row],[Mutualisé]]</f>
        <v>12</v>
      </c>
      <c r="O82">
        <f>IF(LEFT(VLOOKUP(TabVMEnv[[#This Row],[VM]],TabOceanet[],5,FALSE),3)="win",1,0)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VLOOKUP(TabVMEnv[[#This Row],[EnvProjet]],TabEnvProjet[],4,FALSE)</f>
        <v>MAE-PII-L2/334179-17</v>
      </c>
      <c r="R82" s="5" t="str">
        <f>VLOOKUP(TabVMEnv[[#This Row],[SYGES]],TabContrat[],2,FALSE)</f>
        <v>MINISTERE DE L'EUROPE ET DES AFFAIRES ETRANGERES</v>
      </c>
      <c r="S82" s="5" t="str">
        <f>IF(VLOOKUP(TabVMEnv[[#This Row],[VM]],TabOceanet[],1,FALSE) = "","Disparue","")</f>
        <v/>
      </c>
      <c r="T82" s="25">
        <f>VLOOKUP(TabVMEnv[[#This Row],[VM]],TabOceanet[],36,FALSE)/TabVMEnv[[#This Row],[Mutualisé]]</f>
        <v>9.16</v>
      </c>
      <c r="U82" s="25">
        <f>IF(TabVMEnv[[#This Row],[CostCenter]]="CostCenterDI",0,TabVMEnv[[#This Row],[CoutGlobal]])</f>
        <v>9.16</v>
      </c>
      <c r="V82" s="25">
        <f>TabVMEnv[[#This Row],[CoutGlobalSansCostCenterDI]]/TabVMEnv[[#Totals],[CoutGlobalSansCostCenterDI]]*(GlobalARepartirSansMS+GlobalARepartirMSOnly+GlobalARepartirInfraReseau)</f>
        <v>19.098792421555782</v>
      </c>
      <c r="W82" s="25">
        <f>TabVMEnv[[#This Row],[CoutGlobalSansCostCenterDI]]+TabVMEnv[[#This Row],[CoutGlobalSupplementaire]]</f>
        <v>28.258792421555782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2" s="5" t="str">
        <f>VLOOKUP(TabVMEnv[[#This Row],[EnvProjet]],TabEnvProjet[],5,FALSE)</f>
        <v>Axel Benoist-Gironiere, Vincent MERIAU</v>
      </c>
      <c r="Z82" s="5">
        <f>VLOOKUP(TabVMEnv[[#This Row],[EnvProjet]],TabEnvProjet[],6,FALSE)</f>
        <v>341531</v>
      </c>
      <c r="AA82" s="5" t="str">
        <f>VLOOKUP(TabVMEnv[[#This Row],[EnvProjet]],TabEnvProjet[],3,FALSE)</f>
        <v>DEV_BUILD</v>
      </c>
      <c r="AB82" s="5">
        <f>COUNTIF(TabVMEnv[VM],TabVMEnv[[#This Row],[VM]])</f>
        <v>1</v>
      </c>
    </row>
    <row r="83" spans="1:28" x14ac:dyDescent="0.25">
      <c r="A83" t="s">
        <v>28</v>
      </c>
      <c r="B83" t="s">
        <v>533</v>
      </c>
      <c r="D83">
        <v>0</v>
      </c>
      <c r="E83" s="13" t="s">
        <v>524</v>
      </c>
      <c r="F83">
        <f>IF(VLOOKUP(TabVMEnv[[#This Row],[VM]],TabOceanet[],16,FALSE) = "Tarif_VM",IF(VLOOKUP(TabVMEnv[[#This Row],[VM]],TabOceanet[],2,FALSE)&lt;4,4,VLOOKUP(TabVMEnv[[#This Row],[VM]],TabOceanet[],2,FALSE)),0)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IF(VLOOKUP(TabVMEnv[[#This Row],[VM]],TabOceanet[],16,FALSE) = "Tarif_VM",1,0)/TabVMEnv[[#This Row],[Mutualisé]]</f>
        <v>1</v>
      </c>
      <c r="L83">
        <f>IF(VLOOKUP(TabVMEnv[[#This Row],[VM]],TabOceanet[],9,FALSE) = "PoweredOn",1,0)</f>
        <v>1</v>
      </c>
      <c r="M83">
        <f>TabVMEnv[[#This Row],[IsVMPoweredOn]]*VLOOKUP(TabVMEnv[[#This Row],[VM]],TabOceanet[],3,FALSE)/TabVMEnv[[#This Row],[Mutualisé]]</f>
        <v>4</v>
      </c>
      <c r="N83">
        <f>VLOOKUP(TabVMEnv[[#This Row],[VM]],TabOceanet[],4,FALSE)/TabVMEnv[[#This Row],[Mutualisé]]</f>
        <v>12</v>
      </c>
      <c r="O83">
        <f>IF(LEFT(VLOOKUP(TabVMEnv[[#This Row],[VM]],TabOceanet[],5,FALSE),3)="win",1,0)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VLOOKUP(TabVMEnv[[#This Row],[EnvProjet]],TabEnvProjet[],4,FALSE)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9.16</v>
      </c>
      <c r="U83" s="25">
        <f>IF(TabVMEnv[[#This Row],[CostCenter]]="CostCenterDI",0,TabVMEnv[[#This Row],[CoutGlobal]])</f>
        <v>9.16</v>
      </c>
      <c r="V83" s="25">
        <f>TabVMEnv[[#This Row],[CoutGlobalSansCostCenterDI]]/TabVMEnv[[#Totals],[CoutGlobalSansCostCenterDI]]*(GlobalARepartirSansMS+GlobalARepartirMSOnly+GlobalARepartirInfraReseau)</f>
        <v>19.098792421555782</v>
      </c>
      <c r="W83" s="25">
        <f>TabVMEnv[[#This Row],[CoutGlobalSansCostCenterDI]]+TabVMEnv[[#This Row],[CoutGlobalSupplementaire]]</f>
        <v>28.258792421555782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VLOOKUP(TabVMEnv[[#This Row],[EnvProjet]],TabEnvProjet[],5,FALSE)</f>
        <v>Axel Benoist-Gironiere, Vincent MERIAU</v>
      </c>
      <c r="Z83" s="5">
        <f>VLOOKUP(TabVMEnv[[#This Row],[EnvProjet]],TabEnvProjet[],6,FALSE)</f>
        <v>341531</v>
      </c>
      <c r="AA83" s="5" t="str">
        <f>VLOOKUP(TabVMEnv[[#This Row],[EnvProjet]],TabEnvProjet[],3,FALSE)</f>
        <v>QUAL_BUILD</v>
      </c>
      <c r="AB83" s="5">
        <f>COUNTIF(TabVMEnv[VM],TabVMEnv[[#This Row],[VM]])</f>
        <v>1</v>
      </c>
    </row>
    <row r="84" spans="1:28" x14ac:dyDescent="0.25">
      <c r="A84" t="s">
        <v>29</v>
      </c>
      <c r="B84" t="s">
        <v>533</v>
      </c>
      <c r="E84" s="13"/>
      <c r="F84" s="5">
        <f>IF(VLOOKUP(TabVMEnv[[#This Row],[VM]],TabOceanet[],16,FALSE) = "Tarif_VM",IF(VLOOKUP(TabVMEnv[[#This Row],[VM]],TabOceanet[],2,FALSE)&lt;4,4,VLOOKUP(TabVMEnv[[#This Row],[VM]],TabOceanet[],2,FALSE)),0)</f>
        <v>4</v>
      </c>
      <c r="G84">
        <v>0</v>
      </c>
      <c r="H84">
        <v>0</v>
      </c>
      <c r="I84">
        <v>0</v>
      </c>
      <c r="J84">
        <v>0</v>
      </c>
      <c r="K84" s="5">
        <f>IF(VLOOKUP(TabVMEnv[[#This Row],[VM]],TabOceanet[],16,FALSE) = "Tarif_VM",1,0)/TabVMEnv[[#This Row],[Mutualisé]]</f>
        <v>1</v>
      </c>
      <c r="L84" s="5">
        <f>IF(VLOOKUP(TabVMEnv[[#This Row],[VM]],TabOceanet[],9,FALSE) = "PoweredOn",1,0)</f>
        <v>1</v>
      </c>
      <c r="M84" s="5">
        <f>TabVMEnv[[#This Row],[IsVMPoweredOn]]*VLOOKUP(TabVMEnv[[#This Row],[VM]],TabOceanet[],3,FALSE)/TabVMEnv[[#This Row],[Mutualisé]]</f>
        <v>2</v>
      </c>
      <c r="N84" s="5">
        <f>VLOOKUP(TabVMEnv[[#This Row],[VM]],TabOceanet[],4,FALSE)/TabVMEnv[[#This Row],[Mutualisé]]</f>
        <v>12</v>
      </c>
      <c r="O84" s="5">
        <f>IF(LEFT(VLOOKUP(TabVMEnv[[#This Row],[VM]],TabOceanet[],5,FALSE),3)="win",1,0)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VLOOKUP(TabVMEnv[[#This Row],[EnvProjet]],TabEnvProjet[],4,FALSE)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25">
        <f>VLOOKUP(TabVMEnv[[#This Row],[VM]],TabOceanet[],36,FALSE)/TabVMEnv[[#This Row],[Mutualisé]]</f>
        <v>5.9600000000000009</v>
      </c>
      <c r="U84" s="25">
        <f>IF(TabVMEnv[[#This Row],[CostCenter]]="CostCenterDI",0,TabVMEnv[[#This Row],[CoutGlobal]])</f>
        <v>5.9600000000000009</v>
      </c>
      <c r="V84" s="25">
        <f>TabVMEnv[[#This Row],[CoutGlobalSansCostCenterDI]]/TabVMEnv[[#Totals],[CoutGlobalSansCostCenterDI]]*(GlobalARepartirSansMS+GlobalARepartirMSOnly+GlobalARepartirInfraReseau)</f>
        <v>12.42672520005158</v>
      </c>
      <c r="W84" s="25">
        <f>TabVMEnv[[#This Row],[CoutGlobalSansCostCenterDI]]+TabVMEnv[[#This Row],[CoutGlobalSupplementaire]]</f>
        <v>18.386725200051579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4" s="5" t="str">
        <f>VLOOKUP(TabVMEnv[[#This Row],[EnvProjet]],TabEnvProjet[],5,FALSE)</f>
        <v>Axel Benoist-Gironiere, Vincent MERIAU</v>
      </c>
      <c r="Z84" s="5">
        <f>VLOOKUP(TabVMEnv[[#This Row],[EnvProjet]],TabEnvProjet[],6,FALSE)</f>
        <v>341531</v>
      </c>
      <c r="AA84" s="5" t="str">
        <f>VLOOKUP(TabVMEnv[[#This Row],[EnvProjet]],TabEnvProjet[],3,FALSE)</f>
        <v>QUAL_BUILD</v>
      </c>
      <c r="AB84" s="5">
        <f>COUNTIF(TabVMEnv[VM],TabVMEnv[[#This Row],[VM]])</f>
        <v>1</v>
      </c>
    </row>
    <row r="85" spans="1:28" x14ac:dyDescent="0.25">
      <c r="A85" t="s">
        <v>75</v>
      </c>
      <c r="B85" t="s">
        <v>523</v>
      </c>
      <c r="C85" t="s">
        <v>76</v>
      </c>
      <c r="D85">
        <v>0</v>
      </c>
      <c r="E85" s="13" t="s">
        <v>524</v>
      </c>
      <c r="F85">
        <f>IF(VLOOKUP(TabVMEnv[[#This Row],[VM]],TabOceanet[],16,FALSE) = "Tarif_VM",IF(VLOOKUP(TabVMEnv[[#This Row],[VM]],TabOceanet[],2,FALSE)&lt;4,4,VLOOKUP(TabVMEnv[[#This Row],[VM]],TabOceanet[],2,FALSE)),0)</f>
        <v>4</v>
      </c>
      <c r="G85">
        <v>0</v>
      </c>
      <c r="H85">
        <v>0</v>
      </c>
      <c r="I85">
        <v>0</v>
      </c>
      <c r="J85">
        <v>0</v>
      </c>
      <c r="K85">
        <f>IF(VLOOKUP(TabVMEnv[[#This Row],[VM]],TabOceanet[],16,FALSE) = "Tarif_VM",1,0)/TabVMEnv[[#This Row],[Mutualisé]]</f>
        <v>1</v>
      </c>
      <c r="L85">
        <f>IF(VLOOKUP(TabVMEnv[[#This Row],[VM]],TabOceanet[],9,FALSE) = "PoweredOn",1,0)</f>
        <v>1</v>
      </c>
      <c r="M85">
        <f>TabVMEnv[[#This Row],[IsVMPoweredOn]]*VLOOKUP(TabVMEnv[[#This Row],[VM]],TabOceanet[],3,FALSE)/TabVMEnv[[#This Row],[Mutualisé]]</f>
        <v>2</v>
      </c>
      <c r="N85">
        <f>VLOOKUP(TabVMEnv[[#This Row],[VM]],TabOceanet[],4,FALSE)/TabVMEnv[[#This Row],[Mutualisé]]</f>
        <v>6</v>
      </c>
      <c r="O85">
        <f>IF(LEFT(VLOOKUP(TabVMEnv[[#This Row],[VM]],TabOceanet[],5,FALSE),3)="win",1,0)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VLOOKUP(TabVMEnv[[#This Row],[EnvProjet]],TabEnvProjet[],4,FALSE)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4.58</v>
      </c>
      <c r="U85" s="17">
        <f>IF(TabVMEnv[[#This Row],[CostCenter]]="CostCenterDI",0,TabVMEnv[[#This Row],[CoutGlobal]])</f>
        <v>4.58</v>
      </c>
      <c r="V85" s="17">
        <f>TabVMEnv[[#This Row],[CoutGlobalSansCostCenterDI]]/TabVMEnv[[#Totals],[CoutGlobalSansCostCenterDI]]*(GlobalARepartirSansMS+GlobalARepartirMSOnly+GlobalARepartirInfraReseau)</f>
        <v>9.5493962107778909</v>
      </c>
      <c r="W85" s="17">
        <f>TabVMEnv[[#This Row],[CoutGlobalSansCostCenterDI]]+TabVMEnv[[#This Row],[CoutGlobalSupplementaire]]</f>
        <v>14.129396210777891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VLOOKUP(TabVMEnv[[#This Row],[EnvProjet]],TabEnvProjet[],5,FALSE)</f>
        <v>Axel Benoist-Gironiere</v>
      </c>
      <c r="Z85" s="5">
        <f>VLOOKUP(TabVMEnv[[#This Row],[EnvProjet]],TabEnvProjet[],6,FALSE)</f>
        <v>341531</v>
      </c>
      <c r="AA85" s="5" t="str">
        <f>VLOOKUP(TabVMEnv[[#This Row],[EnvProjet]],TabEnvProjet[],3,FALSE)</f>
        <v>QUAL</v>
      </c>
      <c r="AB85" s="5">
        <f>COUNTIF(TabVMEnv[VM],TabVMEnv[[#This Row],[VM]])</f>
        <v>1</v>
      </c>
    </row>
    <row r="86" spans="1:28" x14ac:dyDescent="0.25">
      <c r="A86" t="s">
        <v>222</v>
      </c>
      <c r="B86" t="s">
        <v>534</v>
      </c>
      <c r="D86">
        <v>2</v>
      </c>
      <c r="E86" s="13" t="s">
        <v>535</v>
      </c>
      <c r="F86">
        <f>IF(VLOOKUP(TabVMEnv[[#This Row],[VM]],TabOceanet[],16,FALSE) = "Tarif_VM",IF(VLOOKUP(TabVMEnv[[#This Row],[VM]],TabOceanet[],2,FALSE)&lt;4,4,VLOOKUP(TabVMEnv[[#This Row],[VM]],TabOceanet[],2,FALSE)),0)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IF(VLOOKUP(TabVMEnv[[#This Row],[VM]],TabOceanet[],16,FALSE) = "Tarif_VM",1,0)/TabVMEnv[[#This Row],[Mutualisé]]</f>
        <v>1</v>
      </c>
      <c r="L86">
        <f>IF(VLOOKUP(TabVMEnv[[#This Row],[VM]],TabOceanet[],9,FALSE) = "PoweredOn",1,0)</f>
        <v>1</v>
      </c>
      <c r="M86">
        <f>TabVMEnv[[#This Row],[IsVMPoweredOn]]*VLOOKUP(TabVMEnv[[#This Row],[VM]],TabOceanet[],3,FALSE)/TabVMEnv[[#This Row],[Mutualisé]]</f>
        <v>4</v>
      </c>
      <c r="N86">
        <f>VLOOKUP(TabVMEnv[[#This Row],[VM]],TabOceanet[],4,FALSE)/TabVMEnv[[#This Row],[Mutualisé]]</f>
        <v>14</v>
      </c>
      <c r="O86">
        <f>IF(LEFT(VLOOKUP(TabVMEnv[[#This Row],[VM]],TabOceanet[],5,FALSE),3)="win",1,0)</f>
        <v>0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VLOOKUP(TabVMEnv[[#This Row],[EnvProjet]],TabEnvProjet[],4,FALSE)</f>
        <v>GFIINT2019/ NRT-PJINT</v>
      </c>
      <c r="R86" s="5" t="str">
        <f>VLOOKUP(TabVMEnv[[#This Row],[SYGES]],TabContrat[],2,FALSE)</f>
        <v>GFI-NIORT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9.620000000000001</v>
      </c>
      <c r="U86" s="17">
        <f>IF(TabVMEnv[[#This Row],[CostCenter]]="CostCenterDI",0,TabVMEnv[[#This Row],[CoutGlobal]])</f>
        <v>9.620000000000001</v>
      </c>
      <c r="V86" s="17">
        <f>TabVMEnv[[#This Row],[CoutGlobalSansCostCenterDI]]/TabVMEnv[[#Totals],[CoutGlobalSansCostCenterDI]]*(GlobalARepartirSansMS+GlobalARepartirMSOnly+GlobalARepartirInfraReseau)</f>
        <v>20.057902084647012</v>
      </c>
      <c r="W86" s="17">
        <f>TabVMEnv[[#This Row],[CoutGlobalSansCostCenterDI]]+TabVMEnv[[#This Row],[CoutGlobalSupplementaire]]</f>
        <v>29.677902084647013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6" s="5" t="str">
        <f>VLOOKUP(TabVMEnv[[#This Row],[EnvProjet]],TabEnvProjet[],5,FALSE)</f>
        <v>Philippe De Guio</v>
      </c>
      <c r="Z86" s="5">
        <f>VLOOKUP(TabVMEnv[[#This Row],[EnvProjet]],TabEnvProjet[],6,FALSE)</f>
        <v>341530</v>
      </c>
      <c r="AA86" s="5" t="str">
        <f>VLOOKUP(TabVMEnv[[#This Row],[EnvProjet]],TabEnvProjet[],3,FALSE)</f>
        <v>DEV</v>
      </c>
      <c r="AB86" s="5">
        <f>COUNTIF(TabVMEnv[VM],TabVMEnv[[#This Row],[VM]])</f>
        <v>1</v>
      </c>
    </row>
    <row r="87" spans="1:28" x14ac:dyDescent="0.25">
      <c r="A87" t="s">
        <v>223</v>
      </c>
      <c r="B87" t="s">
        <v>536</v>
      </c>
      <c r="D87">
        <v>0.5</v>
      </c>
      <c r="E87" s="13" t="s">
        <v>535</v>
      </c>
      <c r="F87">
        <f>IF(VLOOKUP(TabVMEnv[[#This Row],[VM]],TabOceanet[],16,FALSE) = "Tarif_VM",IF(VLOOKUP(TabVMEnv[[#This Row],[VM]],TabOceanet[],2,FALSE)&lt;4,4,VLOOKUP(TabVMEnv[[#This Row],[VM]],TabOceanet[],2,FALSE)),0)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IF(VLOOKUP(TabVMEnv[[#This Row],[VM]],TabOceanet[],16,FALSE) = "Tarif_VM",1,0)/TabVMEnv[[#This Row],[Mutualisé]]</f>
        <v>1</v>
      </c>
      <c r="L87">
        <f>IF(VLOOKUP(TabVMEnv[[#This Row],[VM]],TabOceanet[],9,FALSE) = "PoweredOn",1,0)</f>
        <v>1</v>
      </c>
      <c r="M87">
        <f>TabVMEnv[[#This Row],[IsVMPoweredOn]]*VLOOKUP(TabVMEnv[[#This Row],[VM]],TabOceanet[],3,FALSE)/TabVMEnv[[#This Row],[Mutualisé]]</f>
        <v>4</v>
      </c>
      <c r="N87">
        <f>VLOOKUP(TabVMEnv[[#This Row],[VM]],TabOceanet[],4,FALSE)/TabVMEnv[[#This Row],[Mutualisé]]</f>
        <v>14</v>
      </c>
      <c r="O87">
        <f>IF(LEFT(VLOOKUP(TabVMEnv[[#This Row],[VM]],TabOceanet[],5,FALSE),3)="win",1,0)</f>
        <v>0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VLOOKUP(TabVMEnv[[#This Row],[EnvProjet]],TabEnvProjet[],4,FALSE)</f>
        <v>GFIINT2019/ NRT-PJINT</v>
      </c>
      <c r="R87" s="5" t="str">
        <f>VLOOKUP(TabVMEnv[[#This Row],[SYGES]],TabContrat[],2,FALSE)</f>
        <v>GFI-NIORT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9.620000000000001</v>
      </c>
      <c r="U87" s="17">
        <f>IF(TabVMEnv[[#This Row],[CostCenter]]="CostCenterDI",0,TabVMEnv[[#This Row],[CoutGlobal]])</f>
        <v>9.620000000000001</v>
      </c>
      <c r="V87" s="17">
        <f>TabVMEnv[[#This Row],[CoutGlobalSansCostCenterDI]]/TabVMEnv[[#Totals],[CoutGlobalSansCostCenterDI]]*(GlobalARepartirSansMS+GlobalARepartirMSOnly+GlobalARepartirInfraReseau)</f>
        <v>20.057902084647012</v>
      </c>
      <c r="W87" s="17">
        <f>TabVMEnv[[#This Row],[CoutGlobalSansCostCenterDI]]+TabVMEnv[[#This Row],[CoutGlobalSupplementaire]]</f>
        <v>29.677902084647013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7" s="5" t="str">
        <f>VLOOKUP(TabVMEnv[[#This Row],[EnvProjet]],TabEnvProjet[],5,FALSE)</f>
        <v>Philippe De Guio</v>
      </c>
      <c r="Z87" s="5">
        <f>VLOOKUP(TabVMEnv[[#This Row],[EnvProjet]],TabEnvProjet[],6,FALSE)</f>
        <v>341530</v>
      </c>
      <c r="AA87" s="5" t="str">
        <f>VLOOKUP(TabVMEnv[[#This Row],[EnvProjet]],TabEnvProjet[],3,FALSE)</f>
        <v>QUAL</v>
      </c>
      <c r="AB87" s="5">
        <f>COUNTIF(TabVMEnv[VM],TabVMEnv[[#This Row],[VM]])</f>
        <v>1</v>
      </c>
    </row>
    <row r="88" spans="1:28" x14ac:dyDescent="0.25">
      <c r="A88" t="s">
        <v>225</v>
      </c>
      <c r="B88" t="s">
        <v>537</v>
      </c>
      <c r="D88">
        <v>0.5</v>
      </c>
      <c r="E88" s="13" t="s">
        <v>535</v>
      </c>
      <c r="F88">
        <f>IF(VLOOKUP(TabVMEnv[[#This Row],[VM]],TabOceanet[],16,FALSE) = "Tarif_VM",IF(VLOOKUP(TabVMEnv[[#This Row],[VM]],TabOceanet[],2,FALSE)&lt;4,4,VLOOKUP(TabVMEnv[[#This Row],[VM]],TabOceanet[],2,FALSE)),0)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IF(VLOOKUP(TabVMEnv[[#This Row],[VM]],TabOceanet[],16,FALSE) = "Tarif_VM",1,0)/TabVMEnv[[#This Row],[Mutualisé]]</f>
        <v>1</v>
      </c>
      <c r="L88">
        <f>IF(VLOOKUP(TabVMEnv[[#This Row],[VM]],TabOceanet[],9,FALSE) = "PoweredOn",1,0)</f>
        <v>1</v>
      </c>
      <c r="M88">
        <f>TabVMEnv[[#This Row],[IsVMPoweredOn]]*VLOOKUP(TabVMEnv[[#This Row],[VM]],TabOceanet[],3,FALSE)/TabVMEnv[[#This Row],[Mutualisé]]</f>
        <v>4</v>
      </c>
      <c r="N88">
        <f>VLOOKUP(TabVMEnv[[#This Row],[VM]],TabOceanet[],4,FALSE)/TabVMEnv[[#This Row],[Mutualisé]]</f>
        <v>14</v>
      </c>
      <c r="O88">
        <f>IF(LEFT(VLOOKUP(TabVMEnv[[#This Row],[VM]],TabOceanet[],5,FALSE),3)="win",1,0)</f>
        <v>0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VLOOKUP(TabVMEnv[[#This Row],[EnvProjet]],TabEnvProjet[],4,FALSE)</f>
        <v>GFIINT2019/ NRT-PJINT</v>
      </c>
      <c r="R88" s="5" t="str">
        <f>VLOOKUP(TabVMEnv[[#This Row],[SYGES]],TabContrat[],2,FALSE)</f>
        <v>GFI-NIORT</v>
      </c>
      <c r="S88" s="5" t="str">
        <f>IF(VLOOKUP(TabVMEnv[[#This Row],[VM]],TabOceanet[],1,FALSE) = "","Disparue","")</f>
        <v/>
      </c>
      <c r="T88" s="25">
        <f>VLOOKUP(TabVMEnv[[#This Row],[VM]],TabOceanet[],36,FALSE)/TabVMEnv[[#This Row],[Mutualisé]]</f>
        <v>9.620000000000001</v>
      </c>
      <c r="U88" s="25">
        <f>IF(TabVMEnv[[#This Row],[CostCenter]]="CostCenterDI",0,TabVMEnv[[#This Row],[CoutGlobal]])</f>
        <v>9.620000000000001</v>
      </c>
      <c r="V88" s="25">
        <f>TabVMEnv[[#This Row],[CoutGlobalSansCostCenterDI]]/TabVMEnv[[#Totals],[CoutGlobalSansCostCenterDI]]*(GlobalARepartirSansMS+GlobalARepartirMSOnly+GlobalARepartirInfraReseau)</f>
        <v>20.057902084647012</v>
      </c>
      <c r="W88" s="25">
        <f>TabVMEnv[[#This Row],[CoutGlobalSansCostCenterDI]]+TabVMEnv[[#This Row],[CoutGlobalSupplementaire]]</f>
        <v>29.677902084647013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8" s="5" t="str">
        <f>VLOOKUP(TabVMEnv[[#This Row],[EnvProjet]],TabEnvProjet[],5,FALSE)</f>
        <v>Philippe De Guio</v>
      </c>
      <c r="Z88" s="5">
        <f>VLOOKUP(TabVMEnv[[#This Row],[EnvProjet]],TabEnvProjet[],6,FALSE)</f>
        <v>341530</v>
      </c>
      <c r="AA88" s="5" t="str">
        <f>VLOOKUP(TabVMEnv[[#This Row],[EnvProjet]],TabEnvProjet[],3,FALSE)</f>
        <v>PROD</v>
      </c>
      <c r="AB88" s="5">
        <f>COUNTIF(TabVMEnv[VM],TabVMEnv[[#This Row],[VM]])</f>
        <v>1</v>
      </c>
    </row>
    <row r="89" spans="1:28" x14ac:dyDescent="0.25">
      <c r="A89" t="s">
        <v>226</v>
      </c>
      <c r="B89" t="s">
        <v>537</v>
      </c>
      <c r="E89" s="13"/>
      <c r="F89" s="5">
        <f>IF(VLOOKUP(TabVMEnv[[#This Row],[VM]],TabOceanet[],16,FALSE) = "Tarif_VM",IF(VLOOKUP(TabVMEnv[[#This Row],[VM]],TabOceanet[],2,FALSE)&lt;4,4,VLOOKUP(TabVMEnv[[#This Row],[VM]],TabOceanet[],2,FALSE)),0)</f>
        <v>4</v>
      </c>
      <c r="G89">
        <v>0</v>
      </c>
      <c r="H89">
        <v>0</v>
      </c>
      <c r="I89">
        <v>0</v>
      </c>
      <c r="J89">
        <v>0</v>
      </c>
      <c r="K89" s="5">
        <f>IF(VLOOKUP(TabVMEnv[[#This Row],[VM]],TabOceanet[],16,FALSE) = "Tarif_VM",1,0)/TabVMEnv[[#This Row],[Mutualisé]]</f>
        <v>1</v>
      </c>
      <c r="L89" s="5">
        <f>IF(VLOOKUP(TabVMEnv[[#This Row],[VM]],TabOceanet[],9,FALSE) = "PoweredOn",1,0)</f>
        <v>1</v>
      </c>
      <c r="M89" s="5">
        <f>TabVMEnv[[#This Row],[IsVMPoweredOn]]*VLOOKUP(TabVMEnv[[#This Row],[VM]],TabOceanet[],3,FALSE)/TabVMEnv[[#This Row],[Mutualisé]]</f>
        <v>4</v>
      </c>
      <c r="N89" s="5">
        <f>VLOOKUP(TabVMEnv[[#This Row],[VM]],TabOceanet[],4,FALSE)/TabVMEnv[[#This Row],[Mutualisé]]</f>
        <v>14</v>
      </c>
      <c r="O89" s="5">
        <f>IF(LEFT(VLOOKUP(TabVMEnv[[#This Row],[VM]],TabOceanet[],5,FALSE),3)="win",1,0)</f>
        <v>0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VLOOKUP(TabVMEnv[[#This Row],[EnvProjet]],TabEnvProjet[],4,FALSE)</f>
        <v>GFIINT2019/ NRT-PJINT</v>
      </c>
      <c r="R89" s="5" t="str">
        <f>VLOOKUP(TabVMEnv[[#This Row],[SYGES]],TabContrat[],2,FALSE)</f>
        <v>GFI-NIORT</v>
      </c>
      <c r="S89" s="5" t="str">
        <f>IF(VLOOKUP(TabVMEnv[[#This Row],[VM]],TabOceanet[],1,FALSE) = "","Disparue","")</f>
        <v/>
      </c>
      <c r="T89" s="25">
        <f>VLOOKUP(TabVMEnv[[#This Row],[VM]],TabOceanet[],36,FALSE)/TabVMEnv[[#This Row],[Mutualisé]]</f>
        <v>9.620000000000001</v>
      </c>
      <c r="U89" s="25">
        <f>IF(TabVMEnv[[#This Row],[CostCenter]]="CostCenterDI",0,TabVMEnv[[#This Row],[CoutGlobal]])</f>
        <v>9.620000000000001</v>
      </c>
      <c r="V89" s="25">
        <f>TabVMEnv[[#This Row],[CoutGlobalSansCostCenterDI]]/TabVMEnv[[#Totals],[CoutGlobalSansCostCenterDI]]*(GlobalARepartirSansMS+GlobalARepartirMSOnly+GlobalARepartirInfraReseau)</f>
        <v>20.057902084647012</v>
      </c>
      <c r="W89" s="25">
        <f>TabVMEnv[[#This Row],[CoutGlobalSansCostCenterDI]]+TabVMEnv[[#This Row],[CoutGlobalSupplementaire]]</f>
        <v>29.677902084647013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9" s="5" t="str">
        <f>VLOOKUP(TabVMEnv[[#This Row],[EnvProjet]],TabEnvProjet[],5,FALSE)</f>
        <v>Philippe De Guio</v>
      </c>
      <c r="Z89" s="5">
        <f>VLOOKUP(TabVMEnv[[#This Row],[EnvProjet]],TabEnvProjet[],6,FALSE)</f>
        <v>341530</v>
      </c>
      <c r="AA89" s="5" t="str">
        <f>VLOOKUP(TabVMEnv[[#This Row],[EnvProjet]],TabEnvProjet[],3,FALSE)</f>
        <v>PROD</v>
      </c>
      <c r="AB89" s="5">
        <f>COUNTIF(TabVMEnv[VM],TabVMEnv[[#This Row],[VM]])</f>
        <v>1</v>
      </c>
    </row>
    <row r="90" spans="1:28" x14ac:dyDescent="0.25">
      <c r="A90" t="s">
        <v>224</v>
      </c>
      <c r="B90" t="s">
        <v>536</v>
      </c>
      <c r="E90" s="13"/>
      <c r="F90" s="5">
        <f>IF(VLOOKUP(TabVMEnv[[#This Row],[VM]],TabOceanet[],16,FALSE) = "Tarif_VM",IF(VLOOKUP(TabVMEnv[[#This Row],[VM]],TabOceanet[],2,FALSE)&lt;4,4,VLOOKUP(TabVMEnv[[#This Row],[VM]],TabOceanet[],2,FALSE)),0)</f>
        <v>4</v>
      </c>
      <c r="G90">
        <v>0</v>
      </c>
      <c r="H90">
        <v>0</v>
      </c>
      <c r="I90">
        <v>0</v>
      </c>
      <c r="J90">
        <v>0</v>
      </c>
      <c r="K90" s="5">
        <f>IF(VLOOKUP(TabVMEnv[[#This Row],[VM]],TabOceanet[],16,FALSE) = "Tarif_VM",1,0)/TabVMEnv[[#This Row],[Mutualisé]]</f>
        <v>1</v>
      </c>
      <c r="L90" s="5">
        <f>IF(VLOOKUP(TabVMEnv[[#This Row],[VM]],TabOceanet[],9,FALSE) = "PoweredOn",1,0)</f>
        <v>1</v>
      </c>
      <c r="M90" s="5">
        <f>TabVMEnv[[#This Row],[IsVMPoweredOn]]*VLOOKUP(TabVMEnv[[#This Row],[VM]],TabOceanet[],3,FALSE)/TabVMEnv[[#This Row],[Mutualisé]]</f>
        <v>4</v>
      </c>
      <c r="N90" s="5">
        <f>VLOOKUP(TabVMEnv[[#This Row],[VM]],TabOceanet[],4,FALSE)/TabVMEnv[[#This Row],[Mutualisé]]</f>
        <v>14</v>
      </c>
      <c r="O90" s="5">
        <f>IF(LEFT(VLOOKUP(TabVMEnv[[#This Row],[VM]],TabOceanet[],5,FALSE),3)="win",1,0)</f>
        <v>0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0" t="str">
        <f>VLOOKUP(TabVMEnv[[#This Row],[EnvProjet]],TabEnvProjet[],4,FALSE)</f>
        <v>GFIINT2019/ NRT-PJINT</v>
      </c>
      <c r="R90" s="5" t="str">
        <f>VLOOKUP(TabVMEnv[[#This Row],[SYGES]],TabContrat[],2,FALSE)</f>
        <v>GFI-NIORT</v>
      </c>
      <c r="S90" s="5" t="str">
        <f>IF(VLOOKUP(TabVMEnv[[#This Row],[VM]],TabOceanet[],1,FALSE) = "","Disparue","")</f>
        <v/>
      </c>
      <c r="T90" s="25">
        <f>VLOOKUP(TabVMEnv[[#This Row],[VM]],TabOceanet[],36,FALSE)/TabVMEnv[[#This Row],[Mutualisé]]</f>
        <v>9.620000000000001</v>
      </c>
      <c r="U90" s="25">
        <f>IF(TabVMEnv[[#This Row],[CostCenter]]="CostCenterDI",0,TabVMEnv[[#This Row],[CoutGlobal]])</f>
        <v>9.620000000000001</v>
      </c>
      <c r="V90" s="25">
        <f>TabVMEnv[[#This Row],[CoutGlobalSansCostCenterDI]]/TabVMEnv[[#Totals],[CoutGlobalSansCostCenterDI]]*(GlobalARepartirSansMS+GlobalARepartirMSOnly+GlobalARepartirInfraReseau)</f>
        <v>20.057902084647012</v>
      </c>
      <c r="W90" s="25">
        <f>TabVMEnv[[#This Row],[CoutGlobalSansCostCenterDI]]+TabVMEnv[[#This Row],[CoutGlobalSupplementaire]]</f>
        <v>29.677902084647013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0" s="5" t="str">
        <f>VLOOKUP(TabVMEnv[[#This Row],[EnvProjet]],TabEnvProjet[],5,FALSE)</f>
        <v>Philippe De Guio</v>
      </c>
      <c r="Z90" s="5">
        <f>VLOOKUP(TabVMEnv[[#This Row],[EnvProjet]],TabEnvProjet[],6,FALSE)</f>
        <v>341530</v>
      </c>
      <c r="AA90" s="5" t="str">
        <f>VLOOKUP(TabVMEnv[[#This Row],[EnvProjet]],TabEnvProjet[],3,FALSE)</f>
        <v>QUAL</v>
      </c>
      <c r="AB90" s="5">
        <f>COUNTIF(TabVMEnv[VM],TabVMEnv[[#This Row],[VM]])</f>
        <v>1</v>
      </c>
    </row>
    <row r="91" spans="1:28" x14ac:dyDescent="0.25">
      <c r="A91" t="s">
        <v>211</v>
      </c>
      <c r="B91" t="s">
        <v>538</v>
      </c>
      <c r="E91" s="13"/>
      <c r="F91" s="5">
        <f>IF(VLOOKUP(TabVMEnv[[#This Row],[VM]],TabOceanet[],16,FALSE) = "Tarif_VM",IF(VLOOKUP(TabVMEnv[[#This Row],[VM]],TabOceanet[],2,FALSE)&lt;4,4,VLOOKUP(TabVMEnv[[#This Row],[VM]],TabOceanet[],2,FALSE)),0)</f>
        <v>4</v>
      </c>
      <c r="K91" s="5">
        <f>IF(VLOOKUP(TabVMEnv[[#This Row],[VM]],TabOceanet[],16,FALSE) = "Tarif_VM",1,0)/TabVMEnv[[#This Row],[Mutualisé]]</f>
        <v>1</v>
      </c>
      <c r="L91" s="5">
        <f>IF(VLOOKUP(TabVMEnv[[#This Row],[VM]],TabOceanet[],9,FALSE) = "PoweredOn",1,0)</f>
        <v>1</v>
      </c>
      <c r="M91" s="5">
        <f>TabVMEnv[[#This Row],[IsVMPoweredOn]]*VLOOKUP(TabVMEnv[[#This Row],[VM]],TabOceanet[],3,FALSE)/TabVMEnv[[#This Row],[Mutualisé]]</f>
        <v>4</v>
      </c>
      <c r="N91" s="5">
        <f>VLOOKUP(TabVMEnv[[#This Row],[VM]],TabOceanet[],4,FALSE)/TabVMEnv[[#This Row],[Mutualisé]]</f>
        <v>37</v>
      </c>
      <c r="O91" s="5">
        <f>IF(LEFT(VLOOKUP(TabVMEnv[[#This Row],[VM]],TabOceanet[],5,FALSE),3)="win",1,0)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VLOOKUP(TabVMEnv[[#This Row],[EnvProjet]],TabEnvProjet[],4,FALSE)</f>
        <v>SUPP-DIGI - 1530-2018 - 0 - 1 - Tache 1 - Perform</v>
      </c>
      <c r="R91" s="5" t="str">
        <f>VLOOKUP(TabVMEnv[[#This Row],[SYGES]],TabContrat[],2,FALSE)</f>
        <v>GFI</v>
      </c>
      <c r="S91" s="5" t="str">
        <f>IF(VLOOKUP(TabVMEnv[[#This Row],[VM]],TabOceanet[],1,FALSE) = "","Disparue","")</f>
        <v/>
      </c>
      <c r="T91" s="25">
        <f>VLOOKUP(TabVMEnv[[#This Row],[VM]],TabOceanet[],36,FALSE)/TabVMEnv[[#This Row],[Mutualisé]]</f>
        <v>14.91</v>
      </c>
      <c r="U91" s="25">
        <f>IF(TabVMEnv[[#This Row],[CostCenter]]="CostCenterDI",0,TabVMEnv[[#This Row],[CoutGlobal]])</f>
        <v>14.91</v>
      </c>
      <c r="V91" s="25">
        <f>TabVMEnv[[#This Row],[CoutGlobalSansCostCenterDI]]/TabVMEnv[[#Totals],[CoutGlobalSansCostCenterDI]]*(GlobalARepartirSansMS+GlobalARepartirMSOnly+GlobalARepartirInfraReseau)</f>
        <v>31.087663210196144</v>
      </c>
      <c r="W91" s="25">
        <f>TabVMEnv[[#This Row],[CoutGlobalSansCostCenterDI]]+TabVMEnv[[#This Row],[CoutGlobalSupplementaire]]</f>
        <v>45.997663210196144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Kubernetes Vault - SUPP-DIGI - 1530-2018 - 0 - 1 - Tache 1 - Perform - Jérôme JACOB</v>
      </c>
      <c r="Y91" s="5" t="str">
        <f>VLOOKUP(TabVMEnv[[#This Row],[EnvProjet]],TabEnvProjet[],5,FALSE)</f>
        <v>Jérôme JACOB</v>
      </c>
      <c r="Z91" s="5">
        <f>VLOOKUP(TabVMEnv[[#This Row],[EnvProjet]],TabEnvProjet[],6,FALSE)</f>
        <v>341531</v>
      </c>
      <c r="AA91" s="5" t="str">
        <f>VLOOKUP(TabVMEnv[[#This Row],[EnvProjet]],TabEnvProjet[],3,FALSE)</f>
        <v>DEV_BUILD</v>
      </c>
      <c r="AB91" s="5">
        <f>COUNTIF(TabVMEnv[VM],TabVMEnv[[#This Row],[VM]])</f>
        <v>1</v>
      </c>
    </row>
    <row r="92" spans="1:28" x14ac:dyDescent="0.25">
      <c r="A92" t="s">
        <v>212</v>
      </c>
      <c r="B92" t="s">
        <v>538</v>
      </c>
      <c r="E92" s="13"/>
      <c r="F92" s="5">
        <f>IF(VLOOKUP(TabVMEnv[[#This Row],[VM]],TabOceanet[],16,FALSE) = "Tarif_VM",IF(VLOOKUP(TabVMEnv[[#This Row],[VM]],TabOceanet[],2,FALSE)&lt;4,4,VLOOKUP(TabVMEnv[[#This Row],[VM]],TabOceanet[],2,FALSE)),0)</f>
        <v>4</v>
      </c>
      <c r="K92" s="5">
        <f>IF(VLOOKUP(TabVMEnv[[#This Row],[VM]],TabOceanet[],16,FALSE) = "Tarif_VM",1,0)/TabVMEnv[[#This Row],[Mutualisé]]</f>
        <v>1</v>
      </c>
      <c r="L92" s="5">
        <f>IF(VLOOKUP(TabVMEnv[[#This Row],[VM]],TabOceanet[],9,FALSE) = "PoweredOn",1,0)</f>
        <v>1</v>
      </c>
      <c r="M92" s="5">
        <f>TabVMEnv[[#This Row],[IsVMPoweredOn]]*VLOOKUP(TabVMEnv[[#This Row],[VM]],TabOceanet[],3,FALSE)/TabVMEnv[[#This Row],[Mutualisé]]</f>
        <v>4</v>
      </c>
      <c r="N92" s="5">
        <f>VLOOKUP(TabVMEnv[[#This Row],[VM]],TabOceanet[],4,FALSE)/TabVMEnv[[#This Row],[Mutualisé]]</f>
        <v>37</v>
      </c>
      <c r="O92" s="5">
        <f>IF(LEFT(VLOOKUP(TabVMEnv[[#This Row],[VM]],TabOceanet[],5,FALSE),3)="win",1,0)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VLOOKUP(TabVMEnv[[#This Row],[EnvProjet]],TabEnvProjet[],4,FALSE)</f>
        <v>SUPP-DIGI - 1530-2018 - 0 - 1 - Tache 1 - Perform</v>
      </c>
      <c r="R92" s="5" t="str">
        <f>VLOOKUP(TabVMEnv[[#This Row],[SYGES]],TabContrat[],2,FALSE)</f>
        <v>GFI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14.91</v>
      </c>
      <c r="U92" s="25">
        <f>IF(TabVMEnv[[#This Row],[CostCenter]]="CostCenterDI",0,TabVMEnv[[#This Row],[CoutGlobal]])</f>
        <v>14.91</v>
      </c>
      <c r="V92" s="25">
        <f>TabVMEnv[[#This Row],[CoutGlobalSansCostCenterDI]]/TabVMEnv[[#Totals],[CoutGlobalSansCostCenterDI]]*(GlobalARepartirSansMS+GlobalARepartirMSOnly+GlobalARepartirInfraReseau)</f>
        <v>31.087663210196144</v>
      </c>
      <c r="W92" s="25">
        <f>TabVMEnv[[#This Row],[CoutGlobalSansCostCenterDI]]+TabVMEnv[[#This Row],[CoutGlobalSupplementaire]]</f>
        <v>45.997663210196144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Kubernetes Vault - SUPP-DIGI - 1530-2018 - 0 - 1 - Tache 1 - Perform - Jérôme JACOB</v>
      </c>
      <c r="Y92" s="5" t="str">
        <f>VLOOKUP(TabVMEnv[[#This Row],[EnvProjet]],TabEnvProjet[],5,FALSE)</f>
        <v>Jérôme JACOB</v>
      </c>
      <c r="Z92" s="5">
        <f>VLOOKUP(TabVMEnv[[#This Row],[EnvProjet]],TabEnvProjet[],6,FALSE)</f>
        <v>341531</v>
      </c>
      <c r="AA92" s="5" t="str">
        <f>VLOOKUP(TabVMEnv[[#This Row],[EnvProjet]],TabEnvProjet[],3,FALSE)</f>
        <v>DEV_BUILD</v>
      </c>
      <c r="AB92" s="5">
        <f>COUNTIF(TabVMEnv[VM],TabVMEnv[[#This Row],[VM]])</f>
        <v>1</v>
      </c>
    </row>
    <row r="93" spans="1:28" x14ac:dyDescent="0.25">
      <c r="A93" t="s">
        <v>32</v>
      </c>
      <c r="B93" t="s">
        <v>528</v>
      </c>
      <c r="D93">
        <v>0</v>
      </c>
      <c r="E93" s="13" t="s">
        <v>524</v>
      </c>
      <c r="F93">
        <f>IF(VLOOKUP(TabVMEnv[[#This Row],[VM]],TabOceanet[],16,FALSE) = "Tarif_VM",IF(VLOOKUP(TabVMEnv[[#This Row],[VM]],TabOceanet[],2,FALSE)&lt;4,4,VLOOKUP(TabVMEnv[[#This Row],[VM]],TabOceanet[],2,FALSE)),0)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IF(VLOOKUP(TabVMEnv[[#This Row],[VM]],TabOceanet[],16,FALSE) = "Tarif_VM",1,0)/TabVMEnv[[#This Row],[Mutualisé]]</f>
        <v>1</v>
      </c>
      <c r="L93">
        <f>IF(VLOOKUP(TabVMEnv[[#This Row],[VM]],TabOceanet[],9,FALSE) = "PoweredOn",1,0)</f>
        <v>1</v>
      </c>
      <c r="M93">
        <f>TabVMEnv[[#This Row],[IsVMPoweredOn]]*VLOOKUP(TabVMEnv[[#This Row],[VM]],TabOceanet[],3,FALSE)/TabVMEnv[[#This Row],[Mutualisé]]</f>
        <v>1</v>
      </c>
      <c r="N93">
        <f>VLOOKUP(TabVMEnv[[#This Row],[VM]],TabOceanet[],4,FALSE)/TabVMEnv[[#This Row],[Mutualisé]]</f>
        <v>21</v>
      </c>
      <c r="O93">
        <f>IF(LEFT(VLOOKUP(TabVMEnv[[#This Row],[VM]],TabOceanet[],5,FALSE),3)="win",1,0)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VLOOKUP(TabVMEnv[[#This Row],[EnvProjet]],TabEnvProjet[],4,FALSE)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6.43</v>
      </c>
      <c r="U93" s="17">
        <f>IF(TabVMEnv[[#This Row],[CostCenter]]="CostCenterDI",0,TabVMEnv[[#This Row],[CoutGlobal]])</f>
        <v>6.43</v>
      </c>
      <c r="V93" s="17">
        <f>TabVMEnv[[#This Row],[CoutGlobalSansCostCenterDI]]/TabVMEnv[[#Totals],[CoutGlobalSansCostCenterDI]]*(GlobalARepartirSansMS+GlobalARepartirMSOnly+GlobalARepartirInfraReseau)</f>
        <v>13.406685073210008</v>
      </c>
      <c r="W93" s="17">
        <f>TabVMEnv[[#This Row],[CoutGlobalSansCostCenterDI]]+TabVMEnv[[#This Row],[CoutGlobalSupplementaire]]</f>
        <v>19.836685073210006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3" s="5" t="str">
        <f>VLOOKUP(TabVMEnv[[#This Row],[EnvProjet]],TabEnvProjet[],5,FALSE)</f>
        <v>Axel Benoist-Gironiere</v>
      </c>
      <c r="Z93" s="5">
        <f>VLOOKUP(TabVMEnv[[#This Row],[EnvProjet]],TabEnvProjet[],6,FALSE)</f>
        <v>341531</v>
      </c>
      <c r="AA93" s="5" t="str">
        <f>VLOOKUP(TabVMEnv[[#This Row],[EnvProjet]],TabEnvProjet[],3,FALSE)</f>
        <v>DEV</v>
      </c>
      <c r="AB93" s="5">
        <f>COUNTIF(TabVMEnv[VM],TabVMEnv[[#This Row],[VM]])</f>
        <v>1</v>
      </c>
    </row>
    <row r="94" spans="1:28" x14ac:dyDescent="0.25">
      <c r="A94" t="s">
        <v>82</v>
      </c>
      <c r="B94" t="s">
        <v>539</v>
      </c>
      <c r="E94" s="13"/>
      <c r="F94" s="5">
        <f>IF(VLOOKUP(TabVMEnv[[#This Row],[VM]],TabOceanet[],16,FALSE) = "Tarif_VM",IF(VLOOKUP(TabVMEnv[[#This Row],[VM]],TabOceanet[],2,FALSE)&lt;4,4,VLOOKUP(TabVMEnv[[#This Row],[VM]],TabOceanet[],2,FALSE)),0)</f>
        <v>4</v>
      </c>
      <c r="G94">
        <v>0</v>
      </c>
      <c r="H94">
        <v>0</v>
      </c>
      <c r="I94">
        <v>0</v>
      </c>
      <c r="J94">
        <v>0</v>
      </c>
      <c r="K94" s="5">
        <f>IF(VLOOKUP(TabVMEnv[[#This Row],[VM]],TabOceanet[],16,FALSE) = "Tarif_VM",1,0)/TabVMEnv[[#This Row],[Mutualisé]]</f>
        <v>1</v>
      </c>
      <c r="L94" s="5">
        <f>IF(VLOOKUP(TabVMEnv[[#This Row],[VM]],TabOceanet[],9,FALSE) = "PoweredOn",1,0)</f>
        <v>1</v>
      </c>
      <c r="M94" s="5">
        <f>TabVMEnv[[#This Row],[IsVMPoweredOn]]*VLOOKUP(TabVMEnv[[#This Row],[VM]],TabOceanet[],3,FALSE)/TabVMEnv[[#This Row],[Mutualisé]]</f>
        <v>2</v>
      </c>
      <c r="N94" s="5">
        <f>VLOOKUP(TabVMEnv[[#This Row],[VM]],TabOceanet[],4,FALSE)/TabVMEnv[[#This Row],[Mutualisé]]</f>
        <v>11</v>
      </c>
      <c r="O94" s="5">
        <f>IF(LEFT(VLOOKUP(TabVMEnv[[#This Row],[VM]],TabOceanet[],5,FALSE),3)="win",1,0)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VLOOKUP(TabVMEnv[[#This Row],[EnvProjet]],TabEnvProjet[],4,FALSE)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25">
        <f>VLOOKUP(TabVMEnv[[#This Row],[VM]],TabOceanet[],36,FALSE)/TabVMEnv[[#This Row],[Mutualisé]]</f>
        <v>5.73</v>
      </c>
      <c r="U94" s="25">
        <f>IF(TabVMEnv[[#This Row],[CostCenter]]="CostCenterDI",0,TabVMEnv[[#This Row],[CoutGlobal]])</f>
        <v>5.73</v>
      </c>
      <c r="V94" s="25">
        <f>TabVMEnv[[#This Row],[CoutGlobalSansCostCenterDI]]/TabVMEnv[[#Totals],[CoutGlobalSansCostCenterDI]]*(GlobalARepartirSansMS+GlobalARepartirMSOnly+GlobalARepartirInfraReseau)</f>
        <v>11.947170368505963</v>
      </c>
      <c r="W94" s="25">
        <f>TabVMEnv[[#This Row],[CoutGlobalSansCostCenterDI]]+TabVMEnv[[#This Row],[CoutGlobalSupplementaire]]</f>
        <v>17.677170368505962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MEAE-Prevoirh - MAE-PII-L2/334179-17 - Axel Benoist-Gironiere</v>
      </c>
      <c r="Y94" s="5" t="str">
        <f>VLOOKUP(TabVMEnv[[#This Row],[EnvProjet]],TabEnvProjet[],5,FALSE)</f>
        <v>Axel Benoist-Gironiere</v>
      </c>
      <c r="Z94" s="5">
        <f>VLOOKUP(TabVMEnv[[#This Row],[EnvProjet]],TabEnvProjet[],6,FALSE)</f>
        <v>341531</v>
      </c>
      <c r="AA94" s="5" t="str">
        <f>VLOOKUP(TabVMEnv[[#This Row],[EnvProjet]],TabEnvProjet[],3,FALSE)</f>
        <v>DEV</v>
      </c>
      <c r="AB94" s="5">
        <f>COUNTIF(TabVMEnv[VM],TabVMEnv[[#This Row],[VM]])</f>
        <v>1</v>
      </c>
    </row>
    <row r="95" spans="1:28" x14ac:dyDescent="0.25">
      <c r="A95" t="s">
        <v>12</v>
      </c>
      <c r="B95" t="s">
        <v>526</v>
      </c>
      <c r="C95" t="s">
        <v>8</v>
      </c>
      <c r="D95">
        <v>0</v>
      </c>
      <c r="E95" s="13" t="s">
        <v>524</v>
      </c>
      <c r="F95">
        <f>IF(VLOOKUP(TabVMEnv[[#This Row],[VM]],TabOceanet[],16,FALSE) = "Tarif_VM",IF(VLOOKUP(TabVMEnv[[#This Row],[VM]],TabOceanet[],2,FALSE)&lt;4,4,VLOOKUP(TabVMEnv[[#This Row],[VM]],TabOceanet[],2,FALSE)),0)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IF(VLOOKUP(TabVMEnv[[#This Row],[VM]],TabOceanet[],16,FALSE) = "Tarif_VM",1,0)/TabVMEnv[[#This Row],[Mutualisé]]</f>
        <v>1</v>
      </c>
      <c r="L95">
        <f>IF(VLOOKUP(TabVMEnv[[#This Row],[VM]],TabOceanet[],9,FALSE) = "PoweredOn",1,0)</f>
        <v>1</v>
      </c>
      <c r="M95">
        <f>TabVMEnv[[#This Row],[IsVMPoweredOn]]*VLOOKUP(TabVMEnv[[#This Row],[VM]],TabOceanet[],3,FALSE)/TabVMEnv[[#This Row],[Mutualisé]]</f>
        <v>1</v>
      </c>
      <c r="N95">
        <f>VLOOKUP(TabVMEnv[[#This Row],[VM]],TabOceanet[],4,FALSE)/TabVMEnv[[#This Row],[Mutualisé]]</f>
        <v>6</v>
      </c>
      <c r="O95">
        <f>IF(LEFT(VLOOKUP(TabVMEnv[[#This Row],[VM]],TabOceanet[],5,FALSE),3)="win",1,0)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VLOOKUP(TabVMEnv[[#This Row],[EnvProjet]],TabEnvProjet[],4,FALSE)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2.9800000000000004</v>
      </c>
      <c r="U95" s="17">
        <f>IF(TabVMEnv[[#This Row],[CostCenter]]="CostCenterDI",0,TabVMEnv[[#This Row],[CoutGlobal]])</f>
        <v>2.9800000000000004</v>
      </c>
      <c r="V95" s="17">
        <f>TabVMEnv[[#This Row],[CoutGlobalSansCostCenterDI]]/TabVMEnv[[#Totals],[CoutGlobalSansCostCenterDI]]*(GlobalARepartirSansMS+GlobalARepartirMSOnly+GlobalARepartirInfraReseau)</f>
        <v>6.21336260002579</v>
      </c>
      <c r="W95" s="17">
        <f>TabVMEnv[[#This Row],[CoutGlobalSansCostCenterDI]]+TabVMEnv[[#This Row],[CoutGlobalSupplementaire]]</f>
        <v>9.1933626000257895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VLOOKUP(TabVMEnv[[#This Row],[EnvProjet]],TabEnvProjet[],5,FALSE)</f>
        <v>Axel Benoist-Gironiere, Vincent MERIAU</v>
      </c>
      <c r="Z95" s="5">
        <f>VLOOKUP(TabVMEnv[[#This Row],[EnvProjet]],TabEnvProjet[],6,FALSE)</f>
        <v>341531</v>
      </c>
      <c r="AA95" s="5" t="str">
        <f>VLOOKUP(TabVMEnv[[#This Row],[EnvProjet]],TabEnvProjet[],3,FALSE)</f>
        <v>SOCLE</v>
      </c>
      <c r="AB95" s="5">
        <f>COUNTIF(TabVMEnv[VM],TabVMEnv[[#This Row],[VM]])</f>
        <v>1</v>
      </c>
    </row>
    <row r="96" spans="1:28" x14ac:dyDescent="0.25">
      <c r="A96" t="s">
        <v>86</v>
      </c>
      <c r="B96" t="s">
        <v>540</v>
      </c>
      <c r="D96">
        <v>2</v>
      </c>
      <c r="E96" s="13" t="s">
        <v>541</v>
      </c>
      <c r="F96">
        <f>IF(VLOOKUP(TabVMEnv[[#This Row],[VM]],TabOceanet[],16,FALSE) = "Tarif_VM",IF(VLOOKUP(TabVMEnv[[#This Row],[VM]],TabOceanet[],2,FALSE)&lt;4,4,VLOOKUP(TabVMEnv[[#This Row],[VM]],TabOceanet[],2,FALSE)),0)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IF(VLOOKUP(TabVMEnv[[#This Row],[VM]],TabOceanet[],16,FALSE) = "Tarif_VM",1,0)/TabVMEnv[[#This Row],[Mutualisé]]</f>
        <v>1</v>
      </c>
      <c r="L96">
        <f>IF(VLOOKUP(TabVMEnv[[#This Row],[VM]],TabOceanet[],9,FALSE) = "PoweredOn",1,0)</f>
        <v>1</v>
      </c>
      <c r="M96">
        <f>TabVMEnv[[#This Row],[IsVMPoweredOn]]*VLOOKUP(TabVMEnv[[#This Row],[VM]],TabOceanet[],3,FALSE)/TabVMEnv[[#This Row],[Mutualisé]]</f>
        <v>1</v>
      </c>
      <c r="N96">
        <f>VLOOKUP(TabVMEnv[[#This Row],[VM]],TabOceanet[],4,FALSE)/TabVMEnv[[#This Row],[Mutualisé]]</f>
        <v>4</v>
      </c>
      <c r="O96">
        <f>IF(LEFT(VLOOKUP(TabVMEnv[[#This Row],[VM]],TabOceanet[],5,FALSE),3)="win",1,0)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VLOOKUP(TabVMEnv[[#This Row],[EnvProjet]],TabEnvProjet[],4,FALSE)</f>
        <v>VIVESC-TAU/S240776A</v>
      </c>
      <c r="R96" s="5" t="str">
        <f>VLOOKUP(TabVMEnv[[#This Row],[SYGES]],TabContrat[],2,FALSE)</f>
        <v>CAT'HELIUM VIVESCO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2.52</v>
      </c>
      <c r="U96" s="17">
        <f>IF(TabVMEnv[[#This Row],[CostCenter]]="CostCenterDI",0,TabVMEnv[[#This Row],[CoutGlobal]])</f>
        <v>2.52</v>
      </c>
      <c r="V96" s="17">
        <f>TabVMEnv[[#This Row],[CoutGlobalSansCostCenterDI]]/TabVMEnv[[#Totals],[CoutGlobalSansCostCenterDI]]*(GlobalARepartirSansMS+GlobalARepartirMSOnly+GlobalARepartirInfraReseau)</f>
        <v>5.2542529369345603</v>
      </c>
      <c r="W96" s="17">
        <f>TabVMEnv[[#This Row],[CoutGlobalSansCostCenterDI]]+TabVMEnv[[#This Row],[CoutGlobalSupplementaire]]</f>
        <v>7.7742529369345608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96" s="5" t="str">
        <f>VLOOKUP(TabVMEnv[[#This Row],[EnvProjet]],TabEnvProjet[],5,FALSE)</f>
        <v>Pierre Maurupt</v>
      </c>
      <c r="Z96" s="5">
        <f>VLOOKUP(TabVMEnv[[#This Row],[EnvProjet]],TabEnvProjet[],6,FALSE)</f>
        <v>341530</v>
      </c>
      <c r="AA96" s="5" t="str">
        <f>VLOOKUP(TabVMEnv[[#This Row],[EnvProjet]],TabEnvProjet[],3,FALSE)</f>
        <v>DEV</v>
      </c>
      <c r="AB96" s="5">
        <f>COUNTIF(TabVMEnv[VM],TabVMEnv[[#This Row],[VM]])</f>
        <v>1</v>
      </c>
    </row>
    <row r="97" spans="1:28" x14ac:dyDescent="0.25">
      <c r="A97" t="s">
        <v>63</v>
      </c>
      <c r="B97" t="s">
        <v>527</v>
      </c>
      <c r="C97" t="s">
        <v>64</v>
      </c>
      <c r="D97">
        <v>0</v>
      </c>
      <c r="E97" s="13" t="s">
        <v>524</v>
      </c>
      <c r="F97">
        <f>IF(VLOOKUP(TabVMEnv[[#This Row],[VM]],TabOceanet[],16,FALSE) = "Tarif_VM",IF(VLOOKUP(TabVMEnv[[#This Row],[VM]],TabOceanet[],2,FALSE)&lt;4,4,VLOOKUP(TabVMEnv[[#This Row],[VM]],TabOceanet[],2,FALSE)),0)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IF(VLOOKUP(TabVMEnv[[#This Row],[VM]],TabOceanet[],16,FALSE) = "Tarif_VM",1,0)/TabVMEnv[[#This Row],[Mutualisé]]</f>
        <v>1</v>
      </c>
      <c r="L97">
        <f>IF(VLOOKUP(TabVMEnv[[#This Row],[VM]],TabOceanet[],9,FALSE) = "PoweredOn",1,0)</f>
        <v>1</v>
      </c>
      <c r="M97">
        <f>TabVMEnv[[#This Row],[IsVMPoweredOn]]*VLOOKUP(TabVMEnv[[#This Row],[VM]],TabOceanet[],3,FALSE)/TabVMEnv[[#This Row],[Mutualisé]]</f>
        <v>8</v>
      </c>
      <c r="N97">
        <f>VLOOKUP(TabVMEnv[[#This Row],[VM]],TabOceanet[],4,FALSE)/TabVMEnv[[#This Row],[Mutualisé]]</f>
        <v>48</v>
      </c>
      <c r="O97">
        <f>IF(LEFT(VLOOKUP(TabVMEnv[[#This Row],[VM]],TabOceanet[],5,FALSE),3)="win",1,0)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VLOOKUP(TabVMEnv[[#This Row],[EnvProjet]],TabEnvProjet[],4,FALSE)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17">
        <f>VLOOKUP(TabVMEnv[[#This Row],[VM]],TabOceanet[],36,FALSE)/TabVMEnv[[#This Row],[Mutualisé]]</f>
        <v>23.840000000000003</v>
      </c>
      <c r="U97" s="17">
        <f>IF(TabVMEnv[[#This Row],[CostCenter]]="CostCenterDI",0,TabVMEnv[[#This Row],[CoutGlobal]])</f>
        <v>23.840000000000003</v>
      </c>
      <c r="V97" s="17">
        <f>TabVMEnv[[#This Row],[CoutGlobalSansCostCenterDI]]/TabVMEnv[[#Totals],[CoutGlobalSansCostCenterDI]]*(GlobalARepartirSansMS+GlobalARepartirMSOnly+GlobalARepartirInfraReseau)</f>
        <v>49.70690080020632</v>
      </c>
      <c r="W97" s="17">
        <f>TabVMEnv[[#This Row],[CoutGlobalSansCostCenterDI]]+TabVMEnv[[#This Row],[CoutGlobalSupplementaire]]</f>
        <v>73.546900800206316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7" s="5" t="str">
        <f>VLOOKUP(TabVMEnv[[#This Row],[EnvProjet]],TabEnvProjet[],5,FALSE)</f>
        <v>Axel Benoist-Gironiere</v>
      </c>
      <c r="Z97" s="5">
        <f>VLOOKUP(TabVMEnv[[#This Row],[EnvProjet]],TabEnvProjet[],6,FALSE)</f>
        <v>341531</v>
      </c>
      <c r="AA97" s="5" t="str">
        <f>VLOOKUP(TabVMEnv[[#This Row],[EnvProjet]],TabEnvProjet[],3,FALSE)</f>
        <v>SOCLE</v>
      </c>
      <c r="AB97" s="5">
        <f>COUNTIF(TabVMEnv[VM],TabVMEnv[[#This Row],[VM]])</f>
        <v>1</v>
      </c>
    </row>
    <row r="98" spans="1:28" ht="60" x14ac:dyDescent="0.25">
      <c r="A98" s="24" t="s">
        <v>14</v>
      </c>
      <c r="B98" t="s">
        <v>543</v>
      </c>
      <c r="C98" s="13" t="s">
        <v>15</v>
      </c>
      <c r="D98">
        <v>0</v>
      </c>
      <c r="E98" s="13" t="s">
        <v>524</v>
      </c>
      <c r="F98" s="13">
        <f>IF(VLOOKUP(TabVMEnv[[#This Row],[VM]],TabOceanet[],16,FALSE) = "Tarif_VM",IF(VLOOKUP(TabVMEnv[[#This Row],[VM]],TabOceanet[],2,FALSE)&lt;4,4,VLOOKUP(TabVMEnv[[#This Row],[VM]],TabOceanet[],2,FALSE)),0)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IF(VLOOKUP(TabVMEnv[[#This Row],[VM]],TabOceanet[],16,FALSE) = "Tarif_VM",1,0)/TabVMEnv[[#This Row],[Mutualisé]]</f>
        <v>0.5</v>
      </c>
      <c r="L98">
        <f>IF(VLOOKUP(TabVMEnv[[#This Row],[VM]],TabOceanet[],9,FALSE) = "PoweredOn",1,0)</f>
        <v>1</v>
      </c>
      <c r="M98">
        <f>TabVMEnv[[#This Row],[IsVMPoweredOn]]*VLOOKUP(TabVMEnv[[#This Row],[VM]],TabOceanet[],3,FALSE)/TabVMEnv[[#This Row],[Mutualisé]]</f>
        <v>0.5</v>
      </c>
      <c r="N98">
        <f>VLOOKUP(TabVMEnv[[#This Row],[VM]],TabOceanet[],4,FALSE)/TabVMEnv[[#This Row],[Mutualisé]]</f>
        <v>9.5</v>
      </c>
      <c r="O98">
        <f>IF(LEFT(VLOOKUP(TabVMEnv[[#This Row],[VM]],TabOceanet[],5,FALSE),3)="win",1,0)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VLOOKUP(TabVMEnv[[#This Row],[EnvProjet]],TabEnvProjet[],4,FALSE)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17">
        <f>VLOOKUP(TabVMEnv[[#This Row],[VM]],TabOceanet[],36,FALSE)/TabVMEnv[[#This Row],[Mutualisé]]</f>
        <v>2.9850000000000003</v>
      </c>
      <c r="U98" s="17">
        <f>IF(TabVMEnv[[#This Row],[CostCenter]]="CostCenterDI",0,TabVMEnv[[#This Row],[CoutGlobal]])</f>
        <v>2.9850000000000003</v>
      </c>
      <c r="V98" s="17">
        <f>TabVMEnv[[#This Row],[CoutGlobalSansCostCenterDI]]/TabVMEnv[[#Totals],[CoutGlobalSansCostCenterDI]]*(GlobalARepartirSansMS+GlobalARepartirMSOnly+GlobalARepartirInfraReseau)</f>
        <v>6.2237877050593893</v>
      </c>
      <c r="W98" s="17">
        <f>TabVMEnv[[#This Row],[CoutGlobalSansCostCenterDI]]+TabVMEnv[[#This Row],[CoutGlobalSupplementaire]]</f>
        <v>9.2087877050593896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VLOOKUP(TabVMEnv[[#This Row],[EnvProjet]],TabEnvProjet[],5,FALSE)</f>
        <v>Axel Benoist-Gironiere, Vincent MERIAU</v>
      </c>
      <c r="Z98" s="5">
        <f>VLOOKUP(TabVMEnv[[#This Row],[EnvProjet]],TabEnvProjet[],6,FALSE)</f>
        <v>341531</v>
      </c>
      <c r="AA98" s="5" t="str">
        <f>VLOOKUP(TabVMEnv[[#This Row],[EnvProjet]],TabEnvProjet[],3,FALSE)</f>
        <v>OBSOLETE</v>
      </c>
      <c r="AB98" s="5">
        <f>COUNTIF(TabVMEnv[VM],TabVMEnv[[#This Row],[VM]])</f>
        <v>2</v>
      </c>
    </row>
    <row r="99" spans="1:28" ht="30" x14ac:dyDescent="0.25">
      <c r="A99" s="24" t="s">
        <v>14</v>
      </c>
      <c r="B99" t="s">
        <v>528</v>
      </c>
      <c r="C99" s="13" t="s">
        <v>33</v>
      </c>
      <c r="D99">
        <v>0</v>
      </c>
      <c r="E99" s="13" t="s">
        <v>524</v>
      </c>
      <c r="F99" s="13">
        <f>IF(VLOOKUP(TabVMEnv[[#This Row],[VM]],TabOceanet[],16,FALSE) = "Tarif_VM",IF(VLOOKUP(TabVMEnv[[#This Row],[VM]],TabOceanet[],2,FALSE)&lt;4,4,VLOOKUP(TabVMEnv[[#This Row],[VM]],TabOceanet[],2,FALSE)),0)</f>
        <v>4</v>
      </c>
      <c r="G99">
        <v>0</v>
      </c>
      <c r="H99">
        <v>0</v>
      </c>
      <c r="I99">
        <v>0</v>
      </c>
      <c r="J99">
        <v>0</v>
      </c>
      <c r="K99">
        <f>IF(VLOOKUP(TabVMEnv[[#This Row],[VM]],TabOceanet[],16,FALSE) = "Tarif_VM",1,0)/TabVMEnv[[#This Row],[Mutualisé]]</f>
        <v>0.5</v>
      </c>
      <c r="L99">
        <f>IF(VLOOKUP(TabVMEnv[[#This Row],[VM]],TabOceanet[],9,FALSE) = "PoweredOn",1,0)</f>
        <v>1</v>
      </c>
      <c r="M99">
        <f>TabVMEnv[[#This Row],[IsVMPoweredOn]]*VLOOKUP(TabVMEnv[[#This Row],[VM]],TabOceanet[],3,FALSE)/TabVMEnv[[#This Row],[Mutualisé]]</f>
        <v>0.5</v>
      </c>
      <c r="N99">
        <f>VLOOKUP(TabVMEnv[[#This Row],[VM]],TabOceanet[],4,FALSE)/TabVMEnv[[#This Row],[Mutualisé]]</f>
        <v>9.5</v>
      </c>
      <c r="O99">
        <f>IF(LEFT(VLOOKUP(TabVMEnv[[#This Row],[VM]],TabOceanet[],5,FALSE),3)="win",1,0)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VLOOKUP(TabVMEnv[[#This Row],[EnvProjet]],TabEnvProjet[],4,FALSE)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25">
        <f>VLOOKUP(TabVMEnv[[#This Row],[VM]],TabOceanet[],36,FALSE)/TabVMEnv[[#This Row],[Mutualisé]]</f>
        <v>2.9850000000000003</v>
      </c>
      <c r="U99" s="25">
        <f>IF(TabVMEnv[[#This Row],[CostCenter]]="CostCenterDI",0,TabVMEnv[[#This Row],[CoutGlobal]])</f>
        <v>2.9850000000000003</v>
      </c>
      <c r="V99" s="25">
        <f>TabVMEnv[[#This Row],[CoutGlobalSansCostCenterDI]]/TabVMEnv[[#Totals],[CoutGlobalSansCostCenterDI]]*(GlobalARepartirSansMS+GlobalARepartirMSOnly+GlobalARepartirInfraReseau)</f>
        <v>6.2237877050593893</v>
      </c>
      <c r="W99" s="25">
        <f>TabVMEnv[[#This Row],[CoutGlobalSansCostCenterDI]]+TabVMEnv[[#This Row],[CoutGlobalSupplementaire]]</f>
        <v>9.2087877050593896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9" s="5" t="str">
        <f>VLOOKUP(TabVMEnv[[#This Row],[EnvProjet]],TabEnvProjet[],5,FALSE)</f>
        <v>Axel Benoist-Gironiere</v>
      </c>
      <c r="Z99" s="5">
        <f>VLOOKUP(TabVMEnv[[#This Row],[EnvProjet]],TabEnvProjet[],6,FALSE)</f>
        <v>341531</v>
      </c>
      <c r="AA99" s="5" t="str">
        <f>VLOOKUP(TabVMEnv[[#This Row],[EnvProjet]],TabEnvProjet[],3,FALSE)</f>
        <v>DEV</v>
      </c>
      <c r="AB99" s="5">
        <f>COUNTIF(TabVMEnv[VM],TabVMEnv[[#This Row],[VM]])</f>
        <v>2</v>
      </c>
    </row>
    <row r="100" spans="1:28" x14ac:dyDescent="0.25">
      <c r="A100" t="s">
        <v>7</v>
      </c>
      <c r="B100" t="s">
        <v>544</v>
      </c>
      <c r="C100" t="s">
        <v>8</v>
      </c>
      <c r="D100">
        <v>0</v>
      </c>
      <c r="E100" s="13" t="s">
        <v>524</v>
      </c>
      <c r="F100">
        <f>IF(VLOOKUP(TabVMEnv[[#This Row],[VM]],TabOceanet[],16,FALSE) = "Tarif_VM",IF(VLOOKUP(TabVMEnv[[#This Row],[VM]],TabOceanet[],2,FALSE)&lt;4,4,VLOOKUP(TabVMEnv[[#This Row],[VM]],TabOceanet[],2,FALSE)),0)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IF(VLOOKUP(TabVMEnv[[#This Row],[VM]],TabOceanet[],16,FALSE) = "Tarif_VM",1,0)/TabVMEnv[[#This Row],[Mutualisé]]</f>
        <v>1</v>
      </c>
      <c r="L100">
        <f>IF(VLOOKUP(TabVMEnv[[#This Row],[VM]],TabOceanet[],9,FALSE) = "PoweredOn",1,0)</f>
        <v>1</v>
      </c>
      <c r="M100">
        <f>TabVMEnv[[#This Row],[IsVMPoweredOn]]*VLOOKUP(TabVMEnv[[#This Row],[VM]],TabOceanet[],3,FALSE)/TabVMEnv[[#This Row],[Mutualisé]]</f>
        <v>1</v>
      </c>
      <c r="N100">
        <f>VLOOKUP(TabVMEnv[[#This Row],[VM]],TabOceanet[],4,FALSE)/TabVMEnv[[#This Row],[Mutualisé]]</f>
        <v>56</v>
      </c>
      <c r="O100">
        <f>IF(LEFT(VLOOKUP(TabVMEnv[[#This Row],[VM]],TabOceanet[],5,FALSE),3)="win",1,0)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VLOOKUP(TabVMEnv[[#This Row],[EnvProjet]],TabEnvProjet[],4,FALSE)</f>
        <v>MAE-PII-L2/334179-17</v>
      </c>
      <c r="R100" s="5" t="str">
        <f>VLOOKUP(TabVMEnv[[#This Row],[SYGES]],TabContrat[],2,FALSE)</f>
        <v>MINISTERE DE L'EUROPE ET DES AFFAIRES ETRANGERES</v>
      </c>
      <c r="S100" s="5" t="str">
        <f>IF(VLOOKUP(TabVMEnv[[#This Row],[VM]],TabOceanet[],1,FALSE) = "","Disparue","")</f>
        <v/>
      </c>
      <c r="T100" s="25">
        <f>VLOOKUP(TabVMEnv[[#This Row],[VM]],TabOceanet[],36,FALSE)/TabVMEnv[[#This Row],[Mutualisé]]</f>
        <v>14.48</v>
      </c>
      <c r="U100" s="25">
        <f>IF(TabVMEnv[[#This Row],[CostCenter]]="CostCenterDI",0,TabVMEnv[[#This Row],[CoutGlobal]])</f>
        <v>14.48</v>
      </c>
      <c r="V100" s="25">
        <f>TabVMEnv[[#This Row],[CoutGlobalSansCostCenterDI]]/TabVMEnv[[#Totals],[CoutGlobalSansCostCenterDI]]*(GlobalARepartirSansMS+GlobalARepartirMSOnly+GlobalARepartirInfraReseau)</f>
        <v>30.191104177306517</v>
      </c>
      <c r="W100" s="25">
        <f>TabVMEnv[[#This Row],[CoutGlobalSansCostCenterDI]]+TabVMEnv[[#This Row],[CoutGlobalSupplementaire]]</f>
        <v>44.671104177306518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0" s="5" t="str">
        <f>VLOOKUP(TabVMEnv[[#This Row],[EnvProjet]],TabEnvProjet[],5,FALSE)</f>
        <v>Axel Benoist-Gironiere, Vincent MERIAU</v>
      </c>
      <c r="Z100" s="5">
        <f>VLOOKUP(TabVMEnv[[#This Row],[EnvProjet]],TabEnvProjet[],6,FALSE)</f>
        <v>341531</v>
      </c>
      <c r="AA100" s="5" t="str">
        <f>VLOOKUP(TabVMEnv[[#This Row],[EnvProjet]],TabEnvProjet[],3,FALSE)</f>
        <v>DEV</v>
      </c>
      <c r="AB100" s="5">
        <f>COUNTIF(TabVMEnv[VM],TabVMEnv[[#This Row],[VM]])</f>
        <v>1</v>
      </c>
    </row>
    <row r="101" spans="1:28" x14ac:dyDescent="0.25">
      <c r="A101" t="s">
        <v>37</v>
      </c>
      <c r="B101" t="s">
        <v>528</v>
      </c>
      <c r="E101" s="13"/>
      <c r="F101" s="5">
        <f>IF(VLOOKUP(TabVMEnv[[#This Row],[VM]],TabOceanet[],16,FALSE) = "Tarif_VM",IF(VLOOKUP(TabVMEnv[[#This Row],[VM]],TabOceanet[],2,FALSE)&lt;4,4,VLOOKUP(TabVMEnv[[#This Row],[VM]],TabOceanet[],2,FALSE)),0)</f>
        <v>4</v>
      </c>
      <c r="G101">
        <v>0</v>
      </c>
      <c r="H101">
        <v>0</v>
      </c>
      <c r="I101">
        <v>0</v>
      </c>
      <c r="J101">
        <v>0</v>
      </c>
      <c r="K101" s="5">
        <f>IF(VLOOKUP(TabVMEnv[[#This Row],[VM]],TabOceanet[],16,FALSE) = "Tarif_VM",1,0)/TabVMEnv[[#This Row],[Mutualisé]]</f>
        <v>1</v>
      </c>
      <c r="L101" s="5">
        <f>IF(VLOOKUP(TabVMEnv[[#This Row],[VM]],TabOceanet[],9,FALSE) = "PoweredOn",1,0)</f>
        <v>1</v>
      </c>
      <c r="M101" s="5">
        <f>TabVMEnv[[#This Row],[IsVMPoweredOn]]*VLOOKUP(TabVMEnv[[#This Row],[VM]],TabOceanet[],3,FALSE)/TabVMEnv[[#This Row],[Mutualisé]]</f>
        <v>2</v>
      </c>
      <c r="N101" s="5">
        <f>VLOOKUP(TabVMEnv[[#This Row],[VM]],TabOceanet[],4,FALSE)/TabVMEnv[[#This Row],[Mutualisé]]</f>
        <v>27</v>
      </c>
      <c r="O101" s="5">
        <f>IF(LEFT(VLOOKUP(TabVMEnv[[#This Row],[VM]],TabOceanet[],5,FALSE),3)="win",1,0)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VLOOKUP(TabVMEnv[[#This Row],[EnvProjet]],TabEnvProjet[],4,FALSE)</f>
        <v>MAE-PII-L2/334179-17</v>
      </c>
      <c r="R101" s="5" t="str">
        <f>VLOOKUP(TabVMEnv[[#This Row],[SYGES]],TabContrat[],2,FALSE)</f>
        <v>MINISTERE DE L'EUROPE ET DES AFFAIRES ETRANGERES</v>
      </c>
      <c r="S101" s="5" t="str">
        <f>IF(VLOOKUP(TabVMEnv[[#This Row],[VM]],TabOceanet[],1,FALSE) = "","Disparue","")</f>
        <v/>
      </c>
      <c r="T101" s="25">
        <f>VLOOKUP(TabVMEnv[[#This Row],[VM]],TabOceanet[],36,FALSE)/TabVMEnv[[#This Row],[Mutualisé]]</f>
        <v>9.41</v>
      </c>
      <c r="U101" s="25">
        <f>IF(TabVMEnv[[#This Row],[CostCenter]]="CostCenterDI",0,TabVMEnv[[#This Row],[CoutGlobal]])</f>
        <v>9.41</v>
      </c>
      <c r="V101" s="25">
        <f>TabVMEnv[[#This Row],[CoutGlobalSansCostCenterDI]]/TabVMEnv[[#Totals],[CoutGlobalSansCostCenterDI]]*(GlobalARepartirSansMS+GlobalARepartirMSOnly+GlobalARepartirInfraReseau)</f>
        <v>19.620047673235796</v>
      </c>
      <c r="W101" s="25">
        <f>TabVMEnv[[#This Row],[CoutGlobalSansCostCenterDI]]+TabVMEnv[[#This Row],[CoutGlobalSupplementaire]]</f>
        <v>29.030047673235796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1" s="5" t="str">
        <f>VLOOKUP(TabVMEnv[[#This Row],[EnvProjet]],TabEnvProjet[],5,FALSE)</f>
        <v>Axel Benoist-Gironiere</v>
      </c>
      <c r="Z101" s="5">
        <f>VLOOKUP(TabVMEnv[[#This Row],[EnvProjet]],TabEnvProjet[],6,FALSE)</f>
        <v>341531</v>
      </c>
      <c r="AA101" s="5" t="str">
        <f>VLOOKUP(TabVMEnv[[#This Row],[EnvProjet]],TabEnvProjet[],3,FALSE)</f>
        <v>DEV</v>
      </c>
      <c r="AB101" s="5">
        <f>COUNTIF(TabVMEnv[VM],TabVMEnv[[#This Row],[VM]])</f>
        <v>1</v>
      </c>
    </row>
    <row r="102" spans="1:28" x14ac:dyDescent="0.25">
      <c r="A102" t="s">
        <v>227</v>
      </c>
      <c r="B102" t="s">
        <v>545</v>
      </c>
      <c r="D102">
        <v>0.5</v>
      </c>
      <c r="E102" s="13" t="s">
        <v>546</v>
      </c>
      <c r="F102">
        <f>IF(VLOOKUP(TabVMEnv[[#This Row],[VM]],TabOceanet[],16,FALSE) = "Tarif_VM",IF(VLOOKUP(TabVMEnv[[#This Row],[VM]],TabOceanet[],2,FALSE)&lt;4,4,VLOOKUP(TabVMEnv[[#This Row],[VM]],TabOceanet[],2,FALSE)),0)</f>
        <v>4</v>
      </c>
      <c r="G102">
        <v>0</v>
      </c>
      <c r="H102">
        <v>0</v>
      </c>
      <c r="I102">
        <v>0</v>
      </c>
      <c r="J102">
        <v>0</v>
      </c>
      <c r="K102">
        <f>IF(VLOOKUP(TabVMEnv[[#This Row],[VM]],TabOceanet[],16,FALSE) = "Tarif_VM",1,0)/TabVMEnv[[#This Row],[Mutualisé]]</f>
        <v>1</v>
      </c>
      <c r="L102">
        <f>IF(VLOOKUP(TabVMEnv[[#This Row],[VM]],TabOceanet[],9,FALSE) = "PoweredOn",1,0)</f>
        <v>1</v>
      </c>
      <c r="M102">
        <f>TabVMEnv[[#This Row],[IsVMPoweredOn]]*VLOOKUP(TabVMEnv[[#This Row],[VM]],TabOceanet[],3,FALSE)/TabVMEnv[[#This Row],[Mutualisé]]</f>
        <v>1</v>
      </c>
      <c r="N102">
        <f>VLOOKUP(TabVMEnv[[#This Row],[VM]],TabOceanet[],4,FALSE)/TabVMEnv[[#This Row],[Mutualisé]]</f>
        <v>6</v>
      </c>
      <c r="O102">
        <f>IF(LEFT(VLOOKUP(TabVMEnv[[#This Row],[VM]],TabOceanet[],5,FALSE),3)="win",1,0)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VLOOKUP(TabVMEnv[[#This Row],[EnvProjet]],TabEnvProjet[],4,FALSE)</f>
        <v>GFIINT2019/ NRT-PJINT</v>
      </c>
      <c r="R102" s="5" t="str">
        <f>VLOOKUP(TabVMEnv[[#This Row],[SYGES]],TabContrat[],2,FALSE)</f>
        <v>GFI-NIORT</v>
      </c>
      <c r="S102" s="5" t="str">
        <f>IF(VLOOKUP(TabVMEnv[[#This Row],[VM]],TabOceanet[],1,FALSE) = "","Disparue","")</f>
        <v/>
      </c>
      <c r="T102" s="25">
        <f>VLOOKUP(TabVMEnv[[#This Row],[VM]],TabOceanet[],36,FALSE)/TabVMEnv[[#This Row],[Mutualisé]]</f>
        <v>2.9800000000000004</v>
      </c>
      <c r="U102" s="25">
        <f>IF(TabVMEnv[[#This Row],[CostCenter]]="CostCenterDI",0,TabVMEnv[[#This Row],[CoutGlobal]])</f>
        <v>2.9800000000000004</v>
      </c>
      <c r="V102" s="25">
        <f>TabVMEnv[[#This Row],[CoutGlobalSansCostCenterDI]]/TabVMEnv[[#Totals],[CoutGlobalSansCostCenterDI]]*(GlobalARepartirSansMS+GlobalARepartirMSOnly+GlobalARepartirInfraReseau)</f>
        <v>6.21336260002579</v>
      </c>
      <c r="W102" s="25">
        <f>TabVMEnv[[#This Row],[CoutGlobalSansCostCenterDI]]+TabVMEnv[[#This Row],[CoutGlobalSupplementaire]]</f>
        <v>9.1933626000257895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02" s="5" t="str">
        <f>VLOOKUP(TabVMEnv[[#This Row],[EnvProjet]],TabEnvProjet[],5,FALSE)</f>
        <v>Philippe De Guio</v>
      </c>
      <c r="Z102" s="5">
        <f>VLOOKUP(TabVMEnv[[#This Row],[EnvProjet]],TabEnvProjet[],6,FALSE)</f>
        <v>341530</v>
      </c>
      <c r="AA102" s="5" t="str">
        <f>VLOOKUP(TabVMEnv[[#This Row],[EnvProjet]],TabEnvProjet[],3,FALSE)</f>
        <v>PROD</v>
      </c>
      <c r="AB102" s="5">
        <f>COUNTIF(TabVMEnv[VM],TabVMEnv[[#This Row],[VM]])</f>
        <v>1</v>
      </c>
    </row>
    <row r="103" spans="1:28" x14ac:dyDescent="0.25">
      <c r="A103" s="46" t="s">
        <v>59</v>
      </c>
      <c r="B103" t="s">
        <v>527</v>
      </c>
      <c r="C103" s="13" t="s">
        <v>60</v>
      </c>
      <c r="D103">
        <v>0</v>
      </c>
      <c r="E103" s="13" t="s">
        <v>524</v>
      </c>
      <c r="F103" s="13">
        <f>IF(VLOOKUP(TabVMEnv[[#This Row],[VM]],TabOceanet[],16,FALSE) = "Tarif_VM",IF(VLOOKUP(TabVMEnv[[#This Row],[VM]],TabOceanet[],2,FALSE)&lt;4,4,VLOOKUP(TabVMEnv[[#This Row],[VM]],TabOceanet[],2,FALSE)),0)</f>
        <v>4</v>
      </c>
      <c r="G103">
        <v>2</v>
      </c>
      <c r="H103">
        <v>1</v>
      </c>
      <c r="I103">
        <v>0</v>
      </c>
      <c r="J103" s="24">
        <v>4</v>
      </c>
      <c r="K103" s="24">
        <f>IF(VLOOKUP(TabVMEnv[[#This Row],[VM]],TabOceanet[],16,FALSE) = "Tarif_VM",1,0)/TabVMEnv[[#This Row],[Mutualisé]]</f>
        <v>1</v>
      </c>
      <c r="L103" s="24">
        <f>IF(VLOOKUP(TabVMEnv[[#This Row],[VM]],TabOceanet[],9,FALSE) = "PoweredOn",1,0)</f>
        <v>1</v>
      </c>
      <c r="M103" s="24">
        <f>TabVMEnv[[#This Row],[IsVMPoweredOn]]*VLOOKUP(TabVMEnv[[#This Row],[VM]],TabOceanet[],3,FALSE)/TabVMEnv[[#This Row],[Mutualisé]]</f>
        <v>4</v>
      </c>
      <c r="N103" s="24">
        <f>VLOOKUP(TabVMEnv[[#This Row],[VM]],TabOceanet[],4,FALSE)/TabVMEnv[[#This Row],[Mutualisé]]</f>
        <v>240</v>
      </c>
      <c r="O103" s="24">
        <f>IF(LEFT(VLOOKUP(TabVMEnv[[#This Row],[VM]],TabOceanet[],5,FALSE),3)="win",1,0)</f>
        <v>1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03" t="str">
        <f>VLOOKUP(TabVMEnv[[#This Row],[EnvProjet]],TabEnvProjet[],4,FALSE)</f>
        <v>MAE-PII-L2/334179-17</v>
      </c>
      <c r="R103" s="5" t="str">
        <f>VLOOKUP(TabVMEnv[[#This Row],[SYGES]],TabContrat[],2,FALSE)</f>
        <v>MINISTERE DE L'EUROPE ET DES AFFAIRES ETRANGERES</v>
      </c>
      <c r="S103" s="5" t="str">
        <f>IF(VLOOKUP(TabVMEnv[[#This Row],[VM]],TabOceanet[],1,FALSE) = "","Disparue","")</f>
        <v/>
      </c>
      <c r="T103" s="25">
        <f>VLOOKUP(TabVMEnv[[#This Row],[VM]],TabOceanet[],36,FALSE)/TabVMEnv[[#This Row],[Mutualisé]]</f>
        <v>61.6</v>
      </c>
      <c r="U103" s="25">
        <f>IF(TabVMEnv[[#This Row],[CostCenter]]="CostCenterDI",0,TabVMEnv[[#This Row],[CoutGlobal]])</f>
        <v>61.6</v>
      </c>
      <c r="V103" s="25">
        <f>TabVMEnv[[#This Row],[CoutGlobalSansCostCenterDI]]/TabVMEnv[[#Totals],[CoutGlobalSansCostCenterDI]]*(GlobalARepartirSansMS+GlobalARepartirMSOnly+GlobalARepartirInfraReseau)</f>
        <v>128.43729401395592</v>
      </c>
      <c r="W103" s="25">
        <f>TabVMEnv[[#This Row],[CoutGlobalSansCostCenterDI]]+TabVMEnv[[#This Row],[CoutGlobalSupplementaire]]</f>
        <v>190.03729401395591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3" s="5" t="str">
        <f>VLOOKUP(TabVMEnv[[#This Row],[EnvProjet]],TabEnvProjet[],5,FALSE)</f>
        <v>Axel Benoist-Gironiere</v>
      </c>
      <c r="Z103" s="5">
        <f>VLOOKUP(TabVMEnv[[#This Row],[EnvProjet]],TabEnvProjet[],6,FALSE)</f>
        <v>341531</v>
      </c>
      <c r="AA103" s="5" t="str">
        <f>VLOOKUP(TabVMEnv[[#This Row],[EnvProjet]],TabEnvProjet[],3,FALSE)</f>
        <v>SOCLE</v>
      </c>
      <c r="AB103" s="5">
        <f>COUNTIF(TabVMEnv[VM],TabVMEnv[[#This Row],[VM]])</f>
        <v>1</v>
      </c>
    </row>
    <row r="104" spans="1:28" x14ac:dyDescent="0.25">
      <c r="A104" t="s">
        <v>67</v>
      </c>
      <c r="B104" t="s">
        <v>527</v>
      </c>
      <c r="C104" t="s">
        <v>68</v>
      </c>
      <c r="D104">
        <v>0</v>
      </c>
      <c r="E104" s="13" t="s">
        <v>524</v>
      </c>
      <c r="F104">
        <f>IF(VLOOKUP(TabVMEnv[[#This Row],[VM]],TabOceanet[],16,FALSE) = "Tarif_VM",IF(VLOOKUP(TabVMEnv[[#This Row],[VM]],TabOceanet[],2,FALSE)&lt;4,4,VLOOKUP(TabVMEnv[[#This Row],[VM]],TabOceanet[],2,FALSE)),0)</f>
        <v>4</v>
      </c>
      <c r="G104">
        <v>0</v>
      </c>
      <c r="H104">
        <v>0</v>
      </c>
      <c r="I104">
        <v>0</v>
      </c>
      <c r="J104">
        <v>0</v>
      </c>
      <c r="K104">
        <f>IF(VLOOKUP(TabVMEnv[[#This Row],[VM]],TabOceanet[],16,FALSE) = "Tarif_VM",1,0)/TabVMEnv[[#This Row],[Mutualisé]]</f>
        <v>1</v>
      </c>
      <c r="L104">
        <f>IF(VLOOKUP(TabVMEnv[[#This Row],[VM]],TabOceanet[],9,FALSE) = "PoweredOn",1,0)</f>
        <v>1</v>
      </c>
      <c r="M104">
        <f>TabVMEnv[[#This Row],[IsVMPoweredOn]]*VLOOKUP(TabVMEnv[[#This Row],[VM]],TabOceanet[],3,FALSE)/TabVMEnv[[#This Row],[Mutualisé]]</f>
        <v>1</v>
      </c>
      <c r="N104">
        <f>VLOOKUP(TabVMEnv[[#This Row],[VM]],TabOceanet[],4,FALSE)/TabVMEnv[[#This Row],[Mutualisé]]</f>
        <v>14</v>
      </c>
      <c r="O104">
        <f>IF(LEFT(VLOOKUP(TabVMEnv[[#This Row],[VM]],TabOceanet[],5,FALSE),3)="win",1,0)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VLOOKUP(TabVMEnv[[#This Row],[EnvProjet]],TabEnvProjet[],4,FALSE)</f>
        <v>MAE-PII-L2/334179-17</v>
      </c>
      <c r="R104" s="5" t="str">
        <f>VLOOKUP(TabVMEnv[[#This Row],[SYGES]],TabContrat[],2,FALSE)</f>
        <v>MINISTERE DE L'EUROPE ET DES AFFAIRES ETRANGERES</v>
      </c>
      <c r="S104" s="5" t="str">
        <f>IF(VLOOKUP(TabVMEnv[[#This Row],[VM]],TabOceanet[],1,FALSE) = "","Disparue","")</f>
        <v/>
      </c>
      <c r="T104" s="17">
        <f>VLOOKUP(TabVMEnv[[#This Row],[VM]],TabOceanet[],36,FALSE)/TabVMEnv[[#This Row],[Mutualisé]]</f>
        <v>4.82</v>
      </c>
      <c r="U104" s="17">
        <f>IF(TabVMEnv[[#This Row],[CostCenter]]="CostCenterDI",0,TabVMEnv[[#This Row],[CoutGlobal]])</f>
        <v>4.82</v>
      </c>
      <c r="V104" s="17">
        <f>TabVMEnv[[#This Row],[CoutGlobalSansCostCenterDI]]/TabVMEnv[[#Totals],[CoutGlobalSansCostCenterDI]]*(GlobalARepartirSansMS+GlobalARepartirMSOnly+GlobalARepartirInfraReseau)</f>
        <v>10.049801252390706</v>
      </c>
      <c r="W104" s="17">
        <f>TabVMEnv[[#This Row],[CoutGlobalSansCostCenterDI]]+TabVMEnv[[#This Row],[CoutGlobalSupplementaire]]</f>
        <v>14.869801252390706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4" s="5" t="str">
        <f>VLOOKUP(TabVMEnv[[#This Row],[EnvProjet]],TabEnvProjet[],5,FALSE)</f>
        <v>Axel Benoist-Gironiere</v>
      </c>
      <c r="Z104" s="5">
        <f>VLOOKUP(TabVMEnv[[#This Row],[EnvProjet]],TabEnvProjet[],6,FALSE)</f>
        <v>341531</v>
      </c>
      <c r="AA104" s="5" t="str">
        <f>VLOOKUP(TabVMEnv[[#This Row],[EnvProjet]],TabEnvProjet[],3,FALSE)</f>
        <v>SOCLE</v>
      </c>
      <c r="AB104" s="5">
        <f>COUNTIF(TabVMEnv[VM],TabVMEnv[[#This Row],[VM]])</f>
        <v>1</v>
      </c>
    </row>
    <row r="105" spans="1:28" ht="30" x14ac:dyDescent="0.25">
      <c r="A105" t="s">
        <v>34</v>
      </c>
      <c r="B105" t="s">
        <v>528</v>
      </c>
      <c r="C105" s="13" t="s">
        <v>35</v>
      </c>
      <c r="D105">
        <v>0</v>
      </c>
      <c r="E105" s="13" t="s">
        <v>524</v>
      </c>
      <c r="F105" s="13">
        <f>IF(VLOOKUP(TabVMEnv[[#This Row],[VM]],TabOceanet[],16,FALSE) = "Tarif_VM",IF(VLOOKUP(TabVMEnv[[#This Row],[VM]],TabOceanet[],2,FALSE)&lt;4,4,VLOOKUP(TabVMEnv[[#This Row],[VM]],TabOceanet[],2,FALSE)),0)</f>
        <v>4</v>
      </c>
      <c r="G105">
        <v>2</v>
      </c>
      <c r="H105">
        <v>0</v>
      </c>
      <c r="I105">
        <v>0</v>
      </c>
      <c r="J105">
        <v>0</v>
      </c>
      <c r="K105">
        <f>IF(VLOOKUP(TabVMEnv[[#This Row],[VM]],TabOceanet[],16,FALSE) = "Tarif_VM",1,0)/TabVMEnv[[#This Row],[Mutualisé]]</f>
        <v>1</v>
      </c>
      <c r="L105">
        <f>IF(VLOOKUP(TabVMEnv[[#This Row],[VM]],TabOceanet[],9,FALSE) = "PoweredOn",1,0)</f>
        <v>1</v>
      </c>
      <c r="M105">
        <f>TabVMEnv[[#This Row],[IsVMPoweredOn]]*VLOOKUP(TabVMEnv[[#This Row],[VM]],TabOceanet[],3,FALSE)/TabVMEnv[[#This Row],[Mutualisé]]</f>
        <v>2</v>
      </c>
      <c r="N105">
        <f>VLOOKUP(TabVMEnv[[#This Row],[VM]],TabOceanet[],4,FALSE)/TabVMEnv[[#This Row],[Mutualisé]]</f>
        <v>40</v>
      </c>
      <c r="O105">
        <f>IF(LEFT(VLOOKUP(TabVMEnv[[#This Row],[VM]],TabOceanet[],5,FALSE),3)="win",1,0)</f>
        <v>1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05" t="str">
        <f>VLOOKUP(TabVMEnv[[#This Row],[EnvProjet]],TabEnvProjet[],4,FALSE)</f>
        <v>MAE-PII-L2/334179-17</v>
      </c>
      <c r="R105" s="5" t="str">
        <f>VLOOKUP(TabVMEnv[[#This Row],[SYGES]],TabContrat[],2,FALSE)</f>
        <v>MINISTERE DE L'EUROPE ET DES AFFAIRES ETRANGERES</v>
      </c>
      <c r="S105" s="5" t="str">
        <f>IF(VLOOKUP(TabVMEnv[[#This Row],[VM]],TabOceanet[],1,FALSE) = "","Disparue","")</f>
        <v/>
      </c>
      <c r="T105" s="17">
        <f>VLOOKUP(TabVMEnv[[#This Row],[VM]],TabOceanet[],36,FALSE)/TabVMEnv[[#This Row],[Mutualisé]]</f>
        <v>12.400000000000002</v>
      </c>
      <c r="U105" s="17">
        <f>IF(TabVMEnv[[#This Row],[CostCenter]]="CostCenterDI",0,TabVMEnv[[#This Row],[CoutGlobal]])</f>
        <v>12.400000000000002</v>
      </c>
      <c r="V105" s="17">
        <f>TabVMEnv[[#This Row],[CoutGlobalSansCostCenterDI]]/TabVMEnv[[#Totals],[CoutGlobalSansCostCenterDI]]*(GlobalARepartirSansMS+GlobalARepartirMSOnly+GlobalARepartirInfraReseau)</f>
        <v>25.85426048332879</v>
      </c>
      <c r="W105" s="17">
        <f>TabVMEnv[[#This Row],[CoutGlobalSansCostCenterDI]]+TabVMEnv[[#This Row],[CoutGlobalSupplementaire]]</f>
        <v>38.254260483328792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5" s="5" t="str">
        <f>VLOOKUP(TabVMEnv[[#This Row],[EnvProjet]],TabEnvProjet[],5,FALSE)</f>
        <v>Axel Benoist-Gironiere</v>
      </c>
      <c r="Z105" s="5">
        <f>VLOOKUP(TabVMEnv[[#This Row],[EnvProjet]],TabEnvProjet[],6,FALSE)</f>
        <v>341531</v>
      </c>
      <c r="AA105" s="5" t="str">
        <f>VLOOKUP(TabVMEnv[[#This Row],[EnvProjet]],TabEnvProjet[],3,FALSE)</f>
        <v>DEV</v>
      </c>
      <c r="AB105" s="5">
        <f>COUNTIF(TabVMEnv[VM],TabVMEnv[[#This Row],[VM]])</f>
        <v>1</v>
      </c>
    </row>
    <row r="106" spans="1:28" x14ac:dyDescent="0.25">
      <c r="A106" t="s">
        <v>209</v>
      </c>
      <c r="B106" t="s">
        <v>547</v>
      </c>
      <c r="D106">
        <v>3</v>
      </c>
      <c r="E106" s="13" t="s">
        <v>546</v>
      </c>
      <c r="F106">
        <f>IF(VLOOKUP(TabVMEnv[[#This Row],[VM]],TabOceanet[],16,FALSE) = "Tarif_VM",IF(VLOOKUP(TabVMEnv[[#This Row],[VM]],TabOceanet[],2,FALSE)&lt;4,4,VLOOKUP(TabVMEnv[[#This Row],[VM]],TabOceanet[],2,FALSE)),0)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IF(VLOOKUP(TabVMEnv[[#This Row],[VM]],TabOceanet[],16,FALSE) = "Tarif_VM",1,0)/TabVMEnv[[#This Row],[Mutualisé]]</f>
        <v>1</v>
      </c>
      <c r="L106">
        <f>IF(VLOOKUP(TabVMEnv[[#This Row],[VM]],TabOceanet[],9,FALSE) = "PoweredOn",1,0)</f>
        <v>1</v>
      </c>
      <c r="M106">
        <f>TabVMEnv[[#This Row],[IsVMPoweredOn]]*VLOOKUP(TabVMEnv[[#This Row],[VM]],TabOceanet[],3,FALSE)/TabVMEnv[[#This Row],[Mutualisé]]</f>
        <v>1</v>
      </c>
      <c r="N106">
        <f>VLOOKUP(TabVMEnv[[#This Row],[VM]],TabOceanet[],4,FALSE)/TabVMEnv[[#This Row],[Mutualisé]]</f>
        <v>4</v>
      </c>
      <c r="O106">
        <f>IF(LEFT(VLOOKUP(TabVMEnv[[#This Row],[VM]],TabOceanet[],5,FALSE),3)="win",1,0)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VLOOKUP(TabVMEnv[[#This Row],[EnvProjet]],TabEnvProjet[],4,FALSE)</f>
        <v>GFI Oceanet Infra Réseau</v>
      </c>
      <c r="R106" s="5" t="str">
        <f>VLOOKUP(TabVMEnv[[#This Row],[SYGES]],TabContrat[],2,FALSE)</f>
        <v>GFI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2.52</v>
      </c>
      <c r="U106" s="17">
        <f>IF(TabVMEnv[[#This Row],[CostCenter]]="CostCenterDI",0,TabVMEnv[[#This Row],[CoutGlobal]])</f>
        <v>0</v>
      </c>
      <c r="V106" s="17">
        <f>TabVMEnv[[#This Row],[CoutGlobalSansCostCenterDI]]/TabVMEnv[[#Totals],[CoutGlobalSansCostCenterDI]]*(GlobalARepartirSansMS+GlobalARepartirMSOnly+GlobalARepartirInfraReseau)</f>
        <v>0</v>
      </c>
      <c r="W106" s="17">
        <f>TabVMEnv[[#This Row],[CoutGlobalSansCostCenterDI]]+TabVMEnv[[#This Row],[CoutGlobalSupplementaire]]</f>
        <v>0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06" s="5" t="str">
        <f>VLOOKUP(TabVMEnv[[#This Row],[EnvProjet]],TabEnvProjet[],5,FALSE)</f>
        <v>Jérôme JACOB</v>
      </c>
      <c r="Z106" s="5" t="str">
        <f>VLOOKUP(TabVMEnv[[#This Row],[EnvProjet]],TabEnvProjet[],6,FALSE)</f>
        <v>CostCenterDI</v>
      </c>
      <c r="AA106" s="5" t="str">
        <f>VLOOKUP(TabVMEnv[[#This Row],[EnvProjet]],TabEnvProjet[],3,FALSE)</f>
        <v>PROD</v>
      </c>
      <c r="AB106" s="5">
        <f>COUNTIF(TabVMEnv[VM],TabVMEnv[[#This Row],[VM]])</f>
        <v>1</v>
      </c>
    </row>
    <row r="107" spans="1:28" x14ac:dyDescent="0.25">
      <c r="A107" t="s">
        <v>87</v>
      </c>
      <c r="B107" t="s">
        <v>540</v>
      </c>
      <c r="C107" t="s">
        <v>88</v>
      </c>
      <c r="D107">
        <v>5</v>
      </c>
      <c r="E107" s="13" t="s">
        <v>548</v>
      </c>
      <c r="F107">
        <f>IF(VLOOKUP(TabVMEnv[[#This Row],[VM]],TabOceanet[],16,FALSE) = "Tarif_VM",IF(VLOOKUP(TabVMEnv[[#This Row],[VM]],TabOceanet[],2,FALSE)&lt;4,4,VLOOKUP(TabVMEnv[[#This Row],[VM]],TabOceanet[],2,FALSE)),0)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IF(VLOOKUP(TabVMEnv[[#This Row],[VM]],TabOceanet[],16,FALSE) = "Tarif_VM",1,0)/TabVMEnv[[#This Row],[Mutualisé]]</f>
        <v>1</v>
      </c>
      <c r="L107">
        <f>IF(VLOOKUP(TabVMEnv[[#This Row],[VM]],TabOceanet[],9,FALSE) = "PoweredOn",1,0)</f>
        <v>1</v>
      </c>
      <c r="M107">
        <f>TabVMEnv[[#This Row],[IsVMPoweredOn]]*VLOOKUP(TabVMEnv[[#This Row],[VM]],TabOceanet[],3,FALSE)/TabVMEnv[[#This Row],[Mutualisé]]</f>
        <v>2</v>
      </c>
      <c r="N107">
        <f>VLOOKUP(TabVMEnv[[#This Row],[VM]],TabOceanet[],4,FALSE)/TabVMEnv[[#This Row],[Mutualisé]]</f>
        <v>20</v>
      </c>
      <c r="O107">
        <f>IF(LEFT(VLOOKUP(TabVMEnv[[#This Row],[VM]],TabOceanet[],5,FALSE),3)="win",1,0)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VLOOKUP(TabVMEnv[[#This Row],[EnvProjet]],TabEnvProjet[],4,FALSE)</f>
        <v>VIVESC-TAU/S240776A</v>
      </c>
      <c r="R107" s="5" t="str">
        <f>VLOOKUP(TabVMEnv[[#This Row],[SYGES]],TabContrat[],2,FALSE)</f>
        <v>CAT'HELIUM VIVESCO</v>
      </c>
      <c r="S107" s="5" t="str">
        <f>IF(VLOOKUP(TabVMEnv[[#This Row],[VM]],TabOceanet[],1,FALSE) = "","Disparue","")</f>
        <v/>
      </c>
      <c r="T107" s="17">
        <f>VLOOKUP(TabVMEnv[[#This Row],[VM]],TabOceanet[],36,FALSE)/TabVMEnv[[#This Row],[Mutualisé]]</f>
        <v>7.8000000000000007</v>
      </c>
      <c r="U107" s="17">
        <f>IF(TabVMEnv[[#This Row],[CostCenter]]="CostCenterDI",0,TabVMEnv[[#This Row],[CoutGlobal]])</f>
        <v>7.8000000000000007</v>
      </c>
      <c r="V107" s="17">
        <f>TabVMEnv[[#This Row],[CoutGlobalSansCostCenterDI]]/TabVMEnv[[#Totals],[CoutGlobalSansCostCenterDI]]*(GlobalARepartirSansMS+GlobalARepartirMSOnly+GlobalARepartirInfraReseau)</f>
        <v>16.263163852416497</v>
      </c>
      <c r="W107" s="17">
        <f>TabVMEnv[[#This Row],[CoutGlobalSansCostCenterDI]]+TabVMEnv[[#This Row],[CoutGlobalSupplementaire]]</f>
        <v>24.063163852416498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7" s="5" t="str">
        <f>VLOOKUP(TabVMEnv[[#This Row],[EnvProjet]],TabEnvProjet[],5,FALSE)</f>
        <v>Pierre Maurupt</v>
      </c>
      <c r="Z107" s="5">
        <f>VLOOKUP(TabVMEnv[[#This Row],[EnvProjet]],TabEnvProjet[],6,FALSE)</f>
        <v>341530</v>
      </c>
      <c r="AA107" s="5" t="str">
        <f>VLOOKUP(TabVMEnv[[#This Row],[EnvProjet]],TabEnvProjet[],3,FALSE)</f>
        <v>DEV</v>
      </c>
      <c r="AB107" s="5">
        <f>COUNTIF(TabVMEnv[VM],TabVMEnv[[#This Row],[VM]])</f>
        <v>1</v>
      </c>
    </row>
    <row r="108" spans="1:28" x14ac:dyDescent="0.25">
      <c r="A108" s="24" t="s">
        <v>48</v>
      </c>
      <c r="B108" t="s">
        <v>527</v>
      </c>
      <c r="C108" t="s">
        <v>49</v>
      </c>
      <c r="D108">
        <v>5</v>
      </c>
      <c r="E108" s="13" t="s">
        <v>548</v>
      </c>
      <c r="F108">
        <f>IF(VLOOKUP(TabVMEnv[[#This Row],[VM]],TabOceanet[],16,FALSE) = "Tarif_VM",IF(VLOOKUP(TabVMEnv[[#This Row],[VM]],TabOceanet[],2,FALSE)&lt;4,4,VLOOKUP(TabVMEnv[[#This Row],[VM]],TabOceanet[],2,FALSE)),0)</f>
        <v>6</v>
      </c>
      <c r="G108">
        <v>0</v>
      </c>
      <c r="H108">
        <v>0</v>
      </c>
      <c r="I108">
        <v>0</v>
      </c>
      <c r="J108">
        <v>0</v>
      </c>
      <c r="K108">
        <f>IF(VLOOKUP(TabVMEnv[[#This Row],[VM]],TabOceanet[],16,FALSE) = "Tarif_VM",1,0)/TabVMEnv[[#This Row],[Mutualisé]]</f>
        <v>1</v>
      </c>
      <c r="L108">
        <f>IF(VLOOKUP(TabVMEnv[[#This Row],[VM]],TabOceanet[],9,FALSE) = "PoweredOn",1,0)</f>
        <v>1</v>
      </c>
      <c r="M108">
        <f>TabVMEnv[[#This Row],[IsVMPoweredOn]]*VLOOKUP(TabVMEnv[[#This Row],[VM]],TabOceanet[],3,FALSE)/TabVMEnv[[#This Row],[Mutualisé]]</f>
        <v>4</v>
      </c>
      <c r="N108">
        <f>VLOOKUP(TabVMEnv[[#This Row],[VM]],TabOceanet[],4,FALSE)/TabVMEnv[[#This Row],[Mutualisé]]</f>
        <v>120</v>
      </c>
      <c r="O108">
        <f>IF(LEFT(VLOOKUP(TabVMEnv[[#This Row],[VM]],TabOceanet[],5,FALSE),3)="win",1,0)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VLOOKUP(TabVMEnv[[#This Row],[EnvProjet]],TabEnvProjet[],4,FALSE)</f>
        <v>MAE-PII-L2/334179-17</v>
      </c>
      <c r="R108" s="5" t="str">
        <f>VLOOKUP(TabVMEnv[[#This Row],[SYGES]],TabContrat[],2,FALSE)</f>
        <v>MINISTERE DE L'EUROPE ET DES AFFAIRES ETRANGERES</v>
      </c>
      <c r="S108" s="5" t="str">
        <f>IF(VLOOKUP(TabVMEnv[[#This Row],[VM]],TabOceanet[],1,FALSE) = "","Disparue","")</f>
        <v/>
      </c>
      <c r="T108" s="25">
        <f>VLOOKUP(TabVMEnv[[#This Row],[VM]],TabOceanet[],36,FALSE)/TabVMEnv[[#This Row],[Mutualisé]]</f>
        <v>34</v>
      </c>
      <c r="U108" s="25">
        <f>IF(TabVMEnv[[#This Row],[CostCenter]]="CostCenterDI",0,TabVMEnv[[#This Row],[CoutGlobal]])</f>
        <v>34</v>
      </c>
      <c r="V108" s="25">
        <f>TabVMEnv[[#This Row],[CoutGlobalSansCostCenterDI]]/TabVMEnv[[#Totals],[CoutGlobalSansCostCenterDI]]*(GlobalARepartirSansMS+GlobalARepartirMSOnly+GlobalARepartirInfraReseau)</f>
        <v>70.890714228482153</v>
      </c>
      <c r="W108" s="25">
        <f>TabVMEnv[[#This Row],[CoutGlobalSansCostCenterDI]]+TabVMEnv[[#This Row],[CoutGlobalSupplementaire]]</f>
        <v>104.89071422848215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8" s="5" t="str">
        <f>VLOOKUP(TabVMEnv[[#This Row],[EnvProjet]],TabEnvProjet[],5,FALSE)</f>
        <v>Axel Benoist-Gironiere</v>
      </c>
      <c r="Z108" s="5">
        <f>VLOOKUP(TabVMEnv[[#This Row],[EnvProjet]],TabEnvProjet[],6,FALSE)</f>
        <v>341531</v>
      </c>
      <c r="AA108" s="5" t="str">
        <f>VLOOKUP(TabVMEnv[[#This Row],[EnvProjet]],TabEnvProjet[],3,FALSE)</f>
        <v>SOCLE</v>
      </c>
      <c r="AB108" s="5">
        <f>COUNTIF(TabVMEnv[VM],TabVMEnv[[#This Row],[VM]])</f>
        <v>1</v>
      </c>
    </row>
    <row r="109" spans="1:28" ht="30" x14ac:dyDescent="0.25">
      <c r="A109" t="s">
        <v>156</v>
      </c>
      <c r="B109" t="s">
        <v>484</v>
      </c>
      <c r="C109" t="s">
        <v>157</v>
      </c>
      <c r="D109">
        <v>2</v>
      </c>
      <c r="E109" s="13" t="s">
        <v>549</v>
      </c>
      <c r="F109">
        <f>IF(VLOOKUP(TabVMEnv[[#This Row],[VM]],TabOceanet[],16,FALSE) = "Tarif_VM",IF(VLOOKUP(TabVMEnv[[#This Row],[VM]],TabOceanet[],2,FALSE)&lt;4,4,VLOOKUP(TabVMEnv[[#This Row],[VM]],TabOceanet[],2,FALSE)),0)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IF(VLOOKUP(TabVMEnv[[#This Row],[VM]],TabOceanet[],16,FALSE) = "Tarif_VM",1,0)/TabVMEnv[[#This Row],[Mutualisé]]</f>
        <v>1</v>
      </c>
      <c r="L109">
        <f>IF(VLOOKUP(TabVMEnv[[#This Row],[VM]],TabOceanet[],9,FALSE) = "PoweredOn",1,0)</f>
        <v>1</v>
      </c>
      <c r="M109">
        <f>TabVMEnv[[#This Row],[IsVMPoweredOn]]*VLOOKUP(TabVMEnv[[#This Row],[VM]],TabOceanet[],3,FALSE)/TabVMEnv[[#This Row],[Mutualisé]]</f>
        <v>1</v>
      </c>
      <c r="N109">
        <f>VLOOKUP(TabVMEnv[[#This Row],[VM]],TabOceanet[],4,FALSE)/TabVMEnv[[#This Row],[Mutualisé]]</f>
        <v>4</v>
      </c>
      <c r="O109">
        <f>IF(LEFT(VLOOKUP(TabVMEnv[[#This Row],[VM]],TabOceanet[],5,FALSE),3)="win",1,0)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VLOOKUP(TabVMEnv[[#This Row],[EnvProjet]],TabEnvProjet[],4,FALSE)</f>
        <v>GFI Oceanet Infra Réseau</v>
      </c>
      <c r="R109" s="5" t="str">
        <f>VLOOKUP(TabVMEnv[[#This Row],[SYGES]],TabContrat[],2,FALSE)</f>
        <v>GFI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2.52</v>
      </c>
      <c r="U109" s="17">
        <f>IF(TabVMEnv[[#This Row],[CostCenter]]="CostCenterDI",0,TabVMEnv[[#This Row],[CoutGlobal]])</f>
        <v>0</v>
      </c>
      <c r="V109" s="17">
        <f>TabVMEnv[[#This Row],[CoutGlobalSansCostCenterDI]]/TabVMEnv[[#Totals],[CoutGlobalSansCostCenterDI]]*(GlobalARepartirSansMS+GlobalARepartirMSOnly+GlobalARepartirInfraReseau)</f>
        <v>0</v>
      </c>
      <c r="W109" s="17">
        <f>TabVMEnv[[#This Row],[CoutGlobalSansCostCenterDI]]+TabVMEnv[[#This Row],[CoutGlobalSupplementaire]]</f>
        <v>0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09" s="5" t="str">
        <f>VLOOKUP(TabVMEnv[[#This Row],[EnvProjet]],TabEnvProjet[],5,FALSE)</f>
        <v>Jérôme JACOB</v>
      </c>
      <c r="Z109" s="5" t="str">
        <f>VLOOKUP(TabVMEnv[[#This Row],[EnvProjet]],TabEnvProjet[],6,FALSE)</f>
        <v>CostCenterDI</v>
      </c>
      <c r="AA109" s="5" t="str">
        <f>VLOOKUP(TabVMEnv[[#This Row],[EnvProjet]],TabEnvProjet[],3,FALSE)</f>
        <v>SOCLE</v>
      </c>
      <c r="AB109" s="5">
        <f>COUNTIF(TabVMEnv[VM],TabVMEnv[[#This Row],[VM]])</f>
        <v>1</v>
      </c>
    </row>
    <row r="110" spans="1:28" ht="15" customHeight="1" x14ac:dyDescent="0.25">
      <c r="A110" s="24" t="s">
        <v>52</v>
      </c>
      <c r="B110" t="s">
        <v>527</v>
      </c>
      <c r="C110" t="s">
        <v>53</v>
      </c>
      <c r="D110">
        <v>5</v>
      </c>
      <c r="E110" s="13" t="s">
        <v>548</v>
      </c>
      <c r="F110">
        <f>IF(VLOOKUP(TabVMEnv[[#This Row],[VM]],TabOceanet[],16,FALSE) = "Tarif_VM",IF(VLOOKUP(TabVMEnv[[#This Row],[VM]],TabOceanet[],2,FALSE)&lt;4,4,VLOOKUP(TabVMEnv[[#This Row],[VM]],TabOceanet[],2,FALSE)),0)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IF(VLOOKUP(TabVMEnv[[#This Row],[VM]],TabOceanet[],16,FALSE) = "Tarif_VM",1,0)/TabVMEnv[[#This Row],[Mutualisé]]</f>
        <v>1</v>
      </c>
      <c r="L110">
        <f>IF(VLOOKUP(TabVMEnv[[#This Row],[VM]],TabOceanet[],9,FALSE) = "PoweredOn",1,0)</f>
        <v>1</v>
      </c>
      <c r="M110">
        <f>TabVMEnv[[#This Row],[IsVMPoweredOn]]*VLOOKUP(TabVMEnv[[#This Row],[VM]],TabOceanet[],3,FALSE)/TabVMEnv[[#This Row],[Mutualisé]]</f>
        <v>1</v>
      </c>
      <c r="N110">
        <f>VLOOKUP(TabVMEnv[[#This Row],[VM]],TabOceanet[],4,FALSE)/TabVMEnv[[#This Row],[Mutualisé]]</f>
        <v>38</v>
      </c>
      <c r="O110">
        <f>IF(LEFT(VLOOKUP(TabVMEnv[[#This Row],[VM]],TabOceanet[],5,FALSE),3)="win",1,0)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VLOOKUP(TabVMEnv[[#This Row],[EnvProjet]],TabEnvProjet[],4,FALSE)</f>
        <v>MAE-PII-L2/334179-17</v>
      </c>
      <c r="R110" s="5" t="str">
        <f>VLOOKUP(TabVMEnv[[#This Row],[SYGES]],TabContrat[],2,FALSE)</f>
        <v>MINISTERE DE L'EUROPE ET DES AFFAIRES ETRANGERES</v>
      </c>
      <c r="S110" s="5" t="str">
        <f>IF(VLOOKUP(TabVMEnv[[#This Row],[VM]],TabOceanet[],1,FALSE) = "","Disparue","")</f>
        <v/>
      </c>
      <c r="T110" s="25">
        <f>VLOOKUP(TabVMEnv[[#This Row],[VM]],TabOceanet[],36,FALSE)/TabVMEnv[[#This Row],[Mutualisé]]</f>
        <v>10.34</v>
      </c>
      <c r="U110" s="25">
        <f>IF(TabVMEnv[[#This Row],[CostCenter]]="CostCenterDI",0,TabVMEnv[[#This Row],[CoutGlobal]])</f>
        <v>10.34</v>
      </c>
      <c r="V110" s="25">
        <f>TabVMEnv[[#This Row],[CoutGlobalSansCostCenterDI]]/TabVMEnv[[#Totals],[CoutGlobalSansCostCenterDI]]*(GlobalARepartirSansMS+GlobalARepartirMSOnly+GlobalARepartirInfraReseau)</f>
        <v>21.559117209485454</v>
      </c>
      <c r="W110" s="25">
        <f>TabVMEnv[[#This Row],[CoutGlobalSansCostCenterDI]]+TabVMEnv[[#This Row],[CoutGlobalSupplementaire]]</f>
        <v>31.899117209485453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0" s="5" t="str">
        <f>VLOOKUP(TabVMEnv[[#This Row],[EnvProjet]],TabEnvProjet[],5,FALSE)</f>
        <v>Axel Benoist-Gironiere</v>
      </c>
      <c r="Z110" s="5">
        <f>VLOOKUP(TabVMEnv[[#This Row],[EnvProjet]],TabEnvProjet[],6,FALSE)</f>
        <v>341531</v>
      </c>
      <c r="AA110" s="5" t="str">
        <f>VLOOKUP(TabVMEnv[[#This Row],[EnvProjet]],TabEnvProjet[],3,FALSE)</f>
        <v>SOCLE</v>
      </c>
      <c r="AB110" s="5">
        <f>COUNTIF(TabVMEnv[VM],TabVMEnv[[#This Row],[VM]])</f>
        <v>1</v>
      </c>
    </row>
    <row r="111" spans="1:28" x14ac:dyDescent="0.25">
      <c r="A111" s="24" t="s">
        <v>80</v>
      </c>
      <c r="B111" t="s">
        <v>550</v>
      </c>
      <c r="C111" t="s">
        <v>81</v>
      </c>
      <c r="D111">
        <v>0</v>
      </c>
      <c r="E111" s="13" t="s">
        <v>483</v>
      </c>
      <c r="F111">
        <f>IF(VLOOKUP(TabVMEnv[[#This Row],[VM]],TabOceanet[],16,FALSE) = "Tarif_VM",IF(VLOOKUP(TabVMEnv[[#This Row],[VM]],TabOceanet[],2,FALSE)&lt;4,4,VLOOKUP(TabVMEnv[[#This Row],[VM]],TabOceanet[],2,FALSE)),0)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IF(VLOOKUP(TabVMEnv[[#This Row],[VM]],TabOceanet[],16,FALSE) = "Tarif_VM",1,0)/TabVMEnv[[#This Row],[Mutualisé]]</f>
        <v>0.5</v>
      </c>
      <c r="L111">
        <f>IF(VLOOKUP(TabVMEnv[[#This Row],[VM]],TabOceanet[],9,FALSE) = "PoweredOn",1,0)</f>
        <v>1</v>
      </c>
      <c r="M111">
        <f>TabVMEnv[[#This Row],[IsVMPoweredOn]]*VLOOKUP(TabVMEnv[[#This Row],[VM]],TabOceanet[],3,FALSE)/TabVMEnv[[#This Row],[Mutualisé]]</f>
        <v>0.5</v>
      </c>
      <c r="N111">
        <f>VLOOKUP(TabVMEnv[[#This Row],[VM]],TabOceanet[],4,FALSE)/TabVMEnv[[#This Row],[Mutualisé]]</f>
        <v>2</v>
      </c>
      <c r="O111">
        <f>IF(LEFT(VLOOKUP(TabVMEnv[[#This Row],[VM]],TabOceanet[],5,FALSE),3)="win",1,0)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VLOOKUP(TabVMEnv[[#This Row],[EnvProjet]],TabEnvProjet[],4,FALSE)</f>
        <v>MAE-PII-L2/334179-17</v>
      </c>
      <c r="R111" s="5" t="str">
        <f>VLOOKUP(TabVMEnv[[#This Row],[SYGES]],TabContrat[],2,FALSE)</f>
        <v>MINISTERE DE L'EUROPE ET DES AFFAIRES ETRANGERES</v>
      </c>
      <c r="S111" s="5" t="str">
        <f>IF(VLOOKUP(TabVMEnv[[#This Row],[VM]],TabOceanet[],1,FALSE) = "","Disparue","")</f>
        <v/>
      </c>
      <c r="T111" s="25">
        <f>VLOOKUP(TabVMEnv[[#This Row],[VM]],TabOceanet[],36,FALSE)/TabVMEnv[[#This Row],[Mutualisé]]</f>
        <v>1.26</v>
      </c>
      <c r="U111" s="25">
        <f>IF(TabVMEnv[[#This Row],[CostCenter]]="CostCenterDI",0,TabVMEnv[[#This Row],[CoutGlobal]])</f>
        <v>1.26</v>
      </c>
      <c r="V111" s="25">
        <f>TabVMEnv[[#This Row],[CoutGlobalSansCostCenterDI]]/TabVMEnv[[#Totals],[CoutGlobalSansCostCenterDI]]*(GlobalARepartirSansMS+GlobalARepartirMSOnly+GlobalARepartirInfraReseau)</f>
        <v>2.6271264684672802</v>
      </c>
      <c r="W111" s="25">
        <f>TabVMEnv[[#This Row],[CoutGlobalSansCostCenterDI]]+TabVMEnv[[#This Row],[CoutGlobalSupplementaire]]</f>
        <v>3.8871264684672804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1" s="5" t="str">
        <f>VLOOKUP(TabVMEnv[[#This Row],[EnvProjet]],TabEnvProjet[],5,FALSE)</f>
        <v>Axel Benoist-Gironiere</v>
      </c>
      <c r="Z111" s="5">
        <f>VLOOKUP(TabVMEnv[[#This Row],[EnvProjet]],TabEnvProjet[],6,FALSE)</f>
        <v>341531</v>
      </c>
      <c r="AA111" s="5" t="str">
        <f>VLOOKUP(TabVMEnv[[#This Row],[EnvProjet]],TabEnvProjet[],3,FALSE)</f>
        <v>ARRET</v>
      </c>
      <c r="AB111" s="5">
        <f>COUNTIF(TabVMEnv[VM],TabVMEnv[[#This Row],[VM]])</f>
        <v>2</v>
      </c>
    </row>
    <row r="112" spans="1:28" x14ac:dyDescent="0.25">
      <c r="A112" s="24" t="s">
        <v>80</v>
      </c>
      <c r="B112" t="s">
        <v>551</v>
      </c>
      <c r="C112" t="s">
        <v>89</v>
      </c>
      <c r="D112">
        <v>0</v>
      </c>
      <c r="E112" s="13" t="s">
        <v>483</v>
      </c>
      <c r="F112">
        <f>IF(VLOOKUP(TabVMEnv[[#This Row],[VM]],TabOceanet[],16,FALSE) = "Tarif_VM",IF(VLOOKUP(TabVMEnv[[#This Row],[VM]],TabOceanet[],2,FALSE)&lt;4,4,VLOOKUP(TabVMEnv[[#This Row],[VM]],TabOceanet[],2,FALSE)),0)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IF(VLOOKUP(TabVMEnv[[#This Row],[VM]],TabOceanet[],16,FALSE) = "Tarif_VM",1,0)/TabVMEnv[[#This Row],[Mutualisé]]</f>
        <v>0.5</v>
      </c>
      <c r="L112">
        <f>IF(VLOOKUP(TabVMEnv[[#This Row],[VM]],TabOceanet[],9,FALSE) = "PoweredOn",1,0)</f>
        <v>1</v>
      </c>
      <c r="M112">
        <f>TabVMEnv[[#This Row],[IsVMPoweredOn]]*VLOOKUP(TabVMEnv[[#This Row],[VM]],TabOceanet[],3,FALSE)/TabVMEnv[[#This Row],[Mutualisé]]</f>
        <v>0.5</v>
      </c>
      <c r="N112">
        <f>VLOOKUP(TabVMEnv[[#This Row],[VM]],TabOceanet[],4,FALSE)/TabVMEnv[[#This Row],[Mutualisé]]</f>
        <v>2</v>
      </c>
      <c r="O112">
        <f>IF(LEFT(VLOOKUP(TabVMEnv[[#This Row],[VM]],TabOceanet[],5,FALSE),3)="win",1,0)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VLOOKUP(TabVMEnv[[#This Row],[EnvProjet]],TabEnvProjet[],4,FALSE)</f>
        <v>VIVESC-TAU/S240776A</v>
      </c>
      <c r="R112" s="5" t="str">
        <f>VLOOKUP(TabVMEnv[[#This Row],[SYGES]],TabContrat[],2,FALSE)</f>
        <v>CAT'HELIUM VIVESCO</v>
      </c>
      <c r="S112" s="5" t="str">
        <f>IF(VLOOKUP(TabVMEnv[[#This Row],[VM]],TabOceanet[],1,FALSE) = "","Disparue","")</f>
        <v/>
      </c>
      <c r="T112" s="17">
        <f>VLOOKUP(TabVMEnv[[#This Row],[VM]],TabOceanet[],36,FALSE)/TabVMEnv[[#This Row],[Mutualisé]]</f>
        <v>1.26</v>
      </c>
      <c r="U112" s="17">
        <f>IF(TabVMEnv[[#This Row],[CostCenter]]="CostCenterDI",0,TabVMEnv[[#This Row],[CoutGlobal]])</f>
        <v>1.26</v>
      </c>
      <c r="V112" s="17">
        <f>TabVMEnv[[#This Row],[CoutGlobalSansCostCenterDI]]/TabVMEnv[[#Totals],[CoutGlobalSansCostCenterDI]]*(GlobalARepartirSansMS+GlobalARepartirMSOnly+GlobalARepartirInfraReseau)</f>
        <v>2.6271264684672802</v>
      </c>
      <c r="W112" s="17">
        <f>TabVMEnv[[#This Row],[CoutGlobalSansCostCenterDI]]+TabVMEnv[[#This Row],[CoutGlobalSupplementaire]]</f>
        <v>3.8871264684672804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12" s="5" t="str">
        <f>VLOOKUP(TabVMEnv[[#This Row],[EnvProjet]],TabEnvProjet[],5,FALSE)</f>
        <v>Pierre Maurupt</v>
      </c>
      <c r="Z112" s="5">
        <f>VLOOKUP(TabVMEnv[[#This Row],[EnvProjet]],TabEnvProjet[],6,FALSE)</f>
        <v>341530</v>
      </c>
      <c r="AA112" s="5" t="str">
        <f>VLOOKUP(TabVMEnv[[#This Row],[EnvProjet]],TabEnvProjet[],3,FALSE)</f>
        <v>QUAL</v>
      </c>
      <c r="AB112" s="5">
        <f>COUNTIF(TabVMEnv[VM],TabVMEnv[[#This Row],[VM]])</f>
        <v>2</v>
      </c>
    </row>
    <row r="113" spans="1:28" x14ac:dyDescent="0.25">
      <c r="A113" t="s">
        <v>158</v>
      </c>
      <c r="B113" t="s">
        <v>484</v>
      </c>
      <c r="D113">
        <v>0</v>
      </c>
      <c r="E113" s="13" t="s">
        <v>483</v>
      </c>
      <c r="F113">
        <f>IF(VLOOKUP(TabVMEnv[[#This Row],[VM]],TabOceanet[],16,FALSE) = "Tarif_VM",IF(VLOOKUP(TabVMEnv[[#This Row],[VM]],TabOceanet[],2,FALSE)&lt;4,4,VLOOKUP(TabVMEnv[[#This Row],[VM]],TabOceanet[],2,FALSE)),0)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IF(VLOOKUP(TabVMEnv[[#This Row],[VM]],TabOceanet[],16,FALSE) = "Tarif_VM",1,0)/TabVMEnv[[#This Row],[Mutualisé]]</f>
        <v>1</v>
      </c>
      <c r="L113">
        <f>IF(VLOOKUP(TabVMEnv[[#This Row],[VM]],TabOceanet[],9,FALSE) = "PoweredOn",1,0)</f>
        <v>1</v>
      </c>
      <c r="M113">
        <f>TabVMEnv[[#This Row],[IsVMPoweredOn]]*VLOOKUP(TabVMEnv[[#This Row],[VM]],TabOceanet[],3,FALSE)/TabVMEnv[[#This Row],[Mutualisé]]</f>
        <v>1</v>
      </c>
      <c r="N113">
        <f>VLOOKUP(TabVMEnv[[#This Row],[VM]],TabOceanet[],4,FALSE)/TabVMEnv[[#This Row],[Mutualisé]]</f>
        <v>4</v>
      </c>
      <c r="O113">
        <f>IF(LEFT(VLOOKUP(TabVMEnv[[#This Row],[VM]],TabOceanet[],5,FALSE),3)="win",1,0)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VLOOKUP(TabVMEnv[[#This Row],[EnvProjet]],TabEnvProjet[],4,FALSE)</f>
        <v>GFI Oceanet Infra Réseau</v>
      </c>
      <c r="R113" s="5" t="str">
        <f>VLOOKUP(TabVMEnv[[#This Row],[SYGES]],TabContrat[],2,FALSE)</f>
        <v>GFI</v>
      </c>
      <c r="S113" s="5" t="str">
        <f>IF(VLOOKUP(TabVMEnv[[#This Row],[VM]],TabOceanet[],1,FALSE) = "","Disparue","")</f>
        <v/>
      </c>
      <c r="T113" s="17">
        <f>VLOOKUP(TabVMEnv[[#This Row],[VM]],TabOceanet[],36,FALSE)/TabVMEnv[[#This Row],[Mutualisé]]</f>
        <v>2.52</v>
      </c>
      <c r="U113" s="17">
        <f>IF(TabVMEnv[[#This Row],[CostCenter]]="CostCenterDI",0,TabVMEnv[[#This Row],[CoutGlobal]])</f>
        <v>0</v>
      </c>
      <c r="V113" s="17">
        <f>TabVMEnv[[#This Row],[CoutGlobalSansCostCenterDI]]/TabVMEnv[[#Totals],[CoutGlobalSansCostCenterDI]]*(GlobalARepartirSansMS+GlobalARepartirMSOnly+GlobalARepartirInfraReseau)</f>
        <v>0</v>
      </c>
      <c r="W113" s="17">
        <f>TabVMEnv[[#This Row],[CoutGlobalSansCostCenterDI]]+TabVMEnv[[#This Row],[CoutGlobalSupplementaire]]</f>
        <v>0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3" s="5" t="str">
        <f>VLOOKUP(TabVMEnv[[#This Row],[EnvProjet]],TabEnvProjet[],5,FALSE)</f>
        <v>Jérôme JACOB</v>
      </c>
      <c r="Z113" s="5" t="str">
        <f>VLOOKUP(TabVMEnv[[#This Row],[EnvProjet]],TabEnvProjet[],6,FALSE)</f>
        <v>CostCenterDI</v>
      </c>
      <c r="AA113" s="5" t="str">
        <f>VLOOKUP(TabVMEnv[[#This Row],[EnvProjet]],TabEnvProjet[],3,FALSE)</f>
        <v>SOCLE</v>
      </c>
      <c r="AB113" s="5">
        <f>COUNTIF(TabVMEnv[VM],TabVMEnv[[#This Row],[VM]])</f>
        <v>1</v>
      </c>
    </row>
    <row r="114" spans="1:28" x14ac:dyDescent="0.25">
      <c r="A114" s="24" t="s">
        <v>55</v>
      </c>
      <c r="B114" t="s">
        <v>542</v>
      </c>
      <c r="D114">
        <v>5</v>
      </c>
      <c r="E114" s="13" t="s">
        <v>548</v>
      </c>
      <c r="F114">
        <f>IF(VLOOKUP(TabVMEnv[[#This Row],[VM]],TabOceanet[],16,FALSE) = "Tarif_VM",IF(VLOOKUP(TabVMEnv[[#This Row],[VM]],TabOceanet[],2,FALSE)&lt;4,4,VLOOKUP(TabVMEnv[[#This Row],[VM]],TabOceanet[],2,FALSE)),0)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IF(VLOOKUP(TabVMEnv[[#This Row],[VM]],TabOceanet[],16,FALSE) = "Tarif_VM",1,0)/TabVMEnv[[#This Row],[Mutualisé]]</f>
        <v>0.33333333333333331</v>
      </c>
      <c r="L114">
        <f>IF(VLOOKUP(TabVMEnv[[#This Row],[VM]],TabOceanet[],9,FALSE) = "PoweredOn",1,0)</f>
        <v>1</v>
      </c>
      <c r="M114">
        <f>TabVMEnv[[#This Row],[IsVMPoweredOn]]*VLOOKUP(TabVMEnv[[#This Row],[VM]],TabOceanet[],3,FALSE)/TabVMEnv[[#This Row],[Mutualisé]]</f>
        <v>0.33333333333333331</v>
      </c>
      <c r="N114">
        <f>VLOOKUP(TabVMEnv[[#This Row],[VM]],TabOceanet[],4,FALSE)/TabVMEnv[[#This Row],[Mutualisé]]</f>
        <v>7.333333333333333</v>
      </c>
      <c r="O114">
        <f>IF(LEFT(VLOOKUP(TabVMEnv[[#This Row],[VM]],TabOceanet[],5,FALSE),3)="win",1,0)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VLOOKUP(TabVMEnv[[#This Row],[EnvProjet]],TabEnvProjet[],4,FALSE)</f>
        <v>ADE-SAGA/S364196A</v>
      </c>
      <c r="R114" s="5" t="str">
        <f>VLOOKUP(TabVMEnv[[#This Row],[SYGES]],TabContrat[],2,FALSE)</f>
        <v>ADEME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2.2200000000000002</v>
      </c>
      <c r="U114" s="17">
        <f>IF(TabVMEnv[[#This Row],[CostCenter]]="CostCenterDI",0,TabVMEnv[[#This Row],[CoutGlobal]])</f>
        <v>2.2200000000000002</v>
      </c>
      <c r="V114" s="17">
        <f>TabVMEnv[[#This Row],[CoutGlobalSansCostCenterDI]]/TabVMEnv[[#Totals],[CoutGlobalSansCostCenterDI]]*(GlobalARepartirSansMS+GlobalARepartirMSOnly+GlobalARepartirInfraReseau)</f>
        <v>4.6287466349185413</v>
      </c>
      <c r="W114" s="17">
        <f>TabVMEnv[[#This Row],[CoutGlobalSansCostCenterDI]]+TabVMEnv[[#This Row],[CoutGlobalSupplementaire]]</f>
        <v>6.8487466349185411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4" s="5" t="str">
        <f>VLOOKUP(TabVMEnv[[#This Row],[EnvProjet]],TabEnvProjet[],5,FALSE)</f>
        <v>Pascale CRINE</v>
      </c>
      <c r="Z114" s="5">
        <f>VLOOKUP(TabVMEnv[[#This Row],[EnvProjet]],TabEnvProjet[],6,FALSE)</f>
        <v>341531</v>
      </c>
      <c r="AA114" s="5" t="str">
        <f>VLOOKUP(TabVMEnv[[#This Row],[EnvProjet]],TabEnvProjet[],3,FALSE)</f>
        <v>TMA</v>
      </c>
      <c r="AB114" s="5">
        <f>COUNTIF(TabVMEnv[VM],TabVMEnv[[#This Row],[VM]])</f>
        <v>3</v>
      </c>
    </row>
    <row r="115" spans="1:28" x14ac:dyDescent="0.25">
      <c r="A115" s="24" t="s">
        <v>55</v>
      </c>
      <c r="B115" t="s">
        <v>552</v>
      </c>
      <c r="E115" s="13"/>
      <c r="F115">
        <f>IF(VLOOKUP(TabVMEnv[[#This Row],[VM]],TabOceanet[],16,FALSE) = "Tarif_VM",IF(VLOOKUP(TabVMEnv[[#This Row],[VM]],TabOceanet[],2,FALSE)&lt;4,4,VLOOKUP(TabVMEnv[[#This Row],[VM]],TabOceanet[],2,FALSE)),0)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IF(VLOOKUP(TabVMEnv[[#This Row],[VM]],TabOceanet[],16,FALSE) = "Tarif_VM",1,0)/TabVMEnv[[#This Row],[Mutualisé]]</f>
        <v>0.33333333333333331</v>
      </c>
      <c r="L115">
        <f>IF(VLOOKUP(TabVMEnv[[#This Row],[VM]],TabOceanet[],9,FALSE) = "PoweredOn",1,0)</f>
        <v>1</v>
      </c>
      <c r="M115">
        <f>TabVMEnv[[#This Row],[IsVMPoweredOn]]*VLOOKUP(TabVMEnv[[#This Row],[VM]],TabOceanet[],3,FALSE)/TabVMEnv[[#This Row],[Mutualisé]]</f>
        <v>0.33333333333333331</v>
      </c>
      <c r="N115">
        <f>VLOOKUP(TabVMEnv[[#This Row],[VM]],TabOceanet[],4,FALSE)/TabVMEnv[[#This Row],[Mutualisé]]</f>
        <v>7.333333333333333</v>
      </c>
      <c r="O115">
        <f>IF(LEFT(VLOOKUP(TabVMEnv[[#This Row],[VM]],TabOceanet[],5,FALSE),3)="win",1,0)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VLOOKUP(TabVMEnv[[#This Row],[EnvProjet]],TabEnvProjet[],4,FALSE)</f>
        <v>ADEME-SIN/16-S240097</v>
      </c>
      <c r="R115" s="5" t="str">
        <f>VLOOKUP(TabVMEnv[[#This Row],[SYGES]],TabContrat[],2,FALSE)</f>
        <v>ADEME</v>
      </c>
      <c r="S115" s="5" t="str">
        <f>IF(VLOOKUP(TabVMEnv[[#This Row],[VM]],TabOceanet[],1,FALSE) = "","Disparue","")</f>
        <v/>
      </c>
      <c r="T115" s="17">
        <f>VLOOKUP(TabVMEnv[[#This Row],[VM]],TabOceanet[],36,FALSE)/TabVMEnv[[#This Row],[Mutualisé]]</f>
        <v>2.2200000000000002</v>
      </c>
      <c r="U115" s="17">
        <f>IF(TabVMEnv[[#This Row],[CostCenter]]="CostCenterDI",0,TabVMEnv[[#This Row],[CoutGlobal]])</f>
        <v>2.2200000000000002</v>
      </c>
      <c r="V115" s="17">
        <f>TabVMEnv[[#This Row],[CoutGlobalSansCostCenterDI]]/TabVMEnv[[#Totals],[CoutGlobalSansCostCenterDI]]*(GlobalARepartirSansMS+GlobalARepartirMSOnly+GlobalARepartirInfraReseau)</f>
        <v>4.6287466349185413</v>
      </c>
      <c r="W115" s="17">
        <f>TabVMEnv[[#This Row],[CoutGlobalSansCostCenterDI]]+TabVMEnv[[#This Row],[CoutGlobalSupplementaire]]</f>
        <v>6.8487466349185411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15" s="5" t="str">
        <f>VLOOKUP(TabVMEnv[[#This Row],[EnvProjet]],TabEnvProjet[],5,FALSE)</f>
        <v>Pascale CRINE</v>
      </c>
      <c r="Z115" s="5">
        <f>VLOOKUP(TabVMEnv[[#This Row],[EnvProjet]],TabEnvProjet[],6,FALSE)</f>
        <v>341531</v>
      </c>
      <c r="AA115" s="5" t="str">
        <f>VLOOKUP(TabVMEnv[[#This Row],[EnvProjet]],TabEnvProjet[],3,FALSE)</f>
        <v>TMA</v>
      </c>
      <c r="AB115" s="5">
        <f>COUNTIF(TabVMEnv[VM],TabVMEnv[[#This Row],[VM]])</f>
        <v>3</v>
      </c>
    </row>
    <row r="116" spans="1:28" x14ac:dyDescent="0.25">
      <c r="A116" s="24" t="s">
        <v>55</v>
      </c>
      <c r="B116" t="s">
        <v>527</v>
      </c>
      <c r="C116" t="s">
        <v>56</v>
      </c>
      <c r="E116" s="13"/>
      <c r="F116">
        <f>IF(VLOOKUP(TabVMEnv[[#This Row],[VM]],TabOceanet[],16,FALSE) = "Tarif_VM",IF(VLOOKUP(TabVMEnv[[#This Row],[VM]],TabOceanet[],2,FALSE)&lt;4,4,VLOOKUP(TabVMEnv[[#This Row],[VM]],TabOceanet[],2,FALSE)),0)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IF(VLOOKUP(TabVMEnv[[#This Row],[VM]],TabOceanet[],16,FALSE) = "Tarif_VM",1,0)/TabVMEnv[[#This Row],[Mutualisé]]</f>
        <v>0.33333333333333331</v>
      </c>
      <c r="L116">
        <f>IF(VLOOKUP(TabVMEnv[[#This Row],[VM]],TabOceanet[],9,FALSE) = "PoweredOn",1,0)</f>
        <v>1</v>
      </c>
      <c r="M116">
        <f>TabVMEnv[[#This Row],[IsVMPoweredOn]]*VLOOKUP(TabVMEnv[[#This Row],[VM]],TabOceanet[],3,FALSE)/TabVMEnv[[#This Row],[Mutualisé]]</f>
        <v>0.33333333333333331</v>
      </c>
      <c r="N116">
        <f>VLOOKUP(TabVMEnv[[#This Row],[VM]],TabOceanet[],4,FALSE)/TabVMEnv[[#This Row],[Mutualisé]]</f>
        <v>7.333333333333333</v>
      </c>
      <c r="O116">
        <f>IF(LEFT(VLOOKUP(TabVMEnv[[#This Row],[VM]],TabOceanet[],5,FALSE),3)="win",1,0)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VLOOKUP(TabVMEnv[[#This Row],[EnvProjet]],TabEnvProjet[],4,FALSE)</f>
        <v>MAE-PII-L2/334179-17</v>
      </c>
      <c r="R116" s="5" t="str">
        <f>VLOOKUP(TabVMEnv[[#This Row],[SYGES]],TabContrat[],2,FALSE)</f>
        <v>MINISTERE DE L'EUROPE ET DES AFFAIRES ETRANGERES</v>
      </c>
      <c r="S116" s="5" t="str">
        <f>IF(VLOOKUP(TabVMEnv[[#This Row],[VM]],TabOceanet[],1,FALSE) = "","Disparue","")</f>
        <v/>
      </c>
      <c r="T116" s="25">
        <f>VLOOKUP(TabVMEnv[[#This Row],[VM]],TabOceanet[],36,FALSE)/TabVMEnv[[#This Row],[Mutualisé]]</f>
        <v>2.2200000000000002</v>
      </c>
      <c r="U116" s="25">
        <f>IF(TabVMEnv[[#This Row],[CostCenter]]="CostCenterDI",0,TabVMEnv[[#This Row],[CoutGlobal]])</f>
        <v>2.2200000000000002</v>
      </c>
      <c r="V116" s="25">
        <f>TabVMEnv[[#This Row],[CoutGlobalSansCostCenterDI]]/TabVMEnv[[#Totals],[CoutGlobalSansCostCenterDI]]*(GlobalARepartirSansMS+GlobalARepartirMSOnly+GlobalARepartirInfraReseau)</f>
        <v>4.6287466349185413</v>
      </c>
      <c r="W116" s="25">
        <f>TabVMEnv[[#This Row],[CoutGlobalSansCostCenterDI]]+TabVMEnv[[#This Row],[CoutGlobalSupplementaire]]</f>
        <v>6.8487466349185411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6" s="5" t="str">
        <f>VLOOKUP(TabVMEnv[[#This Row],[EnvProjet]],TabEnvProjet[],5,FALSE)</f>
        <v>Axel Benoist-Gironiere</v>
      </c>
      <c r="Z116" s="5">
        <f>VLOOKUP(TabVMEnv[[#This Row],[EnvProjet]],TabEnvProjet[],6,FALSE)</f>
        <v>341531</v>
      </c>
      <c r="AA116" s="5" t="str">
        <f>VLOOKUP(TabVMEnv[[#This Row],[EnvProjet]],TabEnvProjet[],3,FALSE)</f>
        <v>SOCLE</v>
      </c>
      <c r="AB116" s="5">
        <f>COUNTIF(TabVMEnv[VM],TabVMEnv[[#This Row],[VM]])</f>
        <v>3</v>
      </c>
    </row>
    <row r="117" spans="1:28" x14ac:dyDescent="0.25">
      <c r="A117" t="s">
        <v>210</v>
      </c>
      <c r="B117" t="s">
        <v>547</v>
      </c>
      <c r="D117">
        <v>0</v>
      </c>
      <c r="E117" s="13" t="s">
        <v>524</v>
      </c>
      <c r="F117">
        <f>IF(VLOOKUP(TabVMEnv[[#This Row],[VM]],TabOceanet[],16,FALSE) = "Tarif_VM",IF(VLOOKUP(TabVMEnv[[#This Row],[VM]],TabOceanet[],2,FALSE)&lt;4,4,VLOOKUP(TabVMEnv[[#This Row],[VM]],TabOceanet[],2,FALSE)),0)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IF(VLOOKUP(TabVMEnv[[#This Row],[VM]],TabOceanet[],16,FALSE) = "Tarif_VM",1,0)/TabVMEnv[[#This Row],[Mutualisé]]</f>
        <v>1</v>
      </c>
      <c r="L117">
        <f>IF(VLOOKUP(TabVMEnv[[#This Row],[VM]],TabOceanet[],9,FALSE) = "PoweredOn",1,0)</f>
        <v>0</v>
      </c>
      <c r="M117">
        <f>TabVMEnv[[#This Row],[IsVMPoweredOn]]*VLOOKUP(TabVMEnv[[#This Row],[VM]],TabOceanet[],3,FALSE)/TabVMEnv[[#This Row],[Mutualisé]]</f>
        <v>0</v>
      </c>
      <c r="N117">
        <f>VLOOKUP(TabVMEnv[[#This Row],[VM]],TabOceanet[],4,FALSE)/TabVMEnv[[#This Row],[Mutualisé]]</f>
        <v>40</v>
      </c>
      <c r="O117">
        <f>IF(LEFT(VLOOKUP(TabVMEnv[[#This Row],[VM]],TabOceanet[],5,FALSE),3)="win",1,0)</f>
        <v>1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VLOOKUP(TabVMEnv[[#This Row],[EnvProjet]],TabEnvProjet[],4,FALSE)</f>
        <v>GFI Oceanet Infra Réseau</v>
      </c>
      <c r="R117" s="5" t="str">
        <f>VLOOKUP(TabVMEnv[[#This Row],[SYGES]],TabContrat[],2,FALSE)</f>
        <v>GFI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9.2000000000000011</v>
      </c>
      <c r="U117" s="17">
        <f>IF(TabVMEnv[[#This Row],[CostCenter]]="CostCenterDI",0,TabVMEnv[[#This Row],[CoutGlobal]])</f>
        <v>0</v>
      </c>
      <c r="V117" s="17">
        <f>TabVMEnv[[#This Row],[CoutGlobalSansCostCenterDI]]/TabVMEnv[[#Totals],[CoutGlobalSansCostCenterDI]]*(GlobalARepartirSansMS+GlobalARepartirMSOnly+GlobalARepartirInfraReseau)</f>
        <v>0</v>
      </c>
      <c r="W117" s="17">
        <f>TabVMEnv[[#This Row],[CoutGlobalSansCostCenterDI]]+TabVMEnv[[#This Row],[CoutGlobalSupplementaire]]</f>
        <v>0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7" s="5" t="str">
        <f>VLOOKUP(TabVMEnv[[#This Row],[EnvProjet]],TabEnvProjet[],5,FALSE)</f>
        <v>Jérôme JACOB</v>
      </c>
      <c r="Z117" s="5" t="str">
        <f>VLOOKUP(TabVMEnv[[#This Row],[EnvProjet]],TabEnvProjet[],6,FALSE)</f>
        <v>CostCenterDI</v>
      </c>
      <c r="AA117" s="5" t="str">
        <f>VLOOKUP(TabVMEnv[[#This Row],[EnvProjet]],TabEnvProjet[],3,FALSE)</f>
        <v>PROD</v>
      </c>
      <c r="AB117" s="5">
        <f>COUNTIF(TabVMEnv[VM],TabVMEnv[[#This Row],[VM]])</f>
        <v>1</v>
      </c>
    </row>
    <row r="118" spans="1:28" x14ac:dyDescent="0.25">
      <c r="A118" t="s">
        <v>247</v>
      </c>
      <c r="B118" t="s">
        <v>485</v>
      </c>
      <c r="E118" s="13"/>
      <c r="F118">
        <f>IF(VLOOKUP(TabVMEnv[[#This Row],[VM]],TabOceanet[],16,FALSE) = "Tarif_VM",IF(VLOOKUP(TabVMEnv[[#This Row],[VM]],TabOceanet[],2,FALSE)&lt;4,4,VLOOKUP(TabVMEnv[[#This Row],[VM]],TabOceanet[],2,FALSE)),0)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IF(VLOOKUP(TabVMEnv[[#This Row],[VM]],TabOceanet[],16,FALSE) = "Tarif_VM",1,0)/TabVMEnv[[#This Row],[Mutualisé]]</f>
        <v>1</v>
      </c>
      <c r="L118">
        <f>IF(VLOOKUP(TabVMEnv[[#This Row],[VM]],TabOceanet[],9,FALSE) = "PoweredOn",1,0)</f>
        <v>1</v>
      </c>
      <c r="M118">
        <f>TabVMEnv[[#This Row],[IsVMPoweredOn]]*VLOOKUP(TabVMEnv[[#This Row],[VM]],TabOceanet[],3,FALSE)/TabVMEnv[[#This Row],[Mutualisé]]</f>
        <v>16</v>
      </c>
      <c r="N118">
        <f>VLOOKUP(TabVMEnv[[#This Row],[VM]],TabOceanet[],4,FALSE)/TabVMEnv[[#This Row],[Mutualisé]]</f>
        <v>127</v>
      </c>
      <c r="O118">
        <f>IF(LEFT(VLOOKUP(TabVMEnv[[#This Row],[VM]],TabOceanet[],5,FALSE),3)="win",1,0)</f>
        <v>0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VLOOKUP(TabVMEnv[[#This Row],[EnvProjet]],TabEnvProjet[],4,FALSE)</f>
        <v>Fablab-Firmin</v>
      </c>
      <c r="R118" s="5" t="str">
        <f>VLOOKUP(TabVMEnv[[#This Row],[SYGES]],TabContrat[],2,FALSE)</f>
        <v>Fablab</v>
      </c>
      <c r="S118" s="5" t="str">
        <f>IF(VLOOKUP(TabVMEnv[[#This Row],[VM]],TabOceanet[],1,FALSE) = "","Disparue","")</f>
        <v/>
      </c>
      <c r="T118" s="17">
        <f>VLOOKUP(TabVMEnv[[#This Row],[VM]],TabOceanet[],36,FALSE)/TabVMEnv[[#This Row],[Mutualisé]]</f>
        <v>54.81</v>
      </c>
      <c r="U118" s="17">
        <f>IF(TabVMEnv[[#This Row],[CostCenter]]="CostCenterDI",0,TabVMEnv[[#This Row],[CoutGlobal]])</f>
        <v>54.81</v>
      </c>
      <c r="V118" s="17">
        <f>TabVMEnv[[#This Row],[CoutGlobalSansCostCenterDI]]/TabVMEnv[[#Totals],[CoutGlobalSansCostCenterDI]]*(GlobalARepartirSansMS+GlobalARepartirMSOnly+GlobalARepartirInfraReseau)</f>
        <v>114.28000137832669</v>
      </c>
      <c r="W118" s="17">
        <f>TabVMEnv[[#This Row],[CoutGlobalSansCostCenterDI]]+TabVMEnv[[#This Row],[CoutGlobalSupplementaire]]</f>
        <v>169.09000137832669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8" s="5" t="str">
        <f>VLOOKUP(TabVMEnv[[#This Row],[EnvProjet]],TabEnvProjet[],5,FALSE)</f>
        <v>Pierre-Yves Baloche</v>
      </c>
      <c r="Z118" s="5" t="str">
        <f>VLOOKUP(TabVMEnv[[#This Row],[EnvProjet]],TabEnvProjet[],6,FALSE)</f>
        <v>Fablab</v>
      </c>
      <c r="AA118" s="5" t="str">
        <f>VLOOKUP(TabVMEnv[[#This Row],[EnvProjet]],TabEnvProjet[],3,FALSE)</f>
        <v>SOCLE</v>
      </c>
      <c r="AB118" s="5">
        <f>COUNTIF(TabVMEnv[VM],TabVMEnv[[#This Row],[VM]])</f>
        <v>1</v>
      </c>
    </row>
    <row r="119" spans="1:28" x14ac:dyDescent="0.25">
      <c r="A119" t="s">
        <v>248</v>
      </c>
      <c r="B119" t="s">
        <v>485</v>
      </c>
      <c r="E119" s="13"/>
      <c r="F119">
        <f>IF(VLOOKUP(TabVMEnv[[#This Row],[VM]],TabOceanet[],16,FALSE) = "Tarif_VM",IF(VLOOKUP(TabVMEnv[[#This Row],[VM]],TabOceanet[],2,FALSE)&lt;4,4,VLOOKUP(TabVMEnv[[#This Row],[VM]],TabOceanet[],2,FALSE)),0)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IF(VLOOKUP(TabVMEnv[[#This Row],[VM]],TabOceanet[],16,FALSE) = "Tarif_VM",1,0)/TabVMEnv[[#This Row],[Mutualisé]]</f>
        <v>1</v>
      </c>
      <c r="L119">
        <f>IF(VLOOKUP(TabVMEnv[[#This Row],[VM]],TabOceanet[],9,FALSE) = "PoweredOn",1,0)</f>
        <v>1</v>
      </c>
      <c r="M119">
        <f>TabVMEnv[[#This Row],[IsVMPoweredOn]]*VLOOKUP(TabVMEnv[[#This Row],[VM]],TabOceanet[],3,FALSE)/TabVMEnv[[#This Row],[Mutualisé]]</f>
        <v>4</v>
      </c>
      <c r="N119">
        <f>VLOOKUP(TabVMEnv[[#This Row],[VM]],TabOceanet[],4,FALSE)/TabVMEnv[[#This Row],[Mutualisé]]</f>
        <v>27</v>
      </c>
      <c r="O119">
        <f>IF(LEFT(VLOOKUP(TabVMEnv[[#This Row],[VM]],TabOceanet[],5,FALSE),3)="win",1,0)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VLOOKUP(TabVMEnv[[#This Row],[EnvProjet]],TabEnvProjet[],4,FALSE)</f>
        <v>Fablab-Firmin</v>
      </c>
      <c r="R119" s="5" t="str">
        <f>VLOOKUP(TabVMEnv[[#This Row],[SYGES]],TabContrat[],2,FALSE)</f>
        <v>Fablab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12.61</v>
      </c>
      <c r="U119" s="17">
        <f>IF(TabVMEnv[[#This Row],[CostCenter]]="CostCenterDI",0,TabVMEnv[[#This Row],[CoutGlobal]])</f>
        <v>12.61</v>
      </c>
      <c r="V119" s="17">
        <f>TabVMEnv[[#This Row],[CoutGlobalSansCostCenterDI]]/TabVMEnv[[#Totals],[CoutGlobalSansCostCenterDI]]*(GlobalARepartirSansMS+GlobalARepartirMSOnly+GlobalARepartirInfraReseau)</f>
        <v>26.292114894739999</v>
      </c>
      <c r="W119" s="17">
        <f>TabVMEnv[[#This Row],[CoutGlobalSansCostCenterDI]]+TabVMEnv[[#This Row],[CoutGlobalSupplementaire]]</f>
        <v>38.902114894739995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9" s="5" t="str">
        <f>VLOOKUP(TabVMEnv[[#This Row],[EnvProjet]],TabEnvProjet[],5,FALSE)</f>
        <v>Pierre-Yves Baloche</v>
      </c>
      <c r="Z119" s="5" t="str">
        <f>VLOOKUP(TabVMEnv[[#This Row],[EnvProjet]],TabEnvProjet[],6,FALSE)</f>
        <v>Fablab</v>
      </c>
      <c r="AA119" s="5" t="str">
        <f>VLOOKUP(TabVMEnv[[#This Row],[EnvProjet]],TabEnvProjet[],3,FALSE)</f>
        <v>SOCLE</v>
      </c>
      <c r="AB119" s="5">
        <f>COUNTIF(TabVMEnv[VM],TabVMEnv[[#This Row],[VM]])</f>
        <v>1</v>
      </c>
    </row>
    <row r="120" spans="1:28" x14ac:dyDescent="0.25">
      <c r="A120" t="s">
        <v>249</v>
      </c>
      <c r="B120" t="s">
        <v>485</v>
      </c>
      <c r="E120" s="13"/>
      <c r="F120">
        <f>IF(VLOOKUP(TabVMEnv[[#This Row],[VM]],TabOceanet[],16,FALSE) = "Tarif_VM",IF(VLOOKUP(TabVMEnv[[#This Row],[VM]],TabOceanet[],2,FALSE)&lt;4,4,VLOOKUP(TabVMEnv[[#This Row],[VM]],TabOceanet[],2,FALSE)),0)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IF(VLOOKUP(TabVMEnv[[#This Row],[VM]],TabOceanet[],16,FALSE) = "Tarif_VM",1,0)/TabVMEnv[[#This Row],[Mutualisé]]</f>
        <v>1</v>
      </c>
      <c r="L120">
        <f>IF(VLOOKUP(TabVMEnv[[#This Row],[VM]],TabOceanet[],9,FALSE) = "PoweredOn",1,0)</f>
        <v>1</v>
      </c>
      <c r="M120">
        <f>TabVMEnv[[#This Row],[IsVMPoweredOn]]*VLOOKUP(TabVMEnv[[#This Row],[VM]],TabOceanet[],3,FALSE)/TabVMEnv[[#This Row],[Mutualisé]]</f>
        <v>16</v>
      </c>
      <c r="N120">
        <f>VLOOKUP(TabVMEnv[[#This Row],[VM]],TabOceanet[],4,FALSE)/TabVMEnv[[#This Row],[Mutualisé]]</f>
        <v>47</v>
      </c>
      <c r="O120">
        <f>IF(LEFT(VLOOKUP(TabVMEnv[[#This Row],[VM]],TabOceanet[],5,FALSE),3)="win",1,0)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VLOOKUP(TabVMEnv[[#This Row],[EnvProjet]],TabEnvProjet[],4,FALSE)</f>
        <v>Fablab-Firmin</v>
      </c>
      <c r="R120" s="5" t="str">
        <f>VLOOKUP(TabVMEnv[[#This Row],[SYGES]],TabContrat[],2,FALSE)</f>
        <v>Fablab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36.410000000000004</v>
      </c>
      <c r="U120" s="17">
        <f>IF(TabVMEnv[[#This Row],[CostCenter]]="CostCenterDI",0,TabVMEnv[[#This Row],[CoutGlobal]])</f>
        <v>36.410000000000004</v>
      </c>
      <c r="V120" s="17">
        <f>TabVMEnv[[#This Row],[CoutGlobalSansCostCenterDI]]/TabVMEnv[[#Totals],[CoutGlobalSansCostCenterDI]]*(GlobalARepartirSansMS+GlobalARepartirMSOnly+GlobalARepartirInfraReseau)</f>
        <v>75.915614854677514</v>
      </c>
      <c r="W120" s="17">
        <f>TabVMEnv[[#This Row],[CoutGlobalSansCostCenterDI]]+TabVMEnv[[#This Row],[CoutGlobalSupplementaire]]</f>
        <v>112.32561485467753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0" s="5" t="str">
        <f>VLOOKUP(TabVMEnv[[#This Row],[EnvProjet]],TabEnvProjet[],5,FALSE)</f>
        <v>Pierre-Yves Baloche</v>
      </c>
      <c r="Z120" s="5" t="str">
        <f>VLOOKUP(TabVMEnv[[#This Row],[EnvProjet]],TabEnvProjet[],6,FALSE)</f>
        <v>Fablab</v>
      </c>
      <c r="AA120" s="5" t="str">
        <f>VLOOKUP(TabVMEnv[[#This Row],[EnvProjet]],TabEnvProjet[],3,FALSE)</f>
        <v>SOCLE</v>
      </c>
      <c r="AB120" s="5">
        <f>COUNTIF(TabVMEnv[VM],TabVMEnv[[#This Row],[VM]])</f>
        <v>1</v>
      </c>
    </row>
    <row r="121" spans="1:28" x14ac:dyDescent="0.25">
      <c r="A121" t="s">
        <v>185</v>
      </c>
      <c r="B121" t="s">
        <v>553</v>
      </c>
      <c r="D121">
        <v>2</v>
      </c>
      <c r="E121" s="13" t="s">
        <v>546</v>
      </c>
      <c r="F121">
        <f>IF(VLOOKUP(TabVMEnv[[#This Row],[VM]],TabOceanet[],16,FALSE) = "Tarif_VM",IF(VLOOKUP(TabVMEnv[[#This Row],[VM]],TabOceanet[],2,FALSE)&lt;4,4,VLOOKUP(TabVMEnv[[#This Row],[VM]],TabOceanet[],2,FALSE)),0)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IF(VLOOKUP(TabVMEnv[[#This Row],[VM]],TabOceanet[],16,FALSE) = "Tarif_VM",1,0)/TabVMEnv[[#This Row],[Mutualisé]]</f>
        <v>1</v>
      </c>
      <c r="L121">
        <f>IF(VLOOKUP(TabVMEnv[[#This Row],[VM]],TabOceanet[],9,FALSE) = "PoweredOn",1,0)</f>
        <v>1</v>
      </c>
      <c r="M121">
        <f>TabVMEnv[[#This Row],[IsVMPoweredOn]]*VLOOKUP(TabVMEnv[[#This Row],[VM]],TabOceanet[],3,FALSE)/TabVMEnv[[#This Row],[Mutualisé]]</f>
        <v>4</v>
      </c>
      <c r="N121">
        <f>VLOOKUP(TabVMEnv[[#This Row],[VM]],TabOceanet[],4,FALSE)/TabVMEnv[[#This Row],[Mutualisé]]</f>
        <v>6</v>
      </c>
      <c r="O121">
        <f>IF(LEFT(VLOOKUP(TabVMEnv[[#This Row],[VM]],TabOceanet[],5,FALSE),3)="win",1,0)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VLOOKUP(TabVMEnv[[#This Row],[EnvProjet]],TabEnvProjet[],4,FALSE)</f>
        <v>GFI-Jetbrain serveur licence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25">
        <f>VLOOKUP(TabVMEnv[[#This Row],[VM]],TabOceanet[],36,FALSE)/TabVMEnv[[#This Row],[Mutualisé]]</f>
        <v>7.78</v>
      </c>
      <c r="U121" s="25">
        <f>IF(TabVMEnv[[#This Row],[CostCenter]]="CostCenterDI",0,TabVMEnv[[#This Row],[CoutGlobal]])</f>
        <v>7.78</v>
      </c>
      <c r="V121" s="25">
        <f>TabVMEnv[[#This Row],[CoutGlobalSansCostCenterDI]]/TabVMEnv[[#Totals],[CoutGlobalSansCostCenterDI]]*(GlobalARepartirSansMS+GlobalARepartirMSOnly+GlobalARepartirInfraReseau)</f>
        <v>16.221463432282093</v>
      </c>
      <c r="W121" s="25">
        <f>TabVMEnv[[#This Row],[CoutGlobalSansCostCenterDI]]+TabVMEnv[[#This Row],[CoutGlobalSupplementaire]]</f>
        <v>24.001463432282094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21" s="5" t="str">
        <f>VLOOKUP(TabVMEnv[[#This Row],[EnvProjet]],TabEnvProjet[],5,FALSE)</f>
        <v>Jérôme JACOB</v>
      </c>
      <c r="Z121" s="5">
        <f>VLOOKUP(TabVMEnv[[#This Row],[EnvProjet]],TabEnvProjet[],6,FALSE)</f>
        <v>341531</v>
      </c>
      <c r="AA121" s="5" t="str">
        <f>VLOOKUP(TabVMEnv[[#This Row],[EnvProjet]],TabEnvProjet[],3,FALSE)</f>
        <v>PROD</v>
      </c>
      <c r="AB121" s="5">
        <f>COUNTIF(TabVMEnv[VM],TabVMEnv[[#This Row],[VM]])</f>
        <v>1</v>
      </c>
    </row>
    <row r="122" spans="1:28" x14ac:dyDescent="0.25">
      <c r="A122" s="24" t="s">
        <v>90</v>
      </c>
      <c r="B122" t="s">
        <v>554</v>
      </c>
      <c r="E122" s="13"/>
      <c r="F122">
        <f>IF(VLOOKUP(TabVMEnv[[#This Row],[VM]],TabOceanet[],16,FALSE) = "Tarif_VM",IF(VLOOKUP(TabVMEnv[[#This Row],[VM]],TabOceanet[],2,FALSE)&lt;4,4,VLOOKUP(TabVMEnv[[#This Row],[VM]],TabOceanet[],2,FALSE)),0)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IF(VLOOKUP(TabVMEnv[[#This Row],[VM]],TabOceanet[],16,FALSE) = "Tarif_VM",1,0)/TabVMEnv[[#This Row],[Mutualisé]]</f>
        <v>0.5</v>
      </c>
      <c r="L122">
        <f>IF(VLOOKUP(TabVMEnv[[#This Row],[VM]],TabOceanet[],9,FALSE) = "PoweredOn",1,0)</f>
        <v>1</v>
      </c>
      <c r="M122">
        <f>TabVMEnv[[#This Row],[IsVMPoweredOn]]*VLOOKUP(TabVMEnv[[#This Row],[VM]],TabOceanet[],3,FALSE)/TabVMEnv[[#This Row],[Mutualisé]]</f>
        <v>0.5</v>
      </c>
      <c r="N122">
        <f>VLOOKUP(TabVMEnv[[#This Row],[VM]],TabOceanet[],4,FALSE)/TabVMEnv[[#This Row],[Mutualisé]]</f>
        <v>9.5</v>
      </c>
      <c r="O122">
        <f>IF(LEFT(VLOOKUP(TabVMEnv[[#This Row],[VM]],TabOceanet[],5,FALSE),3)="win",1,0)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VLOOKUP(TabVMEnv[[#This Row],[EnvProjet]],TabEnvProjet[],4,FALSE)</f>
        <v>GFI Oceanet Infra Réseau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25">
        <f>VLOOKUP(TabVMEnv[[#This Row],[VM]],TabOceanet[],36,FALSE)/TabVMEnv[[#This Row],[Mutualisé]]</f>
        <v>2.9850000000000003</v>
      </c>
      <c r="U122" s="25">
        <f>IF(TabVMEnv[[#This Row],[CostCenter]]="CostCenterDI",0,TabVMEnv[[#This Row],[CoutGlobal]])</f>
        <v>0</v>
      </c>
      <c r="V122" s="25">
        <f>TabVMEnv[[#This Row],[CoutGlobalSansCostCenterDI]]/TabVMEnv[[#Totals],[CoutGlobalSansCostCenterDI]]*(GlobalARepartirSansMS+GlobalARepartirMSOnly+GlobalARepartirInfraReseau)</f>
        <v>0</v>
      </c>
      <c r="W122" s="25">
        <f>TabVMEnv[[#This Row],[CoutGlobalSansCostCenterDI]]+TabVMEnv[[#This Row],[CoutGlobalSupplementaire]]</f>
        <v>0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2" s="5" t="str">
        <f>VLOOKUP(TabVMEnv[[#This Row],[EnvProjet]],TabEnvProjet[],5,FALSE)</f>
        <v>Jérôme JACOB</v>
      </c>
      <c r="Z122" s="5" t="str">
        <f>VLOOKUP(TabVMEnv[[#This Row],[EnvProjet]],TabEnvProjet[],6,FALSE)</f>
        <v>CostCenterDI</v>
      </c>
      <c r="AA122" s="5" t="str">
        <f>VLOOKUP(TabVMEnv[[#This Row],[EnvProjet]],TabEnvProjet[],3,FALSE)</f>
        <v>QUAL_RUN</v>
      </c>
      <c r="AB122" s="5">
        <f>COUNTIF(TabVMEnv[VM],TabVMEnv[[#This Row],[VM]])</f>
        <v>2</v>
      </c>
    </row>
    <row r="123" spans="1:28" x14ac:dyDescent="0.25">
      <c r="A123" s="24" t="s">
        <v>90</v>
      </c>
      <c r="B123" t="s">
        <v>551</v>
      </c>
      <c r="D123">
        <v>0.5</v>
      </c>
      <c r="E123" s="13" t="s">
        <v>541</v>
      </c>
      <c r="F123">
        <f>IF(VLOOKUP(TabVMEnv[[#This Row],[VM]],TabOceanet[],16,FALSE) = "Tarif_VM",IF(VLOOKUP(TabVMEnv[[#This Row],[VM]],TabOceanet[],2,FALSE)&lt;4,4,VLOOKUP(TabVMEnv[[#This Row],[VM]],TabOceanet[],2,FALSE)),0)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IF(VLOOKUP(TabVMEnv[[#This Row],[VM]],TabOceanet[],16,FALSE) = "Tarif_VM",1,0)/TabVMEnv[[#This Row],[Mutualisé]]</f>
        <v>0.5</v>
      </c>
      <c r="L123">
        <f>IF(VLOOKUP(TabVMEnv[[#This Row],[VM]],TabOceanet[],9,FALSE) = "PoweredOn",1,0)</f>
        <v>1</v>
      </c>
      <c r="M123">
        <f>TabVMEnv[[#This Row],[IsVMPoweredOn]]*VLOOKUP(TabVMEnv[[#This Row],[VM]],TabOceanet[],3,FALSE)/TabVMEnv[[#This Row],[Mutualisé]]</f>
        <v>0.5</v>
      </c>
      <c r="N123">
        <f>VLOOKUP(TabVMEnv[[#This Row],[VM]],TabOceanet[],4,FALSE)/TabVMEnv[[#This Row],[Mutualisé]]</f>
        <v>9.5</v>
      </c>
      <c r="O123">
        <f>IF(LEFT(VLOOKUP(TabVMEnv[[#This Row],[VM]],TabOceanet[],5,FALSE),3)="win",1,0)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VLOOKUP(TabVMEnv[[#This Row],[EnvProjet]],TabEnvProjet[],4,FALSE)</f>
        <v>VIVESC-TAU/S240776A</v>
      </c>
      <c r="R123" s="5" t="str">
        <f>VLOOKUP(TabVMEnv[[#This Row],[SYGES]],TabContrat[],2,FALSE)</f>
        <v>CAT'HELIUM VIVESCO</v>
      </c>
      <c r="S123" s="5" t="str">
        <f>IF(VLOOKUP(TabVMEnv[[#This Row],[VM]],TabOceanet[],1,FALSE) = "","Disparue","")</f>
        <v/>
      </c>
      <c r="T123" s="17">
        <f>VLOOKUP(TabVMEnv[[#This Row],[VM]],TabOceanet[],36,FALSE)/TabVMEnv[[#This Row],[Mutualisé]]</f>
        <v>2.9850000000000003</v>
      </c>
      <c r="U123" s="17">
        <f>IF(TabVMEnv[[#This Row],[CostCenter]]="CostCenterDI",0,TabVMEnv[[#This Row],[CoutGlobal]])</f>
        <v>2.9850000000000003</v>
      </c>
      <c r="V123" s="17">
        <f>TabVMEnv[[#This Row],[CoutGlobalSansCostCenterDI]]/TabVMEnv[[#Totals],[CoutGlobalSansCostCenterDI]]*(GlobalARepartirSansMS+GlobalARepartirMSOnly+GlobalARepartirInfraReseau)</f>
        <v>6.2237877050593893</v>
      </c>
      <c r="W123" s="17">
        <f>TabVMEnv[[#This Row],[CoutGlobalSansCostCenterDI]]+TabVMEnv[[#This Row],[CoutGlobalSupplementaire]]</f>
        <v>9.2087877050593896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3" s="5" t="str">
        <f>VLOOKUP(TabVMEnv[[#This Row],[EnvProjet]],TabEnvProjet[],5,FALSE)</f>
        <v>Pierre Maurupt</v>
      </c>
      <c r="Z123" s="5">
        <f>VLOOKUP(TabVMEnv[[#This Row],[EnvProjet]],TabEnvProjet[],6,FALSE)</f>
        <v>341530</v>
      </c>
      <c r="AA123" s="5" t="str">
        <f>VLOOKUP(TabVMEnv[[#This Row],[EnvProjet]],TabEnvProjet[],3,FALSE)</f>
        <v>QUAL</v>
      </c>
      <c r="AB123" s="5">
        <f>COUNTIF(TabVMEnv[VM],TabVMEnv[[#This Row],[VM]])</f>
        <v>2</v>
      </c>
    </row>
    <row r="124" spans="1:28" x14ac:dyDescent="0.25">
      <c r="A124" t="s">
        <v>146</v>
      </c>
      <c r="B124" t="s">
        <v>555</v>
      </c>
      <c r="D124">
        <v>2</v>
      </c>
      <c r="E124" s="13" t="s">
        <v>546</v>
      </c>
      <c r="F124">
        <f>IF(VLOOKUP(TabVMEnv[[#This Row],[VM]],TabOceanet[],16,FALSE) = "Tarif_VM",IF(VLOOKUP(TabVMEnv[[#This Row],[VM]],TabOceanet[],2,FALSE)&lt;4,4,VLOOKUP(TabVMEnv[[#This Row],[VM]],TabOceanet[],2,FALSE)),0)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IF(VLOOKUP(TabVMEnv[[#This Row],[VM]],TabOceanet[],16,FALSE) = "Tarif_VM",1,0)/TabVMEnv[[#This Row],[Mutualisé]]</f>
        <v>1</v>
      </c>
      <c r="L124">
        <f>IF(VLOOKUP(TabVMEnv[[#This Row],[VM]],TabOceanet[],9,FALSE) = "PoweredOn",1,0)</f>
        <v>1</v>
      </c>
      <c r="M124">
        <f>TabVMEnv[[#This Row],[IsVMPoweredOn]]*VLOOKUP(TabVMEnv[[#This Row],[VM]],TabOceanet[],3,FALSE)/TabVMEnv[[#This Row],[Mutualisé]]</f>
        <v>2</v>
      </c>
      <c r="N124">
        <f>VLOOKUP(TabVMEnv[[#This Row],[VM]],TabOceanet[],4,FALSE)/TabVMEnv[[#This Row],[Mutualisé]]</f>
        <v>14</v>
      </c>
      <c r="O124">
        <f>IF(LEFT(VLOOKUP(TabVMEnv[[#This Row],[VM]],TabOceanet[],5,FALSE),3)="win",1,0)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VLOOKUP(TabVMEnv[[#This Row],[EnvProjet]],TabEnvProjet[],4,FALSE)</f>
        <v>SILICONE - 1530-2018 - 0 - 1 - Tache 1 – MarcoPolo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6.42</v>
      </c>
      <c r="U124" s="17">
        <f>IF(TabVMEnv[[#This Row],[CostCenter]]="CostCenterDI",0,TabVMEnv[[#This Row],[CoutGlobal]])</f>
        <v>6.42</v>
      </c>
      <c r="V124" s="17">
        <f>TabVMEnv[[#This Row],[CoutGlobalSansCostCenterDI]]/TabVMEnv[[#Totals],[CoutGlobalSansCostCenterDI]]*(GlobalARepartirSansMS+GlobalARepartirMSOnly+GlobalARepartirInfraReseau)</f>
        <v>13.385834863142808</v>
      </c>
      <c r="W124" s="17">
        <f>TabVMEnv[[#This Row],[CoutGlobalSansCostCenterDI]]+TabVMEnv[[#This Row],[CoutGlobalSupplementaire]]</f>
        <v>19.805834863142806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4" s="5" t="str">
        <f>VLOOKUP(TabVMEnv[[#This Row],[EnvProjet]],TabEnvProjet[],5,FALSE)</f>
        <v>Philippe De Guio</v>
      </c>
      <c r="Z124" s="5">
        <f>VLOOKUP(TabVMEnv[[#This Row],[EnvProjet]],TabEnvProjet[],6,FALSE)</f>
        <v>341531</v>
      </c>
      <c r="AA124" s="5" t="str">
        <f>VLOOKUP(TabVMEnv[[#This Row],[EnvProjet]],TabEnvProjet[],3,FALSE)</f>
        <v>DEV_BUILD</v>
      </c>
      <c r="AB124" s="5">
        <f>COUNTIF(TabVMEnv[VM],TabVMEnv[[#This Row],[VM]])</f>
        <v>1</v>
      </c>
    </row>
    <row r="125" spans="1:28" x14ac:dyDescent="0.25">
      <c r="A125" t="s">
        <v>91</v>
      </c>
      <c r="B125" t="s">
        <v>551</v>
      </c>
      <c r="D125">
        <v>2</v>
      </c>
      <c r="E125" s="13" t="s">
        <v>546</v>
      </c>
      <c r="F125">
        <f>IF(VLOOKUP(TabVMEnv[[#This Row],[VM]],TabOceanet[],16,FALSE) = "Tarif_VM",IF(VLOOKUP(TabVMEnv[[#This Row],[VM]],TabOceanet[],2,FALSE)&lt;4,4,VLOOKUP(TabVMEnv[[#This Row],[VM]],TabOceanet[],2,FALSE)),0)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IF(VLOOKUP(TabVMEnv[[#This Row],[VM]],TabOceanet[],16,FALSE) = "Tarif_VM",1,0)/TabVMEnv[[#This Row],[Mutualisé]]</f>
        <v>1</v>
      </c>
      <c r="L125">
        <f>IF(VLOOKUP(TabVMEnv[[#This Row],[VM]],TabOceanet[],9,FALSE) = "PoweredOn",1,0)</f>
        <v>1</v>
      </c>
      <c r="M125">
        <f>TabVMEnv[[#This Row],[IsVMPoweredOn]]*VLOOKUP(TabVMEnv[[#This Row],[VM]],TabOceanet[],3,FALSE)/TabVMEnv[[#This Row],[Mutualisé]]</f>
        <v>1</v>
      </c>
      <c r="N125">
        <f>VLOOKUP(TabVMEnv[[#This Row],[VM]],TabOceanet[],4,FALSE)/TabVMEnv[[#This Row],[Mutualisé]]</f>
        <v>4</v>
      </c>
      <c r="O125">
        <f>IF(LEFT(VLOOKUP(TabVMEnv[[#This Row],[VM]],TabOceanet[],5,FALSE),3)="win",1,0)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VLOOKUP(TabVMEnv[[#This Row],[EnvProjet]],TabEnvProjet[],4,FALSE)</f>
        <v>VIVESC-TAU/S240776A</v>
      </c>
      <c r="R125" s="5" t="str">
        <f>VLOOKUP(TabVMEnv[[#This Row],[SYGES]],TabContrat[],2,FALSE)</f>
        <v>CAT'HELIUM VIVESCO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2.52</v>
      </c>
      <c r="U125" s="17">
        <f>IF(TabVMEnv[[#This Row],[CostCenter]]="CostCenterDI",0,TabVMEnv[[#This Row],[CoutGlobal]])</f>
        <v>2.52</v>
      </c>
      <c r="V125" s="17">
        <f>TabVMEnv[[#This Row],[CoutGlobalSansCostCenterDI]]/TabVMEnv[[#Totals],[CoutGlobalSansCostCenterDI]]*(GlobalARepartirSansMS+GlobalARepartirMSOnly+GlobalARepartirInfraReseau)</f>
        <v>5.2542529369345603</v>
      </c>
      <c r="W125" s="17">
        <f>TabVMEnv[[#This Row],[CoutGlobalSansCostCenterDI]]+TabVMEnv[[#This Row],[CoutGlobalSupplementaire]]</f>
        <v>7.7742529369345608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5" s="5" t="str">
        <f>VLOOKUP(TabVMEnv[[#This Row],[EnvProjet]],TabEnvProjet[],5,FALSE)</f>
        <v>Pierre Maurupt</v>
      </c>
      <c r="Z125" s="5">
        <f>VLOOKUP(TabVMEnv[[#This Row],[EnvProjet]],TabEnvProjet[],6,FALSE)</f>
        <v>341530</v>
      </c>
      <c r="AA125" s="5" t="str">
        <f>VLOOKUP(TabVMEnv[[#This Row],[EnvProjet]],TabEnvProjet[],3,FALSE)</f>
        <v>QUAL</v>
      </c>
      <c r="AB125" s="5">
        <f>COUNTIF(TabVMEnv[VM],TabVMEnv[[#This Row],[VM]])</f>
        <v>1</v>
      </c>
    </row>
    <row r="126" spans="1:28" x14ac:dyDescent="0.25">
      <c r="A126" t="s">
        <v>208</v>
      </c>
      <c r="B126" t="s">
        <v>554</v>
      </c>
      <c r="D126">
        <v>2</v>
      </c>
      <c r="E126" s="13" t="s">
        <v>546</v>
      </c>
      <c r="F126">
        <f>IF(VLOOKUP(TabVMEnv[[#This Row],[VM]],TabOceanet[],16,FALSE) = "Tarif_VM",IF(VLOOKUP(TabVMEnv[[#This Row],[VM]],TabOceanet[],2,FALSE)&lt;4,4,VLOOKUP(TabVMEnv[[#This Row],[VM]],TabOceanet[],2,FALSE)),0)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IF(VLOOKUP(TabVMEnv[[#This Row],[VM]],TabOceanet[],16,FALSE) = "Tarif_VM",1,0)/TabVMEnv[[#This Row],[Mutualisé]]</f>
        <v>1</v>
      </c>
      <c r="L126">
        <f>IF(VLOOKUP(TabVMEnv[[#This Row],[VM]],TabOceanet[],9,FALSE) = "PoweredOn",1,0)</f>
        <v>0</v>
      </c>
      <c r="M126">
        <f>TabVMEnv[[#This Row],[IsVMPoweredOn]]*VLOOKUP(TabVMEnv[[#This Row],[VM]],TabOceanet[],3,FALSE)/TabVMEnv[[#This Row],[Mutualisé]]</f>
        <v>0</v>
      </c>
      <c r="N126">
        <f>VLOOKUP(TabVMEnv[[#This Row],[VM]],TabOceanet[],4,FALSE)/TabVMEnv[[#This Row],[Mutualisé]]</f>
        <v>4</v>
      </c>
      <c r="O126">
        <f>IF(LEFT(VLOOKUP(TabVMEnv[[#This Row],[VM]],TabOceanet[],5,FALSE),3)="win",1,0)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VLOOKUP(TabVMEnv[[#This Row],[EnvProjet]],TabEnvProjet[],4,FALSE)</f>
        <v>GFI Oceanet Infra Réseau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17">
        <f>VLOOKUP(TabVMEnv[[#This Row],[VM]],TabOceanet[],36,FALSE)/TabVMEnv[[#This Row],[Mutualisé]]</f>
        <v>0.92</v>
      </c>
      <c r="U126" s="17">
        <f>IF(TabVMEnv[[#This Row],[CostCenter]]="CostCenterDI",0,TabVMEnv[[#This Row],[CoutGlobal]])</f>
        <v>0</v>
      </c>
      <c r="V126" s="17">
        <f>TabVMEnv[[#This Row],[CoutGlobalSansCostCenterDI]]/TabVMEnv[[#Totals],[CoutGlobalSansCostCenterDI]]*(GlobalARepartirSansMS+GlobalARepartirMSOnly+GlobalARepartirInfraReseau)</f>
        <v>0</v>
      </c>
      <c r="W126" s="17">
        <f>TabVMEnv[[#This Row],[CoutGlobalSansCostCenterDI]]+TabVMEnv[[#This Row],[CoutGlobalSupplementaire]]</f>
        <v>0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6" s="5" t="str">
        <f>VLOOKUP(TabVMEnv[[#This Row],[EnvProjet]],TabEnvProjet[],5,FALSE)</f>
        <v>Jérôme JACOB</v>
      </c>
      <c r="Z126" s="5" t="str">
        <f>VLOOKUP(TabVMEnv[[#This Row],[EnvProjet]],TabEnvProjet[],6,FALSE)</f>
        <v>CostCenterDI</v>
      </c>
      <c r="AA126" s="5" t="str">
        <f>VLOOKUP(TabVMEnv[[#This Row],[EnvProjet]],TabEnvProjet[],3,FALSE)</f>
        <v>QUAL_RUN</v>
      </c>
      <c r="AB126" s="5">
        <f>COUNTIF(TabVMEnv[VM],TabVMEnv[[#This Row],[VM]])</f>
        <v>1</v>
      </c>
    </row>
    <row r="127" spans="1:28" x14ac:dyDescent="0.25">
      <c r="A127" t="s">
        <v>147</v>
      </c>
      <c r="B127" t="s">
        <v>555</v>
      </c>
      <c r="D127">
        <v>2</v>
      </c>
      <c r="E127" s="13" t="s">
        <v>546</v>
      </c>
      <c r="F127">
        <f>IF(VLOOKUP(TabVMEnv[[#This Row],[VM]],TabOceanet[],16,FALSE) = "Tarif_VM",IF(VLOOKUP(TabVMEnv[[#This Row],[VM]],TabOceanet[],2,FALSE)&lt;4,4,VLOOKUP(TabVMEnv[[#This Row],[VM]],TabOceanet[],2,FALSE)),0)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IF(VLOOKUP(TabVMEnv[[#This Row],[VM]],TabOceanet[],16,FALSE) = "Tarif_VM",1,0)/TabVMEnv[[#This Row],[Mutualisé]]</f>
        <v>1</v>
      </c>
      <c r="L127">
        <f>IF(VLOOKUP(TabVMEnv[[#This Row],[VM]],TabOceanet[],9,FALSE) = "PoweredOn",1,0)</f>
        <v>1</v>
      </c>
      <c r="M127">
        <f>TabVMEnv[[#This Row],[IsVMPoweredOn]]*VLOOKUP(TabVMEnv[[#This Row],[VM]],TabOceanet[],3,FALSE)/TabVMEnv[[#This Row],[Mutualisé]]</f>
        <v>2</v>
      </c>
      <c r="N127">
        <f>VLOOKUP(TabVMEnv[[#This Row],[VM]],TabOceanet[],4,FALSE)/TabVMEnv[[#This Row],[Mutualisé]]</f>
        <v>14</v>
      </c>
      <c r="O127">
        <f>IF(LEFT(VLOOKUP(TabVMEnv[[#This Row],[VM]],TabOceanet[],5,FALSE),3)="win",1,0)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VLOOKUP(TabVMEnv[[#This Row],[EnvProjet]],TabEnvProjet[],4,FALSE)</f>
        <v>SILICONE - 1530-2018 - 0 - 1 - Tache 1 – MarcoPolo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6.42</v>
      </c>
      <c r="U127" s="17">
        <f>IF(TabVMEnv[[#This Row],[CostCenter]]="CostCenterDI",0,TabVMEnv[[#This Row],[CoutGlobal]])</f>
        <v>6.42</v>
      </c>
      <c r="V127" s="17">
        <f>TabVMEnv[[#This Row],[CoutGlobalSansCostCenterDI]]/TabVMEnv[[#Totals],[CoutGlobalSansCostCenterDI]]*(GlobalARepartirSansMS+GlobalARepartirMSOnly+GlobalARepartirInfraReseau)</f>
        <v>13.385834863142808</v>
      </c>
      <c r="W127" s="17">
        <f>TabVMEnv[[#This Row],[CoutGlobalSansCostCenterDI]]+TabVMEnv[[#This Row],[CoutGlobalSupplementaire]]</f>
        <v>19.805834863142806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7" s="5" t="str">
        <f>VLOOKUP(TabVMEnv[[#This Row],[EnvProjet]],TabEnvProjet[],5,FALSE)</f>
        <v>Philippe De Guio</v>
      </c>
      <c r="Z127" s="5">
        <f>VLOOKUP(TabVMEnv[[#This Row],[EnvProjet]],TabEnvProjet[],6,FALSE)</f>
        <v>341531</v>
      </c>
      <c r="AA127" s="5" t="str">
        <f>VLOOKUP(TabVMEnv[[#This Row],[EnvProjet]],TabEnvProjet[],3,FALSE)</f>
        <v>DEV_BUILD</v>
      </c>
      <c r="AB127" s="5">
        <f>COUNTIF(TabVMEnv[VM],TabVMEnv[[#This Row],[VM]])</f>
        <v>1</v>
      </c>
    </row>
    <row r="128" spans="1:28" x14ac:dyDescent="0.25">
      <c r="A128" t="s">
        <v>92</v>
      </c>
      <c r="B128" t="s">
        <v>551</v>
      </c>
      <c r="D128">
        <v>2</v>
      </c>
      <c r="E128" s="13" t="s">
        <v>546</v>
      </c>
      <c r="F128">
        <f>IF(VLOOKUP(TabVMEnv[[#This Row],[VM]],TabOceanet[],16,FALSE) = "Tarif_VM",IF(VLOOKUP(TabVMEnv[[#This Row],[VM]],TabOceanet[],2,FALSE)&lt;4,4,VLOOKUP(TabVMEnv[[#This Row],[VM]],TabOceanet[],2,FALSE)),0)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IF(VLOOKUP(TabVMEnv[[#This Row],[VM]],TabOceanet[],16,FALSE) = "Tarif_VM",1,0)/TabVMEnv[[#This Row],[Mutualisé]]</f>
        <v>1</v>
      </c>
      <c r="L128">
        <f>IF(VLOOKUP(TabVMEnv[[#This Row],[VM]],TabOceanet[],9,FALSE) = "PoweredOn",1,0)</f>
        <v>1</v>
      </c>
      <c r="M128">
        <f>TabVMEnv[[#This Row],[IsVMPoweredOn]]*VLOOKUP(TabVMEnv[[#This Row],[VM]],TabOceanet[],3,FALSE)/TabVMEnv[[#This Row],[Mutualisé]]</f>
        <v>1</v>
      </c>
      <c r="N128">
        <f>VLOOKUP(TabVMEnv[[#This Row],[VM]],TabOceanet[],4,FALSE)/TabVMEnv[[#This Row],[Mutualisé]]</f>
        <v>8</v>
      </c>
      <c r="O128">
        <f>IF(LEFT(VLOOKUP(TabVMEnv[[#This Row],[VM]],TabOceanet[],5,FALSE),3)="win",1,0)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VLOOKUP(TabVMEnv[[#This Row],[EnvProjet]],TabEnvProjet[],4,FALSE)</f>
        <v>VIVESC-TAU/S240776A</v>
      </c>
      <c r="R128" s="5" t="str">
        <f>VLOOKUP(TabVMEnv[[#This Row],[SYGES]],TabContrat[],2,FALSE)</f>
        <v>CAT'HELIUM VIVESCO</v>
      </c>
      <c r="S128" s="5" t="str">
        <f>IF(VLOOKUP(TabVMEnv[[#This Row],[VM]],TabOceanet[],1,FALSE) = "","Disparue","")</f>
        <v/>
      </c>
      <c r="T128" s="25">
        <f>VLOOKUP(TabVMEnv[[#This Row],[VM]],TabOceanet[],36,FALSE)/TabVMEnv[[#This Row],[Mutualisé]]</f>
        <v>3.4400000000000004</v>
      </c>
      <c r="U128" s="25">
        <f>IF(TabVMEnv[[#This Row],[CostCenter]]="CostCenterDI",0,TabVMEnv[[#This Row],[CoutGlobal]])</f>
        <v>3.4400000000000004</v>
      </c>
      <c r="V128" s="25">
        <f>TabVMEnv[[#This Row],[CoutGlobalSansCostCenterDI]]/TabVMEnv[[#Totals],[CoutGlobalSansCostCenterDI]]*(GlobalARepartirSansMS+GlobalARepartirMSOnly+GlobalARepartirInfraReseau)</f>
        <v>7.1724722631170197</v>
      </c>
      <c r="W128" s="25">
        <f>TabVMEnv[[#This Row],[CoutGlobalSansCostCenterDI]]+TabVMEnv[[#This Row],[CoutGlobalSupplementaire]]</f>
        <v>10.61247226311702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8" s="5" t="str">
        <f>VLOOKUP(TabVMEnv[[#This Row],[EnvProjet]],TabEnvProjet[],5,FALSE)</f>
        <v>Pierre Maurupt</v>
      </c>
      <c r="Z128" s="5">
        <f>VLOOKUP(TabVMEnv[[#This Row],[EnvProjet]],TabEnvProjet[],6,FALSE)</f>
        <v>341530</v>
      </c>
      <c r="AA128" s="5" t="str">
        <f>VLOOKUP(TabVMEnv[[#This Row],[EnvProjet]],TabEnvProjet[],3,FALSE)</f>
        <v>QUAL</v>
      </c>
      <c r="AB128" s="5">
        <f>COUNTIF(TabVMEnv[VM],TabVMEnv[[#This Row],[VM]])</f>
        <v>1</v>
      </c>
    </row>
    <row r="129" spans="1:28" x14ac:dyDescent="0.25">
      <c r="A129" t="s">
        <v>148</v>
      </c>
      <c r="B129" t="s">
        <v>556</v>
      </c>
      <c r="D129">
        <v>2</v>
      </c>
      <c r="E129" s="13" t="s">
        <v>546</v>
      </c>
      <c r="F129">
        <f>IF(VLOOKUP(TabVMEnv[[#This Row],[VM]],TabOceanet[],16,FALSE) = "Tarif_VM",IF(VLOOKUP(TabVMEnv[[#This Row],[VM]],TabOceanet[],2,FALSE)&lt;4,4,VLOOKUP(TabVMEnv[[#This Row],[VM]],TabOceanet[],2,FALSE)),0)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IF(VLOOKUP(TabVMEnv[[#This Row],[VM]],TabOceanet[],16,FALSE) = "Tarif_VM",1,0)/TabVMEnv[[#This Row],[Mutualisé]]</f>
        <v>1</v>
      </c>
      <c r="L129">
        <f>IF(VLOOKUP(TabVMEnv[[#This Row],[VM]],TabOceanet[],9,FALSE) = "PoweredOn",1,0)</f>
        <v>1</v>
      </c>
      <c r="M129">
        <f>TabVMEnv[[#This Row],[IsVMPoweredOn]]*VLOOKUP(TabVMEnv[[#This Row],[VM]],TabOceanet[],3,FALSE)/TabVMEnv[[#This Row],[Mutualisé]]</f>
        <v>2</v>
      </c>
      <c r="N129">
        <f>VLOOKUP(TabVMEnv[[#This Row],[VM]],TabOceanet[],4,FALSE)/TabVMEnv[[#This Row],[Mutualisé]]</f>
        <v>9</v>
      </c>
      <c r="O129">
        <f>IF(LEFT(VLOOKUP(TabVMEnv[[#This Row],[VM]],TabOceanet[],5,FALSE),3)="win",1,0)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VLOOKUP(TabVMEnv[[#This Row],[EnvProjet]],TabEnvProjet[],4,FALSE)</f>
        <v>SILICONE - 1530-2018 - 0 - 1 - Tache 1 – MarcoPolo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25">
        <f>VLOOKUP(TabVMEnv[[#This Row],[VM]],TabOceanet[],36,FALSE)/TabVMEnv[[#This Row],[Mutualisé]]</f>
        <v>5.2700000000000005</v>
      </c>
      <c r="U129" s="25">
        <f>IF(TabVMEnv[[#This Row],[CostCenter]]="CostCenterDI",0,TabVMEnv[[#This Row],[CoutGlobal]])</f>
        <v>5.2700000000000005</v>
      </c>
      <c r="V129" s="25">
        <f>TabVMEnv[[#This Row],[CoutGlobalSansCostCenterDI]]/TabVMEnv[[#Totals],[CoutGlobalSansCostCenterDI]]*(GlobalARepartirSansMS+GlobalARepartirMSOnly+GlobalARepartirInfraReseau)</f>
        <v>10.988060705414735</v>
      </c>
      <c r="W129" s="25">
        <f>TabVMEnv[[#This Row],[CoutGlobalSansCostCenterDI]]+TabVMEnv[[#This Row],[CoutGlobalSupplementaire]]</f>
        <v>16.258060705414735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9" s="5" t="str">
        <f>VLOOKUP(TabVMEnv[[#This Row],[EnvProjet]],TabEnvProjet[],5,FALSE)</f>
        <v>Philippe De Guio</v>
      </c>
      <c r="Z129" s="5">
        <f>VLOOKUP(TabVMEnv[[#This Row],[EnvProjet]],TabEnvProjet[],6,FALSE)</f>
        <v>341531</v>
      </c>
      <c r="AA129" s="5" t="str">
        <f>VLOOKUP(TabVMEnv[[#This Row],[EnvProjet]],TabEnvProjet[],3,FALSE)</f>
        <v>PROD</v>
      </c>
      <c r="AB129" s="5">
        <f>COUNTIF(TabVMEnv[VM],TabVMEnv[[#This Row],[VM]])</f>
        <v>1</v>
      </c>
    </row>
    <row r="130" spans="1:28" x14ac:dyDescent="0.25">
      <c r="A130" t="s">
        <v>234</v>
      </c>
      <c r="B130" t="s">
        <v>557</v>
      </c>
      <c r="D130">
        <v>2</v>
      </c>
      <c r="E130" s="13" t="s">
        <v>546</v>
      </c>
      <c r="F130">
        <f>IF(VLOOKUP(TabVMEnv[[#This Row],[VM]],TabOceanet[],16,FALSE) = "Tarif_VM",IF(VLOOKUP(TabVMEnv[[#This Row],[VM]],TabOceanet[],2,FALSE)&lt;4,4,VLOOKUP(TabVMEnv[[#This Row],[VM]],TabOceanet[],2,FALSE)),0)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IF(VLOOKUP(TabVMEnv[[#This Row],[VM]],TabOceanet[],16,FALSE) = "Tarif_VM",1,0)/TabVMEnv[[#This Row],[Mutualisé]]</f>
        <v>1</v>
      </c>
      <c r="L130">
        <f>IF(VLOOKUP(TabVMEnv[[#This Row],[VM]],TabOceanet[],9,FALSE) = "PoweredOn",1,0)</f>
        <v>1</v>
      </c>
      <c r="M130">
        <f>TabVMEnv[[#This Row],[IsVMPoweredOn]]*VLOOKUP(TabVMEnv[[#This Row],[VM]],TabOceanet[],3,FALSE)/TabVMEnv[[#This Row],[Mutualisé]]</f>
        <v>2</v>
      </c>
      <c r="N130">
        <f>VLOOKUP(TabVMEnv[[#This Row],[VM]],TabOceanet[],4,FALSE)/TabVMEnv[[#This Row],[Mutualisé]]</f>
        <v>6</v>
      </c>
      <c r="O130">
        <f>IF(LEFT(VLOOKUP(TabVMEnv[[#This Row],[VM]],TabOceanet[],5,FALSE),3)="win",1,0)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VLOOKUP(TabVMEnv[[#This Row],[EnvProjet]],TabEnvProjet[],4,FALSE)</f>
        <v>LAPOST-SIB - 382233 - 0 - 1 - Refonte du portail SIBP</v>
      </c>
      <c r="R130" s="5" t="str">
        <f>VLOOKUP(TabVMEnv[[#This Row],[SYGES]],TabContrat[],2,FALSE)</f>
        <v>LA POSTE</v>
      </c>
      <c r="S130" s="5" t="str">
        <f>IF(VLOOKUP(TabVMEnv[[#This Row],[VM]],TabOceanet[],1,FALSE) = "","Disparue","")</f>
        <v/>
      </c>
      <c r="T130" s="17">
        <f>VLOOKUP(TabVMEnv[[#This Row],[VM]],TabOceanet[],36,FALSE)/TabVMEnv[[#This Row],[Mutualisé]]</f>
        <v>4.58</v>
      </c>
      <c r="U130" s="17">
        <f>IF(TabVMEnv[[#This Row],[CostCenter]]="CostCenterDI",0,TabVMEnv[[#This Row],[CoutGlobal]])</f>
        <v>4.58</v>
      </c>
      <c r="V130" s="17">
        <f>TabVMEnv[[#This Row],[CoutGlobalSansCostCenterDI]]/TabVMEnv[[#Totals],[CoutGlobalSansCostCenterDI]]*(GlobalARepartirSansMS+GlobalARepartirMSOnly+GlobalARepartirInfraReseau)</f>
        <v>9.5493962107778909</v>
      </c>
      <c r="W130" s="17">
        <f>TabVMEnv[[#This Row],[CoutGlobalSansCostCenterDI]]+TabVMEnv[[#This Row],[CoutGlobalSupplementaire]]</f>
        <v>14.129396210777891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30" s="5" t="str">
        <f>VLOOKUP(TabVMEnv[[#This Row],[EnvProjet]],TabEnvProjet[],5,FALSE)</f>
        <v>Nicolas Legros</v>
      </c>
      <c r="Z130" s="5">
        <f>VLOOKUP(TabVMEnv[[#This Row],[EnvProjet]],TabEnvProjet[],6,FALSE)</f>
        <v>341530</v>
      </c>
      <c r="AA130" s="5" t="str">
        <f>VLOOKUP(TabVMEnv[[#This Row],[EnvProjet]],TabEnvProjet[],3,FALSE)</f>
        <v>QUAL_RUN</v>
      </c>
      <c r="AB130" s="5">
        <f>COUNTIF(TabVMEnv[VM],TabVMEnv[[#This Row],[VM]])</f>
        <v>1</v>
      </c>
    </row>
    <row r="131" spans="1:28" x14ac:dyDescent="0.25">
      <c r="A131" t="s">
        <v>149</v>
      </c>
      <c r="B131" t="s">
        <v>558</v>
      </c>
      <c r="D131">
        <v>2</v>
      </c>
      <c r="E131" s="13" t="s">
        <v>546</v>
      </c>
      <c r="F131">
        <f>IF(VLOOKUP(TabVMEnv[[#This Row],[VM]],TabOceanet[],16,FALSE) = "Tarif_VM",IF(VLOOKUP(TabVMEnv[[#This Row],[VM]],TabOceanet[],2,FALSE)&lt;4,4,VLOOKUP(TabVMEnv[[#This Row],[VM]],TabOceanet[],2,FALSE)),0)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IF(VLOOKUP(TabVMEnv[[#This Row],[VM]],TabOceanet[],16,FALSE) = "Tarif_VM",1,0)/TabVMEnv[[#This Row],[Mutualisé]]</f>
        <v>1</v>
      </c>
      <c r="L131">
        <f>IF(VLOOKUP(TabVMEnv[[#This Row],[VM]],TabOceanet[],9,FALSE) = "PoweredOn",1,0)</f>
        <v>1</v>
      </c>
      <c r="M131">
        <f>TabVMEnv[[#This Row],[IsVMPoweredOn]]*VLOOKUP(TabVMEnv[[#This Row],[VM]],TabOceanet[],3,FALSE)/TabVMEnv[[#This Row],[Mutualisé]]</f>
        <v>2</v>
      </c>
      <c r="N131">
        <f>VLOOKUP(TabVMEnv[[#This Row],[VM]],TabOceanet[],4,FALSE)/TabVMEnv[[#This Row],[Mutualisé]]</f>
        <v>26</v>
      </c>
      <c r="O131">
        <f>IF(LEFT(VLOOKUP(TabVMEnv[[#This Row],[VM]],TabOceanet[],5,FALSE),3)="win",1,0)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VLOOKUP(TabVMEnv[[#This Row],[EnvProjet]],TabEnvProjet[],4,FALSE)</f>
        <v>SILICONE - 1530-2018 - 0 - 2 - Tache 2 – ORS</v>
      </c>
      <c r="R131" s="5" t="str">
        <f>VLOOKUP(TabVMEnv[[#This Row],[SYGES]],TabContrat[],2,FALSE)</f>
        <v>GFI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9.18</v>
      </c>
      <c r="U131" s="17">
        <f>IF(TabVMEnv[[#This Row],[CostCenter]]="CostCenterDI",0,TabVMEnv[[#This Row],[CoutGlobal]])</f>
        <v>9.18</v>
      </c>
      <c r="V131" s="17">
        <f>TabVMEnv[[#This Row],[CoutGlobalSansCostCenterDI]]/TabVMEnv[[#Totals],[CoutGlobalSansCostCenterDI]]*(GlobalARepartirSansMS+GlobalARepartirMSOnly+GlobalARepartirInfraReseau)</f>
        <v>19.140492841690179</v>
      </c>
      <c r="W131" s="17">
        <f>TabVMEnv[[#This Row],[CoutGlobalSansCostCenterDI]]+TabVMEnv[[#This Row],[CoutGlobalSupplementaire]]</f>
        <v>28.320492841690179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31" s="5" t="str">
        <f>VLOOKUP(TabVMEnv[[#This Row],[EnvProjet]],TabEnvProjet[],5,FALSE)</f>
        <v>Vincent MERIAU</v>
      </c>
      <c r="Z131" s="5">
        <f>VLOOKUP(TabVMEnv[[#This Row],[EnvProjet]],TabEnvProjet[],6,FALSE)</f>
        <v>341531</v>
      </c>
      <c r="AA131" s="5" t="str">
        <f>VLOOKUP(TabVMEnv[[#This Row],[EnvProjet]],TabEnvProjet[],3,FALSE)</f>
        <v>QUAL</v>
      </c>
      <c r="AB131" s="5">
        <f>COUNTIF(TabVMEnv[VM],TabVMEnv[[#This Row],[VM]])</f>
        <v>1</v>
      </c>
    </row>
    <row r="132" spans="1:28" x14ac:dyDescent="0.25">
      <c r="A132" t="s">
        <v>180</v>
      </c>
      <c r="B132" t="s">
        <v>484</v>
      </c>
      <c r="E132" s="13"/>
      <c r="F132">
        <f>IF(VLOOKUP(TabVMEnv[[#This Row],[VM]],TabOceanet[],16,FALSE) = "Tarif_VM",IF(VLOOKUP(TabVMEnv[[#This Row],[VM]],TabOceanet[],2,FALSE)&lt;4,4,VLOOKUP(TabVMEnv[[#This Row],[VM]],TabOceanet[],2,FALSE)),0)</f>
        <v>0</v>
      </c>
      <c r="G132">
        <v>0</v>
      </c>
      <c r="H132">
        <v>0</v>
      </c>
      <c r="I132">
        <v>0</v>
      </c>
      <c r="J132">
        <v>0</v>
      </c>
      <c r="K132">
        <f>IF(VLOOKUP(TabVMEnv[[#This Row],[VM]],TabOceanet[],16,FALSE) = "Tarif_VM",1,0)/TabVMEnv[[#This Row],[Mutualisé]]</f>
        <v>0</v>
      </c>
      <c r="L132">
        <f>IF(VLOOKUP(TabVMEnv[[#This Row],[VM]],TabOceanet[],9,FALSE) = "PoweredOn",1,0)</f>
        <v>0</v>
      </c>
      <c r="M132">
        <f>TabVMEnv[[#This Row],[IsVMPoweredOn]]*VLOOKUP(TabVMEnv[[#This Row],[VM]],TabOceanet[],3,FALSE)/TabVMEnv[[#This Row],[Mutualisé]]</f>
        <v>0</v>
      </c>
      <c r="N132">
        <f>VLOOKUP(TabVMEnv[[#This Row],[VM]],TabOceanet[],4,FALSE)/TabVMEnv[[#This Row],[Mutualisé]]</f>
        <v>0</v>
      </c>
      <c r="O132">
        <f>IF(LEFT(VLOOKUP(TabVMEnv[[#This Row],[VM]],TabOceanet[],5,FALSE),3)="win",1,0)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VLOOKUP(TabVMEnv[[#This Row],[EnvProjet]],TabEnvProjet[],4,FALSE)</f>
        <v>GFI Oceanet Infra Réseau</v>
      </c>
      <c r="R132" s="5" t="str">
        <f>VLOOKUP(TabVMEnv[[#This Row],[SYGES]],TabContrat[],2,FALSE)</f>
        <v>GFI</v>
      </c>
      <c r="S132" s="5" t="str">
        <f>IF(VLOOKUP(TabVMEnv[[#This Row],[VM]],TabOceanet[],1,FALSE) = "","Disparue","")</f>
        <v/>
      </c>
      <c r="T132" s="25">
        <f>VLOOKUP(TabVMEnv[[#This Row],[VM]],TabOceanet[],36,FALSE)/TabVMEnv[[#This Row],[Mutualisé]]</f>
        <v>2</v>
      </c>
      <c r="U132" s="25">
        <f>IF(TabVMEnv[[#This Row],[CostCenter]]="CostCenterDI",0,TabVMEnv[[#This Row],[CoutGlobal]])</f>
        <v>0</v>
      </c>
      <c r="V132" s="25">
        <f>TabVMEnv[[#This Row],[CoutGlobalSansCostCenterDI]]/TabVMEnv[[#Totals],[CoutGlobalSansCostCenterDI]]*(GlobalARepartirSansMS+GlobalARepartirMSOnly+GlobalARepartirInfraReseau)</f>
        <v>0</v>
      </c>
      <c r="W132" s="25">
        <f>TabVMEnv[[#This Row],[CoutGlobalSansCostCenterDI]]+TabVMEnv[[#This Row],[CoutGlobalSupplementaire]]</f>
        <v>0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2" s="5" t="str">
        <f>VLOOKUP(TabVMEnv[[#This Row],[EnvProjet]],TabEnvProjet[],5,FALSE)</f>
        <v>Jérôme JACOB</v>
      </c>
      <c r="Z132" s="5" t="str">
        <f>VLOOKUP(TabVMEnv[[#This Row],[EnvProjet]],TabEnvProjet[],6,FALSE)</f>
        <v>CostCenterDI</v>
      </c>
      <c r="AA132" s="5" t="str">
        <f>VLOOKUP(TabVMEnv[[#This Row],[EnvProjet]],TabEnvProjet[],3,FALSE)</f>
        <v>SOCLE</v>
      </c>
      <c r="AB132" s="5">
        <f>COUNTIF(TabVMEnv[VM],TabVMEnv[[#This Row],[VM]])</f>
        <v>1</v>
      </c>
    </row>
    <row r="133" spans="1:28" x14ac:dyDescent="0.25">
      <c r="A133" t="s">
        <v>293</v>
      </c>
      <c r="B133" t="s">
        <v>481</v>
      </c>
      <c r="E133" s="13"/>
      <c r="F133">
        <f>IF(VLOOKUP(TabVMEnv[[#This Row],[VM]],TabOceanet[],16,FALSE) = "Tarif_VM",IF(VLOOKUP(TabVMEnv[[#This Row],[VM]],TabOceanet[],2,FALSE)&lt;4,4,VLOOKUP(TabVMEnv[[#This Row],[VM]],TabOceanet[],2,FALSE)),0)</f>
        <v>0</v>
      </c>
      <c r="G133">
        <v>0</v>
      </c>
      <c r="H133">
        <v>0</v>
      </c>
      <c r="I133">
        <v>0</v>
      </c>
      <c r="J133">
        <v>0</v>
      </c>
      <c r="K133">
        <f>IF(VLOOKUP(TabVMEnv[[#This Row],[VM]],TabOceanet[],16,FALSE) = "Tarif_VM",1,0)/TabVMEnv[[#This Row],[Mutualisé]]</f>
        <v>0</v>
      </c>
      <c r="L133">
        <f>IF(VLOOKUP(TabVMEnv[[#This Row],[VM]],TabOceanet[],9,FALSE) = "PoweredOn",1,0)</f>
        <v>0</v>
      </c>
      <c r="M133">
        <f>TabVMEnv[[#This Row],[IsVMPoweredOn]]*VLOOKUP(TabVMEnv[[#This Row],[VM]],TabOceanet[],3,FALSE)/TabVMEnv[[#This Row],[Mutualisé]]</f>
        <v>0</v>
      </c>
      <c r="N133">
        <f>VLOOKUP(TabVMEnv[[#This Row],[VM]],TabOceanet[],4,FALSE)/TabVMEnv[[#This Row],[Mutualisé]]</f>
        <v>0</v>
      </c>
      <c r="O133">
        <f>IF(LEFT(VLOOKUP(TabVMEnv[[#This Row],[VM]],TabOceanet[],5,FALSE),3)="win",1,0)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VLOOKUP(TabVMEnv[[#This Row],[EnvProjet]],TabEnvProjet[],4,FALSE)</f>
        <v>Fablab-Firmin</v>
      </c>
      <c r="R133" s="5" t="str">
        <f>VLOOKUP(TabVMEnv[[#This Row],[SYGES]],TabContrat[],2,FALSE)</f>
        <v>Fablab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2</v>
      </c>
      <c r="U133" s="25">
        <f>IF(TabVMEnv[[#This Row],[CostCenter]]="CostCenterDI",0,TabVMEnv[[#This Row],[CoutGlobal]])</f>
        <v>2</v>
      </c>
      <c r="V133" s="25">
        <f>TabVMEnv[[#This Row],[CoutGlobalSansCostCenterDI]]/TabVMEnv[[#Totals],[CoutGlobalSansCostCenterDI]]*(GlobalARepartirSansMS+GlobalARepartirMSOnly+GlobalARepartirInfraReseau)</f>
        <v>4.1700420134401268</v>
      </c>
      <c r="W133" s="25">
        <f>TabVMEnv[[#This Row],[CoutGlobalSansCostCenterDI]]+TabVMEnv[[#This Row],[CoutGlobalSupplementaire]]</f>
        <v>6.1700420134401268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3" s="5" t="str">
        <f>VLOOKUP(TabVMEnv[[#This Row],[EnvProjet]],TabEnvProjet[],5,FALSE)</f>
        <v>Pierre-Yves Baloche</v>
      </c>
      <c r="Z133" s="5" t="str">
        <f>VLOOKUP(TabVMEnv[[#This Row],[EnvProjet]],TabEnvProjet[],6,FALSE)</f>
        <v>Fablab</v>
      </c>
      <c r="AA133" s="5" t="str">
        <f>VLOOKUP(TabVMEnv[[#This Row],[EnvProjet]],TabEnvProjet[],3,FALSE)</f>
        <v>PROD</v>
      </c>
      <c r="AB133" s="5">
        <f>COUNTIF(TabVMEnv[VM],TabVMEnv[[#This Row],[VM]])</f>
        <v>1</v>
      </c>
    </row>
    <row r="134" spans="1:28" x14ac:dyDescent="0.25">
      <c r="A134" t="s">
        <v>179</v>
      </c>
      <c r="B134" t="s">
        <v>484</v>
      </c>
      <c r="E134" s="13"/>
      <c r="F134">
        <f>IF(VLOOKUP(TabVMEnv[[#This Row],[VM]],TabOceanet[],16,FALSE) = "Tarif_VM",IF(VLOOKUP(TabVMEnv[[#This Row],[VM]],TabOceanet[],2,FALSE)&lt;4,4,VLOOKUP(TabVMEnv[[#This Row],[VM]],TabOceanet[],2,FALSE)),0)</f>
        <v>0</v>
      </c>
      <c r="G134">
        <v>0</v>
      </c>
      <c r="H134">
        <v>0</v>
      </c>
      <c r="I134">
        <v>0</v>
      </c>
      <c r="J134">
        <v>0</v>
      </c>
      <c r="K134">
        <f>IF(VLOOKUP(TabVMEnv[[#This Row],[VM]],TabOceanet[],16,FALSE) = "Tarif_VM",1,0)/TabVMEnv[[#This Row],[Mutualisé]]</f>
        <v>0</v>
      </c>
      <c r="L134">
        <f>IF(VLOOKUP(TabVMEnv[[#This Row],[VM]],TabOceanet[],9,FALSE) = "PoweredOn",1,0)</f>
        <v>0</v>
      </c>
      <c r="M134">
        <f>TabVMEnv[[#This Row],[IsVMPoweredOn]]*VLOOKUP(TabVMEnv[[#This Row],[VM]],TabOceanet[],3,FALSE)/TabVMEnv[[#This Row],[Mutualisé]]</f>
        <v>0</v>
      </c>
      <c r="N134">
        <f>VLOOKUP(TabVMEnv[[#This Row],[VM]],TabOceanet[],4,FALSE)/TabVMEnv[[#This Row],[Mutualisé]]</f>
        <v>0</v>
      </c>
      <c r="O134">
        <f>IF(LEFT(VLOOKUP(TabVMEnv[[#This Row],[VM]],TabOceanet[],5,FALSE),3)="win",1,0)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VLOOKUP(TabVMEnv[[#This Row],[EnvProjet]],TabEnvProjet[],4,FALSE)</f>
        <v>GFI Oceanet Infra Réseau</v>
      </c>
      <c r="R134" s="5" t="str">
        <f>VLOOKUP(TabVMEnv[[#This Row],[SYGES]],TabContrat[],2,FALSE)</f>
        <v>GFI</v>
      </c>
      <c r="S134" s="5" t="str">
        <f>IF(VLOOKUP(TabVMEnv[[#This Row],[VM]],TabOceanet[],1,FALSE) = "","Disparue","")</f>
        <v/>
      </c>
      <c r="T134" s="25">
        <f>VLOOKUP(TabVMEnv[[#This Row],[VM]],TabOceanet[],36,FALSE)/TabVMEnv[[#This Row],[Mutualisé]]</f>
        <v>2</v>
      </c>
      <c r="U134" s="25">
        <f>IF(TabVMEnv[[#This Row],[CostCenter]]="CostCenterDI",0,TabVMEnv[[#This Row],[CoutGlobal]])</f>
        <v>0</v>
      </c>
      <c r="V134" s="25">
        <f>TabVMEnv[[#This Row],[CoutGlobalSansCostCenterDI]]/TabVMEnv[[#Totals],[CoutGlobalSansCostCenterDI]]*(GlobalARepartirSansMS+GlobalARepartirMSOnly+GlobalARepartirInfraReseau)</f>
        <v>0</v>
      </c>
      <c r="W134" s="25">
        <f>TabVMEnv[[#This Row],[CoutGlobalSansCostCenterDI]]+TabVMEnv[[#This Row],[CoutGlobalSupplementaire]]</f>
        <v>0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4" s="5" t="str">
        <f>VLOOKUP(TabVMEnv[[#This Row],[EnvProjet]],TabEnvProjet[],5,FALSE)</f>
        <v>Jérôme JACOB</v>
      </c>
      <c r="Z134" s="5" t="str">
        <f>VLOOKUP(TabVMEnv[[#This Row],[EnvProjet]],TabEnvProjet[],6,FALSE)</f>
        <v>CostCenterDI</v>
      </c>
      <c r="AA134" s="5" t="str">
        <f>VLOOKUP(TabVMEnv[[#This Row],[EnvProjet]],TabEnvProjet[],3,FALSE)</f>
        <v>SOCLE</v>
      </c>
      <c r="AB134" s="5">
        <f>COUNTIF(TabVMEnv[VM],TabVMEnv[[#This Row],[VM]])</f>
        <v>1</v>
      </c>
    </row>
    <row r="135" spans="1:28" x14ac:dyDescent="0.25">
      <c r="A135" t="s">
        <v>292</v>
      </c>
      <c r="B135" t="s">
        <v>481</v>
      </c>
      <c r="E135" s="13"/>
      <c r="F135">
        <f>IF(VLOOKUP(TabVMEnv[[#This Row],[VM]],TabOceanet[],16,FALSE) = "Tarif_VM",IF(VLOOKUP(TabVMEnv[[#This Row],[VM]],TabOceanet[],2,FALSE)&lt;4,4,VLOOKUP(TabVMEnv[[#This Row],[VM]],TabOceanet[],2,FALSE)),0)</f>
        <v>0</v>
      </c>
      <c r="G135">
        <v>0</v>
      </c>
      <c r="H135">
        <v>0</v>
      </c>
      <c r="I135">
        <v>0</v>
      </c>
      <c r="J135">
        <v>0</v>
      </c>
      <c r="K135">
        <f>IF(VLOOKUP(TabVMEnv[[#This Row],[VM]],TabOceanet[],16,FALSE) = "Tarif_VM",1,0)/TabVMEnv[[#This Row],[Mutualisé]]</f>
        <v>0</v>
      </c>
      <c r="L135">
        <f>IF(VLOOKUP(TabVMEnv[[#This Row],[VM]],TabOceanet[],9,FALSE) = "PoweredOn",1,0)</f>
        <v>0</v>
      </c>
      <c r="M135">
        <f>TabVMEnv[[#This Row],[IsVMPoweredOn]]*VLOOKUP(TabVMEnv[[#This Row],[VM]],TabOceanet[],3,FALSE)/TabVMEnv[[#This Row],[Mutualisé]]</f>
        <v>0</v>
      </c>
      <c r="N135">
        <f>VLOOKUP(TabVMEnv[[#This Row],[VM]],TabOceanet[],4,FALSE)/TabVMEnv[[#This Row],[Mutualisé]]</f>
        <v>0</v>
      </c>
      <c r="O135">
        <f>IF(LEFT(VLOOKUP(TabVMEnv[[#This Row],[VM]],TabOceanet[],5,FALSE),3)="win",1,0)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VLOOKUP(TabVMEnv[[#This Row],[EnvProjet]],TabEnvProjet[],4,FALSE)</f>
        <v>Fablab-Firmin</v>
      </c>
      <c r="R135" s="5" t="str">
        <f>VLOOKUP(TabVMEnv[[#This Row],[SYGES]],TabContrat[],2,FALSE)</f>
        <v>Fablab</v>
      </c>
      <c r="S135" s="5" t="str">
        <f>IF(VLOOKUP(TabVMEnv[[#This Row],[VM]],TabOceanet[],1,FALSE) = "","Disparue","")</f>
        <v/>
      </c>
      <c r="T135" s="25">
        <f>VLOOKUP(TabVMEnv[[#This Row],[VM]],TabOceanet[],36,FALSE)/TabVMEnv[[#This Row],[Mutualisé]]</f>
        <v>2</v>
      </c>
      <c r="U135" s="25">
        <f>IF(TabVMEnv[[#This Row],[CostCenter]]="CostCenterDI",0,TabVMEnv[[#This Row],[CoutGlobal]])</f>
        <v>2</v>
      </c>
      <c r="V135" s="25">
        <f>TabVMEnv[[#This Row],[CoutGlobalSansCostCenterDI]]/TabVMEnv[[#Totals],[CoutGlobalSansCostCenterDI]]*(GlobalARepartirSansMS+GlobalARepartirMSOnly+GlobalARepartirInfraReseau)</f>
        <v>4.1700420134401268</v>
      </c>
      <c r="W135" s="25">
        <f>TabVMEnv[[#This Row],[CoutGlobalSansCostCenterDI]]+TabVMEnv[[#This Row],[CoutGlobalSupplementaire]]</f>
        <v>6.1700420134401268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5" s="5" t="str">
        <f>VLOOKUP(TabVMEnv[[#This Row],[EnvProjet]],TabEnvProjet[],5,FALSE)</f>
        <v>Pierre-Yves Baloche</v>
      </c>
      <c r="Z135" s="5" t="str">
        <f>VLOOKUP(TabVMEnv[[#This Row],[EnvProjet]],TabEnvProjet[],6,FALSE)</f>
        <v>Fablab</v>
      </c>
      <c r="AA135" s="5" t="str">
        <f>VLOOKUP(TabVMEnv[[#This Row],[EnvProjet]],TabEnvProjet[],3,FALSE)</f>
        <v>PROD</v>
      </c>
      <c r="AB135" s="5">
        <f>COUNTIF(TabVMEnv[VM],TabVMEnv[[#This Row],[VM]])</f>
        <v>1</v>
      </c>
    </row>
    <row r="136" spans="1:28" x14ac:dyDescent="0.25">
      <c r="A136" t="s">
        <v>324</v>
      </c>
      <c r="B136" t="s">
        <v>482</v>
      </c>
      <c r="E136" s="13"/>
      <c r="F136">
        <f>IF(VLOOKUP(TabVMEnv[[#This Row],[VM]],TabOceanet[],16,FALSE) = "Tarif_VM",IF(VLOOKUP(TabVMEnv[[#This Row],[VM]],TabOceanet[],2,FALSE)&lt;4,4,VLOOKUP(TabVMEnv[[#This Row],[VM]],TabOceanet[],2,FALSE)),0)</f>
        <v>0</v>
      </c>
      <c r="G136">
        <v>0</v>
      </c>
      <c r="H136">
        <v>0</v>
      </c>
      <c r="I136">
        <v>0</v>
      </c>
      <c r="J136">
        <v>0</v>
      </c>
      <c r="K136">
        <f>IF(VLOOKUP(TabVMEnv[[#This Row],[VM]],TabOceanet[],16,FALSE) = "Tarif_VM",1,0)/TabVMEnv[[#This Row],[Mutualisé]]</f>
        <v>0</v>
      </c>
      <c r="L136">
        <f>IF(VLOOKUP(TabVMEnv[[#This Row],[VM]],TabOceanet[],9,FALSE) = "PoweredOn",1,0)</f>
        <v>0</v>
      </c>
      <c r="M136">
        <f>TabVMEnv[[#This Row],[IsVMPoweredOn]]*VLOOKUP(TabVMEnv[[#This Row],[VM]],TabOceanet[],3,FALSE)/TabVMEnv[[#This Row],[Mutualisé]]</f>
        <v>0</v>
      </c>
      <c r="N136">
        <f>VLOOKUP(TabVMEnv[[#This Row],[VM]],TabOceanet[],4,FALSE)/TabVMEnv[[#This Row],[Mutualisé]]</f>
        <v>0</v>
      </c>
      <c r="O136">
        <f>IF(LEFT(VLOOKUP(TabVMEnv[[#This Row],[VM]],TabOceanet[],5,FALSE),3)="win",1,0)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VLOOKUP(TabVMEnv[[#This Row],[EnvProjet]],TabEnvProjet[],4,FALSE)</f>
        <v>Fablab-Firmin</v>
      </c>
      <c r="R136" s="5" t="str">
        <f>VLOOKUP(TabVMEnv[[#This Row],[SYGES]],TabContrat[],2,FALSE)</f>
        <v>Fablab</v>
      </c>
      <c r="S136" s="5" t="str">
        <f>IF(VLOOKUP(TabVMEnv[[#This Row],[VM]],TabOceanet[],1,FALSE) = "","Disparue","")</f>
        <v/>
      </c>
      <c r="T136" s="25">
        <f>VLOOKUP(TabVMEnv[[#This Row],[VM]],TabOceanet[],36,FALSE)/TabVMEnv[[#This Row],[Mutualisé]]</f>
        <v>2</v>
      </c>
      <c r="U136" s="25">
        <f>IF(TabVMEnv[[#This Row],[CostCenter]]="CostCenterDI",0,TabVMEnv[[#This Row],[CoutGlobal]])</f>
        <v>2</v>
      </c>
      <c r="V136" s="25">
        <f>TabVMEnv[[#This Row],[CoutGlobalSansCostCenterDI]]/TabVMEnv[[#Totals],[CoutGlobalSansCostCenterDI]]*(GlobalARepartirSansMS+GlobalARepartirMSOnly+GlobalARepartirInfraReseau)</f>
        <v>4.1700420134401268</v>
      </c>
      <c r="W136" s="25">
        <f>TabVMEnv[[#This Row],[CoutGlobalSansCostCenterDI]]+TabVMEnv[[#This Row],[CoutGlobalSupplementaire]]</f>
        <v>6.1700420134401268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6" s="5" t="str">
        <f>VLOOKUP(TabVMEnv[[#This Row],[EnvProjet]],TabEnvProjet[],5,FALSE)</f>
        <v>Pierre-Yves Baloche</v>
      </c>
      <c r="Z136" s="5" t="str">
        <f>VLOOKUP(TabVMEnv[[#This Row],[EnvProjet]],TabEnvProjet[],6,FALSE)</f>
        <v>Fablab</v>
      </c>
      <c r="AA136" s="5" t="str">
        <f>VLOOKUP(TabVMEnv[[#This Row],[EnvProjet]],TabEnvProjet[],3,FALSE)</f>
        <v>PREPROD</v>
      </c>
      <c r="AB136" s="5">
        <f>COUNTIF(TabVMEnv[VM],TabVMEnv[[#This Row],[VM]])</f>
        <v>1</v>
      </c>
    </row>
    <row r="137" spans="1:28" x14ac:dyDescent="0.25">
      <c r="A137" t="s">
        <v>159</v>
      </c>
      <c r="B137" t="s">
        <v>484</v>
      </c>
      <c r="D137">
        <v>2</v>
      </c>
      <c r="E137" s="13" t="s">
        <v>522</v>
      </c>
      <c r="F137">
        <f>IF(VLOOKUP(TabVMEnv[[#This Row],[VM]],TabOceanet[],16,FALSE) = "Tarif_VM",IF(VLOOKUP(TabVMEnv[[#This Row],[VM]],TabOceanet[],2,FALSE)&lt;4,4,VLOOKUP(TabVMEnv[[#This Row],[VM]],TabOceanet[],2,FALSE)),0)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IF(VLOOKUP(TabVMEnv[[#This Row],[VM]],TabOceanet[],16,FALSE) = "Tarif_VM",1,0)/TabVMEnv[[#This Row],[Mutualisé]]</f>
        <v>1</v>
      </c>
      <c r="L137">
        <f>IF(VLOOKUP(TabVMEnv[[#This Row],[VM]],TabOceanet[],9,FALSE) = "PoweredOn",1,0)</f>
        <v>1</v>
      </c>
      <c r="M137">
        <f>TabVMEnv[[#This Row],[IsVMPoweredOn]]*VLOOKUP(TabVMEnv[[#This Row],[VM]],TabOceanet[],3,FALSE)/TabVMEnv[[#This Row],[Mutualisé]]</f>
        <v>1</v>
      </c>
      <c r="N137">
        <f>VLOOKUP(TabVMEnv[[#This Row],[VM]],TabOceanet[],4,FALSE)/TabVMEnv[[#This Row],[Mutualisé]]</f>
        <v>4</v>
      </c>
      <c r="O137">
        <f>IF(LEFT(VLOOKUP(TabVMEnv[[#This Row],[VM]],TabOceanet[],5,FALSE),3)="win",1,0)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VLOOKUP(TabVMEnv[[#This Row],[EnvProjet]],TabEnvProjet[],4,FALSE)</f>
        <v>GFI Oceanet Infra Réseau</v>
      </c>
      <c r="R137" s="5" t="str">
        <f>VLOOKUP(TabVMEnv[[#This Row],[SYGES]],TabContrat[],2,FALSE)</f>
        <v>GFI</v>
      </c>
      <c r="S137" s="5" t="str">
        <f>IF(VLOOKUP(TabVMEnv[[#This Row],[VM]],TabOceanet[],1,FALSE) = "","Disparue","")</f>
        <v/>
      </c>
      <c r="T137" s="17">
        <f>VLOOKUP(TabVMEnv[[#This Row],[VM]],TabOceanet[],36,FALSE)/TabVMEnv[[#This Row],[Mutualisé]]</f>
        <v>2.52</v>
      </c>
      <c r="U137" s="17">
        <f>IF(TabVMEnv[[#This Row],[CostCenter]]="CostCenterDI",0,TabVMEnv[[#This Row],[CoutGlobal]])</f>
        <v>0</v>
      </c>
      <c r="V137" s="17">
        <f>TabVMEnv[[#This Row],[CoutGlobalSansCostCenterDI]]/TabVMEnv[[#Totals],[CoutGlobalSansCostCenterDI]]*(GlobalARepartirSansMS+GlobalARepartirMSOnly+GlobalARepartirInfraReseau)</f>
        <v>0</v>
      </c>
      <c r="W137" s="17">
        <f>TabVMEnv[[#This Row],[CoutGlobalSansCostCenterDI]]+TabVMEnv[[#This Row],[CoutGlobalSupplementaire]]</f>
        <v>0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7" s="5" t="str">
        <f>VLOOKUP(TabVMEnv[[#This Row],[EnvProjet]],TabEnvProjet[],5,FALSE)</f>
        <v>Jérôme JACOB</v>
      </c>
      <c r="Z137" s="5" t="str">
        <f>VLOOKUP(TabVMEnv[[#This Row],[EnvProjet]],TabEnvProjet[],6,FALSE)</f>
        <v>CostCenterDI</v>
      </c>
      <c r="AA137" s="5" t="str">
        <f>VLOOKUP(TabVMEnv[[#This Row],[EnvProjet]],TabEnvProjet[],3,FALSE)</f>
        <v>SOCLE</v>
      </c>
      <c r="AB137" s="5">
        <f>COUNTIF(TabVMEnv[VM],TabVMEnv[[#This Row],[VM]])</f>
        <v>1</v>
      </c>
    </row>
    <row r="138" spans="1:28" x14ac:dyDescent="0.25">
      <c r="A138" t="s">
        <v>160</v>
      </c>
      <c r="B138" t="s">
        <v>484</v>
      </c>
      <c r="D138">
        <v>0</v>
      </c>
      <c r="E138" s="13" t="s">
        <v>522</v>
      </c>
      <c r="F138">
        <f>IF(VLOOKUP(TabVMEnv[[#This Row],[VM]],TabOceanet[],16,FALSE) = "Tarif_VM",IF(VLOOKUP(TabVMEnv[[#This Row],[VM]],TabOceanet[],2,FALSE)&lt;4,4,VLOOKUP(TabVMEnv[[#This Row],[VM]],TabOceanet[],2,FALSE)),0)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IF(VLOOKUP(TabVMEnv[[#This Row],[VM]],TabOceanet[],16,FALSE) = "Tarif_VM",1,0)/TabVMEnv[[#This Row],[Mutualisé]]</f>
        <v>1</v>
      </c>
      <c r="L138">
        <f>IF(VLOOKUP(TabVMEnv[[#This Row],[VM]],TabOceanet[],9,FALSE) = "PoweredOn",1,0)</f>
        <v>1</v>
      </c>
      <c r="M138">
        <f>TabVMEnv[[#This Row],[IsVMPoweredOn]]*VLOOKUP(TabVMEnv[[#This Row],[VM]],TabOceanet[],3,FALSE)/TabVMEnv[[#This Row],[Mutualisé]]</f>
        <v>1</v>
      </c>
      <c r="N138">
        <f>VLOOKUP(TabVMEnv[[#This Row],[VM]],TabOceanet[],4,FALSE)/TabVMEnv[[#This Row],[Mutualisé]]</f>
        <v>4</v>
      </c>
      <c r="O138">
        <f>IF(LEFT(VLOOKUP(TabVMEnv[[#This Row],[VM]],TabOceanet[],5,FALSE),3)="win",1,0)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VLOOKUP(TabVMEnv[[#This Row],[EnvProjet]],TabEnvProjet[],4,FALSE)</f>
        <v>GFI Oceanet Infra Réseau</v>
      </c>
      <c r="R138" s="5" t="str">
        <f>VLOOKUP(TabVMEnv[[#This Row],[SYGES]],TabContrat[],2,FALSE)</f>
        <v>GFI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2.52</v>
      </c>
      <c r="U138" s="17">
        <f>IF(TabVMEnv[[#This Row],[CostCenter]]="CostCenterDI",0,TabVMEnv[[#This Row],[CoutGlobal]])</f>
        <v>0</v>
      </c>
      <c r="V138" s="17">
        <f>TabVMEnv[[#This Row],[CoutGlobalSansCostCenterDI]]/TabVMEnv[[#Totals],[CoutGlobalSansCostCenterDI]]*(GlobalARepartirSansMS+GlobalARepartirMSOnly+GlobalARepartirInfraReseau)</f>
        <v>0</v>
      </c>
      <c r="W138" s="17">
        <f>TabVMEnv[[#This Row],[CoutGlobalSansCostCenterDI]]+TabVMEnv[[#This Row],[CoutGlobalSupplementaire]]</f>
        <v>0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8" s="5" t="str">
        <f>VLOOKUP(TabVMEnv[[#This Row],[EnvProjet]],TabEnvProjet[],5,FALSE)</f>
        <v>Jérôme JACOB</v>
      </c>
      <c r="Z138" s="5" t="str">
        <f>VLOOKUP(TabVMEnv[[#This Row],[EnvProjet]],TabEnvProjet[],6,FALSE)</f>
        <v>CostCenterDI</v>
      </c>
      <c r="AA138" s="5" t="str">
        <f>VLOOKUP(TabVMEnv[[#This Row],[EnvProjet]],TabEnvProjet[],3,FALSE)</f>
        <v>SOCLE</v>
      </c>
      <c r="AB138" s="5">
        <f>COUNTIF(TabVMEnv[VM],TabVMEnv[[#This Row],[VM]])</f>
        <v>1</v>
      </c>
    </row>
    <row r="139" spans="1:28" x14ac:dyDescent="0.25">
      <c r="A139" t="s">
        <v>255</v>
      </c>
      <c r="B139" t="s">
        <v>485</v>
      </c>
      <c r="E139" s="13"/>
      <c r="F139">
        <f>IF(VLOOKUP(TabVMEnv[[#This Row],[VM]],TabOceanet[],16,FALSE) = "Tarif_VM",IF(VLOOKUP(TabVMEnv[[#This Row],[VM]],TabOceanet[],2,FALSE)&lt;4,4,VLOOKUP(TabVMEnv[[#This Row],[VM]],TabOceanet[],2,FALSE)),0)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IF(VLOOKUP(TabVMEnv[[#This Row],[VM]],TabOceanet[],16,FALSE) = "Tarif_VM",1,0)/TabVMEnv[[#This Row],[Mutualisé]]</f>
        <v>1</v>
      </c>
      <c r="L139">
        <f>IF(VLOOKUP(TabVMEnv[[#This Row],[VM]],TabOceanet[],9,FALSE) = "PoweredOn",1,0)</f>
        <v>1</v>
      </c>
      <c r="M139">
        <f>TabVMEnv[[#This Row],[IsVMPoweredOn]]*VLOOKUP(TabVMEnv[[#This Row],[VM]],TabOceanet[],3,FALSE)/TabVMEnv[[#This Row],[Mutualisé]]</f>
        <v>4</v>
      </c>
      <c r="N139">
        <f>VLOOKUP(TabVMEnv[[#This Row],[VM]],TabOceanet[],4,FALSE)/TabVMEnv[[#This Row],[Mutualisé]]</f>
        <v>20</v>
      </c>
      <c r="O139">
        <f>IF(LEFT(VLOOKUP(TabVMEnv[[#This Row],[VM]],TabOceanet[],5,FALSE),3)="win",1,0)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VLOOKUP(TabVMEnv[[#This Row],[EnvProjet]],TabEnvProjet[],4,FALSE)</f>
        <v>Fablab-Firmin</v>
      </c>
      <c r="R139" s="5" t="str">
        <f>VLOOKUP(TabVMEnv[[#This Row],[SYGES]],TabContrat[],2,FALSE)</f>
        <v>Fablab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11</v>
      </c>
      <c r="U139" s="17">
        <f>IF(TabVMEnv[[#This Row],[CostCenter]]="CostCenterDI",0,TabVMEnv[[#This Row],[CoutGlobal]])</f>
        <v>11</v>
      </c>
      <c r="V139" s="17">
        <f>TabVMEnv[[#This Row],[CoutGlobalSansCostCenterDI]]/TabVMEnv[[#Totals],[CoutGlobalSansCostCenterDI]]*(GlobalARepartirSansMS+GlobalARepartirMSOnly+GlobalARepartirInfraReseau)</f>
        <v>22.935231073920697</v>
      </c>
      <c r="W139" s="17">
        <f>TabVMEnv[[#This Row],[CoutGlobalSansCostCenterDI]]+TabVMEnv[[#This Row],[CoutGlobalSupplementaire]]</f>
        <v>33.935231073920697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9" s="5" t="str">
        <f>VLOOKUP(TabVMEnv[[#This Row],[EnvProjet]],TabEnvProjet[],5,FALSE)</f>
        <v>Pierre-Yves Baloche</v>
      </c>
      <c r="Z139" s="5" t="str">
        <f>VLOOKUP(TabVMEnv[[#This Row],[EnvProjet]],TabEnvProjet[],6,FALSE)</f>
        <v>Fablab</v>
      </c>
      <c r="AA139" s="5" t="str">
        <f>VLOOKUP(TabVMEnv[[#This Row],[EnvProjet]],TabEnvProjet[],3,FALSE)</f>
        <v>SOCLE</v>
      </c>
      <c r="AB139" s="5">
        <f>COUNTIF(TabVMEnv[VM],TabVMEnv[[#This Row],[VM]])</f>
        <v>1</v>
      </c>
    </row>
    <row r="140" spans="1:28" x14ac:dyDescent="0.25">
      <c r="A140" t="s">
        <v>326</v>
      </c>
      <c r="B140" t="s">
        <v>559</v>
      </c>
      <c r="E140" s="13"/>
      <c r="F140" s="5">
        <f>IF(VLOOKUP(TabVMEnv[[#This Row],[VM]],TabOceanet[],16,FALSE) = "Tarif_VM",IF(VLOOKUP(TabVMEnv[[#This Row],[VM]],TabOceanet[],2,FALSE)&lt;4,4,VLOOKUP(TabVMEnv[[#This Row],[VM]],TabOceanet[],2,FALSE)),0)</f>
        <v>4</v>
      </c>
      <c r="K140" s="5">
        <f>IF(VLOOKUP(TabVMEnv[[#This Row],[VM]],TabOceanet[],16,FALSE) = "Tarif_VM",1,0)/TabVMEnv[[#This Row],[Mutualisé]]</f>
        <v>1</v>
      </c>
      <c r="L140" s="5">
        <f>IF(VLOOKUP(TabVMEnv[[#This Row],[VM]],TabOceanet[],9,FALSE) = "PoweredOn",1,0)</f>
        <v>1</v>
      </c>
      <c r="M140" s="5">
        <f>TabVMEnv[[#This Row],[IsVMPoweredOn]]*VLOOKUP(TabVMEnv[[#This Row],[VM]],TabOceanet[],3,FALSE)/TabVMEnv[[#This Row],[Mutualisé]]</f>
        <v>4</v>
      </c>
      <c r="N140" s="5">
        <f>VLOOKUP(TabVMEnv[[#This Row],[VM]],TabOceanet[],4,FALSE)/TabVMEnv[[#This Row],[Mutualisé]]</f>
        <v>23</v>
      </c>
      <c r="O140" s="5">
        <f>IF(LEFT(VLOOKUP(TabVMEnv[[#This Row],[VM]],TabOceanet[],5,FALSE),3)="win",1,0)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VLOOKUP(TabVMEnv[[#This Row],[EnvProjet]],TabEnvProjet[],4,FALSE)</f>
        <v>Fablab-BeeFlex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25">
        <f>VLOOKUP(TabVMEnv[[#This Row],[VM]],TabOceanet[],36,FALSE)/TabVMEnv[[#This Row],[Mutualisé]]</f>
        <v>11.690000000000001</v>
      </c>
      <c r="U140" s="25">
        <f>IF(TabVMEnv[[#This Row],[CostCenter]]="CostCenterDI",0,TabVMEnv[[#This Row],[CoutGlobal]])</f>
        <v>11.690000000000001</v>
      </c>
      <c r="V140" s="25">
        <f>TabVMEnv[[#This Row],[CoutGlobalSansCostCenterDI]]/TabVMEnv[[#Totals],[CoutGlobalSansCostCenterDI]]*(GlobalARepartirSansMS+GlobalARepartirMSOnly+GlobalARepartirInfraReseau)</f>
        <v>24.373895568557543</v>
      </c>
      <c r="W140" s="25">
        <f>TabVMEnv[[#This Row],[CoutGlobalSansCostCenterDI]]+TabVMEnv[[#This Row],[CoutGlobalSupplementaire]]</f>
        <v>36.063895568557541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Fablab-BeeFlex - Fablab-BeeFlex - Pierre-Yves Baloche</v>
      </c>
      <c r="Y140" s="5" t="str">
        <f>VLOOKUP(TabVMEnv[[#This Row],[EnvProjet]],TabEnvProjet[],5,FALSE)</f>
        <v>Pierre-Yves Baloche</v>
      </c>
      <c r="Z140" s="5" t="str">
        <f>VLOOKUP(TabVMEnv[[#This Row],[EnvProjet]],TabEnvProjet[],6,FALSE)</f>
        <v>Fablab</v>
      </c>
      <c r="AA140" s="5" t="str">
        <f>VLOOKUP(TabVMEnv[[#This Row],[EnvProjet]],TabEnvProjet[],3,FALSE)</f>
        <v>PROD</v>
      </c>
      <c r="AB140" s="5">
        <f>COUNTIF(TabVMEnv[VM],TabVMEnv[[#This Row],[VM]])</f>
        <v>1</v>
      </c>
    </row>
    <row r="141" spans="1:28" x14ac:dyDescent="0.25">
      <c r="A141" t="s">
        <v>1358</v>
      </c>
      <c r="B141" t="s">
        <v>1360</v>
      </c>
      <c r="E141" s="13"/>
      <c r="F141" s="5">
        <f>IF(VLOOKUP(TabVMEnv[[#This Row],[VM]],TabOceanet[],16,FALSE) = "Tarif_VM",IF(VLOOKUP(TabVMEnv[[#This Row],[VM]],TabOceanet[],2,FALSE)&lt;4,4,VLOOKUP(TabVMEnv[[#This Row],[VM]],TabOceanet[],2,FALSE)),0)</f>
        <v>4</v>
      </c>
      <c r="K141" s="5">
        <f>IF(VLOOKUP(TabVMEnv[[#This Row],[VM]],TabOceanet[],16,FALSE) = "Tarif_VM",1,0)/TabVMEnv[[#This Row],[Mutualisé]]</f>
        <v>1</v>
      </c>
      <c r="L141" s="5">
        <f>IF(VLOOKUP(TabVMEnv[[#This Row],[VM]],TabOceanet[],9,FALSE) = "PoweredOn",1,0)</f>
        <v>1</v>
      </c>
      <c r="M141" s="5">
        <f>TabVMEnv[[#This Row],[IsVMPoweredOn]]*VLOOKUP(TabVMEnv[[#This Row],[VM]],TabOceanet[],3,FALSE)/TabVMEnv[[#This Row],[Mutualisé]]</f>
        <v>4</v>
      </c>
      <c r="N141" s="5">
        <f>VLOOKUP(TabVMEnv[[#This Row],[VM]],TabOceanet[],4,FALSE)/TabVMEnv[[#This Row],[Mutualisé]]</f>
        <v>22</v>
      </c>
      <c r="O141" s="5">
        <f>IF(LEFT(VLOOKUP(TabVMEnv[[#This Row],[VM]],TabOceanet[],5,FALSE),3)="win",1,0)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VLOOKUP(TabVMEnv[[#This Row],[EnvProjet]],TabEnvProjet[],4,FALSE)</f>
        <v>Fablab-BeeFlex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25">
        <f>VLOOKUP(TabVMEnv[[#This Row],[VM]],TabOceanet[],36,FALSE)/TabVMEnv[[#This Row],[Mutualisé]]</f>
        <v>6.4</v>
      </c>
      <c r="U141" s="25">
        <f>IF(TabVMEnv[[#This Row],[CostCenter]]="CostCenterDI",0,TabVMEnv[[#This Row],[CoutGlobal]])</f>
        <v>6.4</v>
      </c>
      <c r="V141" s="25">
        <f>TabVMEnv[[#This Row],[CoutGlobalSansCostCenterDI]]/TabVMEnv[[#Totals],[CoutGlobalSansCostCenterDI]]*(GlobalARepartirSansMS+GlobalARepartirMSOnly+GlobalARepartirInfraReseau)</f>
        <v>13.344134443008407</v>
      </c>
      <c r="W141" s="25">
        <f>TabVMEnv[[#This Row],[CoutGlobalSansCostCenterDI]]+TabVMEnv[[#This Row],[CoutGlobalSupplementaire]]</f>
        <v>19.744134443008406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Fablab-BeeFlex - Fablab-BeeFlex - Pierre-Yves Baloche</v>
      </c>
      <c r="Y141" s="5" t="str">
        <f>VLOOKUP(TabVMEnv[[#This Row],[EnvProjet]],TabEnvProjet[],5,FALSE)</f>
        <v>Pierre-Yves Baloche</v>
      </c>
      <c r="Z141" s="5" t="str">
        <f>VLOOKUP(TabVMEnv[[#This Row],[EnvProjet]],TabEnvProjet[],6,FALSE)</f>
        <v>Fablab</v>
      </c>
      <c r="AA141" s="5" t="str">
        <f>VLOOKUP(TabVMEnv[[#This Row],[EnvProjet]],TabEnvProjet[],3,FALSE)</f>
        <v>PREPROD</v>
      </c>
      <c r="AB141" s="5">
        <f>COUNTIF(TabVMEnv[VM],TabVMEnv[[#This Row],[VM]])</f>
        <v>1</v>
      </c>
    </row>
    <row r="142" spans="1:28" x14ac:dyDescent="0.25">
      <c r="A142" t="s">
        <v>1359</v>
      </c>
      <c r="B142" t="s">
        <v>559</v>
      </c>
      <c r="E142" s="13"/>
      <c r="F142" s="5">
        <f>IF(VLOOKUP(TabVMEnv[[#This Row],[VM]],TabOceanet[],16,FALSE) = "Tarif_VM",IF(VLOOKUP(TabVMEnv[[#This Row],[VM]],TabOceanet[],2,FALSE)&lt;4,4,VLOOKUP(TabVMEnv[[#This Row],[VM]],TabOceanet[],2,FALSE)),0)</f>
        <v>4</v>
      </c>
      <c r="K142" s="5">
        <f>IF(VLOOKUP(TabVMEnv[[#This Row],[VM]],TabOceanet[],16,FALSE) = "Tarif_VM",1,0)/TabVMEnv[[#This Row],[Mutualisé]]</f>
        <v>1</v>
      </c>
      <c r="L142" s="5">
        <f>IF(VLOOKUP(TabVMEnv[[#This Row],[VM]],TabOceanet[],9,FALSE) = "PoweredOn",1,0)</f>
        <v>1</v>
      </c>
      <c r="M142" s="5">
        <f>TabVMEnv[[#This Row],[IsVMPoweredOn]]*VLOOKUP(TabVMEnv[[#This Row],[VM]],TabOceanet[],3,FALSE)/TabVMEnv[[#This Row],[Mutualisé]]</f>
        <v>4</v>
      </c>
      <c r="N142" s="5">
        <f>VLOOKUP(TabVMEnv[[#This Row],[VM]],TabOceanet[],4,FALSE)/TabVMEnv[[#This Row],[Mutualisé]]</f>
        <v>22</v>
      </c>
      <c r="O142" s="5">
        <f>IF(LEFT(VLOOKUP(TabVMEnv[[#This Row],[VM]],TabOceanet[],5,FALSE),3)="win",1,0)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VLOOKUP(TabVMEnv[[#This Row],[EnvProjet]],TabEnvProjet[],4,FALSE)</f>
        <v>Fablab-BeeFlex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25">
        <f>VLOOKUP(TabVMEnv[[#This Row],[VM]],TabOceanet[],36,FALSE)/TabVMEnv[[#This Row],[Mutualisé]]</f>
        <v>6.4</v>
      </c>
      <c r="U142" s="25">
        <f>IF(TabVMEnv[[#This Row],[CostCenter]]="CostCenterDI",0,TabVMEnv[[#This Row],[CoutGlobal]])</f>
        <v>6.4</v>
      </c>
      <c r="V142" s="25">
        <f>TabVMEnv[[#This Row],[CoutGlobalSansCostCenterDI]]/TabVMEnv[[#Totals],[CoutGlobalSansCostCenterDI]]*(GlobalARepartirSansMS+GlobalARepartirMSOnly+GlobalARepartirInfraReseau)</f>
        <v>13.344134443008407</v>
      </c>
      <c r="W142" s="25">
        <f>TabVMEnv[[#This Row],[CoutGlobalSansCostCenterDI]]+TabVMEnv[[#This Row],[CoutGlobalSupplementaire]]</f>
        <v>19.744134443008406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Fablab-BeeFlex - Fablab-BeeFlex - Pierre-Yves Baloche</v>
      </c>
      <c r="Y142" s="5" t="str">
        <f>VLOOKUP(TabVMEnv[[#This Row],[EnvProjet]],TabEnvProjet[],5,FALSE)</f>
        <v>Pierre-Yves Baloche</v>
      </c>
      <c r="Z142" s="5" t="str">
        <f>VLOOKUP(TabVMEnv[[#This Row],[EnvProjet]],TabEnvProjet[],6,FALSE)</f>
        <v>Fablab</v>
      </c>
      <c r="AA142" s="5" t="str">
        <f>VLOOKUP(TabVMEnv[[#This Row],[EnvProjet]],TabEnvProjet[],3,FALSE)</f>
        <v>PROD</v>
      </c>
      <c r="AB142" s="5">
        <f>COUNTIF(TabVMEnv[VM],TabVMEnv[[#This Row],[VM]])</f>
        <v>1</v>
      </c>
    </row>
    <row r="143" spans="1:28" x14ac:dyDescent="0.25">
      <c r="A143" t="s">
        <v>250</v>
      </c>
      <c r="B143" t="s">
        <v>485</v>
      </c>
      <c r="E143" s="13"/>
      <c r="F143">
        <f>IF(VLOOKUP(TabVMEnv[[#This Row],[VM]],TabOceanet[],16,FALSE) = "Tarif_VM",IF(VLOOKUP(TabVMEnv[[#This Row],[VM]],TabOceanet[],2,FALSE)&lt;4,4,VLOOKUP(TabVMEnv[[#This Row],[VM]],TabOceanet[],2,FALSE)),0)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IF(VLOOKUP(TabVMEnv[[#This Row],[VM]],TabOceanet[],16,FALSE) = "Tarif_VM",1,0)/TabVMEnv[[#This Row],[Mutualisé]]</f>
        <v>1</v>
      </c>
      <c r="L143">
        <f>IF(VLOOKUP(TabVMEnv[[#This Row],[VM]],TabOceanet[],9,FALSE) = "PoweredOn",1,0)</f>
        <v>1</v>
      </c>
      <c r="M143">
        <f>TabVMEnv[[#This Row],[IsVMPoweredOn]]*VLOOKUP(TabVMEnv[[#This Row],[VM]],TabOceanet[],3,FALSE)/TabVMEnv[[#This Row],[Mutualisé]]</f>
        <v>4</v>
      </c>
      <c r="N143">
        <f>VLOOKUP(TabVMEnv[[#This Row],[VM]],TabOceanet[],4,FALSE)/TabVMEnv[[#This Row],[Mutualisé]]</f>
        <v>107</v>
      </c>
      <c r="O143">
        <f>IF(LEFT(VLOOKUP(TabVMEnv[[#This Row],[VM]],TabOceanet[],5,FALSE),3)="win",1,0)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VLOOKUP(TabVMEnv[[#This Row],[EnvProjet]],TabEnvProjet[],4,FALSE)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31.009999999999998</v>
      </c>
      <c r="U143" s="17">
        <f>IF(TabVMEnv[[#This Row],[CostCenter]]="CostCenterDI",0,TabVMEnv[[#This Row],[CoutGlobal]])</f>
        <v>31.009999999999998</v>
      </c>
      <c r="V143" s="17">
        <f>TabVMEnv[[#This Row],[CoutGlobalSansCostCenterDI]]/TabVMEnv[[#Totals],[CoutGlobalSansCostCenterDI]]*(GlobalARepartirSansMS+GlobalARepartirMSOnly+GlobalARepartirInfraReseau)</f>
        <v>64.656501418389169</v>
      </c>
      <c r="W143" s="17">
        <f>TabVMEnv[[#This Row],[CoutGlobalSansCostCenterDI]]+TabVMEnv[[#This Row],[CoutGlobalSupplementaire]]</f>
        <v>95.666501418389174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VLOOKUP(TabVMEnv[[#This Row],[EnvProjet]],TabEnvProjet[],5,FALSE)</f>
        <v>Pierre-Yves Baloche</v>
      </c>
      <c r="Z143" s="5" t="str">
        <f>VLOOKUP(TabVMEnv[[#This Row],[EnvProjet]],TabEnvProjet[],6,FALSE)</f>
        <v>Fablab</v>
      </c>
      <c r="AA143" s="5" t="str">
        <f>VLOOKUP(TabVMEnv[[#This Row],[EnvProjet]],TabEnvProjet[],3,FALSE)</f>
        <v>SOCLE</v>
      </c>
      <c r="AB143" s="5">
        <f>COUNTIF(TabVMEnv[VM],TabVMEnv[[#This Row],[VM]])</f>
        <v>1</v>
      </c>
    </row>
    <row r="144" spans="1:28" x14ac:dyDescent="0.25">
      <c r="A144" t="s">
        <v>251</v>
      </c>
      <c r="B144" t="s">
        <v>485</v>
      </c>
      <c r="E144" s="13"/>
      <c r="F144">
        <f>IF(VLOOKUP(TabVMEnv[[#This Row],[VM]],TabOceanet[],16,FALSE) = "Tarif_VM",IF(VLOOKUP(TabVMEnv[[#This Row],[VM]],TabOceanet[],2,FALSE)&lt;4,4,VLOOKUP(TabVMEnv[[#This Row],[VM]],TabOceanet[],2,FALSE)),0)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IF(VLOOKUP(TabVMEnv[[#This Row],[VM]],TabOceanet[],16,FALSE) = "Tarif_VM",1,0)/TabVMEnv[[#This Row],[Mutualisé]]</f>
        <v>1</v>
      </c>
      <c r="L144">
        <f>IF(VLOOKUP(TabVMEnv[[#This Row],[VM]],TabOceanet[],9,FALSE) = "PoweredOn",1,0)</f>
        <v>1</v>
      </c>
      <c r="M144">
        <f>TabVMEnv[[#This Row],[IsVMPoweredOn]]*VLOOKUP(TabVMEnv[[#This Row],[VM]],TabOceanet[],3,FALSE)/TabVMEnv[[#This Row],[Mutualisé]]</f>
        <v>4</v>
      </c>
      <c r="N144">
        <f>VLOOKUP(TabVMEnv[[#This Row],[VM]],TabOceanet[],4,FALSE)/TabVMEnv[[#This Row],[Mutualisé]]</f>
        <v>12</v>
      </c>
      <c r="O144">
        <f>IF(LEFT(VLOOKUP(TabVMEnv[[#This Row],[VM]],TabOceanet[],5,FALSE),3)="win",1,0)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VLOOKUP(TabVMEnv[[#This Row],[EnvProjet]],TabEnvProjet[],4,FALSE)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9.16</v>
      </c>
      <c r="U144" s="17">
        <f>IF(TabVMEnv[[#This Row],[CostCenter]]="CostCenterDI",0,TabVMEnv[[#This Row],[CoutGlobal]])</f>
        <v>9.16</v>
      </c>
      <c r="V144" s="17">
        <f>TabVMEnv[[#This Row],[CoutGlobalSansCostCenterDI]]/TabVMEnv[[#Totals],[CoutGlobalSansCostCenterDI]]*(GlobalARepartirSansMS+GlobalARepartirMSOnly+GlobalARepartirInfraReseau)</f>
        <v>19.098792421555782</v>
      </c>
      <c r="W144" s="17">
        <f>TabVMEnv[[#This Row],[CoutGlobalSansCostCenterDI]]+TabVMEnv[[#This Row],[CoutGlobalSupplementaire]]</f>
        <v>28.258792421555782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VLOOKUP(TabVMEnv[[#This Row],[EnvProjet]],TabEnvProjet[],5,FALSE)</f>
        <v>Pierre-Yves Baloche</v>
      </c>
      <c r="Z144" s="5" t="str">
        <f>VLOOKUP(TabVMEnv[[#This Row],[EnvProjet]],TabEnvProjet[],6,FALSE)</f>
        <v>Fablab</v>
      </c>
      <c r="AA144" s="5" t="str">
        <f>VLOOKUP(TabVMEnv[[#This Row],[EnvProjet]],TabEnvProjet[],3,FALSE)</f>
        <v>SOCLE</v>
      </c>
      <c r="AB144" s="5">
        <f>COUNTIF(TabVMEnv[VM],TabVMEnv[[#This Row],[VM]])</f>
        <v>1</v>
      </c>
    </row>
    <row r="145" spans="1:28" x14ac:dyDescent="0.25">
      <c r="A145" t="s">
        <v>252</v>
      </c>
      <c r="B145" t="s">
        <v>485</v>
      </c>
      <c r="E145" s="13"/>
      <c r="F145">
        <f>IF(VLOOKUP(TabVMEnv[[#This Row],[VM]],TabOceanet[],16,FALSE) = "Tarif_VM",IF(VLOOKUP(TabVMEnv[[#This Row],[VM]],TabOceanet[],2,FALSE)&lt;4,4,VLOOKUP(TabVMEnv[[#This Row],[VM]],TabOceanet[],2,FALSE)),0)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IF(VLOOKUP(TabVMEnv[[#This Row],[VM]],TabOceanet[],16,FALSE) = "Tarif_VM",1,0)/TabVMEnv[[#This Row],[Mutualisé]]</f>
        <v>1</v>
      </c>
      <c r="L145">
        <f>IF(VLOOKUP(TabVMEnv[[#This Row],[VM]],TabOceanet[],9,FALSE) = "PoweredOn",1,0)</f>
        <v>1</v>
      </c>
      <c r="M145">
        <f>TabVMEnv[[#This Row],[IsVMPoweredOn]]*VLOOKUP(TabVMEnv[[#This Row],[VM]],TabOceanet[],3,FALSE)/TabVMEnv[[#This Row],[Mutualisé]]</f>
        <v>4</v>
      </c>
      <c r="N145">
        <f>VLOOKUP(TabVMEnv[[#This Row],[VM]],TabOceanet[],4,FALSE)/TabVMEnv[[#This Row],[Mutualisé]]</f>
        <v>12</v>
      </c>
      <c r="O145">
        <f>IF(LEFT(VLOOKUP(TabVMEnv[[#This Row],[VM]],TabOceanet[],5,FALSE),3)="win",1,0)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VLOOKUP(TabVMEnv[[#This Row],[EnvProjet]],TabEnvProjet[],4,FALSE)</f>
        <v>Fablab-Firmin</v>
      </c>
      <c r="R145" s="5" t="str">
        <f>VLOOKUP(TabVMEnv[[#This Row],[SYGES]],TabContrat[],2,FALSE)</f>
        <v>Fablab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9.16</v>
      </c>
      <c r="U145" s="17">
        <f>IF(TabVMEnv[[#This Row],[CostCenter]]="CostCenterDI",0,TabVMEnv[[#This Row],[CoutGlobal]])</f>
        <v>9.16</v>
      </c>
      <c r="V145" s="17">
        <f>TabVMEnv[[#This Row],[CoutGlobalSansCostCenterDI]]/TabVMEnv[[#Totals],[CoutGlobalSansCostCenterDI]]*(GlobalARepartirSansMS+GlobalARepartirMSOnly+GlobalARepartirInfraReseau)</f>
        <v>19.098792421555782</v>
      </c>
      <c r="W145" s="17">
        <f>TabVMEnv[[#This Row],[CoutGlobalSansCostCenterDI]]+TabVMEnv[[#This Row],[CoutGlobalSupplementaire]]</f>
        <v>28.258792421555782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5" s="5" t="str">
        <f>VLOOKUP(TabVMEnv[[#This Row],[EnvProjet]],TabEnvProjet[],5,FALSE)</f>
        <v>Pierre-Yves Baloche</v>
      </c>
      <c r="Z145" s="5" t="str">
        <f>VLOOKUP(TabVMEnv[[#This Row],[EnvProjet]],TabEnvProjet[],6,FALSE)</f>
        <v>Fablab</v>
      </c>
      <c r="AA145" s="5" t="str">
        <f>VLOOKUP(TabVMEnv[[#This Row],[EnvProjet]],TabEnvProjet[],3,FALSE)</f>
        <v>SOCLE</v>
      </c>
      <c r="AB145" s="5">
        <f>COUNTIF(TabVMEnv[VM],TabVMEnv[[#This Row],[VM]])</f>
        <v>1</v>
      </c>
    </row>
    <row r="146" spans="1:28" x14ac:dyDescent="0.25">
      <c r="A146" t="s">
        <v>296</v>
      </c>
      <c r="B146" t="s">
        <v>482</v>
      </c>
      <c r="E146" s="13"/>
      <c r="F146">
        <f>IF(VLOOKUP(TabVMEnv[[#This Row],[VM]],TabOceanet[],16,FALSE) = "Tarif_VM",IF(VLOOKUP(TabVMEnv[[#This Row],[VM]],TabOceanet[],2,FALSE)&lt;4,4,VLOOKUP(TabVMEnv[[#This Row],[VM]],TabOceanet[],2,FALSE)),0)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IF(VLOOKUP(TabVMEnv[[#This Row],[VM]],TabOceanet[],16,FALSE) = "Tarif_VM",1,0)/TabVMEnv[[#This Row],[Mutualisé]]</f>
        <v>1</v>
      </c>
      <c r="L146">
        <f>IF(VLOOKUP(TabVMEnv[[#This Row],[VM]],TabOceanet[],9,FALSE) = "PoweredOn",1,0)</f>
        <v>1</v>
      </c>
      <c r="M146">
        <f>TabVMEnv[[#This Row],[IsVMPoweredOn]]*VLOOKUP(TabVMEnv[[#This Row],[VM]],TabOceanet[],3,FALSE)/TabVMEnv[[#This Row],[Mutualisé]]</f>
        <v>4</v>
      </c>
      <c r="N146">
        <f>VLOOKUP(TabVMEnv[[#This Row],[VM]],TabOceanet[],4,FALSE)/TabVMEnv[[#This Row],[Mutualisé]]</f>
        <v>16</v>
      </c>
      <c r="O146">
        <f>IF(LEFT(VLOOKUP(TabVMEnv[[#This Row],[VM]],TabOceanet[],5,FALSE),3)="win",1,0)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VLOOKUP(TabVMEnv[[#This Row],[EnvProjet]],TabEnvProjet[],4,FALSE)</f>
        <v>Fablab-Firmin</v>
      </c>
      <c r="R146" s="5" t="str">
        <f>VLOOKUP(TabVMEnv[[#This Row],[SYGES]],TabContrat[],2,FALSE)</f>
        <v>Fablab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10.08</v>
      </c>
      <c r="U146" s="17">
        <f>IF(TabVMEnv[[#This Row],[CostCenter]]="CostCenterDI",0,TabVMEnv[[#This Row],[CoutGlobal]])</f>
        <v>10.08</v>
      </c>
      <c r="V146" s="17">
        <f>TabVMEnv[[#This Row],[CoutGlobalSansCostCenterDI]]/TabVMEnv[[#Totals],[CoutGlobalSansCostCenterDI]]*(GlobalARepartirSansMS+GlobalARepartirMSOnly+GlobalARepartirInfraReseau)</f>
        <v>21.017011747738241</v>
      </c>
      <c r="W146" s="17">
        <f>TabVMEnv[[#This Row],[CoutGlobalSansCostCenterDI]]+TabVMEnv[[#This Row],[CoutGlobalSupplementaire]]</f>
        <v>31.097011747738243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6" s="5" t="str">
        <f>VLOOKUP(TabVMEnv[[#This Row],[EnvProjet]],TabEnvProjet[],5,FALSE)</f>
        <v>Pierre-Yves Baloche</v>
      </c>
      <c r="Z146" s="5" t="str">
        <f>VLOOKUP(TabVMEnv[[#This Row],[EnvProjet]],TabEnvProjet[],6,FALSE)</f>
        <v>Fablab</v>
      </c>
      <c r="AA146" s="5" t="str">
        <f>VLOOKUP(TabVMEnv[[#This Row],[EnvProjet]],TabEnvProjet[],3,FALSE)</f>
        <v>PREPROD</v>
      </c>
      <c r="AB146" s="5">
        <f>COUNTIF(TabVMEnv[VM],TabVMEnv[[#This Row],[VM]])</f>
        <v>1</v>
      </c>
    </row>
    <row r="147" spans="1:28" x14ac:dyDescent="0.25">
      <c r="A147" t="s">
        <v>297</v>
      </c>
      <c r="B147" t="s">
        <v>482</v>
      </c>
      <c r="E147" s="13"/>
      <c r="F147">
        <f>IF(VLOOKUP(TabVMEnv[[#This Row],[VM]],TabOceanet[],16,FALSE) = "Tarif_VM",IF(VLOOKUP(TabVMEnv[[#This Row],[VM]],TabOceanet[],2,FALSE)&lt;4,4,VLOOKUP(TabVMEnv[[#This Row],[VM]],TabOceanet[],2,FALSE)),0)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IF(VLOOKUP(TabVMEnv[[#This Row],[VM]],TabOceanet[],16,FALSE) = "Tarif_VM",1,0)/TabVMEnv[[#This Row],[Mutualisé]]</f>
        <v>1</v>
      </c>
      <c r="L147">
        <f>IF(VLOOKUP(TabVMEnv[[#This Row],[VM]],TabOceanet[],9,FALSE) = "PoweredOn",1,0)</f>
        <v>1</v>
      </c>
      <c r="M147">
        <f>TabVMEnv[[#This Row],[IsVMPoweredOn]]*VLOOKUP(TabVMEnv[[#This Row],[VM]],TabOceanet[],3,FALSE)/TabVMEnv[[#This Row],[Mutualisé]]</f>
        <v>4</v>
      </c>
      <c r="N147">
        <f>VLOOKUP(TabVMEnv[[#This Row],[VM]],TabOceanet[],4,FALSE)/TabVMEnv[[#This Row],[Mutualisé]]</f>
        <v>21</v>
      </c>
      <c r="O147">
        <f>IF(LEFT(VLOOKUP(TabVMEnv[[#This Row],[VM]],TabOceanet[],5,FALSE),3)="win",1,0)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VLOOKUP(TabVMEnv[[#This Row],[EnvProjet]],TabEnvProjet[],4,FALSE)</f>
        <v>Fablab-Firmin</v>
      </c>
      <c r="R147" s="5" t="str">
        <f>VLOOKUP(TabVMEnv[[#This Row],[SYGES]],TabContrat[],2,FALSE)</f>
        <v>Fablab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11.23</v>
      </c>
      <c r="U147" s="17">
        <f>IF(TabVMEnv[[#This Row],[CostCenter]]="CostCenterDI",0,TabVMEnv[[#This Row],[CoutGlobal]])</f>
        <v>11.23</v>
      </c>
      <c r="V147" s="17">
        <f>TabVMEnv[[#This Row],[CoutGlobalSansCostCenterDI]]/TabVMEnv[[#Totals],[CoutGlobalSansCostCenterDI]]*(GlobalARepartirSansMS+GlobalARepartirMSOnly+GlobalARepartirInfraReseau)</f>
        <v>23.414785905466314</v>
      </c>
      <c r="W147" s="17">
        <f>TabVMEnv[[#This Row],[CoutGlobalSansCostCenterDI]]+TabVMEnv[[#This Row],[CoutGlobalSupplementaire]]</f>
        <v>34.644785905466314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7" s="5" t="str">
        <f>VLOOKUP(TabVMEnv[[#This Row],[EnvProjet]],TabEnvProjet[],5,FALSE)</f>
        <v>Pierre-Yves Baloche</v>
      </c>
      <c r="Z147" s="5" t="str">
        <f>VLOOKUP(TabVMEnv[[#This Row],[EnvProjet]],TabEnvProjet[],6,FALSE)</f>
        <v>Fablab</v>
      </c>
      <c r="AA147" s="5" t="str">
        <f>VLOOKUP(TabVMEnv[[#This Row],[EnvProjet]],TabEnvProjet[],3,FALSE)</f>
        <v>PREPROD</v>
      </c>
      <c r="AB147" s="5">
        <f>COUNTIF(TabVMEnv[VM],TabVMEnv[[#This Row],[VM]])</f>
        <v>1</v>
      </c>
    </row>
    <row r="148" spans="1:28" x14ac:dyDescent="0.25">
      <c r="A148" t="s">
        <v>258</v>
      </c>
      <c r="B148" t="s">
        <v>481</v>
      </c>
      <c r="E148" s="13"/>
      <c r="F148">
        <f>IF(VLOOKUP(TabVMEnv[[#This Row],[VM]],TabOceanet[],16,FALSE) = "Tarif_VM",IF(VLOOKUP(TabVMEnv[[#This Row],[VM]],TabOceanet[],2,FALSE)&lt;4,4,VLOOKUP(TabVMEnv[[#This Row],[VM]],TabOceanet[],2,FALSE)),0)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IF(VLOOKUP(TabVMEnv[[#This Row],[VM]],TabOceanet[],16,FALSE) = "Tarif_VM",1,0)/TabVMEnv[[#This Row],[Mutualisé]]</f>
        <v>1</v>
      </c>
      <c r="L148">
        <f>IF(VLOOKUP(TabVMEnv[[#This Row],[VM]],TabOceanet[],9,FALSE) = "PoweredOn",1,0)</f>
        <v>1</v>
      </c>
      <c r="M148">
        <f>TabVMEnv[[#This Row],[IsVMPoweredOn]]*VLOOKUP(TabVMEnv[[#This Row],[VM]],TabOceanet[],3,FALSE)/TabVMEnv[[#This Row],[Mutualisé]]</f>
        <v>4</v>
      </c>
      <c r="N148">
        <f>VLOOKUP(TabVMEnv[[#This Row],[VM]],TabOceanet[],4,FALSE)/TabVMEnv[[#This Row],[Mutualisé]]</f>
        <v>16</v>
      </c>
      <c r="O148">
        <f>IF(LEFT(VLOOKUP(TabVMEnv[[#This Row],[VM]],TabOceanet[],5,FALSE),3)="win",1,0)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VLOOKUP(TabVMEnv[[#This Row],[EnvProjet]],TabEnvProjet[],4,FALSE)</f>
        <v>Fablab-Firmin</v>
      </c>
      <c r="R148" s="5" t="str">
        <f>VLOOKUP(TabVMEnv[[#This Row],[SYGES]],TabContrat[],2,FALSE)</f>
        <v>Fablab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10.08</v>
      </c>
      <c r="U148" s="17">
        <f>IF(TabVMEnv[[#This Row],[CostCenter]]="CostCenterDI",0,TabVMEnv[[#This Row],[CoutGlobal]])</f>
        <v>10.08</v>
      </c>
      <c r="V148" s="17">
        <f>TabVMEnv[[#This Row],[CoutGlobalSansCostCenterDI]]/TabVMEnv[[#Totals],[CoutGlobalSansCostCenterDI]]*(GlobalARepartirSansMS+GlobalARepartirMSOnly+GlobalARepartirInfraReseau)</f>
        <v>21.017011747738241</v>
      </c>
      <c r="W148" s="17">
        <f>TabVMEnv[[#This Row],[CoutGlobalSansCostCenterDI]]+TabVMEnv[[#This Row],[CoutGlobalSupplementaire]]</f>
        <v>31.097011747738243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8" s="5" t="str">
        <f>VLOOKUP(TabVMEnv[[#This Row],[EnvProjet]],TabEnvProjet[],5,FALSE)</f>
        <v>Pierre-Yves Baloche</v>
      </c>
      <c r="Z148" s="5" t="str">
        <f>VLOOKUP(TabVMEnv[[#This Row],[EnvProjet]],TabEnvProjet[],6,FALSE)</f>
        <v>Fablab</v>
      </c>
      <c r="AA148" s="5" t="str">
        <f>VLOOKUP(TabVMEnv[[#This Row],[EnvProjet]],TabEnvProjet[],3,FALSE)</f>
        <v>PROD</v>
      </c>
      <c r="AB148" s="5">
        <f>COUNTIF(TabVMEnv[VM],TabVMEnv[[#This Row],[VM]])</f>
        <v>1</v>
      </c>
    </row>
    <row r="149" spans="1:28" x14ac:dyDescent="0.25">
      <c r="A149" t="s">
        <v>259</v>
      </c>
      <c r="B149" t="s">
        <v>481</v>
      </c>
      <c r="E149" s="13"/>
      <c r="F149">
        <f>IF(VLOOKUP(TabVMEnv[[#This Row],[VM]],TabOceanet[],16,FALSE) = "Tarif_VM",IF(VLOOKUP(TabVMEnv[[#This Row],[VM]],TabOceanet[],2,FALSE)&lt;4,4,VLOOKUP(TabVMEnv[[#This Row],[VM]],TabOceanet[],2,FALSE)),0)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IF(VLOOKUP(TabVMEnv[[#This Row],[VM]],TabOceanet[],16,FALSE) = "Tarif_VM",1,0)/TabVMEnv[[#This Row],[Mutualisé]]</f>
        <v>1</v>
      </c>
      <c r="L149">
        <f>IF(VLOOKUP(TabVMEnv[[#This Row],[VM]],TabOceanet[],9,FALSE) = "PoweredOn",1,0)</f>
        <v>1</v>
      </c>
      <c r="M149">
        <f>TabVMEnv[[#This Row],[IsVMPoweredOn]]*VLOOKUP(TabVMEnv[[#This Row],[VM]],TabOceanet[],3,FALSE)/TabVMEnv[[#This Row],[Mutualisé]]</f>
        <v>4</v>
      </c>
      <c r="N149">
        <f>VLOOKUP(TabVMEnv[[#This Row],[VM]],TabOceanet[],4,FALSE)/TabVMEnv[[#This Row],[Mutualisé]]</f>
        <v>16</v>
      </c>
      <c r="O149">
        <f>IF(LEFT(VLOOKUP(TabVMEnv[[#This Row],[VM]],TabOceanet[],5,FALSE),3)="win",1,0)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VLOOKUP(TabVMEnv[[#This Row],[EnvProjet]],TabEnvProjet[],4,FALSE)</f>
        <v>Fablab-Firmin</v>
      </c>
      <c r="R149" s="5" t="str">
        <f>VLOOKUP(TabVMEnv[[#This Row],[SYGES]],TabContrat[],2,FALSE)</f>
        <v>Fablab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10.08</v>
      </c>
      <c r="U149" s="17">
        <f>IF(TabVMEnv[[#This Row],[CostCenter]]="CostCenterDI",0,TabVMEnv[[#This Row],[CoutGlobal]])</f>
        <v>10.08</v>
      </c>
      <c r="V149" s="17">
        <f>TabVMEnv[[#This Row],[CoutGlobalSansCostCenterDI]]/TabVMEnv[[#Totals],[CoutGlobalSansCostCenterDI]]*(GlobalARepartirSansMS+GlobalARepartirMSOnly+GlobalARepartirInfraReseau)</f>
        <v>21.017011747738241</v>
      </c>
      <c r="W149" s="17">
        <f>TabVMEnv[[#This Row],[CoutGlobalSansCostCenterDI]]+TabVMEnv[[#This Row],[CoutGlobalSupplementaire]]</f>
        <v>31.097011747738243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9" s="5" t="str">
        <f>VLOOKUP(TabVMEnv[[#This Row],[EnvProjet]],TabEnvProjet[],5,FALSE)</f>
        <v>Pierre-Yves Baloche</v>
      </c>
      <c r="Z149" s="5" t="str">
        <f>VLOOKUP(TabVMEnv[[#This Row],[EnvProjet]],TabEnvProjet[],6,FALSE)</f>
        <v>Fablab</v>
      </c>
      <c r="AA149" s="5" t="str">
        <f>VLOOKUP(TabVMEnv[[#This Row],[EnvProjet]],TabEnvProjet[],3,FALSE)</f>
        <v>PROD</v>
      </c>
      <c r="AB149" s="5">
        <f>COUNTIF(TabVMEnv[VM],TabVMEnv[[#This Row],[VM]])</f>
        <v>1</v>
      </c>
    </row>
    <row r="150" spans="1:28" x14ac:dyDescent="0.25">
      <c r="A150" t="s">
        <v>260</v>
      </c>
      <c r="B150" t="s">
        <v>481</v>
      </c>
      <c r="E150" s="13"/>
      <c r="F150">
        <f>IF(VLOOKUP(TabVMEnv[[#This Row],[VM]],TabOceanet[],16,FALSE) = "Tarif_VM",IF(VLOOKUP(TabVMEnv[[#This Row],[VM]],TabOceanet[],2,FALSE)&lt;4,4,VLOOKUP(TabVMEnv[[#This Row],[VM]],TabOceanet[],2,FALSE)),0)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IF(VLOOKUP(TabVMEnv[[#This Row],[VM]],TabOceanet[],16,FALSE) = "Tarif_VM",1,0)/TabVMEnv[[#This Row],[Mutualisé]]</f>
        <v>1</v>
      </c>
      <c r="L150">
        <f>IF(VLOOKUP(TabVMEnv[[#This Row],[VM]],TabOceanet[],9,FALSE) = "PoweredOn",1,0)</f>
        <v>0</v>
      </c>
      <c r="M150">
        <f>TabVMEnv[[#This Row],[IsVMPoweredOn]]*VLOOKUP(TabVMEnv[[#This Row],[VM]],TabOceanet[],3,FALSE)/TabVMEnv[[#This Row],[Mutualisé]]</f>
        <v>0</v>
      </c>
      <c r="N150">
        <f>VLOOKUP(TabVMEnv[[#This Row],[VM]],TabOceanet[],4,FALSE)/TabVMEnv[[#This Row],[Mutualisé]]</f>
        <v>16</v>
      </c>
      <c r="O150">
        <f>IF(LEFT(VLOOKUP(TabVMEnv[[#This Row],[VM]],TabOceanet[],5,FALSE),3)="win",1,0)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VLOOKUP(TabVMEnv[[#This Row],[EnvProjet]],TabEnvProjet[],4,FALSE)</f>
        <v>Fablab-Firmin</v>
      </c>
      <c r="R150" s="5" t="str">
        <f>VLOOKUP(TabVMEnv[[#This Row],[SYGES]],TabContrat[],2,FALSE)</f>
        <v>Fablab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3.68</v>
      </c>
      <c r="U150" s="17">
        <f>IF(TabVMEnv[[#This Row],[CostCenter]]="CostCenterDI",0,TabVMEnv[[#This Row],[CoutGlobal]])</f>
        <v>3.68</v>
      </c>
      <c r="V150" s="17">
        <f>TabVMEnv[[#This Row],[CoutGlobalSansCostCenterDI]]/TabVMEnv[[#Totals],[CoutGlobalSansCostCenterDI]]*(GlobalARepartirSansMS+GlobalARepartirMSOnly+GlobalARepartirInfraReseau)</f>
        <v>7.672877304729834</v>
      </c>
      <c r="W150" s="17">
        <f>TabVMEnv[[#This Row],[CoutGlobalSansCostCenterDI]]+TabVMEnv[[#This Row],[CoutGlobalSupplementaire]]</f>
        <v>11.352877304729834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0" s="5" t="str">
        <f>VLOOKUP(TabVMEnv[[#This Row],[EnvProjet]],TabEnvProjet[],5,FALSE)</f>
        <v>Pierre-Yves Baloche</v>
      </c>
      <c r="Z150" s="5" t="str">
        <f>VLOOKUP(TabVMEnv[[#This Row],[EnvProjet]],TabEnvProjet[],6,FALSE)</f>
        <v>Fablab</v>
      </c>
      <c r="AA150" s="5" t="str">
        <f>VLOOKUP(TabVMEnv[[#This Row],[EnvProjet]],TabEnvProjet[],3,FALSE)</f>
        <v>PROD</v>
      </c>
      <c r="AB150" s="5">
        <f>COUNTIF(TabVMEnv[VM],TabVMEnv[[#This Row],[VM]])</f>
        <v>1</v>
      </c>
    </row>
    <row r="151" spans="1:28" x14ac:dyDescent="0.25">
      <c r="A151" t="s">
        <v>298</v>
      </c>
      <c r="B151" t="s">
        <v>482</v>
      </c>
      <c r="E151" s="13"/>
      <c r="F151">
        <f>IF(VLOOKUP(TabVMEnv[[#This Row],[VM]],TabOceanet[],16,FALSE) = "Tarif_VM",IF(VLOOKUP(TabVMEnv[[#This Row],[VM]],TabOceanet[],2,FALSE)&lt;4,4,VLOOKUP(TabVMEnv[[#This Row],[VM]],TabOceanet[],2,FALSE)),0)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IF(VLOOKUP(TabVMEnv[[#This Row],[VM]],TabOceanet[],16,FALSE) = "Tarif_VM",1,0)/TabVMEnv[[#This Row],[Mutualisé]]</f>
        <v>1</v>
      </c>
      <c r="L151">
        <f>IF(VLOOKUP(TabVMEnv[[#This Row],[VM]],TabOceanet[],9,FALSE) = "PoweredOn",1,0)</f>
        <v>1</v>
      </c>
      <c r="M151">
        <f>TabVMEnv[[#This Row],[IsVMPoweredOn]]*VLOOKUP(TabVMEnv[[#This Row],[VM]],TabOceanet[],3,FALSE)/TabVMEnv[[#This Row],[Mutualisé]]</f>
        <v>4</v>
      </c>
      <c r="N151">
        <f>VLOOKUP(TabVMEnv[[#This Row],[VM]],TabOceanet[],4,FALSE)/TabVMEnv[[#This Row],[Mutualisé]]</f>
        <v>16</v>
      </c>
      <c r="O151">
        <f>IF(LEFT(VLOOKUP(TabVMEnv[[#This Row],[VM]],TabOceanet[],5,FALSE),3)="win",1,0)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VLOOKUP(TabVMEnv[[#This Row],[EnvProjet]],TabEnvProjet[],4,FALSE)</f>
        <v>Fablab-Firmin</v>
      </c>
      <c r="R151" s="5" t="str">
        <f>VLOOKUP(TabVMEnv[[#This Row],[SYGES]],TabContrat[],2,FALSE)</f>
        <v>Fablab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10.08</v>
      </c>
      <c r="U151" s="17">
        <f>IF(TabVMEnv[[#This Row],[CostCenter]]="CostCenterDI",0,TabVMEnv[[#This Row],[CoutGlobal]])</f>
        <v>10.08</v>
      </c>
      <c r="V151" s="17">
        <f>TabVMEnv[[#This Row],[CoutGlobalSansCostCenterDI]]/TabVMEnv[[#Totals],[CoutGlobalSansCostCenterDI]]*(GlobalARepartirSansMS+GlobalARepartirMSOnly+GlobalARepartirInfraReseau)</f>
        <v>21.017011747738241</v>
      </c>
      <c r="W151" s="17">
        <f>TabVMEnv[[#This Row],[CoutGlobalSansCostCenterDI]]+TabVMEnv[[#This Row],[CoutGlobalSupplementaire]]</f>
        <v>31.097011747738243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1" s="5" t="str">
        <f>VLOOKUP(TabVMEnv[[#This Row],[EnvProjet]],TabEnvProjet[],5,FALSE)</f>
        <v>Pierre-Yves Baloche</v>
      </c>
      <c r="Z151" s="5" t="str">
        <f>VLOOKUP(TabVMEnv[[#This Row],[EnvProjet]],TabEnvProjet[],6,FALSE)</f>
        <v>Fablab</v>
      </c>
      <c r="AA151" s="5" t="str">
        <f>VLOOKUP(TabVMEnv[[#This Row],[EnvProjet]],TabEnvProjet[],3,FALSE)</f>
        <v>PREPROD</v>
      </c>
      <c r="AB151" s="5">
        <f>COUNTIF(TabVMEnv[VM],TabVMEnv[[#This Row],[VM]])</f>
        <v>1</v>
      </c>
    </row>
    <row r="152" spans="1:28" x14ac:dyDescent="0.25">
      <c r="A152" t="s">
        <v>261</v>
      </c>
      <c r="B152" t="s">
        <v>481</v>
      </c>
      <c r="E152" s="13"/>
      <c r="F152">
        <f>IF(VLOOKUP(TabVMEnv[[#This Row],[VM]],TabOceanet[],16,FALSE) = "Tarif_VM",IF(VLOOKUP(TabVMEnv[[#This Row],[VM]],TabOceanet[],2,FALSE)&lt;4,4,VLOOKUP(TabVMEnv[[#This Row],[VM]],TabOceanet[],2,FALSE)),0)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IF(VLOOKUP(TabVMEnv[[#This Row],[VM]],TabOceanet[],16,FALSE) = "Tarif_VM",1,0)/TabVMEnv[[#This Row],[Mutualisé]]</f>
        <v>1</v>
      </c>
      <c r="L152">
        <f>IF(VLOOKUP(TabVMEnv[[#This Row],[VM]],TabOceanet[],9,FALSE) = "PoweredOn",1,0)</f>
        <v>1</v>
      </c>
      <c r="M152">
        <f>TabVMEnv[[#This Row],[IsVMPoweredOn]]*VLOOKUP(TabVMEnv[[#This Row],[VM]],TabOceanet[],3,FALSE)/TabVMEnv[[#This Row],[Mutualisé]]</f>
        <v>4</v>
      </c>
      <c r="N152">
        <f>VLOOKUP(TabVMEnv[[#This Row],[VM]],TabOceanet[],4,FALSE)/TabVMEnv[[#This Row],[Mutualisé]]</f>
        <v>16</v>
      </c>
      <c r="O152">
        <f>IF(LEFT(VLOOKUP(TabVMEnv[[#This Row],[VM]],TabOceanet[],5,FALSE),3)="win",1,0)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VLOOKUP(TabVMEnv[[#This Row],[EnvProjet]],TabEnvProjet[],4,FALSE)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10.08</v>
      </c>
      <c r="U152" s="17">
        <f>IF(TabVMEnv[[#This Row],[CostCenter]]="CostCenterDI",0,TabVMEnv[[#This Row],[CoutGlobal]])</f>
        <v>10.08</v>
      </c>
      <c r="V152" s="17">
        <f>TabVMEnv[[#This Row],[CoutGlobalSansCostCenterDI]]/TabVMEnv[[#Totals],[CoutGlobalSansCostCenterDI]]*(GlobalARepartirSansMS+GlobalARepartirMSOnly+GlobalARepartirInfraReseau)</f>
        <v>21.017011747738241</v>
      </c>
      <c r="W152" s="17">
        <f>TabVMEnv[[#This Row],[CoutGlobalSansCostCenterDI]]+TabVMEnv[[#This Row],[CoutGlobalSupplementaire]]</f>
        <v>31.097011747738243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VLOOKUP(TabVMEnv[[#This Row],[EnvProjet]],TabEnvProjet[],5,FALSE)</f>
        <v>Pierre-Yves Baloche</v>
      </c>
      <c r="Z152" s="5" t="str">
        <f>VLOOKUP(TabVMEnv[[#This Row],[EnvProjet]],TabEnvProjet[],6,FALSE)</f>
        <v>Fablab</v>
      </c>
      <c r="AA152" s="5" t="str">
        <f>VLOOKUP(TabVMEnv[[#This Row],[EnvProjet]],TabEnvProjet[],3,FALSE)</f>
        <v>PROD</v>
      </c>
      <c r="AB152" s="5">
        <f>COUNTIF(TabVMEnv[VM],TabVMEnv[[#This Row],[VM]])</f>
        <v>1</v>
      </c>
    </row>
    <row r="153" spans="1:28" x14ac:dyDescent="0.25">
      <c r="A153" t="s">
        <v>299</v>
      </c>
      <c r="B153" t="s">
        <v>482</v>
      </c>
      <c r="E153" s="13"/>
      <c r="F153">
        <f>IF(VLOOKUP(TabVMEnv[[#This Row],[VM]],TabOceanet[],16,FALSE) = "Tarif_VM",IF(VLOOKUP(TabVMEnv[[#This Row],[VM]],TabOceanet[],2,FALSE)&lt;4,4,VLOOKUP(TabVMEnv[[#This Row],[VM]],TabOceanet[],2,FALSE)),0)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IF(VLOOKUP(TabVMEnv[[#This Row],[VM]],TabOceanet[],16,FALSE) = "Tarif_VM",1,0)/TabVMEnv[[#This Row],[Mutualisé]]</f>
        <v>1</v>
      </c>
      <c r="L153">
        <f>IF(VLOOKUP(TabVMEnv[[#This Row],[VM]],TabOceanet[],9,FALSE) = "PoweredOn",1,0)</f>
        <v>1</v>
      </c>
      <c r="M153">
        <f>TabVMEnv[[#This Row],[IsVMPoweredOn]]*VLOOKUP(TabVMEnv[[#This Row],[VM]],TabOceanet[],3,FALSE)/TabVMEnv[[#This Row],[Mutualisé]]</f>
        <v>4</v>
      </c>
      <c r="N153">
        <f>VLOOKUP(TabVMEnv[[#This Row],[VM]],TabOceanet[],4,FALSE)/TabVMEnv[[#This Row],[Mutualisé]]</f>
        <v>21</v>
      </c>
      <c r="O153">
        <f>IF(LEFT(VLOOKUP(TabVMEnv[[#This Row],[VM]],TabOceanet[],5,FALSE),3)="win",1,0)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VLOOKUP(TabVMEnv[[#This Row],[EnvProjet]],TabEnvProjet[],4,FALSE)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11.23</v>
      </c>
      <c r="U153" s="17">
        <f>IF(TabVMEnv[[#This Row],[CostCenter]]="CostCenterDI",0,TabVMEnv[[#This Row],[CoutGlobal]])</f>
        <v>11.23</v>
      </c>
      <c r="V153" s="17">
        <f>TabVMEnv[[#This Row],[CoutGlobalSansCostCenterDI]]/TabVMEnv[[#Totals],[CoutGlobalSansCostCenterDI]]*(GlobalARepartirSansMS+GlobalARepartirMSOnly+GlobalARepartirInfraReseau)</f>
        <v>23.414785905466314</v>
      </c>
      <c r="W153" s="17">
        <f>TabVMEnv[[#This Row],[CoutGlobalSansCostCenterDI]]+TabVMEnv[[#This Row],[CoutGlobalSupplementaire]]</f>
        <v>34.644785905466314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VLOOKUP(TabVMEnv[[#This Row],[EnvProjet]],TabEnvProjet[],5,FALSE)</f>
        <v>Pierre-Yves Baloche</v>
      </c>
      <c r="Z153" s="5" t="str">
        <f>VLOOKUP(TabVMEnv[[#This Row],[EnvProjet]],TabEnvProjet[],6,FALSE)</f>
        <v>Fablab</v>
      </c>
      <c r="AA153" s="5" t="str">
        <f>VLOOKUP(TabVMEnv[[#This Row],[EnvProjet]],TabEnvProjet[],3,FALSE)</f>
        <v>PREPROD</v>
      </c>
      <c r="AB153" s="5">
        <f>COUNTIF(TabVMEnv[VM],TabVMEnv[[#This Row],[VM]])</f>
        <v>1</v>
      </c>
    </row>
    <row r="154" spans="1:28" x14ac:dyDescent="0.25">
      <c r="A154" t="s">
        <v>300</v>
      </c>
      <c r="B154" t="s">
        <v>482</v>
      </c>
      <c r="E154" s="13"/>
      <c r="F154">
        <f>IF(VLOOKUP(TabVMEnv[[#This Row],[VM]],TabOceanet[],16,FALSE) = "Tarif_VM",IF(VLOOKUP(TabVMEnv[[#This Row],[VM]],TabOceanet[],2,FALSE)&lt;4,4,VLOOKUP(TabVMEnv[[#This Row],[VM]],TabOceanet[],2,FALSE)),0)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IF(VLOOKUP(TabVMEnv[[#This Row],[VM]],TabOceanet[],16,FALSE) = "Tarif_VM",1,0)/TabVMEnv[[#This Row],[Mutualisé]]</f>
        <v>1</v>
      </c>
      <c r="L154">
        <f>IF(VLOOKUP(TabVMEnv[[#This Row],[VM]],TabOceanet[],9,FALSE) = "PoweredOn",1,0)</f>
        <v>1</v>
      </c>
      <c r="M154">
        <f>TabVMEnv[[#This Row],[IsVMPoweredOn]]*VLOOKUP(TabVMEnv[[#This Row],[VM]],TabOceanet[],3,FALSE)/TabVMEnv[[#This Row],[Mutualisé]]</f>
        <v>4</v>
      </c>
      <c r="N154">
        <f>VLOOKUP(TabVMEnv[[#This Row],[VM]],TabOceanet[],4,FALSE)/TabVMEnv[[#This Row],[Mutualisé]]</f>
        <v>16</v>
      </c>
      <c r="O154">
        <f>IF(LEFT(VLOOKUP(TabVMEnv[[#This Row],[VM]],TabOceanet[],5,FALSE),3)="win",1,0)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VLOOKUP(TabVMEnv[[#This Row],[EnvProjet]],TabEnvProjet[],4,FALSE)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10.08</v>
      </c>
      <c r="U154" s="17">
        <f>IF(TabVMEnv[[#This Row],[CostCenter]]="CostCenterDI",0,TabVMEnv[[#This Row],[CoutGlobal]])</f>
        <v>10.08</v>
      </c>
      <c r="V154" s="17">
        <f>TabVMEnv[[#This Row],[CoutGlobalSansCostCenterDI]]/TabVMEnv[[#Totals],[CoutGlobalSansCostCenterDI]]*(GlobalARepartirSansMS+GlobalARepartirMSOnly+GlobalARepartirInfraReseau)</f>
        <v>21.017011747738241</v>
      </c>
      <c r="W154" s="17">
        <f>TabVMEnv[[#This Row],[CoutGlobalSansCostCenterDI]]+TabVMEnv[[#This Row],[CoutGlobalSupplementaire]]</f>
        <v>31.097011747738243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VLOOKUP(TabVMEnv[[#This Row],[EnvProjet]],TabEnvProjet[],5,FALSE)</f>
        <v>Pierre-Yves Baloche</v>
      </c>
      <c r="Z154" s="5" t="str">
        <f>VLOOKUP(TabVMEnv[[#This Row],[EnvProjet]],TabEnvProjet[],6,FALSE)</f>
        <v>Fablab</v>
      </c>
      <c r="AA154" s="5" t="str">
        <f>VLOOKUP(TabVMEnv[[#This Row],[EnvProjet]],TabEnvProjet[],3,FALSE)</f>
        <v>PREPROD</v>
      </c>
      <c r="AB154" s="5">
        <f>COUNTIF(TabVMEnv[VM],TabVMEnv[[#This Row],[VM]])</f>
        <v>1</v>
      </c>
    </row>
    <row r="155" spans="1:28" x14ac:dyDescent="0.25">
      <c r="A155" t="s">
        <v>301</v>
      </c>
      <c r="B155" t="s">
        <v>482</v>
      </c>
      <c r="E155" s="13"/>
      <c r="F155">
        <f>IF(VLOOKUP(TabVMEnv[[#This Row],[VM]],TabOceanet[],16,FALSE) = "Tarif_VM",IF(VLOOKUP(TabVMEnv[[#This Row],[VM]],TabOceanet[],2,FALSE)&lt;4,4,VLOOKUP(TabVMEnv[[#This Row],[VM]],TabOceanet[],2,FALSE)),0)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IF(VLOOKUP(TabVMEnv[[#This Row],[VM]],TabOceanet[],16,FALSE) = "Tarif_VM",1,0)/TabVMEnv[[#This Row],[Mutualisé]]</f>
        <v>1</v>
      </c>
      <c r="L155">
        <f>IF(VLOOKUP(TabVMEnv[[#This Row],[VM]],TabOceanet[],9,FALSE) = "PoweredOn",1,0)</f>
        <v>1</v>
      </c>
      <c r="M155">
        <f>TabVMEnv[[#This Row],[IsVMPoweredOn]]*VLOOKUP(TabVMEnv[[#This Row],[VM]],TabOceanet[],3,FALSE)/TabVMEnv[[#This Row],[Mutualisé]]</f>
        <v>4</v>
      </c>
      <c r="N155">
        <f>VLOOKUP(TabVMEnv[[#This Row],[VM]],TabOceanet[],4,FALSE)/TabVMEnv[[#This Row],[Mutualisé]]</f>
        <v>21</v>
      </c>
      <c r="O155">
        <f>IF(LEFT(VLOOKUP(TabVMEnv[[#This Row],[VM]],TabOceanet[],5,FALSE),3)="win",1,0)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VLOOKUP(TabVMEnv[[#This Row],[EnvProjet]],TabEnvProjet[],4,FALSE)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11.23</v>
      </c>
      <c r="U155" s="17">
        <f>IF(TabVMEnv[[#This Row],[CostCenter]]="CostCenterDI",0,TabVMEnv[[#This Row],[CoutGlobal]])</f>
        <v>11.23</v>
      </c>
      <c r="V155" s="17">
        <f>TabVMEnv[[#This Row],[CoutGlobalSansCostCenterDI]]/TabVMEnv[[#Totals],[CoutGlobalSansCostCenterDI]]*(GlobalARepartirSansMS+GlobalARepartirMSOnly+GlobalARepartirInfraReseau)</f>
        <v>23.414785905466314</v>
      </c>
      <c r="W155" s="17">
        <f>TabVMEnv[[#This Row],[CoutGlobalSansCostCenterDI]]+TabVMEnv[[#This Row],[CoutGlobalSupplementaire]]</f>
        <v>34.644785905466314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VLOOKUP(TabVMEnv[[#This Row],[EnvProjet]],TabEnvProjet[],5,FALSE)</f>
        <v>Pierre-Yves Baloche</v>
      </c>
      <c r="Z155" s="5" t="str">
        <f>VLOOKUP(TabVMEnv[[#This Row],[EnvProjet]],TabEnvProjet[],6,FALSE)</f>
        <v>Fablab</v>
      </c>
      <c r="AA155" s="5" t="str">
        <f>VLOOKUP(TabVMEnv[[#This Row],[EnvProjet]],TabEnvProjet[],3,FALSE)</f>
        <v>PREPROD</v>
      </c>
      <c r="AB155" s="5">
        <f>COUNTIF(TabVMEnv[VM],TabVMEnv[[#This Row],[VM]])</f>
        <v>1</v>
      </c>
    </row>
    <row r="156" spans="1:28" x14ac:dyDescent="0.25">
      <c r="A156" t="s">
        <v>302</v>
      </c>
      <c r="B156" t="s">
        <v>482</v>
      </c>
      <c r="E156" s="13"/>
      <c r="F156">
        <f>IF(VLOOKUP(TabVMEnv[[#This Row],[VM]],TabOceanet[],16,FALSE) = "Tarif_VM",IF(VLOOKUP(TabVMEnv[[#This Row],[VM]],TabOceanet[],2,FALSE)&lt;4,4,VLOOKUP(TabVMEnv[[#This Row],[VM]],TabOceanet[],2,FALSE)),0)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IF(VLOOKUP(TabVMEnv[[#This Row],[VM]],TabOceanet[],16,FALSE) = "Tarif_VM",1,0)/TabVMEnv[[#This Row],[Mutualisé]]</f>
        <v>1</v>
      </c>
      <c r="L156">
        <f>IF(VLOOKUP(TabVMEnv[[#This Row],[VM]],TabOceanet[],9,FALSE) = "PoweredOn",1,0)</f>
        <v>1</v>
      </c>
      <c r="M156">
        <f>TabVMEnv[[#This Row],[IsVMPoweredOn]]*VLOOKUP(TabVMEnv[[#This Row],[VM]],TabOceanet[],3,FALSE)/TabVMEnv[[#This Row],[Mutualisé]]</f>
        <v>4</v>
      </c>
      <c r="N156">
        <f>VLOOKUP(TabVMEnv[[#This Row],[VM]],TabOceanet[],4,FALSE)/TabVMEnv[[#This Row],[Mutualisé]]</f>
        <v>16</v>
      </c>
      <c r="O156">
        <f>IF(LEFT(VLOOKUP(TabVMEnv[[#This Row],[VM]],TabOceanet[],5,FALSE),3)="win",1,0)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VLOOKUP(TabVMEnv[[#This Row],[EnvProjet]],TabEnvProjet[],4,FALSE)</f>
        <v>Fablab-Firmin</v>
      </c>
      <c r="R156" s="5" t="str">
        <f>VLOOKUP(TabVMEnv[[#This Row],[SYGES]],TabContrat[],2,FALSE)</f>
        <v>Fablab</v>
      </c>
      <c r="S156" s="5" t="str">
        <f>IF(VLOOKUP(TabVMEnv[[#This Row],[VM]],TabOceanet[],1,FALSE) = "","Disparue","")</f>
        <v/>
      </c>
      <c r="T156" s="17">
        <f>VLOOKUP(TabVMEnv[[#This Row],[VM]],TabOceanet[],36,FALSE)/TabVMEnv[[#This Row],[Mutualisé]]</f>
        <v>10.08</v>
      </c>
      <c r="U156" s="17">
        <f>IF(TabVMEnv[[#This Row],[CostCenter]]="CostCenterDI",0,TabVMEnv[[#This Row],[CoutGlobal]])</f>
        <v>10.08</v>
      </c>
      <c r="V156" s="17">
        <f>TabVMEnv[[#This Row],[CoutGlobalSansCostCenterDI]]/TabVMEnv[[#Totals],[CoutGlobalSansCostCenterDI]]*(GlobalARepartirSansMS+GlobalARepartirMSOnly+GlobalARepartirInfraReseau)</f>
        <v>21.017011747738241</v>
      </c>
      <c r="W156" s="17">
        <f>TabVMEnv[[#This Row],[CoutGlobalSansCostCenterDI]]+TabVMEnv[[#This Row],[CoutGlobalSupplementaire]]</f>
        <v>31.097011747738243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6" s="5" t="str">
        <f>VLOOKUP(TabVMEnv[[#This Row],[EnvProjet]],TabEnvProjet[],5,FALSE)</f>
        <v>Pierre-Yves Baloche</v>
      </c>
      <c r="Z156" s="5" t="str">
        <f>VLOOKUP(TabVMEnv[[#This Row],[EnvProjet]],TabEnvProjet[],6,FALSE)</f>
        <v>Fablab</v>
      </c>
      <c r="AA156" s="5" t="str">
        <f>VLOOKUP(TabVMEnv[[#This Row],[EnvProjet]],TabEnvProjet[],3,FALSE)</f>
        <v>PREPROD</v>
      </c>
      <c r="AB156" s="5">
        <f>COUNTIF(TabVMEnv[VM],TabVMEnv[[#This Row],[VM]])</f>
        <v>1</v>
      </c>
    </row>
    <row r="157" spans="1:28" x14ac:dyDescent="0.25">
      <c r="A157" t="s">
        <v>303</v>
      </c>
      <c r="B157" t="s">
        <v>482</v>
      </c>
      <c r="E157" s="13"/>
      <c r="F157">
        <f>IF(VLOOKUP(TabVMEnv[[#This Row],[VM]],TabOceanet[],16,FALSE) = "Tarif_VM",IF(VLOOKUP(TabVMEnv[[#This Row],[VM]],TabOceanet[],2,FALSE)&lt;4,4,VLOOKUP(TabVMEnv[[#This Row],[VM]],TabOceanet[],2,FALSE)),0)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IF(VLOOKUP(TabVMEnv[[#This Row],[VM]],TabOceanet[],16,FALSE) = "Tarif_VM",1,0)/TabVMEnv[[#This Row],[Mutualisé]]</f>
        <v>1</v>
      </c>
      <c r="L157">
        <f>IF(VLOOKUP(TabVMEnv[[#This Row],[VM]],TabOceanet[],9,FALSE) = "PoweredOn",1,0)</f>
        <v>1</v>
      </c>
      <c r="M157">
        <f>TabVMEnv[[#This Row],[IsVMPoweredOn]]*VLOOKUP(TabVMEnv[[#This Row],[VM]],TabOceanet[],3,FALSE)/TabVMEnv[[#This Row],[Mutualisé]]</f>
        <v>4</v>
      </c>
      <c r="N157">
        <f>VLOOKUP(TabVMEnv[[#This Row],[VM]],TabOceanet[],4,FALSE)/TabVMEnv[[#This Row],[Mutualisé]]</f>
        <v>21</v>
      </c>
      <c r="O157">
        <f>IF(LEFT(VLOOKUP(TabVMEnv[[#This Row],[VM]],TabOceanet[],5,FALSE),3)="win",1,0)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VLOOKUP(TabVMEnv[[#This Row],[EnvProjet]],TabEnvProjet[],4,FALSE)</f>
        <v>Fablab-Firmin</v>
      </c>
      <c r="R157" s="5" t="str">
        <f>VLOOKUP(TabVMEnv[[#This Row],[SYGES]],TabContrat[],2,FALSE)</f>
        <v>Fablab</v>
      </c>
      <c r="S157" s="5" t="str">
        <f>IF(VLOOKUP(TabVMEnv[[#This Row],[VM]],TabOceanet[],1,FALSE) = "","Disparue","")</f>
        <v/>
      </c>
      <c r="T157" s="17">
        <f>VLOOKUP(TabVMEnv[[#This Row],[VM]],TabOceanet[],36,FALSE)/TabVMEnv[[#This Row],[Mutualisé]]</f>
        <v>11.23</v>
      </c>
      <c r="U157" s="17">
        <f>IF(TabVMEnv[[#This Row],[CostCenter]]="CostCenterDI",0,TabVMEnv[[#This Row],[CoutGlobal]])</f>
        <v>11.23</v>
      </c>
      <c r="V157" s="17">
        <f>TabVMEnv[[#This Row],[CoutGlobalSansCostCenterDI]]/TabVMEnv[[#Totals],[CoutGlobalSansCostCenterDI]]*(GlobalARepartirSansMS+GlobalARepartirMSOnly+GlobalARepartirInfraReseau)</f>
        <v>23.414785905466314</v>
      </c>
      <c r="W157" s="17">
        <f>TabVMEnv[[#This Row],[CoutGlobalSansCostCenterDI]]+TabVMEnv[[#This Row],[CoutGlobalSupplementaire]]</f>
        <v>34.644785905466314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7" s="5" t="str">
        <f>VLOOKUP(TabVMEnv[[#This Row],[EnvProjet]],TabEnvProjet[],5,FALSE)</f>
        <v>Pierre-Yves Baloche</v>
      </c>
      <c r="Z157" s="5" t="str">
        <f>VLOOKUP(TabVMEnv[[#This Row],[EnvProjet]],TabEnvProjet[],6,FALSE)</f>
        <v>Fablab</v>
      </c>
      <c r="AA157" s="5" t="str">
        <f>VLOOKUP(TabVMEnv[[#This Row],[EnvProjet]],TabEnvProjet[],3,FALSE)</f>
        <v>PREPROD</v>
      </c>
      <c r="AB157" s="5">
        <f>COUNTIF(TabVMEnv[VM],TabVMEnv[[#This Row],[VM]])</f>
        <v>1</v>
      </c>
    </row>
    <row r="158" spans="1:28" ht="15" customHeight="1" x14ac:dyDescent="0.25">
      <c r="A158" t="s">
        <v>315</v>
      </c>
      <c r="B158" t="s">
        <v>482</v>
      </c>
      <c r="E158" s="13"/>
      <c r="F158">
        <f>IF(VLOOKUP(TabVMEnv[[#This Row],[VM]],TabOceanet[],16,FALSE) = "Tarif_VM",IF(VLOOKUP(TabVMEnv[[#This Row],[VM]],TabOceanet[],2,FALSE)&lt;4,4,VLOOKUP(TabVMEnv[[#This Row],[VM]],TabOceanet[],2,FALSE)),0)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IF(VLOOKUP(TabVMEnv[[#This Row],[VM]],TabOceanet[],16,FALSE) = "Tarif_VM",1,0)/TabVMEnv[[#This Row],[Mutualisé]]</f>
        <v>1</v>
      </c>
      <c r="L158">
        <f>IF(VLOOKUP(TabVMEnv[[#This Row],[VM]],TabOceanet[],9,FALSE) = "PoweredOn",1,0)</f>
        <v>1</v>
      </c>
      <c r="M158">
        <f>TabVMEnv[[#This Row],[IsVMPoweredOn]]*VLOOKUP(TabVMEnv[[#This Row],[VM]],TabOceanet[],3,FALSE)/TabVMEnv[[#This Row],[Mutualisé]]</f>
        <v>4</v>
      </c>
      <c r="N158">
        <f>VLOOKUP(TabVMEnv[[#This Row],[VM]],TabOceanet[],4,FALSE)/TabVMEnv[[#This Row],[Mutualisé]]</f>
        <v>21</v>
      </c>
      <c r="O158">
        <f>IF(LEFT(VLOOKUP(TabVMEnv[[#This Row],[VM]],TabOceanet[],5,FALSE),3)="win",1,0)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VLOOKUP(TabVMEnv[[#This Row],[EnvProjet]],TabEnvProjet[],4,FALSE)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25">
        <f>VLOOKUP(TabVMEnv[[#This Row],[VM]],TabOceanet[],36,FALSE)/TabVMEnv[[#This Row],[Mutualisé]]</f>
        <v>11.23</v>
      </c>
      <c r="U158" s="25">
        <f>IF(TabVMEnv[[#This Row],[CostCenter]]="CostCenterDI",0,TabVMEnv[[#This Row],[CoutGlobal]])</f>
        <v>11.23</v>
      </c>
      <c r="V158" s="25">
        <f>TabVMEnv[[#This Row],[CoutGlobalSansCostCenterDI]]/TabVMEnv[[#Totals],[CoutGlobalSansCostCenterDI]]*(GlobalARepartirSansMS+GlobalARepartirMSOnly+GlobalARepartirInfraReseau)</f>
        <v>23.414785905466314</v>
      </c>
      <c r="W158" s="25">
        <f>TabVMEnv[[#This Row],[CoutGlobalSansCostCenterDI]]+TabVMEnv[[#This Row],[CoutGlobalSupplementaire]]</f>
        <v>34.644785905466314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VLOOKUP(TabVMEnv[[#This Row],[EnvProjet]],TabEnvProjet[],5,FALSE)</f>
        <v>Pierre-Yves Baloche</v>
      </c>
      <c r="Z158" s="5" t="str">
        <f>VLOOKUP(TabVMEnv[[#This Row],[EnvProjet]],TabEnvProjet[],6,FALSE)</f>
        <v>Fablab</v>
      </c>
      <c r="AA158" s="5" t="str">
        <f>VLOOKUP(TabVMEnv[[#This Row],[EnvProjet]],TabEnvProjet[],3,FALSE)</f>
        <v>PREPROD</v>
      </c>
      <c r="AB158" s="5">
        <f>COUNTIF(TabVMEnv[VM],TabVMEnv[[#This Row],[VM]])</f>
        <v>1</v>
      </c>
    </row>
    <row r="159" spans="1:28" x14ac:dyDescent="0.25">
      <c r="A159" t="s">
        <v>304</v>
      </c>
      <c r="B159" t="s">
        <v>482</v>
      </c>
      <c r="E159" s="13"/>
      <c r="F159">
        <f>IF(VLOOKUP(TabVMEnv[[#This Row],[VM]],TabOceanet[],16,FALSE) = "Tarif_VM",IF(VLOOKUP(TabVMEnv[[#This Row],[VM]],TabOceanet[],2,FALSE)&lt;4,4,VLOOKUP(TabVMEnv[[#This Row],[VM]],TabOceanet[],2,FALSE)),0)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IF(VLOOKUP(TabVMEnv[[#This Row],[VM]],TabOceanet[],16,FALSE) = "Tarif_VM",1,0)/TabVMEnv[[#This Row],[Mutualisé]]</f>
        <v>1</v>
      </c>
      <c r="L159">
        <f>IF(VLOOKUP(TabVMEnv[[#This Row],[VM]],TabOceanet[],9,FALSE) = "PoweredOn",1,0)</f>
        <v>1</v>
      </c>
      <c r="M159">
        <f>TabVMEnv[[#This Row],[IsVMPoweredOn]]*VLOOKUP(TabVMEnv[[#This Row],[VM]],TabOceanet[],3,FALSE)/TabVMEnv[[#This Row],[Mutualisé]]</f>
        <v>4</v>
      </c>
      <c r="N159">
        <f>VLOOKUP(TabVMEnv[[#This Row],[VM]],TabOceanet[],4,FALSE)/TabVMEnv[[#This Row],[Mutualisé]]</f>
        <v>16</v>
      </c>
      <c r="O159">
        <f>IF(LEFT(VLOOKUP(TabVMEnv[[#This Row],[VM]],TabOceanet[],5,FALSE),3)="win",1,0)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VLOOKUP(TabVMEnv[[#This Row],[EnvProjet]],TabEnvProjet[],4,FALSE)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17">
        <f>VLOOKUP(TabVMEnv[[#This Row],[VM]],TabOceanet[],36,FALSE)/TabVMEnv[[#This Row],[Mutualisé]]</f>
        <v>10.08</v>
      </c>
      <c r="U159" s="17">
        <f>IF(TabVMEnv[[#This Row],[CostCenter]]="CostCenterDI",0,TabVMEnv[[#This Row],[CoutGlobal]])</f>
        <v>10.08</v>
      </c>
      <c r="V159" s="17">
        <f>TabVMEnv[[#This Row],[CoutGlobalSansCostCenterDI]]/TabVMEnv[[#Totals],[CoutGlobalSansCostCenterDI]]*(GlobalARepartirSansMS+GlobalARepartirMSOnly+GlobalARepartirInfraReseau)</f>
        <v>21.017011747738241</v>
      </c>
      <c r="W159" s="17">
        <f>TabVMEnv[[#This Row],[CoutGlobalSansCostCenterDI]]+TabVMEnv[[#This Row],[CoutGlobalSupplementaire]]</f>
        <v>31.097011747738243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VLOOKUP(TabVMEnv[[#This Row],[EnvProjet]],TabEnvProjet[],5,FALSE)</f>
        <v>Pierre-Yves Baloche</v>
      </c>
      <c r="Z159" s="5" t="str">
        <f>VLOOKUP(TabVMEnv[[#This Row],[EnvProjet]],TabEnvProjet[],6,FALSE)</f>
        <v>Fablab</v>
      </c>
      <c r="AA159" s="5" t="str">
        <f>VLOOKUP(TabVMEnv[[#This Row],[EnvProjet]],TabEnvProjet[],3,FALSE)</f>
        <v>PREPROD</v>
      </c>
      <c r="AB159" s="5">
        <f>COUNTIF(TabVMEnv[VM],TabVMEnv[[#This Row],[VM]])</f>
        <v>1</v>
      </c>
    </row>
    <row r="160" spans="1:28" x14ac:dyDescent="0.25">
      <c r="A160" t="s">
        <v>305</v>
      </c>
      <c r="B160" t="s">
        <v>482</v>
      </c>
      <c r="E160" s="13"/>
      <c r="F160">
        <f>IF(VLOOKUP(TabVMEnv[[#This Row],[VM]],TabOceanet[],16,FALSE) = "Tarif_VM",IF(VLOOKUP(TabVMEnv[[#This Row],[VM]],TabOceanet[],2,FALSE)&lt;4,4,VLOOKUP(TabVMEnv[[#This Row],[VM]],TabOceanet[],2,FALSE)),0)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IF(VLOOKUP(TabVMEnv[[#This Row],[VM]],TabOceanet[],16,FALSE) = "Tarif_VM",1,0)/TabVMEnv[[#This Row],[Mutualisé]]</f>
        <v>1</v>
      </c>
      <c r="L160">
        <f>IF(VLOOKUP(TabVMEnv[[#This Row],[VM]],TabOceanet[],9,FALSE) = "PoweredOn",1,0)</f>
        <v>1</v>
      </c>
      <c r="M160">
        <f>TabVMEnv[[#This Row],[IsVMPoweredOn]]*VLOOKUP(TabVMEnv[[#This Row],[VM]],TabOceanet[],3,FALSE)/TabVMEnv[[#This Row],[Mutualisé]]</f>
        <v>4</v>
      </c>
      <c r="N160">
        <f>VLOOKUP(TabVMEnv[[#This Row],[VM]],TabOceanet[],4,FALSE)/TabVMEnv[[#This Row],[Mutualisé]]</f>
        <v>21</v>
      </c>
      <c r="O160">
        <f>IF(LEFT(VLOOKUP(TabVMEnv[[#This Row],[VM]],TabOceanet[],5,FALSE),3)="win",1,0)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VLOOKUP(TabVMEnv[[#This Row],[EnvProjet]],TabEnvProjet[],4,FALSE)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17">
        <f>VLOOKUP(TabVMEnv[[#This Row],[VM]],TabOceanet[],36,FALSE)/TabVMEnv[[#This Row],[Mutualisé]]</f>
        <v>11.23</v>
      </c>
      <c r="U160" s="17">
        <f>IF(TabVMEnv[[#This Row],[CostCenter]]="CostCenterDI",0,TabVMEnv[[#This Row],[CoutGlobal]])</f>
        <v>11.23</v>
      </c>
      <c r="V160" s="17">
        <f>TabVMEnv[[#This Row],[CoutGlobalSansCostCenterDI]]/TabVMEnv[[#Totals],[CoutGlobalSansCostCenterDI]]*(GlobalARepartirSansMS+GlobalARepartirMSOnly+GlobalARepartirInfraReseau)</f>
        <v>23.414785905466314</v>
      </c>
      <c r="W160" s="17">
        <f>TabVMEnv[[#This Row],[CoutGlobalSansCostCenterDI]]+TabVMEnv[[#This Row],[CoutGlobalSupplementaire]]</f>
        <v>34.644785905466314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VLOOKUP(TabVMEnv[[#This Row],[EnvProjet]],TabEnvProjet[],5,FALSE)</f>
        <v>Pierre-Yves Baloche</v>
      </c>
      <c r="Z160" s="5" t="str">
        <f>VLOOKUP(TabVMEnv[[#This Row],[EnvProjet]],TabEnvProjet[],6,FALSE)</f>
        <v>Fablab</v>
      </c>
      <c r="AA160" s="5" t="str">
        <f>VLOOKUP(TabVMEnv[[#This Row],[EnvProjet]],TabEnvProjet[],3,FALSE)</f>
        <v>PREPROD</v>
      </c>
      <c r="AB160" s="5">
        <f>COUNTIF(TabVMEnv[VM],TabVMEnv[[#This Row],[VM]])</f>
        <v>1</v>
      </c>
    </row>
    <row r="161" spans="1:28" x14ac:dyDescent="0.25">
      <c r="A161" t="s">
        <v>314</v>
      </c>
      <c r="B161" t="s">
        <v>482</v>
      </c>
      <c r="E161" s="13"/>
      <c r="F161">
        <f>IF(VLOOKUP(TabVMEnv[[#This Row],[VM]],TabOceanet[],16,FALSE) = "Tarif_VM",IF(VLOOKUP(TabVMEnv[[#This Row],[VM]],TabOceanet[],2,FALSE)&lt;4,4,VLOOKUP(TabVMEnv[[#This Row],[VM]],TabOceanet[],2,FALSE)),0)</f>
        <v>4</v>
      </c>
      <c r="G161">
        <v>0</v>
      </c>
      <c r="H161">
        <v>0</v>
      </c>
      <c r="I161">
        <v>0</v>
      </c>
      <c r="J161">
        <v>0</v>
      </c>
      <c r="K161">
        <f>IF(VLOOKUP(TabVMEnv[[#This Row],[VM]],TabOceanet[],16,FALSE) = "Tarif_VM",1,0)/TabVMEnv[[#This Row],[Mutualisé]]</f>
        <v>1</v>
      </c>
      <c r="L161">
        <f>IF(VLOOKUP(TabVMEnv[[#This Row],[VM]],TabOceanet[],9,FALSE) = "PoweredOn",1,0)</f>
        <v>1</v>
      </c>
      <c r="M161">
        <f>TabVMEnv[[#This Row],[IsVMPoweredOn]]*VLOOKUP(TabVMEnv[[#This Row],[VM]],TabOceanet[],3,FALSE)/TabVMEnv[[#This Row],[Mutualisé]]</f>
        <v>4</v>
      </c>
      <c r="N161">
        <f>VLOOKUP(TabVMEnv[[#This Row],[VM]],TabOceanet[],4,FALSE)/TabVMEnv[[#This Row],[Mutualisé]]</f>
        <v>21</v>
      </c>
      <c r="O161">
        <f>IF(LEFT(VLOOKUP(TabVMEnv[[#This Row],[VM]],TabOceanet[],5,FALSE),3)="win",1,0)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VLOOKUP(TabVMEnv[[#This Row],[EnvProjet]],TabEnvProjet[],4,FALSE)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11.23</v>
      </c>
      <c r="U161" s="25">
        <f>IF(TabVMEnv[[#This Row],[CostCenter]]="CostCenterDI",0,TabVMEnv[[#This Row],[CoutGlobal]])</f>
        <v>11.23</v>
      </c>
      <c r="V161" s="25">
        <f>TabVMEnv[[#This Row],[CoutGlobalSansCostCenterDI]]/TabVMEnv[[#Totals],[CoutGlobalSansCostCenterDI]]*(GlobalARepartirSansMS+GlobalARepartirMSOnly+GlobalARepartirInfraReseau)</f>
        <v>23.414785905466314</v>
      </c>
      <c r="W161" s="25">
        <f>TabVMEnv[[#This Row],[CoutGlobalSansCostCenterDI]]+TabVMEnv[[#This Row],[CoutGlobalSupplementaire]]</f>
        <v>34.644785905466314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VLOOKUP(TabVMEnv[[#This Row],[EnvProjet]],TabEnvProjet[],5,FALSE)</f>
        <v>Pierre-Yves Baloche</v>
      </c>
      <c r="Z161" s="5" t="str">
        <f>VLOOKUP(TabVMEnv[[#This Row],[EnvProjet]],TabEnvProjet[],6,FALSE)</f>
        <v>Fablab</v>
      </c>
      <c r="AA161" s="5" t="str">
        <f>VLOOKUP(TabVMEnv[[#This Row],[EnvProjet]],TabEnvProjet[],3,FALSE)</f>
        <v>PREPROD</v>
      </c>
      <c r="AB161" s="5">
        <f>COUNTIF(TabVMEnv[VM],TabVMEnv[[#This Row],[VM]])</f>
        <v>1</v>
      </c>
    </row>
    <row r="162" spans="1:28" x14ac:dyDescent="0.25">
      <c r="A162" t="s">
        <v>316</v>
      </c>
      <c r="B162" t="s">
        <v>482</v>
      </c>
      <c r="E162" s="13"/>
      <c r="F162">
        <f>IF(VLOOKUP(TabVMEnv[[#This Row],[VM]],TabOceanet[],16,FALSE) = "Tarif_VM",IF(VLOOKUP(TabVMEnv[[#This Row],[VM]],TabOceanet[],2,FALSE)&lt;4,4,VLOOKUP(TabVMEnv[[#This Row],[VM]],TabOceanet[],2,FALSE)),0)</f>
        <v>4</v>
      </c>
      <c r="G162">
        <v>0</v>
      </c>
      <c r="H162">
        <v>0</v>
      </c>
      <c r="I162">
        <v>0</v>
      </c>
      <c r="J162">
        <v>0</v>
      </c>
      <c r="K162">
        <f>IF(VLOOKUP(TabVMEnv[[#This Row],[VM]],TabOceanet[],16,FALSE) = "Tarif_VM",1,0)/TabVMEnv[[#This Row],[Mutualisé]]</f>
        <v>1</v>
      </c>
      <c r="L162">
        <f>IF(VLOOKUP(TabVMEnv[[#This Row],[VM]],TabOceanet[],9,FALSE) = "PoweredOn",1,0)</f>
        <v>1</v>
      </c>
      <c r="M162">
        <f>TabVMEnv[[#This Row],[IsVMPoweredOn]]*VLOOKUP(TabVMEnv[[#This Row],[VM]],TabOceanet[],3,FALSE)/TabVMEnv[[#This Row],[Mutualisé]]</f>
        <v>4</v>
      </c>
      <c r="N162">
        <f>VLOOKUP(TabVMEnv[[#This Row],[VM]],TabOceanet[],4,FALSE)/TabVMEnv[[#This Row],[Mutualisé]]</f>
        <v>21</v>
      </c>
      <c r="O162">
        <f>IF(LEFT(VLOOKUP(TabVMEnv[[#This Row],[VM]],TabOceanet[],5,FALSE),3)="win",1,0)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VLOOKUP(TabVMEnv[[#This Row],[EnvProjet]],TabEnvProjet[],4,FALSE)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11.23</v>
      </c>
      <c r="U162" s="25">
        <f>IF(TabVMEnv[[#This Row],[CostCenter]]="CostCenterDI",0,TabVMEnv[[#This Row],[CoutGlobal]])</f>
        <v>11.23</v>
      </c>
      <c r="V162" s="25">
        <f>TabVMEnv[[#This Row],[CoutGlobalSansCostCenterDI]]/TabVMEnv[[#Totals],[CoutGlobalSansCostCenterDI]]*(GlobalARepartirSansMS+GlobalARepartirMSOnly+GlobalARepartirInfraReseau)</f>
        <v>23.414785905466314</v>
      </c>
      <c r="W162" s="25">
        <f>TabVMEnv[[#This Row],[CoutGlobalSansCostCenterDI]]+TabVMEnv[[#This Row],[CoutGlobalSupplementaire]]</f>
        <v>34.644785905466314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VLOOKUP(TabVMEnv[[#This Row],[EnvProjet]],TabEnvProjet[],5,FALSE)</f>
        <v>Pierre-Yves Baloche</v>
      </c>
      <c r="Z162" s="5" t="str">
        <f>VLOOKUP(TabVMEnv[[#This Row],[EnvProjet]],TabEnvProjet[],6,FALSE)</f>
        <v>Fablab</v>
      </c>
      <c r="AA162" s="5" t="str">
        <f>VLOOKUP(TabVMEnv[[#This Row],[EnvProjet]],TabEnvProjet[],3,FALSE)</f>
        <v>PREPROD</v>
      </c>
      <c r="AB162" s="5">
        <f>COUNTIF(TabVMEnv[VM],TabVMEnv[[#This Row],[VM]])</f>
        <v>1</v>
      </c>
    </row>
    <row r="163" spans="1:28" x14ac:dyDescent="0.25">
      <c r="A163" t="s">
        <v>317</v>
      </c>
      <c r="B163" t="s">
        <v>482</v>
      </c>
      <c r="E163" s="13"/>
      <c r="F163">
        <f>IF(VLOOKUP(TabVMEnv[[#This Row],[VM]],TabOceanet[],16,FALSE) = "Tarif_VM",IF(VLOOKUP(TabVMEnv[[#This Row],[VM]],TabOceanet[],2,FALSE)&lt;4,4,VLOOKUP(TabVMEnv[[#This Row],[VM]],TabOceanet[],2,FALSE)),0)</f>
        <v>4</v>
      </c>
      <c r="G163">
        <v>0</v>
      </c>
      <c r="H163">
        <v>0</v>
      </c>
      <c r="I163">
        <v>0</v>
      </c>
      <c r="J163">
        <v>0</v>
      </c>
      <c r="K163">
        <f>IF(VLOOKUP(TabVMEnv[[#This Row],[VM]],TabOceanet[],16,FALSE) = "Tarif_VM",1,0)/TabVMEnv[[#This Row],[Mutualisé]]</f>
        <v>1</v>
      </c>
      <c r="L163">
        <f>IF(VLOOKUP(TabVMEnv[[#This Row],[VM]],TabOceanet[],9,FALSE) = "PoweredOn",1,0)</f>
        <v>1</v>
      </c>
      <c r="M163">
        <f>TabVMEnv[[#This Row],[IsVMPoweredOn]]*VLOOKUP(TabVMEnv[[#This Row],[VM]],TabOceanet[],3,FALSE)/TabVMEnv[[#This Row],[Mutualisé]]</f>
        <v>4</v>
      </c>
      <c r="N163">
        <f>VLOOKUP(TabVMEnv[[#This Row],[VM]],TabOceanet[],4,FALSE)/TabVMEnv[[#This Row],[Mutualisé]]</f>
        <v>21</v>
      </c>
      <c r="O163">
        <f>IF(LEFT(VLOOKUP(TabVMEnv[[#This Row],[VM]],TabOceanet[],5,FALSE),3)="win",1,0)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VLOOKUP(TabVMEnv[[#This Row],[EnvProjet]],TabEnvProjet[],4,FALSE)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11.23</v>
      </c>
      <c r="U163" s="25">
        <f>IF(TabVMEnv[[#This Row],[CostCenter]]="CostCenterDI",0,TabVMEnv[[#This Row],[CoutGlobal]])</f>
        <v>11.23</v>
      </c>
      <c r="V163" s="25">
        <f>TabVMEnv[[#This Row],[CoutGlobalSansCostCenterDI]]/TabVMEnv[[#Totals],[CoutGlobalSansCostCenterDI]]*(GlobalARepartirSansMS+GlobalARepartirMSOnly+GlobalARepartirInfraReseau)</f>
        <v>23.414785905466314</v>
      </c>
      <c r="W163" s="25">
        <f>TabVMEnv[[#This Row],[CoutGlobalSansCostCenterDI]]+TabVMEnv[[#This Row],[CoutGlobalSupplementaire]]</f>
        <v>34.644785905466314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VLOOKUP(TabVMEnv[[#This Row],[EnvProjet]],TabEnvProjet[],5,FALSE)</f>
        <v>Pierre-Yves Baloche</v>
      </c>
      <c r="Z163" s="5" t="str">
        <f>VLOOKUP(TabVMEnv[[#This Row],[EnvProjet]],TabEnvProjet[],6,FALSE)</f>
        <v>Fablab</v>
      </c>
      <c r="AA163" s="5" t="str">
        <f>VLOOKUP(TabVMEnv[[#This Row],[EnvProjet]],TabEnvProjet[],3,FALSE)</f>
        <v>PREPROD</v>
      </c>
      <c r="AB163" s="5">
        <f>COUNTIF(TabVMEnv[VM],TabVMEnv[[#This Row],[VM]])</f>
        <v>1</v>
      </c>
    </row>
    <row r="164" spans="1:28" x14ac:dyDescent="0.25">
      <c r="A164" t="s">
        <v>318</v>
      </c>
      <c r="B164" t="s">
        <v>482</v>
      </c>
      <c r="E164" s="13"/>
      <c r="F164">
        <f>IF(VLOOKUP(TabVMEnv[[#This Row],[VM]],TabOceanet[],16,FALSE) = "Tarif_VM",IF(VLOOKUP(TabVMEnv[[#This Row],[VM]],TabOceanet[],2,FALSE)&lt;4,4,VLOOKUP(TabVMEnv[[#This Row],[VM]],TabOceanet[],2,FALSE)),0)</f>
        <v>4</v>
      </c>
      <c r="G164">
        <v>0</v>
      </c>
      <c r="H164">
        <v>0</v>
      </c>
      <c r="I164">
        <v>0</v>
      </c>
      <c r="J164">
        <v>0</v>
      </c>
      <c r="K164">
        <f>IF(VLOOKUP(TabVMEnv[[#This Row],[VM]],TabOceanet[],16,FALSE) = "Tarif_VM",1,0)/TabVMEnv[[#This Row],[Mutualisé]]</f>
        <v>1</v>
      </c>
      <c r="L164">
        <f>IF(VLOOKUP(TabVMEnv[[#This Row],[VM]],TabOceanet[],9,FALSE) = "PoweredOn",1,0)</f>
        <v>1</v>
      </c>
      <c r="M164">
        <f>TabVMEnv[[#This Row],[IsVMPoweredOn]]*VLOOKUP(TabVMEnv[[#This Row],[VM]],TabOceanet[],3,FALSE)/TabVMEnv[[#This Row],[Mutualisé]]</f>
        <v>4</v>
      </c>
      <c r="N164">
        <f>VLOOKUP(TabVMEnv[[#This Row],[VM]],TabOceanet[],4,FALSE)/TabVMEnv[[#This Row],[Mutualisé]]</f>
        <v>21</v>
      </c>
      <c r="O164">
        <f>IF(LEFT(VLOOKUP(TabVMEnv[[#This Row],[VM]],TabOceanet[],5,FALSE),3)="win",1,0)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VLOOKUP(TabVMEnv[[#This Row],[EnvProjet]],TabEnvProjet[],4,FALSE)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5">
        <f>VLOOKUP(TabVMEnv[[#This Row],[VM]],TabOceanet[],36,FALSE)/TabVMEnv[[#This Row],[Mutualisé]]</f>
        <v>11.23</v>
      </c>
      <c r="U164" s="25">
        <f>IF(TabVMEnv[[#This Row],[CostCenter]]="CostCenterDI",0,TabVMEnv[[#This Row],[CoutGlobal]])</f>
        <v>11.23</v>
      </c>
      <c r="V164" s="25">
        <f>TabVMEnv[[#This Row],[CoutGlobalSansCostCenterDI]]/TabVMEnv[[#Totals],[CoutGlobalSansCostCenterDI]]*(GlobalARepartirSansMS+GlobalARepartirMSOnly+GlobalARepartirInfraReseau)</f>
        <v>23.414785905466314</v>
      </c>
      <c r="W164" s="25">
        <f>TabVMEnv[[#This Row],[CoutGlobalSansCostCenterDI]]+TabVMEnv[[#This Row],[CoutGlobalSupplementaire]]</f>
        <v>34.644785905466314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VLOOKUP(TabVMEnv[[#This Row],[EnvProjet]],TabEnvProjet[],5,FALSE)</f>
        <v>Pierre-Yves Baloche</v>
      </c>
      <c r="Z164" s="5" t="str">
        <f>VLOOKUP(TabVMEnv[[#This Row],[EnvProjet]],TabEnvProjet[],6,FALSE)</f>
        <v>Fablab</v>
      </c>
      <c r="AA164" s="5" t="str">
        <f>VLOOKUP(TabVMEnv[[#This Row],[EnvProjet]],TabEnvProjet[],3,FALSE)</f>
        <v>PREPROD</v>
      </c>
      <c r="AB164" s="5">
        <f>COUNTIF(TabVMEnv[VM],TabVMEnv[[#This Row],[VM]])</f>
        <v>1</v>
      </c>
    </row>
    <row r="165" spans="1:28" x14ac:dyDescent="0.25">
      <c r="A165" t="s">
        <v>290</v>
      </c>
      <c r="B165" t="s">
        <v>481</v>
      </c>
      <c r="E165" s="13"/>
      <c r="F165">
        <f>IF(VLOOKUP(TabVMEnv[[#This Row],[VM]],TabOceanet[],16,FALSE) = "Tarif_VM",IF(VLOOKUP(TabVMEnv[[#This Row],[VM]],TabOceanet[],2,FALSE)&lt;4,4,VLOOKUP(TabVMEnv[[#This Row],[VM]],TabOceanet[],2,FALSE)),0)</f>
        <v>4</v>
      </c>
      <c r="G165">
        <v>0</v>
      </c>
      <c r="H165">
        <v>0</v>
      </c>
      <c r="I165">
        <v>0</v>
      </c>
      <c r="J165">
        <v>0</v>
      </c>
      <c r="K165">
        <f>IF(VLOOKUP(TabVMEnv[[#This Row],[VM]],TabOceanet[],16,FALSE) = "Tarif_VM",1,0)/TabVMEnv[[#This Row],[Mutualisé]]</f>
        <v>1</v>
      </c>
      <c r="L165">
        <f>IF(VLOOKUP(TabVMEnv[[#This Row],[VM]],TabOceanet[],9,FALSE) = "PoweredOn",1,0)</f>
        <v>1</v>
      </c>
      <c r="M165">
        <f>TabVMEnv[[#This Row],[IsVMPoweredOn]]*VLOOKUP(TabVMEnv[[#This Row],[VM]],TabOceanet[],3,FALSE)/TabVMEnv[[#This Row],[Mutualisé]]</f>
        <v>4</v>
      </c>
      <c r="N165">
        <f>VLOOKUP(TabVMEnv[[#This Row],[VM]],TabOceanet[],4,FALSE)/TabVMEnv[[#This Row],[Mutualisé]]</f>
        <v>21</v>
      </c>
      <c r="O165">
        <f>IF(LEFT(VLOOKUP(TabVMEnv[[#This Row],[VM]],TabOceanet[],5,FALSE),3)="win",1,0)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VLOOKUP(TabVMEnv[[#This Row],[EnvProjet]],TabEnvProjet[],4,FALSE)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25">
        <f>VLOOKUP(TabVMEnv[[#This Row],[VM]],TabOceanet[],36,FALSE)/TabVMEnv[[#This Row],[Mutualisé]]</f>
        <v>11.23</v>
      </c>
      <c r="U165" s="25">
        <f>IF(TabVMEnv[[#This Row],[CostCenter]]="CostCenterDI",0,TabVMEnv[[#This Row],[CoutGlobal]])</f>
        <v>11.23</v>
      </c>
      <c r="V165" s="25">
        <f>TabVMEnv[[#This Row],[CoutGlobalSansCostCenterDI]]/TabVMEnv[[#Totals],[CoutGlobalSansCostCenterDI]]*(GlobalARepartirSansMS+GlobalARepartirMSOnly+GlobalARepartirInfraReseau)</f>
        <v>23.414785905466314</v>
      </c>
      <c r="W165" s="25">
        <f>TabVMEnv[[#This Row],[CoutGlobalSansCostCenterDI]]+TabVMEnv[[#This Row],[CoutGlobalSupplementaire]]</f>
        <v>34.644785905466314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VLOOKUP(TabVMEnv[[#This Row],[EnvProjet]],TabEnvProjet[],5,FALSE)</f>
        <v>Pierre-Yves Baloche</v>
      </c>
      <c r="Z165" s="5" t="str">
        <f>VLOOKUP(TabVMEnv[[#This Row],[EnvProjet]],TabEnvProjet[],6,FALSE)</f>
        <v>Fablab</v>
      </c>
      <c r="AA165" s="5" t="str">
        <f>VLOOKUP(TabVMEnv[[#This Row],[EnvProjet]],TabEnvProjet[],3,FALSE)</f>
        <v>PROD</v>
      </c>
      <c r="AB165" s="5">
        <f>COUNTIF(TabVMEnv[VM],TabVMEnv[[#This Row],[VM]])</f>
        <v>1</v>
      </c>
    </row>
    <row r="166" spans="1:28" x14ac:dyDescent="0.25">
      <c r="A166" t="s">
        <v>319</v>
      </c>
      <c r="B166" t="s">
        <v>482</v>
      </c>
      <c r="E166" s="13"/>
      <c r="F166" s="5">
        <f>IF(VLOOKUP(TabVMEnv[[#This Row],[VM]],TabOceanet[],16,FALSE) = "Tarif_VM",IF(VLOOKUP(TabVMEnv[[#This Row],[VM]],TabOceanet[],2,FALSE)&lt;4,4,VLOOKUP(TabVMEnv[[#This Row],[VM]],TabOceanet[],2,FALSE)),0)</f>
        <v>4</v>
      </c>
      <c r="G166">
        <v>0</v>
      </c>
      <c r="H166">
        <v>0</v>
      </c>
      <c r="I166">
        <v>0</v>
      </c>
      <c r="J166">
        <v>0</v>
      </c>
      <c r="K166" s="5">
        <f>IF(VLOOKUP(TabVMEnv[[#This Row],[VM]],TabOceanet[],16,FALSE) = "Tarif_VM",1,0)/TabVMEnv[[#This Row],[Mutualisé]]</f>
        <v>1</v>
      </c>
      <c r="L166" s="5">
        <f>IF(VLOOKUP(TabVMEnv[[#This Row],[VM]],TabOceanet[],9,FALSE) = "PoweredOn",1,0)</f>
        <v>1</v>
      </c>
      <c r="M166" s="5">
        <f>TabVMEnv[[#This Row],[IsVMPoweredOn]]*VLOOKUP(TabVMEnv[[#This Row],[VM]],TabOceanet[],3,FALSE)/TabVMEnv[[#This Row],[Mutualisé]]</f>
        <v>4</v>
      </c>
      <c r="N166" s="5">
        <f>VLOOKUP(TabVMEnv[[#This Row],[VM]],TabOceanet[],4,FALSE)/TabVMEnv[[#This Row],[Mutualisé]]</f>
        <v>21</v>
      </c>
      <c r="O166" s="5">
        <f>IF(LEFT(VLOOKUP(TabVMEnv[[#This Row],[VM]],TabOceanet[],5,FALSE),3)="win",1,0)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VLOOKUP(TabVMEnv[[#This Row],[EnvProjet]],TabEnvProjet[],4,FALSE)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11.23</v>
      </c>
      <c r="U166" s="25">
        <f>IF(TabVMEnv[[#This Row],[CostCenter]]="CostCenterDI",0,TabVMEnv[[#This Row],[CoutGlobal]])</f>
        <v>11.23</v>
      </c>
      <c r="V166" s="25">
        <f>TabVMEnv[[#This Row],[CoutGlobalSansCostCenterDI]]/TabVMEnv[[#Totals],[CoutGlobalSansCostCenterDI]]*(GlobalARepartirSansMS+GlobalARepartirMSOnly+GlobalARepartirInfraReseau)</f>
        <v>23.414785905466314</v>
      </c>
      <c r="W166" s="25">
        <f>TabVMEnv[[#This Row],[CoutGlobalSansCostCenterDI]]+TabVMEnv[[#This Row],[CoutGlobalSupplementaire]]</f>
        <v>34.644785905466314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VLOOKUP(TabVMEnv[[#This Row],[EnvProjet]],TabEnvProjet[],5,FALSE)</f>
        <v>Pierre-Yves Baloche</v>
      </c>
      <c r="Z166" s="5" t="str">
        <f>VLOOKUP(TabVMEnv[[#This Row],[EnvProjet]],TabEnvProjet[],6,FALSE)</f>
        <v>Fablab</v>
      </c>
      <c r="AA166" s="5" t="str">
        <f>VLOOKUP(TabVMEnv[[#This Row],[EnvProjet]],TabEnvProjet[],3,FALSE)</f>
        <v>PREPROD</v>
      </c>
      <c r="AB166" s="5">
        <f>COUNTIF(TabVMEnv[VM],TabVMEnv[[#This Row],[VM]])</f>
        <v>1</v>
      </c>
    </row>
    <row r="167" spans="1:28" x14ac:dyDescent="0.25">
      <c r="A167" t="s">
        <v>320</v>
      </c>
      <c r="B167" t="s">
        <v>482</v>
      </c>
      <c r="E167" s="13"/>
      <c r="F167" s="5">
        <f>IF(VLOOKUP(TabVMEnv[[#This Row],[VM]],TabOceanet[],16,FALSE) = "Tarif_VM",IF(VLOOKUP(TabVMEnv[[#This Row],[VM]],TabOceanet[],2,FALSE)&lt;4,4,VLOOKUP(TabVMEnv[[#This Row],[VM]],TabOceanet[],2,FALSE)),0)</f>
        <v>4</v>
      </c>
      <c r="G167">
        <v>0</v>
      </c>
      <c r="H167">
        <v>0</v>
      </c>
      <c r="I167">
        <v>0</v>
      </c>
      <c r="J167">
        <v>0</v>
      </c>
      <c r="K167" s="5">
        <f>IF(VLOOKUP(TabVMEnv[[#This Row],[VM]],TabOceanet[],16,FALSE) = "Tarif_VM",1,0)/TabVMEnv[[#This Row],[Mutualisé]]</f>
        <v>1</v>
      </c>
      <c r="L167" s="5">
        <f>IF(VLOOKUP(TabVMEnv[[#This Row],[VM]],TabOceanet[],9,FALSE) = "PoweredOn",1,0)</f>
        <v>1</v>
      </c>
      <c r="M167" s="5">
        <f>TabVMEnv[[#This Row],[IsVMPoweredOn]]*VLOOKUP(TabVMEnv[[#This Row],[VM]],TabOceanet[],3,FALSE)/TabVMEnv[[#This Row],[Mutualisé]]</f>
        <v>4</v>
      </c>
      <c r="N167" s="5">
        <f>VLOOKUP(TabVMEnv[[#This Row],[VM]],TabOceanet[],4,FALSE)/TabVMEnv[[#This Row],[Mutualisé]]</f>
        <v>21</v>
      </c>
      <c r="O167" s="5">
        <f>IF(LEFT(VLOOKUP(TabVMEnv[[#This Row],[VM]],TabOceanet[],5,FALSE),3)="win",1,0)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VLOOKUP(TabVMEnv[[#This Row],[EnvProjet]],TabEnvProjet[],4,FALSE)</f>
        <v>Fablab-Firmin</v>
      </c>
      <c r="R167" s="5" t="str">
        <f>VLOOKUP(TabVMEnv[[#This Row],[SYGES]],TabContrat[],2,FALSE)</f>
        <v>Fablab</v>
      </c>
      <c r="S167" s="5" t="str">
        <f>IF(VLOOKUP(TabVMEnv[[#This Row],[VM]],TabOceanet[],1,FALSE) = "","Disparue","")</f>
        <v/>
      </c>
      <c r="T167" s="25">
        <f>VLOOKUP(TabVMEnv[[#This Row],[VM]],TabOceanet[],36,FALSE)/TabVMEnv[[#This Row],[Mutualisé]]</f>
        <v>11.23</v>
      </c>
      <c r="U167" s="25">
        <f>IF(TabVMEnv[[#This Row],[CostCenter]]="CostCenterDI",0,TabVMEnv[[#This Row],[CoutGlobal]])</f>
        <v>11.23</v>
      </c>
      <c r="V167" s="25">
        <f>TabVMEnv[[#This Row],[CoutGlobalSansCostCenterDI]]/TabVMEnv[[#Totals],[CoutGlobalSansCostCenterDI]]*(GlobalARepartirSansMS+GlobalARepartirMSOnly+GlobalARepartirInfraReseau)</f>
        <v>23.414785905466314</v>
      </c>
      <c r="W167" s="25">
        <f>TabVMEnv[[#This Row],[CoutGlobalSansCostCenterDI]]+TabVMEnv[[#This Row],[CoutGlobalSupplementaire]]</f>
        <v>34.644785905466314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7" s="5" t="str">
        <f>VLOOKUP(TabVMEnv[[#This Row],[EnvProjet]],TabEnvProjet[],5,FALSE)</f>
        <v>Pierre-Yves Baloche</v>
      </c>
      <c r="Z167" s="5" t="str">
        <f>VLOOKUP(TabVMEnv[[#This Row],[EnvProjet]],TabEnvProjet[],6,FALSE)</f>
        <v>Fablab</v>
      </c>
      <c r="AA167" s="5" t="str">
        <f>VLOOKUP(TabVMEnv[[#This Row],[EnvProjet]],TabEnvProjet[],3,FALSE)</f>
        <v>PREPROD</v>
      </c>
      <c r="AB167" s="5">
        <f>COUNTIF(TabVMEnv[VM],TabVMEnv[[#This Row],[VM]])</f>
        <v>1</v>
      </c>
    </row>
    <row r="168" spans="1:28" x14ac:dyDescent="0.25">
      <c r="A168" t="s">
        <v>321</v>
      </c>
      <c r="B168" t="s">
        <v>482</v>
      </c>
      <c r="E168" s="13"/>
      <c r="F168" s="5">
        <f>IF(VLOOKUP(TabVMEnv[[#This Row],[VM]],TabOceanet[],16,FALSE) = "Tarif_VM",IF(VLOOKUP(TabVMEnv[[#This Row],[VM]],TabOceanet[],2,FALSE)&lt;4,4,VLOOKUP(TabVMEnv[[#This Row],[VM]],TabOceanet[],2,FALSE)),0)</f>
        <v>4</v>
      </c>
      <c r="G168">
        <v>0</v>
      </c>
      <c r="H168">
        <v>0</v>
      </c>
      <c r="I168">
        <v>0</v>
      </c>
      <c r="J168">
        <v>0</v>
      </c>
      <c r="K168" s="5">
        <f>IF(VLOOKUP(TabVMEnv[[#This Row],[VM]],TabOceanet[],16,FALSE) = "Tarif_VM",1,0)/TabVMEnv[[#This Row],[Mutualisé]]</f>
        <v>1</v>
      </c>
      <c r="L168" s="5">
        <f>IF(VLOOKUP(TabVMEnv[[#This Row],[VM]],TabOceanet[],9,FALSE) = "PoweredOn",1,0)</f>
        <v>1</v>
      </c>
      <c r="M168" s="5">
        <f>TabVMEnv[[#This Row],[IsVMPoweredOn]]*VLOOKUP(TabVMEnv[[#This Row],[VM]],TabOceanet[],3,FALSE)/TabVMEnv[[#This Row],[Mutualisé]]</f>
        <v>4</v>
      </c>
      <c r="N168" s="5">
        <f>VLOOKUP(TabVMEnv[[#This Row],[VM]],TabOceanet[],4,FALSE)/TabVMEnv[[#This Row],[Mutualisé]]</f>
        <v>21</v>
      </c>
      <c r="O168" s="5">
        <f>IF(LEFT(VLOOKUP(TabVMEnv[[#This Row],[VM]],TabOceanet[],5,FALSE),3)="win",1,0)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VLOOKUP(TabVMEnv[[#This Row],[EnvProjet]],TabEnvProjet[],4,FALSE)</f>
        <v>Fablab-Firmin</v>
      </c>
      <c r="R168" s="5" t="str">
        <f>VLOOKUP(TabVMEnv[[#This Row],[SYGES]],TabContrat[],2,FALSE)</f>
        <v>Fablab</v>
      </c>
      <c r="S168" s="5" t="str">
        <f>IF(VLOOKUP(TabVMEnv[[#This Row],[VM]],TabOceanet[],1,FALSE) = "","Disparue","")</f>
        <v/>
      </c>
      <c r="T168" s="25">
        <f>VLOOKUP(TabVMEnv[[#This Row],[VM]],TabOceanet[],36,FALSE)/TabVMEnv[[#This Row],[Mutualisé]]</f>
        <v>11.23</v>
      </c>
      <c r="U168" s="25">
        <f>IF(TabVMEnv[[#This Row],[CostCenter]]="CostCenterDI",0,TabVMEnv[[#This Row],[CoutGlobal]])</f>
        <v>11.23</v>
      </c>
      <c r="V168" s="25">
        <f>TabVMEnv[[#This Row],[CoutGlobalSansCostCenterDI]]/TabVMEnv[[#Totals],[CoutGlobalSansCostCenterDI]]*(GlobalARepartirSansMS+GlobalARepartirMSOnly+GlobalARepartirInfraReseau)</f>
        <v>23.414785905466314</v>
      </c>
      <c r="W168" s="25">
        <f>TabVMEnv[[#This Row],[CoutGlobalSansCostCenterDI]]+TabVMEnv[[#This Row],[CoutGlobalSupplementaire]]</f>
        <v>34.644785905466314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8" s="5" t="str">
        <f>VLOOKUP(TabVMEnv[[#This Row],[EnvProjet]],TabEnvProjet[],5,FALSE)</f>
        <v>Pierre-Yves Baloche</v>
      </c>
      <c r="Z168" s="5" t="str">
        <f>VLOOKUP(TabVMEnv[[#This Row],[EnvProjet]],TabEnvProjet[],6,FALSE)</f>
        <v>Fablab</v>
      </c>
      <c r="AA168" s="5" t="str">
        <f>VLOOKUP(TabVMEnv[[#This Row],[EnvProjet]],TabEnvProjet[],3,FALSE)</f>
        <v>PREPROD</v>
      </c>
      <c r="AB168" s="5">
        <f>COUNTIF(TabVMEnv[VM],TabVMEnv[[#This Row],[VM]])</f>
        <v>1</v>
      </c>
    </row>
    <row r="169" spans="1:28" x14ac:dyDescent="0.25">
      <c r="A169" t="s">
        <v>291</v>
      </c>
      <c r="B169" t="s">
        <v>481</v>
      </c>
      <c r="E169" s="13"/>
      <c r="F169" s="5">
        <f>IF(VLOOKUP(TabVMEnv[[#This Row],[VM]],TabOceanet[],16,FALSE) = "Tarif_VM",IF(VLOOKUP(TabVMEnv[[#This Row],[VM]],TabOceanet[],2,FALSE)&lt;4,4,VLOOKUP(TabVMEnv[[#This Row],[VM]],TabOceanet[],2,FALSE)),0)</f>
        <v>4</v>
      </c>
      <c r="G169">
        <v>0</v>
      </c>
      <c r="H169">
        <v>0</v>
      </c>
      <c r="I169">
        <v>0</v>
      </c>
      <c r="J169">
        <v>0</v>
      </c>
      <c r="K169" s="5">
        <f>IF(VLOOKUP(TabVMEnv[[#This Row],[VM]],TabOceanet[],16,FALSE) = "Tarif_VM",1,0)/TabVMEnv[[#This Row],[Mutualisé]]</f>
        <v>1</v>
      </c>
      <c r="L169" s="5">
        <f>IF(VLOOKUP(TabVMEnv[[#This Row],[VM]],TabOceanet[],9,FALSE) = "PoweredOn",1,0)</f>
        <v>1</v>
      </c>
      <c r="M169" s="5">
        <f>TabVMEnv[[#This Row],[IsVMPoweredOn]]*VLOOKUP(TabVMEnv[[#This Row],[VM]],TabOceanet[],3,FALSE)/TabVMEnv[[#This Row],[Mutualisé]]</f>
        <v>4</v>
      </c>
      <c r="N169" s="5">
        <f>VLOOKUP(TabVMEnv[[#This Row],[VM]],TabOceanet[],4,FALSE)/TabVMEnv[[#This Row],[Mutualisé]]</f>
        <v>21</v>
      </c>
      <c r="O169" s="5">
        <f>IF(LEFT(VLOOKUP(TabVMEnv[[#This Row],[VM]],TabOceanet[],5,FALSE),3)="win",1,0)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VLOOKUP(TabVMEnv[[#This Row],[EnvProjet]],TabEnvProjet[],4,FALSE)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25">
        <f>VLOOKUP(TabVMEnv[[#This Row],[VM]],TabOceanet[],36,FALSE)/TabVMEnv[[#This Row],[Mutualisé]]</f>
        <v>11.23</v>
      </c>
      <c r="U169" s="25">
        <f>IF(TabVMEnv[[#This Row],[CostCenter]]="CostCenterDI",0,TabVMEnv[[#This Row],[CoutGlobal]])</f>
        <v>11.23</v>
      </c>
      <c r="V169" s="25">
        <f>TabVMEnv[[#This Row],[CoutGlobalSansCostCenterDI]]/TabVMEnv[[#Totals],[CoutGlobalSansCostCenterDI]]*(GlobalARepartirSansMS+GlobalARepartirMSOnly+GlobalARepartirInfraReseau)</f>
        <v>23.414785905466314</v>
      </c>
      <c r="W169" s="25">
        <f>TabVMEnv[[#This Row],[CoutGlobalSansCostCenterDI]]+TabVMEnv[[#This Row],[CoutGlobalSupplementaire]]</f>
        <v>34.644785905466314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VLOOKUP(TabVMEnv[[#This Row],[EnvProjet]],TabEnvProjet[],5,FALSE)</f>
        <v>Pierre-Yves Baloche</v>
      </c>
      <c r="Z169" s="5" t="str">
        <f>VLOOKUP(TabVMEnv[[#This Row],[EnvProjet]],TabEnvProjet[],6,FALSE)</f>
        <v>Fablab</v>
      </c>
      <c r="AA169" s="5" t="str">
        <f>VLOOKUP(TabVMEnv[[#This Row],[EnvProjet]],TabEnvProjet[],3,FALSE)</f>
        <v>PROD</v>
      </c>
      <c r="AB169" s="5">
        <f>COUNTIF(TabVMEnv[VM],TabVMEnv[[#This Row],[VM]])</f>
        <v>1</v>
      </c>
    </row>
    <row r="170" spans="1:28" x14ac:dyDescent="0.25">
      <c r="A170" t="s">
        <v>322</v>
      </c>
      <c r="B170" t="s">
        <v>482</v>
      </c>
      <c r="E170" s="13"/>
      <c r="F170" s="5">
        <f>IF(VLOOKUP(TabVMEnv[[#This Row],[VM]],TabOceanet[],16,FALSE) = "Tarif_VM",IF(VLOOKUP(TabVMEnv[[#This Row],[VM]],TabOceanet[],2,FALSE)&lt;4,4,VLOOKUP(TabVMEnv[[#This Row],[VM]],TabOceanet[],2,FALSE)),0)</f>
        <v>4</v>
      </c>
      <c r="G170">
        <v>0</v>
      </c>
      <c r="H170">
        <v>0</v>
      </c>
      <c r="I170">
        <v>0</v>
      </c>
      <c r="J170">
        <v>0</v>
      </c>
      <c r="K170" s="5">
        <f>IF(VLOOKUP(TabVMEnv[[#This Row],[VM]],TabOceanet[],16,FALSE) = "Tarif_VM",1,0)/TabVMEnv[[#This Row],[Mutualisé]]</f>
        <v>1</v>
      </c>
      <c r="L170" s="5">
        <f>IF(VLOOKUP(TabVMEnv[[#This Row],[VM]],TabOceanet[],9,FALSE) = "PoweredOn",1,0)</f>
        <v>1</v>
      </c>
      <c r="M170" s="5">
        <f>TabVMEnv[[#This Row],[IsVMPoweredOn]]*VLOOKUP(TabVMEnv[[#This Row],[VM]],TabOceanet[],3,FALSE)/TabVMEnv[[#This Row],[Mutualisé]]</f>
        <v>4</v>
      </c>
      <c r="N170" s="5">
        <f>VLOOKUP(TabVMEnv[[#This Row],[VM]],TabOceanet[],4,FALSE)/TabVMEnv[[#This Row],[Mutualisé]]</f>
        <v>21</v>
      </c>
      <c r="O170" s="5">
        <f>IF(LEFT(VLOOKUP(TabVMEnv[[#This Row],[VM]],TabOceanet[],5,FALSE),3)="win",1,0)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VLOOKUP(TabVMEnv[[#This Row],[EnvProjet]],TabEnvProjet[],4,FALSE)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25">
        <f>VLOOKUP(TabVMEnv[[#This Row],[VM]],TabOceanet[],36,FALSE)/TabVMEnv[[#This Row],[Mutualisé]]</f>
        <v>11.23</v>
      </c>
      <c r="U170" s="25">
        <f>IF(TabVMEnv[[#This Row],[CostCenter]]="CostCenterDI",0,TabVMEnv[[#This Row],[CoutGlobal]])</f>
        <v>11.23</v>
      </c>
      <c r="V170" s="25">
        <f>TabVMEnv[[#This Row],[CoutGlobalSansCostCenterDI]]/TabVMEnv[[#Totals],[CoutGlobalSansCostCenterDI]]*(GlobalARepartirSansMS+GlobalARepartirMSOnly+GlobalARepartirInfraReseau)</f>
        <v>23.414785905466314</v>
      </c>
      <c r="W170" s="25">
        <f>TabVMEnv[[#This Row],[CoutGlobalSansCostCenterDI]]+TabVMEnv[[#This Row],[CoutGlobalSupplementaire]]</f>
        <v>34.644785905466314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VLOOKUP(TabVMEnv[[#This Row],[EnvProjet]],TabEnvProjet[],5,FALSE)</f>
        <v>Pierre-Yves Baloche</v>
      </c>
      <c r="Z170" s="5" t="str">
        <f>VLOOKUP(TabVMEnv[[#This Row],[EnvProjet]],TabEnvProjet[],6,FALSE)</f>
        <v>Fablab</v>
      </c>
      <c r="AA170" s="5" t="str">
        <f>VLOOKUP(TabVMEnv[[#This Row],[EnvProjet]],TabEnvProjet[],3,FALSE)</f>
        <v>PREPROD</v>
      </c>
      <c r="AB170" s="5">
        <f>COUNTIF(TabVMEnv[VM],TabVMEnv[[#This Row],[VM]])</f>
        <v>1</v>
      </c>
    </row>
    <row r="171" spans="1:28" x14ac:dyDescent="0.25">
      <c r="A171" t="s">
        <v>323</v>
      </c>
      <c r="B171" t="s">
        <v>482</v>
      </c>
      <c r="E171" s="13"/>
      <c r="F171" s="5">
        <f>IF(VLOOKUP(TabVMEnv[[#This Row],[VM]],TabOceanet[],16,FALSE) = "Tarif_VM",IF(VLOOKUP(TabVMEnv[[#This Row],[VM]],TabOceanet[],2,FALSE)&lt;4,4,VLOOKUP(TabVMEnv[[#This Row],[VM]],TabOceanet[],2,FALSE)),0)</f>
        <v>4</v>
      </c>
      <c r="G171">
        <v>0</v>
      </c>
      <c r="H171">
        <v>0</v>
      </c>
      <c r="I171">
        <v>0</v>
      </c>
      <c r="J171">
        <v>0</v>
      </c>
      <c r="K171" s="5">
        <f>IF(VLOOKUP(TabVMEnv[[#This Row],[VM]],TabOceanet[],16,FALSE) = "Tarif_VM",1,0)/TabVMEnv[[#This Row],[Mutualisé]]</f>
        <v>1</v>
      </c>
      <c r="L171" s="5">
        <f>IF(VLOOKUP(TabVMEnv[[#This Row],[VM]],TabOceanet[],9,FALSE) = "PoweredOn",1,0)</f>
        <v>1</v>
      </c>
      <c r="M171" s="5">
        <f>TabVMEnv[[#This Row],[IsVMPoweredOn]]*VLOOKUP(TabVMEnv[[#This Row],[VM]],TabOceanet[],3,FALSE)/TabVMEnv[[#This Row],[Mutualisé]]</f>
        <v>4</v>
      </c>
      <c r="N171" s="5">
        <f>VLOOKUP(TabVMEnv[[#This Row],[VM]],TabOceanet[],4,FALSE)/TabVMEnv[[#This Row],[Mutualisé]]</f>
        <v>21</v>
      </c>
      <c r="O171" s="5">
        <f>IF(LEFT(VLOOKUP(TabVMEnv[[#This Row],[VM]],TabOceanet[],5,FALSE),3)="win",1,0)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VLOOKUP(TabVMEnv[[#This Row],[EnvProjet]],TabEnvProjet[],4,FALSE)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25">
        <f>VLOOKUP(TabVMEnv[[#This Row],[VM]],TabOceanet[],36,FALSE)/TabVMEnv[[#This Row],[Mutualisé]]</f>
        <v>11.23</v>
      </c>
      <c r="U171" s="25">
        <f>IF(TabVMEnv[[#This Row],[CostCenter]]="CostCenterDI",0,TabVMEnv[[#This Row],[CoutGlobal]])</f>
        <v>11.23</v>
      </c>
      <c r="V171" s="25">
        <f>TabVMEnv[[#This Row],[CoutGlobalSansCostCenterDI]]/TabVMEnv[[#Totals],[CoutGlobalSansCostCenterDI]]*(GlobalARepartirSansMS+GlobalARepartirMSOnly+GlobalARepartirInfraReseau)</f>
        <v>23.414785905466314</v>
      </c>
      <c r="W171" s="25">
        <f>TabVMEnv[[#This Row],[CoutGlobalSansCostCenterDI]]+TabVMEnv[[#This Row],[CoutGlobalSupplementaire]]</f>
        <v>34.644785905466314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VLOOKUP(TabVMEnv[[#This Row],[EnvProjet]],TabEnvProjet[],5,FALSE)</f>
        <v>Pierre-Yves Baloche</v>
      </c>
      <c r="Z171" s="5" t="str">
        <f>VLOOKUP(TabVMEnv[[#This Row],[EnvProjet]],TabEnvProjet[],6,FALSE)</f>
        <v>Fablab</v>
      </c>
      <c r="AA171" s="5" t="str">
        <f>VLOOKUP(TabVMEnv[[#This Row],[EnvProjet]],TabEnvProjet[],3,FALSE)</f>
        <v>PREPROD</v>
      </c>
      <c r="AB171" s="5">
        <f>COUNTIF(TabVMEnv[VM],TabVMEnv[[#This Row],[VM]])</f>
        <v>1</v>
      </c>
    </row>
    <row r="172" spans="1:28" x14ac:dyDescent="0.25">
      <c r="A172" t="s">
        <v>294</v>
      </c>
      <c r="B172" t="s">
        <v>481</v>
      </c>
      <c r="E172" s="13"/>
      <c r="F172" s="5">
        <f>IF(VLOOKUP(TabVMEnv[[#This Row],[VM]],TabOceanet[],16,FALSE) = "Tarif_VM",IF(VLOOKUP(TabVMEnv[[#This Row],[VM]],TabOceanet[],2,FALSE)&lt;4,4,VLOOKUP(TabVMEnv[[#This Row],[VM]],TabOceanet[],2,FALSE)),0)</f>
        <v>4</v>
      </c>
      <c r="G172">
        <v>0</v>
      </c>
      <c r="H172">
        <v>0</v>
      </c>
      <c r="I172">
        <v>0</v>
      </c>
      <c r="J172">
        <v>0</v>
      </c>
      <c r="K172" s="5">
        <f>IF(VLOOKUP(TabVMEnv[[#This Row],[VM]],TabOceanet[],16,FALSE) = "Tarif_VM",1,0)/TabVMEnv[[#This Row],[Mutualisé]]</f>
        <v>1</v>
      </c>
      <c r="L172" s="5">
        <f>IF(VLOOKUP(TabVMEnv[[#This Row],[VM]],TabOceanet[],9,FALSE) = "PoweredOn",1,0)</f>
        <v>1</v>
      </c>
      <c r="M172" s="5">
        <f>TabVMEnv[[#This Row],[IsVMPoweredOn]]*VLOOKUP(TabVMEnv[[#This Row],[VM]],TabOceanet[],3,FALSE)/TabVMEnv[[#This Row],[Mutualisé]]</f>
        <v>4</v>
      </c>
      <c r="N172" s="5">
        <f>VLOOKUP(TabVMEnv[[#This Row],[VM]],TabOceanet[],4,FALSE)/TabVMEnv[[#This Row],[Mutualisé]]</f>
        <v>21</v>
      </c>
      <c r="O172" s="5">
        <f>IF(LEFT(VLOOKUP(TabVMEnv[[#This Row],[VM]],TabOceanet[],5,FALSE),3)="win",1,0)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VLOOKUP(TabVMEnv[[#This Row],[EnvProjet]],TabEnvProjet[],4,FALSE)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25">
        <f>VLOOKUP(TabVMEnv[[#This Row],[VM]],TabOceanet[],36,FALSE)/TabVMEnv[[#This Row],[Mutualisé]]</f>
        <v>11.23</v>
      </c>
      <c r="U172" s="25">
        <f>IF(TabVMEnv[[#This Row],[CostCenter]]="CostCenterDI",0,TabVMEnv[[#This Row],[CoutGlobal]])</f>
        <v>11.23</v>
      </c>
      <c r="V172" s="25">
        <f>TabVMEnv[[#This Row],[CoutGlobalSansCostCenterDI]]/TabVMEnv[[#Totals],[CoutGlobalSansCostCenterDI]]*(GlobalARepartirSansMS+GlobalARepartirMSOnly+GlobalARepartirInfraReseau)</f>
        <v>23.414785905466314</v>
      </c>
      <c r="W172" s="25">
        <f>TabVMEnv[[#This Row],[CoutGlobalSansCostCenterDI]]+TabVMEnv[[#This Row],[CoutGlobalSupplementaire]]</f>
        <v>34.644785905466314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VLOOKUP(TabVMEnv[[#This Row],[EnvProjet]],TabEnvProjet[],5,FALSE)</f>
        <v>Pierre-Yves Baloche</v>
      </c>
      <c r="Z172" s="5" t="str">
        <f>VLOOKUP(TabVMEnv[[#This Row],[EnvProjet]],TabEnvProjet[],6,FALSE)</f>
        <v>Fablab</v>
      </c>
      <c r="AA172" s="5" t="str">
        <f>VLOOKUP(TabVMEnv[[#This Row],[EnvProjet]],TabEnvProjet[],3,FALSE)</f>
        <v>PROD</v>
      </c>
      <c r="AB172" s="5">
        <f>COUNTIF(TabVMEnv[VM],TabVMEnv[[#This Row],[VM]])</f>
        <v>1</v>
      </c>
    </row>
    <row r="173" spans="1:28" x14ac:dyDescent="0.25">
      <c r="A173" t="s">
        <v>257</v>
      </c>
      <c r="B173" t="s">
        <v>485</v>
      </c>
      <c r="E173" s="13"/>
      <c r="F173" s="5">
        <f>IF(VLOOKUP(TabVMEnv[[#This Row],[VM]],TabOceanet[],16,FALSE) = "Tarif_VM",IF(VLOOKUP(TabVMEnv[[#This Row],[VM]],TabOceanet[],2,FALSE)&lt;4,4,VLOOKUP(TabVMEnv[[#This Row],[VM]],TabOceanet[],2,FALSE)),0)</f>
        <v>4</v>
      </c>
      <c r="K173" s="5">
        <f>IF(VLOOKUP(TabVMEnv[[#This Row],[VM]],TabOceanet[],16,FALSE) = "Tarif_VM",1,0)/TabVMEnv[[#This Row],[Mutualisé]]</f>
        <v>1</v>
      </c>
      <c r="L173" s="5">
        <f>IF(VLOOKUP(TabVMEnv[[#This Row],[VM]],TabOceanet[],9,FALSE) = "PoweredOn",1,0)</f>
        <v>1</v>
      </c>
      <c r="M173" s="5">
        <f>TabVMEnv[[#This Row],[IsVMPoweredOn]]*VLOOKUP(TabVMEnv[[#This Row],[VM]],TabOceanet[],3,FALSE)/TabVMEnv[[#This Row],[Mutualisé]]</f>
        <v>4</v>
      </c>
      <c r="N173" s="5">
        <f>VLOOKUP(TabVMEnv[[#This Row],[VM]],TabOceanet[],4,FALSE)/TabVMEnv[[#This Row],[Mutualisé]]</f>
        <v>22</v>
      </c>
      <c r="O173" s="5">
        <f>IF(LEFT(VLOOKUP(TabVMEnv[[#This Row],[VM]],TabOceanet[],5,FALSE),3)="win",1,0)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VLOOKUP(TabVMEnv[[#This Row],[EnvProjet]],TabEnvProjet[],4,FALSE)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25">
        <f>VLOOKUP(TabVMEnv[[#This Row],[VM]],TabOceanet[],36,FALSE)/TabVMEnv[[#This Row],[Mutualisé]]</f>
        <v>11.46</v>
      </c>
      <c r="U173" s="25">
        <f>IF(TabVMEnv[[#This Row],[CostCenter]]="CostCenterDI",0,TabVMEnv[[#This Row],[CoutGlobal]])</f>
        <v>11.46</v>
      </c>
      <c r="V173" s="25">
        <f>TabVMEnv[[#This Row],[CoutGlobalSansCostCenterDI]]/TabVMEnv[[#Totals],[CoutGlobalSansCostCenterDI]]*(GlobalARepartirSansMS+GlobalARepartirMSOnly+GlobalARepartirInfraReseau)</f>
        <v>23.894340737011927</v>
      </c>
      <c r="W173" s="25">
        <f>TabVMEnv[[#This Row],[CoutGlobalSansCostCenterDI]]+TabVMEnv[[#This Row],[CoutGlobalSupplementaire]]</f>
        <v>35.354340737011924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VLOOKUP(TabVMEnv[[#This Row],[EnvProjet]],TabEnvProjet[],5,FALSE)</f>
        <v>Pierre-Yves Baloche</v>
      </c>
      <c r="Z173" s="5" t="str">
        <f>VLOOKUP(TabVMEnv[[#This Row],[EnvProjet]],TabEnvProjet[],6,FALSE)</f>
        <v>Fablab</v>
      </c>
      <c r="AA173" s="5" t="str">
        <f>VLOOKUP(TabVMEnv[[#This Row],[EnvProjet]],TabEnvProjet[],3,FALSE)</f>
        <v>SOCLE</v>
      </c>
      <c r="AB173" s="5">
        <f>COUNTIF(TabVMEnv[VM],TabVMEnv[[#This Row],[VM]])</f>
        <v>1</v>
      </c>
    </row>
    <row r="174" spans="1:28" x14ac:dyDescent="0.25">
      <c r="A174" t="s">
        <v>306</v>
      </c>
      <c r="B174" t="s">
        <v>482</v>
      </c>
      <c r="E174" s="13"/>
      <c r="F174">
        <f>IF(VLOOKUP(TabVMEnv[[#This Row],[VM]],TabOceanet[],16,FALSE) = "Tarif_VM",IF(VLOOKUP(TabVMEnv[[#This Row],[VM]],TabOceanet[],2,FALSE)&lt;4,4,VLOOKUP(TabVMEnv[[#This Row],[VM]],TabOceanet[],2,FALSE)),0)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IF(VLOOKUP(TabVMEnv[[#This Row],[VM]],TabOceanet[],16,FALSE) = "Tarif_VM",1,0)/TabVMEnv[[#This Row],[Mutualisé]]</f>
        <v>1</v>
      </c>
      <c r="L174">
        <f>IF(VLOOKUP(TabVMEnv[[#This Row],[VM]],TabOceanet[],9,FALSE) = "PoweredOn",1,0)</f>
        <v>1</v>
      </c>
      <c r="M174">
        <f>TabVMEnv[[#This Row],[IsVMPoweredOn]]*VLOOKUP(TabVMEnv[[#This Row],[VM]],TabOceanet[],3,FALSE)/TabVMEnv[[#This Row],[Mutualisé]]</f>
        <v>1</v>
      </c>
      <c r="N174">
        <f>VLOOKUP(TabVMEnv[[#This Row],[VM]],TabOceanet[],4,FALSE)/TabVMEnv[[#This Row],[Mutualisé]]</f>
        <v>4</v>
      </c>
      <c r="O174">
        <f>IF(LEFT(VLOOKUP(TabVMEnv[[#This Row],[VM]],TabOceanet[],5,FALSE),3)="win",1,0)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VLOOKUP(TabVMEnv[[#This Row],[EnvProjet]],TabEnvProjet[],4,FALSE)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2.52</v>
      </c>
      <c r="U174" s="17">
        <f>IF(TabVMEnv[[#This Row],[CostCenter]]="CostCenterDI",0,TabVMEnv[[#This Row],[CoutGlobal]])</f>
        <v>2.52</v>
      </c>
      <c r="V174" s="17">
        <f>TabVMEnv[[#This Row],[CoutGlobalSansCostCenterDI]]/TabVMEnv[[#Totals],[CoutGlobalSansCostCenterDI]]*(GlobalARepartirSansMS+GlobalARepartirMSOnly+GlobalARepartirInfraReseau)</f>
        <v>5.2542529369345603</v>
      </c>
      <c r="W174" s="17">
        <f>TabVMEnv[[#This Row],[CoutGlobalSansCostCenterDI]]+TabVMEnv[[#This Row],[CoutGlobalSupplementaire]]</f>
        <v>7.7742529369345608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VLOOKUP(TabVMEnv[[#This Row],[EnvProjet]],TabEnvProjet[],5,FALSE)</f>
        <v>Pierre-Yves Baloche</v>
      </c>
      <c r="Z174" s="5" t="str">
        <f>VLOOKUP(TabVMEnv[[#This Row],[EnvProjet]],TabEnvProjet[],6,FALSE)</f>
        <v>Fablab</v>
      </c>
      <c r="AA174" s="5" t="str">
        <f>VLOOKUP(TabVMEnv[[#This Row],[EnvProjet]],TabEnvProjet[],3,FALSE)</f>
        <v>PREPROD</v>
      </c>
      <c r="AB174" s="5">
        <f>COUNTIF(TabVMEnv[VM],TabVMEnv[[#This Row],[VM]])</f>
        <v>1</v>
      </c>
    </row>
    <row r="175" spans="1:28" x14ac:dyDescent="0.25">
      <c r="A175" t="s">
        <v>253</v>
      </c>
      <c r="B175" t="s">
        <v>485</v>
      </c>
      <c r="E175" s="13"/>
      <c r="F175">
        <f>IF(VLOOKUP(TabVMEnv[[#This Row],[VM]],TabOceanet[],16,FALSE) = "Tarif_VM",IF(VLOOKUP(TabVMEnv[[#This Row],[VM]],TabOceanet[],2,FALSE)&lt;4,4,VLOOKUP(TabVMEnv[[#This Row],[VM]],TabOceanet[],2,FALSE)),0)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IF(VLOOKUP(TabVMEnv[[#This Row],[VM]],TabOceanet[],16,FALSE) = "Tarif_VM",1,0)/TabVMEnv[[#This Row],[Mutualisé]]</f>
        <v>1</v>
      </c>
      <c r="L175">
        <f>IF(VLOOKUP(TabVMEnv[[#This Row],[VM]],TabOceanet[],9,FALSE) = "PoweredOn",1,0)</f>
        <v>1</v>
      </c>
      <c r="M175">
        <f>TabVMEnv[[#This Row],[IsVMPoweredOn]]*VLOOKUP(TabVMEnv[[#This Row],[VM]],TabOceanet[],3,FALSE)/TabVMEnv[[#This Row],[Mutualisé]]</f>
        <v>1</v>
      </c>
      <c r="N175">
        <f>VLOOKUP(TabVMEnv[[#This Row],[VM]],TabOceanet[],4,FALSE)/TabVMEnv[[#This Row],[Mutualisé]]</f>
        <v>4</v>
      </c>
      <c r="O175">
        <f>IF(LEFT(VLOOKUP(TabVMEnv[[#This Row],[VM]],TabOceanet[],5,FALSE),3)="win",1,0)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VLOOKUP(TabVMEnv[[#This Row],[EnvProjet]],TabEnvProjet[],4,FALSE)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2.52</v>
      </c>
      <c r="U175" s="17">
        <f>IF(TabVMEnv[[#This Row],[CostCenter]]="CostCenterDI",0,TabVMEnv[[#This Row],[CoutGlobal]])</f>
        <v>2.52</v>
      </c>
      <c r="V175" s="17">
        <f>TabVMEnv[[#This Row],[CoutGlobalSansCostCenterDI]]/TabVMEnv[[#Totals],[CoutGlobalSansCostCenterDI]]*(GlobalARepartirSansMS+GlobalARepartirMSOnly+GlobalARepartirInfraReseau)</f>
        <v>5.2542529369345603</v>
      </c>
      <c r="W175" s="17">
        <f>TabVMEnv[[#This Row],[CoutGlobalSansCostCenterDI]]+TabVMEnv[[#This Row],[CoutGlobalSupplementaire]]</f>
        <v>7.7742529369345608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VLOOKUP(TabVMEnv[[#This Row],[EnvProjet]],TabEnvProjet[],5,FALSE)</f>
        <v>Pierre-Yves Baloche</v>
      </c>
      <c r="Z175" s="5" t="str">
        <f>VLOOKUP(TabVMEnv[[#This Row],[EnvProjet]],TabEnvProjet[],6,FALSE)</f>
        <v>Fablab</v>
      </c>
      <c r="AA175" s="5" t="str">
        <f>VLOOKUP(TabVMEnv[[#This Row],[EnvProjet]],TabEnvProjet[],3,FALSE)</f>
        <v>SOCLE</v>
      </c>
      <c r="AB175" s="5">
        <f>COUNTIF(TabVMEnv[VM],TabVMEnv[[#This Row],[VM]])</f>
        <v>1</v>
      </c>
    </row>
    <row r="176" spans="1:28" x14ac:dyDescent="0.25">
      <c r="A176" t="s">
        <v>262</v>
      </c>
      <c r="B176" t="s">
        <v>481</v>
      </c>
      <c r="E176" s="13"/>
      <c r="F176">
        <f>IF(VLOOKUP(TabVMEnv[[#This Row],[VM]],TabOceanet[],16,FALSE) = "Tarif_VM",IF(VLOOKUP(TabVMEnv[[#This Row],[VM]],TabOceanet[],2,FALSE)&lt;4,4,VLOOKUP(TabVMEnv[[#This Row],[VM]],TabOceanet[],2,FALSE)),0)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IF(VLOOKUP(TabVMEnv[[#This Row],[VM]],TabOceanet[],16,FALSE) = "Tarif_VM",1,0)/TabVMEnv[[#This Row],[Mutualisé]]</f>
        <v>1</v>
      </c>
      <c r="L176">
        <f>IF(VLOOKUP(TabVMEnv[[#This Row],[VM]],TabOceanet[],9,FALSE) = "PoweredOn",1,0)</f>
        <v>1</v>
      </c>
      <c r="M176">
        <f>TabVMEnv[[#This Row],[IsVMPoweredOn]]*VLOOKUP(TabVMEnv[[#This Row],[VM]],TabOceanet[],3,FALSE)/TabVMEnv[[#This Row],[Mutualisé]]</f>
        <v>4</v>
      </c>
      <c r="N176">
        <f>VLOOKUP(TabVMEnv[[#This Row],[VM]],TabOceanet[],4,FALSE)/TabVMEnv[[#This Row],[Mutualisé]]</f>
        <v>4</v>
      </c>
      <c r="O176">
        <f>IF(LEFT(VLOOKUP(TabVMEnv[[#This Row],[VM]],TabOceanet[],5,FALSE),3)="win",1,0)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VLOOKUP(TabVMEnv[[#This Row],[EnvProjet]],TabEnvProjet[],4,FALSE)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7.32</v>
      </c>
      <c r="U176" s="17">
        <f>IF(TabVMEnv[[#This Row],[CostCenter]]="CostCenterDI",0,TabVMEnv[[#This Row],[CoutGlobal]])</f>
        <v>7.32</v>
      </c>
      <c r="V176" s="17">
        <f>TabVMEnv[[#This Row],[CoutGlobalSansCostCenterDI]]/TabVMEnv[[#Totals],[CoutGlobalSansCostCenterDI]]*(GlobalARepartirSansMS+GlobalARepartirMSOnly+GlobalARepartirInfraReseau)</f>
        <v>15.262353769190867</v>
      </c>
      <c r="W176" s="17">
        <f>TabVMEnv[[#This Row],[CoutGlobalSansCostCenterDI]]+TabVMEnv[[#This Row],[CoutGlobalSupplementaire]]</f>
        <v>22.582353769190867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VLOOKUP(TabVMEnv[[#This Row],[EnvProjet]],TabEnvProjet[],5,FALSE)</f>
        <v>Pierre-Yves Baloche</v>
      </c>
      <c r="Z176" s="5" t="str">
        <f>VLOOKUP(TabVMEnv[[#This Row],[EnvProjet]],TabEnvProjet[],6,FALSE)</f>
        <v>Fablab</v>
      </c>
      <c r="AA176" s="5" t="str">
        <f>VLOOKUP(TabVMEnv[[#This Row],[EnvProjet]],TabEnvProjet[],3,FALSE)</f>
        <v>PROD</v>
      </c>
      <c r="AB176" s="5">
        <f>COUNTIF(TabVMEnv[VM],TabVMEnv[[#This Row],[VM]])</f>
        <v>1</v>
      </c>
    </row>
    <row r="177" spans="1:28" x14ac:dyDescent="0.25">
      <c r="A177" t="s">
        <v>263</v>
      </c>
      <c r="B177" t="s">
        <v>481</v>
      </c>
      <c r="E177" s="13"/>
      <c r="F177">
        <f>IF(VLOOKUP(TabVMEnv[[#This Row],[VM]],TabOceanet[],16,FALSE) = "Tarif_VM",IF(VLOOKUP(TabVMEnv[[#This Row],[VM]],TabOceanet[],2,FALSE)&lt;4,4,VLOOKUP(TabVMEnv[[#This Row],[VM]],TabOceanet[],2,FALSE)),0)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IF(VLOOKUP(TabVMEnv[[#This Row],[VM]],TabOceanet[],16,FALSE) = "Tarif_VM",1,0)/TabVMEnv[[#This Row],[Mutualisé]]</f>
        <v>1</v>
      </c>
      <c r="L177">
        <f>IF(VLOOKUP(TabVMEnv[[#This Row],[VM]],TabOceanet[],9,FALSE) = "PoweredOn",1,0)</f>
        <v>1</v>
      </c>
      <c r="M177">
        <f>TabVMEnv[[#This Row],[IsVMPoweredOn]]*VLOOKUP(TabVMEnv[[#This Row],[VM]],TabOceanet[],3,FALSE)/TabVMEnv[[#This Row],[Mutualisé]]</f>
        <v>4</v>
      </c>
      <c r="N177">
        <f>VLOOKUP(TabVMEnv[[#This Row],[VM]],TabOceanet[],4,FALSE)/TabVMEnv[[#This Row],[Mutualisé]]</f>
        <v>8</v>
      </c>
      <c r="O177">
        <f>IF(LEFT(VLOOKUP(TabVMEnv[[#This Row],[VM]],TabOceanet[],5,FALSE),3)="win",1,0)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VLOOKUP(TabVMEnv[[#This Row],[EnvProjet]],TabEnvProjet[],4,FALSE)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8.24</v>
      </c>
      <c r="U177" s="17">
        <f>IF(TabVMEnv[[#This Row],[CostCenter]]="CostCenterDI",0,TabVMEnv[[#This Row],[CoutGlobal]])</f>
        <v>8.24</v>
      </c>
      <c r="V177" s="17">
        <f>TabVMEnv[[#This Row],[CoutGlobalSansCostCenterDI]]/TabVMEnv[[#Totals],[CoutGlobalSansCostCenterDI]]*(GlobalARepartirSansMS+GlobalARepartirMSOnly+GlobalARepartirInfraReseau)</f>
        <v>17.180573095373322</v>
      </c>
      <c r="W177" s="17">
        <f>TabVMEnv[[#This Row],[CoutGlobalSansCostCenterDI]]+TabVMEnv[[#This Row],[CoutGlobalSupplementaire]]</f>
        <v>25.420573095373321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VLOOKUP(TabVMEnv[[#This Row],[EnvProjet]],TabEnvProjet[],5,FALSE)</f>
        <v>Pierre-Yves Baloche</v>
      </c>
      <c r="Z177" s="5" t="str">
        <f>VLOOKUP(TabVMEnv[[#This Row],[EnvProjet]],TabEnvProjet[],6,FALSE)</f>
        <v>Fablab</v>
      </c>
      <c r="AA177" s="5" t="str">
        <f>VLOOKUP(TabVMEnv[[#This Row],[EnvProjet]],TabEnvProjet[],3,FALSE)</f>
        <v>PROD</v>
      </c>
      <c r="AB177" s="5">
        <f>COUNTIF(TabVMEnv[VM],TabVMEnv[[#This Row],[VM]])</f>
        <v>1</v>
      </c>
    </row>
    <row r="178" spans="1:28" x14ac:dyDescent="0.25">
      <c r="A178" t="s">
        <v>307</v>
      </c>
      <c r="B178" t="s">
        <v>482</v>
      </c>
      <c r="E178" s="13"/>
      <c r="F178">
        <f>IF(VLOOKUP(TabVMEnv[[#This Row],[VM]],TabOceanet[],16,FALSE) = "Tarif_VM",IF(VLOOKUP(TabVMEnv[[#This Row],[VM]],TabOceanet[],2,FALSE)&lt;4,4,VLOOKUP(TabVMEnv[[#This Row],[VM]],TabOceanet[],2,FALSE)),0)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IF(VLOOKUP(TabVMEnv[[#This Row],[VM]],TabOceanet[],16,FALSE) = "Tarif_VM",1,0)/TabVMEnv[[#This Row],[Mutualisé]]</f>
        <v>1</v>
      </c>
      <c r="L178">
        <f>IF(VLOOKUP(TabVMEnv[[#This Row],[VM]],TabOceanet[],9,FALSE) = "PoweredOn",1,0)</f>
        <v>0</v>
      </c>
      <c r="M178">
        <f>TabVMEnv[[#This Row],[IsVMPoweredOn]]*VLOOKUP(TabVMEnv[[#This Row],[VM]],TabOceanet[],3,FALSE)/TabVMEnv[[#This Row],[Mutualisé]]</f>
        <v>0</v>
      </c>
      <c r="N178">
        <f>VLOOKUP(TabVMEnv[[#This Row],[VM]],TabOceanet[],4,FALSE)/TabVMEnv[[#This Row],[Mutualisé]]</f>
        <v>8</v>
      </c>
      <c r="O178">
        <f>IF(LEFT(VLOOKUP(TabVMEnv[[#This Row],[VM]],TabOceanet[],5,FALSE),3)="win",1,0)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VLOOKUP(TabVMEnv[[#This Row],[EnvProjet]],TabEnvProjet[],4,FALSE)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1.84</v>
      </c>
      <c r="U178" s="17">
        <f>IF(TabVMEnv[[#This Row],[CostCenter]]="CostCenterDI",0,TabVMEnv[[#This Row],[CoutGlobal]])</f>
        <v>1.84</v>
      </c>
      <c r="V178" s="17">
        <f>TabVMEnv[[#This Row],[CoutGlobalSansCostCenterDI]]/TabVMEnv[[#Totals],[CoutGlobalSansCostCenterDI]]*(GlobalARepartirSansMS+GlobalARepartirMSOnly+GlobalARepartirInfraReseau)</f>
        <v>3.836438652364917</v>
      </c>
      <c r="W178" s="17">
        <f>TabVMEnv[[#This Row],[CoutGlobalSansCostCenterDI]]+TabVMEnv[[#This Row],[CoutGlobalSupplementaire]]</f>
        <v>5.6764386523649168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VLOOKUP(TabVMEnv[[#This Row],[EnvProjet]],TabEnvProjet[],5,FALSE)</f>
        <v>Pierre-Yves Baloche</v>
      </c>
      <c r="Z178" s="5" t="str">
        <f>VLOOKUP(TabVMEnv[[#This Row],[EnvProjet]],TabEnvProjet[],6,FALSE)</f>
        <v>Fablab</v>
      </c>
      <c r="AA178" s="5" t="str">
        <f>VLOOKUP(TabVMEnv[[#This Row],[EnvProjet]],TabEnvProjet[],3,FALSE)</f>
        <v>PREPROD</v>
      </c>
      <c r="AB178" s="5">
        <f>COUNTIF(TabVMEnv[VM],TabVMEnv[[#This Row],[VM]])</f>
        <v>1</v>
      </c>
    </row>
    <row r="179" spans="1:28" x14ac:dyDescent="0.25">
      <c r="A179" t="s">
        <v>308</v>
      </c>
      <c r="B179" t="s">
        <v>482</v>
      </c>
      <c r="E179" s="13"/>
      <c r="F179">
        <f>IF(VLOOKUP(TabVMEnv[[#This Row],[VM]],TabOceanet[],16,FALSE) = "Tarif_VM",IF(VLOOKUP(TabVMEnv[[#This Row],[VM]],TabOceanet[],2,FALSE)&lt;4,4,VLOOKUP(TabVMEnv[[#This Row],[VM]],TabOceanet[],2,FALSE)),0)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IF(VLOOKUP(TabVMEnv[[#This Row],[VM]],TabOceanet[],16,FALSE) = "Tarif_VM",1,0)/TabVMEnv[[#This Row],[Mutualisé]]</f>
        <v>1</v>
      </c>
      <c r="L179">
        <f>IF(VLOOKUP(TabVMEnv[[#This Row],[VM]],TabOceanet[],9,FALSE) = "PoweredOn",1,0)</f>
        <v>1</v>
      </c>
      <c r="M179">
        <f>TabVMEnv[[#This Row],[IsVMPoweredOn]]*VLOOKUP(TabVMEnv[[#This Row],[VM]],TabOceanet[],3,FALSE)/TabVMEnv[[#This Row],[Mutualisé]]</f>
        <v>4</v>
      </c>
      <c r="N179">
        <f>VLOOKUP(TabVMEnv[[#This Row],[VM]],TabOceanet[],4,FALSE)/TabVMEnv[[#This Row],[Mutualisé]]</f>
        <v>8</v>
      </c>
      <c r="O179">
        <f>IF(LEFT(VLOOKUP(TabVMEnv[[#This Row],[VM]],TabOceanet[],5,FALSE),3)="win",1,0)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VLOOKUP(TabVMEnv[[#This Row],[EnvProjet]],TabEnvProjet[],4,FALSE)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8.24</v>
      </c>
      <c r="U179" s="17">
        <f>IF(TabVMEnv[[#This Row],[CostCenter]]="CostCenterDI",0,TabVMEnv[[#This Row],[CoutGlobal]])</f>
        <v>8.24</v>
      </c>
      <c r="V179" s="17">
        <f>TabVMEnv[[#This Row],[CoutGlobalSansCostCenterDI]]/TabVMEnv[[#Totals],[CoutGlobalSansCostCenterDI]]*(GlobalARepartirSansMS+GlobalARepartirMSOnly+GlobalARepartirInfraReseau)</f>
        <v>17.180573095373322</v>
      </c>
      <c r="W179" s="17">
        <f>TabVMEnv[[#This Row],[CoutGlobalSansCostCenterDI]]+TabVMEnv[[#This Row],[CoutGlobalSupplementaire]]</f>
        <v>25.420573095373321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VLOOKUP(TabVMEnv[[#This Row],[EnvProjet]],TabEnvProjet[],5,FALSE)</f>
        <v>Pierre-Yves Baloche</v>
      </c>
      <c r="Z179" s="5" t="str">
        <f>VLOOKUP(TabVMEnv[[#This Row],[EnvProjet]],TabEnvProjet[],6,FALSE)</f>
        <v>Fablab</v>
      </c>
      <c r="AA179" s="5" t="str">
        <f>VLOOKUP(TabVMEnv[[#This Row],[EnvProjet]],TabEnvProjet[],3,FALSE)</f>
        <v>PREPROD</v>
      </c>
      <c r="AB179" s="5">
        <f>COUNTIF(TabVMEnv[VM],TabVMEnv[[#This Row],[VM]])</f>
        <v>1</v>
      </c>
    </row>
    <row r="180" spans="1:28" x14ac:dyDescent="0.25">
      <c r="A180" t="s">
        <v>254</v>
      </c>
      <c r="B180" t="s">
        <v>485</v>
      </c>
      <c r="E180" s="13"/>
      <c r="F180">
        <f>IF(VLOOKUP(TabVMEnv[[#This Row],[VM]],TabOceanet[],16,FALSE) = "Tarif_VM",IF(VLOOKUP(TabVMEnv[[#This Row],[VM]],TabOceanet[],2,FALSE)&lt;4,4,VLOOKUP(TabVMEnv[[#This Row],[VM]],TabOceanet[],2,FALSE)),0)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IF(VLOOKUP(TabVMEnv[[#This Row],[VM]],TabOceanet[],16,FALSE) = "Tarif_VM",1,0)/TabVMEnv[[#This Row],[Mutualisé]]</f>
        <v>1</v>
      </c>
      <c r="L180">
        <f>IF(VLOOKUP(TabVMEnv[[#This Row],[VM]],TabOceanet[],9,FALSE) = "PoweredOn",1,0)</f>
        <v>1</v>
      </c>
      <c r="M180">
        <f>TabVMEnv[[#This Row],[IsVMPoweredOn]]*VLOOKUP(TabVMEnv[[#This Row],[VM]],TabOceanet[],3,FALSE)/TabVMEnv[[#This Row],[Mutualisé]]</f>
        <v>1</v>
      </c>
      <c r="N180">
        <f>VLOOKUP(TabVMEnv[[#This Row],[VM]],TabOceanet[],4,FALSE)/TabVMEnv[[#This Row],[Mutualisé]]</f>
        <v>4</v>
      </c>
      <c r="O180">
        <f>IF(LEFT(VLOOKUP(TabVMEnv[[#This Row],[VM]],TabOceanet[],5,FALSE),3)="win",1,0)</f>
        <v>0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VLOOKUP(TabVMEnv[[#This Row],[EnvProjet]],TabEnvProjet[],4,FALSE)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2.52</v>
      </c>
      <c r="U180" s="17">
        <f>IF(TabVMEnv[[#This Row],[CostCenter]]="CostCenterDI",0,TabVMEnv[[#This Row],[CoutGlobal]])</f>
        <v>2.52</v>
      </c>
      <c r="V180" s="17">
        <f>TabVMEnv[[#This Row],[CoutGlobalSansCostCenterDI]]/TabVMEnv[[#Totals],[CoutGlobalSansCostCenterDI]]*(GlobalARepartirSansMS+GlobalARepartirMSOnly+GlobalARepartirInfraReseau)</f>
        <v>5.2542529369345603</v>
      </c>
      <c r="W180" s="17">
        <f>TabVMEnv[[#This Row],[CoutGlobalSansCostCenterDI]]+TabVMEnv[[#This Row],[CoutGlobalSupplementaire]]</f>
        <v>7.7742529369345608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VLOOKUP(TabVMEnv[[#This Row],[EnvProjet]],TabEnvProjet[],5,FALSE)</f>
        <v>Pierre-Yves Baloche</v>
      </c>
      <c r="Z180" s="5" t="str">
        <f>VLOOKUP(TabVMEnv[[#This Row],[EnvProjet]],TabEnvProjet[],6,FALSE)</f>
        <v>Fablab</v>
      </c>
      <c r="AA180" s="5" t="str">
        <f>VLOOKUP(TabVMEnv[[#This Row],[EnvProjet]],TabEnvProjet[],3,FALSE)</f>
        <v>SOCLE</v>
      </c>
      <c r="AB180" s="5">
        <f>COUNTIF(TabVMEnv[VM],TabVMEnv[[#This Row],[VM]])</f>
        <v>1</v>
      </c>
    </row>
    <row r="181" spans="1:28" x14ac:dyDescent="0.25">
      <c r="A181" t="s">
        <v>143</v>
      </c>
      <c r="B181" t="s">
        <v>560</v>
      </c>
      <c r="C181" t="s">
        <v>144</v>
      </c>
      <c r="D181">
        <v>0</v>
      </c>
      <c r="E181" s="13" t="s">
        <v>524</v>
      </c>
      <c r="F181">
        <f>IF(VLOOKUP(TabVMEnv[[#This Row],[VM]],TabOceanet[],16,FALSE) = "Tarif_VM",IF(VLOOKUP(TabVMEnv[[#This Row],[VM]],TabOceanet[],2,FALSE)&lt;4,4,VLOOKUP(TabVMEnv[[#This Row],[VM]],TabOceanet[],2,FALSE)),0)</f>
        <v>4</v>
      </c>
      <c r="G181">
        <v>0</v>
      </c>
      <c r="H181">
        <v>0</v>
      </c>
      <c r="I181">
        <v>0</v>
      </c>
      <c r="J181">
        <v>0</v>
      </c>
      <c r="K181">
        <f>IF(VLOOKUP(TabVMEnv[[#This Row],[VM]],TabOceanet[],16,FALSE) = "Tarif_VM",1,0)/TabVMEnv[[#This Row],[Mutualisé]]</f>
        <v>1</v>
      </c>
      <c r="L181">
        <f>IF(VLOOKUP(TabVMEnv[[#This Row],[VM]],TabOceanet[],9,FALSE) = "PoweredOn",1,0)</f>
        <v>1</v>
      </c>
      <c r="M181">
        <f>TabVMEnv[[#This Row],[IsVMPoweredOn]]*VLOOKUP(TabVMEnv[[#This Row],[VM]],TabOceanet[],3,FALSE)/TabVMEnv[[#This Row],[Mutualisé]]</f>
        <v>2</v>
      </c>
      <c r="N181">
        <f>VLOOKUP(TabVMEnv[[#This Row],[VM]],TabOceanet[],4,FALSE)/TabVMEnv[[#This Row],[Mutualisé]]</f>
        <v>40</v>
      </c>
      <c r="O181">
        <f>IF(LEFT(VLOOKUP(TabVMEnv[[#This Row],[VM]],TabOceanet[],5,FALSE),3)="win",1,0)</f>
        <v>1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VLOOKUP(TabVMEnv[[#This Row],[EnvProjet]],TabEnvProjet[],4,FALSE)</f>
        <v>SILICONE - 1530-2018 - 0 - 2 - Tache 2 – ORS</v>
      </c>
      <c r="R181" s="5" t="str">
        <f>VLOOKUP(TabVMEnv[[#This Row],[SYGES]],TabContrat[],2,FALSE)</f>
        <v>GFI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12.400000000000002</v>
      </c>
      <c r="U181" s="17">
        <f>IF(TabVMEnv[[#This Row],[CostCenter]]="CostCenterDI",0,TabVMEnv[[#This Row],[CoutGlobal]])</f>
        <v>12.400000000000002</v>
      </c>
      <c r="V181" s="17">
        <f>TabVMEnv[[#This Row],[CoutGlobalSansCostCenterDI]]/TabVMEnv[[#Totals],[CoutGlobalSansCostCenterDI]]*(GlobalARepartirSansMS+GlobalARepartirMSOnly+GlobalARepartirInfraReseau)</f>
        <v>25.85426048332879</v>
      </c>
      <c r="W181" s="17">
        <f>TabVMEnv[[#This Row],[CoutGlobalSansCostCenterDI]]+TabVMEnv[[#This Row],[CoutGlobalSupplementaire]]</f>
        <v>38.254260483328792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81" s="5" t="str">
        <f>VLOOKUP(TabVMEnv[[#This Row],[EnvProjet]],TabEnvProjet[],5,FALSE)</f>
        <v>Michael Le-Ridant</v>
      </c>
      <c r="Z181" s="5">
        <f>VLOOKUP(TabVMEnv[[#This Row],[EnvProjet]],TabEnvProjet[],6,FALSE)</f>
        <v>341531</v>
      </c>
      <c r="AA181" s="5" t="str">
        <f>VLOOKUP(TabVMEnv[[#This Row],[EnvProjet]],TabEnvProjet[],3,FALSE)</f>
        <v>PROD</v>
      </c>
      <c r="AB181" s="5">
        <f>COUNTIF(TabVMEnv[VM],TabVMEnv[[#This Row],[VM]])</f>
        <v>1</v>
      </c>
    </row>
    <row r="182" spans="1:28" x14ac:dyDescent="0.25">
      <c r="A182" t="s">
        <v>236</v>
      </c>
      <c r="B182" t="s">
        <v>561</v>
      </c>
      <c r="E182" s="13"/>
      <c r="F182" s="5">
        <f>IF(VLOOKUP(TabVMEnv[[#This Row],[VM]],TabOceanet[],16,FALSE) = "Tarif_VM",IF(VLOOKUP(TabVMEnv[[#This Row],[VM]],TabOceanet[],2,FALSE)&lt;4,4,VLOOKUP(TabVMEnv[[#This Row],[VM]],TabOceanet[],2,FALSE)),0)</f>
        <v>4</v>
      </c>
      <c r="G182">
        <v>0</v>
      </c>
      <c r="H182">
        <v>0</v>
      </c>
      <c r="I182">
        <v>0</v>
      </c>
      <c r="J182">
        <v>0</v>
      </c>
      <c r="K182" s="5">
        <f>IF(VLOOKUP(TabVMEnv[[#This Row],[VM]],TabOceanet[],16,FALSE) = "Tarif_VM",1,0)/TabVMEnv[[#This Row],[Mutualisé]]</f>
        <v>1</v>
      </c>
      <c r="L182" s="5">
        <f>IF(VLOOKUP(TabVMEnv[[#This Row],[VM]],TabOceanet[],9,FALSE) = "PoweredOn",1,0)</f>
        <v>1</v>
      </c>
      <c r="M182" s="5">
        <f>TabVMEnv[[#This Row],[IsVMPoweredOn]]*VLOOKUP(TabVMEnv[[#This Row],[VM]],TabOceanet[],3,FALSE)/TabVMEnv[[#This Row],[Mutualisé]]</f>
        <v>4</v>
      </c>
      <c r="N182" s="5">
        <f>VLOOKUP(TabVMEnv[[#This Row],[VM]],TabOceanet[],4,FALSE)/TabVMEnv[[#This Row],[Mutualisé]]</f>
        <v>100</v>
      </c>
      <c r="O182" s="5">
        <f>IF(LEFT(VLOOKUP(TabVMEnv[[#This Row],[VM]],TabOceanet[],5,FALSE),3)="win",1,0)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VLOOKUP(TabVMEnv[[#This Row],[EnvProjet]],TabEnvProjet[],4,FALSE)</f>
        <v>LA-POSTE-CDC-DRUPAL</v>
      </c>
      <c r="R182" s="5" t="str">
        <f>VLOOKUP(TabVMEnv[[#This Row],[SYGES]],TabContrat[],2,FALSE)</f>
        <v>LA POSTE</v>
      </c>
      <c r="S182" s="5" t="str">
        <f>IF(VLOOKUP(TabVMEnv[[#This Row],[VM]],TabOceanet[],1,FALSE) = "","Disparue","")</f>
        <v/>
      </c>
      <c r="T182" s="25">
        <f>VLOOKUP(TabVMEnv[[#This Row],[VM]],TabOceanet[],36,FALSE)/TabVMEnv[[#This Row],[Mutualisé]]</f>
        <v>29.4</v>
      </c>
      <c r="U182" s="25">
        <f>IF(TabVMEnv[[#This Row],[CostCenter]]="CostCenterDI",0,TabVMEnv[[#This Row],[CoutGlobal]])</f>
        <v>29.4</v>
      </c>
      <c r="V182" s="25">
        <f>TabVMEnv[[#This Row],[CoutGlobalSansCostCenterDI]]/TabVMEnv[[#Totals],[CoutGlobalSansCostCenterDI]]*(GlobalARepartirSansMS+GlobalARepartirMSOnly+GlobalARepartirInfraReseau)</f>
        <v>61.299617597569856</v>
      </c>
      <c r="W182" s="25">
        <f>TabVMEnv[[#This Row],[CoutGlobalSansCostCenterDI]]+TabVMEnv[[#This Row],[CoutGlobalSupplementaire]]</f>
        <v>90.699617597569855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POSTE-CDC-DRUPAL - LA-POSTE-CDC-DRUPAL - Christophe ORLANDO</v>
      </c>
      <c r="Y182" s="5" t="str">
        <f>VLOOKUP(TabVMEnv[[#This Row],[EnvProjet]],TabEnvProjet[],5,FALSE)</f>
        <v>Christophe ORLANDO</v>
      </c>
      <c r="Z182" s="5">
        <f>VLOOKUP(TabVMEnv[[#This Row],[EnvProjet]],TabEnvProjet[],6,FALSE)</f>
        <v>305704</v>
      </c>
      <c r="AA182" s="5" t="str">
        <f>VLOOKUP(TabVMEnv[[#This Row],[EnvProjet]],TabEnvProjet[],3,FALSE)</f>
        <v>DEV</v>
      </c>
      <c r="AB182" s="5">
        <f>COUNTIF(TabVMEnv[VM],TabVMEnv[[#This Row],[VM]])</f>
        <v>1</v>
      </c>
    </row>
    <row r="183" spans="1:28" x14ac:dyDescent="0.25">
      <c r="A183" t="s">
        <v>133</v>
      </c>
      <c r="B183" t="s">
        <v>562</v>
      </c>
      <c r="E183" s="13"/>
      <c r="F183">
        <f>IF(VLOOKUP(TabVMEnv[[#This Row],[VM]],TabOceanet[],16,FALSE) = "Tarif_VM",IF(VLOOKUP(TabVMEnv[[#This Row],[VM]],TabOceanet[],2,FALSE)&lt;4,4,VLOOKUP(TabVMEnv[[#This Row],[VM]],TabOceanet[],2,FALSE)),0)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IF(VLOOKUP(TabVMEnv[[#This Row],[VM]],TabOceanet[],16,FALSE) = "Tarif_VM",1,0)/TabVMEnv[[#This Row],[Mutualisé]]</f>
        <v>1</v>
      </c>
      <c r="L183">
        <f>IF(VLOOKUP(TabVMEnv[[#This Row],[VM]],TabOceanet[],9,FALSE) = "PoweredOn",1,0)</f>
        <v>1</v>
      </c>
      <c r="M183">
        <f>TabVMEnv[[#This Row],[IsVMPoweredOn]]*VLOOKUP(TabVMEnv[[#This Row],[VM]],TabOceanet[],3,FALSE)/TabVMEnv[[#This Row],[Mutualisé]]</f>
        <v>2</v>
      </c>
      <c r="N183">
        <f>VLOOKUP(TabVMEnv[[#This Row],[VM]],TabOceanet[],4,FALSE)/TabVMEnv[[#This Row],[Mutualisé]]</f>
        <v>34</v>
      </c>
      <c r="O183">
        <f>IF(LEFT(VLOOKUP(TabVMEnv[[#This Row],[VM]],TabOceanet[],5,FALSE),3)="win",1,0)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VLOOKUP(TabVMEnv[[#This Row],[EnvProjet]],TabEnvProjet[],4,FALSE)</f>
        <v>ONEMA/TMAWEB-16</v>
      </c>
      <c r="R183" s="5" t="str">
        <f>VLOOKUP(TabVMEnv[[#This Row],[SYGES]],TabContrat[],2,FALSE)</f>
        <v>ONEMA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11.02</v>
      </c>
      <c r="U183" s="17">
        <f>IF(TabVMEnv[[#This Row],[CostCenter]]="CostCenterDI",0,TabVMEnv[[#This Row],[CoutGlobal]])</f>
        <v>11.02</v>
      </c>
      <c r="V183" s="17">
        <f>TabVMEnv[[#This Row],[CoutGlobalSansCostCenterDI]]/TabVMEnv[[#Totals],[CoutGlobalSansCostCenterDI]]*(GlobalARepartirSansMS+GlobalARepartirMSOnly+GlobalARepartirInfraReseau)</f>
        <v>22.976931494055098</v>
      </c>
      <c r="W183" s="17">
        <f>TabVMEnv[[#This Row],[CoutGlobalSansCostCenterDI]]+TabVMEnv[[#This Row],[CoutGlobalSupplementaire]]</f>
        <v>33.996931494055097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3" s="5" t="str">
        <f>VLOOKUP(TabVMEnv[[#This Row],[EnvProjet]],TabEnvProjet[],5,FALSE)</f>
        <v>Pierre BOURLIEUX</v>
      </c>
      <c r="Z183" s="5">
        <f>VLOOKUP(TabVMEnv[[#This Row],[EnvProjet]],TabEnvProjet[],6,FALSE)</f>
        <v>305704</v>
      </c>
      <c r="AA183" s="5" t="str">
        <f>VLOOKUP(TabVMEnv[[#This Row],[EnvProjet]],TabEnvProjet[],3,FALSE)</f>
        <v>TMA</v>
      </c>
      <c r="AB183" s="5">
        <f>COUNTIF(TabVMEnv[VM],TabVMEnv[[#This Row],[VM]])</f>
        <v>1</v>
      </c>
    </row>
    <row r="184" spans="1:28" x14ac:dyDescent="0.25">
      <c r="A184" t="s">
        <v>134</v>
      </c>
      <c r="B184" t="s">
        <v>562</v>
      </c>
      <c r="E184" s="13"/>
      <c r="F184">
        <f>IF(VLOOKUP(TabVMEnv[[#This Row],[VM]],TabOceanet[],16,FALSE) = "Tarif_VM",IF(VLOOKUP(TabVMEnv[[#This Row],[VM]],TabOceanet[],2,FALSE)&lt;4,4,VLOOKUP(TabVMEnv[[#This Row],[VM]],TabOceanet[],2,FALSE)),0)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IF(VLOOKUP(TabVMEnv[[#This Row],[VM]],TabOceanet[],16,FALSE) = "Tarif_VM",1,0)/TabVMEnv[[#This Row],[Mutualisé]]</f>
        <v>1</v>
      </c>
      <c r="L184">
        <f>IF(VLOOKUP(TabVMEnv[[#This Row],[VM]],TabOceanet[],9,FALSE) = "PoweredOn",1,0)</f>
        <v>1</v>
      </c>
      <c r="M184">
        <f>TabVMEnv[[#This Row],[IsVMPoweredOn]]*VLOOKUP(TabVMEnv[[#This Row],[VM]],TabOceanet[],3,FALSE)/TabVMEnv[[#This Row],[Mutualisé]]</f>
        <v>2</v>
      </c>
      <c r="N184">
        <f>VLOOKUP(TabVMEnv[[#This Row],[VM]],TabOceanet[],4,FALSE)/TabVMEnv[[#This Row],[Mutualisé]]</f>
        <v>34</v>
      </c>
      <c r="O184">
        <f>IF(LEFT(VLOOKUP(TabVMEnv[[#This Row],[VM]],TabOceanet[],5,FALSE),3)="win",1,0)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VLOOKUP(TabVMEnv[[#This Row],[EnvProjet]],TabEnvProjet[],4,FALSE)</f>
        <v>ONEMA/TMAWEB-16</v>
      </c>
      <c r="R184" s="5" t="str">
        <f>VLOOKUP(TabVMEnv[[#This Row],[SYGES]],TabContrat[],2,FALSE)</f>
        <v>ONEMA</v>
      </c>
      <c r="S184" s="5" t="str">
        <f>IF(VLOOKUP(TabVMEnv[[#This Row],[VM]],TabOceanet[],1,FALSE) = "","Disparue","")</f>
        <v/>
      </c>
      <c r="T184" s="25">
        <f>VLOOKUP(TabVMEnv[[#This Row],[VM]],TabOceanet[],36,FALSE)/TabVMEnv[[#This Row],[Mutualisé]]</f>
        <v>11.02</v>
      </c>
      <c r="U184" s="25">
        <f>IF(TabVMEnv[[#This Row],[CostCenter]]="CostCenterDI",0,TabVMEnv[[#This Row],[CoutGlobal]])</f>
        <v>11.02</v>
      </c>
      <c r="V184" s="25">
        <f>TabVMEnv[[#This Row],[CoutGlobalSansCostCenterDI]]/TabVMEnv[[#Totals],[CoutGlobalSansCostCenterDI]]*(GlobalARepartirSansMS+GlobalARepartirMSOnly+GlobalARepartirInfraReseau)</f>
        <v>22.976931494055098</v>
      </c>
      <c r="W184" s="25">
        <f>TabVMEnv[[#This Row],[CoutGlobalSansCostCenterDI]]+TabVMEnv[[#This Row],[CoutGlobalSupplementaire]]</f>
        <v>33.996931494055097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4" s="5" t="str">
        <f>VLOOKUP(TabVMEnv[[#This Row],[EnvProjet]],TabEnvProjet[],5,FALSE)</f>
        <v>Pierre BOURLIEUX</v>
      </c>
      <c r="Z184" s="5">
        <f>VLOOKUP(TabVMEnv[[#This Row],[EnvProjet]],TabEnvProjet[],6,FALSE)</f>
        <v>305704</v>
      </c>
      <c r="AA184" s="5" t="str">
        <f>VLOOKUP(TabVMEnv[[#This Row],[EnvProjet]],TabEnvProjet[],3,FALSE)</f>
        <v>TMA</v>
      </c>
      <c r="AB184" s="5">
        <f>COUNTIF(TabVMEnv[VM],TabVMEnv[[#This Row],[VM]])</f>
        <v>1</v>
      </c>
    </row>
    <row r="185" spans="1:28" x14ac:dyDescent="0.25">
      <c r="A185" t="s">
        <v>339</v>
      </c>
      <c r="B185" t="s">
        <v>563</v>
      </c>
      <c r="E185" s="13"/>
      <c r="F185" s="5">
        <f>IF(VLOOKUP(TabVMEnv[[#This Row],[VM]],TabOceanet[],16,FALSE) = "Tarif_VM",IF(VLOOKUP(TabVMEnv[[#This Row],[VM]],TabOceanet[],2,FALSE)&lt;4,4,VLOOKUP(TabVMEnv[[#This Row],[VM]],TabOceanet[],2,FALSE)),0)</f>
        <v>4</v>
      </c>
      <c r="G185">
        <v>0</v>
      </c>
      <c r="H185">
        <v>0</v>
      </c>
      <c r="I185">
        <v>0</v>
      </c>
      <c r="J185">
        <v>0</v>
      </c>
      <c r="K185" s="5">
        <f>IF(VLOOKUP(TabVMEnv[[#This Row],[VM]],TabOceanet[],16,FALSE) = "Tarif_VM",1,0)/TabVMEnv[[#This Row],[Mutualisé]]</f>
        <v>1</v>
      </c>
      <c r="L185" s="5">
        <f>IF(VLOOKUP(TabVMEnv[[#This Row],[VM]],TabOceanet[],9,FALSE) = "PoweredOn",1,0)</f>
        <v>1</v>
      </c>
      <c r="M185" s="5">
        <f>TabVMEnv[[#This Row],[IsVMPoweredOn]]*VLOOKUP(TabVMEnv[[#This Row],[VM]],TabOceanet[],3,FALSE)/TabVMEnv[[#This Row],[Mutualisé]]</f>
        <v>2</v>
      </c>
      <c r="N185" s="5">
        <f>VLOOKUP(TabVMEnv[[#This Row],[VM]],TabOceanet[],4,FALSE)/TabVMEnv[[#This Row],[Mutualisé]]</f>
        <v>16</v>
      </c>
      <c r="O185" s="5">
        <f>IF(LEFT(VLOOKUP(TabVMEnv[[#This Row],[VM]],TabOceanet[],5,FALSE),3)="win",1,0)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VLOOKUP(TabVMEnv[[#This Row],[EnvProjet]],TabEnvProjet[],4,FALSE)</f>
        <v>AFB/OFB_LOT2</v>
      </c>
      <c r="R185" s="5" t="str">
        <f>VLOOKUP(TabVMEnv[[#This Row],[SYGES]],TabContrat[],2,FALSE)</f>
        <v>AFB</v>
      </c>
      <c r="S185" s="5" t="str">
        <f>IF(VLOOKUP(TabVMEnv[[#This Row],[VM]],TabOceanet[],1,FALSE) = "","Disparue","")</f>
        <v/>
      </c>
      <c r="T185" s="25">
        <f>VLOOKUP(TabVMEnv[[#This Row],[VM]],TabOceanet[],36,FALSE)/TabVMEnv[[#This Row],[Mutualisé]]</f>
        <v>6.8800000000000008</v>
      </c>
      <c r="U185" s="25">
        <f>IF(TabVMEnv[[#This Row],[CostCenter]]="CostCenterDI",0,TabVMEnv[[#This Row],[CoutGlobal]])</f>
        <v>6.8800000000000008</v>
      </c>
      <c r="V185" s="25">
        <f>TabVMEnv[[#This Row],[CoutGlobalSansCostCenterDI]]/TabVMEnv[[#Totals],[CoutGlobalSansCostCenterDI]]*(GlobalARepartirSansMS+GlobalARepartirMSOnly+GlobalARepartirInfraReseau)</f>
        <v>14.344944526234039</v>
      </c>
      <c r="W185" s="25">
        <f>TabVMEnv[[#This Row],[CoutGlobalSansCostCenterDI]]+TabVMEnv[[#This Row],[CoutGlobalSupplementaire]]</f>
        <v>21.22494452623404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185" s="5" t="str">
        <f>VLOOKUP(TabVMEnv[[#This Row],[EnvProjet]],TabEnvProjet[],5,FALSE)</f>
        <v>Eric RAUCOURT</v>
      </c>
      <c r="Z185" s="5">
        <f>VLOOKUP(TabVMEnv[[#This Row],[EnvProjet]],TabEnvProjet[],6,FALSE)</f>
        <v>305704</v>
      </c>
      <c r="AA185" s="5" t="str">
        <f>VLOOKUP(TabVMEnv[[#This Row],[EnvProjet]],TabEnvProjet[],3,FALSE)</f>
        <v>RECETTE</v>
      </c>
      <c r="AB185" s="5">
        <f>COUNTIF(TabVMEnv[VM],TabVMEnv[[#This Row],[VM]])</f>
        <v>1</v>
      </c>
    </row>
    <row r="186" spans="1:28" x14ac:dyDescent="0.25">
      <c r="A186" t="s">
        <v>161</v>
      </c>
      <c r="B186" t="s">
        <v>484</v>
      </c>
      <c r="D186">
        <v>2</v>
      </c>
      <c r="E186" s="13" t="s">
        <v>522</v>
      </c>
      <c r="F186">
        <f>IF(VLOOKUP(TabVMEnv[[#This Row],[VM]],TabOceanet[],16,FALSE) = "Tarif_VM",IF(VLOOKUP(TabVMEnv[[#This Row],[VM]],TabOceanet[],2,FALSE)&lt;4,4,VLOOKUP(TabVMEnv[[#This Row],[VM]],TabOceanet[],2,FALSE)),0)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IF(VLOOKUP(TabVMEnv[[#This Row],[VM]],TabOceanet[],16,FALSE) = "Tarif_VM",1,0)/TabVMEnv[[#This Row],[Mutualisé]]</f>
        <v>1</v>
      </c>
      <c r="L186">
        <f>IF(VLOOKUP(TabVMEnv[[#This Row],[VM]],TabOceanet[],9,FALSE) = "PoweredOn",1,0)</f>
        <v>1</v>
      </c>
      <c r="M186">
        <f>TabVMEnv[[#This Row],[IsVMPoweredOn]]*VLOOKUP(TabVMEnv[[#This Row],[VM]],TabOceanet[],3,FALSE)/TabVMEnv[[#This Row],[Mutualisé]]</f>
        <v>1</v>
      </c>
      <c r="N186">
        <f>VLOOKUP(TabVMEnv[[#This Row],[VM]],TabOceanet[],4,FALSE)/TabVMEnv[[#This Row],[Mutualisé]]</f>
        <v>4</v>
      </c>
      <c r="O186">
        <f>IF(LEFT(VLOOKUP(TabVMEnv[[#This Row],[VM]],TabOceanet[],5,FALSE),3)="win",1,0)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VLOOKUP(TabVMEnv[[#This Row],[EnvProjet]],TabEnvProjet[],4,FALSE)</f>
        <v>GFI Oceanet Infra Réseau</v>
      </c>
      <c r="R186" s="5" t="str">
        <f>VLOOKUP(TabVMEnv[[#This Row],[SYGES]],TabContrat[],2,FALSE)</f>
        <v>GFI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2.52</v>
      </c>
      <c r="U186" s="17">
        <f>IF(TabVMEnv[[#This Row],[CostCenter]]="CostCenterDI",0,TabVMEnv[[#This Row],[CoutGlobal]])</f>
        <v>0</v>
      </c>
      <c r="V186" s="17">
        <f>TabVMEnv[[#This Row],[CoutGlobalSansCostCenterDI]]/TabVMEnv[[#Totals],[CoutGlobalSansCostCenterDI]]*(GlobalARepartirSansMS+GlobalARepartirMSOnly+GlobalARepartirInfraReseau)</f>
        <v>0</v>
      </c>
      <c r="W186" s="17">
        <f>TabVMEnv[[#This Row],[CoutGlobalSansCostCenterDI]]+TabVMEnv[[#This Row],[CoutGlobalSupplementaire]]</f>
        <v>0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6" s="5" t="str">
        <f>VLOOKUP(TabVMEnv[[#This Row],[EnvProjet]],TabEnvProjet[],5,FALSE)</f>
        <v>Jérôme JACOB</v>
      </c>
      <c r="Z186" s="5" t="str">
        <f>VLOOKUP(TabVMEnv[[#This Row],[EnvProjet]],TabEnvProjet[],6,FALSE)</f>
        <v>CostCenterDI</v>
      </c>
      <c r="AA186" s="5" t="str">
        <f>VLOOKUP(TabVMEnv[[#This Row],[EnvProjet]],TabEnvProjet[],3,FALSE)</f>
        <v>SOCLE</v>
      </c>
      <c r="AB186" s="5">
        <f>COUNTIF(TabVMEnv[VM],TabVMEnv[[#This Row],[VM]])</f>
        <v>1</v>
      </c>
    </row>
    <row r="187" spans="1:28" x14ac:dyDescent="0.25">
      <c r="A187" t="s">
        <v>150</v>
      </c>
      <c r="B187" t="s">
        <v>564</v>
      </c>
      <c r="D187">
        <v>2</v>
      </c>
      <c r="E187" s="13" t="s">
        <v>546</v>
      </c>
      <c r="F187">
        <f>IF(VLOOKUP(TabVMEnv[[#This Row],[VM]],TabOceanet[],16,FALSE) = "Tarif_VM",IF(VLOOKUP(TabVMEnv[[#This Row],[VM]],TabOceanet[],2,FALSE)&lt;4,4,VLOOKUP(TabVMEnv[[#This Row],[VM]],TabOceanet[],2,FALSE)),0)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IF(VLOOKUP(TabVMEnv[[#This Row],[VM]],TabOceanet[],16,FALSE) = "Tarif_VM",1,0)/TabVMEnv[[#This Row],[Mutualisé]]</f>
        <v>1</v>
      </c>
      <c r="L187">
        <f>IF(VLOOKUP(TabVMEnv[[#This Row],[VM]],TabOceanet[],9,FALSE) = "PoweredOn",1,0)</f>
        <v>1</v>
      </c>
      <c r="M187">
        <f>TabVMEnv[[#This Row],[IsVMPoweredOn]]*VLOOKUP(TabVMEnv[[#This Row],[VM]],TabOceanet[],3,FALSE)/TabVMEnv[[#This Row],[Mutualisé]]</f>
        <v>1</v>
      </c>
      <c r="N187">
        <f>VLOOKUP(TabVMEnv[[#This Row],[VM]],TabOceanet[],4,FALSE)/TabVMEnv[[#This Row],[Mutualisé]]</f>
        <v>35</v>
      </c>
      <c r="O187">
        <f>IF(LEFT(VLOOKUP(TabVMEnv[[#This Row],[VM]],TabOceanet[],5,FALSE),3)="win",1,0)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VLOOKUP(TabVMEnv[[#This Row],[EnvProjet]],TabEnvProjet[],4,FALSE)</f>
        <v>SUPP-DIGI - 1530-2018 - 0 - 1 - Tache 1 - Perform</v>
      </c>
      <c r="R187" s="5" t="str">
        <f>VLOOKUP(TabVMEnv[[#This Row],[SYGES]],TabContrat[],2,FALSE)</f>
        <v>GFI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9.65</v>
      </c>
      <c r="U187" s="17">
        <f>IF(TabVMEnv[[#This Row],[CostCenter]]="CostCenterDI",0,TabVMEnv[[#This Row],[CoutGlobal]])</f>
        <v>9.65</v>
      </c>
      <c r="V187" s="17">
        <f>TabVMEnv[[#This Row],[CoutGlobalSansCostCenterDI]]/TabVMEnv[[#Totals],[CoutGlobalSansCostCenterDI]]*(GlobalARepartirSansMS+GlobalARepartirMSOnly+GlobalARepartirInfraReseau)</f>
        <v>20.120452714848614</v>
      </c>
      <c r="W187" s="17">
        <f>TabVMEnv[[#This Row],[CoutGlobalSansCostCenterDI]]+TabVMEnv[[#This Row],[CoutGlobalSupplementaire]]</f>
        <v>29.770452714848616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187" s="5" t="str">
        <f>VLOOKUP(TabVMEnv[[#This Row],[EnvProjet]],TabEnvProjet[],5,FALSE)</f>
        <v>Vincent MERIAU</v>
      </c>
      <c r="Z187" s="5">
        <f>VLOOKUP(TabVMEnv[[#This Row],[EnvProjet]],TabEnvProjet[],6,FALSE)</f>
        <v>341531</v>
      </c>
      <c r="AA187" s="5" t="str">
        <f>VLOOKUP(TabVMEnv[[#This Row],[EnvProjet]],TabEnvProjet[],3,FALSE)</f>
        <v>QUAL_BUILD</v>
      </c>
      <c r="AB187" s="5">
        <f>COUNTIF(TabVMEnv[VM],TabVMEnv[[#This Row],[VM]])</f>
        <v>1</v>
      </c>
    </row>
    <row r="188" spans="1:28" ht="30" x14ac:dyDescent="0.25">
      <c r="A188" t="s">
        <v>162</v>
      </c>
      <c r="B188" t="s">
        <v>484</v>
      </c>
      <c r="D188">
        <v>2</v>
      </c>
      <c r="E188" s="13" t="s">
        <v>549</v>
      </c>
      <c r="F188">
        <f>IF(VLOOKUP(TabVMEnv[[#This Row],[VM]],TabOceanet[],16,FALSE) = "Tarif_VM",IF(VLOOKUP(TabVMEnv[[#This Row],[VM]],TabOceanet[],2,FALSE)&lt;4,4,VLOOKUP(TabVMEnv[[#This Row],[VM]],TabOceanet[],2,FALSE)),0)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IF(VLOOKUP(TabVMEnv[[#This Row],[VM]],TabOceanet[],16,FALSE) = "Tarif_VM",1,0)/TabVMEnv[[#This Row],[Mutualisé]]</f>
        <v>1</v>
      </c>
      <c r="L188">
        <f>IF(VLOOKUP(TabVMEnv[[#This Row],[VM]],TabOceanet[],9,FALSE) = "PoweredOn",1,0)</f>
        <v>1</v>
      </c>
      <c r="M188">
        <f>TabVMEnv[[#This Row],[IsVMPoweredOn]]*VLOOKUP(TabVMEnv[[#This Row],[VM]],TabOceanet[],3,FALSE)/TabVMEnv[[#This Row],[Mutualisé]]</f>
        <v>1</v>
      </c>
      <c r="N188">
        <f>VLOOKUP(TabVMEnv[[#This Row],[VM]],TabOceanet[],4,FALSE)/TabVMEnv[[#This Row],[Mutualisé]]</f>
        <v>4</v>
      </c>
      <c r="O188">
        <f>IF(LEFT(VLOOKUP(TabVMEnv[[#This Row],[VM]],TabOceanet[],5,FALSE),3)="win",1,0)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VLOOKUP(TabVMEnv[[#This Row],[EnvProjet]],TabEnvProjet[],4,FALSE)</f>
        <v>GFI Oceanet Infra Réseau</v>
      </c>
      <c r="R188" s="5" t="str">
        <f>VLOOKUP(TabVMEnv[[#This Row],[SYGES]],TabContrat[],2,FALSE)</f>
        <v>GFI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2.52</v>
      </c>
      <c r="U188" s="17">
        <f>IF(TabVMEnv[[#This Row],[CostCenter]]="CostCenterDI",0,TabVMEnv[[#This Row],[CoutGlobal]])</f>
        <v>0</v>
      </c>
      <c r="V188" s="17">
        <f>TabVMEnv[[#This Row],[CoutGlobalSansCostCenterDI]]/TabVMEnv[[#Totals],[CoutGlobalSansCostCenterDI]]*(GlobalARepartirSansMS+GlobalARepartirMSOnly+GlobalARepartirInfraReseau)</f>
        <v>0</v>
      </c>
      <c r="W188" s="17">
        <f>TabVMEnv[[#This Row],[CoutGlobalSansCostCenterDI]]+TabVMEnv[[#This Row],[CoutGlobalSupplementaire]]</f>
        <v>0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8" s="5" t="str">
        <f>VLOOKUP(TabVMEnv[[#This Row],[EnvProjet]],TabEnvProjet[],5,FALSE)</f>
        <v>Jérôme JACOB</v>
      </c>
      <c r="Z188" s="5" t="str">
        <f>VLOOKUP(TabVMEnv[[#This Row],[EnvProjet]],TabEnvProjet[],6,FALSE)</f>
        <v>CostCenterDI</v>
      </c>
      <c r="AA188" s="5" t="str">
        <f>VLOOKUP(TabVMEnv[[#This Row],[EnvProjet]],TabEnvProjet[],3,FALSE)</f>
        <v>SOCLE</v>
      </c>
      <c r="AB188" s="5">
        <f>COUNTIF(TabVMEnv[VM],TabVMEnv[[#This Row],[VM]])</f>
        <v>1</v>
      </c>
    </row>
    <row r="189" spans="1:28" x14ac:dyDescent="0.25">
      <c r="A189" t="s">
        <v>163</v>
      </c>
      <c r="B189" t="s">
        <v>484</v>
      </c>
      <c r="D189">
        <v>0.5</v>
      </c>
      <c r="E189" s="13" t="s">
        <v>541</v>
      </c>
      <c r="F189">
        <f>IF(VLOOKUP(TabVMEnv[[#This Row],[VM]],TabOceanet[],16,FALSE) = "Tarif_VM",IF(VLOOKUP(TabVMEnv[[#This Row],[VM]],TabOceanet[],2,FALSE)&lt;4,4,VLOOKUP(TabVMEnv[[#This Row],[VM]],TabOceanet[],2,FALSE)),0)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IF(VLOOKUP(TabVMEnv[[#This Row],[VM]],TabOceanet[],16,FALSE) = "Tarif_VM",1,0)/TabVMEnv[[#This Row],[Mutualisé]]</f>
        <v>1</v>
      </c>
      <c r="L189">
        <f>IF(VLOOKUP(TabVMEnv[[#This Row],[VM]],TabOceanet[],9,FALSE) = "PoweredOn",1,0)</f>
        <v>1</v>
      </c>
      <c r="M189">
        <f>TabVMEnv[[#This Row],[IsVMPoweredOn]]*VLOOKUP(TabVMEnv[[#This Row],[VM]],TabOceanet[],3,FALSE)/TabVMEnv[[#This Row],[Mutualisé]]</f>
        <v>4</v>
      </c>
      <c r="N189">
        <f>VLOOKUP(TabVMEnv[[#This Row],[VM]],TabOceanet[],4,FALSE)/TabVMEnv[[#This Row],[Mutualisé]]</f>
        <v>14</v>
      </c>
      <c r="O189">
        <f>IF(LEFT(VLOOKUP(TabVMEnv[[#This Row],[VM]],TabOceanet[],5,FALSE),3)="win",1,0)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VLOOKUP(TabVMEnv[[#This Row],[EnvProjet]],TabEnvProjet[],4,FALSE)</f>
        <v>GFI Oceanet Infra Réseau</v>
      </c>
      <c r="R189" s="5" t="str">
        <f>VLOOKUP(TabVMEnv[[#This Row],[SYGES]],TabContrat[],2,FALSE)</f>
        <v>GFI</v>
      </c>
      <c r="S189" s="5" t="str">
        <f>IF(VLOOKUP(TabVMEnv[[#This Row],[VM]],TabOceanet[],1,FALSE) = "","Disparue","")</f>
        <v/>
      </c>
      <c r="T189" s="17">
        <f>VLOOKUP(TabVMEnv[[#This Row],[VM]],TabOceanet[],36,FALSE)/TabVMEnv[[#This Row],[Mutualisé]]</f>
        <v>9.620000000000001</v>
      </c>
      <c r="U189" s="17">
        <f>IF(TabVMEnv[[#This Row],[CostCenter]]="CostCenterDI",0,TabVMEnv[[#This Row],[CoutGlobal]])</f>
        <v>0</v>
      </c>
      <c r="V189" s="17">
        <f>TabVMEnv[[#This Row],[CoutGlobalSansCostCenterDI]]/TabVMEnv[[#Totals],[CoutGlobalSansCostCenterDI]]*(GlobalARepartirSansMS+GlobalARepartirMSOnly+GlobalARepartirInfraReseau)</f>
        <v>0</v>
      </c>
      <c r="W189" s="17">
        <f>TabVMEnv[[#This Row],[CoutGlobalSansCostCenterDI]]+TabVMEnv[[#This Row],[CoutGlobalSupplementaire]]</f>
        <v>0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9" s="5" t="str">
        <f>VLOOKUP(TabVMEnv[[#This Row],[EnvProjet]],TabEnvProjet[],5,FALSE)</f>
        <v>Jérôme JACOB</v>
      </c>
      <c r="Z189" s="5" t="str">
        <f>VLOOKUP(TabVMEnv[[#This Row],[EnvProjet]],TabEnvProjet[],6,FALSE)</f>
        <v>CostCenterDI</v>
      </c>
      <c r="AA189" s="5" t="str">
        <f>VLOOKUP(TabVMEnv[[#This Row],[EnvProjet]],TabEnvProjet[],3,FALSE)</f>
        <v>SOCLE</v>
      </c>
      <c r="AB189" s="5">
        <f>COUNTIF(TabVMEnv[VM],TabVMEnv[[#This Row],[VM]])</f>
        <v>1</v>
      </c>
    </row>
    <row r="190" spans="1:28" x14ac:dyDescent="0.25">
      <c r="A190" t="s">
        <v>332</v>
      </c>
      <c r="B190" t="s">
        <v>565</v>
      </c>
      <c r="D190">
        <v>0.5</v>
      </c>
      <c r="E190" s="13" t="s">
        <v>541</v>
      </c>
      <c r="F190">
        <f>IF(VLOOKUP(TabVMEnv[[#This Row],[VM]],TabOceanet[],16,FALSE) = "Tarif_VM",IF(VLOOKUP(TabVMEnv[[#This Row],[VM]],TabOceanet[],2,FALSE)&lt;4,4,VLOOKUP(TabVMEnv[[#This Row],[VM]],TabOceanet[],2,FALSE)),0)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IF(VLOOKUP(TabVMEnv[[#This Row],[VM]],TabOceanet[],16,FALSE) = "Tarif_VM",1,0)/TabVMEnv[[#This Row],[Mutualisé]]</f>
        <v>1</v>
      </c>
      <c r="L190">
        <f>IF(VLOOKUP(TabVMEnv[[#This Row],[VM]],TabOceanet[],9,FALSE) = "PoweredOn",1,0)</f>
        <v>1</v>
      </c>
      <c r="M190">
        <f>TabVMEnv[[#This Row],[IsVMPoweredOn]]*VLOOKUP(TabVMEnv[[#This Row],[VM]],TabOceanet[],3,FALSE)/TabVMEnv[[#This Row],[Mutualisé]]</f>
        <v>1</v>
      </c>
      <c r="N190">
        <f>VLOOKUP(TabVMEnv[[#This Row],[VM]],TabOceanet[],4,FALSE)/TabVMEnv[[#This Row],[Mutualisé]]</f>
        <v>6</v>
      </c>
      <c r="O190">
        <f>IF(LEFT(VLOOKUP(TabVMEnv[[#This Row],[VM]],TabOceanet[],5,FALSE),3)="win",1,0)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VLOOKUP(TabVMEnv[[#This Row],[EnvProjet]],TabEnvProjet[],4,FALSE)</f>
        <v>GIESV/PCN17-01</v>
      </c>
      <c r="R190" s="5" t="str">
        <f>VLOOKUP(TabVMEnv[[#This Row],[SYGES]],TabContrat[],2,FALSE)</f>
        <v>GIESV</v>
      </c>
      <c r="S190" s="5" t="str">
        <f>IF(VLOOKUP(TabVMEnv[[#This Row],[VM]],TabOceanet[],1,FALSE) = "","Disparue","")</f>
        <v/>
      </c>
      <c r="T190" s="17">
        <f>VLOOKUP(TabVMEnv[[#This Row],[VM]],TabOceanet[],36,FALSE)/TabVMEnv[[#This Row],[Mutualisé]]</f>
        <v>2.9800000000000004</v>
      </c>
      <c r="U190" s="17">
        <f>IF(TabVMEnv[[#This Row],[CostCenter]]="CostCenterDI",0,TabVMEnv[[#This Row],[CoutGlobal]])</f>
        <v>2.9800000000000004</v>
      </c>
      <c r="V190" s="17">
        <f>TabVMEnv[[#This Row],[CoutGlobalSansCostCenterDI]]/TabVMEnv[[#Totals],[CoutGlobalSansCostCenterDI]]*(GlobalARepartirSansMS+GlobalARepartirMSOnly+GlobalARepartirInfraReseau)</f>
        <v>6.21336260002579</v>
      </c>
      <c r="W190" s="17">
        <f>TabVMEnv[[#This Row],[CoutGlobalSansCostCenterDI]]+TabVMEnv[[#This Row],[CoutGlobalSupplementaire]]</f>
        <v>9.1933626000257895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0" s="5" t="str">
        <f>VLOOKUP(TabVMEnv[[#This Row],[EnvProjet]],TabEnvProjet[],5,FALSE)</f>
        <v>Nicolas Cordier</v>
      </c>
      <c r="Z190" s="5">
        <f>VLOOKUP(TabVMEnv[[#This Row],[EnvProjet]],TabEnvProjet[],6,FALSE)</f>
        <v>341531</v>
      </c>
      <c r="AA190" s="5" t="str">
        <f>VLOOKUP(TabVMEnv[[#This Row],[EnvProjet]],TabEnvProjet[],3,FALSE)</f>
        <v>PROD</v>
      </c>
      <c r="AB190" s="5">
        <f>COUNTIF(TabVMEnv[VM],TabVMEnv[[#This Row],[VM]])</f>
        <v>1</v>
      </c>
    </row>
    <row r="191" spans="1:28" x14ac:dyDescent="0.25">
      <c r="A191" t="s">
        <v>125</v>
      </c>
      <c r="B191" t="s">
        <v>505</v>
      </c>
      <c r="E191" s="13"/>
      <c r="F191">
        <f>IF(VLOOKUP(TabVMEnv[[#This Row],[VM]],TabOceanet[],16,FALSE) = "Tarif_VM",IF(VLOOKUP(TabVMEnv[[#This Row],[VM]],TabOceanet[],2,FALSE)&lt;4,4,VLOOKUP(TabVMEnv[[#This Row],[VM]],TabOceanet[],2,FALSE)),0)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IF(VLOOKUP(TabVMEnv[[#This Row],[VM]],TabOceanet[],16,FALSE) = "Tarif_VM",1,0)/TabVMEnv[[#This Row],[Mutualisé]]</f>
        <v>1</v>
      </c>
      <c r="L191">
        <f>IF(VLOOKUP(TabVMEnv[[#This Row],[VM]],TabOceanet[],9,FALSE) = "PoweredOn",1,0)</f>
        <v>1</v>
      </c>
      <c r="M191">
        <f>TabVMEnv[[#This Row],[IsVMPoweredOn]]*VLOOKUP(TabVMEnv[[#This Row],[VM]],TabOceanet[],3,FALSE)/TabVMEnv[[#This Row],[Mutualisé]]</f>
        <v>4</v>
      </c>
      <c r="N191">
        <f>VLOOKUP(TabVMEnv[[#This Row],[VM]],TabOceanet[],4,FALSE)/TabVMEnv[[#This Row],[Mutualisé]]</f>
        <v>39</v>
      </c>
      <c r="O191">
        <f>IF(LEFT(VLOOKUP(TabVMEnv[[#This Row],[VM]],TabOceanet[],5,FALSE),3)="win",1,0)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VLOOKUP(TabVMEnv[[#This Row],[EnvProjet]],TabEnvProjet[],4,FALSE)</f>
        <v>ONEMA/TMADCUA-15</v>
      </c>
      <c r="R191" s="5" t="str">
        <f>VLOOKUP(TabVMEnv[[#This Row],[SYGES]],TabContrat[],2,FALSE)</f>
        <v>ONEMA</v>
      </c>
      <c r="S191" s="5" t="str">
        <f>IF(VLOOKUP(TabVMEnv[[#This Row],[VM]],TabOceanet[],1,FALSE) = "","Disparue","")</f>
        <v/>
      </c>
      <c r="T191" s="17">
        <f>VLOOKUP(TabVMEnv[[#This Row],[VM]],TabOceanet[],36,FALSE)/TabVMEnv[[#This Row],[Mutualisé]]</f>
        <v>15.370000000000001</v>
      </c>
      <c r="U191" s="17">
        <f>IF(TabVMEnv[[#This Row],[CostCenter]]="CostCenterDI",0,TabVMEnv[[#This Row],[CoutGlobal]])</f>
        <v>15.370000000000001</v>
      </c>
      <c r="V191" s="17">
        <f>TabVMEnv[[#This Row],[CoutGlobalSansCostCenterDI]]/TabVMEnv[[#Totals],[CoutGlobalSansCostCenterDI]]*(GlobalARepartirSansMS+GlobalARepartirMSOnly+GlobalARepartirInfraReseau)</f>
        <v>32.046772873287374</v>
      </c>
      <c r="W191" s="17">
        <f>TabVMEnv[[#This Row],[CoutGlobalSansCostCenterDI]]+TabVMEnv[[#This Row],[CoutGlobalSupplementaire]]</f>
        <v>47.416772873287371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191" s="5" t="str">
        <f>VLOOKUP(TabVMEnv[[#This Row],[EnvProjet]],TabEnvProjet[],5,FALSE)</f>
        <v>Rodolphe Habegger</v>
      </c>
      <c r="Z191" s="5">
        <f>VLOOKUP(TabVMEnv[[#This Row],[EnvProjet]],TabEnvProjet[],6,FALSE)</f>
        <v>305704</v>
      </c>
      <c r="AA191" s="5" t="str">
        <f>VLOOKUP(TabVMEnv[[#This Row],[EnvProjet]],TabEnvProjet[],3,FALSE)</f>
        <v>RECETTE</v>
      </c>
      <c r="AB191" s="5">
        <f>COUNTIF(TabVMEnv[VM],TabVMEnv[[#This Row],[VM]])</f>
        <v>1</v>
      </c>
    </row>
    <row r="192" spans="1:28" x14ac:dyDescent="0.25">
      <c r="A192" t="s">
        <v>145</v>
      </c>
      <c r="B192" t="s">
        <v>560</v>
      </c>
      <c r="D192">
        <v>0</v>
      </c>
      <c r="E192" s="13" t="s">
        <v>524</v>
      </c>
      <c r="F192">
        <f>IF(VLOOKUP(TabVMEnv[[#This Row],[VM]],TabOceanet[],16,FALSE) = "Tarif_VM",IF(VLOOKUP(TabVMEnv[[#This Row],[VM]],TabOceanet[],2,FALSE)&lt;4,4,VLOOKUP(TabVMEnv[[#This Row],[VM]],TabOceanet[],2,FALSE)),0)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IF(VLOOKUP(TabVMEnv[[#This Row],[VM]],TabOceanet[],16,FALSE) = "Tarif_VM",1,0)/TabVMEnv[[#This Row],[Mutualisé]]</f>
        <v>1</v>
      </c>
      <c r="L192">
        <f>IF(VLOOKUP(TabVMEnv[[#This Row],[VM]],TabOceanet[],9,FALSE) = "PoweredOn",1,0)</f>
        <v>1</v>
      </c>
      <c r="M192">
        <f>TabVMEnv[[#This Row],[IsVMPoweredOn]]*VLOOKUP(TabVMEnv[[#This Row],[VM]],TabOceanet[],3,FALSE)/TabVMEnv[[#This Row],[Mutualisé]]</f>
        <v>2</v>
      </c>
      <c r="N192">
        <f>VLOOKUP(TabVMEnv[[#This Row],[VM]],TabOceanet[],4,FALSE)/TabVMEnv[[#This Row],[Mutualisé]]</f>
        <v>12</v>
      </c>
      <c r="O192">
        <f>IF(LEFT(VLOOKUP(TabVMEnv[[#This Row],[VM]],TabOceanet[],5,FALSE),3)="win",1,0)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VLOOKUP(TabVMEnv[[#This Row],[EnvProjet]],TabEnvProjet[],4,FALSE)</f>
        <v>SILICONE - 1530-2018 - 0 - 2 - Tache 2 – ORS</v>
      </c>
      <c r="R192" s="5" t="str">
        <f>VLOOKUP(TabVMEnv[[#This Row],[SYGES]],TabContrat[],2,FALSE)</f>
        <v>GFI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5.9600000000000009</v>
      </c>
      <c r="U192" s="17">
        <f>IF(TabVMEnv[[#This Row],[CostCenter]]="CostCenterDI",0,TabVMEnv[[#This Row],[CoutGlobal]])</f>
        <v>5.9600000000000009</v>
      </c>
      <c r="V192" s="17">
        <f>TabVMEnv[[#This Row],[CoutGlobalSansCostCenterDI]]/TabVMEnv[[#Totals],[CoutGlobalSansCostCenterDI]]*(GlobalARepartirSansMS+GlobalARepartirMSOnly+GlobalARepartirInfraReseau)</f>
        <v>12.42672520005158</v>
      </c>
      <c r="W192" s="17">
        <f>TabVMEnv[[#This Row],[CoutGlobalSansCostCenterDI]]+TabVMEnv[[#This Row],[CoutGlobalSupplementaire]]</f>
        <v>18.386725200051579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92" s="5" t="str">
        <f>VLOOKUP(TabVMEnv[[#This Row],[EnvProjet]],TabEnvProjet[],5,FALSE)</f>
        <v>Michael Le-Ridant</v>
      </c>
      <c r="Z192" s="5">
        <f>VLOOKUP(TabVMEnv[[#This Row],[EnvProjet]],TabEnvProjet[],6,FALSE)</f>
        <v>341531</v>
      </c>
      <c r="AA192" s="5" t="str">
        <f>VLOOKUP(TabVMEnv[[#This Row],[EnvProjet]],TabEnvProjet[],3,FALSE)</f>
        <v>PROD</v>
      </c>
      <c r="AB192" s="5">
        <f>COUNTIF(TabVMEnv[VM],TabVMEnv[[#This Row],[VM]])</f>
        <v>1</v>
      </c>
    </row>
    <row r="193" spans="1:28" x14ac:dyDescent="0.25">
      <c r="A193" s="24" t="s">
        <v>77</v>
      </c>
      <c r="B193" t="s">
        <v>566</v>
      </c>
      <c r="C193" t="s">
        <v>78</v>
      </c>
      <c r="E193" s="13"/>
      <c r="F193">
        <f>IF(VLOOKUP(TabVMEnv[[#This Row],[VM]],TabOceanet[],16,FALSE) = "Tarif_VM",IF(VLOOKUP(TabVMEnv[[#This Row],[VM]],TabOceanet[],2,FALSE)&lt;4,4,VLOOKUP(TabVMEnv[[#This Row],[VM]],TabOceanet[],2,FALSE)),0)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IF(VLOOKUP(TabVMEnv[[#This Row],[VM]],TabOceanet[],16,FALSE) = "Tarif_VM",1,0)/TabVMEnv[[#This Row],[Mutualisé]]</f>
        <v>0.5</v>
      </c>
      <c r="L193">
        <f>IF(VLOOKUP(TabVMEnv[[#This Row],[VM]],TabOceanet[],9,FALSE) = "PoweredOn",1,0)</f>
        <v>1</v>
      </c>
      <c r="M193">
        <f>TabVMEnv[[#This Row],[IsVMPoweredOn]]*VLOOKUP(TabVMEnv[[#This Row],[VM]],TabOceanet[],3,FALSE)/TabVMEnv[[#This Row],[Mutualisé]]</f>
        <v>0.5</v>
      </c>
      <c r="N193">
        <f>VLOOKUP(TabVMEnv[[#This Row],[VM]],TabOceanet[],4,FALSE)/TabVMEnv[[#This Row],[Mutualisé]]</f>
        <v>20.5</v>
      </c>
      <c r="O193">
        <f>IF(LEFT(VLOOKUP(TabVMEnv[[#This Row],[VM]],TabOceanet[],5,FALSE),3)="win",1,0)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VLOOKUP(TabVMEnv[[#This Row],[EnvProjet]],TabEnvProjet[],4,FALSE)</f>
        <v>MACIF-PHP/284244-17</v>
      </c>
      <c r="R193" s="5" t="str">
        <f>VLOOKUP(TabVMEnv[[#This Row],[SYGES]],TabContrat[],2,FALSE)</f>
        <v>MACIF</v>
      </c>
      <c r="S193" s="5" t="str">
        <f>IF(VLOOKUP(TabVMEnv[[#This Row],[VM]],TabOceanet[],1,FALSE) = "","Disparue","")</f>
        <v/>
      </c>
      <c r="T193" s="25">
        <f>VLOOKUP(TabVMEnv[[#This Row],[VM]],TabOceanet[],36,FALSE)/TabVMEnv[[#This Row],[Mutualisé]]</f>
        <v>5.5149999999999997</v>
      </c>
      <c r="U193" s="25">
        <f>IF(TabVMEnv[[#This Row],[CostCenter]]="CostCenterDI",0,TabVMEnv[[#This Row],[CoutGlobal]])</f>
        <v>5.5149999999999997</v>
      </c>
      <c r="V193" s="25">
        <f>TabVMEnv[[#This Row],[CoutGlobalSansCostCenterDI]]/TabVMEnv[[#Totals],[CoutGlobalSansCostCenterDI]]*(GlobalARepartirSansMS+GlobalARepartirMSOnly+GlobalARepartirInfraReseau)</f>
        <v>11.498890852061148</v>
      </c>
      <c r="W193" s="25">
        <f>TabVMEnv[[#This Row],[CoutGlobalSansCostCenterDI]]+TabVMEnv[[#This Row],[CoutGlobalSupplementaire]]</f>
        <v>17.013890852061149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193" s="5" t="str">
        <f>VLOOKUP(TabVMEnv[[#This Row],[EnvProjet]],TabEnvProjet[],5,FALSE)</f>
        <v>Yann-Herve Mauguen</v>
      </c>
      <c r="Z193" s="5">
        <f>VLOOKUP(TabVMEnv[[#This Row],[EnvProjet]],TabEnvProjet[],6,FALSE)</f>
        <v>341530</v>
      </c>
      <c r="AA193" s="5" t="str">
        <f>VLOOKUP(TabVMEnv[[#This Row],[EnvProjet]],TabEnvProjet[],3,FALSE)</f>
        <v>SOCLE</v>
      </c>
      <c r="AB193" s="5">
        <f>COUNTIF(TabVMEnv[VM],TabVMEnv[[#This Row],[VM]])</f>
        <v>2</v>
      </c>
    </row>
    <row r="194" spans="1:28" x14ac:dyDescent="0.25">
      <c r="A194" s="24" t="s">
        <v>77</v>
      </c>
      <c r="B194" t="s">
        <v>567</v>
      </c>
      <c r="C194" t="s">
        <v>78</v>
      </c>
      <c r="D194">
        <v>4</v>
      </c>
      <c r="E194" s="13" t="s">
        <v>546</v>
      </c>
      <c r="F194">
        <f>IF(VLOOKUP(TabVMEnv[[#This Row],[VM]],TabOceanet[],16,FALSE) = "Tarif_VM",IF(VLOOKUP(TabVMEnv[[#This Row],[VM]],TabOceanet[],2,FALSE)&lt;4,4,VLOOKUP(TabVMEnv[[#This Row],[VM]],TabOceanet[],2,FALSE)),0)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IF(VLOOKUP(TabVMEnv[[#This Row],[VM]],TabOceanet[],16,FALSE) = "Tarif_VM",1,0)/TabVMEnv[[#This Row],[Mutualisé]]</f>
        <v>0.5</v>
      </c>
      <c r="L194">
        <f>IF(VLOOKUP(TabVMEnv[[#This Row],[VM]],TabOceanet[],9,FALSE) = "PoweredOn",1,0)</f>
        <v>1</v>
      </c>
      <c r="M194">
        <f>TabVMEnv[[#This Row],[IsVMPoweredOn]]*VLOOKUP(TabVMEnv[[#This Row],[VM]],TabOceanet[],3,FALSE)/TabVMEnv[[#This Row],[Mutualisé]]</f>
        <v>0.5</v>
      </c>
      <c r="N194">
        <f>VLOOKUP(TabVMEnv[[#This Row],[VM]],TabOceanet[],4,FALSE)/TabVMEnv[[#This Row],[Mutualisé]]</f>
        <v>20.5</v>
      </c>
      <c r="O194">
        <f>IF(LEFT(VLOOKUP(TabVMEnv[[#This Row],[VM]],TabOceanet[],5,FALSE),3)="win",1,0)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VLOOKUP(TabVMEnv[[#This Row],[EnvProjet]],TabEnvProjet[],4,FALSE)</f>
        <v>MAE-PII-L2/334179-17</v>
      </c>
      <c r="R194" s="5" t="str">
        <f>VLOOKUP(TabVMEnv[[#This Row],[SYGES]],TabContrat[],2,FALSE)</f>
        <v>MINISTERE DE L'EUROPE ET DES AFFAIRES ETRANGERES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5.5149999999999997</v>
      </c>
      <c r="U194" s="17">
        <f>IF(TabVMEnv[[#This Row],[CostCenter]]="CostCenterDI",0,TabVMEnv[[#This Row],[CoutGlobal]])</f>
        <v>5.5149999999999997</v>
      </c>
      <c r="V194" s="17">
        <f>TabVMEnv[[#This Row],[CoutGlobalSansCostCenterDI]]/TabVMEnv[[#Totals],[CoutGlobalSansCostCenterDI]]*(GlobalARepartirSansMS+GlobalARepartirMSOnly+GlobalARepartirInfraReseau)</f>
        <v>11.498890852061148</v>
      </c>
      <c r="W194" s="17">
        <f>TabVMEnv[[#This Row],[CoutGlobalSansCostCenterDI]]+TabVMEnv[[#This Row],[CoutGlobalSupplementaire]]</f>
        <v>17.013890852061149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94" s="5" t="str">
        <f>VLOOKUP(TabVMEnv[[#This Row],[EnvProjet]],TabEnvProjet[],5,FALSE)</f>
        <v>Axel Benoist-Gironiere</v>
      </c>
      <c r="Z194" s="5">
        <f>VLOOKUP(TabVMEnv[[#This Row],[EnvProjet]],TabEnvProjet[],6,FALSE)</f>
        <v>341531</v>
      </c>
      <c r="AA194" s="5" t="str">
        <f>VLOOKUP(TabVMEnv[[#This Row],[EnvProjet]],TabEnvProjet[],3,FALSE)</f>
        <v>OBSOLETE</v>
      </c>
      <c r="AB194" s="5">
        <f>COUNTIF(TabVMEnv[VM],TabVMEnv[[#This Row],[VM]])</f>
        <v>2</v>
      </c>
    </row>
    <row r="195" spans="1:28" x14ac:dyDescent="0.25">
      <c r="A195" t="s">
        <v>186</v>
      </c>
      <c r="B195" t="s">
        <v>568</v>
      </c>
      <c r="D195">
        <v>4</v>
      </c>
      <c r="E195" s="13" t="s">
        <v>546</v>
      </c>
      <c r="F195">
        <f>IF(VLOOKUP(TabVMEnv[[#This Row],[VM]],TabOceanet[],16,FALSE) = "Tarif_VM",IF(VLOOKUP(TabVMEnv[[#This Row],[VM]],TabOceanet[],2,FALSE)&lt;4,4,VLOOKUP(TabVMEnv[[#This Row],[VM]],TabOceanet[],2,FALSE)),0)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IF(VLOOKUP(TabVMEnv[[#This Row],[VM]],TabOceanet[],16,FALSE) = "Tarif_VM",1,0)/TabVMEnv[[#This Row],[Mutualisé]]</f>
        <v>1</v>
      </c>
      <c r="L195">
        <f>IF(VLOOKUP(TabVMEnv[[#This Row],[VM]],TabOceanet[],9,FALSE) = "PoweredOn",1,0)</f>
        <v>1</v>
      </c>
      <c r="M195">
        <f>TabVMEnv[[#This Row],[IsVMPoweredOn]]*VLOOKUP(TabVMEnv[[#This Row],[VM]],TabOceanet[],3,FALSE)/TabVMEnv[[#This Row],[Mutualisé]]</f>
        <v>4</v>
      </c>
      <c r="N195">
        <f>VLOOKUP(TabVMEnv[[#This Row],[VM]],TabOceanet[],4,FALSE)/TabVMEnv[[#This Row],[Mutualisé]]</f>
        <v>17</v>
      </c>
      <c r="O195">
        <f>IF(LEFT(VLOOKUP(TabVMEnv[[#This Row],[VM]],TabOceanet[],5,FALSE),3)="win",1,0)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VLOOKUP(TabVMEnv[[#This Row],[EnvProjet]],TabEnvProjet[],4,FALSE)</f>
        <v>GFI Redmine Niort</v>
      </c>
      <c r="R195" s="5" t="str">
        <f>VLOOKUP(TabVMEnv[[#This Row],[SYGES]],TabContrat[],2,FALSE)</f>
        <v>GFI</v>
      </c>
      <c r="S195" s="5" t="str">
        <f>IF(VLOOKUP(TabVMEnv[[#This Row],[VM]],TabOceanet[],1,FALSE) = "","Disparue","")</f>
        <v/>
      </c>
      <c r="T195" s="17">
        <f>VLOOKUP(TabVMEnv[[#This Row],[VM]],TabOceanet[],36,FALSE)/TabVMEnv[[#This Row],[Mutualisé]]</f>
        <v>10.31</v>
      </c>
      <c r="U195" s="17">
        <f>IF(TabVMEnv[[#This Row],[CostCenter]]="CostCenterDI",0,TabVMEnv[[#This Row],[CoutGlobal]])</f>
        <v>10.31</v>
      </c>
      <c r="V195" s="17">
        <f>TabVMEnv[[#This Row],[CoutGlobalSansCostCenterDI]]/TabVMEnv[[#Totals],[CoutGlobalSansCostCenterDI]]*(GlobalARepartirSansMS+GlobalARepartirMSOnly+GlobalARepartirInfraReseau)</f>
        <v>21.496566579283858</v>
      </c>
      <c r="W195" s="17">
        <f>TabVMEnv[[#This Row],[CoutGlobalSansCostCenterDI]]+TabVMEnv[[#This Row],[CoutGlobalSupplementaire]]</f>
        <v>31.80656657928386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195" s="5" t="str">
        <f>VLOOKUP(TabVMEnv[[#This Row],[EnvProjet]],TabEnvProjet[],5,FALSE)</f>
        <v>Philippe De Guio</v>
      </c>
      <c r="Z195" s="5">
        <f>VLOOKUP(TabVMEnv[[#This Row],[EnvProjet]],TabEnvProjet[],6,FALSE)</f>
        <v>341530</v>
      </c>
      <c r="AA195" s="5" t="str">
        <f>VLOOKUP(TabVMEnv[[#This Row],[EnvProjet]],TabEnvProjet[],3,FALSE)</f>
        <v>PROD</v>
      </c>
      <c r="AB195" s="5">
        <f>COUNTIF(TabVMEnv[VM],TabVMEnv[[#This Row],[VM]])</f>
        <v>1</v>
      </c>
    </row>
    <row r="196" spans="1:28" x14ac:dyDescent="0.25">
      <c r="A196" s="24" t="s">
        <v>31</v>
      </c>
      <c r="B196" t="s">
        <v>569</v>
      </c>
      <c r="D196">
        <v>4</v>
      </c>
      <c r="E196" s="13" t="s">
        <v>546</v>
      </c>
      <c r="F196">
        <f>IF(VLOOKUP(TabVMEnv[[#This Row],[VM]],TabOceanet[],16,FALSE) = "Tarif_VM",IF(VLOOKUP(TabVMEnv[[#This Row],[VM]],TabOceanet[],2,FALSE)&lt;4,4,VLOOKUP(TabVMEnv[[#This Row],[VM]],TabOceanet[],2,FALSE)),0)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IF(VLOOKUP(TabVMEnv[[#This Row],[VM]],TabOceanet[],16,FALSE) = "Tarif_VM",1,0)/TabVMEnv[[#This Row],[Mutualisé]]</f>
        <v>1</v>
      </c>
      <c r="L196">
        <f>IF(VLOOKUP(TabVMEnv[[#This Row],[VM]],TabOceanet[],9,FALSE) = "PoweredOn",1,0)</f>
        <v>1</v>
      </c>
      <c r="M196">
        <f>TabVMEnv[[#This Row],[IsVMPoweredOn]]*VLOOKUP(TabVMEnv[[#This Row],[VM]],TabOceanet[],3,FALSE)/TabVMEnv[[#This Row],[Mutualisé]]</f>
        <v>1</v>
      </c>
      <c r="N196">
        <f>VLOOKUP(TabVMEnv[[#This Row],[VM]],TabOceanet[],4,FALSE)/TabVMEnv[[#This Row],[Mutualisé]]</f>
        <v>8</v>
      </c>
      <c r="O196">
        <f>IF(LEFT(VLOOKUP(TabVMEnv[[#This Row],[VM]],TabOceanet[],5,FALSE),3)="win",1,0)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VLOOKUP(TabVMEnv[[#This Row],[EnvProjet]],TabEnvProjet[],4,FALSE)</f>
        <v>MAE-PII-L2/334179</v>
      </c>
      <c r="R196" s="5" t="str">
        <f>VLOOKUP(TabVMEnv[[#This Row],[SYGES]],TabContrat[],2,FALSE)</f>
        <v>MINISTERE DE L'EUROPE ET DES AFFAIRES ETRANGERES</v>
      </c>
      <c r="S196" s="5" t="str">
        <f>IF(VLOOKUP(TabVMEnv[[#This Row],[VM]],TabOceanet[],1,FALSE) = "","Disparue","")</f>
        <v/>
      </c>
      <c r="T196" s="17">
        <f>VLOOKUP(TabVMEnv[[#This Row],[VM]],TabOceanet[],36,FALSE)/TabVMEnv[[#This Row],[Mutualisé]]</f>
        <v>3.4400000000000004</v>
      </c>
      <c r="U196" s="17">
        <f>IF(TabVMEnv[[#This Row],[CostCenter]]="CostCenterDI",0,TabVMEnv[[#This Row],[CoutGlobal]])</f>
        <v>3.4400000000000004</v>
      </c>
      <c r="V196" s="17">
        <f>TabVMEnv[[#This Row],[CoutGlobalSansCostCenterDI]]/TabVMEnv[[#Totals],[CoutGlobalSansCostCenterDI]]*(GlobalARepartirSansMS+GlobalARepartirMSOnly+GlobalARepartirInfraReseau)</f>
        <v>7.1724722631170197</v>
      </c>
      <c r="W196" s="17">
        <f>TabVMEnv[[#This Row],[CoutGlobalSansCostCenterDI]]+TabVMEnv[[#This Row],[CoutGlobalSupplementaire]]</f>
        <v>10.61247226311702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196" s="5" t="str">
        <f>VLOOKUP(TabVMEnv[[#This Row],[EnvProjet]],TabEnvProjet[],5,FALSE)</f>
        <v>Axel Benoist-Gironiere</v>
      </c>
      <c r="Z196" s="5">
        <f>VLOOKUP(TabVMEnv[[#This Row],[EnvProjet]],TabEnvProjet[],6,FALSE)</f>
        <v>341531</v>
      </c>
      <c r="AA196" s="5" t="str">
        <f>VLOOKUP(TabVMEnv[[#This Row],[EnvProjet]],TabEnvProjet[],3,FALSE)</f>
        <v>PROD</v>
      </c>
      <c r="AB196" s="5">
        <f>COUNTIF(TabVMEnv[VM],TabVMEnv[[#This Row],[VM]])</f>
        <v>1</v>
      </c>
    </row>
    <row r="197" spans="1:28" x14ac:dyDescent="0.25">
      <c r="A197" t="s">
        <v>333</v>
      </c>
      <c r="B197" t="s">
        <v>565</v>
      </c>
      <c r="D197">
        <v>2</v>
      </c>
      <c r="E197" s="13" t="s">
        <v>546</v>
      </c>
      <c r="F197">
        <f>IF(VLOOKUP(TabVMEnv[[#This Row],[VM]],TabOceanet[],16,FALSE) = "Tarif_VM",IF(VLOOKUP(TabVMEnv[[#This Row],[VM]],TabOceanet[],2,FALSE)&lt;4,4,VLOOKUP(TabVMEnv[[#This Row],[VM]],TabOceanet[],2,FALSE)),0)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IF(VLOOKUP(TabVMEnv[[#This Row],[VM]],TabOceanet[],16,FALSE) = "Tarif_VM",1,0)/TabVMEnv[[#This Row],[Mutualisé]]</f>
        <v>1</v>
      </c>
      <c r="L197">
        <f>IF(VLOOKUP(TabVMEnv[[#This Row],[VM]],TabOceanet[],9,FALSE) = "PoweredOn",1,0)</f>
        <v>1</v>
      </c>
      <c r="M197">
        <f>TabVMEnv[[#This Row],[IsVMPoweredOn]]*VLOOKUP(TabVMEnv[[#This Row],[VM]],TabOceanet[],3,FALSE)/TabVMEnv[[#This Row],[Mutualisé]]</f>
        <v>1</v>
      </c>
      <c r="N197">
        <f>VLOOKUP(TabVMEnv[[#This Row],[VM]],TabOceanet[],4,FALSE)/TabVMEnv[[#This Row],[Mutualisé]]</f>
        <v>5</v>
      </c>
      <c r="O197">
        <f>IF(LEFT(VLOOKUP(TabVMEnv[[#This Row],[VM]],TabOceanet[],5,FALSE),3)="win",1,0)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VLOOKUP(TabVMEnv[[#This Row],[EnvProjet]],TabEnvProjet[],4,FALSE)</f>
        <v>GIESV/PCN17-01</v>
      </c>
      <c r="R197" s="5" t="str">
        <f>VLOOKUP(TabVMEnv[[#This Row],[SYGES]],TabContrat[],2,FALSE)</f>
        <v>GIESV</v>
      </c>
      <c r="S197" s="5" t="str">
        <f>IF(VLOOKUP(TabVMEnv[[#This Row],[VM]],TabOceanet[],1,FALSE) = "","Disparue","")</f>
        <v/>
      </c>
      <c r="T197" s="17">
        <f>VLOOKUP(TabVMEnv[[#This Row],[VM]],TabOceanet[],36,FALSE)/TabVMEnv[[#This Row],[Mutualisé]]</f>
        <v>2.75</v>
      </c>
      <c r="U197" s="17">
        <f>IF(TabVMEnv[[#This Row],[CostCenter]]="CostCenterDI",0,TabVMEnv[[#This Row],[CoutGlobal]])</f>
        <v>2.75</v>
      </c>
      <c r="V197" s="17">
        <f>TabVMEnv[[#This Row],[CoutGlobalSansCostCenterDI]]/TabVMEnv[[#Totals],[CoutGlobalSansCostCenterDI]]*(GlobalARepartirSansMS+GlobalARepartirMSOnly+GlobalARepartirInfraReseau)</f>
        <v>5.7338077684801743</v>
      </c>
      <c r="W197" s="17">
        <f>TabVMEnv[[#This Row],[CoutGlobalSansCostCenterDI]]+TabVMEnv[[#This Row],[CoutGlobalSupplementaire]]</f>
        <v>8.4838077684801743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7" s="5" t="str">
        <f>VLOOKUP(TabVMEnv[[#This Row],[EnvProjet]],TabEnvProjet[],5,FALSE)</f>
        <v>Nicolas Cordier</v>
      </c>
      <c r="Z197" s="5">
        <f>VLOOKUP(TabVMEnv[[#This Row],[EnvProjet]],TabEnvProjet[],6,FALSE)</f>
        <v>341531</v>
      </c>
      <c r="AA197" s="5" t="str">
        <f>VLOOKUP(TabVMEnv[[#This Row],[EnvProjet]],TabEnvProjet[],3,FALSE)</f>
        <v>PROD</v>
      </c>
      <c r="AB197" s="5">
        <f>COUNTIF(TabVMEnv[VM],TabVMEnv[[#This Row],[VM]])</f>
        <v>1</v>
      </c>
    </row>
    <row r="198" spans="1:28" x14ac:dyDescent="0.25">
      <c r="A198" t="s">
        <v>188</v>
      </c>
      <c r="B198" t="s">
        <v>570</v>
      </c>
      <c r="D198">
        <v>4</v>
      </c>
      <c r="E198" s="13" t="s">
        <v>546</v>
      </c>
      <c r="F198">
        <f>IF(VLOOKUP(TabVMEnv[[#This Row],[VM]],TabOceanet[],16,FALSE) = "Tarif_VM",IF(VLOOKUP(TabVMEnv[[#This Row],[VM]],TabOceanet[],2,FALSE)&lt;4,4,VLOOKUP(TabVMEnv[[#This Row],[VM]],TabOceanet[],2,FALSE)),0)</f>
        <v>4</v>
      </c>
      <c r="G198">
        <v>0</v>
      </c>
      <c r="H198">
        <v>0</v>
      </c>
      <c r="I198">
        <v>0</v>
      </c>
      <c r="J198">
        <v>0</v>
      </c>
      <c r="K198">
        <f>IF(VLOOKUP(TabVMEnv[[#This Row],[VM]],TabOceanet[],16,FALSE) = "Tarif_VM",1,0)/TabVMEnv[[#This Row],[Mutualisé]]</f>
        <v>1</v>
      </c>
      <c r="L198">
        <f>IF(VLOOKUP(TabVMEnv[[#This Row],[VM]],TabOceanet[],9,FALSE) = "PoweredOn",1,0)</f>
        <v>1</v>
      </c>
      <c r="M198">
        <f>TabVMEnv[[#This Row],[IsVMPoweredOn]]*VLOOKUP(TabVMEnv[[#This Row],[VM]],TabOceanet[],3,FALSE)/TabVMEnv[[#This Row],[Mutualisé]]</f>
        <v>1</v>
      </c>
      <c r="N198">
        <f>VLOOKUP(TabVMEnv[[#This Row],[VM]],TabOceanet[],4,FALSE)/TabVMEnv[[#This Row],[Mutualisé]]</f>
        <v>21</v>
      </c>
      <c r="O198">
        <f>IF(LEFT(VLOOKUP(TabVMEnv[[#This Row],[VM]],TabOceanet[],5,FALSE),3)="win",1,0)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VLOOKUP(TabVMEnv[[#This Row],[EnvProjet]],TabEnvProjet[],4,FALSE)</f>
        <v>GFI Redmine Orléans</v>
      </c>
      <c r="R198" s="5" t="str">
        <f>VLOOKUP(TabVMEnv[[#This Row],[SYGES]],TabContrat[],2,FALSE)</f>
        <v>GFI</v>
      </c>
      <c r="S198" s="5" t="str">
        <f>IF(VLOOKUP(TabVMEnv[[#This Row],[VM]],TabOceanet[],1,FALSE) = "","Disparue","")</f>
        <v/>
      </c>
      <c r="T198" s="17">
        <f>VLOOKUP(TabVMEnv[[#This Row],[VM]],TabOceanet[],36,FALSE)/TabVMEnv[[#This Row],[Mutualisé]]</f>
        <v>6.43</v>
      </c>
      <c r="U198" s="17">
        <f>IF(TabVMEnv[[#This Row],[CostCenter]]="CostCenterDI",0,TabVMEnv[[#This Row],[CoutGlobal]])</f>
        <v>6.43</v>
      </c>
      <c r="V198" s="17">
        <f>TabVMEnv[[#This Row],[CoutGlobalSansCostCenterDI]]/TabVMEnv[[#Totals],[CoutGlobalSansCostCenterDI]]*(GlobalARepartirSansMS+GlobalARepartirMSOnly+GlobalARepartirInfraReseau)</f>
        <v>13.406685073210008</v>
      </c>
      <c r="W198" s="17">
        <f>TabVMEnv[[#This Row],[CoutGlobalSansCostCenterDI]]+TabVMEnv[[#This Row],[CoutGlobalSupplementaire]]</f>
        <v>19.836685073210006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198" s="5" t="str">
        <f>VLOOKUP(TabVMEnv[[#This Row],[EnvProjet]],TabEnvProjet[],5,FALSE)</f>
        <v>Christophe ORLANDO</v>
      </c>
      <c r="Z198" s="5">
        <f>VLOOKUP(TabVMEnv[[#This Row],[EnvProjet]],TabEnvProjet[],6,FALSE)</f>
        <v>305704</v>
      </c>
      <c r="AA198" s="5" t="str">
        <f>VLOOKUP(TabVMEnv[[#This Row],[EnvProjet]],TabEnvProjet[],3,FALSE)</f>
        <v>PROD</v>
      </c>
      <c r="AB198" s="5">
        <f>COUNTIF(TabVMEnv[VM],TabVMEnv[[#This Row],[VM]])</f>
        <v>1</v>
      </c>
    </row>
    <row r="199" spans="1:28" x14ac:dyDescent="0.25">
      <c r="A199" t="s">
        <v>164</v>
      </c>
      <c r="B199" t="s">
        <v>484</v>
      </c>
      <c r="D199">
        <v>2</v>
      </c>
      <c r="E199" s="13" t="s">
        <v>546</v>
      </c>
      <c r="F199">
        <f>IF(VLOOKUP(TabVMEnv[[#This Row],[VM]],TabOceanet[],16,FALSE) = "Tarif_VM",IF(VLOOKUP(TabVMEnv[[#This Row],[VM]],TabOceanet[],2,FALSE)&lt;4,4,VLOOKUP(TabVMEnv[[#This Row],[VM]],TabOceanet[],2,FALSE)),0)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IF(VLOOKUP(TabVMEnv[[#This Row],[VM]],TabOceanet[],16,FALSE) = "Tarif_VM",1,0)/TabVMEnv[[#This Row],[Mutualisé]]</f>
        <v>1</v>
      </c>
      <c r="L199">
        <f>IF(VLOOKUP(TabVMEnv[[#This Row],[VM]],TabOceanet[],9,FALSE) = "PoweredOn",1,0)</f>
        <v>1</v>
      </c>
      <c r="M199">
        <f>TabVMEnv[[#This Row],[IsVMPoweredOn]]*VLOOKUP(TabVMEnv[[#This Row],[VM]],TabOceanet[],3,FALSE)/TabVMEnv[[#This Row],[Mutualisé]]</f>
        <v>1</v>
      </c>
      <c r="N199">
        <f>VLOOKUP(TabVMEnv[[#This Row],[VM]],TabOceanet[],4,FALSE)/TabVMEnv[[#This Row],[Mutualisé]]</f>
        <v>4</v>
      </c>
      <c r="O199">
        <f>IF(LEFT(VLOOKUP(TabVMEnv[[#This Row],[VM]],TabOceanet[],5,FALSE),3)="win",1,0)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VLOOKUP(TabVMEnv[[#This Row],[EnvProjet]],TabEnvProjet[],4,FALSE)</f>
        <v>GFI Oceanet Infra Réseau</v>
      </c>
      <c r="R199" s="5" t="str">
        <f>VLOOKUP(TabVMEnv[[#This Row],[SYGES]],TabContrat[],2,FALSE)</f>
        <v>GFI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2.52</v>
      </c>
      <c r="U199" s="17">
        <f>IF(TabVMEnv[[#This Row],[CostCenter]]="CostCenterDI",0,TabVMEnv[[#This Row],[CoutGlobal]])</f>
        <v>0</v>
      </c>
      <c r="V199" s="17">
        <f>TabVMEnv[[#This Row],[CoutGlobalSansCostCenterDI]]/TabVMEnv[[#Totals],[CoutGlobalSansCostCenterDI]]*(GlobalARepartirSansMS+GlobalARepartirMSOnly+GlobalARepartirInfraReseau)</f>
        <v>0</v>
      </c>
      <c r="W199" s="17">
        <f>TabVMEnv[[#This Row],[CoutGlobalSansCostCenterDI]]+TabVMEnv[[#This Row],[CoutGlobalSupplementaire]]</f>
        <v>0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9" s="5" t="str">
        <f>VLOOKUP(TabVMEnv[[#This Row],[EnvProjet]],TabEnvProjet[],5,FALSE)</f>
        <v>Jérôme JACOB</v>
      </c>
      <c r="Z199" s="5" t="str">
        <f>VLOOKUP(TabVMEnv[[#This Row],[EnvProjet]],TabEnvProjet[],6,FALSE)</f>
        <v>CostCenterDI</v>
      </c>
      <c r="AA199" s="5" t="str">
        <f>VLOOKUP(TabVMEnv[[#This Row],[EnvProjet]],TabEnvProjet[],3,FALSE)</f>
        <v>SOCLE</v>
      </c>
      <c r="AB199" s="5">
        <f>COUNTIF(TabVMEnv[VM],TabVMEnv[[#This Row],[VM]])</f>
        <v>1</v>
      </c>
    </row>
    <row r="200" spans="1:28" x14ac:dyDescent="0.25">
      <c r="A200" t="s">
        <v>165</v>
      </c>
      <c r="B200" t="s">
        <v>484</v>
      </c>
      <c r="D200">
        <v>2</v>
      </c>
      <c r="E200" s="13" t="s">
        <v>546</v>
      </c>
      <c r="F200">
        <f>IF(VLOOKUP(TabVMEnv[[#This Row],[VM]],TabOceanet[],16,FALSE) = "Tarif_VM",IF(VLOOKUP(TabVMEnv[[#This Row],[VM]],TabOceanet[],2,FALSE)&lt;4,4,VLOOKUP(TabVMEnv[[#This Row],[VM]],TabOceanet[],2,FALSE)),0)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IF(VLOOKUP(TabVMEnv[[#This Row],[VM]],TabOceanet[],16,FALSE) = "Tarif_VM",1,0)/TabVMEnv[[#This Row],[Mutualisé]]</f>
        <v>1</v>
      </c>
      <c r="L200">
        <f>IF(VLOOKUP(TabVMEnv[[#This Row],[VM]],TabOceanet[],9,FALSE) = "PoweredOn",1,0)</f>
        <v>1</v>
      </c>
      <c r="M200">
        <f>TabVMEnv[[#This Row],[IsVMPoweredOn]]*VLOOKUP(TabVMEnv[[#This Row],[VM]],TabOceanet[],3,FALSE)/TabVMEnv[[#This Row],[Mutualisé]]</f>
        <v>1</v>
      </c>
      <c r="N200">
        <f>VLOOKUP(TabVMEnv[[#This Row],[VM]],TabOceanet[],4,FALSE)/TabVMEnv[[#This Row],[Mutualisé]]</f>
        <v>124</v>
      </c>
      <c r="O200">
        <f>IF(LEFT(VLOOKUP(TabVMEnv[[#This Row],[VM]],TabOceanet[],5,FALSE),3)="win",1,0)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VLOOKUP(TabVMEnv[[#This Row],[EnvProjet]],TabEnvProjet[],4,FALSE)</f>
        <v>GFI Oceanet Infra Réseau</v>
      </c>
      <c r="R200" s="5" t="str">
        <f>VLOOKUP(TabVMEnv[[#This Row],[SYGES]],TabContrat[],2,FALSE)</f>
        <v>GFI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30.12</v>
      </c>
      <c r="U200" s="17">
        <f>IF(TabVMEnv[[#This Row],[CostCenter]]="CostCenterDI",0,TabVMEnv[[#This Row],[CoutGlobal]])</f>
        <v>0</v>
      </c>
      <c r="V200" s="17">
        <f>TabVMEnv[[#This Row],[CoutGlobalSansCostCenterDI]]/TabVMEnv[[#Totals],[CoutGlobalSansCostCenterDI]]*(GlobalARepartirSansMS+GlobalARepartirMSOnly+GlobalARepartirInfraReseau)</f>
        <v>0</v>
      </c>
      <c r="W200" s="17">
        <f>TabVMEnv[[#This Row],[CoutGlobalSansCostCenterDI]]+TabVMEnv[[#This Row],[CoutGlobalSupplementaire]]</f>
        <v>0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0" s="5" t="str">
        <f>VLOOKUP(TabVMEnv[[#This Row],[EnvProjet]],TabEnvProjet[],5,FALSE)</f>
        <v>Jérôme JACOB</v>
      </c>
      <c r="Z200" s="5" t="str">
        <f>VLOOKUP(TabVMEnv[[#This Row],[EnvProjet]],TabEnvProjet[],6,FALSE)</f>
        <v>CostCenterDI</v>
      </c>
      <c r="AA200" s="5" t="str">
        <f>VLOOKUP(TabVMEnv[[#This Row],[EnvProjet]],TabEnvProjet[],3,FALSE)</f>
        <v>SOCLE</v>
      </c>
      <c r="AB200" s="5">
        <f>COUNTIF(TabVMEnv[VM],TabVMEnv[[#This Row],[VM]])</f>
        <v>1</v>
      </c>
    </row>
    <row r="201" spans="1:28" x14ac:dyDescent="0.25">
      <c r="A201" t="s">
        <v>264</v>
      </c>
      <c r="B201" t="s">
        <v>481</v>
      </c>
      <c r="E201" s="13"/>
      <c r="F201">
        <f>IF(VLOOKUP(TabVMEnv[[#This Row],[VM]],TabOceanet[],16,FALSE) = "Tarif_VM",IF(VLOOKUP(TabVMEnv[[#This Row],[VM]],TabOceanet[],2,FALSE)&lt;4,4,VLOOKUP(TabVMEnv[[#This Row],[VM]],TabOceanet[],2,FALSE)),0)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IF(VLOOKUP(TabVMEnv[[#This Row],[VM]],TabOceanet[],16,FALSE) = "Tarif_VM",1,0)/TabVMEnv[[#This Row],[Mutualisé]]</f>
        <v>1</v>
      </c>
      <c r="L201">
        <f>IF(VLOOKUP(TabVMEnv[[#This Row],[VM]],TabOceanet[],9,FALSE) = "PoweredOn",1,0)</f>
        <v>1</v>
      </c>
      <c r="M201">
        <f>TabVMEnv[[#This Row],[IsVMPoweredOn]]*VLOOKUP(TabVMEnv[[#This Row],[VM]],TabOceanet[],3,FALSE)/TabVMEnv[[#This Row],[Mutualisé]]</f>
        <v>1</v>
      </c>
      <c r="N201">
        <f>VLOOKUP(TabVMEnv[[#This Row],[VM]],TabOceanet[],4,FALSE)/TabVMEnv[[#This Row],[Mutualisé]]</f>
        <v>4</v>
      </c>
      <c r="O201">
        <f>IF(LEFT(VLOOKUP(TabVMEnv[[#This Row],[VM]],TabOceanet[],5,FALSE),3)="win",1,0)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VLOOKUP(TabVMEnv[[#This Row],[EnvProjet]],TabEnvProjet[],4,FALSE)</f>
        <v>Fablab-Firmin</v>
      </c>
      <c r="R201" s="5" t="str">
        <f>VLOOKUP(TabVMEnv[[#This Row],[SYGES]],TabContrat[],2,FALSE)</f>
        <v>Fablab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2.52</v>
      </c>
      <c r="U201" s="17">
        <f>IF(TabVMEnv[[#This Row],[CostCenter]]="CostCenterDI",0,TabVMEnv[[#This Row],[CoutGlobal]])</f>
        <v>2.52</v>
      </c>
      <c r="V201" s="17">
        <f>TabVMEnv[[#This Row],[CoutGlobalSansCostCenterDI]]/TabVMEnv[[#Totals],[CoutGlobalSansCostCenterDI]]*(GlobalARepartirSansMS+GlobalARepartirMSOnly+GlobalARepartirInfraReseau)</f>
        <v>5.2542529369345603</v>
      </c>
      <c r="W201" s="17">
        <f>TabVMEnv[[#This Row],[CoutGlobalSansCostCenterDI]]+TabVMEnv[[#This Row],[CoutGlobalSupplementaire]]</f>
        <v>7.7742529369345608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1" s="5" t="str">
        <f>VLOOKUP(TabVMEnv[[#This Row],[EnvProjet]],TabEnvProjet[],5,FALSE)</f>
        <v>Pierre-Yves Baloche</v>
      </c>
      <c r="Z201" s="5" t="str">
        <f>VLOOKUP(TabVMEnv[[#This Row],[EnvProjet]],TabEnvProjet[],6,FALSE)</f>
        <v>Fablab</v>
      </c>
      <c r="AA201" s="5" t="str">
        <f>VLOOKUP(TabVMEnv[[#This Row],[EnvProjet]],TabEnvProjet[],3,FALSE)</f>
        <v>PROD</v>
      </c>
      <c r="AB201" s="5">
        <f>COUNTIF(TabVMEnv[VM],TabVMEnv[[#This Row],[VM]])</f>
        <v>1</v>
      </c>
    </row>
    <row r="202" spans="1:28" x14ac:dyDescent="0.25">
      <c r="A202" t="s">
        <v>166</v>
      </c>
      <c r="B202" t="s">
        <v>484</v>
      </c>
      <c r="D202">
        <v>0</v>
      </c>
      <c r="E202" s="13" t="s">
        <v>483</v>
      </c>
      <c r="F202">
        <f>IF(VLOOKUP(TabVMEnv[[#This Row],[VM]],TabOceanet[],16,FALSE) = "Tarif_VM",IF(VLOOKUP(TabVMEnv[[#This Row],[VM]],TabOceanet[],2,FALSE)&lt;4,4,VLOOKUP(TabVMEnv[[#This Row],[VM]],TabOceanet[],2,FALSE)),0)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IF(VLOOKUP(TabVMEnv[[#This Row],[VM]],TabOceanet[],16,FALSE) = "Tarif_VM",1,0)/TabVMEnv[[#This Row],[Mutualisé]]</f>
        <v>1</v>
      </c>
      <c r="L202">
        <f>IF(VLOOKUP(TabVMEnv[[#This Row],[VM]],TabOceanet[],9,FALSE) = "PoweredOn",1,0)</f>
        <v>1</v>
      </c>
      <c r="M202">
        <f>TabVMEnv[[#This Row],[IsVMPoweredOn]]*VLOOKUP(TabVMEnv[[#This Row],[VM]],TabOceanet[],3,FALSE)/TabVMEnv[[#This Row],[Mutualisé]]</f>
        <v>1</v>
      </c>
      <c r="N202">
        <f>VLOOKUP(TabVMEnv[[#This Row],[VM]],TabOceanet[],4,FALSE)/TabVMEnv[[#This Row],[Mutualisé]]</f>
        <v>4</v>
      </c>
      <c r="O202">
        <f>IF(LEFT(VLOOKUP(TabVMEnv[[#This Row],[VM]],TabOceanet[],5,FALSE),3)="win",1,0)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VLOOKUP(TabVMEnv[[#This Row],[EnvProjet]],TabEnvProjet[],4,FALSE)</f>
        <v>GFI Oceanet Infra Réseau</v>
      </c>
      <c r="R202" s="5" t="str">
        <f>VLOOKUP(TabVMEnv[[#This Row],[SYGES]],TabContrat[],2,FALSE)</f>
        <v>GFI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2.52</v>
      </c>
      <c r="U202" s="17">
        <f>IF(TabVMEnv[[#This Row],[CostCenter]]="CostCenterDI",0,TabVMEnv[[#This Row],[CoutGlobal]])</f>
        <v>0</v>
      </c>
      <c r="V202" s="17">
        <f>TabVMEnv[[#This Row],[CoutGlobalSansCostCenterDI]]/TabVMEnv[[#Totals],[CoutGlobalSansCostCenterDI]]*(GlobalARepartirSansMS+GlobalARepartirMSOnly+GlobalARepartirInfraReseau)</f>
        <v>0</v>
      </c>
      <c r="W202" s="17">
        <f>TabVMEnv[[#This Row],[CoutGlobalSansCostCenterDI]]+TabVMEnv[[#This Row],[CoutGlobalSupplementaire]]</f>
        <v>0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2" s="5" t="str">
        <f>VLOOKUP(TabVMEnv[[#This Row],[EnvProjet]],TabEnvProjet[],5,FALSE)</f>
        <v>Jérôme JACOB</v>
      </c>
      <c r="Z202" s="5" t="str">
        <f>VLOOKUP(TabVMEnv[[#This Row],[EnvProjet]],TabEnvProjet[],6,FALSE)</f>
        <v>CostCenterDI</v>
      </c>
      <c r="AA202" s="5" t="str">
        <f>VLOOKUP(TabVMEnv[[#This Row],[EnvProjet]],TabEnvProjet[],3,FALSE)</f>
        <v>SOCLE</v>
      </c>
      <c r="AB202" s="5">
        <f>COUNTIF(TabVMEnv[VM],TabVMEnv[[#This Row],[VM]])</f>
        <v>1</v>
      </c>
    </row>
    <row r="203" spans="1:28" ht="30" x14ac:dyDescent="0.25">
      <c r="A203" t="s">
        <v>167</v>
      </c>
      <c r="B203" t="s">
        <v>484</v>
      </c>
      <c r="D203">
        <v>4</v>
      </c>
      <c r="E203" s="13" t="s">
        <v>571</v>
      </c>
      <c r="F203">
        <f>IF(VLOOKUP(TabVMEnv[[#This Row],[VM]],TabOceanet[],16,FALSE) = "Tarif_VM",IF(VLOOKUP(TabVMEnv[[#This Row],[VM]],TabOceanet[],2,FALSE)&lt;4,4,VLOOKUP(TabVMEnv[[#This Row],[VM]],TabOceanet[],2,FALSE)),0)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IF(VLOOKUP(TabVMEnv[[#This Row],[VM]],TabOceanet[],16,FALSE) = "Tarif_VM",1,0)/TabVMEnv[[#This Row],[Mutualisé]]</f>
        <v>1</v>
      </c>
      <c r="L203">
        <f>IF(VLOOKUP(TabVMEnv[[#This Row],[VM]],TabOceanet[],9,FALSE) = "PoweredOn",1,0)</f>
        <v>1</v>
      </c>
      <c r="M203">
        <f>TabVMEnv[[#This Row],[IsVMPoweredOn]]*VLOOKUP(TabVMEnv[[#This Row],[VM]],TabOceanet[],3,FALSE)/TabVMEnv[[#This Row],[Mutualisé]]</f>
        <v>2</v>
      </c>
      <c r="N203">
        <f>VLOOKUP(TabVMEnv[[#This Row],[VM]],TabOceanet[],4,FALSE)/TabVMEnv[[#This Row],[Mutualisé]]</f>
        <v>4</v>
      </c>
      <c r="O203">
        <f>IF(LEFT(VLOOKUP(TabVMEnv[[#This Row],[VM]],TabOceanet[],5,FALSE),3)="win",1,0)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VLOOKUP(TabVMEnv[[#This Row],[EnvProjet]],TabEnvProjet[],4,FALSE)</f>
        <v>GFI Oceanet Infra Réseau</v>
      </c>
      <c r="R203" s="5" t="str">
        <f>VLOOKUP(TabVMEnv[[#This Row],[SYGES]],TabContrat[],2,FALSE)</f>
        <v>GFI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4.12</v>
      </c>
      <c r="U203" s="17">
        <f>IF(TabVMEnv[[#This Row],[CostCenter]]="CostCenterDI",0,TabVMEnv[[#This Row],[CoutGlobal]])</f>
        <v>0</v>
      </c>
      <c r="V203" s="17">
        <f>TabVMEnv[[#This Row],[CoutGlobalSansCostCenterDI]]/TabVMEnv[[#Totals],[CoutGlobalSansCostCenterDI]]*(GlobalARepartirSansMS+GlobalARepartirMSOnly+GlobalARepartirInfraReseau)</f>
        <v>0</v>
      </c>
      <c r="W203" s="17">
        <f>TabVMEnv[[#This Row],[CoutGlobalSansCostCenterDI]]+TabVMEnv[[#This Row],[CoutGlobalSupplementaire]]</f>
        <v>0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3" s="5" t="str">
        <f>VLOOKUP(TabVMEnv[[#This Row],[EnvProjet]],TabEnvProjet[],5,FALSE)</f>
        <v>Jérôme JACOB</v>
      </c>
      <c r="Z203" s="5" t="str">
        <f>VLOOKUP(TabVMEnv[[#This Row],[EnvProjet]],TabEnvProjet[],6,FALSE)</f>
        <v>CostCenterDI</v>
      </c>
      <c r="AA203" s="5" t="str">
        <f>VLOOKUP(TabVMEnv[[#This Row],[EnvProjet]],TabEnvProjet[],3,FALSE)</f>
        <v>SOCLE</v>
      </c>
      <c r="AB203" s="5">
        <f>COUNTIF(TabVMEnv[VM],TabVMEnv[[#This Row],[VM]])</f>
        <v>1</v>
      </c>
    </row>
    <row r="204" spans="1:28" x14ac:dyDescent="0.25">
      <c r="A204" t="s">
        <v>309</v>
      </c>
      <c r="B204" t="s">
        <v>482</v>
      </c>
      <c r="E204" s="13"/>
      <c r="F204">
        <f>IF(VLOOKUP(TabVMEnv[[#This Row],[VM]],TabOceanet[],16,FALSE) = "Tarif_VM",IF(VLOOKUP(TabVMEnv[[#This Row],[VM]],TabOceanet[],2,FALSE)&lt;4,4,VLOOKUP(TabVMEnv[[#This Row],[VM]],TabOceanet[],2,FALSE)),0)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IF(VLOOKUP(TabVMEnv[[#This Row],[VM]],TabOceanet[],16,FALSE) = "Tarif_VM",1,0)/TabVMEnv[[#This Row],[Mutualisé]]</f>
        <v>1</v>
      </c>
      <c r="L204">
        <f>IF(VLOOKUP(TabVMEnv[[#This Row],[VM]],TabOceanet[],9,FALSE) = "PoweredOn",1,0)</f>
        <v>1</v>
      </c>
      <c r="M204">
        <f>TabVMEnv[[#This Row],[IsVMPoweredOn]]*VLOOKUP(TabVMEnv[[#This Row],[VM]],TabOceanet[],3,FALSE)/TabVMEnv[[#This Row],[Mutualisé]]</f>
        <v>1</v>
      </c>
      <c r="N204">
        <f>VLOOKUP(TabVMEnv[[#This Row],[VM]],TabOceanet[],4,FALSE)/TabVMEnv[[#This Row],[Mutualisé]]</f>
        <v>4</v>
      </c>
      <c r="O204">
        <f>IF(LEFT(VLOOKUP(TabVMEnv[[#This Row],[VM]],TabOceanet[],5,FALSE),3)="win",1,0)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VLOOKUP(TabVMEnv[[#This Row],[EnvProjet]],TabEnvProjet[],4,FALSE)</f>
        <v>Fablab-Firmin</v>
      </c>
      <c r="R204" s="5" t="str">
        <f>VLOOKUP(TabVMEnv[[#This Row],[SYGES]],TabContrat[],2,FALSE)</f>
        <v>Fablab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2.52</v>
      </c>
      <c r="V204" s="17">
        <f>TabVMEnv[[#This Row],[CoutGlobalSansCostCenterDI]]/TabVMEnv[[#Totals],[CoutGlobalSansCostCenterDI]]*(GlobalARepartirSansMS+GlobalARepartirMSOnly+GlobalARepartirInfraReseau)</f>
        <v>5.2542529369345603</v>
      </c>
      <c r="W204" s="17">
        <f>TabVMEnv[[#This Row],[CoutGlobalSansCostCenterDI]]+TabVMEnv[[#This Row],[CoutGlobalSupplementaire]]</f>
        <v>7.7742529369345608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4" s="5" t="str">
        <f>VLOOKUP(TabVMEnv[[#This Row],[EnvProjet]],TabEnvProjet[],5,FALSE)</f>
        <v>Pierre-Yves Baloche</v>
      </c>
      <c r="Z204" s="5" t="str">
        <f>VLOOKUP(TabVMEnv[[#This Row],[EnvProjet]],TabEnvProjet[],6,FALSE)</f>
        <v>Fablab</v>
      </c>
      <c r="AA204" s="5" t="str">
        <f>VLOOKUP(TabVMEnv[[#This Row],[EnvProjet]],TabEnvProjet[],3,FALSE)</f>
        <v>PREPROD</v>
      </c>
      <c r="AB204" s="5">
        <f>COUNTIF(TabVMEnv[VM],TabVMEnv[[#This Row],[VM]])</f>
        <v>1</v>
      </c>
    </row>
    <row r="205" spans="1:28" x14ac:dyDescent="0.25">
      <c r="A205" t="s">
        <v>265</v>
      </c>
      <c r="B205" t="s">
        <v>481</v>
      </c>
      <c r="E205" s="13"/>
      <c r="F205">
        <f>IF(VLOOKUP(TabVMEnv[[#This Row],[VM]],TabOceanet[],16,FALSE) = "Tarif_VM",IF(VLOOKUP(TabVMEnv[[#This Row],[VM]],TabOceanet[],2,FALSE)&lt;4,4,VLOOKUP(TabVMEnv[[#This Row],[VM]],TabOceanet[],2,FALSE)),0)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IF(VLOOKUP(TabVMEnv[[#This Row],[VM]],TabOceanet[],16,FALSE) = "Tarif_VM",1,0)/TabVMEnv[[#This Row],[Mutualisé]]</f>
        <v>1</v>
      </c>
      <c r="L205">
        <f>IF(VLOOKUP(TabVMEnv[[#This Row],[VM]],TabOceanet[],9,FALSE) = "PoweredOn",1,0)</f>
        <v>1</v>
      </c>
      <c r="M205">
        <f>TabVMEnv[[#This Row],[IsVMPoweredOn]]*VLOOKUP(TabVMEnv[[#This Row],[VM]],TabOceanet[],3,FALSE)/TabVMEnv[[#This Row],[Mutualisé]]</f>
        <v>1</v>
      </c>
      <c r="N205">
        <f>VLOOKUP(TabVMEnv[[#This Row],[VM]],TabOceanet[],4,FALSE)/TabVMEnv[[#This Row],[Mutualisé]]</f>
        <v>4</v>
      </c>
      <c r="O205">
        <f>IF(LEFT(VLOOKUP(TabVMEnv[[#This Row],[VM]],TabOceanet[],5,FALSE),3)="win",1,0)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VLOOKUP(TabVMEnv[[#This Row],[EnvProjet]],TabEnvProjet[],4,FALSE)</f>
        <v>Fablab-Firmin</v>
      </c>
      <c r="R205" s="5" t="str">
        <f>VLOOKUP(TabVMEnv[[#This Row],[SYGES]],TabContrat[],2,FALSE)</f>
        <v>Fablab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2.52</v>
      </c>
      <c r="V205" s="17">
        <f>TabVMEnv[[#This Row],[CoutGlobalSansCostCenterDI]]/TabVMEnv[[#Totals],[CoutGlobalSansCostCenterDI]]*(GlobalARepartirSansMS+GlobalARepartirMSOnly+GlobalARepartirInfraReseau)</f>
        <v>5.2542529369345603</v>
      </c>
      <c r="W205" s="17">
        <f>TabVMEnv[[#This Row],[CoutGlobalSansCostCenterDI]]+TabVMEnv[[#This Row],[CoutGlobalSupplementaire]]</f>
        <v>7.7742529369345608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5" s="5" t="str">
        <f>VLOOKUP(TabVMEnv[[#This Row],[EnvProjet]],TabEnvProjet[],5,FALSE)</f>
        <v>Pierre-Yves Baloche</v>
      </c>
      <c r="Z205" s="5" t="str">
        <f>VLOOKUP(TabVMEnv[[#This Row],[EnvProjet]],TabEnvProjet[],6,FALSE)</f>
        <v>Fablab</v>
      </c>
      <c r="AA205" s="5" t="str">
        <f>VLOOKUP(TabVMEnv[[#This Row],[EnvProjet]],TabEnvProjet[],3,FALSE)</f>
        <v>PROD</v>
      </c>
      <c r="AB205" s="5">
        <f>COUNTIF(TabVMEnv[VM],TabVMEnv[[#This Row],[VM]])</f>
        <v>1</v>
      </c>
    </row>
    <row r="206" spans="1:28" x14ac:dyDescent="0.25">
      <c r="A206" t="s">
        <v>94</v>
      </c>
      <c r="B206" t="s">
        <v>572</v>
      </c>
      <c r="D206">
        <v>2</v>
      </c>
      <c r="E206" s="13" t="s">
        <v>546</v>
      </c>
      <c r="F206">
        <f>IF(VLOOKUP(TabVMEnv[[#This Row],[VM]],TabOceanet[],16,FALSE) = "Tarif_VM",IF(VLOOKUP(TabVMEnv[[#This Row],[VM]],TabOceanet[],2,FALSE)&lt;4,4,VLOOKUP(TabVMEnv[[#This Row],[VM]],TabOceanet[],2,FALSE)),0)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IF(VLOOKUP(TabVMEnv[[#This Row],[VM]],TabOceanet[],16,FALSE) = "Tarif_VM",1,0)/TabVMEnv[[#This Row],[Mutualisé]]</f>
        <v>1</v>
      </c>
      <c r="L206">
        <f>IF(VLOOKUP(TabVMEnv[[#This Row],[VM]],TabOceanet[],9,FALSE) = "PoweredOn",1,0)</f>
        <v>1</v>
      </c>
      <c r="M206">
        <f>TabVMEnv[[#This Row],[IsVMPoweredOn]]*VLOOKUP(TabVMEnv[[#This Row],[VM]],TabOceanet[],3,FALSE)/TabVMEnv[[#This Row],[Mutualisé]]</f>
        <v>1</v>
      </c>
      <c r="N206">
        <f>VLOOKUP(TabVMEnv[[#This Row],[VM]],TabOceanet[],4,FALSE)/TabVMEnv[[#This Row],[Mutualisé]]</f>
        <v>10</v>
      </c>
      <c r="O206">
        <f>IF(LEFT(VLOOKUP(TabVMEnv[[#This Row],[VM]],TabOceanet[],5,FALSE),3)="win",1,0)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VLOOKUP(TabVMEnv[[#This Row],[EnvProjet]],TabEnvProjet[],4,FALSE)</f>
        <v>VIVESC-TAU/S240776A</v>
      </c>
      <c r="R206" s="5" t="str">
        <f>VLOOKUP(TabVMEnv[[#This Row],[SYGES]],TabContrat[],2,FALSE)</f>
        <v>CAT'HELIUM VIVESCO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3.9000000000000004</v>
      </c>
      <c r="U206" s="17">
        <f>IF(TabVMEnv[[#This Row],[CostCenter]]="CostCenterDI",0,TabVMEnv[[#This Row],[CoutGlobal]])</f>
        <v>3.9000000000000004</v>
      </c>
      <c r="V206" s="17">
        <f>TabVMEnv[[#This Row],[CoutGlobalSansCostCenterDI]]/TabVMEnv[[#Totals],[CoutGlobalSansCostCenterDI]]*(GlobalARepartirSansMS+GlobalARepartirMSOnly+GlobalARepartirInfraReseau)</f>
        <v>8.1315819262082485</v>
      </c>
      <c r="W206" s="17">
        <f>TabVMEnv[[#This Row],[CoutGlobalSansCostCenterDI]]+TabVMEnv[[#This Row],[CoutGlobalSupplementaire]]</f>
        <v>12.031581926208249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06" s="5" t="str">
        <f>VLOOKUP(TabVMEnv[[#This Row],[EnvProjet]],TabEnvProjet[],5,FALSE)</f>
        <v>Pierre Maurupt</v>
      </c>
      <c r="Z206" s="5">
        <f>VLOOKUP(TabVMEnv[[#This Row],[EnvProjet]],TabEnvProjet[],6,FALSE)</f>
        <v>341530</v>
      </c>
      <c r="AA206" s="5" t="str">
        <f>VLOOKUP(TabVMEnv[[#This Row],[EnvProjet]],TabEnvProjet[],3,FALSE)</f>
        <v>RECETTE</v>
      </c>
      <c r="AB206" s="5">
        <f>COUNTIF(TabVMEnv[VM],TabVMEnv[[#This Row],[VM]])</f>
        <v>1</v>
      </c>
    </row>
    <row r="207" spans="1:28" x14ac:dyDescent="0.25">
      <c r="A207" t="s">
        <v>198</v>
      </c>
      <c r="B207" t="s">
        <v>480</v>
      </c>
      <c r="D207">
        <v>0</v>
      </c>
      <c r="E207" s="13" t="s">
        <v>483</v>
      </c>
      <c r="F207">
        <f>IF(VLOOKUP(TabVMEnv[[#This Row],[VM]],TabOceanet[],16,FALSE) = "Tarif_VM",IF(VLOOKUP(TabVMEnv[[#This Row],[VM]],TabOceanet[],2,FALSE)&lt;4,4,VLOOKUP(TabVMEnv[[#This Row],[VM]],TabOceanet[],2,FALSE)),0)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IF(VLOOKUP(TabVMEnv[[#This Row],[VM]],TabOceanet[],16,FALSE) = "Tarif_VM",1,0)/TabVMEnv[[#This Row],[Mutualisé]]</f>
        <v>1</v>
      </c>
      <c r="L207">
        <f>IF(VLOOKUP(TabVMEnv[[#This Row],[VM]],TabOceanet[],9,FALSE) = "PoweredOn",1,0)</f>
        <v>0</v>
      </c>
      <c r="M207">
        <f>TabVMEnv[[#This Row],[IsVMPoweredOn]]*VLOOKUP(TabVMEnv[[#This Row],[VM]],TabOceanet[],3,FALSE)/TabVMEnv[[#This Row],[Mutualisé]]</f>
        <v>0</v>
      </c>
      <c r="N207">
        <f>VLOOKUP(TabVMEnv[[#This Row],[VM]],TabOceanet[],4,FALSE)/TabVMEnv[[#This Row],[Mutualisé]]</f>
        <v>60</v>
      </c>
      <c r="O207">
        <f>IF(LEFT(VLOOKUP(TabVMEnv[[#This Row],[VM]],TabOceanet[],5,FALSE),3)="win",1,0)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VLOOKUP(TabVMEnv[[#This Row],[EnvProjet]],TabEnvProjet[],4,FALSE)</f>
        <v>GFI Oceanet Infra Réseau</v>
      </c>
      <c r="R207" s="5" t="str">
        <f>VLOOKUP(TabVMEnv[[#This Row],[SYGES]],TabContrat[],2,FALSE)</f>
        <v>GFI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13.8</v>
      </c>
      <c r="U207" s="17">
        <f>IF(TabVMEnv[[#This Row],[CostCenter]]="CostCenterDI",0,TabVMEnv[[#This Row],[CoutGlobal]])</f>
        <v>0</v>
      </c>
      <c r="V207" s="17">
        <f>TabVMEnv[[#This Row],[CoutGlobalSansCostCenterDI]]/TabVMEnv[[#Totals],[CoutGlobalSansCostCenterDI]]*(GlobalARepartirSansMS+GlobalARepartirMSOnly+GlobalARepartirInfraReseau)</f>
        <v>0</v>
      </c>
      <c r="W207" s="17">
        <f>TabVMEnv[[#This Row],[CoutGlobalSansCostCenterDI]]+TabVMEnv[[#This Row],[CoutGlobalSupplementaire]]</f>
        <v>0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7" s="5" t="str">
        <f>VLOOKUP(TabVMEnv[[#This Row],[EnvProjet]],TabEnvProjet[],5,FALSE)</f>
        <v>Jérôme JACOB</v>
      </c>
      <c r="Z207" s="5" t="str">
        <f>VLOOKUP(TabVMEnv[[#This Row],[EnvProjet]],TabEnvProjet[],6,FALSE)</f>
        <v>CostCenterDI</v>
      </c>
      <c r="AA207" s="5" t="str">
        <f>VLOOKUP(TabVMEnv[[#This Row],[EnvProjet]],TabEnvProjet[],3,FALSE)</f>
        <v>SOCLE</v>
      </c>
      <c r="AB207" s="5">
        <f>COUNTIF(TabVMEnv[VM],TabVMEnv[[#This Row],[VM]])</f>
        <v>1</v>
      </c>
    </row>
    <row r="208" spans="1:28" x14ac:dyDescent="0.25">
      <c r="A208" t="s">
        <v>201</v>
      </c>
      <c r="B208" t="s">
        <v>480</v>
      </c>
      <c r="E208" s="13"/>
      <c r="F208" s="5">
        <f>IF(VLOOKUP(TabVMEnv[[#This Row],[VM]],TabOceanet[],16,FALSE) = "Tarif_VM",IF(VLOOKUP(TabVMEnv[[#This Row],[VM]],TabOceanet[],2,FALSE)&lt;4,4,VLOOKUP(TabVMEnv[[#This Row],[VM]],TabOceanet[],2,FALSE)),0)</f>
        <v>4</v>
      </c>
      <c r="G208">
        <v>0</v>
      </c>
      <c r="H208">
        <v>0</v>
      </c>
      <c r="I208">
        <v>0</v>
      </c>
      <c r="J208">
        <v>0</v>
      </c>
      <c r="K208" s="5">
        <f>IF(VLOOKUP(TabVMEnv[[#This Row],[VM]],TabOceanet[],16,FALSE) = "Tarif_VM",1,0)/TabVMEnv[[#This Row],[Mutualisé]]</f>
        <v>1</v>
      </c>
      <c r="L208" s="5">
        <f>IF(VLOOKUP(TabVMEnv[[#This Row],[VM]],TabOceanet[],9,FALSE) = "PoweredOn",1,0)</f>
        <v>0</v>
      </c>
      <c r="M208" s="5">
        <f>TabVMEnv[[#This Row],[IsVMPoweredOn]]*VLOOKUP(TabVMEnv[[#This Row],[VM]],TabOceanet[],3,FALSE)/TabVMEnv[[#This Row],[Mutualisé]]</f>
        <v>0</v>
      </c>
      <c r="N208" s="5">
        <f>VLOOKUP(TabVMEnv[[#This Row],[VM]],TabOceanet[],4,FALSE)/TabVMEnv[[#This Row],[Mutualisé]]</f>
        <v>60</v>
      </c>
      <c r="O208" s="5">
        <f>IF(LEFT(VLOOKUP(TabVMEnv[[#This Row],[VM]],TabOceanet[],5,FALSE),3)="win",1,0)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VLOOKUP(TabVMEnv[[#This Row],[EnvProjet]],TabEnvProjet[],4,FALSE)</f>
        <v>GFI Oceanet Infra Réseau</v>
      </c>
      <c r="R208" s="5" t="str">
        <f>VLOOKUP(TabVMEnv[[#This Row],[SYGES]],TabContrat[],2,FALSE)</f>
        <v>GFI</v>
      </c>
      <c r="S208" s="5" t="str">
        <f>IF(VLOOKUP(TabVMEnv[[#This Row],[VM]],TabOceanet[],1,FALSE) = "","Disparue","")</f>
        <v/>
      </c>
      <c r="T208" s="25">
        <f>VLOOKUP(TabVMEnv[[#This Row],[VM]],TabOceanet[],36,FALSE)/TabVMEnv[[#This Row],[Mutualisé]]</f>
        <v>13.8</v>
      </c>
      <c r="U208" s="25">
        <f>IF(TabVMEnv[[#This Row],[CostCenter]]="CostCenterDI",0,TabVMEnv[[#This Row],[CoutGlobal]])</f>
        <v>0</v>
      </c>
      <c r="V208" s="25">
        <f>TabVMEnv[[#This Row],[CoutGlobalSansCostCenterDI]]/TabVMEnv[[#Totals],[CoutGlobalSansCostCenterDI]]*(GlobalARepartirSansMS+GlobalARepartirMSOnly+GlobalARepartirInfraReseau)</f>
        <v>0</v>
      </c>
      <c r="W208" s="25">
        <f>TabVMEnv[[#This Row],[CoutGlobalSansCostCenterDI]]+TabVMEnv[[#This Row],[CoutGlobalSupplementaire]]</f>
        <v>0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8" s="5" t="str">
        <f>VLOOKUP(TabVMEnv[[#This Row],[EnvProjet]],TabEnvProjet[],5,FALSE)</f>
        <v>Jérôme JACOB</v>
      </c>
      <c r="Z208" s="5" t="str">
        <f>VLOOKUP(TabVMEnv[[#This Row],[EnvProjet]],TabEnvProjet[],6,FALSE)</f>
        <v>CostCenterDI</v>
      </c>
      <c r="AA208" s="5" t="str">
        <f>VLOOKUP(TabVMEnv[[#This Row],[EnvProjet]],TabEnvProjet[],3,FALSE)</f>
        <v>SOCLE</v>
      </c>
      <c r="AB208" s="5">
        <f>COUNTIF(TabVMEnv[VM],TabVMEnv[[#This Row],[VM]])</f>
        <v>1</v>
      </c>
    </row>
    <row r="209" spans="1:28" x14ac:dyDescent="0.25">
      <c r="A209" t="s">
        <v>202</v>
      </c>
      <c r="B209" t="s">
        <v>480</v>
      </c>
      <c r="E209" s="13"/>
      <c r="F209" s="5">
        <f>IF(VLOOKUP(TabVMEnv[[#This Row],[VM]],TabOceanet[],16,FALSE) = "Tarif_VM",IF(VLOOKUP(TabVMEnv[[#This Row],[VM]],TabOceanet[],2,FALSE)&lt;4,4,VLOOKUP(TabVMEnv[[#This Row],[VM]],TabOceanet[],2,FALSE)),0)</f>
        <v>4</v>
      </c>
      <c r="G209">
        <v>0</v>
      </c>
      <c r="H209">
        <v>0</v>
      </c>
      <c r="I209">
        <v>0</v>
      </c>
      <c r="J209">
        <v>0</v>
      </c>
      <c r="K209" s="5">
        <f>IF(VLOOKUP(TabVMEnv[[#This Row],[VM]],TabOceanet[],16,FALSE) = "Tarif_VM",1,0)/TabVMEnv[[#This Row],[Mutualisé]]</f>
        <v>1</v>
      </c>
      <c r="L209" s="5">
        <f>IF(VLOOKUP(TabVMEnv[[#This Row],[VM]],TabOceanet[],9,FALSE) = "PoweredOn",1,0)</f>
        <v>0</v>
      </c>
      <c r="M209" s="5">
        <f>TabVMEnv[[#This Row],[IsVMPoweredOn]]*VLOOKUP(TabVMEnv[[#This Row],[VM]],TabOceanet[],3,FALSE)/TabVMEnv[[#This Row],[Mutualisé]]</f>
        <v>0</v>
      </c>
      <c r="N209" s="5">
        <f>VLOOKUP(TabVMEnv[[#This Row],[VM]],TabOceanet[],4,FALSE)/TabVMEnv[[#This Row],[Mutualisé]]</f>
        <v>40</v>
      </c>
      <c r="O209" s="5">
        <f>IF(LEFT(VLOOKUP(TabVMEnv[[#This Row],[VM]],TabOceanet[],5,FALSE),3)="win",1,0)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VLOOKUP(TabVMEnv[[#This Row],[EnvProjet]],TabEnvProjet[],4,FALSE)</f>
        <v>GFI Oceanet Infra Réseau</v>
      </c>
      <c r="R209" s="5" t="str">
        <f>VLOOKUP(TabVMEnv[[#This Row],[SYGES]],TabContrat[],2,FALSE)</f>
        <v>GFI</v>
      </c>
      <c r="S209" s="5" t="str">
        <f>IF(VLOOKUP(TabVMEnv[[#This Row],[VM]],TabOceanet[],1,FALSE) = "","Disparue","")</f>
        <v/>
      </c>
      <c r="T209" s="25">
        <f>VLOOKUP(TabVMEnv[[#This Row],[VM]],TabOceanet[],36,FALSE)/TabVMEnv[[#This Row],[Mutualisé]]</f>
        <v>9.2000000000000011</v>
      </c>
      <c r="U209" s="25">
        <f>IF(TabVMEnv[[#This Row],[CostCenter]]="CostCenterDI",0,TabVMEnv[[#This Row],[CoutGlobal]])</f>
        <v>0</v>
      </c>
      <c r="V209" s="25">
        <f>TabVMEnv[[#This Row],[CoutGlobalSansCostCenterDI]]/TabVMEnv[[#Totals],[CoutGlobalSansCostCenterDI]]*(GlobalARepartirSansMS+GlobalARepartirMSOnly+GlobalARepartirInfraReseau)</f>
        <v>0</v>
      </c>
      <c r="W209" s="25">
        <f>TabVMEnv[[#This Row],[CoutGlobalSansCostCenterDI]]+TabVMEnv[[#This Row],[CoutGlobalSupplementaire]]</f>
        <v>0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9" s="5" t="str">
        <f>VLOOKUP(TabVMEnv[[#This Row],[EnvProjet]],TabEnvProjet[],5,FALSE)</f>
        <v>Jérôme JACOB</v>
      </c>
      <c r="Z209" s="5" t="str">
        <f>VLOOKUP(TabVMEnv[[#This Row],[EnvProjet]],TabEnvProjet[],6,FALSE)</f>
        <v>CostCenterDI</v>
      </c>
      <c r="AA209" s="5" t="str">
        <f>VLOOKUP(TabVMEnv[[#This Row],[EnvProjet]],TabEnvProjet[],3,FALSE)</f>
        <v>SOCLE</v>
      </c>
      <c r="AB209" s="5">
        <f>COUNTIF(TabVMEnv[VM],TabVMEnv[[#This Row],[VM]])</f>
        <v>1</v>
      </c>
    </row>
    <row r="210" spans="1:28" x14ac:dyDescent="0.25">
      <c r="A210" t="s">
        <v>203</v>
      </c>
      <c r="B210" t="s">
        <v>480</v>
      </c>
      <c r="E210" s="13"/>
      <c r="F210" s="5">
        <f>IF(VLOOKUP(TabVMEnv[[#This Row],[VM]],TabOceanet[],16,FALSE) = "Tarif_VM",IF(VLOOKUP(TabVMEnv[[#This Row],[VM]],TabOceanet[],2,FALSE)&lt;4,4,VLOOKUP(TabVMEnv[[#This Row],[VM]],TabOceanet[],2,FALSE)),0)</f>
        <v>4</v>
      </c>
      <c r="G210">
        <v>0</v>
      </c>
      <c r="H210">
        <v>0</v>
      </c>
      <c r="I210">
        <v>0</v>
      </c>
      <c r="J210">
        <v>0</v>
      </c>
      <c r="K210" s="5">
        <f>IF(VLOOKUP(TabVMEnv[[#This Row],[VM]],TabOceanet[],16,FALSE) = "Tarif_VM",1,0)/TabVMEnv[[#This Row],[Mutualisé]]</f>
        <v>1</v>
      </c>
      <c r="L210" s="5">
        <f>IF(VLOOKUP(TabVMEnv[[#This Row],[VM]],TabOceanet[],9,FALSE) = "PoweredOn",1,0)</f>
        <v>0</v>
      </c>
      <c r="M210" s="5">
        <f>TabVMEnv[[#This Row],[IsVMPoweredOn]]*VLOOKUP(TabVMEnv[[#This Row],[VM]],TabOceanet[],3,FALSE)/TabVMEnv[[#This Row],[Mutualisé]]</f>
        <v>0</v>
      </c>
      <c r="N210" s="5">
        <f>VLOOKUP(TabVMEnv[[#This Row],[VM]],TabOceanet[],4,FALSE)/TabVMEnv[[#This Row],[Mutualisé]]</f>
        <v>4</v>
      </c>
      <c r="O210" s="5">
        <f>IF(LEFT(VLOOKUP(TabVMEnv[[#This Row],[VM]],TabOceanet[],5,FALSE),3)="win",1,0)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VLOOKUP(TabVMEnv[[#This Row],[EnvProjet]],TabEnvProjet[],4,FALSE)</f>
        <v>GFI Oceanet Infra Réseau</v>
      </c>
      <c r="R210" s="5" t="str">
        <f>VLOOKUP(TabVMEnv[[#This Row],[SYGES]],TabContrat[],2,FALSE)</f>
        <v>GFI</v>
      </c>
      <c r="S210" s="5" t="str">
        <f>IF(VLOOKUP(TabVMEnv[[#This Row],[VM]],TabOceanet[],1,FALSE) = "","Disparue","")</f>
        <v/>
      </c>
      <c r="T210" s="25">
        <f>VLOOKUP(TabVMEnv[[#This Row],[VM]],TabOceanet[],36,FALSE)/TabVMEnv[[#This Row],[Mutualisé]]</f>
        <v>0.92</v>
      </c>
      <c r="U210" s="25">
        <f>IF(TabVMEnv[[#This Row],[CostCenter]]="CostCenterDI",0,TabVMEnv[[#This Row],[CoutGlobal]])</f>
        <v>0</v>
      </c>
      <c r="V210" s="25">
        <f>TabVMEnv[[#This Row],[CoutGlobalSansCostCenterDI]]/TabVMEnv[[#Totals],[CoutGlobalSansCostCenterDI]]*(GlobalARepartirSansMS+GlobalARepartirMSOnly+GlobalARepartirInfraReseau)</f>
        <v>0</v>
      </c>
      <c r="W210" s="25">
        <f>TabVMEnv[[#This Row],[CoutGlobalSansCostCenterDI]]+TabVMEnv[[#This Row],[CoutGlobalSupplementaire]]</f>
        <v>0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0" s="5" t="str">
        <f>VLOOKUP(TabVMEnv[[#This Row],[EnvProjet]],TabEnvProjet[],5,FALSE)</f>
        <v>Jérôme JACOB</v>
      </c>
      <c r="Z210" s="5" t="str">
        <f>VLOOKUP(TabVMEnv[[#This Row],[EnvProjet]],TabEnvProjet[],6,FALSE)</f>
        <v>CostCenterDI</v>
      </c>
      <c r="AA210" s="5" t="str">
        <f>VLOOKUP(TabVMEnv[[#This Row],[EnvProjet]],TabEnvProjet[],3,FALSE)</f>
        <v>SOCLE</v>
      </c>
      <c r="AB210" s="5">
        <f>COUNTIF(TabVMEnv[VM],TabVMEnv[[#This Row],[VM]])</f>
        <v>1</v>
      </c>
    </row>
    <row r="211" spans="1:28" x14ac:dyDescent="0.25">
      <c r="A211" t="s">
        <v>205</v>
      </c>
      <c r="B211" t="s">
        <v>480</v>
      </c>
      <c r="E211" s="13"/>
      <c r="F211" s="5">
        <f>IF(VLOOKUP(TabVMEnv[[#This Row],[VM]],TabOceanet[],16,FALSE) = "Tarif_VM",IF(VLOOKUP(TabVMEnv[[#This Row],[VM]],TabOceanet[],2,FALSE)&lt;4,4,VLOOKUP(TabVMEnv[[#This Row],[VM]],TabOceanet[],2,FALSE)),0)</f>
        <v>4</v>
      </c>
      <c r="K211" s="5">
        <f>IF(VLOOKUP(TabVMEnv[[#This Row],[VM]],TabOceanet[],16,FALSE) = "Tarif_VM",1,0)/TabVMEnv[[#This Row],[Mutualisé]]</f>
        <v>1</v>
      </c>
      <c r="L211" s="5">
        <f>IF(VLOOKUP(TabVMEnv[[#This Row],[VM]],TabOceanet[],9,FALSE) = "PoweredOn",1,0)</f>
        <v>0</v>
      </c>
      <c r="M211" s="5">
        <f>TabVMEnv[[#This Row],[IsVMPoweredOn]]*VLOOKUP(TabVMEnv[[#This Row],[VM]],TabOceanet[],3,FALSE)/TabVMEnv[[#This Row],[Mutualisé]]</f>
        <v>0</v>
      </c>
      <c r="N211" s="5">
        <f>VLOOKUP(TabVMEnv[[#This Row],[VM]],TabOceanet[],4,FALSE)/TabVMEnv[[#This Row],[Mutualisé]]</f>
        <v>4</v>
      </c>
      <c r="O211" s="5">
        <f>IF(LEFT(VLOOKUP(TabVMEnv[[#This Row],[VM]],TabOceanet[],5,FALSE),3)="win",1,0)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VLOOKUP(TabVMEnv[[#This Row],[EnvProjet]],TabEnvProjet[],4,FALSE)</f>
        <v>GFI Oceanet Infra Réseau</v>
      </c>
      <c r="R211" s="5" t="str">
        <f>VLOOKUP(TabVMEnv[[#This Row],[SYGES]],TabContrat[],2,FALSE)</f>
        <v>GFI</v>
      </c>
      <c r="S211" s="5" t="str">
        <f>IF(VLOOKUP(TabVMEnv[[#This Row],[VM]],TabOceanet[],1,FALSE) = "","Disparue","")</f>
        <v/>
      </c>
      <c r="T211" s="25">
        <f>VLOOKUP(TabVMEnv[[#This Row],[VM]],TabOceanet[],36,FALSE)/TabVMEnv[[#This Row],[Mutualisé]]</f>
        <v>0.92</v>
      </c>
      <c r="U211" s="25">
        <f>IF(TabVMEnv[[#This Row],[CostCenter]]="CostCenterDI",0,TabVMEnv[[#This Row],[CoutGlobal]])</f>
        <v>0</v>
      </c>
      <c r="V211" s="25">
        <f>TabVMEnv[[#This Row],[CoutGlobalSansCostCenterDI]]/TabVMEnv[[#Totals],[CoutGlobalSansCostCenterDI]]*(GlobalARepartirSansMS+GlobalARepartirMSOnly+GlobalARepartirInfraReseau)</f>
        <v>0</v>
      </c>
      <c r="W211" s="25">
        <f>TabVMEnv[[#This Row],[CoutGlobalSansCostCenterDI]]+TabVMEnv[[#This Row],[CoutGlobalSupplementaire]]</f>
        <v>0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1" s="5" t="str">
        <f>VLOOKUP(TabVMEnv[[#This Row],[EnvProjet]],TabEnvProjet[],5,FALSE)</f>
        <v>Jérôme JACOB</v>
      </c>
      <c r="Z211" s="5" t="str">
        <f>VLOOKUP(TabVMEnv[[#This Row],[EnvProjet]],TabEnvProjet[],6,FALSE)</f>
        <v>CostCenterDI</v>
      </c>
      <c r="AA211" s="5" t="str">
        <f>VLOOKUP(TabVMEnv[[#This Row],[EnvProjet]],TabEnvProjet[],3,FALSE)</f>
        <v>SOCLE</v>
      </c>
      <c r="AB211" s="5">
        <f>COUNTIF(TabVMEnv[VM],TabVMEnv[[#This Row],[VM]])</f>
        <v>1</v>
      </c>
    </row>
    <row r="212" spans="1:28" x14ac:dyDescent="0.25">
      <c r="A212" t="s">
        <v>206</v>
      </c>
      <c r="B212" t="s">
        <v>480</v>
      </c>
      <c r="E212" s="13"/>
      <c r="F212" s="5">
        <f>IF(VLOOKUP(TabVMEnv[[#This Row],[VM]],TabOceanet[],16,FALSE) = "Tarif_VM",IF(VLOOKUP(TabVMEnv[[#This Row],[VM]],TabOceanet[],2,FALSE)&lt;4,4,VLOOKUP(TabVMEnv[[#This Row],[VM]],TabOceanet[],2,FALSE)),0)</f>
        <v>4</v>
      </c>
      <c r="K212" s="5">
        <f>IF(VLOOKUP(TabVMEnv[[#This Row],[VM]],TabOceanet[],16,FALSE) = "Tarif_VM",1,0)/TabVMEnv[[#This Row],[Mutualisé]]</f>
        <v>1</v>
      </c>
      <c r="L212" s="5">
        <f>IF(VLOOKUP(TabVMEnv[[#This Row],[VM]],TabOceanet[],9,FALSE) = "PoweredOn",1,0)</f>
        <v>0</v>
      </c>
      <c r="M212" s="5">
        <f>TabVMEnv[[#This Row],[IsVMPoweredOn]]*VLOOKUP(TabVMEnv[[#This Row],[VM]],TabOceanet[],3,FALSE)/TabVMEnv[[#This Row],[Mutualisé]]</f>
        <v>0</v>
      </c>
      <c r="N212" s="5">
        <f>VLOOKUP(TabVMEnv[[#This Row],[VM]],TabOceanet[],4,FALSE)/TabVMEnv[[#This Row],[Mutualisé]]</f>
        <v>4</v>
      </c>
      <c r="O212" s="5">
        <f>IF(LEFT(VLOOKUP(TabVMEnv[[#This Row],[VM]],TabOceanet[],5,FALSE),3)="win",1,0)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VLOOKUP(TabVMEnv[[#This Row],[EnvProjet]],TabEnvProjet[],4,FALSE)</f>
        <v>GFI Oceanet Infra Réseau</v>
      </c>
      <c r="R212" s="5" t="str">
        <f>VLOOKUP(TabVMEnv[[#This Row],[SYGES]],TabContrat[],2,FALSE)</f>
        <v>GFI</v>
      </c>
      <c r="S212" s="5" t="str">
        <f>IF(VLOOKUP(TabVMEnv[[#This Row],[VM]],TabOceanet[],1,FALSE) = "","Disparue","")</f>
        <v/>
      </c>
      <c r="T212" s="25">
        <f>VLOOKUP(TabVMEnv[[#This Row],[VM]],TabOceanet[],36,FALSE)/TabVMEnv[[#This Row],[Mutualisé]]</f>
        <v>0.92</v>
      </c>
      <c r="U212" s="25">
        <f>IF(TabVMEnv[[#This Row],[CostCenter]]="CostCenterDI",0,TabVMEnv[[#This Row],[CoutGlobal]])</f>
        <v>0</v>
      </c>
      <c r="V212" s="25">
        <f>TabVMEnv[[#This Row],[CoutGlobalSansCostCenterDI]]/TabVMEnv[[#Totals],[CoutGlobalSansCostCenterDI]]*(GlobalARepartirSansMS+GlobalARepartirMSOnly+GlobalARepartirInfraReseau)</f>
        <v>0</v>
      </c>
      <c r="W212" s="25">
        <f>TabVMEnv[[#This Row],[CoutGlobalSansCostCenterDI]]+TabVMEnv[[#This Row],[CoutGlobalSupplementaire]]</f>
        <v>0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2" s="5" t="str">
        <f>VLOOKUP(TabVMEnv[[#This Row],[EnvProjet]],TabEnvProjet[],5,FALSE)</f>
        <v>Jérôme JACOB</v>
      </c>
      <c r="Z212" s="5" t="str">
        <f>VLOOKUP(TabVMEnv[[#This Row],[EnvProjet]],TabEnvProjet[],6,FALSE)</f>
        <v>CostCenterDI</v>
      </c>
      <c r="AA212" s="5" t="str">
        <f>VLOOKUP(TabVMEnv[[#This Row],[EnvProjet]],TabEnvProjet[],3,FALSE)</f>
        <v>SOCLE</v>
      </c>
      <c r="AB212" s="5">
        <f>COUNTIF(TabVMEnv[VM],TabVMEnv[[#This Row],[VM]])</f>
        <v>1</v>
      </c>
    </row>
    <row r="213" spans="1:28" x14ac:dyDescent="0.25">
      <c r="A213" t="s">
        <v>140</v>
      </c>
      <c r="B213" t="s">
        <v>573</v>
      </c>
      <c r="E213" s="13"/>
      <c r="F213">
        <f>IF(VLOOKUP(TabVMEnv[[#This Row],[VM]],TabOceanet[],16,FALSE) = "Tarif_VM",IF(VLOOKUP(TabVMEnv[[#This Row],[VM]],TabOceanet[],2,FALSE)&lt;4,4,VLOOKUP(TabVMEnv[[#This Row],[VM]],TabOceanet[],2,FALSE)),0)</f>
        <v>0</v>
      </c>
      <c r="G213">
        <v>0</v>
      </c>
      <c r="H213">
        <v>0</v>
      </c>
      <c r="I213">
        <v>0</v>
      </c>
      <c r="J213">
        <v>0</v>
      </c>
      <c r="K213">
        <f>IF(VLOOKUP(TabVMEnv[[#This Row],[VM]],TabOceanet[],16,FALSE) = "Tarif_VM",1,0)/TabVMEnv[[#This Row],[Mutualisé]]</f>
        <v>0</v>
      </c>
      <c r="L213">
        <f>IF(VLOOKUP(TabVMEnv[[#This Row],[VM]],TabOceanet[],9,FALSE) = "PoweredOn",1,0)</f>
        <v>0</v>
      </c>
      <c r="M213">
        <f>TabVMEnv[[#This Row],[IsVMPoweredOn]]*VLOOKUP(TabVMEnv[[#This Row],[VM]],TabOceanet[],3,FALSE)/TabVMEnv[[#This Row],[Mutualisé]]</f>
        <v>0</v>
      </c>
      <c r="N213">
        <f>VLOOKUP(TabVMEnv[[#This Row],[VM]],TabOceanet[],4,FALSE)/TabVMEnv[[#This Row],[Mutualisé]]</f>
        <v>0</v>
      </c>
      <c r="O213">
        <f>IF(LEFT(VLOOKUP(TabVMEnv[[#This Row],[VM]],TabOceanet[],5,FALSE),3)="win",1,0)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VLOOKUP(TabVMEnv[[#This Row],[EnvProjet]],TabEnvProjet[],4,FALSE)</f>
        <v>HEBERG-EDI  MUT-2018</v>
      </c>
      <c r="R213" s="5" t="str">
        <f>VLOOKUP(TabVMEnv[[#This Row],[SYGES]],TabContrat[],2,FALSE)</f>
        <v>HEBERG-EDI</v>
      </c>
      <c r="S213" s="5" t="str">
        <f>IF(VLOOKUP(TabVMEnv[[#This Row],[VM]],TabOceanet[],1,FALSE) = "","Disparue","")</f>
        <v/>
      </c>
      <c r="T213" s="25">
        <f>VLOOKUP(TabVMEnv[[#This Row],[VM]],TabOceanet[],36,FALSE)/TabVMEnv[[#This Row],[Mutualisé]]</f>
        <v>10</v>
      </c>
      <c r="U213" s="25">
        <f>IF(TabVMEnv[[#This Row],[CostCenter]]="CostCenterDI",0,TabVMEnv[[#This Row],[CoutGlobal]])</f>
        <v>10</v>
      </c>
      <c r="V213" s="25">
        <f>TabVMEnv[[#This Row],[CoutGlobalSansCostCenterDI]]/TabVMEnv[[#Totals],[CoutGlobalSansCostCenterDI]]*(GlobalARepartirSansMS+GlobalARepartirMSOnly+GlobalARepartirInfraReseau)</f>
        <v>20.850210067200635</v>
      </c>
      <c r="W213" s="25">
        <f>TabVMEnv[[#This Row],[CoutGlobalSansCostCenterDI]]+TabVMEnv[[#This Row],[CoutGlobalSupplementaire]]</f>
        <v>30.850210067200635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13" s="5" t="str">
        <f>VLOOKUP(TabVMEnv[[#This Row],[EnvProjet]],TabEnvProjet[],5,FALSE)</f>
        <v>David LEMALHEUX</v>
      </c>
      <c r="Z213" s="5" t="str">
        <f>VLOOKUP(TabVMEnv[[#This Row],[EnvProjet]],TabEnvProjet[],6,FALSE)</f>
        <v>341530-EDI</v>
      </c>
      <c r="AA213" s="5" t="str">
        <f>VLOOKUP(TabVMEnv[[#This Row],[EnvProjet]],TabEnvProjet[],3,FALSE)</f>
        <v>PROD</v>
      </c>
      <c r="AB213" s="5">
        <f>COUNTIF(TabVMEnv[VM],TabVMEnv[[#This Row],[VM]])</f>
        <v>1</v>
      </c>
    </row>
    <row r="214" spans="1:28" x14ac:dyDescent="0.25">
      <c r="A214" t="s">
        <v>168</v>
      </c>
      <c r="B214" t="s">
        <v>484</v>
      </c>
      <c r="E214" s="13"/>
      <c r="F214">
        <f>IF(VLOOKUP(TabVMEnv[[#This Row],[VM]],TabOceanet[],16,FALSE) = "Tarif_VM",IF(VLOOKUP(TabVMEnv[[#This Row],[VM]],TabOceanet[],2,FALSE)&lt;4,4,VLOOKUP(TabVMEnv[[#This Row],[VM]],TabOceanet[],2,FALSE)),0)</f>
        <v>0</v>
      </c>
      <c r="G214">
        <v>0</v>
      </c>
      <c r="H214">
        <v>0</v>
      </c>
      <c r="I214">
        <v>0</v>
      </c>
      <c r="J214">
        <v>0</v>
      </c>
      <c r="K214">
        <f>IF(VLOOKUP(TabVMEnv[[#This Row],[VM]],TabOceanet[],16,FALSE) = "Tarif_VM",1,0)/TabVMEnv[[#This Row],[Mutualisé]]</f>
        <v>0</v>
      </c>
      <c r="L214">
        <f>IF(VLOOKUP(TabVMEnv[[#This Row],[VM]],TabOceanet[],9,FALSE) = "PoweredOn",1,0)</f>
        <v>0</v>
      </c>
      <c r="M214">
        <f>TabVMEnv[[#This Row],[IsVMPoweredOn]]*VLOOKUP(TabVMEnv[[#This Row],[VM]],TabOceanet[],3,FALSE)/TabVMEnv[[#This Row],[Mutualisé]]</f>
        <v>0</v>
      </c>
      <c r="N214">
        <f>VLOOKUP(TabVMEnv[[#This Row],[VM]],TabOceanet[],4,FALSE)/TabVMEnv[[#This Row],[Mutualisé]]</f>
        <v>0</v>
      </c>
      <c r="O214">
        <f>IF(LEFT(VLOOKUP(TabVMEnv[[#This Row],[VM]],TabOceanet[],5,FALSE),3)="win",1,0)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VLOOKUP(TabVMEnv[[#This Row],[EnvProjet]],TabEnvProjet[],4,FALSE)</f>
        <v>GFI Oceanet Infra Réseau</v>
      </c>
      <c r="R214" s="5" t="str">
        <f>VLOOKUP(TabVMEnv[[#This Row],[SYGES]],TabContrat[],2,FALSE)</f>
        <v>GFI</v>
      </c>
      <c r="S214" s="5" t="str">
        <f>IF(VLOOKUP(TabVMEnv[[#This Row],[VM]],TabOceanet[],1,FALSE) = "","Disparue","")</f>
        <v/>
      </c>
      <c r="T214" s="25">
        <f>VLOOKUP(TabVMEnv[[#This Row],[VM]],TabOceanet[],36,FALSE)/TabVMEnv[[#This Row],[Mutualisé]]</f>
        <v>10</v>
      </c>
      <c r="U214" s="25">
        <f>IF(TabVMEnv[[#This Row],[CostCenter]]="CostCenterDI",0,TabVMEnv[[#This Row],[CoutGlobal]])</f>
        <v>0</v>
      </c>
      <c r="V214" s="25">
        <f>TabVMEnv[[#This Row],[CoutGlobalSansCostCenterDI]]/TabVMEnv[[#Totals],[CoutGlobalSansCostCenterDI]]*(GlobalARepartirSansMS+GlobalARepartirMSOnly+GlobalARepartirInfraReseau)</f>
        <v>0</v>
      </c>
      <c r="W214" s="25">
        <f>TabVMEnv[[#This Row],[CoutGlobalSansCostCenterDI]]+TabVMEnv[[#This Row],[CoutGlobalSupplementaire]]</f>
        <v>0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4" s="5" t="str">
        <f>VLOOKUP(TabVMEnv[[#This Row],[EnvProjet]],TabEnvProjet[],5,FALSE)</f>
        <v>Jérôme JACOB</v>
      </c>
      <c r="Z214" s="5" t="str">
        <f>VLOOKUP(TabVMEnv[[#This Row],[EnvProjet]],TabEnvProjet[],6,FALSE)</f>
        <v>CostCenterDI</v>
      </c>
      <c r="AA214" s="5" t="str">
        <f>VLOOKUP(TabVMEnv[[#This Row],[EnvProjet]],TabEnvProjet[],3,FALSE)</f>
        <v>SOCLE</v>
      </c>
      <c r="AB214" s="5">
        <f>COUNTIF(TabVMEnv[VM],TabVMEnv[[#This Row],[VM]])</f>
        <v>1</v>
      </c>
    </row>
    <row r="215" spans="1:28" x14ac:dyDescent="0.25">
      <c r="A215" t="s">
        <v>169</v>
      </c>
      <c r="B215" t="s">
        <v>484</v>
      </c>
      <c r="E215" s="13"/>
      <c r="F215">
        <f>IF(VLOOKUP(TabVMEnv[[#This Row],[VM]],TabOceanet[],16,FALSE) = "Tarif_VM",IF(VLOOKUP(TabVMEnv[[#This Row],[VM]],TabOceanet[],2,FALSE)&lt;4,4,VLOOKUP(TabVMEnv[[#This Row],[VM]],TabOceanet[],2,FALSE)),0)</f>
        <v>0</v>
      </c>
      <c r="G215">
        <v>0</v>
      </c>
      <c r="H215">
        <v>0</v>
      </c>
      <c r="I215">
        <v>0</v>
      </c>
      <c r="J215">
        <v>0</v>
      </c>
      <c r="K215">
        <f>IF(VLOOKUP(TabVMEnv[[#This Row],[VM]],TabOceanet[],16,FALSE) = "Tarif_VM",1,0)/TabVMEnv[[#This Row],[Mutualisé]]</f>
        <v>0</v>
      </c>
      <c r="L215">
        <f>IF(VLOOKUP(TabVMEnv[[#This Row],[VM]],TabOceanet[],9,FALSE) = "PoweredOn",1,0)</f>
        <v>0</v>
      </c>
      <c r="M215">
        <f>TabVMEnv[[#This Row],[IsVMPoweredOn]]*VLOOKUP(TabVMEnv[[#This Row],[VM]],TabOceanet[],3,FALSE)/TabVMEnv[[#This Row],[Mutualisé]]</f>
        <v>0</v>
      </c>
      <c r="N215">
        <f>VLOOKUP(TabVMEnv[[#This Row],[VM]],TabOceanet[],4,FALSE)/TabVMEnv[[#This Row],[Mutualisé]]</f>
        <v>0</v>
      </c>
      <c r="O215">
        <f>IF(LEFT(VLOOKUP(TabVMEnv[[#This Row],[VM]],TabOceanet[],5,FALSE),3)="win",1,0)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VLOOKUP(TabVMEnv[[#This Row],[EnvProjet]],TabEnvProjet[],4,FALSE)</f>
        <v>GFI Oceanet Infra Réseau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25">
        <f>VLOOKUP(TabVMEnv[[#This Row],[VM]],TabOceanet[],36,FALSE)/TabVMEnv[[#This Row],[Mutualisé]]</f>
        <v>10</v>
      </c>
      <c r="U215" s="25">
        <f>IF(TabVMEnv[[#This Row],[CostCenter]]="CostCenterDI",0,TabVMEnv[[#This Row],[CoutGlobal]])</f>
        <v>0</v>
      </c>
      <c r="V215" s="25">
        <f>TabVMEnv[[#This Row],[CoutGlobalSansCostCenterDI]]/TabVMEnv[[#Totals],[CoutGlobalSansCostCenterDI]]*(GlobalARepartirSansMS+GlobalARepartirMSOnly+GlobalARepartirInfraReseau)</f>
        <v>0</v>
      </c>
      <c r="W215" s="25">
        <f>TabVMEnv[[#This Row],[CoutGlobalSansCostCenterDI]]+TabVMEnv[[#This Row],[CoutGlobalSupplementaire]]</f>
        <v>0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5" s="5" t="str">
        <f>VLOOKUP(TabVMEnv[[#This Row],[EnvProjet]],TabEnvProjet[],5,FALSE)</f>
        <v>Jérôme JACOB</v>
      </c>
      <c r="Z215" s="5" t="str">
        <f>VLOOKUP(TabVMEnv[[#This Row],[EnvProjet]],TabEnvProjet[],6,FALSE)</f>
        <v>CostCenterDI</v>
      </c>
      <c r="AA215" s="5" t="str">
        <f>VLOOKUP(TabVMEnv[[#This Row],[EnvProjet]],TabEnvProjet[],3,FALSE)</f>
        <v>SOCLE</v>
      </c>
      <c r="AB215" s="5">
        <f>COUNTIF(TabVMEnv[VM],TabVMEnv[[#This Row],[VM]])</f>
        <v>1</v>
      </c>
    </row>
    <row r="216" spans="1:28" x14ac:dyDescent="0.25">
      <c r="A216" t="s">
        <v>170</v>
      </c>
      <c r="B216" t="s">
        <v>484</v>
      </c>
      <c r="E216" s="13"/>
      <c r="F216">
        <f>IF(VLOOKUP(TabVMEnv[[#This Row],[VM]],TabOceanet[],16,FALSE) = "Tarif_VM",IF(VLOOKUP(TabVMEnv[[#This Row],[VM]],TabOceanet[],2,FALSE)&lt;4,4,VLOOKUP(TabVMEnv[[#This Row],[VM]],TabOceanet[],2,FALSE)),0)</f>
        <v>0</v>
      </c>
      <c r="G216">
        <v>0</v>
      </c>
      <c r="H216">
        <v>0</v>
      </c>
      <c r="I216">
        <v>0</v>
      </c>
      <c r="J216">
        <v>0</v>
      </c>
      <c r="K216">
        <f>IF(VLOOKUP(TabVMEnv[[#This Row],[VM]],TabOceanet[],16,FALSE) = "Tarif_VM",1,0)/TabVMEnv[[#This Row],[Mutualisé]]</f>
        <v>0</v>
      </c>
      <c r="L216">
        <f>IF(VLOOKUP(TabVMEnv[[#This Row],[VM]],TabOceanet[],9,FALSE) = "PoweredOn",1,0)</f>
        <v>0</v>
      </c>
      <c r="M216">
        <f>TabVMEnv[[#This Row],[IsVMPoweredOn]]*VLOOKUP(TabVMEnv[[#This Row],[VM]],TabOceanet[],3,FALSE)/TabVMEnv[[#This Row],[Mutualisé]]</f>
        <v>0</v>
      </c>
      <c r="N216">
        <f>VLOOKUP(TabVMEnv[[#This Row],[VM]],TabOceanet[],4,FALSE)/TabVMEnv[[#This Row],[Mutualisé]]</f>
        <v>0</v>
      </c>
      <c r="O216">
        <f>IF(LEFT(VLOOKUP(TabVMEnv[[#This Row],[VM]],TabOceanet[],5,FALSE),3)="win",1,0)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VLOOKUP(TabVMEnv[[#This Row],[EnvProjet]],TabEnvProjet[],4,FALSE)</f>
        <v>GFI Oceanet Infra Réseau</v>
      </c>
      <c r="R216" s="5" t="str">
        <f>VLOOKUP(TabVMEnv[[#This Row],[SYGES]],TabContrat[],2,FALSE)</f>
        <v>GFI</v>
      </c>
      <c r="S216" s="5" t="str">
        <f>IF(VLOOKUP(TabVMEnv[[#This Row],[VM]],TabOceanet[],1,FALSE) = "","Disparue","")</f>
        <v/>
      </c>
      <c r="T216" s="25">
        <f>VLOOKUP(TabVMEnv[[#This Row],[VM]],TabOceanet[],36,FALSE)/TabVMEnv[[#This Row],[Mutualisé]]</f>
        <v>10</v>
      </c>
      <c r="U216" s="25">
        <f>IF(TabVMEnv[[#This Row],[CostCenter]]="CostCenterDI",0,TabVMEnv[[#This Row],[CoutGlobal]])</f>
        <v>0</v>
      </c>
      <c r="V216" s="25">
        <f>TabVMEnv[[#This Row],[CoutGlobalSansCostCenterDI]]/TabVMEnv[[#Totals],[CoutGlobalSansCostCenterDI]]*(GlobalARepartirSansMS+GlobalARepartirMSOnly+GlobalARepartirInfraReseau)</f>
        <v>0</v>
      </c>
      <c r="W216" s="25">
        <f>TabVMEnv[[#This Row],[CoutGlobalSansCostCenterDI]]+TabVMEnv[[#This Row],[CoutGlobalSupplementaire]]</f>
        <v>0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6" s="5" t="str">
        <f>VLOOKUP(TabVMEnv[[#This Row],[EnvProjet]],TabEnvProjet[],5,FALSE)</f>
        <v>Jérôme JACOB</v>
      </c>
      <c r="Z216" s="5" t="str">
        <f>VLOOKUP(TabVMEnv[[#This Row],[EnvProjet]],TabEnvProjet[],6,FALSE)</f>
        <v>CostCenterDI</v>
      </c>
      <c r="AA216" s="5" t="str">
        <f>VLOOKUP(TabVMEnv[[#This Row],[EnvProjet]],TabEnvProjet[],3,FALSE)</f>
        <v>SOCLE</v>
      </c>
      <c r="AB216" s="5">
        <f>COUNTIF(TabVMEnv[VM],TabVMEnv[[#This Row],[VM]])</f>
        <v>1</v>
      </c>
    </row>
    <row r="217" spans="1:28" x14ac:dyDescent="0.25">
      <c r="A217" t="s">
        <v>171</v>
      </c>
      <c r="B217" t="s">
        <v>484</v>
      </c>
      <c r="E217" s="13"/>
      <c r="F217">
        <f>IF(VLOOKUP(TabVMEnv[[#This Row],[VM]],TabOceanet[],16,FALSE) = "Tarif_VM",IF(VLOOKUP(TabVMEnv[[#This Row],[VM]],TabOceanet[],2,FALSE)&lt;4,4,VLOOKUP(TabVMEnv[[#This Row],[VM]],TabOceanet[],2,FALSE)),0)</f>
        <v>0</v>
      </c>
      <c r="G217">
        <v>0</v>
      </c>
      <c r="H217">
        <v>0</v>
      </c>
      <c r="I217">
        <v>0</v>
      </c>
      <c r="J217">
        <v>0</v>
      </c>
      <c r="K217">
        <f>IF(VLOOKUP(TabVMEnv[[#This Row],[VM]],TabOceanet[],16,FALSE) = "Tarif_VM",1,0)/TabVMEnv[[#This Row],[Mutualisé]]</f>
        <v>0</v>
      </c>
      <c r="L217">
        <f>IF(VLOOKUP(TabVMEnv[[#This Row],[VM]],TabOceanet[],9,FALSE) = "PoweredOn",1,0)</f>
        <v>0</v>
      </c>
      <c r="M217">
        <f>TabVMEnv[[#This Row],[IsVMPoweredOn]]*VLOOKUP(TabVMEnv[[#This Row],[VM]],TabOceanet[],3,FALSE)/TabVMEnv[[#This Row],[Mutualisé]]</f>
        <v>0</v>
      </c>
      <c r="N217">
        <f>VLOOKUP(TabVMEnv[[#This Row],[VM]],TabOceanet[],4,FALSE)/TabVMEnv[[#This Row],[Mutualisé]]</f>
        <v>0</v>
      </c>
      <c r="O217">
        <f>IF(LEFT(VLOOKUP(TabVMEnv[[#This Row],[VM]],TabOceanet[],5,FALSE),3)="win",1,0)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VLOOKUP(TabVMEnv[[#This Row],[EnvProjet]],TabEnvProjet[],4,FALSE)</f>
        <v>GFI Oceanet Infra Réseau</v>
      </c>
      <c r="R217" s="5" t="str">
        <f>VLOOKUP(TabVMEnv[[#This Row],[SYGES]],TabContrat[],2,FALSE)</f>
        <v>GFI</v>
      </c>
      <c r="S217" s="5" t="str">
        <f>IF(VLOOKUP(TabVMEnv[[#This Row],[VM]],TabOceanet[],1,FALSE) = "","Disparue","")</f>
        <v/>
      </c>
      <c r="T217" s="25">
        <f>VLOOKUP(TabVMEnv[[#This Row],[VM]],TabOceanet[],36,FALSE)/TabVMEnv[[#This Row],[Mutualisé]]</f>
        <v>10</v>
      </c>
      <c r="U217" s="25">
        <f>IF(TabVMEnv[[#This Row],[CostCenter]]="CostCenterDI",0,TabVMEnv[[#This Row],[CoutGlobal]])</f>
        <v>0</v>
      </c>
      <c r="V217" s="25">
        <f>TabVMEnv[[#This Row],[CoutGlobalSansCostCenterDI]]/TabVMEnv[[#Totals],[CoutGlobalSansCostCenterDI]]*(GlobalARepartirSansMS+GlobalARepartirMSOnly+GlobalARepartirInfraReseau)</f>
        <v>0</v>
      </c>
      <c r="W217" s="25">
        <f>TabVMEnv[[#This Row],[CoutGlobalSansCostCenterDI]]+TabVMEnv[[#This Row],[CoutGlobalSupplementaire]]</f>
        <v>0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7" s="5" t="str">
        <f>VLOOKUP(TabVMEnv[[#This Row],[EnvProjet]],TabEnvProjet[],5,FALSE)</f>
        <v>Jérôme JACOB</v>
      </c>
      <c r="Z217" s="5" t="str">
        <f>VLOOKUP(TabVMEnv[[#This Row],[EnvProjet]],TabEnvProjet[],6,FALSE)</f>
        <v>CostCenterDI</v>
      </c>
      <c r="AA217" s="5" t="str">
        <f>VLOOKUP(TabVMEnv[[#This Row],[EnvProjet]],TabEnvProjet[],3,FALSE)</f>
        <v>SOCLE</v>
      </c>
      <c r="AB217" s="5">
        <f>COUNTIF(TabVMEnv[VM],TabVMEnv[[#This Row],[VM]])</f>
        <v>1</v>
      </c>
    </row>
    <row r="218" spans="1:28" x14ac:dyDescent="0.25">
      <c r="A218" t="s">
        <v>172</v>
      </c>
      <c r="B218" t="s">
        <v>484</v>
      </c>
      <c r="E218" s="13"/>
      <c r="F218">
        <f>IF(VLOOKUP(TabVMEnv[[#This Row],[VM]],TabOceanet[],16,FALSE) = "Tarif_VM",IF(VLOOKUP(TabVMEnv[[#This Row],[VM]],TabOceanet[],2,FALSE)&lt;4,4,VLOOKUP(TabVMEnv[[#This Row],[VM]],TabOceanet[],2,FALSE)),0)</f>
        <v>0</v>
      </c>
      <c r="G218">
        <v>0</v>
      </c>
      <c r="H218">
        <v>0</v>
      </c>
      <c r="I218">
        <v>0</v>
      </c>
      <c r="J218">
        <v>0</v>
      </c>
      <c r="K218">
        <f>IF(VLOOKUP(TabVMEnv[[#This Row],[VM]],TabOceanet[],16,FALSE) = "Tarif_VM",1,0)/TabVMEnv[[#This Row],[Mutualisé]]</f>
        <v>0</v>
      </c>
      <c r="L218">
        <f>IF(VLOOKUP(TabVMEnv[[#This Row],[VM]],TabOceanet[],9,FALSE) = "PoweredOn",1,0)</f>
        <v>0</v>
      </c>
      <c r="M218">
        <f>TabVMEnv[[#This Row],[IsVMPoweredOn]]*VLOOKUP(TabVMEnv[[#This Row],[VM]],TabOceanet[],3,FALSE)/TabVMEnv[[#This Row],[Mutualisé]]</f>
        <v>0</v>
      </c>
      <c r="N218">
        <f>VLOOKUP(TabVMEnv[[#This Row],[VM]],TabOceanet[],4,FALSE)/TabVMEnv[[#This Row],[Mutualisé]]</f>
        <v>0</v>
      </c>
      <c r="O218">
        <f>IF(LEFT(VLOOKUP(TabVMEnv[[#This Row],[VM]],TabOceanet[],5,FALSE),3)="win",1,0)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VLOOKUP(TabVMEnv[[#This Row],[EnvProjet]],TabEnvProjet[],4,FALSE)</f>
        <v>GFI Oceanet Infra Réseau</v>
      </c>
      <c r="R218" s="5" t="str">
        <f>VLOOKUP(TabVMEnv[[#This Row],[SYGES]],TabContrat[],2,FALSE)</f>
        <v>GFI</v>
      </c>
      <c r="S218" s="5" t="str">
        <f>IF(VLOOKUP(TabVMEnv[[#This Row],[VM]],TabOceanet[],1,FALSE) = "","Disparue","")</f>
        <v/>
      </c>
      <c r="T218" s="25">
        <f>VLOOKUP(TabVMEnv[[#This Row],[VM]],TabOceanet[],36,FALSE)/TabVMEnv[[#This Row],[Mutualisé]]</f>
        <v>10</v>
      </c>
      <c r="U218" s="25">
        <f>IF(TabVMEnv[[#This Row],[CostCenter]]="CostCenterDI",0,TabVMEnv[[#This Row],[CoutGlobal]])</f>
        <v>0</v>
      </c>
      <c r="V218" s="25">
        <f>TabVMEnv[[#This Row],[CoutGlobalSansCostCenterDI]]/TabVMEnv[[#Totals],[CoutGlobalSansCostCenterDI]]*(GlobalARepartirSansMS+GlobalARepartirMSOnly+GlobalARepartirInfraReseau)</f>
        <v>0</v>
      </c>
      <c r="W218" s="25">
        <f>TabVMEnv[[#This Row],[CoutGlobalSansCostCenterDI]]+TabVMEnv[[#This Row],[CoutGlobalSupplementaire]]</f>
        <v>0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8" s="5" t="str">
        <f>VLOOKUP(TabVMEnv[[#This Row],[EnvProjet]],TabEnvProjet[],5,FALSE)</f>
        <v>Jérôme JACOB</v>
      </c>
      <c r="Z218" s="5" t="str">
        <f>VLOOKUP(TabVMEnv[[#This Row],[EnvProjet]],TabEnvProjet[],6,FALSE)</f>
        <v>CostCenterDI</v>
      </c>
      <c r="AA218" s="5" t="str">
        <f>VLOOKUP(TabVMEnv[[#This Row],[EnvProjet]],TabEnvProjet[],3,FALSE)</f>
        <v>SOCLE</v>
      </c>
      <c r="AB218" s="5">
        <f>COUNTIF(TabVMEnv[VM],TabVMEnv[[#This Row],[VM]])</f>
        <v>1</v>
      </c>
    </row>
    <row r="219" spans="1:28" x14ac:dyDescent="0.25">
      <c r="A219" t="s">
        <v>173</v>
      </c>
      <c r="B219" t="s">
        <v>484</v>
      </c>
      <c r="E219" s="13"/>
      <c r="F219">
        <f>IF(VLOOKUP(TabVMEnv[[#This Row],[VM]],TabOceanet[],16,FALSE) = "Tarif_VM",IF(VLOOKUP(TabVMEnv[[#This Row],[VM]],TabOceanet[],2,FALSE)&lt;4,4,VLOOKUP(TabVMEnv[[#This Row],[VM]],TabOceanet[],2,FALSE)),0)</f>
        <v>0</v>
      </c>
      <c r="G219">
        <v>0</v>
      </c>
      <c r="H219">
        <v>0</v>
      </c>
      <c r="I219">
        <v>0</v>
      </c>
      <c r="J219">
        <v>0</v>
      </c>
      <c r="K219">
        <f>IF(VLOOKUP(TabVMEnv[[#This Row],[VM]],TabOceanet[],16,FALSE) = "Tarif_VM",1,0)/TabVMEnv[[#This Row],[Mutualisé]]</f>
        <v>0</v>
      </c>
      <c r="L219">
        <f>IF(VLOOKUP(TabVMEnv[[#This Row],[VM]],TabOceanet[],9,FALSE) = "PoweredOn",1,0)</f>
        <v>0</v>
      </c>
      <c r="M219">
        <f>TabVMEnv[[#This Row],[IsVMPoweredOn]]*VLOOKUP(TabVMEnv[[#This Row],[VM]],TabOceanet[],3,FALSE)/TabVMEnv[[#This Row],[Mutualisé]]</f>
        <v>0</v>
      </c>
      <c r="N219">
        <f>VLOOKUP(TabVMEnv[[#This Row],[VM]],TabOceanet[],4,FALSE)/TabVMEnv[[#This Row],[Mutualisé]]</f>
        <v>0</v>
      </c>
      <c r="O219">
        <f>IF(LEFT(VLOOKUP(TabVMEnv[[#This Row],[VM]],TabOceanet[],5,FALSE),3)="win",1,0)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VLOOKUP(TabVMEnv[[#This Row],[EnvProjet]],TabEnvProjet[],4,FALSE)</f>
        <v>GFI Oceanet Infra Réseau</v>
      </c>
      <c r="R219" s="5" t="str">
        <f>VLOOKUP(TabVMEnv[[#This Row],[SYGES]],TabContrat[],2,FALSE)</f>
        <v>GFI</v>
      </c>
      <c r="S219" s="5" t="str">
        <f>IF(VLOOKUP(TabVMEnv[[#This Row],[VM]],TabOceanet[],1,FALSE) = "","Disparue","")</f>
        <v/>
      </c>
      <c r="T219" s="25">
        <f>VLOOKUP(TabVMEnv[[#This Row],[VM]],TabOceanet[],36,FALSE)/TabVMEnv[[#This Row],[Mutualisé]]</f>
        <v>10</v>
      </c>
      <c r="U219" s="25">
        <f>IF(TabVMEnv[[#This Row],[CostCenter]]="CostCenterDI",0,TabVMEnv[[#This Row],[CoutGlobal]])</f>
        <v>0</v>
      </c>
      <c r="V219" s="25">
        <f>TabVMEnv[[#This Row],[CoutGlobalSansCostCenterDI]]/TabVMEnv[[#Totals],[CoutGlobalSansCostCenterDI]]*(GlobalARepartirSansMS+GlobalARepartirMSOnly+GlobalARepartirInfraReseau)</f>
        <v>0</v>
      </c>
      <c r="W219" s="25">
        <f>TabVMEnv[[#This Row],[CoutGlobalSansCostCenterDI]]+TabVMEnv[[#This Row],[CoutGlobalSupplementaire]]</f>
        <v>0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9" s="5" t="str">
        <f>VLOOKUP(TabVMEnv[[#This Row],[EnvProjet]],TabEnvProjet[],5,FALSE)</f>
        <v>Jérôme JACOB</v>
      </c>
      <c r="Z219" s="5" t="str">
        <f>VLOOKUP(TabVMEnv[[#This Row],[EnvProjet]],TabEnvProjet[],6,FALSE)</f>
        <v>CostCenterDI</v>
      </c>
      <c r="AA219" s="5" t="str">
        <f>VLOOKUP(TabVMEnv[[#This Row],[EnvProjet]],TabEnvProjet[],3,FALSE)</f>
        <v>SOCLE</v>
      </c>
      <c r="AB219" s="5">
        <f>COUNTIF(TabVMEnv[VM],TabVMEnv[[#This Row],[VM]])</f>
        <v>1</v>
      </c>
    </row>
    <row r="220" spans="1:28" x14ac:dyDescent="0.25">
      <c r="A220" t="s">
        <v>174</v>
      </c>
      <c r="B220" t="s">
        <v>484</v>
      </c>
      <c r="E220" s="13"/>
      <c r="F220">
        <f>IF(VLOOKUP(TabVMEnv[[#This Row],[VM]],TabOceanet[],16,FALSE) = "Tarif_VM",IF(VLOOKUP(TabVMEnv[[#This Row],[VM]],TabOceanet[],2,FALSE)&lt;4,4,VLOOKUP(TabVMEnv[[#This Row],[VM]],TabOceanet[],2,FALSE)),0)</f>
        <v>0</v>
      </c>
      <c r="G220">
        <v>0</v>
      </c>
      <c r="H220">
        <v>0</v>
      </c>
      <c r="I220">
        <v>0</v>
      </c>
      <c r="J220">
        <v>0</v>
      </c>
      <c r="K220">
        <f>IF(VLOOKUP(TabVMEnv[[#This Row],[VM]],TabOceanet[],16,FALSE) = "Tarif_VM",1,0)/TabVMEnv[[#This Row],[Mutualisé]]</f>
        <v>0</v>
      </c>
      <c r="L220">
        <f>IF(VLOOKUP(TabVMEnv[[#This Row],[VM]],TabOceanet[],9,FALSE) = "PoweredOn",1,0)</f>
        <v>0</v>
      </c>
      <c r="M220">
        <f>TabVMEnv[[#This Row],[IsVMPoweredOn]]*VLOOKUP(TabVMEnv[[#This Row],[VM]],TabOceanet[],3,FALSE)/TabVMEnv[[#This Row],[Mutualisé]]</f>
        <v>0</v>
      </c>
      <c r="N220">
        <f>VLOOKUP(TabVMEnv[[#This Row],[VM]],TabOceanet[],4,FALSE)/TabVMEnv[[#This Row],[Mutualisé]]</f>
        <v>0</v>
      </c>
      <c r="O220">
        <f>IF(LEFT(VLOOKUP(TabVMEnv[[#This Row],[VM]],TabOceanet[],5,FALSE),3)="win",1,0)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VLOOKUP(TabVMEnv[[#This Row],[EnvProjet]],TabEnvProjet[],4,FALSE)</f>
        <v>GFI Oceanet Infra Réseau</v>
      </c>
      <c r="R220" s="5" t="str">
        <f>VLOOKUP(TabVMEnv[[#This Row],[SYGES]],TabContrat[],2,FALSE)</f>
        <v>GFI</v>
      </c>
      <c r="S220" s="5" t="str">
        <f>IF(VLOOKUP(TabVMEnv[[#This Row],[VM]],TabOceanet[],1,FALSE) = "","Disparue","")</f>
        <v/>
      </c>
      <c r="T220" s="25">
        <f>VLOOKUP(TabVMEnv[[#This Row],[VM]],TabOceanet[],36,FALSE)/TabVMEnv[[#This Row],[Mutualisé]]</f>
        <v>10</v>
      </c>
      <c r="U220" s="25">
        <f>IF(TabVMEnv[[#This Row],[CostCenter]]="CostCenterDI",0,TabVMEnv[[#This Row],[CoutGlobal]])</f>
        <v>0</v>
      </c>
      <c r="V220" s="25">
        <f>TabVMEnv[[#This Row],[CoutGlobalSansCostCenterDI]]/TabVMEnv[[#Totals],[CoutGlobalSansCostCenterDI]]*(GlobalARepartirSansMS+GlobalARepartirMSOnly+GlobalARepartirInfraReseau)</f>
        <v>0</v>
      </c>
      <c r="W220" s="25">
        <f>TabVMEnv[[#This Row],[CoutGlobalSansCostCenterDI]]+TabVMEnv[[#This Row],[CoutGlobalSupplementaire]]</f>
        <v>0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0" s="5" t="str">
        <f>VLOOKUP(TabVMEnv[[#This Row],[EnvProjet]],TabEnvProjet[],5,FALSE)</f>
        <v>Jérôme JACOB</v>
      </c>
      <c r="Z220" s="5" t="str">
        <f>VLOOKUP(TabVMEnv[[#This Row],[EnvProjet]],TabEnvProjet[],6,FALSE)</f>
        <v>CostCenterDI</v>
      </c>
      <c r="AA220" s="5" t="str">
        <f>VLOOKUP(TabVMEnv[[#This Row],[EnvProjet]],TabEnvProjet[],3,FALSE)</f>
        <v>SOCLE</v>
      </c>
      <c r="AB220" s="5">
        <f>COUNTIF(TabVMEnv[VM],TabVMEnv[[#This Row],[VM]])</f>
        <v>1</v>
      </c>
    </row>
    <row r="221" spans="1:28" x14ac:dyDescent="0.25">
      <c r="A221" t="s">
        <v>175</v>
      </c>
      <c r="B221" t="s">
        <v>484</v>
      </c>
      <c r="E221" s="13"/>
      <c r="F221">
        <f>IF(VLOOKUP(TabVMEnv[[#This Row],[VM]],TabOceanet[],16,FALSE) = "Tarif_VM",IF(VLOOKUP(TabVMEnv[[#This Row],[VM]],TabOceanet[],2,FALSE)&lt;4,4,VLOOKUP(TabVMEnv[[#This Row],[VM]],TabOceanet[],2,FALSE)),0)</f>
        <v>0</v>
      </c>
      <c r="G221">
        <v>0</v>
      </c>
      <c r="H221">
        <v>0</v>
      </c>
      <c r="I221">
        <v>0</v>
      </c>
      <c r="J221">
        <v>0</v>
      </c>
      <c r="K221">
        <f>IF(VLOOKUP(TabVMEnv[[#This Row],[VM]],TabOceanet[],16,FALSE) = "Tarif_VM",1,0)/TabVMEnv[[#This Row],[Mutualisé]]</f>
        <v>0</v>
      </c>
      <c r="L221">
        <f>IF(VLOOKUP(TabVMEnv[[#This Row],[VM]],TabOceanet[],9,FALSE) = "PoweredOn",1,0)</f>
        <v>0</v>
      </c>
      <c r="M221">
        <f>TabVMEnv[[#This Row],[IsVMPoweredOn]]*VLOOKUP(TabVMEnv[[#This Row],[VM]],TabOceanet[],3,FALSE)/TabVMEnv[[#This Row],[Mutualisé]]</f>
        <v>0</v>
      </c>
      <c r="N221">
        <f>VLOOKUP(TabVMEnv[[#This Row],[VM]],TabOceanet[],4,FALSE)/TabVMEnv[[#This Row],[Mutualisé]]</f>
        <v>0</v>
      </c>
      <c r="O221">
        <f>IF(LEFT(VLOOKUP(TabVMEnv[[#This Row],[VM]],TabOceanet[],5,FALSE),3)="win",1,0)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VLOOKUP(TabVMEnv[[#This Row],[EnvProjet]],TabEnvProjet[],4,FALSE)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25">
        <f>VLOOKUP(TabVMEnv[[#This Row],[VM]],TabOceanet[],36,FALSE)/TabVMEnv[[#This Row],[Mutualisé]]</f>
        <v>10</v>
      </c>
      <c r="U221" s="25">
        <f>IF(TabVMEnv[[#This Row],[CostCenter]]="CostCenterDI",0,TabVMEnv[[#This Row],[CoutGlobal]])</f>
        <v>0</v>
      </c>
      <c r="V221" s="25">
        <f>TabVMEnv[[#This Row],[CoutGlobalSansCostCenterDI]]/TabVMEnv[[#Totals],[CoutGlobalSansCostCenterDI]]*(GlobalARepartirSansMS+GlobalARepartirMSOnly+GlobalARepartirInfraReseau)</f>
        <v>0</v>
      </c>
      <c r="W221" s="25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VLOOKUP(TabVMEnv[[#This Row],[EnvProjet]],TabEnvProjet[],5,FALSE)</f>
        <v>Jérôme JACOB</v>
      </c>
      <c r="Z221" s="5" t="str">
        <f>VLOOKUP(TabVMEnv[[#This Row],[EnvProjet]],TabEnvProjet[],6,FALSE)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COUNTIF(TabVMEnv[VM],TabVMEnv[[#This Row],[VM]])</f>
        <v>1</v>
      </c>
    </row>
    <row r="222" spans="1:28" x14ac:dyDescent="0.25">
      <c r="A222" t="s">
        <v>176</v>
      </c>
      <c r="B222" t="s">
        <v>484</v>
      </c>
      <c r="E222" s="13"/>
      <c r="F222">
        <f>IF(VLOOKUP(TabVMEnv[[#This Row],[VM]],TabOceanet[],16,FALSE) = "Tarif_VM",IF(VLOOKUP(TabVMEnv[[#This Row],[VM]],TabOceanet[],2,FALSE)&lt;4,4,VLOOKUP(TabVMEnv[[#This Row],[VM]],TabOceanet[],2,FALSE)),0)</f>
        <v>0</v>
      </c>
      <c r="G222">
        <v>0</v>
      </c>
      <c r="H222">
        <v>0</v>
      </c>
      <c r="I222">
        <v>0</v>
      </c>
      <c r="J222">
        <v>0</v>
      </c>
      <c r="K222">
        <f>IF(VLOOKUP(TabVMEnv[[#This Row],[VM]],TabOceanet[],16,FALSE) = "Tarif_VM",1,0)/TabVMEnv[[#This Row],[Mutualisé]]</f>
        <v>0</v>
      </c>
      <c r="L222">
        <f>IF(VLOOKUP(TabVMEnv[[#This Row],[VM]],TabOceanet[],9,FALSE) = "PoweredOn",1,0)</f>
        <v>0</v>
      </c>
      <c r="M222">
        <f>TabVMEnv[[#This Row],[IsVMPoweredOn]]*VLOOKUP(TabVMEnv[[#This Row],[VM]],TabOceanet[],3,FALSE)/TabVMEnv[[#This Row],[Mutualisé]]</f>
        <v>0</v>
      </c>
      <c r="N222">
        <f>VLOOKUP(TabVMEnv[[#This Row],[VM]],TabOceanet[],4,FALSE)/TabVMEnv[[#This Row],[Mutualisé]]</f>
        <v>0</v>
      </c>
      <c r="O222">
        <f>IF(LEFT(VLOOKUP(TabVMEnv[[#This Row],[VM]],TabOceanet[],5,FALSE),3)="win",1,0)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VLOOKUP(TabVMEnv[[#This Row],[EnvProjet]],TabEnvProjet[],4,FALSE)</f>
        <v>GFI Oceanet Infra Réseau</v>
      </c>
      <c r="R222" s="5" t="str">
        <f>VLOOKUP(TabVMEnv[[#This Row],[SYGES]],TabContrat[],2,FALSE)</f>
        <v>GFI</v>
      </c>
      <c r="S222" s="5" t="str">
        <f>IF(VLOOKUP(TabVMEnv[[#This Row],[VM]],TabOceanet[],1,FALSE) = "","Disparue","")</f>
        <v/>
      </c>
      <c r="T222" s="25">
        <f>VLOOKUP(TabVMEnv[[#This Row],[VM]],TabOceanet[],36,FALSE)/TabVMEnv[[#This Row],[Mutualisé]]</f>
        <v>10</v>
      </c>
      <c r="U222" s="25">
        <f>IF(TabVMEnv[[#This Row],[CostCenter]]="CostCenterDI",0,TabVMEnv[[#This Row],[CoutGlobal]])</f>
        <v>0</v>
      </c>
      <c r="V222" s="25">
        <f>TabVMEnv[[#This Row],[CoutGlobalSansCostCenterDI]]/TabVMEnv[[#Totals],[CoutGlobalSansCostCenterDI]]*(GlobalARepartirSansMS+GlobalARepartirMSOnly+GlobalARepartirInfraReseau)</f>
        <v>0</v>
      </c>
      <c r="W222" s="25">
        <f>TabVMEnv[[#This Row],[CoutGlobalSansCostCenterDI]]+TabVMEnv[[#This Row],[CoutGlobalSupplementaire]]</f>
        <v>0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2" s="5" t="str">
        <f>VLOOKUP(TabVMEnv[[#This Row],[EnvProjet]],TabEnvProjet[],5,FALSE)</f>
        <v>Jérôme JACOB</v>
      </c>
      <c r="Z222" s="5" t="str">
        <f>VLOOKUP(TabVMEnv[[#This Row],[EnvProjet]],TabEnvProjet[],6,FALSE)</f>
        <v>CostCenterDI</v>
      </c>
      <c r="AA222" s="5" t="str">
        <f>VLOOKUP(TabVMEnv[[#This Row],[EnvProjet]],TabEnvProjet[],3,FALSE)</f>
        <v>SOCLE</v>
      </c>
      <c r="AB222" s="5">
        <f>COUNTIF(TabVMEnv[VM],TabVMEnv[[#This Row],[VM]])</f>
        <v>1</v>
      </c>
    </row>
    <row r="223" spans="1:28" x14ac:dyDescent="0.25">
      <c r="A223" t="s">
        <v>310</v>
      </c>
      <c r="B223" t="s">
        <v>482</v>
      </c>
      <c r="E223" s="13"/>
      <c r="F223">
        <f>IF(VLOOKUP(TabVMEnv[[#This Row],[VM]],TabOceanet[],16,FALSE) = "Tarif_VM",IF(VLOOKUP(TabVMEnv[[#This Row],[VM]],TabOceanet[],2,FALSE)&lt;4,4,VLOOKUP(TabVMEnv[[#This Row],[VM]],TabOceanet[],2,FALSE)),0)</f>
        <v>0</v>
      </c>
      <c r="G223">
        <v>0</v>
      </c>
      <c r="H223">
        <v>0</v>
      </c>
      <c r="I223">
        <v>0</v>
      </c>
      <c r="J223">
        <v>0</v>
      </c>
      <c r="K223">
        <f>IF(VLOOKUP(TabVMEnv[[#This Row],[VM]],TabOceanet[],16,FALSE) = "Tarif_VM",1,0)/TabVMEnv[[#This Row],[Mutualisé]]</f>
        <v>0</v>
      </c>
      <c r="L223">
        <f>IF(VLOOKUP(TabVMEnv[[#This Row],[VM]],TabOceanet[],9,FALSE) = "PoweredOn",1,0)</f>
        <v>0</v>
      </c>
      <c r="M223">
        <f>TabVMEnv[[#This Row],[IsVMPoweredOn]]*VLOOKUP(TabVMEnv[[#This Row],[VM]],TabOceanet[],3,FALSE)/TabVMEnv[[#This Row],[Mutualisé]]</f>
        <v>0</v>
      </c>
      <c r="N223">
        <f>VLOOKUP(TabVMEnv[[#This Row],[VM]],TabOceanet[],4,FALSE)/TabVMEnv[[#This Row],[Mutualisé]]</f>
        <v>0</v>
      </c>
      <c r="O223">
        <f>IF(LEFT(VLOOKUP(TabVMEnv[[#This Row],[VM]],TabOceanet[],5,FALSE),3)="win",1,0)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VLOOKUP(TabVMEnv[[#This Row],[EnvProjet]],TabEnvProjet[],4,FALSE)</f>
        <v>Fablab-Firmin</v>
      </c>
      <c r="R223" s="5" t="str">
        <f>VLOOKUP(TabVMEnv[[#This Row],[SYGES]],TabContrat[],2,FALSE)</f>
        <v>Fablab</v>
      </c>
      <c r="S223" s="5" t="str">
        <f>IF(VLOOKUP(TabVMEnv[[#This Row],[VM]],TabOceanet[],1,FALSE) = "","Disparue","")</f>
        <v/>
      </c>
      <c r="T223" s="25">
        <f>VLOOKUP(TabVMEnv[[#This Row],[VM]],TabOceanet[],36,FALSE)/TabVMEnv[[#This Row],[Mutualisé]]</f>
        <v>10</v>
      </c>
      <c r="U223" s="25">
        <f>IF(TabVMEnv[[#This Row],[CostCenter]]="CostCenterDI",0,TabVMEnv[[#This Row],[CoutGlobal]])</f>
        <v>10</v>
      </c>
      <c r="V223" s="25">
        <f>TabVMEnv[[#This Row],[CoutGlobalSansCostCenterDI]]/TabVMEnv[[#Totals],[CoutGlobalSansCostCenterDI]]*(GlobalARepartirSansMS+GlobalARepartirMSOnly+GlobalARepartirInfraReseau)</f>
        <v>20.850210067200635</v>
      </c>
      <c r="W223" s="25">
        <f>TabVMEnv[[#This Row],[CoutGlobalSansCostCenterDI]]+TabVMEnv[[#This Row],[CoutGlobalSupplementaire]]</f>
        <v>30.850210067200635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3" s="5" t="str">
        <f>VLOOKUP(TabVMEnv[[#This Row],[EnvProjet]],TabEnvProjet[],5,FALSE)</f>
        <v>Pierre-Yves Baloche</v>
      </c>
      <c r="Z223" s="5" t="str">
        <f>VLOOKUP(TabVMEnv[[#This Row],[EnvProjet]],TabEnvProjet[],6,FALSE)</f>
        <v>Fablab</v>
      </c>
      <c r="AA223" s="5" t="str">
        <f>VLOOKUP(TabVMEnv[[#This Row],[EnvProjet]],TabEnvProjet[],3,FALSE)</f>
        <v>PREPROD</v>
      </c>
      <c r="AB223" s="5">
        <f>COUNTIF(TabVMEnv[VM],TabVMEnv[[#This Row],[VM]])</f>
        <v>1</v>
      </c>
    </row>
    <row r="224" spans="1:28" x14ac:dyDescent="0.25">
      <c r="A224" t="s">
        <v>311</v>
      </c>
      <c r="B224" t="s">
        <v>482</v>
      </c>
      <c r="E224" s="13"/>
      <c r="F224">
        <f>IF(VLOOKUP(TabVMEnv[[#This Row],[VM]],TabOceanet[],16,FALSE) = "Tarif_VM",IF(VLOOKUP(TabVMEnv[[#This Row],[VM]],TabOceanet[],2,FALSE)&lt;4,4,VLOOKUP(TabVMEnv[[#This Row],[VM]],TabOceanet[],2,FALSE)),0)</f>
        <v>0</v>
      </c>
      <c r="G224">
        <v>0</v>
      </c>
      <c r="H224">
        <v>0</v>
      </c>
      <c r="I224">
        <v>0</v>
      </c>
      <c r="J224">
        <v>0</v>
      </c>
      <c r="K224">
        <f>IF(VLOOKUP(TabVMEnv[[#This Row],[VM]],TabOceanet[],16,FALSE) = "Tarif_VM",1,0)/TabVMEnv[[#This Row],[Mutualisé]]</f>
        <v>0</v>
      </c>
      <c r="L224">
        <f>IF(VLOOKUP(TabVMEnv[[#This Row],[VM]],TabOceanet[],9,FALSE) = "PoweredOn",1,0)</f>
        <v>0</v>
      </c>
      <c r="M224">
        <f>TabVMEnv[[#This Row],[IsVMPoweredOn]]*VLOOKUP(TabVMEnv[[#This Row],[VM]],TabOceanet[],3,FALSE)/TabVMEnv[[#This Row],[Mutualisé]]</f>
        <v>0</v>
      </c>
      <c r="N224">
        <f>VLOOKUP(TabVMEnv[[#This Row],[VM]],TabOceanet[],4,FALSE)/TabVMEnv[[#This Row],[Mutualisé]]</f>
        <v>0</v>
      </c>
      <c r="O224">
        <f>IF(LEFT(VLOOKUP(TabVMEnv[[#This Row],[VM]],TabOceanet[],5,FALSE),3)="win",1,0)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VLOOKUP(TabVMEnv[[#This Row],[EnvProjet]],TabEnvProjet[],4,FALSE)</f>
        <v>Fablab-Firmin</v>
      </c>
      <c r="R224" s="5" t="str">
        <f>VLOOKUP(TabVMEnv[[#This Row],[SYGES]],TabContrat[],2,FALSE)</f>
        <v>Fablab</v>
      </c>
      <c r="S224" s="5" t="str">
        <f>IF(VLOOKUP(TabVMEnv[[#This Row],[VM]],TabOceanet[],1,FALSE) = "","Disparue","")</f>
        <v/>
      </c>
      <c r="T224" s="25">
        <f>VLOOKUP(TabVMEnv[[#This Row],[VM]],TabOceanet[],36,FALSE)/TabVMEnv[[#This Row],[Mutualisé]]</f>
        <v>10</v>
      </c>
      <c r="U224" s="25">
        <f>IF(TabVMEnv[[#This Row],[CostCenter]]="CostCenterDI",0,TabVMEnv[[#This Row],[CoutGlobal]])</f>
        <v>10</v>
      </c>
      <c r="V224" s="25">
        <f>TabVMEnv[[#This Row],[CoutGlobalSansCostCenterDI]]/TabVMEnv[[#Totals],[CoutGlobalSansCostCenterDI]]*(GlobalARepartirSansMS+GlobalARepartirMSOnly+GlobalARepartirInfraReseau)</f>
        <v>20.850210067200635</v>
      </c>
      <c r="W224" s="25">
        <f>TabVMEnv[[#This Row],[CoutGlobalSansCostCenterDI]]+TabVMEnv[[#This Row],[CoutGlobalSupplementaire]]</f>
        <v>30.850210067200635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4" s="5" t="str">
        <f>VLOOKUP(TabVMEnv[[#This Row],[EnvProjet]],TabEnvProjet[],5,FALSE)</f>
        <v>Pierre-Yves Baloche</v>
      </c>
      <c r="Z224" s="5" t="str">
        <f>VLOOKUP(TabVMEnv[[#This Row],[EnvProjet]],TabEnvProjet[],6,FALSE)</f>
        <v>Fablab</v>
      </c>
      <c r="AA224" s="5" t="str">
        <f>VLOOKUP(TabVMEnv[[#This Row],[EnvProjet]],TabEnvProjet[],3,FALSE)</f>
        <v>PREPROD</v>
      </c>
      <c r="AB224" s="5">
        <f>COUNTIF(TabVMEnv[VM],TabVMEnv[[#This Row],[VM]])</f>
        <v>1</v>
      </c>
    </row>
    <row r="225" spans="1:28" x14ac:dyDescent="0.25">
      <c r="A225" t="s">
        <v>266</v>
      </c>
      <c r="B225" t="s">
        <v>481</v>
      </c>
      <c r="E225" s="13"/>
      <c r="F225">
        <f>IF(VLOOKUP(TabVMEnv[[#This Row],[VM]],TabOceanet[],16,FALSE) = "Tarif_VM",IF(VLOOKUP(TabVMEnv[[#This Row],[VM]],TabOceanet[],2,FALSE)&lt;4,4,VLOOKUP(TabVMEnv[[#This Row],[VM]],TabOceanet[],2,FALSE)),0)</f>
        <v>0</v>
      </c>
      <c r="G225">
        <v>0</v>
      </c>
      <c r="H225">
        <v>0</v>
      </c>
      <c r="I225">
        <v>0</v>
      </c>
      <c r="J225">
        <v>0</v>
      </c>
      <c r="K225">
        <f>IF(VLOOKUP(TabVMEnv[[#This Row],[VM]],TabOceanet[],16,FALSE) = "Tarif_VM",1,0)/TabVMEnv[[#This Row],[Mutualisé]]</f>
        <v>0</v>
      </c>
      <c r="L225">
        <f>IF(VLOOKUP(TabVMEnv[[#This Row],[VM]],TabOceanet[],9,FALSE) = "PoweredOn",1,0)</f>
        <v>0</v>
      </c>
      <c r="M225">
        <f>TabVMEnv[[#This Row],[IsVMPoweredOn]]*VLOOKUP(TabVMEnv[[#This Row],[VM]],TabOceanet[],3,FALSE)/TabVMEnv[[#This Row],[Mutualisé]]</f>
        <v>0</v>
      </c>
      <c r="N225">
        <f>VLOOKUP(TabVMEnv[[#This Row],[VM]],TabOceanet[],4,FALSE)/TabVMEnv[[#This Row],[Mutualisé]]</f>
        <v>0</v>
      </c>
      <c r="O225">
        <f>IF(LEFT(VLOOKUP(TabVMEnv[[#This Row],[VM]],TabOceanet[],5,FALSE),3)="win",1,0)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VLOOKUP(TabVMEnv[[#This Row],[EnvProjet]],TabEnvProjet[],4,FALSE)</f>
        <v>Fablab-Firmin</v>
      </c>
      <c r="R225" s="5" t="str">
        <f>VLOOKUP(TabVMEnv[[#This Row],[SYGES]],TabContrat[],2,FALSE)</f>
        <v>Fablab</v>
      </c>
      <c r="S225" s="5" t="str">
        <f>IF(VLOOKUP(TabVMEnv[[#This Row],[VM]],TabOceanet[],1,FALSE) = "","Disparue","")</f>
        <v/>
      </c>
      <c r="T225" s="25">
        <f>VLOOKUP(TabVMEnv[[#This Row],[VM]],TabOceanet[],36,FALSE)/TabVMEnv[[#This Row],[Mutualisé]]</f>
        <v>10</v>
      </c>
      <c r="U225" s="25">
        <f>IF(TabVMEnv[[#This Row],[CostCenter]]="CostCenterDI",0,TabVMEnv[[#This Row],[CoutGlobal]])</f>
        <v>10</v>
      </c>
      <c r="V225" s="25">
        <f>TabVMEnv[[#This Row],[CoutGlobalSansCostCenterDI]]/TabVMEnv[[#Totals],[CoutGlobalSansCostCenterDI]]*(GlobalARepartirSansMS+GlobalARepartirMSOnly+GlobalARepartirInfraReseau)</f>
        <v>20.850210067200635</v>
      </c>
      <c r="W225" s="25">
        <f>TabVMEnv[[#This Row],[CoutGlobalSansCostCenterDI]]+TabVMEnv[[#This Row],[CoutGlobalSupplementaire]]</f>
        <v>30.850210067200635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5" s="5" t="str">
        <f>VLOOKUP(TabVMEnv[[#This Row],[EnvProjet]],TabEnvProjet[],5,FALSE)</f>
        <v>Pierre-Yves Baloche</v>
      </c>
      <c r="Z225" s="5" t="str">
        <f>VLOOKUP(TabVMEnv[[#This Row],[EnvProjet]],TabEnvProjet[],6,FALSE)</f>
        <v>Fablab</v>
      </c>
      <c r="AA225" s="5" t="str">
        <f>VLOOKUP(TabVMEnv[[#This Row],[EnvProjet]],TabEnvProjet[],3,FALSE)</f>
        <v>PROD</v>
      </c>
      <c r="AB225" s="5">
        <f>COUNTIF(TabVMEnv[VM],TabVMEnv[[#This Row],[VM]])</f>
        <v>1</v>
      </c>
    </row>
    <row r="226" spans="1:28" x14ac:dyDescent="0.25">
      <c r="A226" t="s">
        <v>267</v>
      </c>
      <c r="B226" t="s">
        <v>481</v>
      </c>
      <c r="E226" s="13"/>
      <c r="F226">
        <f>IF(VLOOKUP(TabVMEnv[[#This Row],[VM]],TabOceanet[],16,FALSE) = "Tarif_VM",IF(VLOOKUP(TabVMEnv[[#This Row],[VM]],TabOceanet[],2,FALSE)&lt;4,4,VLOOKUP(TabVMEnv[[#This Row],[VM]],TabOceanet[],2,FALSE)),0)</f>
        <v>0</v>
      </c>
      <c r="G226">
        <v>0</v>
      </c>
      <c r="H226">
        <v>0</v>
      </c>
      <c r="I226">
        <v>0</v>
      </c>
      <c r="J226">
        <v>0</v>
      </c>
      <c r="K226">
        <f>IF(VLOOKUP(TabVMEnv[[#This Row],[VM]],TabOceanet[],16,FALSE) = "Tarif_VM",1,0)/TabVMEnv[[#This Row],[Mutualisé]]</f>
        <v>0</v>
      </c>
      <c r="L226">
        <f>IF(VLOOKUP(TabVMEnv[[#This Row],[VM]],TabOceanet[],9,FALSE) = "PoweredOn",1,0)</f>
        <v>0</v>
      </c>
      <c r="M226">
        <f>TabVMEnv[[#This Row],[IsVMPoweredOn]]*VLOOKUP(TabVMEnv[[#This Row],[VM]],TabOceanet[],3,FALSE)/TabVMEnv[[#This Row],[Mutualisé]]</f>
        <v>0</v>
      </c>
      <c r="N226">
        <f>VLOOKUP(TabVMEnv[[#This Row],[VM]],TabOceanet[],4,FALSE)/TabVMEnv[[#This Row],[Mutualisé]]</f>
        <v>0</v>
      </c>
      <c r="O226">
        <f>IF(LEFT(VLOOKUP(TabVMEnv[[#This Row],[VM]],TabOceanet[],5,FALSE),3)="win",1,0)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VLOOKUP(TabVMEnv[[#This Row],[EnvProjet]],TabEnvProjet[],4,FALSE)</f>
        <v>Fablab-Firmin</v>
      </c>
      <c r="R226" s="5" t="str">
        <f>VLOOKUP(TabVMEnv[[#This Row],[SYGES]],TabContrat[],2,FALSE)</f>
        <v>Fablab</v>
      </c>
      <c r="S226" s="5" t="str">
        <f>IF(VLOOKUP(TabVMEnv[[#This Row],[VM]],TabOceanet[],1,FALSE) = "","Disparue","")</f>
        <v/>
      </c>
      <c r="T226" s="25">
        <f>VLOOKUP(TabVMEnv[[#This Row],[VM]],TabOceanet[],36,FALSE)/TabVMEnv[[#This Row],[Mutualisé]]</f>
        <v>10</v>
      </c>
      <c r="U226" s="25">
        <f>IF(TabVMEnv[[#This Row],[CostCenter]]="CostCenterDI",0,TabVMEnv[[#This Row],[CoutGlobal]])</f>
        <v>10</v>
      </c>
      <c r="V226" s="25">
        <f>TabVMEnv[[#This Row],[CoutGlobalSansCostCenterDI]]/TabVMEnv[[#Totals],[CoutGlobalSansCostCenterDI]]*(GlobalARepartirSansMS+GlobalARepartirMSOnly+GlobalARepartirInfraReseau)</f>
        <v>20.850210067200635</v>
      </c>
      <c r="W226" s="25">
        <f>TabVMEnv[[#This Row],[CoutGlobalSansCostCenterDI]]+TabVMEnv[[#This Row],[CoutGlobalSupplementaire]]</f>
        <v>30.850210067200635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6" s="5" t="str">
        <f>VLOOKUP(TabVMEnv[[#This Row],[EnvProjet]],TabEnvProjet[],5,FALSE)</f>
        <v>Pierre-Yves Baloche</v>
      </c>
      <c r="Z226" s="5" t="str">
        <f>VLOOKUP(TabVMEnv[[#This Row],[EnvProjet]],TabEnvProjet[],6,FALSE)</f>
        <v>Fablab</v>
      </c>
      <c r="AA226" s="5" t="str">
        <f>VLOOKUP(TabVMEnv[[#This Row],[EnvProjet]],TabEnvProjet[],3,FALSE)</f>
        <v>PROD</v>
      </c>
      <c r="AB226" s="5">
        <f>COUNTIF(TabVMEnv[VM],TabVMEnv[[#This Row],[VM]])</f>
        <v>1</v>
      </c>
    </row>
    <row r="227" spans="1:28" x14ac:dyDescent="0.25">
      <c r="A227" t="s">
        <v>268</v>
      </c>
      <c r="B227" t="s">
        <v>481</v>
      </c>
      <c r="E227" s="13"/>
      <c r="F227">
        <f>IF(VLOOKUP(TabVMEnv[[#This Row],[VM]],TabOceanet[],16,FALSE) = "Tarif_VM",IF(VLOOKUP(TabVMEnv[[#This Row],[VM]],TabOceanet[],2,FALSE)&lt;4,4,VLOOKUP(TabVMEnv[[#This Row],[VM]],TabOceanet[],2,FALSE)),0)</f>
        <v>0</v>
      </c>
      <c r="G227">
        <v>0</v>
      </c>
      <c r="H227">
        <v>0</v>
      </c>
      <c r="I227">
        <v>0</v>
      </c>
      <c r="J227">
        <v>0</v>
      </c>
      <c r="K227">
        <f>IF(VLOOKUP(TabVMEnv[[#This Row],[VM]],TabOceanet[],16,FALSE) = "Tarif_VM",1,0)/TabVMEnv[[#This Row],[Mutualisé]]</f>
        <v>0</v>
      </c>
      <c r="L227">
        <f>IF(VLOOKUP(TabVMEnv[[#This Row],[VM]],TabOceanet[],9,FALSE) = "PoweredOn",1,0)</f>
        <v>0</v>
      </c>
      <c r="M227">
        <f>TabVMEnv[[#This Row],[IsVMPoweredOn]]*VLOOKUP(TabVMEnv[[#This Row],[VM]],TabOceanet[],3,FALSE)/TabVMEnv[[#This Row],[Mutualisé]]</f>
        <v>0</v>
      </c>
      <c r="N227">
        <f>VLOOKUP(TabVMEnv[[#This Row],[VM]],TabOceanet[],4,FALSE)/TabVMEnv[[#This Row],[Mutualisé]]</f>
        <v>0</v>
      </c>
      <c r="O227">
        <f>IF(LEFT(VLOOKUP(TabVMEnv[[#This Row],[VM]],TabOceanet[],5,FALSE),3)="win",1,0)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VLOOKUP(TabVMEnv[[#This Row],[EnvProjet]],TabEnvProjet[],4,FALSE)</f>
        <v>Fablab-Firmin</v>
      </c>
      <c r="R227" s="5" t="str">
        <f>VLOOKUP(TabVMEnv[[#This Row],[SYGES]],TabContrat[],2,FALSE)</f>
        <v>Fablab</v>
      </c>
      <c r="S227" s="5" t="str">
        <f>IF(VLOOKUP(TabVMEnv[[#This Row],[VM]],TabOceanet[],1,FALSE) = "","Disparue","")</f>
        <v/>
      </c>
      <c r="T227" s="25">
        <f>VLOOKUP(TabVMEnv[[#This Row],[VM]],TabOceanet[],36,FALSE)/TabVMEnv[[#This Row],[Mutualisé]]</f>
        <v>10</v>
      </c>
      <c r="U227" s="25">
        <f>IF(TabVMEnv[[#This Row],[CostCenter]]="CostCenterDI",0,TabVMEnv[[#This Row],[CoutGlobal]])</f>
        <v>10</v>
      </c>
      <c r="V227" s="25">
        <f>TabVMEnv[[#This Row],[CoutGlobalSansCostCenterDI]]/TabVMEnv[[#Totals],[CoutGlobalSansCostCenterDI]]*(GlobalARepartirSansMS+GlobalARepartirMSOnly+GlobalARepartirInfraReseau)</f>
        <v>20.850210067200635</v>
      </c>
      <c r="W227" s="25">
        <f>TabVMEnv[[#This Row],[CoutGlobalSansCostCenterDI]]+TabVMEnv[[#This Row],[CoutGlobalSupplementaire]]</f>
        <v>30.850210067200635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7" s="5" t="str">
        <f>VLOOKUP(TabVMEnv[[#This Row],[EnvProjet]],TabEnvProjet[],5,FALSE)</f>
        <v>Pierre-Yves Baloche</v>
      </c>
      <c r="Z227" s="5" t="str">
        <f>VLOOKUP(TabVMEnv[[#This Row],[EnvProjet]],TabEnvProjet[],6,FALSE)</f>
        <v>Fablab</v>
      </c>
      <c r="AA227" s="5" t="str">
        <f>VLOOKUP(TabVMEnv[[#This Row],[EnvProjet]],TabEnvProjet[],3,FALSE)</f>
        <v>PROD</v>
      </c>
      <c r="AB227" s="5">
        <f>COUNTIF(TabVMEnv[VM],TabVMEnv[[#This Row],[VM]])</f>
        <v>1</v>
      </c>
    </row>
    <row r="228" spans="1:28" x14ac:dyDescent="0.25">
      <c r="A228" t="s">
        <v>269</v>
      </c>
      <c r="B228" t="s">
        <v>481</v>
      </c>
      <c r="E228" s="13"/>
      <c r="F228">
        <f>IF(VLOOKUP(TabVMEnv[[#This Row],[VM]],TabOceanet[],16,FALSE) = "Tarif_VM",IF(VLOOKUP(TabVMEnv[[#This Row],[VM]],TabOceanet[],2,FALSE)&lt;4,4,VLOOKUP(TabVMEnv[[#This Row],[VM]],TabOceanet[],2,FALSE)),0)</f>
        <v>0</v>
      </c>
      <c r="G228">
        <v>0</v>
      </c>
      <c r="H228">
        <v>0</v>
      </c>
      <c r="I228">
        <v>0</v>
      </c>
      <c r="J228">
        <v>0</v>
      </c>
      <c r="K228">
        <f>IF(VLOOKUP(TabVMEnv[[#This Row],[VM]],TabOceanet[],16,FALSE) = "Tarif_VM",1,0)/TabVMEnv[[#This Row],[Mutualisé]]</f>
        <v>0</v>
      </c>
      <c r="L228">
        <f>IF(VLOOKUP(TabVMEnv[[#This Row],[VM]],TabOceanet[],9,FALSE) = "PoweredOn",1,0)</f>
        <v>0</v>
      </c>
      <c r="M228">
        <f>TabVMEnv[[#This Row],[IsVMPoweredOn]]*VLOOKUP(TabVMEnv[[#This Row],[VM]],TabOceanet[],3,FALSE)/TabVMEnv[[#This Row],[Mutualisé]]</f>
        <v>0</v>
      </c>
      <c r="N228">
        <f>VLOOKUP(TabVMEnv[[#This Row],[VM]],TabOceanet[],4,FALSE)/TabVMEnv[[#This Row],[Mutualisé]]</f>
        <v>0</v>
      </c>
      <c r="O228">
        <f>IF(LEFT(VLOOKUP(TabVMEnv[[#This Row],[VM]],TabOceanet[],5,FALSE),3)="win",1,0)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VLOOKUP(TabVMEnv[[#This Row],[EnvProjet]],TabEnvProjet[],4,FALSE)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25">
        <f>VLOOKUP(TabVMEnv[[#This Row],[VM]],TabOceanet[],36,FALSE)/TabVMEnv[[#This Row],[Mutualisé]]</f>
        <v>10</v>
      </c>
      <c r="U228" s="25">
        <f>IF(TabVMEnv[[#This Row],[CostCenter]]="CostCenterDI",0,TabVMEnv[[#This Row],[CoutGlobal]])</f>
        <v>10</v>
      </c>
      <c r="V228" s="25">
        <f>TabVMEnv[[#This Row],[CoutGlobalSansCostCenterDI]]/TabVMEnv[[#Totals],[CoutGlobalSansCostCenterDI]]*(GlobalARepartirSansMS+GlobalARepartirMSOnly+GlobalARepartirInfraReseau)</f>
        <v>20.850210067200635</v>
      </c>
      <c r="W228" s="25">
        <f>TabVMEnv[[#This Row],[CoutGlobalSansCostCenterDI]]+TabVMEnv[[#This Row],[CoutGlobalSupplementaire]]</f>
        <v>30.850210067200635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VLOOKUP(TabVMEnv[[#This Row],[EnvProjet]],TabEnvProjet[],5,FALSE)</f>
        <v>Pierre-Yves Baloche</v>
      </c>
      <c r="Z228" s="5" t="str">
        <f>VLOOKUP(TabVMEnv[[#This Row],[EnvProjet]],TabEnvProjet[],6,FALSE)</f>
        <v>Fablab</v>
      </c>
      <c r="AA228" s="5" t="str">
        <f>VLOOKUP(TabVMEnv[[#This Row],[EnvProjet]],TabEnvProjet[],3,FALSE)</f>
        <v>PROD</v>
      </c>
      <c r="AB228" s="5">
        <f>COUNTIF(TabVMEnv[VM],TabVMEnv[[#This Row],[VM]])</f>
        <v>1</v>
      </c>
    </row>
    <row r="229" spans="1:28" x14ac:dyDescent="0.25">
      <c r="A229" t="s">
        <v>270</v>
      </c>
      <c r="B229" t="s">
        <v>481</v>
      </c>
      <c r="E229" s="13"/>
      <c r="F229">
        <f>IF(VLOOKUP(TabVMEnv[[#This Row],[VM]],TabOceanet[],16,FALSE) = "Tarif_VM",IF(VLOOKUP(TabVMEnv[[#This Row],[VM]],TabOceanet[],2,FALSE)&lt;4,4,VLOOKUP(TabVMEnv[[#This Row],[VM]],TabOceanet[],2,FALSE)),0)</f>
        <v>0</v>
      </c>
      <c r="G229">
        <v>0</v>
      </c>
      <c r="H229">
        <v>0</v>
      </c>
      <c r="I229">
        <v>0</v>
      </c>
      <c r="J229">
        <v>0</v>
      </c>
      <c r="K229">
        <f>IF(VLOOKUP(TabVMEnv[[#This Row],[VM]],TabOceanet[],16,FALSE) = "Tarif_VM",1,0)/TabVMEnv[[#This Row],[Mutualisé]]</f>
        <v>0</v>
      </c>
      <c r="L229">
        <f>IF(VLOOKUP(TabVMEnv[[#This Row],[VM]],TabOceanet[],9,FALSE) = "PoweredOn",1,0)</f>
        <v>0</v>
      </c>
      <c r="M229">
        <f>TabVMEnv[[#This Row],[IsVMPoweredOn]]*VLOOKUP(TabVMEnv[[#This Row],[VM]],TabOceanet[],3,FALSE)/TabVMEnv[[#This Row],[Mutualisé]]</f>
        <v>0</v>
      </c>
      <c r="N229">
        <f>VLOOKUP(TabVMEnv[[#This Row],[VM]],TabOceanet[],4,FALSE)/TabVMEnv[[#This Row],[Mutualisé]]</f>
        <v>0</v>
      </c>
      <c r="O229">
        <f>IF(LEFT(VLOOKUP(TabVMEnv[[#This Row],[VM]],TabOceanet[],5,FALSE),3)="win",1,0)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VLOOKUP(TabVMEnv[[#This Row],[EnvProjet]],TabEnvProjet[],4,FALSE)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10</v>
      </c>
      <c r="U229" s="25">
        <f>IF(TabVMEnv[[#This Row],[CostCenter]]="CostCenterDI",0,TabVMEnv[[#This Row],[CoutGlobal]])</f>
        <v>10</v>
      </c>
      <c r="V229" s="25">
        <f>TabVMEnv[[#This Row],[CoutGlobalSansCostCenterDI]]/TabVMEnv[[#Totals],[CoutGlobalSansCostCenterDI]]*(GlobalARepartirSansMS+GlobalARepartirMSOnly+GlobalARepartirInfraReseau)</f>
        <v>20.850210067200635</v>
      </c>
      <c r="W229" s="25">
        <f>TabVMEnv[[#This Row],[CoutGlobalSansCostCenterDI]]+TabVMEnv[[#This Row],[CoutGlobalSupplementaire]]</f>
        <v>30.850210067200635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VLOOKUP(TabVMEnv[[#This Row],[EnvProjet]],TabEnvProjet[],5,FALSE)</f>
        <v>Pierre-Yves Baloche</v>
      </c>
      <c r="Z229" s="5" t="str">
        <f>VLOOKUP(TabVMEnv[[#This Row],[EnvProjet]],TabEnvProjet[],6,FALSE)</f>
        <v>Fablab</v>
      </c>
      <c r="AA229" s="5" t="str">
        <f>VLOOKUP(TabVMEnv[[#This Row],[EnvProjet]],TabEnvProjet[],3,FALSE)</f>
        <v>PROD</v>
      </c>
      <c r="AB229" s="5">
        <f>COUNTIF(TabVMEnv[VM],TabVMEnv[[#This Row],[VM]])</f>
        <v>1</v>
      </c>
    </row>
    <row r="230" spans="1:28" x14ac:dyDescent="0.25">
      <c r="A230" t="s">
        <v>271</v>
      </c>
      <c r="B230" t="s">
        <v>481</v>
      </c>
      <c r="E230" s="13"/>
      <c r="F230">
        <f>IF(VLOOKUP(TabVMEnv[[#This Row],[VM]],TabOceanet[],16,FALSE) = "Tarif_VM",IF(VLOOKUP(TabVMEnv[[#This Row],[VM]],TabOceanet[],2,FALSE)&lt;4,4,VLOOKUP(TabVMEnv[[#This Row],[VM]],TabOceanet[],2,FALSE)),0)</f>
        <v>0</v>
      </c>
      <c r="G230">
        <v>0</v>
      </c>
      <c r="H230">
        <v>0</v>
      </c>
      <c r="I230">
        <v>0</v>
      </c>
      <c r="J230">
        <v>0</v>
      </c>
      <c r="K230">
        <f>IF(VLOOKUP(TabVMEnv[[#This Row],[VM]],TabOceanet[],16,FALSE) = "Tarif_VM",1,0)/TabVMEnv[[#This Row],[Mutualisé]]</f>
        <v>0</v>
      </c>
      <c r="L230">
        <f>IF(VLOOKUP(TabVMEnv[[#This Row],[VM]],TabOceanet[],9,FALSE) = "PoweredOn",1,0)</f>
        <v>0</v>
      </c>
      <c r="M230">
        <f>TabVMEnv[[#This Row],[IsVMPoweredOn]]*VLOOKUP(TabVMEnv[[#This Row],[VM]],TabOceanet[],3,FALSE)/TabVMEnv[[#This Row],[Mutualisé]]</f>
        <v>0</v>
      </c>
      <c r="N230">
        <f>VLOOKUP(TabVMEnv[[#This Row],[VM]],TabOceanet[],4,FALSE)/TabVMEnv[[#This Row],[Mutualisé]]</f>
        <v>0</v>
      </c>
      <c r="O230">
        <f>IF(LEFT(VLOOKUP(TabVMEnv[[#This Row],[VM]],TabOceanet[],5,FALSE),3)="win",1,0)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VLOOKUP(TabVMEnv[[#This Row],[EnvProjet]],TabEnvProjet[],4,FALSE)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10</v>
      </c>
      <c r="U230" s="25">
        <f>IF(TabVMEnv[[#This Row],[CostCenter]]="CostCenterDI",0,TabVMEnv[[#This Row],[CoutGlobal]])</f>
        <v>10</v>
      </c>
      <c r="V230" s="25">
        <f>TabVMEnv[[#This Row],[CoutGlobalSansCostCenterDI]]/TabVMEnv[[#Totals],[CoutGlobalSansCostCenterDI]]*(GlobalARepartirSansMS+GlobalARepartirMSOnly+GlobalARepartirInfraReseau)</f>
        <v>20.850210067200635</v>
      </c>
      <c r="W230" s="25">
        <f>TabVMEnv[[#This Row],[CoutGlobalSansCostCenterDI]]+TabVMEnv[[#This Row],[CoutGlobalSupplementaire]]</f>
        <v>30.850210067200635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VLOOKUP(TabVMEnv[[#This Row],[EnvProjet]],TabEnvProjet[],5,FALSE)</f>
        <v>Pierre-Yves Baloche</v>
      </c>
      <c r="Z230" s="5" t="str">
        <f>VLOOKUP(TabVMEnv[[#This Row],[EnvProjet]],TabEnvProjet[],6,FALSE)</f>
        <v>Fablab</v>
      </c>
      <c r="AA230" s="5" t="str">
        <f>VLOOKUP(TabVMEnv[[#This Row],[EnvProjet]],TabEnvProjet[],3,FALSE)</f>
        <v>PROD</v>
      </c>
      <c r="AB230" s="5">
        <f>COUNTIF(TabVMEnv[VM],TabVMEnv[[#This Row],[VM]])</f>
        <v>1</v>
      </c>
    </row>
    <row r="231" spans="1:28" x14ac:dyDescent="0.25">
      <c r="A231" t="s">
        <v>272</v>
      </c>
      <c r="B231" t="s">
        <v>481</v>
      </c>
      <c r="E231" s="13"/>
      <c r="F231">
        <f>IF(VLOOKUP(TabVMEnv[[#This Row],[VM]],TabOceanet[],16,FALSE) = "Tarif_VM",IF(VLOOKUP(TabVMEnv[[#This Row],[VM]],TabOceanet[],2,FALSE)&lt;4,4,VLOOKUP(TabVMEnv[[#This Row],[VM]],TabOceanet[],2,FALSE)),0)</f>
        <v>0</v>
      </c>
      <c r="G231">
        <v>0</v>
      </c>
      <c r="H231">
        <v>0</v>
      </c>
      <c r="I231">
        <v>0</v>
      </c>
      <c r="J231">
        <v>0</v>
      </c>
      <c r="K231">
        <f>IF(VLOOKUP(TabVMEnv[[#This Row],[VM]],TabOceanet[],16,FALSE) = "Tarif_VM",1,0)/TabVMEnv[[#This Row],[Mutualisé]]</f>
        <v>0</v>
      </c>
      <c r="L231">
        <f>IF(VLOOKUP(TabVMEnv[[#This Row],[VM]],TabOceanet[],9,FALSE) = "PoweredOn",1,0)</f>
        <v>0</v>
      </c>
      <c r="M231">
        <f>TabVMEnv[[#This Row],[IsVMPoweredOn]]*VLOOKUP(TabVMEnv[[#This Row],[VM]],TabOceanet[],3,FALSE)/TabVMEnv[[#This Row],[Mutualisé]]</f>
        <v>0</v>
      </c>
      <c r="N231">
        <f>VLOOKUP(TabVMEnv[[#This Row],[VM]],TabOceanet[],4,FALSE)/TabVMEnv[[#This Row],[Mutualisé]]</f>
        <v>0</v>
      </c>
      <c r="O231">
        <f>IF(LEFT(VLOOKUP(TabVMEnv[[#This Row],[VM]],TabOceanet[],5,FALSE),3)="win",1,0)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VLOOKUP(TabVMEnv[[#This Row],[EnvProjet]],TabEnvProjet[],4,FALSE)</f>
        <v>Fablab-Firmin</v>
      </c>
      <c r="R231" s="5" t="str">
        <f>VLOOKUP(TabVMEnv[[#This Row],[SYGES]],TabContrat[],2,FALSE)</f>
        <v>Fablab</v>
      </c>
      <c r="S231" s="5" t="str">
        <f>IF(VLOOKUP(TabVMEnv[[#This Row],[VM]],TabOceanet[],1,FALSE) = "","Disparue","")</f>
        <v/>
      </c>
      <c r="T231" s="25">
        <f>VLOOKUP(TabVMEnv[[#This Row],[VM]],TabOceanet[],36,FALSE)/TabVMEnv[[#This Row],[Mutualisé]]</f>
        <v>10</v>
      </c>
      <c r="U231" s="25">
        <f>IF(TabVMEnv[[#This Row],[CostCenter]]="CostCenterDI",0,TabVMEnv[[#This Row],[CoutGlobal]])</f>
        <v>10</v>
      </c>
      <c r="V231" s="25">
        <f>TabVMEnv[[#This Row],[CoutGlobalSansCostCenterDI]]/TabVMEnv[[#Totals],[CoutGlobalSansCostCenterDI]]*(GlobalARepartirSansMS+GlobalARepartirMSOnly+GlobalARepartirInfraReseau)</f>
        <v>20.850210067200635</v>
      </c>
      <c r="W231" s="25">
        <f>TabVMEnv[[#This Row],[CoutGlobalSansCostCenterDI]]+TabVMEnv[[#This Row],[CoutGlobalSupplementaire]]</f>
        <v>30.850210067200635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1" s="5" t="str">
        <f>VLOOKUP(TabVMEnv[[#This Row],[EnvProjet]],TabEnvProjet[],5,FALSE)</f>
        <v>Pierre-Yves Baloche</v>
      </c>
      <c r="Z231" s="5" t="str">
        <f>VLOOKUP(TabVMEnv[[#This Row],[EnvProjet]],TabEnvProjet[],6,FALSE)</f>
        <v>Fablab</v>
      </c>
      <c r="AA231" s="5" t="str">
        <f>VLOOKUP(TabVMEnv[[#This Row],[EnvProjet]],TabEnvProjet[],3,FALSE)</f>
        <v>PROD</v>
      </c>
      <c r="AB231" s="5">
        <f>COUNTIF(TabVMEnv[VM],TabVMEnv[[#This Row],[VM]])</f>
        <v>1</v>
      </c>
    </row>
    <row r="232" spans="1:28" x14ac:dyDescent="0.25">
      <c r="A232" t="s">
        <v>273</v>
      </c>
      <c r="B232" t="s">
        <v>481</v>
      </c>
      <c r="E232" s="13"/>
      <c r="F232">
        <f>IF(VLOOKUP(TabVMEnv[[#This Row],[VM]],TabOceanet[],16,FALSE) = "Tarif_VM",IF(VLOOKUP(TabVMEnv[[#This Row],[VM]],TabOceanet[],2,FALSE)&lt;4,4,VLOOKUP(TabVMEnv[[#This Row],[VM]],TabOceanet[],2,FALSE)),0)</f>
        <v>0</v>
      </c>
      <c r="G232">
        <v>0</v>
      </c>
      <c r="H232">
        <v>0</v>
      </c>
      <c r="I232">
        <v>0</v>
      </c>
      <c r="J232">
        <v>0</v>
      </c>
      <c r="K232">
        <f>IF(VLOOKUP(TabVMEnv[[#This Row],[VM]],TabOceanet[],16,FALSE) = "Tarif_VM",1,0)/TabVMEnv[[#This Row],[Mutualisé]]</f>
        <v>0</v>
      </c>
      <c r="L232">
        <f>IF(VLOOKUP(TabVMEnv[[#This Row],[VM]],TabOceanet[],9,FALSE) = "PoweredOn",1,0)</f>
        <v>0</v>
      </c>
      <c r="M232">
        <f>TabVMEnv[[#This Row],[IsVMPoweredOn]]*VLOOKUP(TabVMEnv[[#This Row],[VM]],TabOceanet[],3,FALSE)/TabVMEnv[[#This Row],[Mutualisé]]</f>
        <v>0</v>
      </c>
      <c r="N232">
        <f>VLOOKUP(TabVMEnv[[#This Row],[VM]],TabOceanet[],4,FALSE)/TabVMEnv[[#This Row],[Mutualisé]]</f>
        <v>0</v>
      </c>
      <c r="O232">
        <f>IF(LEFT(VLOOKUP(TabVMEnv[[#This Row],[VM]],TabOceanet[],5,FALSE),3)="win",1,0)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VLOOKUP(TabVMEnv[[#This Row],[EnvProjet]],TabEnvProjet[],4,FALSE)</f>
        <v>Fablab-Firmin</v>
      </c>
      <c r="R232" s="5" t="str">
        <f>VLOOKUP(TabVMEnv[[#This Row],[SYGES]],TabContrat[],2,FALSE)</f>
        <v>Fablab</v>
      </c>
      <c r="S232" s="5" t="str">
        <f>IF(VLOOKUP(TabVMEnv[[#This Row],[VM]],TabOceanet[],1,FALSE) = "","Disparue","")</f>
        <v/>
      </c>
      <c r="T232" s="25">
        <f>VLOOKUP(TabVMEnv[[#This Row],[VM]],TabOceanet[],36,FALSE)/TabVMEnv[[#This Row],[Mutualisé]]</f>
        <v>10</v>
      </c>
      <c r="U232" s="25">
        <f>IF(TabVMEnv[[#This Row],[CostCenter]]="CostCenterDI",0,TabVMEnv[[#This Row],[CoutGlobal]])</f>
        <v>10</v>
      </c>
      <c r="V232" s="25">
        <f>TabVMEnv[[#This Row],[CoutGlobalSansCostCenterDI]]/TabVMEnv[[#Totals],[CoutGlobalSansCostCenterDI]]*(GlobalARepartirSansMS+GlobalARepartirMSOnly+GlobalARepartirInfraReseau)</f>
        <v>20.850210067200635</v>
      </c>
      <c r="W232" s="25">
        <f>TabVMEnv[[#This Row],[CoutGlobalSansCostCenterDI]]+TabVMEnv[[#This Row],[CoutGlobalSupplementaire]]</f>
        <v>30.850210067200635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2" s="5" t="str">
        <f>VLOOKUP(TabVMEnv[[#This Row],[EnvProjet]],TabEnvProjet[],5,FALSE)</f>
        <v>Pierre-Yves Baloche</v>
      </c>
      <c r="Z232" s="5" t="str">
        <f>VLOOKUP(TabVMEnv[[#This Row],[EnvProjet]],TabEnvProjet[],6,FALSE)</f>
        <v>Fablab</v>
      </c>
      <c r="AA232" s="5" t="str">
        <f>VLOOKUP(TabVMEnv[[#This Row],[EnvProjet]],TabEnvProjet[],3,FALSE)</f>
        <v>PROD</v>
      </c>
      <c r="AB232" s="5">
        <f>COUNTIF(TabVMEnv[VM],TabVMEnv[[#This Row],[VM]])</f>
        <v>1</v>
      </c>
    </row>
    <row r="233" spans="1:28" x14ac:dyDescent="0.25">
      <c r="A233" t="s">
        <v>274</v>
      </c>
      <c r="B233" t="s">
        <v>481</v>
      </c>
      <c r="E233" s="13"/>
      <c r="F233">
        <f>IF(VLOOKUP(TabVMEnv[[#This Row],[VM]],TabOceanet[],16,FALSE) = "Tarif_VM",IF(VLOOKUP(TabVMEnv[[#This Row],[VM]],TabOceanet[],2,FALSE)&lt;4,4,VLOOKUP(TabVMEnv[[#This Row],[VM]],TabOceanet[],2,FALSE)),0)</f>
        <v>0</v>
      </c>
      <c r="G233">
        <v>0</v>
      </c>
      <c r="H233">
        <v>0</v>
      </c>
      <c r="I233">
        <v>0</v>
      </c>
      <c r="J233">
        <v>0</v>
      </c>
      <c r="K233">
        <f>IF(VLOOKUP(TabVMEnv[[#This Row],[VM]],TabOceanet[],16,FALSE) = "Tarif_VM",1,0)/TabVMEnv[[#This Row],[Mutualisé]]</f>
        <v>0</v>
      </c>
      <c r="L233">
        <f>IF(VLOOKUP(TabVMEnv[[#This Row],[VM]],TabOceanet[],9,FALSE) = "PoweredOn",1,0)</f>
        <v>0</v>
      </c>
      <c r="M233">
        <f>TabVMEnv[[#This Row],[IsVMPoweredOn]]*VLOOKUP(TabVMEnv[[#This Row],[VM]],TabOceanet[],3,FALSE)/TabVMEnv[[#This Row],[Mutualisé]]</f>
        <v>0</v>
      </c>
      <c r="N233">
        <f>VLOOKUP(TabVMEnv[[#This Row],[VM]],TabOceanet[],4,FALSE)/TabVMEnv[[#This Row],[Mutualisé]]</f>
        <v>0</v>
      </c>
      <c r="O233">
        <f>IF(LEFT(VLOOKUP(TabVMEnv[[#This Row],[VM]],TabOceanet[],5,FALSE),3)="win",1,0)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VLOOKUP(TabVMEnv[[#This Row],[EnvProjet]],TabEnvProjet[],4,FALSE)</f>
        <v>Fablab-Firmin</v>
      </c>
      <c r="R233" s="5" t="str">
        <f>VLOOKUP(TabVMEnv[[#This Row],[SYGES]],TabContrat[],2,FALSE)</f>
        <v>Fablab</v>
      </c>
      <c r="S233" s="5" t="str">
        <f>IF(VLOOKUP(TabVMEnv[[#This Row],[VM]],TabOceanet[],1,FALSE) = "","Disparue","")</f>
        <v/>
      </c>
      <c r="T233" s="25">
        <f>VLOOKUP(TabVMEnv[[#This Row],[VM]],TabOceanet[],36,FALSE)/TabVMEnv[[#This Row],[Mutualisé]]</f>
        <v>10</v>
      </c>
      <c r="U233" s="25">
        <f>IF(TabVMEnv[[#This Row],[CostCenter]]="CostCenterDI",0,TabVMEnv[[#This Row],[CoutGlobal]])</f>
        <v>10</v>
      </c>
      <c r="V233" s="25">
        <f>TabVMEnv[[#This Row],[CoutGlobalSansCostCenterDI]]/TabVMEnv[[#Totals],[CoutGlobalSansCostCenterDI]]*(GlobalARepartirSansMS+GlobalARepartirMSOnly+GlobalARepartirInfraReseau)</f>
        <v>20.850210067200635</v>
      </c>
      <c r="W233" s="25">
        <f>TabVMEnv[[#This Row],[CoutGlobalSansCostCenterDI]]+TabVMEnv[[#This Row],[CoutGlobalSupplementaire]]</f>
        <v>30.850210067200635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3" s="5" t="str">
        <f>VLOOKUP(TabVMEnv[[#This Row],[EnvProjet]],TabEnvProjet[],5,FALSE)</f>
        <v>Pierre-Yves Baloche</v>
      </c>
      <c r="Z233" s="5" t="str">
        <f>VLOOKUP(TabVMEnv[[#This Row],[EnvProjet]],TabEnvProjet[],6,FALSE)</f>
        <v>Fablab</v>
      </c>
      <c r="AA233" s="5" t="str">
        <f>VLOOKUP(TabVMEnv[[#This Row],[EnvProjet]],TabEnvProjet[],3,FALSE)</f>
        <v>PROD</v>
      </c>
      <c r="AB233" s="5">
        <f>COUNTIF(TabVMEnv[VM],TabVMEnv[[#This Row],[VM]])</f>
        <v>1</v>
      </c>
    </row>
    <row r="234" spans="1:28" x14ac:dyDescent="0.25">
      <c r="A234" t="s">
        <v>275</v>
      </c>
      <c r="B234" t="s">
        <v>481</v>
      </c>
      <c r="E234" s="13"/>
      <c r="F234">
        <f>IF(VLOOKUP(TabVMEnv[[#This Row],[VM]],TabOceanet[],16,FALSE) = "Tarif_VM",IF(VLOOKUP(TabVMEnv[[#This Row],[VM]],TabOceanet[],2,FALSE)&lt;4,4,VLOOKUP(TabVMEnv[[#This Row],[VM]],TabOceanet[],2,FALSE)),0)</f>
        <v>0</v>
      </c>
      <c r="G234">
        <v>0</v>
      </c>
      <c r="H234">
        <v>0</v>
      </c>
      <c r="I234">
        <v>0</v>
      </c>
      <c r="J234">
        <v>0</v>
      </c>
      <c r="K234">
        <f>IF(VLOOKUP(TabVMEnv[[#This Row],[VM]],TabOceanet[],16,FALSE) = "Tarif_VM",1,0)/TabVMEnv[[#This Row],[Mutualisé]]</f>
        <v>0</v>
      </c>
      <c r="L234">
        <f>IF(VLOOKUP(TabVMEnv[[#This Row],[VM]],TabOceanet[],9,FALSE) = "PoweredOn",1,0)</f>
        <v>0</v>
      </c>
      <c r="M234">
        <f>TabVMEnv[[#This Row],[IsVMPoweredOn]]*VLOOKUP(TabVMEnv[[#This Row],[VM]],TabOceanet[],3,FALSE)/TabVMEnv[[#This Row],[Mutualisé]]</f>
        <v>0</v>
      </c>
      <c r="N234">
        <f>VLOOKUP(TabVMEnv[[#This Row],[VM]],TabOceanet[],4,FALSE)/TabVMEnv[[#This Row],[Mutualisé]]</f>
        <v>0</v>
      </c>
      <c r="O234">
        <f>IF(LEFT(VLOOKUP(TabVMEnv[[#This Row],[VM]],TabOceanet[],5,FALSE),3)="win",1,0)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VLOOKUP(TabVMEnv[[#This Row],[EnvProjet]],TabEnvProjet[],4,FALSE)</f>
        <v>Fablab-Firmin</v>
      </c>
      <c r="R234" s="5" t="str">
        <f>VLOOKUP(TabVMEnv[[#This Row],[SYGES]],TabContrat[],2,FALSE)</f>
        <v>Fablab</v>
      </c>
      <c r="S234" s="5" t="str">
        <f>IF(VLOOKUP(TabVMEnv[[#This Row],[VM]],TabOceanet[],1,FALSE) = "","Disparue","")</f>
        <v/>
      </c>
      <c r="T234" s="25">
        <f>VLOOKUP(TabVMEnv[[#This Row],[VM]],TabOceanet[],36,FALSE)/TabVMEnv[[#This Row],[Mutualisé]]</f>
        <v>10</v>
      </c>
      <c r="U234" s="25">
        <f>IF(TabVMEnv[[#This Row],[CostCenter]]="CostCenterDI",0,TabVMEnv[[#This Row],[CoutGlobal]])</f>
        <v>10</v>
      </c>
      <c r="V234" s="25">
        <f>TabVMEnv[[#This Row],[CoutGlobalSansCostCenterDI]]/TabVMEnv[[#Totals],[CoutGlobalSansCostCenterDI]]*(GlobalARepartirSansMS+GlobalARepartirMSOnly+GlobalARepartirInfraReseau)</f>
        <v>20.850210067200635</v>
      </c>
      <c r="W234" s="25">
        <f>TabVMEnv[[#This Row],[CoutGlobalSansCostCenterDI]]+TabVMEnv[[#This Row],[CoutGlobalSupplementaire]]</f>
        <v>30.850210067200635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4" s="5" t="str">
        <f>VLOOKUP(TabVMEnv[[#This Row],[EnvProjet]],TabEnvProjet[],5,FALSE)</f>
        <v>Pierre-Yves Baloche</v>
      </c>
      <c r="Z234" s="5" t="str">
        <f>VLOOKUP(TabVMEnv[[#This Row],[EnvProjet]],TabEnvProjet[],6,FALSE)</f>
        <v>Fablab</v>
      </c>
      <c r="AA234" s="5" t="str">
        <f>VLOOKUP(TabVMEnv[[#This Row],[EnvProjet]],TabEnvProjet[],3,FALSE)</f>
        <v>PROD</v>
      </c>
      <c r="AB234" s="5">
        <f>COUNTIF(TabVMEnv[VM],TabVMEnv[[#This Row],[VM]])</f>
        <v>1</v>
      </c>
    </row>
    <row r="235" spans="1:28" x14ac:dyDescent="0.25">
      <c r="A235" t="s">
        <v>276</v>
      </c>
      <c r="B235" t="s">
        <v>481</v>
      </c>
      <c r="E235" s="13"/>
      <c r="F235">
        <f>IF(VLOOKUP(TabVMEnv[[#This Row],[VM]],TabOceanet[],16,FALSE) = "Tarif_VM",IF(VLOOKUP(TabVMEnv[[#This Row],[VM]],TabOceanet[],2,FALSE)&lt;4,4,VLOOKUP(TabVMEnv[[#This Row],[VM]],TabOceanet[],2,FALSE)),0)</f>
        <v>0</v>
      </c>
      <c r="G235">
        <v>0</v>
      </c>
      <c r="H235">
        <v>0</v>
      </c>
      <c r="I235">
        <v>0</v>
      </c>
      <c r="J235">
        <v>0</v>
      </c>
      <c r="K235">
        <f>IF(VLOOKUP(TabVMEnv[[#This Row],[VM]],TabOceanet[],16,FALSE) = "Tarif_VM",1,0)/TabVMEnv[[#This Row],[Mutualisé]]</f>
        <v>0</v>
      </c>
      <c r="L235">
        <f>IF(VLOOKUP(TabVMEnv[[#This Row],[VM]],TabOceanet[],9,FALSE) = "PoweredOn",1,0)</f>
        <v>0</v>
      </c>
      <c r="M235">
        <f>TabVMEnv[[#This Row],[IsVMPoweredOn]]*VLOOKUP(TabVMEnv[[#This Row],[VM]],TabOceanet[],3,FALSE)/TabVMEnv[[#This Row],[Mutualisé]]</f>
        <v>0</v>
      </c>
      <c r="N235">
        <f>VLOOKUP(TabVMEnv[[#This Row],[VM]],TabOceanet[],4,FALSE)/TabVMEnv[[#This Row],[Mutualisé]]</f>
        <v>0</v>
      </c>
      <c r="O235">
        <f>IF(LEFT(VLOOKUP(TabVMEnv[[#This Row],[VM]],TabOceanet[],5,FALSE),3)="win",1,0)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VLOOKUP(TabVMEnv[[#This Row],[EnvProjet]],TabEnvProjet[],4,FALSE)</f>
        <v>Fablab-Firmin</v>
      </c>
      <c r="R235" s="5" t="str">
        <f>VLOOKUP(TabVMEnv[[#This Row],[SYGES]],TabContrat[],2,FALSE)</f>
        <v>Fablab</v>
      </c>
      <c r="S235" s="5" t="str">
        <f>IF(VLOOKUP(TabVMEnv[[#This Row],[VM]],TabOceanet[],1,FALSE) = "","Disparue","")</f>
        <v/>
      </c>
      <c r="T235" s="25">
        <f>VLOOKUP(TabVMEnv[[#This Row],[VM]],TabOceanet[],36,FALSE)/TabVMEnv[[#This Row],[Mutualisé]]</f>
        <v>10</v>
      </c>
      <c r="U235" s="25">
        <f>IF(TabVMEnv[[#This Row],[CostCenter]]="CostCenterDI",0,TabVMEnv[[#This Row],[CoutGlobal]])</f>
        <v>10</v>
      </c>
      <c r="V235" s="25">
        <f>TabVMEnv[[#This Row],[CoutGlobalSansCostCenterDI]]/TabVMEnv[[#Totals],[CoutGlobalSansCostCenterDI]]*(GlobalARepartirSansMS+GlobalARepartirMSOnly+GlobalARepartirInfraReseau)</f>
        <v>20.850210067200635</v>
      </c>
      <c r="W235" s="25">
        <f>TabVMEnv[[#This Row],[CoutGlobalSansCostCenterDI]]+TabVMEnv[[#This Row],[CoutGlobalSupplementaire]]</f>
        <v>30.850210067200635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5" s="5" t="str">
        <f>VLOOKUP(TabVMEnv[[#This Row],[EnvProjet]],TabEnvProjet[],5,FALSE)</f>
        <v>Pierre-Yves Baloche</v>
      </c>
      <c r="Z235" s="5" t="str">
        <f>VLOOKUP(TabVMEnv[[#This Row],[EnvProjet]],TabEnvProjet[],6,FALSE)</f>
        <v>Fablab</v>
      </c>
      <c r="AA235" s="5" t="str">
        <f>VLOOKUP(TabVMEnv[[#This Row],[EnvProjet]],TabEnvProjet[],3,FALSE)</f>
        <v>PROD</v>
      </c>
      <c r="AB235" s="5">
        <f>COUNTIF(TabVMEnv[VM],TabVMEnv[[#This Row],[VM]])</f>
        <v>1</v>
      </c>
    </row>
    <row r="236" spans="1:28" x14ac:dyDescent="0.25">
      <c r="A236" t="s">
        <v>277</v>
      </c>
      <c r="B236" t="s">
        <v>481</v>
      </c>
      <c r="E236" s="13"/>
      <c r="F236">
        <f>IF(VLOOKUP(TabVMEnv[[#This Row],[VM]],TabOceanet[],16,FALSE) = "Tarif_VM",IF(VLOOKUP(TabVMEnv[[#This Row],[VM]],TabOceanet[],2,FALSE)&lt;4,4,VLOOKUP(TabVMEnv[[#This Row],[VM]],TabOceanet[],2,FALSE)),0)</f>
        <v>0</v>
      </c>
      <c r="G236">
        <v>0</v>
      </c>
      <c r="H236">
        <v>0</v>
      </c>
      <c r="I236">
        <v>0</v>
      </c>
      <c r="J236">
        <v>0</v>
      </c>
      <c r="K236">
        <f>IF(VLOOKUP(TabVMEnv[[#This Row],[VM]],TabOceanet[],16,FALSE) = "Tarif_VM",1,0)/TabVMEnv[[#This Row],[Mutualisé]]</f>
        <v>0</v>
      </c>
      <c r="L236">
        <f>IF(VLOOKUP(TabVMEnv[[#This Row],[VM]],TabOceanet[],9,FALSE) = "PoweredOn",1,0)</f>
        <v>0</v>
      </c>
      <c r="M236">
        <f>TabVMEnv[[#This Row],[IsVMPoweredOn]]*VLOOKUP(TabVMEnv[[#This Row],[VM]],TabOceanet[],3,FALSE)/TabVMEnv[[#This Row],[Mutualisé]]</f>
        <v>0</v>
      </c>
      <c r="N236">
        <f>VLOOKUP(TabVMEnv[[#This Row],[VM]],TabOceanet[],4,FALSE)/TabVMEnv[[#This Row],[Mutualisé]]</f>
        <v>0</v>
      </c>
      <c r="O236">
        <f>IF(LEFT(VLOOKUP(TabVMEnv[[#This Row],[VM]],TabOceanet[],5,FALSE),3)="win",1,0)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VLOOKUP(TabVMEnv[[#This Row],[EnvProjet]],TabEnvProjet[],4,FALSE)</f>
        <v>Fablab-Firmin</v>
      </c>
      <c r="R236" s="5" t="str">
        <f>VLOOKUP(TabVMEnv[[#This Row],[SYGES]],TabContrat[],2,FALSE)</f>
        <v>Fablab</v>
      </c>
      <c r="S236" s="5" t="str">
        <f>IF(VLOOKUP(TabVMEnv[[#This Row],[VM]],TabOceanet[],1,FALSE) = "","Disparue","")</f>
        <v/>
      </c>
      <c r="T236" s="25">
        <f>VLOOKUP(TabVMEnv[[#This Row],[VM]],TabOceanet[],36,FALSE)/TabVMEnv[[#This Row],[Mutualisé]]</f>
        <v>10</v>
      </c>
      <c r="U236" s="25">
        <f>IF(TabVMEnv[[#This Row],[CostCenter]]="CostCenterDI",0,TabVMEnv[[#This Row],[CoutGlobal]])</f>
        <v>10</v>
      </c>
      <c r="V236" s="25">
        <f>TabVMEnv[[#This Row],[CoutGlobalSansCostCenterDI]]/TabVMEnv[[#Totals],[CoutGlobalSansCostCenterDI]]*(GlobalARepartirSansMS+GlobalARepartirMSOnly+GlobalARepartirInfraReseau)</f>
        <v>20.850210067200635</v>
      </c>
      <c r="W236" s="25">
        <f>TabVMEnv[[#This Row],[CoutGlobalSansCostCenterDI]]+TabVMEnv[[#This Row],[CoutGlobalSupplementaire]]</f>
        <v>30.850210067200635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6" s="5" t="str">
        <f>VLOOKUP(TabVMEnv[[#This Row],[EnvProjet]],TabEnvProjet[],5,FALSE)</f>
        <v>Pierre-Yves Baloche</v>
      </c>
      <c r="Z236" s="5" t="str">
        <f>VLOOKUP(TabVMEnv[[#This Row],[EnvProjet]],TabEnvProjet[],6,FALSE)</f>
        <v>Fablab</v>
      </c>
      <c r="AA236" s="5" t="str">
        <f>VLOOKUP(TabVMEnv[[#This Row],[EnvProjet]],TabEnvProjet[],3,FALSE)</f>
        <v>PROD</v>
      </c>
      <c r="AB236" s="5">
        <f>COUNTIF(TabVMEnv[VM],TabVMEnv[[#This Row],[VM]])</f>
        <v>1</v>
      </c>
    </row>
    <row r="237" spans="1:28" x14ac:dyDescent="0.25">
      <c r="A237" t="s">
        <v>278</v>
      </c>
      <c r="B237" t="s">
        <v>481</v>
      </c>
      <c r="E237" s="13"/>
      <c r="F237">
        <f>IF(VLOOKUP(TabVMEnv[[#This Row],[VM]],TabOceanet[],16,FALSE) = "Tarif_VM",IF(VLOOKUP(TabVMEnv[[#This Row],[VM]],TabOceanet[],2,FALSE)&lt;4,4,VLOOKUP(TabVMEnv[[#This Row],[VM]],TabOceanet[],2,FALSE)),0)</f>
        <v>0</v>
      </c>
      <c r="G237">
        <v>0</v>
      </c>
      <c r="H237">
        <v>0</v>
      </c>
      <c r="I237">
        <v>0</v>
      </c>
      <c r="J237">
        <v>0</v>
      </c>
      <c r="K237">
        <f>IF(VLOOKUP(TabVMEnv[[#This Row],[VM]],TabOceanet[],16,FALSE) = "Tarif_VM",1,0)/TabVMEnv[[#This Row],[Mutualisé]]</f>
        <v>0</v>
      </c>
      <c r="L237">
        <f>IF(VLOOKUP(TabVMEnv[[#This Row],[VM]],TabOceanet[],9,FALSE) = "PoweredOn",1,0)</f>
        <v>0</v>
      </c>
      <c r="M237">
        <f>TabVMEnv[[#This Row],[IsVMPoweredOn]]*VLOOKUP(TabVMEnv[[#This Row],[VM]],TabOceanet[],3,FALSE)/TabVMEnv[[#This Row],[Mutualisé]]</f>
        <v>0</v>
      </c>
      <c r="N237">
        <f>VLOOKUP(TabVMEnv[[#This Row],[VM]],TabOceanet[],4,FALSE)/TabVMEnv[[#This Row],[Mutualisé]]</f>
        <v>0</v>
      </c>
      <c r="O237">
        <f>IF(LEFT(VLOOKUP(TabVMEnv[[#This Row],[VM]],TabOceanet[],5,FALSE),3)="win",1,0)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VLOOKUP(TabVMEnv[[#This Row],[EnvProjet]],TabEnvProjet[],4,FALSE)</f>
        <v>Fablab-Firmin</v>
      </c>
      <c r="R237" s="5" t="str">
        <f>VLOOKUP(TabVMEnv[[#This Row],[SYGES]],TabContrat[],2,FALSE)</f>
        <v>Fablab</v>
      </c>
      <c r="S237" s="5" t="str">
        <f>IF(VLOOKUP(TabVMEnv[[#This Row],[VM]],TabOceanet[],1,FALSE) = "","Disparue","")</f>
        <v/>
      </c>
      <c r="T237" s="25">
        <f>VLOOKUP(TabVMEnv[[#This Row],[VM]],TabOceanet[],36,FALSE)/TabVMEnv[[#This Row],[Mutualisé]]</f>
        <v>10</v>
      </c>
      <c r="U237" s="25">
        <f>IF(TabVMEnv[[#This Row],[CostCenter]]="CostCenterDI",0,TabVMEnv[[#This Row],[CoutGlobal]])</f>
        <v>10</v>
      </c>
      <c r="V237" s="25">
        <f>TabVMEnv[[#This Row],[CoutGlobalSansCostCenterDI]]/TabVMEnv[[#Totals],[CoutGlobalSansCostCenterDI]]*(GlobalARepartirSansMS+GlobalARepartirMSOnly+GlobalARepartirInfraReseau)</f>
        <v>20.850210067200635</v>
      </c>
      <c r="W237" s="25">
        <f>TabVMEnv[[#This Row],[CoutGlobalSansCostCenterDI]]+TabVMEnv[[#This Row],[CoutGlobalSupplementaire]]</f>
        <v>30.850210067200635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7" s="5" t="str">
        <f>VLOOKUP(TabVMEnv[[#This Row],[EnvProjet]],TabEnvProjet[],5,FALSE)</f>
        <v>Pierre-Yves Baloche</v>
      </c>
      <c r="Z237" s="5" t="str">
        <f>VLOOKUP(TabVMEnv[[#This Row],[EnvProjet]],TabEnvProjet[],6,FALSE)</f>
        <v>Fablab</v>
      </c>
      <c r="AA237" s="5" t="str">
        <f>VLOOKUP(TabVMEnv[[#This Row],[EnvProjet]],TabEnvProjet[],3,FALSE)</f>
        <v>PROD</v>
      </c>
      <c r="AB237" s="5">
        <f>COUNTIF(TabVMEnv[VM],TabVMEnv[[#This Row],[VM]])</f>
        <v>1</v>
      </c>
    </row>
    <row r="238" spans="1:28" x14ac:dyDescent="0.25">
      <c r="A238" t="s">
        <v>279</v>
      </c>
      <c r="B238" t="s">
        <v>481</v>
      </c>
      <c r="E238" s="13"/>
      <c r="F238">
        <f>IF(VLOOKUP(TabVMEnv[[#This Row],[VM]],TabOceanet[],16,FALSE) = "Tarif_VM",IF(VLOOKUP(TabVMEnv[[#This Row],[VM]],TabOceanet[],2,FALSE)&lt;4,4,VLOOKUP(TabVMEnv[[#This Row],[VM]],TabOceanet[],2,FALSE)),0)</f>
        <v>0</v>
      </c>
      <c r="G238">
        <v>0</v>
      </c>
      <c r="H238">
        <v>0</v>
      </c>
      <c r="I238">
        <v>0</v>
      </c>
      <c r="J238">
        <v>0</v>
      </c>
      <c r="K238">
        <f>IF(VLOOKUP(TabVMEnv[[#This Row],[VM]],TabOceanet[],16,FALSE) = "Tarif_VM",1,0)/TabVMEnv[[#This Row],[Mutualisé]]</f>
        <v>0</v>
      </c>
      <c r="L238">
        <f>IF(VLOOKUP(TabVMEnv[[#This Row],[VM]],TabOceanet[],9,FALSE) = "PoweredOn",1,0)</f>
        <v>0</v>
      </c>
      <c r="M238">
        <f>TabVMEnv[[#This Row],[IsVMPoweredOn]]*VLOOKUP(TabVMEnv[[#This Row],[VM]],TabOceanet[],3,FALSE)/TabVMEnv[[#This Row],[Mutualisé]]</f>
        <v>0</v>
      </c>
      <c r="N238">
        <f>VLOOKUP(TabVMEnv[[#This Row],[VM]],TabOceanet[],4,FALSE)/TabVMEnv[[#This Row],[Mutualisé]]</f>
        <v>0</v>
      </c>
      <c r="O238">
        <f>IF(LEFT(VLOOKUP(TabVMEnv[[#This Row],[VM]],TabOceanet[],5,FALSE),3)="win",1,0)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VLOOKUP(TabVMEnv[[#This Row],[EnvProjet]],TabEnvProjet[],4,FALSE)</f>
        <v>Fablab-Firmin</v>
      </c>
      <c r="R238" s="5" t="str">
        <f>VLOOKUP(TabVMEnv[[#This Row],[SYGES]],TabContrat[],2,FALSE)</f>
        <v>Fablab</v>
      </c>
      <c r="S238" s="5" t="str">
        <f>IF(VLOOKUP(TabVMEnv[[#This Row],[VM]],TabOceanet[],1,FALSE) = "","Disparue","")</f>
        <v/>
      </c>
      <c r="T238" s="25">
        <f>VLOOKUP(TabVMEnv[[#This Row],[VM]],TabOceanet[],36,FALSE)/TabVMEnv[[#This Row],[Mutualisé]]</f>
        <v>10</v>
      </c>
      <c r="U238" s="25">
        <f>IF(TabVMEnv[[#This Row],[CostCenter]]="CostCenterDI",0,TabVMEnv[[#This Row],[CoutGlobal]])</f>
        <v>10</v>
      </c>
      <c r="V238" s="25">
        <f>TabVMEnv[[#This Row],[CoutGlobalSansCostCenterDI]]/TabVMEnv[[#Totals],[CoutGlobalSansCostCenterDI]]*(GlobalARepartirSansMS+GlobalARepartirMSOnly+GlobalARepartirInfraReseau)</f>
        <v>20.850210067200635</v>
      </c>
      <c r="W238" s="25">
        <f>TabVMEnv[[#This Row],[CoutGlobalSansCostCenterDI]]+TabVMEnv[[#This Row],[CoutGlobalSupplementaire]]</f>
        <v>30.850210067200635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8" s="5" t="str">
        <f>VLOOKUP(TabVMEnv[[#This Row],[EnvProjet]],TabEnvProjet[],5,FALSE)</f>
        <v>Pierre-Yves Baloche</v>
      </c>
      <c r="Z238" s="5" t="str">
        <f>VLOOKUP(TabVMEnv[[#This Row],[EnvProjet]],TabEnvProjet[],6,FALSE)</f>
        <v>Fablab</v>
      </c>
      <c r="AA238" s="5" t="str">
        <f>VLOOKUP(TabVMEnv[[#This Row],[EnvProjet]],TabEnvProjet[],3,FALSE)</f>
        <v>PROD</v>
      </c>
      <c r="AB238" s="5">
        <f>COUNTIF(TabVMEnv[VM],TabVMEnv[[#This Row],[VM]])</f>
        <v>1</v>
      </c>
    </row>
    <row r="239" spans="1:28" x14ac:dyDescent="0.25">
      <c r="A239" t="s">
        <v>280</v>
      </c>
      <c r="B239" t="s">
        <v>481</v>
      </c>
      <c r="E239" s="13"/>
      <c r="F239">
        <f>IF(VLOOKUP(TabVMEnv[[#This Row],[VM]],TabOceanet[],16,FALSE) = "Tarif_VM",IF(VLOOKUP(TabVMEnv[[#This Row],[VM]],TabOceanet[],2,FALSE)&lt;4,4,VLOOKUP(TabVMEnv[[#This Row],[VM]],TabOceanet[],2,FALSE)),0)</f>
        <v>0</v>
      </c>
      <c r="G239">
        <v>0</v>
      </c>
      <c r="H239">
        <v>0</v>
      </c>
      <c r="I239">
        <v>0</v>
      </c>
      <c r="J239">
        <v>0</v>
      </c>
      <c r="K239">
        <f>IF(VLOOKUP(TabVMEnv[[#This Row],[VM]],TabOceanet[],16,FALSE) = "Tarif_VM",1,0)/TabVMEnv[[#This Row],[Mutualisé]]</f>
        <v>0</v>
      </c>
      <c r="L239">
        <f>IF(VLOOKUP(TabVMEnv[[#This Row],[VM]],TabOceanet[],9,FALSE) = "PoweredOn",1,0)</f>
        <v>0</v>
      </c>
      <c r="M239">
        <f>TabVMEnv[[#This Row],[IsVMPoweredOn]]*VLOOKUP(TabVMEnv[[#This Row],[VM]],TabOceanet[],3,FALSE)/TabVMEnv[[#This Row],[Mutualisé]]</f>
        <v>0</v>
      </c>
      <c r="N239">
        <f>VLOOKUP(TabVMEnv[[#This Row],[VM]],TabOceanet[],4,FALSE)/TabVMEnv[[#This Row],[Mutualisé]]</f>
        <v>0</v>
      </c>
      <c r="O239">
        <f>IF(LEFT(VLOOKUP(TabVMEnv[[#This Row],[VM]],TabOceanet[],5,FALSE),3)="win",1,0)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VLOOKUP(TabVMEnv[[#This Row],[EnvProjet]],TabEnvProjet[],4,FALSE)</f>
        <v>Fablab-Firmin</v>
      </c>
      <c r="R239" s="5" t="str">
        <f>VLOOKUP(TabVMEnv[[#This Row],[SYGES]],TabContrat[],2,FALSE)</f>
        <v>Fablab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10</v>
      </c>
      <c r="U239" s="25">
        <f>IF(TabVMEnv[[#This Row],[CostCenter]]="CostCenterDI",0,TabVMEnv[[#This Row],[CoutGlobal]])</f>
        <v>10</v>
      </c>
      <c r="V239" s="25">
        <f>TabVMEnv[[#This Row],[CoutGlobalSansCostCenterDI]]/TabVMEnv[[#Totals],[CoutGlobalSansCostCenterDI]]*(GlobalARepartirSansMS+GlobalARepartirMSOnly+GlobalARepartirInfraReseau)</f>
        <v>20.850210067200635</v>
      </c>
      <c r="W239" s="25">
        <f>TabVMEnv[[#This Row],[CoutGlobalSansCostCenterDI]]+TabVMEnv[[#This Row],[CoutGlobalSupplementaire]]</f>
        <v>30.850210067200635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9" s="5" t="str">
        <f>VLOOKUP(TabVMEnv[[#This Row],[EnvProjet]],TabEnvProjet[],5,FALSE)</f>
        <v>Pierre-Yves Baloche</v>
      </c>
      <c r="Z239" s="5" t="str">
        <f>VLOOKUP(TabVMEnv[[#This Row],[EnvProjet]],TabEnvProjet[],6,FALSE)</f>
        <v>Fablab</v>
      </c>
      <c r="AA239" s="5" t="str">
        <f>VLOOKUP(TabVMEnv[[#This Row],[EnvProjet]],TabEnvProjet[],3,FALSE)</f>
        <v>PROD</v>
      </c>
      <c r="AB239" s="5">
        <f>COUNTIF(TabVMEnv[VM],TabVMEnv[[#This Row],[VM]])</f>
        <v>1</v>
      </c>
    </row>
    <row r="240" spans="1:28" x14ac:dyDescent="0.25">
      <c r="A240" t="s">
        <v>177</v>
      </c>
      <c r="B240" t="s">
        <v>484</v>
      </c>
      <c r="E240" s="13"/>
      <c r="F240">
        <f>IF(VLOOKUP(TabVMEnv[[#This Row],[VM]],TabOceanet[],16,FALSE) = "Tarif_VM",IF(VLOOKUP(TabVMEnv[[#This Row],[VM]],TabOceanet[],2,FALSE)&lt;4,4,VLOOKUP(TabVMEnv[[#This Row],[VM]],TabOceanet[],2,FALSE)),0)</f>
        <v>0</v>
      </c>
      <c r="G240">
        <v>0</v>
      </c>
      <c r="H240">
        <v>0</v>
      </c>
      <c r="I240">
        <v>0</v>
      </c>
      <c r="J240">
        <v>0</v>
      </c>
      <c r="K240">
        <f>IF(VLOOKUP(TabVMEnv[[#This Row],[VM]],TabOceanet[],16,FALSE) = "Tarif_VM",1,0)/TabVMEnv[[#This Row],[Mutualisé]]</f>
        <v>0</v>
      </c>
      <c r="L240">
        <f>IF(VLOOKUP(TabVMEnv[[#This Row],[VM]],TabOceanet[],9,FALSE) = "PoweredOn",1,0)</f>
        <v>0</v>
      </c>
      <c r="M240">
        <f>TabVMEnv[[#This Row],[IsVMPoweredOn]]*VLOOKUP(TabVMEnv[[#This Row],[VM]],TabOceanet[],3,FALSE)/TabVMEnv[[#This Row],[Mutualisé]]</f>
        <v>0</v>
      </c>
      <c r="N240">
        <f>VLOOKUP(TabVMEnv[[#This Row],[VM]],TabOceanet[],4,FALSE)/TabVMEnv[[#This Row],[Mutualisé]]</f>
        <v>0</v>
      </c>
      <c r="O240">
        <f>IF(LEFT(VLOOKUP(TabVMEnv[[#This Row],[VM]],TabOceanet[],5,FALSE),3)="win",1,0)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VLOOKUP(TabVMEnv[[#This Row],[EnvProjet]],TabEnvProjet[],4,FALSE)</f>
        <v>GFI Oceanet Infra Réseau</v>
      </c>
      <c r="R240" s="5" t="str">
        <f>VLOOKUP(TabVMEnv[[#This Row],[SYGES]],TabContrat[],2,FALSE)</f>
        <v>GFI</v>
      </c>
      <c r="S240" s="5" t="str">
        <f>IF(VLOOKUP(TabVMEnv[[#This Row],[VM]],TabOceanet[],1,FALSE) = "","Disparue","")</f>
        <v/>
      </c>
      <c r="T240" s="25">
        <f>VLOOKUP(TabVMEnv[[#This Row],[VM]],TabOceanet[],36,FALSE)/TabVMEnv[[#This Row],[Mutualisé]]</f>
        <v>10</v>
      </c>
      <c r="U240" s="25">
        <f>IF(TabVMEnv[[#This Row],[CostCenter]]="CostCenterDI",0,TabVMEnv[[#This Row],[CoutGlobal]])</f>
        <v>0</v>
      </c>
      <c r="V240" s="25">
        <f>TabVMEnv[[#This Row],[CoutGlobalSansCostCenterDI]]/TabVMEnv[[#Totals],[CoutGlobalSansCostCenterDI]]*(GlobalARepartirSansMS+GlobalARepartirMSOnly+GlobalARepartirInfraReseau)</f>
        <v>0</v>
      </c>
      <c r="W240" s="25">
        <f>TabVMEnv[[#This Row],[CoutGlobalSansCostCenterDI]]+TabVMEnv[[#This Row],[CoutGlobalSupplementaire]]</f>
        <v>0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0" s="5" t="str">
        <f>VLOOKUP(TabVMEnv[[#This Row],[EnvProjet]],TabEnvProjet[],5,FALSE)</f>
        <v>Jérôme JACOB</v>
      </c>
      <c r="Z240" s="5" t="str">
        <f>VLOOKUP(TabVMEnv[[#This Row],[EnvProjet]],TabEnvProjet[],6,FALSE)</f>
        <v>CostCenterDI</v>
      </c>
      <c r="AA240" s="5" t="str">
        <f>VLOOKUP(TabVMEnv[[#This Row],[EnvProjet]],TabEnvProjet[],3,FALSE)</f>
        <v>SOCLE</v>
      </c>
      <c r="AB240" s="5">
        <f>COUNTIF(TabVMEnv[VM],TabVMEnv[[#This Row],[VM]])</f>
        <v>1</v>
      </c>
    </row>
    <row r="241" spans="1:28" x14ac:dyDescent="0.25">
      <c r="A241" t="s">
        <v>232</v>
      </c>
      <c r="B241" t="s">
        <v>487</v>
      </c>
      <c r="E241" s="13"/>
      <c r="F241">
        <f>IF(VLOOKUP(TabVMEnv[[#This Row],[VM]],TabOceanet[],16,FALSE) = "Tarif_VM",IF(VLOOKUP(TabVMEnv[[#This Row],[VM]],TabOceanet[],2,FALSE)&lt;4,4,VLOOKUP(TabVMEnv[[#This Row],[VM]],TabOceanet[],2,FALSE)),0)</f>
        <v>4</v>
      </c>
      <c r="G241">
        <v>0</v>
      </c>
      <c r="H241">
        <v>0</v>
      </c>
      <c r="I241">
        <v>0</v>
      </c>
      <c r="J241">
        <v>0</v>
      </c>
      <c r="K241">
        <f>IF(VLOOKUP(TabVMEnv[[#This Row],[VM]],TabOceanet[],16,FALSE) = "Tarif_VM",1,0)/TabVMEnv[[#This Row],[Mutualisé]]</f>
        <v>1</v>
      </c>
      <c r="L241">
        <f>IF(VLOOKUP(TabVMEnv[[#This Row],[VM]],TabOceanet[],9,FALSE) = "PoweredOn",1,0)</f>
        <v>1</v>
      </c>
      <c r="M241">
        <f>TabVMEnv[[#This Row],[IsVMPoweredOn]]*VLOOKUP(TabVMEnv[[#This Row],[VM]],TabOceanet[],3,FALSE)/TabVMEnv[[#This Row],[Mutualisé]]</f>
        <v>2</v>
      </c>
      <c r="N241">
        <f>VLOOKUP(TabVMEnv[[#This Row],[VM]],TabOceanet[],4,FALSE)/TabVMEnv[[#This Row],[Mutualisé]]</f>
        <v>80</v>
      </c>
      <c r="O241">
        <f>IF(LEFT(VLOOKUP(TabVMEnv[[#This Row],[VM]],TabOceanet[],5,FALSE),3)="win",1,0)</f>
        <v>1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VLOOKUP(TabVMEnv[[#This Row],[EnvProjet]],TabEnvProjet[],4,FALSE)</f>
        <v>IT-CE/DFA</v>
      </c>
      <c r="R241" s="5" t="str">
        <f>VLOOKUP(TabVMEnv[[#This Row],[SYGES]],TabContrat[],2,FALSE)</f>
        <v>IT-CE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21.6</v>
      </c>
      <c r="U241" s="25">
        <f>IF(TabVMEnv[[#This Row],[CostCenter]]="CostCenterDI",0,TabVMEnv[[#This Row],[CoutGlobal]])</f>
        <v>21.6</v>
      </c>
      <c r="V241" s="25">
        <f>TabVMEnv[[#This Row],[CoutGlobalSansCostCenterDI]]/TabVMEnv[[#Totals],[CoutGlobalSansCostCenterDI]]*(GlobalARepartirSansMS+GlobalARepartirMSOnly+GlobalARepartirInfraReseau)</f>
        <v>45.036453745153374</v>
      </c>
      <c r="W241" s="25">
        <f>TabVMEnv[[#This Row],[CoutGlobalSansCostCenterDI]]+TabVMEnv[[#This Row],[CoutGlobalSupplementaire]]</f>
        <v>66.636453745153375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41" s="5" t="str">
        <f>VLOOKUP(TabVMEnv[[#This Row],[EnvProjet]],TabEnvProjet[],5,FALSE)</f>
        <v>Christophe ORLANDO</v>
      </c>
      <c r="Z241" s="5">
        <f>VLOOKUP(TabVMEnv[[#This Row],[EnvProjet]],TabEnvProjet[],6,FALSE)</f>
        <v>305704</v>
      </c>
      <c r="AA241" s="5" t="str">
        <f>VLOOKUP(TabVMEnv[[#This Row],[EnvProjet]],TabEnvProjet[],3,FALSE)</f>
        <v>TMA</v>
      </c>
      <c r="AB241" s="5">
        <f>COUNTIF(TabVMEnv[VM],TabVMEnv[[#This Row],[VM]])</f>
        <v>1</v>
      </c>
    </row>
    <row r="242" spans="1:28" x14ac:dyDescent="0.25">
      <c r="A242" s="24" t="s">
        <v>103</v>
      </c>
      <c r="B242" t="s">
        <v>516</v>
      </c>
      <c r="E242" s="13"/>
      <c r="F242">
        <f>IF(VLOOKUP(TabVMEnv[[#This Row],[VM]],TabOceanet[],16,FALSE) = "Tarif_VM",IF(VLOOKUP(TabVMEnv[[#This Row],[VM]],TabOceanet[],2,FALSE)&lt;4,4,VLOOKUP(TabVMEnv[[#This Row],[VM]],TabOceanet[],2,FALSE)),0)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IF(VLOOKUP(TabVMEnv[[#This Row],[VM]],TabOceanet[],16,FALSE) = "Tarif_VM",1,0)/TabVMEnv[[#This Row],[Mutualisé]]</f>
        <v>0.5</v>
      </c>
      <c r="L242">
        <f>IF(VLOOKUP(TabVMEnv[[#This Row],[VM]],TabOceanet[],9,FALSE) = "PoweredOn",1,0)</f>
        <v>1</v>
      </c>
      <c r="M242">
        <f>TabVMEnv[[#This Row],[IsVMPoweredOn]]*VLOOKUP(TabVMEnv[[#This Row],[VM]],TabOceanet[],3,FALSE)/TabVMEnv[[#This Row],[Mutualisé]]</f>
        <v>3</v>
      </c>
      <c r="N242">
        <f>VLOOKUP(TabVMEnv[[#This Row],[VM]],TabOceanet[],4,FALSE)/TabVMEnv[[#This Row],[Mutualisé]]</f>
        <v>170</v>
      </c>
      <c r="O242">
        <f>IF(LEFT(VLOOKUP(TabVMEnv[[#This Row],[VM]],TabOceanet[],5,FALSE),3)="win",1,0)</f>
        <v>1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VLOOKUP(TabVMEnv[[#This Row],[EnvProjet]],TabEnvProjet[],4,FALSE)</f>
        <v>FRR/TMASI</v>
      </c>
      <c r="R242" s="5" t="str">
        <f>VLOOKUP(TabVMEnv[[#This Row],[SYGES]],TabContrat[],2,FALSE)</f>
        <v>FRR</v>
      </c>
      <c r="S242" s="5" t="str">
        <f>IF(VLOOKUP(TabVMEnv[[#This Row],[VM]],TabOceanet[],1,FALSE) = "","Disparue","")</f>
        <v/>
      </c>
      <c r="T242" s="25">
        <f>VLOOKUP(TabVMEnv[[#This Row],[VM]],TabOceanet[],36,FALSE)/TabVMEnv[[#This Row],[Mutualisé]]</f>
        <v>43.900000000000006</v>
      </c>
      <c r="U242" s="25">
        <f>IF(TabVMEnv[[#This Row],[CostCenter]]="CostCenterDI",0,TabVMEnv[[#This Row],[CoutGlobal]])</f>
        <v>43.900000000000006</v>
      </c>
      <c r="V242" s="25">
        <f>TabVMEnv[[#This Row],[CoutGlobalSansCostCenterDI]]/TabVMEnv[[#Totals],[CoutGlobalSansCostCenterDI]]*(GlobalARepartirSansMS+GlobalARepartirMSOnly+GlobalARepartirInfraReseau)</f>
        <v>91.532422195010795</v>
      </c>
      <c r="W242" s="25">
        <f>TabVMEnv[[#This Row],[CoutGlobalSansCostCenterDI]]+TabVMEnv[[#This Row],[CoutGlobalSupplementaire]]</f>
        <v>135.43242219501082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42" s="5" t="str">
        <f>VLOOKUP(TabVMEnv[[#This Row],[EnvProjet]],TabEnvProjet[],5,FALSE)</f>
        <v>Pierre BOURLIEUX</v>
      </c>
      <c r="Z242" s="5">
        <f>VLOOKUP(TabVMEnv[[#This Row],[EnvProjet]],TabEnvProjet[],6,FALSE)</f>
        <v>305704</v>
      </c>
      <c r="AA242" s="5" t="str">
        <f>VLOOKUP(TabVMEnv[[#This Row],[EnvProjet]],TabEnvProjet[],3,FALSE)</f>
        <v>DEV</v>
      </c>
      <c r="AB242" s="5">
        <f>COUNTIF(TabVMEnv[VM],TabVMEnv[[#This Row],[VM]])</f>
        <v>2</v>
      </c>
    </row>
    <row r="243" spans="1:28" x14ac:dyDescent="0.25">
      <c r="A243" s="24" t="s">
        <v>103</v>
      </c>
      <c r="B243" t="s">
        <v>499</v>
      </c>
      <c r="E243" s="13"/>
      <c r="F243">
        <f>IF(VLOOKUP(TabVMEnv[[#This Row],[VM]],TabOceanet[],16,FALSE) = "Tarif_VM",IF(VLOOKUP(TabVMEnv[[#This Row],[VM]],TabOceanet[],2,FALSE)&lt;4,4,VLOOKUP(TabVMEnv[[#This Row],[VM]],TabOceanet[],2,FALSE)),0)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IF(VLOOKUP(TabVMEnv[[#This Row],[VM]],TabOceanet[],16,FALSE) = "Tarif_VM",1,0)/TabVMEnv[[#This Row],[Mutualisé]]</f>
        <v>0.5</v>
      </c>
      <c r="L243">
        <f>IF(VLOOKUP(TabVMEnv[[#This Row],[VM]],TabOceanet[],9,FALSE) = "PoweredOn",1,0)</f>
        <v>1</v>
      </c>
      <c r="M243">
        <f>TabVMEnv[[#This Row],[IsVMPoweredOn]]*VLOOKUP(TabVMEnv[[#This Row],[VM]],TabOceanet[],3,FALSE)/TabVMEnv[[#This Row],[Mutualisé]]</f>
        <v>3</v>
      </c>
      <c r="N243">
        <f>VLOOKUP(TabVMEnv[[#This Row],[VM]],TabOceanet[],4,FALSE)/TabVMEnv[[#This Row],[Mutualisé]]</f>
        <v>170</v>
      </c>
      <c r="O243">
        <f>IF(LEFT(VLOOKUP(TabVMEnv[[#This Row],[VM]],TabOceanet[],5,FALSE),3)="win",1,0)</f>
        <v>1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VLOOKUP(TabVMEnv[[#This Row],[EnvProjet]],TabEnvProjet[],4,FALSE)</f>
        <v>FRR/TMASI</v>
      </c>
      <c r="R243" s="5" t="str">
        <f>VLOOKUP(TabVMEnv[[#This Row],[SYGES]],TabContrat[],2,FALSE)</f>
        <v>FRR</v>
      </c>
      <c r="S243" s="5" t="str">
        <f>IF(VLOOKUP(TabVMEnv[[#This Row],[VM]],TabOceanet[],1,FALSE) = "","Disparue","")</f>
        <v/>
      </c>
      <c r="T243" s="25">
        <f>VLOOKUP(TabVMEnv[[#This Row],[VM]],TabOceanet[],36,FALSE)/TabVMEnv[[#This Row],[Mutualisé]]</f>
        <v>43.900000000000006</v>
      </c>
      <c r="U243" s="25">
        <f>IF(TabVMEnv[[#This Row],[CostCenter]]="CostCenterDI",0,TabVMEnv[[#This Row],[CoutGlobal]])</f>
        <v>43.900000000000006</v>
      </c>
      <c r="V243" s="25">
        <f>TabVMEnv[[#This Row],[CoutGlobalSansCostCenterDI]]/TabVMEnv[[#Totals],[CoutGlobalSansCostCenterDI]]*(GlobalARepartirSansMS+GlobalARepartirMSOnly+GlobalARepartirInfraReseau)</f>
        <v>91.532422195010795</v>
      </c>
      <c r="W243" s="25">
        <f>TabVMEnv[[#This Row],[CoutGlobalSansCostCenterDI]]+TabVMEnv[[#This Row],[CoutGlobalSupplementaire]]</f>
        <v>135.43242219501082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43" s="5" t="str">
        <f>VLOOKUP(TabVMEnv[[#This Row],[EnvProjet]],TabEnvProjet[],5,FALSE)</f>
        <v>Pierre BOURLIEUX</v>
      </c>
      <c r="Z243" s="5">
        <f>VLOOKUP(TabVMEnv[[#This Row],[EnvProjet]],TabEnvProjet[],6,FALSE)</f>
        <v>305704</v>
      </c>
      <c r="AA243" s="5" t="str">
        <f>VLOOKUP(TabVMEnv[[#This Row],[EnvProjet]],TabEnvProjet[],3,FALSE)</f>
        <v>RECETTE</v>
      </c>
      <c r="AB243" s="5">
        <f>COUNTIF(TabVMEnv[VM],TabVMEnv[[#This Row],[VM]])</f>
        <v>2</v>
      </c>
    </row>
    <row r="244" spans="1:28" x14ac:dyDescent="0.25">
      <c r="A244" t="s">
        <v>336</v>
      </c>
      <c r="B244" t="s">
        <v>574</v>
      </c>
      <c r="E244" s="13"/>
      <c r="F244">
        <f>IF(VLOOKUP(TabVMEnv[[#This Row],[VM]],TabOceanet[],16,FALSE) = "Tarif_VM",IF(VLOOKUP(TabVMEnv[[#This Row],[VM]],TabOceanet[],2,FALSE)&lt;4,4,VLOOKUP(TabVMEnv[[#This Row],[VM]],TabOceanet[],2,FALSE)),0)</f>
        <v>4</v>
      </c>
      <c r="G244">
        <v>0</v>
      </c>
      <c r="H244">
        <v>1</v>
      </c>
      <c r="I244">
        <v>0</v>
      </c>
      <c r="J244" s="24">
        <v>4</v>
      </c>
      <c r="K244" s="24">
        <f>IF(VLOOKUP(TabVMEnv[[#This Row],[VM]],TabOceanet[],16,FALSE) = "Tarif_VM",1,0)/TabVMEnv[[#This Row],[Mutualisé]]</f>
        <v>1</v>
      </c>
      <c r="L244" s="24">
        <f>IF(VLOOKUP(TabVMEnv[[#This Row],[VM]],TabOceanet[],9,FALSE) = "PoweredOn",1,0)</f>
        <v>1</v>
      </c>
      <c r="M244" s="24">
        <f>TabVMEnv[[#This Row],[IsVMPoweredOn]]*VLOOKUP(TabVMEnv[[#This Row],[VM]],TabOceanet[],3,FALSE)/TabVMEnv[[#This Row],[Mutualisé]]</f>
        <v>2</v>
      </c>
      <c r="N244" s="24">
        <f>VLOOKUP(TabVMEnv[[#This Row],[VM]],TabOceanet[],4,FALSE)/TabVMEnv[[#This Row],[Mutualisé]]</f>
        <v>120</v>
      </c>
      <c r="O244" s="24">
        <f>IF(LEFT(VLOOKUP(TabVMEnv[[#This Row],[VM]],TabOceanet[],5,FALSE),3)="win",1,0)</f>
        <v>1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44" t="str">
        <f>VLOOKUP(TabVMEnv[[#This Row],[EnvProjet]],TabEnvProjet[],4,FALSE)</f>
        <v>PRIZER-TMA</v>
      </c>
      <c r="R244" s="5" t="str">
        <f>VLOOKUP(TabVMEnv[[#This Row],[SYGES]],TabContrat[],2,FALSE)</f>
        <v>PRIZER</v>
      </c>
      <c r="S244" s="5" t="str">
        <f>IF(VLOOKUP(TabVMEnv[[#This Row],[VM]],TabOceanet[],1,FALSE) = "","Disparue","")</f>
        <v/>
      </c>
      <c r="T244" s="25">
        <f>VLOOKUP(TabVMEnv[[#This Row],[VM]],TabOceanet[],36,FALSE)/TabVMEnv[[#This Row],[Mutualisé]]</f>
        <v>30.8</v>
      </c>
      <c r="U244" s="25">
        <f>IF(TabVMEnv[[#This Row],[CostCenter]]="CostCenterDI",0,TabVMEnv[[#This Row],[CoutGlobal]])</f>
        <v>30.8</v>
      </c>
      <c r="V244" s="25">
        <f>TabVMEnv[[#This Row],[CoutGlobalSansCostCenterDI]]/TabVMEnv[[#Totals],[CoutGlobalSansCostCenterDI]]*(GlobalARepartirSansMS+GlobalARepartirMSOnly+GlobalARepartirInfraReseau)</f>
        <v>64.21864700697796</v>
      </c>
      <c r="W244" s="25">
        <f>TabVMEnv[[#This Row],[CoutGlobalSansCostCenterDI]]+TabVMEnv[[#This Row],[CoutGlobalSupplementaire]]</f>
        <v>95.018647006977957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44" s="5" t="str">
        <f>VLOOKUP(TabVMEnv[[#This Row],[EnvProjet]],TabEnvProjet[],5,FALSE)</f>
        <v>Valerie ASSELIN LOZACHMEUR</v>
      </c>
      <c r="Z244" s="5">
        <f>VLOOKUP(TabVMEnv[[#This Row],[EnvProjet]],TabEnvProjet[],6,FALSE)</f>
        <v>305704</v>
      </c>
      <c r="AA244" s="5" t="str">
        <f>VLOOKUP(TabVMEnv[[#This Row],[EnvProjet]],TabEnvProjet[],3,FALSE)</f>
        <v>TMA</v>
      </c>
      <c r="AB244" s="5">
        <f>COUNTIF(TabVMEnv[VM],TabVMEnv[[#This Row],[VM]])</f>
        <v>1</v>
      </c>
    </row>
    <row r="245" spans="1:28" x14ac:dyDescent="0.25">
      <c r="A245" t="s">
        <v>69</v>
      </c>
      <c r="G245">
        <f>SUBTOTAL(109,TabVMEnv[NbUtilCalTse])</f>
        <v>46</v>
      </c>
      <c r="H245">
        <f>SUBTOTAL(109,TabVMEnv[IsTypeLicenceSQLServerPerCore])</f>
        <v>5</v>
      </c>
      <c r="I245">
        <f>SUBTOTAL(109,TabVMEnv[NbUtilCalSql])</f>
        <v>0</v>
      </c>
      <c r="J245">
        <f>SUBTOTAL(109,TabVMEnv[NbUtilCalSqlTMP])</f>
        <v>20</v>
      </c>
      <c r="K245">
        <f>SUBTOTAL(109,TabVMEnv[IsVMDiviseMutual])</f>
        <v>171.99999999999997</v>
      </c>
      <c r="M245">
        <f>SUBTOTAL(109,TabVMEnv[RamActiveDiviseMutual])</f>
        <v>518.99999999999989</v>
      </c>
      <c r="P245" s="53">
        <f>SUBTOTAL(109,TabVMEnv[CoutLicenceMS])</f>
        <v>1465.0400000000002</v>
      </c>
      <c r="T245" s="66">
        <f>SUBTOTAL(109,TabVMEnv[CoutGlobal])</f>
        <v>2749.7</v>
      </c>
      <c r="U245" s="67">
        <f>SUBTOTAL(109,TabVMEnv[CoutGlobalSansCostCenterDI])</f>
        <v>2503.0350000000003</v>
      </c>
      <c r="V245" s="67">
        <f>SUBTOTAL(109,TabVMEnv[CoutGlobalSupplementaire])</f>
        <v>5218.8805555555518</v>
      </c>
      <c r="W245" s="67">
        <f>SUBTOTAL(109,TabVMEnv[CoutGlobalFinal])</f>
        <v>7721.9155555555462</v>
      </c>
      <c r="AB245">
        <f>SUBTOTAL(109,TabVMEnv[Mutualisé])</f>
        <v>385</v>
      </c>
    </row>
    <row r="249" spans="1:28" x14ac:dyDescent="0.25">
      <c r="I249">
        <f>25*Tarif_Licence_CAL_SQL_Standard_en_location</f>
        <v>401.75</v>
      </c>
      <c r="P249">
        <v>957.88</v>
      </c>
    </row>
    <row r="250" spans="1:28" x14ac:dyDescent="0.25">
      <c r="I250">
        <f>4*Tarif_Licence_CAL_SQL_Standard_en_location</f>
        <v>64.28</v>
      </c>
    </row>
    <row r="251" spans="1:28" x14ac:dyDescent="0.25">
      <c r="O251" t="s">
        <v>575</v>
      </c>
      <c r="P251">
        <f>2445.33-I249+I250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F65:F92 C65:D92 E63:E92 C2:F62 G2:P244 C93:F243" xr:uid="{00000000-0002-0000-0700-000000000000}"/>
    <dataValidation type="list" allowBlank="1" showInputMessage="1" promptTitle="Recherche projet" prompt="Saisir les 1ères lettres puis afficher la liste déroulante" sqref="B2:B244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44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576</v>
      </c>
      <c r="B1" s="27" t="s">
        <v>577</v>
      </c>
      <c r="C1" s="27" t="s">
        <v>578</v>
      </c>
    </row>
    <row r="2" spans="1:3" x14ac:dyDescent="0.25">
      <c r="A2" s="28" t="s">
        <v>579</v>
      </c>
      <c r="B2" s="29" t="s">
        <v>392</v>
      </c>
      <c r="C2" s="40">
        <v>2</v>
      </c>
    </row>
    <row r="3" spans="1:3" x14ac:dyDescent="0.25">
      <c r="A3" s="28" t="s">
        <v>580</v>
      </c>
      <c r="B3" s="29" t="s">
        <v>392</v>
      </c>
      <c r="C3" s="40">
        <v>2</v>
      </c>
    </row>
    <row r="4" spans="1:3" x14ac:dyDescent="0.25">
      <c r="A4" s="28" t="s">
        <v>581</v>
      </c>
      <c r="B4" s="29" t="s">
        <v>392</v>
      </c>
      <c r="C4" s="40">
        <v>2</v>
      </c>
    </row>
    <row r="5" spans="1:3" x14ac:dyDescent="0.25">
      <c r="A5" s="28" t="s">
        <v>582</v>
      </c>
      <c r="B5" s="29" t="s">
        <v>392</v>
      </c>
      <c r="C5" s="40">
        <v>2</v>
      </c>
    </row>
    <row r="6" spans="1:3" x14ac:dyDescent="0.25">
      <c r="A6" s="28" t="s">
        <v>583</v>
      </c>
      <c r="B6" s="30" t="s">
        <v>456</v>
      </c>
      <c r="C6" s="40">
        <v>2</v>
      </c>
    </row>
    <row r="7" spans="1:3" x14ac:dyDescent="0.25">
      <c r="A7" s="28" t="s">
        <v>584</v>
      </c>
      <c r="B7" s="31" t="s">
        <v>397</v>
      </c>
      <c r="C7" s="40">
        <v>2</v>
      </c>
    </row>
    <row r="8" spans="1:3" x14ac:dyDescent="0.25">
      <c r="A8" s="28" t="s">
        <v>585</v>
      </c>
      <c r="B8" s="31" t="s">
        <v>397</v>
      </c>
      <c r="C8" s="40">
        <v>2</v>
      </c>
    </row>
    <row r="9" spans="1:3" x14ac:dyDescent="0.25">
      <c r="A9" s="28" t="s">
        <v>586</v>
      </c>
      <c r="B9" s="31" t="s">
        <v>397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587</v>
      </c>
      <c r="B1" s="32" t="s">
        <v>588</v>
      </c>
      <c r="C1" s="27" t="s">
        <v>589</v>
      </c>
      <c r="D1" s="27"/>
      <c r="E1" s="27" t="s">
        <v>577</v>
      </c>
      <c r="F1" s="27" t="s">
        <v>590</v>
      </c>
      <c r="G1" s="32" t="s">
        <v>591</v>
      </c>
      <c r="H1" s="32" t="s">
        <v>592</v>
      </c>
      <c r="I1" s="32" t="s">
        <v>593</v>
      </c>
      <c r="J1" s="32" t="s">
        <v>353</v>
      </c>
      <c r="K1" s="32" t="s">
        <v>594</v>
      </c>
      <c r="L1" s="32" t="s">
        <v>578</v>
      </c>
    </row>
    <row r="2" spans="1:12" x14ac:dyDescent="0.25">
      <c r="A2" s="28" t="s">
        <v>595</v>
      </c>
      <c r="B2" s="28" t="s">
        <v>596</v>
      </c>
      <c r="C2" s="33" t="s">
        <v>597</v>
      </c>
      <c r="D2" s="33" t="str">
        <f>"VLAN_" &amp; C2</f>
        <v>VLAN_???</v>
      </c>
      <c r="E2" s="33" t="s">
        <v>597</v>
      </c>
      <c r="F2" s="34" t="s">
        <v>598</v>
      </c>
      <c r="G2" s="28" t="s">
        <v>599</v>
      </c>
      <c r="H2" s="28" t="s">
        <v>600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601</v>
      </c>
      <c r="B3" s="28" t="s">
        <v>602</v>
      </c>
      <c r="C3" s="33" t="s">
        <v>603</v>
      </c>
      <c r="D3" s="33" t="str">
        <f t="shared" ref="D3:D49" si="0">"VLAN_" &amp; C3</f>
        <v>VLAN_10.20.100.0/254</v>
      </c>
      <c r="E3" s="35" t="s">
        <v>604</v>
      </c>
      <c r="F3" s="35" t="s">
        <v>605</v>
      </c>
      <c r="G3" s="28" t="s">
        <v>599</v>
      </c>
      <c r="H3" s="28" t="s">
        <v>600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606</v>
      </c>
      <c r="B4" s="28" t="s">
        <v>607</v>
      </c>
      <c r="C4" s="33" t="s">
        <v>608</v>
      </c>
      <c r="D4" s="33" t="str">
        <f t="shared" si="0"/>
        <v>VLAN_10.20.101.0/254</v>
      </c>
      <c r="E4" s="35" t="s">
        <v>604</v>
      </c>
      <c r="F4" s="35" t="s">
        <v>605</v>
      </c>
      <c r="G4" s="28" t="s">
        <v>599</v>
      </c>
      <c r="H4" s="28" t="s">
        <v>600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609</v>
      </c>
      <c r="B5" s="28" t="s">
        <v>610</v>
      </c>
      <c r="C5" s="33" t="s">
        <v>611</v>
      </c>
      <c r="D5" s="33" t="str">
        <f t="shared" si="0"/>
        <v>VLAN_10.20.102.0/254</v>
      </c>
      <c r="E5" s="35" t="s">
        <v>604</v>
      </c>
      <c r="F5" s="35" t="s">
        <v>605</v>
      </c>
      <c r="G5" s="28" t="s">
        <v>599</v>
      </c>
      <c r="H5" s="28" t="s">
        <v>600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612</v>
      </c>
      <c r="B6" s="28" t="s">
        <v>613</v>
      </c>
      <c r="C6" s="33" t="s">
        <v>614</v>
      </c>
      <c r="D6" s="33" t="str">
        <f t="shared" si="0"/>
        <v>VLAN_10.20.18.0/254</v>
      </c>
      <c r="E6" s="29" t="s">
        <v>615</v>
      </c>
      <c r="F6" s="28"/>
      <c r="G6" s="28" t="s">
        <v>599</v>
      </c>
      <c r="H6" s="28" t="s">
        <v>600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616</v>
      </c>
      <c r="B7" s="28" t="s">
        <v>617</v>
      </c>
      <c r="C7" s="33" t="s">
        <v>618</v>
      </c>
      <c r="D7" s="33" t="str">
        <f t="shared" si="0"/>
        <v>VLAN_10.20.19.0/254</v>
      </c>
      <c r="E7" s="30" t="s">
        <v>456</v>
      </c>
      <c r="F7" s="28"/>
      <c r="G7" s="28" t="s">
        <v>599</v>
      </c>
      <c r="H7" s="28" t="s">
        <v>600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619</v>
      </c>
      <c r="B8" s="28" t="s">
        <v>620</v>
      </c>
      <c r="C8" s="33" t="s">
        <v>621</v>
      </c>
      <c r="D8" s="33" t="str">
        <f t="shared" si="0"/>
        <v>VLAN_10.20.20.0/254</v>
      </c>
      <c r="E8" s="29" t="s">
        <v>615</v>
      </c>
      <c r="F8" s="28"/>
      <c r="G8" s="28" t="s">
        <v>599</v>
      </c>
      <c r="H8" s="28" t="s">
        <v>600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622</v>
      </c>
      <c r="B9" s="28" t="s">
        <v>623</v>
      </c>
      <c r="C9" s="33" t="s">
        <v>624</v>
      </c>
      <c r="D9" s="33" t="str">
        <f t="shared" si="0"/>
        <v>VLAN_10.20.21.0/254</v>
      </c>
      <c r="E9" s="29" t="s">
        <v>615</v>
      </c>
      <c r="F9" s="28"/>
      <c r="G9" s="28" t="s">
        <v>599</v>
      </c>
      <c r="H9" s="28" t="s">
        <v>600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625</v>
      </c>
      <c r="B10" s="28" t="s">
        <v>626</v>
      </c>
      <c r="C10" s="33" t="s">
        <v>627</v>
      </c>
      <c r="D10" s="33" t="str">
        <f t="shared" si="0"/>
        <v>VLAN_10.20.22.0/254</v>
      </c>
      <c r="E10" s="29" t="s">
        <v>615</v>
      </c>
      <c r="F10" s="28"/>
      <c r="G10" s="28" t="s">
        <v>599</v>
      </c>
      <c r="H10" s="28" t="s">
        <v>600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628</v>
      </c>
      <c r="B11" s="28" t="s">
        <v>629</v>
      </c>
      <c r="C11" s="33" t="s">
        <v>630</v>
      </c>
      <c r="D11" s="33" t="str">
        <f t="shared" si="0"/>
        <v>VLAN_10.20.23.0/254</v>
      </c>
      <c r="E11" s="29" t="s">
        <v>615</v>
      </c>
      <c r="F11" s="28"/>
      <c r="G11" s="28" t="s">
        <v>599</v>
      </c>
      <c r="H11" s="28" t="s">
        <v>600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631</v>
      </c>
      <c r="B12" s="28" t="s">
        <v>632</v>
      </c>
      <c r="C12" s="33" t="s">
        <v>633</v>
      </c>
      <c r="D12" s="33" t="str">
        <f t="shared" si="0"/>
        <v>VLAN_10.20.30.0/254</v>
      </c>
      <c r="E12" s="29" t="s">
        <v>615</v>
      </c>
      <c r="F12" s="28"/>
      <c r="G12" s="28" t="s">
        <v>599</v>
      </c>
      <c r="H12" s="28" t="s">
        <v>600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634</v>
      </c>
      <c r="B13" s="28" t="s">
        <v>635</v>
      </c>
      <c r="C13" s="33" t="s">
        <v>636</v>
      </c>
      <c r="D13" s="33" t="str">
        <f t="shared" si="0"/>
        <v>VLAN_10.20.31.0/254</v>
      </c>
      <c r="E13" s="29" t="s">
        <v>615</v>
      </c>
      <c r="F13" s="28"/>
      <c r="G13" s="28" t="s">
        <v>599</v>
      </c>
      <c r="H13" s="28" t="s">
        <v>600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637</v>
      </c>
      <c r="B14" s="28" t="s">
        <v>638</v>
      </c>
      <c r="C14" s="33" t="s">
        <v>639</v>
      </c>
      <c r="D14" s="33" t="str">
        <f t="shared" si="0"/>
        <v>VLAN_10.20.32.0/254</v>
      </c>
      <c r="E14" s="29" t="s">
        <v>615</v>
      </c>
      <c r="F14" s="28"/>
      <c r="G14" s="28" t="s">
        <v>599</v>
      </c>
      <c r="H14" s="28" t="s">
        <v>600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640</v>
      </c>
      <c r="B15" s="28" t="s">
        <v>641</v>
      </c>
      <c r="C15" s="33" t="s">
        <v>642</v>
      </c>
      <c r="D15" s="33" t="str">
        <f t="shared" si="0"/>
        <v>VLAN_10.20.33.0/254</v>
      </c>
      <c r="E15" s="29" t="s">
        <v>615</v>
      </c>
      <c r="F15" s="28"/>
      <c r="G15" s="28" t="s">
        <v>599</v>
      </c>
      <c r="H15" s="28" t="s">
        <v>600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643</v>
      </c>
      <c r="B16" s="28" t="s">
        <v>644</v>
      </c>
      <c r="C16" s="33" t="s">
        <v>645</v>
      </c>
      <c r="D16" s="33" t="str">
        <f t="shared" si="0"/>
        <v>VLAN_10.20.34.0/254</v>
      </c>
      <c r="E16" s="29" t="s">
        <v>615</v>
      </c>
      <c r="F16" s="28"/>
      <c r="G16" s="28" t="s">
        <v>599</v>
      </c>
      <c r="H16" s="28" t="s">
        <v>600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646</v>
      </c>
      <c r="B17" s="28" t="s">
        <v>647</v>
      </c>
      <c r="C17" s="33" t="s">
        <v>648</v>
      </c>
      <c r="D17" s="33" t="str">
        <f t="shared" si="0"/>
        <v>VLAN_10.20.35.0/254</v>
      </c>
      <c r="E17" s="29" t="s">
        <v>615</v>
      </c>
      <c r="F17" s="28"/>
      <c r="G17" s="28" t="s">
        <v>599</v>
      </c>
      <c r="H17" s="28" t="s">
        <v>600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649</v>
      </c>
      <c r="B18" s="28" t="s">
        <v>650</v>
      </c>
      <c r="C18" s="33" t="s">
        <v>651</v>
      </c>
      <c r="D18" s="33" t="str">
        <f t="shared" si="0"/>
        <v>VLAN_10.20.36.0/254</v>
      </c>
      <c r="E18" s="29" t="s">
        <v>615</v>
      </c>
      <c r="F18" s="28"/>
      <c r="G18" s="28" t="s">
        <v>599</v>
      </c>
      <c r="H18" s="28" t="s">
        <v>600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652</v>
      </c>
      <c r="B19" s="28" t="s">
        <v>653</v>
      </c>
      <c r="C19" s="33" t="s">
        <v>654</v>
      </c>
      <c r="D19" s="33" t="str">
        <f t="shared" si="0"/>
        <v>VLAN_10.20.37.0/254</v>
      </c>
      <c r="E19" s="29" t="s">
        <v>615</v>
      </c>
      <c r="F19" s="28"/>
      <c r="G19" s="28" t="s">
        <v>599</v>
      </c>
      <c r="H19" s="28" t="s">
        <v>600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655</v>
      </c>
      <c r="B20" s="28" t="s">
        <v>656</v>
      </c>
      <c r="C20" s="33" t="s">
        <v>657</v>
      </c>
      <c r="D20" s="33" t="str">
        <f t="shared" si="0"/>
        <v>VLAN_10.20.40.0/254</v>
      </c>
      <c r="E20" s="30" t="s">
        <v>456</v>
      </c>
      <c r="F20" s="28"/>
      <c r="G20" s="28" t="s">
        <v>599</v>
      </c>
      <c r="H20" s="28" t="s">
        <v>600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658</v>
      </c>
      <c r="B21" s="28" t="s">
        <v>659</v>
      </c>
      <c r="C21" s="33" t="s">
        <v>660</v>
      </c>
      <c r="D21" s="33" t="str">
        <f t="shared" si="0"/>
        <v>VLAN_10.20.41.0/254</v>
      </c>
      <c r="E21" s="29" t="s">
        <v>615</v>
      </c>
      <c r="F21" s="36" t="s">
        <v>661</v>
      </c>
      <c r="G21" s="28" t="s">
        <v>599</v>
      </c>
      <c r="H21" s="28" t="s">
        <v>600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662</v>
      </c>
      <c r="B22" s="28" t="s">
        <v>663</v>
      </c>
      <c r="C22" s="33" t="s">
        <v>664</v>
      </c>
      <c r="D22" s="33" t="str">
        <f t="shared" si="0"/>
        <v>VLAN_10.20.42.0/254</v>
      </c>
      <c r="E22" s="30" t="s">
        <v>456</v>
      </c>
      <c r="F22" s="28"/>
      <c r="G22" s="28" t="s">
        <v>599</v>
      </c>
      <c r="H22" s="28" t="s">
        <v>600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665</v>
      </c>
      <c r="B23" s="28" t="s">
        <v>666</v>
      </c>
      <c r="C23" s="33" t="s">
        <v>667</v>
      </c>
      <c r="D23" s="33" t="str">
        <f t="shared" si="0"/>
        <v>VLAN_10.20.44.0/254</v>
      </c>
      <c r="E23" s="29" t="s">
        <v>615</v>
      </c>
      <c r="F23" s="28"/>
      <c r="G23" s="28" t="s">
        <v>599</v>
      </c>
      <c r="H23" s="28" t="s">
        <v>600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668</v>
      </c>
      <c r="B24" s="28" t="s">
        <v>669</v>
      </c>
      <c r="C24" s="33" t="s">
        <v>670</v>
      </c>
      <c r="D24" s="33" t="str">
        <f t="shared" si="0"/>
        <v>VLAN_10.20.45.0/254</v>
      </c>
      <c r="E24" s="29" t="s">
        <v>615</v>
      </c>
      <c r="F24" s="28"/>
      <c r="G24" s="28" t="s">
        <v>599</v>
      </c>
      <c r="H24" s="28" t="s">
        <v>600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671</v>
      </c>
      <c r="B25" s="28" t="s">
        <v>672</v>
      </c>
      <c r="C25" s="33" t="s">
        <v>673</v>
      </c>
      <c r="D25" s="33" t="str">
        <f t="shared" si="0"/>
        <v>VLAN_10.20.51.0/254</v>
      </c>
      <c r="E25" s="29" t="s">
        <v>615</v>
      </c>
      <c r="F25" s="28"/>
      <c r="G25" s="28" t="s">
        <v>599</v>
      </c>
      <c r="H25" s="28" t="s">
        <v>600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674</v>
      </c>
      <c r="B26" s="28" t="s">
        <v>675</v>
      </c>
      <c r="C26" s="33" t="s">
        <v>676</v>
      </c>
      <c r="D26" s="33" t="str">
        <f t="shared" si="0"/>
        <v>VLAN_10.20.64.0/254</v>
      </c>
      <c r="E26" s="31" t="s">
        <v>397</v>
      </c>
      <c r="F26" s="28"/>
      <c r="G26" s="28" t="s">
        <v>599</v>
      </c>
      <c r="H26" s="28" t="s">
        <v>600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677</v>
      </c>
      <c r="B27" s="28" t="s">
        <v>678</v>
      </c>
      <c r="C27" s="33" t="s">
        <v>679</v>
      </c>
      <c r="D27" s="33" t="str">
        <f t="shared" si="0"/>
        <v>VLAN_10.20.65.0/254</v>
      </c>
      <c r="E27" s="31" t="s">
        <v>397</v>
      </c>
      <c r="F27" s="28"/>
      <c r="G27" s="28" t="s">
        <v>599</v>
      </c>
      <c r="H27" s="28" t="s">
        <v>600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680</v>
      </c>
      <c r="B28" s="28" t="s">
        <v>681</v>
      </c>
      <c r="C28" s="33" t="s">
        <v>682</v>
      </c>
      <c r="D28" s="33" t="str">
        <f t="shared" si="0"/>
        <v>VLAN_10.20.66.0/254</v>
      </c>
      <c r="E28" s="31" t="s">
        <v>397</v>
      </c>
      <c r="F28" s="28"/>
      <c r="G28" s="28" t="s">
        <v>599</v>
      </c>
      <c r="H28" s="28" t="s">
        <v>600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683</v>
      </c>
      <c r="B29" s="28" t="s">
        <v>684</v>
      </c>
      <c r="C29" s="33" t="s">
        <v>685</v>
      </c>
      <c r="D29" s="33" t="str">
        <f t="shared" si="0"/>
        <v>VLAN_10.20.74.0/254</v>
      </c>
      <c r="E29" s="37" t="s">
        <v>604</v>
      </c>
      <c r="F29" s="38" t="s">
        <v>686</v>
      </c>
      <c r="G29" s="28" t="s">
        <v>599</v>
      </c>
      <c r="H29" s="28" t="s">
        <v>600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687</v>
      </c>
      <c r="B30" s="28" t="s">
        <v>688</v>
      </c>
      <c r="C30" s="33" t="s">
        <v>689</v>
      </c>
      <c r="D30" s="33" t="str">
        <f t="shared" si="0"/>
        <v>VLAN_10.20.80.0/254</v>
      </c>
      <c r="E30" s="31" t="s">
        <v>397</v>
      </c>
      <c r="F30" s="28"/>
      <c r="G30" s="28" t="s">
        <v>599</v>
      </c>
      <c r="H30" s="28" t="s">
        <v>600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690</v>
      </c>
      <c r="B31" s="28" t="s">
        <v>691</v>
      </c>
      <c r="C31" s="33" t="s">
        <v>692</v>
      </c>
      <c r="D31" s="33" t="str">
        <f t="shared" si="0"/>
        <v>VLAN_10.20.81.0/254</v>
      </c>
      <c r="E31" s="31" t="s">
        <v>397</v>
      </c>
      <c r="F31" s="28"/>
      <c r="G31" s="28" t="s">
        <v>599</v>
      </c>
      <c r="H31" s="28" t="s">
        <v>600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693</v>
      </c>
      <c r="B32" s="28" t="s">
        <v>694</v>
      </c>
      <c r="C32" s="33" t="s">
        <v>695</v>
      </c>
      <c r="D32" s="33" t="str">
        <f t="shared" si="0"/>
        <v>VLAN_10.20.82.0/254</v>
      </c>
      <c r="E32" s="31" t="s">
        <v>397</v>
      </c>
      <c r="F32" s="28"/>
      <c r="G32" s="28" t="s">
        <v>599</v>
      </c>
      <c r="H32" s="28" t="s">
        <v>600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696</v>
      </c>
      <c r="B33" s="28" t="s">
        <v>697</v>
      </c>
      <c r="C33" s="33" t="s">
        <v>698</v>
      </c>
      <c r="D33" s="33" t="str">
        <f t="shared" si="0"/>
        <v>VLAN_10.20.83.0/254</v>
      </c>
      <c r="E33" s="31" t="s">
        <v>397</v>
      </c>
      <c r="F33" s="28" t="s">
        <v>699</v>
      </c>
      <c r="G33" s="28" t="s">
        <v>599</v>
      </c>
      <c r="H33" s="28" t="s">
        <v>600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700</v>
      </c>
      <c r="B34" s="28" t="s">
        <v>701</v>
      </c>
      <c r="C34" s="33" t="s">
        <v>702</v>
      </c>
      <c r="D34" s="33" t="str">
        <f t="shared" si="0"/>
        <v>VLAN_10.20.84.0/254</v>
      </c>
      <c r="E34" s="31" t="s">
        <v>397</v>
      </c>
      <c r="F34" s="28"/>
      <c r="G34" s="28" t="s">
        <v>599</v>
      </c>
      <c r="H34" s="28" t="s">
        <v>600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703</v>
      </c>
      <c r="B35" s="28" t="s">
        <v>704</v>
      </c>
      <c r="C35" s="33" t="s">
        <v>705</v>
      </c>
      <c r="D35" s="33" t="str">
        <f t="shared" si="0"/>
        <v>VLAN_10.20.85.0/254</v>
      </c>
      <c r="E35" s="31" t="s">
        <v>397</v>
      </c>
      <c r="F35" s="28"/>
      <c r="G35" s="28" t="s">
        <v>599</v>
      </c>
      <c r="H35" s="28" t="s">
        <v>600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706</v>
      </c>
      <c r="B36" s="28" t="s">
        <v>707</v>
      </c>
      <c r="C36" s="33" t="s">
        <v>708</v>
      </c>
      <c r="D36" s="33" t="str">
        <f t="shared" si="0"/>
        <v>VLAN_10.20.86.0/254</v>
      </c>
      <c r="E36" s="31" t="s">
        <v>397</v>
      </c>
      <c r="F36" s="28" t="s">
        <v>709</v>
      </c>
      <c r="G36" s="28" t="s">
        <v>599</v>
      </c>
      <c r="H36" s="28" t="s">
        <v>600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710</v>
      </c>
      <c r="B37" s="28" t="s">
        <v>711</v>
      </c>
      <c r="C37" s="33" t="s">
        <v>712</v>
      </c>
      <c r="D37" s="33" t="str">
        <f t="shared" si="0"/>
        <v>VLAN_10.20.87.0/254</v>
      </c>
      <c r="E37" s="31" t="s">
        <v>397</v>
      </c>
      <c r="F37" s="28"/>
      <c r="G37" s="28" t="s">
        <v>599</v>
      </c>
      <c r="H37" s="28" t="s">
        <v>600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713</v>
      </c>
      <c r="B38" s="28" t="s">
        <v>714</v>
      </c>
      <c r="C38" s="33" t="s">
        <v>715</v>
      </c>
      <c r="D38" s="33" t="str">
        <f t="shared" si="0"/>
        <v>VLAN_10.20.88.0/254</v>
      </c>
      <c r="E38" s="31" t="s">
        <v>397</v>
      </c>
      <c r="F38" s="28"/>
      <c r="G38" s="28" t="s">
        <v>599</v>
      </c>
      <c r="H38" s="28" t="s">
        <v>600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716</v>
      </c>
      <c r="B39" s="28" t="s">
        <v>717</v>
      </c>
      <c r="C39" s="33" t="s">
        <v>718</v>
      </c>
      <c r="D39" s="33" t="str">
        <f t="shared" si="0"/>
        <v>VLAN_10.20.89.0/254</v>
      </c>
      <c r="E39" s="31" t="s">
        <v>397</v>
      </c>
      <c r="F39" s="28"/>
      <c r="G39" s="28" t="s">
        <v>599</v>
      </c>
      <c r="H39" s="28" t="s">
        <v>600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719</v>
      </c>
      <c r="B40" s="28" t="s">
        <v>720</v>
      </c>
      <c r="C40" s="33" t="s">
        <v>721</v>
      </c>
      <c r="D40" s="33" t="str">
        <f t="shared" si="0"/>
        <v>VLAN_10.20.90.0/254</v>
      </c>
      <c r="E40" s="31" t="s">
        <v>397</v>
      </c>
      <c r="F40" s="28"/>
      <c r="G40" s="28" t="s">
        <v>599</v>
      </c>
      <c r="H40" s="28" t="s">
        <v>600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722</v>
      </c>
      <c r="B41" s="28" t="s">
        <v>723</v>
      </c>
      <c r="C41" s="33" t="s">
        <v>724</v>
      </c>
      <c r="D41" s="33" t="str">
        <f t="shared" si="0"/>
        <v>VLAN_10.20.91.0/254</v>
      </c>
      <c r="E41" s="31" t="s">
        <v>397</v>
      </c>
      <c r="F41" s="28"/>
      <c r="G41" s="28" t="s">
        <v>599</v>
      </c>
      <c r="H41" s="28" t="s">
        <v>600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725</v>
      </c>
      <c r="B42" s="28" t="s">
        <v>726</v>
      </c>
      <c r="C42" s="33" t="s">
        <v>727</v>
      </c>
      <c r="D42" s="33" t="str">
        <f t="shared" si="0"/>
        <v>VLAN_10.20.92.0/254</v>
      </c>
      <c r="E42" s="31" t="s">
        <v>397</v>
      </c>
      <c r="F42" s="28"/>
      <c r="G42" s="28" t="s">
        <v>599</v>
      </c>
      <c r="H42" s="28" t="s">
        <v>600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728</v>
      </c>
      <c r="B43" s="28" t="s">
        <v>729</v>
      </c>
      <c r="C43" s="33" t="s">
        <v>730</v>
      </c>
      <c r="D43" s="33" t="str">
        <f t="shared" si="0"/>
        <v>VLAN_10.20.93.0/254</v>
      </c>
      <c r="E43" s="31" t="s">
        <v>397</v>
      </c>
      <c r="F43" s="28"/>
      <c r="G43" s="28" t="s">
        <v>599</v>
      </c>
      <c r="H43" s="28" t="s">
        <v>600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731</v>
      </c>
      <c r="B44" s="28" t="s">
        <v>732</v>
      </c>
      <c r="C44" s="33" t="s">
        <v>733</v>
      </c>
      <c r="D44" s="33" t="str">
        <f t="shared" si="0"/>
        <v>VLAN_10.20.94.0/254</v>
      </c>
      <c r="E44" s="35" t="s">
        <v>604</v>
      </c>
      <c r="F44" s="35" t="s">
        <v>605</v>
      </c>
      <c r="G44" s="28" t="s">
        <v>599</v>
      </c>
      <c r="H44" s="28" t="s">
        <v>600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734</v>
      </c>
      <c r="B45" s="28" t="s">
        <v>735</v>
      </c>
      <c r="C45" s="33" t="s">
        <v>736</v>
      </c>
      <c r="D45" s="33" t="str">
        <f t="shared" si="0"/>
        <v>VLAN_10.20.95.0/254</v>
      </c>
      <c r="E45" s="35" t="s">
        <v>604</v>
      </c>
      <c r="F45" s="35" t="s">
        <v>605</v>
      </c>
      <c r="G45" s="28" t="s">
        <v>599</v>
      </c>
      <c r="H45" s="28" t="s">
        <v>600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737</v>
      </c>
      <c r="B46" s="28" t="s">
        <v>738</v>
      </c>
      <c r="C46" s="33" t="s">
        <v>739</v>
      </c>
      <c r="D46" s="33" t="str">
        <f t="shared" si="0"/>
        <v>VLAN_10.20.96.0/254</v>
      </c>
      <c r="E46" s="35" t="s">
        <v>604</v>
      </c>
      <c r="F46" s="35" t="s">
        <v>605</v>
      </c>
      <c r="G46" s="28" t="s">
        <v>599</v>
      </c>
      <c r="H46" s="28" t="s">
        <v>600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740</v>
      </c>
      <c r="B47" s="28" t="s">
        <v>741</v>
      </c>
      <c r="C47" s="33" t="s">
        <v>742</v>
      </c>
      <c r="D47" s="33" t="str">
        <f t="shared" si="0"/>
        <v>VLAN_10.20.97.0/254</v>
      </c>
      <c r="E47" s="35" t="s">
        <v>604</v>
      </c>
      <c r="F47" s="35" t="s">
        <v>605</v>
      </c>
      <c r="G47" s="28" t="s">
        <v>599</v>
      </c>
      <c r="H47" s="28" t="s">
        <v>600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743</v>
      </c>
      <c r="B48" s="28" t="s">
        <v>744</v>
      </c>
      <c r="C48" s="33" t="s">
        <v>745</v>
      </c>
      <c r="D48" s="33" t="str">
        <f t="shared" si="0"/>
        <v>VLAN_10.20.98.0/254</v>
      </c>
      <c r="E48" s="35" t="s">
        <v>604</v>
      </c>
      <c r="F48" s="35" t="s">
        <v>605</v>
      </c>
      <c r="G48" s="28" t="s">
        <v>599</v>
      </c>
      <c r="H48" s="28" t="s">
        <v>600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746</v>
      </c>
      <c r="B49" s="28" t="s">
        <v>747</v>
      </c>
      <c r="C49" s="33" t="s">
        <v>748</v>
      </c>
      <c r="D49" s="33" t="str">
        <f t="shared" si="0"/>
        <v>VLAN_10.20.99.0/254</v>
      </c>
      <c r="E49" s="35" t="s">
        <v>604</v>
      </c>
      <c r="F49" s="35" t="s">
        <v>605</v>
      </c>
      <c r="G49" s="28" t="s">
        <v>599</v>
      </c>
      <c r="H49" s="28" t="s">
        <v>600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749</v>
      </c>
      <c r="B1" s="27"/>
      <c r="C1" s="27" t="s">
        <v>577</v>
      </c>
      <c r="D1" s="27" t="s">
        <v>578</v>
      </c>
    </row>
    <row r="2" spans="1:4" x14ac:dyDescent="0.25">
      <c r="A2" s="28" t="s">
        <v>750</v>
      </c>
      <c r="B2" s="28" t="str">
        <f>"DNS_" &amp; A2</f>
        <v>DNS_asogfi.fr</v>
      </c>
      <c r="C2" s="29" t="s">
        <v>392</v>
      </c>
      <c r="D2" s="40">
        <v>3.5</v>
      </c>
    </row>
    <row r="3" spans="1:4" x14ac:dyDescent="0.25">
      <c r="A3" s="28" t="s">
        <v>751</v>
      </c>
      <c r="B3" s="28" t="str">
        <f t="shared" ref="B3:B15" si="0">"DNS_" &amp; A3</f>
        <v>DNS_gfidevfight.com</v>
      </c>
      <c r="C3" s="29" t="s">
        <v>392</v>
      </c>
      <c r="D3" s="40">
        <v>3.5</v>
      </c>
    </row>
    <row r="4" spans="1:4" x14ac:dyDescent="0.25">
      <c r="A4" s="28" t="s">
        <v>752</v>
      </c>
      <c r="B4" s="28" t="str">
        <f t="shared" si="0"/>
        <v>DNS_gfidevfight.fr</v>
      </c>
      <c r="C4" s="29" t="s">
        <v>392</v>
      </c>
      <c r="D4" s="40">
        <v>3.5</v>
      </c>
    </row>
    <row r="5" spans="1:4" x14ac:dyDescent="0.25">
      <c r="A5" s="28" t="s">
        <v>753</v>
      </c>
      <c r="B5" s="28" t="str">
        <f t="shared" si="0"/>
        <v>DNS_gfidevfight.net</v>
      </c>
      <c r="C5" s="29" t="s">
        <v>392</v>
      </c>
      <c r="D5" s="40">
        <v>3.5</v>
      </c>
    </row>
    <row r="6" spans="1:4" x14ac:dyDescent="0.25">
      <c r="A6" s="28" t="s">
        <v>754</v>
      </c>
      <c r="B6" s="28" t="str">
        <f t="shared" si="0"/>
        <v>DNS_gfidevfight.org</v>
      </c>
      <c r="C6" s="29" t="s">
        <v>392</v>
      </c>
      <c r="D6" s="40">
        <v>3.5</v>
      </c>
    </row>
    <row r="7" spans="1:4" x14ac:dyDescent="0.25">
      <c r="A7" s="28" t="s">
        <v>755</v>
      </c>
      <c r="B7" s="28" t="str">
        <f t="shared" si="0"/>
        <v>DNS_gfidevfight.info</v>
      </c>
      <c r="C7" s="29" t="s">
        <v>392</v>
      </c>
      <c r="D7" s="40">
        <v>3.5</v>
      </c>
    </row>
    <row r="8" spans="1:4" x14ac:dyDescent="0.25">
      <c r="A8" s="28" t="s">
        <v>756</v>
      </c>
      <c r="B8" s="28" t="str">
        <f t="shared" si="0"/>
        <v>DNS_socialrobotics.fr</v>
      </c>
      <c r="C8" s="31" t="s">
        <v>397</v>
      </c>
      <c r="D8" s="40">
        <v>3.5</v>
      </c>
    </row>
    <row r="9" spans="1:4" x14ac:dyDescent="0.25">
      <c r="A9" s="28" t="s">
        <v>757</v>
      </c>
      <c r="B9" s="28" t="str">
        <f t="shared" si="0"/>
        <v>DNS_socialroboticslab.fr</v>
      </c>
      <c r="C9" s="31" t="s">
        <v>397</v>
      </c>
      <c r="D9" s="40">
        <v>3.5</v>
      </c>
    </row>
    <row r="10" spans="1:4" x14ac:dyDescent="0.25">
      <c r="A10" s="28" t="s">
        <v>758</v>
      </c>
      <c r="B10" s="28" t="str">
        <f t="shared" si="0"/>
        <v>DNS_socialroboticslab.com</v>
      </c>
      <c r="C10" s="31" t="s">
        <v>397</v>
      </c>
      <c r="D10" s="40">
        <v>3.5</v>
      </c>
    </row>
    <row r="11" spans="1:4" x14ac:dyDescent="0.25">
      <c r="A11" s="28" t="s">
        <v>759</v>
      </c>
      <c r="B11" s="28" t="str">
        <f t="shared" si="0"/>
        <v>DNS_labsocialrobotics.fr</v>
      </c>
      <c r="C11" s="31" t="s">
        <v>397</v>
      </c>
      <c r="D11" s="40">
        <v>3.5</v>
      </c>
    </row>
    <row r="12" spans="1:4" x14ac:dyDescent="0.25">
      <c r="A12" s="28" t="s">
        <v>760</v>
      </c>
      <c r="B12" s="28" t="str">
        <f t="shared" si="0"/>
        <v>DNS_labsocialrobotics.com</v>
      </c>
      <c r="C12" s="31" t="s">
        <v>397</v>
      </c>
      <c r="D12" s="40">
        <v>3.5</v>
      </c>
    </row>
    <row r="13" spans="1:4" x14ac:dyDescent="0.25">
      <c r="A13" s="28" t="s">
        <v>761</v>
      </c>
      <c r="B13" s="28" t="str">
        <f t="shared" si="0"/>
        <v>DNS_gfisocialrobotics.com</v>
      </c>
      <c r="C13" s="31" t="s">
        <v>397</v>
      </c>
      <c r="D13" s="40">
        <v>3.5</v>
      </c>
    </row>
    <row r="14" spans="1:4" x14ac:dyDescent="0.25">
      <c r="A14" s="28" t="s">
        <v>762</v>
      </c>
      <c r="B14" s="28" t="str">
        <f t="shared" si="0"/>
        <v>DNS_sroboticsp.com</v>
      </c>
      <c r="C14" s="31" t="s">
        <v>397</v>
      </c>
      <c r="D14" s="40">
        <v>3.5</v>
      </c>
    </row>
    <row r="15" spans="1:4" x14ac:dyDescent="0.25">
      <c r="A15" s="28" t="s">
        <v>763</v>
      </c>
      <c r="B15" s="28" t="str">
        <f t="shared" si="0"/>
        <v>DNS_sroboticsd.com</v>
      </c>
      <c r="C15" s="31" t="s">
        <v>397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764</v>
      </c>
      <c r="B1" s="27" t="s">
        <v>577</v>
      </c>
      <c r="C1" s="27" t="s">
        <v>578</v>
      </c>
    </row>
    <row r="2" spans="1:3" x14ac:dyDescent="0.25">
      <c r="A2" s="28" t="s">
        <v>765</v>
      </c>
      <c r="B2" s="29" t="s">
        <v>392</v>
      </c>
      <c r="C2" s="40">
        <v>14.08</v>
      </c>
    </row>
    <row r="3" spans="1:3" x14ac:dyDescent="0.25">
      <c r="A3" s="28" t="s">
        <v>766</v>
      </c>
      <c r="B3" s="31" t="s">
        <v>397</v>
      </c>
      <c r="C3" s="40">
        <v>45</v>
      </c>
    </row>
    <row r="4" spans="1:3" x14ac:dyDescent="0.25">
      <c r="A4" s="28" t="s">
        <v>767</v>
      </c>
      <c r="B4" s="31" t="s">
        <v>397</v>
      </c>
      <c r="C4" s="40">
        <v>45</v>
      </c>
    </row>
    <row r="5" spans="1:3" x14ac:dyDescent="0.25">
      <c r="A5" s="28" t="s">
        <v>768</v>
      </c>
      <c r="B5" s="31" t="s">
        <v>397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20"/>
  <sheetViews>
    <sheetView topLeftCell="A22" workbookViewId="0">
      <selection activeCell="A29" sqref="A29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458</v>
      </c>
      <c r="B1" t="s">
        <v>769</v>
      </c>
      <c r="C1" t="s">
        <v>770</v>
      </c>
      <c r="D1" s="6" t="s">
        <v>472</v>
      </c>
      <c r="E1" s="6" t="s">
        <v>478</v>
      </c>
      <c r="F1" s="6" t="s">
        <v>345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771</v>
      </c>
      <c r="C2" t="s">
        <v>84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772</v>
      </c>
      <c r="C3" t="s">
        <v>84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773</v>
      </c>
      <c r="C4" t="s">
        <v>84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774</v>
      </c>
      <c r="C5" t="s">
        <v>93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775</v>
      </c>
      <c r="C6" t="s">
        <v>84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776</v>
      </c>
      <c r="C7" t="s">
        <v>93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777</v>
      </c>
      <c r="C8" t="s">
        <v>93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778</v>
      </c>
      <c r="C9" t="s">
        <v>84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779</v>
      </c>
      <c r="C10" t="s">
        <v>93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780</v>
      </c>
      <c r="C11" t="s">
        <v>84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781</v>
      </c>
      <c r="C12" t="s">
        <v>93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782</v>
      </c>
      <c r="C13" t="s">
        <v>93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783</v>
      </c>
      <c r="C14" t="s">
        <v>84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784</v>
      </c>
      <c r="C15" t="s">
        <v>93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785</v>
      </c>
      <c r="C16" t="s">
        <v>93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786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787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788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789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790</v>
      </c>
      <c r="C21" t="s">
        <v>93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791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792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793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793</v>
      </c>
      <c r="C25" t="s">
        <v>794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795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796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797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Fablab-BeeFlex .:. PREPROD</v>
      </c>
      <c r="B29" t="s">
        <v>798</v>
      </c>
      <c r="C29" t="s">
        <v>295</v>
      </c>
      <c r="D29" s="5" t="str">
        <f>VLOOKUP(TabEnvProjet[[#This Row],[RefProjet]],TabProjet[],8,FALSE)</f>
        <v>Fablab-BeeFlex</v>
      </c>
      <c r="E29" s="5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Fablab-BeeFlex .:. PROD</v>
      </c>
      <c r="B30" t="s">
        <v>798</v>
      </c>
      <c r="C30" t="s">
        <v>30</v>
      </c>
      <c r="D30" s="5" t="str">
        <f>VLOOKUP(TabEnvProjet[[#This Row],[RefProjet]],TabProjet[],8,FALSE)</f>
        <v>Fablab-BeeFlex</v>
      </c>
      <c r="E30" s="5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DEV</v>
      </c>
      <c r="B31" t="s">
        <v>799</v>
      </c>
      <c r="C31" t="s">
        <v>6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PREPROD</v>
      </c>
      <c r="B32" t="s">
        <v>799</v>
      </c>
      <c r="C32" t="s">
        <v>295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PROD</v>
      </c>
      <c r="B33" t="s">
        <v>799</v>
      </c>
      <c r="C33" t="s">
        <v>30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Fablab-Firmin .:. QUAL</v>
      </c>
      <c r="B34" t="s">
        <v>799</v>
      </c>
      <c r="C34" t="s">
        <v>70</v>
      </c>
      <c r="D34" s="5" t="str">
        <f>VLOOKUP(TabEnvProjet[[#This Row],[RefProjet]],TabProjet[],8,FALSE)</f>
        <v>Fablab-Firmin</v>
      </c>
      <c r="E34" t="str">
        <f>VLOOKUP(TabEnvProjet[[#This Row],[RefProjet]],TabProjet[],6,FALSE)</f>
        <v>Pierre-Yves Baloche</v>
      </c>
      <c r="F34" s="5" t="str">
        <f>VLOOKUP(TabEnvProjet[[#This Row],[SYGES]],TabContrat[],3,FALSE)</f>
        <v>Fablab</v>
      </c>
    </row>
    <row r="35" spans="1:6" x14ac:dyDescent="0.25">
      <c r="A35" s="5" t="str">
        <f>TabEnvProjet[[#This Row],[RefProjet]] &amp; " .:. " &amp; TabEnvProjet[[#This Row],[RefEnv]]</f>
        <v>Fablab-Firmin .:. SOCLE</v>
      </c>
      <c r="B35" t="s">
        <v>799</v>
      </c>
      <c r="C35" t="s">
        <v>9</v>
      </c>
      <c r="D35" s="5" t="str">
        <f>VLOOKUP(TabEnvProjet[[#This Row],[RefProjet]],TabProjet[],8,FALSE)</f>
        <v>Fablab-Firmin</v>
      </c>
      <c r="E35" t="str">
        <f>VLOOKUP(TabEnvProjet[[#This Row],[RefProjet]],TabProjet[],6,FALSE)</f>
        <v>Pierre-Yves Baloche</v>
      </c>
      <c r="F35" s="5" t="str">
        <f>VLOOKUP(TabEnvProjet[[#This Row],[SYGES]],TabContrat[],3,FALSE)</f>
        <v>Fablab</v>
      </c>
    </row>
    <row r="36" spans="1:6" x14ac:dyDescent="0.25">
      <c r="A36" s="5" t="str">
        <f>TabEnvProjet[[#This Row],[RefProjet]] &amp; " .:. " &amp; TabEnvProjet[[#This Row],[RefEnv]]</f>
        <v>FOBA-Foba .:. OBSOLETE</v>
      </c>
      <c r="B36" t="s">
        <v>800</v>
      </c>
      <c r="C36" t="s">
        <v>13</v>
      </c>
      <c r="D36" s="5" t="str">
        <f>VLOOKUP(TabEnvProjet[[#This Row],[RefProjet]],TabProjet[],8,FALSE)</f>
        <v>Foba</v>
      </c>
      <c r="E36" t="str">
        <f>VLOOKUP(TabEnvProjet[[#This Row],[RefProjet]],TabProjet[],6,FALSE)</f>
        <v>Carl PITRE</v>
      </c>
      <c r="F36" s="5">
        <f>VLOOKUP(TabEnvProjet[[#This Row],[SYGES]],TabContrat[],3,FALSE)</f>
        <v>341530</v>
      </c>
    </row>
    <row r="37" spans="1:6" x14ac:dyDescent="0.25">
      <c r="A37" s="5" t="str">
        <f>TabEnvProjet[[#This Row],[RefProjet]] &amp; " .:. " &amp; TabEnvProjet[[#This Row],[RefEnv]]</f>
        <v>FRR-APPLIFRR .:. DEV</v>
      </c>
      <c r="B37" t="s">
        <v>801</v>
      </c>
      <c r="C37" t="s">
        <v>6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Pierre BOURLIEUX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FRR-CADENCIER .:. RECETTE</v>
      </c>
      <c r="B38" t="s">
        <v>802</v>
      </c>
      <c r="C38" t="s">
        <v>93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Pierre BOURLIEUX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FRR-Patapain .:. RECETTE</v>
      </c>
      <c r="B39" t="s">
        <v>803</v>
      </c>
      <c r="C39" t="s">
        <v>93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Rodolphe Habegger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FRR-STAGEDATA .:. DEV</v>
      </c>
      <c r="B40" t="s">
        <v>804</v>
      </c>
      <c r="C40" t="s">
        <v>6</v>
      </c>
      <c r="D40" s="5" t="str">
        <f>VLOOKUP(TabEnvProjet[[#This Row],[RefProjet]],TabProjet[],8,FALSE)</f>
        <v>FRR/TMASI</v>
      </c>
      <c r="E40" t="str">
        <f>VLOOKUP(TabEnvProjet[[#This Row],[RefProjet]],TabProjet[],6,FALSE)</f>
        <v>Valerie ASSELIN LOZACHMEUR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FRR-TCPOS .:. DEV</v>
      </c>
      <c r="B41" t="s">
        <v>805</v>
      </c>
      <c r="C41" t="s">
        <v>6</v>
      </c>
      <c r="D41" s="5" t="str">
        <f>VLOOKUP(TabEnvProjet[[#This Row],[RefProjet]],TabProjet[],8,FALSE)</f>
        <v>FRR/TMASI</v>
      </c>
      <c r="E41" t="str">
        <f>VLOOKUP(TabEnvProjet[[#This Row],[RefProjet]],TabProjet[],6,FALSE)</f>
        <v>Pierre BOURLIEUX</v>
      </c>
      <c r="F41" s="5">
        <f>VLOOKUP(TabEnvProjet[[#This Row],[SYGES]],TabContrat[],3,FALSE)</f>
        <v>305704</v>
      </c>
    </row>
    <row r="42" spans="1:6" x14ac:dyDescent="0.25">
      <c r="A42" s="5" t="str">
        <f>TabEnvProjet[[#This Row],[RefProjet]] &amp; " .:. " &amp; TabEnvProjet[[#This Row],[RefEnv]]</f>
        <v>Gest'ea / OUGC-Gest'ea / OUGC .:. DEV</v>
      </c>
      <c r="B42" t="s">
        <v>806</v>
      </c>
      <c r="C42" t="s">
        <v>6</v>
      </c>
      <c r="D42" s="5" t="str">
        <f>VLOOKUP(TabEnvProjet[[#This Row],[RefProjet]],TabProjet[],8,FALSE)</f>
        <v>Gest'ea / OUGC</v>
      </c>
      <c r="E42" t="str">
        <f>VLOOKUP(TabEnvProjet[[#This Row],[RefProjet]],TabProjet[],6,FALSE)</f>
        <v>Jean-Philippe STROIAZZO</v>
      </c>
      <c r="F42" s="5">
        <f>VLOOKUP(TabEnvProjet[[#This Row],[SYGES]],TabContrat[],3,FALSE)</f>
        <v>305704</v>
      </c>
    </row>
    <row r="43" spans="1:6" x14ac:dyDescent="0.25">
      <c r="A43" s="5" t="str">
        <f>TabEnvProjet[[#This Row],[RefProjet]] &amp; " .:. " &amp; TabEnvProjet[[#This Row],[RefEnv]]</f>
        <v>GFI-BASECONTACT .:. DEV</v>
      </c>
      <c r="B43" t="s">
        <v>807</v>
      </c>
      <c r="C43" t="s">
        <v>6</v>
      </c>
      <c r="D43" s="5" t="str">
        <f>VLOOKUP(TabEnvProjet[[#This Row],[RefProjet]],TabProjet[],8,FALSE)</f>
        <v>projet interne</v>
      </c>
      <c r="E43" t="str">
        <f>VLOOKUP(TabEnvProjet[[#This Row],[RefProjet]],TabProjet[],6,FALSE)</f>
        <v>Vincent MERIAU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GFI-Dev Fight .:. OBSOLETE</v>
      </c>
      <c r="B44" t="s">
        <v>808</v>
      </c>
      <c r="C44" t="s">
        <v>13</v>
      </c>
      <c r="D44" s="5" t="str">
        <f>VLOOKUP(TabEnvProjet[[#This Row],[RefProjet]],TabProjet[],8,FALSE)</f>
        <v>projet interne</v>
      </c>
      <c r="E44" t="str">
        <f>VLOOKUP(TabEnvProjet[[#This Row],[RefProjet]],TabProjet[],6,FALSE)</f>
        <v>Jérôme JACOB</v>
      </c>
      <c r="F44" s="5">
        <f>VLOOKUP(TabEnvProjet[[#This Row],[SYGES]],TabContrat[],3,FALSE)</f>
        <v>341531</v>
      </c>
    </row>
    <row r="45" spans="1:6" x14ac:dyDescent="0.25">
      <c r="A45" s="5" t="str">
        <f>TabEnvProjet[[#This Row],[RefProjet]] &amp; " .:. " &amp; TabEnvProjet[[#This Row],[RefEnv]]</f>
        <v>GFI-EveryDaily .:. QUAL_BUILD</v>
      </c>
      <c r="B45" t="s">
        <v>809</v>
      </c>
      <c r="C45" t="s">
        <v>26</v>
      </c>
      <c r="D45" s="5" t="str">
        <f>VLOOKUP(TabEnvProjet[[#This Row],[RefProjet]],TabProjet[],8,FALSE)</f>
        <v>SUPP-DIGI - 1530-2018 - 0 - 1 - Tache 1 - Perform</v>
      </c>
      <c r="E45" t="str">
        <f>VLOOKUP(TabEnvProjet[[#This Row],[RefProjet]],TabProjet[],6,FALSE)</f>
        <v>Vincent MERIAU</v>
      </c>
      <c r="F45" s="5">
        <f>VLOOKUP(TabEnvProjet[[#This Row],[SYGES]],TabContrat[],3,FALSE)</f>
        <v>341531</v>
      </c>
    </row>
    <row r="46" spans="1:6" x14ac:dyDescent="0.25">
      <c r="A46" s="5" t="str">
        <f>TabEnvProjet[[#This Row],[RefProjet]] &amp; " .:. " &amp; TabEnvProjet[[#This Row],[RefEnv]]</f>
        <v>GFI-Gestionnaire de devis (Niort) .:. DEV</v>
      </c>
      <c r="B46" t="s">
        <v>810</v>
      </c>
      <c r="C46" t="s">
        <v>6</v>
      </c>
      <c r="D46" s="5" t="str">
        <f>VLOOKUP(TabEnvProjet[[#This Row],[RefProjet]],TabProjet[],8,FALSE)</f>
        <v>GFIINT2019/ NRT-PJINT</v>
      </c>
      <c r="E46" t="str">
        <f>VLOOKUP(TabEnvProjet[[#This Row],[RefProjet]],TabProjet[],6,FALSE)</f>
        <v>Philippe De Guio</v>
      </c>
      <c r="F46" s="5">
        <f>VLOOKUP(TabEnvProjet[[#This Row],[SYGES]],TabContrat[],3,FALSE)</f>
        <v>341530</v>
      </c>
    </row>
    <row r="47" spans="1:6" x14ac:dyDescent="0.25">
      <c r="A47" s="5" t="str">
        <f>TabEnvProjet[[#This Row],[RefProjet]] &amp; " .:. " &amp; TabEnvProjet[[#This Row],[RefEnv]]</f>
        <v>GFI-Gestionnaire de tickets (Niort) .:. DEV</v>
      </c>
      <c r="B47" t="s">
        <v>811</v>
      </c>
      <c r="C47" t="s">
        <v>6</v>
      </c>
      <c r="D47" s="5" t="str">
        <f>VLOOKUP(TabEnvProjet[[#This Row],[RefProjet]],TabProjet[],8,FALSE)</f>
        <v>GFIINT2019/ NRT-PJINT</v>
      </c>
      <c r="E47" t="str">
        <f>VLOOKUP(TabEnvProjet[[#This Row],[RefProjet]],TabProjet[],6,FALSE)</f>
        <v>Philippe De Guio</v>
      </c>
      <c r="F47" s="5">
        <f>VLOOKUP(TabEnvProjet[[#This Row],[SYGES]],TabContrat[],3,FALSE)</f>
        <v>341530</v>
      </c>
    </row>
    <row r="48" spans="1:6" x14ac:dyDescent="0.25">
      <c r="A48" s="5" t="str">
        <f>TabEnvProjet[[#This Row],[RefProjet]] &amp; " .:. " &amp; TabEnvProjet[[#This Row],[RefEnv]]</f>
        <v>GFI-GFICOFFEE .:. DEV</v>
      </c>
      <c r="B48" t="s">
        <v>812</v>
      </c>
      <c r="C48" t="s">
        <v>6</v>
      </c>
      <c r="D48" s="5" t="str">
        <f>VLOOKUP(TabEnvProjet[[#This Row],[RefProjet]],TabProjet[],8,FALSE)</f>
        <v>projet interne Orléans</v>
      </c>
      <c r="E48" t="str">
        <f>VLOOKUP(TabEnvProjet[[#This Row],[RefProjet]],TabProjet[],6,FALSE)</f>
        <v>Christophe ORLANDO</v>
      </c>
      <c r="F48" s="5">
        <f>VLOOKUP(TabEnvProjet[[#This Row],[SYGES]],TabContrat[],3,FALSE)</f>
        <v>305704</v>
      </c>
    </row>
    <row r="49" spans="1:6" x14ac:dyDescent="0.25">
      <c r="A49" s="5" t="str">
        <f>TabEnvProjet[[#This Row],[RefProjet]] &amp; " .:. " &amp; TabEnvProjet[[#This Row],[RefEnv]]</f>
        <v>GFI-GitLab Orléans .:. PROD</v>
      </c>
      <c r="B49" t="s">
        <v>813</v>
      </c>
      <c r="C49" t="s">
        <v>30</v>
      </c>
      <c r="D49" s="5" t="str">
        <f>VLOOKUP(TabEnvProjet[[#This Row],[RefProjet]],TabProjet[],8,FALSE)</f>
        <v>GitLab Orléans</v>
      </c>
      <c r="E49" t="str">
        <f>VLOOKUP(TabEnvProjet[[#This Row],[RefProjet]],TabProjet[],6,FALSE)</f>
        <v>Christophe ORLANDO</v>
      </c>
      <c r="F49" s="5">
        <f>VLOOKUP(TabEnvProjet[[#This Row],[SYGES]],TabContrat[],3,FALSE)</f>
        <v>305704</v>
      </c>
    </row>
    <row r="50" spans="1:6" x14ac:dyDescent="0.25">
      <c r="A50" s="5" t="str">
        <f>TabEnvProjet[[#This Row],[RefProjet]] &amp; " .:. " &amp; TabEnvProjet[[#This Row],[RefEnv]]</f>
        <v>GFI-Jetbrain serveur licence .:. PROD</v>
      </c>
      <c r="B50" t="s">
        <v>814</v>
      </c>
      <c r="C50" t="s">
        <v>30</v>
      </c>
      <c r="D50" s="5" t="str">
        <f>VLOOKUP(TabEnvProjet[[#This Row],[RefProjet]],TabProjet[],8,FALSE)</f>
        <v>GFI-Jetbrain serveur licence</v>
      </c>
      <c r="E50" t="str">
        <f>VLOOKUP(TabEnvProjet[[#This Row],[RefProjet]],TabProjet[],6,FALSE)</f>
        <v>Jérôme JACOB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GFI-Linkus .:. PROD</v>
      </c>
      <c r="B51" t="s">
        <v>815</v>
      </c>
      <c r="C51" t="s">
        <v>30</v>
      </c>
      <c r="D51" s="5" t="str">
        <f>VLOOKUP(TabEnvProjet[[#This Row],[RefProjet]],TabProjet[],8,FALSE)</f>
        <v>SILICONE - 1530-2018 - 0 - 2 - Tache 2 – ORS</v>
      </c>
      <c r="E51" t="str">
        <f>VLOOKUP(TabEnvProjet[[#This Row],[RefProjet]],TabProjet[],6,FALSE)</f>
        <v>Michael Le-Ridant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GFI-Lotus Domino .:. DEV</v>
      </c>
      <c r="B52" t="s">
        <v>816</v>
      </c>
      <c r="C52" t="s">
        <v>6</v>
      </c>
      <c r="D52" s="5" t="str">
        <f>VLOOKUP(TabEnvProjet[[#This Row],[RefProjet]],TabProjet[],8,FALSE)</f>
        <v>GFI Lotus Domino</v>
      </c>
      <c r="E52" t="str">
        <f>VLOOKUP(TabEnvProjet[[#This Row],[RefProjet]],TabProjet[],6,FALSE)</f>
        <v>Matthias Rousseau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GFI-MARCO POLO .:. DEV_BUILD</v>
      </c>
      <c r="B53" t="s">
        <v>817</v>
      </c>
      <c r="C53" t="s">
        <v>19</v>
      </c>
      <c r="D53" s="5" t="str">
        <f>VLOOKUP(TabEnvProjet[[#This Row],[RefProjet]],TabProjet[],8,FALSE)</f>
        <v>SILICONE - 1530-2018 - 0 - 1 - Tache 1 – MarcoPolo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341531</v>
      </c>
    </row>
    <row r="54" spans="1:6" x14ac:dyDescent="0.25">
      <c r="A54" s="5" t="str">
        <f>TabEnvProjet[[#This Row],[RefProjet]] &amp; " .:. " &amp; TabEnvProjet[[#This Row],[RefEnv]]</f>
        <v>GFI-MARCO POLO .:. PROD</v>
      </c>
      <c r="B54" t="s">
        <v>817</v>
      </c>
      <c r="C54" t="s">
        <v>30</v>
      </c>
      <c r="D54" s="5" t="str">
        <f>VLOOKUP(TabEnvProjet[[#This Row],[RefProjet]],TabProjet[],8,FALSE)</f>
        <v>SILICONE - 1530-2018 - 0 - 1 - Tache 1 – MarcoPolo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341531</v>
      </c>
    </row>
    <row r="55" spans="1:6" x14ac:dyDescent="0.25">
      <c r="A55" s="5" t="str">
        <f>TabEnvProjet[[#This Row],[RefProjet]] &amp; " .:. " &amp; TabEnvProjet[[#This Row],[RefEnv]]</f>
        <v>GFI-MY BUSINESS .:. DEV</v>
      </c>
      <c r="B55" t="s">
        <v>818</v>
      </c>
      <c r="C55" t="s">
        <v>6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GFI-MY BUSINESS .:. PROD</v>
      </c>
      <c r="B56" t="s">
        <v>818</v>
      </c>
      <c r="C56" t="s">
        <v>30</v>
      </c>
      <c r="D56" s="5" t="str">
        <f>VLOOKUP(TabEnvProjet[[#This Row],[RefProjet]],TabProjet[],8,FALSE)</f>
        <v>GFIINT2019/ NRT-PJINT</v>
      </c>
      <c r="E56" t="str">
        <f>VLOOKUP(TabEnvProjet[[#This Row],[RefProjet]],TabProjet[],6,FALSE)</f>
        <v>Philippe De Guio</v>
      </c>
      <c r="F56" s="5">
        <f>VLOOKUP(TabEnvProjet[[#This Row],[SYGES]],TabContrat[],3,FALSE)</f>
        <v>341530</v>
      </c>
    </row>
    <row r="57" spans="1:6" x14ac:dyDescent="0.25">
      <c r="A57" s="5" t="str">
        <f>TabEnvProjet[[#This Row],[RefProjet]] &amp; " .:. " &amp; TabEnvProjet[[#This Row],[RefEnv]]</f>
        <v>GFI-MY BUSINESS .:. QUAL</v>
      </c>
      <c r="B57" t="s">
        <v>818</v>
      </c>
      <c r="C57" t="s">
        <v>70</v>
      </c>
      <c r="D57" s="5" t="str">
        <f>VLOOKUP(TabEnvProjet[[#This Row],[RefProjet]],TabProjet[],8,FALSE)</f>
        <v>GFIINT2019/ NRT-PJINT</v>
      </c>
      <c r="E57" t="str">
        <f>VLOOKUP(TabEnvProjet[[#This Row],[RefProjet]],TabProjet[],6,FALSE)</f>
        <v>Philippe De Guio</v>
      </c>
      <c r="F57" s="5">
        <f>VLOOKUP(TabEnvProjet[[#This Row],[SYGES]],TabContrat[],3,FALSE)</f>
        <v>341530</v>
      </c>
    </row>
    <row r="58" spans="1:6" x14ac:dyDescent="0.25">
      <c r="A58" s="5" t="str">
        <f>TabEnvProjet[[#This Row],[RefProjet]] &amp; " .:. " &amp; TabEnvProjet[[#This Row],[RefEnv]]</f>
        <v>GFI-Oceanet Gestion VM .:. PROD</v>
      </c>
      <c r="B58" t="s">
        <v>819</v>
      </c>
      <c r="C58" t="s">
        <v>30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Gestion VM .:. QUAL_RUN</v>
      </c>
      <c r="B59" t="s">
        <v>819</v>
      </c>
      <c r="C59" t="s">
        <v>24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Modèles .:. SOCLE</v>
      </c>
      <c r="B60" t="s">
        <v>820</v>
      </c>
      <c r="C60" t="s">
        <v>9</v>
      </c>
      <c r="D60" s="5" t="str">
        <f>VLOOKUP(TabEnvProjet[[#This Row],[RefProjet]],TabProjet[],8,FALSE)</f>
        <v>GFI Oceanet Infra Réseau</v>
      </c>
      <c r="E60" t="str">
        <f>VLOOKUP(TabEnvProjet[[#This Row],[RefProjet]],TabProjet[],6,FALSE)</f>
        <v>Jérôme JACOB</v>
      </c>
      <c r="F60" s="5" t="str">
        <f>VLOOKUP(TabEnvProjet[[#This Row],[SYGES]],TabContrat[],3,FALSE)</f>
        <v>CostCenterDI</v>
      </c>
    </row>
    <row r="61" spans="1:6" x14ac:dyDescent="0.25">
      <c r="A61" s="5" t="str">
        <f>TabEnvProjet[[#This Row],[RefProjet]] &amp; " .:. " &amp; TabEnvProjet[[#This Row],[RefEnv]]</f>
        <v>GFI-Oceanet Infra Réseau .:. SOCLE</v>
      </c>
      <c r="B61" t="s">
        <v>821</v>
      </c>
      <c r="C61" t="s">
        <v>9</v>
      </c>
      <c r="D61" s="5" t="str">
        <f>VLOOKUP(TabEnvProjet[[#This Row],[RefProjet]],TabProjet[],8,FALSE)</f>
        <v>GFI Oceanet Infra Réseau</v>
      </c>
      <c r="E61" t="str">
        <f>VLOOKUP(TabEnvProjet[[#This Row],[RefProjet]],TabProjet[],6,FALSE)</f>
        <v>Jérôme JACOB</v>
      </c>
      <c r="F61" s="5" t="str">
        <f>VLOOKUP(TabEnvProjet[[#This Row],[SYGES]],TabContrat[],3,FALSE)</f>
        <v>CostCenterDI</v>
      </c>
    </row>
    <row r="62" spans="1:6" x14ac:dyDescent="0.25">
      <c r="A62" s="5" t="str">
        <f>TabEnvProjet[[#This Row],[RefProjet]] &amp; " .:. " &amp; TabEnvProjet[[#This Row],[RefEnv]]</f>
        <v>GFI-Oceanet Infra Réseau Orléans .:. SOCLE</v>
      </c>
      <c r="B62" t="s">
        <v>822</v>
      </c>
      <c r="C62" t="s">
        <v>9</v>
      </c>
      <c r="D62" s="5" t="str">
        <f>VLOOKUP(TabEnvProjet[[#This Row],[RefProjet]],TabProjet[],8,FALSE)</f>
        <v>GFI Oceanet Infra Réseau Orléans</v>
      </c>
      <c r="E62" s="5" t="str">
        <f>VLOOKUP(TabEnvProjet[[#This Row],[RefProjet]],TabProjet[],6,FALSE)</f>
        <v>Christophe ORLANDO</v>
      </c>
      <c r="F62" s="5">
        <f>VLOOKUP(TabEnvProjet[[#This Row],[SYGES]],TabContrat[],3,FALSE)</f>
        <v>305704</v>
      </c>
    </row>
    <row r="63" spans="1:6" x14ac:dyDescent="0.25">
      <c r="A63" s="5" t="str">
        <f>TabEnvProjet[[#This Row],[RefProjet]] &amp; " .:. " &amp; TabEnvProjet[[#This Row],[RefEnv]]</f>
        <v>GFI-Oceanet Orléans PIC .:. QUAL_BUILD</v>
      </c>
      <c r="B63" t="s">
        <v>823</v>
      </c>
      <c r="C63" t="s">
        <v>26</v>
      </c>
      <c r="D63" s="5" t="str">
        <f>VLOOKUP(TabEnvProjet[[#This Row],[RefProjet]],TabProjet[],8,FALSE)</f>
        <v>GFI Oceanet Orléans PIC</v>
      </c>
      <c r="E63" t="str">
        <f>VLOOKUP(TabEnvProjet[[#This Row],[RefProjet]],TabProjet[],6,FALSE)</f>
        <v>Christophe ORLANDO</v>
      </c>
      <c r="F63" s="5">
        <f>VLOOKUP(TabEnvProjet[[#This Row],[SYGES]],TabContrat[],3,FALSE)</f>
        <v>305704</v>
      </c>
    </row>
    <row r="64" spans="1:6" x14ac:dyDescent="0.25">
      <c r="A64" s="5" t="str">
        <f>TabEnvProjet[[#This Row],[RefProjet]] &amp; " .:. " &amp; TabEnvProjet[[#This Row],[RefEnv]]</f>
        <v>GFI-Outil de notification automatique Jira (Niort) .:. PROD</v>
      </c>
      <c r="B64" t="s">
        <v>824</v>
      </c>
      <c r="C64" t="s">
        <v>30</v>
      </c>
      <c r="D64" s="5" t="str">
        <f>VLOOKUP(TabEnvProjet[[#This Row],[RefProjet]],TabProjet[],8,FALSE)</f>
        <v>GFIINT2019/ NRT-PJINT</v>
      </c>
      <c r="E64" t="str">
        <f>VLOOKUP(TabEnvProjet[[#This Row],[RefProjet]],TabProjet[],6,FALSE)</f>
        <v>Philippe De Guio</v>
      </c>
      <c r="F64" s="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GFI-POC Android .:. DEV_BUILD</v>
      </c>
      <c r="B65" t="s">
        <v>825</v>
      </c>
      <c r="C65" t="s">
        <v>19</v>
      </c>
      <c r="D65" s="5" t="str">
        <f>VLOOKUP(TabEnvProjet[[#This Row],[RefProjet]],TabProjet[],8,FALSE)</f>
        <v>SUPP-DIGI - 1530-2018 - 0 - 1 - Tache 1 - Perform</v>
      </c>
      <c r="E65" t="str">
        <f>VLOOKUP(TabEnvProjet[[#This Row],[RefProjet]],TabProjet[],6,FALSE)</f>
        <v>Vincent MERIAU</v>
      </c>
      <c r="F65" s="5">
        <f>VLOOKUP(TabEnvProjet[[#This Row],[SYGES]],TabContrat[],3,FALSE)</f>
        <v>341531</v>
      </c>
    </row>
    <row r="66" spans="1:6" x14ac:dyDescent="0.25">
      <c r="A66" s="5" t="str">
        <f>TabEnvProjet[[#This Row],[RefProjet]] &amp; " .:. " &amp; TabEnvProjet[[#This Row],[RefEnv]]</f>
        <v>GFI-POC Kubernetes Vault .:. DEV_BUILD</v>
      </c>
      <c r="B66" t="s">
        <v>826</v>
      </c>
      <c r="C66" t="s">
        <v>19</v>
      </c>
      <c r="D66" s="5" t="str">
        <f>VLOOKUP(TabEnvProjet[[#This Row],[RefProjet]],TabProjet[],8,FALSE)</f>
        <v>SUPP-DIGI - 1530-2018 - 0 - 1 - Tache 1 - Perform</v>
      </c>
      <c r="E66" s="5" t="str">
        <f>VLOOKUP(TabEnvProjet[[#This Row],[RefProjet]],TabProjet[],6,FALSE)</f>
        <v>Jérôme JACOB</v>
      </c>
      <c r="F66" s="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GFI-Redmine Niort .:. PROD</v>
      </c>
      <c r="B67" t="s">
        <v>827</v>
      </c>
      <c r="C67" t="s">
        <v>30</v>
      </c>
      <c r="D67" s="5" t="str">
        <f>VLOOKUP(TabEnvProjet[[#This Row],[RefProjet]],TabProjet[],8,FALSE)</f>
        <v>GFI Redmine Niort</v>
      </c>
      <c r="E67" t="str">
        <f>VLOOKUP(TabEnvProjet[[#This Row],[RefProjet]],TabProjet[],6,FALSE)</f>
        <v>Philippe De Guio</v>
      </c>
      <c r="F67" s="5">
        <f>VLOOKUP(TabEnvProjet[[#This Row],[SYGES]],TabContrat[],3,FALSE)</f>
        <v>341530</v>
      </c>
    </row>
    <row r="68" spans="1:6" x14ac:dyDescent="0.25">
      <c r="A68" s="5" t="str">
        <f>TabEnvProjet[[#This Row],[RefProjet]] &amp; " .:. " &amp; TabEnvProjet[[#This Row],[RefEnv]]</f>
        <v>GFI-Redmine Orléans .:. PROD</v>
      </c>
      <c r="B68" t="s">
        <v>828</v>
      </c>
      <c r="C68" t="s">
        <v>30</v>
      </c>
      <c r="D68" s="5" t="str">
        <f>VLOOKUP(TabEnvProjet[[#This Row],[RefProjet]],TabProjet[],8,FALSE)</f>
        <v>GFI Redmine Orléans</v>
      </c>
      <c r="E68" t="str">
        <f>VLOOKUP(TabEnvProjet[[#This Row],[RefProjet]],TabProjet[],6,FALSE)</f>
        <v>Christophe ORLANDO</v>
      </c>
      <c r="F68" s="5">
        <f>VLOOKUP(TabEnvProjet[[#This Row],[SYGES]],TabContrat[],3,FALSE)</f>
        <v>305704</v>
      </c>
    </row>
    <row r="69" spans="1:6" x14ac:dyDescent="0.25">
      <c r="A69" s="5" t="str">
        <f>TabEnvProjet[[#This Row],[RefProjet]] &amp; " .:. " &amp; TabEnvProjet[[#This Row],[RefEnv]]</f>
        <v>GFI-TENDER .:. DEV</v>
      </c>
      <c r="B69" t="s">
        <v>829</v>
      </c>
      <c r="C69" t="s">
        <v>6</v>
      </c>
      <c r="D69" s="5" t="str">
        <f>VLOOKUP(TabEnvProjet[[#This Row],[RefProjet]],TabProjet[],8,FALSE)</f>
        <v>projet interne</v>
      </c>
      <c r="E69" t="str">
        <f>VLOOKUP(TabEnvProjet[[#This Row],[RefProjet]],TabProjet[],6,FALSE)</f>
        <v>Christophe ORLANDO</v>
      </c>
      <c r="F69" s="5">
        <f>VLOOKUP(TabEnvProjet[[#This Row],[SYGES]],TabContrat[],3,FALSE)</f>
        <v>341531</v>
      </c>
    </row>
    <row r="70" spans="1:6" x14ac:dyDescent="0.25">
      <c r="A70" s="5" t="str">
        <f>TabEnvProjet[[#This Row],[RefProjet]] &amp; " .:. " &amp; TabEnvProjet[[#This Row],[RefEnv]]</f>
        <v>GFI-WE SPEC .:. QUAL</v>
      </c>
      <c r="B70" t="s">
        <v>830</v>
      </c>
      <c r="C70" t="s">
        <v>70</v>
      </c>
      <c r="D70" s="5" t="str">
        <f>VLOOKUP(TabEnvProjet[[#This Row],[RefProjet]],TabProjet[],8,FALSE)</f>
        <v>SILICONE - 1530-2018 - 0 - 2 - Tache 2 – ORS</v>
      </c>
      <c r="E70" t="str">
        <f>VLOOKUP(TabEnvProjet[[#This Row],[RefProjet]],TabProjet[],6,FALSE)</f>
        <v>Vincent MERIAU</v>
      </c>
      <c r="F70" s="5">
        <f>VLOOKUP(TabEnvProjet[[#This Row],[SYGES]],TabContrat[],3,FALSE)</f>
        <v>341531</v>
      </c>
    </row>
    <row r="71" spans="1:6" x14ac:dyDescent="0.25">
      <c r="A71" s="5" t="str">
        <f>TabEnvProjet[[#This Row],[RefProjet]] &amp; " .:. " &amp; TabEnvProjet[[#This Row],[RefEnv]]</f>
        <v>GIE S-V-Mantis - RR .:. PROD</v>
      </c>
      <c r="B71" t="s">
        <v>831</v>
      </c>
      <c r="C71" t="s">
        <v>30</v>
      </c>
      <c r="D71" s="5" t="str">
        <f>VLOOKUP(TabEnvProjet[[#This Row],[RefProjet]],TabProjet[],8,FALSE)</f>
        <v>GIESV/PCN17-01</v>
      </c>
      <c r="E71" t="str">
        <f>VLOOKUP(TabEnvProjet[[#This Row],[RefProjet]],TabProjet[],6,FALSE)</f>
        <v>Nicolas Cordier</v>
      </c>
      <c r="F71" s="5">
        <f>VLOOKUP(TabEnvProjet[[#This Row],[SYGES]],TabContrat[],3,FALSE)</f>
        <v>341531</v>
      </c>
    </row>
    <row r="72" spans="1:6" x14ac:dyDescent="0.25">
      <c r="A72" s="5" t="str">
        <f>TabEnvProjet[[#This Row],[RefProjet]] &amp; " .:. " &amp; TabEnvProjet[[#This Row],[RefEnv]]</f>
        <v>GIE S-V-Infra Citrix .:. DEV</v>
      </c>
      <c r="B72" t="s">
        <v>832</v>
      </c>
      <c r="C72" t="s">
        <v>6</v>
      </c>
      <c r="D72" s="5" t="str">
        <f>VLOOKUP(TabEnvProjet[[#This Row],[RefProjet]],TabProjet[],8,FALSE)</f>
        <v>GIESV/PCN17-01</v>
      </c>
      <c r="E72" s="5" t="str">
        <f>VLOOKUP(TabEnvProjet[[#This Row],[RefProjet]],TabProjet[],6,FALSE)</f>
        <v>Nicolas Cordier</v>
      </c>
      <c r="F72" s="5">
        <f>VLOOKUP(TabEnvProjet[[#This Row],[SYGES]],TabContrat[],3,FALSE)</f>
        <v>341531</v>
      </c>
    </row>
    <row r="73" spans="1:6" x14ac:dyDescent="0.25">
      <c r="A73" s="5" t="str">
        <f>TabEnvProjet[[#This Row],[RefProjet]] &amp; " .:. " &amp; TabEnvProjet[[#This Row],[RefEnv]]</f>
        <v>GIP RECIA-Plateformes CLOUD / Edition .:. DEV</v>
      </c>
      <c r="B73" t="s">
        <v>833</v>
      </c>
      <c r="C73" t="s">
        <v>6</v>
      </c>
      <c r="D73" s="5" t="str">
        <f>VLOOKUP(TabEnvProjet[[#This Row],[RefProjet]],TabProjet[],8,FALSE)</f>
        <v>GIP RECIA-Plateformes CLOUD / Edition</v>
      </c>
      <c r="E73" t="str">
        <f>VLOOKUP(TabEnvProjet[[#This Row],[RefProjet]],TabProjet[],6,FALSE)</f>
        <v>Christophe ORLANDO</v>
      </c>
      <c r="F73" s="5">
        <f>VLOOKUP(TabEnvProjet[[#This Row],[SYGES]],TabContrat[],3,FALSE)</f>
        <v>305704</v>
      </c>
    </row>
    <row r="74" spans="1:6" x14ac:dyDescent="0.25">
      <c r="A74" s="5" t="str">
        <f>TabEnvProjet[[#This Row],[RefProjet]] &amp; " .:. " &amp; TabEnvProjet[[#This Row],[RefEnv]]</f>
        <v>IT-CE-TMA .:. TMA</v>
      </c>
      <c r="B74" t="s">
        <v>834</v>
      </c>
      <c r="C74" t="s">
        <v>84</v>
      </c>
      <c r="D74" s="5" t="str">
        <f>VLOOKUP(TabEnvProjet[[#This Row],[RefProjet]],TabProjet[],8,FALSE)</f>
        <v>IT-CE/DFA</v>
      </c>
      <c r="E74" t="str">
        <f>VLOOKUP(TabEnvProjet[[#This Row],[RefProjet]],TabProjet[],6,FALSE)</f>
        <v>Christophe ORLANDO</v>
      </c>
      <c r="F74" s="5">
        <f>VLOOKUP(TabEnvProjet[[#This Row],[SYGES]],TabContrat[],3,FALSE)</f>
        <v>305704</v>
      </c>
    </row>
    <row r="75" spans="1:6" x14ac:dyDescent="0.25">
      <c r="A75" s="5" t="str">
        <f>TabEnvProjet[[#This Row],[RefProjet]] &amp; " .:. " &amp; TabEnvProjet[[#This Row],[RefEnv]]</f>
        <v>LA POSTE-CDC-DRUPAL .:. DEV</v>
      </c>
      <c r="B75" t="s">
        <v>835</v>
      </c>
      <c r="C75" t="s">
        <v>6</v>
      </c>
      <c r="D75" s="5" t="str">
        <f>VLOOKUP(TabEnvProjet[[#This Row],[RefProjet]],TabProjet[],8,FALSE)</f>
        <v>LA-POSTE-CDC-DRUPAL</v>
      </c>
      <c r="E75" s="5" t="str">
        <f>VLOOKUP(TabEnvProjet[[#This Row],[RefProjet]],TabProjet[],6,FALSE)</f>
        <v>Christophe ORLANDO</v>
      </c>
      <c r="F75" s="5">
        <f>VLOOKUP(TabEnvProjet[[#This Row],[SYGES]],TabContrat[],3,FALSE)</f>
        <v>305704</v>
      </c>
    </row>
    <row r="76" spans="1:6" x14ac:dyDescent="0.25">
      <c r="A76" s="5" t="str">
        <f>TabEnvProjet[[#This Row],[RefProjet]] &amp; " .:. " &amp; TabEnvProjet[[#This Row],[RefEnv]]</f>
        <v>LA POSTE-Go ACT .:. DEV</v>
      </c>
      <c r="B76" t="s">
        <v>836</v>
      </c>
      <c r="C76" t="s">
        <v>6</v>
      </c>
      <c r="D76">
        <f>VLOOKUP(TabEnvProjet[[#This Row],[RefProjet]],TabProjet[],8,FALSE)</f>
        <v>0</v>
      </c>
      <c r="E76" t="str">
        <f>VLOOKUP(TabEnvProjet[[#This Row],[RefProjet]],TabProjet[],6,FALSE)</f>
        <v>Paul Noitaky, Julien</v>
      </c>
      <c r="F76" s="5" t="e">
        <f>VLOOKUP(TabEnvProjet[[#This Row],[SYGES]],TabContrat[],3,FALSE)</f>
        <v>#N/A</v>
      </c>
    </row>
    <row r="77" spans="1:6" x14ac:dyDescent="0.25">
      <c r="A77" s="5" t="str">
        <f>TabEnvProjet[[#This Row],[RefProjet]] &amp; " .:. " &amp; TabEnvProjet[[#This Row],[RefEnv]]</f>
        <v>LA POSTE-OPOSSUM .:. DEV</v>
      </c>
      <c r="B77" t="s">
        <v>837</v>
      </c>
      <c r="C77" t="s">
        <v>6</v>
      </c>
      <c r="D77" s="5">
        <f>VLOOKUP(TabEnvProjet[[#This Row],[RefProjet]],TabProjet[],8,FALSE)</f>
        <v>0</v>
      </c>
      <c r="E77" t="str">
        <f>VLOOKUP(TabEnvProjet[[#This Row],[RefProjet]],TabProjet[],6,FALSE)</f>
        <v>Florian DUPONT</v>
      </c>
      <c r="F77" s="5" t="e">
        <f>VLOOKUP(TabEnvProjet[[#This Row],[SYGES]],TabContrat[],3,FALSE)</f>
        <v>#N/A</v>
      </c>
    </row>
    <row r="78" spans="1:6" x14ac:dyDescent="0.25">
      <c r="A78" s="5" t="str">
        <f>TabEnvProjet[[#This Row],[RefProjet]] &amp; " .:. " &amp; TabEnvProjet[[#This Row],[RefEnv]]</f>
        <v>LA POSTE-OPUS .:. DEV</v>
      </c>
      <c r="B78" t="s">
        <v>838</v>
      </c>
      <c r="C78" t="s">
        <v>6</v>
      </c>
      <c r="D78" s="5">
        <f>VLOOKUP(TabEnvProjet[[#This Row],[RefProjet]],TabProjet[],8,FALSE)</f>
        <v>0</v>
      </c>
      <c r="E78" t="str">
        <f>VLOOKUP(TabEnvProjet[[#This Row],[RefProjet]],TabProjet[],6,FALSE)</f>
        <v>Florian DUPONT</v>
      </c>
      <c r="F78" s="5" t="e">
        <f>VLOOKUP(TabEnvProjet[[#This Row],[SYGES]],TabContrat[],3,FALSE)</f>
        <v>#N/A</v>
      </c>
    </row>
    <row r="79" spans="1:6" x14ac:dyDescent="0.25">
      <c r="A79" s="5" t="str">
        <f>TabEnvProjet[[#This Row],[RefProjet]] &amp; " .:. " &amp; TabEnvProjet[[#This Row],[RefEnv]]</f>
        <v>LA POSTE-POP .:. DEV</v>
      </c>
      <c r="B79" t="s">
        <v>839</v>
      </c>
      <c r="C79" t="s">
        <v>6</v>
      </c>
      <c r="D79" s="5">
        <f>VLOOKUP(TabEnvProjet[[#This Row],[RefProjet]],TabProjet[],8,FALSE)</f>
        <v>0</v>
      </c>
      <c r="E79" t="str">
        <f>VLOOKUP(TabEnvProjet[[#This Row],[RefProjet]],TabProjet[],6,FALSE)</f>
        <v>Florian DUPONT</v>
      </c>
      <c r="F79" s="5" t="e">
        <f>VLOOKUP(TabEnvProjet[[#This Row],[SYGES]],TabContrat[],3,FALSE)</f>
        <v>#N/A</v>
      </c>
    </row>
    <row r="80" spans="1:6" x14ac:dyDescent="0.25">
      <c r="A80" s="5" t="str">
        <f>TabEnvProjet[[#This Row],[RefProjet]] &amp; " .:. " &amp; TabEnvProjet[[#This Row],[RefEnv]]</f>
        <v>LA POSTE-SIBP .:. DEV_BUILD</v>
      </c>
      <c r="B80" t="s">
        <v>840</v>
      </c>
      <c r="C80" t="s">
        <v>19</v>
      </c>
      <c r="D80" s="5" t="str">
        <f>VLOOKUP(TabEnvProjet[[#This Row],[RefProjet]],TabProjet[],8,FALSE)</f>
        <v>LAPOST-SIB - 382233 - 0 - 1 - Refonte du portail SIBP</v>
      </c>
      <c r="E80" t="str">
        <f>VLOOKUP(TabEnvProjet[[#This Row],[RefProjet]],TabProjet[],6,FALSE)</f>
        <v>Nicolas Legros</v>
      </c>
      <c r="F80" s="5">
        <f>VLOOKUP(TabEnvProjet[[#This Row],[SYGES]],TabContrat[],3,FALSE)</f>
        <v>341530</v>
      </c>
    </row>
    <row r="81" spans="1:6" x14ac:dyDescent="0.25">
      <c r="A81" s="5" t="str">
        <f>TabEnvProjet[[#This Row],[RefProjet]] &amp; " .:. " &amp; TabEnvProjet[[#This Row],[RefEnv]]</f>
        <v>LA POSTE-SIBP .:. QUAL_RUN</v>
      </c>
      <c r="B81" t="s">
        <v>840</v>
      </c>
      <c r="C81" t="s">
        <v>24</v>
      </c>
      <c r="D81" s="5" t="str">
        <f>VLOOKUP(TabEnvProjet[[#This Row],[RefProjet]],TabProjet[],8,FALSE)</f>
        <v>LAPOST-SIB - 382233 - 0 - 1 - Refonte du portail SIBP</v>
      </c>
      <c r="E81" t="str">
        <f>VLOOKUP(TabEnvProjet[[#This Row],[RefProjet]],TabProjet[],6,FALSE)</f>
        <v>Nicolas Legros</v>
      </c>
      <c r="F81" s="5">
        <f>VLOOKUP(TabEnvProjet[[#This Row],[SYGES]],TabContrat[],3,FALSE)</f>
        <v>341530</v>
      </c>
    </row>
    <row r="82" spans="1:6" x14ac:dyDescent="0.25">
      <c r="A82" s="5" t="str">
        <f>TabEnvProjet[[#This Row],[RefProjet]] &amp; " .:. " &amp; TabEnvProjet[[#This Row],[RefEnv]]</f>
        <v>MACIF-Transverse .:. SOCLE</v>
      </c>
      <c r="B82" t="s">
        <v>841</v>
      </c>
      <c r="C82" t="s">
        <v>9</v>
      </c>
      <c r="D82" s="5" t="str">
        <f>VLOOKUP(TabEnvProjet[[#This Row],[RefProjet]],TabProjet[],8,FALSE)</f>
        <v>MACIF-PHP/284244-17</v>
      </c>
      <c r="E82" t="str">
        <f>VLOOKUP(TabEnvProjet[[#This Row],[RefProjet]],TabProjet[],6,FALSE)</f>
        <v>Yann-Herve Mauguen</v>
      </c>
      <c r="F82" s="5">
        <f>VLOOKUP(TabEnvProjet[[#This Row],[SYGES]],TabContrat[],3,FALSE)</f>
        <v>341530</v>
      </c>
    </row>
    <row r="83" spans="1:6" x14ac:dyDescent="0.25">
      <c r="A83" s="5" t="str">
        <f>TabEnvProjet[[#This Row],[RefProjet]] &amp; " .:. " &amp; TabEnvProjet[[#This Row],[RefEnv]]</f>
        <v>MEAE-Hornet .:. DEV_RUN</v>
      </c>
      <c r="B83" t="s">
        <v>842</v>
      </c>
      <c r="C83" t="s">
        <v>16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MEAE-Redmine MEAE .:. PROD</v>
      </c>
      <c r="B84" t="s">
        <v>843</v>
      </c>
      <c r="C84" t="s">
        <v>30</v>
      </c>
      <c r="D84" s="5" t="str">
        <f>VLOOKUP(TabEnvProjet[[#This Row],[RefProjet]],TabProjet[],8,FALSE)</f>
        <v>MAE-PII-L2/334179</v>
      </c>
      <c r="E84" t="str">
        <f>VLOOKUP(TabEnvProjet[[#This Row],[RefProjet]],TabProjet[],6,FALSE)</f>
        <v>Axel Benoist-Gironiere</v>
      </c>
      <c r="F84" s="5">
        <f>VLOOKUP(TabEnvProjet[[#This Row],[SYGES]],TabContrat[],3,FALSE)</f>
        <v>341531</v>
      </c>
    </row>
    <row r="85" spans="1:6" x14ac:dyDescent="0.25">
      <c r="A85" s="5" t="str">
        <f>TabEnvProjet[[#This Row],[RefProjet]] &amp; " .:. " &amp; TabEnvProjet[[#This Row],[RefEnv]]</f>
        <v>MEAE-SAGAIE TMA .:. ARCHIVE</v>
      </c>
      <c r="B85" t="s">
        <v>844</v>
      </c>
      <c r="C85" t="s">
        <v>845</v>
      </c>
      <c r="D85" s="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s="5" t="str">
        <f>TabEnvProjet[[#This Row],[RefProjet]] &amp; " .:. " &amp; TabEnvProjet[[#This Row],[RefEnv]]</f>
        <v>MEAE-SAGAIE TMA .:. ARRET</v>
      </c>
      <c r="B86" t="s">
        <v>844</v>
      </c>
      <c r="C86" t="s">
        <v>79</v>
      </c>
      <c r="D86" s="5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t="str">
        <f>TabEnvProjet[[#This Row],[RefProjet]] &amp; " .:. " &amp; TabEnvProjet[[#This Row],[RefEnv]]</f>
        <v>MEAE-SAGAIE TMA .:. DEV</v>
      </c>
      <c r="B87" t="s">
        <v>844</v>
      </c>
      <c r="C87" t="s">
        <v>6</v>
      </c>
      <c r="D87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DEV_BUILD</v>
      </c>
      <c r="B88" t="s">
        <v>844</v>
      </c>
      <c r="C88" t="s">
        <v>19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DEV_RUN</v>
      </c>
      <c r="B89" t="s">
        <v>844</v>
      </c>
      <c r="C89" t="s">
        <v>16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t="str">
        <f>TabEnvProjet[[#This Row],[RefProjet]] &amp; " .:. " &amp; TabEnvProjet[[#This Row],[RefEnv]]</f>
        <v>MEAE-SAGAIE TMA .:. OBSOLETE</v>
      </c>
      <c r="B90" t="s">
        <v>844</v>
      </c>
      <c r="C90" t="s">
        <v>13</v>
      </c>
      <c r="D90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t="str">
        <f>TabEnvProjet[[#This Row],[RefProjet]] &amp; " .:. " &amp; TabEnvProjet[[#This Row],[RefEnv]]</f>
        <v>MEAE-SAGAIE TMA .:. QUAL</v>
      </c>
      <c r="B91" t="s">
        <v>844</v>
      </c>
      <c r="C91" t="s">
        <v>70</v>
      </c>
      <c r="D91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MEAE-SAGAIE TMA .:. QUAL_BUILD</v>
      </c>
      <c r="B92" t="s">
        <v>844</v>
      </c>
      <c r="C92" t="s">
        <v>26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Benoist-Gironiere, Vincent MERIAU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MEAE-SAGAIE TMA .:. QUAL_RUN</v>
      </c>
      <c r="B93" t="s">
        <v>844</v>
      </c>
      <c r="C93" t="s">
        <v>24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Benoist-Gironiere, Vincent MERIAU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MEAE-SAGAIE TMA .:. SOCLE</v>
      </c>
      <c r="B94" t="s">
        <v>844</v>
      </c>
      <c r="C94" t="s">
        <v>9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Benoist-Gironiere, Vincent MERIAU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MEAE-SAGAIE TMA .:. SUPPR</v>
      </c>
      <c r="B95" t="s">
        <v>844</v>
      </c>
      <c r="C95" t="s">
        <v>846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Benoist-Gironiere, Vincent MERIAU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MEAE-SAGAIE TMA .:. TMA-PROD</v>
      </c>
      <c r="B96" t="s">
        <v>844</v>
      </c>
      <c r="C96" t="s">
        <v>847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Benoist-Gironiere, Vincent MERIAU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ARCHIVE</v>
      </c>
      <c r="B97" t="s">
        <v>848</v>
      </c>
      <c r="C97" t="s">
        <v>845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ARRET</v>
      </c>
      <c r="B98" t="s">
        <v>848</v>
      </c>
      <c r="C98" t="s">
        <v>79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MEAE-Visa .:. DEV</v>
      </c>
      <c r="B99" t="s">
        <v>848</v>
      </c>
      <c r="C99" t="s">
        <v>6</v>
      </c>
      <c r="D99" s="5" t="str">
        <f>VLOOKUP(TabEnvProjet[[#This Row],[RefProjet]],TabProjet[],8,FALSE)</f>
        <v>MAE-PII-L2/334179-17</v>
      </c>
      <c r="E99" t="str">
        <f>VLOOKUP(TabEnvProjet[[#This Row],[RefProjet]],TabProjet[],6,FALSE)</f>
        <v>Axel Benoist-Gironiere</v>
      </c>
      <c r="F99" s="5">
        <f>VLOOKUP(TabEnvProjet[[#This Row],[SYGES]],TabContrat[],3,FALSE)</f>
        <v>341531</v>
      </c>
    </row>
    <row r="100" spans="1:6" x14ac:dyDescent="0.25">
      <c r="A100" s="5" t="str">
        <f>TabEnvProjet[[#This Row],[RefProjet]] &amp; " .:. " &amp; TabEnvProjet[[#This Row],[RefEnv]]</f>
        <v>MEAE-Visa .:. OBSOLETE</v>
      </c>
      <c r="B100" t="s">
        <v>848</v>
      </c>
      <c r="C100" t="s">
        <v>13</v>
      </c>
      <c r="D100" s="5" t="str">
        <f>VLOOKUP(TabEnvProjet[[#This Row],[RefProjet]],TabProjet[],8,FALSE)</f>
        <v>MAE-PII-L2/334179-17</v>
      </c>
      <c r="E100" t="str">
        <f>VLOOKUP(TabEnvProjet[[#This Row],[RefProjet]],TabProjet[],6,FALSE)</f>
        <v>Axel Benoist-Gironiere</v>
      </c>
      <c r="F100" s="5">
        <f>VLOOKUP(TabEnvProjet[[#This Row],[SYGES]],TabContrat[],3,FALSE)</f>
        <v>341531</v>
      </c>
    </row>
    <row r="101" spans="1:6" x14ac:dyDescent="0.25">
      <c r="A101" s="5" t="str">
        <f>TabEnvProjet[[#This Row],[RefProjet]] &amp; " .:. " &amp; TabEnvProjet[[#This Row],[RefEnv]]</f>
        <v>MEAE-Visa .:. QUAL</v>
      </c>
      <c r="B101" t="s">
        <v>848</v>
      </c>
      <c r="C101" t="s">
        <v>70</v>
      </c>
      <c r="D101" s="5" t="str">
        <f>VLOOKUP(TabEnvProjet[[#This Row],[RefProjet]],TabProjet[],8,FALSE)</f>
        <v>MAE-PII-L2/334179-17</v>
      </c>
      <c r="E101" t="str">
        <f>VLOOKUP(TabEnvProjet[[#This Row],[RefProjet]],TabProjet[],6,FALSE)</f>
        <v>Axel Benoist-Gironiere</v>
      </c>
      <c r="F101" s="5">
        <f>VLOOKUP(TabEnvProjet[[#This Row],[SYGES]],TabContrat[],3,FALSE)</f>
        <v>341531</v>
      </c>
    </row>
    <row r="102" spans="1:6" x14ac:dyDescent="0.25">
      <c r="A102" s="5" t="str">
        <f>TabEnvProjet[[#This Row],[RefProjet]] &amp; " .:. " &amp; TabEnvProjet[[#This Row],[RefEnv]]</f>
        <v>MEAE-Visa .:. SOCLE</v>
      </c>
      <c r="B102" t="s">
        <v>848</v>
      </c>
      <c r="C102" t="s">
        <v>9</v>
      </c>
      <c r="D102" s="5" t="str">
        <f>VLOOKUP(TabEnvProjet[[#This Row],[RefProjet]],TabProjet[],8,FALSE)</f>
        <v>MAE-PII-L2/334179-17</v>
      </c>
      <c r="E102" t="str">
        <f>VLOOKUP(TabEnvProjet[[#This Row],[RefProjet]],TabProjet[],6,FALSE)</f>
        <v>Axel Benoist-Gironiere</v>
      </c>
      <c r="F102" s="5">
        <f>VLOOKUP(TabEnvProjet[[#This Row],[SYGES]],TabContrat[],3,FALSE)</f>
        <v>341531</v>
      </c>
    </row>
    <row r="103" spans="1:6" x14ac:dyDescent="0.25">
      <c r="A103" s="5" t="str">
        <f>TabEnvProjet[[#This Row],[RefProjet]] &amp; " .:. " &amp; TabEnvProjet[[#This Row],[RefEnv]]</f>
        <v>MEAE-Visa .:. SUPPR</v>
      </c>
      <c r="B103" t="s">
        <v>848</v>
      </c>
      <c r="C103" t="s">
        <v>846</v>
      </c>
      <c r="D103" s="5" t="str">
        <f>VLOOKUP(TabEnvProjet[[#This Row],[RefProjet]],TabProjet[],8,FALSE)</f>
        <v>MAE-PII-L2/334179-17</v>
      </c>
      <c r="E103" t="str">
        <f>VLOOKUP(TabEnvProjet[[#This Row],[RefProjet]],TabProjet[],6,FALSE)</f>
        <v>Axel Benoist-Gironiere</v>
      </c>
      <c r="F103" s="5">
        <f>VLOOKUP(TabEnvProjet[[#This Row],[SYGES]],TabContrat[],3,FALSE)</f>
        <v>341531</v>
      </c>
    </row>
    <row r="104" spans="1:6" x14ac:dyDescent="0.25">
      <c r="A104" s="5" t="str">
        <f>TabEnvProjet[[#This Row],[RefProjet]] &amp; " .:. " &amp; TabEnvProjet[[#This Row],[RefEnv]]</f>
        <v>MEAE-Prevoirh .:. DEV</v>
      </c>
      <c r="B104" t="s">
        <v>849</v>
      </c>
      <c r="C104" t="s">
        <v>6</v>
      </c>
      <c r="D104" s="5" t="str">
        <f>VLOOKUP(TabEnvProjet[[#This Row],[RefProjet]],TabProjet[],8,FALSE)</f>
        <v>MAE-PII-L2/334179-17</v>
      </c>
      <c r="E104" s="5" t="str">
        <f>VLOOKUP(TabEnvProjet[[#This Row],[RefProjet]],TabProjet[],6,FALSE)</f>
        <v>Axel Benoist-Gironiere</v>
      </c>
      <c r="F104" s="5">
        <f>VLOOKUP(TabEnvProjet[[#This Row],[SYGES]],TabContrat[],3,FALSE)</f>
        <v>341531</v>
      </c>
    </row>
    <row r="105" spans="1:6" x14ac:dyDescent="0.25">
      <c r="A105" s="5" t="str">
        <f>TabEnvProjet[[#This Row],[RefProjet]] &amp; " .:. " &amp; TabEnvProjet[[#This Row],[RefEnv]]</f>
        <v>MENESR-APAE .:. RECETTE</v>
      </c>
      <c r="B105" t="s">
        <v>850</v>
      </c>
      <c r="C105" t="s">
        <v>93</v>
      </c>
      <c r="D105" s="5" t="str">
        <f>VLOOKUP(TabEnvProjet[[#This Row],[RefProjet]],TabProjet[],8,FALSE)</f>
        <v>MENESR/TMA</v>
      </c>
      <c r="E105" t="str">
        <f>VLOOKUP(TabEnvProjet[[#This Row],[RefProjet]],TabProjet[],6,FALSE)</f>
        <v>Pierre BOURLIEUX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MENESR-BNIE .:. RECETTE</v>
      </c>
      <c r="B106" t="s">
        <v>851</v>
      </c>
      <c r="C106" t="s">
        <v>93</v>
      </c>
      <c r="D106" s="5" t="str">
        <f>VLOOKUP(TabEnvProjet[[#This Row],[RefProjet]],TabProjet[],8,FALSE)</f>
        <v>MENESR/TMA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MENESR-INES .:. RECETTE</v>
      </c>
      <c r="B107" t="s">
        <v>852</v>
      </c>
      <c r="C107" t="s">
        <v>93</v>
      </c>
      <c r="D107" s="5" t="str">
        <f>VLOOKUP(TabEnvProjet[[#This Row],[RefProjet]],TabProjet[],8,FALSE)</f>
        <v>MENESR/TMA</v>
      </c>
      <c r="E107" t="str">
        <f>VLOOKUP(TabEnvProjet[[#This Row],[RefProjet]],TabProjet[],6,FALSE)</f>
        <v>Pierre BOURLIEUX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MENESR-RNIE .:. DEV</v>
      </c>
      <c r="B108" t="s">
        <v>853</v>
      </c>
      <c r="C108" t="s">
        <v>6</v>
      </c>
      <c r="D108" s="5" t="str">
        <f>VLOOKUP(TabEnvProjet[[#This Row],[RefProjet]],TabProjet[],8,FALSE)</f>
        <v>MENESR/TMA</v>
      </c>
      <c r="E108" t="str">
        <f>VLOOKUP(TabEnvProjet[[#This Row],[RefProjet]],TabProjet[],6,FALSE)</f>
        <v>Pierre BOURLIEUX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ONEMA-ASPE .:. DEV</v>
      </c>
      <c r="B109" t="s">
        <v>854</v>
      </c>
      <c r="C109" t="s">
        <v>6</v>
      </c>
      <c r="D109" s="5" t="str">
        <f>VLOOKUP(TabEnvProjet[[#This Row],[RefProjet]],TabProjet[],8,FALSE)</f>
        <v>ONEMA/TMADCIE-15</v>
      </c>
      <c r="E109" t="str">
        <f>VLOOKUP(TabEnvProjet[[#This Row],[RefProjet]],TabProjet[],6,FALSE)</f>
        <v>Christophe ORLANDO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ONEMA-CDR - TMA WEB .:. TMA</v>
      </c>
      <c r="B110" t="s">
        <v>855</v>
      </c>
      <c r="C110" t="s">
        <v>84</v>
      </c>
      <c r="D110" s="5" t="str">
        <f>VLOOKUP(TabEnvProjet[[#This Row],[RefProjet]],TabProjet[],8,FALSE)</f>
        <v>ONEMA/TMAWEB-16</v>
      </c>
      <c r="E110" t="str">
        <f>VLOOKUP(TabEnvProjet[[#This Row],[RefProjet]],TabProjet[],6,FALSE)</f>
        <v>Pierre BOURLIEUX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ONEMA-GEOF-SNPE .:. TMA</v>
      </c>
      <c r="B111" t="s">
        <v>856</v>
      </c>
      <c r="C111" t="s">
        <v>84</v>
      </c>
      <c r="D111" s="5" t="str">
        <f>VLOOKUP(TabEnvProjet[[#This Row],[RefProjet]],TabProjet[],8,FALSE)</f>
        <v>ONEMA/TMADCIE-15</v>
      </c>
      <c r="E111" t="str">
        <f>VLOOKUP(TabEnvProjet[[#This Row],[RefProjet]],TabProjet[],6,FALSE)</f>
        <v>Christophe ORLANDO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ONEMA-OPALE .:. RECETTE</v>
      </c>
      <c r="B112" t="s">
        <v>857</v>
      </c>
      <c r="C112" t="s">
        <v>93</v>
      </c>
      <c r="D112" s="5" t="str">
        <f>VLOOKUP(TabEnvProjet[[#This Row],[RefProjet]],TabProjet[],8,FALSE)</f>
        <v>ONEMA/TMADCIE-15</v>
      </c>
      <c r="E112" t="str">
        <f>VLOOKUP(TabEnvProjet[[#This Row],[RefProjet]],TabProjet[],6,FALSE)</f>
        <v>Pierre BOURLIEUX</v>
      </c>
      <c r="F112" s="5">
        <f>VLOOKUP(TabEnvProjet[[#This Row],[SYGES]],TabContrat[],3,FALSE)</f>
        <v>305704</v>
      </c>
    </row>
    <row r="113" spans="1:6" x14ac:dyDescent="0.25">
      <c r="A113" s="5" t="str">
        <f>TabEnvProjet[[#This Row],[RefProjet]] &amp; " .:. " &amp; TabEnvProjet[[#This Row],[RefEnv]]</f>
        <v>PCM-ALS .:. RECETTE</v>
      </c>
      <c r="B113" t="s">
        <v>858</v>
      </c>
      <c r="C113" t="s">
        <v>93</v>
      </c>
      <c r="D113" s="5" t="str">
        <f>VLOOKUP(TabEnvProjet[[#This Row],[RefProjet]],TabProjet[],8,FALSE)</f>
        <v>PCM-WEB</v>
      </c>
      <c r="E113" t="str">
        <f>VLOOKUP(TabEnvProjet[[#This Row],[RefProjet]],TabProjet[],6,FALSE)</f>
        <v>Alice MARCHAL</v>
      </c>
      <c r="F113" s="5">
        <f>VLOOKUP(TabEnvProjet[[#This Row],[SYGES]],TabContrat[],3,FALSE)</f>
        <v>305704</v>
      </c>
    </row>
    <row r="114" spans="1:6" x14ac:dyDescent="0.25">
      <c r="A114" s="5" t="str">
        <f>TabEnvProjet[[#This Row],[RefProjet]] &amp; " .:. " &amp; TabEnvProjet[[#This Row],[RefEnv]]</f>
        <v>PRIZER-TMA .:. TMA</v>
      </c>
      <c r="B114" t="s">
        <v>859</v>
      </c>
      <c r="C114" t="s">
        <v>84</v>
      </c>
      <c r="D114" s="5" t="str">
        <f>VLOOKUP(TabEnvProjet[[#This Row],[RefProjet]],TabProjet[],8,FALSE)</f>
        <v>PRIZER-TMA</v>
      </c>
      <c r="E114" t="str">
        <f>VLOOKUP(TabEnvProjet[[#This Row],[RefProjet]],TabProjet[],6,FALSE)</f>
        <v>Valerie ASSELIN LOZACHMEUR</v>
      </c>
      <c r="F114" s="5">
        <f>VLOOKUP(TabEnvProjet[[#This Row],[SYGES]],TabContrat[],3,FALSE)</f>
        <v>305704</v>
      </c>
    </row>
    <row r="115" spans="1:6" x14ac:dyDescent="0.25">
      <c r="A115" s="5" t="str">
        <f>TabEnvProjet[[#This Row],[RefProjet]] &amp; " .:. " &amp; TabEnvProjet[[#This Row],[RefEnv]]</f>
        <v>RECIA-GRR .:. DEV</v>
      </c>
      <c r="B115" t="s">
        <v>860</v>
      </c>
      <c r="C115" t="s">
        <v>6</v>
      </c>
      <c r="D115" s="5" t="str">
        <f>VLOOKUP(TabEnvProjet[[#This Row],[RefProjet]],TabProjet[],8,FALSE)</f>
        <v>RECIA/AC-18</v>
      </c>
      <c r="E115" t="str">
        <f>VLOOKUP(TabEnvProjet[[#This Row],[RefProjet]],TabProjet[],6,FALSE)</f>
        <v>Christophe ORLANDO</v>
      </c>
      <c r="F115" s="5">
        <f>VLOOKUP(TabEnvProjet[[#This Row],[SYGES]],TabContrat[],3,FALSE)</f>
        <v>305704</v>
      </c>
    </row>
    <row r="116" spans="1:6" x14ac:dyDescent="0.25">
      <c r="A116" s="5" t="str">
        <f>TabEnvProjet[[#This Row],[RefProjet]] &amp; " .:. " &amp; TabEnvProjet[[#This Row],[RefEnv]]</f>
        <v>STMICRO-RUN2RUN .:. DEV</v>
      </c>
      <c r="B116" t="s">
        <v>861</v>
      </c>
      <c r="C116" t="s">
        <v>6</v>
      </c>
      <c r="D116" s="5" t="str">
        <f>VLOOKUP(TabEnvProjet[[#This Row],[RefProjet]],TabProjet[],8,FALSE)</f>
        <v>STMICRO/TMA-R2R-17</v>
      </c>
      <c r="E116" t="str">
        <f>VLOOKUP(TabEnvProjet[[#This Row],[RefProjet]],TabProjet[],6,FALSE)</f>
        <v>Jean-Philippe STROIAZZO</v>
      </c>
      <c r="F116" s="5">
        <f>VLOOKUP(TabEnvProjet[[#This Row],[SYGES]],TabContrat[],3,FALSE)</f>
        <v>305704</v>
      </c>
    </row>
    <row r="117" spans="1:6" x14ac:dyDescent="0.25">
      <c r="A117" s="5" t="str">
        <f>TabEnvProjet[[#This Row],[RefProjet]] &amp; " .:. " &amp; TabEnvProjet[[#This Row],[RefEnv]]</f>
        <v>STMICRO-STARK .:. DEV</v>
      </c>
      <c r="B117" t="s">
        <v>862</v>
      </c>
      <c r="C117" t="s">
        <v>6</v>
      </c>
      <c r="D117" s="5" t="str">
        <f>VLOOKUP(TabEnvProjet[[#This Row],[RefProjet]],TabProjet[],8,FALSE)</f>
        <v>STMICRO/TMASI</v>
      </c>
      <c r="E117" t="str">
        <f>VLOOKUP(TabEnvProjet[[#This Row],[RefProjet]],TabProjet[],6,FALSE)</f>
        <v>Jean-Philippe STROIAZZO</v>
      </c>
      <c r="F117" s="5">
        <f>VLOOKUP(TabEnvProjet[[#This Row],[SYGES]],TabContrat[],3,FALSE)</f>
        <v>305704</v>
      </c>
    </row>
    <row r="118" spans="1:6" x14ac:dyDescent="0.25">
      <c r="A118" s="5" t="str">
        <f>TabEnvProjet[[#This Row],[RefProjet]] &amp; " .:. " &amp; TabEnvProjet[[#This Row],[RefEnv]]</f>
        <v>Vivesco-Vives-taux .:. DEV</v>
      </c>
      <c r="B118" t="s">
        <v>863</v>
      </c>
      <c r="C118" t="s">
        <v>6</v>
      </c>
      <c r="D118" s="5" t="str">
        <f>VLOOKUP(TabEnvProjet[[#This Row],[RefProjet]],TabProjet[],8,FALSE)</f>
        <v>VIVESC-TAU/S240776A</v>
      </c>
      <c r="E118" t="str">
        <f>VLOOKUP(TabEnvProjet[[#This Row],[RefProjet]],TabProjet[],6,FALSE)</f>
        <v>Pierre Maurupt</v>
      </c>
      <c r="F118" s="5">
        <f>VLOOKUP(TabEnvProjet[[#This Row],[SYGES]],TabContrat[],3,FALSE)</f>
        <v>341530</v>
      </c>
    </row>
    <row r="119" spans="1:6" x14ac:dyDescent="0.25">
      <c r="A119" s="5" t="str">
        <f>TabEnvProjet[[#This Row],[RefProjet]] &amp; " .:. " &amp; TabEnvProjet[[#This Row],[RefEnv]]</f>
        <v>Vivesco-Vives-taux .:. QUAL</v>
      </c>
      <c r="B119" t="s">
        <v>863</v>
      </c>
      <c r="C119" t="s">
        <v>70</v>
      </c>
      <c r="D119" s="5" t="str">
        <f>VLOOKUP(TabEnvProjet[[#This Row],[RefProjet]],TabProjet[],8,FALSE)</f>
        <v>VIVESC-TAU/S240776A</v>
      </c>
      <c r="E119" t="str">
        <f>VLOOKUP(TabEnvProjet[[#This Row],[RefProjet]],TabProjet[],6,FALSE)</f>
        <v>Pierre Maurupt</v>
      </c>
      <c r="F119" s="5">
        <f>VLOOKUP(TabEnvProjet[[#This Row],[SYGES]],TabContrat[],3,FALSE)</f>
        <v>341530</v>
      </c>
    </row>
    <row r="120" spans="1:6" x14ac:dyDescent="0.25">
      <c r="A120" s="5" t="str">
        <f>TabEnvProjet[[#This Row],[RefProjet]] &amp; " .:. " &amp; TabEnvProjet[[#This Row],[RefEnv]]</f>
        <v>Vivesco-Vives-taux .:. RECETTE</v>
      </c>
      <c r="B120" t="s">
        <v>863</v>
      </c>
      <c r="C120" t="s">
        <v>93</v>
      </c>
      <c r="D120" s="5" t="str">
        <f>VLOOKUP(TabEnvProjet[[#This Row],[RefProjet]],TabProjet[],8,FALSE)</f>
        <v>VIVESC-TAU/S240776A</v>
      </c>
      <c r="E120" t="str">
        <f>VLOOKUP(TabEnvProjet[[#This Row],[RefProjet]],TabProjet[],6,FALSE)</f>
        <v>Pierre Maurupt</v>
      </c>
      <c r="F120" s="5">
        <f>VLOOKUP(TabEnvProjet[[#This Row],[SYGES]],TabContrat[],3,FALSE)</f>
        <v>341530</v>
      </c>
    </row>
  </sheetData>
  <dataValidations count="2">
    <dataValidation type="list" allowBlank="1" showInputMessage="1" showErrorMessage="1" sqref="C2:C120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20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7"/>
  <sheetViews>
    <sheetView showGridLines="0" topLeftCell="A44" zoomScale="70" zoomScaleNormal="70" workbookViewId="0">
      <selection activeCell="H80" sqref="H80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864</v>
      </c>
      <c r="B2" t="s">
        <v>369</v>
      </c>
      <c r="C2" t="s">
        <v>477</v>
      </c>
      <c r="D2" t="s">
        <v>865</v>
      </c>
      <c r="E2" t="s">
        <v>866</v>
      </c>
      <c r="F2" t="s">
        <v>478</v>
      </c>
      <c r="G2" t="s">
        <v>867</v>
      </c>
      <c r="H2" t="s">
        <v>472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868</v>
      </c>
      <c r="C3" s="3" t="s">
        <v>869</v>
      </c>
      <c r="D3" s="4">
        <v>43435</v>
      </c>
      <c r="E3" s="4">
        <v>43585</v>
      </c>
      <c r="F3" s="3" t="s">
        <v>870</v>
      </c>
      <c r="G3" s="3"/>
      <c r="H3" s="3" t="s">
        <v>871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868</v>
      </c>
      <c r="C4" s="3" t="s">
        <v>872</v>
      </c>
      <c r="D4" s="4">
        <v>43466</v>
      </c>
      <c r="E4" s="4">
        <v>43830</v>
      </c>
      <c r="F4" s="3" t="s">
        <v>870</v>
      </c>
      <c r="G4" s="3" t="s">
        <v>873</v>
      </c>
      <c r="H4" s="3" t="s">
        <v>871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83</v>
      </c>
      <c r="C5" s="3" t="s">
        <v>874</v>
      </c>
      <c r="D5" s="4"/>
      <c r="E5" s="4">
        <v>43646</v>
      </c>
      <c r="F5" s="3" t="s">
        <v>875</v>
      </c>
      <c r="G5" s="3"/>
      <c r="H5" s="3" t="s">
        <v>876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83</v>
      </c>
      <c r="C6" s="3" t="s">
        <v>877</v>
      </c>
      <c r="D6" s="4"/>
      <c r="E6" s="4">
        <v>43646</v>
      </c>
      <c r="F6" s="3" t="s">
        <v>875</v>
      </c>
      <c r="G6" s="3"/>
      <c r="H6" s="3" t="s">
        <v>878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83</v>
      </c>
      <c r="C7" s="3" t="s">
        <v>879</v>
      </c>
      <c r="D7" s="4"/>
      <c r="E7" s="4">
        <v>43646</v>
      </c>
      <c r="F7" s="3" t="s">
        <v>875</v>
      </c>
      <c r="G7" s="3"/>
      <c r="H7" s="3" t="s">
        <v>880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83</v>
      </c>
      <c r="C8" s="3" t="s">
        <v>881</v>
      </c>
      <c r="D8" s="4"/>
      <c r="E8" s="4">
        <v>43646</v>
      </c>
      <c r="F8" s="3" t="s">
        <v>875</v>
      </c>
      <c r="G8" s="3"/>
      <c r="H8" s="3" t="s">
        <v>882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83</v>
      </c>
      <c r="C9" s="3" t="s">
        <v>883</v>
      </c>
      <c r="D9" s="4"/>
      <c r="E9" s="4">
        <v>43646</v>
      </c>
      <c r="F9" s="3" t="s">
        <v>875</v>
      </c>
      <c r="G9" s="3"/>
      <c r="H9" s="3" t="s">
        <v>884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337</v>
      </c>
      <c r="C10" s="3" t="s">
        <v>885</v>
      </c>
      <c r="D10" s="4"/>
      <c r="E10" s="4"/>
      <c r="F10" s="3" t="s">
        <v>886</v>
      </c>
      <c r="G10" s="3" t="s">
        <v>887</v>
      </c>
      <c r="H10" s="3" t="s">
        <v>888</v>
      </c>
      <c r="I10" s="49" t="s">
        <v>889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337</v>
      </c>
      <c r="C11" s="3" t="s">
        <v>890</v>
      </c>
      <c r="D11" s="4"/>
      <c r="E11" s="4"/>
      <c r="F11" s="3" t="s">
        <v>891</v>
      </c>
      <c r="G11" s="3" t="s">
        <v>892</v>
      </c>
      <c r="H11" s="3" t="s">
        <v>888</v>
      </c>
      <c r="I11" s="49" t="s">
        <v>889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337</v>
      </c>
      <c r="C12" s="3" t="s">
        <v>893</v>
      </c>
      <c r="D12" s="4"/>
      <c r="E12" s="4"/>
      <c r="F12" s="3" t="s">
        <v>886</v>
      </c>
      <c r="G12" s="3" t="s">
        <v>887</v>
      </c>
      <c r="H12" s="3" t="s">
        <v>888</v>
      </c>
      <c r="I12" s="49" t="s">
        <v>889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337</v>
      </c>
      <c r="C13" s="3" t="s">
        <v>894</v>
      </c>
      <c r="D13" s="4"/>
      <c r="E13" s="4"/>
      <c r="F13" s="3" t="s">
        <v>891</v>
      </c>
      <c r="G13" s="3" t="s">
        <v>892</v>
      </c>
      <c r="H13" s="3" t="s">
        <v>888</v>
      </c>
      <c r="I13" s="49" t="s">
        <v>889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337</v>
      </c>
      <c r="C14" s="3" t="s">
        <v>895</v>
      </c>
      <c r="D14" s="4"/>
      <c r="E14" s="4"/>
      <c r="F14" s="3" t="s">
        <v>886</v>
      </c>
      <c r="G14" s="3" t="s">
        <v>896</v>
      </c>
      <c r="H14" s="3" t="s">
        <v>897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337</v>
      </c>
      <c r="C15" s="3" t="s">
        <v>898</v>
      </c>
      <c r="D15" s="4"/>
      <c r="E15" s="4"/>
      <c r="F15" s="3" t="s">
        <v>886</v>
      </c>
      <c r="G15" s="3" t="s">
        <v>896</v>
      </c>
      <c r="H15" s="3" t="s">
        <v>888</v>
      </c>
      <c r="I15" s="49" t="s">
        <v>889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337</v>
      </c>
      <c r="C16" s="3" t="s">
        <v>899</v>
      </c>
      <c r="D16" s="4"/>
      <c r="E16" s="4"/>
      <c r="F16" s="3" t="s">
        <v>886</v>
      </c>
      <c r="G16" s="3" t="s">
        <v>887</v>
      </c>
      <c r="H16" s="3" t="s">
        <v>888</v>
      </c>
      <c r="I16" s="49" t="s">
        <v>889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337</v>
      </c>
      <c r="C17" s="3" t="s">
        <v>900</v>
      </c>
      <c r="D17" s="4"/>
      <c r="E17" s="4"/>
      <c r="F17" s="3" t="s">
        <v>886</v>
      </c>
      <c r="G17" s="3" t="s">
        <v>896</v>
      </c>
      <c r="H17" s="3" t="s">
        <v>888</v>
      </c>
      <c r="I17" s="49" t="s">
        <v>889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337</v>
      </c>
      <c r="C18" s="3" t="s">
        <v>901</v>
      </c>
      <c r="D18" s="4"/>
      <c r="E18" s="4"/>
      <c r="F18" s="3" t="s">
        <v>886</v>
      </c>
      <c r="G18" s="3" t="s">
        <v>887</v>
      </c>
      <c r="H18" s="3" t="s">
        <v>888</v>
      </c>
      <c r="I18" s="49" t="s">
        <v>889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337</v>
      </c>
      <c r="C19" s="3" t="s">
        <v>902</v>
      </c>
      <c r="D19" s="4"/>
      <c r="E19" s="4"/>
      <c r="F19" s="3" t="s">
        <v>903</v>
      </c>
      <c r="G19" s="3" t="s">
        <v>903</v>
      </c>
      <c r="H19" s="3" t="s">
        <v>888</v>
      </c>
      <c r="I19" s="49" t="s">
        <v>889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337</v>
      </c>
      <c r="C20" s="3" t="s">
        <v>904</v>
      </c>
      <c r="D20" s="4"/>
      <c r="E20" s="4"/>
      <c r="F20" s="3" t="s">
        <v>905</v>
      </c>
      <c r="G20" s="3" t="s">
        <v>906</v>
      </c>
      <c r="H20" s="3" t="s">
        <v>907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337</v>
      </c>
      <c r="C21" s="3" t="s">
        <v>908</v>
      </c>
      <c r="D21" s="4"/>
      <c r="E21" s="4"/>
      <c r="F21" s="3" t="s">
        <v>891</v>
      </c>
      <c r="G21" s="3" t="s">
        <v>906</v>
      </c>
      <c r="H21" s="3" t="s">
        <v>907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337</v>
      </c>
      <c r="C22" s="3" t="s">
        <v>909</v>
      </c>
      <c r="D22" s="4"/>
      <c r="E22" s="4"/>
      <c r="F22" s="3" t="s">
        <v>910</v>
      </c>
      <c r="G22" s="3" t="s">
        <v>906</v>
      </c>
      <c r="H22" s="3" t="s">
        <v>888</v>
      </c>
      <c r="I22" s="49" t="s">
        <v>889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337</v>
      </c>
      <c r="C23" s="3" t="s">
        <v>911</v>
      </c>
      <c r="D23" s="4"/>
      <c r="E23" s="4"/>
      <c r="F23" s="3" t="s">
        <v>891</v>
      </c>
      <c r="G23" s="3" t="s">
        <v>912</v>
      </c>
      <c r="H23" s="3" t="s">
        <v>888</v>
      </c>
      <c r="I23" s="49" t="s">
        <v>889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337</v>
      </c>
      <c r="C24" s="3" t="s">
        <v>913</v>
      </c>
      <c r="D24" s="4"/>
      <c r="E24" s="4"/>
      <c r="F24" s="3" t="s">
        <v>891</v>
      </c>
      <c r="G24" s="3" t="s">
        <v>912</v>
      </c>
      <c r="H24" s="3" t="s">
        <v>888</v>
      </c>
      <c r="I24" s="49" t="s">
        <v>889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95</v>
      </c>
      <c r="C25" s="3" t="s">
        <v>914</v>
      </c>
      <c r="D25" s="4"/>
      <c r="E25" s="4"/>
      <c r="F25" s="3" t="s">
        <v>915</v>
      </c>
      <c r="G25" s="3"/>
      <c r="H25" s="3" t="s">
        <v>916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95</v>
      </c>
      <c r="C26" s="3" t="s">
        <v>917</v>
      </c>
      <c r="D26" s="4"/>
      <c r="E26" s="4">
        <v>43830</v>
      </c>
      <c r="F26" s="3" t="s">
        <v>915</v>
      </c>
      <c r="G26" s="3"/>
      <c r="H26" s="3" t="s">
        <v>916</v>
      </c>
      <c r="I26" s="49" t="s">
        <v>889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95</v>
      </c>
      <c r="C27" s="3" t="s">
        <v>918</v>
      </c>
      <c r="D27" s="4"/>
      <c r="E27" s="4">
        <v>43830</v>
      </c>
      <c r="F27" s="3" t="s">
        <v>915</v>
      </c>
      <c r="G27" s="3"/>
      <c r="H27" s="3" t="s">
        <v>916</v>
      </c>
      <c r="I27" s="49" t="s">
        <v>889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95</v>
      </c>
      <c r="C28" s="3" t="s">
        <v>919</v>
      </c>
      <c r="D28" s="4"/>
      <c r="E28" s="4"/>
      <c r="F28" s="3" t="s">
        <v>915</v>
      </c>
      <c r="G28" s="3"/>
      <c r="H28" s="3" t="s">
        <v>920</v>
      </c>
      <c r="I28" s="49" t="s">
        <v>889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106</v>
      </c>
      <c r="C29" s="3" t="s">
        <v>921</v>
      </c>
      <c r="D29" s="4"/>
      <c r="E29" s="4"/>
      <c r="F29" s="3" t="s">
        <v>886</v>
      </c>
      <c r="G29" s="3" t="s">
        <v>887</v>
      </c>
      <c r="H29" s="3" t="s">
        <v>922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106</v>
      </c>
      <c r="C30" s="3" t="s">
        <v>923</v>
      </c>
      <c r="D30" s="4"/>
      <c r="E30" s="4"/>
      <c r="F30" s="3" t="s">
        <v>886</v>
      </c>
      <c r="G30" s="3" t="s">
        <v>912</v>
      </c>
      <c r="H30" s="3" t="s">
        <v>922</v>
      </c>
      <c r="I30" s="49" t="s">
        <v>889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106</v>
      </c>
      <c r="C31" s="3" t="s">
        <v>924</v>
      </c>
      <c r="D31" s="4"/>
      <c r="E31" s="4"/>
      <c r="F31" s="3" t="s">
        <v>891</v>
      </c>
      <c r="G31" s="3" t="s">
        <v>925</v>
      </c>
      <c r="H31" s="3" t="s">
        <v>926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927</v>
      </c>
      <c r="C32" s="3" t="s">
        <v>928</v>
      </c>
      <c r="D32" s="4"/>
      <c r="E32" s="4"/>
      <c r="F32" s="3" t="s">
        <v>929</v>
      </c>
      <c r="G32" s="3"/>
      <c r="H32" s="3" t="s">
        <v>930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135</v>
      </c>
      <c r="C33" s="3" t="s">
        <v>931</v>
      </c>
      <c r="D33" s="4"/>
      <c r="E33" s="4"/>
      <c r="F33" s="3" t="s">
        <v>886</v>
      </c>
      <c r="G33" s="3" t="s">
        <v>932</v>
      </c>
      <c r="H33" s="3" t="s">
        <v>933</v>
      </c>
      <c r="I33" s="49" t="s">
        <v>889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135</v>
      </c>
      <c r="C34" s="3" t="s">
        <v>934</v>
      </c>
      <c r="D34" s="4"/>
      <c r="E34" s="4"/>
      <c r="F34" s="3" t="s">
        <v>886</v>
      </c>
      <c r="G34" s="3" t="s">
        <v>932</v>
      </c>
      <c r="H34" s="3" t="s">
        <v>933</v>
      </c>
      <c r="I34" s="49" t="s">
        <v>889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935</v>
      </c>
      <c r="C35" s="3" t="s">
        <v>936</v>
      </c>
      <c r="D35" s="4">
        <v>43524</v>
      </c>
      <c r="E35" s="4">
        <v>43677</v>
      </c>
      <c r="F35" s="3" t="s">
        <v>875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937</v>
      </c>
      <c r="C36" s="3" t="s">
        <v>937</v>
      </c>
      <c r="D36" s="4">
        <v>43556</v>
      </c>
      <c r="E36" s="4">
        <v>43830</v>
      </c>
      <c r="F36" s="3" t="s">
        <v>938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939</v>
      </c>
      <c r="C37" s="3" t="s">
        <v>940</v>
      </c>
      <c r="D37" s="4"/>
      <c r="E37" s="4"/>
      <c r="F37" s="3" t="s">
        <v>941</v>
      </c>
      <c r="G37" s="3" t="s">
        <v>942</v>
      </c>
      <c r="H37" s="3" t="s">
        <v>943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944</v>
      </c>
      <c r="C38" s="3" t="s">
        <v>945</v>
      </c>
      <c r="D38" s="4"/>
      <c r="E38" s="4">
        <v>43830</v>
      </c>
      <c r="F38" s="3" t="s">
        <v>946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342</v>
      </c>
      <c r="C39" s="3" t="s">
        <v>342</v>
      </c>
      <c r="D39" s="4"/>
      <c r="E39" s="4"/>
      <c r="F39" s="3" t="s">
        <v>342</v>
      </c>
      <c r="G39" s="3"/>
      <c r="H39" s="3" t="s">
        <v>342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947</v>
      </c>
      <c r="C40" s="3" t="s">
        <v>948</v>
      </c>
      <c r="D40" s="4">
        <v>43358</v>
      </c>
      <c r="E40" s="4">
        <v>43830</v>
      </c>
      <c r="F40" s="3" t="s">
        <v>949</v>
      </c>
      <c r="G40" s="3"/>
      <c r="H40" s="3" t="s">
        <v>950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456</v>
      </c>
      <c r="C41" s="3" t="s">
        <v>456</v>
      </c>
      <c r="D41" s="4"/>
      <c r="E41" s="4"/>
      <c r="F41" s="3" t="s">
        <v>951</v>
      </c>
      <c r="G41" s="3"/>
      <c r="H41" s="3" t="s">
        <v>952</v>
      </c>
      <c r="I41" s="3"/>
    </row>
    <row r="42" spans="1:9" ht="23.25" x14ac:dyDescent="0.35">
      <c r="A42" s="79" t="str">
        <f>TabProjet[[#This Row],[Client]] &amp; "-" &amp; TabProjet[[#This Row],[Projet]]</f>
        <v>EDI-MUT-EDI-MUT-DEV</v>
      </c>
      <c r="B42" s="80" t="s">
        <v>456</v>
      </c>
      <c r="C42" s="80" t="s">
        <v>953</v>
      </c>
      <c r="D42" s="81"/>
      <c r="E42" s="81"/>
      <c r="F42" s="80" t="s">
        <v>951</v>
      </c>
      <c r="G42" s="80"/>
      <c r="H42" s="80" t="s">
        <v>954</v>
      </c>
      <c r="I42" s="80"/>
    </row>
    <row r="43" spans="1:9" x14ac:dyDescent="0.25">
      <c r="A43" s="5" t="str">
        <f>TabProjet[[#This Row],[Client]] &amp; "-" &amp; TabProjet[[#This Row],[Projet]]</f>
        <v>Fablab-BeeFlex</v>
      </c>
      <c r="B43" s="3" t="s">
        <v>245</v>
      </c>
      <c r="C43" s="3" t="s">
        <v>955</v>
      </c>
      <c r="D43" s="4"/>
      <c r="E43" s="4"/>
      <c r="F43" s="3" t="s">
        <v>956</v>
      </c>
      <c r="G43" s="3"/>
      <c r="H43" s="3" t="s">
        <v>798</v>
      </c>
      <c r="I43" s="3"/>
    </row>
    <row r="44" spans="1:9" x14ac:dyDescent="0.25">
      <c r="A44" s="5" t="str">
        <f>TabProjet[[#This Row],[Client]] &amp; "-" &amp; TabProjet[[#This Row],[Projet]]</f>
        <v>Fablab-Firmin</v>
      </c>
      <c r="B44" s="3" t="s">
        <v>245</v>
      </c>
      <c r="C44" s="3" t="s">
        <v>957</v>
      </c>
      <c r="D44" s="4"/>
      <c r="E44" s="4"/>
      <c r="F44" s="3" t="s">
        <v>956</v>
      </c>
      <c r="G44" s="3"/>
      <c r="H44" s="3" t="s">
        <v>799</v>
      </c>
      <c r="I44" s="3"/>
    </row>
    <row r="45" spans="1:9" x14ac:dyDescent="0.25">
      <c r="A45" s="5" t="str">
        <f>TabProjet[[#This Row],[Client]] &amp; "-" &amp; TabProjet[[#This Row],[Projet]]</f>
        <v>FOBA-Foba</v>
      </c>
      <c r="B45" s="3" t="s">
        <v>958</v>
      </c>
      <c r="C45" s="3" t="s">
        <v>959</v>
      </c>
      <c r="D45" s="4"/>
      <c r="E45" s="4"/>
      <c r="F45" s="3" t="s">
        <v>960</v>
      </c>
      <c r="G45" s="3"/>
      <c r="H45" s="3" t="s">
        <v>959</v>
      </c>
      <c r="I45" s="3"/>
    </row>
    <row r="46" spans="1:9" x14ac:dyDescent="0.25">
      <c r="A46" s="5" t="str">
        <f>TabProjet[[#This Row],[Client]] &amp; "-" &amp; TabProjet[[#This Row],[Projet]]</f>
        <v>FRR-APPLIFRR</v>
      </c>
      <c r="B46" s="3" t="s">
        <v>97</v>
      </c>
      <c r="C46" s="3" t="s">
        <v>961</v>
      </c>
      <c r="D46" s="4"/>
      <c r="E46" s="4"/>
      <c r="F46" s="3" t="s">
        <v>891</v>
      </c>
      <c r="G46" s="3" t="s">
        <v>925</v>
      </c>
      <c r="H46" s="3" t="s">
        <v>962</v>
      </c>
      <c r="I46" s="3"/>
    </row>
    <row r="47" spans="1:9" x14ac:dyDescent="0.25">
      <c r="A47" s="5" t="str">
        <f>TabProjet[[#This Row],[Client]] &amp; "-" &amp; TabProjet[[#This Row],[Projet]]</f>
        <v>FRR-CADENCIER</v>
      </c>
      <c r="B47" s="3" t="s">
        <v>97</v>
      </c>
      <c r="C47" s="3" t="s">
        <v>963</v>
      </c>
      <c r="D47" s="4"/>
      <c r="E47" s="4"/>
      <c r="F47" s="3" t="s">
        <v>891</v>
      </c>
      <c r="G47" s="3" t="s">
        <v>925</v>
      </c>
      <c r="H47" s="3" t="s">
        <v>962</v>
      </c>
      <c r="I47" s="3"/>
    </row>
    <row r="48" spans="1:9" x14ac:dyDescent="0.25">
      <c r="A48" s="5" t="str">
        <f>TabProjet[[#This Row],[Client]] &amp; "-" &amp; TabProjet[[#This Row],[Projet]]</f>
        <v>FRR-DIGIPAT</v>
      </c>
      <c r="B48" s="3" t="s">
        <v>97</v>
      </c>
      <c r="C48" s="3" t="s">
        <v>964</v>
      </c>
      <c r="D48" s="4"/>
      <c r="E48" s="4"/>
      <c r="F48" s="3" t="s">
        <v>965</v>
      </c>
      <c r="G48" s="3" t="s">
        <v>903</v>
      </c>
      <c r="H48" s="3" t="s">
        <v>962</v>
      </c>
      <c r="I48" s="3"/>
    </row>
    <row r="49" spans="1:9" x14ac:dyDescent="0.25">
      <c r="A49" s="5" t="str">
        <f>TabProjet[[#This Row],[Client]] &amp; "-" &amp; TabProjet[[#This Row],[Projet]]</f>
        <v>FRR-Patapain</v>
      </c>
      <c r="B49" s="3" t="s">
        <v>97</v>
      </c>
      <c r="C49" s="3" t="s">
        <v>966</v>
      </c>
      <c r="D49" s="4"/>
      <c r="E49" s="4"/>
      <c r="F49" s="3" t="s">
        <v>903</v>
      </c>
      <c r="G49" s="3" t="s">
        <v>903</v>
      </c>
      <c r="H49" s="3" t="s">
        <v>962</v>
      </c>
      <c r="I49" s="3"/>
    </row>
    <row r="50" spans="1:9" x14ac:dyDescent="0.25">
      <c r="A50" s="5" t="str">
        <f>TabProjet[[#This Row],[Client]] &amp; "-" &amp; TabProjet[[#This Row],[Projet]]</f>
        <v>FRR-STAGEDATA</v>
      </c>
      <c r="B50" s="3" t="s">
        <v>97</v>
      </c>
      <c r="C50" s="3" t="s">
        <v>967</v>
      </c>
      <c r="D50" s="4"/>
      <c r="E50" s="4"/>
      <c r="F50" s="3" t="s">
        <v>941</v>
      </c>
      <c r="G50" s="3" t="s">
        <v>968</v>
      </c>
      <c r="H50" s="3" t="s">
        <v>962</v>
      </c>
      <c r="I50" s="3"/>
    </row>
    <row r="51" spans="1:9" x14ac:dyDescent="0.25">
      <c r="A51" s="5" t="str">
        <f>TabProjet[[#This Row],[Client]] &amp; "-" &amp; TabProjet[[#This Row],[Projet]]</f>
        <v>FRR-TCPOS</v>
      </c>
      <c r="B51" s="3" t="s">
        <v>97</v>
      </c>
      <c r="C51" s="3" t="s">
        <v>969</v>
      </c>
      <c r="D51" s="4"/>
      <c r="E51" s="4"/>
      <c r="F51" s="3" t="s">
        <v>891</v>
      </c>
      <c r="G51" s="3" t="s">
        <v>925</v>
      </c>
      <c r="H51" s="3" t="s">
        <v>962</v>
      </c>
      <c r="I51" s="3"/>
    </row>
    <row r="52" spans="1:9" x14ac:dyDescent="0.25">
      <c r="A52" s="5" t="str">
        <f>TabProjet[[#This Row],[Client]] &amp; "-" &amp; TabProjet[[#This Row],[Projet]]</f>
        <v>Gest'ea / OUGC-Gest'ea / OUGC</v>
      </c>
      <c r="B52" s="3" t="s">
        <v>327</v>
      </c>
      <c r="C52" s="3" t="s">
        <v>327</v>
      </c>
      <c r="D52" s="4"/>
      <c r="E52" s="4"/>
      <c r="F52" s="3" t="s">
        <v>886</v>
      </c>
      <c r="G52" s="3" t="s">
        <v>970</v>
      </c>
      <c r="H52" s="3" t="s">
        <v>327</v>
      </c>
      <c r="I52" s="3"/>
    </row>
    <row r="53" spans="1:9" x14ac:dyDescent="0.25">
      <c r="A53" t="str">
        <f>TabProjet[[#This Row],[Client]] &amp; "-" &amp; TabProjet[[#This Row],[Projet]]</f>
        <v>GFI-Autres</v>
      </c>
      <c r="B53" s="3" t="s">
        <v>141</v>
      </c>
      <c r="C53" s="3" t="s">
        <v>971</v>
      </c>
      <c r="D53" s="4"/>
      <c r="E53" s="4">
        <v>43830</v>
      </c>
      <c r="F53" s="3" t="s">
        <v>972</v>
      </c>
      <c r="G53" s="3" t="s">
        <v>973</v>
      </c>
      <c r="H53" s="3"/>
      <c r="I53" s="3"/>
    </row>
    <row r="54" spans="1:9" x14ac:dyDescent="0.25">
      <c r="A54" s="5" t="str">
        <f>TabProjet[[#This Row],[Client]] &amp; "-" &amp; TabProjet[[#This Row],[Projet]]</f>
        <v>GFI-BASECONTACT</v>
      </c>
      <c r="B54" s="3" t="s">
        <v>141</v>
      </c>
      <c r="C54" s="3" t="s">
        <v>974</v>
      </c>
      <c r="D54" s="4"/>
      <c r="E54" s="4"/>
      <c r="F54" s="3" t="s">
        <v>949</v>
      </c>
      <c r="G54" s="3"/>
      <c r="H54" s="3" t="s">
        <v>975</v>
      </c>
      <c r="I54" s="48" t="s">
        <v>976</v>
      </c>
    </row>
    <row r="55" spans="1:9" x14ac:dyDescent="0.25">
      <c r="A55" s="5" t="str">
        <f>TabProjet[[#This Row],[Client]] &amp; "-" &amp; TabProjet[[#This Row],[Projet]]</f>
        <v>GFI-Dev Fight</v>
      </c>
      <c r="B55" s="3" t="s">
        <v>141</v>
      </c>
      <c r="C55" s="3" t="s">
        <v>977</v>
      </c>
      <c r="D55" s="4"/>
      <c r="E55" s="4"/>
      <c r="F55" s="3" t="s">
        <v>978</v>
      </c>
      <c r="G55" s="3"/>
      <c r="H55" s="3" t="s">
        <v>975</v>
      </c>
      <c r="I55" s="3"/>
    </row>
    <row r="56" spans="1:9" x14ac:dyDescent="0.25">
      <c r="A56" s="5" t="str">
        <f>TabProjet[[#This Row],[Client]] &amp; "-" &amp; TabProjet[[#This Row],[Projet]]</f>
        <v>GFI-EveryDaily</v>
      </c>
      <c r="B56" s="3" t="s">
        <v>141</v>
      </c>
      <c r="C56" s="3" t="s">
        <v>979</v>
      </c>
      <c r="D56" s="4"/>
      <c r="E56" s="4"/>
      <c r="F56" s="3" t="s">
        <v>949</v>
      </c>
      <c r="G56" s="3" t="s">
        <v>980</v>
      </c>
      <c r="H56" s="3" t="s">
        <v>950</v>
      </c>
      <c r="I56" s="3"/>
    </row>
    <row r="57" spans="1:9" x14ac:dyDescent="0.25">
      <c r="A57" s="5" t="str">
        <f>TabProjet[[#This Row],[Client]] &amp; "-" &amp; TabProjet[[#This Row],[Projet]]</f>
        <v>GFI-Gestionnaire de devis (Niort)</v>
      </c>
      <c r="B57" s="3" t="s">
        <v>141</v>
      </c>
      <c r="C57" s="3" t="s">
        <v>981</v>
      </c>
      <c r="D57" s="4"/>
      <c r="E57" s="4"/>
      <c r="F57" s="3" t="s">
        <v>982</v>
      </c>
      <c r="G57" s="3"/>
      <c r="H57" s="3" t="s">
        <v>983</v>
      </c>
      <c r="I57" s="3"/>
    </row>
    <row r="58" spans="1:9" x14ac:dyDescent="0.25">
      <c r="A58" s="5" t="str">
        <f>TabProjet[[#This Row],[Client]] &amp; "-" &amp; TabProjet[[#This Row],[Projet]]</f>
        <v>GFI-Gestionnaire de tickets (Niort)</v>
      </c>
      <c r="B58" s="3" t="s">
        <v>141</v>
      </c>
      <c r="C58" s="3" t="s">
        <v>984</v>
      </c>
      <c r="D58" s="4"/>
      <c r="E58" s="4"/>
      <c r="F58" s="3" t="s">
        <v>982</v>
      </c>
      <c r="G58" s="3"/>
      <c r="H58" s="3" t="s">
        <v>983</v>
      </c>
      <c r="I58" s="3"/>
    </row>
    <row r="59" spans="1:9" x14ac:dyDescent="0.25">
      <c r="A59" s="5" t="str">
        <f>TabProjet[[#This Row],[Client]] &amp; "-" &amp; TabProjet[[#This Row],[Projet]]</f>
        <v>GFI-GFICOFFEE</v>
      </c>
      <c r="B59" s="3" t="s">
        <v>141</v>
      </c>
      <c r="C59" s="3" t="s">
        <v>985</v>
      </c>
      <c r="D59" s="4"/>
      <c r="E59" s="4"/>
      <c r="F59" s="3" t="s">
        <v>910</v>
      </c>
      <c r="G59" s="3" t="s">
        <v>986</v>
      </c>
      <c r="H59" s="3" t="s">
        <v>987</v>
      </c>
      <c r="I59" s="3"/>
    </row>
    <row r="60" spans="1:9" x14ac:dyDescent="0.25">
      <c r="A60" s="5" t="str">
        <f>TabProjet[[#This Row],[Client]] &amp; "-" &amp; TabProjet[[#This Row],[Projet]]</f>
        <v>GFI-GitLab Orléans</v>
      </c>
      <c r="B60" s="3" t="s">
        <v>141</v>
      </c>
      <c r="C60" s="3" t="s">
        <v>988</v>
      </c>
      <c r="D60" s="4"/>
      <c r="E60" s="4"/>
      <c r="F60" s="3" t="s">
        <v>910</v>
      </c>
      <c r="G60" s="3"/>
      <c r="H60" s="3" t="s">
        <v>988</v>
      </c>
      <c r="I60" s="3"/>
    </row>
    <row r="61" spans="1:9" x14ac:dyDescent="0.25">
      <c r="A61" s="5" t="str">
        <f>TabProjet[[#This Row],[Client]] &amp; "-" &amp; TabProjet[[#This Row],[Projet]]</f>
        <v>GFI-Jetbrain serveur licence</v>
      </c>
      <c r="B61" s="3" t="s">
        <v>141</v>
      </c>
      <c r="C61" s="3" t="s">
        <v>989</v>
      </c>
      <c r="D61" s="4"/>
      <c r="E61" s="4"/>
      <c r="F61" s="3" t="s">
        <v>978</v>
      </c>
      <c r="G61" s="3"/>
      <c r="H61" s="3" t="s">
        <v>814</v>
      </c>
      <c r="I61" s="48" t="s">
        <v>976</v>
      </c>
    </row>
    <row r="62" spans="1:9" x14ac:dyDescent="0.25">
      <c r="A62" s="5" t="str">
        <f>TabProjet[[#This Row],[Client]] &amp; "-" &amp; TabProjet[[#This Row],[Projet]]</f>
        <v>GFI-Linkus</v>
      </c>
      <c r="B62" s="3" t="s">
        <v>141</v>
      </c>
      <c r="C62" s="3" t="s">
        <v>990</v>
      </c>
      <c r="D62" s="4"/>
      <c r="E62" s="4"/>
      <c r="F62" s="3" t="s">
        <v>991</v>
      </c>
      <c r="G62" s="3"/>
      <c r="H62" s="3" t="s">
        <v>992</v>
      </c>
      <c r="I62" s="3"/>
    </row>
    <row r="63" spans="1:9" x14ac:dyDescent="0.25">
      <c r="A63" s="5" t="str">
        <f>TabProjet[[#This Row],[Client]] &amp; "-" &amp; TabProjet[[#This Row],[Projet]]</f>
        <v>GFI-Lotus Domino</v>
      </c>
      <c r="B63" s="3" t="s">
        <v>141</v>
      </c>
      <c r="C63" s="3" t="s">
        <v>993</v>
      </c>
      <c r="D63" s="4"/>
      <c r="E63" s="4"/>
      <c r="F63" s="3" t="s">
        <v>994</v>
      </c>
      <c r="G63" s="3" t="s">
        <v>995</v>
      </c>
      <c r="H63" s="3" t="s">
        <v>996</v>
      </c>
      <c r="I63" s="3"/>
    </row>
    <row r="64" spans="1:9" x14ac:dyDescent="0.25">
      <c r="A64" t="str">
        <f>TabProjet[[#This Row],[Client]] &amp; "-" &amp; TabProjet[[#This Row],[Projet]]</f>
        <v>GFI-MARCO POLO</v>
      </c>
      <c r="B64" s="3" t="s">
        <v>141</v>
      </c>
      <c r="C64" s="3" t="s">
        <v>997</v>
      </c>
      <c r="D64" s="4"/>
      <c r="E64" s="4">
        <v>43585</v>
      </c>
      <c r="F64" s="3" t="s">
        <v>982</v>
      </c>
      <c r="G64" s="3" t="s">
        <v>998</v>
      </c>
      <c r="H64" s="3" t="s">
        <v>999</v>
      </c>
      <c r="I64" s="3"/>
    </row>
    <row r="65" spans="1:9" x14ac:dyDescent="0.25">
      <c r="A65" t="str">
        <f>TabProjet[[#This Row],[Client]] &amp; "-" &amp; TabProjet[[#This Row],[Projet]]</f>
        <v>GFI-MY BUSINESS</v>
      </c>
      <c r="B65" s="3" t="s">
        <v>141</v>
      </c>
      <c r="C65" s="3" t="s">
        <v>1000</v>
      </c>
      <c r="D65" s="4"/>
      <c r="E65" s="4">
        <v>43830</v>
      </c>
      <c r="F65" s="3" t="s">
        <v>982</v>
      </c>
      <c r="G65" s="3" t="s">
        <v>998</v>
      </c>
      <c r="H65" s="3" t="s">
        <v>983</v>
      </c>
      <c r="I65" s="3"/>
    </row>
    <row r="66" spans="1:9" x14ac:dyDescent="0.25">
      <c r="A66" s="5" t="str">
        <f>TabProjet[[#This Row],[Client]] &amp; "-" &amp; TabProjet[[#This Row],[Projet]]</f>
        <v>GFI-Oceanet Gestion VM</v>
      </c>
      <c r="B66" s="3" t="s">
        <v>141</v>
      </c>
      <c r="C66" s="3" t="s">
        <v>1001</v>
      </c>
      <c r="D66" s="4"/>
      <c r="E66" s="4"/>
      <c r="F66" s="3" t="s">
        <v>978</v>
      </c>
      <c r="G66" s="3"/>
      <c r="H66" s="3" t="s">
        <v>1002</v>
      </c>
      <c r="I66" s="3"/>
    </row>
    <row r="67" spans="1:9" x14ac:dyDescent="0.25">
      <c r="A67" s="5" t="str">
        <f>TabProjet[[#This Row],[Client]] &amp; "-" &amp; TabProjet[[#This Row],[Projet]]</f>
        <v>GFI-Oceanet Infra Modèles</v>
      </c>
      <c r="B67" s="3" t="s">
        <v>141</v>
      </c>
      <c r="C67" s="3" t="s">
        <v>1003</v>
      </c>
      <c r="D67" s="4"/>
      <c r="E67" s="4"/>
      <c r="F67" s="3" t="s">
        <v>978</v>
      </c>
      <c r="G67" s="3"/>
      <c r="H67" s="3" t="s">
        <v>1002</v>
      </c>
      <c r="I67" s="3"/>
    </row>
    <row r="68" spans="1:9" x14ac:dyDescent="0.25">
      <c r="A68" s="5" t="str">
        <f>TabProjet[[#This Row],[Client]] &amp; "-" &amp; TabProjet[[#This Row],[Projet]]</f>
        <v>GFI-Oceanet Infra Réseau</v>
      </c>
      <c r="B68" s="3" t="s">
        <v>141</v>
      </c>
      <c r="C68" s="3" t="s">
        <v>1004</v>
      </c>
      <c r="D68" s="4"/>
      <c r="E68" s="4"/>
      <c r="F68" s="3" t="s">
        <v>978</v>
      </c>
      <c r="G68" s="3"/>
      <c r="H68" s="3" t="s">
        <v>1002</v>
      </c>
      <c r="I68" s="3"/>
    </row>
    <row r="69" spans="1:9" x14ac:dyDescent="0.25">
      <c r="A69" s="5" t="str">
        <f>TabProjet[[#This Row],[Client]] &amp; "-" &amp; TabProjet[[#This Row],[Projet]]</f>
        <v>GFI-Oceanet Infra Réseau Orléans</v>
      </c>
      <c r="B69" s="3" t="s">
        <v>141</v>
      </c>
      <c r="C69" s="3" t="s">
        <v>1005</v>
      </c>
      <c r="D69" s="4"/>
      <c r="E69" s="4"/>
      <c r="F69" s="3" t="s">
        <v>910</v>
      </c>
      <c r="G69" s="3"/>
      <c r="H69" s="3" t="s">
        <v>1006</v>
      </c>
      <c r="I69" s="3"/>
    </row>
    <row r="70" spans="1:9" ht="30" x14ac:dyDescent="0.25">
      <c r="A70" s="5" t="str">
        <f>TabProjet[[#This Row],[Client]] &amp; "-" &amp; TabProjet[[#This Row],[Projet]]</f>
        <v>GFI-Oceanet Orléans PIC</v>
      </c>
      <c r="B70" s="3" t="s">
        <v>141</v>
      </c>
      <c r="C70" s="3" t="s">
        <v>1007</v>
      </c>
      <c r="D70" s="4"/>
      <c r="E70" s="4"/>
      <c r="F70" s="3" t="s">
        <v>910</v>
      </c>
      <c r="G70" s="3"/>
      <c r="H70" s="3" t="s">
        <v>1008</v>
      </c>
      <c r="I70" s="42" t="s">
        <v>1009</v>
      </c>
    </row>
    <row r="71" spans="1:9" x14ac:dyDescent="0.25">
      <c r="A71" t="str">
        <f>TabProjet[[#This Row],[Client]] &amp; "-" &amp; TabProjet[[#This Row],[Projet]]</f>
        <v>GFI-OK Gfi</v>
      </c>
      <c r="B71" s="3" t="s">
        <v>141</v>
      </c>
      <c r="C71" s="3" t="s">
        <v>1010</v>
      </c>
      <c r="D71" s="4">
        <v>43523</v>
      </c>
      <c r="E71" s="4">
        <v>43646</v>
      </c>
      <c r="F71" s="3" t="s">
        <v>870</v>
      </c>
      <c r="G71" s="3"/>
      <c r="H71" s="3" t="s">
        <v>950</v>
      </c>
      <c r="I71" s="3"/>
    </row>
    <row r="72" spans="1:9" x14ac:dyDescent="0.25">
      <c r="A72" s="5" t="str">
        <f>TabProjet[[#This Row],[Client]] &amp; "-" &amp; TabProjet[[#This Row],[Projet]]</f>
        <v>GFI-Outil de notification automatique Jira (Niort)</v>
      </c>
      <c r="B72" s="3" t="s">
        <v>141</v>
      </c>
      <c r="C72" s="3" t="s">
        <v>1011</v>
      </c>
      <c r="D72" s="4"/>
      <c r="E72" s="4"/>
      <c r="F72" s="3" t="s">
        <v>982</v>
      </c>
      <c r="G72" s="3"/>
      <c r="H72" s="3" t="s">
        <v>983</v>
      </c>
      <c r="I72" s="3"/>
    </row>
    <row r="73" spans="1:9" x14ac:dyDescent="0.25">
      <c r="A73" t="str">
        <f>TabProjet[[#This Row],[Client]] &amp; "-" &amp; TabProjet[[#This Row],[Projet]]</f>
        <v>GFI-PANGOLIN</v>
      </c>
      <c r="B73" s="3" t="s">
        <v>141</v>
      </c>
      <c r="C73" s="3" t="s">
        <v>1012</v>
      </c>
      <c r="D73" s="4"/>
      <c r="E73" s="4">
        <v>43830</v>
      </c>
      <c r="F73" s="3" t="s">
        <v>949</v>
      </c>
      <c r="G73" s="3" t="s">
        <v>998</v>
      </c>
      <c r="H73" s="3" t="s">
        <v>950</v>
      </c>
      <c r="I73" s="3"/>
    </row>
    <row r="74" spans="1:9" x14ac:dyDescent="0.25">
      <c r="A74" s="5" t="str">
        <f>TabProjet[[#This Row],[Client]] &amp; "-" &amp; TabProjet[[#This Row],[Projet]]</f>
        <v>GFI-POC Android</v>
      </c>
      <c r="B74" s="3" t="s">
        <v>141</v>
      </c>
      <c r="C74" s="3" t="s">
        <v>1013</v>
      </c>
      <c r="D74" s="4"/>
      <c r="E74" s="4"/>
      <c r="F74" s="3" t="s">
        <v>949</v>
      </c>
      <c r="G74" s="3" t="s">
        <v>1014</v>
      </c>
      <c r="H74" s="3" t="s">
        <v>950</v>
      </c>
      <c r="I74" s="3"/>
    </row>
    <row r="75" spans="1:9" x14ac:dyDescent="0.25">
      <c r="A75" s="5" t="str">
        <f>TabProjet[[#This Row],[Client]] &amp; "-" &amp; TabProjet[[#This Row],[Projet]]</f>
        <v>GFI-POC Kubernetes Vault</v>
      </c>
      <c r="B75" s="3" t="s">
        <v>141</v>
      </c>
      <c r="C75" s="3" t="s">
        <v>1015</v>
      </c>
      <c r="D75" s="4"/>
      <c r="E75" s="4"/>
      <c r="F75" s="3" t="s">
        <v>978</v>
      </c>
      <c r="G75" s="3" t="s">
        <v>978</v>
      </c>
      <c r="H75" s="3" t="s">
        <v>950</v>
      </c>
      <c r="I75" s="3"/>
    </row>
    <row r="76" spans="1:9" x14ac:dyDescent="0.25">
      <c r="A76" s="5" t="str">
        <f>TabProjet[[#This Row],[Client]] &amp; "-" &amp; TabProjet[[#This Row],[Projet]]</f>
        <v>GFI-Redmine Niort</v>
      </c>
      <c r="B76" s="3" t="s">
        <v>141</v>
      </c>
      <c r="C76" s="3" t="s">
        <v>1016</v>
      </c>
      <c r="D76" s="4"/>
      <c r="E76" s="4"/>
      <c r="F76" s="3" t="s">
        <v>982</v>
      </c>
      <c r="G76" s="3"/>
      <c r="H76" s="3" t="s">
        <v>1017</v>
      </c>
      <c r="I76" s="48" t="s">
        <v>976</v>
      </c>
    </row>
    <row r="77" spans="1:9" x14ac:dyDescent="0.25">
      <c r="A77" s="5" t="str">
        <f>TabProjet[[#This Row],[Client]] &amp; "-" &amp; TabProjet[[#This Row],[Projet]]</f>
        <v>GFI-Redmine Orléans</v>
      </c>
      <c r="B77" s="3" t="s">
        <v>141</v>
      </c>
      <c r="C77" s="3" t="s">
        <v>1018</v>
      </c>
      <c r="D77" s="4"/>
      <c r="E77" s="4"/>
      <c r="F77" s="3" t="s">
        <v>910</v>
      </c>
      <c r="G77" s="3"/>
      <c r="H77" s="3" t="s">
        <v>1019</v>
      </c>
      <c r="I77" s="48" t="s">
        <v>976</v>
      </c>
    </row>
    <row r="78" spans="1:9" x14ac:dyDescent="0.25">
      <c r="A78" s="5" t="str">
        <f>TabProjet[[#This Row],[Client]] &amp; "-" &amp; TabProjet[[#This Row],[Projet]]</f>
        <v>GFI-TENDER</v>
      </c>
      <c r="B78" s="3" t="s">
        <v>141</v>
      </c>
      <c r="C78" s="3" t="s">
        <v>1020</v>
      </c>
      <c r="D78" s="4"/>
      <c r="E78" s="4"/>
      <c r="F78" s="3" t="s">
        <v>910</v>
      </c>
      <c r="G78" s="3"/>
      <c r="H78" s="3" t="s">
        <v>975</v>
      </c>
      <c r="I78" s="48" t="s">
        <v>976</v>
      </c>
    </row>
    <row r="79" spans="1:9" x14ac:dyDescent="0.25">
      <c r="A79" t="str">
        <f>TabProjet[[#This Row],[Client]] &amp; "-" &amp; TabProjet[[#This Row],[Projet]]</f>
        <v>GFI-WE SPEC</v>
      </c>
      <c r="B79" s="3" t="s">
        <v>141</v>
      </c>
      <c r="C79" s="3" t="s">
        <v>1021</v>
      </c>
      <c r="D79" s="4"/>
      <c r="E79" s="4">
        <v>43830</v>
      </c>
      <c r="F79" s="3" t="s">
        <v>949</v>
      </c>
      <c r="G79" s="3" t="s">
        <v>998</v>
      </c>
      <c r="H79" s="3" t="s">
        <v>992</v>
      </c>
      <c r="I79" s="3"/>
    </row>
    <row r="80" spans="1:9" x14ac:dyDescent="0.25">
      <c r="A80" s="5" t="str">
        <f>TabProjet[[#This Row],[Client]] &amp; "-" &amp; TabProjet[[#This Row],[Projet]]</f>
        <v>GIE S-V-CDS</v>
      </c>
      <c r="B80" s="3" t="s">
        <v>1022</v>
      </c>
      <c r="C80" s="3" t="s">
        <v>1023</v>
      </c>
      <c r="D80" s="4">
        <v>43600</v>
      </c>
      <c r="E80" s="4">
        <v>43769</v>
      </c>
      <c r="F80" s="3" t="s">
        <v>1024</v>
      </c>
      <c r="G80" s="3"/>
      <c r="H80" s="3"/>
      <c r="I80" s="3"/>
    </row>
    <row r="81" spans="1:9" x14ac:dyDescent="0.25">
      <c r="A81" t="str">
        <f>TabProjet[[#This Row],[Client]] &amp; "-" &amp; TabProjet[[#This Row],[Projet]]</f>
        <v>GIE S-V-CEAM en RR</v>
      </c>
      <c r="B81" s="3" t="s">
        <v>1022</v>
      </c>
      <c r="C81" s="3" t="s">
        <v>1025</v>
      </c>
      <c r="D81" s="4"/>
      <c r="E81" s="4">
        <v>44926</v>
      </c>
      <c r="F81" s="3" t="s">
        <v>1024</v>
      </c>
      <c r="G81" s="3"/>
      <c r="H81" s="3"/>
      <c r="I81" s="3"/>
    </row>
    <row r="82" spans="1:9" x14ac:dyDescent="0.25">
      <c r="A82" t="str">
        <f>TabProjet[[#This Row],[Client]] &amp; "-" &amp; TabProjet[[#This Row],[Projet]]</f>
        <v>GIE S-V-DYS en RR</v>
      </c>
      <c r="B82" s="3" t="s">
        <v>1022</v>
      </c>
      <c r="C82" s="3" t="s">
        <v>1026</v>
      </c>
      <c r="D82" s="4">
        <v>43525</v>
      </c>
      <c r="E82" s="4">
        <v>42643</v>
      </c>
      <c r="F82" s="3" t="s">
        <v>1024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S-V-Mantis - RR</v>
      </c>
      <c r="B83" s="3" t="s">
        <v>1022</v>
      </c>
      <c r="C83" s="3" t="s">
        <v>1027</v>
      </c>
      <c r="D83" s="4"/>
      <c r="E83" s="4"/>
      <c r="F83" s="3" t="s">
        <v>1024</v>
      </c>
      <c r="G83" s="3"/>
      <c r="H83" s="3" t="s">
        <v>1028</v>
      </c>
      <c r="I83" s="3"/>
    </row>
    <row r="84" spans="1:9" x14ac:dyDescent="0.25">
      <c r="A84" s="5" t="str">
        <f>TabProjet[[#This Row],[Client]] &amp; "-" &amp; TabProjet[[#This Row],[Projet]]</f>
        <v>GIE S-V-Infra Citrix</v>
      </c>
      <c r="B84" s="3" t="s">
        <v>1022</v>
      </c>
      <c r="C84" s="3" t="s">
        <v>1029</v>
      </c>
      <c r="D84" s="4"/>
      <c r="E84" s="4"/>
      <c r="F84" s="3" t="s">
        <v>1024</v>
      </c>
      <c r="G84" s="3"/>
      <c r="H84" s="3" t="s">
        <v>1028</v>
      </c>
      <c r="I84" s="3"/>
    </row>
    <row r="85" spans="1:9" x14ac:dyDescent="0.25">
      <c r="A85" t="str">
        <f>TabProjet[[#This Row],[Client]] &amp; "-" &amp; TabProjet[[#This Row],[Projet]]</f>
        <v>GIE S-V-OPTIMA en RR</v>
      </c>
      <c r="B85" s="3" t="s">
        <v>1022</v>
      </c>
      <c r="C85" s="3" t="s">
        <v>1030</v>
      </c>
      <c r="D85" s="4">
        <v>43467</v>
      </c>
      <c r="E85" s="4">
        <v>43738</v>
      </c>
      <c r="F85" s="3" t="s">
        <v>1024</v>
      </c>
      <c r="G85" s="3"/>
      <c r="H85" s="3"/>
      <c r="I85" s="3"/>
    </row>
    <row r="86" spans="1:9" x14ac:dyDescent="0.25">
      <c r="A86" s="5" t="str">
        <f>TabProjet[[#This Row],[Client]] &amp; "-" &amp; TabProjet[[#This Row],[Projet]]</f>
        <v>GIE S-V-Site</v>
      </c>
      <c r="B86" s="3" t="s">
        <v>1022</v>
      </c>
      <c r="C86" s="3" t="s">
        <v>1031</v>
      </c>
      <c r="D86" s="4">
        <v>43466</v>
      </c>
      <c r="E86" s="4">
        <v>43830</v>
      </c>
      <c r="F86" s="3" t="s">
        <v>1024</v>
      </c>
      <c r="G86" s="3"/>
      <c r="H86" s="3"/>
      <c r="I86" s="3"/>
    </row>
    <row r="87" spans="1:9" x14ac:dyDescent="0.25">
      <c r="A87" s="5" t="str">
        <f>TabProjet[[#This Row],[Client]] &amp; "-" &amp; TabProjet[[#This Row],[Projet]]</f>
        <v>GIP RECIA-Plateformes CLOUD / Edition</v>
      </c>
      <c r="B87" s="3" t="s">
        <v>330</v>
      </c>
      <c r="C87" s="3" t="s">
        <v>1032</v>
      </c>
      <c r="D87" s="4"/>
      <c r="E87" s="4"/>
      <c r="F87" s="3" t="s">
        <v>910</v>
      </c>
      <c r="G87" s="3"/>
      <c r="H87" s="3" t="s">
        <v>833</v>
      </c>
      <c r="I87" s="48" t="s">
        <v>976</v>
      </c>
    </row>
    <row r="88" spans="1:9" x14ac:dyDescent="0.25">
      <c r="A88" s="5" t="str">
        <f>TabProjet[[#This Row],[Client]] &amp; "-" &amp; TabProjet[[#This Row],[Projet]]</f>
        <v>IT-CE-TMA</v>
      </c>
      <c r="B88" s="3" t="s">
        <v>228</v>
      </c>
      <c r="C88" s="3" t="s">
        <v>84</v>
      </c>
      <c r="D88" s="4"/>
      <c r="E88" s="4"/>
      <c r="F88" s="3" t="s">
        <v>910</v>
      </c>
      <c r="G88" s="3" t="s">
        <v>1033</v>
      </c>
      <c r="H88" s="3" t="s">
        <v>1034</v>
      </c>
      <c r="I88" s="3"/>
    </row>
    <row r="89" spans="1:9" x14ac:dyDescent="0.25">
      <c r="A89" s="5" t="str">
        <f>TabProjet[[#This Row],[Client]] &amp; "-" &amp; TabProjet[[#This Row],[Projet]]</f>
        <v>LA POSTE-CDC-DRUPAL</v>
      </c>
      <c r="B89" s="3" t="s">
        <v>233</v>
      </c>
      <c r="C89" s="3" t="s">
        <v>1035</v>
      </c>
      <c r="D89" s="4"/>
      <c r="E89" s="4"/>
      <c r="F89" s="3" t="s">
        <v>910</v>
      </c>
      <c r="G89" s="3" t="s">
        <v>903</v>
      </c>
      <c r="H89" s="3" t="s">
        <v>1036</v>
      </c>
      <c r="I89" s="3"/>
    </row>
    <row r="90" spans="1:9" x14ac:dyDescent="0.25">
      <c r="A90" t="str">
        <f>TabProjet[[#This Row],[Client]] &amp; "-" &amp; TabProjet[[#This Row],[Projet]]</f>
        <v>LA POSTE-DIGITAL</v>
      </c>
      <c r="B90" s="3" t="s">
        <v>233</v>
      </c>
      <c r="C90" s="3" t="s">
        <v>1037</v>
      </c>
      <c r="D90" s="4"/>
      <c r="E90" s="4">
        <v>43830</v>
      </c>
      <c r="F90" s="3" t="s">
        <v>929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POSTE-Go ACT</v>
      </c>
      <c r="B91" s="3" t="s">
        <v>233</v>
      </c>
      <c r="C91" s="3" t="s">
        <v>1038</v>
      </c>
      <c r="D91" s="4"/>
      <c r="E91" s="4">
        <v>43830</v>
      </c>
      <c r="F91" s="3" t="s">
        <v>1039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POSTE-OPOSSUM</v>
      </c>
      <c r="B92" s="3" t="s">
        <v>233</v>
      </c>
      <c r="C92" s="3" t="s">
        <v>1040</v>
      </c>
      <c r="D92" s="4"/>
      <c r="E92" s="4">
        <v>43646</v>
      </c>
      <c r="F92" s="3" t="s">
        <v>915</v>
      </c>
      <c r="G92" s="3"/>
      <c r="H92" s="3"/>
      <c r="I92" s="3"/>
    </row>
    <row r="93" spans="1:9" x14ac:dyDescent="0.25">
      <c r="A93" t="str">
        <f>TabProjet[[#This Row],[Client]] &amp; "-" &amp; TabProjet[[#This Row],[Projet]]</f>
        <v>LA POSTE-OPUS</v>
      </c>
      <c r="B93" s="3" t="s">
        <v>233</v>
      </c>
      <c r="C93" s="3" t="s">
        <v>1041</v>
      </c>
      <c r="D93" s="4"/>
      <c r="E93" s="4">
        <v>43646</v>
      </c>
      <c r="F93" s="3" t="s">
        <v>915</v>
      </c>
      <c r="G93" s="3"/>
      <c r="H93" s="3"/>
      <c r="I93" s="3"/>
    </row>
    <row r="94" spans="1:9" x14ac:dyDescent="0.25">
      <c r="A94" s="5" t="str">
        <f>TabProjet[[#This Row],[Client]] &amp; "-" &amp; TabProjet[[#This Row],[Projet]]</f>
        <v>LA POSTE-POC Go-ACT</v>
      </c>
      <c r="B94" s="3" t="s">
        <v>233</v>
      </c>
      <c r="C94" s="3" t="s">
        <v>1042</v>
      </c>
      <c r="D94" s="4">
        <v>43556</v>
      </c>
      <c r="E94" s="4">
        <v>43580</v>
      </c>
      <c r="F94" s="3" t="s">
        <v>949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LA POSTE-POP</v>
      </c>
      <c r="B95" s="3" t="s">
        <v>233</v>
      </c>
      <c r="C95" s="3" t="s">
        <v>1043</v>
      </c>
      <c r="D95" s="4"/>
      <c r="E95" s="4">
        <v>43646</v>
      </c>
      <c r="F95" s="3" t="s">
        <v>915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LA POSTE-SIBP</v>
      </c>
      <c r="B96" s="3" t="s">
        <v>233</v>
      </c>
      <c r="C96" s="3" t="s">
        <v>1044</v>
      </c>
      <c r="D96" s="4">
        <v>43528</v>
      </c>
      <c r="E96" s="4">
        <v>43600</v>
      </c>
      <c r="F96" s="3" t="s">
        <v>998</v>
      </c>
      <c r="G96" s="3" t="s">
        <v>998</v>
      </c>
      <c r="H96" s="3" t="s">
        <v>1045</v>
      </c>
      <c r="I96" s="3"/>
    </row>
    <row r="97" spans="1:9" x14ac:dyDescent="0.25">
      <c r="A97" t="str">
        <f>TabProjet[[#This Row],[Client]] &amp; "-" &amp; TabProjet[[#This Row],[Projet]]</f>
        <v>MACIF-Transverse</v>
      </c>
      <c r="B97" s="3" t="s">
        <v>237</v>
      </c>
      <c r="C97" s="3" t="s">
        <v>1046</v>
      </c>
      <c r="D97" s="4">
        <v>43466</v>
      </c>
      <c r="E97" s="4">
        <v>43585</v>
      </c>
      <c r="F97" s="3" t="s">
        <v>1047</v>
      </c>
      <c r="G97" s="3"/>
      <c r="H97" s="3" t="s">
        <v>1048</v>
      </c>
      <c r="I97" s="3"/>
    </row>
    <row r="98" spans="1:9" x14ac:dyDescent="0.25">
      <c r="A98" s="5" t="str">
        <f>TabProjet[[#This Row],[Client]] &amp; "-" &amp; TabProjet[[#This Row],[Projet]]</f>
        <v>MEAE-AIG</v>
      </c>
      <c r="B98" s="3" t="s">
        <v>1049</v>
      </c>
      <c r="C98" s="3" t="s">
        <v>1050</v>
      </c>
      <c r="D98" s="4">
        <v>43579</v>
      </c>
      <c r="E98" s="4">
        <v>43830</v>
      </c>
      <c r="F98" s="3" t="s">
        <v>1051</v>
      </c>
      <c r="G98" s="3"/>
      <c r="H98" s="3"/>
      <c r="I98" s="3"/>
    </row>
    <row r="99" spans="1:9" x14ac:dyDescent="0.25">
      <c r="A99" t="str">
        <f>TabProjet[[#This Row],[Client]] &amp; "-" &amp; TabProjet[[#This Row],[Projet]]</f>
        <v>MEAE-DIPLO</v>
      </c>
      <c r="B99" s="3" t="s">
        <v>1049</v>
      </c>
      <c r="C99" s="3" t="s">
        <v>1052</v>
      </c>
      <c r="D99" s="4">
        <v>43466</v>
      </c>
      <c r="E99" s="4">
        <v>43830</v>
      </c>
      <c r="F99" s="3" t="s">
        <v>1053</v>
      </c>
      <c r="G99" s="3"/>
      <c r="H99" s="3"/>
      <c r="I99" s="3"/>
    </row>
    <row r="100" spans="1:9" x14ac:dyDescent="0.25">
      <c r="A100" t="str">
        <f>TabProjet[[#This Row],[Client]] &amp; "-" &amp; TabProjet[[#This Row],[Projet]]</f>
        <v>MEAE-FVBO</v>
      </c>
      <c r="B100" s="3" t="s">
        <v>1049</v>
      </c>
      <c r="C100" s="3" t="s">
        <v>1054</v>
      </c>
      <c r="D100" s="4"/>
      <c r="E100" s="4">
        <v>43830</v>
      </c>
      <c r="F100" s="3" t="s">
        <v>946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MEAE-Hornet</v>
      </c>
      <c r="B101" s="3" t="s">
        <v>1049</v>
      </c>
      <c r="C101" s="3" t="s">
        <v>1055</v>
      </c>
      <c r="D101" s="4"/>
      <c r="E101" s="4"/>
      <c r="F101" s="3" t="s">
        <v>1053</v>
      </c>
      <c r="G101" s="3"/>
      <c r="H101" s="3" t="s">
        <v>1056</v>
      </c>
      <c r="I101" s="3" t="s">
        <v>1057</v>
      </c>
    </row>
    <row r="102" spans="1:9" x14ac:dyDescent="0.25">
      <c r="A102" t="str">
        <f>TabProjet[[#This Row],[Client]] &amp; "-" &amp; TabProjet[[#This Row],[Projet]]</f>
        <v>MEAE-Migration SAGAIE</v>
      </c>
      <c r="B102" s="3" t="s">
        <v>1049</v>
      </c>
      <c r="C102" s="3" t="s">
        <v>1058</v>
      </c>
      <c r="D102" s="4">
        <v>43252</v>
      </c>
      <c r="E102" s="4">
        <v>43555</v>
      </c>
      <c r="F102" s="3" t="s">
        <v>1059</v>
      </c>
      <c r="G102" s="3"/>
      <c r="H102" s="3" t="s">
        <v>1056</v>
      </c>
      <c r="I102" s="3" t="s">
        <v>1057</v>
      </c>
    </row>
    <row r="103" spans="1:9" x14ac:dyDescent="0.25">
      <c r="A103" t="str">
        <f>TabProjet[[#This Row],[Client]] &amp; "-" &amp; TabProjet[[#This Row],[Projet]]</f>
        <v>MEAE-Migration VisMail</v>
      </c>
      <c r="B103" s="3" t="s">
        <v>1049</v>
      </c>
      <c r="C103" s="3" t="s">
        <v>1060</v>
      </c>
      <c r="D103" s="4"/>
      <c r="E103" s="4">
        <v>43554</v>
      </c>
      <c r="F103" s="3" t="s">
        <v>1053</v>
      </c>
      <c r="G103" s="3" t="s">
        <v>1061</v>
      </c>
      <c r="H103" s="3" t="s">
        <v>1056</v>
      </c>
      <c r="I103" s="3" t="s">
        <v>1062</v>
      </c>
    </row>
    <row r="104" spans="1:9" x14ac:dyDescent="0.25">
      <c r="A104" t="str">
        <f>TabProjet[[#This Row],[Client]] &amp; "-" &amp; TabProjet[[#This Row],[Projet]]</f>
        <v>MEAE-OPT</v>
      </c>
      <c r="B104" s="3" t="s">
        <v>1049</v>
      </c>
      <c r="C104" s="3" t="s">
        <v>1063</v>
      </c>
      <c r="D104" s="4"/>
      <c r="E104" s="4">
        <v>43830</v>
      </c>
      <c r="F104" s="3" t="s">
        <v>1053</v>
      </c>
      <c r="G104" s="3"/>
      <c r="H104" s="3"/>
      <c r="I104" s="3"/>
    </row>
    <row r="105" spans="1:9" x14ac:dyDescent="0.25">
      <c r="A105" s="5" t="str">
        <f>TabProjet[[#This Row],[Client]] &amp; "-" &amp; TabProjet[[#This Row],[Projet]]</f>
        <v>MEAE-Redmine MEAE</v>
      </c>
      <c r="B105" s="3" t="s">
        <v>1049</v>
      </c>
      <c r="C105" s="3" t="s">
        <v>1064</v>
      </c>
      <c r="D105" s="4"/>
      <c r="E105" s="4"/>
      <c r="F105" s="3" t="s">
        <v>1053</v>
      </c>
      <c r="G105" s="3"/>
      <c r="H105" s="3" t="s">
        <v>1065</v>
      </c>
      <c r="I105" s="49" t="s">
        <v>889</v>
      </c>
    </row>
    <row r="106" spans="1:9" x14ac:dyDescent="0.25">
      <c r="A106" t="str">
        <f>TabProjet[[#This Row],[Client]] &amp; "-" &amp; TabProjet[[#This Row],[Projet]]</f>
        <v>MEAE-SAGAIE TMA</v>
      </c>
      <c r="B106" s="3" t="s">
        <v>1049</v>
      </c>
      <c r="C106" s="3" t="s">
        <v>1066</v>
      </c>
      <c r="D106" s="4">
        <v>43388</v>
      </c>
      <c r="E106" s="4">
        <v>43830</v>
      </c>
      <c r="F106" s="3" t="s">
        <v>1067</v>
      </c>
      <c r="G106" s="3"/>
      <c r="H106" s="3" t="s">
        <v>1056</v>
      </c>
      <c r="I106" s="3"/>
    </row>
    <row r="107" spans="1:9" x14ac:dyDescent="0.25">
      <c r="A107" t="str">
        <f>TabProjet[[#This Row],[Client]] &amp; "-" &amp; TabProjet[[#This Row],[Projet]]</f>
        <v>MEAE-Visa</v>
      </c>
      <c r="B107" s="3" t="s">
        <v>1049</v>
      </c>
      <c r="C107" s="3" t="s">
        <v>1068</v>
      </c>
      <c r="D107" s="4"/>
      <c r="E107" s="4">
        <v>43830</v>
      </c>
      <c r="F107" s="3" t="s">
        <v>1053</v>
      </c>
      <c r="G107" s="3" t="s">
        <v>1061</v>
      </c>
      <c r="H107" s="3" t="s">
        <v>1056</v>
      </c>
      <c r="I107" s="3"/>
    </row>
    <row r="108" spans="1:9" x14ac:dyDescent="0.25">
      <c r="A108" s="5" t="str">
        <f>TabProjet[[#This Row],[Client]] &amp; "-" &amp; TabProjet[[#This Row],[Projet]]</f>
        <v>MEAE-Prevoirh</v>
      </c>
      <c r="B108" s="3" t="s">
        <v>1049</v>
      </c>
      <c r="C108" s="3" t="s">
        <v>1069</v>
      </c>
      <c r="D108" s="4"/>
      <c r="E108" s="4"/>
      <c r="F108" s="3" t="s">
        <v>1053</v>
      </c>
      <c r="G108" s="3"/>
      <c r="H108" s="3" t="s">
        <v>1056</v>
      </c>
      <c r="I108" s="3"/>
    </row>
    <row r="109" spans="1:9" x14ac:dyDescent="0.25">
      <c r="A109" s="5" t="str">
        <f>TabProjet[[#This Row],[Client]] &amp; "-" &amp; TabProjet[[#This Row],[Projet]]</f>
        <v>MENESR-APAE</v>
      </c>
      <c r="B109" s="3" t="s">
        <v>213</v>
      </c>
      <c r="C109" s="3" t="s">
        <v>1070</v>
      </c>
      <c r="D109" s="4"/>
      <c r="E109" s="4"/>
      <c r="F109" s="3" t="s">
        <v>891</v>
      </c>
      <c r="G109" s="3" t="s">
        <v>1071</v>
      </c>
      <c r="H109" s="3" t="s">
        <v>1072</v>
      </c>
      <c r="I109" s="3"/>
    </row>
    <row r="110" spans="1:9" x14ac:dyDescent="0.25">
      <c r="A110" s="5" t="str">
        <f>TabProjet[[#This Row],[Client]] &amp; "-" &amp; TabProjet[[#This Row],[Projet]]</f>
        <v>MENESR-BNIE</v>
      </c>
      <c r="B110" s="3" t="s">
        <v>213</v>
      </c>
      <c r="C110" s="3" t="s">
        <v>1073</v>
      </c>
      <c r="D110" s="4"/>
      <c r="E110" s="4"/>
      <c r="F110" s="3" t="s">
        <v>891</v>
      </c>
      <c r="G110" s="3" t="s">
        <v>1071</v>
      </c>
      <c r="H110" s="3" t="s">
        <v>1072</v>
      </c>
      <c r="I110" s="3"/>
    </row>
    <row r="111" spans="1:9" x14ac:dyDescent="0.25">
      <c r="A111" s="5" t="str">
        <f>TabProjet[[#This Row],[Client]] &amp; "-" &amp; TabProjet[[#This Row],[Projet]]</f>
        <v>MENESR-INES</v>
      </c>
      <c r="B111" s="3" t="s">
        <v>213</v>
      </c>
      <c r="C111" s="3" t="s">
        <v>1074</v>
      </c>
      <c r="D111" s="4"/>
      <c r="E111" s="4"/>
      <c r="F111" s="3" t="s">
        <v>891</v>
      </c>
      <c r="G111" s="3" t="s">
        <v>1071</v>
      </c>
      <c r="H111" s="3" t="s">
        <v>1072</v>
      </c>
      <c r="I111" s="3"/>
    </row>
    <row r="112" spans="1:9" x14ac:dyDescent="0.25">
      <c r="A112" s="5" t="str">
        <f>TabProjet[[#This Row],[Client]] &amp; "-" &amp; TabProjet[[#This Row],[Projet]]</f>
        <v>MENESR-RNIE</v>
      </c>
      <c r="B112" s="3" t="s">
        <v>213</v>
      </c>
      <c r="C112" s="3" t="s">
        <v>1075</v>
      </c>
      <c r="D112" s="4"/>
      <c r="E112" s="4"/>
      <c r="F112" s="3" t="s">
        <v>891</v>
      </c>
      <c r="G112" s="3" t="s">
        <v>1071</v>
      </c>
      <c r="H112" s="3" t="s">
        <v>1072</v>
      </c>
      <c r="I112" s="3"/>
    </row>
    <row r="113" spans="1:9" x14ac:dyDescent="0.25">
      <c r="A113" t="str">
        <f>TabProjet[[#This Row],[Client]] &amp; "-" &amp; TabProjet[[#This Row],[Projet]]</f>
        <v>MIN-ANEF</v>
      </c>
      <c r="B113" s="3" t="s">
        <v>1076</v>
      </c>
      <c r="C113" s="3" t="s">
        <v>1077</v>
      </c>
      <c r="D113" s="4"/>
      <c r="E113" s="4">
        <v>43830</v>
      </c>
      <c r="F113" s="3"/>
      <c r="G113" s="3"/>
      <c r="H113" s="3"/>
      <c r="I113" s="3"/>
    </row>
    <row r="114" spans="1:9" x14ac:dyDescent="0.25">
      <c r="A114" t="str">
        <f>TabProjet[[#This Row],[Client]] &amp; "-" &amp; TabProjet[[#This Row],[Projet]]</f>
        <v>Ntes Métro-AT MS 15</v>
      </c>
      <c r="B114" s="3" t="s">
        <v>1078</v>
      </c>
      <c r="C114" s="3" t="s">
        <v>1079</v>
      </c>
      <c r="D114" s="4">
        <v>43556</v>
      </c>
      <c r="E114" s="4">
        <v>44285</v>
      </c>
      <c r="F114" s="3" t="s">
        <v>1080</v>
      </c>
      <c r="G114" s="3"/>
      <c r="H114" s="3"/>
      <c r="I114" s="3"/>
    </row>
    <row r="115" spans="1:9" x14ac:dyDescent="0.25">
      <c r="A115" s="5" t="str">
        <f>TabProjet[[#This Row],[Client]] &amp; "-" &amp; TabProjet[[#This Row],[Projet]]</f>
        <v>ONEMA-ASPE</v>
      </c>
      <c r="B115" s="3" t="s">
        <v>112</v>
      </c>
      <c r="C115" s="3" t="s">
        <v>885</v>
      </c>
      <c r="D115" s="4"/>
      <c r="E115" s="4"/>
      <c r="F115" s="3" t="s">
        <v>910</v>
      </c>
      <c r="G115" s="3"/>
      <c r="H115" s="3" t="s">
        <v>1081</v>
      </c>
      <c r="I115" s="49" t="s">
        <v>889</v>
      </c>
    </row>
    <row r="116" spans="1:9" x14ac:dyDescent="0.25">
      <c r="A116" s="5" t="str">
        <f>TabProjet[[#This Row],[Client]] &amp; "-" &amp; TabProjet[[#This Row],[Projet]]</f>
        <v>ONEMA-CDR - TMA WEB</v>
      </c>
      <c r="B116" s="3" t="s">
        <v>112</v>
      </c>
      <c r="C116" s="3" t="s">
        <v>1082</v>
      </c>
      <c r="D116" s="4"/>
      <c r="E116" s="4"/>
      <c r="F116" s="3" t="s">
        <v>891</v>
      </c>
      <c r="G116" s="3" t="s">
        <v>906</v>
      </c>
      <c r="H116" s="3" t="s">
        <v>1083</v>
      </c>
      <c r="I116" s="49" t="s">
        <v>889</v>
      </c>
    </row>
    <row r="117" spans="1:9" x14ac:dyDescent="0.25">
      <c r="A117" s="5" t="str">
        <f>TabProjet[[#This Row],[Client]] &amp; "-" &amp; TabProjet[[#This Row],[Projet]]</f>
        <v>ONEMA-GEOF-SNPE</v>
      </c>
      <c r="B117" s="3" t="s">
        <v>112</v>
      </c>
      <c r="C117" s="3" t="s">
        <v>1084</v>
      </c>
      <c r="D117" s="4"/>
      <c r="E117" s="4"/>
      <c r="F117" s="3" t="s">
        <v>910</v>
      </c>
      <c r="G117" s="3"/>
      <c r="H117" s="3" t="s">
        <v>1081</v>
      </c>
      <c r="I117" s="49" t="s">
        <v>889</v>
      </c>
    </row>
    <row r="118" spans="1:9" x14ac:dyDescent="0.25">
      <c r="A118" s="5" t="str">
        <f>TabProjet[[#This Row],[Client]] &amp; "-" &amp; TabProjet[[#This Row],[Projet]]</f>
        <v>ONEMA-OPALE</v>
      </c>
      <c r="B118" s="3" t="s">
        <v>112</v>
      </c>
      <c r="C118" s="3" t="s">
        <v>1085</v>
      </c>
      <c r="D118" s="4"/>
      <c r="E118" s="4"/>
      <c r="F118" s="3" t="s">
        <v>891</v>
      </c>
      <c r="G118" s="3" t="s">
        <v>925</v>
      </c>
      <c r="H118" s="3" t="s">
        <v>1081</v>
      </c>
      <c r="I118" s="49" t="s">
        <v>889</v>
      </c>
    </row>
    <row r="119" spans="1:9" x14ac:dyDescent="0.25">
      <c r="A119" s="5" t="str">
        <f>TabProjet[[#This Row],[Client]] &amp; "-" &amp; TabProjet[[#This Row],[Projet]]</f>
        <v>PCM-ALS</v>
      </c>
      <c r="B119" s="3" t="s">
        <v>340</v>
      </c>
      <c r="C119" s="3" t="s">
        <v>1086</v>
      </c>
      <c r="D119" s="4"/>
      <c r="E119" s="4"/>
      <c r="F119" s="3" t="s">
        <v>965</v>
      </c>
      <c r="G119" s="3" t="s">
        <v>906</v>
      </c>
      <c r="H119" s="3" t="s">
        <v>1087</v>
      </c>
      <c r="I119" s="50"/>
    </row>
    <row r="120" spans="1:9" x14ac:dyDescent="0.25">
      <c r="A120" s="5" t="str">
        <f>TabProjet[[#This Row],[Client]] &amp; "-" &amp; TabProjet[[#This Row],[Projet]]</f>
        <v>PCM-WEB</v>
      </c>
      <c r="B120" s="3" t="s">
        <v>340</v>
      </c>
      <c r="C120" s="3" t="s">
        <v>1088</v>
      </c>
      <c r="D120" s="4"/>
      <c r="E120" s="4"/>
      <c r="F120" s="3" t="s">
        <v>903</v>
      </c>
      <c r="G120" s="3" t="s">
        <v>903</v>
      </c>
      <c r="H120" s="3" t="s">
        <v>1087</v>
      </c>
      <c r="I120" s="3"/>
    </row>
    <row r="121" spans="1:9" x14ac:dyDescent="0.25">
      <c r="A121" s="5" t="str">
        <f>TabProjet[[#This Row],[Client]] &amp; "-" &amp; TabProjet[[#This Row],[Projet]]</f>
        <v>PRIZER-TMA</v>
      </c>
      <c r="B121" s="3" t="s">
        <v>334</v>
      </c>
      <c r="C121" s="3" t="s">
        <v>84</v>
      </c>
      <c r="D121" s="4"/>
      <c r="E121" s="4"/>
      <c r="F121" s="3" t="s">
        <v>941</v>
      </c>
      <c r="G121" s="3" t="s">
        <v>1089</v>
      </c>
      <c r="H121" s="3" t="s">
        <v>859</v>
      </c>
      <c r="I121" s="50"/>
    </row>
    <row r="122" spans="1:9" x14ac:dyDescent="0.25">
      <c r="A122" s="5" t="str">
        <f>TabProjet[[#This Row],[Client]] &amp; "-" &amp; TabProjet[[#This Row],[Projet]]</f>
        <v>RECIA-GRR</v>
      </c>
      <c r="B122" s="3" t="s">
        <v>1090</v>
      </c>
      <c r="C122" s="3" t="s">
        <v>1091</v>
      </c>
      <c r="D122" s="4"/>
      <c r="E122" s="4"/>
      <c r="F122" s="3" t="s">
        <v>910</v>
      </c>
      <c r="G122" s="3"/>
      <c r="H122" s="3" t="s">
        <v>1092</v>
      </c>
      <c r="I122" s="3"/>
    </row>
    <row r="123" spans="1:9" x14ac:dyDescent="0.25">
      <c r="A123" t="str">
        <f>TabProjet[[#This Row],[Client]] &amp; "-" &amp; TabProjet[[#This Row],[Projet]]</f>
        <v>ROUAIX-MVP</v>
      </c>
      <c r="B123" s="3" t="s">
        <v>1093</v>
      </c>
      <c r="C123" s="3" t="s">
        <v>1094</v>
      </c>
      <c r="D123" s="4"/>
      <c r="E123" s="4">
        <v>43465</v>
      </c>
      <c r="F123" s="3"/>
      <c r="G123" s="3"/>
      <c r="H123" s="3"/>
      <c r="I123" s="3"/>
    </row>
    <row r="124" spans="1:9" x14ac:dyDescent="0.25">
      <c r="A124" s="5" t="str">
        <f>TabProjet[[#This Row],[Client]] &amp; "-" &amp; TabProjet[[#This Row],[Projet]]</f>
        <v>SG-CDR</v>
      </c>
      <c r="B124" s="3" t="s">
        <v>1095</v>
      </c>
      <c r="C124" s="3" t="s">
        <v>1096</v>
      </c>
      <c r="D124" s="4">
        <v>43466</v>
      </c>
      <c r="E124" s="4">
        <v>43600</v>
      </c>
      <c r="F124" s="3"/>
      <c r="G124" s="3"/>
      <c r="H124" s="3" t="s">
        <v>1097</v>
      </c>
      <c r="I124" s="48" t="s">
        <v>976</v>
      </c>
    </row>
    <row r="125" spans="1:9" x14ac:dyDescent="0.25">
      <c r="A125" s="5" t="str">
        <f>TabProjet[[#This Row],[Client]] &amp; "-" &amp; TabProjet[[#This Row],[Projet]]</f>
        <v>STMICRO-RUN2RUN</v>
      </c>
      <c r="B125" s="3" t="s">
        <v>238</v>
      </c>
      <c r="C125" s="3" t="s">
        <v>1098</v>
      </c>
      <c r="D125" s="4"/>
      <c r="E125" s="4"/>
      <c r="F125" s="3" t="s">
        <v>886</v>
      </c>
      <c r="G125" s="3" t="s">
        <v>912</v>
      </c>
      <c r="H125" s="3" t="s">
        <v>1099</v>
      </c>
      <c r="I125" s="50"/>
    </row>
    <row r="126" spans="1:9" x14ac:dyDescent="0.25">
      <c r="A126" s="5" t="str">
        <f>TabProjet[[#This Row],[Client]] &amp; "-" &amp; TabProjet[[#This Row],[Projet]]</f>
        <v>STMICRO-STARK</v>
      </c>
      <c r="B126" s="3" t="s">
        <v>238</v>
      </c>
      <c r="C126" s="3" t="s">
        <v>1100</v>
      </c>
      <c r="D126" s="4">
        <v>43636</v>
      </c>
      <c r="E126" s="4"/>
      <c r="F126" s="3" t="s">
        <v>886</v>
      </c>
      <c r="G126" s="3" t="s">
        <v>912</v>
      </c>
      <c r="H126" s="3" t="s">
        <v>1101</v>
      </c>
      <c r="I126" s="52"/>
    </row>
    <row r="127" spans="1:9" x14ac:dyDescent="0.25">
      <c r="A127" t="str">
        <f>TabProjet[[#This Row],[Client]] &amp; "-" &amp; TabProjet[[#This Row],[Projet]]</f>
        <v>Vivesco-Vives-taux</v>
      </c>
      <c r="B127" s="3" t="s">
        <v>1102</v>
      </c>
      <c r="C127" s="3" t="s">
        <v>1103</v>
      </c>
      <c r="D127" s="4">
        <v>43600</v>
      </c>
      <c r="E127" s="4">
        <v>43830</v>
      </c>
      <c r="F127" s="3" t="s">
        <v>870</v>
      </c>
      <c r="G127" s="3"/>
      <c r="H127" s="3" t="s">
        <v>1104</v>
      </c>
      <c r="I127" s="3"/>
    </row>
  </sheetData>
  <sheetProtection autoFilter="0" pivotTables="0"/>
  <conditionalFormatting sqref="E3:E41 E45:E127 D43:E44">
    <cfRule type="expression" dxfId="36" priority="4">
      <formula>$E3&lt;NOW()</formula>
    </cfRule>
  </conditionalFormatting>
  <conditionalFormatting sqref="D41">
    <cfRule type="expression" dxfId="35" priority="3">
      <formula>$E41&lt;NOW()</formula>
    </cfRule>
  </conditionalFormatting>
  <conditionalFormatting sqref="E42">
    <cfRule type="expression" dxfId="34" priority="2">
      <formula>$E42&lt;NOW()</formula>
    </cfRule>
  </conditionalFormatting>
  <conditionalFormatting sqref="D42">
    <cfRule type="expression" dxfId="33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7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71"/>
  <sheetViews>
    <sheetView showGridLines="0" zoomScaleNormal="100" workbookViewId="0">
      <pane xSplit="2" ySplit="2" topLeftCell="C42" activePane="bottomRight" state="frozenSplit"/>
      <selection pane="topRight" activeCell="A27" sqref="A27"/>
      <selection pane="bottomLeft" activeCell="A89" sqref="A89"/>
      <selection pane="bottomRight" activeCell="A49" sqref="A49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1105</v>
      </c>
      <c r="B2" s="11" t="s">
        <v>369</v>
      </c>
      <c r="C2" s="11" t="s">
        <v>1106</v>
      </c>
      <c r="D2" s="11" t="s">
        <v>1107</v>
      </c>
      <c r="E2" s="11" t="s">
        <v>1108</v>
      </c>
      <c r="F2" s="11" t="s">
        <v>1109</v>
      </c>
    </row>
    <row r="3" spans="1:6" x14ac:dyDescent="0.25">
      <c r="A3" s="9" t="s">
        <v>871</v>
      </c>
      <c r="B3" s="10" t="s">
        <v>868</v>
      </c>
      <c r="C3" s="10">
        <v>341531</v>
      </c>
      <c r="D3" s="10"/>
      <c r="E3" s="10"/>
      <c r="F3" s="10" t="s">
        <v>1110</v>
      </c>
    </row>
    <row r="4" spans="1:6" x14ac:dyDescent="0.25">
      <c r="A4" s="9" t="s">
        <v>876</v>
      </c>
      <c r="B4" s="10" t="s">
        <v>83</v>
      </c>
      <c r="C4" s="10">
        <v>341531</v>
      </c>
      <c r="D4" s="10" t="s">
        <v>1111</v>
      </c>
      <c r="E4" s="10" t="s">
        <v>1023</v>
      </c>
      <c r="F4" s="10" t="s">
        <v>1110</v>
      </c>
    </row>
    <row r="5" spans="1:6" x14ac:dyDescent="0.25">
      <c r="A5" s="9" t="s">
        <v>1112</v>
      </c>
      <c r="B5" s="10" t="s">
        <v>83</v>
      </c>
      <c r="C5" s="10">
        <v>341531</v>
      </c>
      <c r="D5" s="10" t="s">
        <v>1113</v>
      </c>
      <c r="E5" s="10" t="s">
        <v>1023</v>
      </c>
      <c r="F5" s="10" t="s">
        <v>1114</v>
      </c>
    </row>
    <row r="6" spans="1:6" x14ac:dyDescent="0.25">
      <c r="A6" s="9" t="s">
        <v>1115</v>
      </c>
      <c r="B6" s="10" t="s">
        <v>83</v>
      </c>
      <c r="C6" s="10">
        <v>341531</v>
      </c>
      <c r="D6" s="10" t="s">
        <v>1113</v>
      </c>
      <c r="E6" s="10" t="s">
        <v>1023</v>
      </c>
      <c r="F6" s="10" t="s">
        <v>1114</v>
      </c>
    </row>
    <row r="7" spans="1:6" x14ac:dyDescent="0.25">
      <c r="A7" s="9" t="s">
        <v>1116</v>
      </c>
      <c r="B7" s="10" t="s">
        <v>83</v>
      </c>
      <c r="C7" s="10">
        <v>341531</v>
      </c>
      <c r="D7" s="10" t="s">
        <v>1113</v>
      </c>
      <c r="E7" s="10" t="s">
        <v>1023</v>
      </c>
      <c r="F7" s="10" t="s">
        <v>1110</v>
      </c>
    </row>
    <row r="8" spans="1:6" x14ac:dyDescent="0.25">
      <c r="A8" s="9" t="s">
        <v>882</v>
      </c>
      <c r="B8" s="10" t="s">
        <v>83</v>
      </c>
      <c r="C8" s="10">
        <v>341531</v>
      </c>
      <c r="D8" s="10" t="s">
        <v>1111</v>
      </c>
      <c r="E8" s="10" t="s">
        <v>1023</v>
      </c>
      <c r="F8" s="10" t="s">
        <v>1110</v>
      </c>
    </row>
    <row r="9" spans="1:6" x14ac:dyDescent="0.25">
      <c r="A9" s="9" t="s">
        <v>884</v>
      </c>
      <c r="B9" s="10" t="s">
        <v>83</v>
      </c>
      <c r="C9" s="10">
        <v>341531</v>
      </c>
      <c r="D9" s="10" t="s">
        <v>1111</v>
      </c>
      <c r="E9" s="10" t="s">
        <v>1023</v>
      </c>
      <c r="F9" s="10" t="s">
        <v>1110</v>
      </c>
    </row>
    <row r="10" spans="1:6" x14ac:dyDescent="0.25">
      <c r="A10" s="9" t="s">
        <v>1117</v>
      </c>
      <c r="B10" s="10" t="s">
        <v>83</v>
      </c>
      <c r="C10" s="10">
        <v>341531</v>
      </c>
      <c r="D10" s="10" t="s">
        <v>1113</v>
      </c>
      <c r="E10" s="10" t="s">
        <v>1023</v>
      </c>
      <c r="F10" s="10" t="s">
        <v>1110</v>
      </c>
    </row>
    <row r="11" spans="1:6" x14ac:dyDescent="0.25">
      <c r="A11" s="9" t="s">
        <v>1118</v>
      </c>
      <c r="B11" s="10" t="s">
        <v>83</v>
      </c>
      <c r="C11" s="10">
        <v>341531</v>
      </c>
      <c r="D11" s="10" t="s">
        <v>1113</v>
      </c>
      <c r="E11" s="10" t="s">
        <v>1023</v>
      </c>
      <c r="F11" s="10" t="s">
        <v>1110</v>
      </c>
    </row>
    <row r="12" spans="1:6" x14ac:dyDescent="0.25">
      <c r="A12" s="9" t="s">
        <v>878</v>
      </c>
      <c r="B12" s="10" t="s">
        <v>83</v>
      </c>
      <c r="C12" s="10">
        <v>341531</v>
      </c>
      <c r="D12" s="10" t="s">
        <v>1111</v>
      </c>
      <c r="E12" s="10" t="s">
        <v>1023</v>
      </c>
      <c r="F12" s="10" t="s">
        <v>1110</v>
      </c>
    </row>
    <row r="13" spans="1:6" x14ac:dyDescent="0.25">
      <c r="A13" s="9" t="s">
        <v>1119</v>
      </c>
      <c r="B13" s="10" t="s">
        <v>83</v>
      </c>
      <c r="C13" s="10">
        <v>341531</v>
      </c>
      <c r="D13" s="10" t="s">
        <v>1111</v>
      </c>
      <c r="E13" s="10" t="s">
        <v>1023</v>
      </c>
      <c r="F13" s="10" t="s">
        <v>1110</v>
      </c>
    </row>
    <row r="14" spans="1:6" x14ac:dyDescent="0.25">
      <c r="A14" s="9" t="s">
        <v>880</v>
      </c>
      <c r="B14" s="10" t="s">
        <v>83</v>
      </c>
      <c r="C14" s="10">
        <v>341531</v>
      </c>
      <c r="D14" s="10" t="s">
        <v>1111</v>
      </c>
      <c r="E14" s="10" t="s">
        <v>1023</v>
      </c>
      <c r="F14" s="10" t="s">
        <v>1110</v>
      </c>
    </row>
    <row r="15" spans="1:6" x14ac:dyDescent="0.25">
      <c r="A15" s="9" t="s">
        <v>897</v>
      </c>
      <c r="B15" s="71" t="s">
        <v>337</v>
      </c>
      <c r="C15" s="10">
        <v>305704</v>
      </c>
      <c r="D15" s="10"/>
      <c r="E15" s="10"/>
      <c r="F15" s="10"/>
    </row>
    <row r="16" spans="1:6" x14ac:dyDescent="0.25">
      <c r="A16" s="9" t="s">
        <v>907</v>
      </c>
      <c r="B16" s="71" t="s">
        <v>337</v>
      </c>
      <c r="C16" s="10">
        <v>305704</v>
      </c>
      <c r="D16" s="10" t="s">
        <v>1120</v>
      </c>
      <c r="E16" s="10" t="s">
        <v>1120</v>
      </c>
      <c r="F16" s="10" t="s">
        <v>1120</v>
      </c>
    </row>
    <row r="17" spans="1:6" x14ac:dyDescent="0.25">
      <c r="A17" s="9" t="s">
        <v>1121</v>
      </c>
      <c r="B17" s="10" t="s">
        <v>1122</v>
      </c>
      <c r="C17" s="10">
        <v>341531</v>
      </c>
      <c r="D17" s="10"/>
      <c r="E17" s="10"/>
      <c r="F17" s="10"/>
    </row>
    <row r="18" spans="1:6" x14ac:dyDescent="0.25">
      <c r="A18" s="9" t="s">
        <v>1123</v>
      </c>
      <c r="B18" s="10" t="s">
        <v>1124</v>
      </c>
      <c r="C18" s="10">
        <v>341530</v>
      </c>
      <c r="D18" s="10" t="s">
        <v>1111</v>
      </c>
      <c r="E18" s="10" t="s">
        <v>1125</v>
      </c>
      <c r="F18" s="10" t="s">
        <v>1114</v>
      </c>
    </row>
    <row r="19" spans="1:6" x14ac:dyDescent="0.25">
      <c r="A19" s="9" t="s">
        <v>1126</v>
      </c>
      <c r="B19" s="10" t="s">
        <v>1127</v>
      </c>
      <c r="C19" s="10">
        <v>341531</v>
      </c>
      <c r="D19" s="10"/>
      <c r="E19" s="10"/>
      <c r="F19" s="10"/>
    </row>
    <row r="20" spans="1:6" x14ac:dyDescent="0.25">
      <c r="A20" s="9" t="s">
        <v>1128</v>
      </c>
      <c r="B20" s="10" t="s">
        <v>1127</v>
      </c>
      <c r="C20" s="10">
        <v>341531</v>
      </c>
      <c r="D20" s="10"/>
      <c r="E20" s="10"/>
      <c r="F20" s="10" t="s">
        <v>1110</v>
      </c>
    </row>
    <row r="21" spans="1:6" x14ac:dyDescent="0.25">
      <c r="A21" s="9" t="s">
        <v>1129</v>
      </c>
      <c r="B21" s="10" t="s">
        <v>1130</v>
      </c>
      <c r="C21" s="10">
        <v>341530</v>
      </c>
      <c r="D21" s="10"/>
      <c r="E21" s="10"/>
      <c r="F21" s="10" t="s">
        <v>1114</v>
      </c>
    </row>
    <row r="22" spans="1:6" x14ac:dyDescent="0.25">
      <c r="A22" s="9" t="s">
        <v>1131</v>
      </c>
      <c r="B22" s="10" t="s">
        <v>1130</v>
      </c>
      <c r="C22" s="10">
        <v>341530</v>
      </c>
      <c r="D22" s="10"/>
      <c r="E22" s="10"/>
      <c r="F22" s="10" t="s">
        <v>1114</v>
      </c>
    </row>
    <row r="23" spans="1:6" x14ac:dyDescent="0.25">
      <c r="A23" s="9" t="s">
        <v>916</v>
      </c>
      <c r="B23" s="10" t="s">
        <v>95</v>
      </c>
      <c r="C23" s="10">
        <v>341530</v>
      </c>
      <c r="D23" s="10" t="s">
        <v>1111</v>
      </c>
      <c r="E23" s="10" t="s">
        <v>84</v>
      </c>
      <c r="F23" s="10" t="s">
        <v>1114</v>
      </c>
    </row>
    <row r="24" spans="1:6" x14ac:dyDescent="0.25">
      <c r="A24" s="9" t="s">
        <v>1132</v>
      </c>
      <c r="B24" s="10" t="s">
        <v>95</v>
      </c>
      <c r="C24" s="10">
        <v>341530</v>
      </c>
      <c r="D24" s="10" t="s">
        <v>1113</v>
      </c>
      <c r="E24" s="10"/>
      <c r="F24" s="10" t="s">
        <v>1114</v>
      </c>
    </row>
    <row r="25" spans="1:6" x14ac:dyDescent="0.25">
      <c r="A25" s="9" t="s">
        <v>1133</v>
      </c>
      <c r="B25" s="10" t="s">
        <v>95</v>
      </c>
      <c r="C25" s="10">
        <v>341530</v>
      </c>
      <c r="D25" s="10" t="s">
        <v>1134</v>
      </c>
      <c r="E25" s="10"/>
      <c r="F25" s="10" t="s">
        <v>1114</v>
      </c>
    </row>
    <row r="26" spans="1:6" x14ac:dyDescent="0.25">
      <c r="A26" s="9" t="s">
        <v>1135</v>
      </c>
      <c r="B26" s="10" t="s">
        <v>95</v>
      </c>
      <c r="C26" s="10">
        <v>341530</v>
      </c>
      <c r="D26" s="10" t="s">
        <v>1134</v>
      </c>
      <c r="E26" s="10"/>
      <c r="F26" s="10" t="s">
        <v>1114</v>
      </c>
    </row>
    <row r="27" spans="1:6" x14ac:dyDescent="0.25">
      <c r="A27" s="61" t="s">
        <v>920</v>
      </c>
      <c r="B27" s="63" t="s">
        <v>95</v>
      </c>
      <c r="C27" s="10">
        <v>341530</v>
      </c>
      <c r="D27" s="10"/>
      <c r="E27" s="10"/>
      <c r="F27" s="10" t="s">
        <v>1114</v>
      </c>
    </row>
    <row r="28" spans="1:6" x14ac:dyDescent="0.25">
      <c r="A28" s="9" t="s">
        <v>1136</v>
      </c>
      <c r="B28" s="10" t="s">
        <v>1137</v>
      </c>
      <c r="C28" s="10">
        <v>341530</v>
      </c>
      <c r="D28" s="10"/>
      <c r="E28" s="10"/>
      <c r="F28" s="10" t="s">
        <v>1110</v>
      </c>
    </row>
    <row r="29" spans="1:6" x14ac:dyDescent="0.25">
      <c r="A29" s="47" t="s">
        <v>922</v>
      </c>
      <c r="B29" s="10" t="s">
        <v>106</v>
      </c>
      <c r="C29" s="10">
        <v>305704</v>
      </c>
      <c r="D29" s="10"/>
      <c r="E29" s="10"/>
      <c r="F29" s="10"/>
    </row>
    <row r="30" spans="1:6" x14ac:dyDescent="0.25">
      <c r="A30" s="47" t="s">
        <v>926</v>
      </c>
      <c r="B30" s="10" t="s">
        <v>106</v>
      </c>
      <c r="C30" s="10">
        <v>305704</v>
      </c>
      <c r="D30" s="10"/>
      <c r="E30" s="10"/>
      <c r="F30" s="10"/>
    </row>
    <row r="31" spans="1:6" x14ac:dyDescent="0.25">
      <c r="A31" s="9" t="s">
        <v>1138</v>
      </c>
      <c r="B31" s="10" t="s">
        <v>1139</v>
      </c>
      <c r="C31" s="10">
        <v>341531</v>
      </c>
      <c r="D31" s="10"/>
      <c r="E31" s="10"/>
      <c r="F31" s="10" t="s">
        <v>1114</v>
      </c>
    </row>
    <row r="32" spans="1:6" x14ac:dyDescent="0.25">
      <c r="A32" s="9" t="s">
        <v>1140</v>
      </c>
      <c r="B32" s="10" t="s">
        <v>1139</v>
      </c>
      <c r="C32" s="10">
        <v>341531</v>
      </c>
      <c r="D32" s="10"/>
      <c r="E32" s="10"/>
      <c r="F32" s="10" t="s">
        <v>1114</v>
      </c>
    </row>
    <row r="33" spans="1:6" x14ac:dyDescent="0.25">
      <c r="A33" s="9" t="s">
        <v>930</v>
      </c>
      <c r="B33" s="10" t="s">
        <v>1139</v>
      </c>
      <c r="C33" s="10">
        <v>341531</v>
      </c>
      <c r="D33" s="10"/>
      <c r="E33" s="10"/>
      <c r="F33" s="10" t="s">
        <v>1110</v>
      </c>
    </row>
    <row r="34" spans="1:6" x14ac:dyDescent="0.25">
      <c r="A34" s="9" t="s">
        <v>1141</v>
      </c>
      <c r="B34" s="10" t="s">
        <v>1142</v>
      </c>
      <c r="C34" s="10">
        <v>341530</v>
      </c>
      <c r="D34" s="10"/>
      <c r="E34" s="10"/>
      <c r="F34" s="10" t="s">
        <v>1110</v>
      </c>
    </row>
    <row r="35" spans="1:6" x14ac:dyDescent="0.25">
      <c r="A35" s="47" t="s">
        <v>933</v>
      </c>
      <c r="B35" s="10" t="s">
        <v>135</v>
      </c>
      <c r="C35" s="10">
        <v>305704</v>
      </c>
      <c r="D35" s="10"/>
      <c r="E35" s="10"/>
      <c r="F35" s="10"/>
    </row>
    <row r="36" spans="1:6" x14ac:dyDescent="0.25">
      <c r="A36" s="9" t="s">
        <v>1143</v>
      </c>
      <c r="B36" s="10" t="s">
        <v>1144</v>
      </c>
      <c r="C36" s="10">
        <v>341531</v>
      </c>
      <c r="D36" s="10" t="s">
        <v>1113</v>
      </c>
      <c r="E36" s="10"/>
      <c r="F36" s="10" t="s">
        <v>1110</v>
      </c>
    </row>
    <row r="37" spans="1:6" x14ac:dyDescent="0.25">
      <c r="A37" s="9" t="s">
        <v>1145</v>
      </c>
      <c r="B37" s="10" t="s">
        <v>1146</v>
      </c>
      <c r="C37" s="10">
        <v>341530</v>
      </c>
      <c r="D37" s="10" t="s">
        <v>1113</v>
      </c>
      <c r="E37" s="10" t="s">
        <v>1147</v>
      </c>
      <c r="F37" s="10" t="s">
        <v>1110</v>
      </c>
    </row>
    <row r="38" spans="1:6" x14ac:dyDescent="0.25">
      <c r="A38" s="9" t="s">
        <v>1148</v>
      </c>
      <c r="B38" s="10" t="s">
        <v>1149</v>
      </c>
      <c r="C38" s="10">
        <v>341530</v>
      </c>
      <c r="D38" s="10"/>
      <c r="E38" s="10"/>
      <c r="F38" s="10" t="s">
        <v>1114</v>
      </c>
    </row>
    <row r="39" spans="1:6" x14ac:dyDescent="0.25">
      <c r="A39" s="9" t="s">
        <v>1150</v>
      </c>
      <c r="B39" s="10" t="s">
        <v>1149</v>
      </c>
      <c r="C39" s="10">
        <v>341530</v>
      </c>
      <c r="D39" s="10"/>
      <c r="E39" s="10"/>
      <c r="F39" s="10" t="s">
        <v>1114</v>
      </c>
    </row>
    <row r="40" spans="1:6" x14ac:dyDescent="0.25">
      <c r="A40" s="9" t="s">
        <v>1151</v>
      </c>
      <c r="B40" s="10" t="s">
        <v>1149</v>
      </c>
      <c r="C40" s="10">
        <v>341530</v>
      </c>
      <c r="D40" s="10"/>
      <c r="E40" s="10"/>
      <c r="F40" s="10" t="s">
        <v>1110</v>
      </c>
    </row>
    <row r="41" spans="1:6" x14ac:dyDescent="0.25">
      <c r="A41" s="9" t="s">
        <v>1152</v>
      </c>
      <c r="B41" s="10" t="s">
        <v>1153</v>
      </c>
      <c r="C41" s="10">
        <v>341531</v>
      </c>
      <c r="D41" s="10"/>
      <c r="E41" s="10"/>
      <c r="F41" s="10" t="s">
        <v>1110</v>
      </c>
    </row>
    <row r="42" spans="1:6" x14ac:dyDescent="0.25">
      <c r="A42" s="9" t="s">
        <v>1154</v>
      </c>
      <c r="B42" s="10" t="s">
        <v>1155</v>
      </c>
      <c r="C42" s="10">
        <v>341531</v>
      </c>
      <c r="D42" s="10"/>
      <c r="E42" s="10"/>
      <c r="F42" s="10" t="s">
        <v>1114</v>
      </c>
    </row>
    <row r="43" spans="1:6" x14ac:dyDescent="0.25">
      <c r="A43" s="9" t="s">
        <v>1156</v>
      </c>
      <c r="B43" s="10" t="s">
        <v>1155</v>
      </c>
      <c r="C43" s="10">
        <v>341531</v>
      </c>
      <c r="D43" s="10"/>
      <c r="E43" s="10"/>
      <c r="F43" s="10" t="s">
        <v>1114</v>
      </c>
    </row>
    <row r="44" spans="1:6" x14ac:dyDescent="0.25">
      <c r="A44" s="9" t="s">
        <v>943</v>
      </c>
      <c r="B44" s="51" t="s">
        <v>939</v>
      </c>
      <c r="C44" s="10">
        <v>305704</v>
      </c>
      <c r="D44" s="10"/>
      <c r="E44" s="10"/>
      <c r="F44" s="10"/>
    </row>
    <row r="45" spans="1:6" x14ac:dyDescent="0.25">
      <c r="A45" s="9" t="s">
        <v>1157</v>
      </c>
      <c r="B45" s="10" t="s">
        <v>944</v>
      </c>
      <c r="C45" s="10">
        <v>341531</v>
      </c>
      <c r="D45" s="10"/>
      <c r="E45" s="10"/>
      <c r="F45" s="10" t="s">
        <v>1110</v>
      </c>
    </row>
    <row r="46" spans="1:6" x14ac:dyDescent="0.25">
      <c r="A46" s="9" t="s">
        <v>1158</v>
      </c>
      <c r="B46" s="10" t="s">
        <v>944</v>
      </c>
      <c r="C46" s="10">
        <v>341531</v>
      </c>
      <c r="D46" s="10"/>
      <c r="E46" s="10"/>
      <c r="F46" s="10" t="s">
        <v>1110</v>
      </c>
    </row>
    <row r="47" spans="1:6" x14ac:dyDescent="0.25">
      <c r="A47" s="9" t="s">
        <v>1159</v>
      </c>
      <c r="B47" s="10" t="s">
        <v>1160</v>
      </c>
      <c r="C47" s="10">
        <v>341530</v>
      </c>
      <c r="D47" s="10"/>
      <c r="E47" s="10"/>
      <c r="F47" s="10" t="s">
        <v>1110</v>
      </c>
    </row>
    <row r="48" spans="1:6" x14ac:dyDescent="0.25">
      <c r="A48" s="61" t="s">
        <v>342</v>
      </c>
      <c r="B48" s="61" t="s">
        <v>342</v>
      </c>
      <c r="C48" s="61" t="s">
        <v>342</v>
      </c>
      <c r="D48" s="10"/>
      <c r="E48" s="10"/>
      <c r="F48" s="10"/>
    </row>
    <row r="49" spans="1:6" x14ac:dyDescent="0.25">
      <c r="A49" s="61" t="s">
        <v>798</v>
      </c>
      <c r="B49" s="62" t="s">
        <v>245</v>
      </c>
      <c r="C49" s="63" t="s">
        <v>245</v>
      </c>
      <c r="D49" s="10"/>
      <c r="E49" s="10"/>
      <c r="F49" s="10"/>
    </row>
    <row r="50" spans="1:6" x14ac:dyDescent="0.25">
      <c r="A50" s="61" t="s">
        <v>799</v>
      </c>
      <c r="B50" s="62" t="s">
        <v>245</v>
      </c>
      <c r="C50" s="63" t="s">
        <v>245</v>
      </c>
      <c r="D50" s="10"/>
      <c r="E50" s="10"/>
      <c r="F50" s="10"/>
    </row>
    <row r="51" spans="1:6" x14ac:dyDescent="0.25">
      <c r="A51" s="61" t="s">
        <v>959</v>
      </c>
      <c r="B51" s="62" t="s">
        <v>959</v>
      </c>
      <c r="C51" s="63">
        <v>341530</v>
      </c>
      <c r="D51" s="10"/>
      <c r="E51" s="10"/>
      <c r="F51" s="10"/>
    </row>
    <row r="52" spans="1:6" x14ac:dyDescent="0.25">
      <c r="A52" s="47" t="s">
        <v>962</v>
      </c>
      <c r="B52" s="10" t="s">
        <v>97</v>
      </c>
      <c r="C52" s="10">
        <v>305704</v>
      </c>
      <c r="D52" s="10"/>
      <c r="E52" s="10"/>
      <c r="F52" s="10"/>
    </row>
    <row r="53" spans="1:6" x14ac:dyDescent="0.25">
      <c r="A53" s="9" t="s">
        <v>1161</v>
      </c>
      <c r="B53" s="10" t="s">
        <v>1162</v>
      </c>
      <c r="C53" s="10">
        <v>341530</v>
      </c>
      <c r="D53" s="10" t="s">
        <v>1134</v>
      </c>
      <c r="E53" s="10"/>
      <c r="F53" s="10" t="s">
        <v>1114</v>
      </c>
    </row>
    <row r="54" spans="1:6" x14ac:dyDescent="0.25">
      <c r="A54" s="9" t="s">
        <v>1163</v>
      </c>
      <c r="B54" s="10" t="s">
        <v>1162</v>
      </c>
      <c r="C54" s="10">
        <v>341530</v>
      </c>
      <c r="D54" s="10" t="s">
        <v>1111</v>
      </c>
      <c r="E54" s="10" t="s">
        <v>1125</v>
      </c>
      <c r="F54" s="10" t="s">
        <v>1114</v>
      </c>
    </row>
    <row r="55" spans="1:6" x14ac:dyDescent="0.25">
      <c r="A55" s="61" t="s">
        <v>327</v>
      </c>
      <c r="B55" s="62" t="s">
        <v>327</v>
      </c>
      <c r="C55" s="10">
        <v>305704</v>
      </c>
      <c r="D55" s="10"/>
      <c r="E55" s="10"/>
      <c r="F55" s="10"/>
    </row>
    <row r="56" spans="1:6" x14ac:dyDescent="0.25">
      <c r="A56" s="61" t="s">
        <v>996</v>
      </c>
      <c r="B56" s="62" t="s">
        <v>141</v>
      </c>
      <c r="C56" s="64">
        <v>341531</v>
      </c>
      <c r="D56" s="10"/>
      <c r="E56" s="10"/>
      <c r="F56" s="10"/>
    </row>
    <row r="57" spans="1:6" x14ac:dyDescent="0.25">
      <c r="A57" s="61" t="s">
        <v>1002</v>
      </c>
      <c r="B57" s="62" t="s">
        <v>141</v>
      </c>
      <c r="C57" s="61" t="s">
        <v>350</v>
      </c>
      <c r="D57" s="10"/>
      <c r="E57" s="10"/>
      <c r="F57" s="10"/>
    </row>
    <row r="58" spans="1:6" x14ac:dyDescent="0.25">
      <c r="A58" s="9" t="s">
        <v>1006</v>
      </c>
      <c r="B58" s="51" t="s">
        <v>141</v>
      </c>
      <c r="C58" s="9">
        <v>305704</v>
      </c>
      <c r="D58" s="10"/>
      <c r="E58" s="10"/>
      <c r="F58" s="10"/>
    </row>
    <row r="59" spans="1:6" x14ac:dyDescent="0.25">
      <c r="A59" s="61" t="s">
        <v>1008</v>
      </c>
      <c r="B59" s="62" t="s">
        <v>141</v>
      </c>
      <c r="C59" s="10">
        <v>305704</v>
      </c>
      <c r="D59" s="10"/>
      <c r="E59" s="10"/>
      <c r="F59" s="10"/>
    </row>
    <row r="60" spans="1:6" x14ac:dyDescent="0.25">
      <c r="A60" s="61" t="s">
        <v>1017</v>
      </c>
      <c r="B60" s="62" t="s">
        <v>141</v>
      </c>
      <c r="C60" s="10">
        <v>341530</v>
      </c>
      <c r="D60" s="10"/>
      <c r="E60" s="10"/>
      <c r="F60" s="10"/>
    </row>
    <row r="61" spans="1:6" x14ac:dyDescent="0.25">
      <c r="A61" s="61" t="s">
        <v>1019</v>
      </c>
      <c r="B61" s="62" t="s">
        <v>141</v>
      </c>
      <c r="C61" s="10">
        <v>305704</v>
      </c>
      <c r="D61" s="10"/>
      <c r="E61" s="10"/>
      <c r="F61" s="10"/>
    </row>
    <row r="62" spans="1:6" x14ac:dyDescent="0.25">
      <c r="A62" s="47" t="s">
        <v>983</v>
      </c>
      <c r="B62" s="10" t="s">
        <v>221</v>
      </c>
      <c r="C62" s="10">
        <v>341530</v>
      </c>
      <c r="D62" s="10"/>
      <c r="E62" s="10"/>
      <c r="F62" s="10"/>
    </row>
    <row r="63" spans="1:6" x14ac:dyDescent="0.25">
      <c r="A63" s="61" t="s">
        <v>814</v>
      </c>
      <c r="B63" s="62" t="s">
        <v>141</v>
      </c>
      <c r="C63" s="63">
        <v>341531</v>
      </c>
      <c r="D63" s="10"/>
      <c r="E63" s="10"/>
      <c r="F63" s="10"/>
    </row>
    <row r="64" spans="1:6" x14ac:dyDescent="0.25">
      <c r="A64" s="9" t="s">
        <v>1164</v>
      </c>
      <c r="B64" s="10" t="s">
        <v>331</v>
      </c>
      <c r="C64" s="10">
        <v>341531</v>
      </c>
      <c r="D64" s="10" t="s">
        <v>1113</v>
      </c>
      <c r="E64" s="10" t="s">
        <v>1147</v>
      </c>
      <c r="F64" s="10" t="s">
        <v>1114</v>
      </c>
    </row>
    <row r="65" spans="1:7" x14ac:dyDescent="0.25">
      <c r="A65" s="9" t="s">
        <v>1165</v>
      </c>
      <c r="B65" s="10" t="s">
        <v>331</v>
      </c>
      <c r="C65" s="10">
        <v>341531</v>
      </c>
      <c r="D65" s="10" t="s">
        <v>1113</v>
      </c>
      <c r="E65" s="10" t="s">
        <v>1147</v>
      </c>
      <c r="F65" s="10" t="s">
        <v>1114</v>
      </c>
    </row>
    <row r="66" spans="1:7" x14ac:dyDescent="0.25">
      <c r="A66" s="9" t="s">
        <v>1028</v>
      </c>
      <c r="B66" s="10" t="s">
        <v>331</v>
      </c>
      <c r="C66" s="10">
        <v>341531</v>
      </c>
      <c r="D66" s="10" t="s">
        <v>1111</v>
      </c>
      <c r="E66" s="10" t="s">
        <v>1147</v>
      </c>
      <c r="F66" s="10" t="s">
        <v>1114</v>
      </c>
    </row>
    <row r="67" spans="1:7" x14ac:dyDescent="0.25">
      <c r="A67" s="61" t="s">
        <v>833</v>
      </c>
      <c r="B67" s="62" t="s">
        <v>330</v>
      </c>
      <c r="C67" s="10">
        <v>305704</v>
      </c>
      <c r="D67" s="10"/>
      <c r="E67" s="10"/>
      <c r="F67" s="10"/>
    </row>
    <row r="68" spans="1:7" x14ac:dyDescent="0.25">
      <c r="A68" s="61" t="s">
        <v>988</v>
      </c>
      <c r="B68" s="62" t="s">
        <v>141</v>
      </c>
      <c r="C68" s="10">
        <v>305704</v>
      </c>
      <c r="D68" s="10"/>
      <c r="E68" s="10"/>
      <c r="F68" s="10"/>
    </row>
    <row r="69" spans="1:7" x14ac:dyDescent="0.25">
      <c r="A69" s="47" t="s">
        <v>952</v>
      </c>
      <c r="B69" s="10" t="s">
        <v>139</v>
      </c>
      <c r="C69" s="63" t="s">
        <v>352</v>
      </c>
      <c r="D69" s="10"/>
      <c r="E69" s="10"/>
      <c r="F69" s="10"/>
    </row>
    <row r="70" spans="1:7" ht="21" x14ac:dyDescent="0.35">
      <c r="A70" s="75" t="s">
        <v>954</v>
      </c>
      <c r="B70" s="76" t="s">
        <v>139</v>
      </c>
      <c r="C70" s="77">
        <v>341530</v>
      </c>
      <c r="D70" s="77"/>
      <c r="E70" s="77"/>
      <c r="F70" s="77"/>
      <c r="G70" s="78"/>
    </row>
    <row r="71" spans="1:7" x14ac:dyDescent="0.25">
      <c r="A71" s="47" t="s">
        <v>1034</v>
      </c>
      <c r="B71" s="10" t="s">
        <v>228</v>
      </c>
      <c r="C71" s="10">
        <v>305704</v>
      </c>
      <c r="D71" s="10"/>
      <c r="E71" s="10"/>
      <c r="F71" s="10"/>
    </row>
    <row r="72" spans="1:7" x14ac:dyDescent="0.25">
      <c r="A72" s="47" t="s">
        <v>1166</v>
      </c>
      <c r="B72" s="10" t="s">
        <v>1167</v>
      </c>
      <c r="C72" s="10">
        <v>341530</v>
      </c>
      <c r="D72" s="10" t="s">
        <v>1134</v>
      </c>
      <c r="E72" s="10" t="s">
        <v>84</v>
      </c>
      <c r="F72" s="10" t="s">
        <v>1114</v>
      </c>
    </row>
    <row r="73" spans="1:7" x14ac:dyDescent="0.25">
      <c r="A73" s="9" t="s">
        <v>1168</v>
      </c>
      <c r="B73" s="10" t="s">
        <v>1167</v>
      </c>
      <c r="C73" s="10">
        <v>341530</v>
      </c>
      <c r="D73" s="10" t="s">
        <v>1111</v>
      </c>
      <c r="E73" s="10" t="s">
        <v>84</v>
      </c>
      <c r="F73" s="10" t="s">
        <v>1114</v>
      </c>
    </row>
    <row r="74" spans="1:7" x14ac:dyDescent="0.25">
      <c r="A74" s="9" t="s">
        <v>1169</v>
      </c>
      <c r="B74" s="10" t="s">
        <v>1167</v>
      </c>
      <c r="C74" s="10">
        <v>341530</v>
      </c>
      <c r="D74" s="10" t="s">
        <v>1134</v>
      </c>
      <c r="E74" s="10" t="s">
        <v>1125</v>
      </c>
      <c r="F74" s="10" t="s">
        <v>1114</v>
      </c>
    </row>
    <row r="75" spans="1:7" x14ac:dyDescent="0.25">
      <c r="A75" s="9" t="s">
        <v>1170</v>
      </c>
      <c r="B75" s="10" t="s">
        <v>1167</v>
      </c>
      <c r="C75" s="10">
        <v>341530</v>
      </c>
      <c r="D75" s="10" t="s">
        <v>1111</v>
      </c>
      <c r="E75" s="10" t="s">
        <v>1125</v>
      </c>
      <c r="F75" s="10" t="s">
        <v>1114</v>
      </c>
    </row>
    <row r="76" spans="1:7" x14ac:dyDescent="0.25">
      <c r="A76" s="9" t="s">
        <v>1171</v>
      </c>
      <c r="B76" s="10" t="s">
        <v>1171</v>
      </c>
      <c r="C76" s="10">
        <v>341530</v>
      </c>
      <c r="D76" s="10"/>
      <c r="E76" s="10"/>
      <c r="F76" s="10"/>
    </row>
    <row r="77" spans="1:7" x14ac:dyDescent="0.25">
      <c r="A77" s="9" t="s">
        <v>1172</v>
      </c>
      <c r="B77" s="10" t="s">
        <v>1173</v>
      </c>
      <c r="C77" s="10">
        <v>341530</v>
      </c>
      <c r="D77" s="10"/>
      <c r="E77" s="10"/>
      <c r="F77" s="10" t="s">
        <v>1110</v>
      </c>
    </row>
    <row r="78" spans="1:7" x14ac:dyDescent="0.25">
      <c r="A78" s="9" t="s">
        <v>1174</v>
      </c>
      <c r="B78" s="10" t="s">
        <v>233</v>
      </c>
      <c r="C78" s="10">
        <v>341530</v>
      </c>
      <c r="D78" s="10" t="s">
        <v>1111</v>
      </c>
      <c r="E78" s="10" t="s">
        <v>1175</v>
      </c>
      <c r="F78" s="10" t="s">
        <v>1110</v>
      </c>
    </row>
    <row r="79" spans="1:7" x14ac:dyDescent="0.25">
      <c r="A79" s="9" t="s">
        <v>1176</v>
      </c>
      <c r="B79" s="10" t="s">
        <v>233</v>
      </c>
      <c r="C79" s="10">
        <v>341530</v>
      </c>
      <c r="D79" s="10" t="s">
        <v>1134</v>
      </c>
      <c r="E79" s="10" t="s">
        <v>1175</v>
      </c>
      <c r="F79" s="10" t="s">
        <v>1110</v>
      </c>
    </row>
    <row r="80" spans="1:7" x14ac:dyDescent="0.25">
      <c r="A80" s="9" t="s">
        <v>1177</v>
      </c>
      <c r="B80" s="10" t="s">
        <v>233</v>
      </c>
      <c r="C80" s="10">
        <v>341530</v>
      </c>
      <c r="D80" s="10" t="s">
        <v>1111</v>
      </c>
      <c r="E80" s="10" t="s">
        <v>1175</v>
      </c>
      <c r="F80" s="10" t="s">
        <v>1110</v>
      </c>
    </row>
    <row r="81" spans="1:6" x14ac:dyDescent="0.25">
      <c r="A81" s="9" t="s">
        <v>1178</v>
      </c>
      <c r="B81" s="10" t="s">
        <v>233</v>
      </c>
      <c r="C81" s="10">
        <v>341530</v>
      </c>
      <c r="D81" s="10"/>
      <c r="E81" s="10"/>
      <c r="F81" s="10"/>
    </row>
    <row r="82" spans="1:6" x14ac:dyDescent="0.25">
      <c r="A82" s="9" t="s">
        <v>1179</v>
      </c>
      <c r="B82" s="10" t="s">
        <v>233</v>
      </c>
      <c r="C82" s="10">
        <v>341530</v>
      </c>
      <c r="D82" s="10"/>
      <c r="E82" s="10"/>
      <c r="F82" s="10"/>
    </row>
    <row r="83" spans="1:6" x14ac:dyDescent="0.25">
      <c r="A83" s="9" t="s">
        <v>1180</v>
      </c>
      <c r="B83" s="10" t="s">
        <v>233</v>
      </c>
      <c r="C83" s="10">
        <v>341530</v>
      </c>
      <c r="D83" s="10"/>
      <c r="E83" s="10"/>
      <c r="F83" s="10"/>
    </row>
    <row r="84" spans="1:6" x14ac:dyDescent="0.25">
      <c r="A84" s="9" t="s">
        <v>1181</v>
      </c>
      <c r="B84" s="10" t="s">
        <v>233</v>
      </c>
      <c r="C84" s="10">
        <v>341530</v>
      </c>
      <c r="D84" s="10"/>
      <c r="E84" s="10"/>
      <c r="F84" s="10"/>
    </row>
    <row r="85" spans="1:6" x14ac:dyDescent="0.25">
      <c r="A85" s="9" t="s">
        <v>1182</v>
      </c>
      <c r="B85" s="10" t="s">
        <v>233</v>
      </c>
      <c r="C85" s="10">
        <v>341530</v>
      </c>
      <c r="D85" s="10"/>
      <c r="E85" s="10"/>
      <c r="F85" s="10"/>
    </row>
    <row r="86" spans="1:6" x14ac:dyDescent="0.25">
      <c r="A86" s="9" t="s">
        <v>1183</v>
      </c>
      <c r="B86" s="10" t="s">
        <v>233</v>
      </c>
      <c r="C86" s="10">
        <v>341530</v>
      </c>
      <c r="D86" s="10"/>
      <c r="E86" s="10"/>
      <c r="F86" s="10"/>
    </row>
    <row r="87" spans="1:6" x14ac:dyDescent="0.25">
      <c r="A87" s="9" t="s">
        <v>1184</v>
      </c>
      <c r="B87" s="10" t="s">
        <v>233</v>
      </c>
      <c r="C87" s="10">
        <v>341530</v>
      </c>
      <c r="D87" s="10"/>
      <c r="E87" s="10"/>
      <c r="F87" s="10"/>
    </row>
    <row r="88" spans="1:6" x14ac:dyDescent="0.25">
      <c r="A88" s="9" t="s">
        <v>1185</v>
      </c>
      <c r="B88" s="10" t="s">
        <v>233</v>
      </c>
      <c r="C88" s="10">
        <v>341530</v>
      </c>
      <c r="D88" s="10"/>
      <c r="E88" s="10"/>
      <c r="F88" s="10"/>
    </row>
    <row r="89" spans="1:6" x14ac:dyDescent="0.25">
      <c r="A89" s="9" t="s">
        <v>1186</v>
      </c>
      <c r="B89" s="10" t="s">
        <v>233</v>
      </c>
      <c r="C89" s="10">
        <v>341530</v>
      </c>
      <c r="D89" s="10"/>
      <c r="E89" s="10"/>
      <c r="F89" s="10"/>
    </row>
    <row r="90" spans="1:6" x14ac:dyDescent="0.25">
      <c r="A90" s="9" t="s">
        <v>1187</v>
      </c>
      <c r="B90" s="10" t="s">
        <v>233</v>
      </c>
      <c r="C90" s="10">
        <v>341530</v>
      </c>
      <c r="D90" s="10"/>
      <c r="E90" s="10"/>
      <c r="F90" s="10"/>
    </row>
    <row r="91" spans="1:6" x14ac:dyDescent="0.25">
      <c r="A91" s="9" t="s">
        <v>1188</v>
      </c>
      <c r="B91" s="10" t="s">
        <v>233</v>
      </c>
      <c r="C91" s="10">
        <v>341530</v>
      </c>
      <c r="D91" s="10"/>
      <c r="E91" s="10"/>
      <c r="F91" s="10"/>
    </row>
    <row r="92" spans="1:6" x14ac:dyDescent="0.25">
      <c r="A92" s="9" t="s">
        <v>1189</v>
      </c>
      <c r="B92" s="10" t="s">
        <v>233</v>
      </c>
      <c r="C92" s="10">
        <v>341530</v>
      </c>
      <c r="D92" s="10"/>
      <c r="E92" s="10"/>
      <c r="F92" s="10"/>
    </row>
    <row r="93" spans="1:6" x14ac:dyDescent="0.25">
      <c r="A93" s="9" t="s">
        <v>1190</v>
      </c>
      <c r="B93" s="10" t="s">
        <v>233</v>
      </c>
      <c r="C93" s="10">
        <v>341530</v>
      </c>
      <c r="D93" s="10"/>
      <c r="E93" s="10"/>
      <c r="F93" s="10"/>
    </row>
    <row r="94" spans="1:6" x14ac:dyDescent="0.25">
      <c r="A94" s="9" t="s">
        <v>1191</v>
      </c>
      <c r="B94" s="10" t="s">
        <v>233</v>
      </c>
      <c r="C94" s="10">
        <v>341530</v>
      </c>
      <c r="D94" s="10"/>
      <c r="E94" s="10"/>
      <c r="F94" s="10"/>
    </row>
    <row r="95" spans="1:6" x14ac:dyDescent="0.25">
      <c r="A95" s="9" t="s">
        <v>1192</v>
      </c>
      <c r="B95" s="10" t="s">
        <v>233</v>
      </c>
      <c r="C95" s="10">
        <v>341530</v>
      </c>
      <c r="D95" s="10"/>
      <c r="E95" s="10"/>
      <c r="F95" s="10"/>
    </row>
    <row r="96" spans="1:6" x14ac:dyDescent="0.25">
      <c r="A96" s="9" t="s">
        <v>1193</v>
      </c>
      <c r="B96" s="10" t="s">
        <v>233</v>
      </c>
      <c r="C96" s="10">
        <v>341530</v>
      </c>
      <c r="D96" s="10"/>
      <c r="E96" s="10"/>
      <c r="F96" s="10"/>
    </row>
    <row r="97" spans="1:6" x14ac:dyDescent="0.25">
      <c r="A97" s="9" t="s">
        <v>1194</v>
      </c>
      <c r="B97" s="10" t="s">
        <v>233</v>
      </c>
      <c r="C97" s="10">
        <v>341530</v>
      </c>
      <c r="D97" s="10"/>
      <c r="E97" s="10"/>
      <c r="F97" s="10"/>
    </row>
    <row r="98" spans="1:6" x14ac:dyDescent="0.25">
      <c r="A98" s="9" t="s">
        <v>1195</v>
      </c>
      <c r="B98" s="10" t="s">
        <v>233</v>
      </c>
      <c r="C98" s="10">
        <v>341530</v>
      </c>
      <c r="D98" s="10"/>
      <c r="E98" s="10"/>
      <c r="F98" s="10"/>
    </row>
    <row r="99" spans="1:6" x14ac:dyDescent="0.25">
      <c r="A99" s="9" t="s">
        <v>1196</v>
      </c>
      <c r="B99" s="10" t="s">
        <v>233</v>
      </c>
      <c r="C99" s="10">
        <v>341530</v>
      </c>
      <c r="D99" s="10"/>
      <c r="E99" s="10"/>
      <c r="F99" s="10"/>
    </row>
    <row r="100" spans="1:6" x14ac:dyDescent="0.25">
      <c r="A100" s="9" t="s">
        <v>1197</v>
      </c>
      <c r="B100" s="10" t="s">
        <v>233</v>
      </c>
      <c r="C100" s="10">
        <v>341530</v>
      </c>
      <c r="D100" s="10"/>
      <c r="E100" s="10"/>
      <c r="F100" s="10"/>
    </row>
    <row r="101" spans="1:6" x14ac:dyDescent="0.25">
      <c r="A101" s="9" t="s">
        <v>1198</v>
      </c>
      <c r="B101" s="10" t="s">
        <v>233</v>
      </c>
      <c r="C101" s="10">
        <v>341530</v>
      </c>
      <c r="D101" s="10"/>
      <c r="E101" s="10"/>
      <c r="F101" s="10"/>
    </row>
    <row r="102" spans="1:6" x14ac:dyDescent="0.25">
      <c r="A102" s="9" t="s">
        <v>1199</v>
      </c>
      <c r="B102" s="10" t="s">
        <v>233</v>
      </c>
      <c r="C102" s="10">
        <v>341530</v>
      </c>
      <c r="D102" s="10"/>
      <c r="E102" s="10"/>
      <c r="F102" s="10"/>
    </row>
    <row r="103" spans="1:6" x14ac:dyDescent="0.25">
      <c r="A103" s="9" t="s">
        <v>1200</v>
      </c>
      <c r="B103" s="10" t="s">
        <v>233</v>
      </c>
      <c r="C103" s="10">
        <v>341530</v>
      </c>
      <c r="D103" s="10"/>
      <c r="E103" s="10"/>
      <c r="F103" s="10"/>
    </row>
    <row r="104" spans="1:6" x14ac:dyDescent="0.25">
      <c r="A104" s="9" t="s">
        <v>1201</v>
      </c>
      <c r="B104" s="10" t="s">
        <v>233</v>
      </c>
      <c r="C104" s="10">
        <v>341530</v>
      </c>
      <c r="D104" s="10"/>
      <c r="E104" s="10"/>
      <c r="F104" s="10"/>
    </row>
    <row r="105" spans="1:6" x14ac:dyDescent="0.25">
      <c r="A105" s="9" t="s">
        <v>1202</v>
      </c>
      <c r="B105" s="10" t="s">
        <v>233</v>
      </c>
      <c r="C105" s="10">
        <v>341530</v>
      </c>
      <c r="D105" s="10"/>
      <c r="E105" s="10"/>
      <c r="F105" s="10"/>
    </row>
    <row r="106" spans="1:6" x14ac:dyDescent="0.25">
      <c r="A106" s="9" t="s">
        <v>1203</v>
      </c>
      <c r="B106" s="10" t="s">
        <v>233</v>
      </c>
      <c r="C106" s="10">
        <v>341530</v>
      </c>
      <c r="D106" s="10"/>
      <c r="E106" s="10"/>
      <c r="F106" s="10"/>
    </row>
    <row r="107" spans="1:6" x14ac:dyDescent="0.25">
      <c r="A107" s="9" t="s">
        <v>1204</v>
      </c>
      <c r="B107" s="10" t="s">
        <v>233</v>
      </c>
      <c r="C107" s="10">
        <v>341530</v>
      </c>
      <c r="D107" s="10"/>
      <c r="E107" s="10"/>
      <c r="F107" s="10"/>
    </row>
    <row r="108" spans="1:6" x14ac:dyDescent="0.25">
      <c r="A108" s="61" t="s">
        <v>1036</v>
      </c>
      <c r="B108" s="10" t="s">
        <v>233</v>
      </c>
      <c r="C108" s="10">
        <v>305704</v>
      </c>
      <c r="D108" s="10"/>
      <c r="E108" s="10"/>
      <c r="F108" s="10"/>
    </row>
    <row r="109" spans="1:6" x14ac:dyDescent="0.25">
      <c r="A109" s="9" t="s">
        <v>1205</v>
      </c>
      <c r="B109" s="10" t="s">
        <v>233</v>
      </c>
      <c r="C109" s="10">
        <v>341530</v>
      </c>
      <c r="D109" s="10" t="s">
        <v>1111</v>
      </c>
      <c r="E109" s="10"/>
      <c r="F109" s="10"/>
    </row>
    <row r="110" spans="1:6" x14ac:dyDescent="0.25">
      <c r="A110" s="9" t="s">
        <v>1206</v>
      </c>
      <c r="B110" s="10" t="s">
        <v>233</v>
      </c>
      <c r="C110" s="10">
        <v>341530</v>
      </c>
      <c r="D110" s="10" t="s">
        <v>1111</v>
      </c>
      <c r="E110" s="10"/>
      <c r="F110" s="10"/>
    </row>
    <row r="111" spans="1:6" x14ac:dyDescent="0.25">
      <c r="A111" s="9" t="s">
        <v>1207</v>
      </c>
      <c r="B111" s="10" t="s">
        <v>233</v>
      </c>
      <c r="C111" s="10">
        <v>341530</v>
      </c>
      <c r="D111" s="10" t="s">
        <v>1134</v>
      </c>
      <c r="E111" s="10"/>
      <c r="F111" s="10"/>
    </row>
    <row r="112" spans="1:6" x14ac:dyDescent="0.25">
      <c r="A112" s="47" t="s">
        <v>1045</v>
      </c>
      <c r="B112" s="10" t="s">
        <v>233</v>
      </c>
      <c r="C112" s="10">
        <v>341530</v>
      </c>
      <c r="D112" s="10"/>
      <c r="E112" s="10"/>
      <c r="F112" s="10"/>
    </row>
    <row r="113" spans="1:6" x14ac:dyDescent="0.25">
      <c r="A113" s="9" t="s">
        <v>1208</v>
      </c>
      <c r="B113" s="10" t="s">
        <v>233</v>
      </c>
      <c r="C113" s="10">
        <v>341530</v>
      </c>
      <c r="D113" s="10" t="s">
        <v>1134</v>
      </c>
      <c r="E113" s="10" t="s">
        <v>1175</v>
      </c>
      <c r="F113" s="10" t="s">
        <v>1110</v>
      </c>
    </row>
    <row r="114" spans="1:6" x14ac:dyDescent="0.25">
      <c r="A114" s="9" t="s">
        <v>1209</v>
      </c>
      <c r="B114" s="10" t="s">
        <v>233</v>
      </c>
      <c r="C114" s="10">
        <v>341530</v>
      </c>
      <c r="D114" s="10" t="s">
        <v>1111</v>
      </c>
      <c r="E114" s="10" t="s">
        <v>1175</v>
      </c>
      <c r="F114" s="10" t="s">
        <v>1110</v>
      </c>
    </row>
    <row r="115" spans="1:6" x14ac:dyDescent="0.25">
      <c r="A115" s="9" t="s">
        <v>1210</v>
      </c>
      <c r="B115" s="10" t="s">
        <v>237</v>
      </c>
      <c r="C115" s="10">
        <v>341530</v>
      </c>
      <c r="D115" s="10" t="s">
        <v>1113</v>
      </c>
      <c r="E115" s="10"/>
      <c r="F115" s="10" t="s">
        <v>1114</v>
      </c>
    </row>
    <row r="116" spans="1:6" x14ac:dyDescent="0.25">
      <c r="A116" s="9" t="s">
        <v>1048</v>
      </c>
      <c r="B116" s="10" t="s">
        <v>237</v>
      </c>
      <c r="C116" s="10">
        <v>341530</v>
      </c>
      <c r="D116" s="10" t="s">
        <v>1113</v>
      </c>
      <c r="E116" s="10"/>
      <c r="F116" s="10" t="s">
        <v>1114</v>
      </c>
    </row>
    <row r="117" spans="1:6" x14ac:dyDescent="0.25">
      <c r="A117" s="9" t="s">
        <v>1211</v>
      </c>
      <c r="B117" s="10" t="s">
        <v>1212</v>
      </c>
      <c r="C117" s="10">
        <v>341531</v>
      </c>
      <c r="D117" s="10" t="s">
        <v>1113</v>
      </c>
      <c r="E117" s="10"/>
      <c r="F117" s="10" t="s">
        <v>1110</v>
      </c>
    </row>
    <row r="118" spans="1:6" x14ac:dyDescent="0.25">
      <c r="A118" s="9" t="s">
        <v>1213</v>
      </c>
      <c r="B118" s="10" t="s">
        <v>1212</v>
      </c>
      <c r="C118" s="10">
        <v>341531</v>
      </c>
      <c r="D118" s="10" t="s">
        <v>1113</v>
      </c>
      <c r="E118" s="10"/>
      <c r="F118" s="10" t="s">
        <v>1110</v>
      </c>
    </row>
    <row r="119" spans="1:6" x14ac:dyDescent="0.25">
      <c r="A119" s="9" t="s">
        <v>1214</v>
      </c>
      <c r="B119" s="10" t="s">
        <v>1212</v>
      </c>
      <c r="C119" s="10">
        <v>341531</v>
      </c>
      <c r="D119" s="10" t="s">
        <v>1113</v>
      </c>
      <c r="E119" s="10"/>
      <c r="F119" s="10" t="s">
        <v>1110</v>
      </c>
    </row>
    <row r="120" spans="1:6" x14ac:dyDescent="0.25">
      <c r="A120" s="9" t="s">
        <v>1215</v>
      </c>
      <c r="B120" s="10" t="s">
        <v>5</v>
      </c>
      <c r="C120" s="10">
        <v>341531</v>
      </c>
      <c r="D120" s="10" t="s">
        <v>1111</v>
      </c>
      <c r="E120" s="10" t="s">
        <v>1147</v>
      </c>
      <c r="F120" s="10" t="s">
        <v>1110</v>
      </c>
    </row>
    <row r="121" spans="1:6" x14ac:dyDescent="0.25">
      <c r="A121" s="47" t="s">
        <v>1065</v>
      </c>
      <c r="B121" s="10" t="s">
        <v>5</v>
      </c>
      <c r="C121" s="10">
        <v>341531</v>
      </c>
      <c r="D121" s="10"/>
      <c r="E121" s="10"/>
      <c r="F121" s="10"/>
    </row>
    <row r="122" spans="1:6" x14ac:dyDescent="0.25">
      <c r="A122" s="9" t="s">
        <v>1056</v>
      </c>
      <c r="B122" s="10" t="s">
        <v>5</v>
      </c>
      <c r="C122" s="10">
        <v>341531</v>
      </c>
      <c r="D122" s="10" t="s">
        <v>1111</v>
      </c>
      <c r="E122" s="10" t="s">
        <v>1023</v>
      </c>
      <c r="F122" s="10" t="s">
        <v>1114</v>
      </c>
    </row>
    <row r="123" spans="1:6" x14ac:dyDescent="0.25">
      <c r="A123" s="9" t="s">
        <v>1216</v>
      </c>
      <c r="B123" s="10" t="s">
        <v>5</v>
      </c>
      <c r="C123" s="10">
        <v>341531</v>
      </c>
      <c r="D123" s="10" t="s">
        <v>1111</v>
      </c>
      <c r="E123" s="10" t="s">
        <v>1147</v>
      </c>
      <c r="F123" s="10" t="s">
        <v>1110</v>
      </c>
    </row>
    <row r="124" spans="1:6" x14ac:dyDescent="0.25">
      <c r="A124" s="9" t="s">
        <v>1217</v>
      </c>
      <c r="B124" s="10" t="s">
        <v>5</v>
      </c>
      <c r="C124" s="10">
        <v>341531</v>
      </c>
      <c r="D124" s="10" t="s">
        <v>1111</v>
      </c>
      <c r="E124" s="10" t="s">
        <v>1147</v>
      </c>
      <c r="F124" s="10" t="s">
        <v>1110</v>
      </c>
    </row>
    <row r="125" spans="1:6" x14ac:dyDescent="0.25">
      <c r="A125" s="9" t="s">
        <v>1218</v>
      </c>
      <c r="B125" s="10" t="s">
        <v>1212</v>
      </c>
      <c r="C125" s="10">
        <v>341531</v>
      </c>
      <c r="D125" s="10" t="s">
        <v>1113</v>
      </c>
      <c r="E125" s="10"/>
      <c r="F125" s="10" t="s">
        <v>1110</v>
      </c>
    </row>
    <row r="126" spans="1:6" x14ac:dyDescent="0.25">
      <c r="A126" s="9" t="s">
        <v>1219</v>
      </c>
      <c r="B126" s="10" t="s">
        <v>1212</v>
      </c>
      <c r="C126" s="10">
        <v>341531</v>
      </c>
      <c r="D126" s="10" t="s">
        <v>1113</v>
      </c>
      <c r="E126" s="10"/>
      <c r="F126" s="10" t="s">
        <v>1110</v>
      </c>
    </row>
    <row r="127" spans="1:6" x14ac:dyDescent="0.25">
      <c r="A127" s="47" t="s">
        <v>1072</v>
      </c>
      <c r="B127" s="10" t="s">
        <v>213</v>
      </c>
      <c r="C127" s="10">
        <v>305704</v>
      </c>
      <c r="D127" s="10"/>
      <c r="E127" s="10"/>
      <c r="F127" s="10"/>
    </row>
    <row r="128" spans="1:6" x14ac:dyDescent="0.25">
      <c r="A128" s="9" t="s">
        <v>1220</v>
      </c>
      <c r="B128" s="10" t="s">
        <v>1076</v>
      </c>
      <c r="C128" s="10">
        <v>341531</v>
      </c>
      <c r="D128" s="10"/>
      <c r="E128" s="10"/>
      <c r="F128" s="10"/>
    </row>
    <row r="129" spans="1:6" x14ac:dyDescent="0.25">
      <c r="A129" s="9" t="s">
        <v>1221</v>
      </c>
      <c r="B129" s="10" t="s">
        <v>1222</v>
      </c>
      <c r="C129" s="10">
        <v>341530</v>
      </c>
      <c r="D129" s="10"/>
      <c r="E129" s="10"/>
      <c r="F129" s="10"/>
    </row>
    <row r="130" spans="1:6" x14ac:dyDescent="0.25">
      <c r="A130" s="9" t="s">
        <v>1223</v>
      </c>
      <c r="B130" s="10" t="s">
        <v>1222</v>
      </c>
      <c r="C130" s="10">
        <v>341530</v>
      </c>
      <c r="D130" s="10"/>
      <c r="E130" s="10"/>
      <c r="F130" s="10"/>
    </row>
    <row r="131" spans="1:6" x14ac:dyDescent="0.25">
      <c r="A131" s="9" t="s">
        <v>1224</v>
      </c>
      <c r="B131" s="10" t="s">
        <v>1225</v>
      </c>
      <c r="C131" s="10">
        <v>341530</v>
      </c>
      <c r="D131" s="10"/>
      <c r="E131" s="10"/>
      <c r="F131" s="10"/>
    </row>
    <row r="132" spans="1:6" x14ac:dyDescent="0.25">
      <c r="A132" s="9" t="s">
        <v>1226</v>
      </c>
      <c r="B132" s="10" t="s">
        <v>1227</v>
      </c>
      <c r="C132" s="10">
        <v>341531</v>
      </c>
      <c r="D132" s="10" t="s">
        <v>1111</v>
      </c>
      <c r="E132" s="10" t="s">
        <v>1147</v>
      </c>
      <c r="F132" s="10" t="s">
        <v>1114</v>
      </c>
    </row>
    <row r="133" spans="1:6" x14ac:dyDescent="0.25">
      <c r="A133" s="9" t="s">
        <v>1228</v>
      </c>
      <c r="B133" s="10" t="s">
        <v>1227</v>
      </c>
      <c r="C133" s="10">
        <v>341531</v>
      </c>
      <c r="D133" s="10" t="s">
        <v>1113</v>
      </c>
      <c r="E133" s="10" t="s">
        <v>1147</v>
      </c>
      <c r="F133" s="10" t="s">
        <v>1114</v>
      </c>
    </row>
    <row r="134" spans="1:6" x14ac:dyDescent="0.25">
      <c r="A134" s="47" t="s">
        <v>1081</v>
      </c>
      <c r="B134" s="10" t="s">
        <v>112</v>
      </c>
      <c r="C134" s="10">
        <v>305704</v>
      </c>
      <c r="D134" s="10"/>
      <c r="E134" s="10"/>
      <c r="F134" s="10"/>
    </row>
    <row r="135" spans="1:6" x14ac:dyDescent="0.25">
      <c r="A135" s="47" t="s">
        <v>888</v>
      </c>
      <c r="B135" s="10" t="s">
        <v>112</v>
      </c>
      <c r="C135" s="10">
        <v>305704</v>
      </c>
      <c r="D135" s="10"/>
      <c r="E135" s="10"/>
      <c r="F135" s="10"/>
    </row>
    <row r="136" spans="1:6" x14ac:dyDescent="0.25">
      <c r="A136" s="9" t="s">
        <v>1083</v>
      </c>
      <c r="B136" s="10" t="s">
        <v>112</v>
      </c>
      <c r="C136" s="10">
        <v>305704</v>
      </c>
      <c r="D136" s="10"/>
      <c r="E136" s="10"/>
      <c r="F136" s="10"/>
    </row>
    <row r="137" spans="1:6" x14ac:dyDescent="0.25">
      <c r="A137" s="61" t="s">
        <v>858</v>
      </c>
      <c r="B137" s="62" t="s">
        <v>340</v>
      </c>
      <c r="C137" s="10">
        <v>305704</v>
      </c>
      <c r="D137" s="10"/>
      <c r="E137" s="10"/>
      <c r="F137" s="10"/>
    </row>
    <row r="138" spans="1:6" x14ac:dyDescent="0.25">
      <c r="A138" s="9" t="s">
        <v>1229</v>
      </c>
      <c r="B138" s="10" t="s">
        <v>340</v>
      </c>
      <c r="C138" s="10">
        <v>305704</v>
      </c>
      <c r="D138" s="10"/>
      <c r="E138" s="10"/>
      <c r="F138" s="10"/>
    </row>
    <row r="139" spans="1:6" x14ac:dyDescent="0.25">
      <c r="A139" s="9" t="s">
        <v>1087</v>
      </c>
      <c r="B139" s="51" t="s">
        <v>340</v>
      </c>
      <c r="C139" s="10">
        <v>305704</v>
      </c>
      <c r="D139" s="10"/>
      <c r="E139" s="10"/>
      <c r="F139" s="10"/>
    </row>
    <row r="140" spans="1:6" x14ac:dyDescent="0.25">
      <c r="A140" s="47" t="s">
        <v>1230</v>
      </c>
      <c r="B140" s="10" t="s">
        <v>141</v>
      </c>
      <c r="C140" s="10">
        <v>341531</v>
      </c>
      <c r="D140" s="10"/>
      <c r="E140" s="10"/>
      <c r="F140" s="10"/>
    </row>
    <row r="141" spans="1:6" x14ac:dyDescent="0.25">
      <c r="A141" s="9" t="s">
        <v>1231</v>
      </c>
      <c r="B141" s="10" t="s">
        <v>1232</v>
      </c>
      <c r="C141" s="10">
        <v>341530</v>
      </c>
      <c r="D141" s="10" t="s">
        <v>1134</v>
      </c>
      <c r="E141" s="10"/>
      <c r="F141" s="10"/>
    </row>
    <row r="142" spans="1:6" x14ac:dyDescent="0.25">
      <c r="A142" s="61" t="s">
        <v>859</v>
      </c>
      <c r="B142" s="62" t="s">
        <v>334</v>
      </c>
      <c r="C142" s="10">
        <v>305704</v>
      </c>
      <c r="D142" s="10"/>
      <c r="E142" s="10"/>
      <c r="F142" s="10"/>
    </row>
    <row r="143" spans="1:6" x14ac:dyDescent="0.25">
      <c r="A143" s="47" t="s">
        <v>975</v>
      </c>
      <c r="B143" s="10" t="s">
        <v>141</v>
      </c>
      <c r="C143" s="10">
        <v>341531</v>
      </c>
      <c r="D143" s="10"/>
      <c r="E143" s="10"/>
      <c r="F143" s="10"/>
    </row>
    <row r="144" spans="1:6" x14ac:dyDescent="0.25">
      <c r="A144" s="61" t="s">
        <v>987</v>
      </c>
      <c r="B144" s="62" t="s">
        <v>141</v>
      </c>
      <c r="C144" s="10">
        <v>305704</v>
      </c>
      <c r="D144" s="10"/>
      <c r="E144" s="10"/>
      <c r="F144" s="10"/>
    </row>
    <row r="145" spans="1:6" x14ac:dyDescent="0.25">
      <c r="A145" s="47" t="s">
        <v>1092</v>
      </c>
      <c r="B145" s="10" t="s">
        <v>1090</v>
      </c>
      <c r="C145" s="10">
        <v>305704</v>
      </c>
      <c r="D145" s="10"/>
      <c r="E145" s="10"/>
      <c r="F145" s="10"/>
    </row>
    <row r="146" spans="1:6" x14ac:dyDescent="0.25">
      <c r="A146" s="47" t="s">
        <v>1233</v>
      </c>
      <c r="B146" s="10" t="s">
        <v>1234</v>
      </c>
      <c r="C146" s="10">
        <v>341531</v>
      </c>
      <c r="D146" s="10"/>
      <c r="E146" s="10"/>
      <c r="F146" s="10"/>
    </row>
    <row r="147" spans="1:6" x14ac:dyDescent="0.25">
      <c r="A147" s="47" t="s">
        <v>1235</v>
      </c>
      <c r="B147" s="10" t="s">
        <v>1236</v>
      </c>
      <c r="C147" s="10">
        <v>341530</v>
      </c>
      <c r="D147" s="10"/>
      <c r="E147" s="10"/>
      <c r="F147" s="10"/>
    </row>
    <row r="148" spans="1:6" x14ac:dyDescent="0.25">
      <c r="A148" s="47" t="s">
        <v>1237</v>
      </c>
      <c r="B148" s="10" t="s">
        <v>1234</v>
      </c>
      <c r="C148" s="10">
        <v>341531</v>
      </c>
      <c r="D148" s="10"/>
      <c r="E148" s="10"/>
      <c r="F148" s="10"/>
    </row>
    <row r="149" spans="1:6" x14ac:dyDescent="0.25">
      <c r="A149" s="9" t="s">
        <v>1238</v>
      </c>
      <c r="B149" s="10" t="s">
        <v>1239</v>
      </c>
      <c r="C149" s="10">
        <v>341530</v>
      </c>
      <c r="D149" s="10" t="s">
        <v>1111</v>
      </c>
      <c r="E149" s="10" t="s">
        <v>84</v>
      </c>
      <c r="F149" s="10"/>
    </row>
    <row r="150" spans="1:6" x14ac:dyDescent="0.25">
      <c r="A150" s="9" t="s">
        <v>1240</v>
      </c>
      <c r="B150" s="10" t="s">
        <v>1239</v>
      </c>
      <c r="C150" s="10">
        <v>341530</v>
      </c>
      <c r="D150" s="10" t="s">
        <v>1111</v>
      </c>
      <c r="E150" s="10" t="s">
        <v>1125</v>
      </c>
      <c r="F150" s="10"/>
    </row>
    <row r="151" spans="1:6" x14ac:dyDescent="0.25">
      <c r="A151" s="9" t="s">
        <v>1097</v>
      </c>
      <c r="B151" s="10" t="s">
        <v>1241</v>
      </c>
      <c r="C151" s="10">
        <v>341530</v>
      </c>
      <c r="D151" s="10" t="s">
        <v>1134</v>
      </c>
      <c r="E151" s="10" t="s">
        <v>1147</v>
      </c>
      <c r="F151" s="10"/>
    </row>
    <row r="152" spans="1:6" x14ac:dyDescent="0.25">
      <c r="A152" s="9" t="s">
        <v>1242</v>
      </c>
      <c r="B152" s="10" t="s">
        <v>1241</v>
      </c>
      <c r="C152" s="10">
        <v>341530</v>
      </c>
      <c r="D152" s="10" t="s">
        <v>1134</v>
      </c>
      <c r="E152" s="10" t="s">
        <v>1147</v>
      </c>
      <c r="F152" s="10"/>
    </row>
    <row r="153" spans="1:6" x14ac:dyDescent="0.25">
      <c r="A153" s="9" t="s">
        <v>1243</v>
      </c>
      <c r="B153" s="10" t="s">
        <v>1241</v>
      </c>
      <c r="C153" s="10">
        <v>341530</v>
      </c>
      <c r="D153" s="10" t="s">
        <v>1134</v>
      </c>
      <c r="E153" s="10" t="s">
        <v>1147</v>
      </c>
      <c r="F153" s="10"/>
    </row>
    <row r="154" spans="1:6" x14ac:dyDescent="0.25">
      <c r="A154" s="9" t="s">
        <v>1244</v>
      </c>
      <c r="B154" s="10" t="s">
        <v>1241</v>
      </c>
      <c r="C154" s="10">
        <v>341530</v>
      </c>
      <c r="D154" s="10" t="s">
        <v>1134</v>
      </c>
      <c r="E154" s="10" t="s">
        <v>1147</v>
      </c>
      <c r="F154" s="10"/>
    </row>
    <row r="155" spans="1:6" x14ac:dyDescent="0.25">
      <c r="A155" s="47" t="s">
        <v>999</v>
      </c>
      <c r="B155" s="10" t="s">
        <v>141</v>
      </c>
      <c r="C155" s="10">
        <v>341531</v>
      </c>
      <c r="D155" s="10"/>
      <c r="E155" s="10"/>
      <c r="F155" s="10"/>
    </row>
    <row r="156" spans="1:6" x14ac:dyDescent="0.25">
      <c r="A156" s="47" t="s">
        <v>992</v>
      </c>
      <c r="B156" s="10" t="s">
        <v>141</v>
      </c>
      <c r="C156" s="10">
        <v>341531</v>
      </c>
      <c r="D156" s="10"/>
      <c r="E156" s="10"/>
      <c r="F156" s="10"/>
    </row>
    <row r="157" spans="1:6" x14ac:dyDescent="0.25">
      <c r="A157" s="9" t="s">
        <v>1245</v>
      </c>
      <c r="B157" s="10" t="s">
        <v>1246</v>
      </c>
      <c r="C157" s="10">
        <v>341531</v>
      </c>
      <c r="D157" s="10"/>
      <c r="E157" s="10"/>
      <c r="F157" s="10"/>
    </row>
    <row r="158" spans="1:6" x14ac:dyDescent="0.25">
      <c r="A158" s="9" t="s">
        <v>1247</v>
      </c>
      <c r="B158" s="10" t="s">
        <v>1248</v>
      </c>
      <c r="C158" s="10">
        <v>341531</v>
      </c>
      <c r="D158" s="10" t="s">
        <v>1113</v>
      </c>
      <c r="E158" s="10"/>
      <c r="F158" s="10"/>
    </row>
    <row r="159" spans="1:6" x14ac:dyDescent="0.25">
      <c r="A159" s="47" t="s">
        <v>1099</v>
      </c>
      <c r="B159" s="10" t="s">
        <v>238</v>
      </c>
      <c r="C159" s="10">
        <v>305704</v>
      </c>
      <c r="D159" s="10"/>
      <c r="E159" s="10"/>
      <c r="F159" s="10"/>
    </row>
    <row r="160" spans="1:6" x14ac:dyDescent="0.25">
      <c r="A160" s="9" t="s">
        <v>1101</v>
      </c>
      <c r="B160" s="51" t="s">
        <v>238</v>
      </c>
      <c r="C160" s="10">
        <v>305704</v>
      </c>
      <c r="D160" s="10"/>
      <c r="E160" s="10"/>
      <c r="F160" s="10"/>
    </row>
    <row r="161" spans="1:6" x14ac:dyDescent="0.25">
      <c r="A161" s="9" t="s">
        <v>1249</v>
      </c>
      <c r="B161" s="10" t="s">
        <v>1250</v>
      </c>
      <c r="C161" s="10">
        <v>341531</v>
      </c>
      <c r="D161" s="10" t="s">
        <v>1134</v>
      </c>
      <c r="E161" s="10" t="s">
        <v>1175</v>
      </c>
      <c r="F161" s="10" t="s">
        <v>1114</v>
      </c>
    </row>
    <row r="162" spans="1:6" x14ac:dyDescent="0.25">
      <c r="A162" s="47" t="s">
        <v>950</v>
      </c>
      <c r="B162" s="10" t="s">
        <v>141</v>
      </c>
      <c r="C162" s="10">
        <v>341531</v>
      </c>
      <c r="D162" s="10"/>
      <c r="E162" s="10"/>
      <c r="F162" s="10"/>
    </row>
    <row r="163" spans="1:6" x14ac:dyDescent="0.25">
      <c r="A163" s="9" t="s">
        <v>1251</v>
      </c>
      <c r="B163" s="10" t="s">
        <v>1252</v>
      </c>
      <c r="C163" s="10">
        <v>341530</v>
      </c>
      <c r="D163" s="10" t="s">
        <v>1113</v>
      </c>
      <c r="E163" s="10"/>
      <c r="F163" s="10"/>
    </row>
    <row r="164" spans="1:6" x14ac:dyDescent="0.25">
      <c r="A164" s="9" t="s">
        <v>1253</v>
      </c>
      <c r="B164" s="10" t="s">
        <v>1254</v>
      </c>
      <c r="C164" s="10">
        <v>341530</v>
      </c>
      <c r="D164" s="10" t="s">
        <v>1111</v>
      </c>
      <c r="E164" s="10" t="s">
        <v>84</v>
      </c>
      <c r="F164" s="10"/>
    </row>
    <row r="165" spans="1:6" x14ac:dyDescent="0.25">
      <c r="A165" s="9" t="s">
        <v>1255</v>
      </c>
      <c r="B165" s="10" t="s">
        <v>1254</v>
      </c>
      <c r="C165" s="10">
        <v>341530</v>
      </c>
      <c r="D165" s="10" t="s">
        <v>1111</v>
      </c>
      <c r="E165" s="10" t="s">
        <v>84</v>
      </c>
      <c r="F165" s="10"/>
    </row>
    <row r="166" spans="1:6" x14ac:dyDescent="0.25">
      <c r="A166" s="9" t="s">
        <v>1256</v>
      </c>
      <c r="B166" s="10" t="s">
        <v>1254</v>
      </c>
      <c r="C166" s="10">
        <v>341530</v>
      </c>
      <c r="D166" s="10" t="s">
        <v>1111</v>
      </c>
      <c r="E166" s="10" t="s">
        <v>1125</v>
      </c>
      <c r="F166" s="10"/>
    </row>
    <row r="167" spans="1:6" x14ac:dyDescent="0.25">
      <c r="A167" s="9" t="s">
        <v>1257</v>
      </c>
      <c r="B167" s="10" t="s">
        <v>1254</v>
      </c>
      <c r="C167" s="10">
        <v>341530</v>
      </c>
      <c r="D167" s="10" t="s">
        <v>1111</v>
      </c>
      <c r="E167" s="10" t="s">
        <v>1125</v>
      </c>
      <c r="F167" s="10"/>
    </row>
    <row r="168" spans="1:6" x14ac:dyDescent="0.25">
      <c r="A168" s="9" t="s">
        <v>1258</v>
      </c>
      <c r="B168" s="10" t="s">
        <v>1254</v>
      </c>
      <c r="C168" s="10">
        <v>341530</v>
      </c>
      <c r="D168" s="10" t="s">
        <v>1111</v>
      </c>
      <c r="E168" s="10" t="s">
        <v>1125</v>
      </c>
      <c r="F168" s="10"/>
    </row>
    <row r="169" spans="1:6" x14ac:dyDescent="0.25">
      <c r="A169" s="47" t="s">
        <v>1259</v>
      </c>
      <c r="B169" s="10" t="s">
        <v>85</v>
      </c>
      <c r="C169" s="10">
        <v>341530</v>
      </c>
      <c r="D169" s="10"/>
      <c r="E169" s="10"/>
      <c r="F169" s="10"/>
    </row>
    <row r="170" spans="1:6" x14ac:dyDescent="0.25">
      <c r="A170" s="9" t="s">
        <v>1104</v>
      </c>
      <c r="B170" s="10" t="s">
        <v>85</v>
      </c>
      <c r="C170" s="10">
        <v>341530</v>
      </c>
      <c r="D170" s="10" t="s">
        <v>1111</v>
      </c>
      <c r="E170" s="10" t="s">
        <v>84</v>
      </c>
      <c r="F170" s="10" t="s">
        <v>1114</v>
      </c>
    </row>
    <row r="171" spans="1:6" x14ac:dyDescent="0.25">
      <c r="A171" s="10">
        <f>SUBTOTAL(103,TabContrat[Contrat SYGES])</f>
        <v>168</v>
      </c>
      <c r="B171" s="10" t="s">
        <v>1260</v>
      </c>
      <c r="C171" s="23"/>
      <c r="D171" s="10"/>
      <c r="E171" s="10"/>
      <c r="F171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770</v>
      </c>
      <c r="B1" t="s">
        <v>587</v>
      </c>
      <c r="C1" t="s">
        <v>1</v>
      </c>
    </row>
    <row r="2" spans="1:3" x14ac:dyDescent="0.25">
      <c r="A2" t="s">
        <v>845</v>
      </c>
      <c r="B2" t="s">
        <v>1261</v>
      </c>
      <c r="C2" t="s">
        <v>1261</v>
      </c>
    </row>
    <row r="3" spans="1:3" x14ac:dyDescent="0.25">
      <c r="A3" t="s">
        <v>79</v>
      </c>
      <c r="B3" t="s">
        <v>1262</v>
      </c>
      <c r="C3" t="s">
        <v>1262</v>
      </c>
    </row>
    <row r="4" spans="1:3" x14ac:dyDescent="0.25">
      <c r="A4" t="s">
        <v>6</v>
      </c>
      <c r="B4" t="s">
        <v>1263</v>
      </c>
    </row>
    <row r="5" spans="1:3" x14ac:dyDescent="0.25">
      <c r="A5" t="s">
        <v>19</v>
      </c>
      <c r="B5" t="s">
        <v>1264</v>
      </c>
      <c r="C5" t="s">
        <v>1265</v>
      </c>
    </row>
    <row r="6" spans="1:3" x14ac:dyDescent="0.25">
      <c r="A6" t="s">
        <v>16</v>
      </c>
      <c r="B6" t="s">
        <v>1266</v>
      </c>
      <c r="C6" t="s">
        <v>1267</v>
      </c>
    </row>
    <row r="7" spans="1:3" x14ac:dyDescent="0.25">
      <c r="A7" t="s">
        <v>1268</v>
      </c>
      <c r="B7" t="s">
        <v>1269</v>
      </c>
    </row>
    <row r="8" spans="1:3" x14ac:dyDescent="0.25">
      <c r="A8" t="s">
        <v>13</v>
      </c>
      <c r="B8" t="s">
        <v>1270</v>
      </c>
      <c r="C8" t="s">
        <v>1271</v>
      </c>
    </row>
    <row r="9" spans="1:3" x14ac:dyDescent="0.25">
      <c r="A9" t="s">
        <v>794</v>
      </c>
      <c r="B9" t="s">
        <v>794</v>
      </c>
    </row>
    <row r="10" spans="1:3" x14ac:dyDescent="0.25">
      <c r="A10" t="s">
        <v>1272</v>
      </c>
      <c r="B10" t="s">
        <v>1273</v>
      </c>
    </row>
    <row r="11" spans="1:3" x14ac:dyDescent="0.25">
      <c r="A11" t="s">
        <v>295</v>
      </c>
      <c r="B11" t="s">
        <v>1274</v>
      </c>
    </row>
    <row r="12" spans="1:3" x14ac:dyDescent="0.25">
      <c r="A12" t="s">
        <v>30</v>
      </c>
      <c r="B12" t="s">
        <v>1275</v>
      </c>
    </row>
    <row r="13" spans="1:3" x14ac:dyDescent="0.25">
      <c r="A13" t="s">
        <v>70</v>
      </c>
      <c r="B13" t="s">
        <v>1276</v>
      </c>
      <c r="C13" t="s">
        <v>1277</v>
      </c>
    </row>
    <row r="14" spans="1:3" x14ac:dyDescent="0.25">
      <c r="A14" t="s">
        <v>26</v>
      </c>
      <c r="B14" t="s">
        <v>1278</v>
      </c>
      <c r="C14" t="s">
        <v>1279</v>
      </c>
    </row>
    <row r="15" spans="1:3" x14ac:dyDescent="0.25">
      <c r="A15" t="s">
        <v>24</v>
      </c>
      <c r="B15" t="s">
        <v>1280</v>
      </c>
      <c r="C15" t="s">
        <v>1281</v>
      </c>
    </row>
    <row r="16" spans="1:3" x14ac:dyDescent="0.25">
      <c r="A16" t="s">
        <v>93</v>
      </c>
      <c r="B16" t="s">
        <v>1282</v>
      </c>
      <c r="C16" t="s">
        <v>1283</v>
      </c>
    </row>
    <row r="17" spans="1:3" x14ac:dyDescent="0.25">
      <c r="A17" t="s">
        <v>9</v>
      </c>
      <c r="B17" t="s">
        <v>1284</v>
      </c>
    </row>
    <row r="18" spans="1:3" x14ac:dyDescent="0.25">
      <c r="A18" t="s">
        <v>846</v>
      </c>
      <c r="B18" t="s">
        <v>1285</v>
      </c>
      <c r="C18" t="s">
        <v>1285</v>
      </c>
    </row>
    <row r="19" spans="1:3" x14ac:dyDescent="0.25">
      <c r="A19" t="s">
        <v>84</v>
      </c>
      <c r="B19" t="s">
        <v>84</v>
      </c>
    </row>
    <row r="20" spans="1:3" x14ac:dyDescent="0.25">
      <c r="A20" t="s">
        <v>847</v>
      </c>
      <c r="B20" t="s">
        <v>847</v>
      </c>
      <c r="C20" t="s">
        <v>847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18"/>
  <sheetViews>
    <sheetView workbookViewId="0">
      <selection activeCell="D9" sqref="D9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1286</v>
      </c>
      <c r="B1" s="14" t="s">
        <v>1287</v>
      </c>
      <c r="C1" s="14" t="s">
        <v>1288</v>
      </c>
    </row>
    <row r="2" spans="1:3" x14ac:dyDescent="0.25">
      <c r="A2" s="7" t="s">
        <v>1289</v>
      </c>
      <c r="B2" s="14" t="s">
        <v>1290</v>
      </c>
      <c r="C2" s="15">
        <v>1.6</v>
      </c>
    </row>
    <row r="3" spans="1:3" ht="45" x14ac:dyDescent="0.25">
      <c r="A3" s="7" t="s">
        <v>1291</v>
      </c>
      <c r="B3" s="16" t="s">
        <v>1292</v>
      </c>
      <c r="C3" s="15">
        <v>0</v>
      </c>
    </row>
    <row r="4" spans="1:3" ht="60" x14ac:dyDescent="0.25">
      <c r="A4" s="7" t="s">
        <v>1293</v>
      </c>
      <c r="B4" s="16" t="s">
        <v>1294</v>
      </c>
      <c r="C4" s="15">
        <v>0.23</v>
      </c>
    </row>
    <row r="5" spans="1:3" ht="60" x14ac:dyDescent="0.25">
      <c r="A5" s="7" t="s">
        <v>1295</v>
      </c>
      <c r="B5" s="16" t="s">
        <v>1296</v>
      </c>
      <c r="C5" s="15">
        <v>0.23</v>
      </c>
    </row>
    <row r="6" spans="1:3" ht="45" x14ac:dyDescent="0.25">
      <c r="A6" s="7" t="s">
        <v>1297</v>
      </c>
      <c r="B6" s="16" t="s">
        <v>1298</v>
      </c>
      <c r="C6" s="15">
        <v>0</v>
      </c>
    </row>
    <row r="7" spans="1:3" x14ac:dyDescent="0.25">
      <c r="A7" s="7" t="s">
        <v>414</v>
      </c>
      <c r="B7" s="7"/>
      <c r="C7" s="44">
        <v>10</v>
      </c>
    </row>
    <row r="8" spans="1:3" x14ac:dyDescent="0.25">
      <c r="A8" s="7" t="s">
        <v>412</v>
      </c>
      <c r="B8" s="7"/>
      <c r="C8" s="44">
        <v>2</v>
      </c>
    </row>
    <row r="9" spans="1:3" x14ac:dyDescent="0.25">
      <c r="A9" s="7" t="s">
        <v>404</v>
      </c>
      <c r="B9" s="7"/>
      <c r="C9" s="44">
        <v>3.5</v>
      </c>
    </row>
    <row r="10" spans="1:3" x14ac:dyDescent="0.25">
      <c r="A10" s="7" t="s">
        <v>401</v>
      </c>
      <c r="B10" s="7"/>
      <c r="C10" s="44">
        <v>14.08</v>
      </c>
    </row>
    <row r="11" spans="1:3" x14ac:dyDescent="0.25">
      <c r="A11" s="7" t="s">
        <v>398</v>
      </c>
      <c r="B11" s="7"/>
      <c r="C11" s="44">
        <v>45</v>
      </c>
    </row>
    <row r="12" spans="1:3" x14ac:dyDescent="0.25">
      <c r="A12" s="7" t="s">
        <v>1299</v>
      </c>
      <c r="B12" s="7"/>
      <c r="C12" s="44">
        <v>50</v>
      </c>
    </row>
    <row r="13" spans="1:3" x14ac:dyDescent="0.25">
      <c r="A13" s="7" t="s">
        <v>1300</v>
      </c>
      <c r="B13" s="7"/>
      <c r="C13" s="44">
        <v>16.07</v>
      </c>
    </row>
    <row r="14" spans="1:3" x14ac:dyDescent="0.25">
      <c r="A14" s="7" t="s">
        <v>1301</v>
      </c>
      <c r="B14" s="7"/>
      <c r="C14" s="44">
        <v>297.49</v>
      </c>
    </row>
    <row r="15" spans="1:3" ht="45" x14ac:dyDescent="0.25">
      <c r="A15" s="7" t="s">
        <v>1302</v>
      </c>
      <c r="B15" s="59" t="s">
        <v>1303</v>
      </c>
      <c r="C15" s="44">
        <v>5.98</v>
      </c>
    </row>
    <row r="18" spans="1:3" x14ac:dyDescent="0.25">
      <c r="A18" t="s">
        <v>1304</v>
      </c>
      <c r="B18" t="s">
        <v>1305</v>
      </c>
      <c r="C18" t="s">
        <v>1306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E26"/>
  <sheetViews>
    <sheetView workbookViewId="0">
      <selection activeCell="D24" sqref="D24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5" x14ac:dyDescent="0.25">
      <c r="B2" s="32" t="s">
        <v>1307</v>
      </c>
    </row>
    <row r="3" spans="1:5" x14ac:dyDescent="0.25">
      <c r="A3" s="54" t="s">
        <v>1308</v>
      </c>
      <c r="B3" s="55">
        <v>50</v>
      </c>
    </row>
    <row r="4" spans="1:5" x14ac:dyDescent="0.25">
      <c r="A4" s="54" t="s">
        <v>1309</v>
      </c>
      <c r="B4" s="55">
        <v>160</v>
      </c>
    </row>
    <row r="5" spans="1:5" x14ac:dyDescent="0.25">
      <c r="A5" s="54" t="s">
        <v>1310</v>
      </c>
      <c r="B5" s="55">
        <v>470</v>
      </c>
    </row>
    <row r="6" spans="1:5" x14ac:dyDescent="0.25">
      <c r="A6" s="54" t="s">
        <v>1311</v>
      </c>
      <c r="B6" s="55">
        <v>1784.52</v>
      </c>
    </row>
    <row r="7" spans="1:5" x14ac:dyDescent="0.25">
      <c r="A7" s="54" t="s">
        <v>1312</v>
      </c>
      <c r="B7" s="55">
        <v>323.95</v>
      </c>
    </row>
    <row r="8" spans="1:5" x14ac:dyDescent="0.25">
      <c r="A8" s="54" t="s">
        <v>1313</v>
      </c>
      <c r="B8" s="55">
        <v>540</v>
      </c>
    </row>
    <row r="9" spans="1:5" x14ac:dyDescent="0.25">
      <c r="A9" s="54" t="s">
        <v>1314</v>
      </c>
      <c r="B9" s="55">
        <v>600</v>
      </c>
    </row>
    <row r="10" spans="1:5" x14ac:dyDescent="0.25">
      <c r="A10" s="54" t="s">
        <v>1315</v>
      </c>
      <c r="B10" s="55">
        <v>790</v>
      </c>
    </row>
    <row r="11" spans="1:5" ht="30" x14ac:dyDescent="0.25">
      <c r="A11" s="56" t="s">
        <v>1316</v>
      </c>
      <c r="B11" s="55">
        <f>6320/36</f>
        <v>175.55555555555554</v>
      </c>
    </row>
    <row r="12" spans="1:5" x14ac:dyDescent="0.25">
      <c r="A12" s="56" t="s">
        <v>1317</v>
      </c>
      <c r="B12" s="55">
        <f>(2814.84)/36</f>
        <v>78.19</v>
      </c>
      <c r="E12" t="s">
        <v>1318</v>
      </c>
    </row>
    <row r="13" spans="1:5" ht="18.75" x14ac:dyDescent="0.3">
      <c r="B13" s="57">
        <f>SUM(B3:B12)</f>
        <v>4972.2155555555546</v>
      </c>
      <c r="C13" s="74">
        <f>SUM(B3:B11)</f>
        <v>4894.025555555555</v>
      </c>
      <c r="D13" s="2"/>
    </row>
    <row r="14" spans="1:5" x14ac:dyDescent="0.25">
      <c r="C14" s="2" t="s">
        <v>1319</v>
      </c>
      <c r="D14" s="2"/>
    </row>
    <row r="17" spans="1:5" x14ac:dyDescent="0.25">
      <c r="B17" s="32" t="s">
        <v>1307</v>
      </c>
    </row>
    <row r="18" spans="1:5" ht="33.75" x14ac:dyDescent="0.25">
      <c r="A18" s="56" t="s">
        <v>1320</v>
      </c>
      <c r="B18" s="55">
        <v>0</v>
      </c>
      <c r="E18" t="s">
        <v>1321</v>
      </c>
    </row>
    <row r="19" spans="1:5" ht="18.75" x14ac:dyDescent="0.3">
      <c r="B19" s="58">
        <f>SUM(B18)</f>
        <v>0</v>
      </c>
    </row>
    <row r="22" spans="1:5" x14ac:dyDescent="0.25">
      <c r="B22" s="32" t="s">
        <v>1307</v>
      </c>
    </row>
    <row r="23" spans="1:5" ht="30" x14ac:dyDescent="0.25">
      <c r="A23" s="65" t="s">
        <v>151</v>
      </c>
      <c r="B23" s="55">
        <v>186.65</v>
      </c>
    </row>
    <row r="24" spans="1:5" ht="30" x14ac:dyDescent="0.25">
      <c r="A24" s="65" t="s">
        <v>196</v>
      </c>
      <c r="B24" s="55">
        <v>44.39</v>
      </c>
    </row>
    <row r="25" spans="1:5" ht="30" x14ac:dyDescent="0.25">
      <c r="A25" s="65" t="s">
        <v>207</v>
      </c>
      <c r="B25" s="55">
        <v>15.625</v>
      </c>
    </row>
    <row r="26" spans="1:5" ht="18.75" x14ac:dyDescent="0.3">
      <c r="B26" s="58">
        <f>SUM(B23:B25)</f>
        <v>246.66500000000002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topLeftCell="A13"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1322</v>
      </c>
      <c r="B1" t="s">
        <v>1323</v>
      </c>
      <c r="C1" t="s">
        <v>1324</v>
      </c>
      <c r="D1" t="s">
        <v>1325</v>
      </c>
      <c r="E1" t="s">
        <v>1326</v>
      </c>
    </row>
    <row r="2" spans="1:5" x14ac:dyDescent="0.25">
      <c r="A2" s="12" t="s">
        <v>1327</v>
      </c>
      <c r="B2" s="13" t="s">
        <v>1328</v>
      </c>
      <c r="C2" s="13" t="s">
        <v>1329</v>
      </c>
      <c r="D2" s="13"/>
      <c r="E2" s="13"/>
    </row>
    <row r="3" spans="1:5" ht="113.25" customHeight="1" x14ac:dyDescent="0.25">
      <c r="A3" s="12" t="s">
        <v>1330</v>
      </c>
      <c r="B3" s="13" t="s">
        <v>1331</v>
      </c>
      <c r="C3" s="13" t="s">
        <v>1332</v>
      </c>
      <c r="D3" s="13"/>
      <c r="E3" s="13"/>
    </row>
    <row r="4" spans="1:5" ht="45" x14ac:dyDescent="0.25">
      <c r="A4" s="12" t="s">
        <v>1333</v>
      </c>
      <c r="B4" s="13" t="s">
        <v>1334</v>
      </c>
      <c r="C4" s="13" t="s">
        <v>1335</v>
      </c>
      <c r="D4" s="13" t="s">
        <v>1336</v>
      </c>
      <c r="E4" s="13"/>
    </row>
    <row r="5" spans="1:5" x14ac:dyDescent="0.25">
      <c r="A5" s="12" t="s">
        <v>458</v>
      </c>
      <c r="B5" s="13" t="s">
        <v>1337</v>
      </c>
      <c r="C5" s="13"/>
      <c r="D5" s="13"/>
      <c r="E5" s="13"/>
    </row>
    <row r="6" spans="1:5" x14ac:dyDescent="0.25">
      <c r="A6" s="12" t="s">
        <v>1338</v>
      </c>
      <c r="B6" s="13" t="s">
        <v>1339</v>
      </c>
      <c r="C6" s="13"/>
      <c r="D6" s="13"/>
      <c r="E6" s="13"/>
    </row>
    <row r="7" spans="1:5" x14ac:dyDescent="0.25">
      <c r="A7" s="12" t="s">
        <v>1340</v>
      </c>
      <c r="B7" s="13" t="s">
        <v>1341</v>
      </c>
      <c r="C7" s="13" t="s">
        <v>1342</v>
      </c>
      <c r="D7" s="13"/>
      <c r="E7" s="13"/>
    </row>
    <row r="8" spans="1:5" x14ac:dyDescent="0.25">
      <c r="A8" s="70" t="s">
        <v>1343</v>
      </c>
      <c r="B8" s="13" t="s">
        <v>1344</v>
      </c>
      <c r="C8" s="13"/>
      <c r="D8" s="13"/>
      <c r="E8" s="13"/>
    </row>
    <row r="9" spans="1:5" ht="105" x14ac:dyDescent="0.25">
      <c r="A9" s="70" t="s">
        <v>1345</v>
      </c>
      <c r="B9" s="13" t="s">
        <v>1344</v>
      </c>
      <c r="C9" s="13" t="s">
        <v>1346</v>
      </c>
      <c r="D9" s="13"/>
      <c r="E9" s="13"/>
    </row>
    <row r="10" spans="1:5" ht="105" x14ac:dyDescent="0.25">
      <c r="A10" s="70" t="s">
        <v>1347</v>
      </c>
      <c r="B10" s="13" t="s">
        <v>1344</v>
      </c>
      <c r="C10" s="13" t="s">
        <v>1346</v>
      </c>
      <c r="D10" s="13"/>
      <c r="E10" s="13"/>
    </row>
    <row r="11" spans="1:5" ht="30" x14ac:dyDescent="0.25">
      <c r="A11" s="70" t="s">
        <v>1348</v>
      </c>
      <c r="B11" s="13" t="s">
        <v>1349</v>
      </c>
      <c r="C11" s="13"/>
      <c r="D11" s="13"/>
      <c r="E11" s="13"/>
    </row>
    <row r="12" spans="1:5" ht="150" x14ac:dyDescent="0.25">
      <c r="A12" s="70" t="s">
        <v>1350</v>
      </c>
      <c r="B12" s="13" t="s">
        <v>1351</v>
      </c>
      <c r="C12" s="13"/>
      <c r="D12" s="13"/>
      <c r="E12" s="13"/>
    </row>
    <row r="14" spans="1:5" x14ac:dyDescent="0.25">
      <c r="A14" t="s">
        <v>1352</v>
      </c>
    </row>
    <row r="15" spans="1:5" ht="45" x14ac:dyDescent="0.25">
      <c r="A15" s="13" t="s">
        <v>1353</v>
      </c>
    </row>
    <row r="16" spans="1:5" x14ac:dyDescent="0.25">
      <c r="A16" t="s">
        <v>1354</v>
      </c>
    </row>
    <row r="17" spans="1:3" ht="58.5" customHeight="1" x14ac:dyDescent="0.25">
      <c r="A17" s="88" t="s">
        <v>1355</v>
      </c>
      <c r="B17" s="88"/>
      <c r="C17" s="88"/>
    </row>
    <row r="19" spans="1:3" x14ac:dyDescent="0.25">
      <c r="A19" t="s">
        <v>1356</v>
      </c>
    </row>
    <row r="20" spans="1:3" x14ac:dyDescent="0.25">
      <c r="A20" t="s">
        <v>1357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D0017A-342C-49EB-999F-CD3D7F69E81B}">
  <ds:schemaRefs>
    <ds:schemaRef ds:uri="http://purl.org/dc/terms/"/>
    <ds:schemaRef ds:uri="http://schemas.openxmlformats.org/package/2006/metadata/core-properties"/>
    <ds:schemaRef ds:uri="http://purl.org/dc/dcmitype/"/>
    <ds:schemaRef ds:uri="7a8f9d80-1a09-4d53-b5d2-6a0ab3b00fb6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42</vt:i4>
      </vt:variant>
    </vt:vector>
  </HeadingPairs>
  <TitlesOfParts>
    <vt:vector size="59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2020-11-30T15:56:14Z</cp:lastPrinted>
  <dcterms:created xsi:type="dcterms:W3CDTF">2019-04-25T14:44:17Z</dcterms:created>
  <dcterms:modified xsi:type="dcterms:W3CDTF">2020-11-30T16:04:43Z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